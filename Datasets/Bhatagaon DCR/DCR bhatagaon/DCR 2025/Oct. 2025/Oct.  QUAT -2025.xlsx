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15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C44" i="39" l="1"/>
  <c r="D44" i="39"/>
  <c r="E44" i="39"/>
  <c r="F44" i="39"/>
  <c r="G44" i="39"/>
  <c r="H44" i="39"/>
  <c r="I44" i="39"/>
  <c r="J44" i="39"/>
  <c r="K44" i="39"/>
  <c r="L44" i="39"/>
  <c r="M44" i="39"/>
  <c r="N44" i="39"/>
  <c r="O44" i="39"/>
  <c r="P44" i="39"/>
  <c r="Q44" i="39"/>
  <c r="B44" i="39"/>
  <c r="Q39" i="39"/>
  <c r="P39" i="39"/>
  <c r="O39" i="39"/>
  <c r="N39" i="39"/>
  <c r="M39" i="39"/>
  <c r="L39" i="39"/>
  <c r="K39" i="39"/>
  <c r="J39" i="39"/>
  <c r="I39" i="39"/>
  <c r="I40" i="39"/>
  <c r="H39" i="39"/>
  <c r="G39" i="39"/>
  <c r="F39" i="39"/>
  <c r="E39" i="39"/>
  <c r="D39" i="39"/>
  <c r="C39" i="39"/>
  <c r="B39" i="39"/>
  <c r="A39" i="39"/>
  <c r="A38" i="39"/>
  <c r="I110" i="44"/>
  <c r="I110" i="41"/>
  <c r="H110" i="41"/>
  <c r="G110" i="41"/>
  <c r="Q110" i="44"/>
  <c r="Q112" i="44" s="1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2" i="44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1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B108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I110" i="40"/>
  <c r="H110" i="33"/>
  <c r="G110" i="33"/>
  <c r="I110" i="32"/>
  <c r="Q110" i="31"/>
  <c r="H110" i="31"/>
  <c r="I110" i="31"/>
  <c r="G110" i="31"/>
  <c r="I110" i="30"/>
  <c r="J110" i="29"/>
  <c r="J110" i="28"/>
  <c r="I110" i="27"/>
  <c r="E111" i="44" l="1"/>
  <c r="C111" i="44"/>
  <c r="F111" i="44"/>
  <c r="D111" i="44"/>
  <c r="G111" i="44"/>
  <c r="H111" i="44"/>
  <c r="I111" i="44"/>
  <c r="B112" i="44"/>
  <c r="J111" i="44"/>
  <c r="K111" i="44"/>
  <c r="L111" i="44"/>
  <c r="M111" i="44"/>
  <c r="N111" i="44"/>
  <c r="O111" i="44"/>
  <c r="P111" i="44"/>
  <c r="Q111" i="44"/>
  <c r="H110" i="22"/>
  <c r="G110" i="22"/>
  <c r="Q110" i="19"/>
  <c r="J110" i="18"/>
  <c r="I110" i="18"/>
  <c r="H110" i="18"/>
  <c r="Q110" i="17"/>
  <c r="Q110" i="16"/>
  <c r="Q110" i="15"/>
  <c r="I110" i="12"/>
  <c r="F110" i="12"/>
  <c r="I110" i="11"/>
  <c r="H110" i="11"/>
  <c r="C110" i="11"/>
  <c r="D110" i="11"/>
  <c r="B110" i="1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C110" i="8"/>
  <c r="I110" i="3"/>
  <c r="I110" i="2"/>
  <c r="C110" i="26" l="1"/>
  <c r="C112" i="26" s="1"/>
  <c r="D110" i="26"/>
  <c r="D112" i="26" s="1"/>
  <c r="B110" i="26"/>
  <c r="B112" i="26" s="1"/>
  <c r="E110" i="26"/>
  <c r="E112" i="26" s="1"/>
  <c r="F110" i="26"/>
  <c r="F111" i="26" s="1"/>
  <c r="G110" i="26"/>
  <c r="G112" i="26" s="1"/>
  <c r="H110" i="26"/>
  <c r="H112" i="26" s="1"/>
  <c r="I110" i="26"/>
  <c r="I112" i="26" s="1"/>
  <c r="J110" i="26"/>
  <c r="J111" i="26" s="1"/>
  <c r="K110" i="26"/>
  <c r="L110" i="26"/>
  <c r="M110" i="26"/>
  <c r="M112" i="26" s="1"/>
  <c r="N110" i="26"/>
  <c r="N111" i="26" s="1"/>
  <c r="O110" i="26"/>
  <c r="P110" i="26"/>
  <c r="P112" i="26" s="1"/>
  <c r="Q110" i="26"/>
  <c r="C110" i="25"/>
  <c r="C111" i="25" s="1"/>
  <c r="D110" i="25"/>
  <c r="D112" i="25" s="1"/>
  <c r="E110" i="25"/>
  <c r="E112" i="25" s="1"/>
  <c r="F110" i="25"/>
  <c r="G110" i="25"/>
  <c r="G112" i="25" s="1"/>
  <c r="H110" i="25"/>
  <c r="H111" i="25" s="1"/>
  <c r="I110" i="25"/>
  <c r="J110" i="25"/>
  <c r="K110" i="25"/>
  <c r="K111" i="25" s="1"/>
  <c r="L110" i="25"/>
  <c r="L112" i="25" s="1"/>
  <c r="M110" i="25"/>
  <c r="M111" i="25" s="1"/>
  <c r="N110" i="25"/>
  <c r="O110" i="25"/>
  <c r="P110" i="25"/>
  <c r="P111" i="25" s="1"/>
  <c r="Q110" i="25"/>
  <c r="B110" i="25"/>
  <c r="B112" i="25" s="1"/>
  <c r="Q110" i="14"/>
  <c r="Q112" i="14" s="1"/>
  <c r="I110" i="14"/>
  <c r="I111" i="14" s="1"/>
  <c r="I110" i="13"/>
  <c r="I111" i="13" s="1"/>
  <c r="I112" i="41"/>
  <c r="J110" i="41"/>
  <c r="J112" i="41" s="1"/>
  <c r="H112" i="41"/>
  <c r="J110" i="40"/>
  <c r="J111" i="40" s="1"/>
  <c r="H110" i="40"/>
  <c r="H111" i="40" s="1"/>
  <c r="I111" i="40"/>
  <c r="G112" i="33"/>
  <c r="H111" i="33"/>
  <c r="I110" i="33"/>
  <c r="I111" i="33" s="1"/>
  <c r="J110" i="33"/>
  <c r="J112" i="33" s="1"/>
  <c r="J110" i="32"/>
  <c r="J111" i="32" s="1"/>
  <c r="I112" i="32"/>
  <c r="H110" i="32"/>
  <c r="H111" i="32" s="1"/>
  <c r="H112" i="31"/>
  <c r="I111" i="31"/>
  <c r="J110" i="31"/>
  <c r="J111" i="31" s="1"/>
  <c r="G112" i="31"/>
  <c r="J110" i="30"/>
  <c r="J111" i="30" s="1"/>
  <c r="I112" i="30"/>
  <c r="H110" i="30"/>
  <c r="H112" i="30" s="1"/>
  <c r="J112" i="29"/>
  <c r="I110" i="29"/>
  <c r="I112" i="29" s="1"/>
  <c r="H110" i="29"/>
  <c r="H112" i="29" s="1"/>
  <c r="J111" i="28"/>
  <c r="I110" i="28"/>
  <c r="I112" i="28" s="1"/>
  <c r="H110" i="28"/>
  <c r="H111" i="28" s="1"/>
  <c r="I112" i="27"/>
  <c r="C110" i="27"/>
  <c r="C111" i="27" s="1"/>
  <c r="D110" i="27"/>
  <c r="D111" i="27" s="1"/>
  <c r="E110" i="27"/>
  <c r="F110" i="27"/>
  <c r="F112" i="27" s="1"/>
  <c r="G110" i="27"/>
  <c r="G112" i="27" s="1"/>
  <c r="H110" i="27"/>
  <c r="H111" i="27" s="1"/>
  <c r="J110" i="27"/>
  <c r="K110" i="27"/>
  <c r="L110" i="27"/>
  <c r="L112" i="27" s="1"/>
  <c r="M110" i="27"/>
  <c r="N110" i="27"/>
  <c r="N112" i="27" s="1"/>
  <c r="O110" i="27"/>
  <c r="P110" i="27"/>
  <c r="Q110" i="27"/>
  <c r="Q111" i="26"/>
  <c r="Q111" i="25"/>
  <c r="O112" i="25"/>
  <c r="N111" i="25"/>
  <c r="J112" i="25"/>
  <c r="I111" i="25"/>
  <c r="F112" i="25"/>
  <c r="J110" i="24"/>
  <c r="J111" i="24" s="1"/>
  <c r="I110" i="24"/>
  <c r="I112" i="24" s="1"/>
  <c r="H110" i="24"/>
  <c r="H112" i="24" s="1"/>
  <c r="J110" i="23"/>
  <c r="J112" i="23" s="1"/>
  <c r="I110" i="23"/>
  <c r="I112" i="23" s="1"/>
  <c r="H110" i="23"/>
  <c r="J110" i="22"/>
  <c r="J112" i="22" s="1"/>
  <c r="I110" i="22"/>
  <c r="I112" i="22" s="1"/>
  <c r="H112" i="22"/>
  <c r="G111" i="22"/>
  <c r="J110" i="21"/>
  <c r="J111" i="21" s="1"/>
  <c r="I110" i="21"/>
  <c r="I111" i="21" s="1"/>
  <c r="H110" i="21"/>
  <c r="H111" i="21" s="1"/>
  <c r="H110" i="20"/>
  <c r="H112" i="20"/>
  <c r="I110" i="20"/>
  <c r="I111" i="20" s="1"/>
  <c r="J110" i="20"/>
  <c r="J112" i="20" s="1"/>
  <c r="Q112" i="19"/>
  <c r="J110" i="19"/>
  <c r="J111" i="19" s="1"/>
  <c r="I110" i="19"/>
  <c r="I112" i="19" s="1"/>
  <c r="H110" i="19"/>
  <c r="H112" i="19" s="1"/>
  <c r="Q112" i="17"/>
  <c r="J110" i="17"/>
  <c r="J112" i="17" s="1"/>
  <c r="I110" i="17"/>
  <c r="I111" i="17" s="1"/>
  <c r="H110" i="17"/>
  <c r="H112" i="17" s="1"/>
  <c r="H110" i="16"/>
  <c r="H111" i="16" s="1"/>
  <c r="I110" i="16"/>
  <c r="I111" i="16" s="1"/>
  <c r="J110" i="16"/>
  <c r="J111" i="16" s="1"/>
  <c r="H110" i="15"/>
  <c r="H111" i="15" s="1"/>
  <c r="I110" i="15"/>
  <c r="I111" i="15" s="1"/>
  <c r="J110" i="15"/>
  <c r="J112" i="15" s="1"/>
  <c r="Q111" i="15"/>
  <c r="J110" i="14"/>
  <c r="J111" i="14" s="1"/>
  <c r="H110" i="14"/>
  <c r="H112" i="14" s="1"/>
  <c r="D112" i="11"/>
  <c r="C112" i="11"/>
  <c r="B111" i="11"/>
  <c r="J110" i="13"/>
  <c r="J112" i="13" s="1"/>
  <c r="H110" i="13"/>
  <c r="H112" i="13" s="1"/>
  <c r="F111" i="12"/>
  <c r="J110" i="12"/>
  <c r="J112" i="12" s="1"/>
  <c r="H110" i="12"/>
  <c r="H111" i="12" s="1"/>
  <c r="I112" i="12"/>
  <c r="J110" i="11"/>
  <c r="J111" i="11"/>
  <c r="I111" i="11"/>
  <c r="H111" i="11"/>
  <c r="G110" i="11"/>
  <c r="G112" i="11" s="1"/>
  <c r="J110" i="10"/>
  <c r="J112" i="10" s="1"/>
  <c r="I110" i="10"/>
  <c r="I111" i="10" s="1"/>
  <c r="H110" i="10"/>
  <c r="H112" i="10" s="1"/>
  <c r="J110" i="9"/>
  <c r="J111" i="9" s="1"/>
  <c r="I110" i="9"/>
  <c r="I111" i="9" s="1"/>
  <c r="H110" i="9"/>
  <c r="H111" i="9" s="1"/>
  <c r="Q111" i="8"/>
  <c r="J111" i="8"/>
  <c r="I111" i="8"/>
  <c r="H111" i="8"/>
  <c r="P112" i="8"/>
  <c r="O111" i="8"/>
  <c r="L112" i="8"/>
  <c r="K111" i="8"/>
  <c r="G111" i="8"/>
  <c r="F111" i="8"/>
  <c r="E112" i="8"/>
  <c r="B110" i="8"/>
  <c r="B112" i="8" s="1"/>
  <c r="I112" i="3"/>
  <c r="I111" i="2"/>
  <c r="B2" i="23"/>
  <c r="C110" i="2"/>
  <c r="C111" i="2" s="1"/>
  <c r="D110" i="2"/>
  <c r="D112" i="2" s="1"/>
  <c r="E110" i="2"/>
  <c r="E111" i="2"/>
  <c r="F110" i="2"/>
  <c r="F111" i="2" s="1"/>
  <c r="G110" i="2"/>
  <c r="G112" i="2" s="1"/>
  <c r="H110" i="2"/>
  <c r="J110" i="2"/>
  <c r="J111" i="2" s="1"/>
  <c r="K110" i="2"/>
  <c r="K111" i="2"/>
  <c r="L110" i="2"/>
  <c r="L112" i="2" s="1"/>
  <c r="M110" i="2"/>
  <c r="M112" i="2" s="1"/>
  <c r="N110" i="2"/>
  <c r="N112" i="2" s="1"/>
  <c r="O110" i="2"/>
  <c r="O111" i="2" s="1"/>
  <c r="P110" i="2"/>
  <c r="P112" i="2"/>
  <c r="Q110" i="2"/>
  <c r="Q111" i="2" s="1"/>
  <c r="C110" i="3"/>
  <c r="C111" i="3" s="1"/>
  <c r="D110" i="3"/>
  <c r="D111" i="3" s="1"/>
  <c r="E110" i="3"/>
  <c r="E111" i="3" s="1"/>
  <c r="F110" i="3"/>
  <c r="F111" i="3"/>
  <c r="G110" i="3"/>
  <c r="G112" i="3" s="1"/>
  <c r="H110" i="3"/>
  <c r="H112" i="3" s="1"/>
  <c r="J110" i="3"/>
  <c r="J111" i="3" s="1"/>
  <c r="K110" i="3"/>
  <c r="K112" i="3" s="1"/>
  <c r="L110" i="3"/>
  <c r="L111" i="3" s="1"/>
  <c r="M110" i="3"/>
  <c r="M112" i="3" s="1"/>
  <c r="N110" i="3"/>
  <c r="N111" i="3" s="1"/>
  <c r="O110" i="3"/>
  <c r="P110" i="3"/>
  <c r="Q110" i="3"/>
  <c r="Q110" i="41"/>
  <c r="Q111" i="41" s="1"/>
  <c r="P110" i="41"/>
  <c r="P112" i="41" s="1"/>
  <c r="O110" i="41"/>
  <c r="O112" i="41" s="1"/>
  <c r="N110" i="41"/>
  <c r="N111" i="41" s="1"/>
  <c r="M110" i="41"/>
  <c r="M112" i="41"/>
  <c r="L110" i="41"/>
  <c r="L111" i="41" s="1"/>
  <c r="K110" i="41"/>
  <c r="K112" i="41" s="1"/>
  <c r="G112" i="41"/>
  <c r="F110" i="41"/>
  <c r="F112" i="41" s="1"/>
  <c r="E110" i="41"/>
  <c r="E111" i="41" s="1"/>
  <c r="D110" i="41"/>
  <c r="D112" i="41" s="1"/>
  <c r="C110" i="41"/>
  <c r="C112" i="4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/>
  <c r="P108" i="41"/>
  <c r="O108" i="41"/>
  <c r="O38" i="39" s="1"/>
  <c r="N108" i="41"/>
  <c r="N38" i="39" s="1"/>
  <c r="M108" i="41"/>
  <c r="L108" i="41"/>
  <c r="K108" i="41"/>
  <c r="K38" i="39" s="1"/>
  <c r="J108" i="41"/>
  <c r="I108" i="41"/>
  <c r="I38" i="39" s="1"/>
  <c r="H108" i="41"/>
  <c r="G108" i="41"/>
  <c r="F108" i="41"/>
  <c r="E108" i="41"/>
  <c r="D108" i="41"/>
  <c r="C108" i="41"/>
  <c r="C38" i="39" s="1"/>
  <c r="B108" i="41"/>
  <c r="B38" i="39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Q110" i="40"/>
  <c r="Q112" i="40" s="1"/>
  <c r="P110" i="40"/>
  <c r="P111" i="40" s="1"/>
  <c r="O110" i="40"/>
  <c r="O112" i="40" s="1"/>
  <c r="N110" i="40"/>
  <c r="N111" i="40" s="1"/>
  <c r="M110" i="40"/>
  <c r="M112" i="40" s="1"/>
  <c r="L110" i="40"/>
  <c r="L112" i="40" s="1"/>
  <c r="K110" i="40"/>
  <c r="K112" i="40" s="1"/>
  <c r="G110" i="40"/>
  <c r="G112" i="40" s="1"/>
  <c r="F110" i="40"/>
  <c r="F112" i="40" s="1"/>
  <c r="E110" i="40"/>
  <c r="E112" i="40" s="1"/>
  <c r="D110" i="40"/>
  <c r="D112" i="40" s="1"/>
  <c r="C110" i="40"/>
  <c r="C111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K37" i="39" s="1"/>
  <c r="J108" i="40"/>
  <c r="J37" i="39" s="1"/>
  <c r="I108" i="40"/>
  <c r="I37" i="39" s="1"/>
  <c r="H108" i="40"/>
  <c r="H37" i="39" s="1"/>
  <c r="G108" i="40"/>
  <c r="G37" i="39" s="1"/>
  <c r="F108" i="40"/>
  <c r="F37" i="39" s="1"/>
  <c r="E108" i="40"/>
  <c r="E37" i="39" s="1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1" i="33" s="1"/>
  <c r="P112" i="33"/>
  <c r="O110" i="33"/>
  <c r="O112" i="33" s="1"/>
  <c r="N110" i="33"/>
  <c r="N111" i="33" s="1"/>
  <c r="M110" i="33"/>
  <c r="M112" i="33" s="1"/>
  <c r="L110" i="33"/>
  <c r="L112" i="33" s="1"/>
  <c r="K110" i="33"/>
  <c r="K111" i="33" s="1"/>
  <c r="F110" i="33"/>
  <c r="F112" i="33" s="1"/>
  <c r="E110" i="33"/>
  <c r="E112" i="33" s="1"/>
  <c r="D110" i="33"/>
  <c r="D112" i="33" s="1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P36" i="39" s="1"/>
  <c r="O108" i="33"/>
  <c r="O36" i="39"/>
  <c r="N108" i="33"/>
  <c r="M108" i="33"/>
  <c r="M36" i="39" s="1"/>
  <c r="L108" i="33"/>
  <c r="L36" i="39" s="1"/>
  <c r="K108" i="33"/>
  <c r="J108" i="33"/>
  <c r="I108" i="33"/>
  <c r="I36" i="39" s="1"/>
  <c r="H108" i="33"/>
  <c r="G108" i="33"/>
  <c r="G36" i="39" s="1"/>
  <c r="F108" i="33"/>
  <c r="F36" i="39"/>
  <c r="E108" i="33"/>
  <c r="D108" i="33"/>
  <c r="D36" i="39" s="1"/>
  <c r="C108" i="33"/>
  <c r="C36" i="39" s="1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 s="1"/>
  <c r="O110" i="32"/>
  <c r="O112" i="32" s="1"/>
  <c r="N110" i="32"/>
  <c r="N111" i="32" s="1"/>
  <c r="M110" i="32"/>
  <c r="M112" i="32" s="1"/>
  <c r="L110" i="32"/>
  <c r="L111" i="32" s="1"/>
  <c r="K110" i="32"/>
  <c r="K112" i="32" s="1"/>
  <c r="G110" i="32"/>
  <c r="G111" i="32" s="1"/>
  <c r="F110" i="32"/>
  <c r="F112" i="32"/>
  <c r="E110" i="32"/>
  <c r="E111" i="32" s="1"/>
  <c r="D110" i="32"/>
  <c r="D112" i="32" s="1"/>
  <c r="C110" i="32"/>
  <c r="C111" i="32" s="1"/>
  <c r="B110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/>
  <c r="N108" i="32"/>
  <c r="N35" i="39" s="1"/>
  <c r="M108" i="32"/>
  <c r="M35" i="39" s="1"/>
  <c r="L108" i="32"/>
  <c r="K108" i="32"/>
  <c r="J108" i="32"/>
  <c r="J35" i="39" s="1"/>
  <c r="I108" i="32"/>
  <c r="I35" i="39" s="1"/>
  <c r="H108" i="32"/>
  <c r="G108" i="32"/>
  <c r="F108" i="32"/>
  <c r="F35" i="39" s="1"/>
  <c r="E108" i="32"/>
  <c r="E35" i="39" s="1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0" i="31"/>
  <c r="N112" i="31" s="1"/>
  <c r="M110" i="31"/>
  <c r="M111" i="31" s="1"/>
  <c r="L110" i="31"/>
  <c r="L112" i="31" s="1"/>
  <c r="K110" i="31"/>
  <c r="K111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L34" i="39" s="1"/>
  <c r="K108" i="31"/>
  <c r="J108" i="31"/>
  <c r="I108" i="31"/>
  <c r="H108" i="31"/>
  <c r="G108" i="3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1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G110" i="30"/>
  <c r="G112" i="30" s="1"/>
  <c r="F110" i="30"/>
  <c r="F112" i="30" s="1"/>
  <c r="E110" i="30"/>
  <c r="E111" i="30"/>
  <c r="D110" i="30"/>
  <c r="D112" i="30" s="1"/>
  <c r="C110" i="30"/>
  <c r="C111" i="30" s="1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/>
  <c r="N108" i="30"/>
  <c r="N33" i="39" s="1"/>
  <c r="M108" i="30"/>
  <c r="M33" i="39"/>
  <c r="L108" i="30"/>
  <c r="K108" i="30"/>
  <c r="K33" i="39" s="1"/>
  <c r="J108" i="30"/>
  <c r="I108" i="30"/>
  <c r="H108" i="30"/>
  <c r="G108" i="30"/>
  <c r="F108" i="30"/>
  <c r="E108" i="30"/>
  <c r="E33" i="39" s="1"/>
  <c r="D108" i="30"/>
  <c r="D33" i="39" s="1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0" i="29"/>
  <c r="N112" i="29" s="1"/>
  <c r="M110" i="29"/>
  <c r="M112" i="29"/>
  <c r="L110" i="29"/>
  <c r="L111" i="29" s="1"/>
  <c r="K110" i="29"/>
  <c r="K112" i="29" s="1"/>
  <c r="G110" i="29"/>
  <c r="G111" i="29"/>
  <c r="F110" i="29"/>
  <c r="F111" i="29" s="1"/>
  <c r="E110" i="29"/>
  <c r="E112" i="29" s="1"/>
  <c r="D110" i="29"/>
  <c r="D112" i="29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/>
  <c r="O108" i="29"/>
  <c r="N108" i="29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G108" i="29"/>
  <c r="F108" i="29"/>
  <c r="E108" i="29"/>
  <c r="D108" i="29"/>
  <c r="D32" i="39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P110" i="28"/>
  <c r="P111" i="28"/>
  <c r="O110" i="28"/>
  <c r="O112" i="28" s="1"/>
  <c r="N110" i="28"/>
  <c r="N112" i="28" s="1"/>
  <c r="M110" i="28"/>
  <c r="M112" i="28" s="1"/>
  <c r="L110" i="28"/>
  <c r="L112" i="28" s="1"/>
  <c r="K110" i="28"/>
  <c r="K111" i="28" s="1"/>
  <c r="G110" i="28"/>
  <c r="G112" i="28" s="1"/>
  <c r="F110" i="28"/>
  <c r="F111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P31" i="39" s="1"/>
  <c r="O108" i="28"/>
  <c r="O31" i="39" s="1"/>
  <c r="N108" i="28"/>
  <c r="M108" i="28"/>
  <c r="L108" i="28"/>
  <c r="L31" i="39" s="1"/>
  <c r="K108" i="28"/>
  <c r="K31" i="39"/>
  <c r="J108" i="28"/>
  <c r="I108" i="28"/>
  <c r="H108" i="28"/>
  <c r="H31" i="39"/>
  <c r="G108" i="28"/>
  <c r="F108" i="28"/>
  <c r="E108" i="28"/>
  <c r="E31" i="39" s="1"/>
  <c r="D108" i="28"/>
  <c r="D31" i="39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O112" i="27"/>
  <c r="M112" i="27"/>
  <c r="K112" i="27"/>
  <c r="J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/>
  <c r="N108" i="27"/>
  <c r="N30" i="39"/>
  <c r="M108" i="27"/>
  <c r="L108" i="27"/>
  <c r="K108" i="27"/>
  <c r="K30" i="39"/>
  <c r="J108" i="27"/>
  <c r="J30" i="39" s="1"/>
  <c r="I108" i="27"/>
  <c r="H108" i="27"/>
  <c r="H30" i="39" s="1"/>
  <c r="G108" i="27"/>
  <c r="G30" i="39" s="1"/>
  <c r="F108" i="27"/>
  <c r="E108" i="27"/>
  <c r="E30" i="39"/>
  <c r="D108" i="27"/>
  <c r="D30" i="39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/>
  <c r="P111" i="26"/>
  <c r="O111" i="26"/>
  <c r="M111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 s="1"/>
  <c r="O108" i="26"/>
  <c r="O29" i="39" s="1"/>
  <c r="N108" i="26"/>
  <c r="M108" i="26"/>
  <c r="L108" i="26"/>
  <c r="L29" i="39" s="1"/>
  <c r="K108" i="26"/>
  <c r="J108" i="26"/>
  <c r="J29" i="39" s="1"/>
  <c r="I108" i="26"/>
  <c r="H108" i="26"/>
  <c r="G108" i="26"/>
  <c r="F108" i="26"/>
  <c r="E108" i="26"/>
  <c r="E29" i="39" s="1"/>
  <c r="D108" i="26"/>
  <c r="D29" i="39" s="1"/>
  <c r="C108" i="26"/>
  <c r="C29" i="39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J28" i="39" s="1"/>
  <c r="I108" i="25"/>
  <c r="H108" i="25"/>
  <c r="G108" i="25"/>
  <c r="F108" i="25"/>
  <c r="F28" i="39" s="1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/>
  <c r="O110" i="24"/>
  <c r="O112" i="24" s="1"/>
  <c r="N110" i="24"/>
  <c r="N111" i="24" s="1"/>
  <c r="M110" i="24"/>
  <c r="M112" i="24" s="1"/>
  <c r="L110" i="24"/>
  <c r="L112" i="24" s="1"/>
  <c r="K110" i="24"/>
  <c r="K111" i="24" s="1"/>
  <c r="G110" i="24"/>
  <c r="G112" i="24" s="1"/>
  <c r="F110" i="24"/>
  <c r="F112" i="24" s="1"/>
  <c r="E110" i="24"/>
  <c r="E112" i="24" s="1"/>
  <c r="D110" i="24"/>
  <c r="D112" i="24" s="1"/>
  <c r="C110" i="24"/>
  <c r="C111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N108" i="24"/>
  <c r="N27" i="39" s="1"/>
  <c r="M108" i="24"/>
  <c r="L108" i="24"/>
  <c r="K108" i="24"/>
  <c r="K27" i="39" s="1"/>
  <c r="J108" i="24"/>
  <c r="J27" i="39" s="1"/>
  <c r="I108" i="24"/>
  <c r="H108" i="24"/>
  <c r="H27" i="39" s="1"/>
  <c r="G108" i="24"/>
  <c r="F108" i="24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/>
  <c r="O110" i="23"/>
  <c r="O112" i="23" s="1"/>
  <c r="N110" i="23"/>
  <c r="N111" i="23" s="1"/>
  <c r="M110" i="23"/>
  <c r="M112" i="23" s="1"/>
  <c r="L110" i="23"/>
  <c r="L112" i="23" s="1"/>
  <c r="K110" i="23"/>
  <c r="K112" i="23" s="1"/>
  <c r="H112" i="23"/>
  <c r="G110" i="23"/>
  <c r="G111" i="23" s="1"/>
  <c r="F110" i="23"/>
  <c r="F111" i="23" s="1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 s="1"/>
  <c r="M108" i="23"/>
  <c r="M26" i="39" s="1"/>
  <c r="L108" i="23"/>
  <c r="K108" i="23"/>
  <c r="K26" i="39" s="1"/>
  <c r="J108" i="23"/>
  <c r="J26" i="39" s="1"/>
  <c r="I108" i="23"/>
  <c r="H108" i="23"/>
  <c r="H26" i="39" s="1"/>
  <c r="G108" i="23"/>
  <c r="G26" i="39" s="1"/>
  <c r="F108" i="23"/>
  <c r="F26" i="39" s="1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 s="1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1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I25" i="39" s="1"/>
  <c r="H108" i="22"/>
  <c r="G108" i="22"/>
  <c r="G25" i="39" s="1"/>
  <c r="F108" i="22"/>
  <c r="F25" i="39" s="1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/>
  <c r="Q110" i="21"/>
  <c r="Q112" i="21" s="1"/>
  <c r="P110" i="21"/>
  <c r="P111" i="21" s="1"/>
  <c r="O110" i="21"/>
  <c r="O112" i="21" s="1"/>
  <c r="N110" i="21"/>
  <c r="N112" i="21" s="1"/>
  <c r="M110" i="21"/>
  <c r="M111" i="21" s="1"/>
  <c r="L110" i="21"/>
  <c r="L112" i="21" s="1"/>
  <c r="K110" i="21"/>
  <c r="K111" i="21" s="1"/>
  <c r="G110" i="21"/>
  <c r="G112" i="21" s="1"/>
  <c r="F110" i="21"/>
  <c r="F112" i="21"/>
  <c r="E110" i="21"/>
  <c r="E112" i="21"/>
  <c r="D110" i="21"/>
  <c r="D111" i="21"/>
  <c r="C110" i="21"/>
  <c r="C112" i="21" s="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G108" i="21"/>
  <c r="F108" i="21"/>
  <c r="F24" i="39" s="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/>
  <c r="N110" i="20"/>
  <c r="N111" i="20" s="1"/>
  <c r="M110" i="20"/>
  <c r="M112" i="20" s="1"/>
  <c r="L110" i="20"/>
  <c r="L112" i="20" s="1"/>
  <c r="K110" i="20"/>
  <c r="K112" i="20" s="1"/>
  <c r="G110" i="20"/>
  <c r="G112" i="20" s="1"/>
  <c r="F110" i="20"/>
  <c r="F112" i="20" s="1"/>
  <c r="E110" i="20"/>
  <c r="E111" i="20" s="1"/>
  <c r="D110" i="20"/>
  <c r="D112" i="20" s="1"/>
  <c r="C110" i="20"/>
  <c r="C112" i="20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/>
  <c r="I108" i="20"/>
  <c r="I23" i="39"/>
  <c r="H108" i="20"/>
  <c r="G108" i="20"/>
  <c r="F108" i="20"/>
  <c r="F23" i="39" s="1"/>
  <c r="E108" i="20"/>
  <c r="E23" i="39" s="1"/>
  <c r="D108" i="20"/>
  <c r="D23" i="39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 s="1"/>
  <c r="L110" i="19"/>
  <c r="L112" i="19" s="1"/>
  <c r="K110" i="19"/>
  <c r="K112" i="19" s="1"/>
  <c r="K111" i="19"/>
  <c r="G110" i="19"/>
  <c r="G112" i="19" s="1"/>
  <c r="F110" i="19"/>
  <c r="F112" i="19" s="1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M22" i="39" s="1"/>
  <c r="L108" i="19"/>
  <c r="L22" i="39" s="1"/>
  <c r="K108" i="19"/>
  <c r="K22" i="39" s="1"/>
  <c r="J108" i="19"/>
  <c r="I108" i="19"/>
  <c r="I22" i="39" s="1"/>
  <c r="H108" i="19"/>
  <c r="G108" i="19"/>
  <c r="F108" i="19"/>
  <c r="F22" i="39"/>
  <c r="E108" i="19"/>
  <c r="E22" i="39"/>
  <c r="D108" i="19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Q110" i="18"/>
  <c r="Q112" i="18" s="1"/>
  <c r="P110" i="18"/>
  <c r="P111" i="18" s="1"/>
  <c r="O110" i="18"/>
  <c r="O111" i="18" s="1"/>
  <c r="N110" i="18"/>
  <c r="N112" i="18" s="1"/>
  <c r="M110" i="18"/>
  <c r="M111" i="18" s="1"/>
  <c r="L110" i="18"/>
  <c r="L112" i="18" s="1"/>
  <c r="K110" i="18"/>
  <c r="K112" i="18" s="1"/>
  <c r="J111" i="18"/>
  <c r="I112" i="18"/>
  <c r="H111" i="18"/>
  <c r="G110" i="18"/>
  <c r="G111" i="18" s="1"/>
  <c r="F110" i="18"/>
  <c r="F112" i="18" s="1"/>
  <c r="E110" i="18"/>
  <c r="E112" i="18" s="1"/>
  <c r="D110" i="18"/>
  <c r="D112" i="18" s="1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M21" i="39" s="1"/>
  <c r="L108" i="18"/>
  <c r="L21" i="39"/>
  <c r="K108" i="18"/>
  <c r="J108" i="18"/>
  <c r="I108" i="18"/>
  <c r="I21" i="39"/>
  <c r="H108" i="18"/>
  <c r="H21" i="39"/>
  <c r="G108" i="18"/>
  <c r="F108" i="18"/>
  <c r="E108" i="18"/>
  <c r="E21" i="39" s="1"/>
  <c r="D108" i="18"/>
  <c r="D21" i="39" s="1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P110" i="17"/>
  <c r="P111" i="17" s="1"/>
  <c r="O110" i="17"/>
  <c r="O112" i="17" s="1"/>
  <c r="N110" i="17"/>
  <c r="N111" i="17" s="1"/>
  <c r="M110" i="17"/>
  <c r="M112" i="17" s="1"/>
  <c r="L110" i="17"/>
  <c r="L111" i="17" s="1"/>
  <c r="K110" i="17"/>
  <c r="K111" i="17" s="1"/>
  <c r="G110" i="17"/>
  <c r="G112" i="17" s="1"/>
  <c r="F110" i="17"/>
  <c r="F111" i="17" s="1"/>
  <c r="E110" i="17"/>
  <c r="E112" i="17" s="1"/>
  <c r="D110" i="17"/>
  <c r="D111" i="17"/>
  <c r="C110" i="17"/>
  <c r="C111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 s="1"/>
  <c r="N108" i="17"/>
  <c r="N20" i="39" s="1"/>
  <c r="M108" i="17"/>
  <c r="L108" i="17"/>
  <c r="L20" i="39" s="1"/>
  <c r="K108" i="17"/>
  <c r="K20" i="39" s="1"/>
  <c r="J108" i="17"/>
  <c r="J20" i="39" s="1"/>
  <c r="I108" i="17"/>
  <c r="I20" i="39" s="1"/>
  <c r="H108" i="17"/>
  <c r="H20" i="39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G110" i="16"/>
  <c r="G111" i="16" s="1"/>
  <c r="F110" i="16"/>
  <c r="F112" i="16" s="1"/>
  <c r="E110" i="16"/>
  <c r="E112" i="16" s="1"/>
  <c r="D110" i="16"/>
  <c r="D112" i="16" s="1"/>
  <c r="C110" i="16"/>
  <c r="C112" i="16" s="1"/>
  <c r="B110" i="16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M108" i="16"/>
  <c r="M19" i="39" s="1"/>
  <c r="L108" i="16"/>
  <c r="K108" i="16"/>
  <c r="J108" i="16"/>
  <c r="J19" i="39" s="1"/>
  <c r="I108" i="16"/>
  <c r="I19" i="39" s="1"/>
  <c r="H108" i="16"/>
  <c r="H19" i="39" s="1"/>
  <c r="G108" i="16"/>
  <c r="F108" i="16"/>
  <c r="E108" i="16"/>
  <c r="E19" i="39" s="1"/>
  <c r="D108" i="16"/>
  <c r="D19" i="39" s="1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 s="1"/>
  <c r="O110" i="15"/>
  <c r="O112" i="15" s="1"/>
  <c r="N110" i="15"/>
  <c r="N111" i="15" s="1"/>
  <c r="M110" i="15"/>
  <c r="M112" i="15"/>
  <c r="L110" i="15"/>
  <c r="L111" i="15" s="1"/>
  <c r="K110" i="15"/>
  <c r="K112" i="15" s="1"/>
  <c r="G110" i="15"/>
  <c r="G111" i="15" s="1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/>
  <c r="P108" i="15"/>
  <c r="P18" i="39"/>
  <c r="O108" i="15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G108" i="15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1" i="14" s="1"/>
  <c r="N110" i="14"/>
  <c r="N112" i="14" s="1"/>
  <c r="M110" i="14"/>
  <c r="M112" i="14" s="1"/>
  <c r="L110" i="14"/>
  <c r="L112" i="14" s="1"/>
  <c r="K110" i="14"/>
  <c r="K111" i="14" s="1"/>
  <c r="G110" i="14"/>
  <c r="G112" i="14" s="1"/>
  <c r="F110" i="14"/>
  <c r="F111" i="14" s="1"/>
  <c r="E110" i="14"/>
  <c r="E112" i="14" s="1"/>
  <c r="D110" i="14"/>
  <c r="D112" i="14" s="1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K108" i="14"/>
  <c r="K17" i="39" s="1"/>
  <c r="J108" i="14"/>
  <c r="J17" i="39" s="1"/>
  <c r="I108" i="14"/>
  <c r="I17" i="39" s="1"/>
  <c r="H108" i="14"/>
  <c r="G108" i="14"/>
  <c r="G17" i="39" s="1"/>
  <c r="F108" i="14"/>
  <c r="F17" i="39" s="1"/>
  <c r="E108" i="14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2" i="13"/>
  <c r="O110" i="13"/>
  <c r="O111" i="13" s="1"/>
  <c r="N110" i="13"/>
  <c r="N112" i="13" s="1"/>
  <c r="M110" i="13"/>
  <c r="M111" i="13" s="1"/>
  <c r="L110" i="13"/>
  <c r="L112" i="13" s="1"/>
  <c r="K110" i="13"/>
  <c r="K112" i="13" s="1"/>
  <c r="G110" i="13"/>
  <c r="G111" i="13" s="1"/>
  <c r="F110" i="13"/>
  <c r="F112" i="13" s="1"/>
  <c r="E110" i="13"/>
  <c r="E112" i="13" s="1"/>
  <c r="D110" i="13"/>
  <c r="D111" i="13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 s="1"/>
  <c r="P108" i="13"/>
  <c r="O108" i="13"/>
  <c r="O16" i="39" s="1"/>
  <c r="N108" i="13"/>
  <c r="N16" i="39" s="1"/>
  <c r="M108" i="13"/>
  <c r="L108" i="13"/>
  <c r="K108" i="13"/>
  <c r="J108" i="13"/>
  <c r="J16" i="39" s="1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1" i="12" s="1"/>
  <c r="N110" i="12"/>
  <c r="N112" i="12" s="1"/>
  <c r="M110" i="12"/>
  <c r="M111" i="12" s="1"/>
  <c r="L110" i="12"/>
  <c r="L112" i="12" s="1"/>
  <c r="K110" i="12"/>
  <c r="K111" i="12" s="1"/>
  <c r="G110" i="12"/>
  <c r="G111" i="12" s="1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M15" i="39"/>
  <c r="L108" i="12"/>
  <c r="L15" i="39" s="1"/>
  <c r="K108" i="12"/>
  <c r="K15" i="39" s="1"/>
  <c r="J108" i="12"/>
  <c r="I108" i="12"/>
  <c r="I15" i="39" s="1"/>
  <c r="H108" i="12"/>
  <c r="G108" i="12"/>
  <c r="G15" i="39" s="1"/>
  <c r="F108" i="12"/>
  <c r="E108" i="12"/>
  <c r="E15" i="39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F110" i="11"/>
  <c r="F111" i="11" s="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K108" i="11"/>
  <c r="K14" i="39" s="1"/>
  <c r="J108" i="11"/>
  <c r="J14" i="39" s="1"/>
  <c r="I108" i="11"/>
  <c r="H108" i="11"/>
  <c r="G108" i="11"/>
  <c r="G14" i="39" s="1"/>
  <c r="F108" i="11"/>
  <c r="F14" i="39" s="1"/>
  <c r="E108" i="11"/>
  <c r="D108" i="1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 s="1"/>
  <c r="G110" i="10"/>
  <c r="G112" i="10" s="1"/>
  <c r="F110" i="10"/>
  <c r="F111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I13" i="39" s="1"/>
  <c r="H108" i="10"/>
  <c r="H13" i="39"/>
  <c r="G108" i="10"/>
  <c r="G13" i="39" s="1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G110" i="9"/>
  <c r="G112" i="9" s="1"/>
  <c r="F110" i="9"/>
  <c r="F111" i="9" s="1"/>
  <c r="E110" i="9"/>
  <c r="E112" i="9" s="1"/>
  <c r="D110" i="9"/>
  <c r="D111" i="9" s="1"/>
  <c r="C110" i="9"/>
  <c r="C112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O12" i="39" s="1"/>
  <c r="N108" i="9"/>
  <c r="N12" i="39" s="1"/>
  <c r="M108" i="9"/>
  <c r="M12" i="39" s="1"/>
  <c r="L108" i="9"/>
  <c r="K108" i="9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I27" i="39"/>
  <c r="F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H112" i="2"/>
  <c r="N21" i="39"/>
  <c r="L35" i="39"/>
  <c r="K35" i="39"/>
  <c r="H35" i="39"/>
  <c r="D35" i="39"/>
  <c r="B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O112" i="2"/>
  <c r="Q112" i="2"/>
  <c r="T40" i="6"/>
  <c r="T21" i="6"/>
  <c r="K88" i="6"/>
  <c r="J88" i="6"/>
  <c r="K115" i="6"/>
  <c r="J115" i="6"/>
  <c r="I115" i="6"/>
  <c r="L12" i="39"/>
  <c r="J9" i="6"/>
  <c r="K9" i="6"/>
  <c r="J10" i="6"/>
  <c r="K10" i="6"/>
  <c r="J11" i="6"/>
  <c r="K11" i="6"/>
  <c r="J12" i="6"/>
  <c r="K12" i="6"/>
  <c r="J13" i="6"/>
  <c r="K13" i="6"/>
  <c r="J14" i="6"/>
  <c r="K14" i="6"/>
  <c r="P38" i="39"/>
  <c r="M38" i="39"/>
  <c r="L38" i="39"/>
  <c r="J38" i="39"/>
  <c r="H38" i="39"/>
  <c r="G38" i="39"/>
  <c r="F38" i="39"/>
  <c r="E38" i="39"/>
  <c r="D38" i="39"/>
  <c r="O37" i="39"/>
  <c r="N37" i="39"/>
  <c r="M37" i="39"/>
  <c r="L37" i="39"/>
  <c r="C37" i="39"/>
  <c r="B37" i="39"/>
  <c r="A37" i="39"/>
  <c r="A26" i="39"/>
  <c r="C26" i="39"/>
  <c r="D26" i="39"/>
  <c r="I26" i="39"/>
  <c r="L26" i="39"/>
  <c r="O25" i="39"/>
  <c r="N25" i="39"/>
  <c r="L25" i="39"/>
  <c r="K25" i="39"/>
  <c r="J25" i="39"/>
  <c r="H25" i="39"/>
  <c r="E25" i="39"/>
  <c r="D25" i="39"/>
  <c r="C25" i="39"/>
  <c r="Q24" i="39"/>
  <c r="G24" i="39"/>
  <c r="E24" i="39"/>
  <c r="A24" i="39"/>
  <c r="Q23" i="39"/>
  <c r="M23" i="39"/>
  <c r="L23" i="39"/>
  <c r="K23" i="39"/>
  <c r="H23" i="39"/>
  <c r="B23" i="39"/>
  <c r="Q22" i="39"/>
  <c r="N22" i="39"/>
  <c r="G22" i="39"/>
  <c r="C22" i="39"/>
  <c r="Q21" i="39"/>
  <c r="P21" i="39"/>
  <c r="K21" i="39"/>
  <c r="J21" i="39"/>
  <c r="G21" i="39"/>
  <c r="F21" i="39"/>
  <c r="C21" i="39"/>
  <c r="B21" i="39"/>
  <c r="M20" i="39"/>
  <c r="E20" i="39"/>
  <c r="A20" i="39"/>
  <c r="L19" i="39"/>
  <c r="K19" i="39"/>
  <c r="G19" i="39"/>
  <c r="B19" i="39"/>
  <c r="L18" i="39"/>
  <c r="I18" i="39"/>
  <c r="H18" i="39"/>
  <c r="G18" i="39"/>
  <c r="E18" i="39"/>
  <c r="D18" i="39"/>
  <c r="P17" i="39"/>
  <c r="M17" i="39"/>
  <c r="L17" i="39"/>
  <c r="A17" i="39"/>
  <c r="P16" i="39"/>
  <c r="L16" i="39"/>
  <c r="I16" i="39"/>
  <c r="F16" i="39"/>
  <c r="E16" i="39"/>
  <c r="D16" i="39"/>
  <c r="C16" i="39"/>
  <c r="B16" i="39"/>
  <c r="N15" i="39"/>
  <c r="H15" i="39"/>
  <c r="F15" i="39"/>
  <c r="C15" i="39"/>
  <c r="L14" i="39"/>
  <c r="I14" i="39"/>
  <c r="H14" i="39"/>
  <c r="E14" i="39"/>
  <c r="D14" i="39"/>
  <c r="P13" i="39"/>
  <c r="D13" i="39"/>
  <c r="K12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 s="1"/>
  <c r="K108" i="2"/>
  <c r="K9" i="39" s="1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N36" i="39"/>
  <c r="K36" i="39"/>
  <c r="H36" i="39"/>
  <c r="E36" i="39"/>
  <c r="A36" i="39"/>
  <c r="P35" i="39"/>
  <c r="G35" i="39"/>
  <c r="C35" i="39"/>
  <c r="M34" i="39"/>
  <c r="K34" i="39"/>
  <c r="J34" i="39"/>
  <c r="I34" i="39"/>
  <c r="H34" i="39"/>
  <c r="F34" i="39"/>
  <c r="L33" i="39"/>
  <c r="J33" i="39"/>
  <c r="I33" i="39"/>
  <c r="H33" i="39"/>
  <c r="F33" i="39"/>
  <c r="B33" i="39"/>
  <c r="Q32" i="39"/>
  <c r="O32" i="39"/>
  <c r="N32" i="39"/>
  <c r="G32" i="39"/>
  <c r="F32" i="39"/>
  <c r="E32" i="39"/>
  <c r="B32" i="39"/>
  <c r="Q31" i="39"/>
  <c r="M31" i="39"/>
  <c r="J31" i="39"/>
  <c r="I31" i="39"/>
  <c r="F31" i="39"/>
  <c r="P30" i="39"/>
  <c r="M30" i="39"/>
  <c r="L30" i="39"/>
  <c r="I30" i="39"/>
  <c r="F30" i="39"/>
  <c r="C30" i="39"/>
  <c r="B30" i="39"/>
  <c r="Q29" i="39"/>
  <c r="M29" i="39"/>
  <c r="K29" i="39"/>
  <c r="I29" i="39"/>
  <c r="H29" i="39"/>
  <c r="G29" i="39"/>
  <c r="F29" i="39"/>
  <c r="P28" i="39"/>
  <c r="N28" i="39"/>
  <c r="M28" i="39"/>
  <c r="L28" i="39"/>
  <c r="K28" i="39"/>
  <c r="I28" i="39"/>
  <c r="H28" i="39"/>
  <c r="G28" i="39"/>
  <c r="B28" i="39"/>
  <c r="O27" i="39"/>
  <c r="M27" i="39"/>
  <c r="L27" i="39"/>
  <c r="G27" i="39"/>
  <c r="B27" i="39"/>
  <c r="O26" i="39"/>
  <c r="P24" i="39"/>
  <c r="H24" i="39"/>
  <c r="N23" i="39"/>
  <c r="C23" i="39"/>
  <c r="O22" i="39"/>
  <c r="D22" i="39"/>
  <c r="P20" i="39"/>
  <c r="D20" i="39"/>
  <c r="F18" i="39"/>
  <c r="E17" i="39"/>
  <c r="M16" i="39"/>
  <c r="K16" i="39"/>
  <c r="J15" i="39"/>
  <c r="Q12" i="39"/>
  <c r="B12" i="39"/>
  <c r="N11" i="39"/>
  <c r="E34" i="39"/>
  <c r="E26" i="39"/>
  <c r="P23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B36" i="39"/>
  <c r="G34" i="39"/>
  <c r="H32" i="39"/>
  <c r="N29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J22" i="39"/>
  <c r="N19" i="39"/>
  <c r="F19" i="39"/>
  <c r="O18" i="39"/>
  <c r="H17" i="39"/>
  <c r="B17" i="39"/>
  <c r="K28" i="6"/>
  <c r="J28" i="6"/>
  <c r="J13" i="39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44" i="5" s="1"/>
  <c r="D15" i="5"/>
  <c r="D16" i="5"/>
  <c r="D17" i="5"/>
  <c r="D18" i="5"/>
  <c r="D19" i="5"/>
  <c r="H111" i="2"/>
  <c r="H22" i="39"/>
  <c r="O111" i="41"/>
  <c r="M111" i="41"/>
  <c r="K111" i="41"/>
  <c r="G111" i="41"/>
  <c r="F111" i="41"/>
  <c r="D111" i="41"/>
  <c r="C111" i="41"/>
  <c r="B111" i="41"/>
  <c r="Q111" i="40"/>
  <c r="O111" i="40"/>
  <c r="M111" i="40"/>
  <c r="K111" i="40"/>
  <c r="G111" i="40"/>
  <c r="B111" i="40"/>
  <c r="O111" i="33"/>
  <c r="M111" i="33"/>
  <c r="L111" i="33"/>
  <c r="F111" i="33"/>
  <c r="D111" i="33"/>
  <c r="C111" i="33"/>
  <c r="Q111" i="32"/>
  <c r="O111" i="32"/>
  <c r="M111" i="32"/>
  <c r="K111" i="32"/>
  <c r="F111" i="32"/>
  <c r="D111" i="32"/>
  <c r="L111" i="31"/>
  <c r="F111" i="31"/>
  <c r="E111" i="31"/>
  <c r="D111" i="31"/>
  <c r="C111" i="31"/>
  <c r="B111" i="31"/>
  <c r="O111" i="30"/>
  <c r="N111" i="30"/>
  <c r="M111" i="30"/>
  <c r="L111" i="30"/>
  <c r="D111" i="30"/>
  <c r="B111" i="30"/>
  <c r="P111" i="29"/>
  <c r="N111" i="29"/>
  <c r="M111" i="29"/>
  <c r="D111" i="29"/>
  <c r="C111" i="29"/>
  <c r="B111" i="29"/>
  <c r="N111" i="28"/>
  <c r="M111" i="28"/>
  <c r="L111" i="28"/>
  <c r="G111" i="28"/>
  <c r="E111" i="28"/>
  <c r="D111" i="28"/>
  <c r="C111" i="28"/>
  <c r="P111" i="27"/>
  <c r="N111" i="27"/>
  <c r="M111" i="27"/>
  <c r="E111" i="27"/>
  <c r="B111" i="27"/>
  <c r="L111" i="26"/>
  <c r="K111" i="26"/>
  <c r="P111" i="24"/>
  <c r="O111" i="24"/>
  <c r="M111" i="24"/>
  <c r="L111" i="24"/>
  <c r="Q111" i="24"/>
  <c r="F111" i="24"/>
  <c r="E111" i="24"/>
  <c r="B111" i="24"/>
  <c r="P111" i="23"/>
  <c r="M111" i="23"/>
  <c r="K111" i="23"/>
  <c r="H111" i="23"/>
  <c r="E111" i="23"/>
  <c r="D111" i="23"/>
  <c r="B111" i="23"/>
  <c r="P111" i="22"/>
  <c r="M111" i="22"/>
  <c r="E111" i="22"/>
  <c r="D111" i="22"/>
  <c r="C111" i="22"/>
  <c r="Q111" i="21"/>
  <c r="N111" i="21"/>
  <c r="L111" i="21"/>
  <c r="G111" i="21"/>
  <c r="E111" i="21"/>
  <c r="C111" i="21"/>
  <c r="O111" i="20"/>
  <c r="Q112" i="20"/>
  <c r="M111" i="20"/>
  <c r="L111" i="20"/>
  <c r="K111" i="20"/>
  <c r="G111" i="20"/>
  <c r="F111" i="20"/>
  <c r="D111" i="20"/>
  <c r="P111" i="19"/>
  <c r="N111" i="19"/>
  <c r="L111" i="19"/>
  <c r="H111" i="19"/>
  <c r="G111" i="19"/>
  <c r="F111" i="19"/>
  <c r="B111" i="19"/>
  <c r="N111" i="18"/>
  <c r="L111" i="18"/>
  <c r="I111" i="18"/>
  <c r="F111" i="18"/>
  <c r="E111" i="18"/>
  <c r="D111" i="18"/>
  <c r="O111" i="17"/>
  <c r="B111" i="17"/>
  <c r="N111" i="16"/>
  <c r="L111" i="16"/>
  <c r="F111" i="16"/>
  <c r="E111" i="16"/>
  <c r="D111" i="16"/>
  <c r="P111" i="15"/>
  <c r="O111" i="15"/>
  <c r="M111" i="15"/>
  <c r="K111" i="15"/>
  <c r="J111" i="15"/>
  <c r="E111" i="15"/>
  <c r="D111" i="15"/>
  <c r="B111" i="15"/>
  <c r="P111" i="14"/>
  <c r="N111" i="14"/>
  <c r="M111" i="14"/>
  <c r="L111" i="14"/>
  <c r="G111" i="14"/>
  <c r="E111" i="14"/>
  <c r="C111" i="14"/>
  <c r="Q111" i="13"/>
  <c r="N111" i="13"/>
  <c r="L111" i="13"/>
  <c r="K111" i="13"/>
  <c r="F111" i="13"/>
  <c r="C111" i="13"/>
  <c r="Q111" i="12"/>
  <c r="N111" i="12"/>
  <c r="L111" i="12"/>
  <c r="E111" i="12"/>
  <c r="C111" i="12"/>
  <c r="B111" i="12"/>
  <c r="O111" i="11"/>
  <c r="N111" i="11"/>
  <c r="M111" i="11"/>
  <c r="L111" i="11"/>
  <c r="K111" i="11"/>
  <c r="E111" i="11"/>
  <c r="P111" i="10"/>
  <c r="N111" i="10"/>
  <c r="K111" i="10"/>
  <c r="G111" i="10"/>
  <c r="P111" i="9"/>
  <c r="N111" i="9"/>
  <c r="M111" i="9"/>
  <c r="K111" i="9"/>
  <c r="E111" i="9"/>
  <c r="C111" i="9"/>
  <c r="M111" i="8"/>
  <c r="E111" i="8"/>
  <c r="D111" i="8"/>
  <c r="C111" i="8"/>
  <c r="Q111" i="3"/>
  <c r="P111" i="3"/>
  <c r="O111" i="3"/>
  <c r="H111" i="3"/>
  <c r="C112" i="30"/>
  <c r="C112" i="17"/>
  <c r="D112" i="3"/>
  <c r="M111" i="2"/>
  <c r="K112" i="2"/>
  <c r="G111" i="2"/>
  <c r="L112" i="10"/>
  <c r="M112" i="10"/>
  <c r="E111" i="10"/>
  <c r="L111" i="9"/>
  <c r="G111" i="9"/>
  <c r="E112" i="2"/>
  <c r="C112" i="2"/>
  <c r="N111" i="2"/>
  <c r="B111" i="3"/>
  <c r="N112" i="3"/>
  <c r="I112" i="2"/>
  <c r="L111" i="2"/>
  <c r="I111" i="3"/>
  <c r="F112" i="3"/>
  <c r="M111" i="3"/>
  <c r="E112" i="3"/>
  <c r="J111" i="10"/>
  <c r="I112" i="9"/>
  <c r="H112" i="9"/>
  <c r="J112" i="8"/>
  <c r="P111" i="8"/>
  <c r="L111" i="8"/>
  <c r="B111" i="8"/>
  <c r="I112" i="8"/>
  <c r="H112" i="8"/>
  <c r="G112" i="8"/>
  <c r="F112" i="8"/>
  <c r="N111" i="8"/>
  <c r="J111" i="13"/>
  <c r="I112" i="13"/>
  <c r="F112" i="12"/>
  <c r="H112" i="12"/>
  <c r="O112" i="12"/>
  <c r="J112" i="11"/>
  <c r="Q112" i="11"/>
  <c r="P111" i="11"/>
  <c r="H112" i="11"/>
  <c r="G111" i="11"/>
  <c r="I112" i="11"/>
  <c r="D111" i="11"/>
  <c r="C111" i="11"/>
  <c r="C111" i="16"/>
  <c r="I112" i="16"/>
  <c r="P111" i="16"/>
  <c r="Q112" i="16"/>
  <c r="Q112" i="15"/>
  <c r="B112" i="14"/>
  <c r="J112" i="14"/>
  <c r="Q111" i="17"/>
  <c r="B112" i="18"/>
  <c r="J112" i="18"/>
  <c r="J111" i="17"/>
  <c r="I112" i="17"/>
  <c r="N112" i="17"/>
  <c r="L112" i="17"/>
  <c r="M111" i="17"/>
  <c r="K112" i="17"/>
  <c r="F112" i="17"/>
  <c r="D112" i="17"/>
  <c r="Q111" i="19"/>
  <c r="J112" i="19"/>
  <c r="E112" i="19"/>
  <c r="M112" i="19"/>
  <c r="C112" i="19"/>
  <c r="P112" i="25"/>
  <c r="N112" i="25"/>
  <c r="J111" i="25"/>
  <c r="H112" i="25"/>
  <c r="F111" i="25"/>
  <c r="B111" i="25"/>
  <c r="Q112" i="25"/>
  <c r="D111" i="25"/>
  <c r="K112" i="25"/>
  <c r="I112" i="25"/>
  <c r="I111" i="24"/>
  <c r="J111" i="23"/>
  <c r="Q111" i="23"/>
  <c r="O111" i="23"/>
  <c r="G112" i="23"/>
  <c r="J111" i="22"/>
  <c r="H111" i="22"/>
  <c r="Q112" i="22"/>
  <c r="O112" i="22"/>
  <c r="J112" i="21"/>
  <c r="H112" i="21"/>
  <c r="P112" i="21"/>
  <c r="D112" i="27"/>
  <c r="C112" i="27"/>
  <c r="Q111" i="27"/>
  <c r="Q112" i="26"/>
  <c r="G111" i="26"/>
  <c r="O111" i="27"/>
  <c r="K111" i="27"/>
  <c r="J111" i="27"/>
  <c r="I111" i="32"/>
  <c r="B112" i="32"/>
  <c r="J112" i="32"/>
  <c r="H112" i="32"/>
  <c r="I112" i="31"/>
  <c r="Q112" i="31"/>
  <c r="G111" i="31"/>
  <c r="P111" i="31"/>
  <c r="H111" i="30"/>
  <c r="I111" i="30"/>
  <c r="J111" i="29"/>
  <c r="I111" i="29"/>
  <c r="H111" i="29"/>
  <c r="O111" i="29"/>
  <c r="G112" i="29"/>
  <c r="I111" i="28"/>
  <c r="B111" i="28"/>
  <c r="J112" i="40"/>
  <c r="H112" i="40"/>
  <c r="I112" i="40"/>
  <c r="D111" i="40"/>
  <c r="G111" i="33"/>
  <c r="J111" i="33"/>
  <c r="J111" i="41"/>
  <c r="H111" i="41"/>
  <c r="Q112" i="41"/>
  <c r="P111" i="2"/>
  <c r="B111" i="2"/>
  <c r="J112" i="3"/>
  <c r="L112" i="3"/>
  <c r="C112" i="3"/>
  <c r="K112" i="8"/>
  <c r="Q112" i="8"/>
  <c r="F112" i="9"/>
  <c r="Q112" i="9"/>
  <c r="D112" i="9"/>
  <c r="D111" i="10"/>
  <c r="O112" i="10"/>
  <c r="H111" i="10"/>
  <c r="B112" i="11"/>
  <c r="M112" i="12"/>
  <c r="D112" i="13"/>
  <c r="O112" i="13"/>
  <c r="B112" i="13"/>
  <c r="M112" i="13"/>
  <c r="D111" i="14"/>
  <c r="O112" i="14"/>
  <c r="L112" i="15"/>
  <c r="G112" i="15"/>
  <c r="H112" i="15"/>
  <c r="H112" i="16"/>
  <c r="B111" i="16"/>
  <c r="M111" i="16"/>
  <c r="K111" i="16"/>
  <c r="M112" i="18"/>
  <c r="C112" i="18"/>
  <c r="K111" i="18"/>
  <c r="C111" i="20"/>
  <c r="H111" i="20"/>
  <c r="F111" i="21"/>
  <c r="D112" i="21"/>
  <c r="I112" i="21"/>
  <c r="L112" i="22"/>
  <c r="F112" i="22"/>
  <c r="G112" i="22"/>
  <c r="F112" i="23"/>
  <c r="G111" i="24"/>
  <c r="O112" i="26"/>
  <c r="F111" i="27"/>
  <c r="P112" i="28"/>
  <c r="Q112" i="29"/>
  <c r="K111" i="30"/>
  <c r="M112" i="31"/>
  <c r="H111" i="31"/>
  <c r="K112" i="31"/>
  <c r="J112" i="31"/>
  <c r="P111" i="32"/>
  <c r="C112" i="32"/>
  <c r="N112" i="32"/>
  <c r="K112" i="33"/>
  <c r="L111" i="40"/>
  <c r="C111" i="26"/>
  <c r="D111" i="26"/>
  <c r="B111" i="26"/>
  <c r="J112" i="26"/>
  <c r="I111" i="26"/>
  <c r="E111" i="26"/>
  <c r="C112" i="25"/>
  <c r="Q111" i="14"/>
  <c r="I112" i="14"/>
  <c r="B112" i="9"/>
  <c r="Q112" i="10"/>
  <c r="F112" i="11"/>
  <c r="K112" i="14"/>
  <c r="P112" i="17"/>
  <c r="C112" i="24"/>
  <c r="L112" i="29"/>
  <c r="C112" i="40"/>
  <c r="K111" i="3"/>
  <c r="F112" i="2"/>
  <c r="J112" i="16"/>
  <c r="I111" i="19"/>
  <c r="G111" i="27"/>
  <c r="G112" i="13"/>
  <c r="B112" i="21"/>
  <c r="B112" i="22"/>
  <c r="N112" i="22"/>
  <c r="N112" i="23"/>
  <c r="K112" i="28"/>
  <c r="G111" i="30"/>
  <c r="L112" i="32"/>
  <c r="B112" i="33"/>
  <c r="N112" i="33"/>
  <c r="N112" i="41"/>
  <c r="I112" i="10"/>
  <c r="J111" i="12"/>
  <c r="H111" i="14"/>
  <c r="H111" i="24"/>
  <c r="G111" i="25"/>
  <c r="O111" i="25"/>
  <c r="H111" i="26"/>
  <c r="J112" i="28"/>
  <c r="F112" i="10"/>
  <c r="G112" i="12"/>
  <c r="G112" i="16"/>
  <c r="O112" i="18"/>
  <c r="N112" i="24"/>
  <c r="F111" i="15"/>
  <c r="E111" i="17"/>
  <c r="G112" i="18"/>
  <c r="N112" i="40"/>
  <c r="J112" i="2"/>
  <c r="H112" i="28"/>
  <c r="E111" i="13"/>
  <c r="L111" i="27"/>
  <c r="P111" i="13"/>
  <c r="K112" i="21"/>
  <c r="F112" i="28"/>
  <c r="Q112" i="28"/>
  <c r="E112" i="30"/>
  <c r="P112" i="30"/>
  <c r="G112" i="32"/>
  <c r="O112" i="8"/>
  <c r="J112" i="9"/>
  <c r="I111" i="12"/>
  <c r="I111" i="23"/>
  <c r="E111" i="25"/>
  <c r="M112" i="25"/>
  <c r="F112" i="26"/>
  <c r="J112" i="30"/>
  <c r="L112" i="41" l="1"/>
  <c r="F111" i="40"/>
  <c r="H112" i="33"/>
  <c r="E112" i="32"/>
  <c r="N111" i="31"/>
  <c r="O111" i="31"/>
  <c r="E111" i="29"/>
  <c r="F112" i="29"/>
  <c r="O111" i="28"/>
  <c r="N112" i="26"/>
  <c r="J112" i="24"/>
  <c r="D111" i="24"/>
  <c r="C111" i="23"/>
  <c r="K111" i="22"/>
  <c r="O111" i="21"/>
  <c r="N112" i="20"/>
  <c r="I112" i="20"/>
  <c r="B111" i="20"/>
  <c r="Q111" i="18"/>
  <c r="O111" i="16"/>
  <c r="I112" i="15"/>
  <c r="F112" i="14"/>
  <c r="H111" i="13"/>
  <c r="K112" i="12"/>
  <c r="B111" i="10"/>
  <c r="C111" i="10"/>
  <c r="O111" i="9"/>
  <c r="G111" i="3"/>
  <c r="K43" i="39"/>
  <c r="K40" i="39"/>
  <c r="K41" i="39"/>
  <c r="K42" i="39"/>
  <c r="J41" i="39"/>
  <c r="J42" i="39"/>
  <c r="D111" i="2"/>
  <c r="K46" i="39"/>
  <c r="E43" i="39"/>
  <c r="E40" i="39"/>
  <c r="E42" i="39"/>
  <c r="E41" i="39"/>
  <c r="N43" i="39"/>
  <c r="N42" i="39"/>
  <c r="N40" i="39"/>
  <c r="N41" i="39"/>
  <c r="D42" i="39"/>
  <c r="D41" i="39"/>
  <c r="D40" i="39"/>
  <c r="D43" i="39"/>
  <c r="C41" i="39"/>
  <c r="C43" i="39"/>
  <c r="C40" i="39"/>
  <c r="C42" i="39"/>
  <c r="B41" i="39"/>
  <c r="B40" i="39"/>
  <c r="B42" i="39"/>
  <c r="B43" i="39"/>
  <c r="F43" i="39"/>
  <c r="F41" i="39"/>
  <c r="F40" i="39"/>
  <c r="F42" i="39"/>
  <c r="Q42" i="39"/>
  <c r="Q40" i="39"/>
  <c r="Q41" i="39"/>
  <c r="Q43" i="39"/>
  <c r="M42" i="39"/>
  <c r="M43" i="39"/>
  <c r="M40" i="39"/>
  <c r="M41" i="39"/>
  <c r="L41" i="39"/>
  <c r="L42" i="39"/>
  <c r="L43" i="39"/>
  <c r="L40" i="39"/>
  <c r="O41" i="39"/>
  <c r="O40" i="39"/>
  <c r="O43" i="39"/>
  <c r="O42" i="39"/>
  <c r="I42" i="39"/>
  <c r="I43" i="39"/>
  <c r="I41" i="39"/>
  <c r="H41" i="39"/>
  <c r="H43" i="39"/>
  <c r="H42" i="39"/>
  <c r="H40" i="39"/>
  <c r="G40" i="39"/>
  <c r="G42" i="39"/>
  <c r="G41" i="39"/>
  <c r="G43" i="39"/>
  <c r="P43" i="39"/>
  <c r="P42" i="39"/>
  <c r="P41" i="39"/>
  <c r="P40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3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0" i="39"/>
  <c r="K45" i="39" l="1"/>
  <c r="D46" i="39"/>
  <c r="D45" i="39"/>
  <c r="L46" i="39"/>
  <c r="L45" i="39"/>
  <c r="H45" i="39"/>
  <c r="H46" i="39"/>
  <c r="I46" i="39"/>
  <c r="I45" i="39"/>
  <c r="B46" i="39"/>
  <c r="B45" i="39"/>
  <c r="N45" i="39"/>
  <c r="N46" i="39"/>
  <c r="F46" i="39"/>
  <c r="F45" i="39"/>
  <c r="J45" i="39"/>
  <c r="J46" i="39"/>
  <c r="P46" i="39"/>
  <c r="P45" i="39"/>
  <c r="O46" i="39"/>
  <c r="O45" i="39"/>
  <c r="C45" i="39"/>
  <c r="C46" i="39"/>
  <c r="M45" i="39"/>
  <c r="M46" i="39"/>
  <c r="G46" i="39"/>
  <c r="G45" i="39"/>
  <c r="Q46" i="39"/>
  <c r="Q45" i="39"/>
  <c r="E45" i="39"/>
  <c r="E46" i="39"/>
</calcChain>
</file>

<file path=xl/sharedStrings.xml><?xml version="1.0" encoding="utf-8"?>
<sst xmlns="http://schemas.openxmlformats.org/spreadsheetml/2006/main" count="5781" uniqueCount="3224">
  <si>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</si>
  <si>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</si>
  <si>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</si>
  <si>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</si>
  <si>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</si>
  <si>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</si>
  <si>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</si>
  <si>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</si>
  <si>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</si>
  <si>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</si>
  <si>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</si>
  <si>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</si>
  <si>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</si>
  <si>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</si>
  <si>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</si>
  <si>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</si>
  <si>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</si>
  <si>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</si>
  <si>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</si>
  <si>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</si>
  <si>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</si>
  <si>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</si>
  <si>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</si>
  <si>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</si>
  <si>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</si>
  <si>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</si>
  <si>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</si>
  <si>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</si>
  <si>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</si>
  <si>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</si>
  <si>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</si>
  <si>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</si>
  <si>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</si>
  <si>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</si>
  <si>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</si>
  <si>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</si>
  <si>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</si>
  <si>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</si>
  <si>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</si>
  <si>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</si>
  <si>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</si>
  <si>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</si>
  <si>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</si>
  <si>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</si>
  <si>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</si>
  <si>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</si>
  <si>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</si>
  <si>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</si>
  <si>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</si>
  <si>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</si>
  <si>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</si>
  <si>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</si>
  <si>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</si>
  <si>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</si>
  <si>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</si>
  <si>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</si>
  <si>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</si>
  <si>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</si>
  <si>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</si>
  <si>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</si>
  <si>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</si>
  <si>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</si>
  <si>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</si>
  <si>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</si>
  <si>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</si>
  <si>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</si>
  <si>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</si>
  <si>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</si>
  <si>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</si>
  <si>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</si>
  <si>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</si>
  <si>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</si>
  <si>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</si>
  <si>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</si>
  <si>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</si>
  <si>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</si>
  <si>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</si>
  <si>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</si>
  <si>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</si>
  <si>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</si>
  <si>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</si>
  <si>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</si>
  <si>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</si>
  <si>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</si>
  <si>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</si>
  <si>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</si>
  <si>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</si>
  <si>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</si>
  <si>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</si>
  <si>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</si>
  <si>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</si>
  <si>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</si>
  <si>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</si>
  <si>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</si>
  <si>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</si>
  <si>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</si>
  <si>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</si>
  <si>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</si>
  <si>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</si>
  <si>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</si>
  <si>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</si>
  <si>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</si>
  <si>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</si>
  <si>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</si>
  <si>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</si>
  <si>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</si>
  <si>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</si>
  <si>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</si>
  <si>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</si>
  <si>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</si>
  <si>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</si>
  <si>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</si>
  <si>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</si>
  <si>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</si>
  <si>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</si>
  <si>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</si>
  <si>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</si>
  <si>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</si>
  <si>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</si>
  <si>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</si>
  <si>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</si>
  <si>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</si>
  <si>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</si>
  <si>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</si>
  <si>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</si>
  <si>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</si>
  <si>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</si>
  <si>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</si>
  <si>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</si>
  <si>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</si>
  <si>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</si>
  <si>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</si>
  <si>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</si>
  <si>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KK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</si>
  <si>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</si>
  <si>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</si>
  <si>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</si>
  <si>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</si>
  <si>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</si>
  <si>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</si>
  <si>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</si>
  <si>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</si>
  <si>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</si>
  <si>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</si>
  <si>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</si>
  <si>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</si>
  <si>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</si>
  <si>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</si>
  <si>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</si>
  <si>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</si>
  <si>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</si>
  <si>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</si>
  <si>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</si>
  <si>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</si>
  <si>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</si>
  <si>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</si>
  <si>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</si>
  <si>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</si>
  <si>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</si>
  <si>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</si>
  <si>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</si>
  <si>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</si>
  <si>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</si>
  <si>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</si>
  <si>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</si>
  <si>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</si>
  <si>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</si>
  <si>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</si>
  <si>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</si>
  <si>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</si>
  <si>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</si>
  <si>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</si>
  <si>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</si>
  <si>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</si>
  <si>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</si>
  <si>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</si>
  <si>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</si>
  <si>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</si>
  <si>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</si>
  <si>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</si>
  <si>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</si>
  <si>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</si>
  <si>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</si>
  <si>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</si>
  <si>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</si>
  <si>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</si>
  <si>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</si>
  <si>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</si>
  <si>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</si>
  <si>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</si>
  <si>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</si>
  <si>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</si>
  <si>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</si>
  <si>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</si>
  <si>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</si>
  <si>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</si>
  <si>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</si>
  <si>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</si>
  <si>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</si>
  <si>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</si>
  <si>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</si>
  <si>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</si>
  <si>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</si>
  <si>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</si>
  <si>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</si>
  <si>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</si>
  <si>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</si>
  <si>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</si>
  <si>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</si>
  <si>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</si>
  <si>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</si>
  <si>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</si>
  <si>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</si>
  <si>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</si>
  <si>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</si>
  <si>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</si>
  <si>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</si>
  <si>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</si>
  <si>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</si>
  <si>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</si>
  <si>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</si>
  <si>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</si>
  <si>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</si>
  <si>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</si>
  <si>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</si>
  <si>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01/04/2023 - 30/04/2023</t>
  </si>
  <si>
    <t>ppb</t>
  </si>
  <si>
    <t>Calibration report Of SILTARA, RAIPUR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</si>
  <si>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</si>
  <si>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</si>
  <si>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</si>
  <si>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</si>
  <si>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</si>
  <si>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</si>
  <si>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</si>
  <si>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</si>
  <si>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</si>
  <si>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</si>
  <si>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</si>
  <si>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</si>
  <si>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</si>
  <si>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</si>
  <si>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</si>
  <si>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</si>
  <si>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</si>
  <si>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</si>
  <si>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835 ug/cm2</t>
  </si>
  <si>
    <t>8 47ug/cm2</t>
  </si>
  <si>
    <t>01/10/2025 00:15</t>
  </si>
  <si>
    <t>01/10/2025 00:30</t>
  </si>
  <si>
    <t>01/10/2025 00:45</t>
  </si>
  <si>
    <t>01/10/2025 01:00</t>
  </si>
  <si>
    <t>01/10/2025 01:15</t>
  </si>
  <si>
    <t>01/10/2025 01:30</t>
  </si>
  <si>
    <t>01/10/2025 01:45</t>
  </si>
  <si>
    <t>01/10/2025 02:00</t>
  </si>
  <si>
    <t>01/10/2025 02:15</t>
  </si>
  <si>
    <t>01/10/2025 02:30</t>
  </si>
  <si>
    <t>01/10/2025 02:45</t>
  </si>
  <si>
    <t>01/10/2025 03:00</t>
  </si>
  <si>
    <t>01/10/2025 03:15</t>
  </si>
  <si>
    <t>01/10/2025 03:30</t>
  </si>
  <si>
    <t>01/10/2025 03:45</t>
  </si>
  <si>
    <t>01/10/2025 04:00</t>
  </si>
  <si>
    <t>01/10/2025 04:15</t>
  </si>
  <si>
    <t>01/10/2025 04:30</t>
  </si>
  <si>
    <t>01/10/2025 04:45</t>
  </si>
  <si>
    <t>01/10/2025 05:00</t>
  </si>
  <si>
    <t>01/10/2025 05:15</t>
  </si>
  <si>
    <t>01/10/2025 05:30</t>
  </si>
  <si>
    <t>01/10/2025 05:45</t>
  </si>
  <si>
    <t>01/10/2025 06:00</t>
  </si>
  <si>
    <t>01/10/2025 06:15</t>
  </si>
  <si>
    <t>01/10/2025 06:30</t>
  </si>
  <si>
    <t>01/10/2025 06:45</t>
  </si>
  <si>
    <t>01/10/2025 07:00</t>
  </si>
  <si>
    <t>01/10/2025 07:15</t>
  </si>
  <si>
    <t>01/10/2025 07:30</t>
  </si>
  <si>
    <t>01/10/2025 07:45</t>
  </si>
  <si>
    <t>01/10/2025 08:00</t>
  </si>
  <si>
    <t>01/10/2025 08:15</t>
  </si>
  <si>
    <t>01/10/2025 08:30</t>
  </si>
  <si>
    <t>01/10/2025 08:45</t>
  </si>
  <si>
    <t>01/10/2025 09:00</t>
  </si>
  <si>
    <t>01/10/2025 09:15</t>
  </si>
  <si>
    <t>01/10/2025 09:30</t>
  </si>
  <si>
    <t>01/10/2025 09:45</t>
  </si>
  <si>
    <t>01/10/2025 10:00</t>
  </si>
  <si>
    <t>01/10/2025 10:15</t>
  </si>
  <si>
    <t>01/10/2025 10:30</t>
  </si>
  <si>
    <t>01/10/2025 10:45</t>
  </si>
  <si>
    <t>01/10/2025 11:00</t>
  </si>
  <si>
    <t>01/10/2025 11:15</t>
  </si>
  <si>
    <t>01/10/2025 11:30</t>
  </si>
  <si>
    <t>01/10/2025 11:45</t>
  </si>
  <si>
    <t>01/10/2025 12:00</t>
  </si>
  <si>
    <t>01/10/2025 12:15</t>
  </si>
  <si>
    <t>01/10/2025 12:30</t>
  </si>
  <si>
    <t>01/10/2025 12:45</t>
  </si>
  <si>
    <t>01/10/2025 13:00</t>
  </si>
  <si>
    <t>01/10/2025 13:15</t>
  </si>
  <si>
    <t>01/10/2025 13:30</t>
  </si>
  <si>
    <t>01/10/2025 13:45</t>
  </si>
  <si>
    <t>01/10/2025 14:00</t>
  </si>
  <si>
    <t>01/10/2025 14:15</t>
  </si>
  <si>
    <t>01/10/2025 14:30</t>
  </si>
  <si>
    <t>01/10/2025 14:45</t>
  </si>
  <si>
    <t>01/10/2025 15:00</t>
  </si>
  <si>
    <t>01/10/2025 15:15</t>
  </si>
  <si>
    <t>01/10/2025 15:30</t>
  </si>
  <si>
    <t>01/10/2025 15:45</t>
  </si>
  <si>
    <t>01/10/2025 16:00</t>
  </si>
  <si>
    <t>01/10/2025 16:15</t>
  </si>
  <si>
    <t>01/10/2025 16:30</t>
  </si>
  <si>
    <t>01/10/2025 16:45</t>
  </si>
  <si>
    <t>01/10/2025 17:00</t>
  </si>
  <si>
    <t>01/10/2025 17:15</t>
  </si>
  <si>
    <t>01/10/2025 17:30</t>
  </si>
  <si>
    <t>01/10/2025 17:45</t>
  </si>
  <si>
    <t>01/10/2025 18:00</t>
  </si>
  <si>
    <t>01/10/2025 18:15</t>
  </si>
  <si>
    <t>01/10/2025 18:30</t>
  </si>
  <si>
    <t>01/10/2025 18:45</t>
  </si>
  <si>
    <t>01/10/2025 19:00</t>
  </si>
  <si>
    <t>01/10/2025 19:15</t>
  </si>
  <si>
    <t>01/10/2025 19:30</t>
  </si>
  <si>
    <t>01/10/2025 19:45</t>
  </si>
  <si>
    <t>01/10/2025 20:00</t>
  </si>
  <si>
    <t>01/10/2025 20:15</t>
  </si>
  <si>
    <t>01/10/2025 20:30</t>
  </si>
  <si>
    <t>01/10/2025 20:45</t>
  </si>
  <si>
    <t>01/10/2025 21:00</t>
  </si>
  <si>
    <t>01/10/2025 21:15</t>
  </si>
  <si>
    <t>01/10/2025 21:30</t>
  </si>
  <si>
    <t>01/10/2025 21:45</t>
  </si>
  <si>
    <t>01/10/2025 22:00</t>
  </si>
  <si>
    <t>01/10/2025 22:15</t>
  </si>
  <si>
    <t>01/10/2025 22:30</t>
  </si>
  <si>
    <t>01/10/2025 22:45</t>
  </si>
  <si>
    <t>01/10/2025 23:00</t>
  </si>
  <si>
    <t>01/10/2025 23:15</t>
  </si>
  <si>
    <t>01/10/2025 23:30</t>
  </si>
  <si>
    <t>01/10/2025 23:45</t>
  </si>
  <si>
    <t>01/10/2025 24:00</t>
  </si>
  <si>
    <t>02/10/2025 00:15</t>
  </si>
  <si>
    <t>02/10/2025 00:30</t>
  </si>
  <si>
    <t>02/10/2025 00:45</t>
  </si>
  <si>
    <t>02/10/2025 01:00</t>
  </si>
  <si>
    <t>02/10/2025 01:15</t>
  </si>
  <si>
    <t>02/10/2025 01:30</t>
  </si>
  <si>
    <t>02/10/2025 01:45</t>
  </si>
  <si>
    <t>02/10/2025 02:00</t>
  </si>
  <si>
    <t>02/10/2025 02:15</t>
  </si>
  <si>
    <t>02/10/2025 02:30</t>
  </si>
  <si>
    <t>02/10/2025 02:45</t>
  </si>
  <si>
    <t>02/10/2025 03:00</t>
  </si>
  <si>
    <t>02/10/2025 03:15</t>
  </si>
  <si>
    <t>02/10/2025 03:30</t>
  </si>
  <si>
    <t>02/10/2025 03:45</t>
  </si>
  <si>
    <t>02/10/2025 04:00</t>
  </si>
  <si>
    <t>02/10/2025 04:15</t>
  </si>
  <si>
    <t>02/10/2025 04:30</t>
  </si>
  <si>
    <t>02/10/2025 04:45</t>
  </si>
  <si>
    <t>02/10/2025 05:00</t>
  </si>
  <si>
    <t>02/10/2025 05:15</t>
  </si>
  <si>
    <t>02/10/2025 05:30</t>
  </si>
  <si>
    <t>02/10/2025 05:45</t>
  </si>
  <si>
    <t>02/10/2025 06:00</t>
  </si>
  <si>
    <t>02/10/2025 06:15</t>
  </si>
  <si>
    <t>02/10/2025 06:30</t>
  </si>
  <si>
    <t>02/10/2025 06:45</t>
  </si>
  <si>
    <t>02/10/2025 07:00</t>
  </si>
  <si>
    <t>02/10/2025 07:15</t>
  </si>
  <si>
    <t>02/10/2025 07:30</t>
  </si>
  <si>
    <t>02/10/2025 07:45</t>
  </si>
  <si>
    <t>02/10/2025 08:00</t>
  </si>
  <si>
    <t>02/10/2025 08:15</t>
  </si>
  <si>
    <t>02/10/2025 08:30</t>
  </si>
  <si>
    <t>02/10/2025 08:45</t>
  </si>
  <si>
    <t>02/10/2025 09:00</t>
  </si>
  <si>
    <t>02/10/2025 09:15</t>
  </si>
  <si>
    <t>02/10/2025 09:30</t>
  </si>
  <si>
    <t>02/10/2025 09:45</t>
  </si>
  <si>
    <t>02/10/2025 10:00</t>
  </si>
  <si>
    <t>02/10/2025 10:15</t>
  </si>
  <si>
    <t>02/10/2025 10:30</t>
  </si>
  <si>
    <t>02/10/2025 10:45</t>
  </si>
  <si>
    <t>02/10/2025 11:00</t>
  </si>
  <si>
    <t>02/10/2025 11:15</t>
  </si>
  <si>
    <t>02/10/2025 11:30</t>
  </si>
  <si>
    <t>02/10/2025 11:45</t>
  </si>
  <si>
    <t>02/10/2025 12:00</t>
  </si>
  <si>
    <t>02/10/2025 12:15</t>
  </si>
  <si>
    <t>02/10/2025 12:30</t>
  </si>
  <si>
    <t>02/10/2025 12:45</t>
  </si>
  <si>
    <t>02/10/2025 13:00</t>
  </si>
  <si>
    <t>02/10/2025 13:15</t>
  </si>
  <si>
    <t>02/10/2025 13:30</t>
  </si>
  <si>
    <t>02/10/2025 13:45</t>
  </si>
  <si>
    <t>02/10/2025 14:00</t>
  </si>
  <si>
    <t>02/10/2025 14:15</t>
  </si>
  <si>
    <t>02/10/2025 14:30</t>
  </si>
  <si>
    <t>02/10/2025 14:45</t>
  </si>
  <si>
    <t>02/10/2025 15:00</t>
  </si>
  <si>
    <t>02/10/2025 15:15</t>
  </si>
  <si>
    <t>02/10/2025 15:30</t>
  </si>
  <si>
    <t>02/10/2025 15:45</t>
  </si>
  <si>
    <t>02/10/2025 16:00</t>
  </si>
  <si>
    <t>02/10/2025 16:15</t>
  </si>
  <si>
    <t>02/10/2025 16:30</t>
  </si>
  <si>
    <t>02/10/2025 16:45</t>
  </si>
  <si>
    <t>02/10/2025 17:00</t>
  </si>
  <si>
    <t>02/10/2025 17:15</t>
  </si>
  <si>
    <t>02/10/2025 17:30</t>
  </si>
  <si>
    <t>02/10/2025 17:45</t>
  </si>
  <si>
    <t>02/10/2025 18:00</t>
  </si>
  <si>
    <t>02/10/2025 18:15</t>
  </si>
  <si>
    <t>02/10/2025 18:30</t>
  </si>
  <si>
    <t>02/10/2025 18:45</t>
  </si>
  <si>
    <t>02/10/2025 19:00</t>
  </si>
  <si>
    <t>02/10/2025 19:15</t>
  </si>
  <si>
    <t>02/10/2025 19:30</t>
  </si>
  <si>
    <t>02/10/2025 19:45</t>
  </si>
  <si>
    <t>02/10/2025 20:00</t>
  </si>
  <si>
    <t>02/10/2025 20:15</t>
  </si>
  <si>
    <t>02/10/2025 20:30</t>
  </si>
  <si>
    <t>02/10/2025 20:45</t>
  </si>
  <si>
    <t>02/10/2025 21:00</t>
  </si>
  <si>
    <t>02/10/2025 21:15</t>
  </si>
  <si>
    <t>02/10/2025 21:30</t>
  </si>
  <si>
    <t>02/10/2025 21:45</t>
  </si>
  <si>
    <t>02/10/2025 22:00</t>
  </si>
  <si>
    <t>02/10/2025 22:15</t>
  </si>
  <si>
    <t>02/10/2025 22:30</t>
  </si>
  <si>
    <t>02/10/2025 22:45</t>
  </si>
  <si>
    <t>02/10/2025 23:00</t>
  </si>
  <si>
    <t>02/10/2025 23:15</t>
  </si>
  <si>
    <t>02/10/2025 23:30</t>
  </si>
  <si>
    <t>02/10/2025 23:45</t>
  </si>
  <si>
    <t>02/10/2025 24:00</t>
  </si>
  <si>
    <t>03/10/2025 00:15</t>
  </si>
  <si>
    <t>03/10/2025 00:30</t>
  </si>
  <si>
    <t>03/10/2025 00:45</t>
  </si>
  <si>
    <t>03/10/2025 01:00</t>
  </si>
  <si>
    <t>03/10/2025 01:15</t>
  </si>
  <si>
    <t>03/10/2025 01:30</t>
  </si>
  <si>
    <t>03/10/2025 01:45</t>
  </si>
  <si>
    <t>03/10/2025 02:00</t>
  </si>
  <si>
    <t>03/10/2025 02:15</t>
  </si>
  <si>
    <t>03/10/2025 02:30</t>
  </si>
  <si>
    <t>03/10/2025 02:45</t>
  </si>
  <si>
    <t>03/10/2025 03:00</t>
  </si>
  <si>
    <t>03/10/2025 03:15</t>
  </si>
  <si>
    <t>03/10/2025 03:30</t>
  </si>
  <si>
    <t>03/10/2025 03:45</t>
  </si>
  <si>
    <t>03/10/2025 04:00</t>
  </si>
  <si>
    <t>03/10/2025 04:15</t>
  </si>
  <si>
    <t>03/10/2025 04:30</t>
  </si>
  <si>
    <t>03/10/2025 04:45</t>
  </si>
  <si>
    <t>03/10/2025 05:00</t>
  </si>
  <si>
    <t>03/10/2025 05:15</t>
  </si>
  <si>
    <t>03/10/2025 05:30</t>
  </si>
  <si>
    <t>03/10/2025 05:45</t>
  </si>
  <si>
    <t>03/10/2025 06:00</t>
  </si>
  <si>
    <t>03/10/2025 06:15</t>
  </si>
  <si>
    <t>03/10/2025 06:30</t>
  </si>
  <si>
    <t>03/10/2025 06:45</t>
  </si>
  <si>
    <t>03/10/2025 07:00</t>
  </si>
  <si>
    <t>03/10/2025 07:15</t>
  </si>
  <si>
    <t>03/10/2025 07:30</t>
  </si>
  <si>
    <t>03/10/2025 07:45</t>
  </si>
  <si>
    <t>03/10/2025 08:00</t>
  </si>
  <si>
    <t>03/10/2025 08:15</t>
  </si>
  <si>
    <t>03/10/2025 08:30</t>
  </si>
  <si>
    <t>03/10/2025 08:45</t>
  </si>
  <si>
    <t>03/10/2025 09:00</t>
  </si>
  <si>
    <t>03/10/2025 09:15</t>
  </si>
  <si>
    <t>03/10/2025 09:30</t>
  </si>
  <si>
    <t>03/10/2025 09:45</t>
  </si>
  <si>
    <t>03/10/2025 10:00</t>
  </si>
  <si>
    <t>03/10/2025 10:15</t>
  </si>
  <si>
    <t>03/10/2025 10:30</t>
  </si>
  <si>
    <t>03/10/2025 10:45</t>
  </si>
  <si>
    <t>03/10/2025 11:00</t>
  </si>
  <si>
    <t>03/10/2025 11:15</t>
  </si>
  <si>
    <t>03/10/2025 11:30</t>
  </si>
  <si>
    <t>03/10/2025 11:45</t>
  </si>
  <si>
    <t>03/10/2025 12:00</t>
  </si>
  <si>
    <t>03/10/2025 12:15</t>
  </si>
  <si>
    <t>03/10/2025 12:30</t>
  </si>
  <si>
    <t>03/10/2025 12:45</t>
  </si>
  <si>
    <t>03/10/2025 13:00</t>
  </si>
  <si>
    <t>03/10/2025 13:15</t>
  </si>
  <si>
    <t>03/10/2025 13:30</t>
  </si>
  <si>
    <t>03/10/2025 13:45</t>
  </si>
  <si>
    <t>03/10/2025 14:00</t>
  </si>
  <si>
    <t>03/10/2025 14:15</t>
  </si>
  <si>
    <t>03/10/2025 14:30</t>
  </si>
  <si>
    <t>03/10/2025 14:45</t>
  </si>
  <si>
    <t>03/10/2025 15:00</t>
  </si>
  <si>
    <t>03/10/2025 15:15</t>
  </si>
  <si>
    <t>03/10/2025 15:30</t>
  </si>
  <si>
    <t>03/10/2025 15:45</t>
  </si>
  <si>
    <t>03/10/2025 16:00</t>
  </si>
  <si>
    <t>03/10/2025 16:15</t>
  </si>
  <si>
    <t>03/10/2025 16:30</t>
  </si>
  <si>
    <t>03/10/2025 16:45</t>
  </si>
  <si>
    <t>03/10/2025 17:00</t>
  </si>
  <si>
    <t>03/10/2025 17:15</t>
  </si>
  <si>
    <t>03/10/2025 17:30</t>
  </si>
  <si>
    <t>03/10/2025 17:45</t>
  </si>
  <si>
    <t>03/10/2025 18:00</t>
  </si>
  <si>
    <t>03/10/2025 18:15</t>
  </si>
  <si>
    <t>03/10/2025 18:30</t>
  </si>
  <si>
    <t>03/10/2025 18:45</t>
  </si>
  <si>
    <t>03/10/2025 19:00</t>
  </si>
  <si>
    <t>03/10/2025 19:15</t>
  </si>
  <si>
    <t>03/10/2025 19:30</t>
  </si>
  <si>
    <t>03/10/2025 19:45</t>
  </si>
  <si>
    <t>03/10/2025 20:00</t>
  </si>
  <si>
    <t>03/10/2025 20:15</t>
  </si>
  <si>
    <t>03/10/2025 20:30</t>
  </si>
  <si>
    <t>03/10/2025 20:45</t>
  </si>
  <si>
    <t>03/10/2025 21:00</t>
  </si>
  <si>
    <t>03/10/2025 21:15</t>
  </si>
  <si>
    <t>03/10/2025 21:30</t>
  </si>
  <si>
    <t>03/10/2025 21:45</t>
  </si>
  <si>
    <t>03/10/2025 22:00</t>
  </si>
  <si>
    <t>03/10/2025 22:15</t>
  </si>
  <si>
    <t>03/10/2025 22:30</t>
  </si>
  <si>
    <t>03/10/2025 22:45</t>
  </si>
  <si>
    <t>03/10/2025 23:00</t>
  </si>
  <si>
    <t>03/10/2025 23:15</t>
  </si>
  <si>
    <t>03/10/2025 23:30</t>
  </si>
  <si>
    <t>03/10/2025 23:45</t>
  </si>
  <si>
    <t>03/10/2025 24:00</t>
  </si>
  <si>
    <t>04/10/2025 00:15</t>
  </si>
  <si>
    <t>04/10/2025 00:30</t>
  </si>
  <si>
    <t>04/10/2025 00:45</t>
  </si>
  <si>
    <t>04/10/2025 01:00</t>
  </si>
  <si>
    <t>04/10/2025 01:15</t>
  </si>
  <si>
    <t>04/10/2025 01:30</t>
  </si>
  <si>
    <t>04/10/2025 01:45</t>
  </si>
  <si>
    <t>04/10/2025 02:00</t>
  </si>
  <si>
    <t>04/10/2025 02:15</t>
  </si>
  <si>
    <t>04/10/2025 02:30</t>
  </si>
  <si>
    <t>04/10/2025 02:45</t>
  </si>
  <si>
    <t>04/10/2025 03:00</t>
  </si>
  <si>
    <t>04/10/2025 03:15</t>
  </si>
  <si>
    <t>04/10/2025 03:30</t>
  </si>
  <si>
    <t>04/10/2025 03:45</t>
  </si>
  <si>
    <t>04/10/2025 04:00</t>
  </si>
  <si>
    <t>04/10/2025 04:15</t>
  </si>
  <si>
    <t>04/10/2025 04:30</t>
  </si>
  <si>
    <t>04/10/2025 04:45</t>
  </si>
  <si>
    <t>04/10/2025 05:00</t>
  </si>
  <si>
    <t>04/10/2025 05:15</t>
  </si>
  <si>
    <t>04/10/2025 05:30</t>
  </si>
  <si>
    <t>04/10/2025 05:45</t>
  </si>
  <si>
    <t>04/10/2025 06:00</t>
  </si>
  <si>
    <t>04/10/2025 06:15</t>
  </si>
  <si>
    <t>04/10/2025 06:30</t>
  </si>
  <si>
    <t>04/10/2025 06:45</t>
  </si>
  <si>
    <t>04/10/2025 07:00</t>
  </si>
  <si>
    <t>04/10/2025 07:15</t>
  </si>
  <si>
    <t>04/10/2025 07:30</t>
  </si>
  <si>
    <t>04/10/2025 07:45</t>
  </si>
  <si>
    <t>04/10/2025 08:00</t>
  </si>
  <si>
    <t>04/10/2025 08:15</t>
  </si>
  <si>
    <t>04/10/2025 08:30</t>
  </si>
  <si>
    <t>04/10/2025 08:45</t>
  </si>
  <si>
    <t>04/10/2025 09:00</t>
  </si>
  <si>
    <t>04/10/2025 09:15</t>
  </si>
  <si>
    <t>04/10/2025 09:30</t>
  </si>
  <si>
    <t>04/10/2025 09:45</t>
  </si>
  <si>
    <t>04/10/2025 10:00</t>
  </si>
  <si>
    <t>04/10/2025 10:15</t>
  </si>
  <si>
    <t>04/10/2025 10:30</t>
  </si>
  <si>
    <t>04/10/2025 10:45</t>
  </si>
  <si>
    <t>04/10/2025 11:00</t>
  </si>
  <si>
    <t>04/10/2025 11:15</t>
  </si>
  <si>
    <t>04/10/2025 11:30</t>
  </si>
  <si>
    <t>04/10/2025 11:45</t>
  </si>
  <si>
    <t>04/10/2025 12:00</t>
  </si>
  <si>
    <t>04/10/2025 12:15</t>
  </si>
  <si>
    <t>04/10/2025 12:30</t>
  </si>
  <si>
    <t>04/10/2025 12:45</t>
  </si>
  <si>
    <t>04/10/2025 13:00</t>
  </si>
  <si>
    <t>04/10/2025 13:15</t>
  </si>
  <si>
    <t>04/10/2025 13:30</t>
  </si>
  <si>
    <t>04/10/2025 13:45</t>
  </si>
  <si>
    <t>04/10/2025 14:00</t>
  </si>
  <si>
    <t>04/10/2025 14:15</t>
  </si>
  <si>
    <t>04/10/2025 14:30</t>
  </si>
  <si>
    <t>04/10/2025 14:45</t>
  </si>
  <si>
    <t>04/10/2025 15:00</t>
  </si>
  <si>
    <t>04/10/2025 15:15</t>
  </si>
  <si>
    <t>04/10/2025 15:30</t>
  </si>
  <si>
    <t>04/10/2025 15:45</t>
  </si>
  <si>
    <t>04/10/2025 16:00</t>
  </si>
  <si>
    <t>04/10/2025 16:15</t>
  </si>
  <si>
    <t>04/10/2025 16:30</t>
  </si>
  <si>
    <t>04/10/2025 16:45</t>
  </si>
  <si>
    <t>04/10/2025 17:00</t>
  </si>
  <si>
    <t>04/10/2025 17:15</t>
  </si>
  <si>
    <t>04/10/2025 17:30</t>
  </si>
  <si>
    <t>04/10/2025 17:45</t>
  </si>
  <si>
    <t>04/10/2025 18:00</t>
  </si>
  <si>
    <t>04/10/2025 18:15</t>
  </si>
  <si>
    <t>04/10/2025 18:30</t>
  </si>
  <si>
    <t>04/10/2025 18:45</t>
  </si>
  <si>
    <t>04/10/2025 19:00</t>
  </si>
  <si>
    <t>04/10/2025 19:15</t>
  </si>
  <si>
    <t>04/10/2025 19:30</t>
  </si>
  <si>
    <t>04/10/2025 19:45</t>
  </si>
  <si>
    <t>04/10/2025 20:00</t>
  </si>
  <si>
    <t>04/10/2025 20:15</t>
  </si>
  <si>
    <t>04/10/2025 20:30</t>
  </si>
  <si>
    <t>04/10/2025 20:45</t>
  </si>
  <si>
    <t>04/10/2025 21:00</t>
  </si>
  <si>
    <t>04/10/2025 21:15</t>
  </si>
  <si>
    <t>04/10/2025 21:30</t>
  </si>
  <si>
    <t>04/10/2025 21:45</t>
  </si>
  <si>
    <t>04/10/2025 22:00</t>
  </si>
  <si>
    <t>04/10/2025 22:15</t>
  </si>
  <si>
    <t>04/10/2025 22:30</t>
  </si>
  <si>
    <t>04/10/2025 22:45</t>
  </si>
  <si>
    <t>04/10/2025 23:00</t>
  </si>
  <si>
    <t>04/10/2025 23:15</t>
  </si>
  <si>
    <t>04/10/2025 23:30</t>
  </si>
  <si>
    <t>04/10/2025 23:45</t>
  </si>
  <si>
    <t>04/10/2025 24:00</t>
  </si>
  <si>
    <t>05/10/2025 00:15</t>
  </si>
  <si>
    <t>05/10/2025 00:30</t>
  </si>
  <si>
    <t>05/10/2025 00:45</t>
  </si>
  <si>
    <t>05/10/2025 01:00</t>
  </si>
  <si>
    <t>05/10/2025 01:15</t>
  </si>
  <si>
    <t>05/10/2025 01:30</t>
  </si>
  <si>
    <t>05/10/2025 01:45</t>
  </si>
  <si>
    <t>05/10/2025 02:00</t>
  </si>
  <si>
    <t>05/10/2025 02:15</t>
  </si>
  <si>
    <t>05/10/2025 02:30</t>
  </si>
  <si>
    <t>05/10/2025 02:45</t>
  </si>
  <si>
    <t>05/10/2025 03:00</t>
  </si>
  <si>
    <t>05/10/2025 03:15</t>
  </si>
  <si>
    <t>05/10/2025 03:30</t>
  </si>
  <si>
    <t>05/10/2025 03:45</t>
  </si>
  <si>
    <t>05/10/2025 04:00</t>
  </si>
  <si>
    <t>05/10/2025 04:15</t>
  </si>
  <si>
    <t>05/10/2025 04:30</t>
  </si>
  <si>
    <t>05/10/2025 04:45</t>
  </si>
  <si>
    <t>05/10/2025 05:00</t>
  </si>
  <si>
    <t>05/10/2025 05:15</t>
  </si>
  <si>
    <t>05/10/2025 05:30</t>
  </si>
  <si>
    <t>05/10/2025 05:45</t>
  </si>
  <si>
    <t>05/10/2025 06:00</t>
  </si>
  <si>
    <t>05/10/2025 06:15</t>
  </si>
  <si>
    <t>05/10/2025 06:30</t>
  </si>
  <si>
    <t>05/10/2025 06:45</t>
  </si>
  <si>
    <t>05/10/2025 07:00</t>
  </si>
  <si>
    <t>05/10/2025 07:15</t>
  </si>
  <si>
    <t>05/10/2025 07:30</t>
  </si>
  <si>
    <t>05/10/2025 07:45</t>
  </si>
  <si>
    <t>05/10/2025 08:00</t>
  </si>
  <si>
    <t>05/10/2025 08:15</t>
  </si>
  <si>
    <t>05/10/2025 08:30</t>
  </si>
  <si>
    <t>05/10/2025 08:45</t>
  </si>
  <si>
    <t>05/10/2025 09:00</t>
  </si>
  <si>
    <t>05/10/2025 09:15</t>
  </si>
  <si>
    <t>05/10/2025 09:30</t>
  </si>
  <si>
    <t>05/10/2025 09:45</t>
  </si>
  <si>
    <t>05/10/2025 10:00</t>
  </si>
  <si>
    <t>05/10/2025 10:15</t>
  </si>
  <si>
    <t>05/10/2025 10:30</t>
  </si>
  <si>
    <t>05/10/2025 10:45</t>
  </si>
  <si>
    <t>05/10/2025 11:00</t>
  </si>
  <si>
    <t>05/10/2025 11:15</t>
  </si>
  <si>
    <t>05/10/2025 11:30</t>
  </si>
  <si>
    <t>05/10/2025 11:45</t>
  </si>
  <si>
    <t>05/10/2025 12:00</t>
  </si>
  <si>
    <t>05/10/2025 12:15</t>
  </si>
  <si>
    <t>05/10/2025 12:30</t>
  </si>
  <si>
    <t>05/10/2025 12:45</t>
  </si>
  <si>
    <t>05/10/2025 13:00</t>
  </si>
  <si>
    <t>05/10/2025 13:15</t>
  </si>
  <si>
    <t>05/10/2025 13:30</t>
  </si>
  <si>
    <t>05/10/2025 13:45</t>
  </si>
  <si>
    <t>05/10/2025 14:00</t>
  </si>
  <si>
    <t>05/10/2025 14:15</t>
  </si>
  <si>
    <t>05/10/2025 14:30</t>
  </si>
  <si>
    <t>05/10/2025 14:45</t>
  </si>
  <si>
    <t>05/10/2025 15:00</t>
  </si>
  <si>
    <t>05/10/2025 15:15</t>
  </si>
  <si>
    <t>05/10/2025 15:30</t>
  </si>
  <si>
    <t>05/10/2025 15:45</t>
  </si>
  <si>
    <t>05/10/2025 16:00</t>
  </si>
  <si>
    <t>05/10/2025 16:15</t>
  </si>
  <si>
    <t>05/10/2025 16:30</t>
  </si>
  <si>
    <t>05/10/2025 16:45</t>
  </si>
  <si>
    <t>05/10/2025 17:00</t>
  </si>
  <si>
    <t>05/10/2025 17:15</t>
  </si>
  <si>
    <t>05/10/2025 17:30</t>
  </si>
  <si>
    <t>05/10/2025 17:45</t>
  </si>
  <si>
    <t>05/10/2025 18:00</t>
  </si>
  <si>
    <t>05/10/2025 18:15</t>
  </si>
  <si>
    <t>05/10/2025 18:30</t>
  </si>
  <si>
    <t>05/10/2025 18:45</t>
  </si>
  <si>
    <t>05/10/2025 19:00</t>
  </si>
  <si>
    <t>05/10/2025 19:15</t>
  </si>
  <si>
    <t>05/10/2025 19:30</t>
  </si>
  <si>
    <t>05/10/2025 19:45</t>
  </si>
  <si>
    <t>05/10/2025 20:00</t>
  </si>
  <si>
    <t>05/10/2025 20:15</t>
  </si>
  <si>
    <t>05/10/2025 20:30</t>
  </si>
  <si>
    <t>05/10/2025 20:45</t>
  </si>
  <si>
    <t>05/10/2025 21:00</t>
  </si>
  <si>
    <t>05/10/2025 21:15</t>
  </si>
  <si>
    <t>05/10/2025 21:30</t>
  </si>
  <si>
    <t>05/10/2025 21:45</t>
  </si>
  <si>
    <t>05/10/2025 22:00</t>
  </si>
  <si>
    <t>05/10/2025 22:15</t>
  </si>
  <si>
    <t>05/10/2025 22:30</t>
  </si>
  <si>
    <t>05/10/2025 22:45</t>
  </si>
  <si>
    <t>05/10/2025 23:00</t>
  </si>
  <si>
    <t>05/10/2025 23:15</t>
  </si>
  <si>
    <t>05/10/2025 23:30</t>
  </si>
  <si>
    <t>05/10/2025 23:45</t>
  </si>
  <si>
    <t>05/10/2025 24:00</t>
  </si>
  <si>
    <t>06/10/2025 00:15</t>
  </si>
  <si>
    <t>06/10/2025 00:30</t>
  </si>
  <si>
    <t>06/10/2025 00:45</t>
  </si>
  <si>
    <t>06/10/2025 01:00</t>
  </si>
  <si>
    <t>06/10/2025 01:15</t>
  </si>
  <si>
    <t>06/10/2025 01:30</t>
  </si>
  <si>
    <t>06/10/2025 01:45</t>
  </si>
  <si>
    <t>06/10/2025 02:00</t>
  </si>
  <si>
    <t>06/10/2025 02:15</t>
  </si>
  <si>
    <t>06/10/2025 02:30</t>
  </si>
  <si>
    <t>06/10/2025 02:45</t>
  </si>
  <si>
    <t>06/10/2025 03:00</t>
  </si>
  <si>
    <t>06/10/2025 03:15</t>
  </si>
  <si>
    <t>06/10/2025 03:30</t>
  </si>
  <si>
    <t>06/10/2025 03:45</t>
  </si>
  <si>
    <t>06/10/2025 04:00</t>
  </si>
  <si>
    <t>06/10/2025 04:15</t>
  </si>
  <si>
    <t>06/10/2025 04:30</t>
  </si>
  <si>
    <t>06/10/2025 04:45</t>
  </si>
  <si>
    <t>06/10/2025 05:00</t>
  </si>
  <si>
    <t>06/10/2025 05:15</t>
  </si>
  <si>
    <t>06/10/2025 05:30</t>
  </si>
  <si>
    <t>06/10/2025 05:45</t>
  </si>
  <si>
    <t>06/10/2025 06:00</t>
  </si>
  <si>
    <t>06/10/2025 06:15</t>
  </si>
  <si>
    <t>06/10/2025 06:30</t>
  </si>
  <si>
    <t>06/10/2025 06:45</t>
  </si>
  <si>
    <t>06/10/2025 07:00</t>
  </si>
  <si>
    <t>06/10/2025 07:15</t>
  </si>
  <si>
    <t>06/10/2025 07:30</t>
  </si>
  <si>
    <t>06/10/2025 07:45</t>
  </si>
  <si>
    <t>06/10/2025 08:00</t>
  </si>
  <si>
    <t>06/10/2025 08:15</t>
  </si>
  <si>
    <t>06/10/2025 08:30</t>
  </si>
  <si>
    <t>06/10/2025 08:45</t>
  </si>
  <si>
    <t>06/10/2025 09:00</t>
  </si>
  <si>
    <t>06/10/2025 09:15</t>
  </si>
  <si>
    <t>06/10/2025 09:30</t>
  </si>
  <si>
    <t>06/10/2025 09:45</t>
  </si>
  <si>
    <t>06/10/2025 10:00</t>
  </si>
  <si>
    <t>06/10/2025 10:15</t>
  </si>
  <si>
    <t>06/10/2025 10:30</t>
  </si>
  <si>
    <t>06/10/2025 10:45</t>
  </si>
  <si>
    <t>06/10/2025 11:00</t>
  </si>
  <si>
    <t>06/10/2025 11:15</t>
  </si>
  <si>
    <t>06/10/2025 11:30</t>
  </si>
  <si>
    <t>06/10/2025 11:45</t>
  </si>
  <si>
    <t>06/10/2025 12:00</t>
  </si>
  <si>
    <t>06/10/2025 12:15</t>
  </si>
  <si>
    <t>06/10/2025 12:30</t>
  </si>
  <si>
    <t>06/10/2025 12:45</t>
  </si>
  <si>
    <t>06/10/2025 13:00</t>
  </si>
  <si>
    <t>06/10/2025 13:15</t>
  </si>
  <si>
    <t>06/10/2025 13:30</t>
  </si>
  <si>
    <t>06/10/2025 13:45</t>
  </si>
  <si>
    <t>06/10/2025 14:00</t>
  </si>
  <si>
    <t>06/10/2025 14:15</t>
  </si>
  <si>
    <t>06/10/2025 14:30</t>
  </si>
  <si>
    <t>06/10/2025 14:45</t>
  </si>
  <si>
    <t>06/10/2025 15:00</t>
  </si>
  <si>
    <t>06/10/2025 15:15</t>
  </si>
  <si>
    <t>06/10/2025 15:30</t>
  </si>
  <si>
    <t>06/10/2025 15:45</t>
  </si>
  <si>
    <t>06/10/2025 16:00</t>
  </si>
  <si>
    <t>06/10/2025 16:15</t>
  </si>
  <si>
    <t>06/10/2025 16:30</t>
  </si>
  <si>
    <t>06/10/2025 16:45</t>
  </si>
  <si>
    <t>06/10/2025 17:00</t>
  </si>
  <si>
    <t>06/10/2025 17:15</t>
  </si>
  <si>
    <t>06/10/2025 17:30</t>
  </si>
  <si>
    <t>06/10/2025 17:45</t>
  </si>
  <si>
    <t>06/10/2025 18:00</t>
  </si>
  <si>
    <t>06/10/2025 18:15</t>
  </si>
  <si>
    <t>06/10/2025 18:30</t>
  </si>
  <si>
    <t>06/10/2025 18:45</t>
  </si>
  <si>
    <t>06/10/2025 19:00</t>
  </si>
  <si>
    <t>06/10/2025 19:15</t>
  </si>
  <si>
    <t>06/10/2025 19:30</t>
  </si>
  <si>
    <t>06/10/2025 19:45</t>
  </si>
  <si>
    <t>06/10/2025 20:00</t>
  </si>
  <si>
    <t>06/10/2025 20:15</t>
  </si>
  <si>
    <t>06/10/2025 20:30</t>
  </si>
  <si>
    <t>06/10/2025 20:45</t>
  </si>
  <si>
    <t>06/10/2025 21:00</t>
  </si>
  <si>
    <t>06/10/2025 21:15</t>
  </si>
  <si>
    <t>06/10/2025 21:30</t>
  </si>
  <si>
    <t>06/10/2025 21:45</t>
  </si>
  <si>
    <t>06/10/2025 22:00</t>
  </si>
  <si>
    <t>06/10/2025 22:15</t>
  </si>
  <si>
    <t>06/10/2025 22:30</t>
  </si>
  <si>
    <t>06/10/2025 22:45</t>
  </si>
  <si>
    <t>06/10/2025 23:00</t>
  </si>
  <si>
    <t>06/10/2025 23:15</t>
  </si>
  <si>
    <t>06/10/2025 23:30</t>
  </si>
  <si>
    <t>06/10/2025 23:45</t>
  </si>
  <si>
    <t>06/10/2025 24:00</t>
  </si>
  <si>
    <t>07/10/2025 00:15</t>
  </si>
  <si>
    <t>07/10/2025 00:30</t>
  </si>
  <si>
    <t>07/10/2025 00:45</t>
  </si>
  <si>
    <t>07/10/2025 01:00</t>
  </si>
  <si>
    <t>07/10/2025 01:15</t>
  </si>
  <si>
    <t>07/10/2025 01:30</t>
  </si>
  <si>
    <t>07/10/2025 01:45</t>
  </si>
  <si>
    <t>07/10/2025 02:00</t>
  </si>
  <si>
    <t>07/10/2025 02:15</t>
  </si>
  <si>
    <t>07/10/2025 02:30</t>
  </si>
  <si>
    <t>07/10/2025 02:45</t>
  </si>
  <si>
    <t>07/10/2025 03:00</t>
  </si>
  <si>
    <t>07/10/2025 03:15</t>
  </si>
  <si>
    <t>07/10/2025 03:30</t>
  </si>
  <si>
    <t>07/10/2025 03:45</t>
  </si>
  <si>
    <t>07/10/2025 04:00</t>
  </si>
  <si>
    <t>07/10/2025 04:15</t>
  </si>
  <si>
    <t>07/10/2025 04:30</t>
  </si>
  <si>
    <t>07/10/2025 04:45</t>
  </si>
  <si>
    <t>07/10/2025 05:00</t>
  </si>
  <si>
    <t>07/10/2025 05:15</t>
  </si>
  <si>
    <t>07/10/2025 05:30</t>
  </si>
  <si>
    <t>07/10/2025 05:45</t>
  </si>
  <si>
    <t>07/10/2025 06:00</t>
  </si>
  <si>
    <t>07/10/2025 06:15</t>
  </si>
  <si>
    <t>07/10/2025 06:30</t>
  </si>
  <si>
    <t>07/10/2025 06:45</t>
  </si>
  <si>
    <t>07/10/2025 07:00</t>
  </si>
  <si>
    <t>07/10/2025 07:15</t>
  </si>
  <si>
    <t>07/10/2025 07:30</t>
  </si>
  <si>
    <t>07/10/2025 07:45</t>
  </si>
  <si>
    <t>07/10/2025 08:00</t>
  </si>
  <si>
    <t>07/10/2025 08:15</t>
  </si>
  <si>
    <t>07/10/2025 08:30</t>
  </si>
  <si>
    <t>07/10/2025 08:45</t>
  </si>
  <si>
    <t>07/10/2025 09:00</t>
  </si>
  <si>
    <t>07/10/2025 09:15</t>
  </si>
  <si>
    <t>07/10/2025 09:30</t>
  </si>
  <si>
    <t>07/10/2025 09:45</t>
  </si>
  <si>
    <t>07/10/2025 10:00</t>
  </si>
  <si>
    <t>07/10/2025 10:15</t>
  </si>
  <si>
    <t>07/10/2025 10:30</t>
  </si>
  <si>
    <t>07/10/2025 10:45</t>
  </si>
  <si>
    <t>07/10/2025 11:00</t>
  </si>
  <si>
    <t>07/10/2025 11:15</t>
  </si>
  <si>
    <t>07/10/2025 11:30</t>
  </si>
  <si>
    <t>07/10/2025 11:45</t>
  </si>
  <si>
    <t>07/10/2025 12:00</t>
  </si>
  <si>
    <t>07/10/2025 12:15</t>
  </si>
  <si>
    <t>07/10/2025 12:30</t>
  </si>
  <si>
    <t>07/10/2025 12:45</t>
  </si>
  <si>
    <t>07/10/2025 13:00</t>
  </si>
  <si>
    <t>07/10/2025 13:15</t>
  </si>
  <si>
    <t>07/10/2025 13:30</t>
  </si>
  <si>
    <t>07/10/2025 13:45</t>
  </si>
  <si>
    <t>07/10/2025 14:00</t>
  </si>
  <si>
    <t>07/10/2025 14:15</t>
  </si>
  <si>
    <t>07/10/2025 14:30</t>
  </si>
  <si>
    <t>07/10/2025 14:45</t>
  </si>
  <si>
    <t>07/10/2025 15:00</t>
  </si>
  <si>
    <t>07/10/2025 15:15</t>
  </si>
  <si>
    <t>07/10/2025 15:30</t>
  </si>
  <si>
    <t>07/10/2025 15:45</t>
  </si>
  <si>
    <t>07/10/2025 16:00</t>
  </si>
  <si>
    <t>07/10/2025 16:15</t>
  </si>
  <si>
    <t>07/10/2025 16:30</t>
  </si>
  <si>
    <t>07/10/2025 16:45</t>
  </si>
  <si>
    <t>07/10/2025 17:00</t>
  </si>
  <si>
    <t>07/10/2025 17:15</t>
  </si>
  <si>
    <t>07/10/2025 17:30</t>
  </si>
  <si>
    <t>07/10/2025 17:45</t>
  </si>
  <si>
    <t>07/10/2025 18:00</t>
  </si>
  <si>
    <t>07/10/2025 18:15</t>
  </si>
  <si>
    <t>07/10/2025 18:30</t>
  </si>
  <si>
    <t>07/10/2025 18:45</t>
  </si>
  <si>
    <t>07/10/2025 19:00</t>
  </si>
  <si>
    <t>07/10/2025 19:15</t>
  </si>
  <si>
    <t>07/10/2025 19:30</t>
  </si>
  <si>
    <t>07/10/2025 19:45</t>
  </si>
  <si>
    <t>07/10/2025 20:00</t>
  </si>
  <si>
    <t>07/10/2025 20:15</t>
  </si>
  <si>
    <t>07/10/2025 20:30</t>
  </si>
  <si>
    <t>07/10/2025 20:45</t>
  </si>
  <si>
    <t>07/10/2025 21:00</t>
  </si>
  <si>
    <t>07/10/2025 21:15</t>
  </si>
  <si>
    <t>07/10/2025 21:30</t>
  </si>
  <si>
    <t>07/10/2025 21:45</t>
  </si>
  <si>
    <t>07/10/2025 22:00</t>
  </si>
  <si>
    <t>07/10/2025 22:15</t>
  </si>
  <si>
    <t>07/10/2025 22:30</t>
  </si>
  <si>
    <t>07/10/2025 22:45</t>
  </si>
  <si>
    <t>07/10/2025 23:00</t>
  </si>
  <si>
    <t>07/10/2025 23:15</t>
  </si>
  <si>
    <t>07/10/2025 23:30</t>
  </si>
  <si>
    <t>07/10/2025 23:45</t>
  </si>
  <si>
    <t>07/10/2025 24:00</t>
  </si>
  <si>
    <t>08/10/2025 00:15</t>
  </si>
  <si>
    <t>08/10/2025 00:30</t>
  </si>
  <si>
    <t>08/10/2025 00:45</t>
  </si>
  <si>
    <t>08/10/2025 01:00</t>
  </si>
  <si>
    <t>08/10/2025 01:15</t>
  </si>
  <si>
    <t>08/10/2025 01:30</t>
  </si>
  <si>
    <t>08/10/2025 01:45</t>
  </si>
  <si>
    <t>08/10/2025 02:00</t>
  </si>
  <si>
    <t>08/10/2025 02:15</t>
  </si>
  <si>
    <t>08/10/2025 02:30</t>
  </si>
  <si>
    <t>08/10/2025 02:45</t>
  </si>
  <si>
    <t>08/10/2025 03:00</t>
  </si>
  <si>
    <t>08/10/2025 03:15</t>
  </si>
  <si>
    <t>08/10/2025 03:30</t>
  </si>
  <si>
    <t>08/10/2025 03:45</t>
  </si>
  <si>
    <t>08/10/2025 04:00</t>
  </si>
  <si>
    <t>08/10/2025 04:15</t>
  </si>
  <si>
    <t>08/10/2025 04:30</t>
  </si>
  <si>
    <t>08/10/2025 04:45</t>
  </si>
  <si>
    <t>08/10/2025 05:00</t>
  </si>
  <si>
    <t>08/10/2025 05:15</t>
  </si>
  <si>
    <t>08/10/2025 05:30</t>
  </si>
  <si>
    <t>08/10/2025 05:45</t>
  </si>
  <si>
    <t>08/10/2025 06:00</t>
  </si>
  <si>
    <t>08/10/2025 06:15</t>
  </si>
  <si>
    <t>08/10/2025 06:30</t>
  </si>
  <si>
    <t>08/10/2025 06:45</t>
  </si>
  <si>
    <t>08/10/2025 07:00</t>
  </si>
  <si>
    <t>08/10/2025 07:15</t>
  </si>
  <si>
    <t>08/10/2025 07:30</t>
  </si>
  <si>
    <t>08/10/2025 07:45</t>
  </si>
  <si>
    <t>08/10/2025 08:00</t>
  </si>
  <si>
    <t>08/10/2025 08:15</t>
  </si>
  <si>
    <t>08/10/2025 08:30</t>
  </si>
  <si>
    <t>08/10/2025 08:45</t>
  </si>
  <si>
    <t>08/10/2025 09:00</t>
  </si>
  <si>
    <t>08/10/2025 09:15</t>
  </si>
  <si>
    <t>08/10/2025 09:30</t>
  </si>
  <si>
    <t>08/10/2025 09:45</t>
  </si>
  <si>
    <t>08/10/2025 10:00</t>
  </si>
  <si>
    <t>08/10/2025 10:15</t>
  </si>
  <si>
    <t>08/10/2025 10:30</t>
  </si>
  <si>
    <t>08/10/2025 10:45</t>
  </si>
  <si>
    <t>08/10/2025 11:00</t>
  </si>
  <si>
    <t>08/10/2025 11:15</t>
  </si>
  <si>
    <t>08/10/2025 11:30</t>
  </si>
  <si>
    <t>08/10/2025 11:45</t>
  </si>
  <si>
    <t>08/10/2025 12:00</t>
  </si>
  <si>
    <t>08/10/2025 12:15</t>
  </si>
  <si>
    <t>08/10/2025 12:30</t>
  </si>
  <si>
    <t>08/10/2025 12:45</t>
  </si>
  <si>
    <t>08/10/2025 13:00</t>
  </si>
  <si>
    <t>08/10/2025 13:15</t>
  </si>
  <si>
    <t>08/10/2025 13:30</t>
  </si>
  <si>
    <t>08/10/2025 13:45</t>
  </si>
  <si>
    <t>08/10/2025 14:00</t>
  </si>
  <si>
    <t>08/10/2025 14:15</t>
  </si>
  <si>
    <t>08/10/2025 14:30</t>
  </si>
  <si>
    <t>08/10/2025 14:45</t>
  </si>
  <si>
    <t>08/10/2025 15:00</t>
  </si>
  <si>
    <t>08/10/2025 15:15</t>
  </si>
  <si>
    <t>08/10/2025 15:30</t>
  </si>
  <si>
    <t>08/10/2025 15:45</t>
  </si>
  <si>
    <t>08/10/2025 16:00</t>
  </si>
  <si>
    <t>08/10/2025 16:15</t>
  </si>
  <si>
    <t>08/10/2025 16:30</t>
  </si>
  <si>
    <t>08/10/2025 16:45</t>
  </si>
  <si>
    <t>08/10/2025 17:00</t>
  </si>
  <si>
    <t>08/10/2025 17:15</t>
  </si>
  <si>
    <t>08/10/2025 17:30</t>
  </si>
  <si>
    <t>08/10/2025 17:45</t>
  </si>
  <si>
    <t>08/10/2025 18:00</t>
  </si>
  <si>
    <t>08/10/2025 18:15</t>
  </si>
  <si>
    <t>08/10/2025 18:30</t>
  </si>
  <si>
    <t>08/10/2025 18:45</t>
  </si>
  <si>
    <t>08/10/2025 19:00</t>
  </si>
  <si>
    <t>08/10/2025 19:15</t>
  </si>
  <si>
    <t>08/10/2025 19:30</t>
  </si>
  <si>
    <t>08/10/2025 19:45</t>
  </si>
  <si>
    <t>08/10/2025 20:00</t>
  </si>
  <si>
    <t>08/10/2025 20:15</t>
  </si>
  <si>
    <t>08/10/2025 20:30</t>
  </si>
  <si>
    <t>08/10/2025 20:45</t>
  </si>
  <si>
    <t>08/10/2025 21:00</t>
  </si>
  <si>
    <t>08/10/2025 21:15</t>
  </si>
  <si>
    <t>08/10/2025 21:30</t>
  </si>
  <si>
    <t>08/10/2025 21:45</t>
  </si>
  <si>
    <t>08/10/2025 22:00</t>
  </si>
  <si>
    <t>08/10/2025 22:15</t>
  </si>
  <si>
    <t>08/10/2025 22:30</t>
  </si>
  <si>
    <t>08/10/2025 22:45</t>
  </si>
  <si>
    <t>08/10/2025 23:00</t>
  </si>
  <si>
    <t>08/10/2025 23:15</t>
  </si>
  <si>
    <t>08/10/2025 23:30</t>
  </si>
  <si>
    <t>08/10/2025 23:45</t>
  </si>
  <si>
    <t>08/10/2025 24:00</t>
  </si>
  <si>
    <t>09/10/2025 00:15</t>
  </si>
  <si>
    <t>09/10/2025 00:30</t>
  </si>
  <si>
    <t>09/10/2025 00:45</t>
  </si>
  <si>
    <t>09/10/2025 01:00</t>
  </si>
  <si>
    <t>09/10/2025 01:15</t>
  </si>
  <si>
    <t>09/10/2025 01:30</t>
  </si>
  <si>
    <t>09/10/2025 01:45</t>
  </si>
  <si>
    <t>09/10/2025 02:00</t>
  </si>
  <si>
    <t>09/10/2025 02:15</t>
  </si>
  <si>
    <t>09/10/2025 02:30</t>
  </si>
  <si>
    <t>09/10/2025 02:45</t>
  </si>
  <si>
    <t>09/10/2025 03:00</t>
  </si>
  <si>
    <t>09/10/2025 03:15</t>
  </si>
  <si>
    <t>09/10/2025 03:30</t>
  </si>
  <si>
    <t>09/10/2025 03:45</t>
  </si>
  <si>
    <t>09/10/2025 04:00</t>
  </si>
  <si>
    <t>09/10/2025 04:15</t>
  </si>
  <si>
    <t>09/10/2025 04:30</t>
  </si>
  <si>
    <t>09/10/2025 04:45</t>
  </si>
  <si>
    <t>09/10/2025 05:00</t>
  </si>
  <si>
    <t>09/10/2025 05:15</t>
  </si>
  <si>
    <t>09/10/2025 05:30</t>
  </si>
  <si>
    <t>09/10/2025 05:45</t>
  </si>
  <si>
    <t>09/10/2025 06:00</t>
  </si>
  <si>
    <t>09/10/2025 06:15</t>
  </si>
  <si>
    <t>09/10/2025 06:30</t>
  </si>
  <si>
    <t>09/10/2025 06:45</t>
  </si>
  <si>
    <t>09/10/2025 07:00</t>
  </si>
  <si>
    <t>09/10/2025 07:15</t>
  </si>
  <si>
    <t>09/10/2025 07:30</t>
  </si>
  <si>
    <t>09/10/2025 07:45</t>
  </si>
  <si>
    <t>09/10/2025 08:00</t>
  </si>
  <si>
    <t>09/10/2025 08:15</t>
  </si>
  <si>
    <t>09/10/2025 08:30</t>
  </si>
  <si>
    <t>09/10/2025 08:45</t>
  </si>
  <si>
    <t>09/10/2025 09:00</t>
  </si>
  <si>
    <t>09/10/2025 09:15</t>
  </si>
  <si>
    <t>09/10/2025 09:30</t>
  </si>
  <si>
    <t>09/10/2025 09:45</t>
  </si>
  <si>
    <t>09/10/2025 10:00</t>
  </si>
  <si>
    <t>09/10/2025 10:15</t>
  </si>
  <si>
    <t>09/10/2025 10:30</t>
  </si>
  <si>
    <t>09/10/2025 10:45</t>
  </si>
  <si>
    <t>09/10/2025 11:00</t>
  </si>
  <si>
    <t>09/10/2025 11:15</t>
  </si>
  <si>
    <t>09/10/2025 11:30</t>
  </si>
  <si>
    <t>09/10/2025 11:45</t>
  </si>
  <si>
    <t>09/10/2025 12:00</t>
  </si>
  <si>
    <t>09/10/2025 12:15</t>
  </si>
  <si>
    <t>09/10/2025 12:30</t>
  </si>
  <si>
    <t>09/10/2025 12:45</t>
  </si>
  <si>
    <t>09/10/2025 13:00</t>
  </si>
  <si>
    <t>09/10/2025 13:15</t>
  </si>
  <si>
    <t>09/10/2025 13:30</t>
  </si>
  <si>
    <t>09/10/2025 13:45</t>
  </si>
  <si>
    <t>09/10/2025 14:00</t>
  </si>
  <si>
    <t>09/10/2025 14:15</t>
  </si>
  <si>
    <t>09/10/2025 14:30</t>
  </si>
  <si>
    <t>09/10/2025 14:45</t>
  </si>
  <si>
    <t>09/10/2025 15:00</t>
  </si>
  <si>
    <t>09/10/2025 15:15</t>
  </si>
  <si>
    <t>09/10/2025 15:30</t>
  </si>
  <si>
    <t>09/10/2025 15:45</t>
  </si>
  <si>
    <t>09/10/2025 16:00</t>
  </si>
  <si>
    <t>09/10/2025 16:15</t>
  </si>
  <si>
    <t>09/10/2025 16:30</t>
  </si>
  <si>
    <t>09/10/2025 16:45</t>
  </si>
  <si>
    <t>09/10/2025 17:00</t>
  </si>
  <si>
    <t>09/10/2025 17:15</t>
  </si>
  <si>
    <t>09/10/2025 17:30</t>
  </si>
  <si>
    <t>09/10/2025 17:45</t>
  </si>
  <si>
    <t>09/10/2025 18:00</t>
  </si>
  <si>
    <t>09/10/2025 18:15</t>
  </si>
  <si>
    <t>09/10/2025 18:30</t>
  </si>
  <si>
    <t>09/10/2025 18:45</t>
  </si>
  <si>
    <t>09/10/2025 19:00</t>
  </si>
  <si>
    <t>09/10/2025 19:15</t>
  </si>
  <si>
    <t>09/10/2025 19:30</t>
  </si>
  <si>
    <t>09/10/2025 19:45</t>
  </si>
  <si>
    <t>09/10/2025 20:00</t>
  </si>
  <si>
    <t>09/10/2025 20:15</t>
  </si>
  <si>
    <t>09/10/2025 20:30</t>
  </si>
  <si>
    <t>09/10/2025 20:45</t>
  </si>
  <si>
    <t>09/10/2025 21:00</t>
  </si>
  <si>
    <t>09/10/2025 21:15</t>
  </si>
  <si>
    <t>09/10/2025 21:30</t>
  </si>
  <si>
    <t>09/10/2025 21:45</t>
  </si>
  <si>
    <t>09/10/2025 22:00</t>
  </si>
  <si>
    <t>09/10/2025 22:15</t>
  </si>
  <si>
    <t>09/10/2025 22:30</t>
  </si>
  <si>
    <t>09/10/2025 22:45</t>
  </si>
  <si>
    <t>09/10/2025 23:00</t>
  </si>
  <si>
    <t>09/10/2025 23:15</t>
  </si>
  <si>
    <t>09/10/2025 23:30</t>
  </si>
  <si>
    <t>09/10/2025 23:45</t>
  </si>
  <si>
    <t>09/10/2025 24:00</t>
  </si>
  <si>
    <t>10/10/2025 00:15</t>
  </si>
  <si>
    <t>10/10/2025 00:30</t>
  </si>
  <si>
    <t>10/10/2025 00:45</t>
  </si>
  <si>
    <t>10/10/2025 01:00</t>
  </si>
  <si>
    <t>10/10/2025 01:15</t>
  </si>
  <si>
    <t>10/10/2025 01:30</t>
  </si>
  <si>
    <t>10/10/2025 01:45</t>
  </si>
  <si>
    <t>10/10/2025 02:00</t>
  </si>
  <si>
    <t>10/10/2025 02:15</t>
  </si>
  <si>
    <t>10/10/2025 02:30</t>
  </si>
  <si>
    <t>10/10/2025 02:45</t>
  </si>
  <si>
    <t>10/10/2025 03:00</t>
  </si>
  <si>
    <t>10/10/2025 03:15</t>
  </si>
  <si>
    <t>10/10/2025 03:30</t>
  </si>
  <si>
    <t>10/10/2025 03:45</t>
  </si>
  <si>
    <t>10/10/2025 04:00</t>
  </si>
  <si>
    <t>10/10/2025 04:15</t>
  </si>
  <si>
    <t>10/10/2025 04:30</t>
  </si>
  <si>
    <t>10/10/2025 04:45</t>
  </si>
  <si>
    <t>10/10/2025 05:00</t>
  </si>
  <si>
    <t>10/10/2025 05:15</t>
  </si>
  <si>
    <t>10/10/2025 05:30</t>
  </si>
  <si>
    <t>10/10/2025 05:45</t>
  </si>
  <si>
    <t>10/10/2025 06:00</t>
  </si>
  <si>
    <t>10/10/2025 06:15</t>
  </si>
  <si>
    <t>10/10/2025 06:30</t>
  </si>
  <si>
    <t>10/10/2025 06:45</t>
  </si>
  <si>
    <t>10/10/2025 07:00</t>
  </si>
  <si>
    <t>10/10/2025 07:15</t>
  </si>
  <si>
    <t>10/10/2025 07:30</t>
  </si>
  <si>
    <t>10/10/2025 07:45</t>
  </si>
  <si>
    <t>10/10/2025 08:00</t>
  </si>
  <si>
    <t>10/10/2025 08:15</t>
  </si>
  <si>
    <t>10/10/2025 08:30</t>
  </si>
  <si>
    <t>10/10/2025 08:45</t>
  </si>
  <si>
    <t>10/10/2025 09:00</t>
  </si>
  <si>
    <t>10/10/2025 09:15</t>
  </si>
  <si>
    <t>10/10/2025 09:30</t>
  </si>
  <si>
    <t>10/10/2025 09:45</t>
  </si>
  <si>
    <t>10/10/2025 10:00</t>
  </si>
  <si>
    <t>10/10/2025 10:15</t>
  </si>
  <si>
    <t>10/10/2025 10:30</t>
  </si>
  <si>
    <t>10/10/2025 10:45</t>
  </si>
  <si>
    <t>10/10/2025 11:00</t>
  </si>
  <si>
    <t>10/10/2025 11:15</t>
  </si>
  <si>
    <t>10/10/2025 11:30</t>
  </si>
  <si>
    <t>10/10/2025 11:45</t>
  </si>
  <si>
    <t>10/10/2025 12:00</t>
  </si>
  <si>
    <t>10/10/2025 12:15</t>
  </si>
  <si>
    <t>10/10/2025 12:30</t>
  </si>
  <si>
    <t>10/10/2025 12:45</t>
  </si>
  <si>
    <t>10/10/2025 13:00</t>
  </si>
  <si>
    <t>10/10/2025 13:15</t>
  </si>
  <si>
    <t>10/10/2025 13:30</t>
  </si>
  <si>
    <t>10/10/2025 13:45</t>
  </si>
  <si>
    <t>10/10/2025 14:00</t>
  </si>
  <si>
    <t>10/10/2025 14:15</t>
  </si>
  <si>
    <t>10/10/2025 14:30</t>
  </si>
  <si>
    <t>10/10/2025 14:45</t>
  </si>
  <si>
    <t>10/10/2025 15:00</t>
  </si>
  <si>
    <t>10/10/2025 15:15</t>
  </si>
  <si>
    <t>10/10/2025 15:30</t>
  </si>
  <si>
    <t>10/10/2025 15:45</t>
  </si>
  <si>
    <t>10/10/2025 16:00</t>
  </si>
  <si>
    <t>10/10/2025 16:15</t>
  </si>
  <si>
    <t>10/10/2025 16:30</t>
  </si>
  <si>
    <t>10/10/2025 16:45</t>
  </si>
  <si>
    <t>10/10/2025 17:00</t>
  </si>
  <si>
    <t>10/10/2025 17:15</t>
  </si>
  <si>
    <t>10/10/2025 17:30</t>
  </si>
  <si>
    <t>10/10/2025 17:45</t>
  </si>
  <si>
    <t>10/10/2025 18:00</t>
  </si>
  <si>
    <t>10/10/2025 18:15</t>
  </si>
  <si>
    <t>10/10/2025 18:30</t>
  </si>
  <si>
    <t>10/10/2025 18:45</t>
  </si>
  <si>
    <t>10/10/2025 19:00</t>
  </si>
  <si>
    <t>10/10/2025 19:15</t>
  </si>
  <si>
    <t>10/10/2025 19:30</t>
  </si>
  <si>
    <t>10/10/2025 19:45</t>
  </si>
  <si>
    <t>10/10/2025 20:00</t>
  </si>
  <si>
    <t>10/10/2025 20:15</t>
  </si>
  <si>
    <t>10/10/2025 20:30</t>
  </si>
  <si>
    <t>10/10/2025 20:45</t>
  </si>
  <si>
    <t>10/10/2025 21:00</t>
  </si>
  <si>
    <t>10/10/2025 21:15</t>
  </si>
  <si>
    <t>10/10/2025 21:30</t>
  </si>
  <si>
    <t>10/10/2025 21:45</t>
  </si>
  <si>
    <t>10/10/2025 22:00</t>
  </si>
  <si>
    <t>10/10/2025 22:15</t>
  </si>
  <si>
    <t>10/10/2025 22:30</t>
  </si>
  <si>
    <t>10/10/2025 22:45</t>
  </si>
  <si>
    <t>10/10/2025 23:00</t>
  </si>
  <si>
    <t>10/10/2025 23:15</t>
  </si>
  <si>
    <t>10/10/2025 23:30</t>
  </si>
  <si>
    <t>10/10/2025 23:45</t>
  </si>
  <si>
    <t>10/10/2025 24:00</t>
  </si>
  <si>
    <t>11/10/2025 00:15</t>
  </si>
  <si>
    <t>11/10/2025 00:30</t>
  </si>
  <si>
    <t>11/10/2025 00:45</t>
  </si>
  <si>
    <t>11/10/2025 01:00</t>
  </si>
  <si>
    <t>11/10/2025 01:15</t>
  </si>
  <si>
    <t>11/10/2025 01:30</t>
  </si>
  <si>
    <t>11/10/2025 01:45</t>
  </si>
  <si>
    <t>11/10/2025 02:00</t>
  </si>
  <si>
    <t>11/10/2025 02:15</t>
  </si>
  <si>
    <t>11/10/2025 02:30</t>
  </si>
  <si>
    <t>11/10/2025 02:45</t>
  </si>
  <si>
    <t>11/10/2025 03:00</t>
  </si>
  <si>
    <t>11/10/2025 03:15</t>
  </si>
  <si>
    <t>11/10/2025 03:30</t>
  </si>
  <si>
    <t>11/10/2025 03:45</t>
  </si>
  <si>
    <t>11/10/2025 04:00</t>
  </si>
  <si>
    <t>11/10/2025 04:15</t>
  </si>
  <si>
    <t>11/10/2025 04:30</t>
  </si>
  <si>
    <t>11/10/2025 04:45</t>
  </si>
  <si>
    <t>11/10/2025 05:00</t>
  </si>
  <si>
    <t>11/10/2025 05:15</t>
  </si>
  <si>
    <t>11/10/2025 05:30</t>
  </si>
  <si>
    <t>11/10/2025 05:45</t>
  </si>
  <si>
    <t>11/10/2025 06:00</t>
  </si>
  <si>
    <t>11/10/2025 06:15</t>
  </si>
  <si>
    <t>11/10/2025 06:30</t>
  </si>
  <si>
    <t>11/10/2025 06:45</t>
  </si>
  <si>
    <t>11/10/2025 07:00</t>
  </si>
  <si>
    <t>11/10/2025 07:15</t>
  </si>
  <si>
    <t>11/10/2025 07:30</t>
  </si>
  <si>
    <t>11/10/2025 07:45</t>
  </si>
  <si>
    <t>11/10/2025 08:00</t>
  </si>
  <si>
    <t>11/10/2025 08:15</t>
  </si>
  <si>
    <t>11/10/2025 08:30</t>
  </si>
  <si>
    <t>11/10/2025 08:45</t>
  </si>
  <si>
    <t>11/10/2025 09:00</t>
  </si>
  <si>
    <t>11/10/2025 09:15</t>
  </si>
  <si>
    <t>11/10/2025 09:30</t>
  </si>
  <si>
    <t>11/10/2025 09:45</t>
  </si>
  <si>
    <t>11/10/2025 10:00</t>
  </si>
  <si>
    <t>11/10/2025 10:15</t>
  </si>
  <si>
    <t>11/10/2025 10:30</t>
  </si>
  <si>
    <t>11/10/2025 10:45</t>
  </si>
  <si>
    <t>11/10/2025 11:00</t>
  </si>
  <si>
    <t>11/10/2025 11:15</t>
  </si>
  <si>
    <t>11/10/2025 11:30</t>
  </si>
  <si>
    <t>11/10/2025 11:45</t>
  </si>
  <si>
    <t>11/10/2025 12:00</t>
  </si>
  <si>
    <t>11/10/2025 12:15</t>
  </si>
  <si>
    <t>11/10/2025 12:30</t>
  </si>
  <si>
    <t>11/10/2025 12:45</t>
  </si>
  <si>
    <t>11/10/2025 13:00</t>
  </si>
  <si>
    <t>11/10/2025 13:15</t>
  </si>
  <si>
    <t>11/10/2025 13:30</t>
  </si>
  <si>
    <t>11/10/2025 13:45</t>
  </si>
  <si>
    <t>11/10/2025 14:00</t>
  </si>
  <si>
    <t>11/10/2025 14:15</t>
  </si>
  <si>
    <t>11/10/2025 14:30</t>
  </si>
  <si>
    <t>11/10/2025 14:45</t>
  </si>
  <si>
    <t>11/10/2025 15:00</t>
  </si>
  <si>
    <t>11/10/2025 15:15</t>
  </si>
  <si>
    <t>11/10/2025 15:30</t>
  </si>
  <si>
    <t>11/10/2025 15:45</t>
  </si>
  <si>
    <t>11/10/2025 16:00</t>
  </si>
  <si>
    <t>11/10/2025 16:15</t>
  </si>
  <si>
    <t>11/10/2025 16:30</t>
  </si>
  <si>
    <t>11/10/2025 16:45</t>
  </si>
  <si>
    <t>11/10/2025 17:00</t>
  </si>
  <si>
    <t>11/10/2025 17:15</t>
  </si>
  <si>
    <t>11/10/2025 17:30</t>
  </si>
  <si>
    <t>11/10/2025 17:45</t>
  </si>
  <si>
    <t>11/10/2025 18:00</t>
  </si>
  <si>
    <t>11/10/2025 18:15</t>
  </si>
  <si>
    <t>11/10/2025 18:30</t>
  </si>
  <si>
    <t>11/10/2025 18:45</t>
  </si>
  <si>
    <t>11/10/2025 19:00</t>
  </si>
  <si>
    <t>11/10/2025 19:15</t>
  </si>
  <si>
    <t>11/10/2025 19:30</t>
  </si>
  <si>
    <t>11/10/2025 19:45</t>
  </si>
  <si>
    <t>11/10/2025 20:00</t>
  </si>
  <si>
    <t>11/10/2025 20:15</t>
  </si>
  <si>
    <t>11/10/2025 20:30</t>
  </si>
  <si>
    <t>11/10/2025 20:45</t>
  </si>
  <si>
    <t>11/10/2025 21:00</t>
  </si>
  <si>
    <t>11/10/2025 21:15</t>
  </si>
  <si>
    <t>11/10/2025 21:30</t>
  </si>
  <si>
    <t>11/10/2025 21:45</t>
  </si>
  <si>
    <t>11/10/2025 22:00</t>
  </si>
  <si>
    <t>11/10/2025 22:15</t>
  </si>
  <si>
    <t>11/10/2025 22:30</t>
  </si>
  <si>
    <t>11/10/2025 22:45</t>
  </si>
  <si>
    <t>11/10/2025 23:00</t>
  </si>
  <si>
    <t>11/10/2025 23:15</t>
  </si>
  <si>
    <t>11/10/2025 23:30</t>
  </si>
  <si>
    <t>11/10/2025 23:45</t>
  </si>
  <si>
    <t>11/10/2025 24:00</t>
  </si>
  <si>
    <t>12/10/2025 00:15</t>
  </si>
  <si>
    <t>12/10/2025 00:30</t>
  </si>
  <si>
    <t>12/10/2025 00:45</t>
  </si>
  <si>
    <t>12/10/2025 01:00</t>
  </si>
  <si>
    <t>12/10/2025 01:15</t>
  </si>
  <si>
    <t>12/10/2025 01:30</t>
  </si>
  <si>
    <t>12/10/2025 01:45</t>
  </si>
  <si>
    <t>12/10/2025 02:00</t>
  </si>
  <si>
    <t>12/10/2025 02:15</t>
  </si>
  <si>
    <t>12/10/2025 02:30</t>
  </si>
  <si>
    <t>12/10/2025 02:45</t>
  </si>
  <si>
    <t>12/10/2025 03:00</t>
  </si>
  <si>
    <t>12/10/2025 03:15</t>
  </si>
  <si>
    <t>12/10/2025 03:30</t>
  </si>
  <si>
    <t>12/10/2025 03:45</t>
  </si>
  <si>
    <t>12/10/2025 04:00</t>
  </si>
  <si>
    <t>12/10/2025 04:15</t>
  </si>
  <si>
    <t>12/10/2025 04:30</t>
  </si>
  <si>
    <t>12/10/2025 04:45</t>
  </si>
  <si>
    <t>12/10/2025 05:00</t>
  </si>
  <si>
    <t>12/10/2025 05:15</t>
  </si>
  <si>
    <t>12/10/2025 05:30</t>
  </si>
  <si>
    <t>12/10/2025 05:45</t>
  </si>
  <si>
    <t>12/10/2025 06:00</t>
  </si>
  <si>
    <t>12/10/2025 06:15</t>
  </si>
  <si>
    <t>12/10/2025 06:30</t>
  </si>
  <si>
    <t>12/10/2025 06:45</t>
  </si>
  <si>
    <t>12/10/2025 07:00</t>
  </si>
  <si>
    <t>12/10/2025 07:15</t>
  </si>
  <si>
    <t>12/10/2025 07:30</t>
  </si>
  <si>
    <t>12/10/2025 07:45</t>
  </si>
  <si>
    <t>12/10/2025 08:00</t>
  </si>
  <si>
    <t>12/10/2025 08:15</t>
  </si>
  <si>
    <t>12/10/2025 08:30</t>
  </si>
  <si>
    <t>12/10/2025 08:45</t>
  </si>
  <si>
    <t>12/10/2025 09:00</t>
  </si>
  <si>
    <t>12/10/2025 09:15</t>
  </si>
  <si>
    <t>12/10/2025 09:30</t>
  </si>
  <si>
    <t>12/10/2025 09:45</t>
  </si>
  <si>
    <t>12/10/2025 10:00</t>
  </si>
  <si>
    <t>12/10/2025 10:15</t>
  </si>
  <si>
    <t>12/10/2025 10:30</t>
  </si>
  <si>
    <t>12/10/2025 10:45</t>
  </si>
  <si>
    <t>12/10/2025 11:00</t>
  </si>
  <si>
    <t>12/10/2025 11:15</t>
  </si>
  <si>
    <t>12/10/2025 11:30</t>
  </si>
  <si>
    <t>12/10/2025 11:45</t>
  </si>
  <si>
    <t>12/10/2025 12:00</t>
  </si>
  <si>
    <t>12/10/2025 12:15</t>
  </si>
  <si>
    <t>12/10/2025 12:30</t>
  </si>
  <si>
    <t>12/10/2025 12:45</t>
  </si>
  <si>
    <t>12/10/2025 13:00</t>
  </si>
  <si>
    <t>12/10/2025 13:15</t>
  </si>
  <si>
    <t>12/10/2025 13:30</t>
  </si>
  <si>
    <t>12/10/2025 13:45</t>
  </si>
  <si>
    <t>12/10/2025 14:00</t>
  </si>
  <si>
    <t>12/10/2025 14:15</t>
  </si>
  <si>
    <t>12/10/2025 14:30</t>
  </si>
  <si>
    <t>12/10/2025 14:45</t>
  </si>
  <si>
    <t>12/10/2025 15:00</t>
  </si>
  <si>
    <t>12/10/2025 15:15</t>
  </si>
  <si>
    <t>12/10/2025 15:30</t>
  </si>
  <si>
    <t>12/10/2025 15:45</t>
  </si>
  <si>
    <t>12/10/2025 16:00</t>
  </si>
  <si>
    <t>12/10/2025 16:15</t>
  </si>
  <si>
    <t>12/10/2025 16:30</t>
  </si>
  <si>
    <t>12/10/2025 16:45</t>
  </si>
  <si>
    <t>12/10/2025 17:00</t>
  </si>
  <si>
    <t>12/10/2025 17:15</t>
  </si>
  <si>
    <t>12/10/2025 17:30</t>
  </si>
  <si>
    <t>12/10/2025 17:45</t>
  </si>
  <si>
    <t>12/10/2025 18:00</t>
  </si>
  <si>
    <t>12/10/2025 18:15</t>
  </si>
  <si>
    <t>12/10/2025 18:30</t>
  </si>
  <si>
    <t>12/10/2025 18:45</t>
  </si>
  <si>
    <t>12/10/2025 19:00</t>
  </si>
  <si>
    <t>12/10/2025 19:15</t>
  </si>
  <si>
    <t>12/10/2025 19:30</t>
  </si>
  <si>
    <t>12/10/2025 19:45</t>
  </si>
  <si>
    <t>12/10/2025 20:00</t>
  </si>
  <si>
    <t>12/10/2025 20:15</t>
  </si>
  <si>
    <t>12/10/2025 20:30</t>
  </si>
  <si>
    <t>12/10/2025 20:45</t>
  </si>
  <si>
    <t>12/10/2025 21:00</t>
  </si>
  <si>
    <t>12/10/2025 21:15</t>
  </si>
  <si>
    <t>12/10/2025 21:30</t>
  </si>
  <si>
    <t>12/10/2025 21:45</t>
  </si>
  <si>
    <t>12/10/2025 22:00</t>
  </si>
  <si>
    <t>12/10/2025 22:15</t>
  </si>
  <si>
    <t>12/10/2025 22:30</t>
  </si>
  <si>
    <t>12/10/2025 22:45</t>
  </si>
  <si>
    <t>12/10/2025 23:00</t>
  </si>
  <si>
    <t>12/10/2025 23:15</t>
  </si>
  <si>
    <t>12/10/2025 23:30</t>
  </si>
  <si>
    <t>12/10/2025 23:45</t>
  </si>
  <si>
    <t>12/10/2025 24:00</t>
  </si>
  <si>
    <t>13/10/2025 00:15</t>
  </si>
  <si>
    <t>13/10/2025 00:30</t>
  </si>
  <si>
    <t>13/10/2025 00:45</t>
  </si>
  <si>
    <t>13/10/2025 01:00</t>
  </si>
  <si>
    <t>13/10/2025 01:15</t>
  </si>
  <si>
    <t>13/10/2025 01:30</t>
  </si>
  <si>
    <t>13/10/2025 01:45</t>
  </si>
  <si>
    <t>13/10/2025 02:00</t>
  </si>
  <si>
    <t>13/10/2025 02:15</t>
  </si>
  <si>
    <t>13/10/2025 02:30</t>
  </si>
  <si>
    <t>13/10/2025 02:45</t>
  </si>
  <si>
    <t>13/10/2025 03:00</t>
  </si>
  <si>
    <t>13/10/2025 03:15</t>
  </si>
  <si>
    <t>13/10/2025 03:30</t>
  </si>
  <si>
    <t>13/10/2025 03:45</t>
  </si>
  <si>
    <t>13/10/2025 04:00</t>
  </si>
  <si>
    <t>13/10/2025 04:15</t>
  </si>
  <si>
    <t>13/10/2025 04:30</t>
  </si>
  <si>
    <t>13/10/2025 04:45</t>
  </si>
  <si>
    <t>13/10/2025 05:00</t>
  </si>
  <si>
    <t>13/10/2025 05:15</t>
  </si>
  <si>
    <t>13/10/2025 05:30</t>
  </si>
  <si>
    <t>13/10/2025 05:45</t>
  </si>
  <si>
    <t>13/10/2025 06:00</t>
  </si>
  <si>
    <t>13/10/2025 06:15</t>
  </si>
  <si>
    <t>13/10/2025 06:30</t>
  </si>
  <si>
    <t>13/10/2025 06:45</t>
  </si>
  <si>
    <t>13/10/2025 07:00</t>
  </si>
  <si>
    <t>13/10/2025 07:15</t>
  </si>
  <si>
    <t>13/10/2025 07:30</t>
  </si>
  <si>
    <t>13/10/2025 07:45</t>
  </si>
  <si>
    <t>13/10/2025 08:00</t>
  </si>
  <si>
    <t>13/10/2025 08:15</t>
  </si>
  <si>
    <t>13/10/2025 08:30</t>
  </si>
  <si>
    <t>13/10/2025 08:45</t>
  </si>
  <si>
    <t>13/10/2025 09:00</t>
  </si>
  <si>
    <t>13/10/2025 09:15</t>
  </si>
  <si>
    <t>13/10/2025 09:30</t>
  </si>
  <si>
    <t>13/10/2025 09:45</t>
  </si>
  <si>
    <t>13/10/2025 10:00</t>
  </si>
  <si>
    <t>13/10/2025 10:15</t>
  </si>
  <si>
    <t>13/10/2025 10:30</t>
  </si>
  <si>
    <t>13/10/2025 10:45</t>
  </si>
  <si>
    <t>13/10/2025 11:00</t>
  </si>
  <si>
    <t>13/10/2025 11:15</t>
  </si>
  <si>
    <t>13/10/2025 11:30</t>
  </si>
  <si>
    <t>13/10/2025 11:45</t>
  </si>
  <si>
    <t>13/10/2025 12:00</t>
  </si>
  <si>
    <t>13/10/2025 12:15</t>
  </si>
  <si>
    <t>13/10/2025 12:30</t>
  </si>
  <si>
    <t>13/10/2025 12:45</t>
  </si>
  <si>
    <t>13/10/2025 13:00</t>
  </si>
  <si>
    <t>13/10/2025 13:15</t>
  </si>
  <si>
    <t>13/10/2025 13:30</t>
  </si>
  <si>
    <t>13/10/2025 13:45</t>
  </si>
  <si>
    <t>13/10/2025 14:00</t>
  </si>
  <si>
    <t>13/10/2025 14:15</t>
  </si>
  <si>
    <t>13/10/2025 14:30</t>
  </si>
  <si>
    <t>13/10/2025 14:45</t>
  </si>
  <si>
    <t>13/10/2025 15:00</t>
  </si>
  <si>
    <t>13/10/2025 15:15</t>
  </si>
  <si>
    <t>13/10/2025 15:30</t>
  </si>
  <si>
    <t>13/10/2025 15:45</t>
  </si>
  <si>
    <t>13/10/2025 16:00</t>
  </si>
  <si>
    <t>13/10/2025 16:15</t>
  </si>
  <si>
    <t>13/10/2025 16:30</t>
  </si>
  <si>
    <t>13/10/2025 16:45</t>
  </si>
  <si>
    <t>13/10/2025 17:00</t>
  </si>
  <si>
    <t>13/10/2025 17:15</t>
  </si>
  <si>
    <t>13/10/2025 17:30</t>
  </si>
  <si>
    <t>13/10/2025 17:45</t>
  </si>
  <si>
    <t>13/10/2025 18:00</t>
  </si>
  <si>
    <t>13/10/2025 18:15</t>
  </si>
  <si>
    <t>13/10/2025 18:30</t>
  </si>
  <si>
    <t>13/10/2025 18:45</t>
  </si>
  <si>
    <t>13/10/2025 19:00</t>
  </si>
  <si>
    <t>13/10/2025 19:15</t>
  </si>
  <si>
    <t>13/10/2025 19:30</t>
  </si>
  <si>
    <t>13/10/2025 19:45</t>
  </si>
  <si>
    <t>13/10/2025 20:00</t>
  </si>
  <si>
    <t>13/10/2025 20:15</t>
  </si>
  <si>
    <t>13/10/2025 20:30</t>
  </si>
  <si>
    <t>13/10/2025 20:45</t>
  </si>
  <si>
    <t>13/10/2025 21:00</t>
  </si>
  <si>
    <t>13/10/2025 21:15</t>
  </si>
  <si>
    <t>13/10/2025 21:30</t>
  </si>
  <si>
    <t>13/10/2025 21:45</t>
  </si>
  <si>
    <t>13/10/2025 22:00</t>
  </si>
  <si>
    <t>13/10/2025 22:15</t>
  </si>
  <si>
    <t>13/10/2025 22:30</t>
  </si>
  <si>
    <t>13/10/2025 22:45</t>
  </si>
  <si>
    <t>13/10/2025 23:00</t>
  </si>
  <si>
    <t>13/10/2025 23:15</t>
  </si>
  <si>
    <t>13/10/2025 23:30</t>
  </si>
  <si>
    <t>13/10/2025 23:45</t>
  </si>
  <si>
    <t>13/10/2025 24:00</t>
  </si>
  <si>
    <t>14/10/2025 00:15</t>
  </si>
  <si>
    <t>14/10/2025 00:30</t>
  </si>
  <si>
    <t>14/10/2025 00:45</t>
  </si>
  <si>
    <t>14/10/2025 01:00</t>
  </si>
  <si>
    <t>14/10/2025 01:15</t>
  </si>
  <si>
    <t>14/10/2025 01:30</t>
  </si>
  <si>
    <t>14/10/2025 01:45</t>
  </si>
  <si>
    <t>14/10/2025 02:00</t>
  </si>
  <si>
    <t>14/10/2025 02:15</t>
  </si>
  <si>
    <t>14/10/2025 02:30</t>
  </si>
  <si>
    <t>14/10/2025 02:45</t>
  </si>
  <si>
    <t>14/10/2025 03:00</t>
  </si>
  <si>
    <t>14/10/2025 03:15</t>
  </si>
  <si>
    <t>14/10/2025 03:30</t>
  </si>
  <si>
    <t>14/10/2025 03:45</t>
  </si>
  <si>
    <t>14/10/2025 04:00</t>
  </si>
  <si>
    <t>14/10/2025 04:15</t>
  </si>
  <si>
    <t>14/10/2025 04:30</t>
  </si>
  <si>
    <t>14/10/2025 04:45</t>
  </si>
  <si>
    <t>14/10/2025 05:00</t>
  </si>
  <si>
    <t>14/10/2025 05:15</t>
  </si>
  <si>
    <t>14/10/2025 05:30</t>
  </si>
  <si>
    <t>14/10/2025 05:45</t>
  </si>
  <si>
    <t>14/10/2025 06:00</t>
  </si>
  <si>
    <t>14/10/2025 06:15</t>
  </si>
  <si>
    <t>14/10/2025 06:30</t>
  </si>
  <si>
    <t>14/10/2025 06:45</t>
  </si>
  <si>
    <t>14/10/2025 07:00</t>
  </si>
  <si>
    <t>14/10/2025 07:15</t>
  </si>
  <si>
    <t>14/10/2025 07:30</t>
  </si>
  <si>
    <t>14/10/2025 07:45</t>
  </si>
  <si>
    <t>14/10/2025 08:00</t>
  </si>
  <si>
    <t>14/10/2025 08:15</t>
  </si>
  <si>
    <t>14/10/2025 08:30</t>
  </si>
  <si>
    <t>14/10/2025 08:45</t>
  </si>
  <si>
    <t>14/10/2025 09:00</t>
  </si>
  <si>
    <t>14/10/2025 09:15</t>
  </si>
  <si>
    <t>14/10/2025 09:30</t>
  </si>
  <si>
    <t>14/10/2025 09:45</t>
  </si>
  <si>
    <t>14/10/2025 10:00</t>
  </si>
  <si>
    <t>14/10/2025 10:15</t>
  </si>
  <si>
    <t>14/10/2025 10:30</t>
  </si>
  <si>
    <t>14/10/2025 10:45</t>
  </si>
  <si>
    <t>14/10/2025 11:00</t>
  </si>
  <si>
    <t>14/10/2025 11:15</t>
  </si>
  <si>
    <t>14/10/2025 11:30</t>
  </si>
  <si>
    <t>14/10/2025 11:45</t>
  </si>
  <si>
    <t>14/10/2025 12:00</t>
  </si>
  <si>
    <t>14/10/2025 12:15</t>
  </si>
  <si>
    <t>14/10/2025 12:30</t>
  </si>
  <si>
    <t>14/10/2025 12:45</t>
  </si>
  <si>
    <t>14/10/2025 13:00</t>
  </si>
  <si>
    <t>14/10/2025 13:15</t>
  </si>
  <si>
    <t>14/10/2025 13:30</t>
  </si>
  <si>
    <t>14/10/2025 13:45</t>
  </si>
  <si>
    <t>14/10/2025 14:00</t>
  </si>
  <si>
    <t>14/10/2025 14:15</t>
  </si>
  <si>
    <t>14/10/2025 14:30</t>
  </si>
  <si>
    <t>14/10/2025 14:45</t>
  </si>
  <si>
    <t>14/10/2025 15:00</t>
  </si>
  <si>
    <t>14/10/2025 15:15</t>
  </si>
  <si>
    <t>14/10/2025 15:30</t>
  </si>
  <si>
    <t>14/10/2025 15:45</t>
  </si>
  <si>
    <t>14/10/2025 16:00</t>
  </si>
  <si>
    <t>14/10/2025 16:15</t>
  </si>
  <si>
    <t>14/10/2025 16:30</t>
  </si>
  <si>
    <t>14/10/2025 16:45</t>
  </si>
  <si>
    <t>14/10/2025 17:00</t>
  </si>
  <si>
    <t>14/10/2025 17:15</t>
  </si>
  <si>
    <t>14/10/2025 17:30</t>
  </si>
  <si>
    <t>14/10/2025 17:45</t>
  </si>
  <si>
    <t>14/10/2025 18:00</t>
  </si>
  <si>
    <t>14/10/2025 18:15</t>
  </si>
  <si>
    <t>14/10/2025 18:30</t>
  </si>
  <si>
    <t>14/10/2025 18:45</t>
  </si>
  <si>
    <t>14/10/2025 19:00</t>
  </si>
  <si>
    <t>14/10/2025 19:15</t>
  </si>
  <si>
    <t>14/10/2025 19:30</t>
  </si>
  <si>
    <t>14/10/2025 19:45</t>
  </si>
  <si>
    <t>14/10/2025 20:00</t>
  </si>
  <si>
    <t>14/10/2025 20:15</t>
  </si>
  <si>
    <t>14/10/2025 20:30</t>
  </si>
  <si>
    <t>14/10/2025 20:45</t>
  </si>
  <si>
    <t>14/10/2025 21:00</t>
  </si>
  <si>
    <t>14/10/2025 21:15</t>
  </si>
  <si>
    <t>14/10/2025 21:30</t>
  </si>
  <si>
    <t>14/10/2025 21:45</t>
  </si>
  <si>
    <t>14/10/2025 22:00</t>
  </si>
  <si>
    <t>14/10/2025 22:15</t>
  </si>
  <si>
    <t>14/10/2025 22:30</t>
  </si>
  <si>
    <t>14/10/2025 22:45</t>
  </si>
  <si>
    <t>14/10/2025 23:00</t>
  </si>
  <si>
    <t>14/10/2025 23:15</t>
  </si>
  <si>
    <t>14/10/2025 23:30</t>
  </si>
  <si>
    <t>14/10/2025 23:45</t>
  </si>
  <si>
    <t>14/10/2025 24:00</t>
  </si>
  <si>
    <t>15/10/2025 00:15</t>
  </si>
  <si>
    <t>15/10/2025 00:30</t>
  </si>
  <si>
    <t>15/10/2025 00:45</t>
  </si>
  <si>
    <t>15/10/2025 01:00</t>
  </si>
  <si>
    <t>15/10/2025 01:15</t>
  </si>
  <si>
    <t>15/10/2025 01:30</t>
  </si>
  <si>
    <t>15/10/2025 01:45</t>
  </si>
  <si>
    <t>15/10/2025 02:00</t>
  </si>
  <si>
    <t>15/10/2025 02:15</t>
  </si>
  <si>
    <t>15/10/2025 02:30</t>
  </si>
  <si>
    <t>15/10/2025 02:45</t>
  </si>
  <si>
    <t>15/10/2025 03:00</t>
  </si>
  <si>
    <t>15/10/2025 03:15</t>
  </si>
  <si>
    <t>15/10/2025 03:30</t>
  </si>
  <si>
    <t>15/10/2025 03:45</t>
  </si>
  <si>
    <t>15/10/2025 04:00</t>
  </si>
  <si>
    <t>15/10/2025 04:15</t>
  </si>
  <si>
    <t>15/10/2025 04:30</t>
  </si>
  <si>
    <t>15/10/2025 04:45</t>
  </si>
  <si>
    <t>15/10/2025 05:00</t>
  </si>
  <si>
    <t>15/10/2025 05:15</t>
  </si>
  <si>
    <t>15/10/2025 05:30</t>
  </si>
  <si>
    <t>15/10/2025 05:45</t>
  </si>
  <si>
    <t>15/10/2025 06:00</t>
  </si>
  <si>
    <t>15/10/2025 06:15</t>
  </si>
  <si>
    <t>15/10/2025 06:30</t>
  </si>
  <si>
    <t>15/10/2025 06:45</t>
  </si>
  <si>
    <t>15/10/2025 07:00</t>
  </si>
  <si>
    <t>15/10/2025 07:15</t>
  </si>
  <si>
    <t>15/10/2025 07:30</t>
  </si>
  <si>
    <t>15/10/2025 07:45</t>
  </si>
  <si>
    <t>15/10/2025 08:00</t>
  </si>
  <si>
    <t>15/10/2025 08:15</t>
  </si>
  <si>
    <t>15/10/2025 08:30</t>
  </si>
  <si>
    <t>15/10/2025 08:45</t>
  </si>
  <si>
    <t>15/10/2025 09:00</t>
  </si>
  <si>
    <t>15/10/2025 09:15</t>
  </si>
  <si>
    <t>15/10/2025 09:30</t>
  </si>
  <si>
    <t>15/10/2025 09:45</t>
  </si>
  <si>
    <t>15/10/2025 10:00</t>
  </si>
  <si>
    <t>15/10/2025 10:15</t>
  </si>
  <si>
    <t>15/10/2025 10:30</t>
  </si>
  <si>
    <t>15/10/2025 10:45</t>
  </si>
  <si>
    <t>15/10/2025 11:00</t>
  </si>
  <si>
    <t>15/10/2025 11:15</t>
  </si>
  <si>
    <t>15/10/2025 11:30</t>
  </si>
  <si>
    <t>15/10/2025 11:45</t>
  </si>
  <si>
    <t>15/10/2025 12:00</t>
  </si>
  <si>
    <t>15/10/2025 12:15</t>
  </si>
  <si>
    <t>15/10/2025 12:30</t>
  </si>
  <si>
    <t>15/10/2025 12:45</t>
  </si>
  <si>
    <t>15/10/2025 13:00</t>
  </si>
  <si>
    <t>15/10/2025 13:15</t>
  </si>
  <si>
    <t>15/10/2025 13:30</t>
  </si>
  <si>
    <t>15/10/2025 13:45</t>
  </si>
  <si>
    <t>15/10/2025 14:00</t>
  </si>
  <si>
    <t>15/10/2025 14:15</t>
  </si>
  <si>
    <t>15/10/2025 14:30</t>
  </si>
  <si>
    <t>15/10/2025 14:45</t>
  </si>
  <si>
    <t>15/10/2025 15:00</t>
  </si>
  <si>
    <t>15/10/2025 15:15</t>
  </si>
  <si>
    <t>15/10/2025 15:30</t>
  </si>
  <si>
    <t>15/10/2025 15:45</t>
  </si>
  <si>
    <t>15/10/2025 16:00</t>
  </si>
  <si>
    <t>15/10/2025 16:15</t>
  </si>
  <si>
    <t>15/10/2025 16:30</t>
  </si>
  <si>
    <t>15/10/2025 16:45</t>
  </si>
  <si>
    <t>15/10/2025 17:00</t>
  </si>
  <si>
    <t>15/10/2025 17:15</t>
  </si>
  <si>
    <t>15/10/2025 17:30</t>
  </si>
  <si>
    <t>15/10/2025 17:45</t>
  </si>
  <si>
    <t>15/10/2025 18:00</t>
  </si>
  <si>
    <t>15/10/2025 18:15</t>
  </si>
  <si>
    <t>15/10/2025 18:30</t>
  </si>
  <si>
    <t>15/10/2025 18:45</t>
  </si>
  <si>
    <t>15/10/2025 19:00</t>
  </si>
  <si>
    <t>15/10/2025 19:15</t>
  </si>
  <si>
    <t>15/10/2025 19:30</t>
  </si>
  <si>
    <t>15/10/2025 19:45</t>
  </si>
  <si>
    <t>15/10/2025 20:00</t>
  </si>
  <si>
    <t>15/10/2025 20:15</t>
  </si>
  <si>
    <t>15/10/2025 20:30</t>
  </si>
  <si>
    <t>15/10/2025 20:45</t>
  </si>
  <si>
    <t>15/10/2025 21:00</t>
  </si>
  <si>
    <t>15/10/2025 21:15</t>
  </si>
  <si>
    <t>15/10/2025 21:30</t>
  </si>
  <si>
    <t>15/10/2025 21:45</t>
  </si>
  <si>
    <t>15/10/2025 22:00</t>
  </si>
  <si>
    <t>15/10/2025 22:15</t>
  </si>
  <si>
    <t>15/10/2025 22:30</t>
  </si>
  <si>
    <t>15/10/2025 22:45</t>
  </si>
  <si>
    <t>15/10/2025 23:00</t>
  </si>
  <si>
    <t>15/10/2025 23:15</t>
  </si>
  <si>
    <t>15/10/2025 23:30</t>
  </si>
  <si>
    <t>15/10/2025 23:45</t>
  </si>
  <si>
    <t>15/10/2025 24:00</t>
  </si>
  <si>
    <t>16/10/2025 00:15</t>
  </si>
  <si>
    <t>16/10/2025 00:30</t>
  </si>
  <si>
    <t>16/10/2025 00:45</t>
  </si>
  <si>
    <t>16/10/2025 01:00</t>
  </si>
  <si>
    <t>16/10/2025 01:15</t>
  </si>
  <si>
    <t>16/10/2025 01:30</t>
  </si>
  <si>
    <t>16/10/2025 01:45</t>
  </si>
  <si>
    <t>16/10/2025 02:00</t>
  </si>
  <si>
    <t>16/10/2025 02:15</t>
  </si>
  <si>
    <t>16/10/2025 02:30</t>
  </si>
  <si>
    <t>16/10/2025 02:45</t>
  </si>
  <si>
    <t>16/10/2025 03:00</t>
  </si>
  <si>
    <t>16/10/2025 03:15</t>
  </si>
  <si>
    <t>16/10/2025 03:30</t>
  </si>
  <si>
    <t>16/10/2025 03:45</t>
  </si>
  <si>
    <t>16/10/2025 04:00</t>
  </si>
  <si>
    <t>16/10/2025 04:15</t>
  </si>
  <si>
    <t>16/10/2025 04:30</t>
  </si>
  <si>
    <t>16/10/2025 04:45</t>
  </si>
  <si>
    <t>16/10/2025 05:00</t>
  </si>
  <si>
    <t>16/10/2025 05:15</t>
  </si>
  <si>
    <t>16/10/2025 05:30</t>
  </si>
  <si>
    <t>16/10/2025 05:45</t>
  </si>
  <si>
    <t>16/10/2025 06:00</t>
  </si>
  <si>
    <t>16/10/2025 06:15</t>
  </si>
  <si>
    <t>16/10/2025 06:30</t>
  </si>
  <si>
    <t>16/10/2025 06:45</t>
  </si>
  <si>
    <t>16/10/2025 07:00</t>
  </si>
  <si>
    <t>16/10/2025 07:15</t>
  </si>
  <si>
    <t>16/10/2025 07:30</t>
  </si>
  <si>
    <t>16/10/2025 07:45</t>
  </si>
  <si>
    <t>16/10/2025 08:00</t>
  </si>
  <si>
    <t>16/10/2025 08:15</t>
  </si>
  <si>
    <t>16/10/2025 08:30</t>
  </si>
  <si>
    <t>16/10/2025 08:45</t>
  </si>
  <si>
    <t>16/10/2025 09:00</t>
  </si>
  <si>
    <t>16/10/2025 09:15</t>
  </si>
  <si>
    <t>16/10/2025 09:30</t>
  </si>
  <si>
    <t>16/10/2025 09:45</t>
  </si>
  <si>
    <t>16/10/2025 10:00</t>
  </si>
  <si>
    <t>16/10/2025 10:15</t>
  </si>
  <si>
    <t>16/10/2025 10:30</t>
  </si>
  <si>
    <t>16/10/2025 10:45</t>
  </si>
  <si>
    <t>16/10/2025 11:00</t>
  </si>
  <si>
    <t>16/10/2025 11:15</t>
  </si>
  <si>
    <t>16/10/2025 11:30</t>
  </si>
  <si>
    <t>16/10/2025 11:45</t>
  </si>
  <si>
    <t>16/10/2025 12:00</t>
  </si>
  <si>
    <t>16/10/2025 12:15</t>
  </si>
  <si>
    <t>16/10/2025 12:30</t>
  </si>
  <si>
    <t>16/10/2025 12:45</t>
  </si>
  <si>
    <t>16/10/2025 13:00</t>
  </si>
  <si>
    <t>16/10/2025 13:15</t>
  </si>
  <si>
    <t>16/10/2025 13:30</t>
  </si>
  <si>
    <t>16/10/2025 13:45</t>
  </si>
  <si>
    <t>16/10/2025 14:00</t>
  </si>
  <si>
    <t>16/10/2025 14:15</t>
  </si>
  <si>
    <t>16/10/2025 14:30</t>
  </si>
  <si>
    <t>16/10/2025 14:45</t>
  </si>
  <si>
    <t>16/10/2025 15:00</t>
  </si>
  <si>
    <t>16/10/2025 15:15</t>
  </si>
  <si>
    <t>16/10/2025 15:30</t>
  </si>
  <si>
    <t>16/10/2025 15:45</t>
  </si>
  <si>
    <t>16/10/2025 16:00</t>
  </si>
  <si>
    <t>16/10/2025 16:15</t>
  </si>
  <si>
    <t>16/10/2025 16:30</t>
  </si>
  <si>
    <t>16/10/2025 16:45</t>
  </si>
  <si>
    <t>16/10/2025 17:00</t>
  </si>
  <si>
    <t>16/10/2025 17:15</t>
  </si>
  <si>
    <t>16/10/2025 17:30</t>
  </si>
  <si>
    <t>16/10/2025 17:45</t>
  </si>
  <si>
    <t>16/10/2025 18:00</t>
  </si>
  <si>
    <t>16/10/2025 18:15</t>
  </si>
  <si>
    <t>16/10/2025 18:30</t>
  </si>
  <si>
    <t>16/10/2025 18:45</t>
  </si>
  <si>
    <t>16/10/2025 19:00</t>
  </si>
  <si>
    <t>16/10/2025 19:15</t>
  </si>
  <si>
    <t>16/10/2025 19:30</t>
  </si>
  <si>
    <t>16/10/2025 19:45</t>
  </si>
  <si>
    <t>16/10/2025 20:00</t>
  </si>
  <si>
    <t>16/10/2025 20:15</t>
  </si>
  <si>
    <t>16/10/2025 20:30</t>
  </si>
  <si>
    <t>16/10/2025 20:45</t>
  </si>
  <si>
    <t>16/10/2025 21:00</t>
  </si>
  <si>
    <t>16/10/2025 21:15</t>
  </si>
  <si>
    <t>16/10/2025 21:30</t>
  </si>
  <si>
    <t>16/10/2025 21:45</t>
  </si>
  <si>
    <t>16/10/2025 22:00</t>
  </si>
  <si>
    <t>16/10/2025 22:15</t>
  </si>
  <si>
    <t>16/10/2025 22:30</t>
  </si>
  <si>
    <t>16/10/2025 22:45</t>
  </si>
  <si>
    <t>16/10/2025 23:00</t>
  </si>
  <si>
    <t>16/10/2025 23:15</t>
  </si>
  <si>
    <t>16/10/2025 23:30</t>
  </si>
  <si>
    <t>16/10/2025 23:45</t>
  </si>
  <si>
    <t>16/10/2025 24:00</t>
  </si>
  <si>
    <t>17/10/2025 00:15</t>
  </si>
  <si>
    <t>17/10/2025 00:30</t>
  </si>
  <si>
    <t>17/10/2025 00:45</t>
  </si>
  <si>
    <t>17/10/2025 01:00</t>
  </si>
  <si>
    <t>17/10/2025 01:15</t>
  </si>
  <si>
    <t>17/10/2025 01:30</t>
  </si>
  <si>
    <t>17/10/2025 01:45</t>
  </si>
  <si>
    <t>17/10/2025 02:00</t>
  </si>
  <si>
    <t>17/10/2025 02:15</t>
  </si>
  <si>
    <t>17/10/2025 02:30</t>
  </si>
  <si>
    <t>17/10/2025 02:45</t>
  </si>
  <si>
    <t>17/10/2025 03:00</t>
  </si>
  <si>
    <t>17/10/2025 03:15</t>
  </si>
  <si>
    <t>17/10/2025 03:30</t>
  </si>
  <si>
    <t>17/10/2025 03:45</t>
  </si>
  <si>
    <t>17/10/2025 04:00</t>
  </si>
  <si>
    <t>17/10/2025 04:15</t>
  </si>
  <si>
    <t>17/10/2025 04:30</t>
  </si>
  <si>
    <t>17/10/2025 04:45</t>
  </si>
  <si>
    <t>17/10/2025 05:00</t>
  </si>
  <si>
    <t>17/10/2025 05:15</t>
  </si>
  <si>
    <t>17/10/2025 05:30</t>
  </si>
  <si>
    <t>17/10/2025 05:45</t>
  </si>
  <si>
    <t>17/10/2025 06:00</t>
  </si>
  <si>
    <t>17/10/2025 06:15</t>
  </si>
  <si>
    <t>17/10/2025 06:30</t>
  </si>
  <si>
    <t>17/10/2025 06:45</t>
  </si>
  <si>
    <t>17/10/2025 07:00</t>
  </si>
  <si>
    <t>17/10/2025 07:15</t>
  </si>
  <si>
    <t>17/10/2025 07:30</t>
  </si>
  <si>
    <t>17/10/2025 07:45</t>
  </si>
  <si>
    <t>17/10/2025 08:00</t>
  </si>
  <si>
    <t>17/10/2025 08:15</t>
  </si>
  <si>
    <t>17/10/2025 08:30</t>
  </si>
  <si>
    <t>17/10/2025 08:45</t>
  </si>
  <si>
    <t>17/10/2025 09:00</t>
  </si>
  <si>
    <t>17/10/2025 09:15</t>
  </si>
  <si>
    <t>17/10/2025 09:30</t>
  </si>
  <si>
    <t>17/10/2025 09:45</t>
  </si>
  <si>
    <t>17/10/2025 10:00</t>
  </si>
  <si>
    <t>17/10/2025 10:15</t>
  </si>
  <si>
    <t>17/10/2025 10:30</t>
  </si>
  <si>
    <t>17/10/2025 10:45</t>
  </si>
  <si>
    <t>17/10/2025 11:00</t>
  </si>
  <si>
    <t>17/10/2025 11:15</t>
  </si>
  <si>
    <t>17/10/2025 11:30</t>
  </si>
  <si>
    <t>17/10/2025 11:45</t>
  </si>
  <si>
    <t>17/10/2025 12:00</t>
  </si>
  <si>
    <t>17/10/2025 12:15</t>
  </si>
  <si>
    <t>17/10/2025 12:30</t>
  </si>
  <si>
    <t>17/10/2025 12:45</t>
  </si>
  <si>
    <t>17/10/2025 13:00</t>
  </si>
  <si>
    <t>17/10/2025 13:15</t>
  </si>
  <si>
    <t>17/10/2025 13:30</t>
  </si>
  <si>
    <t>17/10/2025 13:45</t>
  </si>
  <si>
    <t>17/10/2025 14:00</t>
  </si>
  <si>
    <t>17/10/2025 14:15</t>
  </si>
  <si>
    <t>17/10/2025 14:30</t>
  </si>
  <si>
    <t>17/10/2025 14:45</t>
  </si>
  <si>
    <t>17/10/2025 15:00</t>
  </si>
  <si>
    <t>17/10/2025 15:15</t>
  </si>
  <si>
    <t>17/10/2025 15:30</t>
  </si>
  <si>
    <t>17/10/2025 15:45</t>
  </si>
  <si>
    <t>17/10/2025 16:00</t>
  </si>
  <si>
    <t>17/10/2025 16:15</t>
  </si>
  <si>
    <t>17/10/2025 16:30</t>
  </si>
  <si>
    <t>17/10/2025 16:45</t>
  </si>
  <si>
    <t>17/10/2025 17:00</t>
  </si>
  <si>
    <t>17/10/2025 17:15</t>
  </si>
  <si>
    <t>17/10/2025 17:30</t>
  </si>
  <si>
    <t>17/10/2025 17:45</t>
  </si>
  <si>
    <t>17/10/2025 18:00</t>
  </si>
  <si>
    <t>17/10/2025 18:15</t>
  </si>
  <si>
    <t>17/10/2025 18:30</t>
  </si>
  <si>
    <t>17/10/2025 18:45</t>
  </si>
  <si>
    <t>17/10/2025 19:00</t>
  </si>
  <si>
    <t>17/10/2025 19:15</t>
  </si>
  <si>
    <t>17/10/2025 19:30</t>
  </si>
  <si>
    <t>17/10/2025 19:45</t>
  </si>
  <si>
    <t>17/10/2025 20:00</t>
  </si>
  <si>
    <t>17/10/2025 20:15</t>
  </si>
  <si>
    <t>17/10/2025 20:30</t>
  </si>
  <si>
    <t>17/10/2025 20:45</t>
  </si>
  <si>
    <t>17/10/2025 21:00</t>
  </si>
  <si>
    <t>17/10/2025 21:15</t>
  </si>
  <si>
    <t>17/10/2025 21:30</t>
  </si>
  <si>
    <t>17/10/2025 21:45</t>
  </si>
  <si>
    <t>17/10/2025 22:00</t>
  </si>
  <si>
    <t>17/10/2025 22:15</t>
  </si>
  <si>
    <t>17/10/2025 22:30</t>
  </si>
  <si>
    <t>17/10/2025 22:45</t>
  </si>
  <si>
    <t>17/10/2025 23:00</t>
  </si>
  <si>
    <t>17/10/2025 23:15</t>
  </si>
  <si>
    <t>17/10/2025 23:30</t>
  </si>
  <si>
    <t>17/10/2025 23:45</t>
  </si>
  <si>
    <t>17/10/2025 24:00</t>
  </si>
  <si>
    <t>18/10/2025 00:15</t>
  </si>
  <si>
    <t>18/10/2025 00:30</t>
  </si>
  <si>
    <t>18/10/2025 00:45</t>
  </si>
  <si>
    <t>18/10/2025 01:00</t>
  </si>
  <si>
    <t>18/10/2025 01:15</t>
  </si>
  <si>
    <t>18/10/2025 01:30</t>
  </si>
  <si>
    <t>18/10/2025 01:45</t>
  </si>
  <si>
    <t>18/10/2025 02:00</t>
  </si>
  <si>
    <t>18/10/2025 02:15</t>
  </si>
  <si>
    <t>18/10/2025 02:30</t>
  </si>
  <si>
    <t>18/10/2025 02:45</t>
  </si>
  <si>
    <t>18/10/2025 03:00</t>
  </si>
  <si>
    <t>18/10/2025 03:15</t>
  </si>
  <si>
    <t>18/10/2025 03:30</t>
  </si>
  <si>
    <t>18/10/2025 03:45</t>
  </si>
  <si>
    <t>18/10/2025 04:00</t>
  </si>
  <si>
    <t>18/10/2025 04:15</t>
  </si>
  <si>
    <t>18/10/2025 04:30</t>
  </si>
  <si>
    <t>18/10/2025 04:45</t>
  </si>
  <si>
    <t>18/10/2025 05:00</t>
  </si>
  <si>
    <t>18/10/2025 05:15</t>
  </si>
  <si>
    <t>18/10/2025 05:30</t>
  </si>
  <si>
    <t>18/10/2025 05:45</t>
  </si>
  <si>
    <t>18/10/2025 06:00</t>
  </si>
  <si>
    <t>18/10/2025 06:15</t>
  </si>
  <si>
    <t>18/10/2025 06:30</t>
  </si>
  <si>
    <t>18/10/2025 06:45</t>
  </si>
  <si>
    <t>18/10/2025 07:00</t>
  </si>
  <si>
    <t>18/10/2025 07:15</t>
  </si>
  <si>
    <t>18/10/2025 07:30</t>
  </si>
  <si>
    <t>18/10/2025 07:45</t>
  </si>
  <si>
    <t>18/10/2025 08:00</t>
  </si>
  <si>
    <t>18/10/2025 08:15</t>
  </si>
  <si>
    <t>18/10/2025 08:30</t>
  </si>
  <si>
    <t>18/10/2025 08:45</t>
  </si>
  <si>
    <t>18/10/2025 09:00</t>
  </si>
  <si>
    <t>18/10/2025 09:15</t>
  </si>
  <si>
    <t>18/10/2025 09:30</t>
  </si>
  <si>
    <t>18/10/2025 09:45</t>
  </si>
  <si>
    <t>18/10/2025 10:00</t>
  </si>
  <si>
    <t>18/10/2025 10:15</t>
  </si>
  <si>
    <t>18/10/2025 10:30</t>
  </si>
  <si>
    <t>18/10/2025 10:45</t>
  </si>
  <si>
    <t>18/10/2025 11:00</t>
  </si>
  <si>
    <t>18/10/2025 11:15</t>
  </si>
  <si>
    <t>18/10/2025 11:30</t>
  </si>
  <si>
    <t>18/10/2025 11:45</t>
  </si>
  <si>
    <t>18/10/2025 12:00</t>
  </si>
  <si>
    <t>18/10/2025 12:15</t>
  </si>
  <si>
    <t>18/10/2025 12:30</t>
  </si>
  <si>
    <t>18/10/2025 12:45</t>
  </si>
  <si>
    <t>18/10/2025 13:00</t>
  </si>
  <si>
    <t>18/10/2025 13:15</t>
  </si>
  <si>
    <t>18/10/2025 13:30</t>
  </si>
  <si>
    <t>18/10/2025 13:45</t>
  </si>
  <si>
    <t>18/10/2025 14:00</t>
  </si>
  <si>
    <t>18/10/2025 14:15</t>
  </si>
  <si>
    <t>18/10/2025 14:30</t>
  </si>
  <si>
    <t>18/10/2025 14:45</t>
  </si>
  <si>
    <t>18/10/2025 15:00</t>
  </si>
  <si>
    <t>18/10/2025 15:15</t>
  </si>
  <si>
    <t>18/10/2025 15:30</t>
  </si>
  <si>
    <t>18/10/2025 15:45</t>
  </si>
  <si>
    <t>18/10/2025 16:00</t>
  </si>
  <si>
    <t>18/10/2025 16:15</t>
  </si>
  <si>
    <t>18/10/2025 16:30</t>
  </si>
  <si>
    <t>18/10/2025 16:45</t>
  </si>
  <si>
    <t>18/10/2025 17:00</t>
  </si>
  <si>
    <t>18/10/2025 17:15</t>
  </si>
  <si>
    <t>18/10/2025 17:30</t>
  </si>
  <si>
    <t>18/10/2025 17:45</t>
  </si>
  <si>
    <t>18/10/2025 18:00</t>
  </si>
  <si>
    <t>18/10/2025 18:15</t>
  </si>
  <si>
    <t>18/10/2025 18:30</t>
  </si>
  <si>
    <t>18/10/2025 18:45</t>
  </si>
  <si>
    <t>18/10/2025 19:00</t>
  </si>
  <si>
    <t>18/10/2025 19:15</t>
  </si>
  <si>
    <t>18/10/2025 19:30</t>
  </si>
  <si>
    <t>18/10/2025 19:45</t>
  </si>
  <si>
    <t>18/10/2025 20:00</t>
  </si>
  <si>
    <t>18/10/2025 20:15</t>
  </si>
  <si>
    <t>18/10/2025 20:30</t>
  </si>
  <si>
    <t>18/10/2025 20:45</t>
  </si>
  <si>
    <t>18/10/2025 21:00</t>
  </si>
  <si>
    <t>18/10/2025 21:15</t>
  </si>
  <si>
    <t>18/10/2025 21:30</t>
  </si>
  <si>
    <t>18/10/2025 21:45</t>
  </si>
  <si>
    <t>18/10/2025 22:00</t>
  </si>
  <si>
    <t>18/10/2025 22:15</t>
  </si>
  <si>
    <t>18/10/2025 22:30</t>
  </si>
  <si>
    <t>18/10/2025 22:45</t>
  </si>
  <si>
    <t>18/10/2025 23:00</t>
  </si>
  <si>
    <t>18/10/2025 23:15</t>
  </si>
  <si>
    <t>18/10/2025 23:30</t>
  </si>
  <si>
    <t>18/10/2025 23:45</t>
  </si>
  <si>
    <t>18/10/2025 24:00</t>
  </si>
  <si>
    <t>19/10/2025 00:15</t>
  </si>
  <si>
    <t>19/10/2025 00:30</t>
  </si>
  <si>
    <t>19/10/2025 00:45</t>
  </si>
  <si>
    <t>19/10/2025 01:00</t>
  </si>
  <si>
    <t>19/10/2025 01:15</t>
  </si>
  <si>
    <t>19/10/2025 01:30</t>
  </si>
  <si>
    <t>19/10/2025 01:45</t>
  </si>
  <si>
    <t>19/10/2025 02:00</t>
  </si>
  <si>
    <t>19/10/2025 02:15</t>
  </si>
  <si>
    <t>19/10/2025 02:30</t>
  </si>
  <si>
    <t>19/10/2025 02:45</t>
  </si>
  <si>
    <t>19/10/2025 03:00</t>
  </si>
  <si>
    <t>19/10/2025 03:15</t>
  </si>
  <si>
    <t>19/10/2025 03:30</t>
  </si>
  <si>
    <t>19/10/2025 03:45</t>
  </si>
  <si>
    <t>19/10/2025 04:00</t>
  </si>
  <si>
    <t>19/10/2025 04:15</t>
  </si>
  <si>
    <t>19/10/2025 04:30</t>
  </si>
  <si>
    <t>19/10/2025 04:45</t>
  </si>
  <si>
    <t>19/10/2025 05:00</t>
  </si>
  <si>
    <t>19/10/2025 05:15</t>
  </si>
  <si>
    <t>19/10/2025 05:30</t>
  </si>
  <si>
    <t>19/10/2025 05:45</t>
  </si>
  <si>
    <t>19/10/2025 06:00</t>
  </si>
  <si>
    <t>19/10/2025 06:15</t>
  </si>
  <si>
    <t>19/10/2025 06:30</t>
  </si>
  <si>
    <t>19/10/2025 06:45</t>
  </si>
  <si>
    <t>19/10/2025 07:00</t>
  </si>
  <si>
    <t>19/10/2025 07:15</t>
  </si>
  <si>
    <t>19/10/2025 07:30</t>
  </si>
  <si>
    <t>19/10/2025 07:45</t>
  </si>
  <si>
    <t>19/10/2025 08:00</t>
  </si>
  <si>
    <t>19/10/2025 08:15</t>
  </si>
  <si>
    <t>19/10/2025 08:30</t>
  </si>
  <si>
    <t>19/10/2025 08:45</t>
  </si>
  <si>
    <t>19/10/2025 09:00</t>
  </si>
  <si>
    <t>19/10/2025 09:15</t>
  </si>
  <si>
    <t>19/10/2025 09:30</t>
  </si>
  <si>
    <t>19/10/2025 09:45</t>
  </si>
  <si>
    <t>19/10/2025 10:00</t>
  </si>
  <si>
    <t>19/10/2025 10:15</t>
  </si>
  <si>
    <t>19/10/2025 10:30</t>
  </si>
  <si>
    <t>19/10/2025 10:45</t>
  </si>
  <si>
    <t>19/10/2025 11:00</t>
  </si>
  <si>
    <t>19/10/2025 11:15</t>
  </si>
  <si>
    <t>19/10/2025 11:30</t>
  </si>
  <si>
    <t>19/10/2025 11:45</t>
  </si>
  <si>
    <t>19/10/2025 12:00</t>
  </si>
  <si>
    <t>19/10/2025 12:15</t>
  </si>
  <si>
    <t>19/10/2025 12:30</t>
  </si>
  <si>
    <t>19/10/2025 12:45</t>
  </si>
  <si>
    <t>19/10/2025 13:00</t>
  </si>
  <si>
    <t>19/10/2025 13:15</t>
  </si>
  <si>
    <t>19/10/2025 13:30</t>
  </si>
  <si>
    <t>19/10/2025 13:45</t>
  </si>
  <si>
    <t>19/10/2025 14:00</t>
  </si>
  <si>
    <t>19/10/2025 14:15</t>
  </si>
  <si>
    <t>19/10/2025 14:30</t>
  </si>
  <si>
    <t>19/10/2025 14:45</t>
  </si>
  <si>
    <t>19/10/2025 15:00</t>
  </si>
  <si>
    <t>19/10/2025 15:15</t>
  </si>
  <si>
    <t>19/10/2025 15:30</t>
  </si>
  <si>
    <t>19/10/2025 15:45</t>
  </si>
  <si>
    <t>19/10/2025 16:00</t>
  </si>
  <si>
    <t>19/10/2025 16:15</t>
  </si>
  <si>
    <t>19/10/2025 16:30</t>
  </si>
  <si>
    <t>19/10/2025 16:45</t>
  </si>
  <si>
    <t>19/10/2025 17:00</t>
  </si>
  <si>
    <t>19/10/2025 17:15</t>
  </si>
  <si>
    <t>19/10/2025 17:30</t>
  </si>
  <si>
    <t>19/10/2025 17:45</t>
  </si>
  <si>
    <t>19/10/2025 18:00</t>
  </si>
  <si>
    <t>19/10/2025 18:15</t>
  </si>
  <si>
    <t>19/10/2025 18:30</t>
  </si>
  <si>
    <t>19/10/2025 18:45</t>
  </si>
  <si>
    <t>19/10/2025 19:00</t>
  </si>
  <si>
    <t>19/10/2025 19:15</t>
  </si>
  <si>
    <t>19/10/2025 19:30</t>
  </si>
  <si>
    <t>19/10/2025 19:45</t>
  </si>
  <si>
    <t>19/10/2025 20:00</t>
  </si>
  <si>
    <t>19/10/2025 20:15</t>
  </si>
  <si>
    <t>19/10/2025 20:30</t>
  </si>
  <si>
    <t>19/10/2025 20:45</t>
  </si>
  <si>
    <t>19/10/2025 21:00</t>
  </si>
  <si>
    <t>19/10/2025 21:15</t>
  </si>
  <si>
    <t>19/10/2025 21:30</t>
  </si>
  <si>
    <t>19/10/2025 21:45</t>
  </si>
  <si>
    <t>19/10/2025 22:00</t>
  </si>
  <si>
    <t>19/10/2025 22:15</t>
  </si>
  <si>
    <t>19/10/2025 22:30</t>
  </si>
  <si>
    <t>19/10/2025 22:45</t>
  </si>
  <si>
    <t>19/10/2025 23:00</t>
  </si>
  <si>
    <t>19/10/2025 23:15</t>
  </si>
  <si>
    <t>19/10/2025 23:30</t>
  </si>
  <si>
    <t>19/10/2025 23:45</t>
  </si>
  <si>
    <t>19/10/2025 24:00</t>
  </si>
  <si>
    <t>20/10/2025 00:15</t>
  </si>
  <si>
    <t>20/10/2025 00:30</t>
  </si>
  <si>
    <t>20/10/2025 00:45</t>
  </si>
  <si>
    <t>20/10/2025 01:00</t>
  </si>
  <si>
    <t>20/10/2025 01:15</t>
  </si>
  <si>
    <t>20/10/2025 01:30</t>
  </si>
  <si>
    <t>20/10/2025 01:45</t>
  </si>
  <si>
    <t>20/10/2025 02:00</t>
  </si>
  <si>
    <t>20/10/2025 02:15</t>
  </si>
  <si>
    <t>20/10/2025 02:30</t>
  </si>
  <si>
    <t>20/10/2025 02:45</t>
  </si>
  <si>
    <t>20/10/2025 03:00</t>
  </si>
  <si>
    <t>20/10/2025 03:15</t>
  </si>
  <si>
    <t>20/10/2025 03:30</t>
  </si>
  <si>
    <t>20/10/2025 03:45</t>
  </si>
  <si>
    <t>20/10/2025 04:00</t>
  </si>
  <si>
    <t>20/10/2025 04:15</t>
  </si>
  <si>
    <t>20/10/2025 04:30</t>
  </si>
  <si>
    <t>20/10/2025 04:45</t>
  </si>
  <si>
    <t>20/10/2025 05:00</t>
  </si>
  <si>
    <t>20/10/2025 05:15</t>
  </si>
  <si>
    <t>20/10/2025 05:30</t>
  </si>
  <si>
    <t>20/10/2025 05:45</t>
  </si>
  <si>
    <t>20/10/2025 06:00</t>
  </si>
  <si>
    <t>20/10/2025 06:15</t>
  </si>
  <si>
    <t>20/10/2025 06:30</t>
  </si>
  <si>
    <t>20/10/2025 06:45</t>
  </si>
  <si>
    <t>20/10/2025 07:00</t>
  </si>
  <si>
    <t>20/10/2025 07:15</t>
  </si>
  <si>
    <t>20/10/2025 07:30</t>
  </si>
  <si>
    <t>20/10/2025 07:45</t>
  </si>
  <si>
    <t>20/10/2025 08:00</t>
  </si>
  <si>
    <t>20/10/2025 08:15</t>
  </si>
  <si>
    <t>20/10/2025 08:30</t>
  </si>
  <si>
    <t>20/10/2025 08:45</t>
  </si>
  <si>
    <t>20/10/2025 09:00</t>
  </si>
  <si>
    <t>20/10/2025 09:15</t>
  </si>
  <si>
    <t>20/10/2025 09:30</t>
  </si>
  <si>
    <t>20/10/2025 09:45</t>
  </si>
  <si>
    <t>20/10/2025 10:00</t>
  </si>
  <si>
    <t>20/10/2025 10:15</t>
  </si>
  <si>
    <t>20/10/2025 10:30</t>
  </si>
  <si>
    <t>20/10/2025 10:45</t>
  </si>
  <si>
    <t>20/10/2025 11:00</t>
  </si>
  <si>
    <t>20/10/2025 11:15</t>
  </si>
  <si>
    <t>20/10/2025 11:30</t>
  </si>
  <si>
    <t>20/10/2025 11:45</t>
  </si>
  <si>
    <t>20/10/2025 12:00</t>
  </si>
  <si>
    <t>20/10/2025 12:15</t>
  </si>
  <si>
    <t>20/10/2025 12:30</t>
  </si>
  <si>
    <t>20/10/2025 12:45</t>
  </si>
  <si>
    <t>20/10/2025 13:00</t>
  </si>
  <si>
    <t>20/10/2025 13:15</t>
  </si>
  <si>
    <t>20/10/2025 13:30</t>
  </si>
  <si>
    <t>20/10/2025 13:45</t>
  </si>
  <si>
    <t>20/10/2025 14:00</t>
  </si>
  <si>
    <t>20/10/2025 14:15</t>
  </si>
  <si>
    <t>20/10/2025 14:30</t>
  </si>
  <si>
    <t>20/10/2025 14:45</t>
  </si>
  <si>
    <t>20/10/2025 15:00</t>
  </si>
  <si>
    <t>20/10/2025 15:15</t>
  </si>
  <si>
    <t>20/10/2025 15:30</t>
  </si>
  <si>
    <t>20/10/2025 15:45</t>
  </si>
  <si>
    <t>20/10/2025 16:00</t>
  </si>
  <si>
    <t>20/10/2025 16:15</t>
  </si>
  <si>
    <t>20/10/2025 16:30</t>
  </si>
  <si>
    <t>20/10/2025 16:45</t>
  </si>
  <si>
    <t>20/10/2025 17:00</t>
  </si>
  <si>
    <t>20/10/2025 17:15</t>
  </si>
  <si>
    <t>20/10/2025 17:30</t>
  </si>
  <si>
    <t>20/10/2025 17:45</t>
  </si>
  <si>
    <t>20/10/2025 18:00</t>
  </si>
  <si>
    <t>20/10/2025 18:15</t>
  </si>
  <si>
    <t>20/10/2025 18:30</t>
  </si>
  <si>
    <t>20/10/2025 18:45</t>
  </si>
  <si>
    <t>20/10/2025 19:00</t>
  </si>
  <si>
    <t>20/10/2025 19:15</t>
  </si>
  <si>
    <t>20/10/2025 19:30</t>
  </si>
  <si>
    <t>20/10/2025 19:45</t>
  </si>
  <si>
    <t>20/10/2025 20:00</t>
  </si>
  <si>
    <t>20/10/2025 20:15</t>
  </si>
  <si>
    <t>20/10/2025 20:30</t>
  </si>
  <si>
    <t>20/10/2025 20:45</t>
  </si>
  <si>
    <t>20/10/2025 21:00</t>
  </si>
  <si>
    <t>20/10/2025 21:15</t>
  </si>
  <si>
    <t>20/10/2025 21:30</t>
  </si>
  <si>
    <t>20/10/2025 21:45</t>
  </si>
  <si>
    <t>20/10/2025 22:00</t>
  </si>
  <si>
    <t>20/10/2025 22:15</t>
  </si>
  <si>
    <t>20/10/2025 22:30</t>
  </si>
  <si>
    <t>20/10/2025 22:45</t>
  </si>
  <si>
    <t>20/10/2025 23:00</t>
  </si>
  <si>
    <t>20/10/2025 23:15</t>
  </si>
  <si>
    <t>20/10/2025 23:30</t>
  </si>
  <si>
    <t>20/10/2025 23:45</t>
  </si>
  <si>
    <t>20/10/2025 24:00</t>
  </si>
  <si>
    <t>21/10/2025 00:15</t>
  </si>
  <si>
    <t>21/10/2025 00:30</t>
  </si>
  <si>
    <t>21/10/2025 00:45</t>
  </si>
  <si>
    <t>21/10/2025 01:00</t>
  </si>
  <si>
    <t>21/10/2025 01:15</t>
  </si>
  <si>
    <t>21/10/2025 01:30</t>
  </si>
  <si>
    <t>21/10/2025 01:45</t>
  </si>
  <si>
    <t>21/10/2025 02:00</t>
  </si>
  <si>
    <t>21/10/2025 02:15</t>
  </si>
  <si>
    <t>21/10/2025 02:30</t>
  </si>
  <si>
    <t>21/10/2025 02:45</t>
  </si>
  <si>
    <t>21/10/2025 03:00</t>
  </si>
  <si>
    <t>21/10/2025 03:15</t>
  </si>
  <si>
    <t>21/10/2025 03:30</t>
  </si>
  <si>
    <t>21/10/2025 03:45</t>
  </si>
  <si>
    <t>21/10/2025 04:00</t>
  </si>
  <si>
    <t>21/10/2025 04:15</t>
  </si>
  <si>
    <t>21/10/2025 04:30</t>
  </si>
  <si>
    <t>21/10/2025 04:45</t>
  </si>
  <si>
    <t>21/10/2025 05:00</t>
  </si>
  <si>
    <t>21/10/2025 05:15</t>
  </si>
  <si>
    <t>21/10/2025 05:30</t>
  </si>
  <si>
    <t>21/10/2025 05:45</t>
  </si>
  <si>
    <t>21/10/2025 06:00</t>
  </si>
  <si>
    <t>21/10/2025 06:15</t>
  </si>
  <si>
    <t>21/10/2025 06:30</t>
  </si>
  <si>
    <t>21/10/2025 06:45</t>
  </si>
  <si>
    <t>21/10/2025 07:00</t>
  </si>
  <si>
    <t>21/10/2025 07:15</t>
  </si>
  <si>
    <t>21/10/2025 07:30</t>
  </si>
  <si>
    <t>21/10/2025 07:45</t>
  </si>
  <si>
    <t>21/10/2025 08:00</t>
  </si>
  <si>
    <t>21/10/2025 08:15</t>
  </si>
  <si>
    <t>21/10/2025 08:30</t>
  </si>
  <si>
    <t>21/10/2025 08:45</t>
  </si>
  <si>
    <t>21/10/2025 09:00</t>
  </si>
  <si>
    <t>21/10/2025 09:15</t>
  </si>
  <si>
    <t>21/10/2025 09:30</t>
  </si>
  <si>
    <t>21/10/2025 09:45</t>
  </si>
  <si>
    <t>21/10/2025 10:00</t>
  </si>
  <si>
    <t>21/10/2025 10:15</t>
  </si>
  <si>
    <t>21/10/2025 10:30</t>
  </si>
  <si>
    <t>21/10/2025 10:45</t>
  </si>
  <si>
    <t>21/10/2025 11:00</t>
  </si>
  <si>
    <t>21/10/2025 11:15</t>
  </si>
  <si>
    <t>21/10/2025 11:30</t>
  </si>
  <si>
    <t>21/10/2025 11:45</t>
  </si>
  <si>
    <t>21/10/2025 12:00</t>
  </si>
  <si>
    <t>21/10/2025 12:15</t>
  </si>
  <si>
    <t>21/10/2025 12:30</t>
  </si>
  <si>
    <t>21/10/2025 12:45</t>
  </si>
  <si>
    <t>21/10/2025 13:00</t>
  </si>
  <si>
    <t>21/10/2025 13:15</t>
  </si>
  <si>
    <t>21/10/2025 13:30</t>
  </si>
  <si>
    <t>21/10/2025 13:45</t>
  </si>
  <si>
    <t>21/10/2025 14:00</t>
  </si>
  <si>
    <t>21/10/2025 14:15</t>
  </si>
  <si>
    <t>21/10/2025 14:30</t>
  </si>
  <si>
    <t>21/10/2025 14:45</t>
  </si>
  <si>
    <t>21/10/2025 15:00</t>
  </si>
  <si>
    <t>21/10/2025 15:15</t>
  </si>
  <si>
    <t>21/10/2025 15:30</t>
  </si>
  <si>
    <t>21/10/2025 15:45</t>
  </si>
  <si>
    <t>21/10/2025 16:00</t>
  </si>
  <si>
    <t>21/10/2025 16:15</t>
  </si>
  <si>
    <t>21/10/2025 16:30</t>
  </si>
  <si>
    <t>21/10/2025 16:45</t>
  </si>
  <si>
    <t>21/10/2025 17:00</t>
  </si>
  <si>
    <t>21/10/2025 17:15</t>
  </si>
  <si>
    <t>21/10/2025 17:30</t>
  </si>
  <si>
    <t>21/10/2025 17:45</t>
  </si>
  <si>
    <t>21/10/2025 18:00</t>
  </si>
  <si>
    <t>21/10/2025 18:15</t>
  </si>
  <si>
    <t>21/10/2025 18:30</t>
  </si>
  <si>
    <t>21/10/2025 18:45</t>
  </si>
  <si>
    <t>21/10/2025 19:00</t>
  </si>
  <si>
    <t>21/10/2025 19:15</t>
  </si>
  <si>
    <t>21/10/2025 19:30</t>
  </si>
  <si>
    <t>21/10/2025 19:45</t>
  </si>
  <si>
    <t>21/10/2025 20:00</t>
  </si>
  <si>
    <t>21/10/2025 20:15</t>
  </si>
  <si>
    <t>21/10/2025 20:30</t>
  </si>
  <si>
    <t>21/10/2025 20:45</t>
  </si>
  <si>
    <t>21/10/2025 21:00</t>
  </si>
  <si>
    <t>21/10/2025 21:15</t>
  </si>
  <si>
    <t>21/10/2025 21:30</t>
  </si>
  <si>
    <t>21/10/2025 21:45</t>
  </si>
  <si>
    <t>21/10/2025 22:00</t>
  </si>
  <si>
    <t>21/10/2025 22:15</t>
  </si>
  <si>
    <t>21/10/2025 22:30</t>
  </si>
  <si>
    <t>21/10/2025 22:45</t>
  </si>
  <si>
    <t>21/10/2025 23:00</t>
  </si>
  <si>
    <t>21/10/2025 23:15</t>
  </si>
  <si>
    <t>21/10/2025 23:30</t>
  </si>
  <si>
    <t>21/10/2025 23:45</t>
  </si>
  <si>
    <t>21/10/2025 24:00</t>
  </si>
  <si>
    <t>22/10/2025 00:15</t>
  </si>
  <si>
    <t>22/10/2025 00:30</t>
  </si>
  <si>
    <t>22/10/2025 00:45</t>
  </si>
  <si>
    <t>22/10/2025 01:00</t>
  </si>
  <si>
    <t>22/10/2025 01:15</t>
  </si>
  <si>
    <t>22/10/2025 01:30</t>
  </si>
  <si>
    <t>22/10/2025 01:45</t>
  </si>
  <si>
    <t>22/10/2025 02:00</t>
  </si>
  <si>
    <t>22/10/2025 02:15</t>
  </si>
  <si>
    <t>22/10/2025 02:30</t>
  </si>
  <si>
    <t>22/10/2025 02:45</t>
  </si>
  <si>
    <t>22/10/2025 03:00</t>
  </si>
  <si>
    <t>22/10/2025 03:15</t>
  </si>
  <si>
    <t>22/10/2025 03:30</t>
  </si>
  <si>
    <t>22/10/2025 03:45</t>
  </si>
  <si>
    <t>22/10/2025 04:00</t>
  </si>
  <si>
    <t>22/10/2025 04:15</t>
  </si>
  <si>
    <t>22/10/2025 04:30</t>
  </si>
  <si>
    <t>22/10/2025 04:45</t>
  </si>
  <si>
    <t>22/10/2025 05:00</t>
  </si>
  <si>
    <t>22/10/2025 05:15</t>
  </si>
  <si>
    <t>22/10/2025 05:30</t>
  </si>
  <si>
    <t>22/10/2025 05:45</t>
  </si>
  <si>
    <t>22/10/2025 06:00</t>
  </si>
  <si>
    <t>22/10/2025 06:15</t>
  </si>
  <si>
    <t>22/10/2025 06:30</t>
  </si>
  <si>
    <t>22/10/2025 06:45</t>
  </si>
  <si>
    <t>22/10/2025 07:00</t>
  </si>
  <si>
    <t>22/10/2025 07:15</t>
  </si>
  <si>
    <t>22/10/2025 07:30</t>
  </si>
  <si>
    <t>22/10/2025 07:45</t>
  </si>
  <si>
    <t>22/10/2025 08:00</t>
  </si>
  <si>
    <t>22/10/2025 08:15</t>
  </si>
  <si>
    <t>22/10/2025 08:30</t>
  </si>
  <si>
    <t>22/10/2025 08:45</t>
  </si>
  <si>
    <t>22/10/2025 09:00</t>
  </si>
  <si>
    <t>22/10/2025 09:15</t>
  </si>
  <si>
    <t>22/10/2025 09:30</t>
  </si>
  <si>
    <t>22/10/2025 09:45</t>
  </si>
  <si>
    <t>22/10/2025 10:00</t>
  </si>
  <si>
    <t>22/10/2025 10:15</t>
  </si>
  <si>
    <t>22/10/2025 10:30</t>
  </si>
  <si>
    <t>22/10/2025 10:45</t>
  </si>
  <si>
    <t>22/10/2025 11:00</t>
  </si>
  <si>
    <t>22/10/2025 11:15</t>
  </si>
  <si>
    <t>22/10/2025 11:30</t>
  </si>
  <si>
    <t>22/10/2025 11:45</t>
  </si>
  <si>
    <t>22/10/2025 12:00</t>
  </si>
  <si>
    <t>22/10/2025 12:15</t>
  </si>
  <si>
    <t>22/10/2025 12:30</t>
  </si>
  <si>
    <t>22/10/2025 12:45</t>
  </si>
  <si>
    <t>22/10/2025 13:00</t>
  </si>
  <si>
    <t>22/10/2025 13:15</t>
  </si>
  <si>
    <t>22/10/2025 13:30</t>
  </si>
  <si>
    <t>22/10/2025 13:45</t>
  </si>
  <si>
    <t>22/10/2025 14:00</t>
  </si>
  <si>
    <t>22/10/2025 14:15</t>
  </si>
  <si>
    <t>22/10/2025 14:30</t>
  </si>
  <si>
    <t>22/10/2025 14:45</t>
  </si>
  <si>
    <t>22/10/2025 15:00</t>
  </si>
  <si>
    <t>22/10/2025 15:15</t>
  </si>
  <si>
    <t>22/10/2025 15:30</t>
  </si>
  <si>
    <t>22/10/2025 15:45</t>
  </si>
  <si>
    <t>22/10/2025 16:00</t>
  </si>
  <si>
    <t>22/10/2025 16:15</t>
  </si>
  <si>
    <t>22/10/2025 16:30</t>
  </si>
  <si>
    <t>22/10/2025 16:45</t>
  </si>
  <si>
    <t>22/10/2025 17:00</t>
  </si>
  <si>
    <t>22/10/2025 17:15</t>
  </si>
  <si>
    <t>22/10/2025 17:30</t>
  </si>
  <si>
    <t>22/10/2025 17:45</t>
  </si>
  <si>
    <t>22/10/2025 18:00</t>
  </si>
  <si>
    <t>22/10/2025 18:15</t>
  </si>
  <si>
    <t>22/10/2025 18:30</t>
  </si>
  <si>
    <t>22/10/2025 18:45</t>
  </si>
  <si>
    <t>22/10/2025 19:00</t>
  </si>
  <si>
    <t>22/10/2025 19:15</t>
  </si>
  <si>
    <t>22/10/2025 19:30</t>
  </si>
  <si>
    <t>22/10/2025 19:45</t>
  </si>
  <si>
    <t>22/10/2025 20:00</t>
  </si>
  <si>
    <t>22/10/2025 20:15</t>
  </si>
  <si>
    <t>22/10/2025 20:30</t>
  </si>
  <si>
    <t>22/10/2025 20:45</t>
  </si>
  <si>
    <t>22/10/2025 21:00</t>
  </si>
  <si>
    <t>22/10/2025 21:15</t>
  </si>
  <si>
    <t>22/10/2025 21:30</t>
  </si>
  <si>
    <t>22/10/2025 21:45</t>
  </si>
  <si>
    <t>22/10/2025 22:00</t>
  </si>
  <si>
    <t>22/10/2025 22:15</t>
  </si>
  <si>
    <t>22/10/2025 22:30</t>
  </si>
  <si>
    <t>22/10/2025 22:45</t>
  </si>
  <si>
    <t>22/10/2025 23:00</t>
  </si>
  <si>
    <t>22/10/2025 23:15</t>
  </si>
  <si>
    <t>22/10/2025 23:30</t>
  </si>
  <si>
    <t>22/10/2025 23:45</t>
  </si>
  <si>
    <t>22/10/2025 24:00</t>
  </si>
  <si>
    <t>23/10/2025 00:15</t>
  </si>
  <si>
    <t>23/10/2025 00:30</t>
  </si>
  <si>
    <t>23/10/2025 00:45</t>
  </si>
  <si>
    <t>23/10/2025 01:00</t>
  </si>
  <si>
    <t>23/10/2025 01:15</t>
  </si>
  <si>
    <t>23/10/2025 01:30</t>
  </si>
  <si>
    <t>23/10/2025 01:45</t>
  </si>
  <si>
    <t>23/10/2025 02:00</t>
  </si>
  <si>
    <t>23/10/2025 02:15</t>
  </si>
  <si>
    <t>23/10/2025 02:30</t>
  </si>
  <si>
    <t>23/10/2025 02:45</t>
  </si>
  <si>
    <t>23/10/2025 03:00</t>
  </si>
  <si>
    <t>23/10/2025 03:15</t>
  </si>
  <si>
    <t>23/10/2025 03:30</t>
  </si>
  <si>
    <t>23/10/2025 03:45</t>
  </si>
  <si>
    <t>23/10/2025 04:00</t>
  </si>
  <si>
    <t>23/10/2025 04:15</t>
  </si>
  <si>
    <t>23/10/2025 04:30</t>
  </si>
  <si>
    <t>23/10/2025 04:45</t>
  </si>
  <si>
    <t>23/10/2025 05:00</t>
  </si>
  <si>
    <t>23/10/2025 05:15</t>
  </si>
  <si>
    <t>23/10/2025 05:30</t>
  </si>
  <si>
    <t>23/10/2025 05:45</t>
  </si>
  <si>
    <t>23/10/2025 06:00</t>
  </si>
  <si>
    <t>23/10/2025 06:15</t>
  </si>
  <si>
    <t>23/10/2025 06:30</t>
  </si>
  <si>
    <t>23/10/2025 06:45</t>
  </si>
  <si>
    <t>23/10/2025 07:00</t>
  </si>
  <si>
    <t>23/10/2025 07:15</t>
  </si>
  <si>
    <t>23/10/2025 07:30</t>
  </si>
  <si>
    <t>23/10/2025 07:45</t>
  </si>
  <si>
    <t>23/10/2025 08:00</t>
  </si>
  <si>
    <t>23/10/2025 08:15</t>
  </si>
  <si>
    <t>23/10/2025 08:30</t>
  </si>
  <si>
    <t>23/10/2025 08:45</t>
  </si>
  <si>
    <t>23/10/2025 09:00</t>
  </si>
  <si>
    <t>23/10/2025 09:15</t>
  </si>
  <si>
    <t>23/10/2025 09:30</t>
  </si>
  <si>
    <t>23/10/2025 09:45</t>
  </si>
  <si>
    <t>23/10/2025 10:00</t>
  </si>
  <si>
    <t>23/10/2025 10:15</t>
  </si>
  <si>
    <t>23/10/2025 10:30</t>
  </si>
  <si>
    <t>23/10/2025 10:45</t>
  </si>
  <si>
    <t>23/10/2025 11:00</t>
  </si>
  <si>
    <t>23/10/2025 11:15</t>
  </si>
  <si>
    <t>23/10/2025 11:30</t>
  </si>
  <si>
    <t>23/10/2025 11:45</t>
  </si>
  <si>
    <t>23/10/2025 12:00</t>
  </si>
  <si>
    <t>23/10/2025 12:15</t>
  </si>
  <si>
    <t>23/10/2025 12:30</t>
  </si>
  <si>
    <t>23/10/2025 12:45</t>
  </si>
  <si>
    <t>23/10/2025 13:00</t>
  </si>
  <si>
    <t>23/10/2025 13:15</t>
  </si>
  <si>
    <t>23/10/2025 13:30</t>
  </si>
  <si>
    <t>23/10/2025 13:45</t>
  </si>
  <si>
    <t>23/10/2025 14:00</t>
  </si>
  <si>
    <t>23/10/2025 14:15</t>
  </si>
  <si>
    <t>23/10/2025 14:30</t>
  </si>
  <si>
    <t>23/10/2025 14:45</t>
  </si>
  <si>
    <t>23/10/2025 15:00</t>
  </si>
  <si>
    <t>23/10/2025 15:15</t>
  </si>
  <si>
    <t>23/10/2025 15:30</t>
  </si>
  <si>
    <t>23/10/2025 15:45</t>
  </si>
  <si>
    <t>23/10/2025 16:00</t>
  </si>
  <si>
    <t>23/10/2025 16:15</t>
  </si>
  <si>
    <t>23/10/2025 16:30</t>
  </si>
  <si>
    <t>23/10/2025 16:45</t>
  </si>
  <si>
    <t>23/10/2025 17:00</t>
  </si>
  <si>
    <t>23/10/2025 17:15</t>
  </si>
  <si>
    <t>23/10/2025 17:30</t>
  </si>
  <si>
    <t>23/10/2025 17:45</t>
  </si>
  <si>
    <t>23/10/2025 18:00</t>
  </si>
  <si>
    <t>23/10/2025 18:15</t>
  </si>
  <si>
    <t>23/10/2025 18:30</t>
  </si>
  <si>
    <t>23/10/2025 18:45</t>
  </si>
  <si>
    <t>23/10/2025 19:00</t>
  </si>
  <si>
    <t>23/10/2025 19:15</t>
  </si>
  <si>
    <t>23/10/2025 19:30</t>
  </si>
  <si>
    <t>23/10/2025 19:45</t>
  </si>
  <si>
    <t>23/10/2025 20:00</t>
  </si>
  <si>
    <t>23/10/2025 20:15</t>
  </si>
  <si>
    <t>23/10/2025 20:30</t>
  </si>
  <si>
    <t>23/10/2025 20:45</t>
  </si>
  <si>
    <t>23/10/2025 21:00</t>
  </si>
  <si>
    <t>23/10/2025 21:15</t>
  </si>
  <si>
    <t>23/10/2025 21:30</t>
  </si>
  <si>
    <t>23/10/2025 21:45</t>
  </si>
  <si>
    <t>23/10/2025 22:00</t>
  </si>
  <si>
    <t>23/10/2025 22:15</t>
  </si>
  <si>
    <t>23/10/2025 22:30</t>
  </si>
  <si>
    <t>23/10/2025 22:45</t>
  </si>
  <si>
    <t>23/10/2025 23:00</t>
  </si>
  <si>
    <t>23/10/2025 23:15</t>
  </si>
  <si>
    <t>23/10/2025 23:30</t>
  </si>
  <si>
    <t>23/10/2025 23:45</t>
  </si>
  <si>
    <t>23/10/2025 24:00</t>
  </si>
  <si>
    <t>24/10/2025 00:15</t>
  </si>
  <si>
    <t>24/10/2025 00:30</t>
  </si>
  <si>
    <t>24/10/2025 00:45</t>
  </si>
  <si>
    <t>24/10/2025 01:00</t>
  </si>
  <si>
    <t>24/10/2025 01:15</t>
  </si>
  <si>
    <t>24/10/2025 01:30</t>
  </si>
  <si>
    <t>24/10/2025 01:45</t>
  </si>
  <si>
    <t>24/10/2025 02:00</t>
  </si>
  <si>
    <t>24/10/2025 02:15</t>
  </si>
  <si>
    <t>24/10/2025 02:30</t>
  </si>
  <si>
    <t>24/10/2025 02:45</t>
  </si>
  <si>
    <t>24/10/2025 03:00</t>
  </si>
  <si>
    <t>24/10/2025 03:15</t>
  </si>
  <si>
    <t>24/10/2025 03:30</t>
  </si>
  <si>
    <t>24/10/2025 03:45</t>
  </si>
  <si>
    <t>24/10/2025 04:00</t>
  </si>
  <si>
    <t>24/10/2025 04:15</t>
  </si>
  <si>
    <t>24/10/2025 04:30</t>
  </si>
  <si>
    <t>24/10/2025 04:45</t>
  </si>
  <si>
    <t>24/10/2025 05:00</t>
  </si>
  <si>
    <t>24/10/2025 05:15</t>
  </si>
  <si>
    <t>24/10/2025 05:30</t>
  </si>
  <si>
    <t>24/10/2025 05:45</t>
  </si>
  <si>
    <t>24/10/2025 06:00</t>
  </si>
  <si>
    <t>24/10/2025 06:15</t>
  </si>
  <si>
    <t>24/10/2025 06:30</t>
  </si>
  <si>
    <t>24/10/2025 06:45</t>
  </si>
  <si>
    <t>24/10/2025 07:00</t>
  </si>
  <si>
    <t>24/10/2025 07:15</t>
  </si>
  <si>
    <t>24/10/2025 07:30</t>
  </si>
  <si>
    <t>24/10/2025 07:45</t>
  </si>
  <si>
    <t>24/10/2025 08:00</t>
  </si>
  <si>
    <t>24/10/2025 08:15</t>
  </si>
  <si>
    <t>24/10/2025 08:30</t>
  </si>
  <si>
    <t>24/10/2025 08:45</t>
  </si>
  <si>
    <t>24/10/2025 09:00</t>
  </si>
  <si>
    <t>24/10/2025 09:15</t>
  </si>
  <si>
    <t>24/10/2025 09:30</t>
  </si>
  <si>
    <t>24/10/2025 09:45</t>
  </si>
  <si>
    <t>24/10/2025 10:00</t>
  </si>
  <si>
    <t>24/10/2025 10:15</t>
  </si>
  <si>
    <t>24/10/2025 10:30</t>
  </si>
  <si>
    <t>24/10/2025 10:45</t>
  </si>
  <si>
    <t>24/10/2025 11:00</t>
  </si>
  <si>
    <t>24/10/2025 11:15</t>
  </si>
  <si>
    <t>24/10/2025 11:30</t>
  </si>
  <si>
    <t>24/10/2025 11:45</t>
  </si>
  <si>
    <t>24/10/2025 12:00</t>
  </si>
  <si>
    <t>24/10/2025 12:15</t>
  </si>
  <si>
    <t>24/10/2025 12:30</t>
  </si>
  <si>
    <t>24/10/2025 12:45</t>
  </si>
  <si>
    <t>24/10/2025 13:00</t>
  </si>
  <si>
    <t>24/10/2025 13:15</t>
  </si>
  <si>
    <t>24/10/2025 13:30</t>
  </si>
  <si>
    <t>24/10/2025 13:45</t>
  </si>
  <si>
    <t>24/10/2025 14:00</t>
  </si>
  <si>
    <t>24/10/2025 14:15</t>
  </si>
  <si>
    <t>24/10/2025 14:30</t>
  </si>
  <si>
    <t>24/10/2025 14:45</t>
  </si>
  <si>
    <t>24/10/2025 15:00</t>
  </si>
  <si>
    <t>24/10/2025 15:15</t>
  </si>
  <si>
    <t>24/10/2025 15:30</t>
  </si>
  <si>
    <t>24/10/2025 15:45</t>
  </si>
  <si>
    <t>24/10/2025 16:00</t>
  </si>
  <si>
    <t>24/10/2025 16:15</t>
  </si>
  <si>
    <t>24/10/2025 16:30</t>
  </si>
  <si>
    <t>24/10/2025 16:45</t>
  </si>
  <si>
    <t>24/10/2025 17:00</t>
  </si>
  <si>
    <t>24/10/2025 17:15</t>
  </si>
  <si>
    <t>24/10/2025 17:30</t>
  </si>
  <si>
    <t>24/10/2025 17:45</t>
  </si>
  <si>
    <t>24/10/2025 18:00</t>
  </si>
  <si>
    <t>24/10/2025 18:15</t>
  </si>
  <si>
    <t>24/10/2025 18:30</t>
  </si>
  <si>
    <t>24/10/2025 18:45</t>
  </si>
  <si>
    <t>24/10/2025 19:00</t>
  </si>
  <si>
    <t>24/10/2025 19:15</t>
  </si>
  <si>
    <t>24/10/2025 19:30</t>
  </si>
  <si>
    <t>24/10/2025 19:45</t>
  </si>
  <si>
    <t>24/10/2025 20:00</t>
  </si>
  <si>
    <t>24/10/2025 20:15</t>
  </si>
  <si>
    <t>24/10/2025 20:30</t>
  </si>
  <si>
    <t>24/10/2025 20:45</t>
  </si>
  <si>
    <t>24/10/2025 21:00</t>
  </si>
  <si>
    <t>24/10/2025 21:15</t>
  </si>
  <si>
    <t>24/10/2025 21:30</t>
  </si>
  <si>
    <t>24/10/2025 21:45</t>
  </si>
  <si>
    <t>24/10/2025 22:00</t>
  </si>
  <si>
    <t>24/10/2025 22:15</t>
  </si>
  <si>
    <t>24/10/2025 22:30</t>
  </si>
  <si>
    <t>24/10/2025 22:45</t>
  </si>
  <si>
    <t>24/10/2025 23:00</t>
  </si>
  <si>
    <t>24/10/2025 23:15</t>
  </si>
  <si>
    <t>24/10/2025 23:30</t>
  </si>
  <si>
    <t>24/10/2025 23:45</t>
  </si>
  <si>
    <t>24/10/2025 24:00</t>
  </si>
  <si>
    <t>25/10/2025 00:15</t>
  </si>
  <si>
    <t>25/10/2025 00:30</t>
  </si>
  <si>
    <t>25/10/2025 00:45</t>
  </si>
  <si>
    <t>25/10/2025 01:00</t>
  </si>
  <si>
    <t>25/10/2025 01:15</t>
  </si>
  <si>
    <t>25/10/2025 01:30</t>
  </si>
  <si>
    <t>25/10/2025 01:45</t>
  </si>
  <si>
    <t>25/10/2025 02:00</t>
  </si>
  <si>
    <t>25/10/2025 02:15</t>
  </si>
  <si>
    <t>25/10/2025 02:30</t>
  </si>
  <si>
    <t>25/10/2025 02:45</t>
  </si>
  <si>
    <t>25/10/2025 03:00</t>
  </si>
  <si>
    <t>25/10/2025 03:15</t>
  </si>
  <si>
    <t>25/10/2025 03:30</t>
  </si>
  <si>
    <t>25/10/2025 03:45</t>
  </si>
  <si>
    <t>25/10/2025 04:00</t>
  </si>
  <si>
    <t>25/10/2025 04:15</t>
  </si>
  <si>
    <t>25/10/2025 04:30</t>
  </si>
  <si>
    <t>25/10/2025 04:45</t>
  </si>
  <si>
    <t>25/10/2025 05:00</t>
  </si>
  <si>
    <t>25/10/2025 05:15</t>
  </si>
  <si>
    <t>25/10/2025 05:30</t>
  </si>
  <si>
    <t>25/10/2025 05:45</t>
  </si>
  <si>
    <t>25/10/2025 06:00</t>
  </si>
  <si>
    <t>25/10/2025 06:15</t>
  </si>
  <si>
    <t>25/10/2025 06:30</t>
  </si>
  <si>
    <t>25/10/2025 06:45</t>
  </si>
  <si>
    <t>25/10/2025 07:00</t>
  </si>
  <si>
    <t>25/10/2025 07:15</t>
  </si>
  <si>
    <t>25/10/2025 07:30</t>
  </si>
  <si>
    <t>25/10/2025 07:45</t>
  </si>
  <si>
    <t>25/10/2025 08:00</t>
  </si>
  <si>
    <t>25/10/2025 08:15</t>
  </si>
  <si>
    <t>25/10/2025 08:30</t>
  </si>
  <si>
    <t>25/10/2025 08:45</t>
  </si>
  <si>
    <t>25/10/2025 09:00</t>
  </si>
  <si>
    <t>25/10/2025 09:15</t>
  </si>
  <si>
    <t>25/10/2025 09:30</t>
  </si>
  <si>
    <t>25/10/2025 09:45</t>
  </si>
  <si>
    <t>25/10/2025 10:00</t>
  </si>
  <si>
    <t>25/10/2025 10:15</t>
  </si>
  <si>
    <t>25/10/2025 10:30</t>
  </si>
  <si>
    <t>25/10/2025 10:45</t>
  </si>
  <si>
    <t>25/10/2025 11:00</t>
  </si>
  <si>
    <t>25/10/2025 11:15</t>
  </si>
  <si>
    <t>25/10/2025 11:30</t>
  </si>
  <si>
    <t>25/10/2025 11:45</t>
  </si>
  <si>
    <t>25/10/2025 12:00</t>
  </si>
  <si>
    <t>25/10/2025 12:15</t>
  </si>
  <si>
    <t>25/10/2025 12:30</t>
  </si>
  <si>
    <t>25/10/2025 12:45</t>
  </si>
  <si>
    <t>25/10/2025 13:00</t>
  </si>
  <si>
    <t>25/10/2025 13:15</t>
  </si>
  <si>
    <t>25/10/2025 13:30</t>
  </si>
  <si>
    <t>25/10/2025 13:45</t>
  </si>
  <si>
    <t>25/10/2025 14:00</t>
  </si>
  <si>
    <t>25/10/2025 14:15</t>
  </si>
  <si>
    <t>25/10/2025 14:30</t>
  </si>
  <si>
    <t>25/10/2025 14:45</t>
  </si>
  <si>
    <t>25/10/2025 15:00</t>
  </si>
  <si>
    <t>25/10/2025 15:15</t>
  </si>
  <si>
    <t>25/10/2025 15:30</t>
  </si>
  <si>
    <t>25/10/2025 15:45</t>
  </si>
  <si>
    <t>25/10/2025 16:00</t>
  </si>
  <si>
    <t>25/10/2025 16:15</t>
  </si>
  <si>
    <t>25/10/2025 16:30</t>
  </si>
  <si>
    <t>25/10/2025 16:45</t>
  </si>
  <si>
    <t>25/10/2025 17:00</t>
  </si>
  <si>
    <t>25/10/2025 17:15</t>
  </si>
  <si>
    <t>25/10/2025 17:30</t>
  </si>
  <si>
    <t>25/10/2025 17:45</t>
  </si>
  <si>
    <t>25/10/2025 18:00</t>
  </si>
  <si>
    <t>25/10/2025 18:15</t>
  </si>
  <si>
    <t>25/10/2025 18:30</t>
  </si>
  <si>
    <t>25/10/2025 18:45</t>
  </si>
  <si>
    <t>25/10/2025 19:00</t>
  </si>
  <si>
    <t>25/10/2025 19:15</t>
  </si>
  <si>
    <t>25/10/2025 19:30</t>
  </si>
  <si>
    <t>25/10/2025 19:45</t>
  </si>
  <si>
    <t>25/10/2025 20:00</t>
  </si>
  <si>
    <t>25/10/2025 20:15</t>
  </si>
  <si>
    <t>25/10/2025 20:30</t>
  </si>
  <si>
    <t>25/10/2025 20:45</t>
  </si>
  <si>
    <t>25/10/2025 21:00</t>
  </si>
  <si>
    <t>25/10/2025 21:15</t>
  </si>
  <si>
    <t>25/10/2025 21:30</t>
  </si>
  <si>
    <t>25/10/2025 21:45</t>
  </si>
  <si>
    <t>25/10/2025 22:00</t>
  </si>
  <si>
    <t>25/10/2025 22:15</t>
  </si>
  <si>
    <t>25/10/2025 22:30</t>
  </si>
  <si>
    <t>25/10/2025 22:45</t>
  </si>
  <si>
    <t>25/10/2025 23:00</t>
  </si>
  <si>
    <t>25/10/2025 23:15</t>
  </si>
  <si>
    <t>25/10/2025 23:30</t>
  </si>
  <si>
    <t>25/10/2025 23:45</t>
  </si>
  <si>
    <t>25/10/2025 24:00</t>
  </si>
  <si>
    <t>26/10/2025 00:15</t>
  </si>
  <si>
    <t>26/10/2025 00:30</t>
  </si>
  <si>
    <t>26/10/2025 00:45</t>
  </si>
  <si>
    <t>26/10/2025 01:00</t>
  </si>
  <si>
    <t>26/10/2025 01:15</t>
  </si>
  <si>
    <t>26/10/2025 01:30</t>
  </si>
  <si>
    <t>26/10/2025 01:45</t>
  </si>
  <si>
    <t>26/10/2025 02:00</t>
  </si>
  <si>
    <t>26/10/2025 02:15</t>
  </si>
  <si>
    <t>26/10/2025 02:30</t>
  </si>
  <si>
    <t>26/10/2025 02:45</t>
  </si>
  <si>
    <t>26/10/2025 03:00</t>
  </si>
  <si>
    <t>26/10/2025 03:15</t>
  </si>
  <si>
    <t>26/10/2025 03:30</t>
  </si>
  <si>
    <t>26/10/2025 03:45</t>
  </si>
  <si>
    <t>26/10/2025 04:00</t>
  </si>
  <si>
    <t>26/10/2025 04:15</t>
  </si>
  <si>
    <t>26/10/2025 04:30</t>
  </si>
  <si>
    <t>26/10/2025 04:45</t>
  </si>
  <si>
    <t>26/10/2025 05:00</t>
  </si>
  <si>
    <t>26/10/2025 05:15</t>
  </si>
  <si>
    <t>26/10/2025 05:30</t>
  </si>
  <si>
    <t>26/10/2025 05:45</t>
  </si>
  <si>
    <t>26/10/2025 06:00</t>
  </si>
  <si>
    <t>26/10/2025 06:15</t>
  </si>
  <si>
    <t>26/10/2025 06:30</t>
  </si>
  <si>
    <t>26/10/2025 06:45</t>
  </si>
  <si>
    <t>26/10/2025 07:00</t>
  </si>
  <si>
    <t>26/10/2025 07:15</t>
  </si>
  <si>
    <t>26/10/2025 07:30</t>
  </si>
  <si>
    <t>26/10/2025 07:45</t>
  </si>
  <si>
    <t>26/10/2025 08:00</t>
  </si>
  <si>
    <t>26/10/2025 08:15</t>
  </si>
  <si>
    <t>26/10/2025 08:30</t>
  </si>
  <si>
    <t>26/10/2025 08:45</t>
  </si>
  <si>
    <t>26/10/2025 09:00</t>
  </si>
  <si>
    <t>26/10/2025 09:15</t>
  </si>
  <si>
    <t>26/10/2025 09:30</t>
  </si>
  <si>
    <t>26/10/2025 09:45</t>
  </si>
  <si>
    <t>26/10/2025 10:00</t>
  </si>
  <si>
    <t>26/10/2025 10:15</t>
  </si>
  <si>
    <t>26/10/2025 10:30</t>
  </si>
  <si>
    <t>26/10/2025 10:45</t>
  </si>
  <si>
    <t>26/10/2025 11:00</t>
  </si>
  <si>
    <t>26/10/2025 11:15</t>
  </si>
  <si>
    <t>26/10/2025 11:30</t>
  </si>
  <si>
    <t>26/10/2025 11:45</t>
  </si>
  <si>
    <t>26/10/2025 12:00</t>
  </si>
  <si>
    <t>26/10/2025 12:15</t>
  </si>
  <si>
    <t>26/10/2025 12:30</t>
  </si>
  <si>
    <t>26/10/2025 12:45</t>
  </si>
  <si>
    <t>26/10/2025 13:00</t>
  </si>
  <si>
    <t>26/10/2025 13:15</t>
  </si>
  <si>
    <t>26/10/2025 13:30</t>
  </si>
  <si>
    <t>26/10/2025 13:45</t>
  </si>
  <si>
    <t>26/10/2025 14:00</t>
  </si>
  <si>
    <t>26/10/2025 14:15</t>
  </si>
  <si>
    <t>26/10/2025 14:30</t>
  </si>
  <si>
    <t>26/10/2025 14:45</t>
  </si>
  <si>
    <t>26/10/2025 15:00</t>
  </si>
  <si>
    <t>26/10/2025 15:15</t>
  </si>
  <si>
    <t>26/10/2025 15:30</t>
  </si>
  <si>
    <t>26/10/2025 15:45</t>
  </si>
  <si>
    <t>26/10/2025 16:00</t>
  </si>
  <si>
    <t>26/10/2025 16:15</t>
  </si>
  <si>
    <t>26/10/2025 16:30</t>
  </si>
  <si>
    <t>26/10/2025 16:45</t>
  </si>
  <si>
    <t>26/10/2025 17:00</t>
  </si>
  <si>
    <t>26/10/2025 17:15</t>
  </si>
  <si>
    <t>26/10/2025 17:30</t>
  </si>
  <si>
    <t>26/10/2025 17:45</t>
  </si>
  <si>
    <t>26/10/2025 18:00</t>
  </si>
  <si>
    <t>26/10/2025 18:15</t>
  </si>
  <si>
    <t>26/10/2025 18:30</t>
  </si>
  <si>
    <t>26/10/2025 18:45</t>
  </si>
  <si>
    <t>26/10/2025 19:00</t>
  </si>
  <si>
    <t>26/10/2025 19:15</t>
  </si>
  <si>
    <t>26/10/2025 19:30</t>
  </si>
  <si>
    <t>26/10/2025 19:45</t>
  </si>
  <si>
    <t>26/10/2025 20:00</t>
  </si>
  <si>
    <t>26/10/2025 20:15</t>
  </si>
  <si>
    <t>26/10/2025 20:30</t>
  </si>
  <si>
    <t>26/10/2025 20:45</t>
  </si>
  <si>
    <t>26/10/2025 21:00</t>
  </si>
  <si>
    <t>26/10/2025 21:15</t>
  </si>
  <si>
    <t>26/10/2025 21:30</t>
  </si>
  <si>
    <t>26/10/2025 21:45</t>
  </si>
  <si>
    <t>26/10/2025 22:00</t>
  </si>
  <si>
    <t>26/10/2025 22:15</t>
  </si>
  <si>
    <t>26/10/2025 22:30</t>
  </si>
  <si>
    <t>26/10/2025 22:45</t>
  </si>
  <si>
    <t>26/10/2025 23:00</t>
  </si>
  <si>
    <t>26/10/2025 23:15</t>
  </si>
  <si>
    <t>26/10/2025 23:30</t>
  </si>
  <si>
    <t>26/10/2025 23:45</t>
  </si>
  <si>
    <t>26/10/2025 24:00</t>
  </si>
  <si>
    <t>27/10/2025 00:15</t>
  </si>
  <si>
    <t>27/10/2025 00:30</t>
  </si>
  <si>
    <t>27/10/2025 00:45</t>
  </si>
  <si>
    <t>27/10/2025 01:00</t>
  </si>
  <si>
    <t>27/10/2025 01:15</t>
  </si>
  <si>
    <t>27/10/2025 01:30</t>
  </si>
  <si>
    <t>27/10/2025 01:45</t>
  </si>
  <si>
    <t>27/10/2025 02:00</t>
  </si>
  <si>
    <t>27/10/2025 02:15</t>
  </si>
  <si>
    <t>27/10/2025 02:30</t>
  </si>
  <si>
    <t>27/10/2025 02:45</t>
  </si>
  <si>
    <t>27/10/2025 03:00</t>
  </si>
  <si>
    <t>27/10/2025 03:15</t>
  </si>
  <si>
    <t>27/10/2025 03:30</t>
  </si>
  <si>
    <t>27/10/2025 03:45</t>
  </si>
  <si>
    <t>27/10/2025 04:00</t>
  </si>
  <si>
    <t>27/10/2025 04:15</t>
  </si>
  <si>
    <t>27/10/2025 04:30</t>
  </si>
  <si>
    <t>27/10/2025 04:45</t>
  </si>
  <si>
    <t>27/10/2025 05:00</t>
  </si>
  <si>
    <t>27/10/2025 05:15</t>
  </si>
  <si>
    <t>27/10/2025 05:30</t>
  </si>
  <si>
    <t>27/10/2025 05:45</t>
  </si>
  <si>
    <t>27/10/2025 06:00</t>
  </si>
  <si>
    <t>27/10/2025 06:15</t>
  </si>
  <si>
    <t>27/10/2025 06:30</t>
  </si>
  <si>
    <t>27/10/2025 06:45</t>
  </si>
  <si>
    <t>27/10/2025 07:00</t>
  </si>
  <si>
    <t>27/10/2025 07:15</t>
  </si>
  <si>
    <t>27/10/2025 07:30</t>
  </si>
  <si>
    <t>27/10/2025 07:45</t>
  </si>
  <si>
    <t>27/10/2025 08:00</t>
  </si>
  <si>
    <t>27/10/2025 08:15</t>
  </si>
  <si>
    <t>27/10/2025 08:30</t>
  </si>
  <si>
    <t>27/10/2025 08:45</t>
  </si>
  <si>
    <t>27/10/2025 09:00</t>
  </si>
  <si>
    <t>27/10/2025 09:15</t>
  </si>
  <si>
    <t>27/10/2025 09:30</t>
  </si>
  <si>
    <t>27/10/2025 09:45</t>
  </si>
  <si>
    <t>27/10/2025 10:00</t>
  </si>
  <si>
    <t>27/10/2025 10:15</t>
  </si>
  <si>
    <t>27/10/2025 10:30</t>
  </si>
  <si>
    <t>27/10/2025 10:45</t>
  </si>
  <si>
    <t>27/10/2025 11:00</t>
  </si>
  <si>
    <t>27/10/2025 11:15</t>
  </si>
  <si>
    <t>27/10/2025 11:30</t>
  </si>
  <si>
    <t>27/10/2025 11:45</t>
  </si>
  <si>
    <t>27/10/2025 12:00</t>
  </si>
  <si>
    <t>27/10/2025 12:15</t>
  </si>
  <si>
    <t>27/10/2025 12:30</t>
  </si>
  <si>
    <t>27/10/2025 12:45</t>
  </si>
  <si>
    <t>27/10/2025 13:00</t>
  </si>
  <si>
    <t>27/10/2025 13:15</t>
  </si>
  <si>
    <t>27/10/2025 13:30</t>
  </si>
  <si>
    <t>27/10/2025 13:45</t>
  </si>
  <si>
    <t>27/10/2025 14:00</t>
  </si>
  <si>
    <t>27/10/2025 14:15</t>
  </si>
  <si>
    <t>27/10/2025 14:30</t>
  </si>
  <si>
    <t>27/10/2025 14:45</t>
  </si>
  <si>
    <t>27/10/2025 15:00</t>
  </si>
  <si>
    <t>27/10/2025 15:15</t>
  </si>
  <si>
    <t>27/10/2025 15:30</t>
  </si>
  <si>
    <t>27/10/2025 15:45</t>
  </si>
  <si>
    <t>27/10/2025 16:00</t>
  </si>
  <si>
    <t>27/10/2025 16:15</t>
  </si>
  <si>
    <t>27/10/2025 16:30</t>
  </si>
  <si>
    <t>27/10/2025 16:45</t>
  </si>
  <si>
    <t>27/10/2025 17:00</t>
  </si>
  <si>
    <t>27/10/2025 17:15</t>
  </si>
  <si>
    <t>27/10/2025 17:30</t>
  </si>
  <si>
    <t>27/10/2025 17:45</t>
  </si>
  <si>
    <t>27/10/2025 18:00</t>
  </si>
  <si>
    <t>27/10/2025 18:15</t>
  </si>
  <si>
    <t>27/10/2025 18:30</t>
  </si>
  <si>
    <t>27/10/2025 18:45</t>
  </si>
  <si>
    <t>27/10/2025 19:00</t>
  </si>
  <si>
    <t>27/10/2025 19:15</t>
  </si>
  <si>
    <t>27/10/2025 19:30</t>
  </si>
  <si>
    <t>27/10/2025 19:45</t>
  </si>
  <si>
    <t>27/10/2025 20:00</t>
  </si>
  <si>
    <t>27/10/2025 20:15</t>
  </si>
  <si>
    <t>27/10/2025 20:30</t>
  </si>
  <si>
    <t>27/10/2025 20:45</t>
  </si>
  <si>
    <t>27/10/2025 21:00</t>
  </si>
  <si>
    <t>27/10/2025 21:15</t>
  </si>
  <si>
    <t>27/10/2025 21:30</t>
  </si>
  <si>
    <t>27/10/2025 21:45</t>
  </si>
  <si>
    <t>27/10/2025 22:00</t>
  </si>
  <si>
    <t>27/10/2025 22:15</t>
  </si>
  <si>
    <t>27/10/2025 22:30</t>
  </si>
  <si>
    <t>27/10/2025 22:45</t>
  </si>
  <si>
    <t>27/10/2025 23:00</t>
  </si>
  <si>
    <t>27/10/2025 23:15</t>
  </si>
  <si>
    <t>27/10/2025 23:30</t>
  </si>
  <si>
    <t>27/10/2025 23:45</t>
  </si>
  <si>
    <t>27/10/2025 24:00</t>
  </si>
  <si>
    <t>28/10/2025 00:15</t>
  </si>
  <si>
    <t>28/10/2025 00:30</t>
  </si>
  <si>
    <t>28/10/2025 00:45</t>
  </si>
  <si>
    <t>28/10/2025 01:00</t>
  </si>
  <si>
    <t>28/10/2025 01:15</t>
  </si>
  <si>
    <t>28/10/2025 01:30</t>
  </si>
  <si>
    <t>28/10/2025 01:45</t>
  </si>
  <si>
    <t>28/10/2025 02:00</t>
  </si>
  <si>
    <t>28/10/2025 02:15</t>
  </si>
  <si>
    <t>28/10/2025 02:30</t>
  </si>
  <si>
    <t>28/10/2025 02:45</t>
  </si>
  <si>
    <t>28/10/2025 03:00</t>
  </si>
  <si>
    <t>28/10/2025 03:15</t>
  </si>
  <si>
    <t>28/10/2025 03:30</t>
  </si>
  <si>
    <t>28/10/2025 03:45</t>
  </si>
  <si>
    <t>28/10/2025 04:00</t>
  </si>
  <si>
    <t>28/10/2025 04:15</t>
  </si>
  <si>
    <t>28/10/2025 04:30</t>
  </si>
  <si>
    <t>28/10/2025 04:45</t>
  </si>
  <si>
    <t>28/10/2025 05:00</t>
  </si>
  <si>
    <t>28/10/2025 05:15</t>
  </si>
  <si>
    <t>28/10/2025 05:30</t>
  </si>
  <si>
    <t>28/10/2025 05:45</t>
  </si>
  <si>
    <t>28/10/2025 06:00</t>
  </si>
  <si>
    <t>28/10/2025 06:15</t>
  </si>
  <si>
    <t>28/10/2025 06:30</t>
  </si>
  <si>
    <t>28/10/2025 06:45</t>
  </si>
  <si>
    <t>28/10/2025 07:00</t>
  </si>
  <si>
    <t>28/10/2025 07:15</t>
  </si>
  <si>
    <t>28/10/2025 07:30</t>
  </si>
  <si>
    <t>28/10/2025 07:45</t>
  </si>
  <si>
    <t>28/10/2025 08:00</t>
  </si>
  <si>
    <t>28/10/2025 08:15</t>
  </si>
  <si>
    <t>28/10/2025 08:30</t>
  </si>
  <si>
    <t>28/10/2025 08:45</t>
  </si>
  <si>
    <t>28/10/2025 09:00</t>
  </si>
  <si>
    <t>28/10/2025 09:15</t>
  </si>
  <si>
    <t>28/10/2025 09:30</t>
  </si>
  <si>
    <t>28/10/2025 09:45</t>
  </si>
  <si>
    <t>28/10/2025 10:00</t>
  </si>
  <si>
    <t>28/10/2025 10:15</t>
  </si>
  <si>
    <t>28/10/2025 10:30</t>
  </si>
  <si>
    <t>28/10/2025 10:45</t>
  </si>
  <si>
    <t>28/10/2025 11:00</t>
  </si>
  <si>
    <t>28/10/2025 11:15</t>
  </si>
  <si>
    <t>28/10/2025 11:30</t>
  </si>
  <si>
    <t>28/10/2025 11:45</t>
  </si>
  <si>
    <t>28/10/2025 12:00</t>
  </si>
  <si>
    <t>28/10/2025 12:15</t>
  </si>
  <si>
    <t>28/10/2025 12:30</t>
  </si>
  <si>
    <t>28/10/2025 12:45</t>
  </si>
  <si>
    <t>28/10/2025 13:00</t>
  </si>
  <si>
    <t>28/10/2025 13:15</t>
  </si>
  <si>
    <t>28/10/2025 13:30</t>
  </si>
  <si>
    <t>28/10/2025 13:45</t>
  </si>
  <si>
    <t>28/10/2025 14:00</t>
  </si>
  <si>
    <t>28/10/2025 14:15</t>
  </si>
  <si>
    <t>28/10/2025 14:30</t>
  </si>
  <si>
    <t>28/10/2025 14:45</t>
  </si>
  <si>
    <t>28/10/2025 15:00</t>
  </si>
  <si>
    <t>28/10/2025 15:15</t>
  </si>
  <si>
    <t>28/10/2025 15:30</t>
  </si>
  <si>
    <t>28/10/2025 15:45</t>
  </si>
  <si>
    <t>28/10/2025 16:00</t>
  </si>
  <si>
    <t>28/10/2025 16:15</t>
  </si>
  <si>
    <t>28/10/2025 16:30</t>
  </si>
  <si>
    <t>28/10/2025 16:45</t>
  </si>
  <si>
    <t>28/10/2025 17:00</t>
  </si>
  <si>
    <t>28/10/2025 17:15</t>
  </si>
  <si>
    <t>28/10/2025 17:30</t>
  </si>
  <si>
    <t>28/10/2025 17:45</t>
  </si>
  <si>
    <t>28/10/2025 18:00</t>
  </si>
  <si>
    <t>28/10/2025 18:15</t>
  </si>
  <si>
    <t>28/10/2025 18:30</t>
  </si>
  <si>
    <t>28/10/2025 18:45</t>
  </si>
  <si>
    <t>28/10/2025 19:00</t>
  </si>
  <si>
    <t>28/10/2025 19:15</t>
  </si>
  <si>
    <t>28/10/2025 19:30</t>
  </si>
  <si>
    <t>28/10/2025 19:45</t>
  </si>
  <si>
    <t>28/10/2025 20:00</t>
  </si>
  <si>
    <t>28/10/2025 20:15</t>
  </si>
  <si>
    <t>28/10/2025 20:30</t>
  </si>
  <si>
    <t>28/10/2025 20:45</t>
  </si>
  <si>
    <t>28/10/2025 21:00</t>
  </si>
  <si>
    <t>28/10/2025 21:15</t>
  </si>
  <si>
    <t>28/10/2025 21:30</t>
  </si>
  <si>
    <t>28/10/2025 21:45</t>
  </si>
  <si>
    <t>28/10/2025 22:00</t>
  </si>
  <si>
    <t>28/10/2025 22:15</t>
  </si>
  <si>
    <t>28/10/2025 22:30</t>
  </si>
  <si>
    <t>28/10/2025 22:45</t>
  </si>
  <si>
    <t>28/10/2025 23:00</t>
  </si>
  <si>
    <t>28/10/2025 23:15</t>
  </si>
  <si>
    <t>28/10/2025 23:30</t>
  </si>
  <si>
    <t>28/10/2025 23:45</t>
  </si>
  <si>
    <t>28/10/2025 24:00</t>
  </si>
  <si>
    <t>29/10/2025 00:15</t>
  </si>
  <si>
    <t>29/10/2025 00:30</t>
  </si>
  <si>
    <t>29/10/2025 00:45</t>
  </si>
  <si>
    <t>29/10/2025 01:00</t>
  </si>
  <si>
    <t>29/10/2025 01:15</t>
  </si>
  <si>
    <t>29/10/2025 01:30</t>
  </si>
  <si>
    <t>29/10/2025 01:45</t>
  </si>
  <si>
    <t>29/10/2025 02:00</t>
  </si>
  <si>
    <t>29/10/2025 02:15</t>
  </si>
  <si>
    <t>29/10/2025 02:30</t>
  </si>
  <si>
    <t>29/10/2025 02:45</t>
  </si>
  <si>
    <t>29/10/2025 03:00</t>
  </si>
  <si>
    <t>29/10/2025 03:15</t>
  </si>
  <si>
    <t>29/10/2025 03:30</t>
  </si>
  <si>
    <t>29/10/2025 03:45</t>
  </si>
  <si>
    <t>29/10/2025 04:00</t>
  </si>
  <si>
    <t>29/10/2025 04:15</t>
  </si>
  <si>
    <t>29/10/2025 04:30</t>
  </si>
  <si>
    <t>29/10/2025 04:45</t>
  </si>
  <si>
    <t>29/10/2025 05:00</t>
  </si>
  <si>
    <t>29/10/2025 05:15</t>
  </si>
  <si>
    <t>29/10/2025 05:30</t>
  </si>
  <si>
    <t>29/10/2025 05:45</t>
  </si>
  <si>
    <t>29/10/2025 06:00</t>
  </si>
  <si>
    <t>29/10/2025 06:15</t>
  </si>
  <si>
    <t>29/10/2025 06:30</t>
  </si>
  <si>
    <t>29/10/2025 06:45</t>
  </si>
  <si>
    <t>29/10/2025 07:00</t>
  </si>
  <si>
    <t>29/10/2025 07:15</t>
  </si>
  <si>
    <t>29/10/2025 07:30</t>
  </si>
  <si>
    <t>29/10/2025 07:45</t>
  </si>
  <si>
    <t>29/10/2025 08:00</t>
  </si>
  <si>
    <t>29/10/2025 08:15</t>
  </si>
  <si>
    <t>29/10/2025 08:30</t>
  </si>
  <si>
    <t>29/10/2025 08:45</t>
  </si>
  <si>
    <t>29/10/2025 09:00</t>
  </si>
  <si>
    <t>29/10/2025 09:15</t>
  </si>
  <si>
    <t>29/10/2025 09:30</t>
  </si>
  <si>
    <t>29/10/2025 09:45</t>
  </si>
  <si>
    <t>29/10/2025 10:00</t>
  </si>
  <si>
    <t>29/10/2025 10:15</t>
  </si>
  <si>
    <t>29/10/2025 10:30</t>
  </si>
  <si>
    <t>29/10/2025 10:45</t>
  </si>
  <si>
    <t>29/10/2025 11:00</t>
  </si>
  <si>
    <t>29/10/2025 11:15</t>
  </si>
  <si>
    <t>29/10/2025 11:30</t>
  </si>
  <si>
    <t>29/10/2025 11:45</t>
  </si>
  <si>
    <t>29/10/2025 12:00</t>
  </si>
  <si>
    <t>29/10/2025 12:15</t>
  </si>
  <si>
    <t>29/10/2025 12:30</t>
  </si>
  <si>
    <t>29/10/2025 12:45</t>
  </si>
  <si>
    <t>29/10/2025 13:00</t>
  </si>
  <si>
    <t>29/10/2025 13:15</t>
  </si>
  <si>
    <t>29/10/2025 13:30</t>
  </si>
  <si>
    <t>29/10/2025 13:45</t>
  </si>
  <si>
    <t>29/10/2025 14:00</t>
  </si>
  <si>
    <t>29/10/2025 14:15</t>
  </si>
  <si>
    <t>29/10/2025 14:30</t>
  </si>
  <si>
    <t>29/10/2025 14:45</t>
  </si>
  <si>
    <t>29/10/2025 15:00</t>
  </si>
  <si>
    <t>29/10/2025 15:15</t>
  </si>
  <si>
    <t>29/10/2025 15:30</t>
  </si>
  <si>
    <t>29/10/2025 15:45</t>
  </si>
  <si>
    <t>29/10/2025 16:00</t>
  </si>
  <si>
    <t>29/10/2025 16:15</t>
  </si>
  <si>
    <t>29/10/2025 16:30</t>
  </si>
  <si>
    <t>29/10/2025 16:45</t>
  </si>
  <si>
    <t>29/10/2025 17:00</t>
  </si>
  <si>
    <t>29/10/2025 17:15</t>
  </si>
  <si>
    <t>29/10/2025 17:30</t>
  </si>
  <si>
    <t>29/10/2025 17:45</t>
  </si>
  <si>
    <t>29/10/2025 18:00</t>
  </si>
  <si>
    <t>29/10/2025 18:15</t>
  </si>
  <si>
    <t>29/10/2025 18:30</t>
  </si>
  <si>
    <t>29/10/2025 18:45</t>
  </si>
  <si>
    <t>29/10/2025 19:00</t>
  </si>
  <si>
    <t>29/10/2025 19:15</t>
  </si>
  <si>
    <t>29/10/2025 19:30</t>
  </si>
  <si>
    <t>29/10/2025 19:45</t>
  </si>
  <si>
    <t>29/10/2025 20:00</t>
  </si>
  <si>
    <t>29/10/2025 20:15</t>
  </si>
  <si>
    <t>29/10/2025 20:30</t>
  </si>
  <si>
    <t>29/10/2025 20:45</t>
  </si>
  <si>
    <t>29/10/2025 21:00</t>
  </si>
  <si>
    <t>29/10/2025 21:15</t>
  </si>
  <si>
    <t>29/10/2025 21:30</t>
  </si>
  <si>
    <t>29/10/2025 21:45</t>
  </si>
  <si>
    <t>29/10/2025 22:00</t>
  </si>
  <si>
    <t>29/10/2025 22:15</t>
  </si>
  <si>
    <t>29/10/2025 22:30</t>
  </si>
  <si>
    <t>29/10/2025 22:45</t>
  </si>
  <si>
    <t>29/10/2025 23:00</t>
  </si>
  <si>
    <t>29/10/2025 23:15</t>
  </si>
  <si>
    <t>29/10/2025 23:30</t>
  </si>
  <si>
    <t>29/10/2025 23:45</t>
  </si>
  <si>
    <t>29/10/2025 24:00</t>
  </si>
  <si>
    <t>30/10/2025 00:15</t>
  </si>
  <si>
    <t>30/10/2025 00:30</t>
  </si>
  <si>
    <t>30/10/2025 00:45</t>
  </si>
  <si>
    <t>30/10/2025 01:00</t>
  </si>
  <si>
    <t>30/10/2025 01:15</t>
  </si>
  <si>
    <t>30/10/2025 01:30</t>
  </si>
  <si>
    <t>30/10/2025 01:45</t>
  </si>
  <si>
    <t>30/10/2025 02:00</t>
  </si>
  <si>
    <t>30/10/2025 02:15</t>
  </si>
  <si>
    <t>30/10/2025 02:30</t>
  </si>
  <si>
    <t>30/10/2025 02:45</t>
  </si>
  <si>
    <t>30/10/2025 03:00</t>
  </si>
  <si>
    <t>30/10/2025 03:15</t>
  </si>
  <si>
    <t>30/10/2025 03:30</t>
  </si>
  <si>
    <t>30/10/2025 03:45</t>
  </si>
  <si>
    <t>30/10/2025 04:00</t>
  </si>
  <si>
    <t>30/10/2025 04:15</t>
  </si>
  <si>
    <t>30/10/2025 04:30</t>
  </si>
  <si>
    <t>30/10/2025 04:45</t>
  </si>
  <si>
    <t>30/10/2025 05:00</t>
  </si>
  <si>
    <t>30/10/2025 05:15</t>
  </si>
  <si>
    <t>30/10/2025 05:30</t>
  </si>
  <si>
    <t>30/10/2025 05:45</t>
  </si>
  <si>
    <t>30/10/2025 06:00</t>
  </si>
  <si>
    <t>30/10/2025 06:15</t>
  </si>
  <si>
    <t>30/10/2025 06:30</t>
  </si>
  <si>
    <t>30/10/2025 06:45</t>
  </si>
  <si>
    <t>30/10/2025 07:00</t>
  </si>
  <si>
    <t>30/10/2025 07:15</t>
  </si>
  <si>
    <t>30/10/2025 07:30</t>
  </si>
  <si>
    <t>30/10/2025 07:45</t>
  </si>
  <si>
    <t>30/10/2025 08:00</t>
  </si>
  <si>
    <t>30/10/2025 08:15</t>
  </si>
  <si>
    <t>30/10/2025 08:30</t>
  </si>
  <si>
    <t>30/10/2025 08:45</t>
  </si>
  <si>
    <t>30/10/2025 09:00</t>
  </si>
  <si>
    <t>30/10/2025 09:15</t>
  </si>
  <si>
    <t>30/10/2025 09:30</t>
  </si>
  <si>
    <t>30/10/2025 09:45</t>
  </si>
  <si>
    <t>30/10/2025 10:00</t>
  </si>
  <si>
    <t>30/10/2025 10:15</t>
  </si>
  <si>
    <t>30/10/2025 10:30</t>
  </si>
  <si>
    <t>30/10/2025 10:45</t>
  </si>
  <si>
    <t>30/10/2025 11:00</t>
  </si>
  <si>
    <t>30/10/2025 11:15</t>
  </si>
  <si>
    <t>30/10/2025 11:30</t>
  </si>
  <si>
    <t>30/10/2025 11:45</t>
  </si>
  <si>
    <t>30/10/2025 12:00</t>
  </si>
  <si>
    <t>30/10/2025 12:15</t>
  </si>
  <si>
    <t>30/10/2025 12:30</t>
  </si>
  <si>
    <t>30/10/2025 12:45</t>
  </si>
  <si>
    <t>30/10/2025 13:00</t>
  </si>
  <si>
    <t>30/10/2025 13:15</t>
  </si>
  <si>
    <t>30/10/2025 13:30</t>
  </si>
  <si>
    <t>30/10/2025 13:45</t>
  </si>
  <si>
    <t>30/10/2025 14:00</t>
  </si>
  <si>
    <t>30/10/2025 14:15</t>
  </si>
  <si>
    <t>30/10/2025 14:30</t>
  </si>
  <si>
    <t>30/10/2025 14:45</t>
  </si>
  <si>
    <t>30/10/2025 15:00</t>
  </si>
  <si>
    <t>30/10/2025 15:15</t>
  </si>
  <si>
    <t>30/10/2025 15:30</t>
  </si>
  <si>
    <t>30/10/2025 15:45</t>
  </si>
  <si>
    <t>30/10/2025 16:00</t>
  </si>
  <si>
    <t>30/10/2025 16:15</t>
  </si>
  <si>
    <t>30/10/2025 16:30</t>
  </si>
  <si>
    <t>30/10/2025 16:45</t>
  </si>
  <si>
    <t>30/10/2025 17:00</t>
  </si>
  <si>
    <t>30/10/2025 17:15</t>
  </si>
  <si>
    <t>30/10/2025 17:30</t>
  </si>
  <si>
    <t>30/10/2025 17:45</t>
  </si>
  <si>
    <t>30/10/2025 18:00</t>
  </si>
  <si>
    <t>30/10/2025 18:15</t>
  </si>
  <si>
    <t>30/10/2025 18:30</t>
  </si>
  <si>
    <t>30/10/2025 18:45</t>
  </si>
  <si>
    <t>30/10/2025 19:00</t>
  </si>
  <si>
    <t>30/10/2025 19:15</t>
  </si>
  <si>
    <t>30/10/2025 19:30</t>
  </si>
  <si>
    <t>30/10/2025 19:45</t>
  </si>
  <si>
    <t>30/10/2025 20:00</t>
  </si>
  <si>
    <t>30/10/2025 20:15</t>
  </si>
  <si>
    <t>30/10/2025 20:30</t>
  </si>
  <si>
    <t>30/10/2025 20:45</t>
  </si>
  <si>
    <t>30/10/2025 21:00</t>
  </si>
  <si>
    <t>30/10/2025 21:15</t>
  </si>
  <si>
    <t>30/10/2025 21:30</t>
  </si>
  <si>
    <t>30/10/2025 21:45</t>
  </si>
  <si>
    <t>30/10/2025 22:00</t>
  </si>
  <si>
    <t>30/10/2025 22:15</t>
  </si>
  <si>
    <t>30/10/2025 22:30</t>
  </si>
  <si>
    <t>30/10/2025 22:45</t>
  </si>
  <si>
    <t>30/10/2025 23:00</t>
  </si>
  <si>
    <t>30/10/2025 23:15</t>
  </si>
  <si>
    <t>30/10/2025 23:30</t>
  </si>
  <si>
    <t>30/10/2025 23:45</t>
  </si>
  <si>
    <t>30/10/2025 24:00</t>
  </si>
  <si>
    <t>31/10/2025 00:15</t>
  </si>
  <si>
    <t>31/10/2025 00:30</t>
  </si>
  <si>
    <t>31/10/2025 00:45</t>
  </si>
  <si>
    <t>31/10/2025 01:00</t>
  </si>
  <si>
    <t>31/10/2025 01:15</t>
  </si>
  <si>
    <t>31/10/2025 01:30</t>
  </si>
  <si>
    <t>31/10/2025 01:45</t>
  </si>
  <si>
    <t>31/10/2025 02:00</t>
  </si>
  <si>
    <t>31/10/2025 02:15</t>
  </si>
  <si>
    <t>31/10/2025 02:30</t>
  </si>
  <si>
    <t>31/10/2025 02:45</t>
  </si>
  <si>
    <t>31/10/2025 03:00</t>
  </si>
  <si>
    <t>31/10/2025 03:15</t>
  </si>
  <si>
    <t>31/10/2025 03:30</t>
  </si>
  <si>
    <t>31/10/2025 03:45</t>
  </si>
  <si>
    <t>31/10/2025 04:00</t>
  </si>
  <si>
    <t>31/10/2025 04:15</t>
  </si>
  <si>
    <t>31/10/2025 04:30</t>
  </si>
  <si>
    <t>31/10/2025 04:45</t>
  </si>
  <si>
    <t>31/10/2025 05:00</t>
  </si>
  <si>
    <t>31/10/2025 05:15</t>
  </si>
  <si>
    <t>31/10/2025 05:30</t>
  </si>
  <si>
    <t>31/10/2025 05:45</t>
  </si>
  <si>
    <t>31/10/2025 06:00</t>
  </si>
  <si>
    <t>31/10/2025 06:15</t>
  </si>
  <si>
    <t>31/10/2025 06:30</t>
  </si>
  <si>
    <t>31/10/2025 06:45</t>
  </si>
  <si>
    <t>31/10/2025 07:00</t>
  </si>
  <si>
    <t>31/10/2025 07:15</t>
  </si>
  <si>
    <t>31/10/2025 07:30</t>
  </si>
  <si>
    <t>31/10/2025 07:45</t>
  </si>
  <si>
    <t>31/10/2025 08:00</t>
  </si>
  <si>
    <t>31/10/2025 08:15</t>
  </si>
  <si>
    <t>31/10/2025 08:30</t>
  </si>
  <si>
    <t>31/10/2025 08:45</t>
  </si>
  <si>
    <t>31/10/2025 09:00</t>
  </si>
  <si>
    <t>31/10/2025 09:15</t>
  </si>
  <si>
    <t>31/10/2025 09:30</t>
  </si>
  <si>
    <t>31/10/2025 09:45</t>
  </si>
  <si>
    <t>31/10/2025 10:00</t>
  </si>
  <si>
    <t>31/10/2025 10:15</t>
  </si>
  <si>
    <t>31/10/2025 10:30</t>
  </si>
  <si>
    <t>31/10/2025 10:45</t>
  </si>
  <si>
    <t>31/10/2025 11:00</t>
  </si>
  <si>
    <t>31/10/2025 11:15</t>
  </si>
  <si>
    <t>31/10/2025 11:30</t>
  </si>
  <si>
    <t>31/10/2025 11:45</t>
  </si>
  <si>
    <t>31/10/2025 12:00</t>
  </si>
  <si>
    <t>31/10/2025 12:15</t>
  </si>
  <si>
    <t>31/10/2025 12:30</t>
  </si>
  <si>
    <t>31/10/2025 12:45</t>
  </si>
  <si>
    <t>31/10/2025 13:00</t>
  </si>
  <si>
    <t>31/10/2025 13:15</t>
  </si>
  <si>
    <t>31/10/2025 13:30</t>
  </si>
  <si>
    <t>31/10/2025 13:45</t>
  </si>
  <si>
    <t>31/10/2025 14:00</t>
  </si>
  <si>
    <t>31/10/2025 14:15</t>
  </si>
  <si>
    <t>31/10/2025 14:30</t>
  </si>
  <si>
    <t>31/10/2025 14:45</t>
  </si>
  <si>
    <t>31/10/2025 15:00</t>
  </si>
  <si>
    <t>31/10/2025 15:15</t>
  </si>
  <si>
    <t>31/10/2025 15:30</t>
  </si>
  <si>
    <t>31/10/2025 15:45</t>
  </si>
  <si>
    <t>31/10/2025 16:00</t>
  </si>
  <si>
    <t>31/10/2025 16:15</t>
  </si>
  <si>
    <t>31/10/2025 16:30</t>
  </si>
  <si>
    <t>31/10/2025 16:45</t>
  </si>
  <si>
    <t>31/10/2025 17:00</t>
  </si>
  <si>
    <t>31/10/2025 17:15</t>
  </si>
  <si>
    <t>31/10/2025 17:30</t>
  </si>
  <si>
    <t>31/10/2025 17:45</t>
  </si>
  <si>
    <t>31/10/2025 18:00</t>
  </si>
  <si>
    <t>31/10/2025 18:15</t>
  </si>
  <si>
    <t>31/10/2025 18:30</t>
  </si>
  <si>
    <t>31/10/2025 18:45</t>
  </si>
  <si>
    <t>31/10/2025 19:00</t>
  </si>
  <si>
    <t>31/10/2025 19:15</t>
  </si>
  <si>
    <t>31/10/2025 19:30</t>
  </si>
  <si>
    <t>31/10/2025 19:45</t>
  </si>
  <si>
    <t>31/10/2025 20:00</t>
  </si>
  <si>
    <t>31/10/2025 20:15</t>
  </si>
  <si>
    <t>31/10/2025 20:30</t>
  </si>
  <si>
    <t>31/10/2025 20:45</t>
  </si>
  <si>
    <t>31/10/2025 21:00</t>
  </si>
  <si>
    <t>31/10/2025 21:15</t>
  </si>
  <si>
    <t>31/10/2025 21:30</t>
  </si>
  <si>
    <t>31/10/2025 21:45</t>
  </si>
  <si>
    <t>31/10/2025 22:00</t>
  </si>
  <si>
    <t>31/10/2025 22:15</t>
  </si>
  <si>
    <t>31/10/2025 22:30</t>
  </si>
  <si>
    <t>31/10/2025 22:45</t>
  </si>
  <si>
    <t>31/10/2025 23:00</t>
  </si>
  <si>
    <t>31/10/2025 23:15</t>
  </si>
  <si>
    <t>31/10/2025 23:30</t>
  </si>
  <si>
    <t>31/10/2025 23:45</t>
  </si>
  <si>
    <t>31/10/2025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</si>
</sst>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1" fillId="12" borderId="1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51" activePane="bottomRight" state="frozen"/>
      <selection activeCell="A9" sqref="A9:U104"/>
      <selection pane="topRight" activeCell="A9" sqref="A9:U104"/>
      <selection pane="bottomLeft" activeCell="A9" sqref="A9:U104"/>
      <selection pane="bottomRight" activeCell="J104" sqref="J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248</v>
      </c>
      <c r="B9" s="64">
        <v>10.17</v>
      </c>
      <c r="C9" s="64">
        <v>8.5299999999999994</v>
      </c>
      <c r="D9" s="64">
        <v>12.61</v>
      </c>
      <c r="E9" s="64">
        <v>4.1900000000000004</v>
      </c>
      <c r="F9" s="64">
        <v>12.05</v>
      </c>
      <c r="G9" s="64">
        <v>59.86</v>
      </c>
      <c r="H9" s="64">
        <v>6.59</v>
      </c>
      <c r="I9" s="64">
        <v>4.13</v>
      </c>
      <c r="J9" s="64">
        <v>0.09</v>
      </c>
      <c r="K9" s="64">
        <v>105.7</v>
      </c>
      <c r="L9" s="64">
        <v>23.67</v>
      </c>
      <c r="M9" s="64">
        <v>98.18</v>
      </c>
      <c r="N9" s="64">
        <v>53.8</v>
      </c>
      <c r="O9" s="64">
        <v>0</v>
      </c>
      <c r="P9" s="64">
        <v>0.71</v>
      </c>
      <c r="Q9" s="64">
        <v>9.24</v>
      </c>
      <c r="R9" s="198"/>
      <c r="S9" s="198"/>
      <c r="T9" s="198"/>
      <c r="U9" s="198"/>
    </row>
    <row r="10" spans="1:21" s="12" customFormat="1" x14ac:dyDescent="0.25">
      <c r="A10" s="211" t="s">
        <v>249</v>
      </c>
      <c r="B10" s="64">
        <v>7.78</v>
      </c>
      <c r="C10" s="64">
        <v>12.25</v>
      </c>
      <c r="D10" s="64">
        <v>12.64</v>
      </c>
      <c r="E10" s="64">
        <v>4.0199999999999996</v>
      </c>
      <c r="F10" s="64">
        <v>17.11</v>
      </c>
      <c r="G10" s="64">
        <v>58.92</v>
      </c>
      <c r="H10" s="64">
        <v>6.59</v>
      </c>
      <c r="I10" s="64">
        <v>4.04</v>
      </c>
      <c r="J10" s="64">
        <v>0.28999999999999998</v>
      </c>
      <c r="K10" s="64">
        <v>169.45</v>
      </c>
      <c r="L10" s="64">
        <v>23.75</v>
      </c>
      <c r="M10" s="64">
        <v>98.22</v>
      </c>
      <c r="N10" s="64">
        <v>54</v>
      </c>
      <c r="O10" s="64">
        <v>0</v>
      </c>
      <c r="P10" s="64">
        <v>0.63</v>
      </c>
      <c r="Q10" s="64">
        <v>9.23</v>
      </c>
      <c r="R10" s="198"/>
      <c r="S10" s="198"/>
      <c r="T10" s="198"/>
      <c r="U10" s="198"/>
    </row>
    <row r="11" spans="1:21" s="12" customFormat="1" x14ac:dyDescent="0.25">
      <c r="A11" s="211" t="s">
        <v>250</v>
      </c>
      <c r="B11" s="64">
        <v>10.1</v>
      </c>
      <c r="C11" s="64">
        <v>10.3</v>
      </c>
      <c r="D11" s="64">
        <v>13.48</v>
      </c>
      <c r="E11" s="64">
        <v>4.01</v>
      </c>
      <c r="F11" s="64">
        <v>12.76</v>
      </c>
      <c r="G11" s="64">
        <v>58.92</v>
      </c>
      <c r="H11" s="64">
        <v>6.59</v>
      </c>
      <c r="I11" s="64">
        <v>3.95</v>
      </c>
      <c r="J11" s="64">
        <v>0.09</v>
      </c>
      <c r="K11" s="64">
        <v>162.63</v>
      </c>
      <c r="L11" s="64">
        <v>23.74</v>
      </c>
      <c r="M11" s="64">
        <v>98.15</v>
      </c>
      <c r="N11" s="64">
        <v>54.1</v>
      </c>
      <c r="O11" s="64">
        <v>0</v>
      </c>
      <c r="P11" s="64">
        <v>0.66</v>
      </c>
      <c r="Q11" s="64">
        <v>9.1999999999999993</v>
      </c>
      <c r="R11" s="198"/>
      <c r="S11" s="198"/>
      <c r="T11" s="198"/>
      <c r="U11" s="198"/>
    </row>
    <row r="12" spans="1:21" s="12" customFormat="1" x14ac:dyDescent="0.25">
      <c r="A12" s="211" t="s">
        <v>251</v>
      </c>
      <c r="B12" s="64">
        <v>8.27</v>
      </c>
      <c r="C12" s="64">
        <v>10.33</v>
      </c>
      <c r="D12" s="64">
        <v>12.02</v>
      </c>
      <c r="E12" s="64">
        <v>4.03</v>
      </c>
      <c r="F12" s="64">
        <v>10.35</v>
      </c>
      <c r="G12" s="64">
        <v>58.92</v>
      </c>
      <c r="H12" s="64">
        <v>6.59</v>
      </c>
      <c r="I12" s="64">
        <v>3.89</v>
      </c>
      <c r="J12" s="64">
        <v>0.09</v>
      </c>
      <c r="K12" s="64">
        <v>325.81</v>
      </c>
      <c r="L12" s="64">
        <v>23.71</v>
      </c>
      <c r="M12" s="64">
        <v>98.13</v>
      </c>
      <c r="N12" s="64">
        <v>54.2</v>
      </c>
      <c r="O12" s="64">
        <v>0</v>
      </c>
      <c r="P12" s="64">
        <v>0.7</v>
      </c>
      <c r="Q12" s="64">
        <v>9.19</v>
      </c>
      <c r="R12" s="198"/>
      <c r="S12" s="198"/>
      <c r="T12" s="198"/>
      <c r="U12" s="198"/>
    </row>
    <row r="13" spans="1:21" s="12" customFormat="1" x14ac:dyDescent="0.25">
      <c r="A13" s="211" t="s">
        <v>252</v>
      </c>
      <c r="B13" s="64">
        <v>6.72</v>
      </c>
      <c r="C13" s="64">
        <v>9.68</v>
      </c>
      <c r="D13" s="64">
        <v>10.45</v>
      </c>
      <c r="E13" s="64">
        <v>3.85</v>
      </c>
      <c r="F13" s="64">
        <v>10.75</v>
      </c>
      <c r="G13" s="64">
        <v>42.26</v>
      </c>
      <c r="H13" s="64">
        <v>7.74</v>
      </c>
      <c r="I13" s="64">
        <v>3.82</v>
      </c>
      <c r="J13" s="64">
        <v>0.01</v>
      </c>
      <c r="K13" s="64">
        <v>250.37</v>
      </c>
      <c r="L13" s="64">
        <v>23.61</v>
      </c>
      <c r="M13" s="64">
        <v>98.13</v>
      </c>
      <c r="N13" s="64">
        <v>54.2</v>
      </c>
      <c r="O13" s="64">
        <v>0</v>
      </c>
      <c r="P13" s="64">
        <v>0.36</v>
      </c>
      <c r="Q13" s="64">
        <v>9.18</v>
      </c>
      <c r="R13" s="198"/>
      <c r="S13" s="198"/>
      <c r="T13" s="198"/>
      <c r="U13" s="198"/>
    </row>
    <row r="14" spans="1:21" s="12" customFormat="1" x14ac:dyDescent="0.25">
      <c r="A14" s="211" t="s">
        <v>253</v>
      </c>
      <c r="B14" s="64">
        <v>5.94</v>
      </c>
      <c r="C14" s="64">
        <v>8.69</v>
      </c>
      <c r="D14" s="64">
        <v>9.3000000000000007</v>
      </c>
      <c r="E14" s="64">
        <v>3.66</v>
      </c>
      <c r="F14" s="64">
        <v>12.65</v>
      </c>
      <c r="G14" s="64">
        <v>41.07</v>
      </c>
      <c r="H14" s="64">
        <v>7.74</v>
      </c>
      <c r="I14" s="64">
        <v>3.77</v>
      </c>
      <c r="J14" s="64">
        <v>0.13</v>
      </c>
      <c r="K14" s="64">
        <v>128.58000000000001</v>
      </c>
      <c r="L14" s="64">
        <v>23.56</v>
      </c>
      <c r="M14" s="64">
        <v>98.13</v>
      </c>
      <c r="N14" s="64">
        <v>54.3</v>
      </c>
      <c r="O14" s="64">
        <v>0</v>
      </c>
      <c r="P14" s="64">
        <v>0.31</v>
      </c>
      <c r="Q14" s="64">
        <v>9.18</v>
      </c>
      <c r="R14" s="198"/>
      <c r="S14" s="198"/>
      <c r="T14" s="198"/>
      <c r="U14" s="198"/>
    </row>
    <row r="15" spans="1:21" s="12" customFormat="1" x14ac:dyDescent="0.25">
      <c r="A15" s="211" t="s">
        <v>254</v>
      </c>
      <c r="B15" s="64">
        <v>7.81</v>
      </c>
      <c r="C15" s="64">
        <v>7.22</v>
      </c>
      <c r="D15" s="64">
        <v>10.029999999999999</v>
      </c>
      <c r="E15" s="64">
        <v>3.9</v>
      </c>
      <c r="F15" s="64">
        <v>14.24</v>
      </c>
      <c r="G15" s="64">
        <v>41.07</v>
      </c>
      <c r="H15" s="64">
        <v>7.74</v>
      </c>
      <c r="I15" s="64">
        <v>3.7</v>
      </c>
      <c r="J15" s="64">
        <v>0.1</v>
      </c>
      <c r="K15" s="64">
        <v>109.81</v>
      </c>
      <c r="L15" s="64">
        <v>23.55</v>
      </c>
      <c r="M15" s="64">
        <v>98.13</v>
      </c>
      <c r="N15" s="64">
        <v>54.4</v>
      </c>
      <c r="O15" s="64">
        <v>0</v>
      </c>
      <c r="P15" s="64">
        <v>0.46</v>
      </c>
      <c r="Q15" s="64">
        <v>9.17</v>
      </c>
      <c r="R15" s="198"/>
      <c r="S15" s="198"/>
      <c r="T15" s="198"/>
      <c r="U15" s="198"/>
    </row>
    <row r="16" spans="1:21" s="12" customFormat="1" x14ac:dyDescent="0.25">
      <c r="A16" s="211" t="s">
        <v>255</v>
      </c>
      <c r="B16" s="64">
        <v>6.12</v>
      </c>
      <c r="C16" s="64">
        <v>7.62</v>
      </c>
      <c r="D16" s="64">
        <v>8.9</v>
      </c>
      <c r="E16" s="64">
        <v>3.95</v>
      </c>
      <c r="F16" s="64">
        <v>13.16</v>
      </c>
      <c r="G16" s="64">
        <v>41.07</v>
      </c>
      <c r="H16" s="64">
        <v>7.74</v>
      </c>
      <c r="I16" s="64">
        <v>3.59</v>
      </c>
      <c r="J16" s="64">
        <v>0.11</v>
      </c>
      <c r="K16" s="64">
        <v>157.72</v>
      </c>
      <c r="L16" s="64">
        <v>23.57</v>
      </c>
      <c r="M16" s="64">
        <v>98.13</v>
      </c>
      <c r="N16" s="64">
        <v>54.4</v>
      </c>
      <c r="O16" s="64">
        <v>0</v>
      </c>
      <c r="P16" s="64">
        <v>0.23</v>
      </c>
      <c r="Q16" s="64">
        <v>9.16</v>
      </c>
      <c r="R16" s="198"/>
      <c r="S16" s="198"/>
      <c r="T16" s="198"/>
      <c r="U16" s="198"/>
    </row>
    <row r="17" spans="1:21" s="12" customFormat="1" x14ac:dyDescent="0.25">
      <c r="A17" s="211" t="s">
        <v>256</v>
      </c>
      <c r="B17" s="64">
        <v>7.1</v>
      </c>
      <c r="C17" s="64">
        <v>6.8</v>
      </c>
      <c r="D17" s="64">
        <v>9.24</v>
      </c>
      <c r="E17" s="64">
        <v>3.93</v>
      </c>
      <c r="F17" s="64">
        <v>10.18</v>
      </c>
      <c r="G17" s="64">
        <v>26.59</v>
      </c>
      <c r="H17" s="64">
        <v>7.38</v>
      </c>
      <c r="I17" s="64">
        <v>3.51</v>
      </c>
      <c r="J17" s="64">
        <v>0.09</v>
      </c>
      <c r="K17" s="64">
        <v>168.61</v>
      </c>
      <c r="L17" s="64">
        <v>23.6</v>
      </c>
      <c r="M17" s="64">
        <v>98.12</v>
      </c>
      <c r="N17" s="64">
        <v>54.5</v>
      </c>
      <c r="O17" s="64">
        <v>0</v>
      </c>
      <c r="P17" s="64">
        <v>0.44</v>
      </c>
      <c r="Q17" s="64">
        <v>9.15</v>
      </c>
      <c r="R17" s="198"/>
      <c r="S17" s="198"/>
      <c r="T17" s="198"/>
      <c r="U17" s="198"/>
    </row>
    <row r="18" spans="1:21" s="12" customFormat="1" x14ac:dyDescent="0.25">
      <c r="A18" s="211" t="s">
        <v>257</v>
      </c>
      <c r="B18" s="64">
        <v>7.13</v>
      </c>
      <c r="C18" s="64">
        <v>7.21</v>
      </c>
      <c r="D18" s="64">
        <v>9.49</v>
      </c>
      <c r="E18" s="64">
        <v>4.07</v>
      </c>
      <c r="F18" s="64">
        <v>11.95</v>
      </c>
      <c r="G18" s="64">
        <v>25.56</v>
      </c>
      <c r="H18" s="64">
        <v>7.38</v>
      </c>
      <c r="I18" s="64">
        <v>3.44</v>
      </c>
      <c r="J18" s="64">
        <v>0.11</v>
      </c>
      <c r="K18" s="64">
        <v>141.19999999999999</v>
      </c>
      <c r="L18" s="64">
        <v>23.61</v>
      </c>
      <c r="M18" s="64">
        <v>98.18</v>
      </c>
      <c r="N18" s="64">
        <v>54.6</v>
      </c>
      <c r="O18" s="64">
        <v>0</v>
      </c>
      <c r="P18" s="64">
        <v>0.27</v>
      </c>
      <c r="Q18" s="64">
        <v>9.14</v>
      </c>
      <c r="R18" s="198"/>
      <c r="S18" s="198"/>
      <c r="T18" s="198"/>
      <c r="U18" s="198"/>
    </row>
    <row r="19" spans="1:21" s="12" customFormat="1" x14ac:dyDescent="0.25">
      <c r="A19" s="211" t="s">
        <v>258</v>
      </c>
      <c r="B19" s="64">
        <v>6.67</v>
      </c>
      <c r="C19" s="64">
        <v>7.62</v>
      </c>
      <c r="D19" s="64">
        <v>9.33</v>
      </c>
      <c r="E19" s="64">
        <v>4.4000000000000004</v>
      </c>
      <c r="F19" s="64">
        <v>14</v>
      </c>
      <c r="G19" s="64">
        <v>25.56</v>
      </c>
      <c r="H19" s="64">
        <v>7.38</v>
      </c>
      <c r="I19" s="64">
        <v>3.36</v>
      </c>
      <c r="J19" s="64">
        <v>0.11</v>
      </c>
      <c r="K19" s="64">
        <v>125.32</v>
      </c>
      <c r="L19" s="64">
        <v>23.65</v>
      </c>
      <c r="M19" s="64">
        <v>98.3</v>
      </c>
      <c r="N19" s="64">
        <v>54.8</v>
      </c>
      <c r="O19" s="64">
        <v>0</v>
      </c>
      <c r="P19" s="64">
        <v>0.22</v>
      </c>
      <c r="Q19" s="64">
        <v>9.18</v>
      </c>
      <c r="R19" s="198"/>
      <c r="S19" s="198"/>
      <c r="T19" s="198"/>
      <c r="U19" s="198"/>
    </row>
    <row r="20" spans="1:21" s="12" customFormat="1" x14ac:dyDescent="0.25">
      <c r="A20" s="211" t="s">
        <v>259</v>
      </c>
      <c r="B20" s="64">
        <v>6.66</v>
      </c>
      <c r="C20" s="64">
        <v>7.59</v>
      </c>
      <c r="D20" s="64">
        <v>9.31</v>
      </c>
      <c r="E20" s="64">
        <v>3.92</v>
      </c>
      <c r="F20" s="64">
        <v>263.89999999999998</v>
      </c>
      <c r="G20" s="64">
        <v>25.56</v>
      </c>
      <c r="H20" s="64">
        <v>7.38</v>
      </c>
      <c r="I20" s="64">
        <v>3.3</v>
      </c>
      <c r="J20" s="64">
        <v>0.06</v>
      </c>
      <c r="K20" s="64">
        <v>222.39</v>
      </c>
      <c r="L20" s="64">
        <v>23.68</v>
      </c>
      <c r="M20" s="64">
        <v>98.3</v>
      </c>
      <c r="N20" s="64">
        <v>54.9</v>
      </c>
      <c r="O20" s="64">
        <v>0</v>
      </c>
      <c r="P20" s="64">
        <v>0.25</v>
      </c>
      <c r="Q20" s="64">
        <v>9.1999999999999993</v>
      </c>
      <c r="R20" s="198"/>
      <c r="S20" s="198"/>
      <c r="T20" s="198"/>
      <c r="U20" s="198"/>
    </row>
    <row r="21" spans="1:21" s="12" customFormat="1" x14ac:dyDescent="0.25">
      <c r="A21" s="211" t="s">
        <v>260</v>
      </c>
      <c r="B21" s="64">
        <v>6.74</v>
      </c>
      <c r="C21" s="64">
        <v>7.55</v>
      </c>
      <c r="D21" s="64">
        <v>9.35</v>
      </c>
      <c r="E21" s="64">
        <v>3.81</v>
      </c>
      <c r="F21" s="64">
        <v>13.68</v>
      </c>
      <c r="G21" s="64">
        <v>19.510000000000002</v>
      </c>
      <c r="H21" s="64">
        <v>8.82</v>
      </c>
      <c r="I21" s="64">
        <v>3.24</v>
      </c>
      <c r="J21" s="64">
        <v>0.05</v>
      </c>
      <c r="K21" s="64">
        <v>284.61</v>
      </c>
      <c r="L21" s="64">
        <v>23.66</v>
      </c>
      <c r="M21" s="64">
        <v>98.3</v>
      </c>
      <c r="N21" s="64">
        <v>54.6</v>
      </c>
      <c r="O21" s="64">
        <v>0</v>
      </c>
      <c r="P21" s="64">
        <v>0.3</v>
      </c>
      <c r="Q21" s="64">
        <v>9.19</v>
      </c>
      <c r="R21" s="198"/>
      <c r="S21" s="198"/>
      <c r="T21" s="198"/>
      <c r="U21" s="198"/>
    </row>
    <row r="22" spans="1:21" s="12" customFormat="1" x14ac:dyDescent="0.25">
      <c r="A22" s="211" t="s">
        <v>261</v>
      </c>
      <c r="B22" s="64">
        <v>6.66</v>
      </c>
      <c r="C22" s="64">
        <v>6.64</v>
      </c>
      <c r="D22" s="64">
        <v>8.81</v>
      </c>
      <c r="E22" s="64">
        <v>3.83</v>
      </c>
      <c r="F22" s="64">
        <v>23.61</v>
      </c>
      <c r="G22" s="64">
        <v>19.07</v>
      </c>
      <c r="H22" s="64">
        <v>8.82</v>
      </c>
      <c r="I22" s="64">
        <v>3.17</v>
      </c>
      <c r="J22" s="64">
        <v>0.09</v>
      </c>
      <c r="K22" s="64">
        <v>147.33000000000001</v>
      </c>
      <c r="L22" s="64">
        <v>23.61</v>
      </c>
      <c r="M22" s="64">
        <v>98.3</v>
      </c>
      <c r="N22" s="64">
        <v>54.6</v>
      </c>
      <c r="O22" s="64">
        <v>0</v>
      </c>
      <c r="P22" s="64">
        <v>0.25</v>
      </c>
      <c r="Q22" s="64">
        <v>9.19</v>
      </c>
      <c r="R22" s="198"/>
      <c r="S22" s="198"/>
      <c r="T22" s="198"/>
      <c r="U22" s="198"/>
    </row>
    <row r="23" spans="1:21" s="12" customFormat="1" x14ac:dyDescent="0.25">
      <c r="A23" s="211" t="s">
        <v>262</v>
      </c>
      <c r="B23" s="64">
        <v>6.3</v>
      </c>
      <c r="C23" s="64">
        <v>6.51</v>
      </c>
      <c r="D23" s="64">
        <v>8.4600000000000009</v>
      </c>
      <c r="E23" s="64">
        <v>4.05</v>
      </c>
      <c r="F23" s="64">
        <v>9.3000000000000007</v>
      </c>
      <c r="G23" s="64">
        <v>19.07</v>
      </c>
      <c r="H23" s="64">
        <v>8.82</v>
      </c>
      <c r="I23" s="64">
        <v>3.26</v>
      </c>
      <c r="J23" s="64">
        <v>0.2</v>
      </c>
      <c r="K23" s="64">
        <v>124.54</v>
      </c>
      <c r="L23" s="64">
        <v>23.54</v>
      </c>
      <c r="M23" s="64">
        <v>98.3</v>
      </c>
      <c r="N23" s="64">
        <v>54.6</v>
      </c>
      <c r="O23" s="64">
        <v>0</v>
      </c>
      <c r="P23" s="64">
        <v>0.25</v>
      </c>
      <c r="Q23" s="64">
        <v>9.18</v>
      </c>
      <c r="R23" s="198"/>
      <c r="S23" s="198"/>
      <c r="T23" s="198"/>
      <c r="U23" s="198"/>
    </row>
    <row r="24" spans="1:21" s="12" customFormat="1" x14ac:dyDescent="0.25">
      <c r="A24" s="211" t="s">
        <v>263</v>
      </c>
      <c r="B24" s="64">
        <v>6.32</v>
      </c>
      <c r="C24" s="64">
        <v>6.59</v>
      </c>
      <c r="D24" s="64">
        <v>8.51</v>
      </c>
      <c r="E24" s="64">
        <v>4.01</v>
      </c>
      <c r="F24" s="64">
        <v>9.1</v>
      </c>
      <c r="G24" s="64">
        <v>19.07</v>
      </c>
      <c r="H24" s="64">
        <v>8.82</v>
      </c>
      <c r="I24" s="64">
        <v>3.14</v>
      </c>
      <c r="J24" s="64">
        <v>0.05</v>
      </c>
      <c r="K24" s="64">
        <v>55.52</v>
      </c>
      <c r="L24" s="64">
        <v>23.56</v>
      </c>
      <c r="M24" s="64">
        <v>98.3</v>
      </c>
      <c r="N24" s="64">
        <v>54.6</v>
      </c>
      <c r="O24" s="64">
        <v>0</v>
      </c>
      <c r="P24" s="64">
        <v>0.23</v>
      </c>
      <c r="Q24" s="64">
        <v>9.18</v>
      </c>
      <c r="R24" s="198"/>
      <c r="S24" s="198"/>
      <c r="T24" s="198"/>
      <c r="U24" s="198"/>
    </row>
    <row r="25" spans="1:21" s="12" customFormat="1" x14ac:dyDescent="0.25">
      <c r="A25" s="211" t="s">
        <v>264</v>
      </c>
      <c r="B25" s="64">
        <v>6.25</v>
      </c>
      <c r="C25" s="64">
        <v>6.55</v>
      </c>
      <c r="D25" s="64">
        <v>8.44</v>
      </c>
      <c r="E25" s="64">
        <v>3.9</v>
      </c>
      <c r="F25" s="64">
        <v>292.25</v>
      </c>
      <c r="G25" s="64">
        <v>14.45</v>
      </c>
      <c r="H25" s="64">
        <v>7.33</v>
      </c>
      <c r="I25" s="64">
        <v>3.1</v>
      </c>
      <c r="J25" s="64">
        <v>0.05</v>
      </c>
      <c r="K25" s="64">
        <v>341.38</v>
      </c>
      <c r="L25" s="64">
        <v>23.53</v>
      </c>
      <c r="M25" s="64">
        <v>98.3</v>
      </c>
      <c r="N25" s="64">
        <v>54.6</v>
      </c>
      <c r="O25" s="64">
        <v>0</v>
      </c>
      <c r="P25" s="64">
        <v>0.22</v>
      </c>
      <c r="Q25" s="64">
        <v>9.16</v>
      </c>
      <c r="R25" s="198"/>
      <c r="S25" s="198"/>
      <c r="T25" s="198"/>
      <c r="U25" s="198"/>
    </row>
    <row r="26" spans="1:21" s="12" customFormat="1" x14ac:dyDescent="0.25">
      <c r="A26" s="211" t="s">
        <v>265</v>
      </c>
      <c r="B26" s="64">
        <v>6.72</v>
      </c>
      <c r="C26" s="64">
        <v>6.96</v>
      </c>
      <c r="D26" s="64">
        <v>9.0299999999999994</v>
      </c>
      <c r="E26" s="64">
        <v>4.1900000000000004</v>
      </c>
      <c r="F26" s="64">
        <v>11.55</v>
      </c>
      <c r="G26" s="64">
        <v>14.12</v>
      </c>
      <c r="H26" s="64">
        <v>7.33</v>
      </c>
      <c r="I26" s="64">
        <v>3.14</v>
      </c>
      <c r="J26" s="64">
        <v>0.03</v>
      </c>
      <c r="K26" s="64">
        <v>202.83</v>
      </c>
      <c r="L26" s="64">
        <v>23.52</v>
      </c>
      <c r="M26" s="64">
        <v>98.3</v>
      </c>
      <c r="N26" s="64">
        <v>54.6</v>
      </c>
      <c r="O26" s="64">
        <v>0</v>
      </c>
      <c r="P26" s="64">
        <v>0.32</v>
      </c>
      <c r="Q26" s="64">
        <v>9.14</v>
      </c>
      <c r="R26" s="198"/>
      <c r="S26" s="198"/>
      <c r="T26" s="198"/>
      <c r="U26" s="198"/>
    </row>
    <row r="27" spans="1:21" s="12" customFormat="1" x14ac:dyDescent="0.25">
      <c r="A27" s="211" t="s">
        <v>266</v>
      </c>
      <c r="B27" s="64">
        <v>7</v>
      </c>
      <c r="C27" s="64">
        <v>7.59</v>
      </c>
      <c r="D27" s="64">
        <v>9.58</v>
      </c>
      <c r="E27" s="64">
        <v>4.4400000000000004</v>
      </c>
      <c r="F27" s="64">
        <v>202.77</v>
      </c>
      <c r="G27" s="64">
        <v>14.12</v>
      </c>
      <c r="H27" s="64">
        <v>7.33</v>
      </c>
      <c r="I27" s="64">
        <v>3.06</v>
      </c>
      <c r="J27" s="64">
        <v>7.0000000000000007E-2</v>
      </c>
      <c r="K27" s="64">
        <v>324.19</v>
      </c>
      <c r="L27" s="64">
        <v>23.49</v>
      </c>
      <c r="M27" s="64">
        <v>98.3</v>
      </c>
      <c r="N27" s="64">
        <v>54.6</v>
      </c>
      <c r="O27" s="64">
        <v>0</v>
      </c>
      <c r="P27" s="64">
        <v>0.21</v>
      </c>
      <c r="Q27" s="64">
        <v>9.11</v>
      </c>
      <c r="R27" s="198"/>
      <c r="S27" s="198"/>
      <c r="T27" s="198"/>
      <c r="U27" s="198"/>
    </row>
    <row r="28" spans="1:21" s="12" customFormat="1" x14ac:dyDescent="0.25">
      <c r="A28" s="211" t="s">
        <v>267</v>
      </c>
      <c r="B28" s="64">
        <v>7.35</v>
      </c>
      <c r="C28" s="64">
        <v>9.1999999999999993</v>
      </c>
      <c r="D28" s="64">
        <v>10.7</v>
      </c>
      <c r="E28" s="64">
        <v>4.05</v>
      </c>
      <c r="F28" s="64">
        <v>15.91</v>
      </c>
      <c r="G28" s="64">
        <v>14.12</v>
      </c>
      <c r="H28" s="64">
        <v>7.33</v>
      </c>
      <c r="I28" s="64">
        <v>2.83</v>
      </c>
      <c r="J28" s="64">
        <v>0.05</v>
      </c>
      <c r="K28" s="64">
        <v>203.46</v>
      </c>
      <c r="L28" s="64">
        <v>23.53</v>
      </c>
      <c r="M28" s="64">
        <v>98.3</v>
      </c>
      <c r="N28" s="64">
        <v>54.6</v>
      </c>
      <c r="O28" s="64">
        <v>0</v>
      </c>
      <c r="P28" s="64">
        <v>0.23</v>
      </c>
      <c r="Q28" s="64">
        <v>9.11</v>
      </c>
      <c r="R28" s="198"/>
      <c r="S28" s="198"/>
      <c r="T28" s="198"/>
      <c r="U28" s="198"/>
    </row>
    <row r="29" spans="1:21" s="12" customFormat="1" x14ac:dyDescent="0.25">
      <c r="A29" s="211" t="s">
        <v>268</v>
      </c>
      <c r="B29" s="64">
        <v>8.27</v>
      </c>
      <c r="C29" s="64">
        <v>11.04</v>
      </c>
      <c r="D29" s="64">
        <v>12.4</v>
      </c>
      <c r="E29" s="64">
        <v>4.07</v>
      </c>
      <c r="F29" s="64">
        <v>9.94</v>
      </c>
      <c r="G29" s="64">
        <v>14.89</v>
      </c>
      <c r="H29" s="64">
        <v>6.29</v>
      </c>
      <c r="I29" s="64">
        <v>2.78</v>
      </c>
      <c r="J29" s="64">
        <v>0.04</v>
      </c>
      <c r="K29" s="64">
        <v>221.54</v>
      </c>
      <c r="L29" s="64">
        <v>23.51</v>
      </c>
      <c r="M29" s="64">
        <v>98.3</v>
      </c>
      <c r="N29" s="64">
        <v>54.6</v>
      </c>
      <c r="O29" s="64">
        <v>0</v>
      </c>
      <c r="P29" s="64">
        <v>0.19</v>
      </c>
      <c r="Q29" s="64">
        <v>9.1</v>
      </c>
      <c r="R29" s="198"/>
      <c r="S29" s="198"/>
      <c r="T29" s="198"/>
      <c r="U29" s="198"/>
    </row>
    <row r="30" spans="1:21" s="12" customFormat="1" x14ac:dyDescent="0.25">
      <c r="A30" s="211" t="s">
        <v>269</v>
      </c>
      <c r="B30" s="64">
        <v>8.7899999999999991</v>
      </c>
      <c r="C30" s="64">
        <v>8.34</v>
      </c>
      <c r="D30" s="64">
        <v>11.41</v>
      </c>
      <c r="E30" s="64">
        <v>4.08</v>
      </c>
      <c r="F30" s="64">
        <v>7.12</v>
      </c>
      <c r="G30" s="64">
        <v>14.94</v>
      </c>
      <c r="H30" s="64">
        <v>6.29</v>
      </c>
      <c r="I30" s="64">
        <v>2.81</v>
      </c>
      <c r="J30" s="64">
        <v>0</v>
      </c>
      <c r="K30" s="64">
        <v>214.48</v>
      </c>
      <c r="L30" s="64">
        <v>23.47</v>
      </c>
      <c r="M30" s="64">
        <v>98.3</v>
      </c>
      <c r="N30" s="64">
        <v>54.7</v>
      </c>
      <c r="O30" s="64">
        <v>0</v>
      </c>
      <c r="P30" s="64">
        <v>0.35</v>
      </c>
      <c r="Q30" s="64">
        <v>9.1</v>
      </c>
      <c r="R30" s="198"/>
      <c r="S30" s="198"/>
      <c r="T30" s="198"/>
      <c r="U30" s="198"/>
    </row>
    <row r="31" spans="1:21" s="12" customFormat="1" x14ac:dyDescent="0.25">
      <c r="A31" s="211" t="s">
        <v>270</v>
      </c>
      <c r="B31" s="64">
        <v>8.6199999999999992</v>
      </c>
      <c r="C31" s="64">
        <v>8.26</v>
      </c>
      <c r="D31" s="64">
        <v>11.23</v>
      </c>
      <c r="E31" s="64">
        <v>4.04</v>
      </c>
      <c r="F31" s="64">
        <v>26.39</v>
      </c>
      <c r="G31" s="64">
        <v>14.94</v>
      </c>
      <c r="H31" s="64">
        <v>6.29</v>
      </c>
      <c r="I31" s="64">
        <v>2.6</v>
      </c>
      <c r="J31" s="64">
        <v>0.04</v>
      </c>
      <c r="K31" s="64">
        <v>317.04000000000002</v>
      </c>
      <c r="L31" s="64">
        <v>23.43</v>
      </c>
      <c r="M31" s="64">
        <v>98.31</v>
      </c>
      <c r="N31" s="64">
        <v>55.3</v>
      </c>
      <c r="O31" s="64">
        <v>0</v>
      </c>
      <c r="P31" s="64">
        <v>0.27</v>
      </c>
      <c r="Q31" s="64">
        <v>9.09</v>
      </c>
      <c r="R31" s="198"/>
      <c r="S31" s="198"/>
      <c r="T31" s="198"/>
      <c r="U31" s="198"/>
    </row>
    <row r="32" spans="1:21" s="12" customFormat="1" x14ac:dyDescent="0.25">
      <c r="A32" s="211" t="s">
        <v>271</v>
      </c>
      <c r="B32" s="64">
        <v>9.2100000000000009</v>
      </c>
      <c r="C32" s="64">
        <v>8.92</v>
      </c>
      <c r="D32" s="64">
        <v>12.04</v>
      </c>
      <c r="E32" s="64">
        <v>3.5</v>
      </c>
      <c r="F32" s="64">
        <v>347.62</v>
      </c>
      <c r="G32" s="64">
        <v>14.94</v>
      </c>
      <c r="H32" s="64">
        <v>6.29</v>
      </c>
      <c r="I32" s="64">
        <v>2.56</v>
      </c>
      <c r="J32" s="64">
        <v>0.08</v>
      </c>
      <c r="K32" s="64">
        <v>316.94</v>
      </c>
      <c r="L32" s="64">
        <v>23.41</v>
      </c>
      <c r="M32" s="64">
        <v>98.3</v>
      </c>
      <c r="N32" s="64">
        <v>60.5</v>
      </c>
      <c r="O32" s="64">
        <v>0</v>
      </c>
      <c r="P32" s="64">
        <v>0.36</v>
      </c>
      <c r="Q32" s="64">
        <v>9.09</v>
      </c>
      <c r="R32" s="198"/>
      <c r="S32" s="198"/>
      <c r="T32" s="198"/>
      <c r="U32" s="198"/>
    </row>
    <row r="33" spans="1:21" s="12" customFormat="1" x14ac:dyDescent="0.25">
      <c r="A33" s="211" t="s">
        <v>272</v>
      </c>
      <c r="B33" s="64">
        <v>9.19</v>
      </c>
      <c r="C33" s="64">
        <v>8.18</v>
      </c>
      <c r="D33" s="64">
        <v>11.65</v>
      </c>
      <c r="E33" s="64">
        <v>3.76</v>
      </c>
      <c r="F33" s="64">
        <v>10.59</v>
      </c>
      <c r="G33" s="64">
        <v>22.13</v>
      </c>
      <c r="H33" s="64">
        <v>6.2</v>
      </c>
      <c r="I33" s="64">
        <v>2.46</v>
      </c>
      <c r="J33" s="64">
        <v>0.08</v>
      </c>
      <c r="K33" s="64">
        <v>301.87</v>
      </c>
      <c r="L33" s="64">
        <v>23.44</v>
      </c>
      <c r="M33" s="64">
        <v>98.3</v>
      </c>
      <c r="N33" s="64">
        <v>75</v>
      </c>
      <c r="O33" s="64">
        <v>0</v>
      </c>
      <c r="P33" s="64">
        <v>0.3</v>
      </c>
      <c r="Q33" s="64">
        <v>9.09</v>
      </c>
      <c r="R33" s="198"/>
      <c r="S33" s="198"/>
      <c r="T33" s="198"/>
      <c r="U33" s="198"/>
    </row>
    <row r="34" spans="1:21" s="12" customFormat="1" x14ac:dyDescent="0.25">
      <c r="A34" s="211" t="s">
        <v>273</v>
      </c>
      <c r="B34" s="64">
        <v>9.59</v>
      </c>
      <c r="C34" s="64">
        <v>9.8800000000000008</v>
      </c>
      <c r="D34" s="64">
        <v>12.85</v>
      </c>
      <c r="E34" s="64">
        <v>3.68</v>
      </c>
      <c r="F34" s="64">
        <v>7.46</v>
      </c>
      <c r="G34" s="64">
        <v>22.64</v>
      </c>
      <c r="H34" s="64">
        <v>6.2</v>
      </c>
      <c r="I34" s="64">
        <v>2.4500000000000002</v>
      </c>
      <c r="J34" s="64">
        <v>0.04</v>
      </c>
      <c r="K34" s="64">
        <v>275.55</v>
      </c>
      <c r="L34" s="64">
        <v>23.58</v>
      </c>
      <c r="M34" s="64">
        <v>98.3</v>
      </c>
      <c r="N34" s="64">
        <v>100.4</v>
      </c>
      <c r="O34" s="64">
        <v>0</v>
      </c>
      <c r="P34" s="64">
        <v>0.35</v>
      </c>
      <c r="Q34" s="64">
        <v>9.09</v>
      </c>
      <c r="R34" s="198"/>
      <c r="S34" s="198"/>
      <c r="T34" s="198"/>
      <c r="U34" s="198"/>
    </row>
    <row r="35" spans="1:21" s="12" customFormat="1" x14ac:dyDescent="0.25">
      <c r="A35" s="211" t="s">
        <v>274</v>
      </c>
      <c r="B35" s="64">
        <v>13.14</v>
      </c>
      <c r="C35" s="64">
        <v>7.9</v>
      </c>
      <c r="D35" s="64">
        <v>14.65</v>
      </c>
      <c r="E35" s="64">
        <v>3.83</v>
      </c>
      <c r="F35" s="64">
        <v>7.5</v>
      </c>
      <c r="G35" s="64">
        <v>22.64</v>
      </c>
      <c r="H35" s="64">
        <v>6.2</v>
      </c>
      <c r="I35" s="64">
        <v>2.4900000000000002</v>
      </c>
      <c r="J35" s="64">
        <v>0.09</v>
      </c>
      <c r="K35" s="64">
        <v>302.14</v>
      </c>
      <c r="L35" s="64">
        <v>24.05</v>
      </c>
      <c r="M35" s="64">
        <v>98.31</v>
      </c>
      <c r="N35" s="64">
        <v>136.6</v>
      </c>
      <c r="O35" s="64">
        <v>0</v>
      </c>
      <c r="P35" s="64">
        <v>0.4</v>
      </c>
      <c r="Q35" s="64">
        <v>9.09</v>
      </c>
      <c r="R35" s="198"/>
      <c r="S35" s="198"/>
      <c r="T35" s="198"/>
      <c r="U35" s="198"/>
    </row>
    <row r="36" spans="1:21" s="12" customFormat="1" x14ac:dyDescent="0.25">
      <c r="A36" s="211" t="s">
        <v>275</v>
      </c>
      <c r="B36" s="64">
        <v>13.41</v>
      </c>
      <c r="C36" s="64">
        <v>7.39</v>
      </c>
      <c r="D36" s="64">
        <v>14.61</v>
      </c>
      <c r="E36" s="64">
        <v>3.88</v>
      </c>
      <c r="F36" s="64">
        <v>7.12</v>
      </c>
      <c r="G36" s="64">
        <v>22.64</v>
      </c>
      <c r="H36" s="64">
        <v>6.2</v>
      </c>
      <c r="I36" s="64">
        <v>2.4500000000000002</v>
      </c>
      <c r="J36" s="64">
        <v>0.19</v>
      </c>
      <c r="K36" s="64">
        <v>310.19</v>
      </c>
      <c r="L36" s="64">
        <v>24.74</v>
      </c>
      <c r="M36" s="64">
        <v>98.34</v>
      </c>
      <c r="N36" s="64">
        <v>174.6</v>
      </c>
      <c r="O36" s="64">
        <v>0</v>
      </c>
      <c r="P36" s="64">
        <v>0.38</v>
      </c>
      <c r="Q36" s="64">
        <v>9.1199999999999992</v>
      </c>
      <c r="R36" s="198"/>
      <c r="S36" s="198"/>
      <c r="T36" s="198"/>
      <c r="U36" s="198"/>
    </row>
    <row r="37" spans="1:21" s="12" customFormat="1" x14ac:dyDescent="0.25">
      <c r="A37" s="211" t="s">
        <v>276</v>
      </c>
      <c r="B37" s="64">
        <v>11.81</v>
      </c>
      <c r="C37" s="64">
        <v>6.96</v>
      </c>
      <c r="D37" s="64">
        <v>13.11</v>
      </c>
      <c r="E37" s="64">
        <v>3.67</v>
      </c>
      <c r="F37" s="64">
        <v>7.88</v>
      </c>
      <c r="G37" s="64">
        <v>17.420000000000002</v>
      </c>
      <c r="H37" s="64">
        <v>10.19</v>
      </c>
      <c r="I37" s="64">
        <v>2.42</v>
      </c>
      <c r="J37" s="64">
        <v>0.13</v>
      </c>
      <c r="K37" s="64">
        <v>316.06</v>
      </c>
      <c r="L37" s="64">
        <v>25.53</v>
      </c>
      <c r="M37" s="64">
        <v>98.29</v>
      </c>
      <c r="N37" s="64">
        <v>227.3</v>
      </c>
      <c r="O37" s="64">
        <v>0</v>
      </c>
      <c r="P37" s="64">
        <v>0.48</v>
      </c>
      <c r="Q37" s="64">
        <v>9.15</v>
      </c>
      <c r="R37" s="198"/>
      <c r="S37" s="198"/>
      <c r="T37" s="198"/>
      <c r="U37" s="198"/>
    </row>
    <row r="38" spans="1:21" s="12" customFormat="1" x14ac:dyDescent="0.25">
      <c r="A38" s="211" t="s">
        <v>277</v>
      </c>
      <c r="B38" s="64">
        <v>13</v>
      </c>
      <c r="C38" s="64">
        <v>8.36</v>
      </c>
      <c r="D38" s="64">
        <v>14.79</v>
      </c>
      <c r="E38" s="64">
        <v>3.79</v>
      </c>
      <c r="F38" s="64">
        <v>7.02</v>
      </c>
      <c r="G38" s="64">
        <v>17.04</v>
      </c>
      <c r="H38" s="64">
        <v>10.19</v>
      </c>
      <c r="I38" s="64">
        <v>2.38</v>
      </c>
      <c r="J38" s="64">
        <v>0.22</v>
      </c>
      <c r="K38" s="64">
        <v>312.64999999999998</v>
      </c>
      <c r="L38" s="64">
        <v>26.42</v>
      </c>
      <c r="M38" s="64">
        <v>98.22</v>
      </c>
      <c r="N38" s="64">
        <v>299.2</v>
      </c>
      <c r="O38" s="64">
        <v>0</v>
      </c>
      <c r="P38" s="64">
        <v>0.53</v>
      </c>
      <c r="Q38" s="64">
        <v>9.16</v>
      </c>
      <c r="R38" s="198"/>
      <c r="S38" s="198"/>
      <c r="T38" s="198"/>
      <c r="U38" s="198"/>
    </row>
    <row r="39" spans="1:21" s="12" customFormat="1" x14ac:dyDescent="0.25">
      <c r="A39" s="211" t="s">
        <v>278</v>
      </c>
      <c r="B39" s="64">
        <v>14.3</v>
      </c>
      <c r="C39" s="64">
        <v>7.32</v>
      </c>
      <c r="D39" s="64">
        <v>15.29</v>
      </c>
      <c r="E39" s="64">
        <v>3.87</v>
      </c>
      <c r="F39" s="64">
        <v>6.61</v>
      </c>
      <c r="G39" s="64">
        <v>17.04</v>
      </c>
      <c r="H39" s="64">
        <v>10.19</v>
      </c>
      <c r="I39" s="64">
        <v>2.36</v>
      </c>
      <c r="J39" s="64">
        <v>0.23</v>
      </c>
      <c r="K39" s="64">
        <v>309.02999999999997</v>
      </c>
      <c r="L39" s="64">
        <v>27.65</v>
      </c>
      <c r="M39" s="64">
        <v>98.14</v>
      </c>
      <c r="N39" s="64">
        <v>310.3</v>
      </c>
      <c r="O39" s="64">
        <v>0</v>
      </c>
      <c r="P39" s="64">
        <v>0.53</v>
      </c>
      <c r="Q39" s="64">
        <v>9.18</v>
      </c>
      <c r="R39" s="198"/>
      <c r="S39" s="198"/>
      <c r="T39" s="198"/>
      <c r="U39" s="198"/>
    </row>
    <row r="40" spans="1:21" s="12" customFormat="1" x14ac:dyDescent="0.25">
      <c r="A40" s="211" t="s">
        <v>279</v>
      </c>
      <c r="B40" s="64">
        <v>13.33</v>
      </c>
      <c r="C40" s="64">
        <v>8.2100000000000009</v>
      </c>
      <c r="D40" s="64">
        <v>14.98</v>
      </c>
      <c r="E40" s="64">
        <v>4.28</v>
      </c>
      <c r="F40" s="64">
        <v>8.61</v>
      </c>
      <c r="G40" s="64">
        <v>17.04</v>
      </c>
      <c r="H40" s="64">
        <v>10.19</v>
      </c>
      <c r="I40" s="64">
        <v>2.34</v>
      </c>
      <c r="J40" s="64">
        <v>0.35</v>
      </c>
      <c r="K40" s="64">
        <v>321.17</v>
      </c>
      <c r="L40" s="64">
        <v>29.17</v>
      </c>
      <c r="M40" s="64">
        <v>97.53</v>
      </c>
      <c r="N40" s="64">
        <v>430.2</v>
      </c>
      <c r="O40" s="64">
        <v>0</v>
      </c>
      <c r="P40" s="64">
        <v>0.5</v>
      </c>
      <c r="Q40" s="64">
        <v>9.1999999999999993</v>
      </c>
      <c r="R40" s="198"/>
      <c r="S40" s="198"/>
      <c r="T40" s="198"/>
      <c r="U40" s="198"/>
    </row>
    <row r="41" spans="1:21" s="12" customFormat="1" x14ac:dyDescent="0.25">
      <c r="A41" s="211" t="s">
        <v>280</v>
      </c>
      <c r="B41" s="64">
        <v>12.49</v>
      </c>
      <c r="C41" s="64">
        <v>7.88</v>
      </c>
      <c r="D41" s="64">
        <v>14.13</v>
      </c>
      <c r="E41" s="64">
        <v>4.2</v>
      </c>
      <c r="F41" s="64">
        <v>10.91</v>
      </c>
      <c r="G41" s="64">
        <v>26.99</v>
      </c>
      <c r="H41" s="64">
        <v>8.2899999999999991</v>
      </c>
      <c r="I41" s="64">
        <v>2.33</v>
      </c>
      <c r="J41" s="64">
        <v>0.72</v>
      </c>
      <c r="K41" s="64">
        <v>336.05</v>
      </c>
      <c r="L41" s="64">
        <v>30.81</v>
      </c>
      <c r="M41" s="64">
        <v>89.32</v>
      </c>
      <c r="N41" s="64">
        <v>516.29999999999995</v>
      </c>
      <c r="O41" s="64">
        <v>0</v>
      </c>
      <c r="P41" s="64">
        <v>0.5</v>
      </c>
      <c r="Q41" s="64">
        <v>9.1999999999999993</v>
      </c>
      <c r="R41" s="198"/>
      <c r="S41" s="198"/>
      <c r="T41" s="198"/>
      <c r="U41" s="198"/>
    </row>
    <row r="42" spans="1:21" s="12" customFormat="1" x14ac:dyDescent="0.25">
      <c r="A42" s="211" t="s">
        <v>281</v>
      </c>
      <c r="B42" s="64">
        <v>17.95</v>
      </c>
      <c r="C42" s="64">
        <v>10.220000000000001</v>
      </c>
      <c r="D42" s="64">
        <v>19.73</v>
      </c>
      <c r="E42" s="64">
        <v>4.28</v>
      </c>
      <c r="F42" s="64">
        <v>10.29</v>
      </c>
      <c r="G42" s="64">
        <v>27.7</v>
      </c>
      <c r="H42" s="64">
        <v>8.2899999999999991</v>
      </c>
      <c r="I42" s="64">
        <v>2.31</v>
      </c>
      <c r="J42" s="64">
        <v>0.43</v>
      </c>
      <c r="K42" s="64">
        <v>329.14</v>
      </c>
      <c r="L42" s="64">
        <v>32.21</v>
      </c>
      <c r="M42" s="64">
        <v>79.77</v>
      </c>
      <c r="N42" s="64">
        <v>574.9</v>
      </c>
      <c r="O42" s="64">
        <v>0</v>
      </c>
      <c r="P42" s="64">
        <v>0.49</v>
      </c>
      <c r="Q42" s="64">
        <v>9.1999999999999993</v>
      </c>
      <c r="R42" s="198"/>
      <c r="S42" s="198"/>
      <c r="T42" s="198"/>
      <c r="U42" s="198"/>
    </row>
    <row r="43" spans="1:21" s="12" customFormat="1" x14ac:dyDescent="0.25">
      <c r="A43" s="211" t="s">
        <v>282</v>
      </c>
      <c r="B43" s="64">
        <v>13.37</v>
      </c>
      <c r="C43" s="64">
        <v>10.59</v>
      </c>
      <c r="D43" s="64">
        <v>16.260000000000002</v>
      </c>
      <c r="E43" s="64">
        <v>4.5</v>
      </c>
      <c r="F43" s="64">
        <v>10.51</v>
      </c>
      <c r="G43" s="64">
        <v>27.7</v>
      </c>
      <c r="H43" s="64">
        <v>8.2899999999999991</v>
      </c>
      <c r="I43" s="64">
        <v>2.31</v>
      </c>
      <c r="J43" s="64">
        <v>0.49</v>
      </c>
      <c r="K43" s="64">
        <v>338.23</v>
      </c>
      <c r="L43" s="64">
        <v>33.71</v>
      </c>
      <c r="M43" s="64">
        <v>68.27</v>
      </c>
      <c r="N43" s="64">
        <v>631.6</v>
      </c>
      <c r="O43" s="64">
        <v>0</v>
      </c>
      <c r="P43" s="64">
        <v>0.49</v>
      </c>
      <c r="Q43" s="64">
        <v>9.2100000000000009</v>
      </c>
      <c r="R43" s="198"/>
      <c r="S43" s="198"/>
      <c r="T43" s="198"/>
      <c r="U43" s="198"/>
    </row>
    <row r="44" spans="1:21" s="12" customFormat="1" x14ac:dyDescent="0.25">
      <c r="A44" s="211" t="s">
        <v>283</v>
      </c>
      <c r="B44" s="64">
        <v>15.78</v>
      </c>
      <c r="C44" s="64">
        <v>13.59</v>
      </c>
      <c r="D44" s="64">
        <v>19.75</v>
      </c>
      <c r="E44" s="64">
        <v>4.4800000000000004</v>
      </c>
      <c r="F44" s="64">
        <v>10.97</v>
      </c>
      <c r="G44" s="64">
        <v>27.7</v>
      </c>
      <c r="H44" s="64">
        <v>8.2899999999999991</v>
      </c>
      <c r="I44" s="64">
        <v>2.31</v>
      </c>
      <c r="J44" s="64">
        <v>0.35</v>
      </c>
      <c r="K44" s="64">
        <v>331.63</v>
      </c>
      <c r="L44" s="64">
        <v>34.24</v>
      </c>
      <c r="M44" s="64">
        <v>66.56</v>
      </c>
      <c r="N44" s="64">
        <v>688.8</v>
      </c>
      <c r="O44" s="64">
        <v>0</v>
      </c>
      <c r="P44" s="64">
        <v>0.56000000000000005</v>
      </c>
      <c r="Q44" s="64">
        <v>9.19</v>
      </c>
      <c r="R44" s="198"/>
      <c r="S44" s="198"/>
      <c r="T44" s="198"/>
      <c r="U44" s="198"/>
    </row>
    <row r="45" spans="1:21" s="12" customFormat="1" x14ac:dyDescent="0.25">
      <c r="A45" s="211" t="s">
        <v>284</v>
      </c>
      <c r="B45" s="64">
        <v>15.15</v>
      </c>
      <c r="C45" s="64">
        <v>15.98</v>
      </c>
      <c r="D45" s="64">
        <v>20.5</v>
      </c>
      <c r="E45" s="64">
        <v>4.45</v>
      </c>
      <c r="F45" s="64">
        <v>12.06</v>
      </c>
      <c r="G45" s="64">
        <v>39.17</v>
      </c>
      <c r="H45" s="64">
        <v>6.96</v>
      </c>
      <c r="I45" s="64">
        <v>2.29</v>
      </c>
      <c r="J45" s="64">
        <v>0.59</v>
      </c>
      <c r="K45" s="64">
        <v>340.42</v>
      </c>
      <c r="L45" s="64">
        <v>34.51</v>
      </c>
      <c r="M45" s="64">
        <v>64.069999999999993</v>
      </c>
      <c r="N45" s="64">
        <v>726.6</v>
      </c>
      <c r="O45" s="64">
        <v>0</v>
      </c>
      <c r="P45" s="64">
        <v>0.61</v>
      </c>
      <c r="Q45" s="64">
        <v>9.17</v>
      </c>
      <c r="R45" s="198"/>
      <c r="S45" s="198"/>
      <c r="T45" s="198"/>
      <c r="U45" s="198"/>
    </row>
    <row r="46" spans="1:21" s="12" customFormat="1" x14ac:dyDescent="0.25">
      <c r="A46" s="211" t="s">
        <v>285</v>
      </c>
      <c r="B46" s="64">
        <v>10.71</v>
      </c>
      <c r="C46" s="64">
        <v>14.26</v>
      </c>
      <c r="D46" s="64">
        <v>16.04</v>
      </c>
      <c r="E46" s="64">
        <v>4.42</v>
      </c>
      <c r="F46" s="64">
        <v>14.04</v>
      </c>
      <c r="G46" s="64">
        <v>39.99</v>
      </c>
      <c r="H46" s="64">
        <v>6.96</v>
      </c>
      <c r="I46" s="64">
        <v>2.27</v>
      </c>
      <c r="J46" s="64">
        <v>0.1</v>
      </c>
      <c r="K46" s="64">
        <v>359.72</v>
      </c>
      <c r="L46" s="64">
        <v>33.659999999999997</v>
      </c>
      <c r="M46" s="64">
        <v>67.63</v>
      </c>
      <c r="N46" s="64">
        <v>767.7</v>
      </c>
      <c r="O46" s="64">
        <v>0</v>
      </c>
      <c r="P46" s="64">
        <v>0.55000000000000004</v>
      </c>
      <c r="Q46" s="64">
        <v>9.18</v>
      </c>
      <c r="R46" s="198"/>
      <c r="S46" s="198"/>
      <c r="T46" s="198"/>
      <c r="U46" s="198"/>
    </row>
    <row r="47" spans="1:21" s="12" customFormat="1" x14ac:dyDescent="0.25">
      <c r="A47" s="211" t="s">
        <v>286</v>
      </c>
      <c r="B47" s="64">
        <v>18.34</v>
      </c>
      <c r="C47" s="64">
        <v>19.32</v>
      </c>
      <c r="D47" s="64">
        <v>24.8</v>
      </c>
      <c r="E47" s="64">
        <v>4.45</v>
      </c>
      <c r="F47" s="64">
        <v>10.99</v>
      </c>
      <c r="G47" s="64">
        <v>39.99</v>
      </c>
      <c r="H47" s="64">
        <v>6.96</v>
      </c>
      <c r="I47" s="64">
        <v>2.2599999999999998</v>
      </c>
      <c r="J47" s="64">
        <v>0.45</v>
      </c>
      <c r="K47" s="64">
        <v>340.57</v>
      </c>
      <c r="L47" s="64">
        <v>34.479999999999997</v>
      </c>
      <c r="M47" s="64">
        <v>63.76</v>
      </c>
      <c r="N47" s="64">
        <v>763.4</v>
      </c>
      <c r="O47" s="64">
        <v>0</v>
      </c>
      <c r="P47" s="64">
        <v>0.61</v>
      </c>
      <c r="Q47" s="64">
        <v>9.18</v>
      </c>
      <c r="R47" s="198"/>
      <c r="S47" s="198"/>
      <c r="T47" s="198"/>
      <c r="U47" s="198"/>
    </row>
    <row r="48" spans="1:21" s="12" customFormat="1" x14ac:dyDescent="0.25">
      <c r="A48" s="211" t="s">
        <v>287</v>
      </c>
      <c r="B48" s="64">
        <v>12.99</v>
      </c>
      <c r="C48" s="64">
        <v>11.43</v>
      </c>
      <c r="D48" s="64">
        <v>16.39</v>
      </c>
      <c r="E48" s="64">
        <v>4.34</v>
      </c>
      <c r="F48" s="64">
        <v>10.72</v>
      </c>
      <c r="G48" s="64">
        <v>39.99</v>
      </c>
      <c r="H48" s="64">
        <v>6.96</v>
      </c>
      <c r="I48" s="64">
        <v>2.12</v>
      </c>
      <c r="J48" s="64">
        <v>0.06</v>
      </c>
      <c r="K48" s="64">
        <v>302.20999999999998</v>
      </c>
      <c r="L48" s="64">
        <v>33.76</v>
      </c>
      <c r="M48" s="64">
        <v>65.45</v>
      </c>
      <c r="N48" s="64">
        <v>794</v>
      </c>
      <c r="O48" s="64">
        <v>0</v>
      </c>
      <c r="P48" s="64">
        <v>0.59</v>
      </c>
      <c r="Q48" s="64">
        <v>9.18</v>
      </c>
      <c r="R48" s="198"/>
      <c r="S48" s="198"/>
      <c r="T48" s="198"/>
      <c r="U48" s="198"/>
    </row>
    <row r="49" spans="1:21" s="12" customFormat="1" x14ac:dyDescent="0.25">
      <c r="A49" s="211" t="s">
        <v>288</v>
      </c>
      <c r="B49" s="64">
        <v>9.08</v>
      </c>
      <c r="C49" s="64">
        <v>21.37</v>
      </c>
      <c r="D49" s="64">
        <v>18.440000000000001</v>
      </c>
      <c r="E49" s="64">
        <v>4.26</v>
      </c>
      <c r="F49" s="64">
        <v>18.05</v>
      </c>
      <c r="G49" s="64">
        <v>49.53</v>
      </c>
      <c r="H49" s="64">
        <v>6.03</v>
      </c>
      <c r="I49" s="64">
        <v>2.02</v>
      </c>
      <c r="J49" s="64">
        <v>0.31</v>
      </c>
      <c r="K49" s="64">
        <v>104.69</v>
      </c>
      <c r="L49" s="64">
        <v>32.39</v>
      </c>
      <c r="M49" s="64">
        <v>73.73</v>
      </c>
      <c r="N49" s="64">
        <v>811.9</v>
      </c>
      <c r="O49" s="64">
        <v>0</v>
      </c>
      <c r="P49" s="64">
        <v>0.52</v>
      </c>
      <c r="Q49" s="64">
        <v>9.18</v>
      </c>
      <c r="R49" s="198"/>
      <c r="S49" s="198"/>
      <c r="T49" s="198"/>
      <c r="U49" s="198"/>
    </row>
    <row r="50" spans="1:21" s="12" customFormat="1" x14ac:dyDescent="0.25">
      <c r="A50" s="211" t="s">
        <v>289</v>
      </c>
      <c r="B50" s="64">
        <v>8.2200000000000006</v>
      </c>
      <c r="C50" s="64">
        <v>21.31</v>
      </c>
      <c r="D50" s="64">
        <v>17.73</v>
      </c>
      <c r="E50" s="64">
        <v>4.46</v>
      </c>
      <c r="F50" s="64">
        <v>22.36</v>
      </c>
      <c r="G50" s="64">
        <v>50.21</v>
      </c>
      <c r="H50" s="64">
        <v>6.03</v>
      </c>
      <c r="I50" s="64">
        <v>2.11</v>
      </c>
      <c r="J50" s="64">
        <v>0.12</v>
      </c>
      <c r="K50" s="64">
        <v>16.93</v>
      </c>
      <c r="L50" s="64">
        <v>31.67</v>
      </c>
      <c r="M50" s="64">
        <v>76.099999999999994</v>
      </c>
      <c r="N50" s="64">
        <v>606.29999999999995</v>
      </c>
      <c r="O50" s="64">
        <v>0</v>
      </c>
      <c r="P50" s="64">
        <v>0.61</v>
      </c>
      <c r="Q50" s="64">
        <v>9.18</v>
      </c>
      <c r="R50" s="198"/>
      <c r="S50" s="198"/>
      <c r="T50" s="198"/>
      <c r="U50" s="198"/>
    </row>
    <row r="51" spans="1:21" s="12" customFormat="1" x14ac:dyDescent="0.25">
      <c r="A51" s="211" t="s">
        <v>290</v>
      </c>
      <c r="B51" s="64">
        <v>12.3</v>
      </c>
      <c r="C51" s="64">
        <v>16.350000000000001</v>
      </c>
      <c r="D51" s="64">
        <v>18.399999999999999</v>
      </c>
      <c r="E51" s="64">
        <v>4.45</v>
      </c>
      <c r="F51" s="64">
        <v>13.77</v>
      </c>
      <c r="G51" s="64">
        <v>50.21</v>
      </c>
      <c r="H51" s="64">
        <v>6.03</v>
      </c>
      <c r="I51" s="64">
        <v>2.0699999999999998</v>
      </c>
      <c r="J51" s="64">
        <v>0.28000000000000003</v>
      </c>
      <c r="K51" s="64">
        <v>329.16</v>
      </c>
      <c r="L51" s="64">
        <v>32.520000000000003</v>
      </c>
      <c r="M51" s="64">
        <v>68.239999999999995</v>
      </c>
      <c r="N51" s="64">
        <v>338</v>
      </c>
      <c r="O51" s="64">
        <v>0</v>
      </c>
      <c r="P51" s="64">
        <v>0.66</v>
      </c>
      <c r="Q51" s="64">
        <v>9.17</v>
      </c>
      <c r="R51" s="198"/>
      <c r="S51" s="198"/>
      <c r="T51" s="198"/>
      <c r="U51" s="198"/>
    </row>
    <row r="52" spans="1:21" s="12" customFormat="1" x14ac:dyDescent="0.25">
      <c r="A52" s="211" t="s">
        <v>291</v>
      </c>
      <c r="B52" s="64">
        <v>12</v>
      </c>
      <c r="C52" s="64">
        <v>17.97</v>
      </c>
      <c r="D52" s="64">
        <v>19.010000000000002</v>
      </c>
      <c r="E52" s="64">
        <v>4.75</v>
      </c>
      <c r="F52" s="64">
        <v>15.63</v>
      </c>
      <c r="G52" s="64">
        <v>50.21</v>
      </c>
      <c r="H52" s="64">
        <v>6.03</v>
      </c>
      <c r="I52" s="64">
        <v>1.97</v>
      </c>
      <c r="J52" s="64">
        <v>0.23</v>
      </c>
      <c r="K52" s="64">
        <v>171.84</v>
      </c>
      <c r="L52" s="64">
        <v>31.32</v>
      </c>
      <c r="M52" s="64">
        <v>72.69</v>
      </c>
      <c r="N52" s="64">
        <v>536.70000000000005</v>
      </c>
      <c r="O52" s="64">
        <v>0</v>
      </c>
      <c r="P52" s="64">
        <v>0.51</v>
      </c>
      <c r="Q52" s="64">
        <v>9.15</v>
      </c>
      <c r="R52" s="198"/>
      <c r="S52" s="198"/>
      <c r="T52" s="198"/>
      <c r="U52" s="198"/>
    </row>
    <row r="53" spans="1:21" s="12" customFormat="1" x14ac:dyDescent="0.25">
      <c r="A53" s="211" t="s">
        <v>292</v>
      </c>
      <c r="B53" s="64">
        <v>10.75</v>
      </c>
      <c r="C53" s="64">
        <v>13.61</v>
      </c>
      <c r="D53" s="64">
        <v>15.73</v>
      </c>
      <c r="E53" s="64">
        <v>4.68</v>
      </c>
      <c r="F53" s="64">
        <v>15.82</v>
      </c>
      <c r="G53" s="64">
        <v>48.82</v>
      </c>
      <c r="H53" s="64">
        <v>8.61</v>
      </c>
      <c r="I53" s="64">
        <v>1.96</v>
      </c>
      <c r="J53" s="64">
        <v>0.32</v>
      </c>
      <c r="K53" s="64">
        <v>323.92</v>
      </c>
      <c r="L53" s="64">
        <v>31.38</v>
      </c>
      <c r="M53" s="64">
        <v>77.48</v>
      </c>
      <c r="N53" s="64">
        <v>158.6</v>
      </c>
      <c r="O53" s="64">
        <v>0</v>
      </c>
      <c r="P53" s="64">
        <v>0.62</v>
      </c>
      <c r="Q53" s="64">
        <v>9.15</v>
      </c>
      <c r="R53" s="198"/>
      <c r="S53" s="198"/>
      <c r="T53" s="198"/>
      <c r="U53" s="198"/>
    </row>
    <row r="54" spans="1:21" s="12" customFormat="1" x14ac:dyDescent="0.25">
      <c r="A54" s="211" t="s">
        <v>293</v>
      </c>
      <c r="B54" s="64">
        <v>11.65</v>
      </c>
      <c r="C54" s="64">
        <v>18.21</v>
      </c>
      <c r="D54" s="64">
        <v>18.86</v>
      </c>
      <c r="E54" s="64">
        <v>4.28</v>
      </c>
      <c r="F54" s="64">
        <v>16.36</v>
      </c>
      <c r="G54" s="64">
        <v>48.72</v>
      </c>
      <c r="H54" s="64">
        <v>8.61</v>
      </c>
      <c r="I54" s="64">
        <v>1.95</v>
      </c>
      <c r="J54" s="64">
        <v>7.0000000000000007E-2</v>
      </c>
      <c r="K54" s="64">
        <v>314.99</v>
      </c>
      <c r="L54" s="64">
        <v>30.33</v>
      </c>
      <c r="M54" s="64">
        <v>85.03</v>
      </c>
      <c r="N54" s="64">
        <v>111.7</v>
      </c>
      <c r="O54" s="64">
        <v>0</v>
      </c>
      <c r="P54" s="64">
        <v>0.65</v>
      </c>
      <c r="Q54" s="64">
        <v>9.15</v>
      </c>
      <c r="R54" s="198"/>
      <c r="S54" s="198"/>
      <c r="T54" s="198"/>
      <c r="U54" s="198"/>
    </row>
    <row r="55" spans="1:21" s="12" customFormat="1" x14ac:dyDescent="0.25">
      <c r="A55" s="211" t="s">
        <v>294</v>
      </c>
      <c r="B55" s="64">
        <v>6.15</v>
      </c>
      <c r="C55" s="64">
        <v>15.67</v>
      </c>
      <c r="D55" s="64">
        <v>13.12</v>
      </c>
      <c r="E55" s="64">
        <v>4.6100000000000003</v>
      </c>
      <c r="F55" s="64">
        <v>15.7</v>
      </c>
      <c r="G55" s="64">
        <v>48.72</v>
      </c>
      <c r="H55" s="64">
        <v>8.61</v>
      </c>
      <c r="I55" s="64">
        <v>1.93</v>
      </c>
      <c r="J55" s="64">
        <v>0.41</v>
      </c>
      <c r="K55" s="64">
        <v>141.76</v>
      </c>
      <c r="L55" s="64">
        <v>28.74</v>
      </c>
      <c r="M55" s="64">
        <v>94.33</v>
      </c>
      <c r="N55" s="64">
        <v>119.6</v>
      </c>
      <c r="O55" s="64">
        <v>0</v>
      </c>
      <c r="P55" s="64">
        <v>0.38</v>
      </c>
      <c r="Q55" s="64">
        <v>9.17</v>
      </c>
      <c r="R55" s="198"/>
      <c r="S55" s="198"/>
      <c r="T55" s="198"/>
      <c r="U55" s="198"/>
    </row>
    <row r="56" spans="1:21" s="12" customFormat="1" x14ac:dyDescent="0.25">
      <c r="A56" s="211" t="s">
        <v>295</v>
      </c>
      <c r="B56" s="64">
        <v>8.82</v>
      </c>
      <c r="C56" s="64">
        <v>24.9</v>
      </c>
      <c r="D56" s="64">
        <v>20.079999999999998</v>
      </c>
      <c r="E56" s="64">
        <v>4.57</v>
      </c>
      <c r="F56" s="64">
        <v>14.23</v>
      </c>
      <c r="G56" s="64">
        <v>48.72</v>
      </c>
      <c r="H56" s="64">
        <v>8.61</v>
      </c>
      <c r="I56" s="64">
        <v>1.92</v>
      </c>
      <c r="J56" s="64">
        <v>0.55000000000000004</v>
      </c>
      <c r="K56" s="64">
        <v>137.94</v>
      </c>
      <c r="L56" s="64">
        <v>28.33</v>
      </c>
      <c r="M56" s="64">
        <v>92.64</v>
      </c>
      <c r="N56" s="64">
        <v>139.19999999999999</v>
      </c>
      <c r="O56" s="64">
        <v>0</v>
      </c>
      <c r="P56" s="64">
        <v>0.38</v>
      </c>
      <c r="Q56" s="64">
        <v>9.16</v>
      </c>
      <c r="R56" s="198"/>
      <c r="S56" s="198"/>
      <c r="T56" s="198"/>
      <c r="U56" s="198"/>
    </row>
    <row r="57" spans="1:21" s="12" customFormat="1" x14ac:dyDescent="0.25">
      <c r="A57" s="211" t="s">
        <v>296</v>
      </c>
      <c r="B57" s="64">
        <v>6.55</v>
      </c>
      <c r="C57" s="64">
        <v>19.149999999999999</v>
      </c>
      <c r="D57" s="64">
        <v>15.26</v>
      </c>
      <c r="E57" s="64">
        <v>4.62</v>
      </c>
      <c r="F57" s="64">
        <v>13.75</v>
      </c>
      <c r="G57" s="64">
        <v>54.97</v>
      </c>
      <c r="H57" s="64">
        <v>12.58</v>
      </c>
      <c r="I57" s="64">
        <v>1.91</v>
      </c>
      <c r="J57" s="64">
        <v>0.39</v>
      </c>
      <c r="K57" s="64">
        <v>124.45</v>
      </c>
      <c r="L57" s="64">
        <v>27.63</v>
      </c>
      <c r="M57" s="64">
        <v>97.38</v>
      </c>
      <c r="N57" s="64">
        <v>119.6</v>
      </c>
      <c r="O57" s="64">
        <v>0</v>
      </c>
      <c r="P57" s="64">
        <v>0.49</v>
      </c>
      <c r="Q57" s="64">
        <v>9.17</v>
      </c>
      <c r="R57" s="198"/>
      <c r="S57" s="198"/>
      <c r="T57" s="198"/>
      <c r="U57" s="198"/>
    </row>
    <row r="58" spans="1:21" s="12" customFormat="1" x14ac:dyDescent="0.25">
      <c r="A58" s="211" t="s">
        <v>297</v>
      </c>
      <c r="B58" s="64">
        <v>6.96</v>
      </c>
      <c r="C58" s="64">
        <v>14.97</v>
      </c>
      <c r="D58" s="64">
        <v>13.4</v>
      </c>
      <c r="E58" s="64">
        <v>4.66</v>
      </c>
      <c r="F58" s="64">
        <v>13.85</v>
      </c>
      <c r="G58" s="64">
        <v>55.41</v>
      </c>
      <c r="H58" s="64">
        <v>12.58</v>
      </c>
      <c r="I58" s="64">
        <v>1.89</v>
      </c>
      <c r="J58" s="64">
        <v>1.81</v>
      </c>
      <c r="K58" s="64">
        <v>130.84</v>
      </c>
      <c r="L58" s="64">
        <v>25.17</v>
      </c>
      <c r="M58" s="64">
        <v>98.03</v>
      </c>
      <c r="N58" s="64">
        <v>124.4</v>
      </c>
      <c r="O58" s="64">
        <v>2</v>
      </c>
      <c r="P58" s="64">
        <v>0.45</v>
      </c>
      <c r="Q58" s="64">
        <v>9.16</v>
      </c>
      <c r="R58" s="198"/>
      <c r="S58" s="198"/>
      <c r="T58" s="198"/>
      <c r="U58" s="198"/>
    </row>
    <row r="59" spans="1:21" s="12" customFormat="1" x14ac:dyDescent="0.25">
      <c r="A59" s="211" t="s">
        <v>298</v>
      </c>
      <c r="B59" s="64">
        <v>10.62</v>
      </c>
      <c r="C59" s="64">
        <v>11.52</v>
      </c>
      <c r="D59" s="64">
        <v>14.53</v>
      </c>
      <c r="E59" s="64">
        <v>4.6500000000000004</v>
      </c>
      <c r="F59" s="64">
        <v>10.039999999999999</v>
      </c>
      <c r="G59" s="64">
        <v>55.41</v>
      </c>
      <c r="H59" s="64">
        <v>12.58</v>
      </c>
      <c r="I59" s="64">
        <v>1.87</v>
      </c>
      <c r="J59" s="64">
        <v>0.14000000000000001</v>
      </c>
      <c r="K59" s="64">
        <v>260.10000000000002</v>
      </c>
      <c r="L59" s="64">
        <v>23.73</v>
      </c>
      <c r="M59" s="64">
        <v>98.16</v>
      </c>
      <c r="N59" s="64">
        <v>140.69999999999999</v>
      </c>
      <c r="O59" s="64">
        <v>1</v>
      </c>
      <c r="P59" s="64">
        <v>0.48</v>
      </c>
      <c r="Q59" s="64">
        <v>9.17</v>
      </c>
      <c r="R59" s="198"/>
      <c r="S59" s="198"/>
      <c r="T59" s="198"/>
      <c r="U59" s="198"/>
    </row>
    <row r="60" spans="1:21" s="12" customFormat="1" x14ac:dyDescent="0.25">
      <c r="A60" s="211" t="s">
        <v>299</v>
      </c>
      <c r="B60" s="64">
        <v>7.35</v>
      </c>
      <c r="C60" s="64">
        <v>10.88</v>
      </c>
      <c r="D60" s="64">
        <v>11.58</v>
      </c>
      <c r="E60" s="64">
        <v>4.62</v>
      </c>
      <c r="F60" s="64">
        <v>15.09</v>
      </c>
      <c r="G60" s="64">
        <v>55.41</v>
      </c>
      <c r="H60" s="64">
        <v>12.58</v>
      </c>
      <c r="I60" s="64">
        <v>1.84</v>
      </c>
      <c r="J60" s="64">
        <v>0.12</v>
      </c>
      <c r="K60" s="64">
        <v>231.66</v>
      </c>
      <c r="L60" s="64">
        <v>24.06</v>
      </c>
      <c r="M60" s="64">
        <v>98.17</v>
      </c>
      <c r="N60" s="64">
        <v>117.5</v>
      </c>
      <c r="O60" s="64">
        <v>0</v>
      </c>
      <c r="P60" s="64">
        <v>0.39</v>
      </c>
      <c r="Q60" s="64">
        <v>9.16</v>
      </c>
      <c r="R60" s="198"/>
      <c r="S60" s="198"/>
      <c r="T60" s="198"/>
      <c r="U60" s="198"/>
    </row>
    <row r="61" spans="1:21" s="12" customFormat="1" x14ac:dyDescent="0.25">
      <c r="A61" s="211" t="s">
        <v>300</v>
      </c>
      <c r="B61" s="64">
        <v>15.8</v>
      </c>
      <c r="C61" s="64">
        <v>16.93</v>
      </c>
      <c r="D61" s="64">
        <v>21.51</v>
      </c>
      <c r="E61" s="64">
        <v>4.5999999999999996</v>
      </c>
      <c r="F61" s="64">
        <v>10.49</v>
      </c>
      <c r="G61" s="64">
        <v>48.76</v>
      </c>
      <c r="H61" s="64">
        <v>10.42</v>
      </c>
      <c r="I61" s="64">
        <v>1.81</v>
      </c>
      <c r="J61" s="64">
        <v>0.3</v>
      </c>
      <c r="K61" s="64">
        <v>165.44</v>
      </c>
      <c r="L61" s="64">
        <v>24.22</v>
      </c>
      <c r="M61" s="64">
        <v>98.18</v>
      </c>
      <c r="N61" s="64">
        <v>116.4</v>
      </c>
      <c r="O61" s="64">
        <v>0</v>
      </c>
      <c r="P61" s="64">
        <v>0.49</v>
      </c>
      <c r="Q61" s="64">
        <v>9.1300000000000008</v>
      </c>
      <c r="R61" s="198"/>
      <c r="S61" s="198"/>
      <c r="T61" s="198"/>
      <c r="U61" s="198"/>
    </row>
    <row r="62" spans="1:21" s="12" customFormat="1" x14ac:dyDescent="0.25">
      <c r="A62" s="211" t="s">
        <v>301</v>
      </c>
      <c r="B62" s="64">
        <v>10.19</v>
      </c>
      <c r="C62" s="64">
        <v>20.77</v>
      </c>
      <c r="D62" s="64">
        <v>19.03</v>
      </c>
      <c r="E62" s="64">
        <v>4.42</v>
      </c>
      <c r="F62" s="64">
        <v>8.85</v>
      </c>
      <c r="G62" s="64">
        <v>48.29</v>
      </c>
      <c r="H62" s="64">
        <v>10.42</v>
      </c>
      <c r="I62" s="64">
        <v>1.79</v>
      </c>
      <c r="J62" s="64">
        <v>0.51</v>
      </c>
      <c r="K62" s="64">
        <v>132.31</v>
      </c>
      <c r="L62" s="64">
        <v>24.16</v>
      </c>
      <c r="M62" s="64">
        <v>98.2</v>
      </c>
      <c r="N62" s="64">
        <v>116.2</v>
      </c>
      <c r="O62" s="64">
        <v>0</v>
      </c>
      <c r="P62" s="64">
        <v>0.48</v>
      </c>
      <c r="Q62" s="64">
        <v>9.1300000000000008</v>
      </c>
      <c r="R62" s="198"/>
      <c r="S62" s="198"/>
      <c r="T62" s="198"/>
      <c r="U62" s="198"/>
    </row>
    <row r="63" spans="1:21" s="12" customFormat="1" x14ac:dyDescent="0.25">
      <c r="A63" s="211" t="s">
        <v>302</v>
      </c>
      <c r="B63" s="64">
        <v>9.92</v>
      </c>
      <c r="C63" s="64">
        <v>25.34</v>
      </c>
      <c r="D63" s="64">
        <v>21.2</v>
      </c>
      <c r="E63" s="64">
        <v>4.46</v>
      </c>
      <c r="F63" s="64">
        <v>13.96</v>
      </c>
      <c r="G63" s="64">
        <v>48.29</v>
      </c>
      <c r="H63" s="64">
        <v>10.42</v>
      </c>
      <c r="I63" s="64">
        <v>1.75</v>
      </c>
      <c r="J63" s="64">
        <v>0.68</v>
      </c>
      <c r="K63" s="64">
        <v>123.4</v>
      </c>
      <c r="L63" s="64">
        <v>24.14</v>
      </c>
      <c r="M63" s="64">
        <v>98.2</v>
      </c>
      <c r="N63" s="64">
        <v>99.1</v>
      </c>
      <c r="O63" s="64">
        <v>0</v>
      </c>
      <c r="P63" s="64">
        <v>0.37</v>
      </c>
      <c r="Q63" s="64">
        <v>9.11</v>
      </c>
      <c r="R63" s="198"/>
      <c r="S63" s="198"/>
      <c r="T63" s="198"/>
      <c r="U63" s="198"/>
    </row>
    <row r="64" spans="1:21" s="12" customFormat="1" x14ac:dyDescent="0.25">
      <c r="A64" s="211" t="s">
        <v>303</v>
      </c>
      <c r="B64" s="64">
        <v>9.3800000000000008</v>
      </c>
      <c r="C64" s="64">
        <v>15.13</v>
      </c>
      <c r="D64" s="64">
        <v>15.43</v>
      </c>
      <c r="E64" s="64">
        <v>4.18</v>
      </c>
      <c r="F64" s="64">
        <v>7.12</v>
      </c>
      <c r="G64" s="64">
        <v>48.29</v>
      </c>
      <c r="H64" s="64">
        <v>10.42</v>
      </c>
      <c r="I64" s="64">
        <v>1.72</v>
      </c>
      <c r="J64" s="64">
        <v>0.41</v>
      </c>
      <c r="K64" s="64">
        <v>123.61</v>
      </c>
      <c r="L64" s="64">
        <v>23.85</v>
      </c>
      <c r="M64" s="64">
        <v>98.21</v>
      </c>
      <c r="N64" s="64">
        <v>96.1</v>
      </c>
      <c r="O64" s="64">
        <v>0</v>
      </c>
      <c r="P64" s="64">
        <v>0.5</v>
      </c>
      <c r="Q64" s="64">
        <v>9.11</v>
      </c>
      <c r="R64" s="198"/>
      <c r="S64" s="198"/>
      <c r="T64" s="198"/>
      <c r="U64" s="198"/>
    </row>
    <row r="65" spans="1:21" s="12" customFormat="1" x14ac:dyDescent="0.25">
      <c r="A65" s="211" t="s">
        <v>304</v>
      </c>
      <c r="B65" s="64">
        <v>8.89</v>
      </c>
      <c r="C65" s="64">
        <v>11.28</v>
      </c>
      <c r="D65" s="64">
        <v>13.03</v>
      </c>
      <c r="E65" s="64">
        <v>4.46</v>
      </c>
      <c r="F65" s="64">
        <v>10.8</v>
      </c>
      <c r="G65" s="64">
        <v>42.81</v>
      </c>
      <c r="H65" s="64">
        <v>9.86</v>
      </c>
      <c r="I65" s="64">
        <v>1.69</v>
      </c>
      <c r="J65" s="64">
        <v>0.98</v>
      </c>
      <c r="K65" s="64">
        <v>137.57</v>
      </c>
      <c r="L65" s="64">
        <v>23.5</v>
      </c>
      <c r="M65" s="64">
        <v>98.23</v>
      </c>
      <c r="N65" s="64">
        <v>89.3</v>
      </c>
      <c r="O65" s="64">
        <v>0</v>
      </c>
      <c r="P65" s="64">
        <v>0.42</v>
      </c>
      <c r="Q65" s="64">
        <v>9.11</v>
      </c>
      <c r="R65" s="198"/>
      <c r="S65" s="198"/>
      <c r="T65" s="198"/>
      <c r="U65" s="198"/>
    </row>
    <row r="66" spans="1:21" s="12" customFormat="1" x14ac:dyDescent="0.25">
      <c r="A66" s="211" t="s">
        <v>305</v>
      </c>
      <c r="B66" s="64">
        <v>10.32</v>
      </c>
      <c r="C66" s="64">
        <v>8.64</v>
      </c>
      <c r="D66" s="64">
        <v>12.79</v>
      </c>
      <c r="E66" s="64">
        <v>4.3600000000000003</v>
      </c>
      <c r="F66" s="64">
        <v>9.66</v>
      </c>
      <c r="G66" s="64">
        <v>42.42</v>
      </c>
      <c r="H66" s="64">
        <v>9.86</v>
      </c>
      <c r="I66" s="64">
        <v>1.66</v>
      </c>
      <c r="J66" s="64">
        <v>0.9</v>
      </c>
      <c r="K66" s="64">
        <v>334.94</v>
      </c>
      <c r="L66" s="64">
        <v>23.61</v>
      </c>
      <c r="M66" s="64">
        <v>98.24</v>
      </c>
      <c r="N66" s="64">
        <v>82.3</v>
      </c>
      <c r="O66" s="64">
        <v>0</v>
      </c>
      <c r="P66" s="64">
        <v>0.48</v>
      </c>
      <c r="Q66" s="64">
        <v>9.11</v>
      </c>
      <c r="R66" s="198"/>
      <c r="S66" s="198"/>
      <c r="T66" s="198"/>
      <c r="U66" s="198"/>
    </row>
    <row r="67" spans="1:21" s="12" customFormat="1" x14ac:dyDescent="0.25">
      <c r="A67" s="211" t="s">
        <v>306</v>
      </c>
      <c r="B67" s="64">
        <v>9.6999999999999993</v>
      </c>
      <c r="C67" s="64">
        <v>8.51</v>
      </c>
      <c r="D67" s="64">
        <v>12.22</v>
      </c>
      <c r="E67" s="64">
        <v>4.22</v>
      </c>
      <c r="F67" s="64">
        <v>10.07</v>
      </c>
      <c r="G67" s="64">
        <v>42.42</v>
      </c>
      <c r="H67" s="64">
        <v>9.86</v>
      </c>
      <c r="I67" s="64">
        <v>1.64</v>
      </c>
      <c r="J67" s="64">
        <v>0.26</v>
      </c>
      <c r="K67" s="64">
        <v>129.38999999999999</v>
      </c>
      <c r="L67" s="64">
        <v>23.76</v>
      </c>
      <c r="M67" s="64">
        <v>98.18</v>
      </c>
      <c r="N67" s="64">
        <v>91.9</v>
      </c>
      <c r="O67" s="64">
        <v>0</v>
      </c>
      <c r="P67" s="64">
        <v>0.46</v>
      </c>
      <c r="Q67" s="64">
        <v>9.1</v>
      </c>
      <c r="R67" s="198"/>
      <c r="S67" s="198"/>
      <c r="T67" s="198"/>
      <c r="U67" s="198"/>
    </row>
    <row r="68" spans="1:21" s="12" customFormat="1" x14ac:dyDescent="0.25">
      <c r="A68" s="211" t="s">
        <v>307</v>
      </c>
      <c r="B68" s="64">
        <v>8.82</v>
      </c>
      <c r="C68" s="64">
        <v>9.43</v>
      </c>
      <c r="D68" s="64">
        <v>12</v>
      </c>
      <c r="E68" s="64">
        <v>4.07</v>
      </c>
      <c r="F68" s="64">
        <v>10.32</v>
      </c>
      <c r="G68" s="64">
        <v>42.42</v>
      </c>
      <c r="H68" s="64">
        <v>9.86</v>
      </c>
      <c r="I68" s="64">
        <v>1.61</v>
      </c>
      <c r="J68" s="64">
        <v>0.1</v>
      </c>
      <c r="K68" s="64">
        <v>259.27999999999997</v>
      </c>
      <c r="L68" s="64">
        <v>23.86</v>
      </c>
      <c r="M68" s="64">
        <v>98.19</v>
      </c>
      <c r="N68" s="64">
        <v>99.9</v>
      </c>
      <c r="O68" s="64">
        <v>0</v>
      </c>
      <c r="P68" s="64">
        <v>0.44</v>
      </c>
      <c r="Q68" s="64">
        <v>9.1</v>
      </c>
      <c r="R68" s="198"/>
      <c r="S68" s="198"/>
      <c r="T68" s="198"/>
      <c r="U68" s="198"/>
    </row>
    <row r="69" spans="1:21" s="12" customFormat="1" x14ac:dyDescent="0.25">
      <c r="A69" s="211" t="s">
        <v>308</v>
      </c>
      <c r="B69" s="64">
        <v>8.9600000000000009</v>
      </c>
      <c r="C69" s="64">
        <v>9.07</v>
      </c>
      <c r="D69" s="64">
        <v>11.93</v>
      </c>
      <c r="E69" s="64">
        <v>4.34</v>
      </c>
      <c r="F69" s="64">
        <v>7.64</v>
      </c>
      <c r="G69" s="64">
        <v>37.630000000000003</v>
      </c>
      <c r="H69" s="64">
        <v>12.64</v>
      </c>
      <c r="I69" s="64">
        <v>1.58</v>
      </c>
      <c r="J69" s="64">
        <v>0.1</v>
      </c>
      <c r="K69" s="64">
        <v>154.59</v>
      </c>
      <c r="L69" s="64">
        <v>23.92</v>
      </c>
      <c r="M69" s="64">
        <v>98.19</v>
      </c>
      <c r="N69" s="64">
        <v>110.3</v>
      </c>
      <c r="O69" s="64">
        <v>0</v>
      </c>
      <c r="P69" s="64">
        <v>0.46</v>
      </c>
      <c r="Q69" s="64">
        <v>9.08</v>
      </c>
      <c r="R69" s="198"/>
      <c r="S69" s="198"/>
      <c r="T69" s="198"/>
      <c r="U69" s="198"/>
    </row>
    <row r="70" spans="1:21" s="12" customFormat="1" x14ac:dyDescent="0.25">
      <c r="A70" s="211" t="s">
        <v>309</v>
      </c>
      <c r="B70" s="64">
        <v>11.25</v>
      </c>
      <c r="C70" s="64">
        <v>16.03</v>
      </c>
      <c r="D70" s="64">
        <v>17.39</v>
      </c>
      <c r="E70" s="64">
        <v>4.3499999999999996</v>
      </c>
      <c r="F70" s="64">
        <v>10.220000000000001</v>
      </c>
      <c r="G70" s="64">
        <v>37.29</v>
      </c>
      <c r="H70" s="64">
        <v>12.64</v>
      </c>
      <c r="I70" s="64">
        <v>1.56</v>
      </c>
      <c r="J70" s="64">
        <v>0.57999999999999996</v>
      </c>
      <c r="K70" s="64">
        <v>145.66999999999999</v>
      </c>
      <c r="L70" s="64">
        <v>24.31</v>
      </c>
      <c r="M70" s="64">
        <v>98.15</v>
      </c>
      <c r="N70" s="64">
        <v>136.4</v>
      </c>
      <c r="O70" s="64">
        <v>0</v>
      </c>
      <c r="P70" s="64">
        <v>0.39</v>
      </c>
      <c r="Q70" s="64">
        <v>9.08</v>
      </c>
      <c r="R70" s="198"/>
      <c r="S70" s="198"/>
      <c r="T70" s="198"/>
      <c r="U70" s="198"/>
    </row>
    <row r="71" spans="1:21" s="12" customFormat="1" x14ac:dyDescent="0.25">
      <c r="A71" s="211" t="s">
        <v>310</v>
      </c>
      <c r="B71" s="64">
        <v>10.32</v>
      </c>
      <c r="C71" s="64">
        <v>14.32</v>
      </c>
      <c r="D71" s="64">
        <v>15.76</v>
      </c>
      <c r="E71" s="64">
        <v>4.42</v>
      </c>
      <c r="F71" s="64">
        <v>8.7799999999999994</v>
      </c>
      <c r="G71" s="64">
        <v>37.29</v>
      </c>
      <c r="H71" s="64">
        <v>12.64</v>
      </c>
      <c r="I71" s="64">
        <v>1.63</v>
      </c>
      <c r="J71" s="64">
        <v>0.05</v>
      </c>
      <c r="K71" s="64">
        <v>329.96</v>
      </c>
      <c r="L71" s="64">
        <v>24.97</v>
      </c>
      <c r="M71" s="64">
        <v>98.16</v>
      </c>
      <c r="N71" s="64">
        <v>171.5</v>
      </c>
      <c r="O71" s="64">
        <v>0</v>
      </c>
      <c r="P71" s="64">
        <v>0.45</v>
      </c>
      <c r="Q71" s="64">
        <v>9.1</v>
      </c>
      <c r="R71" s="198"/>
      <c r="S71" s="198"/>
      <c r="T71" s="198"/>
      <c r="U71" s="198"/>
    </row>
    <row r="72" spans="1:21" s="12" customFormat="1" x14ac:dyDescent="0.25">
      <c r="A72" s="211" t="s">
        <v>311</v>
      </c>
      <c r="B72" s="64">
        <v>13.91</v>
      </c>
      <c r="C72" s="64">
        <v>11.58</v>
      </c>
      <c r="D72" s="64">
        <v>17.2</v>
      </c>
      <c r="E72" s="64">
        <v>5.87</v>
      </c>
      <c r="F72" s="64">
        <v>10.130000000000001</v>
      </c>
      <c r="G72" s="64">
        <v>37.29</v>
      </c>
      <c r="H72" s="64">
        <v>12.64</v>
      </c>
      <c r="I72" s="64">
        <v>1.58</v>
      </c>
      <c r="J72" s="64">
        <v>0.41</v>
      </c>
      <c r="K72" s="64">
        <v>323.25</v>
      </c>
      <c r="L72" s="64">
        <v>25.86</v>
      </c>
      <c r="M72" s="64">
        <v>98.13</v>
      </c>
      <c r="N72" s="64">
        <v>163.5</v>
      </c>
      <c r="O72" s="64">
        <v>0</v>
      </c>
      <c r="P72" s="64">
        <v>0.52</v>
      </c>
      <c r="Q72" s="64">
        <v>9.1300000000000008</v>
      </c>
      <c r="R72" s="198"/>
      <c r="S72" s="198"/>
      <c r="T72" s="198"/>
      <c r="U72" s="198"/>
    </row>
    <row r="73" spans="1:21" s="12" customFormat="1" x14ac:dyDescent="0.25">
      <c r="A73" s="211" t="s">
        <v>312</v>
      </c>
      <c r="B73" s="64">
        <v>10.98</v>
      </c>
      <c r="C73" s="64">
        <v>9.4700000000000006</v>
      </c>
      <c r="D73" s="64">
        <v>13.75</v>
      </c>
      <c r="E73" s="64">
        <v>6.25</v>
      </c>
      <c r="F73" s="64">
        <v>9.92</v>
      </c>
      <c r="G73" s="64">
        <v>35.090000000000003</v>
      </c>
      <c r="H73" s="64">
        <v>10</v>
      </c>
      <c r="I73" s="64">
        <v>1.51</v>
      </c>
      <c r="J73" s="64">
        <v>1.26</v>
      </c>
      <c r="K73" s="64">
        <v>327.33</v>
      </c>
      <c r="L73" s="64">
        <v>26.25</v>
      </c>
      <c r="M73" s="64">
        <v>98.09</v>
      </c>
      <c r="N73" s="64">
        <v>133.30000000000001</v>
      </c>
      <c r="O73" s="64">
        <v>0</v>
      </c>
      <c r="P73" s="64">
        <v>0.54</v>
      </c>
      <c r="Q73" s="64">
        <v>9.16</v>
      </c>
      <c r="R73" s="198"/>
      <c r="S73" s="198"/>
      <c r="T73" s="198"/>
      <c r="U73" s="198"/>
    </row>
    <row r="74" spans="1:21" s="12" customFormat="1" x14ac:dyDescent="0.25">
      <c r="A74" s="211" t="s">
        <v>313</v>
      </c>
      <c r="B74" s="64">
        <v>16.809999999999999</v>
      </c>
      <c r="C74" s="64">
        <v>8.57</v>
      </c>
      <c r="D74" s="64">
        <v>17.96</v>
      </c>
      <c r="E74" s="64">
        <v>6.66</v>
      </c>
      <c r="F74" s="64">
        <v>10.11</v>
      </c>
      <c r="G74" s="64">
        <v>34.93</v>
      </c>
      <c r="H74" s="64">
        <v>10</v>
      </c>
      <c r="I74" s="64">
        <v>1.52</v>
      </c>
      <c r="J74" s="64">
        <v>2.99</v>
      </c>
      <c r="K74" s="64">
        <v>330.46</v>
      </c>
      <c r="L74" s="64">
        <v>25.7</v>
      </c>
      <c r="M74" s="64">
        <v>98.07</v>
      </c>
      <c r="N74" s="64">
        <v>115.5</v>
      </c>
      <c r="O74" s="64">
        <v>0</v>
      </c>
      <c r="P74" s="64">
        <v>0.84</v>
      </c>
      <c r="Q74" s="64">
        <v>9.2200000000000006</v>
      </c>
      <c r="R74" s="198"/>
      <c r="S74" s="198"/>
      <c r="T74" s="198"/>
      <c r="U74" s="198"/>
    </row>
    <row r="75" spans="1:21" s="12" customFormat="1" x14ac:dyDescent="0.25">
      <c r="A75" s="211" t="s">
        <v>314</v>
      </c>
      <c r="B75" s="64">
        <v>14.45</v>
      </c>
      <c r="C75" s="64">
        <v>6.95</v>
      </c>
      <c r="D75" s="64">
        <v>15.22</v>
      </c>
      <c r="E75" s="64">
        <v>6.31</v>
      </c>
      <c r="F75" s="64">
        <v>8.48</v>
      </c>
      <c r="G75" s="64">
        <v>34.93</v>
      </c>
      <c r="H75" s="64">
        <v>10</v>
      </c>
      <c r="I75" s="64">
        <v>1.58</v>
      </c>
      <c r="J75" s="64">
        <v>2.96</v>
      </c>
      <c r="K75" s="64">
        <v>334.13</v>
      </c>
      <c r="L75" s="64">
        <v>24.88</v>
      </c>
      <c r="M75" s="64">
        <v>98.12</v>
      </c>
      <c r="N75" s="64">
        <v>100.9</v>
      </c>
      <c r="O75" s="64">
        <v>0</v>
      </c>
      <c r="P75" s="64">
        <v>0.47</v>
      </c>
      <c r="Q75" s="64">
        <v>9.31</v>
      </c>
      <c r="R75" s="198"/>
      <c r="S75" s="198"/>
      <c r="T75" s="198"/>
      <c r="U75" s="198"/>
    </row>
    <row r="76" spans="1:21" s="12" customFormat="1" x14ac:dyDescent="0.25">
      <c r="A76" s="211" t="s">
        <v>315</v>
      </c>
      <c r="B76" s="64">
        <v>13.72</v>
      </c>
      <c r="C76" s="64">
        <v>8.9700000000000006</v>
      </c>
      <c r="D76" s="64">
        <v>15.69</v>
      </c>
      <c r="E76" s="64">
        <v>6.27</v>
      </c>
      <c r="F76" s="64">
        <v>9.52</v>
      </c>
      <c r="G76" s="64">
        <v>34.93</v>
      </c>
      <c r="H76" s="64">
        <v>10</v>
      </c>
      <c r="I76" s="64">
        <v>1.81</v>
      </c>
      <c r="J76" s="64">
        <v>2.11</v>
      </c>
      <c r="K76" s="64">
        <v>336.26</v>
      </c>
      <c r="L76" s="64">
        <v>24.55</v>
      </c>
      <c r="M76" s="64">
        <v>98.13</v>
      </c>
      <c r="N76" s="64">
        <v>85.1</v>
      </c>
      <c r="O76" s="64">
        <v>0</v>
      </c>
      <c r="P76" s="64">
        <v>0.44</v>
      </c>
      <c r="Q76" s="64">
        <v>9.31</v>
      </c>
      <c r="R76" s="198"/>
      <c r="S76" s="198"/>
      <c r="T76" s="198"/>
      <c r="U76" s="198"/>
    </row>
    <row r="77" spans="1:21" s="12" customFormat="1" x14ac:dyDescent="0.25">
      <c r="A77" s="211" t="s">
        <v>316</v>
      </c>
      <c r="B77" s="64">
        <v>15.03</v>
      </c>
      <c r="C77" s="64">
        <v>15.14</v>
      </c>
      <c r="D77" s="64">
        <v>19.96</v>
      </c>
      <c r="E77" s="64">
        <v>6.3</v>
      </c>
      <c r="F77" s="64">
        <v>12.06</v>
      </c>
      <c r="G77" s="64">
        <v>33.520000000000003</v>
      </c>
      <c r="H77" s="64">
        <v>8.16</v>
      </c>
      <c r="I77" s="64">
        <v>1.89</v>
      </c>
      <c r="J77" s="64">
        <v>1.01</v>
      </c>
      <c r="K77" s="64">
        <v>338.92</v>
      </c>
      <c r="L77" s="64">
        <v>24.45</v>
      </c>
      <c r="M77" s="64">
        <v>98.13</v>
      </c>
      <c r="N77" s="64">
        <v>74.099999999999994</v>
      </c>
      <c r="O77" s="64">
        <v>0</v>
      </c>
      <c r="P77" s="64">
        <v>0.61</v>
      </c>
      <c r="Q77" s="64">
        <v>9.3000000000000007</v>
      </c>
      <c r="R77" s="198"/>
      <c r="S77" s="198"/>
      <c r="T77" s="198"/>
      <c r="U77" s="198"/>
    </row>
    <row r="78" spans="1:21" s="12" customFormat="1" x14ac:dyDescent="0.25">
      <c r="A78" s="211" t="s">
        <v>317</v>
      </c>
      <c r="B78" s="64">
        <v>17.84</v>
      </c>
      <c r="C78" s="64">
        <v>14.56</v>
      </c>
      <c r="D78" s="64">
        <v>21.91</v>
      </c>
      <c r="E78" s="64">
        <v>6.41</v>
      </c>
      <c r="F78" s="64">
        <v>7.67</v>
      </c>
      <c r="G78" s="64">
        <v>33.42</v>
      </c>
      <c r="H78" s="64">
        <v>8.16</v>
      </c>
      <c r="I78" s="64">
        <v>1.82</v>
      </c>
      <c r="J78" s="64">
        <v>0.98</v>
      </c>
      <c r="K78" s="64">
        <v>336.7</v>
      </c>
      <c r="L78" s="64">
        <v>24.39</v>
      </c>
      <c r="M78" s="64">
        <v>98.05</v>
      </c>
      <c r="N78" s="64">
        <v>59.8</v>
      </c>
      <c r="O78" s="64">
        <v>0</v>
      </c>
      <c r="P78" s="64">
        <v>0.68</v>
      </c>
      <c r="Q78" s="64">
        <v>9.3000000000000007</v>
      </c>
      <c r="R78" s="198"/>
      <c r="S78" s="198"/>
      <c r="T78" s="198"/>
      <c r="U78" s="198"/>
    </row>
    <row r="79" spans="1:21" s="12" customFormat="1" x14ac:dyDescent="0.25">
      <c r="A79" s="211" t="s">
        <v>318</v>
      </c>
      <c r="B79" s="64">
        <v>18.07</v>
      </c>
      <c r="C79" s="64">
        <v>8.59</v>
      </c>
      <c r="D79" s="64">
        <v>18.98</v>
      </c>
      <c r="E79" s="64">
        <v>6.57</v>
      </c>
      <c r="F79" s="64">
        <v>7.72</v>
      </c>
      <c r="G79" s="64">
        <v>33.42</v>
      </c>
      <c r="H79" s="64">
        <v>8.16</v>
      </c>
      <c r="I79" s="64">
        <v>1.82</v>
      </c>
      <c r="J79" s="64">
        <v>0.53</v>
      </c>
      <c r="K79" s="64">
        <v>341.13</v>
      </c>
      <c r="L79" s="64">
        <v>24.19</v>
      </c>
      <c r="M79" s="64">
        <v>97.96</v>
      </c>
      <c r="N79" s="64">
        <v>50.9</v>
      </c>
      <c r="O79" s="64">
        <v>0</v>
      </c>
      <c r="P79" s="64">
        <v>0.6</v>
      </c>
      <c r="Q79" s="64">
        <v>9.2899999999999991</v>
      </c>
      <c r="R79" s="198"/>
      <c r="S79" s="198"/>
      <c r="T79" s="198"/>
      <c r="U79" s="198"/>
    </row>
    <row r="80" spans="1:21" s="12" customFormat="1" x14ac:dyDescent="0.25">
      <c r="A80" s="211" t="s">
        <v>319</v>
      </c>
      <c r="B80" s="64">
        <v>21.61</v>
      </c>
      <c r="C80" s="64">
        <v>24.09</v>
      </c>
      <c r="D80" s="64">
        <v>29.91</v>
      </c>
      <c r="E80" s="64">
        <v>6.34</v>
      </c>
      <c r="F80" s="64">
        <v>8.01</v>
      </c>
      <c r="G80" s="64">
        <v>33.42</v>
      </c>
      <c r="H80" s="64">
        <v>8.16</v>
      </c>
      <c r="I80" s="64">
        <v>1.86</v>
      </c>
      <c r="J80" s="64">
        <v>7.0000000000000007E-2</v>
      </c>
      <c r="K80" s="64">
        <v>189.21</v>
      </c>
      <c r="L80" s="64">
        <v>23.91</v>
      </c>
      <c r="M80" s="64">
        <v>97.99</v>
      </c>
      <c r="N80" s="64">
        <v>49</v>
      </c>
      <c r="O80" s="64">
        <v>0</v>
      </c>
      <c r="P80" s="64">
        <v>1.01</v>
      </c>
      <c r="Q80" s="64">
        <v>9.27</v>
      </c>
      <c r="R80" s="198"/>
      <c r="S80" s="198"/>
      <c r="T80" s="198"/>
      <c r="U80" s="198"/>
    </row>
    <row r="81" spans="1:26" s="12" customFormat="1" x14ac:dyDescent="0.25">
      <c r="A81" s="211" t="s">
        <v>320</v>
      </c>
      <c r="B81" s="64">
        <v>17.489999999999998</v>
      </c>
      <c r="C81" s="64">
        <v>24.19</v>
      </c>
      <c r="D81" s="64">
        <v>26.66</v>
      </c>
      <c r="E81" s="64">
        <v>6.2</v>
      </c>
      <c r="F81" s="64">
        <v>9.09</v>
      </c>
      <c r="G81" s="64">
        <v>47.09</v>
      </c>
      <c r="H81" s="64">
        <v>6.87</v>
      </c>
      <c r="I81" s="64">
        <v>1.88</v>
      </c>
      <c r="J81" s="64">
        <v>0.09</v>
      </c>
      <c r="K81" s="64">
        <v>240.47</v>
      </c>
      <c r="L81" s="64">
        <v>23.68</v>
      </c>
      <c r="M81" s="64">
        <v>98.01</v>
      </c>
      <c r="N81" s="64">
        <v>48.6</v>
      </c>
      <c r="O81" s="64">
        <v>0</v>
      </c>
      <c r="P81" s="64">
        <v>0.75</v>
      </c>
      <c r="Q81" s="64">
        <v>9.2899999999999991</v>
      </c>
      <c r="R81" s="198"/>
      <c r="S81" s="198"/>
      <c r="T81" s="198"/>
      <c r="U81" s="198"/>
    </row>
    <row r="82" spans="1:26" s="12" customFormat="1" x14ac:dyDescent="0.25">
      <c r="A82" s="211" t="s">
        <v>321</v>
      </c>
      <c r="B82" s="64">
        <v>29.86</v>
      </c>
      <c r="C82" s="64">
        <v>14.5</v>
      </c>
      <c r="D82" s="64">
        <v>31.52</v>
      </c>
      <c r="E82" s="64">
        <v>6.22</v>
      </c>
      <c r="F82" s="64">
        <v>8.01</v>
      </c>
      <c r="G82" s="64">
        <v>48.07</v>
      </c>
      <c r="H82" s="64">
        <v>6.87</v>
      </c>
      <c r="I82" s="64">
        <v>1.94</v>
      </c>
      <c r="J82" s="64">
        <v>0.06</v>
      </c>
      <c r="K82" s="64">
        <v>223.99</v>
      </c>
      <c r="L82" s="64">
        <v>23.62</v>
      </c>
      <c r="M82" s="64">
        <v>98.05</v>
      </c>
      <c r="N82" s="64">
        <v>48.4</v>
      </c>
      <c r="O82" s="64">
        <v>0</v>
      </c>
      <c r="P82" s="64">
        <v>1.08</v>
      </c>
      <c r="Q82" s="64">
        <v>9.2799999999999994</v>
      </c>
      <c r="R82" s="198"/>
      <c r="S82" s="198"/>
      <c r="T82" s="198"/>
      <c r="U82" s="198"/>
    </row>
    <row r="83" spans="1:26" s="12" customFormat="1" x14ac:dyDescent="0.25">
      <c r="A83" s="211" t="s">
        <v>322</v>
      </c>
      <c r="B83" s="64">
        <v>19.309999999999999</v>
      </c>
      <c r="C83" s="64">
        <v>21.82</v>
      </c>
      <c r="D83" s="64">
        <v>26.88</v>
      </c>
      <c r="E83" s="64">
        <v>6.18</v>
      </c>
      <c r="F83" s="64">
        <v>72.31</v>
      </c>
      <c r="G83" s="64">
        <v>48.07</v>
      </c>
      <c r="H83" s="64">
        <v>6.87</v>
      </c>
      <c r="I83" s="64">
        <v>2</v>
      </c>
      <c r="J83" s="64">
        <v>7.0000000000000007E-2</v>
      </c>
      <c r="K83" s="64">
        <v>216.85</v>
      </c>
      <c r="L83" s="64">
        <v>23.7</v>
      </c>
      <c r="M83" s="64">
        <v>98.09</v>
      </c>
      <c r="N83" s="64">
        <v>48.3</v>
      </c>
      <c r="O83" s="64">
        <v>0</v>
      </c>
      <c r="P83" s="64">
        <v>0.97</v>
      </c>
      <c r="Q83" s="64">
        <v>9.2899999999999991</v>
      </c>
      <c r="R83" s="198"/>
      <c r="S83" s="198"/>
      <c r="T83" s="198"/>
      <c r="U83" s="198"/>
    </row>
    <row r="84" spans="1:26" s="12" customFormat="1" x14ac:dyDescent="0.25">
      <c r="A84" s="211" t="s">
        <v>323</v>
      </c>
      <c r="B84" s="64">
        <v>18.989999999999998</v>
      </c>
      <c r="C84" s="64">
        <v>23.96</v>
      </c>
      <c r="D84" s="64">
        <v>27.75</v>
      </c>
      <c r="E84" s="64">
        <v>5.99</v>
      </c>
      <c r="F84" s="64">
        <v>80.22</v>
      </c>
      <c r="G84" s="64">
        <v>48.07</v>
      </c>
      <c r="H84" s="64">
        <v>6.87</v>
      </c>
      <c r="I84" s="64">
        <v>2.08</v>
      </c>
      <c r="J84" s="64">
        <v>0.02</v>
      </c>
      <c r="K84" s="64">
        <v>2.54</v>
      </c>
      <c r="L84" s="64">
        <v>23.61</v>
      </c>
      <c r="M84" s="64">
        <v>98.1</v>
      </c>
      <c r="N84" s="64">
        <v>48.6</v>
      </c>
      <c r="O84" s="64">
        <v>0</v>
      </c>
      <c r="P84" s="64">
        <v>0.93</v>
      </c>
      <c r="Q84" s="64">
        <v>9.3000000000000007</v>
      </c>
      <c r="R84" s="198"/>
      <c r="S84" s="198"/>
      <c r="T84" s="198"/>
      <c r="U84" s="198"/>
    </row>
    <row r="85" spans="1:26" s="12" customFormat="1" x14ac:dyDescent="0.25">
      <c r="A85" s="211" t="s">
        <v>324</v>
      </c>
      <c r="B85" s="64">
        <v>34.69</v>
      </c>
      <c r="C85" s="64">
        <v>17.39</v>
      </c>
      <c r="D85" s="64">
        <v>36.909999999999997</v>
      </c>
      <c r="E85" s="64">
        <v>6.59</v>
      </c>
      <c r="F85" s="64">
        <v>6.13</v>
      </c>
      <c r="G85" s="64">
        <v>46.69</v>
      </c>
      <c r="H85" s="64">
        <v>10.15</v>
      </c>
      <c r="I85" s="64">
        <v>2.17</v>
      </c>
      <c r="J85" s="64">
        <v>0.23</v>
      </c>
      <c r="K85" s="64">
        <v>356.28</v>
      </c>
      <c r="L85" s="64">
        <v>23.58</v>
      </c>
      <c r="M85" s="64">
        <v>98.12</v>
      </c>
      <c r="N85" s="64">
        <v>48.3</v>
      </c>
      <c r="O85" s="64">
        <v>0</v>
      </c>
      <c r="P85" s="64">
        <v>1.27</v>
      </c>
      <c r="Q85" s="64">
        <v>9.31</v>
      </c>
      <c r="R85" s="198"/>
      <c r="S85" s="198"/>
      <c r="T85" s="198"/>
      <c r="U85" s="198"/>
    </row>
    <row r="86" spans="1:26" s="12" customFormat="1" x14ac:dyDescent="0.25">
      <c r="A86" s="211" t="s">
        <v>325</v>
      </c>
      <c r="B86" s="64">
        <v>26.94</v>
      </c>
      <c r="C86" s="64">
        <v>16.28</v>
      </c>
      <c r="D86" s="64">
        <v>30.07</v>
      </c>
      <c r="E86" s="64">
        <v>6.27</v>
      </c>
      <c r="F86" s="64">
        <v>11.55</v>
      </c>
      <c r="G86" s="64">
        <v>46.6</v>
      </c>
      <c r="H86" s="64">
        <v>10.15</v>
      </c>
      <c r="I86" s="64">
        <v>2.25</v>
      </c>
      <c r="J86" s="64">
        <v>0</v>
      </c>
      <c r="K86" s="64">
        <v>257.95</v>
      </c>
      <c r="L86" s="64">
        <v>23.55</v>
      </c>
      <c r="M86" s="64">
        <v>98.13</v>
      </c>
      <c r="N86" s="64">
        <v>48.3</v>
      </c>
      <c r="O86" s="64">
        <v>0</v>
      </c>
      <c r="P86" s="64">
        <v>0.96</v>
      </c>
      <c r="Q86" s="64">
        <v>9.33</v>
      </c>
      <c r="R86" s="198"/>
      <c r="S86" s="198"/>
      <c r="T86" s="198"/>
      <c r="U86" s="198"/>
    </row>
    <row r="87" spans="1:26" s="12" customFormat="1" x14ac:dyDescent="0.25">
      <c r="A87" s="211" t="s">
        <v>326</v>
      </c>
      <c r="B87" s="64">
        <v>21.69</v>
      </c>
      <c r="C87" s="64">
        <v>7.26</v>
      </c>
      <c r="D87" s="64">
        <v>21.19</v>
      </c>
      <c r="E87" s="64">
        <v>6.16</v>
      </c>
      <c r="F87" s="64">
        <v>8.11</v>
      </c>
      <c r="G87" s="64">
        <v>46.6</v>
      </c>
      <c r="H87" s="64">
        <v>10.15</v>
      </c>
      <c r="I87" s="64">
        <v>2.33</v>
      </c>
      <c r="J87" s="64">
        <v>0.05</v>
      </c>
      <c r="K87" s="64">
        <v>221.21</v>
      </c>
      <c r="L87" s="64">
        <v>23.52</v>
      </c>
      <c r="M87" s="64">
        <v>98.14</v>
      </c>
      <c r="N87" s="64">
        <v>48.5</v>
      </c>
      <c r="O87" s="64">
        <v>0</v>
      </c>
      <c r="P87" s="64">
        <v>0.72</v>
      </c>
      <c r="Q87" s="64">
        <v>9.35</v>
      </c>
      <c r="R87" s="198"/>
      <c r="S87" s="198"/>
      <c r="T87" s="198"/>
      <c r="U87" s="198"/>
    </row>
    <row r="88" spans="1:26" s="12" customFormat="1" x14ac:dyDescent="0.25">
      <c r="A88" s="211" t="s">
        <v>327</v>
      </c>
      <c r="B88" s="64">
        <v>21.64</v>
      </c>
      <c r="C88" s="64">
        <v>12.56</v>
      </c>
      <c r="D88" s="64">
        <v>23.91</v>
      </c>
      <c r="E88" s="64">
        <v>5.97</v>
      </c>
      <c r="F88" s="64">
        <v>8.1999999999999993</v>
      </c>
      <c r="G88" s="64">
        <v>46.6</v>
      </c>
      <c r="H88" s="64">
        <v>10.15</v>
      </c>
      <c r="I88" s="64">
        <v>2.38</v>
      </c>
      <c r="J88" s="64">
        <v>0.06</v>
      </c>
      <c r="K88" s="64">
        <v>244.35</v>
      </c>
      <c r="L88" s="64">
        <v>23.43</v>
      </c>
      <c r="M88" s="64">
        <v>98.1</v>
      </c>
      <c r="N88" s="64">
        <v>48.6</v>
      </c>
      <c r="O88" s="64">
        <v>0</v>
      </c>
      <c r="P88" s="64">
        <v>0.93</v>
      </c>
      <c r="Q88" s="64">
        <v>9.35</v>
      </c>
      <c r="R88" s="198"/>
      <c r="S88" s="198"/>
      <c r="T88" s="198"/>
      <c r="U88" s="198"/>
    </row>
    <row r="89" spans="1:26" s="12" customFormat="1" x14ac:dyDescent="0.25">
      <c r="A89" s="211" t="s">
        <v>328</v>
      </c>
      <c r="B89" s="64">
        <v>26.56</v>
      </c>
      <c r="C89" s="64">
        <v>10.18</v>
      </c>
      <c r="D89" s="64">
        <v>26.62</v>
      </c>
      <c r="E89" s="64">
        <v>6.2</v>
      </c>
      <c r="F89" s="64">
        <v>8.16</v>
      </c>
      <c r="G89" s="64">
        <v>61.1</v>
      </c>
      <c r="H89" s="64">
        <v>8.9499999999999993</v>
      </c>
      <c r="I89" s="64">
        <v>2.4</v>
      </c>
      <c r="J89" s="64">
        <v>0.08</v>
      </c>
      <c r="K89" s="64">
        <v>306.14</v>
      </c>
      <c r="L89" s="64">
        <v>23.4</v>
      </c>
      <c r="M89" s="64">
        <v>98.26</v>
      </c>
      <c r="N89" s="64">
        <v>48.5</v>
      </c>
      <c r="O89" s="64">
        <v>0</v>
      </c>
      <c r="P89" s="64">
        <v>0.9</v>
      </c>
      <c r="Q89" s="64">
        <v>9.36</v>
      </c>
      <c r="R89" s="198"/>
      <c r="S89" s="198"/>
      <c r="T89" s="198"/>
      <c r="U89" s="198"/>
    </row>
    <row r="90" spans="1:26" s="12" customFormat="1" x14ac:dyDescent="0.25">
      <c r="A90" s="211" t="s">
        <v>329</v>
      </c>
      <c r="B90" s="64">
        <v>13.33</v>
      </c>
      <c r="C90" s="64">
        <v>11.69</v>
      </c>
      <c r="D90" s="64">
        <v>16.8</v>
      </c>
      <c r="E90" s="64">
        <v>6.16</v>
      </c>
      <c r="F90" s="64">
        <v>6.66</v>
      </c>
      <c r="G90" s="64">
        <v>62.13</v>
      </c>
      <c r="H90" s="64">
        <v>8.9499999999999993</v>
      </c>
      <c r="I90" s="64">
        <v>2.44</v>
      </c>
      <c r="J90" s="64">
        <v>0.14000000000000001</v>
      </c>
      <c r="K90" s="64">
        <v>149.56</v>
      </c>
      <c r="L90" s="64">
        <v>23.4</v>
      </c>
      <c r="M90" s="64">
        <v>98.03</v>
      </c>
      <c r="N90" s="64">
        <v>48.5</v>
      </c>
      <c r="O90" s="64">
        <v>0</v>
      </c>
      <c r="P90" s="64">
        <v>0.54</v>
      </c>
      <c r="Q90" s="64">
        <v>9.39</v>
      </c>
      <c r="R90" s="198"/>
      <c r="S90" s="198"/>
      <c r="T90" s="198"/>
      <c r="U90" s="198"/>
    </row>
    <row r="91" spans="1:26" s="12" customFormat="1" x14ac:dyDescent="0.25">
      <c r="A91" s="211" t="s">
        <v>330</v>
      </c>
      <c r="B91" s="64">
        <v>29.15</v>
      </c>
      <c r="C91" s="64">
        <v>10.91</v>
      </c>
      <c r="D91" s="64">
        <v>28.85</v>
      </c>
      <c r="E91" s="64">
        <v>6</v>
      </c>
      <c r="F91" s="64">
        <v>10.52</v>
      </c>
      <c r="G91" s="64">
        <v>62.13</v>
      </c>
      <c r="H91" s="64">
        <v>8.9499999999999993</v>
      </c>
      <c r="I91" s="64">
        <v>2.4700000000000002</v>
      </c>
      <c r="J91" s="64">
        <v>7.0000000000000007E-2</v>
      </c>
      <c r="K91" s="64">
        <v>174.4</v>
      </c>
      <c r="L91" s="64">
        <v>23.38</v>
      </c>
      <c r="M91" s="64">
        <v>98.09</v>
      </c>
      <c r="N91" s="64">
        <v>48.6</v>
      </c>
      <c r="O91" s="64">
        <v>0</v>
      </c>
      <c r="P91" s="64">
        <v>0.61</v>
      </c>
      <c r="Q91" s="64">
        <v>9.41</v>
      </c>
      <c r="R91" s="198"/>
      <c r="S91" s="198"/>
      <c r="T91" s="198"/>
      <c r="U91" s="198"/>
    </row>
    <row r="92" spans="1:26" s="12" customFormat="1" x14ac:dyDescent="0.25">
      <c r="A92" s="211" t="s">
        <v>331</v>
      </c>
      <c r="B92" s="64">
        <v>31.15</v>
      </c>
      <c r="C92" s="64">
        <v>11.34</v>
      </c>
      <c r="D92" s="64">
        <v>30.89</v>
      </c>
      <c r="E92" s="64">
        <v>6.14</v>
      </c>
      <c r="F92" s="64">
        <v>7.16</v>
      </c>
      <c r="G92" s="64">
        <v>62.13</v>
      </c>
      <c r="H92" s="64">
        <v>8.9499999999999993</v>
      </c>
      <c r="I92" s="64">
        <v>2.48</v>
      </c>
      <c r="J92" s="64">
        <v>0.27</v>
      </c>
      <c r="K92" s="64">
        <v>346.14</v>
      </c>
      <c r="L92" s="64">
        <v>23.33</v>
      </c>
      <c r="M92" s="64">
        <v>98.06</v>
      </c>
      <c r="N92" s="64">
        <v>48.5</v>
      </c>
      <c r="O92" s="64">
        <v>0.2</v>
      </c>
      <c r="P92" s="64">
        <v>1.03</v>
      </c>
      <c r="Q92" s="64">
        <v>9.42</v>
      </c>
      <c r="R92" s="198"/>
      <c r="S92" s="198"/>
      <c r="T92" s="198"/>
      <c r="U92" s="198"/>
    </row>
    <row r="93" spans="1:26" s="12" customFormat="1" x14ac:dyDescent="0.25">
      <c r="A93" s="211" t="s">
        <v>332</v>
      </c>
      <c r="B93" s="64">
        <v>26.3</v>
      </c>
      <c r="C93" s="64">
        <v>7.16</v>
      </c>
      <c r="D93" s="64">
        <v>24.68</v>
      </c>
      <c r="E93" s="64">
        <v>6</v>
      </c>
      <c r="F93" s="64">
        <v>9.49</v>
      </c>
      <c r="G93" s="64">
        <v>53.43</v>
      </c>
      <c r="H93" s="64">
        <v>7.42</v>
      </c>
      <c r="I93" s="64">
        <v>2.48</v>
      </c>
      <c r="J93" s="64">
        <v>0.59</v>
      </c>
      <c r="K93" s="64">
        <v>340.17</v>
      </c>
      <c r="L93" s="64">
        <v>23.32</v>
      </c>
      <c r="M93" s="64">
        <v>98.08</v>
      </c>
      <c r="N93" s="64">
        <v>48.3</v>
      </c>
      <c r="O93" s="64">
        <v>0</v>
      </c>
      <c r="P93" s="64">
        <v>0.85</v>
      </c>
      <c r="Q93" s="64">
        <v>9.44</v>
      </c>
      <c r="R93" s="198"/>
      <c r="S93" s="198"/>
      <c r="T93" s="198"/>
      <c r="U93" s="198"/>
    </row>
    <row r="94" spans="1:26" s="12" customFormat="1" x14ac:dyDescent="0.25">
      <c r="A94" s="211" t="s">
        <v>333</v>
      </c>
      <c r="B94" s="64">
        <v>23.28</v>
      </c>
      <c r="C94" s="64">
        <v>8.85</v>
      </c>
      <c r="D94" s="64">
        <v>23.27</v>
      </c>
      <c r="E94" s="64">
        <v>6.09</v>
      </c>
      <c r="F94" s="64">
        <v>8.9700000000000006</v>
      </c>
      <c r="G94" s="64">
        <v>52.8</v>
      </c>
      <c r="H94" s="64">
        <v>7.42</v>
      </c>
      <c r="I94" s="64">
        <v>2.5099999999999998</v>
      </c>
      <c r="J94" s="64">
        <v>0.49</v>
      </c>
      <c r="K94" s="64">
        <v>329.7</v>
      </c>
      <c r="L94" s="64">
        <v>23.37</v>
      </c>
      <c r="M94" s="64">
        <v>98.13</v>
      </c>
      <c r="N94" s="64">
        <v>48.3</v>
      </c>
      <c r="O94" s="64">
        <v>0</v>
      </c>
      <c r="P94" s="64">
        <v>0.91</v>
      </c>
      <c r="Q94" s="64">
        <v>9.4700000000000006</v>
      </c>
      <c r="R94" s="198"/>
      <c r="S94" s="198"/>
      <c r="T94" s="198"/>
      <c r="U94" s="198"/>
    </row>
    <row r="95" spans="1:26" s="12" customFormat="1" x14ac:dyDescent="0.25">
      <c r="A95" s="211" t="s">
        <v>334</v>
      </c>
      <c r="B95" s="64">
        <v>21.76</v>
      </c>
      <c r="C95" s="64">
        <v>6.19</v>
      </c>
      <c r="D95" s="64">
        <v>20.68</v>
      </c>
      <c r="E95" s="64">
        <v>6.21</v>
      </c>
      <c r="F95" s="64">
        <v>6.3</v>
      </c>
      <c r="G95" s="64">
        <v>52.8</v>
      </c>
      <c r="H95" s="64">
        <v>7.42</v>
      </c>
      <c r="I95" s="64">
        <v>2.5499999999999998</v>
      </c>
      <c r="J95" s="64">
        <v>0.96</v>
      </c>
      <c r="K95" s="64">
        <v>331.78</v>
      </c>
      <c r="L95" s="64">
        <v>23.45</v>
      </c>
      <c r="M95" s="64">
        <v>98.15</v>
      </c>
      <c r="N95" s="64">
        <v>48.4</v>
      </c>
      <c r="O95" s="64">
        <v>0</v>
      </c>
      <c r="P95" s="64">
        <v>0.8</v>
      </c>
      <c r="Q95" s="64">
        <v>9.48</v>
      </c>
      <c r="R95" s="198"/>
      <c r="S95" s="198"/>
      <c r="T95" s="198"/>
      <c r="U95" s="198"/>
    </row>
    <row r="96" spans="1:26" s="12" customFormat="1" x14ac:dyDescent="0.25">
      <c r="A96" s="211" t="s">
        <v>335</v>
      </c>
      <c r="B96" s="64">
        <v>23.38</v>
      </c>
      <c r="C96" s="64">
        <v>6.67</v>
      </c>
      <c r="D96" s="64">
        <v>22.23</v>
      </c>
      <c r="E96" s="64">
        <v>6.04</v>
      </c>
      <c r="F96" s="64">
        <v>10.199999999999999</v>
      </c>
      <c r="G96" s="64">
        <v>52.8</v>
      </c>
      <c r="H96" s="64">
        <v>7.42</v>
      </c>
      <c r="I96" s="64">
        <v>2.5499999999999998</v>
      </c>
      <c r="J96" s="64">
        <v>0.61</v>
      </c>
      <c r="K96" s="64">
        <v>338.83</v>
      </c>
      <c r="L96" s="64">
        <v>23.5</v>
      </c>
      <c r="M96" s="64">
        <v>98.13</v>
      </c>
      <c r="N96" s="64">
        <v>48.7</v>
      </c>
      <c r="O96" s="64">
        <v>0</v>
      </c>
      <c r="P96" s="64">
        <v>0.88</v>
      </c>
      <c r="Q96" s="64">
        <v>9.4700000000000006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336</v>
      </c>
      <c r="B97" s="64">
        <v>25.09</v>
      </c>
      <c r="C97" s="64">
        <v>7.11</v>
      </c>
      <c r="D97" s="64">
        <v>23.65</v>
      </c>
      <c r="E97" s="64">
        <v>6.26</v>
      </c>
      <c r="F97" s="64">
        <v>10.02</v>
      </c>
      <c r="G97" s="64">
        <v>54.14</v>
      </c>
      <c r="H97" s="64">
        <v>6.35</v>
      </c>
      <c r="I97" s="64">
        <v>2.54</v>
      </c>
      <c r="J97" s="64">
        <v>0.36</v>
      </c>
      <c r="K97" s="64">
        <v>347.73</v>
      </c>
      <c r="L97" s="64">
        <v>23.46</v>
      </c>
      <c r="M97" s="64">
        <v>98.12</v>
      </c>
      <c r="N97" s="64">
        <v>48.8</v>
      </c>
      <c r="O97" s="64">
        <v>0</v>
      </c>
      <c r="P97" s="64">
        <v>0.93</v>
      </c>
      <c r="Q97" s="64">
        <v>9.4499999999999993</v>
      </c>
      <c r="R97" s="198"/>
      <c r="S97" s="198"/>
      <c r="T97" s="198"/>
      <c r="U97" s="198"/>
    </row>
    <row r="98" spans="1:33" s="12" customFormat="1" x14ac:dyDescent="0.25">
      <c r="A98" s="211" t="s">
        <v>337</v>
      </c>
      <c r="B98" s="64">
        <v>23.34</v>
      </c>
      <c r="C98" s="64">
        <v>17.54</v>
      </c>
      <c r="D98" s="64">
        <v>27.88</v>
      </c>
      <c r="E98" s="64">
        <v>6.36</v>
      </c>
      <c r="F98" s="64">
        <v>7.08</v>
      </c>
      <c r="G98" s="64">
        <v>54.22</v>
      </c>
      <c r="H98" s="64">
        <v>6.35</v>
      </c>
      <c r="I98" s="64">
        <v>2.52</v>
      </c>
      <c r="J98" s="64">
        <v>0.04</v>
      </c>
      <c r="K98" s="64">
        <v>25.48</v>
      </c>
      <c r="L98" s="64">
        <v>23.33</v>
      </c>
      <c r="M98" s="64">
        <v>98.17</v>
      </c>
      <c r="N98" s="64">
        <v>48.8</v>
      </c>
      <c r="O98" s="64">
        <v>0</v>
      </c>
      <c r="P98" s="64">
        <v>1.1299999999999999</v>
      </c>
      <c r="Q98" s="64">
        <v>9.4499999999999993</v>
      </c>
      <c r="R98" s="198"/>
      <c r="S98" s="198"/>
      <c r="T98" s="198"/>
      <c r="U98" s="198"/>
    </row>
    <row r="99" spans="1:33" s="12" customFormat="1" x14ac:dyDescent="0.25">
      <c r="A99" s="211" t="s">
        <v>338</v>
      </c>
      <c r="B99" s="64">
        <v>25.92</v>
      </c>
      <c r="C99" s="64">
        <v>5.08</v>
      </c>
      <c r="D99" s="64">
        <v>23.39</v>
      </c>
      <c r="E99" s="64">
        <v>6.11</v>
      </c>
      <c r="F99" s="64">
        <v>8.68</v>
      </c>
      <c r="G99" s="64">
        <v>54.22</v>
      </c>
      <c r="H99" s="64">
        <v>6.35</v>
      </c>
      <c r="I99" s="64">
        <v>2.5299999999999998</v>
      </c>
      <c r="J99" s="64">
        <v>0.55000000000000004</v>
      </c>
      <c r="K99" s="64">
        <v>345.5</v>
      </c>
      <c r="L99" s="64">
        <v>23.34</v>
      </c>
      <c r="M99" s="64">
        <v>98.16</v>
      </c>
      <c r="N99" s="64">
        <v>48.6</v>
      </c>
      <c r="O99" s="64">
        <v>0</v>
      </c>
      <c r="P99" s="64">
        <v>0.88</v>
      </c>
      <c r="Q99" s="64">
        <v>9.4600000000000009</v>
      </c>
      <c r="R99" s="198"/>
      <c r="S99" s="198"/>
      <c r="T99" s="198"/>
      <c r="U99" s="198"/>
    </row>
    <row r="100" spans="1:33" s="12" customFormat="1" x14ac:dyDescent="0.25">
      <c r="A100" s="211" t="s">
        <v>339</v>
      </c>
      <c r="B100" s="64">
        <v>30.03</v>
      </c>
      <c r="C100" s="64">
        <v>14.86</v>
      </c>
      <c r="D100" s="64">
        <v>31.58</v>
      </c>
      <c r="E100" s="64">
        <v>6.36</v>
      </c>
      <c r="F100" s="64">
        <v>8.44</v>
      </c>
      <c r="G100" s="64">
        <v>54.22</v>
      </c>
      <c r="H100" s="64">
        <v>6.35</v>
      </c>
      <c r="I100" s="64">
        <v>2.61</v>
      </c>
      <c r="J100" s="64">
        <v>0.42</v>
      </c>
      <c r="K100" s="64">
        <v>339.19</v>
      </c>
      <c r="L100" s="64">
        <v>23.48</v>
      </c>
      <c r="M100" s="64">
        <v>98.18</v>
      </c>
      <c r="N100" s="64">
        <v>48.8</v>
      </c>
      <c r="O100" s="64">
        <v>0</v>
      </c>
      <c r="P100" s="64">
        <v>1.1299999999999999</v>
      </c>
      <c r="Q100" s="64">
        <v>9.4700000000000006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340</v>
      </c>
      <c r="B101" s="64">
        <v>28.69</v>
      </c>
      <c r="C101" s="64">
        <v>9.49</v>
      </c>
      <c r="D101" s="64">
        <v>27.9</v>
      </c>
      <c r="E101" s="64">
        <v>6.31</v>
      </c>
      <c r="F101" s="64">
        <v>7.89</v>
      </c>
      <c r="G101" s="64">
        <v>61.23</v>
      </c>
      <c r="H101" s="64">
        <v>11.97</v>
      </c>
      <c r="I101" s="64">
        <v>2.68</v>
      </c>
      <c r="J101" s="64">
        <v>0.11</v>
      </c>
      <c r="K101" s="64">
        <v>338.77</v>
      </c>
      <c r="L101" s="64">
        <v>23.48</v>
      </c>
      <c r="M101" s="64">
        <v>98.18</v>
      </c>
      <c r="N101" s="64">
        <v>49</v>
      </c>
      <c r="O101" s="64">
        <v>0</v>
      </c>
      <c r="P101" s="64">
        <v>0.99</v>
      </c>
      <c r="Q101" s="64">
        <v>9.48</v>
      </c>
      <c r="R101" s="198"/>
      <c r="S101" s="198"/>
      <c r="T101" s="198"/>
      <c r="U101" s="198"/>
    </row>
    <row r="102" spans="1:33" s="12" customFormat="1" x14ac:dyDescent="0.25">
      <c r="A102" s="211" t="s">
        <v>341</v>
      </c>
      <c r="B102" s="64">
        <v>19.059999999999999</v>
      </c>
      <c r="C102" s="64">
        <v>13.51</v>
      </c>
      <c r="D102" s="64">
        <v>22.34</v>
      </c>
      <c r="E102" s="64">
        <v>6.5</v>
      </c>
      <c r="F102" s="64">
        <v>10.51</v>
      </c>
      <c r="G102" s="64">
        <v>61.64</v>
      </c>
      <c r="H102" s="64">
        <v>11.97</v>
      </c>
      <c r="I102" s="64">
        <v>2.73</v>
      </c>
      <c r="J102" s="64">
        <v>0.09</v>
      </c>
      <c r="K102" s="64">
        <v>111.74</v>
      </c>
      <c r="L102" s="64">
        <v>23.23</v>
      </c>
      <c r="M102" s="64">
        <v>98.22</v>
      </c>
      <c r="N102" s="64">
        <v>49</v>
      </c>
      <c r="O102" s="64">
        <v>0</v>
      </c>
      <c r="P102" s="64">
        <v>0.96</v>
      </c>
      <c r="Q102" s="64">
        <v>9.49</v>
      </c>
      <c r="R102" s="198"/>
      <c r="S102" s="198"/>
      <c r="T102" s="198"/>
      <c r="U102" s="198"/>
    </row>
    <row r="103" spans="1:33" s="12" customFormat="1" x14ac:dyDescent="0.25">
      <c r="A103" s="211" t="s">
        <v>342</v>
      </c>
      <c r="B103" s="64">
        <v>22.35</v>
      </c>
      <c r="C103" s="64">
        <v>19.260000000000002</v>
      </c>
      <c r="D103" s="64">
        <v>27.99</v>
      </c>
      <c r="E103" s="64">
        <v>6.32</v>
      </c>
      <c r="F103" s="64">
        <v>7.06</v>
      </c>
      <c r="G103" s="64">
        <v>61.64</v>
      </c>
      <c r="H103" s="64">
        <v>11.97</v>
      </c>
      <c r="I103" s="64">
        <v>2.77</v>
      </c>
      <c r="J103" s="64">
        <v>0.05</v>
      </c>
      <c r="K103" s="64">
        <v>89.22</v>
      </c>
      <c r="L103" s="64">
        <v>23.14</v>
      </c>
      <c r="M103" s="64">
        <v>97.86</v>
      </c>
      <c r="N103" s="64">
        <v>49</v>
      </c>
      <c r="O103" s="64">
        <v>0</v>
      </c>
      <c r="P103" s="64">
        <v>1.03</v>
      </c>
      <c r="Q103" s="64">
        <v>9.48</v>
      </c>
      <c r="R103" s="198"/>
      <c r="S103" s="198"/>
      <c r="T103" s="198"/>
      <c r="U103" s="198"/>
    </row>
    <row r="104" spans="1:33" s="12" customFormat="1" x14ac:dyDescent="0.25">
      <c r="A104" s="211" t="s">
        <v>343</v>
      </c>
      <c r="B104" s="64">
        <v>25.01</v>
      </c>
      <c r="C104" s="64">
        <v>9.8699999999999992</v>
      </c>
      <c r="D104" s="64">
        <v>25.21</v>
      </c>
      <c r="E104" s="64">
        <v>4.2</v>
      </c>
      <c r="F104" s="64">
        <v>5.29</v>
      </c>
      <c r="G104" s="64">
        <v>61.64</v>
      </c>
      <c r="H104" s="64">
        <v>11.97</v>
      </c>
      <c r="I104" s="64">
        <v>2.82</v>
      </c>
      <c r="J104" s="64">
        <v>0.1</v>
      </c>
      <c r="K104" s="64">
        <v>100.47</v>
      </c>
      <c r="L104" s="64">
        <v>23.02</v>
      </c>
      <c r="M104" s="64">
        <v>98.1</v>
      </c>
      <c r="N104" s="64">
        <v>49</v>
      </c>
      <c r="O104" s="64">
        <v>0</v>
      </c>
      <c r="P104" s="64">
        <v>1.1100000000000001</v>
      </c>
      <c r="Q104" s="64">
        <v>9.49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5.94</v>
      </c>
      <c r="C106" s="67">
        <f>MIN(C9:C104)</f>
        <v>5.08</v>
      </c>
      <c r="D106" s="67">
        <f t="shared" ref="D106:Q106" si="0">MIN(D9:D104)</f>
        <v>8.44</v>
      </c>
      <c r="E106" s="67">
        <f t="shared" si="0"/>
        <v>3.5</v>
      </c>
      <c r="F106" s="67">
        <f t="shared" si="0"/>
        <v>5.29</v>
      </c>
      <c r="G106" s="67">
        <f t="shared" si="0"/>
        <v>14.12</v>
      </c>
      <c r="H106" s="67">
        <f t="shared" si="0"/>
        <v>6.03</v>
      </c>
      <c r="I106" s="67">
        <f t="shared" si="0"/>
        <v>1.51</v>
      </c>
      <c r="J106" s="67">
        <f t="shared" si="0"/>
        <v>0</v>
      </c>
      <c r="K106" s="67">
        <f t="shared" si="0"/>
        <v>2.54</v>
      </c>
      <c r="L106" s="67">
        <f t="shared" si="0"/>
        <v>23.02</v>
      </c>
      <c r="M106" s="67">
        <f t="shared" si="0"/>
        <v>63.76</v>
      </c>
      <c r="N106" s="67">
        <f t="shared" si="0"/>
        <v>48.3</v>
      </c>
      <c r="O106" s="67">
        <f t="shared" si="0"/>
        <v>0</v>
      </c>
      <c r="P106" s="67">
        <f t="shared" si="0"/>
        <v>0.19</v>
      </c>
      <c r="Q106" s="67">
        <f t="shared" si="0"/>
        <v>9.08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34.69</v>
      </c>
      <c r="C107" s="66">
        <f t="shared" ref="C107:Q107" si="1">MAX(C9:C104)</f>
        <v>25.34</v>
      </c>
      <c r="D107" s="66">
        <f t="shared" si="1"/>
        <v>36.909999999999997</v>
      </c>
      <c r="E107" s="66">
        <f t="shared" si="1"/>
        <v>6.66</v>
      </c>
      <c r="F107" s="66">
        <f t="shared" si="1"/>
        <v>347.62</v>
      </c>
      <c r="G107" s="66">
        <f t="shared" si="1"/>
        <v>62.13</v>
      </c>
      <c r="H107" s="66">
        <f t="shared" si="1"/>
        <v>12.64</v>
      </c>
      <c r="I107" s="66">
        <f t="shared" si="1"/>
        <v>4.13</v>
      </c>
      <c r="J107" s="66">
        <f t="shared" si="1"/>
        <v>2.99</v>
      </c>
      <c r="K107" s="66">
        <f t="shared" si="1"/>
        <v>359.72</v>
      </c>
      <c r="L107" s="66">
        <f t="shared" si="1"/>
        <v>34.51</v>
      </c>
      <c r="M107" s="66">
        <f t="shared" si="1"/>
        <v>98.34</v>
      </c>
      <c r="N107" s="66">
        <f t="shared" si="1"/>
        <v>811.9</v>
      </c>
      <c r="O107" s="66">
        <f t="shared" si="1"/>
        <v>2</v>
      </c>
      <c r="P107" s="66">
        <f t="shared" si="1"/>
        <v>1.27</v>
      </c>
      <c r="Q107" s="66">
        <f t="shared" si="1"/>
        <v>9.49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14.007083333333334</v>
      </c>
      <c r="C108" s="67">
        <f t="shared" ref="C108:Q108" si="2">AVERAGE(C9:C104)</f>
        <v>11.900104166666663</v>
      </c>
      <c r="D108" s="67">
        <f t="shared" si="2"/>
        <v>17.439062500000009</v>
      </c>
      <c r="E108" s="67">
        <f t="shared" si="2"/>
        <v>4.8759375000000009</v>
      </c>
      <c r="F108" s="67">
        <f t="shared" si="2"/>
        <v>23.310937499999984</v>
      </c>
      <c r="G108" s="67">
        <f t="shared" si="2"/>
        <v>39.892500000000005</v>
      </c>
      <c r="H108" s="67">
        <f t="shared" si="2"/>
        <v>8.5749999999999993</v>
      </c>
      <c r="I108" s="67">
        <f t="shared" si="2"/>
        <v>2.4283333333333332</v>
      </c>
      <c r="J108" s="67">
        <f t="shared" si="2"/>
        <v>0.35416666666666674</v>
      </c>
      <c r="K108" s="67">
        <f t="shared" si="2"/>
        <v>238.62885416666666</v>
      </c>
      <c r="L108" s="67">
        <f t="shared" si="2"/>
        <v>25.374895833333337</v>
      </c>
      <c r="M108" s="67">
        <f t="shared" si="2"/>
        <v>94.348020833333351</v>
      </c>
      <c r="N108" s="67">
        <f t="shared" si="2"/>
        <v>156.90729166666662</v>
      </c>
      <c r="O108" s="67">
        <f t="shared" si="2"/>
        <v>3.3333333333333333E-2</v>
      </c>
      <c r="P108" s="67">
        <f t="shared" si="2"/>
        <v>0.57677083333333334</v>
      </c>
      <c r="Q108" s="67">
        <f t="shared" si="2"/>
        <v>9.2247916666666683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7.2053550139596103</v>
      </c>
      <c r="C109" s="67">
        <f t="shared" ref="C109:Q109" si="3">STDEV(C9:C104)</f>
        <v>5.0819955663502512</v>
      </c>
      <c r="D109" s="67">
        <f t="shared" si="3"/>
        <v>6.6743974422493757</v>
      </c>
      <c r="E109" s="67">
        <f t="shared" si="3"/>
        <v>1.0048436150911562</v>
      </c>
      <c r="F109" s="67">
        <f t="shared" si="3"/>
        <v>55.097940836069377</v>
      </c>
      <c r="G109" s="67">
        <f t="shared" si="3"/>
        <v>14.887307911174059</v>
      </c>
      <c r="H109" s="67">
        <f t="shared" si="3"/>
        <v>1.9838781796216687</v>
      </c>
      <c r="I109" s="67">
        <f t="shared" si="3"/>
        <v>0.65170491654246054</v>
      </c>
      <c r="J109" s="67">
        <f t="shared" si="3"/>
        <v>0.52793473812517588</v>
      </c>
      <c r="K109" s="67">
        <f t="shared" si="3"/>
        <v>97.168667387338161</v>
      </c>
      <c r="L109" s="67">
        <f t="shared" si="3"/>
        <v>3.281021662063448</v>
      </c>
      <c r="M109" s="67">
        <f t="shared" si="3"/>
        <v>9.4785997877536481</v>
      </c>
      <c r="N109" s="67">
        <f t="shared" si="3"/>
        <v>201.20898705720802</v>
      </c>
      <c r="O109" s="67">
        <f t="shared" si="3"/>
        <v>0.22788116324392307</v>
      </c>
      <c r="P109" s="67">
        <f t="shared" si="3"/>
        <v>0.25882526026428904</v>
      </c>
      <c r="Q109" s="67">
        <f t="shared" si="3"/>
        <v>0.12071697361721041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A9" sqref="A9:U104"/>
      <selection pane="topRight" activeCell="A9" sqref="A9:U104"/>
      <selection pane="bottomLeft" activeCell="A9" sqref="A9:U104"/>
      <selection pane="bottomRight" activeCell="L113" sqref="L11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344</v>
      </c>
      <c r="B9" s="64">
        <v>13.84</v>
      </c>
      <c r="C9" s="64">
        <v>19.64</v>
      </c>
      <c r="D9" s="64">
        <v>21.36</v>
      </c>
      <c r="E9" s="64">
        <v>4.6399999999999997</v>
      </c>
      <c r="F9" s="64">
        <v>6.07</v>
      </c>
      <c r="G9" s="64">
        <v>70.7</v>
      </c>
      <c r="H9" s="64">
        <v>11.11</v>
      </c>
      <c r="I9" s="64">
        <v>2.86</v>
      </c>
      <c r="J9" s="64">
        <v>0.48</v>
      </c>
      <c r="K9" s="64">
        <v>126.65</v>
      </c>
      <c r="L9" s="64">
        <v>23.19</v>
      </c>
      <c r="M9" s="64">
        <v>97.86</v>
      </c>
      <c r="N9" s="64">
        <v>48.8</v>
      </c>
      <c r="O9" s="64">
        <v>0</v>
      </c>
      <c r="P9" s="64">
        <v>0.99</v>
      </c>
      <c r="Q9" s="64">
        <v>9.49</v>
      </c>
      <c r="R9" s="198"/>
      <c r="S9" s="198"/>
      <c r="T9" s="198"/>
      <c r="U9" s="198"/>
    </row>
    <row r="10" spans="1:21" s="12" customFormat="1" x14ac:dyDescent="0.25">
      <c r="A10" s="211" t="s">
        <v>345</v>
      </c>
      <c r="B10" s="64">
        <v>20.95</v>
      </c>
      <c r="C10" s="64">
        <v>11.68</v>
      </c>
      <c r="D10" s="64">
        <v>22.91</v>
      </c>
      <c r="E10" s="64">
        <v>4.6100000000000003</v>
      </c>
      <c r="F10" s="64">
        <v>7.08</v>
      </c>
      <c r="G10" s="64">
        <v>71.239999999999995</v>
      </c>
      <c r="H10" s="64">
        <v>11.11</v>
      </c>
      <c r="I10" s="64">
        <v>2.91</v>
      </c>
      <c r="J10" s="64">
        <v>0.09</v>
      </c>
      <c r="K10" s="64">
        <v>285.13</v>
      </c>
      <c r="L10" s="64">
        <v>23.26</v>
      </c>
      <c r="M10" s="64">
        <v>97.71</v>
      </c>
      <c r="N10" s="64">
        <v>49.3</v>
      </c>
      <c r="O10" s="64">
        <v>0</v>
      </c>
      <c r="P10" s="64">
        <v>1.04</v>
      </c>
      <c r="Q10" s="64">
        <v>9.49</v>
      </c>
      <c r="R10" s="198"/>
      <c r="S10" s="198"/>
      <c r="T10" s="198"/>
      <c r="U10" s="198"/>
    </row>
    <row r="11" spans="1:21" s="12" customFormat="1" x14ac:dyDescent="0.25">
      <c r="A11" s="211" t="s">
        <v>346</v>
      </c>
      <c r="B11" s="64">
        <v>17.37</v>
      </c>
      <c r="C11" s="64">
        <v>15.21</v>
      </c>
      <c r="D11" s="64">
        <v>21.88</v>
      </c>
      <c r="E11" s="64">
        <v>4.46</v>
      </c>
      <c r="F11" s="64">
        <v>7.79</v>
      </c>
      <c r="G11" s="64">
        <v>71.239999999999995</v>
      </c>
      <c r="H11" s="64">
        <v>11.11</v>
      </c>
      <c r="I11" s="64">
        <v>2.95</v>
      </c>
      <c r="J11" s="64">
        <v>0.1</v>
      </c>
      <c r="K11" s="64">
        <v>339.47</v>
      </c>
      <c r="L11" s="64">
        <v>23.21</v>
      </c>
      <c r="M11" s="64">
        <v>97.71</v>
      </c>
      <c r="N11" s="64">
        <v>49.3</v>
      </c>
      <c r="O11" s="64">
        <v>0</v>
      </c>
      <c r="P11" s="64">
        <v>1.03</v>
      </c>
      <c r="Q11" s="64">
        <v>9.51</v>
      </c>
      <c r="R11" s="198"/>
      <c r="S11" s="198"/>
      <c r="T11" s="198"/>
      <c r="U11" s="198"/>
    </row>
    <row r="12" spans="1:21" s="12" customFormat="1" x14ac:dyDescent="0.25">
      <c r="A12" s="211" t="s">
        <v>347</v>
      </c>
      <c r="B12" s="64">
        <v>19.84</v>
      </c>
      <c r="C12" s="64">
        <v>11.57</v>
      </c>
      <c r="D12" s="64">
        <v>21.96</v>
      </c>
      <c r="E12" s="64">
        <v>4.28</v>
      </c>
      <c r="F12" s="64">
        <v>11.56</v>
      </c>
      <c r="G12" s="64">
        <v>71.239999999999995</v>
      </c>
      <c r="H12" s="64">
        <v>11.11</v>
      </c>
      <c r="I12" s="64">
        <v>2.98</v>
      </c>
      <c r="J12" s="64">
        <v>0.3</v>
      </c>
      <c r="K12" s="64">
        <v>334.52</v>
      </c>
      <c r="L12" s="64">
        <v>22.96</v>
      </c>
      <c r="M12" s="64">
        <v>98.14</v>
      </c>
      <c r="N12" s="64">
        <v>49.3</v>
      </c>
      <c r="O12" s="64">
        <v>0</v>
      </c>
      <c r="P12" s="64">
        <v>0.95</v>
      </c>
      <c r="Q12" s="64">
        <v>9.51</v>
      </c>
      <c r="R12" s="198"/>
      <c r="S12" s="198"/>
      <c r="T12" s="198"/>
      <c r="U12" s="198"/>
    </row>
    <row r="13" spans="1:21" s="12" customFormat="1" x14ac:dyDescent="0.25">
      <c r="A13" s="211" t="s">
        <v>348</v>
      </c>
      <c r="B13" s="64">
        <v>15.71</v>
      </c>
      <c r="C13" s="64">
        <v>13.73</v>
      </c>
      <c r="D13" s="64">
        <v>19.77</v>
      </c>
      <c r="E13" s="64">
        <v>4.2699999999999996</v>
      </c>
      <c r="F13" s="64">
        <v>6.81</v>
      </c>
      <c r="G13" s="64">
        <v>74.819999999999993</v>
      </c>
      <c r="H13" s="64">
        <v>9.2100000000000009</v>
      </c>
      <c r="I13" s="64">
        <v>3.01</v>
      </c>
      <c r="J13" s="64">
        <v>0.46</v>
      </c>
      <c r="K13" s="64">
        <v>339.22</v>
      </c>
      <c r="L13" s="64">
        <v>22.98</v>
      </c>
      <c r="M13" s="64">
        <v>97.9</v>
      </c>
      <c r="N13" s="64">
        <v>49.1</v>
      </c>
      <c r="O13" s="64">
        <v>0</v>
      </c>
      <c r="P13" s="64">
        <v>0.75</v>
      </c>
      <c r="Q13" s="64">
        <v>9.51</v>
      </c>
      <c r="R13" s="198"/>
      <c r="S13" s="198"/>
      <c r="T13" s="198"/>
      <c r="U13" s="198"/>
    </row>
    <row r="14" spans="1:21" s="12" customFormat="1" x14ac:dyDescent="0.25">
      <c r="A14" s="211" t="s">
        <v>349</v>
      </c>
      <c r="B14" s="64">
        <v>15.79</v>
      </c>
      <c r="C14" s="64">
        <v>13.82</v>
      </c>
      <c r="D14" s="64">
        <v>19.88</v>
      </c>
      <c r="E14" s="64">
        <v>4.22</v>
      </c>
      <c r="F14" s="64">
        <v>7.54</v>
      </c>
      <c r="G14" s="64">
        <v>75.03</v>
      </c>
      <c r="H14" s="64">
        <v>9.2100000000000009</v>
      </c>
      <c r="I14" s="64">
        <v>3.04</v>
      </c>
      <c r="J14" s="64">
        <v>0.28000000000000003</v>
      </c>
      <c r="K14" s="64">
        <v>337.5</v>
      </c>
      <c r="L14" s="64">
        <v>22.98</v>
      </c>
      <c r="M14" s="64">
        <v>97.76</v>
      </c>
      <c r="N14" s="64">
        <v>49.4</v>
      </c>
      <c r="O14" s="64">
        <v>0</v>
      </c>
      <c r="P14" s="64">
        <v>0.76</v>
      </c>
      <c r="Q14" s="64">
        <v>9.52</v>
      </c>
      <c r="R14" s="198"/>
      <c r="S14" s="198"/>
      <c r="T14" s="198"/>
      <c r="U14" s="198"/>
    </row>
    <row r="15" spans="1:21" s="12" customFormat="1" x14ac:dyDescent="0.25">
      <c r="A15" s="211" t="s">
        <v>350</v>
      </c>
      <c r="B15" s="64">
        <v>18.27</v>
      </c>
      <c r="C15" s="64">
        <v>11.75</v>
      </c>
      <c r="D15" s="64">
        <v>20.79</v>
      </c>
      <c r="E15" s="64">
        <v>4.5199999999999996</v>
      </c>
      <c r="F15" s="64">
        <v>7.32</v>
      </c>
      <c r="G15" s="64">
        <v>75.03</v>
      </c>
      <c r="H15" s="64">
        <v>9.2100000000000009</v>
      </c>
      <c r="I15" s="64">
        <v>3.05</v>
      </c>
      <c r="J15" s="64">
        <v>7.0000000000000007E-2</v>
      </c>
      <c r="K15" s="64">
        <v>346.51</v>
      </c>
      <c r="L15" s="64">
        <v>22.96</v>
      </c>
      <c r="M15" s="64">
        <v>97.76</v>
      </c>
      <c r="N15" s="64">
        <v>49.5</v>
      </c>
      <c r="O15" s="64">
        <v>0</v>
      </c>
      <c r="P15" s="64">
        <v>0.73</v>
      </c>
      <c r="Q15" s="64">
        <v>9.52</v>
      </c>
      <c r="R15" s="198"/>
      <c r="S15" s="198"/>
      <c r="T15" s="198"/>
      <c r="U15" s="198"/>
    </row>
    <row r="16" spans="1:21" s="12" customFormat="1" x14ac:dyDescent="0.25">
      <c r="A16" s="211" t="s">
        <v>351</v>
      </c>
      <c r="B16" s="64">
        <v>14.77</v>
      </c>
      <c r="C16" s="64">
        <v>14.38</v>
      </c>
      <c r="D16" s="64">
        <v>19.36</v>
      </c>
      <c r="E16" s="64">
        <v>4.26</v>
      </c>
      <c r="F16" s="64">
        <v>6.76</v>
      </c>
      <c r="G16" s="64">
        <v>75.03</v>
      </c>
      <c r="H16" s="64">
        <v>9.2100000000000009</v>
      </c>
      <c r="I16" s="64">
        <v>3.04</v>
      </c>
      <c r="J16" s="64">
        <v>0.13</v>
      </c>
      <c r="K16" s="64">
        <v>218.21</v>
      </c>
      <c r="L16" s="64">
        <v>22.72</v>
      </c>
      <c r="M16" s="64">
        <v>98.15</v>
      </c>
      <c r="N16" s="64">
        <v>49.5</v>
      </c>
      <c r="O16" s="64">
        <v>0</v>
      </c>
      <c r="P16" s="64">
        <v>0.66</v>
      </c>
      <c r="Q16" s="64">
        <v>9.51</v>
      </c>
      <c r="R16" s="198"/>
      <c r="S16" s="198"/>
      <c r="T16" s="198"/>
      <c r="U16" s="198"/>
    </row>
    <row r="17" spans="1:21" s="12" customFormat="1" x14ac:dyDescent="0.25">
      <c r="A17" s="211" t="s">
        <v>352</v>
      </c>
      <c r="B17" s="64">
        <v>15.02</v>
      </c>
      <c r="C17" s="64">
        <v>13.7</v>
      </c>
      <c r="D17" s="64">
        <v>19.2</v>
      </c>
      <c r="E17" s="64">
        <v>4.29</v>
      </c>
      <c r="F17" s="64">
        <v>5.86</v>
      </c>
      <c r="G17" s="64">
        <v>78.37</v>
      </c>
      <c r="H17" s="64">
        <v>7.6</v>
      </c>
      <c r="I17" s="64">
        <v>3.03</v>
      </c>
      <c r="J17" s="64">
        <v>7.0000000000000007E-2</v>
      </c>
      <c r="K17" s="64">
        <v>168.5</v>
      </c>
      <c r="L17" s="64">
        <v>22.68</v>
      </c>
      <c r="M17" s="64">
        <v>97.94</v>
      </c>
      <c r="N17" s="64">
        <v>49.6</v>
      </c>
      <c r="O17" s="64">
        <v>0</v>
      </c>
      <c r="P17" s="64">
        <v>0.7</v>
      </c>
      <c r="Q17" s="64">
        <v>9.49</v>
      </c>
      <c r="R17" s="198"/>
      <c r="S17" s="198"/>
      <c r="T17" s="198"/>
      <c r="U17" s="198"/>
    </row>
    <row r="18" spans="1:21" s="12" customFormat="1" x14ac:dyDescent="0.25">
      <c r="A18" s="211" t="s">
        <v>353</v>
      </c>
      <c r="B18" s="64">
        <v>17.899999999999999</v>
      </c>
      <c r="C18" s="64">
        <v>9.83</v>
      </c>
      <c r="D18" s="64">
        <v>19.5</v>
      </c>
      <c r="E18" s="64">
        <v>4.51</v>
      </c>
      <c r="F18" s="64">
        <v>5.44</v>
      </c>
      <c r="G18" s="64">
        <v>78.61</v>
      </c>
      <c r="H18" s="64">
        <v>7.6</v>
      </c>
      <c r="I18" s="64">
        <v>3.02</v>
      </c>
      <c r="J18" s="64">
        <v>0.09</v>
      </c>
      <c r="K18" s="64">
        <v>110.88</v>
      </c>
      <c r="L18" s="64">
        <v>22.63</v>
      </c>
      <c r="M18" s="64">
        <v>97.79</v>
      </c>
      <c r="N18" s="64">
        <v>49.7</v>
      </c>
      <c r="O18" s="64">
        <v>0</v>
      </c>
      <c r="P18" s="64">
        <v>0.78</v>
      </c>
      <c r="Q18" s="64">
        <v>9.4700000000000006</v>
      </c>
      <c r="R18" s="198"/>
      <c r="S18" s="198"/>
      <c r="T18" s="198"/>
      <c r="U18" s="198"/>
    </row>
    <row r="19" spans="1:21" s="12" customFormat="1" x14ac:dyDescent="0.25">
      <c r="A19" s="211" t="s">
        <v>354</v>
      </c>
      <c r="B19" s="64">
        <v>20.39</v>
      </c>
      <c r="C19" s="64">
        <v>7.16</v>
      </c>
      <c r="D19" s="64">
        <v>20.09</v>
      </c>
      <c r="E19" s="64">
        <v>4.25</v>
      </c>
      <c r="F19" s="64">
        <v>6.01</v>
      </c>
      <c r="G19" s="64">
        <v>78.61</v>
      </c>
      <c r="H19" s="64">
        <v>7.6</v>
      </c>
      <c r="I19" s="64">
        <v>3.01</v>
      </c>
      <c r="J19" s="64">
        <v>0.09</v>
      </c>
      <c r="K19" s="64">
        <v>357.04</v>
      </c>
      <c r="L19" s="64">
        <v>22.66</v>
      </c>
      <c r="M19" s="64">
        <v>97.83</v>
      </c>
      <c r="N19" s="64">
        <v>49.7</v>
      </c>
      <c r="O19" s="64">
        <v>0</v>
      </c>
      <c r="P19" s="64">
        <v>0.81</v>
      </c>
      <c r="Q19" s="64">
        <v>9.4600000000000009</v>
      </c>
      <c r="R19" s="198"/>
      <c r="S19" s="198"/>
      <c r="T19" s="198"/>
      <c r="U19" s="198"/>
    </row>
    <row r="20" spans="1:21" s="12" customFormat="1" x14ac:dyDescent="0.25">
      <c r="A20" s="211" t="s">
        <v>355</v>
      </c>
      <c r="B20" s="64">
        <v>17.18</v>
      </c>
      <c r="C20" s="64">
        <v>10.72</v>
      </c>
      <c r="D20" s="64">
        <v>19.38</v>
      </c>
      <c r="E20" s="64">
        <v>4.2</v>
      </c>
      <c r="F20" s="64">
        <v>6.6</v>
      </c>
      <c r="G20" s="64">
        <v>78.61</v>
      </c>
      <c r="H20" s="64">
        <v>7.6</v>
      </c>
      <c r="I20" s="64">
        <v>2.97</v>
      </c>
      <c r="J20" s="64">
        <v>0.24</v>
      </c>
      <c r="K20" s="64">
        <v>324.57</v>
      </c>
      <c r="L20" s="64">
        <v>22.55</v>
      </c>
      <c r="M20" s="64">
        <v>98.24</v>
      </c>
      <c r="N20" s="64">
        <v>49.5</v>
      </c>
      <c r="O20" s="64">
        <v>0</v>
      </c>
      <c r="P20" s="64">
        <v>0.82</v>
      </c>
      <c r="Q20" s="64">
        <v>9.44</v>
      </c>
      <c r="R20" s="198"/>
      <c r="S20" s="198"/>
      <c r="T20" s="198"/>
      <c r="U20" s="198"/>
    </row>
    <row r="21" spans="1:21" s="12" customFormat="1" x14ac:dyDescent="0.25">
      <c r="A21" s="211" t="s">
        <v>356</v>
      </c>
      <c r="B21" s="64">
        <v>20.170000000000002</v>
      </c>
      <c r="C21" s="64">
        <v>5.65</v>
      </c>
      <c r="D21" s="64">
        <v>19.13</v>
      </c>
      <c r="E21" s="64">
        <v>4.2300000000000004</v>
      </c>
      <c r="F21" s="64">
        <v>6.49</v>
      </c>
      <c r="G21" s="64">
        <v>78.27</v>
      </c>
      <c r="H21" s="64">
        <v>12.08</v>
      </c>
      <c r="I21" s="64">
        <v>2.95</v>
      </c>
      <c r="J21" s="64">
        <v>0.27</v>
      </c>
      <c r="K21" s="64">
        <v>320.8</v>
      </c>
      <c r="L21" s="64">
        <v>22.62</v>
      </c>
      <c r="M21" s="64">
        <v>98.03</v>
      </c>
      <c r="N21" s="64">
        <v>49.7</v>
      </c>
      <c r="O21" s="64">
        <v>0</v>
      </c>
      <c r="P21" s="64">
        <v>0.81</v>
      </c>
      <c r="Q21" s="64">
        <v>9.44</v>
      </c>
      <c r="R21" s="198"/>
      <c r="S21" s="198"/>
      <c r="T21" s="198"/>
      <c r="U21" s="198"/>
    </row>
    <row r="22" spans="1:21" s="12" customFormat="1" x14ac:dyDescent="0.25">
      <c r="A22" s="211" t="s">
        <v>357</v>
      </c>
      <c r="B22" s="64">
        <v>15.71</v>
      </c>
      <c r="C22" s="64">
        <v>9.34</v>
      </c>
      <c r="D22" s="64">
        <v>17.48</v>
      </c>
      <c r="E22" s="64">
        <v>4.08</v>
      </c>
      <c r="F22" s="64">
        <v>9.61</v>
      </c>
      <c r="G22" s="64">
        <v>78.25</v>
      </c>
      <c r="H22" s="64">
        <v>12.08</v>
      </c>
      <c r="I22" s="64">
        <v>2.96</v>
      </c>
      <c r="J22" s="64">
        <v>0.4</v>
      </c>
      <c r="K22" s="64">
        <v>341.93</v>
      </c>
      <c r="L22" s="64">
        <v>22.68</v>
      </c>
      <c r="M22" s="64">
        <v>97.84</v>
      </c>
      <c r="N22" s="64">
        <v>49.8</v>
      </c>
      <c r="O22" s="64">
        <v>0</v>
      </c>
      <c r="P22" s="64">
        <v>0.72</v>
      </c>
      <c r="Q22" s="64">
        <v>9.42</v>
      </c>
      <c r="R22" s="198"/>
      <c r="S22" s="198"/>
      <c r="T22" s="198"/>
      <c r="U22" s="198"/>
    </row>
    <row r="23" spans="1:21" s="12" customFormat="1" x14ac:dyDescent="0.25">
      <c r="A23" s="211" t="s">
        <v>358</v>
      </c>
      <c r="B23" s="64">
        <v>19.11</v>
      </c>
      <c r="C23" s="64">
        <v>7.38</v>
      </c>
      <c r="D23" s="64">
        <v>19.190000000000001</v>
      </c>
      <c r="E23" s="64">
        <v>4.24</v>
      </c>
      <c r="F23" s="64">
        <v>6.52</v>
      </c>
      <c r="G23" s="64">
        <v>78.25</v>
      </c>
      <c r="H23" s="64">
        <v>12.08</v>
      </c>
      <c r="I23" s="64">
        <v>2.95</v>
      </c>
      <c r="J23" s="64">
        <v>0.49</v>
      </c>
      <c r="K23" s="64">
        <v>342.84</v>
      </c>
      <c r="L23" s="64">
        <v>22.75</v>
      </c>
      <c r="M23" s="64">
        <v>97.89</v>
      </c>
      <c r="N23" s="64">
        <v>49.9</v>
      </c>
      <c r="O23" s="64">
        <v>0</v>
      </c>
      <c r="P23" s="64">
        <v>0.73</v>
      </c>
      <c r="Q23" s="64">
        <v>9.41</v>
      </c>
      <c r="R23" s="198"/>
      <c r="S23" s="198"/>
      <c r="T23" s="198"/>
      <c r="U23" s="198"/>
    </row>
    <row r="24" spans="1:21" s="12" customFormat="1" x14ac:dyDescent="0.25">
      <c r="A24" s="211" t="s">
        <v>359</v>
      </c>
      <c r="B24" s="64">
        <v>17.57</v>
      </c>
      <c r="C24" s="64">
        <v>7.9</v>
      </c>
      <c r="D24" s="64">
        <v>18.22</v>
      </c>
      <c r="E24" s="64">
        <v>3.87</v>
      </c>
      <c r="F24" s="64">
        <v>6.61</v>
      </c>
      <c r="G24" s="64">
        <v>78.25</v>
      </c>
      <c r="H24" s="64">
        <v>12.08</v>
      </c>
      <c r="I24" s="64">
        <v>2.92</v>
      </c>
      <c r="J24" s="64">
        <v>0.53</v>
      </c>
      <c r="K24" s="64">
        <v>337.56</v>
      </c>
      <c r="L24" s="64">
        <v>22.64</v>
      </c>
      <c r="M24" s="64">
        <v>98.28</v>
      </c>
      <c r="N24" s="64">
        <v>49.8</v>
      </c>
      <c r="O24" s="64">
        <v>0</v>
      </c>
      <c r="P24" s="64">
        <v>0.56999999999999995</v>
      </c>
      <c r="Q24" s="64">
        <v>9.4</v>
      </c>
      <c r="R24" s="198"/>
      <c r="S24" s="198"/>
      <c r="T24" s="198"/>
      <c r="U24" s="198"/>
    </row>
    <row r="25" spans="1:21" s="12" customFormat="1" x14ac:dyDescent="0.25">
      <c r="A25" s="211" t="s">
        <v>360</v>
      </c>
      <c r="B25" s="64">
        <v>17.600000000000001</v>
      </c>
      <c r="C25" s="64">
        <v>7.36</v>
      </c>
      <c r="D25" s="64">
        <v>17.96</v>
      </c>
      <c r="E25" s="64">
        <v>3.98</v>
      </c>
      <c r="F25" s="64">
        <v>6.13</v>
      </c>
      <c r="G25" s="64">
        <v>81.03</v>
      </c>
      <c r="H25" s="64">
        <v>10.71</v>
      </c>
      <c r="I25" s="64">
        <v>2.89</v>
      </c>
      <c r="J25" s="64">
        <v>0.2</v>
      </c>
      <c r="K25" s="64">
        <v>342.48</v>
      </c>
      <c r="L25" s="64">
        <v>22.6</v>
      </c>
      <c r="M25" s="64">
        <v>98.05</v>
      </c>
      <c r="N25" s="64">
        <v>50.1</v>
      </c>
      <c r="O25" s="64">
        <v>0</v>
      </c>
      <c r="P25" s="64">
        <v>0.62</v>
      </c>
      <c r="Q25" s="64">
        <v>9.39</v>
      </c>
      <c r="R25" s="198"/>
      <c r="S25" s="198"/>
      <c r="T25" s="198"/>
      <c r="U25" s="198"/>
    </row>
    <row r="26" spans="1:21" s="12" customFormat="1" x14ac:dyDescent="0.25">
      <c r="A26" s="211" t="s">
        <v>361</v>
      </c>
      <c r="B26" s="64">
        <v>20.99</v>
      </c>
      <c r="C26" s="64">
        <v>9.99</v>
      </c>
      <c r="D26" s="64">
        <v>21.76</v>
      </c>
      <c r="E26" s="64">
        <v>3.92</v>
      </c>
      <c r="F26" s="64">
        <v>7.18</v>
      </c>
      <c r="G26" s="64">
        <v>81.23</v>
      </c>
      <c r="H26" s="64">
        <v>10.71</v>
      </c>
      <c r="I26" s="64">
        <v>2.84</v>
      </c>
      <c r="J26" s="64">
        <v>0.11</v>
      </c>
      <c r="K26" s="64">
        <v>346.42</v>
      </c>
      <c r="L26" s="64">
        <v>22.65</v>
      </c>
      <c r="M26" s="64">
        <v>98.16</v>
      </c>
      <c r="N26" s="64">
        <v>50.1</v>
      </c>
      <c r="O26" s="64">
        <v>0</v>
      </c>
      <c r="P26" s="64">
        <v>0.56999999999999995</v>
      </c>
      <c r="Q26" s="64">
        <v>9.39</v>
      </c>
      <c r="R26" s="198"/>
      <c r="S26" s="198"/>
      <c r="T26" s="198"/>
      <c r="U26" s="198"/>
    </row>
    <row r="27" spans="1:21" s="12" customFormat="1" x14ac:dyDescent="0.25">
      <c r="A27" s="211" t="s">
        <v>362</v>
      </c>
      <c r="B27" s="64">
        <v>11.51</v>
      </c>
      <c r="C27" s="64">
        <v>11.75</v>
      </c>
      <c r="D27" s="64">
        <v>15.36</v>
      </c>
      <c r="E27" s="64">
        <v>3.88</v>
      </c>
      <c r="F27" s="64">
        <v>6.83</v>
      </c>
      <c r="G27" s="64">
        <v>81.23</v>
      </c>
      <c r="H27" s="64">
        <v>10.71</v>
      </c>
      <c r="I27" s="64">
        <v>2.81</v>
      </c>
      <c r="J27" s="64">
        <v>0.11</v>
      </c>
      <c r="K27" s="64">
        <v>105.99</v>
      </c>
      <c r="L27" s="64">
        <v>22.55</v>
      </c>
      <c r="M27" s="64">
        <v>98.47</v>
      </c>
      <c r="N27" s="64">
        <v>50.1</v>
      </c>
      <c r="O27" s="64">
        <v>0</v>
      </c>
      <c r="P27" s="64">
        <v>0.63</v>
      </c>
      <c r="Q27" s="64">
        <v>9.39</v>
      </c>
      <c r="R27" s="198"/>
      <c r="S27" s="198"/>
      <c r="T27" s="198"/>
      <c r="U27" s="198"/>
    </row>
    <row r="28" spans="1:21" s="12" customFormat="1" x14ac:dyDescent="0.25">
      <c r="A28" s="211" t="s">
        <v>363</v>
      </c>
      <c r="B28" s="64">
        <v>14.31</v>
      </c>
      <c r="C28" s="64">
        <v>10.92</v>
      </c>
      <c r="D28" s="64">
        <v>17.18</v>
      </c>
      <c r="E28" s="64">
        <v>3.84</v>
      </c>
      <c r="F28" s="64">
        <v>6.42</v>
      </c>
      <c r="G28" s="64">
        <v>81.23</v>
      </c>
      <c r="H28" s="64">
        <v>10.71</v>
      </c>
      <c r="I28" s="64">
        <v>2.93</v>
      </c>
      <c r="J28" s="64">
        <v>0.04</v>
      </c>
      <c r="K28" s="64">
        <v>7.62</v>
      </c>
      <c r="L28" s="64">
        <v>22.55</v>
      </c>
      <c r="M28" s="64">
        <v>98.48</v>
      </c>
      <c r="N28" s="64">
        <v>50.1</v>
      </c>
      <c r="O28" s="64">
        <v>0</v>
      </c>
      <c r="P28" s="64">
        <v>0.66</v>
      </c>
      <c r="Q28" s="64">
        <v>9.3800000000000008</v>
      </c>
      <c r="R28" s="198"/>
      <c r="S28" s="198"/>
      <c r="T28" s="198"/>
      <c r="U28" s="198"/>
    </row>
    <row r="29" spans="1:21" s="12" customFormat="1" x14ac:dyDescent="0.25">
      <c r="A29" s="211" t="s">
        <v>364</v>
      </c>
      <c r="B29" s="64">
        <v>15.72</v>
      </c>
      <c r="C29" s="64">
        <v>9.3800000000000008</v>
      </c>
      <c r="D29" s="64">
        <v>17.510000000000002</v>
      </c>
      <c r="E29" s="64">
        <v>3.92</v>
      </c>
      <c r="F29" s="64">
        <v>8.77</v>
      </c>
      <c r="G29" s="64">
        <v>80.7</v>
      </c>
      <c r="H29" s="64">
        <v>8.65</v>
      </c>
      <c r="I29" s="64">
        <v>2.85</v>
      </c>
      <c r="J29" s="64">
        <v>0.05</v>
      </c>
      <c r="K29" s="64">
        <v>358.36</v>
      </c>
      <c r="L29" s="64">
        <v>22.52</v>
      </c>
      <c r="M29" s="64">
        <v>98.48</v>
      </c>
      <c r="N29" s="64">
        <v>50.3</v>
      </c>
      <c r="O29" s="64">
        <v>0</v>
      </c>
      <c r="P29" s="64">
        <v>0.66</v>
      </c>
      <c r="Q29" s="64">
        <v>9.4</v>
      </c>
      <c r="R29" s="198"/>
      <c r="S29" s="198"/>
      <c r="T29" s="198"/>
      <c r="U29" s="198"/>
    </row>
    <row r="30" spans="1:21" s="12" customFormat="1" x14ac:dyDescent="0.25">
      <c r="A30" s="211" t="s">
        <v>365</v>
      </c>
      <c r="B30" s="64">
        <v>16.88</v>
      </c>
      <c r="C30" s="64">
        <v>10.36</v>
      </c>
      <c r="D30" s="64">
        <v>18.95</v>
      </c>
      <c r="E30" s="64">
        <v>4.13</v>
      </c>
      <c r="F30" s="64">
        <v>8.08</v>
      </c>
      <c r="G30" s="64">
        <v>80.67</v>
      </c>
      <c r="H30" s="64">
        <v>8.65</v>
      </c>
      <c r="I30" s="64">
        <v>2.72</v>
      </c>
      <c r="J30" s="64">
        <v>0.01</v>
      </c>
      <c r="K30" s="64">
        <v>158.88999999999999</v>
      </c>
      <c r="L30" s="64">
        <v>22.43</v>
      </c>
      <c r="M30" s="64">
        <v>98.47</v>
      </c>
      <c r="N30" s="64">
        <v>50.3</v>
      </c>
      <c r="O30" s="64">
        <v>0</v>
      </c>
      <c r="P30" s="64">
        <v>0.62</v>
      </c>
      <c r="Q30" s="64">
        <v>9.41</v>
      </c>
      <c r="R30" s="198"/>
      <c r="S30" s="198"/>
      <c r="T30" s="198"/>
      <c r="U30" s="198"/>
    </row>
    <row r="31" spans="1:21" s="12" customFormat="1" x14ac:dyDescent="0.25">
      <c r="A31" s="211" t="s">
        <v>366</v>
      </c>
      <c r="B31" s="64">
        <v>19.98</v>
      </c>
      <c r="C31" s="64">
        <v>9.2100000000000009</v>
      </c>
      <c r="D31" s="64">
        <v>20.83</v>
      </c>
      <c r="E31" s="64">
        <v>4.1100000000000003</v>
      </c>
      <c r="F31" s="64">
        <v>9.31</v>
      </c>
      <c r="G31" s="64">
        <v>80.67</v>
      </c>
      <c r="H31" s="64">
        <v>8.65</v>
      </c>
      <c r="I31" s="64">
        <v>2.71</v>
      </c>
      <c r="J31" s="64">
        <v>0.05</v>
      </c>
      <c r="K31" s="64">
        <v>107.96</v>
      </c>
      <c r="L31" s="64">
        <v>22.44</v>
      </c>
      <c r="M31" s="64">
        <v>98.46</v>
      </c>
      <c r="N31" s="64">
        <v>50.6</v>
      </c>
      <c r="O31" s="64">
        <v>0</v>
      </c>
      <c r="P31" s="64">
        <v>0.67</v>
      </c>
      <c r="Q31" s="64">
        <v>9.41</v>
      </c>
      <c r="R31" s="198"/>
      <c r="S31" s="198"/>
      <c r="T31" s="198"/>
      <c r="U31" s="198"/>
    </row>
    <row r="32" spans="1:21" s="12" customFormat="1" x14ac:dyDescent="0.25">
      <c r="A32" s="211" t="s">
        <v>367</v>
      </c>
      <c r="B32" s="64">
        <v>21.9</v>
      </c>
      <c r="C32" s="64">
        <v>7.97</v>
      </c>
      <c r="D32" s="64">
        <v>21.73</v>
      </c>
      <c r="E32" s="64">
        <v>4.25</v>
      </c>
      <c r="F32" s="64">
        <v>6.25</v>
      </c>
      <c r="G32" s="64">
        <v>80.67</v>
      </c>
      <c r="H32" s="64">
        <v>8.65</v>
      </c>
      <c r="I32" s="64">
        <v>2.69</v>
      </c>
      <c r="J32" s="64">
        <v>0.12</v>
      </c>
      <c r="K32" s="64">
        <v>359.69</v>
      </c>
      <c r="L32" s="64">
        <v>22.44</v>
      </c>
      <c r="M32" s="64">
        <v>98.47</v>
      </c>
      <c r="N32" s="64">
        <v>52.8</v>
      </c>
      <c r="O32" s="64">
        <v>0</v>
      </c>
      <c r="P32" s="64">
        <v>0.7</v>
      </c>
      <c r="Q32" s="64">
        <v>9.42</v>
      </c>
      <c r="R32" s="198"/>
      <c r="S32" s="198"/>
      <c r="T32" s="198"/>
      <c r="U32" s="198"/>
    </row>
    <row r="33" spans="1:21" s="12" customFormat="1" x14ac:dyDescent="0.25">
      <c r="A33" s="211" t="s">
        <v>368</v>
      </c>
      <c r="B33" s="64">
        <v>26.36</v>
      </c>
      <c r="C33" s="64">
        <v>10.51</v>
      </c>
      <c r="D33" s="64">
        <v>26.63</v>
      </c>
      <c r="E33" s="64">
        <v>4.29</v>
      </c>
      <c r="F33" s="64">
        <v>6.98</v>
      </c>
      <c r="G33" s="64">
        <v>76.959999999999994</v>
      </c>
      <c r="H33" s="64">
        <v>7.21</v>
      </c>
      <c r="I33" s="64">
        <v>2.67</v>
      </c>
      <c r="J33" s="64">
        <v>0.11</v>
      </c>
      <c r="K33" s="64">
        <v>335.07</v>
      </c>
      <c r="L33" s="64">
        <v>22.49</v>
      </c>
      <c r="M33" s="64">
        <v>98.35</v>
      </c>
      <c r="N33" s="64">
        <v>62.1</v>
      </c>
      <c r="O33" s="64">
        <v>0</v>
      </c>
      <c r="P33" s="64">
        <v>0.69</v>
      </c>
      <c r="Q33" s="64">
        <v>9.42</v>
      </c>
      <c r="R33" s="198"/>
      <c r="S33" s="198"/>
      <c r="T33" s="198"/>
      <c r="U33" s="198"/>
    </row>
    <row r="34" spans="1:21" s="12" customFormat="1" x14ac:dyDescent="0.25">
      <c r="A34" s="211" t="s">
        <v>369</v>
      </c>
      <c r="B34" s="64">
        <v>22.04</v>
      </c>
      <c r="C34" s="64">
        <v>10.7</v>
      </c>
      <c r="D34" s="64">
        <v>23.26</v>
      </c>
      <c r="E34" s="64">
        <v>4.28</v>
      </c>
      <c r="F34" s="64">
        <v>7.21</v>
      </c>
      <c r="G34" s="64">
        <v>76.7</v>
      </c>
      <c r="H34" s="64">
        <v>7.21</v>
      </c>
      <c r="I34" s="64">
        <v>2.67</v>
      </c>
      <c r="J34" s="64">
        <v>0.44</v>
      </c>
      <c r="K34" s="64">
        <v>339.47</v>
      </c>
      <c r="L34" s="64">
        <v>22.77</v>
      </c>
      <c r="M34" s="64">
        <v>98.39</v>
      </c>
      <c r="N34" s="64">
        <v>77</v>
      </c>
      <c r="O34" s="64">
        <v>0</v>
      </c>
      <c r="P34" s="64">
        <v>0.69</v>
      </c>
      <c r="Q34" s="64">
        <v>9.42</v>
      </c>
      <c r="R34" s="198"/>
      <c r="S34" s="198"/>
      <c r="T34" s="198"/>
      <c r="U34" s="198"/>
    </row>
    <row r="35" spans="1:21" s="12" customFormat="1" x14ac:dyDescent="0.25">
      <c r="A35" s="211" t="s">
        <v>370</v>
      </c>
      <c r="B35" s="64">
        <v>25.43</v>
      </c>
      <c r="C35" s="64">
        <v>8.1</v>
      </c>
      <c r="D35" s="64">
        <v>24.54</v>
      </c>
      <c r="E35" s="64">
        <v>4.1399999999999997</v>
      </c>
      <c r="F35" s="64">
        <v>7.01</v>
      </c>
      <c r="G35" s="64">
        <v>76.7</v>
      </c>
      <c r="H35" s="64">
        <v>7.21</v>
      </c>
      <c r="I35" s="64">
        <v>2.66</v>
      </c>
      <c r="J35" s="64">
        <v>0.32</v>
      </c>
      <c r="K35" s="64">
        <v>337.38</v>
      </c>
      <c r="L35" s="64">
        <v>23.24</v>
      </c>
      <c r="M35" s="64">
        <v>98.4</v>
      </c>
      <c r="N35" s="64">
        <v>109.8</v>
      </c>
      <c r="O35" s="64">
        <v>0</v>
      </c>
      <c r="P35" s="64">
        <v>0.65</v>
      </c>
      <c r="Q35" s="64">
        <v>9.43</v>
      </c>
      <c r="R35" s="198"/>
      <c r="S35" s="198"/>
      <c r="T35" s="198"/>
      <c r="U35" s="198"/>
    </row>
    <row r="36" spans="1:21" s="12" customFormat="1" x14ac:dyDescent="0.25">
      <c r="A36" s="211" t="s">
        <v>371</v>
      </c>
      <c r="B36" s="64">
        <v>21.64</v>
      </c>
      <c r="C36" s="64">
        <v>4.45</v>
      </c>
      <c r="D36" s="64">
        <v>19.670000000000002</v>
      </c>
      <c r="E36" s="64">
        <v>4.05</v>
      </c>
      <c r="F36" s="64">
        <v>7.89</v>
      </c>
      <c r="G36" s="64">
        <v>76.7</v>
      </c>
      <c r="H36" s="64">
        <v>7.21</v>
      </c>
      <c r="I36" s="64">
        <v>2.65</v>
      </c>
      <c r="J36" s="64">
        <v>0.69</v>
      </c>
      <c r="K36" s="64">
        <v>339.79</v>
      </c>
      <c r="L36" s="64">
        <v>23.86</v>
      </c>
      <c r="M36" s="64">
        <v>98.33</v>
      </c>
      <c r="N36" s="64">
        <v>146.6</v>
      </c>
      <c r="O36" s="64">
        <v>0</v>
      </c>
      <c r="P36" s="64">
        <v>0.68</v>
      </c>
      <c r="Q36" s="64">
        <v>9.42</v>
      </c>
      <c r="R36" s="198"/>
      <c r="S36" s="198"/>
      <c r="T36" s="198"/>
      <c r="U36" s="198"/>
    </row>
    <row r="37" spans="1:21" s="12" customFormat="1" x14ac:dyDescent="0.25">
      <c r="A37" s="211" t="s">
        <v>372</v>
      </c>
      <c r="B37" s="64">
        <v>20.76</v>
      </c>
      <c r="C37" s="64">
        <v>5.96</v>
      </c>
      <c r="D37" s="64">
        <v>19.75</v>
      </c>
      <c r="E37" s="64">
        <v>4.51</v>
      </c>
      <c r="F37" s="64">
        <v>9.76</v>
      </c>
      <c r="G37" s="64">
        <v>72.239999999999995</v>
      </c>
      <c r="H37" s="64">
        <v>11.3</v>
      </c>
      <c r="I37" s="64">
        <v>2.61</v>
      </c>
      <c r="J37" s="64">
        <v>1.18</v>
      </c>
      <c r="K37" s="64">
        <v>337.8</v>
      </c>
      <c r="L37" s="64">
        <v>24.39</v>
      </c>
      <c r="M37" s="64">
        <v>98.24</v>
      </c>
      <c r="N37" s="64">
        <v>156</v>
      </c>
      <c r="O37" s="64">
        <v>0</v>
      </c>
      <c r="P37" s="64">
        <v>0.56000000000000005</v>
      </c>
      <c r="Q37" s="64">
        <v>9.4</v>
      </c>
      <c r="R37" s="198"/>
      <c r="S37" s="198"/>
      <c r="T37" s="198"/>
      <c r="U37" s="198"/>
    </row>
    <row r="38" spans="1:21" s="12" customFormat="1" x14ac:dyDescent="0.25">
      <c r="A38" s="211" t="s">
        <v>373</v>
      </c>
      <c r="B38" s="64">
        <v>20.49</v>
      </c>
      <c r="C38" s="64">
        <v>7.44</v>
      </c>
      <c r="D38" s="64">
        <v>20.32</v>
      </c>
      <c r="E38" s="64">
        <v>4.54</v>
      </c>
      <c r="F38" s="64">
        <v>10.39</v>
      </c>
      <c r="G38" s="64">
        <v>71.92</v>
      </c>
      <c r="H38" s="64">
        <v>11.3</v>
      </c>
      <c r="I38" s="64">
        <v>2.57</v>
      </c>
      <c r="J38" s="64">
        <v>0.98</v>
      </c>
      <c r="K38" s="64">
        <v>338.96</v>
      </c>
      <c r="L38" s="64">
        <v>24.81</v>
      </c>
      <c r="M38" s="64">
        <v>98.24</v>
      </c>
      <c r="N38" s="64">
        <v>160.9</v>
      </c>
      <c r="O38" s="64">
        <v>0</v>
      </c>
      <c r="P38" s="64">
        <v>0.56999999999999995</v>
      </c>
      <c r="Q38" s="64">
        <v>9.4</v>
      </c>
      <c r="R38" s="198"/>
      <c r="S38" s="198"/>
      <c r="T38" s="198"/>
      <c r="U38" s="198"/>
    </row>
    <row r="39" spans="1:21" s="12" customFormat="1" x14ac:dyDescent="0.25">
      <c r="A39" s="211" t="s">
        <v>374</v>
      </c>
      <c r="B39" s="64">
        <v>22.74</v>
      </c>
      <c r="C39" s="64">
        <v>8.02</v>
      </c>
      <c r="D39" s="64">
        <v>22.43</v>
      </c>
      <c r="E39" s="64">
        <v>4.3</v>
      </c>
      <c r="F39" s="64">
        <v>7.45</v>
      </c>
      <c r="G39" s="64">
        <v>71.92</v>
      </c>
      <c r="H39" s="64">
        <v>11.3</v>
      </c>
      <c r="I39" s="64">
        <v>2.5099999999999998</v>
      </c>
      <c r="J39" s="64">
        <v>0.32</v>
      </c>
      <c r="K39" s="64">
        <v>335</v>
      </c>
      <c r="L39" s="64">
        <v>25.04</v>
      </c>
      <c r="M39" s="64">
        <v>98.31</v>
      </c>
      <c r="N39" s="64">
        <v>173.8</v>
      </c>
      <c r="O39" s="64">
        <v>0</v>
      </c>
      <c r="P39" s="64">
        <v>0.67</v>
      </c>
      <c r="Q39" s="64">
        <v>9.3800000000000008</v>
      </c>
      <c r="R39" s="198"/>
      <c r="S39" s="198"/>
      <c r="T39" s="198"/>
      <c r="U39" s="198"/>
    </row>
    <row r="40" spans="1:21" s="12" customFormat="1" x14ac:dyDescent="0.25">
      <c r="A40" s="211" t="s">
        <v>375</v>
      </c>
      <c r="B40" s="64">
        <v>23.75</v>
      </c>
      <c r="C40" s="64">
        <v>10.210000000000001</v>
      </c>
      <c r="D40" s="64">
        <v>24.36</v>
      </c>
      <c r="E40" s="64">
        <v>4.74</v>
      </c>
      <c r="F40" s="64">
        <v>7.12</v>
      </c>
      <c r="G40" s="64">
        <v>71.92</v>
      </c>
      <c r="H40" s="64">
        <v>11.3</v>
      </c>
      <c r="I40" s="64">
        <v>2.46</v>
      </c>
      <c r="J40" s="64">
        <v>0.33</v>
      </c>
      <c r="K40" s="64">
        <v>331.46</v>
      </c>
      <c r="L40" s="64">
        <v>25.08</v>
      </c>
      <c r="M40" s="64">
        <v>98.32</v>
      </c>
      <c r="N40" s="64">
        <v>164.7</v>
      </c>
      <c r="O40" s="64">
        <v>0</v>
      </c>
      <c r="P40" s="64">
        <v>0.75</v>
      </c>
      <c r="Q40" s="64">
        <v>9.3800000000000008</v>
      </c>
      <c r="R40" s="198"/>
      <c r="S40" s="198"/>
      <c r="T40" s="198"/>
      <c r="U40" s="198"/>
    </row>
    <row r="41" spans="1:21" s="12" customFormat="1" x14ac:dyDescent="0.25">
      <c r="A41" s="211" t="s">
        <v>376</v>
      </c>
      <c r="B41" s="64">
        <v>23.64</v>
      </c>
      <c r="C41" s="64">
        <v>5.92</v>
      </c>
      <c r="D41" s="64">
        <v>22.05</v>
      </c>
      <c r="E41" s="64">
        <v>4.58</v>
      </c>
      <c r="F41" s="64">
        <v>7.51</v>
      </c>
      <c r="G41" s="64">
        <v>79.13</v>
      </c>
      <c r="H41" s="64">
        <v>10</v>
      </c>
      <c r="I41" s="64">
        <v>2.4300000000000002</v>
      </c>
      <c r="J41" s="64">
        <v>0.7</v>
      </c>
      <c r="K41" s="64">
        <v>336.62</v>
      </c>
      <c r="L41" s="64">
        <v>25.24</v>
      </c>
      <c r="M41" s="64">
        <v>98.35</v>
      </c>
      <c r="N41" s="64">
        <v>216.3</v>
      </c>
      <c r="O41" s="64">
        <v>0</v>
      </c>
      <c r="P41" s="64">
        <v>0.72</v>
      </c>
      <c r="Q41" s="64">
        <v>9.4</v>
      </c>
      <c r="R41" s="198"/>
      <c r="S41" s="198"/>
      <c r="T41" s="198"/>
      <c r="U41" s="198"/>
    </row>
    <row r="42" spans="1:21" s="12" customFormat="1" x14ac:dyDescent="0.25">
      <c r="A42" s="211" t="s">
        <v>377</v>
      </c>
      <c r="B42" s="64">
        <v>24.33</v>
      </c>
      <c r="C42" s="64">
        <v>10.1</v>
      </c>
      <c r="D42" s="64">
        <v>24.76</v>
      </c>
      <c r="E42" s="64">
        <v>4.8600000000000003</v>
      </c>
      <c r="F42" s="64">
        <v>9.5500000000000007</v>
      </c>
      <c r="G42" s="64">
        <v>79.650000000000006</v>
      </c>
      <c r="H42" s="64">
        <v>10</v>
      </c>
      <c r="I42" s="64">
        <v>2.42</v>
      </c>
      <c r="J42" s="64">
        <v>0.61</v>
      </c>
      <c r="K42" s="64">
        <v>339.74</v>
      </c>
      <c r="L42" s="64">
        <v>25.88</v>
      </c>
      <c r="M42" s="64">
        <v>98.35</v>
      </c>
      <c r="N42" s="64">
        <v>246.7</v>
      </c>
      <c r="O42" s="64">
        <v>0</v>
      </c>
      <c r="P42" s="64">
        <v>0.7</v>
      </c>
      <c r="Q42" s="64">
        <v>9.4</v>
      </c>
      <c r="R42" s="198"/>
      <c r="S42" s="198"/>
      <c r="T42" s="198"/>
      <c r="U42" s="198"/>
    </row>
    <row r="43" spans="1:21" s="12" customFormat="1" x14ac:dyDescent="0.25">
      <c r="A43" s="211" t="s">
        <v>378</v>
      </c>
      <c r="B43" s="64">
        <v>24.64</v>
      </c>
      <c r="C43" s="64">
        <v>5.49</v>
      </c>
      <c r="D43" s="64">
        <v>22.62</v>
      </c>
      <c r="E43" s="64">
        <v>4.88</v>
      </c>
      <c r="F43" s="64">
        <v>8.8699999999999992</v>
      </c>
      <c r="G43" s="64">
        <v>79.650000000000006</v>
      </c>
      <c r="H43" s="64">
        <v>10</v>
      </c>
      <c r="I43" s="64">
        <v>2.42</v>
      </c>
      <c r="J43" s="64">
        <v>0.6</v>
      </c>
      <c r="K43" s="64">
        <v>337.44</v>
      </c>
      <c r="L43" s="64">
        <v>26.14</v>
      </c>
      <c r="M43" s="64">
        <v>98.35</v>
      </c>
      <c r="N43" s="64">
        <v>236.1</v>
      </c>
      <c r="O43" s="64">
        <v>0</v>
      </c>
      <c r="P43" s="64">
        <v>0.71</v>
      </c>
      <c r="Q43" s="64">
        <v>9.41</v>
      </c>
      <c r="R43" s="198"/>
      <c r="S43" s="198"/>
      <c r="T43" s="198"/>
      <c r="U43" s="198"/>
    </row>
    <row r="44" spans="1:21" s="12" customFormat="1" x14ac:dyDescent="0.25">
      <c r="A44" s="211" t="s">
        <v>379</v>
      </c>
      <c r="B44" s="64">
        <v>21.92</v>
      </c>
      <c r="C44" s="64">
        <v>12.66</v>
      </c>
      <c r="D44" s="64">
        <v>24.19</v>
      </c>
      <c r="E44" s="64">
        <v>4.9400000000000004</v>
      </c>
      <c r="F44" s="64">
        <v>10.74</v>
      </c>
      <c r="G44" s="64">
        <v>79.650000000000006</v>
      </c>
      <c r="H44" s="64">
        <v>10</v>
      </c>
      <c r="I44" s="64">
        <v>2.4</v>
      </c>
      <c r="J44" s="64">
        <v>0.27</v>
      </c>
      <c r="K44" s="64">
        <v>329.24</v>
      </c>
      <c r="L44" s="64">
        <v>26.71</v>
      </c>
      <c r="M44" s="64">
        <v>98.26</v>
      </c>
      <c r="N44" s="64">
        <v>391.9</v>
      </c>
      <c r="O44" s="64">
        <v>0</v>
      </c>
      <c r="P44" s="64">
        <v>0.64</v>
      </c>
      <c r="Q44" s="64">
        <v>9.42</v>
      </c>
      <c r="R44" s="198"/>
      <c r="S44" s="198"/>
      <c r="T44" s="198"/>
      <c r="U44" s="198"/>
    </row>
    <row r="45" spans="1:21" s="12" customFormat="1" x14ac:dyDescent="0.25">
      <c r="A45" s="211" t="s">
        <v>380</v>
      </c>
      <c r="B45" s="64">
        <v>22.58</v>
      </c>
      <c r="C45" s="64">
        <v>5.28</v>
      </c>
      <c r="D45" s="64">
        <v>20.22</v>
      </c>
      <c r="E45" s="64">
        <v>5.48</v>
      </c>
      <c r="F45" s="64">
        <v>9.1</v>
      </c>
      <c r="G45" s="64">
        <v>85.87</v>
      </c>
      <c r="H45" s="64">
        <v>8.15</v>
      </c>
      <c r="I45" s="64">
        <v>2.37</v>
      </c>
      <c r="J45" s="64">
        <v>0.79</v>
      </c>
      <c r="K45" s="64">
        <v>337.51</v>
      </c>
      <c r="L45" s="64">
        <v>28.2</v>
      </c>
      <c r="M45" s="64">
        <v>91.94</v>
      </c>
      <c r="N45" s="64">
        <v>480.3</v>
      </c>
      <c r="O45" s="64">
        <v>0</v>
      </c>
      <c r="P45" s="64">
        <v>0.66</v>
      </c>
      <c r="Q45" s="64">
        <v>9.42</v>
      </c>
      <c r="R45" s="198"/>
      <c r="S45" s="198"/>
      <c r="T45" s="198"/>
      <c r="U45" s="198"/>
    </row>
    <row r="46" spans="1:21" s="12" customFormat="1" x14ac:dyDescent="0.25">
      <c r="A46" s="211" t="s">
        <v>381</v>
      </c>
      <c r="B46" s="64">
        <v>21.57</v>
      </c>
      <c r="C46" s="64">
        <v>10.73</v>
      </c>
      <c r="D46" s="64">
        <v>22.87</v>
      </c>
      <c r="E46" s="64">
        <v>5.42</v>
      </c>
      <c r="F46" s="64">
        <v>8.68</v>
      </c>
      <c r="G46" s="64">
        <v>85.87</v>
      </c>
      <c r="H46" s="64">
        <v>8.15</v>
      </c>
      <c r="I46" s="64">
        <v>2.36</v>
      </c>
      <c r="J46" s="64">
        <v>0.64</v>
      </c>
      <c r="K46" s="64">
        <v>337.76</v>
      </c>
      <c r="L46" s="64">
        <v>28.5</v>
      </c>
      <c r="M46" s="64">
        <v>87.78</v>
      </c>
      <c r="N46" s="64">
        <v>449.5</v>
      </c>
      <c r="O46" s="64">
        <v>0</v>
      </c>
      <c r="P46" s="64">
        <v>0.5</v>
      </c>
      <c r="Q46" s="64">
        <v>9.43</v>
      </c>
      <c r="R46" s="198"/>
      <c r="S46" s="198"/>
      <c r="T46" s="198"/>
      <c r="U46" s="198"/>
    </row>
    <row r="47" spans="1:21" s="12" customFormat="1" x14ac:dyDescent="0.25">
      <c r="A47" s="211" t="s">
        <v>382</v>
      </c>
      <c r="B47" s="64">
        <v>22.22</v>
      </c>
      <c r="C47" s="64">
        <v>8.51</v>
      </c>
      <c r="D47" s="64">
        <v>22.27</v>
      </c>
      <c r="E47" s="64">
        <v>5.94</v>
      </c>
      <c r="F47" s="64">
        <v>9.27</v>
      </c>
      <c r="G47" s="64">
        <v>85.87</v>
      </c>
      <c r="H47" s="64">
        <v>8.15</v>
      </c>
      <c r="I47" s="64">
        <v>2.3199999999999998</v>
      </c>
      <c r="J47" s="64">
        <v>1.27</v>
      </c>
      <c r="K47" s="64">
        <v>339.15</v>
      </c>
      <c r="L47" s="64">
        <v>29.42</v>
      </c>
      <c r="M47" s="64">
        <v>83.27</v>
      </c>
      <c r="N47" s="64">
        <v>541</v>
      </c>
      <c r="O47" s="64">
        <v>0</v>
      </c>
      <c r="P47" s="64">
        <v>0.54</v>
      </c>
      <c r="Q47" s="64">
        <v>9.4600000000000009</v>
      </c>
      <c r="R47" s="198"/>
      <c r="S47" s="198"/>
      <c r="T47" s="198"/>
      <c r="U47" s="198"/>
    </row>
    <row r="48" spans="1:21" s="12" customFormat="1" x14ac:dyDescent="0.25">
      <c r="A48" s="211" t="s">
        <v>383</v>
      </c>
      <c r="B48" s="64">
        <v>23.8</v>
      </c>
      <c r="C48" s="64">
        <v>13.19</v>
      </c>
      <c r="D48" s="64">
        <v>25.98</v>
      </c>
      <c r="E48" s="64">
        <v>6.16</v>
      </c>
      <c r="F48" s="64">
        <v>7.38</v>
      </c>
      <c r="G48" s="64">
        <v>85.87</v>
      </c>
      <c r="H48" s="64">
        <v>8.15</v>
      </c>
      <c r="I48" s="64">
        <v>2.2599999999999998</v>
      </c>
      <c r="J48" s="64">
        <v>0.79</v>
      </c>
      <c r="K48" s="64">
        <v>339.12</v>
      </c>
      <c r="L48" s="64">
        <v>29.75</v>
      </c>
      <c r="M48" s="64">
        <v>81.739999999999995</v>
      </c>
      <c r="N48" s="64">
        <v>466.6</v>
      </c>
      <c r="O48" s="64">
        <v>0</v>
      </c>
      <c r="P48" s="64">
        <v>0.53</v>
      </c>
      <c r="Q48" s="64">
        <v>9.4600000000000009</v>
      </c>
      <c r="R48" s="198"/>
      <c r="S48" s="198"/>
      <c r="T48" s="198"/>
      <c r="U48" s="198"/>
    </row>
    <row r="49" spans="1:21" s="12" customFormat="1" x14ac:dyDescent="0.25">
      <c r="A49" s="211" t="s">
        <v>384</v>
      </c>
      <c r="B49" s="64">
        <v>26.09</v>
      </c>
      <c r="C49" s="64">
        <v>10.54</v>
      </c>
      <c r="D49" s="64">
        <v>26.43</v>
      </c>
      <c r="E49" s="64">
        <v>6.8</v>
      </c>
      <c r="F49" s="64">
        <v>9.83</v>
      </c>
      <c r="G49" s="64">
        <v>79.19</v>
      </c>
      <c r="H49" s="64">
        <v>6.86</v>
      </c>
      <c r="I49" s="64">
        <v>2.19</v>
      </c>
      <c r="J49" s="64">
        <v>1.18</v>
      </c>
      <c r="K49" s="64">
        <v>338.99</v>
      </c>
      <c r="L49" s="64">
        <v>30.15</v>
      </c>
      <c r="M49" s="64">
        <v>79.95</v>
      </c>
      <c r="N49" s="64">
        <v>459</v>
      </c>
      <c r="O49" s="64">
        <v>0</v>
      </c>
      <c r="P49" s="64">
        <v>0.52</v>
      </c>
      <c r="Q49" s="64">
        <v>9.4600000000000009</v>
      </c>
      <c r="R49" s="198"/>
      <c r="S49" s="198"/>
      <c r="T49" s="198"/>
      <c r="U49" s="198"/>
    </row>
    <row r="50" spans="1:21" s="12" customFormat="1" x14ac:dyDescent="0.25">
      <c r="A50" s="211" t="s">
        <v>385</v>
      </c>
      <c r="B50" s="64">
        <v>25.13</v>
      </c>
      <c r="C50" s="64">
        <v>10.38</v>
      </c>
      <c r="D50" s="64">
        <v>25.57</v>
      </c>
      <c r="E50" s="64">
        <v>7.46</v>
      </c>
      <c r="F50" s="64">
        <v>9.33</v>
      </c>
      <c r="G50" s="64">
        <v>78.709999999999994</v>
      </c>
      <c r="H50" s="64">
        <v>6.86</v>
      </c>
      <c r="I50" s="64">
        <v>2.13</v>
      </c>
      <c r="J50" s="64">
        <v>1.1299999999999999</v>
      </c>
      <c r="K50" s="64">
        <v>337.77</v>
      </c>
      <c r="L50" s="64">
        <v>30.31</v>
      </c>
      <c r="M50" s="64">
        <v>78</v>
      </c>
      <c r="N50" s="64">
        <v>529.6</v>
      </c>
      <c r="O50" s="64">
        <v>0</v>
      </c>
      <c r="P50" s="64">
        <v>0.53</v>
      </c>
      <c r="Q50" s="64">
        <v>9.48</v>
      </c>
      <c r="R50" s="198"/>
      <c r="S50" s="198"/>
      <c r="T50" s="198"/>
      <c r="U50" s="198"/>
    </row>
    <row r="51" spans="1:21" s="12" customFormat="1" x14ac:dyDescent="0.25">
      <c r="A51" s="211" t="s">
        <v>386</v>
      </c>
      <c r="B51" s="64">
        <v>21.15</v>
      </c>
      <c r="C51" s="64">
        <v>11.16</v>
      </c>
      <c r="D51" s="64">
        <v>22.79</v>
      </c>
      <c r="E51" s="64">
        <v>7.9</v>
      </c>
      <c r="F51" s="64">
        <v>9.86</v>
      </c>
      <c r="G51" s="64">
        <v>78.709999999999994</v>
      </c>
      <c r="H51" s="64">
        <v>6.86</v>
      </c>
      <c r="I51" s="64">
        <v>2.09</v>
      </c>
      <c r="J51" s="64">
        <v>0.99</v>
      </c>
      <c r="K51" s="64">
        <v>336</v>
      </c>
      <c r="L51" s="64">
        <v>30.26</v>
      </c>
      <c r="M51" s="64">
        <v>79.45</v>
      </c>
      <c r="N51" s="64">
        <v>478.5</v>
      </c>
      <c r="O51" s="64">
        <v>0</v>
      </c>
      <c r="P51" s="64">
        <v>0.56000000000000005</v>
      </c>
      <c r="Q51" s="64">
        <v>9.48</v>
      </c>
      <c r="R51" s="198"/>
      <c r="S51" s="198"/>
      <c r="T51" s="198"/>
      <c r="U51" s="198"/>
    </row>
    <row r="52" spans="1:21" s="12" customFormat="1" x14ac:dyDescent="0.25">
      <c r="A52" s="211" t="s">
        <v>387</v>
      </c>
      <c r="B52" s="64">
        <v>21.29</v>
      </c>
      <c r="C52" s="64">
        <v>11.69</v>
      </c>
      <c r="D52" s="64">
        <v>23.18</v>
      </c>
      <c r="E52" s="64">
        <v>8.49</v>
      </c>
      <c r="F52" s="64">
        <v>9.09</v>
      </c>
      <c r="G52" s="64">
        <v>78.709999999999994</v>
      </c>
      <c r="H52" s="64">
        <v>6.86</v>
      </c>
      <c r="I52" s="64">
        <v>2.0499999999999998</v>
      </c>
      <c r="J52" s="64">
        <v>1.26</v>
      </c>
      <c r="K52" s="64">
        <v>338.36</v>
      </c>
      <c r="L52" s="64">
        <v>30.92</v>
      </c>
      <c r="M52" s="64">
        <v>75.89</v>
      </c>
      <c r="N52" s="64">
        <v>633.20000000000005</v>
      </c>
      <c r="O52" s="64">
        <v>0</v>
      </c>
      <c r="P52" s="64">
        <v>0.56000000000000005</v>
      </c>
      <c r="Q52" s="64">
        <v>9.48</v>
      </c>
      <c r="R52" s="198"/>
      <c r="S52" s="198"/>
      <c r="T52" s="198"/>
      <c r="U52" s="198"/>
    </row>
    <row r="53" spans="1:21" s="12" customFormat="1" x14ac:dyDescent="0.25">
      <c r="A53" s="211" t="s">
        <v>388</v>
      </c>
      <c r="B53" s="64">
        <v>19.88</v>
      </c>
      <c r="C53" s="64">
        <v>8.6199999999999992</v>
      </c>
      <c r="D53" s="64">
        <v>20.45</v>
      </c>
      <c r="E53" s="64">
        <v>8.56</v>
      </c>
      <c r="F53" s="64">
        <v>24.64</v>
      </c>
      <c r="G53" s="64">
        <v>69.89</v>
      </c>
      <c r="H53" s="64">
        <v>6.54</v>
      </c>
      <c r="I53" s="64">
        <v>2.0099999999999998</v>
      </c>
      <c r="J53" s="64">
        <v>1.57</v>
      </c>
      <c r="K53" s="64">
        <v>335.52</v>
      </c>
      <c r="L53" s="64">
        <v>31.02</v>
      </c>
      <c r="M53" s="64">
        <v>76.900000000000006</v>
      </c>
      <c r="N53" s="64">
        <v>454.1</v>
      </c>
      <c r="O53" s="64">
        <v>0</v>
      </c>
      <c r="P53" s="64">
        <v>0.57999999999999996</v>
      </c>
      <c r="Q53" s="64">
        <v>9.4700000000000006</v>
      </c>
      <c r="R53" s="198"/>
      <c r="S53" s="198"/>
      <c r="T53" s="198"/>
      <c r="U53" s="198"/>
    </row>
    <row r="54" spans="1:21" s="12" customFormat="1" x14ac:dyDescent="0.25">
      <c r="A54" s="211" t="s">
        <v>389</v>
      </c>
      <c r="B54" s="64">
        <v>22.26</v>
      </c>
      <c r="C54" s="64">
        <v>12.41</v>
      </c>
      <c r="D54" s="64">
        <v>24.34</v>
      </c>
      <c r="E54" s="64">
        <v>8.09</v>
      </c>
      <c r="F54" s="64">
        <v>8.44</v>
      </c>
      <c r="G54" s="64">
        <v>69.260000000000005</v>
      </c>
      <c r="H54" s="64">
        <v>6.54</v>
      </c>
      <c r="I54" s="64">
        <v>1.98</v>
      </c>
      <c r="J54" s="64">
        <v>1.37</v>
      </c>
      <c r="K54" s="64">
        <v>337.74</v>
      </c>
      <c r="L54" s="64">
        <v>30.62</v>
      </c>
      <c r="M54" s="64">
        <v>77.989999999999995</v>
      </c>
      <c r="N54" s="64">
        <v>390.6</v>
      </c>
      <c r="O54" s="64">
        <v>0</v>
      </c>
      <c r="P54" s="64">
        <v>0.54</v>
      </c>
      <c r="Q54" s="64">
        <v>9.4499999999999993</v>
      </c>
      <c r="R54" s="198"/>
      <c r="S54" s="198"/>
      <c r="T54" s="198"/>
      <c r="U54" s="198"/>
    </row>
    <row r="55" spans="1:21" s="12" customFormat="1" x14ac:dyDescent="0.25">
      <c r="A55" s="211" t="s">
        <v>390</v>
      </c>
      <c r="B55" s="64">
        <v>20.14</v>
      </c>
      <c r="C55" s="64">
        <v>9.84</v>
      </c>
      <c r="D55" s="64">
        <v>21.29</v>
      </c>
      <c r="E55" s="64">
        <v>10.91</v>
      </c>
      <c r="F55" s="64">
        <v>7.68</v>
      </c>
      <c r="G55" s="64">
        <v>69.260000000000005</v>
      </c>
      <c r="H55" s="64">
        <v>6.54</v>
      </c>
      <c r="I55" s="64">
        <v>1.94</v>
      </c>
      <c r="J55" s="64">
        <v>1.1499999999999999</v>
      </c>
      <c r="K55" s="64">
        <v>333.44</v>
      </c>
      <c r="L55" s="64">
        <v>30.66</v>
      </c>
      <c r="M55" s="64">
        <v>79.17</v>
      </c>
      <c r="N55" s="64">
        <v>452.2</v>
      </c>
      <c r="O55" s="64">
        <v>0</v>
      </c>
      <c r="P55" s="64">
        <v>0.56000000000000005</v>
      </c>
      <c r="Q55" s="64">
        <v>9.42</v>
      </c>
      <c r="R55" s="198"/>
      <c r="S55" s="198"/>
      <c r="T55" s="198"/>
      <c r="U55" s="198"/>
    </row>
    <row r="56" spans="1:21" s="12" customFormat="1" x14ac:dyDescent="0.25">
      <c r="A56" s="211" t="s">
        <v>391</v>
      </c>
      <c r="B56" s="64">
        <v>19.3</v>
      </c>
      <c r="C56" s="64">
        <v>9.1199999999999992</v>
      </c>
      <c r="D56" s="64">
        <v>20.239999999999998</v>
      </c>
      <c r="E56" s="64">
        <v>8.36</v>
      </c>
      <c r="F56" s="64">
        <v>9.6300000000000008</v>
      </c>
      <c r="G56" s="64">
        <v>69.260000000000005</v>
      </c>
      <c r="H56" s="64">
        <v>6.54</v>
      </c>
      <c r="I56" s="64">
        <v>1.92</v>
      </c>
      <c r="J56" s="64">
        <v>1.33</v>
      </c>
      <c r="K56" s="64">
        <v>336.8</v>
      </c>
      <c r="L56" s="64">
        <v>30.6</v>
      </c>
      <c r="M56" s="64">
        <v>80.150000000000006</v>
      </c>
      <c r="N56" s="64">
        <v>348.4</v>
      </c>
      <c r="O56" s="64">
        <v>0</v>
      </c>
      <c r="P56" s="64">
        <v>0.56999999999999995</v>
      </c>
      <c r="Q56" s="64">
        <v>9.4</v>
      </c>
      <c r="R56" s="198"/>
      <c r="S56" s="198"/>
      <c r="T56" s="198"/>
      <c r="U56" s="198"/>
    </row>
    <row r="57" spans="1:21" s="12" customFormat="1" x14ac:dyDescent="0.25">
      <c r="A57" s="211" t="s">
        <v>392</v>
      </c>
      <c r="B57" s="64">
        <v>18.75</v>
      </c>
      <c r="C57" s="64">
        <v>8.8699999999999992</v>
      </c>
      <c r="D57" s="64">
        <v>19.670000000000002</v>
      </c>
      <c r="E57" s="64">
        <v>8.7799999999999994</v>
      </c>
      <c r="F57" s="64">
        <v>10.9</v>
      </c>
      <c r="G57" s="64">
        <v>72.86</v>
      </c>
      <c r="H57" s="64">
        <v>7.84</v>
      </c>
      <c r="I57" s="64">
        <v>1.91</v>
      </c>
      <c r="J57" s="64">
        <v>1.39</v>
      </c>
      <c r="K57" s="64">
        <v>338.73</v>
      </c>
      <c r="L57" s="64">
        <v>30.29</v>
      </c>
      <c r="M57" s="64">
        <v>80.64</v>
      </c>
      <c r="N57" s="64">
        <v>374.2</v>
      </c>
      <c r="O57" s="64">
        <v>0</v>
      </c>
      <c r="P57" s="64">
        <v>0.56000000000000005</v>
      </c>
      <c r="Q57" s="64">
        <v>9.39</v>
      </c>
      <c r="R57" s="198"/>
      <c r="S57" s="198"/>
      <c r="T57" s="198"/>
      <c r="U57" s="198"/>
    </row>
    <row r="58" spans="1:21" s="12" customFormat="1" x14ac:dyDescent="0.25">
      <c r="A58" s="211" t="s">
        <v>393</v>
      </c>
      <c r="B58" s="64">
        <v>18.03</v>
      </c>
      <c r="C58" s="64">
        <v>12.02</v>
      </c>
      <c r="D58" s="64">
        <v>20.74</v>
      </c>
      <c r="E58" s="64">
        <v>8.0299999999999994</v>
      </c>
      <c r="F58" s="64">
        <v>11.84</v>
      </c>
      <c r="G58" s="64">
        <v>73.12</v>
      </c>
      <c r="H58" s="64">
        <v>7.84</v>
      </c>
      <c r="I58" s="64">
        <v>1.89</v>
      </c>
      <c r="J58" s="64">
        <v>1.46</v>
      </c>
      <c r="K58" s="64">
        <v>338.13</v>
      </c>
      <c r="L58" s="64">
        <v>29.58</v>
      </c>
      <c r="M58" s="64">
        <v>83.9</v>
      </c>
      <c r="N58" s="64">
        <v>266.3</v>
      </c>
      <c r="O58" s="64">
        <v>0</v>
      </c>
      <c r="P58" s="64">
        <v>0.54</v>
      </c>
      <c r="Q58" s="64">
        <v>9.3800000000000008</v>
      </c>
      <c r="R58" s="198"/>
      <c r="S58" s="198"/>
      <c r="T58" s="198"/>
      <c r="U58" s="198"/>
    </row>
    <row r="59" spans="1:21" s="12" customFormat="1" x14ac:dyDescent="0.25">
      <c r="A59" s="211" t="s">
        <v>394</v>
      </c>
      <c r="B59" s="64">
        <v>16.350000000000001</v>
      </c>
      <c r="C59" s="64">
        <v>9.58</v>
      </c>
      <c r="D59" s="64">
        <v>18.12</v>
      </c>
      <c r="E59" s="64">
        <v>8.0299999999999994</v>
      </c>
      <c r="F59" s="64">
        <v>10.92</v>
      </c>
      <c r="G59" s="64">
        <v>73.12</v>
      </c>
      <c r="H59" s="64">
        <v>7.84</v>
      </c>
      <c r="I59" s="64">
        <v>1.87</v>
      </c>
      <c r="J59" s="64">
        <v>1.71</v>
      </c>
      <c r="K59" s="64">
        <v>335.9</v>
      </c>
      <c r="L59" s="64">
        <v>29.95</v>
      </c>
      <c r="M59" s="64">
        <v>83.42</v>
      </c>
      <c r="N59" s="64">
        <v>539</v>
      </c>
      <c r="O59" s="64">
        <v>0</v>
      </c>
      <c r="P59" s="64">
        <v>0.51</v>
      </c>
      <c r="Q59" s="64">
        <v>9.36</v>
      </c>
      <c r="R59" s="198"/>
      <c r="S59" s="198"/>
      <c r="T59" s="198"/>
      <c r="U59" s="198"/>
    </row>
    <row r="60" spans="1:21" s="12" customFormat="1" x14ac:dyDescent="0.25">
      <c r="A60" s="211" t="s">
        <v>395</v>
      </c>
      <c r="B60" s="64">
        <v>16.82</v>
      </c>
      <c r="C60" s="64">
        <v>9.3699999999999992</v>
      </c>
      <c r="D60" s="64">
        <v>18.38</v>
      </c>
      <c r="E60" s="64">
        <v>8.5</v>
      </c>
      <c r="F60" s="64">
        <v>8.01</v>
      </c>
      <c r="G60" s="64">
        <v>73.12</v>
      </c>
      <c r="H60" s="64">
        <v>7.84</v>
      </c>
      <c r="I60" s="64">
        <v>1.84</v>
      </c>
      <c r="J60" s="64">
        <v>1.62</v>
      </c>
      <c r="K60" s="64">
        <v>332.18</v>
      </c>
      <c r="L60" s="64">
        <v>30.99</v>
      </c>
      <c r="M60" s="64">
        <v>78.709999999999994</v>
      </c>
      <c r="N60" s="64">
        <v>523.20000000000005</v>
      </c>
      <c r="O60" s="64">
        <v>0</v>
      </c>
      <c r="P60" s="64">
        <v>0.52</v>
      </c>
      <c r="Q60" s="64">
        <v>9.33</v>
      </c>
      <c r="R60" s="198"/>
      <c r="S60" s="198"/>
      <c r="T60" s="198"/>
      <c r="U60" s="198"/>
    </row>
    <row r="61" spans="1:21" s="12" customFormat="1" x14ac:dyDescent="0.25">
      <c r="A61" s="211" t="s">
        <v>396</v>
      </c>
      <c r="B61" s="64">
        <v>16.41</v>
      </c>
      <c r="C61" s="64">
        <v>8.92</v>
      </c>
      <c r="D61" s="64">
        <v>17.829999999999998</v>
      </c>
      <c r="E61" s="64">
        <v>8.52</v>
      </c>
      <c r="F61" s="64">
        <v>8.36</v>
      </c>
      <c r="G61" s="64">
        <v>76.430000000000007</v>
      </c>
      <c r="H61" s="64">
        <v>8.44</v>
      </c>
      <c r="I61" s="64">
        <v>1.8</v>
      </c>
      <c r="J61" s="64">
        <v>2.08</v>
      </c>
      <c r="K61" s="64">
        <v>335.52</v>
      </c>
      <c r="L61" s="64">
        <v>30.35</v>
      </c>
      <c r="M61" s="64">
        <v>81.47</v>
      </c>
      <c r="N61" s="64">
        <v>333.8</v>
      </c>
      <c r="O61" s="64">
        <v>0</v>
      </c>
      <c r="P61" s="64">
        <v>0.55000000000000004</v>
      </c>
      <c r="Q61" s="64">
        <v>9.3000000000000007</v>
      </c>
      <c r="R61" s="198"/>
      <c r="S61" s="198"/>
      <c r="T61" s="198"/>
      <c r="U61" s="198"/>
    </row>
    <row r="62" spans="1:21" s="12" customFormat="1" x14ac:dyDescent="0.25">
      <c r="A62" s="211" t="s">
        <v>397</v>
      </c>
      <c r="B62" s="64">
        <v>16.260000000000002</v>
      </c>
      <c r="C62" s="64">
        <v>11.43</v>
      </c>
      <c r="D62" s="64">
        <v>19.010000000000002</v>
      </c>
      <c r="E62" s="64">
        <v>7.63</v>
      </c>
      <c r="F62" s="64">
        <v>12.82</v>
      </c>
      <c r="G62" s="64">
        <v>76.67</v>
      </c>
      <c r="H62" s="64">
        <v>8.44</v>
      </c>
      <c r="I62" s="64">
        <v>1.74</v>
      </c>
      <c r="J62" s="64">
        <v>1.67</v>
      </c>
      <c r="K62" s="64">
        <v>337.52</v>
      </c>
      <c r="L62" s="64">
        <v>29.8</v>
      </c>
      <c r="M62" s="64">
        <v>81.78</v>
      </c>
      <c r="N62" s="64">
        <v>264.5</v>
      </c>
      <c r="O62" s="64">
        <v>0</v>
      </c>
      <c r="P62" s="64">
        <v>0.53</v>
      </c>
      <c r="Q62" s="64">
        <v>9.2899999999999991</v>
      </c>
      <c r="R62" s="198"/>
      <c r="S62" s="198"/>
      <c r="T62" s="198"/>
      <c r="U62" s="198"/>
    </row>
    <row r="63" spans="1:21" s="12" customFormat="1" x14ac:dyDescent="0.25">
      <c r="A63" s="211" t="s">
        <v>398</v>
      </c>
      <c r="B63" s="64">
        <v>16.21</v>
      </c>
      <c r="C63" s="64">
        <v>12.81</v>
      </c>
      <c r="D63" s="64">
        <v>19.7</v>
      </c>
      <c r="E63" s="64">
        <v>6.15</v>
      </c>
      <c r="F63" s="64">
        <v>11.4</v>
      </c>
      <c r="G63" s="64">
        <v>76.67</v>
      </c>
      <c r="H63" s="64">
        <v>8.44</v>
      </c>
      <c r="I63" s="64">
        <v>1.68</v>
      </c>
      <c r="J63" s="64">
        <v>1.58</v>
      </c>
      <c r="K63" s="64">
        <v>337.16</v>
      </c>
      <c r="L63" s="64">
        <v>29.15</v>
      </c>
      <c r="M63" s="64">
        <v>87.49</v>
      </c>
      <c r="N63" s="64">
        <v>238.9</v>
      </c>
      <c r="O63" s="64">
        <v>0</v>
      </c>
      <c r="P63" s="64">
        <v>0.55000000000000004</v>
      </c>
      <c r="Q63" s="64">
        <v>9.2799999999999994</v>
      </c>
      <c r="R63" s="198"/>
      <c r="S63" s="198"/>
      <c r="T63" s="198"/>
      <c r="U63" s="198"/>
    </row>
    <row r="64" spans="1:21" s="12" customFormat="1" x14ac:dyDescent="0.25">
      <c r="A64" s="211" t="s">
        <v>399</v>
      </c>
      <c r="B64" s="64">
        <v>13.28</v>
      </c>
      <c r="C64" s="64">
        <v>10.98</v>
      </c>
      <c r="D64" s="64">
        <v>16.39</v>
      </c>
      <c r="E64" s="64">
        <v>7.65</v>
      </c>
      <c r="F64" s="64">
        <v>13.92</v>
      </c>
      <c r="G64" s="64">
        <v>76.67</v>
      </c>
      <c r="H64" s="64">
        <v>8.44</v>
      </c>
      <c r="I64" s="64">
        <v>1.66</v>
      </c>
      <c r="J64" s="64">
        <v>1.63</v>
      </c>
      <c r="K64" s="64">
        <v>337.15</v>
      </c>
      <c r="L64" s="64">
        <v>29.4</v>
      </c>
      <c r="M64" s="64">
        <v>84.56</v>
      </c>
      <c r="N64" s="64">
        <v>281.60000000000002</v>
      </c>
      <c r="O64" s="64">
        <v>0</v>
      </c>
      <c r="P64" s="64">
        <v>0.56000000000000005</v>
      </c>
      <c r="Q64" s="64">
        <v>9.2899999999999991</v>
      </c>
      <c r="R64" s="198"/>
      <c r="S64" s="198"/>
      <c r="T64" s="198"/>
      <c r="U64" s="198"/>
    </row>
    <row r="65" spans="1:21" s="12" customFormat="1" x14ac:dyDescent="0.25">
      <c r="A65" s="211" t="s">
        <v>400</v>
      </c>
      <c r="B65" s="64">
        <v>13.18</v>
      </c>
      <c r="C65" s="64">
        <v>11.58</v>
      </c>
      <c r="D65" s="64">
        <v>16.62</v>
      </c>
      <c r="E65" s="64">
        <v>7.32</v>
      </c>
      <c r="F65" s="64">
        <v>14.81</v>
      </c>
      <c r="G65" s="64">
        <v>72.75</v>
      </c>
      <c r="H65" s="64">
        <v>7.07</v>
      </c>
      <c r="I65" s="64">
        <v>1.63</v>
      </c>
      <c r="J65" s="64">
        <v>1.37</v>
      </c>
      <c r="K65" s="64">
        <v>337.95</v>
      </c>
      <c r="L65" s="64">
        <v>29.47</v>
      </c>
      <c r="M65" s="64">
        <v>84.47</v>
      </c>
      <c r="N65" s="64">
        <v>240.8</v>
      </c>
      <c r="O65" s="64">
        <v>0</v>
      </c>
      <c r="P65" s="64">
        <v>0.56999999999999995</v>
      </c>
      <c r="Q65" s="64">
        <v>9.2799999999999994</v>
      </c>
      <c r="R65" s="198"/>
      <c r="S65" s="198"/>
      <c r="T65" s="198"/>
      <c r="U65" s="198"/>
    </row>
    <row r="66" spans="1:21" s="12" customFormat="1" x14ac:dyDescent="0.25">
      <c r="A66" s="211" t="s">
        <v>401</v>
      </c>
      <c r="B66" s="64">
        <v>13.11</v>
      </c>
      <c r="C66" s="64">
        <v>11.73</v>
      </c>
      <c r="D66" s="64">
        <v>16.64</v>
      </c>
      <c r="E66" s="64">
        <v>7.66</v>
      </c>
      <c r="F66" s="64">
        <v>12.34</v>
      </c>
      <c r="G66" s="64">
        <v>72.47</v>
      </c>
      <c r="H66" s="64">
        <v>7.07</v>
      </c>
      <c r="I66" s="64">
        <v>1.6</v>
      </c>
      <c r="J66" s="64">
        <v>1.34</v>
      </c>
      <c r="K66" s="64">
        <v>337.58</v>
      </c>
      <c r="L66" s="64">
        <v>29.07</v>
      </c>
      <c r="M66" s="64">
        <v>87.67</v>
      </c>
      <c r="N66" s="64">
        <v>184.8</v>
      </c>
      <c r="O66" s="64">
        <v>0</v>
      </c>
      <c r="P66" s="64">
        <v>0.56000000000000005</v>
      </c>
      <c r="Q66" s="64">
        <v>9.2799999999999994</v>
      </c>
      <c r="R66" s="198"/>
      <c r="S66" s="198"/>
      <c r="T66" s="198"/>
      <c r="U66" s="198"/>
    </row>
    <row r="67" spans="1:21" s="12" customFormat="1" x14ac:dyDescent="0.25">
      <c r="A67" s="211" t="s">
        <v>402</v>
      </c>
      <c r="B67" s="64">
        <v>13.17</v>
      </c>
      <c r="C67" s="64">
        <v>11.3</v>
      </c>
      <c r="D67" s="64">
        <v>16.47</v>
      </c>
      <c r="E67" s="64">
        <v>7.72</v>
      </c>
      <c r="F67" s="64">
        <v>13.31</v>
      </c>
      <c r="G67" s="64">
        <v>72.47</v>
      </c>
      <c r="H67" s="64">
        <v>7.07</v>
      </c>
      <c r="I67" s="64">
        <v>1.6</v>
      </c>
      <c r="J67" s="64">
        <v>1.72</v>
      </c>
      <c r="K67" s="64">
        <v>337.43</v>
      </c>
      <c r="L67" s="64">
        <v>28.84</v>
      </c>
      <c r="M67" s="64">
        <v>90.46</v>
      </c>
      <c r="N67" s="64">
        <v>163.6</v>
      </c>
      <c r="O67" s="64">
        <v>0</v>
      </c>
      <c r="P67" s="64">
        <v>0.53</v>
      </c>
      <c r="Q67" s="64">
        <v>9.27</v>
      </c>
      <c r="R67" s="198"/>
      <c r="S67" s="198"/>
      <c r="T67" s="198"/>
      <c r="U67" s="198"/>
    </row>
    <row r="68" spans="1:21" s="12" customFormat="1" x14ac:dyDescent="0.25">
      <c r="A68" s="211" t="s">
        <v>403</v>
      </c>
      <c r="B68" s="64">
        <v>12.49</v>
      </c>
      <c r="C68" s="64">
        <v>12.5</v>
      </c>
      <c r="D68" s="64">
        <v>16.55</v>
      </c>
      <c r="E68" s="64">
        <v>7.07</v>
      </c>
      <c r="F68" s="64">
        <v>650.69000000000005</v>
      </c>
      <c r="G68" s="64">
        <v>72.47</v>
      </c>
      <c r="H68" s="64">
        <v>7.07</v>
      </c>
      <c r="I68" s="64">
        <v>1.6</v>
      </c>
      <c r="J68" s="64">
        <v>1.18</v>
      </c>
      <c r="K68" s="64">
        <v>339.87</v>
      </c>
      <c r="L68" s="64">
        <v>28.42</v>
      </c>
      <c r="M68" s="64">
        <v>92.99</v>
      </c>
      <c r="N68" s="64">
        <v>122.4</v>
      </c>
      <c r="O68" s="64">
        <v>0</v>
      </c>
      <c r="P68" s="64">
        <v>0.56000000000000005</v>
      </c>
      <c r="Q68" s="64">
        <v>9.27</v>
      </c>
      <c r="R68" s="198"/>
      <c r="S68" s="198"/>
      <c r="T68" s="198"/>
      <c r="U68" s="198"/>
    </row>
    <row r="69" spans="1:21" s="12" customFormat="1" x14ac:dyDescent="0.25">
      <c r="A69" s="211" t="s">
        <v>404</v>
      </c>
      <c r="B69" s="64">
        <v>11.33</v>
      </c>
      <c r="C69" s="64">
        <v>15.46</v>
      </c>
      <c r="D69" s="64">
        <v>17.16</v>
      </c>
      <c r="E69" s="64">
        <v>7.01</v>
      </c>
      <c r="F69" s="64">
        <v>578.74</v>
      </c>
      <c r="G69" s="64">
        <v>63.2</v>
      </c>
      <c r="H69" s="64">
        <v>9.68</v>
      </c>
      <c r="I69" s="64">
        <v>1.58</v>
      </c>
      <c r="J69" s="64">
        <v>0.98</v>
      </c>
      <c r="K69" s="64">
        <v>339.45</v>
      </c>
      <c r="L69" s="64">
        <v>28.07</v>
      </c>
      <c r="M69" s="64">
        <v>94.78</v>
      </c>
      <c r="N69" s="64">
        <v>90.7</v>
      </c>
      <c r="O69" s="64">
        <v>0</v>
      </c>
      <c r="P69" s="64">
        <v>0.62</v>
      </c>
      <c r="Q69" s="64">
        <v>9.26</v>
      </c>
      <c r="R69" s="198"/>
      <c r="S69" s="198"/>
      <c r="T69" s="198"/>
      <c r="U69" s="198"/>
    </row>
    <row r="70" spans="1:21" s="12" customFormat="1" x14ac:dyDescent="0.25">
      <c r="A70" s="211" t="s">
        <v>405</v>
      </c>
      <c r="B70" s="64">
        <v>12.58</v>
      </c>
      <c r="C70" s="64">
        <v>11.94</v>
      </c>
      <c r="D70" s="64">
        <v>16.32</v>
      </c>
      <c r="E70" s="64">
        <v>6.75</v>
      </c>
      <c r="F70" s="64">
        <v>16.809999999999999</v>
      </c>
      <c r="G70" s="64">
        <v>62.54</v>
      </c>
      <c r="H70" s="64">
        <v>9.68</v>
      </c>
      <c r="I70" s="64">
        <v>1.58</v>
      </c>
      <c r="J70" s="64">
        <v>1.28</v>
      </c>
      <c r="K70" s="64">
        <v>338.05</v>
      </c>
      <c r="L70" s="64">
        <v>27.69</v>
      </c>
      <c r="M70" s="64">
        <v>97.6</v>
      </c>
      <c r="N70" s="64">
        <v>92.8</v>
      </c>
      <c r="O70" s="64">
        <v>0</v>
      </c>
      <c r="P70" s="64">
        <v>0.54</v>
      </c>
      <c r="Q70" s="64">
        <v>9.24</v>
      </c>
      <c r="R70" s="198"/>
      <c r="S70" s="198"/>
      <c r="T70" s="198"/>
      <c r="U70" s="198"/>
    </row>
    <row r="71" spans="1:21" s="12" customFormat="1" x14ac:dyDescent="0.25">
      <c r="A71" s="211" t="s">
        <v>406</v>
      </c>
      <c r="B71" s="64">
        <v>12.15</v>
      </c>
      <c r="C71" s="64">
        <v>11.44</v>
      </c>
      <c r="D71" s="64">
        <v>15.72</v>
      </c>
      <c r="E71" s="64">
        <v>6.77</v>
      </c>
      <c r="F71" s="64">
        <v>16.61</v>
      </c>
      <c r="G71" s="64">
        <v>62.54</v>
      </c>
      <c r="H71" s="64">
        <v>9.68</v>
      </c>
      <c r="I71" s="64">
        <v>1.59</v>
      </c>
      <c r="J71" s="64">
        <v>1.1000000000000001</v>
      </c>
      <c r="K71" s="64">
        <v>337.04</v>
      </c>
      <c r="L71" s="64">
        <v>27.54</v>
      </c>
      <c r="M71" s="64">
        <v>98.05</v>
      </c>
      <c r="N71" s="64">
        <v>97.4</v>
      </c>
      <c r="O71" s="64">
        <v>0</v>
      </c>
      <c r="P71" s="64">
        <v>0.59</v>
      </c>
      <c r="Q71" s="64">
        <v>9.2200000000000006</v>
      </c>
      <c r="R71" s="198"/>
      <c r="S71" s="198"/>
      <c r="T71" s="198"/>
      <c r="U71" s="198"/>
    </row>
    <row r="72" spans="1:21" s="12" customFormat="1" x14ac:dyDescent="0.25">
      <c r="A72" s="211" t="s">
        <v>407</v>
      </c>
      <c r="B72" s="64">
        <v>16.98</v>
      </c>
      <c r="C72" s="64">
        <v>16.37</v>
      </c>
      <c r="D72" s="64">
        <v>22.17</v>
      </c>
      <c r="E72" s="64">
        <v>7.45</v>
      </c>
      <c r="F72" s="64">
        <v>9.73</v>
      </c>
      <c r="G72" s="64">
        <v>62.54</v>
      </c>
      <c r="H72" s="64">
        <v>9.68</v>
      </c>
      <c r="I72" s="64">
        <v>1.58</v>
      </c>
      <c r="J72" s="64">
        <v>0.96</v>
      </c>
      <c r="K72" s="64">
        <v>337.3</v>
      </c>
      <c r="L72" s="64">
        <v>27.51</v>
      </c>
      <c r="M72" s="64">
        <v>98.22</v>
      </c>
      <c r="N72" s="64">
        <v>115.9</v>
      </c>
      <c r="O72" s="64">
        <v>0</v>
      </c>
      <c r="P72" s="64">
        <v>0.74</v>
      </c>
      <c r="Q72" s="64">
        <v>9.18</v>
      </c>
      <c r="R72" s="198"/>
      <c r="S72" s="198"/>
      <c r="T72" s="198"/>
      <c r="U72" s="198"/>
    </row>
    <row r="73" spans="1:21" s="12" customFormat="1" x14ac:dyDescent="0.25">
      <c r="A73" s="211" t="s">
        <v>408</v>
      </c>
      <c r="B73" s="64">
        <v>16.350000000000001</v>
      </c>
      <c r="C73" s="64">
        <v>16.03</v>
      </c>
      <c r="D73" s="64">
        <v>21.49</v>
      </c>
      <c r="E73" s="64">
        <v>7.11</v>
      </c>
      <c r="F73" s="64">
        <v>14.9</v>
      </c>
      <c r="G73" s="64">
        <v>65.3</v>
      </c>
      <c r="H73" s="64">
        <v>8.09</v>
      </c>
      <c r="I73" s="64">
        <v>1.56</v>
      </c>
      <c r="J73" s="64">
        <v>0.53</v>
      </c>
      <c r="K73" s="64">
        <v>332.74</v>
      </c>
      <c r="L73" s="64">
        <v>27.82</v>
      </c>
      <c r="M73" s="64">
        <v>97.58</v>
      </c>
      <c r="N73" s="64">
        <v>116</v>
      </c>
      <c r="O73" s="64">
        <v>0</v>
      </c>
      <c r="P73" s="64">
        <v>0.68</v>
      </c>
      <c r="Q73" s="64">
        <v>9.19</v>
      </c>
      <c r="R73" s="198"/>
      <c r="S73" s="198"/>
      <c r="T73" s="198"/>
      <c r="U73" s="198"/>
    </row>
    <row r="74" spans="1:21" s="12" customFormat="1" x14ac:dyDescent="0.25">
      <c r="A74" s="211" t="s">
        <v>409</v>
      </c>
      <c r="B74" s="64">
        <v>13.02</v>
      </c>
      <c r="C74" s="64">
        <v>9.48</v>
      </c>
      <c r="D74" s="64">
        <v>15.39</v>
      </c>
      <c r="E74" s="64">
        <v>7.48</v>
      </c>
      <c r="F74" s="64">
        <v>11.28</v>
      </c>
      <c r="G74" s="64">
        <v>65.489999999999995</v>
      </c>
      <c r="H74" s="64">
        <v>8.09</v>
      </c>
      <c r="I74" s="64">
        <v>1.55</v>
      </c>
      <c r="J74" s="64">
        <v>0.91</v>
      </c>
      <c r="K74" s="64">
        <v>328.14</v>
      </c>
      <c r="L74" s="64">
        <v>27.75</v>
      </c>
      <c r="M74" s="64">
        <v>97.76</v>
      </c>
      <c r="N74" s="64">
        <v>108.8</v>
      </c>
      <c r="O74" s="64">
        <v>0</v>
      </c>
      <c r="P74" s="64">
        <v>0.57999999999999996</v>
      </c>
      <c r="Q74" s="64">
        <v>9.19</v>
      </c>
      <c r="R74" s="198"/>
      <c r="S74" s="198"/>
      <c r="T74" s="198"/>
      <c r="U74" s="198"/>
    </row>
    <row r="75" spans="1:21" s="12" customFormat="1" x14ac:dyDescent="0.25">
      <c r="A75" s="211" t="s">
        <v>410</v>
      </c>
      <c r="B75" s="64">
        <v>13.15</v>
      </c>
      <c r="C75" s="64">
        <v>12.76</v>
      </c>
      <c r="D75" s="64">
        <v>17.21</v>
      </c>
      <c r="E75" s="64">
        <v>7.44</v>
      </c>
      <c r="F75" s="64">
        <v>13.68</v>
      </c>
      <c r="G75" s="64">
        <v>65.489999999999995</v>
      </c>
      <c r="H75" s="64">
        <v>8.09</v>
      </c>
      <c r="I75" s="64">
        <v>1.56</v>
      </c>
      <c r="J75" s="64">
        <v>0.62</v>
      </c>
      <c r="K75" s="64">
        <v>332.68</v>
      </c>
      <c r="L75" s="64">
        <v>27.6</v>
      </c>
      <c r="M75" s="64">
        <v>98.61</v>
      </c>
      <c r="N75" s="64">
        <v>96.7</v>
      </c>
      <c r="O75" s="64">
        <v>0</v>
      </c>
      <c r="P75" s="64">
        <v>0.67</v>
      </c>
      <c r="Q75" s="64">
        <v>9.18</v>
      </c>
      <c r="R75" s="198"/>
      <c r="S75" s="198"/>
      <c r="T75" s="198"/>
      <c r="U75" s="198"/>
    </row>
    <row r="76" spans="1:21" s="12" customFormat="1" x14ac:dyDescent="0.25">
      <c r="A76" s="211" t="s">
        <v>411</v>
      </c>
      <c r="B76" s="64">
        <v>8.2100000000000009</v>
      </c>
      <c r="C76" s="64">
        <v>13.41</v>
      </c>
      <c r="D76" s="64">
        <v>13.59</v>
      </c>
      <c r="E76" s="64">
        <v>6.71</v>
      </c>
      <c r="F76" s="64">
        <v>13.81</v>
      </c>
      <c r="G76" s="64">
        <v>65.489999999999995</v>
      </c>
      <c r="H76" s="64">
        <v>8.09</v>
      </c>
      <c r="I76" s="64">
        <v>1.55</v>
      </c>
      <c r="J76" s="64">
        <v>0.14000000000000001</v>
      </c>
      <c r="K76" s="64">
        <v>170.57</v>
      </c>
      <c r="L76" s="64">
        <v>26.69</v>
      </c>
      <c r="M76" s="64">
        <v>98.89</v>
      </c>
      <c r="N76" s="64">
        <v>86</v>
      </c>
      <c r="O76" s="64">
        <v>0</v>
      </c>
      <c r="P76" s="64">
        <v>0.43</v>
      </c>
      <c r="Q76" s="64">
        <v>9.17</v>
      </c>
      <c r="R76" s="198"/>
      <c r="S76" s="198"/>
      <c r="T76" s="198"/>
      <c r="U76" s="198"/>
    </row>
    <row r="77" spans="1:21" s="12" customFormat="1" x14ac:dyDescent="0.25">
      <c r="A77" s="211" t="s">
        <v>412</v>
      </c>
      <c r="B77" s="64">
        <v>19.649999999999999</v>
      </c>
      <c r="C77" s="64">
        <v>21.44</v>
      </c>
      <c r="D77" s="64">
        <v>26.96</v>
      </c>
      <c r="E77" s="64">
        <v>6.24</v>
      </c>
      <c r="F77" s="64">
        <v>12.09</v>
      </c>
      <c r="G77" s="64">
        <v>63.96</v>
      </c>
      <c r="H77" s="64">
        <v>8.4700000000000006</v>
      </c>
      <c r="I77" s="64">
        <v>1.54</v>
      </c>
      <c r="J77" s="64">
        <v>0.05</v>
      </c>
      <c r="K77" s="64">
        <v>280.58999999999997</v>
      </c>
      <c r="L77" s="64">
        <v>26.19</v>
      </c>
      <c r="M77" s="64">
        <v>98.94</v>
      </c>
      <c r="N77" s="64">
        <v>72.7</v>
      </c>
      <c r="O77" s="64">
        <v>0</v>
      </c>
      <c r="P77" s="64">
        <v>0.71</v>
      </c>
      <c r="Q77" s="64">
        <v>9.17</v>
      </c>
      <c r="R77" s="198"/>
      <c r="S77" s="198"/>
      <c r="T77" s="198"/>
      <c r="U77" s="198"/>
    </row>
    <row r="78" spans="1:21" s="12" customFormat="1" x14ac:dyDescent="0.25">
      <c r="A78" s="211" t="s">
        <v>413</v>
      </c>
      <c r="B78" s="64">
        <v>17.89</v>
      </c>
      <c r="C78" s="64">
        <v>22.45</v>
      </c>
      <c r="D78" s="64">
        <v>26.08</v>
      </c>
      <c r="E78" s="64">
        <v>6.71</v>
      </c>
      <c r="F78" s="64">
        <v>10.35</v>
      </c>
      <c r="G78" s="64">
        <v>63.85</v>
      </c>
      <c r="H78" s="64">
        <v>8.4700000000000006</v>
      </c>
      <c r="I78" s="64">
        <v>1.55</v>
      </c>
      <c r="J78" s="64">
        <v>0.12</v>
      </c>
      <c r="K78" s="64">
        <v>332.57</v>
      </c>
      <c r="L78" s="64">
        <v>26.31</v>
      </c>
      <c r="M78" s="64">
        <v>98.97</v>
      </c>
      <c r="N78" s="64">
        <v>61.8</v>
      </c>
      <c r="O78" s="64">
        <v>0</v>
      </c>
      <c r="P78" s="64">
        <v>0.99</v>
      </c>
      <c r="Q78" s="64">
        <v>9.16</v>
      </c>
      <c r="R78" s="198"/>
      <c r="S78" s="198"/>
      <c r="T78" s="198"/>
      <c r="U78" s="198"/>
    </row>
    <row r="79" spans="1:21" s="12" customFormat="1" x14ac:dyDescent="0.25">
      <c r="A79" s="211" t="s">
        <v>414</v>
      </c>
      <c r="B79" s="64">
        <v>16.46</v>
      </c>
      <c r="C79" s="64">
        <v>13.89</v>
      </c>
      <c r="D79" s="64">
        <v>20.46</v>
      </c>
      <c r="E79" s="64">
        <v>6.31</v>
      </c>
      <c r="F79" s="64">
        <v>13.11</v>
      </c>
      <c r="G79" s="64">
        <v>63.85</v>
      </c>
      <c r="H79" s="64">
        <v>8.4700000000000006</v>
      </c>
      <c r="I79" s="64">
        <v>1.56</v>
      </c>
      <c r="J79" s="64">
        <v>0.6</v>
      </c>
      <c r="K79" s="64">
        <v>340.56</v>
      </c>
      <c r="L79" s="64">
        <v>26.39</v>
      </c>
      <c r="M79" s="64">
        <v>98.94</v>
      </c>
      <c r="N79" s="64">
        <v>56.1</v>
      </c>
      <c r="O79" s="64">
        <v>0</v>
      </c>
      <c r="P79" s="64">
        <v>0.9</v>
      </c>
      <c r="Q79" s="64">
        <v>9.15</v>
      </c>
      <c r="R79" s="198"/>
      <c r="S79" s="198"/>
      <c r="T79" s="198"/>
      <c r="U79" s="198"/>
    </row>
    <row r="80" spans="1:21" s="12" customFormat="1" x14ac:dyDescent="0.25">
      <c r="A80" s="211" t="s">
        <v>415</v>
      </c>
      <c r="B80" s="64">
        <v>16.190000000000001</v>
      </c>
      <c r="C80" s="64">
        <v>15.48</v>
      </c>
      <c r="D80" s="64">
        <v>21.07</v>
      </c>
      <c r="E80" s="64">
        <v>6.42</v>
      </c>
      <c r="F80" s="64">
        <v>13.9</v>
      </c>
      <c r="G80" s="64">
        <v>63.85</v>
      </c>
      <c r="H80" s="64">
        <v>8.4700000000000006</v>
      </c>
      <c r="I80" s="64">
        <v>1.59</v>
      </c>
      <c r="J80" s="64">
        <v>0.54</v>
      </c>
      <c r="K80" s="64">
        <v>329.88</v>
      </c>
      <c r="L80" s="64">
        <v>26.47</v>
      </c>
      <c r="M80" s="64">
        <v>98.88</v>
      </c>
      <c r="N80" s="64">
        <v>55.2</v>
      </c>
      <c r="O80" s="64">
        <v>0</v>
      </c>
      <c r="P80" s="64">
        <v>1.01</v>
      </c>
      <c r="Q80" s="64">
        <v>9.17</v>
      </c>
      <c r="R80" s="198"/>
      <c r="S80" s="198"/>
      <c r="T80" s="198"/>
      <c r="U80" s="198"/>
    </row>
    <row r="81" spans="1:26" s="12" customFormat="1" x14ac:dyDescent="0.25">
      <c r="A81" s="211" t="s">
        <v>416</v>
      </c>
      <c r="B81" s="64">
        <v>12.78</v>
      </c>
      <c r="C81" s="64">
        <v>10.48</v>
      </c>
      <c r="D81" s="64">
        <v>15.73</v>
      </c>
      <c r="E81" s="64">
        <v>6.22</v>
      </c>
      <c r="F81" s="64">
        <v>9.64</v>
      </c>
      <c r="G81" s="64">
        <v>62.8</v>
      </c>
      <c r="H81" s="64">
        <v>7.35</v>
      </c>
      <c r="I81" s="64">
        <v>1.64</v>
      </c>
      <c r="J81" s="64">
        <v>0.64</v>
      </c>
      <c r="K81" s="64">
        <v>326.07</v>
      </c>
      <c r="L81" s="64">
        <v>26.48</v>
      </c>
      <c r="M81" s="64">
        <v>98.86</v>
      </c>
      <c r="N81" s="64">
        <v>55.7</v>
      </c>
      <c r="O81" s="64">
        <v>0</v>
      </c>
      <c r="P81" s="64">
        <v>0.73</v>
      </c>
      <c r="Q81" s="64">
        <v>9.18</v>
      </c>
      <c r="R81" s="198"/>
      <c r="S81" s="198"/>
      <c r="T81" s="198"/>
      <c r="U81" s="198"/>
    </row>
    <row r="82" spans="1:26" s="12" customFormat="1" x14ac:dyDescent="0.25">
      <c r="A82" s="211" t="s">
        <v>417</v>
      </c>
      <c r="B82" s="64">
        <v>14.47</v>
      </c>
      <c r="C82" s="64">
        <v>9.9700000000000006</v>
      </c>
      <c r="D82" s="64">
        <v>16.82</v>
      </c>
      <c r="E82" s="64">
        <v>6.52</v>
      </c>
      <c r="F82" s="64">
        <v>10.44</v>
      </c>
      <c r="G82" s="64">
        <v>62.73</v>
      </c>
      <c r="H82" s="64">
        <v>7.35</v>
      </c>
      <c r="I82" s="64">
        <v>1.69</v>
      </c>
      <c r="J82" s="64">
        <v>0.65</v>
      </c>
      <c r="K82" s="64">
        <v>330.05</v>
      </c>
      <c r="L82" s="64">
        <v>26.4</v>
      </c>
      <c r="M82" s="64">
        <v>98.86</v>
      </c>
      <c r="N82" s="64">
        <v>55.8</v>
      </c>
      <c r="O82" s="64">
        <v>0</v>
      </c>
      <c r="P82" s="64">
        <v>0.8</v>
      </c>
      <c r="Q82" s="64">
        <v>9.19</v>
      </c>
      <c r="R82" s="198"/>
      <c r="S82" s="198"/>
      <c r="T82" s="198"/>
      <c r="U82" s="198"/>
    </row>
    <row r="83" spans="1:26" s="12" customFormat="1" x14ac:dyDescent="0.25">
      <c r="A83" s="211" t="s">
        <v>418</v>
      </c>
      <c r="B83" s="64">
        <v>16.73</v>
      </c>
      <c r="C83" s="64">
        <v>13.15</v>
      </c>
      <c r="D83" s="64">
        <v>20.23</v>
      </c>
      <c r="E83" s="64">
        <v>6.43</v>
      </c>
      <c r="F83" s="64">
        <v>11.16</v>
      </c>
      <c r="G83" s="64">
        <v>62.73</v>
      </c>
      <c r="H83" s="64">
        <v>7.35</v>
      </c>
      <c r="I83" s="64">
        <v>1.72</v>
      </c>
      <c r="J83" s="64">
        <v>0.88</v>
      </c>
      <c r="K83" s="64">
        <v>337.77</v>
      </c>
      <c r="L83" s="64">
        <v>26.37</v>
      </c>
      <c r="M83" s="64">
        <v>98.86</v>
      </c>
      <c r="N83" s="64">
        <v>55.5</v>
      </c>
      <c r="O83" s="64">
        <v>0</v>
      </c>
      <c r="P83" s="64">
        <v>1.03</v>
      </c>
      <c r="Q83" s="64">
        <v>9.2100000000000009</v>
      </c>
      <c r="R83" s="198"/>
      <c r="S83" s="198"/>
      <c r="T83" s="198"/>
      <c r="U83" s="198"/>
    </row>
    <row r="84" spans="1:26" s="12" customFormat="1" x14ac:dyDescent="0.25">
      <c r="A84" s="211" t="s">
        <v>419</v>
      </c>
      <c r="B84" s="64">
        <v>15.08</v>
      </c>
      <c r="C84" s="64">
        <v>14.13</v>
      </c>
      <c r="D84" s="64">
        <v>19.48</v>
      </c>
      <c r="E84" s="64">
        <v>6.13</v>
      </c>
      <c r="F84" s="64">
        <v>9.32</v>
      </c>
      <c r="G84" s="64">
        <v>62.73</v>
      </c>
      <c r="H84" s="64">
        <v>7.35</v>
      </c>
      <c r="I84" s="64">
        <v>1.76</v>
      </c>
      <c r="J84" s="64">
        <v>0.95</v>
      </c>
      <c r="K84" s="64">
        <v>335.93</v>
      </c>
      <c r="L84" s="64">
        <v>26.26</v>
      </c>
      <c r="M84" s="64">
        <v>98.9</v>
      </c>
      <c r="N84" s="64">
        <v>55.7</v>
      </c>
      <c r="O84" s="64">
        <v>0</v>
      </c>
      <c r="P84" s="64">
        <v>1.01</v>
      </c>
      <c r="Q84" s="64">
        <v>9.24</v>
      </c>
      <c r="R84" s="198"/>
      <c r="S84" s="198"/>
      <c r="T84" s="198"/>
      <c r="U84" s="198"/>
    </row>
    <row r="85" spans="1:26" s="12" customFormat="1" x14ac:dyDescent="0.25">
      <c r="A85" s="211" t="s">
        <v>420</v>
      </c>
      <c r="B85" s="64">
        <v>15.52</v>
      </c>
      <c r="C85" s="64">
        <v>15.24</v>
      </c>
      <c r="D85" s="64">
        <v>20.399999999999999</v>
      </c>
      <c r="E85" s="64">
        <v>6.55</v>
      </c>
      <c r="F85" s="64">
        <v>10.5</v>
      </c>
      <c r="G85" s="64">
        <v>57.87</v>
      </c>
      <c r="H85" s="64">
        <v>10.47</v>
      </c>
      <c r="I85" s="64">
        <v>1.83</v>
      </c>
      <c r="J85" s="64">
        <v>0.56999999999999995</v>
      </c>
      <c r="K85" s="64">
        <v>330.28</v>
      </c>
      <c r="L85" s="64">
        <v>26.17</v>
      </c>
      <c r="M85" s="64">
        <v>98.8</v>
      </c>
      <c r="N85" s="64">
        <v>56.4</v>
      </c>
      <c r="O85" s="64">
        <v>0</v>
      </c>
      <c r="P85" s="64">
        <v>1.17</v>
      </c>
      <c r="Q85" s="64">
        <v>9.25</v>
      </c>
      <c r="R85" s="198"/>
      <c r="S85" s="198"/>
      <c r="T85" s="198"/>
      <c r="U85" s="198"/>
    </row>
    <row r="86" spans="1:26" s="12" customFormat="1" x14ac:dyDescent="0.25">
      <c r="A86" s="211" t="s">
        <v>421</v>
      </c>
      <c r="B86" s="64">
        <v>15.2</v>
      </c>
      <c r="C86" s="64">
        <v>16.63</v>
      </c>
      <c r="D86" s="64">
        <v>20.88</v>
      </c>
      <c r="E86" s="64">
        <v>6.56</v>
      </c>
      <c r="F86" s="64">
        <v>10.19</v>
      </c>
      <c r="G86" s="64">
        <v>57.52</v>
      </c>
      <c r="H86" s="64">
        <v>10.47</v>
      </c>
      <c r="I86" s="64">
        <v>1.9</v>
      </c>
      <c r="J86" s="64">
        <v>0.4</v>
      </c>
      <c r="K86" s="64">
        <v>325.8</v>
      </c>
      <c r="L86" s="64">
        <v>26.17</v>
      </c>
      <c r="M86" s="64">
        <v>98.7</v>
      </c>
      <c r="N86" s="64">
        <v>56.4</v>
      </c>
      <c r="O86" s="64">
        <v>0</v>
      </c>
      <c r="P86" s="64">
        <v>1.52</v>
      </c>
      <c r="Q86" s="64">
        <v>9.26</v>
      </c>
      <c r="R86" s="198"/>
      <c r="S86" s="198"/>
      <c r="T86" s="198"/>
      <c r="U86" s="198"/>
    </row>
    <row r="87" spans="1:26" s="12" customFormat="1" x14ac:dyDescent="0.25">
      <c r="A87" s="211" t="s">
        <v>422</v>
      </c>
      <c r="B87" s="64">
        <v>17.78</v>
      </c>
      <c r="C87" s="64">
        <v>14.17</v>
      </c>
      <c r="D87" s="64">
        <v>21.63</v>
      </c>
      <c r="E87" s="64">
        <v>6.42</v>
      </c>
      <c r="F87" s="64">
        <v>10.38</v>
      </c>
      <c r="G87" s="64">
        <v>57.52</v>
      </c>
      <c r="H87" s="64">
        <v>10.47</v>
      </c>
      <c r="I87" s="64">
        <v>1.98</v>
      </c>
      <c r="J87" s="64">
        <v>0.65</v>
      </c>
      <c r="K87" s="64">
        <v>328.88</v>
      </c>
      <c r="L87" s="64">
        <v>26.16</v>
      </c>
      <c r="M87" s="64">
        <v>98.67</v>
      </c>
      <c r="N87" s="64">
        <v>56.6</v>
      </c>
      <c r="O87" s="64">
        <v>0</v>
      </c>
      <c r="P87" s="64">
        <v>1.1000000000000001</v>
      </c>
      <c r="Q87" s="64">
        <v>9.27</v>
      </c>
      <c r="R87" s="198"/>
      <c r="S87" s="198"/>
      <c r="T87" s="198"/>
      <c r="U87" s="198"/>
    </row>
    <row r="88" spans="1:26" s="12" customFormat="1" x14ac:dyDescent="0.25">
      <c r="A88" s="211" t="s">
        <v>423</v>
      </c>
      <c r="B88" s="64">
        <v>15.69</v>
      </c>
      <c r="C88" s="64">
        <v>14.99</v>
      </c>
      <c r="D88" s="64">
        <v>20.420000000000002</v>
      </c>
      <c r="E88" s="64">
        <v>6.95</v>
      </c>
      <c r="F88" s="64">
        <v>9.4</v>
      </c>
      <c r="G88" s="64">
        <v>57.52</v>
      </c>
      <c r="H88" s="64">
        <v>10.47</v>
      </c>
      <c r="I88" s="64">
        <v>2.09</v>
      </c>
      <c r="J88" s="64">
        <v>0.49</v>
      </c>
      <c r="K88" s="64">
        <v>320.8</v>
      </c>
      <c r="L88" s="64">
        <v>26.18</v>
      </c>
      <c r="M88" s="64">
        <v>98.61</v>
      </c>
      <c r="N88" s="64">
        <v>57.2</v>
      </c>
      <c r="O88" s="64">
        <v>0</v>
      </c>
      <c r="P88" s="64">
        <v>1.01</v>
      </c>
      <c r="Q88" s="64">
        <v>9.27</v>
      </c>
      <c r="R88" s="198"/>
      <c r="S88" s="198"/>
      <c r="T88" s="198"/>
      <c r="U88" s="198"/>
    </row>
    <row r="89" spans="1:26" s="12" customFormat="1" x14ac:dyDescent="0.25">
      <c r="A89" s="211" t="s">
        <v>424</v>
      </c>
      <c r="B89" s="64">
        <v>15.85</v>
      </c>
      <c r="C89" s="64">
        <v>12.86</v>
      </c>
      <c r="D89" s="64">
        <v>19.399999999999999</v>
      </c>
      <c r="E89" s="64">
        <v>6.44</v>
      </c>
      <c r="F89" s="64">
        <v>9.09</v>
      </c>
      <c r="G89" s="64">
        <v>65.900000000000006</v>
      </c>
      <c r="H89" s="64">
        <v>8.49</v>
      </c>
      <c r="I89" s="64">
        <v>2.19</v>
      </c>
      <c r="J89" s="64">
        <v>0.64</v>
      </c>
      <c r="K89" s="64">
        <v>326.16000000000003</v>
      </c>
      <c r="L89" s="64">
        <v>26.16</v>
      </c>
      <c r="M89" s="64">
        <v>98.57</v>
      </c>
      <c r="N89" s="64">
        <v>57.5</v>
      </c>
      <c r="O89" s="64">
        <v>0</v>
      </c>
      <c r="P89" s="64">
        <v>0.92</v>
      </c>
      <c r="Q89" s="64">
        <v>9.27</v>
      </c>
      <c r="R89" s="198"/>
      <c r="S89" s="198"/>
      <c r="T89" s="198"/>
      <c r="U89" s="198"/>
    </row>
    <row r="90" spans="1:26" s="12" customFormat="1" x14ac:dyDescent="0.25">
      <c r="A90" s="211" t="s">
        <v>425</v>
      </c>
      <c r="B90" s="64">
        <v>15.09</v>
      </c>
      <c r="C90" s="64">
        <v>8.0399999999999991</v>
      </c>
      <c r="D90" s="64">
        <v>16.3</v>
      </c>
      <c r="E90" s="64">
        <v>6.37</v>
      </c>
      <c r="F90" s="64">
        <v>7.39</v>
      </c>
      <c r="G90" s="64">
        <v>66.5</v>
      </c>
      <c r="H90" s="64">
        <v>8.49</v>
      </c>
      <c r="I90" s="64">
        <v>2.27</v>
      </c>
      <c r="J90" s="64">
        <v>0.88</v>
      </c>
      <c r="K90" s="64">
        <v>323.77</v>
      </c>
      <c r="L90" s="64">
        <v>26.04</v>
      </c>
      <c r="M90" s="64">
        <v>98.61</v>
      </c>
      <c r="N90" s="64">
        <v>57.7</v>
      </c>
      <c r="O90" s="64">
        <v>0</v>
      </c>
      <c r="P90" s="64">
        <v>0.9</v>
      </c>
      <c r="Q90" s="64">
        <v>9.27</v>
      </c>
      <c r="R90" s="198"/>
      <c r="S90" s="198"/>
      <c r="T90" s="198"/>
      <c r="U90" s="198"/>
    </row>
    <row r="91" spans="1:26" s="12" customFormat="1" x14ac:dyDescent="0.25">
      <c r="A91" s="211" t="s">
        <v>426</v>
      </c>
      <c r="B91" s="64">
        <v>15.05</v>
      </c>
      <c r="C91" s="64">
        <v>6.57</v>
      </c>
      <c r="D91" s="64">
        <v>15.5</v>
      </c>
      <c r="E91" s="64">
        <v>6.52</v>
      </c>
      <c r="F91" s="64">
        <v>5.92</v>
      </c>
      <c r="G91" s="64">
        <v>66.5</v>
      </c>
      <c r="H91" s="64">
        <v>8.49</v>
      </c>
      <c r="I91" s="64">
        <v>2.34</v>
      </c>
      <c r="J91" s="64">
        <v>1.31</v>
      </c>
      <c r="K91" s="64">
        <v>327.38</v>
      </c>
      <c r="L91" s="64">
        <v>25.89</v>
      </c>
      <c r="M91" s="64">
        <v>98.57</v>
      </c>
      <c r="N91" s="64">
        <v>58</v>
      </c>
      <c r="O91" s="64">
        <v>0</v>
      </c>
      <c r="P91" s="64">
        <v>0.88</v>
      </c>
      <c r="Q91" s="64">
        <v>9.25</v>
      </c>
      <c r="R91" s="198"/>
      <c r="S91" s="198"/>
      <c r="T91" s="198"/>
      <c r="U91" s="198"/>
    </row>
    <row r="92" spans="1:26" s="12" customFormat="1" x14ac:dyDescent="0.25">
      <c r="A92" s="211" t="s">
        <v>427</v>
      </c>
      <c r="B92" s="64">
        <v>24.1</v>
      </c>
      <c r="C92" s="64">
        <v>16.329999999999998</v>
      </c>
      <c r="D92" s="64">
        <v>27.37</v>
      </c>
      <c r="E92" s="64">
        <v>6.56</v>
      </c>
      <c r="F92" s="64">
        <v>9.34</v>
      </c>
      <c r="G92" s="64">
        <v>66.5</v>
      </c>
      <c r="H92" s="64">
        <v>8.49</v>
      </c>
      <c r="I92" s="64">
        <v>2.34</v>
      </c>
      <c r="J92" s="64">
        <v>1.49</v>
      </c>
      <c r="K92" s="64">
        <v>335.32</v>
      </c>
      <c r="L92" s="64">
        <v>25.76</v>
      </c>
      <c r="M92" s="64">
        <v>98.7</v>
      </c>
      <c r="N92" s="64">
        <v>58.4</v>
      </c>
      <c r="O92" s="64">
        <v>0</v>
      </c>
      <c r="P92" s="64">
        <v>0.94</v>
      </c>
      <c r="Q92" s="64">
        <v>9.24</v>
      </c>
      <c r="R92" s="198"/>
      <c r="S92" s="198"/>
      <c r="T92" s="198"/>
      <c r="U92" s="198"/>
    </row>
    <row r="93" spans="1:26" s="12" customFormat="1" x14ac:dyDescent="0.25">
      <c r="A93" s="211" t="s">
        <v>428</v>
      </c>
      <c r="B93" s="64">
        <v>31.63</v>
      </c>
      <c r="C93" s="64">
        <v>9.02</v>
      </c>
      <c r="D93" s="64">
        <v>28.91</v>
      </c>
      <c r="E93" s="64">
        <v>6.76</v>
      </c>
      <c r="F93" s="64">
        <v>8.7100000000000009</v>
      </c>
      <c r="G93" s="64">
        <v>70.459999999999994</v>
      </c>
      <c r="H93" s="64">
        <v>7.1</v>
      </c>
      <c r="I93" s="64">
        <v>2.3199999999999998</v>
      </c>
      <c r="J93" s="64">
        <v>1.65</v>
      </c>
      <c r="K93" s="64">
        <v>333.24</v>
      </c>
      <c r="L93" s="64">
        <v>25.64</v>
      </c>
      <c r="M93" s="64">
        <v>98.69</v>
      </c>
      <c r="N93" s="64">
        <v>60</v>
      </c>
      <c r="O93" s="64">
        <v>0</v>
      </c>
      <c r="P93" s="64">
        <v>0.96</v>
      </c>
      <c r="Q93" s="64">
        <v>9.24</v>
      </c>
      <c r="R93" s="198"/>
      <c r="S93" s="198"/>
      <c r="T93" s="198"/>
      <c r="U93" s="198"/>
    </row>
    <row r="94" spans="1:26" s="12" customFormat="1" x14ac:dyDescent="0.25">
      <c r="A94" s="211" t="s">
        <v>429</v>
      </c>
      <c r="B94" s="64">
        <v>20.89</v>
      </c>
      <c r="C94" s="64">
        <v>6.64</v>
      </c>
      <c r="D94" s="64">
        <v>20.18</v>
      </c>
      <c r="E94" s="64">
        <v>6.45</v>
      </c>
      <c r="F94" s="64">
        <v>6.98</v>
      </c>
      <c r="G94" s="64">
        <v>70.75</v>
      </c>
      <c r="H94" s="64">
        <v>7.1</v>
      </c>
      <c r="I94" s="64">
        <v>2.37</v>
      </c>
      <c r="J94" s="64">
        <v>1.42</v>
      </c>
      <c r="K94" s="64">
        <v>335.67</v>
      </c>
      <c r="L94" s="64">
        <v>24.59</v>
      </c>
      <c r="M94" s="64">
        <v>98.82</v>
      </c>
      <c r="N94" s="64">
        <v>60.4</v>
      </c>
      <c r="O94" s="64">
        <v>0</v>
      </c>
      <c r="P94" s="64">
        <v>0.9</v>
      </c>
      <c r="Q94" s="64">
        <v>9.32</v>
      </c>
      <c r="R94" s="198"/>
      <c r="S94" s="198"/>
      <c r="T94" s="198"/>
      <c r="U94" s="198"/>
    </row>
    <row r="95" spans="1:26" s="12" customFormat="1" x14ac:dyDescent="0.25">
      <c r="A95" s="211" t="s">
        <v>430</v>
      </c>
      <c r="B95" s="64">
        <v>17.809999999999999</v>
      </c>
      <c r="C95" s="64">
        <v>9.42</v>
      </c>
      <c r="D95" s="64">
        <v>19.2</v>
      </c>
      <c r="E95" s="64">
        <v>6.44</v>
      </c>
      <c r="F95" s="64">
        <v>10.7</v>
      </c>
      <c r="G95" s="64">
        <v>70.75</v>
      </c>
      <c r="H95" s="64">
        <v>7.1</v>
      </c>
      <c r="I95" s="64">
        <v>2.4300000000000002</v>
      </c>
      <c r="J95" s="64">
        <v>0.12</v>
      </c>
      <c r="K95" s="64">
        <v>4.72</v>
      </c>
      <c r="L95" s="64">
        <v>23.57</v>
      </c>
      <c r="M95" s="64">
        <v>98.72</v>
      </c>
      <c r="N95" s="64">
        <v>59.7</v>
      </c>
      <c r="O95" s="64">
        <v>0</v>
      </c>
      <c r="P95" s="64">
        <v>0.78</v>
      </c>
      <c r="Q95" s="64">
        <v>9.35</v>
      </c>
      <c r="R95" s="198"/>
      <c r="S95" s="198"/>
      <c r="T95" s="198"/>
      <c r="U95" s="198"/>
    </row>
    <row r="96" spans="1:26" s="12" customFormat="1" x14ac:dyDescent="0.25">
      <c r="A96" s="211" t="s">
        <v>431</v>
      </c>
      <c r="B96" s="64">
        <v>15.82</v>
      </c>
      <c r="C96" s="64">
        <v>6.75</v>
      </c>
      <c r="D96" s="64">
        <v>16.22</v>
      </c>
      <c r="E96" s="64">
        <v>6.26</v>
      </c>
      <c r="F96" s="64">
        <v>11.37</v>
      </c>
      <c r="G96" s="64">
        <v>70.75</v>
      </c>
      <c r="H96" s="64">
        <v>7.1</v>
      </c>
      <c r="I96" s="64">
        <v>2.42</v>
      </c>
      <c r="J96" s="64">
        <v>0.12</v>
      </c>
      <c r="K96" s="64">
        <v>125.36</v>
      </c>
      <c r="L96" s="64">
        <v>22.63</v>
      </c>
      <c r="M96" s="64">
        <v>98.69</v>
      </c>
      <c r="N96" s="64">
        <v>59.9</v>
      </c>
      <c r="O96" s="64">
        <v>0</v>
      </c>
      <c r="P96" s="64">
        <v>0.67</v>
      </c>
      <c r="Q96" s="64">
        <v>9.35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432</v>
      </c>
      <c r="B97" s="64">
        <v>18.88</v>
      </c>
      <c r="C97" s="64">
        <v>7.24</v>
      </c>
      <c r="D97" s="64">
        <v>18.920000000000002</v>
      </c>
      <c r="E97" s="64">
        <v>5.92</v>
      </c>
      <c r="F97" s="64">
        <v>9.3800000000000008</v>
      </c>
      <c r="G97" s="64">
        <v>65.84</v>
      </c>
      <c r="H97" s="64">
        <v>6.12</v>
      </c>
      <c r="I97" s="64">
        <v>2.39</v>
      </c>
      <c r="J97" s="64">
        <v>0.68</v>
      </c>
      <c r="K97" s="64">
        <v>331.61</v>
      </c>
      <c r="L97" s="64">
        <v>22.59</v>
      </c>
      <c r="M97" s="64">
        <v>98.69</v>
      </c>
      <c r="N97" s="64">
        <v>59.7</v>
      </c>
      <c r="O97" s="64">
        <v>0</v>
      </c>
      <c r="P97" s="64">
        <v>0.83</v>
      </c>
      <c r="Q97" s="64">
        <v>9.36</v>
      </c>
      <c r="R97" s="198"/>
      <c r="S97" s="198"/>
      <c r="T97" s="198"/>
      <c r="U97" s="198"/>
    </row>
    <row r="98" spans="1:33" s="12" customFormat="1" x14ac:dyDescent="0.25">
      <c r="A98" s="211" t="s">
        <v>433</v>
      </c>
      <c r="B98" s="64">
        <v>15.32</v>
      </c>
      <c r="C98" s="64">
        <v>9.9600000000000009</v>
      </c>
      <c r="D98" s="64">
        <v>17.489999999999998</v>
      </c>
      <c r="E98" s="64">
        <v>5.99</v>
      </c>
      <c r="F98" s="64">
        <v>9.0299999999999994</v>
      </c>
      <c r="G98" s="64">
        <v>65.489999999999995</v>
      </c>
      <c r="H98" s="64">
        <v>6.12</v>
      </c>
      <c r="I98" s="64">
        <v>2.36</v>
      </c>
      <c r="J98" s="64">
        <v>0.06</v>
      </c>
      <c r="K98" s="64">
        <v>317.92</v>
      </c>
      <c r="L98" s="64">
        <v>22.65</v>
      </c>
      <c r="M98" s="64">
        <v>98.97</v>
      </c>
      <c r="N98" s="64">
        <v>59.5</v>
      </c>
      <c r="O98" s="64">
        <v>0</v>
      </c>
      <c r="P98" s="64">
        <v>0.68</v>
      </c>
      <c r="Q98" s="64">
        <v>9.35</v>
      </c>
      <c r="R98" s="198"/>
      <c r="S98" s="198"/>
      <c r="T98" s="198"/>
      <c r="U98" s="198"/>
    </row>
    <row r="99" spans="1:33" s="12" customFormat="1" x14ac:dyDescent="0.25">
      <c r="A99" s="211" t="s">
        <v>434</v>
      </c>
      <c r="B99" s="64">
        <v>16.53</v>
      </c>
      <c r="C99" s="64">
        <v>8.2100000000000009</v>
      </c>
      <c r="D99" s="64">
        <v>17.54</v>
      </c>
      <c r="E99" s="64">
        <v>6.34</v>
      </c>
      <c r="F99" s="64">
        <v>6.41</v>
      </c>
      <c r="G99" s="64">
        <v>65.489999999999995</v>
      </c>
      <c r="H99" s="64">
        <v>6.12</v>
      </c>
      <c r="I99" s="64">
        <v>2.3199999999999998</v>
      </c>
      <c r="J99" s="64">
        <v>0.09</v>
      </c>
      <c r="K99" s="64">
        <v>335.6</v>
      </c>
      <c r="L99" s="64">
        <v>22.74</v>
      </c>
      <c r="M99" s="64">
        <v>99.1</v>
      </c>
      <c r="N99" s="64">
        <v>59.6</v>
      </c>
      <c r="O99" s="64">
        <v>0</v>
      </c>
      <c r="P99" s="64">
        <v>0.82</v>
      </c>
      <c r="Q99" s="64">
        <v>9.34</v>
      </c>
      <c r="R99" s="198"/>
      <c r="S99" s="198"/>
      <c r="T99" s="198"/>
      <c r="U99" s="198"/>
    </row>
    <row r="100" spans="1:33" s="12" customFormat="1" x14ac:dyDescent="0.25">
      <c r="A100" s="211" t="s">
        <v>435</v>
      </c>
      <c r="B100" s="64">
        <v>15.61</v>
      </c>
      <c r="C100" s="64">
        <v>11.83</v>
      </c>
      <c r="D100" s="64">
        <v>18.7</v>
      </c>
      <c r="E100" s="64">
        <v>5.8</v>
      </c>
      <c r="F100" s="64">
        <v>8.9499999999999993</v>
      </c>
      <c r="G100" s="64">
        <v>65.489999999999995</v>
      </c>
      <c r="H100" s="64">
        <v>6.12</v>
      </c>
      <c r="I100" s="64">
        <v>2.2799999999999998</v>
      </c>
      <c r="J100" s="64">
        <v>0.09</v>
      </c>
      <c r="K100" s="64">
        <v>296.62</v>
      </c>
      <c r="L100" s="64">
        <v>22.75</v>
      </c>
      <c r="M100" s="64">
        <v>99.24</v>
      </c>
      <c r="N100" s="64">
        <v>59.9</v>
      </c>
      <c r="O100" s="64">
        <v>0</v>
      </c>
      <c r="P100" s="64">
        <v>0.71</v>
      </c>
      <c r="Q100" s="64">
        <v>9.34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436</v>
      </c>
      <c r="B101" s="64">
        <v>14.4</v>
      </c>
      <c r="C101" s="64">
        <v>8.1</v>
      </c>
      <c r="D101" s="64">
        <v>15.78</v>
      </c>
      <c r="E101" s="64">
        <v>5.95</v>
      </c>
      <c r="F101" s="64">
        <v>8.8800000000000008</v>
      </c>
      <c r="G101" s="64">
        <v>44.61</v>
      </c>
      <c r="H101" s="64">
        <v>9.06</v>
      </c>
      <c r="I101" s="64">
        <v>2.2400000000000002</v>
      </c>
      <c r="J101" s="64">
        <v>0.14000000000000001</v>
      </c>
      <c r="K101" s="64">
        <v>318.23</v>
      </c>
      <c r="L101" s="64">
        <v>22.65</v>
      </c>
      <c r="M101" s="64">
        <v>99.06</v>
      </c>
      <c r="N101" s="64">
        <v>60.2</v>
      </c>
      <c r="O101" s="64">
        <v>0</v>
      </c>
      <c r="P101" s="64">
        <v>0.67</v>
      </c>
      <c r="Q101" s="64">
        <v>9.33</v>
      </c>
      <c r="R101" s="198"/>
      <c r="S101" s="198"/>
      <c r="T101" s="198"/>
      <c r="U101" s="198"/>
    </row>
    <row r="102" spans="1:33" s="12" customFormat="1" x14ac:dyDescent="0.25">
      <c r="A102" s="211" t="s">
        <v>437</v>
      </c>
      <c r="B102" s="64">
        <v>12.45</v>
      </c>
      <c r="C102" s="64">
        <v>8.2899999999999991</v>
      </c>
      <c r="D102" s="64">
        <v>14.32</v>
      </c>
      <c r="E102" s="64">
        <v>5.93</v>
      </c>
      <c r="F102" s="64">
        <v>9.08</v>
      </c>
      <c r="G102" s="64">
        <v>43.11</v>
      </c>
      <c r="H102" s="64">
        <v>9.06</v>
      </c>
      <c r="I102" s="64">
        <v>2.2200000000000002</v>
      </c>
      <c r="J102" s="64">
        <v>0.06</v>
      </c>
      <c r="K102" s="64">
        <v>174.18</v>
      </c>
      <c r="L102" s="64">
        <v>22.64</v>
      </c>
      <c r="M102" s="64">
        <v>98.88</v>
      </c>
      <c r="N102" s="64">
        <v>60.1</v>
      </c>
      <c r="O102" s="64">
        <v>0</v>
      </c>
      <c r="P102" s="64">
        <v>0.5</v>
      </c>
      <c r="Q102" s="64">
        <v>9.34</v>
      </c>
      <c r="R102" s="198"/>
      <c r="S102" s="198"/>
      <c r="T102" s="198"/>
      <c r="U102" s="198"/>
    </row>
    <row r="103" spans="1:33" s="12" customFormat="1" x14ac:dyDescent="0.25">
      <c r="A103" s="211" t="s">
        <v>438</v>
      </c>
      <c r="B103" s="64">
        <v>13.49</v>
      </c>
      <c r="C103" s="64">
        <v>7.76</v>
      </c>
      <c r="D103" s="64">
        <v>14.87</v>
      </c>
      <c r="E103" s="64">
        <v>5.64</v>
      </c>
      <c r="F103" s="64">
        <v>9.2799999999999994</v>
      </c>
      <c r="G103" s="64">
        <v>43.11</v>
      </c>
      <c r="H103" s="64">
        <v>9.06</v>
      </c>
      <c r="I103" s="64">
        <v>2.19</v>
      </c>
      <c r="J103" s="64">
        <v>0.25</v>
      </c>
      <c r="K103" s="64">
        <v>320.58</v>
      </c>
      <c r="L103" s="64">
        <v>22.72</v>
      </c>
      <c r="M103" s="64">
        <v>98.77</v>
      </c>
      <c r="N103" s="64">
        <v>60</v>
      </c>
      <c r="O103" s="64">
        <v>0</v>
      </c>
      <c r="P103" s="64">
        <v>0.56000000000000005</v>
      </c>
      <c r="Q103" s="64">
        <v>9.34</v>
      </c>
      <c r="R103" s="198"/>
      <c r="S103" s="198"/>
      <c r="T103" s="198"/>
      <c r="U103" s="198"/>
    </row>
    <row r="104" spans="1:33" s="12" customFormat="1" x14ac:dyDescent="0.25">
      <c r="A104" s="211" t="s">
        <v>439</v>
      </c>
      <c r="B104" s="64">
        <v>13.48</v>
      </c>
      <c r="C104" s="64">
        <v>8.42</v>
      </c>
      <c r="D104" s="64">
        <v>15.21</v>
      </c>
      <c r="E104" s="64">
        <v>4.82</v>
      </c>
      <c r="F104" s="64">
        <v>10.99</v>
      </c>
      <c r="G104" s="64">
        <v>43.11</v>
      </c>
      <c r="H104" s="64">
        <v>9.06</v>
      </c>
      <c r="I104" s="64">
        <v>2.15</v>
      </c>
      <c r="J104" s="64">
        <v>0.41</v>
      </c>
      <c r="K104" s="64">
        <v>333</v>
      </c>
      <c r="L104" s="64">
        <v>22.78</v>
      </c>
      <c r="M104" s="64">
        <v>98.67</v>
      </c>
      <c r="N104" s="64">
        <v>60.4</v>
      </c>
      <c r="O104" s="64">
        <v>0</v>
      </c>
      <c r="P104" s="64">
        <v>0.52</v>
      </c>
      <c r="Q104" s="64">
        <v>9.33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8.2100000000000009</v>
      </c>
      <c r="C106" s="67">
        <f>MIN(C9:C104)</f>
        <v>4.45</v>
      </c>
      <c r="D106" s="67">
        <f t="shared" ref="D106:Q106" si="0">MIN(D9:D104)</f>
        <v>13.59</v>
      </c>
      <c r="E106" s="67">
        <f t="shared" si="0"/>
        <v>3.84</v>
      </c>
      <c r="F106" s="67">
        <f t="shared" si="0"/>
        <v>5.44</v>
      </c>
      <c r="G106" s="67">
        <f t="shared" si="0"/>
        <v>43.11</v>
      </c>
      <c r="H106" s="67">
        <f t="shared" si="0"/>
        <v>6.12</v>
      </c>
      <c r="I106" s="67">
        <f t="shared" si="0"/>
        <v>1.54</v>
      </c>
      <c r="J106" s="67">
        <f t="shared" si="0"/>
        <v>0.01</v>
      </c>
      <c r="K106" s="67">
        <f t="shared" si="0"/>
        <v>4.72</v>
      </c>
      <c r="L106" s="67">
        <f t="shared" si="0"/>
        <v>22.43</v>
      </c>
      <c r="M106" s="67">
        <f t="shared" si="0"/>
        <v>75.89</v>
      </c>
      <c r="N106" s="67">
        <f t="shared" si="0"/>
        <v>48.8</v>
      </c>
      <c r="O106" s="67">
        <f t="shared" si="0"/>
        <v>0</v>
      </c>
      <c r="P106" s="67">
        <f t="shared" si="0"/>
        <v>0.43</v>
      </c>
      <c r="Q106" s="67">
        <f t="shared" si="0"/>
        <v>9.15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31.63</v>
      </c>
      <c r="C107" s="66">
        <f t="shared" ref="C107:Q107" si="1">MAX(C9:C104)</f>
        <v>22.45</v>
      </c>
      <c r="D107" s="66">
        <f t="shared" si="1"/>
        <v>28.91</v>
      </c>
      <c r="E107" s="66">
        <f t="shared" si="1"/>
        <v>10.91</v>
      </c>
      <c r="F107" s="66">
        <f t="shared" si="1"/>
        <v>650.69000000000005</v>
      </c>
      <c r="G107" s="66">
        <f t="shared" si="1"/>
        <v>85.87</v>
      </c>
      <c r="H107" s="66">
        <f t="shared" si="1"/>
        <v>12.08</v>
      </c>
      <c r="I107" s="66">
        <f t="shared" si="1"/>
        <v>3.05</v>
      </c>
      <c r="J107" s="66">
        <f t="shared" si="1"/>
        <v>2.08</v>
      </c>
      <c r="K107" s="66">
        <f t="shared" si="1"/>
        <v>359.69</v>
      </c>
      <c r="L107" s="66">
        <f t="shared" si="1"/>
        <v>31.02</v>
      </c>
      <c r="M107" s="66">
        <f t="shared" si="1"/>
        <v>99.24</v>
      </c>
      <c r="N107" s="66">
        <f t="shared" si="1"/>
        <v>633.20000000000005</v>
      </c>
      <c r="O107" s="66">
        <f t="shared" si="1"/>
        <v>0</v>
      </c>
      <c r="P107" s="66">
        <f t="shared" si="1"/>
        <v>1.52</v>
      </c>
      <c r="Q107" s="66">
        <f t="shared" si="1"/>
        <v>9.52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17.909375000000004</v>
      </c>
      <c r="C108" s="67">
        <f t="shared" ref="C108:Q108" si="2">AVERAGE(C9:C104)</f>
        <v>10.904895833333336</v>
      </c>
      <c r="D108" s="67">
        <f t="shared" si="2"/>
        <v>20.029479166666672</v>
      </c>
      <c r="E108" s="67">
        <f t="shared" si="2"/>
        <v>5.938229166666666</v>
      </c>
      <c r="F108" s="67">
        <f t="shared" si="2"/>
        <v>22.117812500000003</v>
      </c>
      <c r="G108" s="67">
        <f t="shared" si="2"/>
        <v>71.159270833333323</v>
      </c>
      <c r="H108" s="67">
        <f t="shared" si="2"/>
        <v>8.6500000000000039</v>
      </c>
      <c r="I108" s="67">
        <f t="shared" si="2"/>
        <v>2.2628125000000012</v>
      </c>
      <c r="J108" s="67">
        <f t="shared" si="2"/>
        <v>0.68770833333333359</v>
      </c>
      <c r="K108" s="67">
        <f t="shared" si="2"/>
        <v>307.54687500000006</v>
      </c>
      <c r="L108" s="67">
        <f t="shared" si="2"/>
        <v>25.781666666666666</v>
      </c>
      <c r="M108" s="67">
        <f t="shared" si="2"/>
        <v>94.497708333333279</v>
      </c>
      <c r="N108" s="67">
        <f t="shared" si="2"/>
        <v>156.29895833333336</v>
      </c>
      <c r="O108" s="67">
        <f t="shared" si="2"/>
        <v>0</v>
      </c>
      <c r="P108" s="67">
        <f t="shared" si="2"/>
        <v>0.71114583333333325</v>
      </c>
      <c r="Q108" s="67">
        <f t="shared" si="2"/>
        <v>9.3537499999999998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4.1047576535937891</v>
      </c>
      <c r="C109" s="67">
        <f t="shared" ref="C109:Q109" si="3">STDEV(C9:C104)</f>
        <v>3.358755093559028</v>
      </c>
      <c r="D109" s="67">
        <f t="shared" si="3"/>
        <v>3.2394458167348694</v>
      </c>
      <c r="E109" s="67">
        <f t="shared" si="3"/>
        <v>1.5186004601132432</v>
      </c>
      <c r="F109" s="67">
        <f t="shared" si="3"/>
        <v>87.098302964954499</v>
      </c>
      <c r="G109" s="67">
        <f t="shared" si="3"/>
        <v>9.082134138810936</v>
      </c>
      <c r="H109" s="67">
        <f t="shared" si="3"/>
        <v>1.6013678363724979</v>
      </c>
      <c r="I109" s="67">
        <f t="shared" si="3"/>
        <v>0.49567753338764264</v>
      </c>
      <c r="J109" s="67">
        <f t="shared" si="3"/>
        <v>0.54140456546724036</v>
      </c>
      <c r="K109" s="67">
        <f t="shared" si="3"/>
        <v>74.13640655912539</v>
      </c>
      <c r="L109" s="67">
        <f t="shared" si="3"/>
        <v>2.8844697283963967</v>
      </c>
      <c r="M109" s="67">
        <f t="shared" si="3"/>
        <v>7.1384917291166392</v>
      </c>
      <c r="N109" s="67">
        <f t="shared" si="3"/>
        <v>156.83848110970155</v>
      </c>
      <c r="O109" s="67">
        <f t="shared" si="3"/>
        <v>0</v>
      </c>
      <c r="P109" s="67">
        <f t="shared" si="3"/>
        <v>0.18410448859084994</v>
      </c>
      <c r="Q109" s="67">
        <f t="shared" si="3"/>
        <v>0.10203456586656783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C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R116" sqref="R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440</v>
      </c>
      <c r="B9" s="64">
        <v>14.85</v>
      </c>
      <c r="C9" s="64">
        <v>8.89</v>
      </c>
      <c r="D9" s="64">
        <v>16.559999999999999</v>
      </c>
      <c r="E9" s="64">
        <v>5.22</v>
      </c>
      <c r="F9" s="64">
        <v>9.9499999999999993</v>
      </c>
      <c r="G9" s="64">
        <v>37.700000000000003</v>
      </c>
      <c r="H9" s="64">
        <v>7.5</v>
      </c>
      <c r="I9" s="64">
        <v>2.12</v>
      </c>
      <c r="J9" s="64">
        <v>0.36</v>
      </c>
      <c r="K9" s="64">
        <v>339.96</v>
      </c>
      <c r="L9" s="64">
        <v>22.75</v>
      </c>
      <c r="M9" s="64">
        <v>98.62</v>
      </c>
      <c r="N9" s="64">
        <v>60.5</v>
      </c>
      <c r="O9" s="64">
        <v>0</v>
      </c>
      <c r="P9" s="64">
        <v>0.47</v>
      </c>
      <c r="Q9" s="64">
        <v>9.33</v>
      </c>
      <c r="R9" s="198"/>
      <c r="S9" s="198"/>
      <c r="T9" s="198"/>
      <c r="U9" s="198"/>
    </row>
    <row r="10" spans="1:21" s="12" customFormat="1" x14ac:dyDescent="0.25">
      <c r="A10" s="211" t="s">
        <v>441</v>
      </c>
      <c r="B10" s="64">
        <v>13.19</v>
      </c>
      <c r="C10" s="64">
        <v>6.96</v>
      </c>
      <c r="D10" s="64">
        <v>14.21</v>
      </c>
      <c r="E10" s="64">
        <v>5.12</v>
      </c>
      <c r="F10" s="64">
        <v>7.6</v>
      </c>
      <c r="G10" s="64">
        <v>37.32</v>
      </c>
      <c r="H10" s="64">
        <v>7.5</v>
      </c>
      <c r="I10" s="64">
        <v>2.09</v>
      </c>
      <c r="J10" s="64">
        <v>0.72</v>
      </c>
      <c r="K10" s="64">
        <v>335.19</v>
      </c>
      <c r="L10" s="64">
        <v>22.67</v>
      </c>
      <c r="M10" s="64">
        <v>98.65</v>
      </c>
      <c r="N10" s="64">
        <v>60.7</v>
      </c>
      <c r="O10" s="64">
        <v>0</v>
      </c>
      <c r="P10" s="64">
        <v>0.57999999999999996</v>
      </c>
      <c r="Q10" s="64">
        <v>9.33</v>
      </c>
      <c r="R10" s="198"/>
      <c r="S10" s="198"/>
      <c r="T10" s="198"/>
      <c r="U10" s="198"/>
    </row>
    <row r="11" spans="1:21" s="12" customFormat="1" x14ac:dyDescent="0.25">
      <c r="A11" s="211" t="s">
        <v>442</v>
      </c>
      <c r="B11" s="64">
        <v>12.7</v>
      </c>
      <c r="C11" s="64">
        <v>7.36</v>
      </c>
      <c r="D11" s="64">
        <v>14.03</v>
      </c>
      <c r="E11" s="64">
        <v>5.44</v>
      </c>
      <c r="F11" s="64">
        <v>8.2200000000000006</v>
      </c>
      <c r="G11" s="64">
        <v>37.32</v>
      </c>
      <c r="H11" s="64">
        <v>7.5</v>
      </c>
      <c r="I11" s="64">
        <v>2.0499999999999998</v>
      </c>
      <c r="J11" s="64">
        <v>0.77</v>
      </c>
      <c r="K11" s="64">
        <v>339.71</v>
      </c>
      <c r="L11" s="64">
        <v>22.59</v>
      </c>
      <c r="M11" s="64">
        <v>98.63</v>
      </c>
      <c r="N11" s="64">
        <v>60.4</v>
      </c>
      <c r="O11" s="64">
        <v>0</v>
      </c>
      <c r="P11" s="64">
        <v>0.6</v>
      </c>
      <c r="Q11" s="64">
        <v>9.32</v>
      </c>
      <c r="R11" s="198"/>
      <c r="S11" s="198"/>
      <c r="T11" s="198"/>
      <c r="U11" s="198"/>
    </row>
    <row r="12" spans="1:21" s="12" customFormat="1" x14ac:dyDescent="0.25">
      <c r="A12" s="211" t="s">
        <v>443</v>
      </c>
      <c r="B12" s="64">
        <v>14.21</v>
      </c>
      <c r="C12" s="64">
        <v>6.24</v>
      </c>
      <c r="D12" s="64">
        <v>14.66</v>
      </c>
      <c r="E12" s="64">
        <v>5.5</v>
      </c>
      <c r="F12" s="64">
        <v>7.61</v>
      </c>
      <c r="G12" s="64">
        <v>37.32</v>
      </c>
      <c r="H12" s="64">
        <v>7.5</v>
      </c>
      <c r="I12" s="64">
        <v>2.0099999999999998</v>
      </c>
      <c r="J12" s="64">
        <v>0.66</v>
      </c>
      <c r="K12" s="64">
        <v>339.26</v>
      </c>
      <c r="L12" s="64">
        <v>22.52</v>
      </c>
      <c r="M12" s="64">
        <v>98.62</v>
      </c>
      <c r="N12" s="64">
        <v>60.7</v>
      </c>
      <c r="O12" s="64">
        <v>0</v>
      </c>
      <c r="P12" s="64">
        <v>0.65</v>
      </c>
      <c r="Q12" s="64">
        <v>9.2799999999999994</v>
      </c>
      <c r="R12" s="198"/>
      <c r="S12" s="198"/>
      <c r="T12" s="198"/>
      <c r="U12" s="198"/>
    </row>
    <row r="13" spans="1:21" s="12" customFormat="1" x14ac:dyDescent="0.25">
      <c r="A13" s="211" t="s">
        <v>444</v>
      </c>
      <c r="B13" s="64">
        <v>11.56</v>
      </c>
      <c r="C13" s="64">
        <v>10.74</v>
      </c>
      <c r="D13" s="64">
        <v>14.88</v>
      </c>
      <c r="E13" s="64">
        <v>5.25</v>
      </c>
      <c r="F13" s="64">
        <v>8.8699999999999992</v>
      </c>
      <c r="G13" s="64">
        <v>33.64</v>
      </c>
      <c r="H13" s="64">
        <v>6.4</v>
      </c>
      <c r="I13" s="64">
        <v>1.96</v>
      </c>
      <c r="J13" s="64">
        <v>0.92</v>
      </c>
      <c r="K13" s="64">
        <v>339.01</v>
      </c>
      <c r="L13" s="64">
        <v>22.55</v>
      </c>
      <c r="M13" s="64">
        <v>98.62</v>
      </c>
      <c r="N13" s="64">
        <v>61</v>
      </c>
      <c r="O13" s="64">
        <v>0</v>
      </c>
      <c r="P13" s="64">
        <v>0.54</v>
      </c>
      <c r="Q13" s="64">
        <v>9.26</v>
      </c>
      <c r="R13" s="198"/>
      <c r="S13" s="198"/>
      <c r="T13" s="198"/>
      <c r="U13" s="198"/>
    </row>
    <row r="14" spans="1:21" s="12" customFormat="1" x14ac:dyDescent="0.25">
      <c r="A14" s="211" t="s">
        <v>445</v>
      </c>
      <c r="B14" s="64">
        <v>12.82</v>
      </c>
      <c r="C14" s="64">
        <v>7.97</v>
      </c>
      <c r="D14" s="64">
        <v>14.45</v>
      </c>
      <c r="E14" s="64">
        <v>5.16</v>
      </c>
      <c r="F14" s="64">
        <v>7.88</v>
      </c>
      <c r="G14" s="64">
        <v>33.380000000000003</v>
      </c>
      <c r="H14" s="64">
        <v>6.4</v>
      </c>
      <c r="I14" s="64">
        <v>1.91</v>
      </c>
      <c r="J14" s="64">
        <v>0.65</v>
      </c>
      <c r="K14" s="64">
        <v>337.21</v>
      </c>
      <c r="L14" s="64">
        <v>22.52</v>
      </c>
      <c r="M14" s="64">
        <v>98.65</v>
      </c>
      <c r="N14" s="64">
        <v>61.2</v>
      </c>
      <c r="O14" s="64">
        <v>0</v>
      </c>
      <c r="P14" s="64">
        <v>0.63</v>
      </c>
      <c r="Q14" s="64">
        <v>9.24</v>
      </c>
      <c r="R14" s="198"/>
      <c r="S14" s="198"/>
      <c r="T14" s="198"/>
      <c r="U14" s="198"/>
    </row>
    <row r="15" spans="1:21" s="12" customFormat="1" x14ac:dyDescent="0.25">
      <c r="A15" s="211" t="s">
        <v>446</v>
      </c>
      <c r="B15" s="64">
        <v>11.86</v>
      </c>
      <c r="C15" s="64">
        <v>10.16</v>
      </c>
      <c r="D15" s="64">
        <v>14.82</v>
      </c>
      <c r="E15" s="64">
        <v>5.49</v>
      </c>
      <c r="F15" s="64">
        <v>8.6999999999999993</v>
      </c>
      <c r="G15" s="64">
        <v>33.380000000000003</v>
      </c>
      <c r="H15" s="64">
        <v>6.4</v>
      </c>
      <c r="I15" s="64">
        <v>1.87</v>
      </c>
      <c r="J15" s="64">
        <v>0.89</v>
      </c>
      <c r="K15" s="64">
        <v>335.87</v>
      </c>
      <c r="L15" s="64">
        <v>22.52</v>
      </c>
      <c r="M15" s="64">
        <v>98.59</v>
      </c>
      <c r="N15" s="64">
        <v>61.6</v>
      </c>
      <c r="O15" s="64">
        <v>0</v>
      </c>
      <c r="P15" s="64">
        <v>0.61</v>
      </c>
      <c r="Q15" s="64">
        <v>9.2200000000000006</v>
      </c>
      <c r="R15" s="198"/>
      <c r="S15" s="198"/>
      <c r="T15" s="198"/>
      <c r="U15" s="198"/>
    </row>
    <row r="16" spans="1:21" s="12" customFormat="1" x14ac:dyDescent="0.25">
      <c r="A16" s="211" t="s">
        <v>447</v>
      </c>
      <c r="B16" s="64">
        <v>12.76</v>
      </c>
      <c r="C16" s="64">
        <v>7.29</v>
      </c>
      <c r="D16" s="64">
        <v>14.04</v>
      </c>
      <c r="E16" s="64">
        <v>5.28</v>
      </c>
      <c r="F16" s="64">
        <v>7.62</v>
      </c>
      <c r="G16" s="64">
        <v>33.380000000000003</v>
      </c>
      <c r="H16" s="64">
        <v>6.4</v>
      </c>
      <c r="I16" s="64">
        <v>1.86</v>
      </c>
      <c r="J16" s="64">
        <v>1.2</v>
      </c>
      <c r="K16" s="64">
        <v>338.06</v>
      </c>
      <c r="L16" s="64">
        <v>22.47</v>
      </c>
      <c r="M16" s="64">
        <v>98.61</v>
      </c>
      <c r="N16" s="64">
        <v>61.9</v>
      </c>
      <c r="O16" s="64">
        <v>0.4</v>
      </c>
      <c r="P16" s="64">
        <v>0.6</v>
      </c>
      <c r="Q16" s="64">
        <v>9.2100000000000009</v>
      </c>
      <c r="R16" s="198"/>
      <c r="S16" s="198"/>
      <c r="T16" s="198"/>
      <c r="U16" s="198"/>
    </row>
    <row r="17" spans="1:21" s="12" customFormat="1" x14ac:dyDescent="0.25">
      <c r="A17" s="211" t="s">
        <v>448</v>
      </c>
      <c r="B17" s="64">
        <v>12.27</v>
      </c>
      <c r="C17" s="64">
        <v>7.26</v>
      </c>
      <c r="D17" s="64">
        <v>13.63</v>
      </c>
      <c r="E17" s="64">
        <v>5.23</v>
      </c>
      <c r="F17" s="64">
        <v>5.7</v>
      </c>
      <c r="G17" s="64">
        <v>22.16</v>
      </c>
      <c r="H17" s="64">
        <v>5.69</v>
      </c>
      <c r="I17" s="64">
        <v>1.83</v>
      </c>
      <c r="J17" s="64">
        <v>1.2</v>
      </c>
      <c r="K17" s="64">
        <v>337.02</v>
      </c>
      <c r="L17" s="64">
        <v>22.37</v>
      </c>
      <c r="M17" s="64">
        <v>98.56</v>
      </c>
      <c r="N17" s="64">
        <v>62</v>
      </c>
      <c r="O17" s="64">
        <v>0</v>
      </c>
      <c r="P17" s="64">
        <v>0.59</v>
      </c>
      <c r="Q17" s="64">
        <v>9.1999999999999993</v>
      </c>
      <c r="R17" s="198"/>
      <c r="S17" s="198"/>
      <c r="T17" s="198"/>
      <c r="U17" s="198"/>
    </row>
    <row r="18" spans="1:21" s="12" customFormat="1" x14ac:dyDescent="0.25">
      <c r="A18" s="211" t="s">
        <v>449</v>
      </c>
      <c r="B18" s="64">
        <v>12.18</v>
      </c>
      <c r="C18" s="64">
        <v>6.51</v>
      </c>
      <c r="D18" s="64">
        <v>13.17</v>
      </c>
      <c r="E18" s="64">
        <v>5.32</v>
      </c>
      <c r="F18" s="64">
        <v>9.83</v>
      </c>
      <c r="G18" s="64">
        <v>21.36</v>
      </c>
      <c r="H18" s="64">
        <v>5.69</v>
      </c>
      <c r="I18" s="64">
        <v>1.79</v>
      </c>
      <c r="J18" s="64">
        <v>1.37</v>
      </c>
      <c r="K18" s="64">
        <v>337.76</v>
      </c>
      <c r="L18" s="64">
        <v>22.35</v>
      </c>
      <c r="M18" s="64">
        <v>98.51</v>
      </c>
      <c r="N18" s="64">
        <v>61.8</v>
      </c>
      <c r="O18" s="64">
        <v>0</v>
      </c>
      <c r="P18" s="64">
        <v>0.54</v>
      </c>
      <c r="Q18" s="64">
        <v>9.19</v>
      </c>
      <c r="R18" s="198"/>
      <c r="S18" s="198"/>
      <c r="T18" s="198"/>
      <c r="U18" s="198"/>
    </row>
    <row r="19" spans="1:21" s="12" customFormat="1" x14ac:dyDescent="0.25">
      <c r="A19" s="211" t="s">
        <v>450</v>
      </c>
      <c r="B19" s="64">
        <v>11.91</v>
      </c>
      <c r="C19" s="64">
        <v>6.31</v>
      </c>
      <c r="D19" s="64">
        <v>12.85</v>
      </c>
      <c r="E19" s="64">
        <v>4.92</v>
      </c>
      <c r="F19" s="64">
        <v>6.85</v>
      </c>
      <c r="G19" s="64">
        <v>21.36</v>
      </c>
      <c r="H19" s="64">
        <v>5.69</v>
      </c>
      <c r="I19" s="64">
        <v>1.74</v>
      </c>
      <c r="J19" s="64">
        <v>1</v>
      </c>
      <c r="K19" s="64">
        <v>336.05</v>
      </c>
      <c r="L19" s="64">
        <v>22.32</v>
      </c>
      <c r="M19" s="64">
        <v>98.55</v>
      </c>
      <c r="N19" s="64">
        <v>61.8</v>
      </c>
      <c r="O19" s="64">
        <v>0.4</v>
      </c>
      <c r="P19" s="64">
        <v>0.55000000000000004</v>
      </c>
      <c r="Q19" s="64">
        <v>9.18</v>
      </c>
      <c r="R19" s="198"/>
      <c r="S19" s="198"/>
      <c r="T19" s="198"/>
      <c r="U19" s="198"/>
    </row>
    <row r="20" spans="1:21" s="12" customFormat="1" x14ac:dyDescent="0.25">
      <c r="A20" s="211" t="s">
        <v>451</v>
      </c>
      <c r="B20" s="64">
        <v>11.24</v>
      </c>
      <c r="C20" s="64">
        <v>7.61</v>
      </c>
      <c r="D20" s="64">
        <v>12.99</v>
      </c>
      <c r="E20" s="64">
        <v>4.93</v>
      </c>
      <c r="F20" s="64">
        <v>7.51</v>
      </c>
      <c r="G20" s="64">
        <v>21.36</v>
      </c>
      <c r="H20" s="64">
        <v>5.69</v>
      </c>
      <c r="I20" s="64">
        <v>1.68</v>
      </c>
      <c r="J20" s="64">
        <v>1.1499999999999999</v>
      </c>
      <c r="K20" s="64">
        <v>336.3</v>
      </c>
      <c r="L20" s="64">
        <v>22.34</v>
      </c>
      <c r="M20" s="64">
        <v>98.51</v>
      </c>
      <c r="N20" s="64">
        <v>62.9</v>
      </c>
      <c r="O20" s="64">
        <v>0</v>
      </c>
      <c r="P20" s="64">
        <v>0.51</v>
      </c>
      <c r="Q20" s="64">
        <v>9.17</v>
      </c>
      <c r="R20" s="198"/>
      <c r="S20" s="198"/>
      <c r="T20" s="198"/>
      <c r="U20" s="198"/>
    </row>
    <row r="21" spans="1:21" s="12" customFormat="1" x14ac:dyDescent="0.25">
      <c r="A21" s="211" t="s">
        <v>452</v>
      </c>
      <c r="B21" s="64">
        <v>11.2</v>
      </c>
      <c r="C21" s="64">
        <v>7.15</v>
      </c>
      <c r="D21" s="64">
        <v>12.72</v>
      </c>
      <c r="E21" s="64">
        <v>5.12</v>
      </c>
      <c r="F21" s="64">
        <v>7.6</v>
      </c>
      <c r="G21" s="64">
        <v>764.8</v>
      </c>
      <c r="H21" s="64">
        <v>10.02</v>
      </c>
      <c r="I21" s="64">
        <v>1.64</v>
      </c>
      <c r="J21" s="64">
        <v>0.37</v>
      </c>
      <c r="K21" s="64">
        <v>323.27999999999997</v>
      </c>
      <c r="L21" s="64">
        <v>21.95</v>
      </c>
      <c r="M21" s="64">
        <v>98.56</v>
      </c>
      <c r="N21" s="64">
        <v>62.8</v>
      </c>
      <c r="O21" s="64">
        <v>0</v>
      </c>
      <c r="P21" s="64">
        <v>0.53</v>
      </c>
      <c r="Q21" s="64">
        <v>9.15</v>
      </c>
      <c r="R21" s="198"/>
      <c r="S21" s="198"/>
      <c r="T21" s="198"/>
      <c r="U21" s="198"/>
    </row>
    <row r="22" spans="1:21" s="12" customFormat="1" x14ac:dyDescent="0.25">
      <c r="A22" s="211" t="s">
        <v>453</v>
      </c>
      <c r="B22" s="64">
        <v>9.48</v>
      </c>
      <c r="C22" s="64">
        <v>8.7100000000000009</v>
      </c>
      <c r="D22" s="64">
        <v>12.15</v>
      </c>
      <c r="E22" s="64">
        <v>4.97</v>
      </c>
      <c r="F22" s="64">
        <v>9.5</v>
      </c>
      <c r="G22" s="64">
        <v>817.9</v>
      </c>
      <c r="H22" s="64">
        <v>10.02</v>
      </c>
      <c r="I22" s="64">
        <v>1.63</v>
      </c>
      <c r="J22" s="64">
        <v>0.11</v>
      </c>
      <c r="K22" s="64">
        <v>292.77999999999997</v>
      </c>
      <c r="L22" s="64">
        <v>21.93</v>
      </c>
      <c r="M22" s="64">
        <v>98.57</v>
      </c>
      <c r="N22" s="64">
        <v>62</v>
      </c>
      <c r="O22" s="64">
        <v>0</v>
      </c>
      <c r="P22" s="64">
        <v>0.41</v>
      </c>
      <c r="Q22" s="64">
        <v>9.16</v>
      </c>
      <c r="R22" s="198"/>
      <c r="S22" s="198"/>
      <c r="T22" s="198"/>
      <c r="U22" s="198"/>
    </row>
    <row r="23" spans="1:21" s="12" customFormat="1" x14ac:dyDescent="0.25">
      <c r="A23" s="211" t="s">
        <v>454</v>
      </c>
      <c r="B23" s="64">
        <v>10</v>
      </c>
      <c r="C23" s="64">
        <v>8.61</v>
      </c>
      <c r="D23" s="64">
        <v>12.52</v>
      </c>
      <c r="E23" s="64">
        <v>5.34</v>
      </c>
      <c r="F23" s="64">
        <v>7.67</v>
      </c>
      <c r="G23" s="64">
        <v>817.9</v>
      </c>
      <c r="H23" s="64">
        <v>10.02</v>
      </c>
      <c r="I23" s="64">
        <v>1.62</v>
      </c>
      <c r="J23" s="64">
        <v>1.29</v>
      </c>
      <c r="K23" s="64">
        <v>337.56</v>
      </c>
      <c r="L23" s="64">
        <v>22.21</v>
      </c>
      <c r="M23" s="64">
        <v>98.56</v>
      </c>
      <c r="N23" s="64">
        <v>62.5</v>
      </c>
      <c r="O23" s="64">
        <v>0</v>
      </c>
      <c r="P23" s="64">
        <v>0.49</v>
      </c>
      <c r="Q23" s="64">
        <v>9.17</v>
      </c>
      <c r="R23" s="198"/>
      <c r="S23" s="198"/>
      <c r="T23" s="198"/>
      <c r="U23" s="198"/>
    </row>
    <row r="24" spans="1:21" s="12" customFormat="1" x14ac:dyDescent="0.25">
      <c r="A24" s="211" t="s">
        <v>455</v>
      </c>
      <c r="B24" s="64">
        <v>10.08</v>
      </c>
      <c r="C24" s="64">
        <v>8.4499999999999993</v>
      </c>
      <c r="D24" s="64">
        <v>12.5</v>
      </c>
      <c r="E24" s="64">
        <v>5.15</v>
      </c>
      <c r="F24" s="64">
        <v>8.32</v>
      </c>
      <c r="G24" s="64">
        <v>817.9</v>
      </c>
      <c r="H24" s="64">
        <v>10.02</v>
      </c>
      <c r="I24" s="64">
        <v>1.61</v>
      </c>
      <c r="J24" s="64">
        <v>1.26</v>
      </c>
      <c r="K24" s="64">
        <v>338.4</v>
      </c>
      <c r="L24" s="64">
        <v>22.01</v>
      </c>
      <c r="M24" s="64">
        <v>98.56</v>
      </c>
      <c r="N24" s="64">
        <v>62.7</v>
      </c>
      <c r="O24" s="64">
        <v>0</v>
      </c>
      <c r="P24" s="64">
        <v>0.47</v>
      </c>
      <c r="Q24" s="64">
        <v>9.18</v>
      </c>
      <c r="R24" s="198"/>
      <c r="S24" s="198"/>
      <c r="T24" s="198"/>
      <c r="U24" s="198"/>
    </row>
    <row r="25" spans="1:21" s="12" customFormat="1" x14ac:dyDescent="0.25">
      <c r="A25" s="211" t="s">
        <v>456</v>
      </c>
      <c r="B25" s="64">
        <v>10.25</v>
      </c>
      <c r="C25" s="64">
        <v>7.61</v>
      </c>
      <c r="D25" s="64">
        <v>12.19</v>
      </c>
      <c r="E25" s="64">
        <v>5.52</v>
      </c>
      <c r="F25" s="64">
        <v>7.25</v>
      </c>
      <c r="G25" s="64">
        <v>71.39</v>
      </c>
      <c r="H25" s="64">
        <v>8.17</v>
      </c>
      <c r="I25" s="64">
        <v>1.6</v>
      </c>
      <c r="J25" s="64">
        <v>1.17</v>
      </c>
      <c r="K25" s="64">
        <v>333.66</v>
      </c>
      <c r="L25" s="64">
        <v>21.92</v>
      </c>
      <c r="M25" s="64">
        <v>98.55</v>
      </c>
      <c r="N25" s="64">
        <v>62.6</v>
      </c>
      <c r="O25" s="64">
        <v>0</v>
      </c>
      <c r="P25" s="64">
        <v>0.46</v>
      </c>
      <c r="Q25" s="64">
        <v>9.17</v>
      </c>
      <c r="R25" s="198"/>
      <c r="S25" s="198"/>
      <c r="T25" s="198"/>
      <c r="U25" s="198"/>
    </row>
    <row r="26" spans="1:21" s="12" customFormat="1" x14ac:dyDescent="0.25">
      <c r="A26" s="211" t="s">
        <v>457</v>
      </c>
      <c r="B26" s="64">
        <v>10.82</v>
      </c>
      <c r="C26" s="64">
        <v>7.61</v>
      </c>
      <c r="D26" s="64">
        <v>12.65</v>
      </c>
      <c r="E26" s="64">
        <v>5.29</v>
      </c>
      <c r="F26" s="64">
        <v>8.23</v>
      </c>
      <c r="G26" s="64">
        <v>18.07</v>
      </c>
      <c r="H26" s="64">
        <v>8.17</v>
      </c>
      <c r="I26" s="64">
        <v>1.57</v>
      </c>
      <c r="J26" s="64">
        <v>1.21</v>
      </c>
      <c r="K26" s="64">
        <v>333.69</v>
      </c>
      <c r="L26" s="64">
        <v>21.97</v>
      </c>
      <c r="M26" s="64">
        <v>98.48</v>
      </c>
      <c r="N26" s="64">
        <v>62.2</v>
      </c>
      <c r="O26" s="64">
        <v>0</v>
      </c>
      <c r="P26" s="64">
        <v>0.45</v>
      </c>
      <c r="Q26" s="64">
        <v>9.17</v>
      </c>
      <c r="R26" s="198"/>
      <c r="S26" s="198"/>
      <c r="T26" s="198"/>
      <c r="U26" s="198"/>
    </row>
    <row r="27" spans="1:21" s="12" customFormat="1" x14ac:dyDescent="0.25">
      <c r="A27" s="211" t="s">
        <v>458</v>
      </c>
      <c r="B27" s="64">
        <v>10.4</v>
      </c>
      <c r="C27" s="64">
        <v>7.13</v>
      </c>
      <c r="D27" s="64">
        <v>12.07</v>
      </c>
      <c r="E27" s="64">
        <v>5.36</v>
      </c>
      <c r="F27" s="64">
        <v>8.9600000000000009</v>
      </c>
      <c r="G27" s="64">
        <v>18.07</v>
      </c>
      <c r="H27" s="64">
        <v>8.17</v>
      </c>
      <c r="I27" s="64">
        <v>1.53</v>
      </c>
      <c r="J27" s="64">
        <v>1.17</v>
      </c>
      <c r="K27" s="64">
        <v>338.32</v>
      </c>
      <c r="L27" s="64">
        <v>22.09</v>
      </c>
      <c r="M27" s="64">
        <v>98.5</v>
      </c>
      <c r="N27" s="64">
        <v>62.4</v>
      </c>
      <c r="O27" s="64">
        <v>0</v>
      </c>
      <c r="P27" s="64">
        <v>0.42</v>
      </c>
      <c r="Q27" s="64">
        <v>9.17</v>
      </c>
      <c r="R27" s="198"/>
      <c r="S27" s="198"/>
      <c r="T27" s="198"/>
      <c r="U27" s="198"/>
    </row>
    <row r="28" spans="1:21" s="12" customFormat="1" x14ac:dyDescent="0.25">
      <c r="A28" s="211" t="s">
        <v>459</v>
      </c>
      <c r="B28" s="64">
        <v>10.31</v>
      </c>
      <c r="C28" s="64">
        <v>6.57</v>
      </c>
      <c r="D28" s="64">
        <v>11.7</v>
      </c>
      <c r="E28" s="64">
        <v>5.48</v>
      </c>
      <c r="F28" s="64">
        <v>7.63</v>
      </c>
      <c r="G28" s="64">
        <v>18.07</v>
      </c>
      <c r="H28" s="64">
        <v>8.17</v>
      </c>
      <c r="I28" s="64">
        <v>1.49</v>
      </c>
      <c r="J28" s="64">
        <v>1.1000000000000001</v>
      </c>
      <c r="K28" s="64">
        <v>334.98</v>
      </c>
      <c r="L28" s="64">
        <v>22.13</v>
      </c>
      <c r="M28" s="64">
        <v>98.53</v>
      </c>
      <c r="N28" s="64">
        <v>62.7</v>
      </c>
      <c r="O28" s="64">
        <v>0</v>
      </c>
      <c r="P28" s="64">
        <v>0.42</v>
      </c>
      <c r="Q28" s="64">
        <v>9.17</v>
      </c>
      <c r="R28" s="198"/>
      <c r="S28" s="198"/>
      <c r="T28" s="198"/>
      <c r="U28" s="198"/>
    </row>
    <row r="29" spans="1:21" s="12" customFormat="1" x14ac:dyDescent="0.25">
      <c r="A29" s="211" t="s">
        <v>460</v>
      </c>
      <c r="B29" s="64">
        <v>9.9</v>
      </c>
      <c r="C29" s="64">
        <v>6.28</v>
      </c>
      <c r="D29" s="64">
        <v>11.22</v>
      </c>
      <c r="E29" s="64">
        <v>5.18</v>
      </c>
      <c r="F29" s="64">
        <v>7.02</v>
      </c>
      <c r="G29" s="64">
        <v>29.64</v>
      </c>
      <c r="H29" s="64">
        <v>6.87</v>
      </c>
      <c r="I29" s="64">
        <v>1.45</v>
      </c>
      <c r="J29" s="64">
        <v>1.31</v>
      </c>
      <c r="K29" s="64">
        <v>339.19</v>
      </c>
      <c r="L29" s="64">
        <v>22.17</v>
      </c>
      <c r="M29" s="64">
        <v>98.46</v>
      </c>
      <c r="N29" s="64">
        <v>62.9</v>
      </c>
      <c r="O29" s="64">
        <v>0</v>
      </c>
      <c r="P29" s="64">
        <v>0.38</v>
      </c>
      <c r="Q29" s="64">
        <v>9.17</v>
      </c>
      <c r="R29" s="198"/>
      <c r="S29" s="198"/>
      <c r="T29" s="198"/>
      <c r="U29" s="198"/>
    </row>
    <row r="30" spans="1:21" s="12" customFormat="1" x14ac:dyDescent="0.25">
      <c r="A30" s="211" t="s">
        <v>461</v>
      </c>
      <c r="B30" s="64">
        <v>10.57</v>
      </c>
      <c r="C30" s="64">
        <v>6.76</v>
      </c>
      <c r="D30" s="64">
        <v>12</v>
      </c>
      <c r="E30" s="64">
        <v>5.2</v>
      </c>
      <c r="F30" s="64">
        <v>9.17</v>
      </c>
      <c r="G30" s="64">
        <v>30.47</v>
      </c>
      <c r="H30" s="64">
        <v>6.87</v>
      </c>
      <c r="I30" s="64">
        <v>1.51</v>
      </c>
      <c r="J30" s="64">
        <v>1.31</v>
      </c>
      <c r="K30" s="64">
        <v>336.62</v>
      </c>
      <c r="L30" s="64">
        <v>22.2</v>
      </c>
      <c r="M30" s="64">
        <v>98.45</v>
      </c>
      <c r="N30" s="64">
        <v>63.4</v>
      </c>
      <c r="O30" s="64">
        <v>0</v>
      </c>
      <c r="P30" s="64">
        <v>0.41</v>
      </c>
      <c r="Q30" s="64">
        <v>9.1300000000000008</v>
      </c>
      <c r="R30" s="198"/>
      <c r="S30" s="198"/>
      <c r="T30" s="198"/>
      <c r="U30" s="198"/>
    </row>
    <row r="31" spans="1:21" s="12" customFormat="1" x14ac:dyDescent="0.25">
      <c r="A31" s="211" t="s">
        <v>462</v>
      </c>
      <c r="B31" s="64">
        <v>10.69</v>
      </c>
      <c r="C31" s="64">
        <v>6.16</v>
      </c>
      <c r="D31" s="64">
        <v>11.8</v>
      </c>
      <c r="E31" s="64">
        <v>4.96</v>
      </c>
      <c r="F31" s="64">
        <v>6.11</v>
      </c>
      <c r="G31" s="64">
        <v>30.47</v>
      </c>
      <c r="H31" s="64">
        <v>6.87</v>
      </c>
      <c r="I31" s="64">
        <v>1.52</v>
      </c>
      <c r="J31" s="64">
        <v>1.31</v>
      </c>
      <c r="K31" s="64">
        <v>335.64</v>
      </c>
      <c r="L31" s="64">
        <v>22.27</v>
      </c>
      <c r="M31" s="64">
        <v>98.5</v>
      </c>
      <c r="N31" s="64">
        <v>63.6</v>
      </c>
      <c r="O31" s="64">
        <v>0</v>
      </c>
      <c r="P31" s="64">
        <v>0.39</v>
      </c>
      <c r="Q31" s="64">
        <v>9.1199999999999992</v>
      </c>
      <c r="R31" s="198"/>
      <c r="S31" s="198"/>
      <c r="T31" s="198"/>
      <c r="U31" s="198"/>
    </row>
    <row r="32" spans="1:21" s="12" customFormat="1" x14ac:dyDescent="0.25">
      <c r="A32" s="211" t="s">
        <v>463</v>
      </c>
      <c r="B32" s="64">
        <v>10.41</v>
      </c>
      <c r="C32" s="64">
        <v>6.84</v>
      </c>
      <c r="D32" s="64">
        <v>11.92</v>
      </c>
      <c r="E32" s="64">
        <v>4.95</v>
      </c>
      <c r="F32" s="64">
        <v>8.6199999999999992</v>
      </c>
      <c r="G32" s="64">
        <v>30.47</v>
      </c>
      <c r="H32" s="64">
        <v>6.87</v>
      </c>
      <c r="I32" s="64">
        <v>1.38</v>
      </c>
      <c r="J32" s="64">
        <v>1.1000000000000001</v>
      </c>
      <c r="K32" s="64">
        <v>337.69</v>
      </c>
      <c r="L32" s="64">
        <v>22.33</v>
      </c>
      <c r="M32" s="64">
        <v>98.48</v>
      </c>
      <c r="N32" s="64">
        <v>64.099999999999994</v>
      </c>
      <c r="O32" s="64">
        <v>0</v>
      </c>
      <c r="P32" s="64">
        <v>0.38</v>
      </c>
      <c r="Q32" s="64">
        <v>9.11</v>
      </c>
      <c r="R32" s="198"/>
      <c r="S32" s="198"/>
      <c r="T32" s="198"/>
      <c r="U32" s="198"/>
    </row>
    <row r="33" spans="1:21" s="12" customFormat="1" x14ac:dyDescent="0.25">
      <c r="A33" s="211" t="s">
        <v>464</v>
      </c>
      <c r="B33" s="64">
        <v>11.38</v>
      </c>
      <c r="C33" s="64">
        <v>6.23</v>
      </c>
      <c r="D33" s="64">
        <v>12.38</v>
      </c>
      <c r="E33" s="64">
        <v>5.16</v>
      </c>
      <c r="F33" s="64">
        <v>7.07</v>
      </c>
      <c r="G33" s="64">
        <v>37.75</v>
      </c>
      <c r="H33" s="64">
        <v>5.97</v>
      </c>
      <c r="I33" s="64">
        <v>1.38</v>
      </c>
      <c r="J33" s="64">
        <v>1</v>
      </c>
      <c r="K33" s="64">
        <v>336.13</v>
      </c>
      <c r="L33" s="64">
        <v>22.44</v>
      </c>
      <c r="M33" s="64">
        <v>98.51</v>
      </c>
      <c r="N33" s="64">
        <v>66.8</v>
      </c>
      <c r="O33" s="64">
        <v>0</v>
      </c>
      <c r="P33" s="64">
        <v>0.38</v>
      </c>
      <c r="Q33" s="64">
        <v>9.11</v>
      </c>
      <c r="R33" s="198"/>
      <c r="S33" s="198"/>
      <c r="T33" s="198"/>
      <c r="U33" s="198"/>
    </row>
    <row r="34" spans="1:21" s="12" customFormat="1" x14ac:dyDescent="0.25">
      <c r="A34" s="211" t="s">
        <v>465</v>
      </c>
      <c r="B34" s="64">
        <v>12.18</v>
      </c>
      <c r="C34" s="64">
        <v>7.08</v>
      </c>
      <c r="D34" s="64">
        <v>13.47</v>
      </c>
      <c r="E34" s="64">
        <v>4.84</v>
      </c>
      <c r="F34" s="64">
        <v>8.64</v>
      </c>
      <c r="G34" s="64">
        <v>38.270000000000003</v>
      </c>
      <c r="H34" s="64">
        <v>5.97</v>
      </c>
      <c r="I34" s="64">
        <v>1.43</v>
      </c>
      <c r="J34" s="64">
        <v>1</v>
      </c>
      <c r="K34" s="64">
        <v>336.47</v>
      </c>
      <c r="L34" s="64">
        <v>22.52</v>
      </c>
      <c r="M34" s="64">
        <v>98.47</v>
      </c>
      <c r="N34" s="64">
        <v>70.8</v>
      </c>
      <c r="O34" s="64">
        <v>0</v>
      </c>
      <c r="P34" s="64">
        <v>0.39</v>
      </c>
      <c r="Q34" s="64">
        <v>9.11</v>
      </c>
      <c r="R34" s="198"/>
      <c r="S34" s="198"/>
      <c r="T34" s="198"/>
      <c r="U34" s="198"/>
    </row>
    <row r="35" spans="1:21" s="12" customFormat="1" x14ac:dyDescent="0.25">
      <c r="A35" s="211" t="s">
        <v>466</v>
      </c>
      <c r="B35" s="64">
        <v>12.8</v>
      </c>
      <c r="C35" s="64">
        <v>6.11</v>
      </c>
      <c r="D35" s="64">
        <v>13.46</v>
      </c>
      <c r="E35" s="64">
        <v>5.25</v>
      </c>
      <c r="F35" s="64">
        <v>6.66</v>
      </c>
      <c r="G35" s="64">
        <v>38.270000000000003</v>
      </c>
      <c r="H35" s="64">
        <v>5.97</v>
      </c>
      <c r="I35" s="64">
        <v>1.45</v>
      </c>
      <c r="J35" s="64">
        <v>0.94</v>
      </c>
      <c r="K35" s="64">
        <v>339.09</v>
      </c>
      <c r="L35" s="64">
        <v>22.58</v>
      </c>
      <c r="M35" s="64">
        <v>98.44</v>
      </c>
      <c r="N35" s="64">
        <v>80.400000000000006</v>
      </c>
      <c r="O35" s="64">
        <v>0</v>
      </c>
      <c r="P35" s="64">
        <v>0.39</v>
      </c>
      <c r="Q35" s="64">
        <v>9.1300000000000008</v>
      </c>
      <c r="R35" s="198"/>
      <c r="S35" s="198"/>
      <c r="T35" s="198"/>
      <c r="U35" s="198"/>
    </row>
    <row r="36" spans="1:21" s="12" customFormat="1" x14ac:dyDescent="0.25">
      <c r="A36" s="211" t="s">
        <v>467</v>
      </c>
      <c r="B36" s="64">
        <v>12.52</v>
      </c>
      <c r="C36" s="64">
        <v>8.64</v>
      </c>
      <c r="D36" s="64">
        <v>14.56</v>
      </c>
      <c r="E36" s="64">
        <v>5.33</v>
      </c>
      <c r="F36" s="64">
        <v>6.31</v>
      </c>
      <c r="G36" s="64">
        <v>38.270000000000003</v>
      </c>
      <c r="H36" s="64">
        <v>5.97</v>
      </c>
      <c r="I36" s="64">
        <v>1.46</v>
      </c>
      <c r="J36" s="64">
        <v>0.69</v>
      </c>
      <c r="K36" s="64">
        <v>331.36</v>
      </c>
      <c r="L36" s="64">
        <v>22.66</v>
      </c>
      <c r="M36" s="64">
        <v>98.43</v>
      </c>
      <c r="N36" s="64">
        <v>90.6</v>
      </c>
      <c r="O36" s="64">
        <v>0</v>
      </c>
      <c r="P36" s="64">
        <v>0.42</v>
      </c>
      <c r="Q36" s="64">
        <v>9.1300000000000008</v>
      </c>
      <c r="R36" s="198"/>
      <c r="S36" s="198"/>
      <c r="T36" s="198"/>
      <c r="U36" s="198"/>
    </row>
    <row r="37" spans="1:21" s="12" customFormat="1" x14ac:dyDescent="0.25">
      <c r="A37" s="211" t="s">
        <v>468</v>
      </c>
      <c r="B37" s="64">
        <v>12.59</v>
      </c>
      <c r="C37" s="64">
        <v>6.66</v>
      </c>
      <c r="D37" s="64">
        <v>13.57</v>
      </c>
      <c r="E37" s="64">
        <v>4.97</v>
      </c>
      <c r="F37" s="64">
        <v>7.04</v>
      </c>
      <c r="G37" s="64">
        <v>36.22</v>
      </c>
      <c r="H37" s="64">
        <v>10.66</v>
      </c>
      <c r="I37" s="64">
        <v>1.47</v>
      </c>
      <c r="J37" s="64">
        <v>0.61</v>
      </c>
      <c r="K37" s="64">
        <v>328.69</v>
      </c>
      <c r="L37" s="64">
        <v>22.72</v>
      </c>
      <c r="M37" s="64">
        <v>98.45</v>
      </c>
      <c r="N37" s="64">
        <v>92.3</v>
      </c>
      <c r="O37" s="64">
        <v>0</v>
      </c>
      <c r="P37" s="64">
        <v>0.44</v>
      </c>
      <c r="Q37" s="64">
        <v>9.1300000000000008</v>
      </c>
      <c r="R37" s="198"/>
      <c r="S37" s="198"/>
      <c r="T37" s="198"/>
      <c r="U37" s="198"/>
    </row>
    <row r="38" spans="1:21" s="12" customFormat="1" x14ac:dyDescent="0.25">
      <c r="A38" s="211" t="s">
        <v>469</v>
      </c>
      <c r="B38" s="64">
        <v>12.77</v>
      </c>
      <c r="C38" s="64">
        <v>7.32</v>
      </c>
      <c r="D38" s="64">
        <v>14.06</v>
      </c>
      <c r="E38" s="64">
        <v>5.4</v>
      </c>
      <c r="F38" s="64">
        <v>7.34</v>
      </c>
      <c r="G38" s="64">
        <v>36.07</v>
      </c>
      <c r="H38" s="64">
        <v>10.66</v>
      </c>
      <c r="I38" s="64">
        <v>1.49</v>
      </c>
      <c r="J38" s="64">
        <v>0.61</v>
      </c>
      <c r="K38" s="64">
        <v>330.89</v>
      </c>
      <c r="L38" s="64">
        <v>22.78</v>
      </c>
      <c r="M38" s="64">
        <v>97.97</v>
      </c>
      <c r="N38" s="64">
        <v>91</v>
      </c>
      <c r="O38" s="64">
        <v>0</v>
      </c>
      <c r="P38" s="64">
        <v>0.47</v>
      </c>
      <c r="Q38" s="64">
        <v>9.15</v>
      </c>
      <c r="R38" s="198"/>
      <c r="S38" s="198"/>
      <c r="T38" s="198"/>
      <c r="U38" s="198"/>
    </row>
    <row r="39" spans="1:21" s="12" customFormat="1" x14ac:dyDescent="0.25">
      <c r="A39" s="211" t="s">
        <v>470</v>
      </c>
      <c r="B39" s="64">
        <v>13.85</v>
      </c>
      <c r="C39" s="64">
        <v>6.85</v>
      </c>
      <c r="D39" s="64">
        <v>14.69</v>
      </c>
      <c r="E39" s="64">
        <v>4.8499999999999996</v>
      </c>
      <c r="F39" s="64">
        <v>6.58</v>
      </c>
      <c r="G39" s="64">
        <v>36.07</v>
      </c>
      <c r="H39" s="64">
        <v>10.66</v>
      </c>
      <c r="I39" s="64">
        <v>1.51</v>
      </c>
      <c r="J39" s="64">
        <v>0.66</v>
      </c>
      <c r="K39" s="64">
        <v>332.56</v>
      </c>
      <c r="L39" s="64">
        <v>22.7</v>
      </c>
      <c r="M39" s="64">
        <v>98.42</v>
      </c>
      <c r="N39" s="64">
        <v>84</v>
      </c>
      <c r="O39" s="64">
        <v>0</v>
      </c>
      <c r="P39" s="64">
        <v>0.46</v>
      </c>
      <c r="Q39" s="64">
        <v>9.16</v>
      </c>
      <c r="R39" s="198"/>
      <c r="S39" s="198"/>
      <c r="T39" s="198"/>
      <c r="U39" s="198"/>
    </row>
    <row r="40" spans="1:21" s="12" customFormat="1" x14ac:dyDescent="0.25">
      <c r="A40" s="211" t="s">
        <v>471</v>
      </c>
      <c r="B40" s="64">
        <v>14.77</v>
      </c>
      <c r="C40" s="64">
        <v>8.15</v>
      </c>
      <c r="D40" s="64">
        <v>16.100000000000001</v>
      </c>
      <c r="E40" s="64">
        <v>4.0199999999999996</v>
      </c>
      <c r="F40" s="64">
        <v>8.3800000000000008</v>
      </c>
      <c r="G40" s="64">
        <v>36.07</v>
      </c>
      <c r="H40" s="64">
        <v>10.66</v>
      </c>
      <c r="I40" s="64">
        <v>1.51</v>
      </c>
      <c r="J40" s="64">
        <v>0.78</v>
      </c>
      <c r="K40" s="64">
        <v>337.51</v>
      </c>
      <c r="L40" s="64">
        <v>22.73</v>
      </c>
      <c r="M40" s="64">
        <v>97.9</v>
      </c>
      <c r="N40" s="64">
        <v>76.3</v>
      </c>
      <c r="O40" s="64">
        <v>0</v>
      </c>
      <c r="P40" s="64">
        <v>0.44</v>
      </c>
      <c r="Q40" s="64">
        <v>9.18</v>
      </c>
      <c r="R40" s="198"/>
      <c r="S40" s="198"/>
      <c r="T40" s="198"/>
      <c r="U40" s="198"/>
    </row>
    <row r="41" spans="1:21" s="12" customFormat="1" x14ac:dyDescent="0.25">
      <c r="A41" s="211" t="s">
        <v>472</v>
      </c>
      <c r="B41" s="64">
        <v>13.41</v>
      </c>
      <c r="C41" s="64">
        <v>6.44</v>
      </c>
      <c r="D41" s="64">
        <v>14.12</v>
      </c>
      <c r="E41" s="64">
        <v>4.68</v>
      </c>
      <c r="F41" s="64">
        <v>6.15</v>
      </c>
      <c r="G41" s="64">
        <v>45.13</v>
      </c>
      <c r="H41" s="64">
        <v>8.6199999999999992</v>
      </c>
      <c r="I41" s="64">
        <v>1.5</v>
      </c>
      <c r="J41" s="64">
        <v>0.98</v>
      </c>
      <c r="K41" s="64">
        <v>336.2</v>
      </c>
      <c r="L41" s="64">
        <v>22.73</v>
      </c>
      <c r="M41" s="64">
        <v>97.86</v>
      </c>
      <c r="N41" s="64">
        <v>114</v>
      </c>
      <c r="O41" s="64">
        <v>0</v>
      </c>
      <c r="P41" s="64">
        <v>0.44</v>
      </c>
      <c r="Q41" s="64">
        <v>9.1999999999999993</v>
      </c>
      <c r="R41" s="198"/>
      <c r="S41" s="198"/>
      <c r="T41" s="198"/>
      <c r="U41" s="198"/>
    </row>
    <row r="42" spans="1:21" s="12" customFormat="1" x14ac:dyDescent="0.25">
      <c r="A42" s="211" t="s">
        <v>473</v>
      </c>
      <c r="B42" s="64">
        <v>13.72</v>
      </c>
      <c r="C42" s="64">
        <v>5.7</v>
      </c>
      <c r="D42" s="64">
        <v>13.98</v>
      </c>
      <c r="E42" s="64">
        <v>4.63</v>
      </c>
      <c r="F42" s="64">
        <v>8.09</v>
      </c>
      <c r="G42" s="64">
        <v>45.78</v>
      </c>
      <c r="H42" s="64">
        <v>8.6199999999999992</v>
      </c>
      <c r="I42" s="64">
        <v>1.49</v>
      </c>
      <c r="J42" s="64">
        <v>1.19</v>
      </c>
      <c r="K42" s="64">
        <v>332.64</v>
      </c>
      <c r="L42" s="64">
        <v>23</v>
      </c>
      <c r="M42" s="64">
        <v>97.89</v>
      </c>
      <c r="N42" s="64">
        <v>167.7</v>
      </c>
      <c r="O42" s="64">
        <v>0</v>
      </c>
      <c r="P42" s="64">
        <v>0.45</v>
      </c>
      <c r="Q42" s="64">
        <v>9.2200000000000006</v>
      </c>
      <c r="R42" s="198"/>
      <c r="S42" s="198"/>
      <c r="T42" s="198"/>
      <c r="U42" s="198"/>
    </row>
    <row r="43" spans="1:21" s="12" customFormat="1" x14ac:dyDescent="0.25">
      <c r="A43" s="211" t="s">
        <v>474</v>
      </c>
      <c r="B43" s="64">
        <v>13.46</v>
      </c>
      <c r="C43" s="64">
        <v>7.03</v>
      </c>
      <c r="D43" s="64">
        <v>14.47</v>
      </c>
      <c r="E43" s="64">
        <v>4.76</v>
      </c>
      <c r="F43" s="64">
        <v>8.06</v>
      </c>
      <c r="G43" s="64">
        <v>45.78</v>
      </c>
      <c r="H43" s="64">
        <v>8.6199999999999992</v>
      </c>
      <c r="I43" s="64">
        <v>1.48</v>
      </c>
      <c r="J43" s="64">
        <v>0.8</v>
      </c>
      <c r="K43" s="64">
        <v>336.76</v>
      </c>
      <c r="L43" s="64">
        <v>23.34</v>
      </c>
      <c r="M43" s="64">
        <v>98.42</v>
      </c>
      <c r="N43" s="64">
        <v>178.3</v>
      </c>
      <c r="O43" s="64">
        <v>0</v>
      </c>
      <c r="P43" s="64">
        <v>0.48</v>
      </c>
      <c r="Q43" s="64">
        <v>9.23</v>
      </c>
      <c r="R43" s="198"/>
      <c r="S43" s="198"/>
      <c r="T43" s="198"/>
      <c r="U43" s="198"/>
    </row>
    <row r="44" spans="1:21" s="12" customFormat="1" x14ac:dyDescent="0.25">
      <c r="A44" s="211" t="s">
        <v>475</v>
      </c>
      <c r="B44" s="64">
        <v>14.71</v>
      </c>
      <c r="C44" s="64">
        <v>6.52</v>
      </c>
      <c r="D44" s="64">
        <v>15.2</v>
      </c>
      <c r="E44" s="64">
        <v>4.53</v>
      </c>
      <c r="F44" s="64">
        <v>7.09</v>
      </c>
      <c r="G44" s="64">
        <v>45.78</v>
      </c>
      <c r="H44" s="64">
        <v>8.6199999999999992</v>
      </c>
      <c r="I44" s="64">
        <v>1.47</v>
      </c>
      <c r="J44" s="64">
        <v>0.4</v>
      </c>
      <c r="K44" s="64">
        <v>321.77999999999997</v>
      </c>
      <c r="L44" s="64">
        <v>23.47</v>
      </c>
      <c r="M44" s="64">
        <v>97.92</v>
      </c>
      <c r="N44" s="64">
        <v>157.80000000000001</v>
      </c>
      <c r="O44" s="64">
        <v>0</v>
      </c>
      <c r="P44" s="64">
        <v>0.46</v>
      </c>
      <c r="Q44" s="64">
        <v>9.24</v>
      </c>
      <c r="R44" s="198"/>
      <c r="S44" s="198"/>
      <c r="T44" s="198"/>
      <c r="U44" s="198"/>
    </row>
    <row r="45" spans="1:21" s="12" customFormat="1" x14ac:dyDescent="0.25">
      <c r="A45" s="211" t="s">
        <v>476</v>
      </c>
      <c r="B45" s="64">
        <v>14.6</v>
      </c>
      <c r="C45" s="64">
        <v>7.22</v>
      </c>
      <c r="D45" s="64">
        <v>15.48</v>
      </c>
      <c r="E45" s="64">
        <v>4.87</v>
      </c>
      <c r="F45" s="64">
        <v>7.88</v>
      </c>
      <c r="G45" s="64">
        <v>28.08</v>
      </c>
      <c r="H45" s="64">
        <v>7.19</v>
      </c>
      <c r="I45" s="64">
        <v>1.47</v>
      </c>
      <c r="J45" s="64">
        <v>0.31</v>
      </c>
      <c r="K45" s="64">
        <v>324.57</v>
      </c>
      <c r="L45" s="64">
        <v>23.39</v>
      </c>
      <c r="M45" s="64">
        <v>97.91</v>
      </c>
      <c r="N45" s="64">
        <v>116.2</v>
      </c>
      <c r="O45" s="64">
        <v>0</v>
      </c>
      <c r="P45" s="64">
        <v>0.49</v>
      </c>
      <c r="Q45" s="64">
        <v>9.25</v>
      </c>
      <c r="R45" s="198"/>
      <c r="S45" s="198"/>
      <c r="T45" s="198"/>
      <c r="U45" s="198"/>
    </row>
    <row r="46" spans="1:21" s="12" customFormat="1" x14ac:dyDescent="0.25">
      <c r="A46" s="211" t="s">
        <v>477</v>
      </c>
      <c r="B46" s="64">
        <v>14.97</v>
      </c>
      <c r="C46" s="64">
        <v>8.5399999999999991</v>
      </c>
      <c r="D46" s="64">
        <v>16.46</v>
      </c>
      <c r="E46" s="64">
        <v>5.0599999999999996</v>
      </c>
      <c r="F46" s="64">
        <v>8.1999999999999993</v>
      </c>
      <c r="G46" s="64">
        <v>26.81</v>
      </c>
      <c r="H46" s="64">
        <v>7.19</v>
      </c>
      <c r="I46" s="64">
        <v>1.47</v>
      </c>
      <c r="J46" s="64">
        <v>0.48</v>
      </c>
      <c r="K46" s="64">
        <v>330.39</v>
      </c>
      <c r="L46" s="64">
        <v>23.68</v>
      </c>
      <c r="M46" s="64">
        <v>97.86</v>
      </c>
      <c r="N46" s="64">
        <v>146.80000000000001</v>
      </c>
      <c r="O46" s="64">
        <v>0</v>
      </c>
      <c r="P46" s="64">
        <v>0.54</v>
      </c>
      <c r="Q46" s="64">
        <v>9.25</v>
      </c>
      <c r="R46" s="198"/>
      <c r="S46" s="198"/>
      <c r="T46" s="198"/>
      <c r="U46" s="198"/>
    </row>
    <row r="47" spans="1:21" s="12" customFormat="1" x14ac:dyDescent="0.25">
      <c r="A47" s="211" t="s">
        <v>478</v>
      </c>
      <c r="B47" s="64">
        <v>15.22</v>
      </c>
      <c r="C47" s="64">
        <v>5</v>
      </c>
      <c r="D47" s="64">
        <v>14.82</v>
      </c>
      <c r="E47" s="64">
        <v>5.13</v>
      </c>
      <c r="F47" s="64">
        <v>7.35</v>
      </c>
      <c r="G47" s="64">
        <v>26.81</v>
      </c>
      <c r="H47" s="64">
        <v>7.19</v>
      </c>
      <c r="I47" s="64">
        <v>1.49</v>
      </c>
      <c r="J47" s="64">
        <v>0.47</v>
      </c>
      <c r="K47" s="64">
        <v>324.69</v>
      </c>
      <c r="L47" s="64">
        <v>23.62</v>
      </c>
      <c r="M47" s="64">
        <v>98.46</v>
      </c>
      <c r="N47" s="64">
        <v>120.4</v>
      </c>
      <c r="O47" s="64">
        <v>0</v>
      </c>
      <c r="P47" s="64">
        <v>0.5</v>
      </c>
      <c r="Q47" s="64">
        <v>9.24</v>
      </c>
      <c r="R47" s="198"/>
      <c r="S47" s="198"/>
      <c r="T47" s="198"/>
      <c r="U47" s="198"/>
    </row>
    <row r="48" spans="1:21" s="12" customFormat="1" x14ac:dyDescent="0.25">
      <c r="A48" s="211" t="s">
        <v>479</v>
      </c>
      <c r="B48" s="64">
        <v>14.89</v>
      </c>
      <c r="C48" s="64">
        <v>4.54</v>
      </c>
      <c r="D48" s="64">
        <v>14.31</v>
      </c>
      <c r="E48" s="64">
        <v>4.8600000000000003</v>
      </c>
      <c r="F48" s="64">
        <v>7.62</v>
      </c>
      <c r="G48" s="64">
        <v>26.81</v>
      </c>
      <c r="H48" s="64">
        <v>7.19</v>
      </c>
      <c r="I48" s="64">
        <v>1.49</v>
      </c>
      <c r="J48" s="64">
        <v>1.1399999999999999</v>
      </c>
      <c r="K48" s="64">
        <v>335.54</v>
      </c>
      <c r="L48" s="64">
        <v>23.61</v>
      </c>
      <c r="M48" s="64">
        <v>97.98</v>
      </c>
      <c r="N48" s="64">
        <v>163.4</v>
      </c>
      <c r="O48" s="64">
        <v>0</v>
      </c>
      <c r="P48" s="64">
        <v>0.5</v>
      </c>
      <c r="Q48" s="64">
        <v>9.2200000000000006</v>
      </c>
      <c r="R48" s="198"/>
      <c r="S48" s="198"/>
      <c r="T48" s="198"/>
      <c r="U48" s="198"/>
    </row>
    <row r="49" spans="1:21" s="12" customFormat="1" x14ac:dyDescent="0.25">
      <c r="A49" s="211" t="s">
        <v>480</v>
      </c>
      <c r="B49" s="64">
        <v>16.239999999999998</v>
      </c>
      <c r="C49" s="64">
        <v>5.8</v>
      </c>
      <c r="D49" s="64">
        <v>16.05</v>
      </c>
      <c r="E49" s="64">
        <v>4.8600000000000003</v>
      </c>
      <c r="F49" s="64">
        <v>8.3699999999999992</v>
      </c>
      <c r="G49" s="64">
        <v>27.9</v>
      </c>
      <c r="H49" s="64">
        <v>6.19</v>
      </c>
      <c r="I49" s="64">
        <v>1.5</v>
      </c>
      <c r="J49" s="64">
        <v>0.83</v>
      </c>
      <c r="K49" s="64">
        <v>327.61</v>
      </c>
      <c r="L49" s="64">
        <v>23.81</v>
      </c>
      <c r="M49" s="64">
        <v>97.92</v>
      </c>
      <c r="N49" s="64">
        <v>159.6</v>
      </c>
      <c r="O49" s="64">
        <v>0</v>
      </c>
      <c r="P49" s="64">
        <v>0.53</v>
      </c>
      <c r="Q49" s="64">
        <v>9.2100000000000009</v>
      </c>
      <c r="R49" s="198"/>
      <c r="S49" s="198"/>
      <c r="T49" s="198"/>
      <c r="U49" s="198"/>
    </row>
    <row r="50" spans="1:21" s="12" customFormat="1" x14ac:dyDescent="0.25">
      <c r="A50" s="211" t="s">
        <v>481</v>
      </c>
      <c r="B50" s="64">
        <v>16.34</v>
      </c>
      <c r="C50" s="64">
        <v>5.46</v>
      </c>
      <c r="D50" s="64">
        <v>15.95</v>
      </c>
      <c r="E50" s="64">
        <v>4.76</v>
      </c>
      <c r="F50" s="64">
        <v>16.11</v>
      </c>
      <c r="G50" s="64">
        <v>27.97</v>
      </c>
      <c r="H50" s="64">
        <v>6.19</v>
      </c>
      <c r="I50" s="64">
        <v>1.5</v>
      </c>
      <c r="J50" s="64">
        <v>0.91</v>
      </c>
      <c r="K50" s="64">
        <v>335.38</v>
      </c>
      <c r="L50" s="64">
        <v>24.01</v>
      </c>
      <c r="M50" s="64">
        <v>97.9</v>
      </c>
      <c r="N50" s="64">
        <v>130.5</v>
      </c>
      <c r="O50" s="64">
        <v>0</v>
      </c>
      <c r="P50" s="64">
        <v>0.52</v>
      </c>
      <c r="Q50" s="64">
        <v>9.23</v>
      </c>
      <c r="R50" s="198"/>
      <c r="S50" s="198"/>
      <c r="T50" s="198"/>
      <c r="U50" s="198"/>
    </row>
    <row r="51" spans="1:21" s="12" customFormat="1" x14ac:dyDescent="0.25">
      <c r="A51" s="211" t="s">
        <v>482</v>
      </c>
      <c r="B51" s="64">
        <v>19</v>
      </c>
      <c r="C51" s="64">
        <v>9.57</v>
      </c>
      <c r="D51" s="64">
        <v>20.22</v>
      </c>
      <c r="E51" s="64">
        <v>4.8</v>
      </c>
      <c r="F51" s="64">
        <v>8.49</v>
      </c>
      <c r="G51" s="64">
        <v>27.97</v>
      </c>
      <c r="H51" s="64">
        <v>6.19</v>
      </c>
      <c r="I51" s="64">
        <v>1.53</v>
      </c>
      <c r="J51" s="64">
        <v>0.72</v>
      </c>
      <c r="K51" s="64">
        <v>342.89</v>
      </c>
      <c r="L51" s="64">
        <v>24.05</v>
      </c>
      <c r="M51" s="64">
        <v>98.1</v>
      </c>
      <c r="N51" s="64">
        <v>118</v>
      </c>
      <c r="O51" s="64">
        <v>0</v>
      </c>
      <c r="P51" s="64">
        <v>0.74</v>
      </c>
      <c r="Q51" s="64">
        <v>9.2200000000000006</v>
      </c>
      <c r="R51" s="198"/>
      <c r="S51" s="198"/>
      <c r="T51" s="198"/>
      <c r="U51" s="198"/>
    </row>
    <row r="52" spans="1:21" s="12" customFormat="1" x14ac:dyDescent="0.25">
      <c r="A52" s="211" t="s">
        <v>483</v>
      </c>
      <c r="B52" s="64">
        <v>18.28</v>
      </c>
      <c r="C52" s="64">
        <v>6.48</v>
      </c>
      <c r="D52" s="64">
        <v>17.989999999999998</v>
      </c>
      <c r="E52" s="64">
        <v>4.6500000000000004</v>
      </c>
      <c r="F52" s="64">
        <v>6.14</v>
      </c>
      <c r="G52" s="64">
        <v>27.97</v>
      </c>
      <c r="H52" s="64">
        <v>6.19</v>
      </c>
      <c r="I52" s="64">
        <v>1.56</v>
      </c>
      <c r="J52" s="64">
        <v>0.98</v>
      </c>
      <c r="K52" s="64">
        <v>336.28</v>
      </c>
      <c r="L52" s="64">
        <v>24.55</v>
      </c>
      <c r="M52" s="64">
        <v>97.63</v>
      </c>
      <c r="N52" s="64">
        <v>297.89999999999998</v>
      </c>
      <c r="O52" s="64">
        <v>0</v>
      </c>
      <c r="P52" s="64">
        <v>0.57999999999999996</v>
      </c>
      <c r="Q52" s="64">
        <v>9.23</v>
      </c>
      <c r="R52" s="198"/>
      <c r="S52" s="198"/>
      <c r="T52" s="198"/>
      <c r="U52" s="198"/>
    </row>
    <row r="53" spans="1:21" s="12" customFormat="1" x14ac:dyDescent="0.25">
      <c r="A53" s="211" t="s">
        <v>484</v>
      </c>
      <c r="B53" s="64">
        <v>23.21</v>
      </c>
      <c r="C53" s="64">
        <v>9.3699999999999992</v>
      </c>
      <c r="D53" s="64">
        <v>23.35</v>
      </c>
      <c r="E53" s="64">
        <v>4.53</v>
      </c>
      <c r="F53" s="64">
        <v>8.94</v>
      </c>
      <c r="G53" s="64">
        <v>12.62</v>
      </c>
      <c r="H53" s="64">
        <v>12.21</v>
      </c>
      <c r="I53" s="64">
        <v>1.59</v>
      </c>
      <c r="J53" s="64">
        <v>0.71</v>
      </c>
      <c r="K53" s="64">
        <v>336.74</v>
      </c>
      <c r="L53" s="64">
        <v>25.5</v>
      </c>
      <c r="M53" s="64">
        <v>97.48</v>
      </c>
      <c r="N53" s="64">
        <v>162.9</v>
      </c>
      <c r="O53" s="64">
        <v>0</v>
      </c>
      <c r="P53" s="64">
        <v>0.74</v>
      </c>
      <c r="Q53" s="64">
        <v>9.23</v>
      </c>
      <c r="R53" s="198"/>
      <c r="S53" s="198"/>
      <c r="T53" s="198"/>
      <c r="U53" s="198"/>
    </row>
    <row r="54" spans="1:21" s="12" customFormat="1" x14ac:dyDescent="0.25">
      <c r="A54" s="211" t="s">
        <v>485</v>
      </c>
      <c r="B54" s="64">
        <v>19.36</v>
      </c>
      <c r="C54" s="64">
        <v>8.2100000000000009</v>
      </c>
      <c r="D54" s="64">
        <v>19.82</v>
      </c>
      <c r="E54" s="64">
        <v>4.58</v>
      </c>
      <c r="F54" s="64">
        <v>8.31</v>
      </c>
      <c r="G54" s="64">
        <v>11.52</v>
      </c>
      <c r="H54" s="64">
        <v>12.21</v>
      </c>
      <c r="I54" s="64">
        <v>1.61</v>
      </c>
      <c r="J54" s="64">
        <v>0.54</v>
      </c>
      <c r="K54" s="64">
        <v>333.18</v>
      </c>
      <c r="L54" s="64">
        <v>25.69</v>
      </c>
      <c r="M54" s="64">
        <v>97.47</v>
      </c>
      <c r="N54" s="64">
        <v>175</v>
      </c>
      <c r="O54" s="64">
        <v>0</v>
      </c>
      <c r="P54" s="64">
        <v>0.63</v>
      </c>
      <c r="Q54" s="64">
        <v>9.25</v>
      </c>
      <c r="R54" s="198"/>
      <c r="S54" s="198"/>
      <c r="T54" s="198"/>
      <c r="U54" s="198"/>
    </row>
    <row r="55" spans="1:21" s="12" customFormat="1" x14ac:dyDescent="0.25">
      <c r="A55" s="211" t="s">
        <v>486</v>
      </c>
      <c r="B55" s="64">
        <v>17.13</v>
      </c>
      <c r="C55" s="64">
        <v>5.51</v>
      </c>
      <c r="D55" s="64">
        <v>16.61</v>
      </c>
      <c r="E55" s="64">
        <v>4.7</v>
      </c>
      <c r="F55" s="64">
        <v>7.95</v>
      </c>
      <c r="G55" s="64">
        <v>11.52</v>
      </c>
      <c r="H55" s="64">
        <v>12.21</v>
      </c>
      <c r="I55" s="64">
        <v>1.62</v>
      </c>
      <c r="J55" s="64">
        <v>0.9</v>
      </c>
      <c r="K55" s="64">
        <v>331.15</v>
      </c>
      <c r="L55" s="64">
        <v>26.26</v>
      </c>
      <c r="M55" s="64">
        <v>97.98</v>
      </c>
      <c r="N55" s="64">
        <v>343</v>
      </c>
      <c r="O55" s="64">
        <v>0</v>
      </c>
      <c r="P55" s="64">
        <v>0.6</v>
      </c>
      <c r="Q55" s="64">
        <v>9.27</v>
      </c>
      <c r="R55" s="198"/>
      <c r="S55" s="198"/>
      <c r="T55" s="198"/>
      <c r="U55" s="198"/>
    </row>
    <row r="56" spans="1:21" s="12" customFormat="1" x14ac:dyDescent="0.25">
      <c r="A56" s="211" t="s">
        <v>487</v>
      </c>
      <c r="B56" s="64">
        <v>16.940000000000001</v>
      </c>
      <c r="C56" s="64">
        <v>5.04</v>
      </c>
      <c r="D56" s="64">
        <v>16.190000000000001</v>
      </c>
      <c r="E56" s="64">
        <v>4.8099999999999996</v>
      </c>
      <c r="F56" s="64">
        <v>9.6999999999999993</v>
      </c>
      <c r="G56" s="64">
        <v>11.52</v>
      </c>
      <c r="H56" s="64">
        <v>12.21</v>
      </c>
      <c r="I56" s="64">
        <v>1.65</v>
      </c>
      <c r="J56" s="64">
        <v>1.33</v>
      </c>
      <c r="K56" s="64">
        <v>336.86</v>
      </c>
      <c r="L56" s="64">
        <v>27.55</v>
      </c>
      <c r="M56" s="64">
        <v>97.77</v>
      </c>
      <c r="N56" s="64">
        <v>447</v>
      </c>
      <c r="O56" s="64">
        <v>0</v>
      </c>
      <c r="P56" s="64">
        <v>0.56000000000000005</v>
      </c>
      <c r="Q56" s="64">
        <v>9.27</v>
      </c>
      <c r="R56" s="198"/>
      <c r="S56" s="198"/>
      <c r="T56" s="198"/>
      <c r="U56" s="198"/>
    </row>
    <row r="57" spans="1:21" s="12" customFormat="1" x14ac:dyDescent="0.25">
      <c r="A57" s="211" t="s">
        <v>488</v>
      </c>
      <c r="B57" s="64">
        <v>16.63</v>
      </c>
      <c r="C57" s="64">
        <v>6.69</v>
      </c>
      <c r="D57" s="64">
        <v>16.82</v>
      </c>
      <c r="E57" s="64">
        <v>4.78</v>
      </c>
      <c r="F57" s="64">
        <v>9.9700000000000006</v>
      </c>
      <c r="G57" s="64">
        <v>49.4</v>
      </c>
      <c r="H57" s="64">
        <v>9.6999999999999993</v>
      </c>
      <c r="I57" s="64">
        <v>1.57</v>
      </c>
      <c r="J57" s="64">
        <v>1.1100000000000001</v>
      </c>
      <c r="K57" s="64">
        <v>336.52</v>
      </c>
      <c r="L57" s="64">
        <v>28.27</v>
      </c>
      <c r="M57" s="64">
        <v>96.96</v>
      </c>
      <c r="N57" s="64">
        <v>339</v>
      </c>
      <c r="O57" s="64">
        <v>0</v>
      </c>
      <c r="P57" s="64">
        <v>0.59</v>
      </c>
      <c r="Q57" s="64">
        <v>9.26</v>
      </c>
      <c r="R57" s="198"/>
      <c r="S57" s="198"/>
      <c r="T57" s="198"/>
      <c r="U57" s="198"/>
    </row>
    <row r="58" spans="1:21" s="12" customFormat="1" x14ac:dyDescent="0.25">
      <c r="A58" s="211" t="s">
        <v>489</v>
      </c>
      <c r="B58" s="64">
        <v>17.239999999999998</v>
      </c>
      <c r="C58" s="64">
        <v>5.9</v>
      </c>
      <c r="D58" s="64">
        <v>16.91</v>
      </c>
      <c r="E58" s="64">
        <v>4.8099999999999996</v>
      </c>
      <c r="F58" s="64">
        <v>8.42</v>
      </c>
      <c r="G58" s="64">
        <v>52.11</v>
      </c>
      <c r="H58" s="64">
        <v>9.6999999999999993</v>
      </c>
      <c r="I58" s="64">
        <v>1.49</v>
      </c>
      <c r="J58" s="64">
        <v>0.89</v>
      </c>
      <c r="K58" s="64">
        <v>332.26</v>
      </c>
      <c r="L58" s="64">
        <v>28.69</v>
      </c>
      <c r="M58" s="64">
        <v>94.84</v>
      </c>
      <c r="N58" s="64">
        <v>468</v>
      </c>
      <c r="O58" s="64">
        <v>0</v>
      </c>
      <c r="P58" s="64">
        <v>0.57999999999999996</v>
      </c>
      <c r="Q58" s="64">
        <v>9.26</v>
      </c>
      <c r="R58" s="198"/>
      <c r="S58" s="198"/>
      <c r="T58" s="198"/>
      <c r="U58" s="198"/>
    </row>
    <row r="59" spans="1:21" s="12" customFormat="1" x14ac:dyDescent="0.25">
      <c r="A59" s="211" t="s">
        <v>490</v>
      </c>
      <c r="B59" s="64">
        <v>15.85</v>
      </c>
      <c r="C59" s="64">
        <v>7.07</v>
      </c>
      <c r="D59" s="64">
        <v>16.399999999999999</v>
      </c>
      <c r="E59" s="64">
        <v>5.05</v>
      </c>
      <c r="F59" s="64">
        <v>7.9</v>
      </c>
      <c r="G59" s="64">
        <v>52.11</v>
      </c>
      <c r="H59" s="64">
        <v>9.6999999999999993</v>
      </c>
      <c r="I59" s="64">
        <v>1.48</v>
      </c>
      <c r="J59" s="64">
        <v>0.59</v>
      </c>
      <c r="K59" s="64">
        <v>319.19</v>
      </c>
      <c r="L59" s="64">
        <v>30.25</v>
      </c>
      <c r="M59" s="64">
        <v>87.17</v>
      </c>
      <c r="N59" s="64">
        <v>755.6</v>
      </c>
      <c r="O59" s="64">
        <v>0</v>
      </c>
      <c r="P59" s="64">
        <v>0.56999999999999995</v>
      </c>
      <c r="Q59" s="64">
        <v>9.27</v>
      </c>
      <c r="R59" s="198"/>
      <c r="S59" s="198"/>
      <c r="T59" s="198"/>
      <c r="U59" s="198"/>
    </row>
    <row r="60" spans="1:21" s="12" customFormat="1" x14ac:dyDescent="0.25">
      <c r="A60" s="211" t="s">
        <v>491</v>
      </c>
      <c r="B60" s="64">
        <v>15.9</v>
      </c>
      <c r="C60" s="64">
        <v>6.05</v>
      </c>
      <c r="D60" s="64">
        <v>15.91</v>
      </c>
      <c r="E60" s="64">
        <v>4.53</v>
      </c>
      <c r="F60" s="64">
        <v>7.34</v>
      </c>
      <c r="G60" s="64">
        <v>52.11</v>
      </c>
      <c r="H60" s="64">
        <v>9.6999999999999993</v>
      </c>
      <c r="I60" s="64">
        <v>1.48</v>
      </c>
      <c r="J60" s="64">
        <v>0.26</v>
      </c>
      <c r="K60" s="64">
        <v>292.62</v>
      </c>
      <c r="L60" s="64">
        <v>29.87</v>
      </c>
      <c r="M60" s="64">
        <v>90.38</v>
      </c>
      <c r="N60" s="64">
        <v>381.2</v>
      </c>
      <c r="O60" s="64">
        <v>0</v>
      </c>
      <c r="P60" s="64">
        <v>0.56999999999999995</v>
      </c>
      <c r="Q60" s="64">
        <v>9.27</v>
      </c>
      <c r="R60" s="198"/>
      <c r="S60" s="198"/>
      <c r="T60" s="198"/>
      <c r="U60" s="198"/>
    </row>
    <row r="61" spans="1:21" s="12" customFormat="1" x14ac:dyDescent="0.25">
      <c r="A61" s="211" t="s">
        <v>492</v>
      </c>
      <c r="B61" s="64">
        <v>15</v>
      </c>
      <c r="C61" s="64">
        <v>6.46</v>
      </c>
      <c r="D61" s="64">
        <v>15.4</v>
      </c>
      <c r="E61" s="64">
        <v>4.53</v>
      </c>
      <c r="F61" s="64">
        <v>6.47</v>
      </c>
      <c r="G61" s="64">
        <v>53.32</v>
      </c>
      <c r="H61" s="64">
        <v>8.0399999999999991</v>
      </c>
      <c r="I61" s="64">
        <v>1.46</v>
      </c>
      <c r="J61" s="64">
        <v>0.38</v>
      </c>
      <c r="K61" s="64">
        <v>302.08</v>
      </c>
      <c r="L61" s="64">
        <v>28.43</v>
      </c>
      <c r="M61" s="64">
        <v>96.94</v>
      </c>
      <c r="N61" s="64">
        <v>220.8</v>
      </c>
      <c r="O61" s="64">
        <v>0</v>
      </c>
      <c r="P61" s="64">
        <v>0.53</v>
      </c>
      <c r="Q61" s="64">
        <v>9.27</v>
      </c>
      <c r="R61" s="198"/>
      <c r="S61" s="198"/>
      <c r="T61" s="198"/>
      <c r="U61" s="198"/>
    </row>
    <row r="62" spans="1:21" s="12" customFormat="1" x14ac:dyDescent="0.25">
      <c r="A62" s="211" t="s">
        <v>493</v>
      </c>
      <c r="B62" s="64">
        <v>14.54</v>
      </c>
      <c r="C62" s="64">
        <v>7.33</v>
      </c>
      <c r="D62" s="64">
        <v>15.49</v>
      </c>
      <c r="E62" s="64">
        <v>4.74</v>
      </c>
      <c r="F62" s="64">
        <v>6.7</v>
      </c>
      <c r="G62" s="64">
        <v>53.4</v>
      </c>
      <c r="H62" s="64">
        <v>8.0399999999999991</v>
      </c>
      <c r="I62" s="64">
        <v>1.44</v>
      </c>
      <c r="J62" s="64">
        <v>0.73</v>
      </c>
      <c r="K62" s="64">
        <v>319.18</v>
      </c>
      <c r="L62" s="64">
        <v>28.17</v>
      </c>
      <c r="M62" s="64">
        <v>97.08</v>
      </c>
      <c r="N62" s="64">
        <v>390.4</v>
      </c>
      <c r="O62" s="64">
        <v>0</v>
      </c>
      <c r="P62" s="64">
        <v>0.55000000000000004</v>
      </c>
      <c r="Q62" s="64">
        <v>9.25</v>
      </c>
      <c r="R62" s="198"/>
      <c r="S62" s="198"/>
      <c r="T62" s="198"/>
      <c r="U62" s="198"/>
    </row>
    <row r="63" spans="1:21" s="12" customFormat="1" x14ac:dyDescent="0.25">
      <c r="A63" s="211" t="s">
        <v>494</v>
      </c>
      <c r="B63" s="64">
        <v>14.01</v>
      </c>
      <c r="C63" s="64">
        <v>7.62</v>
      </c>
      <c r="D63" s="64">
        <v>15.22</v>
      </c>
      <c r="E63" s="64">
        <v>4.6399999999999997</v>
      </c>
      <c r="F63" s="64">
        <v>7.92</v>
      </c>
      <c r="G63" s="64">
        <v>53.4</v>
      </c>
      <c r="H63" s="64">
        <v>8.0399999999999991</v>
      </c>
      <c r="I63" s="64">
        <v>1.41</v>
      </c>
      <c r="J63" s="64">
        <v>0.51</v>
      </c>
      <c r="K63" s="64">
        <v>312.35000000000002</v>
      </c>
      <c r="L63" s="64">
        <v>28.84</v>
      </c>
      <c r="M63" s="64">
        <v>94.14</v>
      </c>
      <c r="N63" s="64">
        <v>305</v>
      </c>
      <c r="O63" s="64">
        <v>0</v>
      </c>
      <c r="P63" s="64">
        <v>0.53</v>
      </c>
      <c r="Q63" s="64">
        <v>9.24</v>
      </c>
      <c r="R63" s="198"/>
      <c r="S63" s="198"/>
      <c r="T63" s="198"/>
      <c r="U63" s="198"/>
    </row>
    <row r="64" spans="1:21" s="12" customFormat="1" x14ac:dyDescent="0.25">
      <c r="A64" s="211" t="s">
        <v>495</v>
      </c>
      <c r="B64" s="64">
        <v>13.19</v>
      </c>
      <c r="C64" s="64">
        <v>7.95</v>
      </c>
      <c r="D64" s="64">
        <v>14.73</v>
      </c>
      <c r="E64" s="64">
        <v>4.78</v>
      </c>
      <c r="F64" s="64">
        <v>6.16</v>
      </c>
      <c r="G64" s="64">
        <v>53.4</v>
      </c>
      <c r="H64" s="64">
        <v>8.0399999999999991</v>
      </c>
      <c r="I64" s="64">
        <v>1.38</v>
      </c>
      <c r="J64" s="64">
        <v>0.35</v>
      </c>
      <c r="K64" s="64">
        <v>304.57</v>
      </c>
      <c r="L64" s="64">
        <v>28.35</v>
      </c>
      <c r="M64" s="64">
        <v>95.13</v>
      </c>
      <c r="N64" s="64">
        <v>282.3</v>
      </c>
      <c r="O64" s="64">
        <v>0</v>
      </c>
      <c r="P64" s="64">
        <v>0.52</v>
      </c>
      <c r="Q64" s="64">
        <v>9.24</v>
      </c>
      <c r="R64" s="198"/>
      <c r="S64" s="198"/>
      <c r="T64" s="198"/>
      <c r="U64" s="198"/>
    </row>
    <row r="65" spans="1:21" s="12" customFormat="1" x14ac:dyDescent="0.25">
      <c r="A65" s="211" t="s">
        <v>496</v>
      </c>
      <c r="B65" s="64">
        <v>13</v>
      </c>
      <c r="C65" s="64">
        <v>8.35</v>
      </c>
      <c r="D65" s="64">
        <v>14.78</v>
      </c>
      <c r="E65" s="64">
        <v>5.0999999999999996</v>
      </c>
      <c r="F65" s="64">
        <v>8.58</v>
      </c>
      <c r="G65" s="64">
        <v>35.54</v>
      </c>
      <c r="H65" s="64">
        <v>6.78</v>
      </c>
      <c r="I65" s="64">
        <v>1.35</v>
      </c>
      <c r="J65" s="64">
        <v>0.47</v>
      </c>
      <c r="K65" s="64">
        <v>314.56</v>
      </c>
      <c r="L65" s="64">
        <v>28.15</v>
      </c>
      <c r="M65" s="64">
        <v>96.45</v>
      </c>
      <c r="N65" s="64">
        <v>248.4</v>
      </c>
      <c r="O65" s="64">
        <v>0</v>
      </c>
      <c r="P65" s="64">
        <v>0.51</v>
      </c>
      <c r="Q65" s="64">
        <v>9.23</v>
      </c>
      <c r="R65" s="198"/>
      <c r="S65" s="198"/>
      <c r="T65" s="198"/>
      <c r="U65" s="198"/>
    </row>
    <row r="66" spans="1:21" s="12" customFormat="1" x14ac:dyDescent="0.25">
      <c r="A66" s="211" t="s">
        <v>497</v>
      </c>
      <c r="B66" s="64">
        <v>10.66</v>
      </c>
      <c r="C66" s="64">
        <v>12.15</v>
      </c>
      <c r="D66" s="64">
        <v>14.9</v>
      </c>
      <c r="E66" s="64">
        <v>4.91</v>
      </c>
      <c r="F66" s="64">
        <v>10.48</v>
      </c>
      <c r="G66" s="64">
        <v>34.26</v>
      </c>
      <c r="H66" s="64">
        <v>6.78</v>
      </c>
      <c r="I66" s="64">
        <v>1.32</v>
      </c>
      <c r="J66" s="64">
        <v>0.38</v>
      </c>
      <c r="K66" s="64">
        <v>314.57</v>
      </c>
      <c r="L66" s="64">
        <v>27.71</v>
      </c>
      <c r="M66" s="64">
        <v>97.82</v>
      </c>
      <c r="N66" s="64">
        <v>203.3</v>
      </c>
      <c r="O66" s="64">
        <v>0</v>
      </c>
      <c r="P66" s="64">
        <v>0.39</v>
      </c>
      <c r="Q66" s="64">
        <v>9.18</v>
      </c>
      <c r="R66" s="198"/>
      <c r="S66" s="198"/>
      <c r="T66" s="198"/>
      <c r="U66" s="198"/>
    </row>
    <row r="67" spans="1:21" s="12" customFormat="1" x14ac:dyDescent="0.25">
      <c r="A67" s="211" t="s">
        <v>498</v>
      </c>
      <c r="B67" s="64">
        <v>9.5500000000000007</v>
      </c>
      <c r="C67" s="64">
        <v>14.83</v>
      </c>
      <c r="D67" s="64">
        <v>15.41</v>
      </c>
      <c r="E67" s="64">
        <v>4.72</v>
      </c>
      <c r="F67" s="64">
        <v>10.37</v>
      </c>
      <c r="G67" s="64">
        <v>34.26</v>
      </c>
      <c r="H67" s="64">
        <v>6.78</v>
      </c>
      <c r="I67" s="64">
        <v>1.18</v>
      </c>
      <c r="J67" s="64">
        <v>0.44</v>
      </c>
      <c r="K67" s="64">
        <v>330.06</v>
      </c>
      <c r="L67" s="64">
        <v>27.52</v>
      </c>
      <c r="M67" s="64">
        <v>97.9</v>
      </c>
      <c r="N67" s="64">
        <v>165.6</v>
      </c>
      <c r="O67" s="64">
        <v>0</v>
      </c>
      <c r="P67" s="64">
        <v>0.39</v>
      </c>
      <c r="Q67" s="64">
        <v>9.1</v>
      </c>
      <c r="R67" s="198"/>
      <c r="S67" s="198"/>
      <c r="T67" s="198"/>
      <c r="U67" s="198"/>
    </row>
    <row r="68" spans="1:21" s="12" customFormat="1" x14ac:dyDescent="0.25">
      <c r="A68" s="211" t="s">
        <v>499</v>
      </c>
      <c r="B68" s="64">
        <v>11.36</v>
      </c>
      <c r="C68" s="64">
        <v>15.41</v>
      </c>
      <c r="D68" s="64">
        <v>17.16</v>
      </c>
      <c r="E68" s="64">
        <v>4.3600000000000003</v>
      </c>
      <c r="F68" s="64">
        <v>10.130000000000001</v>
      </c>
      <c r="G68" s="64">
        <v>34.26</v>
      </c>
      <c r="H68" s="64">
        <v>6.78</v>
      </c>
      <c r="I68" s="64">
        <v>0.84</v>
      </c>
      <c r="J68" s="64">
        <v>0.11</v>
      </c>
      <c r="K68" s="64">
        <v>285.2</v>
      </c>
      <c r="L68" s="64">
        <v>27.07</v>
      </c>
      <c r="M68" s="64">
        <v>97.9</v>
      </c>
      <c r="N68" s="64">
        <v>163.30000000000001</v>
      </c>
      <c r="O68" s="64">
        <v>0</v>
      </c>
      <c r="P68" s="64">
        <v>0.4</v>
      </c>
      <c r="Q68" s="64">
        <v>9.06</v>
      </c>
      <c r="R68" s="198"/>
      <c r="S68" s="198"/>
      <c r="T68" s="198"/>
      <c r="U68" s="198"/>
    </row>
    <row r="69" spans="1:21" s="12" customFormat="1" x14ac:dyDescent="0.25">
      <c r="A69" s="211" t="s">
        <v>500</v>
      </c>
      <c r="B69" s="64">
        <v>11.13</v>
      </c>
      <c r="C69" s="64">
        <v>15.92</v>
      </c>
      <c r="D69" s="64">
        <v>18.34</v>
      </c>
      <c r="E69" s="64">
        <v>4.62</v>
      </c>
      <c r="F69" s="64">
        <v>10.09</v>
      </c>
      <c r="G69" s="64">
        <v>21.18</v>
      </c>
      <c r="H69" s="64">
        <v>12.91</v>
      </c>
      <c r="I69" s="64">
        <v>0.76</v>
      </c>
      <c r="J69" s="64">
        <v>0.16</v>
      </c>
      <c r="K69" s="64">
        <v>302.85000000000002</v>
      </c>
      <c r="L69" s="64">
        <v>26.94</v>
      </c>
      <c r="M69" s="64">
        <v>97.92</v>
      </c>
      <c r="N69" s="64">
        <v>156</v>
      </c>
      <c r="O69" s="64">
        <v>0</v>
      </c>
      <c r="P69" s="64">
        <v>0.44</v>
      </c>
      <c r="Q69" s="64">
        <v>9.06</v>
      </c>
      <c r="R69" s="198"/>
      <c r="S69" s="198"/>
      <c r="T69" s="198"/>
      <c r="U69" s="198"/>
    </row>
    <row r="70" spans="1:21" s="12" customFormat="1" x14ac:dyDescent="0.25">
      <c r="A70" s="211" t="s">
        <v>501</v>
      </c>
      <c r="B70" s="64">
        <v>8.94</v>
      </c>
      <c r="C70" s="64">
        <v>19.59</v>
      </c>
      <c r="D70" s="64">
        <v>17.41</v>
      </c>
      <c r="E70" s="64">
        <v>4.54</v>
      </c>
      <c r="F70" s="64">
        <v>7.01</v>
      </c>
      <c r="G70" s="64">
        <v>21.18</v>
      </c>
      <c r="H70" s="64">
        <v>12.91</v>
      </c>
      <c r="I70" s="64">
        <v>0.81</v>
      </c>
      <c r="J70" s="64">
        <v>0.56999999999999995</v>
      </c>
      <c r="K70" s="64">
        <v>317.64</v>
      </c>
      <c r="L70" s="64">
        <v>26.83</v>
      </c>
      <c r="M70" s="64">
        <v>97.9</v>
      </c>
      <c r="N70" s="64">
        <v>86.7</v>
      </c>
      <c r="O70" s="64">
        <v>0</v>
      </c>
      <c r="P70" s="64">
        <v>0.5</v>
      </c>
      <c r="Q70" s="64">
        <v>9.08</v>
      </c>
      <c r="R70" s="198"/>
      <c r="S70" s="198"/>
      <c r="T70" s="198"/>
      <c r="U70" s="198"/>
    </row>
    <row r="71" spans="1:21" s="12" customFormat="1" x14ac:dyDescent="0.25">
      <c r="A71" s="211" t="s">
        <v>502</v>
      </c>
      <c r="B71" s="64">
        <v>7.37</v>
      </c>
      <c r="C71" s="64">
        <v>17.61</v>
      </c>
      <c r="D71" s="64">
        <v>15.11</v>
      </c>
      <c r="E71" s="64">
        <v>4.6500000000000004</v>
      </c>
      <c r="F71" s="64">
        <v>8.6300000000000008</v>
      </c>
      <c r="G71" s="64">
        <v>21.18</v>
      </c>
      <c r="H71" s="64">
        <v>12.91</v>
      </c>
      <c r="I71" s="64">
        <v>0.97</v>
      </c>
      <c r="J71" s="64">
        <v>1.66</v>
      </c>
      <c r="K71" s="64">
        <v>326.7</v>
      </c>
      <c r="L71" s="64">
        <v>24.48</v>
      </c>
      <c r="M71" s="64">
        <v>98.01</v>
      </c>
      <c r="N71" s="64">
        <v>82.4</v>
      </c>
      <c r="O71" s="64">
        <v>0</v>
      </c>
      <c r="P71" s="64">
        <v>0.49</v>
      </c>
      <c r="Q71" s="64">
        <v>9.09</v>
      </c>
      <c r="R71" s="198"/>
      <c r="S71" s="198"/>
      <c r="T71" s="198"/>
      <c r="U71" s="198"/>
    </row>
    <row r="72" spans="1:21" s="12" customFormat="1" x14ac:dyDescent="0.25">
      <c r="A72" s="211" t="s">
        <v>503</v>
      </c>
      <c r="B72" s="64">
        <v>7.1</v>
      </c>
      <c r="C72" s="64">
        <v>14.79</v>
      </c>
      <c r="D72" s="64">
        <v>13.42</v>
      </c>
      <c r="E72" s="64">
        <v>4.8</v>
      </c>
      <c r="F72" s="64">
        <v>9.24</v>
      </c>
      <c r="G72" s="64">
        <v>21.18</v>
      </c>
      <c r="H72" s="64">
        <v>12.91</v>
      </c>
      <c r="I72" s="64">
        <v>1.0900000000000001</v>
      </c>
      <c r="J72" s="64">
        <v>0.85</v>
      </c>
      <c r="K72" s="64">
        <v>325.41000000000003</v>
      </c>
      <c r="L72" s="64">
        <v>23.52</v>
      </c>
      <c r="M72" s="64">
        <v>98.12</v>
      </c>
      <c r="N72" s="64">
        <v>91.8</v>
      </c>
      <c r="O72" s="64">
        <v>0</v>
      </c>
      <c r="P72" s="64">
        <v>0.47</v>
      </c>
      <c r="Q72" s="64">
        <v>9.08</v>
      </c>
      <c r="R72" s="198"/>
      <c r="S72" s="198"/>
      <c r="T72" s="198"/>
      <c r="U72" s="198"/>
    </row>
    <row r="73" spans="1:21" s="12" customFormat="1" x14ac:dyDescent="0.25">
      <c r="A73" s="211" t="s">
        <v>504</v>
      </c>
      <c r="B73" s="64">
        <v>7.2</v>
      </c>
      <c r="C73" s="64">
        <v>12.58</v>
      </c>
      <c r="D73" s="64">
        <v>12.34</v>
      </c>
      <c r="E73" s="64">
        <v>5.14</v>
      </c>
      <c r="F73" s="64">
        <v>8.1300000000000008</v>
      </c>
      <c r="G73" s="64">
        <v>22.81</v>
      </c>
      <c r="H73" s="64">
        <v>10.19</v>
      </c>
      <c r="I73" s="64">
        <v>1.0900000000000001</v>
      </c>
      <c r="J73" s="64">
        <v>0.82</v>
      </c>
      <c r="K73" s="64">
        <v>331.25</v>
      </c>
      <c r="L73" s="64">
        <v>23.1</v>
      </c>
      <c r="M73" s="64">
        <v>98.15</v>
      </c>
      <c r="N73" s="64">
        <v>73</v>
      </c>
      <c r="O73" s="64">
        <v>0</v>
      </c>
      <c r="P73" s="64">
        <v>0.46</v>
      </c>
      <c r="Q73" s="64">
        <v>9.08</v>
      </c>
      <c r="R73" s="198"/>
      <c r="S73" s="198"/>
      <c r="T73" s="198"/>
      <c r="U73" s="198"/>
    </row>
    <row r="74" spans="1:21" s="12" customFormat="1" x14ac:dyDescent="0.25">
      <c r="A74" s="211" t="s">
        <v>505</v>
      </c>
      <c r="B74" s="64">
        <v>8.34</v>
      </c>
      <c r="C74" s="64">
        <v>10.17</v>
      </c>
      <c r="D74" s="64">
        <v>12.01</v>
      </c>
      <c r="E74" s="64">
        <v>5.05</v>
      </c>
      <c r="F74" s="64">
        <v>7.72</v>
      </c>
      <c r="G74" s="64">
        <v>22.93</v>
      </c>
      <c r="H74" s="64">
        <v>10.19</v>
      </c>
      <c r="I74" s="64">
        <v>1.07</v>
      </c>
      <c r="J74" s="64">
        <v>0.22</v>
      </c>
      <c r="K74" s="64">
        <v>332.43</v>
      </c>
      <c r="L74" s="64">
        <v>23.02</v>
      </c>
      <c r="M74" s="64">
        <v>98.15</v>
      </c>
      <c r="N74" s="64">
        <v>64.900000000000006</v>
      </c>
      <c r="O74" s="64">
        <v>0</v>
      </c>
      <c r="P74" s="64">
        <v>0.46</v>
      </c>
      <c r="Q74" s="64">
        <v>9.07</v>
      </c>
      <c r="R74" s="198"/>
      <c r="S74" s="198"/>
      <c r="T74" s="198"/>
      <c r="U74" s="198"/>
    </row>
    <row r="75" spans="1:21" s="12" customFormat="1" x14ac:dyDescent="0.25">
      <c r="A75" s="211" t="s">
        <v>506</v>
      </c>
      <c r="B75" s="64">
        <v>12.74</v>
      </c>
      <c r="C75" s="64">
        <v>13.16</v>
      </c>
      <c r="D75" s="64">
        <v>17.09</v>
      </c>
      <c r="E75" s="64">
        <v>5.0999999999999996</v>
      </c>
      <c r="F75" s="64">
        <v>9.3000000000000007</v>
      </c>
      <c r="G75" s="64">
        <v>22.93</v>
      </c>
      <c r="H75" s="64">
        <v>10.19</v>
      </c>
      <c r="I75" s="64">
        <v>1.08</v>
      </c>
      <c r="J75" s="64">
        <v>0.2</v>
      </c>
      <c r="K75" s="64">
        <v>329.93</v>
      </c>
      <c r="L75" s="64">
        <v>22.99</v>
      </c>
      <c r="M75" s="64">
        <v>98.13</v>
      </c>
      <c r="N75" s="64">
        <v>66.900000000000006</v>
      </c>
      <c r="O75" s="64">
        <v>0</v>
      </c>
      <c r="P75" s="64">
        <v>0.56999999999999995</v>
      </c>
      <c r="Q75" s="64">
        <v>9.07</v>
      </c>
      <c r="R75" s="198"/>
      <c r="S75" s="198"/>
      <c r="T75" s="198"/>
      <c r="U75" s="198"/>
    </row>
    <row r="76" spans="1:21" s="12" customFormat="1" x14ac:dyDescent="0.25">
      <c r="A76" s="211" t="s">
        <v>507</v>
      </c>
      <c r="B76" s="64">
        <v>16.440000000000001</v>
      </c>
      <c r="C76" s="64">
        <v>14.37</v>
      </c>
      <c r="D76" s="64">
        <v>20.69</v>
      </c>
      <c r="E76" s="64">
        <v>5.15</v>
      </c>
      <c r="F76" s="64">
        <v>8.5299999999999994</v>
      </c>
      <c r="G76" s="64">
        <v>22.93</v>
      </c>
      <c r="H76" s="64">
        <v>10.19</v>
      </c>
      <c r="I76" s="64">
        <v>1.1000000000000001</v>
      </c>
      <c r="J76" s="64">
        <v>0.23</v>
      </c>
      <c r="K76" s="64">
        <v>351.77</v>
      </c>
      <c r="L76" s="64">
        <v>23.08</v>
      </c>
      <c r="M76" s="64">
        <v>98.13</v>
      </c>
      <c r="N76" s="64">
        <v>61.7</v>
      </c>
      <c r="O76" s="64">
        <v>0</v>
      </c>
      <c r="P76" s="64">
        <v>0.62</v>
      </c>
      <c r="Q76" s="64">
        <v>9.08</v>
      </c>
      <c r="R76" s="198"/>
      <c r="S76" s="198"/>
      <c r="T76" s="198"/>
      <c r="U76" s="198"/>
    </row>
    <row r="77" spans="1:21" s="12" customFormat="1" x14ac:dyDescent="0.25">
      <c r="A77" s="211" t="s">
        <v>508</v>
      </c>
      <c r="B77" s="64">
        <v>8.5</v>
      </c>
      <c r="C77" s="64">
        <v>14.97</v>
      </c>
      <c r="D77" s="64">
        <v>14.63</v>
      </c>
      <c r="E77" s="64">
        <v>5.22</v>
      </c>
      <c r="F77" s="64">
        <v>7.89</v>
      </c>
      <c r="G77" s="64">
        <v>16.600000000000001</v>
      </c>
      <c r="H77" s="64">
        <v>9.23</v>
      </c>
      <c r="I77" s="64">
        <v>1.1299999999999999</v>
      </c>
      <c r="J77" s="64">
        <v>0</v>
      </c>
      <c r="K77" s="64">
        <v>146.62</v>
      </c>
      <c r="L77" s="64">
        <v>22.99</v>
      </c>
      <c r="M77" s="64">
        <v>98.11</v>
      </c>
      <c r="N77" s="64">
        <v>54.4</v>
      </c>
      <c r="O77" s="64">
        <v>0</v>
      </c>
      <c r="P77" s="64">
        <v>0.49</v>
      </c>
      <c r="Q77" s="64">
        <v>9.1</v>
      </c>
      <c r="R77" s="198"/>
      <c r="S77" s="198"/>
      <c r="T77" s="198"/>
      <c r="U77" s="198"/>
    </row>
    <row r="78" spans="1:21" s="12" customFormat="1" x14ac:dyDescent="0.25">
      <c r="A78" s="211" t="s">
        <v>509</v>
      </c>
      <c r="B78" s="64">
        <v>10.06</v>
      </c>
      <c r="C78" s="64">
        <v>17.16</v>
      </c>
      <c r="D78" s="64">
        <v>17.03</v>
      </c>
      <c r="E78" s="64">
        <v>5</v>
      </c>
      <c r="F78" s="64">
        <v>9.69</v>
      </c>
      <c r="G78" s="64">
        <v>16.149999999999999</v>
      </c>
      <c r="H78" s="64">
        <v>9.23</v>
      </c>
      <c r="I78" s="64">
        <v>1.1599999999999999</v>
      </c>
      <c r="J78" s="64">
        <v>0.02</v>
      </c>
      <c r="K78" s="64">
        <v>312.24</v>
      </c>
      <c r="L78" s="64">
        <v>23.05</v>
      </c>
      <c r="M78" s="64">
        <v>98.11</v>
      </c>
      <c r="N78" s="64">
        <v>49.3</v>
      </c>
      <c r="O78" s="64">
        <v>0</v>
      </c>
      <c r="P78" s="64">
        <v>0.61</v>
      </c>
      <c r="Q78" s="64">
        <v>9.1199999999999992</v>
      </c>
      <c r="R78" s="198"/>
      <c r="S78" s="198"/>
      <c r="T78" s="198"/>
      <c r="U78" s="198"/>
    </row>
    <row r="79" spans="1:21" s="12" customFormat="1" x14ac:dyDescent="0.25">
      <c r="A79" s="211" t="s">
        <v>510</v>
      </c>
      <c r="B79" s="64">
        <v>8.74</v>
      </c>
      <c r="C79" s="64">
        <v>15.05</v>
      </c>
      <c r="D79" s="64">
        <v>14.88</v>
      </c>
      <c r="E79" s="64">
        <v>5.15</v>
      </c>
      <c r="F79" s="64">
        <v>6.84</v>
      </c>
      <c r="G79" s="64">
        <v>16.149999999999999</v>
      </c>
      <c r="H79" s="64">
        <v>9.23</v>
      </c>
      <c r="I79" s="64">
        <v>1.2</v>
      </c>
      <c r="J79" s="64">
        <v>7.0000000000000007E-2</v>
      </c>
      <c r="K79" s="64">
        <v>256.27</v>
      </c>
      <c r="L79" s="64">
        <v>22.99</v>
      </c>
      <c r="M79" s="64">
        <v>98.14</v>
      </c>
      <c r="N79" s="64">
        <v>44.6</v>
      </c>
      <c r="O79" s="64">
        <v>0</v>
      </c>
      <c r="P79" s="64">
        <v>0.59</v>
      </c>
      <c r="Q79" s="64">
        <v>9.1199999999999992</v>
      </c>
      <c r="R79" s="198"/>
      <c r="S79" s="198"/>
      <c r="T79" s="198"/>
      <c r="U79" s="198"/>
    </row>
    <row r="80" spans="1:21" s="12" customFormat="1" x14ac:dyDescent="0.25">
      <c r="A80" s="211" t="s">
        <v>511</v>
      </c>
      <c r="B80" s="64">
        <v>8.74</v>
      </c>
      <c r="C80" s="64">
        <v>14.36</v>
      </c>
      <c r="D80" s="64">
        <v>14.51</v>
      </c>
      <c r="E80" s="64">
        <v>5.08</v>
      </c>
      <c r="F80" s="64">
        <v>8.1300000000000008</v>
      </c>
      <c r="G80" s="64">
        <v>16.149999999999999</v>
      </c>
      <c r="H80" s="64">
        <v>9.23</v>
      </c>
      <c r="I80" s="64">
        <v>1.24</v>
      </c>
      <c r="J80" s="64">
        <v>0.12</v>
      </c>
      <c r="K80" s="64">
        <v>164.37</v>
      </c>
      <c r="L80" s="64">
        <v>23.01</v>
      </c>
      <c r="M80" s="64">
        <v>98.14</v>
      </c>
      <c r="N80" s="64">
        <v>44</v>
      </c>
      <c r="O80" s="64">
        <v>0</v>
      </c>
      <c r="P80" s="64">
        <v>0.47</v>
      </c>
      <c r="Q80" s="64">
        <v>9.1300000000000008</v>
      </c>
      <c r="R80" s="198"/>
      <c r="S80" s="198"/>
      <c r="T80" s="198"/>
      <c r="U80" s="198"/>
    </row>
    <row r="81" spans="1:26" s="12" customFormat="1" x14ac:dyDescent="0.25">
      <c r="A81" s="211" t="s">
        <v>512</v>
      </c>
      <c r="B81" s="64">
        <v>10.79</v>
      </c>
      <c r="C81" s="64">
        <v>12.39</v>
      </c>
      <c r="D81" s="64">
        <v>15.12</v>
      </c>
      <c r="E81" s="64">
        <v>5.15</v>
      </c>
      <c r="F81" s="64">
        <v>6.89</v>
      </c>
      <c r="G81" s="64">
        <v>18.34</v>
      </c>
      <c r="H81" s="64">
        <v>7.62</v>
      </c>
      <c r="I81" s="64">
        <v>1.27</v>
      </c>
      <c r="J81" s="64">
        <v>0.04</v>
      </c>
      <c r="K81" s="64">
        <v>270.64999999999998</v>
      </c>
      <c r="L81" s="64">
        <v>22.96</v>
      </c>
      <c r="M81" s="64">
        <v>98.13</v>
      </c>
      <c r="N81" s="64">
        <v>44.3</v>
      </c>
      <c r="O81" s="64">
        <v>0</v>
      </c>
      <c r="P81" s="64">
        <v>0.47</v>
      </c>
      <c r="Q81" s="64">
        <v>9.1300000000000008</v>
      </c>
      <c r="R81" s="198"/>
      <c r="S81" s="198"/>
      <c r="T81" s="198"/>
      <c r="U81" s="198"/>
    </row>
    <row r="82" spans="1:26" s="12" customFormat="1" x14ac:dyDescent="0.25">
      <c r="A82" s="211" t="s">
        <v>513</v>
      </c>
      <c r="B82" s="64">
        <v>10.029999999999999</v>
      </c>
      <c r="C82" s="64">
        <v>8.7200000000000006</v>
      </c>
      <c r="D82" s="64">
        <v>12.6</v>
      </c>
      <c r="E82" s="64">
        <v>5.27</v>
      </c>
      <c r="F82" s="64">
        <v>6.68</v>
      </c>
      <c r="G82" s="64">
        <v>18.489999999999998</v>
      </c>
      <c r="H82" s="64">
        <v>7.62</v>
      </c>
      <c r="I82" s="64">
        <v>1.29</v>
      </c>
      <c r="J82" s="64">
        <v>0.14000000000000001</v>
      </c>
      <c r="K82" s="64">
        <v>291.98</v>
      </c>
      <c r="L82" s="64">
        <v>22.89</v>
      </c>
      <c r="M82" s="64">
        <v>98.14</v>
      </c>
      <c r="N82" s="64">
        <v>44.8</v>
      </c>
      <c r="O82" s="64">
        <v>0</v>
      </c>
      <c r="P82" s="64">
        <v>0.51</v>
      </c>
      <c r="Q82" s="64">
        <v>9.14</v>
      </c>
      <c r="R82" s="198"/>
      <c r="S82" s="198"/>
      <c r="T82" s="198"/>
      <c r="U82" s="198"/>
    </row>
    <row r="83" spans="1:26" s="12" customFormat="1" x14ac:dyDescent="0.25">
      <c r="A83" s="211" t="s">
        <v>514</v>
      </c>
      <c r="B83" s="64">
        <v>10.59</v>
      </c>
      <c r="C83" s="64">
        <v>9.43</v>
      </c>
      <c r="D83" s="64">
        <v>13.42</v>
      </c>
      <c r="E83" s="64">
        <v>4.96</v>
      </c>
      <c r="F83" s="64">
        <v>7.85</v>
      </c>
      <c r="G83" s="64">
        <v>18.489999999999998</v>
      </c>
      <c r="H83" s="64">
        <v>7.62</v>
      </c>
      <c r="I83" s="64">
        <v>1.39</v>
      </c>
      <c r="J83" s="64">
        <v>0.1</v>
      </c>
      <c r="K83" s="64">
        <v>250.47</v>
      </c>
      <c r="L83" s="64">
        <v>22.81</v>
      </c>
      <c r="M83" s="64">
        <v>98.13</v>
      </c>
      <c r="N83" s="64">
        <v>44.5</v>
      </c>
      <c r="O83" s="64">
        <v>0</v>
      </c>
      <c r="P83" s="64">
        <v>0.55000000000000004</v>
      </c>
      <c r="Q83" s="64">
        <v>9.1300000000000008</v>
      </c>
      <c r="R83" s="198"/>
      <c r="S83" s="198"/>
      <c r="T83" s="198"/>
      <c r="U83" s="198"/>
    </row>
    <row r="84" spans="1:26" s="12" customFormat="1" x14ac:dyDescent="0.25">
      <c r="A84" s="211" t="s">
        <v>515</v>
      </c>
      <c r="B84" s="64">
        <v>9.66</v>
      </c>
      <c r="C84" s="64">
        <v>9.82</v>
      </c>
      <c r="D84" s="64">
        <v>12.88</v>
      </c>
      <c r="E84" s="64">
        <v>5.27</v>
      </c>
      <c r="F84" s="64">
        <v>10.039999999999999</v>
      </c>
      <c r="G84" s="64">
        <v>18.489999999999998</v>
      </c>
      <c r="H84" s="64">
        <v>7.62</v>
      </c>
      <c r="I84" s="64">
        <v>1.38</v>
      </c>
      <c r="J84" s="64">
        <v>7.0000000000000007E-2</v>
      </c>
      <c r="K84" s="64">
        <v>233.78</v>
      </c>
      <c r="L84" s="64">
        <v>22.84</v>
      </c>
      <c r="M84" s="64">
        <v>98.14</v>
      </c>
      <c r="N84" s="64">
        <v>43.8</v>
      </c>
      <c r="O84" s="64">
        <v>0</v>
      </c>
      <c r="P84" s="64">
        <v>0.54</v>
      </c>
      <c r="Q84" s="64">
        <v>9.1199999999999992</v>
      </c>
      <c r="R84" s="198"/>
      <c r="S84" s="198"/>
      <c r="T84" s="198"/>
      <c r="U84" s="198"/>
    </row>
    <row r="85" spans="1:26" s="12" customFormat="1" x14ac:dyDescent="0.25">
      <c r="A85" s="211" t="s">
        <v>516</v>
      </c>
      <c r="B85" s="64">
        <v>9.57</v>
      </c>
      <c r="C85" s="64">
        <v>7.77</v>
      </c>
      <c r="D85" s="64">
        <v>11.74</v>
      </c>
      <c r="E85" s="64">
        <v>5.29</v>
      </c>
      <c r="F85" s="64">
        <v>25.01</v>
      </c>
      <c r="G85" s="64">
        <v>10.63</v>
      </c>
      <c r="H85" s="64">
        <v>7.44</v>
      </c>
      <c r="I85" s="64">
        <v>1.35</v>
      </c>
      <c r="J85" s="64">
        <v>0.09</v>
      </c>
      <c r="K85" s="64">
        <v>283.38</v>
      </c>
      <c r="L85" s="64">
        <v>22.76</v>
      </c>
      <c r="M85" s="64">
        <v>98.15</v>
      </c>
      <c r="N85" s="64">
        <v>43.8</v>
      </c>
      <c r="O85" s="64">
        <v>0</v>
      </c>
      <c r="P85" s="64">
        <v>0.44</v>
      </c>
      <c r="Q85" s="64">
        <v>9.11</v>
      </c>
      <c r="R85" s="198"/>
      <c r="S85" s="198"/>
      <c r="T85" s="198"/>
      <c r="U85" s="198"/>
    </row>
    <row r="86" spans="1:26" s="12" customFormat="1" x14ac:dyDescent="0.25">
      <c r="A86" s="211" t="s">
        <v>517</v>
      </c>
      <c r="B86" s="64">
        <v>9.4700000000000006</v>
      </c>
      <c r="C86" s="64">
        <v>7.19</v>
      </c>
      <c r="D86" s="64">
        <v>11.35</v>
      </c>
      <c r="E86" s="64">
        <v>5.41</v>
      </c>
      <c r="F86" s="64">
        <v>8.5</v>
      </c>
      <c r="G86" s="64">
        <v>10.07</v>
      </c>
      <c r="H86" s="64">
        <v>7.44</v>
      </c>
      <c r="I86" s="64">
        <v>1.35</v>
      </c>
      <c r="J86" s="64">
        <v>0.08</v>
      </c>
      <c r="K86" s="64">
        <v>242.64</v>
      </c>
      <c r="L86" s="64">
        <v>22.73</v>
      </c>
      <c r="M86" s="64">
        <v>98.15</v>
      </c>
      <c r="N86" s="64">
        <v>43.8</v>
      </c>
      <c r="O86" s="64">
        <v>0</v>
      </c>
      <c r="P86" s="64">
        <v>0.47</v>
      </c>
      <c r="Q86" s="64">
        <v>9.1</v>
      </c>
      <c r="R86" s="198"/>
      <c r="S86" s="198"/>
      <c r="T86" s="198"/>
      <c r="U86" s="198"/>
    </row>
    <row r="87" spans="1:26" s="12" customFormat="1" x14ac:dyDescent="0.25">
      <c r="A87" s="211" t="s">
        <v>518</v>
      </c>
      <c r="B87" s="64">
        <v>8.51</v>
      </c>
      <c r="C87" s="64">
        <v>9.3000000000000007</v>
      </c>
      <c r="D87" s="64">
        <v>11.69</v>
      </c>
      <c r="E87" s="64">
        <v>5.31</v>
      </c>
      <c r="F87" s="64">
        <v>9.26</v>
      </c>
      <c r="G87" s="64">
        <v>10.07</v>
      </c>
      <c r="H87" s="64">
        <v>7.44</v>
      </c>
      <c r="I87" s="64">
        <v>1.36</v>
      </c>
      <c r="J87" s="64">
        <v>7.0000000000000007E-2</v>
      </c>
      <c r="K87" s="64">
        <v>123.39</v>
      </c>
      <c r="L87" s="64">
        <v>22.7</v>
      </c>
      <c r="M87" s="64">
        <v>98.14</v>
      </c>
      <c r="N87" s="64">
        <v>43.8</v>
      </c>
      <c r="O87" s="64">
        <v>0</v>
      </c>
      <c r="P87" s="64">
        <v>0.43</v>
      </c>
      <c r="Q87" s="64">
        <v>9.08</v>
      </c>
      <c r="R87" s="198"/>
      <c r="S87" s="198"/>
      <c r="T87" s="198"/>
      <c r="U87" s="198"/>
    </row>
    <row r="88" spans="1:26" s="12" customFormat="1" x14ac:dyDescent="0.25">
      <c r="A88" s="211" t="s">
        <v>519</v>
      </c>
      <c r="B88" s="64">
        <v>10.15</v>
      </c>
      <c r="C88" s="64">
        <v>10.36</v>
      </c>
      <c r="D88" s="64">
        <v>13.55</v>
      </c>
      <c r="E88" s="64">
        <v>5.0599999999999996</v>
      </c>
      <c r="F88" s="64">
        <v>11.59</v>
      </c>
      <c r="G88" s="64">
        <v>10.07</v>
      </c>
      <c r="H88" s="64">
        <v>7.44</v>
      </c>
      <c r="I88" s="64">
        <v>1.38</v>
      </c>
      <c r="J88" s="64">
        <v>0.05</v>
      </c>
      <c r="K88" s="64">
        <v>123.96</v>
      </c>
      <c r="L88" s="64">
        <v>22.72</v>
      </c>
      <c r="M88" s="64">
        <v>98.14</v>
      </c>
      <c r="N88" s="64">
        <v>44</v>
      </c>
      <c r="O88" s="64">
        <v>0</v>
      </c>
      <c r="P88" s="64">
        <v>0.45</v>
      </c>
      <c r="Q88" s="64">
        <v>9.08</v>
      </c>
      <c r="R88" s="198"/>
      <c r="S88" s="198"/>
      <c r="T88" s="198"/>
      <c r="U88" s="198"/>
    </row>
    <row r="89" spans="1:26" s="12" customFormat="1" x14ac:dyDescent="0.25">
      <c r="A89" s="211" t="s">
        <v>520</v>
      </c>
      <c r="B89" s="64">
        <v>12.01</v>
      </c>
      <c r="C89" s="64">
        <v>8.56</v>
      </c>
      <c r="D89" s="64">
        <v>14.1</v>
      </c>
      <c r="E89" s="64">
        <v>5.05</v>
      </c>
      <c r="F89" s="64">
        <v>8.93</v>
      </c>
      <c r="G89" s="64">
        <v>4.01</v>
      </c>
      <c r="H89" s="64">
        <v>6.8</v>
      </c>
      <c r="I89" s="64">
        <v>1.38</v>
      </c>
      <c r="J89" s="64">
        <v>0.05</v>
      </c>
      <c r="K89" s="64">
        <v>232.51</v>
      </c>
      <c r="L89" s="64">
        <v>22.75</v>
      </c>
      <c r="M89" s="64">
        <v>98.14</v>
      </c>
      <c r="N89" s="64">
        <v>43.8</v>
      </c>
      <c r="O89" s="64">
        <v>0</v>
      </c>
      <c r="P89" s="64">
        <v>0.48</v>
      </c>
      <c r="Q89" s="64">
        <v>9.08</v>
      </c>
      <c r="R89" s="198"/>
      <c r="S89" s="198"/>
      <c r="T89" s="198"/>
      <c r="U89" s="198"/>
    </row>
    <row r="90" spans="1:26" s="12" customFormat="1" x14ac:dyDescent="0.25">
      <c r="A90" s="211" t="s">
        <v>521</v>
      </c>
      <c r="B90" s="64">
        <v>19.59</v>
      </c>
      <c r="C90" s="64">
        <v>9.64</v>
      </c>
      <c r="D90" s="64">
        <v>20.69</v>
      </c>
      <c r="E90" s="64">
        <v>4.9000000000000004</v>
      </c>
      <c r="F90" s="64">
        <v>7.9</v>
      </c>
      <c r="G90" s="64">
        <v>3.57</v>
      </c>
      <c r="H90" s="64">
        <v>6.8</v>
      </c>
      <c r="I90" s="64">
        <v>1.38</v>
      </c>
      <c r="J90" s="64">
        <v>0.4</v>
      </c>
      <c r="K90" s="64">
        <v>341.69</v>
      </c>
      <c r="L90" s="64">
        <v>22.83</v>
      </c>
      <c r="M90" s="64">
        <v>98.15</v>
      </c>
      <c r="N90" s="64">
        <v>43.9</v>
      </c>
      <c r="O90" s="64">
        <v>0</v>
      </c>
      <c r="P90" s="64">
        <v>0.5</v>
      </c>
      <c r="Q90" s="64">
        <v>9.09</v>
      </c>
      <c r="R90" s="198"/>
      <c r="S90" s="198"/>
      <c r="T90" s="198"/>
      <c r="U90" s="198"/>
    </row>
    <row r="91" spans="1:26" s="12" customFormat="1" x14ac:dyDescent="0.25">
      <c r="A91" s="211" t="s">
        <v>522</v>
      </c>
      <c r="B91" s="64">
        <v>12.7</v>
      </c>
      <c r="C91" s="64">
        <v>7.58</v>
      </c>
      <c r="D91" s="64">
        <v>14.15</v>
      </c>
      <c r="E91" s="64">
        <v>5.43</v>
      </c>
      <c r="F91" s="64">
        <v>395.77</v>
      </c>
      <c r="G91" s="64">
        <v>3.57</v>
      </c>
      <c r="H91" s="64">
        <v>6.8</v>
      </c>
      <c r="I91" s="64">
        <v>1.39</v>
      </c>
      <c r="J91" s="64">
        <v>0.38</v>
      </c>
      <c r="K91" s="64">
        <v>339.62</v>
      </c>
      <c r="L91" s="64">
        <v>23</v>
      </c>
      <c r="M91" s="64">
        <v>98.18</v>
      </c>
      <c r="N91" s="64">
        <v>44.1</v>
      </c>
      <c r="O91" s="64">
        <v>0</v>
      </c>
      <c r="P91" s="64">
        <v>0.64</v>
      </c>
      <c r="Q91" s="64">
        <v>9.1</v>
      </c>
      <c r="R91" s="198"/>
      <c r="S91" s="198"/>
      <c r="T91" s="198"/>
      <c r="U91" s="198"/>
    </row>
    <row r="92" spans="1:26" s="12" customFormat="1" x14ac:dyDescent="0.25">
      <c r="A92" s="211" t="s">
        <v>523</v>
      </c>
      <c r="B92" s="64">
        <v>21.83</v>
      </c>
      <c r="C92" s="64">
        <v>13.65</v>
      </c>
      <c r="D92" s="64">
        <v>24.64</v>
      </c>
      <c r="E92" s="64">
        <v>5.21</v>
      </c>
      <c r="F92" s="64">
        <v>6.75</v>
      </c>
      <c r="G92" s="64">
        <v>3.57</v>
      </c>
      <c r="H92" s="64">
        <v>6.8</v>
      </c>
      <c r="I92" s="64">
        <v>1.4</v>
      </c>
      <c r="J92" s="64">
        <v>0.09</v>
      </c>
      <c r="K92" s="64">
        <v>94.71</v>
      </c>
      <c r="L92" s="64">
        <v>23.04</v>
      </c>
      <c r="M92" s="64">
        <v>98.2</v>
      </c>
      <c r="N92" s="64">
        <v>43.9</v>
      </c>
      <c r="O92" s="64">
        <v>0</v>
      </c>
      <c r="P92" s="64">
        <v>0.91</v>
      </c>
      <c r="Q92" s="64">
        <v>9.1199999999999992</v>
      </c>
      <c r="R92" s="198"/>
      <c r="S92" s="198"/>
      <c r="T92" s="198"/>
      <c r="U92" s="198"/>
    </row>
    <row r="93" spans="1:26" s="12" customFormat="1" x14ac:dyDescent="0.25">
      <c r="A93" s="211" t="s">
        <v>524</v>
      </c>
      <c r="B93" s="64">
        <v>13.07</v>
      </c>
      <c r="C93" s="64">
        <v>15.05</v>
      </c>
      <c r="D93" s="64">
        <v>18.350000000000001</v>
      </c>
      <c r="E93" s="64">
        <v>5.27</v>
      </c>
      <c r="F93" s="64">
        <v>7.94</v>
      </c>
      <c r="G93" s="64">
        <v>12.76</v>
      </c>
      <c r="H93" s="64">
        <v>6.55</v>
      </c>
      <c r="I93" s="64">
        <v>1.44</v>
      </c>
      <c r="J93" s="64">
        <v>0.05</v>
      </c>
      <c r="K93" s="64">
        <v>203.32</v>
      </c>
      <c r="L93" s="64">
        <v>23.07</v>
      </c>
      <c r="M93" s="64">
        <v>98.2</v>
      </c>
      <c r="N93" s="64">
        <v>43.8</v>
      </c>
      <c r="O93" s="64">
        <v>0</v>
      </c>
      <c r="P93" s="64">
        <v>0.66</v>
      </c>
      <c r="Q93" s="64">
        <v>9.1199999999999992</v>
      </c>
      <c r="R93" s="198"/>
      <c r="S93" s="198"/>
      <c r="T93" s="198"/>
      <c r="U93" s="198"/>
    </row>
    <row r="94" spans="1:26" s="12" customFormat="1" x14ac:dyDescent="0.25">
      <c r="A94" s="211" t="s">
        <v>525</v>
      </c>
      <c r="B94" s="64">
        <v>11.38</v>
      </c>
      <c r="C94" s="64">
        <v>15.35</v>
      </c>
      <c r="D94" s="64">
        <v>17.149999999999999</v>
      </c>
      <c r="E94" s="64">
        <v>5.48</v>
      </c>
      <c r="F94" s="64">
        <v>8.5299999999999994</v>
      </c>
      <c r="G94" s="64">
        <v>13.42</v>
      </c>
      <c r="H94" s="64">
        <v>6.55</v>
      </c>
      <c r="I94" s="64">
        <v>1.48</v>
      </c>
      <c r="J94" s="64">
        <v>0.14000000000000001</v>
      </c>
      <c r="K94" s="64">
        <v>176.03</v>
      </c>
      <c r="L94" s="64">
        <v>23.12</v>
      </c>
      <c r="M94" s="64">
        <v>98.2</v>
      </c>
      <c r="N94" s="64">
        <v>43.8</v>
      </c>
      <c r="O94" s="64">
        <v>0</v>
      </c>
      <c r="P94" s="64">
        <v>0.69</v>
      </c>
      <c r="Q94" s="64">
        <v>9.14</v>
      </c>
      <c r="R94" s="198"/>
      <c r="S94" s="198"/>
      <c r="T94" s="198"/>
      <c r="U94" s="198"/>
    </row>
    <row r="95" spans="1:26" s="12" customFormat="1" x14ac:dyDescent="0.25">
      <c r="A95" s="211" t="s">
        <v>526</v>
      </c>
      <c r="B95" s="64">
        <v>15.65</v>
      </c>
      <c r="C95" s="64">
        <v>14.65</v>
      </c>
      <c r="D95" s="64">
        <v>20.2</v>
      </c>
      <c r="E95" s="64">
        <v>5.45</v>
      </c>
      <c r="F95" s="64">
        <v>6.77</v>
      </c>
      <c r="G95" s="64">
        <v>13.42</v>
      </c>
      <c r="H95" s="64">
        <v>6.55</v>
      </c>
      <c r="I95" s="64">
        <v>1.52</v>
      </c>
      <c r="J95" s="64">
        <v>7.0000000000000007E-2</v>
      </c>
      <c r="K95" s="64">
        <v>256.3</v>
      </c>
      <c r="L95" s="64">
        <v>23.17</v>
      </c>
      <c r="M95" s="64">
        <v>98.13</v>
      </c>
      <c r="N95" s="64">
        <v>44.1</v>
      </c>
      <c r="O95" s="64">
        <v>0</v>
      </c>
      <c r="P95" s="64">
        <v>0.85</v>
      </c>
      <c r="Q95" s="64">
        <v>9.15</v>
      </c>
      <c r="R95" s="198"/>
      <c r="S95" s="198"/>
      <c r="T95" s="198"/>
      <c r="U95" s="198"/>
    </row>
    <row r="96" spans="1:26" s="12" customFormat="1" x14ac:dyDescent="0.25">
      <c r="A96" s="211" t="s">
        <v>527</v>
      </c>
      <c r="B96" s="64">
        <v>11.2</v>
      </c>
      <c r="C96" s="64">
        <v>15.76</v>
      </c>
      <c r="D96" s="64">
        <v>17.22</v>
      </c>
      <c r="E96" s="64">
        <v>5.15</v>
      </c>
      <c r="F96" s="64">
        <v>8.19</v>
      </c>
      <c r="G96" s="64">
        <v>13.42</v>
      </c>
      <c r="H96" s="64">
        <v>6.55</v>
      </c>
      <c r="I96" s="64">
        <v>1.55</v>
      </c>
      <c r="J96" s="64">
        <v>0.06</v>
      </c>
      <c r="K96" s="64">
        <v>182.82</v>
      </c>
      <c r="L96" s="64">
        <v>23.12</v>
      </c>
      <c r="M96" s="64">
        <v>98.13</v>
      </c>
      <c r="N96" s="64">
        <v>44</v>
      </c>
      <c r="O96" s="64">
        <v>0</v>
      </c>
      <c r="P96" s="64">
        <v>0.67</v>
      </c>
      <c r="Q96" s="64">
        <v>9.16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528</v>
      </c>
      <c r="B97" s="64">
        <v>9.24</v>
      </c>
      <c r="C97" s="64">
        <v>16.03</v>
      </c>
      <c r="D97" s="64">
        <v>15.78</v>
      </c>
      <c r="E97" s="64">
        <v>5.55</v>
      </c>
      <c r="F97" s="64">
        <v>9.64</v>
      </c>
      <c r="G97" s="64">
        <v>23.65</v>
      </c>
      <c r="H97" s="64">
        <v>5.85</v>
      </c>
      <c r="I97" s="64">
        <v>1.6</v>
      </c>
      <c r="J97" s="64">
        <v>0.2</v>
      </c>
      <c r="K97" s="64">
        <v>147.96</v>
      </c>
      <c r="L97" s="64">
        <v>23.2</v>
      </c>
      <c r="M97" s="64">
        <v>98.13</v>
      </c>
      <c r="N97" s="64">
        <v>43.9</v>
      </c>
      <c r="O97" s="64">
        <v>0</v>
      </c>
      <c r="P97" s="64">
        <v>0.54</v>
      </c>
      <c r="Q97" s="64">
        <v>9.17</v>
      </c>
      <c r="R97" s="198"/>
      <c r="S97" s="198"/>
      <c r="T97" s="198"/>
      <c r="U97" s="198"/>
    </row>
    <row r="98" spans="1:33" s="12" customFormat="1" x14ac:dyDescent="0.25">
      <c r="A98" s="211" t="s">
        <v>529</v>
      </c>
      <c r="B98" s="64">
        <v>10.75</v>
      </c>
      <c r="C98" s="64">
        <v>12.93</v>
      </c>
      <c r="D98" s="64">
        <v>15.37</v>
      </c>
      <c r="E98" s="64">
        <v>5.53</v>
      </c>
      <c r="F98" s="64">
        <v>7.82</v>
      </c>
      <c r="G98" s="64">
        <v>24.38</v>
      </c>
      <c r="H98" s="64">
        <v>5.85</v>
      </c>
      <c r="I98" s="64">
        <v>1.63</v>
      </c>
      <c r="J98" s="64">
        <v>0.09</v>
      </c>
      <c r="K98" s="64">
        <v>131.85</v>
      </c>
      <c r="L98" s="64">
        <v>23.2</v>
      </c>
      <c r="M98" s="64">
        <v>98.13</v>
      </c>
      <c r="N98" s="64">
        <v>43.9</v>
      </c>
      <c r="O98" s="64">
        <v>0</v>
      </c>
      <c r="P98" s="64">
        <v>0.51</v>
      </c>
      <c r="Q98" s="64">
        <v>9.19</v>
      </c>
      <c r="R98" s="198"/>
      <c r="S98" s="198"/>
      <c r="T98" s="198"/>
      <c r="U98" s="198"/>
    </row>
    <row r="99" spans="1:33" s="12" customFormat="1" x14ac:dyDescent="0.25">
      <c r="A99" s="211" t="s">
        <v>530</v>
      </c>
      <c r="B99" s="64">
        <v>10.210000000000001</v>
      </c>
      <c r="C99" s="64">
        <v>10.81</v>
      </c>
      <c r="D99" s="64">
        <v>13.84</v>
      </c>
      <c r="E99" s="64">
        <v>5.5</v>
      </c>
      <c r="F99" s="64">
        <v>282.11</v>
      </c>
      <c r="G99" s="64">
        <v>24.38</v>
      </c>
      <c r="H99" s="64">
        <v>5.85</v>
      </c>
      <c r="I99" s="64">
        <v>1.64</v>
      </c>
      <c r="J99" s="64">
        <v>0.12</v>
      </c>
      <c r="K99" s="64">
        <v>172.76</v>
      </c>
      <c r="L99" s="64">
        <v>23.17</v>
      </c>
      <c r="M99" s="64">
        <v>98.13</v>
      </c>
      <c r="N99" s="64">
        <v>44</v>
      </c>
      <c r="O99" s="64">
        <v>0</v>
      </c>
      <c r="P99" s="64">
        <v>0.45</v>
      </c>
      <c r="Q99" s="64">
        <v>9.19</v>
      </c>
      <c r="R99" s="198"/>
      <c r="S99" s="198"/>
      <c r="T99" s="198"/>
      <c r="U99" s="198"/>
    </row>
    <row r="100" spans="1:33" s="12" customFormat="1" x14ac:dyDescent="0.25">
      <c r="A100" s="211" t="s">
        <v>531</v>
      </c>
      <c r="B100" s="64">
        <v>9.7100000000000009</v>
      </c>
      <c r="C100" s="64">
        <v>8.99</v>
      </c>
      <c r="D100" s="64">
        <v>12.49</v>
      </c>
      <c r="E100" s="64">
        <v>5.34</v>
      </c>
      <c r="F100" s="64">
        <v>9.6199999999999992</v>
      </c>
      <c r="G100" s="64">
        <v>24.38</v>
      </c>
      <c r="H100" s="64">
        <v>5.85</v>
      </c>
      <c r="I100" s="64">
        <v>1.64</v>
      </c>
      <c r="J100" s="64">
        <v>0.63</v>
      </c>
      <c r="K100" s="64">
        <v>140.04</v>
      </c>
      <c r="L100" s="64">
        <v>23.15</v>
      </c>
      <c r="M100" s="64">
        <v>98.13</v>
      </c>
      <c r="N100" s="64">
        <v>44</v>
      </c>
      <c r="O100" s="64">
        <v>0</v>
      </c>
      <c r="P100" s="64">
        <v>0.41</v>
      </c>
      <c r="Q100" s="64">
        <v>9.19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532</v>
      </c>
      <c r="B101" s="64">
        <v>9.6</v>
      </c>
      <c r="C101" s="64">
        <v>7.18</v>
      </c>
      <c r="D101" s="64">
        <v>11.45</v>
      </c>
      <c r="E101" s="64">
        <v>5.47</v>
      </c>
      <c r="F101" s="64">
        <v>10.48</v>
      </c>
      <c r="G101" s="64">
        <v>10.27</v>
      </c>
      <c r="H101" s="64">
        <v>11.17</v>
      </c>
      <c r="I101" s="64">
        <v>1.64</v>
      </c>
      <c r="J101" s="64">
        <v>0.28999999999999998</v>
      </c>
      <c r="K101" s="64">
        <v>124.76</v>
      </c>
      <c r="L101" s="64">
        <v>23.12</v>
      </c>
      <c r="M101" s="64">
        <v>98.13</v>
      </c>
      <c r="N101" s="64">
        <v>44.1</v>
      </c>
      <c r="O101" s="64">
        <v>0</v>
      </c>
      <c r="P101" s="64">
        <v>0.4</v>
      </c>
      <c r="Q101" s="64">
        <v>9.18</v>
      </c>
      <c r="R101" s="198"/>
      <c r="S101" s="198"/>
      <c r="T101" s="198"/>
      <c r="U101" s="198"/>
    </row>
    <row r="102" spans="1:33" s="12" customFormat="1" x14ac:dyDescent="0.25">
      <c r="A102" s="211" t="s">
        <v>533</v>
      </c>
      <c r="B102" s="64">
        <v>12.22</v>
      </c>
      <c r="C102" s="64">
        <v>6.53</v>
      </c>
      <c r="D102" s="64">
        <v>13.21</v>
      </c>
      <c r="E102" s="64">
        <v>5.05</v>
      </c>
      <c r="F102" s="64">
        <v>9.66</v>
      </c>
      <c r="G102" s="64">
        <v>9.27</v>
      </c>
      <c r="H102" s="64">
        <v>11.17</v>
      </c>
      <c r="I102" s="64">
        <v>1.62</v>
      </c>
      <c r="J102" s="64">
        <v>0.05</v>
      </c>
      <c r="K102" s="64">
        <v>234.06</v>
      </c>
      <c r="L102" s="64">
        <v>23.07</v>
      </c>
      <c r="M102" s="64">
        <v>98.13</v>
      </c>
      <c r="N102" s="64">
        <v>43.9</v>
      </c>
      <c r="O102" s="64">
        <v>0</v>
      </c>
      <c r="P102" s="64">
        <v>0.53</v>
      </c>
      <c r="Q102" s="64">
        <v>9.16</v>
      </c>
      <c r="R102" s="198"/>
      <c r="S102" s="198"/>
      <c r="T102" s="198"/>
      <c r="U102" s="198"/>
    </row>
    <row r="103" spans="1:33" s="12" customFormat="1" x14ac:dyDescent="0.25">
      <c r="A103" s="211" t="s">
        <v>534</v>
      </c>
      <c r="B103" s="64">
        <v>10.06</v>
      </c>
      <c r="C103" s="64">
        <v>8.23</v>
      </c>
      <c r="D103" s="64">
        <v>12.37</v>
      </c>
      <c r="E103" s="64">
        <v>5.42</v>
      </c>
      <c r="F103" s="64">
        <v>9.7799999999999994</v>
      </c>
      <c r="G103" s="64">
        <v>9.27</v>
      </c>
      <c r="H103" s="64">
        <v>11.17</v>
      </c>
      <c r="I103" s="64">
        <v>1.59</v>
      </c>
      <c r="J103" s="64">
        <v>7.0000000000000007E-2</v>
      </c>
      <c r="K103" s="64">
        <v>275.39</v>
      </c>
      <c r="L103" s="64">
        <v>23.13</v>
      </c>
      <c r="M103" s="64">
        <v>98.15</v>
      </c>
      <c r="N103" s="64">
        <v>43.9</v>
      </c>
      <c r="O103" s="64">
        <v>0</v>
      </c>
      <c r="P103" s="64">
        <v>0.43</v>
      </c>
      <c r="Q103" s="64">
        <v>9.15</v>
      </c>
      <c r="R103" s="198"/>
      <c r="S103" s="198"/>
      <c r="T103" s="198"/>
      <c r="U103" s="198"/>
    </row>
    <row r="104" spans="1:33" s="12" customFormat="1" x14ac:dyDescent="0.25">
      <c r="A104" s="211" t="s">
        <v>535</v>
      </c>
      <c r="B104" s="64">
        <v>11.42</v>
      </c>
      <c r="C104" s="64">
        <v>5.82</v>
      </c>
      <c r="D104" s="64">
        <v>12.2</v>
      </c>
      <c r="E104" s="64">
        <v>5.38</v>
      </c>
      <c r="F104" s="64">
        <v>8.42</v>
      </c>
      <c r="G104" s="64">
        <v>9.27</v>
      </c>
      <c r="H104" s="64">
        <v>11.17</v>
      </c>
      <c r="I104" s="64">
        <v>1.55</v>
      </c>
      <c r="J104" s="64">
        <v>0.08</v>
      </c>
      <c r="K104" s="64">
        <v>283.52999999999997</v>
      </c>
      <c r="L104" s="64">
        <v>23.23</v>
      </c>
      <c r="M104" s="64">
        <v>98.15</v>
      </c>
      <c r="N104" s="64">
        <v>43.9</v>
      </c>
      <c r="O104" s="64">
        <v>0</v>
      </c>
      <c r="P104" s="64">
        <v>0.48</v>
      </c>
      <c r="Q104" s="64">
        <v>9.1300000000000008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7.1</v>
      </c>
      <c r="C106" s="67">
        <f>MIN(C9:C104)</f>
        <v>4.54</v>
      </c>
      <c r="D106" s="67">
        <f t="shared" ref="D106:Q106" si="0">MIN(D9:D104)</f>
        <v>11.22</v>
      </c>
      <c r="E106" s="67">
        <f t="shared" si="0"/>
        <v>4.0199999999999996</v>
      </c>
      <c r="F106" s="67">
        <f t="shared" si="0"/>
        <v>5.7</v>
      </c>
      <c r="G106" s="67">
        <f t="shared" si="0"/>
        <v>3.57</v>
      </c>
      <c r="H106" s="67">
        <f t="shared" si="0"/>
        <v>5.69</v>
      </c>
      <c r="I106" s="67">
        <f t="shared" si="0"/>
        <v>0.76</v>
      </c>
      <c r="J106" s="67">
        <f t="shared" si="0"/>
        <v>0</v>
      </c>
      <c r="K106" s="67">
        <f t="shared" si="0"/>
        <v>94.71</v>
      </c>
      <c r="L106" s="67">
        <f t="shared" si="0"/>
        <v>21.92</v>
      </c>
      <c r="M106" s="67">
        <f t="shared" si="0"/>
        <v>87.17</v>
      </c>
      <c r="N106" s="67">
        <f t="shared" si="0"/>
        <v>43.8</v>
      </c>
      <c r="O106" s="67">
        <f t="shared" si="0"/>
        <v>0</v>
      </c>
      <c r="P106" s="67">
        <f t="shared" si="0"/>
        <v>0.38</v>
      </c>
      <c r="Q106" s="67">
        <f t="shared" si="0"/>
        <v>9.06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23.21</v>
      </c>
      <c r="C107" s="66">
        <f t="shared" ref="C107:Q107" si="1">MAX(C9:C104)</f>
        <v>19.59</v>
      </c>
      <c r="D107" s="66">
        <f t="shared" si="1"/>
        <v>24.64</v>
      </c>
      <c r="E107" s="66">
        <f t="shared" si="1"/>
        <v>5.55</v>
      </c>
      <c r="F107" s="66">
        <f t="shared" si="1"/>
        <v>395.77</v>
      </c>
      <c r="G107" s="66">
        <f t="shared" si="1"/>
        <v>817.9</v>
      </c>
      <c r="H107" s="66">
        <f t="shared" si="1"/>
        <v>12.91</v>
      </c>
      <c r="I107" s="66">
        <f t="shared" si="1"/>
        <v>2.12</v>
      </c>
      <c r="J107" s="66">
        <f t="shared" si="1"/>
        <v>1.66</v>
      </c>
      <c r="K107" s="66">
        <f t="shared" si="1"/>
        <v>351.77</v>
      </c>
      <c r="L107" s="66">
        <f t="shared" si="1"/>
        <v>30.25</v>
      </c>
      <c r="M107" s="66">
        <f t="shared" si="1"/>
        <v>98.65</v>
      </c>
      <c r="N107" s="66">
        <f t="shared" si="1"/>
        <v>755.6</v>
      </c>
      <c r="O107" s="66">
        <f t="shared" si="1"/>
        <v>0.4</v>
      </c>
      <c r="P107" s="66">
        <f t="shared" si="1"/>
        <v>0.91</v>
      </c>
      <c r="Q107" s="66">
        <f t="shared" si="1"/>
        <v>9.33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12.517083333333337</v>
      </c>
      <c r="C108" s="67">
        <f t="shared" ref="C108:Q108" si="2">AVERAGE(C9:C104)</f>
        <v>9.1867708333333304</v>
      </c>
      <c r="D108" s="67">
        <f t="shared" si="2"/>
        <v>14.84572916666667</v>
      </c>
      <c r="E108" s="67">
        <f t="shared" si="2"/>
        <v>5.0495833333333335</v>
      </c>
      <c r="F108" s="67">
        <f t="shared" si="2"/>
        <v>15.319374999999999</v>
      </c>
      <c r="G108" s="67">
        <f t="shared" si="2"/>
        <v>59.354062500000019</v>
      </c>
      <c r="H108" s="67">
        <f t="shared" si="2"/>
        <v>8.2404166666666665</v>
      </c>
      <c r="I108" s="67">
        <f t="shared" si="2"/>
        <v>1.4781249999999995</v>
      </c>
      <c r="J108" s="67">
        <f t="shared" si="2"/>
        <v>0.59510416666666643</v>
      </c>
      <c r="K108" s="67">
        <f t="shared" si="2"/>
        <v>296.32093749999984</v>
      </c>
      <c r="L108" s="67">
        <f t="shared" si="2"/>
        <v>23.787916666666661</v>
      </c>
      <c r="M108" s="67">
        <f t="shared" si="2"/>
        <v>97.851145833333263</v>
      </c>
      <c r="N108" s="67">
        <f t="shared" si="2"/>
        <v>114.53645833333321</v>
      </c>
      <c r="O108" s="67">
        <f t="shared" si="2"/>
        <v>8.3333333333333332E-3</v>
      </c>
      <c r="P108" s="67">
        <f t="shared" si="2"/>
        <v>0.5160416666666664</v>
      </c>
      <c r="Q108" s="67">
        <f t="shared" si="2"/>
        <v>9.1727083333333379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3.148244261461369</v>
      </c>
      <c r="C109" s="67">
        <f t="shared" ref="C109:Q109" si="3">STDEV(C9:C104)</f>
        <v>3.4722734838906262</v>
      </c>
      <c r="D109" s="67">
        <f t="shared" si="3"/>
        <v>2.5753339057056346</v>
      </c>
      <c r="E109" s="67">
        <f t="shared" si="3"/>
        <v>0.31132963294694138</v>
      </c>
      <c r="F109" s="67">
        <f t="shared" si="3"/>
        <v>48.215331844429123</v>
      </c>
      <c r="G109" s="67">
        <f t="shared" si="3"/>
        <v>156.88486746372899</v>
      </c>
      <c r="H109" s="67">
        <f t="shared" si="3"/>
        <v>2.0401372072881423</v>
      </c>
      <c r="I109" s="67">
        <f t="shared" si="3"/>
        <v>0.24992340932037263</v>
      </c>
      <c r="J109" s="67">
        <f t="shared" si="3"/>
        <v>0.43799782453597369</v>
      </c>
      <c r="K109" s="67">
        <f t="shared" si="3"/>
        <v>65.356504626598692</v>
      </c>
      <c r="L109" s="67">
        <f t="shared" si="3"/>
        <v>2.0634339884186756</v>
      </c>
      <c r="M109" s="67">
        <f t="shared" si="3"/>
        <v>1.5304171222194489</v>
      </c>
      <c r="N109" s="67">
        <f t="shared" si="3"/>
        <v>116.19941219145807</v>
      </c>
      <c r="O109" s="67">
        <f t="shared" si="3"/>
        <v>5.7430354465518391E-2</v>
      </c>
      <c r="P109" s="67">
        <f t="shared" si="3"/>
        <v>9.8413511766656012E-2</v>
      </c>
      <c r="Q109" s="67">
        <f t="shared" si="3"/>
        <v>6.6798663186539653E-2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" si="4">COUNT(B9:B104)+44</f>
        <v>140</v>
      </c>
      <c r="C110" s="66">
        <f>COUNT(C9:C104)</f>
        <v>96</v>
      </c>
      <c r="D110" s="66">
        <f t="shared" ref="D110:Q110" si="5">COUNT(D9:D104)</f>
        <v>96</v>
      </c>
      <c r="E110" s="66">
        <f t="shared" si="5"/>
        <v>96</v>
      </c>
      <c r="F110" s="66">
        <f t="shared" si="5"/>
        <v>96</v>
      </c>
      <c r="G110" s="66">
        <f t="shared" si="5"/>
        <v>96</v>
      </c>
      <c r="H110" s="66">
        <f t="shared" si="5"/>
        <v>96</v>
      </c>
      <c r="I110" s="66">
        <f t="shared" si="5"/>
        <v>96</v>
      </c>
      <c r="J110" s="66">
        <f t="shared" si="5"/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7" sqref="F1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536</v>
      </c>
      <c r="B9" s="64">
        <v>10.97</v>
      </c>
      <c r="C9" s="64">
        <v>5.74</v>
      </c>
      <c r="D9" s="64">
        <v>11.8</v>
      </c>
      <c r="E9" s="64">
        <v>4.8499999999999996</v>
      </c>
      <c r="F9" s="64">
        <v>9.1300000000000008</v>
      </c>
      <c r="G9" s="64">
        <v>13.16</v>
      </c>
      <c r="H9" s="64">
        <v>10.039999999999999</v>
      </c>
      <c r="I9" s="64">
        <v>1.52</v>
      </c>
      <c r="J9" s="64">
        <v>0.11</v>
      </c>
      <c r="K9" s="64">
        <v>310.8</v>
      </c>
      <c r="L9" s="64">
        <v>23.33</v>
      </c>
      <c r="M9" s="64">
        <v>98.13</v>
      </c>
      <c r="N9" s="64">
        <v>43.9</v>
      </c>
      <c r="O9" s="64">
        <v>0</v>
      </c>
      <c r="P9" s="64">
        <v>0.47</v>
      </c>
      <c r="Q9" s="64">
        <v>9.15</v>
      </c>
      <c r="R9" s="198"/>
      <c r="S9" s="198"/>
      <c r="T9" s="198"/>
      <c r="U9" s="198"/>
    </row>
    <row r="10" spans="1:21" s="12" customFormat="1" x14ac:dyDescent="0.25">
      <c r="A10" s="211" t="s">
        <v>537</v>
      </c>
      <c r="B10" s="64">
        <v>11.6</v>
      </c>
      <c r="C10" s="64">
        <v>5.2</v>
      </c>
      <c r="D10" s="64">
        <v>12.02</v>
      </c>
      <c r="E10" s="64">
        <v>4.92</v>
      </c>
      <c r="F10" s="64">
        <v>7.19</v>
      </c>
      <c r="G10" s="64">
        <v>13.43</v>
      </c>
      <c r="H10" s="64">
        <v>10.039999999999999</v>
      </c>
      <c r="I10" s="64">
        <v>1.49</v>
      </c>
      <c r="J10" s="64">
        <v>0.12</v>
      </c>
      <c r="K10" s="64">
        <v>295.45999999999998</v>
      </c>
      <c r="L10" s="64">
        <v>23.36</v>
      </c>
      <c r="M10" s="64">
        <v>98.14</v>
      </c>
      <c r="N10" s="64">
        <v>44.1</v>
      </c>
      <c r="O10" s="64">
        <v>0</v>
      </c>
      <c r="P10" s="64">
        <v>0.48</v>
      </c>
      <c r="Q10" s="64">
        <v>9.1199999999999992</v>
      </c>
      <c r="R10" s="198"/>
      <c r="S10" s="198"/>
      <c r="T10" s="198"/>
      <c r="U10" s="198"/>
    </row>
    <row r="11" spans="1:21" s="12" customFormat="1" x14ac:dyDescent="0.25">
      <c r="A11" s="211" t="s">
        <v>538</v>
      </c>
      <c r="B11" s="64">
        <v>11.4</v>
      </c>
      <c r="C11" s="64">
        <v>5.25</v>
      </c>
      <c r="D11" s="64">
        <v>11.89</v>
      </c>
      <c r="E11" s="64">
        <v>4.9000000000000004</v>
      </c>
      <c r="F11" s="64">
        <v>8.11</v>
      </c>
      <c r="G11" s="64">
        <v>13.43</v>
      </c>
      <c r="H11" s="64">
        <v>10.039999999999999</v>
      </c>
      <c r="I11" s="64">
        <v>1.45</v>
      </c>
      <c r="J11" s="64">
        <v>0.11</v>
      </c>
      <c r="K11" s="64">
        <v>284.87</v>
      </c>
      <c r="L11" s="64">
        <v>23.39</v>
      </c>
      <c r="M11" s="64">
        <v>98.15</v>
      </c>
      <c r="N11" s="64">
        <v>44.3</v>
      </c>
      <c r="O11" s="64">
        <v>0</v>
      </c>
      <c r="P11" s="64">
        <v>0.47</v>
      </c>
      <c r="Q11" s="64">
        <v>9.1199999999999992</v>
      </c>
      <c r="R11" s="198"/>
      <c r="S11" s="198"/>
      <c r="T11" s="198"/>
      <c r="U11" s="198"/>
    </row>
    <row r="12" spans="1:21" s="12" customFormat="1" x14ac:dyDescent="0.25">
      <c r="A12" s="211" t="s">
        <v>539</v>
      </c>
      <c r="B12" s="64">
        <v>10.76</v>
      </c>
      <c r="C12" s="64">
        <v>5.54</v>
      </c>
      <c r="D12" s="64">
        <v>11.52</v>
      </c>
      <c r="E12" s="64">
        <v>4.8600000000000003</v>
      </c>
      <c r="F12" s="64">
        <v>8.67</v>
      </c>
      <c r="G12" s="64">
        <v>13.43</v>
      </c>
      <c r="H12" s="64">
        <v>10.039999999999999</v>
      </c>
      <c r="I12" s="64">
        <v>1.41</v>
      </c>
      <c r="J12" s="64">
        <v>0.12</v>
      </c>
      <c r="K12" s="64">
        <v>293.47000000000003</v>
      </c>
      <c r="L12" s="64">
        <v>23.38</v>
      </c>
      <c r="M12" s="64">
        <v>98.14</v>
      </c>
      <c r="N12" s="64">
        <v>44.5</v>
      </c>
      <c r="O12" s="64">
        <v>0</v>
      </c>
      <c r="P12" s="64">
        <v>0.43</v>
      </c>
      <c r="Q12" s="64">
        <v>9.11</v>
      </c>
      <c r="R12" s="198"/>
      <c r="S12" s="198"/>
      <c r="T12" s="198"/>
      <c r="U12" s="198"/>
    </row>
    <row r="13" spans="1:21" s="12" customFormat="1" x14ac:dyDescent="0.25">
      <c r="A13" s="211" t="s">
        <v>540</v>
      </c>
      <c r="B13" s="64">
        <v>10.55</v>
      </c>
      <c r="C13" s="64">
        <v>5.67</v>
      </c>
      <c r="D13" s="64">
        <v>11.42</v>
      </c>
      <c r="E13" s="64">
        <v>4.7</v>
      </c>
      <c r="F13" s="64">
        <v>9.86</v>
      </c>
      <c r="G13" s="64">
        <v>15.38</v>
      </c>
      <c r="H13" s="64">
        <v>8.77</v>
      </c>
      <c r="I13" s="64">
        <v>1.37</v>
      </c>
      <c r="J13" s="64">
        <v>0.15</v>
      </c>
      <c r="K13" s="64">
        <v>298.13</v>
      </c>
      <c r="L13" s="64">
        <v>23.33</v>
      </c>
      <c r="M13" s="64">
        <v>98.13</v>
      </c>
      <c r="N13" s="64">
        <v>44.5</v>
      </c>
      <c r="O13" s="64">
        <v>0</v>
      </c>
      <c r="P13" s="64">
        <v>0.41</v>
      </c>
      <c r="Q13" s="64">
        <v>9.1</v>
      </c>
      <c r="R13" s="198"/>
      <c r="S13" s="198"/>
      <c r="T13" s="198"/>
      <c r="U13" s="198"/>
    </row>
    <row r="14" spans="1:21" s="12" customFormat="1" x14ac:dyDescent="0.25">
      <c r="A14" s="211" t="s">
        <v>541</v>
      </c>
      <c r="B14" s="64">
        <v>10.3</v>
      </c>
      <c r="C14" s="64">
        <v>5.91</v>
      </c>
      <c r="D14" s="64">
        <v>11.35</v>
      </c>
      <c r="E14" s="64">
        <v>4.78</v>
      </c>
      <c r="F14" s="64">
        <v>7.61</v>
      </c>
      <c r="G14" s="64">
        <v>15.52</v>
      </c>
      <c r="H14" s="64">
        <v>8.77</v>
      </c>
      <c r="I14" s="64">
        <v>1.34</v>
      </c>
      <c r="J14" s="64">
        <v>0.14000000000000001</v>
      </c>
      <c r="K14" s="64">
        <v>301.52</v>
      </c>
      <c r="L14" s="64">
        <v>23.29</v>
      </c>
      <c r="M14" s="64">
        <v>98.13</v>
      </c>
      <c r="N14" s="64">
        <v>44.4</v>
      </c>
      <c r="O14" s="64">
        <v>0</v>
      </c>
      <c r="P14" s="64">
        <v>0.42</v>
      </c>
      <c r="Q14" s="64">
        <v>9.09</v>
      </c>
      <c r="R14" s="198"/>
      <c r="S14" s="198"/>
      <c r="T14" s="198"/>
      <c r="U14" s="198"/>
    </row>
    <row r="15" spans="1:21" s="12" customFormat="1" x14ac:dyDescent="0.25">
      <c r="A15" s="211" t="s">
        <v>542</v>
      </c>
      <c r="B15" s="64">
        <v>10.31</v>
      </c>
      <c r="C15" s="64">
        <v>5.75</v>
      </c>
      <c r="D15" s="64">
        <v>11.27</v>
      </c>
      <c r="E15" s="64">
        <v>4.7</v>
      </c>
      <c r="F15" s="64">
        <v>9.2799999999999994</v>
      </c>
      <c r="G15" s="64">
        <v>15.52</v>
      </c>
      <c r="H15" s="64">
        <v>8.77</v>
      </c>
      <c r="I15" s="64">
        <v>1.31</v>
      </c>
      <c r="J15" s="64">
        <v>0.09</v>
      </c>
      <c r="K15" s="64">
        <v>287.43</v>
      </c>
      <c r="L15" s="64">
        <v>23.21</v>
      </c>
      <c r="M15" s="64">
        <v>98.13</v>
      </c>
      <c r="N15" s="64">
        <v>44.5</v>
      </c>
      <c r="O15" s="64">
        <v>0</v>
      </c>
      <c r="P15" s="64">
        <v>0.44</v>
      </c>
      <c r="Q15" s="64">
        <v>9.08</v>
      </c>
      <c r="R15" s="198"/>
      <c r="S15" s="198"/>
      <c r="T15" s="198"/>
      <c r="U15" s="198"/>
    </row>
    <row r="16" spans="1:21" s="12" customFormat="1" x14ac:dyDescent="0.25">
      <c r="A16" s="211" t="s">
        <v>543</v>
      </c>
      <c r="B16" s="64">
        <v>9.24</v>
      </c>
      <c r="C16" s="64">
        <v>6.4</v>
      </c>
      <c r="D16" s="64">
        <v>10.75</v>
      </c>
      <c r="E16" s="64">
        <v>4.42</v>
      </c>
      <c r="F16" s="64">
        <v>11.24</v>
      </c>
      <c r="G16" s="64">
        <v>15.52</v>
      </c>
      <c r="H16" s="64">
        <v>8.77</v>
      </c>
      <c r="I16" s="64">
        <v>1.29</v>
      </c>
      <c r="J16" s="64">
        <v>0.1</v>
      </c>
      <c r="K16" s="64">
        <v>269.95999999999998</v>
      </c>
      <c r="L16" s="64">
        <v>23.07</v>
      </c>
      <c r="M16" s="64">
        <v>98.15</v>
      </c>
      <c r="N16" s="64">
        <v>44.5</v>
      </c>
      <c r="O16" s="64">
        <v>0</v>
      </c>
      <c r="P16" s="64">
        <v>0.39</v>
      </c>
      <c r="Q16" s="64">
        <v>9.08</v>
      </c>
      <c r="R16" s="198"/>
      <c r="S16" s="198"/>
      <c r="T16" s="198"/>
      <c r="U16" s="198"/>
    </row>
    <row r="17" spans="1:21" s="12" customFormat="1" x14ac:dyDescent="0.25">
      <c r="A17" s="211" t="s">
        <v>544</v>
      </c>
      <c r="B17" s="64">
        <v>9.0299999999999994</v>
      </c>
      <c r="C17" s="64">
        <v>6.34</v>
      </c>
      <c r="D17" s="64">
        <v>10.56</v>
      </c>
      <c r="E17" s="64">
        <v>4.63</v>
      </c>
      <c r="F17" s="64">
        <v>12.62</v>
      </c>
      <c r="G17" s="64">
        <v>11.01</v>
      </c>
      <c r="H17" s="64">
        <v>7.3</v>
      </c>
      <c r="I17" s="64">
        <v>1.3</v>
      </c>
      <c r="J17" s="64">
        <v>0.12</v>
      </c>
      <c r="K17" s="64">
        <v>295.33</v>
      </c>
      <c r="L17" s="64">
        <v>22.94</v>
      </c>
      <c r="M17" s="64">
        <v>98.13</v>
      </c>
      <c r="N17" s="64">
        <v>44.6</v>
      </c>
      <c r="O17" s="64">
        <v>0</v>
      </c>
      <c r="P17" s="64">
        <v>0.4</v>
      </c>
      <c r="Q17" s="64">
        <v>9.08</v>
      </c>
      <c r="R17" s="198"/>
      <c r="S17" s="198"/>
      <c r="T17" s="198"/>
      <c r="U17" s="198"/>
    </row>
    <row r="18" spans="1:21" s="12" customFormat="1" x14ac:dyDescent="0.25">
      <c r="A18" s="211" t="s">
        <v>545</v>
      </c>
      <c r="B18" s="64">
        <v>9.0500000000000007</v>
      </c>
      <c r="C18" s="64">
        <v>6.13</v>
      </c>
      <c r="D18" s="64">
        <v>10.46</v>
      </c>
      <c r="E18" s="64">
        <v>4.8</v>
      </c>
      <c r="F18" s="64">
        <v>9.32</v>
      </c>
      <c r="G18" s="64">
        <v>10.69</v>
      </c>
      <c r="H18" s="64">
        <v>7.3</v>
      </c>
      <c r="I18" s="64">
        <v>1.31</v>
      </c>
      <c r="J18" s="64">
        <v>0.15</v>
      </c>
      <c r="K18" s="64">
        <v>297.25</v>
      </c>
      <c r="L18" s="64">
        <v>22.88</v>
      </c>
      <c r="M18" s="64">
        <v>98.14</v>
      </c>
      <c r="N18" s="64">
        <v>44.6</v>
      </c>
      <c r="O18" s="64">
        <v>0</v>
      </c>
      <c r="P18" s="64">
        <v>0.39</v>
      </c>
      <c r="Q18" s="64">
        <v>9.09</v>
      </c>
      <c r="R18" s="198"/>
      <c r="S18" s="198"/>
      <c r="T18" s="198"/>
      <c r="U18" s="198"/>
    </row>
    <row r="19" spans="1:21" s="12" customFormat="1" x14ac:dyDescent="0.25">
      <c r="A19" s="211" t="s">
        <v>546</v>
      </c>
      <c r="B19" s="64">
        <v>8.6</v>
      </c>
      <c r="C19" s="64">
        <v>6.41</v>
      </c>
      <c r="D19" s="64">
        <v>10.24</v>
      </c>
      <c r="E19" s="64">
        <v>5.03</v>
      </c>
      <c r="F19" s="64">
        <v>9.66</v>
      </c>
      <c r="G19" s="64">
        <v>10.69</v>
      </c>
      <c r="H19" s="64">
        <v>7.3</v>
      </c>
      <c r="I19" s="64">
        <v>1.3</v>
      </c>
      <c r="J19" s="64">
        <v>0.1</v>
      </c>
      <c r="K19" s="64">
        <v>296.25</v>
      </c>
      <c r="L19" s="64">
        <v>22.78</v>
      </c>
      <c r="M19" s="64">
        <v>98.15</v>
      </c>
      <c r="N19" s="64">
        <v>44.5</v>
      </c>
      <c r="O19" s="64">
        <v>0</v>
      </c>
      <c r="P19" s="64">
        <v>0.37</v>
      </c>
      <c r="Q19" s="64">
        <v>9.09</v>
      </c>
      <c r="R19" s="198"/>
      <c r="S19" s="198"/>
      <c r="T19" s="198"/>
      <c r="U19" s="198"/>
    </row>
    <row r="20" spans="1:21" s="12" customFormat="1" x14ac:dyDescent="0.25">
      <c r="A20" s="211" t="s">
        <v>547</v>
      </c>
      <c r="B20" s="64">
        <v>8.4</v>
      </c>
      <c r="C20" s="64">
        <v>6.35</v>
      </c>
      <c r="D20" s="64">
        <v>10.06</v>
      </c>
      <c r="E20" s="64">
        <v>4.7</v>
      </c>
      <c r="F20" s="64">
        <v>10.56</v>
      </c>
      <c r="G20" s="64">
        <v>10.69</v>
      </c>
      <c r="H20" s="64">
        <v>7.3</v>
      </c>
      <c r="I20" s="64">
        <v>1.28</v>
      </c>
      <c r="J20" s="64">
        <v>0.1</v>
      </c>
      <c r="K20" s="64">
        <v>290.36</v>
      </c>
      <c r="L20" s="64">
        <v>22.7</v>
      </c>
      <c r="M20" s="64">
        <v>98.15</v>
      </c>
      <c r="N20" s="64">
        <v>44.5</v>
      </c>
      <c r="O20" s="64">
        <v>0</v>
      </c>
      <c r="P20" s="64">
        <v>0.36</v>
      </c>
      <c r="Q20" s="64">
        <v>9.09</v>
      </c>
      <c r="R20" s="198"/>
      <c r="S20" s="198"/>
      <c r="T20" s="198"/>
      <c r="U20" s="198"/>
    </row>
    <row r="21" spans="1:21" s="12" customFormat="1" x14ac:dyDescent="0.25">
      <c r="A21" s="211" t="s">
        <v>548</v>
      </c>
      <c r="B21" s="64">
        <v>7.95</v>
      </c>
      <c r="C21" s="64">
        <v>6.4</v>
      </c>
      <c r="D21" s="64">
        <v>9.7100000000000009</v>
      </c>
      <c r="E21" s="64">
        <v>4.95</v>
      </c>
      <c r="F21" s="64">
        <v>8.6999999999999993</v>
      </c>
      <c r="G21" s="64">
        <v>5.3</v>
      </c>
      <c r="H21" s="64">
        <v>7.63</v>
      </c>
      <c r="I21" s="64">
        <v>1.26</v>
      </c>
      <c r="J21" s="64">
        <v>0.11</v>
      </c>
      <c r="K21" s="64">
        <v>300.7</v>
      </c>
      <c r="L21" s="64">
        <v>22.66</v>
      </c>
      <c r="M21" s="64">
        <v>98.15</v>
      </c>
      <c r="N21" s="64">
        <v>44.5</v>
      </c>
      <c r="O21" s="64">
        <v>0</v>
      </c>
      <c r="P21" s="64">
        <v>0.33</v>
      </c>
      <c r="Q21" s="64">
        <v>9.07</v>
      </c>
      <c r="R21" s="198"/>
      <c r="S21" s="198"/>
      <c r="T21" s="198"/>
      <c r="U21" s="198"/>
    </row>
    <row r="22" spans="1:21" s="12" customFormat="1" x14ac:dyDescent="0.25">
      <c r="A22" s="211" t="s">
        <v>549</v>
      </c>
      <c r="B22" s="64">
        <v>7.89</v>
      </c>
      <c r="C22" s="64">
        <v>6.3</v>
      </c>
      <c r="D22" s="64">
        <v>9.6199999999999992</v>
      </c>
      <c r="E22" s="64">
        <v>4.79</v>
      </c>
      <c r="F22" s="64">
        <v>8.7799999999999994</v>
      </c>
      <c r="G22" s="64">
        <v>4.92</v>
      </c>
      <c r="H22" s="64">
        <v>7.63</v>
      </c>
      <c r="I22" s="64">
        <v>1.32</v>
      </c>
      <c r="J22" s="64">
        <v>0.12</v>
      </c>
      <c r="K22" s="64">
        <v>285.13</v>
      </c>
      <c r="L22" s="64">
        <v>22.67</v>
      </c>
      <c r="M22" s="64">
        <v>98.14</v>
      </c>
      <c r="N22" s="64">
        <v>44.5</v>
      </c>
      <c r="O22" s="64">
        <v>0</v>
      </c>
      <c r="P22" s="64">
        <v>0.32</v>
      </c>
      <c r="Q22" s="64">
        <v>9.07</v>
      </c>
      <c r="R22" s="198"/>
      <c r="S22" s="198"/>
      <c r="T22" s="198"/>
      <c r="U22" s="198"/>
    </row>
    <row r="23" spans="1:21" s="12" customFormat="1" x14ac:dyDescent="0.25">
      <c r="A23" s="211" t="s">
        <v>550</v>
      </c>
      <c r="B23" s="64">
        <v>7.87</v>
      </c>
      <c r="C23" s="64">
        <v>6.28</v>
      </c>
      <c r="D23" s="64">
        <v>9.59</v>
      </c>
      <c r="E23" s="64">
        <v>4.78</v>
      </c>
      <c r="F23" s="64">
        <v>6.62</v>
      </c>
      <c r="G23" s="64">
        <v>4.92</v>
      </c>
      <c r="H23" s="64">
        <v>7.63</v>
      </c>
      <c r="I23" s="64">
        <v>1.35</v>
      </c>
      <c r="J23" s="64">
        <v>0.11</v>
      </c>
      <c r="K23" s="64">
        <v>286.95</v>
      </c>
      <c r="L23" s="64">
        <v>22.6</v>
      </c>
      <c r="M23" s="64">
        <v>98.15</v>
      </c>
      <c r="N23" s="64">
        <v>44.5</v>
      </c>
      <c r="O23" s="64">
        <v>0</v>
      </c>
      <c r="P23" s="64">
        <v>0.33</v>
      </c>
      <c r="Q23" s="64">
        <v>9.06</v>
      </c>
      <c r="R23" s="198"/>
      <c r="S23" s="198"/>
      <c r="T23" s="198"/>
      <c r="U23" s="198"/>
    </row>
    <row r="24" spans="1:21" s="12" customFormat="1" x14ac:dyDescent="0.25">
      <c r="A24" s="211" t="s">
        <v>551</v>
      </c>
      <c r="B24" s="64">
        <v>7.97</v>
      </c>
      <c r="C24" s="64">
        <v>6.17</v>
      </c>
      <c r="D24" s="64">
        <v>9.61</v>
      </c>
      <c r="E24" s="64">
        <v>4.51</v>
      </c>
      <c r="F24" s="64">
        <v>6.77</v>
      </c>
      <c r="G24" s="64">
        <v>4.92</v>
      </c>
      <c r="H24" s="64">
        <v>7.63</v>
      </c>
      <c r="I24" s="64">
        <v>1.33</v>
      </c>
      <c r="J24" s="64">
        <v>0.13</v>
      </c>
      <c r="K24" s="64">
        <v>298.23</v>
      </c>
      <c r="L24" s="64">
        <v>22.57</v>
      </c>
      <c r="M24" s="64">
        <v>98.17</v>
      </c>
      <c r="N24" s="64">
        <v>44.5</v>
      </c>
      <c r="O24" s="64">
        <v>0</v>
      </c>
      <c r="P24" s="64">
        <v>0.32</v>
      </c>
      <c r="Q24" s="64">
        <v>9.0399999999999991</v>
      </c>
      <c r="R24" s="198"/>
      <c r="S24" s="198"/>
      <c r="T24" s="198"/>
      <c r="U24" s="198"/>
    </row>
    <row r="25" spans="1:21" s="12" customFormat="1" x14ac:dyDescent="0.25">
      <c r="A25" s="211" t="s">
        <v>552</v>
      </c>
      <c r="B25" s="64">
        <v>7.82</v>
      </c>
      <c r="C25" s="64">
        <v>6.14</v>
      </c>
      <c r="D25" s="64">
        <v>9.48</v>
      </c>
      <c r="E25" s="64">
        <v>4.84</v>
      </c>
      <c r="F25" s="64">
        <v>21.43</v>
      </c>
      <c r="G25" s="64">
        <v>2.5299999999999998</v>
      </c>
      <c r="H25" s="64">
        <v>6.49</v>
      </c>
      <c r="I25" s="64">
        <v>1.28</v>
      </c>
      <c r="J25" s="64">
        <v>0.1</v>
      </c>
      <c r="K25" s="64">
        <v>292.17</v>
      </c>
      <c r="L25" s="64">
        <v>22.57</v>
      </c>
      <c r="M25" s="64">
        <v>98.16</v>
      </c>
      <c r="N25" s="64">
        <v>44.5</v>
      </c>
      <c r="O25" s="64">
        <v>0</v>
      </c>
      <c r="P25" s="64">
        <v>0.33</v>
      </c>
      <c r="Q25" s="64">
        <v>9.0399999999999991</v>
      </c>
      <c r="R25" s="198"/>
      <c r="S25" s="198"/>
      <c r="T25" s="198"/>
      <c r="U25" s="198"/>
    </row>
    <row r="26" spans="1:21" s="12" customFormat="1" x14ac:dyDescent="0.25">
      <c r="A26" s="211" t="s">
        <v>553</v>
      </c>
      <c r="B26" s="64">
        <v>7.98</v>
      </c>
      <c r="C26" s="64">
        <v>6.44</v>
      </c>
      <c r="D26" s="64">
        <v>9.77</v>
      </c>
      <c r="E26" s="64">
        <v>4.84</v>
      </c>
      <c r="F26" s="64">
        <v>6.97</v>
      </c>
      <c r="G26" s="64">
        <v>2.36</v>
      </c>
      <c r="H26" s="64">
        <v>6.49</v>
      </c>
      <c r="I26" s="64">
        <v>1.24</v>
      </c>
      <c r="J26" s="64">
        <v>0.12</v>
      </c>
      <c r="K26" s="64">
        <v>314.83999999999997</v>
      </c>
      <c r="L26" s="64">
        <v>22.54</v>
      </c>
      <c r="M26" s="64">
        <v>98.17</v>
      </c>
      <c r="N26" s="64">
        <v>44.5</v>
      </c>
      <c r="O26" s="64">
        <v>0</v>
      </c>
      <c r="P26" s="64">
        <v>0.3</v>
      </c>
      <c r="Q26" s="64">
        <v>9.02</v>
      </c>
      <c r="R26" s="198"/>
      <c r="S26" s="198"/>
      <c r="T26" s="198"/>
      <c r="U26" s="198"/>
    </row>
    <row r="27" spans="1:21" s="12" customFormat="1" x14ac:dyDescent="0.25">
      <c r="A27" s="211" t="s">
        <v>554</v>
      </c>
      <c r="B27" s="64">
        <v>7.94</v>
      </c>
      <c r="C27" s="64">
        <v>6.25</v>
      </c>
      <c r="D27" s="64">
        <v>9.6300000000000008</v>
      </c>
      <c r="E27" s="64">
        <v>4.72</v>
      </c>
      <c r="F27" s="64">
        <v>5.44</v>
      </c>
      <c r="G27" s="64">
        <v>2.36</v>
      </c>
      <c r="H27" s="64">
        <v>6.49</v>
      </c>
      <c r="I27" s="64">
        <v>1.2</v>
      </c>
      <c r="J27" s="64">
        <v>0.08</v>
      </c>
      <c r="K27" s="64">
        <v>290.06</v>
      </c>
      <c r="L27" s="64">
        <v>22.57</v>
      </c>
      <c r="M27" s="64">
        <v>98.18</v>
      </c>
      <c r="N27" s="64">
        <v>44.5</v>
      </c>
      <c r="O27" s="64">
        <v>0</v>
      </c>
      <c r="P27" s="64">
        <v>0.3</v>
      </c>
      <c r="Q27" s="64">
        <v>9.02</v>
      </c>
      <c r="R27" s="198"/>
      <c r="S27" s="198"/>
      <c r="T27" s="198"/>
      <c r="U27" s="198"/>
    </row>
    <row r="28" spans="1:21" s="12" customFormat="1" x14ac:dyDescent="0.25">
      <c r="A28" s="211" t="s">
        <v>555</v>
      </c>
      <c r="B28" s="64">
        <v>7.85</v>
      </c>
      <c r="C28" s="64">
        <v>6.42</v>
      </c>
      <c r="D28" s="64">
        <v>9.65</v>
      </c>
      <c r="E28" s="64">
        <v>4.6900000000000004</v>
      </c>
      <c r="F28" s="64">
        <v>6.53</v>
      </c>
      <c r="G28" s="64">
        <v>2.36</v>
      </c>
      <c r="H28" s="64">
        <v>6.49</v>
      </c>
      <c r="I28" s="64">
        <v>1.18</v>
      </c>
      <c r="J28" s="64">
        <v>0.12</v>
      </c>
      <c r="K28" s="64">
        <v>299.32</v>
      </c>
      <c r="L28" s="64">
        <v>22.61</v>
      </c>
      <c r="M28" s="64">
        <v>98.19</v>
      </c>
      <c r="N28" s="64">
        <v>44.5</v>
      </c>
      <c r="O28" s="64">
        <v>0</v>
      </c>
      <c r="P28" s="64">
        <v>0.3</v>
      </c>
      <c r="Q28" s="64">
        <v>9.0299999999999994</v>
      </c>
      <c r="R28" s="198"/>
      <c r="S28" s="198"/>
      <c r="T28" s="198"/>
      <c r="U28" s="198"/>
    </row>
    <row r="29" spans="1:21" s="12" customFormat="1" x14ac:dyDescent="0.25">
      <c r="A29" s="211" t="s">
        <v>556</v>
      </c>
      <c r="B29" s="64">
        <v>7.86</v>
      </c>
      <c r="C29" s="64">
        <v>6.21</v>
      </c>
      <c r="D29" s="64">
        <v>9.5500000000000007</v>
      </c>
      <c r="E29" s="64">
        <v>4.6900000000000004</v>
      </c>
      <c r="F29" s="64">
        <v>6.64</v>
      </c>
      <c r="G29" s="64">
        <v>5.87</v>
      </c>
      <c r="H29" s="64">
        <v>5.75</v>
      </c>
      <c r="I29" s="64">
        <v>1.17</v>
      </c>
      <c r="J29" s="64">
        <v>0.12</v>
      </c>
      <c r="K29" s="64">
        <v>303.42</v>
      </c>
      <c r="L29" s="64">
        <v>22.62</v>
      </c>
      <c r="M29" s="64">
        <v>98.2</v>
      </c>
      <c r="N29" s="64">
        <v>44.8</v>
      </c>
      <c r="O29" s="64">
        <v>0</v>
      </c>
      <c r="P29" s="64">
        <v>0.28000000000000003</v>
      </c>
      <c r="Q29" s="64">
        <v>9.02</v>
      </c>
      <c r="R29" s="198"/>
      <c r="S29" s="198"/>
      <c r="T29" s="198"/>
      <c r="U29" s="198"/>
    </row>
    <row r="30" spans="1:21" s="12" customFormat="1" x14ac:dyDescent="0.25">
      <c r="A30" s="211" t="s">
        <v>557</v>
      </c>
      <c r="B30" s="64">
        <v>7.73</v>
      </c>
      <c r="C30" s="64">
        <v>6.28</v>
      </c>
      <c r="D30" s="64">
        <v>9.48</v>
      </c>
      <c r="E30" s="64">
        <v>4.78</v>
      </c>
      <c r="F30" s="64">
        <v>7.49</v>
      </c>
      <c r="G30" s="64">
        <v>6.12</v>
      </c>
      <c r="H30" s="64">
        <v>5.75</v>
      </c>
      <c r="I30" s="64">
        <v>1.1399999999999999</v>
      </c>
      <c r="J30" s="64">
        <v>0.12</v>
      </c>
      <c r="K30" s="64">
        <v>308.48</v>
      </c>
      <c r="L30" s="64">
        <v>22.65</v>
      </c>
      <c r="M30" s="64">
        <v>98.23</v>
      </c>
      <c r="N30" s="64">
        <v>44.8</v>
      </c>
      <c r="O30" s="64">
        <v>0</v>
      </c>
      <c r="P30" s="64">
        <v>0.28999999999999998</v>
      </c>
      <c r="Q30" s="64">
        <v>9.01</v>
      </c>
      <c r="R30" s="198"/>
      <c r="S30" s="198"/>
      <c r="T30" s="198"/>
      <c r="U30" s="198"/>
    </row>
    <row r="31" spans="1:21" s="12" customFormat="1" x14ac:dyDescent="0.25">
      <c r="A31" s="211" t="s">
        <v>558</v>
      </c>
      <c r="B31" s="64">
        <v>7.69</v>
      </c>
      <c r="C31" s="64">
        <v>6.39</v>
      </c>
      <c r="D31" s="64">
        <v>9.5</v>
      </c>
      <c r="E31" s="64">
        <v>4.3899999999999997</v>
      </c>
      <c r="F31" s="64">
        <v>6.91</v>
      </c>
      <c r="G31" s="64">
        <v>6.12</v>
      </c>
      <c r="H31" s="64">
        <v>5.75</v>
      </c>
      <c r="I31" s="64">
        <v>1.1000000000000001</v>
      </c>
      <c r="J31" s="64">
        <v>0.12</v>
      </c>
      <c r="K31" s="64">
        <v>297.5</v>
      </c>
      <c r="L31" s="64">
        <v>22.65</v>
      </c>
      <c r="M31" s="64">
        <v>98.21</v>
      </c>
      <c r="N31" s="64">
        <v>45.2</v>
      </c>
      <c r="O31" s="64">
        <v>0</v>
      </c>
      <c r="P31" s="64">
        <v>0.28000000000000003</v>
      </c>
      <c r="Q31" s="64">
        <v>9.01</v>
      </c>
      <c r="R31" s="198"/>
      <c r="S31" s="198"/>
      <c r="T31" s="198"/>
      <c r="U31" s="198"/>
    </row>
    <row r="32" spans="1:21" s="12" customFormat="1" x14ac:dyDescent="0.25">
      <c r="A32" s="211" t="s">
        <v>559</v>
      </c>
      <c r="B32" s="64">
        <v>7.67</v>
      </c>
      <c r="C32" s="64">
        <v>6.41</v>
      </c>
      <c r="D32" s="64">
        <v>9.49</v>
      </c>
      <c r="E32" s="64">
        <v>4.5999999999999996</v>
      </c>
      <c r="F32" s="64">
        <v>8.73</v>
      </c>
      <c r="G32" s="64">
        <v>6.12</v>
      </c>
      <c r="H32" s="64">
        <v>5.75</v>
      </c>
      <c r="I32" s="64">
        <v>1.0900000000000001</v>
      </c>
      <c r="J32" s="64">
        <v>0.14000000000000001</v>
      </c>
      <c r="K32" s="64">
        <v>294.5</v>
      </c>
      <c r="L32" s="64">
        <v>22.63</v>
      </c>
      <c r="M32" s="64">
        <v>98.21</v>
      </c>
      <c r="N32" s="64">
        <v>47.6</v>
      </c>
      <c r="O32" s="64">
        <v>0</v>
      </c>
      <c r="P32" s="64">
        <v>0.27</v>
      </c>
      <c r="Q32" s="64">
        <v>9.01</v>
      </c>
      <c r="R32" s="198"/>
      <c r="S32" s="198"/>
      <c r="T32" s="198"/>
      <c r="U32" s="198"/>
    </row>
    <row r="33" spans="1:21" s="12" customFormat="1" x14ac:dyDescent="0.25">
      <c r="A33" s="211" t="s">
        <v>560</v>
      </c>
      <c r="B33" s="64">
        <v>7.77</v>
      </c>
      <c r="C33" s="64">
        <v>6.67</v>
      </c>
      <c r="D33" s="64">
        <v>9.7200000000000006</v>
      </c>
      <c r="E33" s="64">
        <v>4.6900000000000004</v>
      </c>
      <c r="F33" s="64">
        <v>7.99</v>
      </c>
      <c r="G33" s="64">
        <v>10.71</v>
      </c>
      <c r="H33" s="64">
        <v>5.26</v>
      </c>
      <c r="I33" s="64">
        <v>1.07</v>
      </c>
      <c r="J33" s="64">
        <v>0.13</v>
      </c>
      <c r="K33" s="64">
        <v>289.26</v>
      </c>
      <c r="L33" s="64">
        <v>22.65</v>
      </c>
      <c r="M33" s="64">
        <v>98.2</v>
      </c>
      <c r="N33" s="64">
        <v>58.4</v>
      </c>
      <c r="O33" s="64">
        <v>0</v>
      </c>
      <c r="P33" s="64">
        <v>0.27</v>
      </c>
      <c r="Q33" s="64">
        <v>9.01</v>
      </c>
      <c r="R33" s="198"/>
      <c r="S33" s="198"/>
      <c r="T33" s="198"/>
      <c r="U33" s="198"/>
    </row>
    <row r="34" spans="1:21" s="12" customFormat="1" x14ac:dyDescent="0.25">
      <c r="A34" s="211" t="s">
        <v>561</v>
      </c>
      <c r="B34" s="64">
        <v>7.75</v>
      </c>
      <c r="C34" s="64">
        <v>7.22</v>
      </c>
      <c r="D34" s="64">
        <v>9.99</v>
      </c>
      <c r="E34" s="64">
        <v>4.7</v>
      </c>
      <c r="F34" s="64">
        <v>7.61</v>
      </c>
      <c r="G34" s="64">
        <v>11.03</v>
      </c>
      <c r="H34" s="64">
        <v>5.26</v>
      </c>
      <c r="I34" s="64">
        <v>1.05</v>
      </c>
      <c r="J34" s="64">
        <v>0.15</v>
      </c>
      <c r="K34" s="64">
        <v>295.16000000000003</v>
      </c>
      <c r="L34" s="64">
        <v>22.7</v>
      </c>
      <c r="M34" s="64">
        <v>98.2</v>
      </c>
      <c r="N34" s="64">
        <v>69.7</v>
      </c>
      <c r="O34" s="64">
        <v>0</v>
      </c>
      <c r="P34" s="64">
        <v>0.26</v>
      </c>
      <c r="Q34" s="64">
        <v>9.02</v>
      </c>
      <c r="R34" s="198"/>
      <c r="S34" s="198"/>
      <c r="T34" s="198"/>
      <c r="U34" s="198"/>
    </row>
    <row r="35" spans="1:21" s="12" customFormat="1" x14ac:dyDescent="0.25">
      <c r="A35" s="211" t="s">
        <v>562</v>
      </c>
      <c r="B35" s="64">
        <v>7.58</v>
      </c>
      <c r="C35" s="64">
        <v>6.85</v>
      </c>
      <c r="D35" s="64">
        <v>9.65</v>
      </c>
      <c r="E35" s="64">
        <v>4.72</v>
      </c>
      <c r="F35" s="64">
        <v>6.71</v>
      </c>
      <c r="G35" s="64">
        <v>11.03</v>
      </c>
      <c r="H35" s="64">
        <v>5.26</v>
      </c>
      <c r="I35" s="64">
        <v>1.04</v>
      </c>
      <c r="J35" s="64">
        <v>0.13</v>
      </c>
      <c r="K35" s="64">
        <v>285.29000000000002</v>
      </c>
      <c r="L35" s="64">
        <v>22.76</v>
      </c>
      <c r="M35" s="64">
        <v>98.2</v>
      </c>
      <c r="N35" s="64">
        <v>71.400000000000006</v>
      </c>
      <c r="O35" s="64">
        <v>0</v>
      </c>
      <c r="P35" s="64">
        <v>0.26</v>
      </c>
      <c r="Q35" s="64">
        <v>9.0299999999999994</v>
      </c>
      <c r="R35" s="198"/>
      <c r="S35" s="198"/>
      <c r="T35" s="198"/>
      <c r="U35" s="198"/>
    </row>
    <row r="36" spans="1:21" s="12" customFormat="1" x14ac:dyDescent="0.25">
      <c r="A36" s="211" t="s">
        <v>563</v>
      </c>
      <c r="B36" s="64">
        <v>7.63</v>
      </c>
      <c r="C36" s="64">
        <v>6.79</v>
      </c>
      <c r="D36" s="64">
        <v>9.67</v>
      </c>
      <c r="E36" s="64">
        <v>4.6100000000000003</v>
      </c>
      <c r="F36" s="64">
        <v>8.1300000000000008</v>
      </c>
      <c r="G36" s="64">
        <v>11.03</v>
      </c>
      <c r="H36" s="64">
        <v>5.26</v>
      </c>
      <c r="I36" s="64">
        <v>1.03</v>
      </c>
      <c r="J36" s="64">
        <v>0.16</v>
      </c>
      <c r="K36" s="64">
        <v>290.02999999999997</v>
      </c>
      <c r="L36" s="64">
        <v>22.84</v>
      </c>
      <c r="M36" s="64">
        <v>98.22</v>
      </c>
      <c r="N36" s="64">
        <v>75.900000000000006</v>
      </c>
      <c r="O36" s="64">
        <v>0</v>
      </c>
      <c r="P36" s="64">
        <v>0.26</v>
      </c>
      <c r="Q36" s="64">
        <v>9.0399999999999991</v>
      </c>
      <c r="R36" s="198"/>
      <c r="S36" s="198"/>
      <c r="T36" s="198"/>
      <c r="U36" s="198"/>
    </row>
    <row r="37" spans="1:21" s="12" customFormat="1" x14ac:dyDescent="0.25">
      <c r="A37" s="211" t="s">
        <v>564</v>
      </c>
      <c r="B37" s="64">
        <v>7.59</v>
      </c>
      <c r="C37" s="64">
        <v>7.02</v>
      </c>
      <c r="D37" s="64">
        <v>9.75</v>
      </c>
      <c r="E37" s="64">
        <v>4.45</v>
      </c>
      <c r="F37" s="64">
        <v>5.9</v>
      </c>
      <c r="G37" s="64">
        <v>12.64</v>
      </c>
      <c r="H37" s="64">
        <v>7.39</v>
      </c>
      <c r="I37" s="64">
        <v>1.03</v>
      </c>
      <c r="J37" s="64">
        <v>0.16</v>
      </c>
      <c r="K37" s="64">
        <v>304.64999999999998</v>
      </c>
      <c r="L37" s="64">
        <v>22.99</v>
      </c>
      <c r="M37" s="64">
        <v>98.2</v>
      </c>
      <c r="N37" s="64">
        <v>93.4</v>
      </c>
      <c r="O37" s="64">
        <v>0</v>
      </c>
      <c r="P37" s="64">
        <v>0.31</v>
      </c>
      <c r="Q37" s="64">
        <v>9.0399999999999991</v>
      </c>
      <c r="R37" s="198"/>
      <c r="S37" s="198"/>
      <c r="T37" s="198"/>
      <c r="U37" s="198"/>
    </row>
    <row r="38" spans="1:21" s="12" customFormat="1" x14ac:dyDescent="0.25">
      <c r="A38" s="211" t="s">
        <v>565</v>
      </c>
      <c r="B38" s="64">
        <v>8.02</v>
      </c>
      <c r="C38" s="64">
        <v>7.51</v>
      </c>
      <c r="D38" s="64">
        <v>10.36</v>
      </c>
      <c r="E38" s="64">
        <v>4.5199999999999996</v>
      </c>
      <c r="F38" s="64">
        <v>7.05</v>
      </c>
      <c r="G38" s="64">
        <v>12.75</v>
      </c>
      <c r="H38" s="64">
        <v>7.39</v>
      </c>
      <c r="I38" s="64">
        <v>1</v>
      </c>
      <c r="J38" s="64">
        <v>0.16</v>
      </c>
      <c r="K38" s="64">
        <v>292.74</v>
      </c>
      <c r="L38" s="64">
        <v>23.21</v>
      </c>
      <c r="M38" s="64">
        <v>98.2</v>
      </c>
      <c r="N38" s="64">
        <v>110</v>
      </c>
      <c r="O38" s="64">
        <v>0</v>
      </c>
      <c r="P38" s="64">
        <v>0.34</v>
      </c>
      <c r="Q38" s="64">
        <v>9.06</v>
      </c>
      <c r="R38" s="198"/>
      <c r="S38" s="198"/>
      <c r="T38" s="198"/>
      <c r="U38" s="198"/>
    </row>
    <row r="39" spans="1:21" s="12" customFormat="1" x14ac:dyDescent="0.25">
      <c r="A39" s="211" t="s">
        <v>566</v>
      </c>
      <c r="B39" s="64">
        <v>8.6</v>
      </c>
      <c r="C39" s="64">
        <v>7.69</v>
      </c>
      <c r="D39" s="64">
        <v>10.91</v>
      </c>
      <c r="E39" s="64">
        <v>4.57</v>
      </c>
      <c r="F39" s="64">
        <v>8.15</v>
      </c>
      <c r="G39" s="64">
        <v>12.75</v>
      </c>
      <c r="H39" s="64">
        <v>7.39</v>
      </c>
      <c r="I39" s="64">
        <v>1.02</v>
      </c>
      <c r="J39" s="64">
        <v>0.15</v>
      </c>
      <c r="K39" s="64">
        <v>286.06</v>
      </c>
      <c r="L39" s="64">
        <v>23.55</v>
      </c>
      <c r="M39" s="64">
        <v>98.16</v>
      </c>
      <c r="N39" s="64">
        <v>149.30000000000001</v>
      </c>
      <c r="O39" s="64">
        <v>0</v>
      </c>
      <c r="P39" s="64">
        <v>0.36</v>
      </c>
      <c r="Q39" s="64">
        <v>9.06</v>
      </c>
      <c r="R39" s="198"/>
      <c r="S39" s="198"/>
      <c r="T39" s="198"/>
      <c r="U39" s="198"/>
    </row>
    <row r="40" spans="1:21" s="12" customFormat="1" x14ac:dyDescent="0.25">
      <c r="A40" s="211" t="s">
        <v>567</v>
      </c>
      <c r="B40" s="64">
        <v>8.3699999999999992</v>
      </c>
      <c r="C40" s="64">
        <v>7.34</v>
      </c>
      <c r="D40" s="64">
        <v>10.55</v>
      </c>
      <c r="E40" s="64">
        <v>2.8</v>
      </c>
      <c r="F40" s="64">
        <v>7.25</v>
      </c>
      <c r="G40" s="64">
        <v>12.75</v>
      </c>
      <c r="H40" s="64">
        <v>7.39</v>
      </c>
      <c r="I40" s="64">
        <v>1.0900000000000001</v>
      </c>
      <c r="J40" s="64">
        <v>0.18</v>
      </c>
      <c r="K40" s="64">
        <v>290.64</v>
      </c>
      <c r="L40" s="64">
        <v>23.84</v>
      </c>
      <c r="M40" s="64">
        <v>98.13</v>
      </c>
      <c r="N40" s="64">
        <v>161.69999999999999</v>
      </c>
      <c r="O40" s="64">
        <v>0</v>
      </c>
      <c r="P40" s="64">
        <v>0.36</v>
      </c>
      <c r="Q40" s="64">
        <v>9.06</v>
      </c>
      <c r="R40" s="198"/>
      <c r="S40" s="198"/>
      <c r="T40" s="198"/>
      <c r="U40" s="198"/>
    </row>
    <row r="41" spans="1:21" s="12" customFormat="1" x14ac:dyDescent="0.25">
      <c r="A41" s="211" t="s">
        <v>568</v>
      </c>
      <c r="B41" s="64">
        <v>8.34</v>
      </c>
      <c r="C41" s="64">
        <v>7.16</v>
      </c>
      <c r="D41" s="64">
        <v>10.43</v>
      </c>
      <c r="E41" s="64">
        <v>3.39</v>
      </c>
      <c r="F41" s="64">
        <v>5.91</v>
      </c>
      <c r="G41" s="64">
        <v>17.88</v>
      </c>
      <c r="H41" s="64">
        <v>6.61</v>
      </c>
      <c r="I41" s="64">
        <v>1.1599999999999999</v>
      </c>
      <c r="J41" s="64">
        <v>0.15</v>
      </c>
      <c r="K41" s="64">
        <v>297.3</v>
      </c>
      <c r="L41" s="64">
        <v>24.07</v>
      </c>
      <c r="M41" s="64">
        <v>98.1</v>
      </c>
      <c r="N41" s="64">
        <v>181.1</v>
      </c>
      <c r="O41" s="64">
        <v>0</v>
      </c>
      <c r="P41" s="64">
        <v>0.36</v>
      </c>
      <c r="Q41" s="64">
        <v>9.06</v>
      </c>
      <c r="R41" s="198"/>
      <c r="S41" s="198"/>
      <c r="T41" s="198"/>
      <c r="U41" s="198"/>
    </row>
    <row r="42" spans="1:21" s="12" customFormat="1" x14ac:dyDescent="0.25">
      <c r="A42" s="211" t="s">
        <v>569</v>
      </c>
      <c r="B42" s="64">
        <v>8.65</v>
      </c>
      <c r="C42" s="64">
        <v>7.39</v>
      </c>
      <c r="D42" s="64">
        <v>10.8</v>
      </c>
      <c r="E42" s="64">
        <v>3.31</v>
      </c>
      <c r="F42" s="64">
        <v>10.06</v>
      </c>
      <c r="G42" s="64">
        <v>18.25</v>
      </c>
      <c r="H42" s="64">
        <v>6.61</v>
      </c>
      <c r="I42" s="64">
        <v>1.24</v>
      </c>
      <c r="J42" s="64">
        <v>0.13</v>
      </c>
      <c r="K42" s="64">
        <v>296.72000000000003</v>
      </c>
      <c r="L42" s="64">
        <v>24.3</v>
      </c>
      <c r="M42" s="64">
        <v>98.09</v>
      </c>
      <c r="N42" s="64">
        <v>162.19999999999999</v>
      </c>
      <c r="O42" s="64">
        <v>0</v>
      </c>
      <c r="P42" s="64">
        <v>0.37</v>
      </c>
      <c r="Q42" s="64">
        <v>9.0399999999999991</v>
      </c>
      <c r="R42" s="198"/>
      <c r="S42" s="198"/>
      <c r="T42" s="198"/>
      <c r="U42" s="198"/>
    </row>
    <row r="43" spans="1:21" s="12" customFormat="1" x14ac:dyDescent="0.25">
      <c r="A43" s="211" t="s">
        <v>570</v>
      </c>
      <c r="B43" s="64">
        <v>8.69</v>
      </c>
      <c r="C43" s="64">
        <v>7.04</v>
      </c>
      <c r="D43" s="64">
        <v>10.64</v>
      </c>
      <c r="E43" s="64">
        <v>3.24</v>
      </c>
      <c r="F43" s="64">
        <v>7.55</v>
      </c>
      <c r="G43" s="64">
        <v>18.25</v>
      </c>
      <c r="H43" s="64">
        <v>6.61</v>
      </c>
      <c r="I43" s="64">
        <v>1.29</v>
      </c>
      <c r="J43" s="64">
        <v>0.14000000000000001</v>
      </c>
      <c r="K43" s="64">
        <v>290.18</v>
      </c>
      <c r="L43" s="64">
        <v>24.71</v>
      </c>
      <c r="M43" s="64">
        <v>98.08</v>
      </c>
      <c r="N43" s="64">
        <v>278.3</v>
      </c>
      <c r="O43" s="64">
        <v>0</v>
      </c>
      <c r="P43" s="64">
        <v>0.38</v>
      </c>
      <c r="Q43" s="64">
        <v>9.0399999999999991</v>
      </c>
      <c r="R43" s="198"/>
      <c r="S43" s="198"/>
      <c r="T43" s="198"/>
      <c r="U43" s="198"/>
    </row>
    <row r="44" spans="1:21" s="12" customFormat="1" x14ac:dyDescent="0.25">
      <c r="A44" s="211" t="s">
        <v>571</v>
      </c>
      <c r="B44" s="64">
        <v>8.75</v>
      </c>
      <c r="C44" s="64">
        <v>6.91</v>
      </c>
      <c r="D44" s="64">
        <v>10.63</v>
      </c>
      <c r="E44" s="64">
        <v>3.47</v>
      </c>
      <c r="F44" s="64">
        <v>6.42</v>
      </c>
      <c r="G44" s="64">
        <v>18.25</v>
      </c>
      <c r="H44" s="64">
        <v>6.61</v>
      </c>
      <c r="I44" s="64">
        <v>1.36</v>
      </c>
      <c r="J44" s="64">
        <v>0.19</v>
      </c>
      <c r="K44" s="64">
        <v>283.58</v>
      </c>
      <c r="L44" s="64">
        <v>26.23</v>
      </c>
      <c r="M44" s="64">
        <v>97.98</v>
      </c>
      <c r="N44" s="64">
        <v>359.5</v>
      </c>
      <c r="O44" s="64">
        <v>0</v>
      </c>
      <c r="P44" s="64">
        <v>0.4</v>
      </c>
      <c r="Q44" s="64">
        <v>9.0299999999999994</v>
      </c>
      <c r="R44" s="198"/>
      <c r="S44" s="198"/>
      <c r="T44" s="198"/>
      <c r="U44" s="198"/>
    </row>
    <row r="45" spans="1:21" s="12" customFormat="1" x14ac:dyDescent="0.25">
      <c r="A45" s="211" t="s">
        <v>572</v>
      </c>
      <c r="B45" s="64">
        <v>8.8800000000000008</v>
      </c>
      <c r="C45" s="64">
        <v>6.98</v>
      </c>
      <c r="D45" s="64">
        <v>10.77</v>
      </c>
      <c r="E45" s="64">
        <v>3.15</v>
      </c>
      <c r="F45" s="64">
        <v>8.61</v>
      </c>
      <c r="G45" s="64">
        <v>23.54</v>
      </c>
      <c r="H45" s="64">
        <v>6.06</v>
      </c>
      <c r="I45" s="64">
        <v>1.43</v>
      </c>
      <c r="J45" s="64">
        <v>0.16</v>
      </c>
      <c r="K45" s="64">
        <v>283.7</v>
      </c>
      <c r="L45" s="64">
        <v>26.02</v>
      </c>
      <c r="M45" s="64">
        <v>97.96</v>
      </c>
      <c r="N45" s="64">
        <v>224.7</v>
      </c>
      <c r="O45" s="64">
        <v>0</v>
      </c>
      <c r="P45" s="64">
        <v>0.41</v>
      </c>
      <c r="Q45" s="64">
        <v>9.0399999999999991</v>
      </c>
      <c r="R45" s="198"/>
      <c r="S45" s="198"/>
      <c r="T45" s="198"/>
      <c r="U45" s="198"/>
    </row>
    <row r="46" spans="1:21" s="12" customFormat="1" x14ac:dyDescent="0.25">
      <c r="A46" s="211" t="s">
        <v>573</v>
      </c>
      <c r="B46" s="64">
        <v>9.43</v>
      </c>
      <c r="C46" s="64">
        <v>7.47</v>
      </c>
      <c r="D46" s="64">
        <v>11.47</v>
      </c>
      <c r="E46" s="64">
        <v>3.35</v>
      </c>
      <c r="F46" s="64">
        <v>9.25</v>
      </c>
      <c r="G46" s="64">
        <v>23.92</v>
      </c>
      <c r="H46" s="64">
        <v>6.06</v>
      </c>
      <c r="I46" s="64">
        <v>1.5</v>
      </c>
      <c r="J46" s="64">
        <v>0.17</v>
      </c>
      <c r="K46" s="64">
        <v>289.2</v>
      </c>
      <c r="L46" s="64">
        <v>25.7</v>
      </c>
      <c r="M46" s="64">
        <v>97.98</v>
      </c>
      <c r="N46" s="64">
        <v>264.5</v>
      </c>
      <c r="O46" s="64">
        <v>0</v>
      </c>
      <c r="P46" s="64">
        <v>0.45</v>
      </c>
      <c r="Q46" s="64">
        <v>9.0399999999999991</v>
      </c>
      <c r="R46" s="198"/>
      <c r="S46" s="198"/>
      <c r="T46" s="198"/>
      <c r="U46" s="198"/>
    </row>
    <row r="47" spans="1:21" s="12" customFormat="1" x14ac:dyDescent="0.25">
      <c r="A47" s="211" t="s">
        <v>574</v>
      </c>
      <c r="B47" s="64">
        <v>10.130000000000001</v>
      </c>
      <c r="C47" s="64">
        <v>7.62</v>
      </c>
      <c r="D47" s="64">
        <v>12.1</v>
      </c>
      <c r="E47" s="64">
        <v>3.24</v>
      </c>
      <c r="F47" s="64">
        <v>8.51</v>
      </c>
      <c r="G47" s="64">
        <v>23.92</v>
      </c>
      <c r="H47" s="64">
        <v>6.06</v>
      </c>
      <c r="I47" s="64">
        <v>1.58</v>
      </c>
      <c r="J47" s="64">
        <v>0.18</v>
      </c>
      <c r="K47" s="64">
        <v>283.02999999999997</v>
      </c>
      <c r="L47" s="64">
        <v>26.25</v>
      </c>
      <c r="M47" s="64">
        <v>97.98</v>
      </c>
      <c r="N47" s="64">
        <v>521.20000000000005</v>
      </c>
      <c r="O47" s="64">
        <v>0</v>
      </c>
      <c r="P47" s="64">
        <v>0.46</v>
      </c>
      <c r="Q47" s="64">
        <v>9.0399999999999991</v>
      </c>
      <c r="R47" s="198"/>
      <c r="S47" s="198"/>
      <c r="T47" s="198"/>
      <c r="U47" s="198"/>
    </row>
    <row r="48" spans="1:21" s="12" customFormat="1" x14ac:dyDescent="0.25">
      <c r="A48" s="211" t="s">
        <v>575</v>
      </c>
      <c r="B48" s="64">
        <v>10.15</v>
      </c>
      <c r="C48" s="64">
        <v>7.41</v>
      </c>
      <c r="D48" s="64">
        <v>12.01</v>
      </c>
      <c r="E48" s="64">
        <v>3.02</v>
      </c>
      <c r="F48" s="64">
        <v>7.59</v>
      </c>
      <c r="G48" s="64">
        <v>23.92</v>
      </c>
      <c r="H48" s="64">
        <v>6.06</v>
      </c>
      <c r="I48" s="64">
        <v>1.67</v>
      </c>
      <c r="J48" s="64">
        <v>0.24</v>
      </c>
      <c r="K48" s="64">
        <v>293.89</v>
      </c>
      <c r="L48" s="64">
        <v>29.08</v>
      </c>
      <c r="M48" s="64">
        <v>92.79</v>
      </c>
      <c r="N48" s="64">
        <v>785.5</v>
      </c>
      <c r="O48" s="64">
        <v>0</v>
      </c>
      <c r="P48" s="64">
        <v>0.46</v>
      </c>
      <c r="Q48" s="64">
        <v>9.0500000000000007</v>
      </c>
      <c r="R48" s="198"/>
      <c r="S48" s="198"/>
      <c r="T48" s="198"/>
      <c r="U48" s="198"/>
    </row>
    <row r="49" spans="1:21" s="12" customFormat="1" x14ac:dyDescent="0.25">
      <c r="A49" s="211" t="s">
        <v>576</v>
      </c>
      <c r="B49" s="64">
        <v>9.89</v>
      </c>
      <c r="C49" s="64">
        <v>7.03</v>
      </c>
      <c r="D49" s="64">
        <v>11.61</v>
      </c>
      <c r="E49" s="64">
        <v>2.92</v>
      </c>
      <c r="F49" s="64">
        <v>8.98</v>
      </c>
      <c r="G49" s="64">
        <v>33.61</v>
      </c>
      <c r="H49" s="64">
        <v>5.91</v>
      </c>
      <c r="I49" s="64">
        <v>1.74</v>
      </c>
      <c r="J49" s="64">
        <v>0.35</v>
      </c>
      <c r="K49" s="64">
        <v>306.37</v>
      </c>
      <c r="L49" s="64">
        <v>30.12</v>
      </c>
      <c r="M49" s="64">
        <v>86.72</v>
      </c>
      <c r="N49" s="64">
        <v>527.4</v>
      </c>
      <c r="O49" s="64">
        <v>0</v>
      </c>
      <c r="P49" s="64">
        <v>0.5</v>
      </c>
      <c r="Q49" s="64">
        <v>9.06</v>
      </c>
      <c r="R49" s="198"/>
      <c r="S49" s="198"/>
      <c r="T49" s="198"/>
      <c r="U49" s="198"/>
    </row>
    <row r="50" spans="1:21" s="12" customFormat="1" x14ac:dyDescent="0.25">
      <c r="A50" s="211" t="s">
        <v>577</v>
      </c>
      <c r="B50" s="64">
        <v>9.1999999999999993</v>
      </c>
      <c r="C50" s="64">
        <v>7.99</v>
      </c>
      <c r="D50" s="64">
        <v>11.55</v>
      </c>
      <c r="E50" s="64">
        <v>2.93</v>
      </c>
      <c r="F50" s="64">
        <v>6.33</v>
      </c>
      <c r="G50" s="64">
        <v>34.299999999999997</v>
      </c>
      <c r="H50" s="64">
        <v>5.91</v>
      </c>
      <c r="I50" s="64">
        <v>1.8</v>
      </c>
      <c r="J50" s="64">
        <v>0.28000000000000003</v>
      </c>
      <c r="K50" s="64">
        <v>294.62</v>
      </c>
      <c r="L50" s="64">
        <v>29.73</v>
      </c>
      <c r="M50" s="64">
        <v>87.63</v>
      </c>
      <c r="N50" s="64">
        <v>617.6</v>
      </c>
      <c r="O50" s="64">
        <v>0</v>
      </c>
      <c r="P50" s="64">
        <v>0.5</v>
      </c>
      <c r="Q50" s="64">
        <v>9.0500000000000007</v>
      </c>
      <c r="R50" s="198"/>
      <c r="S50" s="198"/>
      <c r="T50" s="198"/>
      <c r="U50" s="198"/>
    </row>
    <row r="51" spans="1:21" s="12" customFormat="1" x14ac:dyDescent="0.25">
      <c r="A51" s="211" t="s">
        <v>578</v>
      </c>
      <c r="B51" s="64">
        <v>9.6300000000000008</v>
      </c>
      <c r="C51" s="64">
        <v>8.68</v>
      </c>
      <c r="D51" s="64">
        <v>12.26</v>
      </c>
      <c r="E51" s="64">
        <v>3.38</v>
      </c>
      <c r="F51" s="64">
        <v>9.09</v>
      </c>
      <c r="G51" s="64">
        <v>34.299999999999997</v>
      </c>
      <c r="H51" s="64">
        <v>5.91</v>
      </c>
      <c r="I51" s="64">
        <v>1.85</v>
      </c>
      <c r="J51" s="64">
        <v>0.32</v>
      </c>
      <c r="K51" s="64">
        <v>308.67</v>
      </c>
      <c r="L51" s="64">
        <v>28.79</v>
      </c>
      <c r="M51" s="64">
        <v>92.53</v>
      </c>
      <c r="N51" s="64">
        <v>517.29999999999995</v>
      </c>
      <c r="O51" s="64">
        <v>0</v>
      </c>
      <c r="P51" s="64">
        <v>0.5</v>
      </c>
      <c r="Q51" s="64">
        <v>9.0500000000000007</v>
      </c>
      <c r="R51" s="198"/>
      <c r="S51" s="198"/>
      <c r="T51" s="198"/>
      <c r="U51" s="198"/>
    </row>
    <row r="52" spans="1:21" s="12" customFormat="1" x14ac:dyDescent="0.25">
      <c r="A52" s="211" t="s">
        <v>579</v>
      </c>
      <c r="B52" s="64">
        <v>9.68</v>
      </c>
      <c r="C52" s="64">
        <v>10.55</v>
      </c>
      <c r="D52" s="64">
        <v>13.28</v>
      </c>
      <c r="E52" s="64">
        <v>3.62</v>
      </c>
      <c r="F52" s="64">
        <v>8.25</v>
      </c>
      <c r="G52" s="64">
        <v>34.299999999999997</v>
      </c>
      <c r="H52" s="64">
        <v>5.91</v>
      </c>
      <c r="I52" s="64">
        <v>1.85</v>
      </c>
      <c r="J52" s="64">
        <v>0.43</v>
      </c>
      <c r="K52" s="64">
        <v>311.37</v>
      </c>
      <c r="L52" s="64">
        <v>29.41</v>
      </c>
      <c r="M52" s="64">
        <v>88.38</v>
      </c>
      <c r="N52" s="64">
        <v>352.1</v>
      </c>
      <c r="O52" s="64">
        <v>0</v>
      </c>
      <c r="P52" s="64">
        <v>0.53</v>
      </c>
      <c r="Q52" s="64">
        <v>9.06</v>
      </c>
      <c r="R52" s="198"/>
      <c r="S52" s="198"/>
      <c r="T52" s="198"/>
      <c r="U52" s="198"/>
    </row>
    <row r="53" spans="1:21" s="12" customFormat="1" x14ac:dyDescent="0.25">
      <c r="A53" s="211" t="s">
        <v>580</v>
      </c>
      <c r="B53" s="64">
        <v>8.48</v>
      </c>
      <c r="C53" s="64">
        <v>10.43</v>
      </c>
      <c r="D53" s="64">
        <v>12.24</v>
      </c>
      <c r="E53" s="64">
        <v>3.46</v>
      </c>
      <c r="F53" s="64">
        <v>9.4700000000000006</v>
      </c>
      <c r="G53" s="64">
        <v>28.26</v>
      </c>
      <c r="H53" s="64">
        <v>7.13</v>
      </c>
      <c r="I53" s="64">
        <v>1.83</v>
      </c>
      <c r="J53" s="64">
        <v>0.17</v>
      </c>
      <c r="K53" s="64">
        <v>283.10000000000002</v>
      </c>
      <c r="L53" s="64">
        <v>28.63</v>
      </c>
      <c r="M53" s="64">
        <v>92.23</v>
      </c>
      <c r="N53" s="64">
        <v>204.4</v>
      </c>
      <c r="O53" s="64">
        <v>0</v>
      </c>
      <c r="P53" s="64">
        <v>0.55000000000000004</v>
      </c>
      <c r="Q53" s="64">
        <v>9.07</v>
      </c>
      <c r="R53" s="198"/>
      <c r="S53" s="198"/>
      <c r="T53" s="198"/>
      <c r="U53" s="198"/>
    </row>
    <row r="54" spans="1:21" s="12" customFormat="1" x14ac:dyDescent="0.25">
      <c r="A54" s="211" t="s">
        <v>581</v>
      </c>
      <c r="B54" s="64">
        <v>9.7200000000000006</v>
      </c>
      <c r="C54" s="64">
        <v>10.47</v>
      </c>
      <c r="D54" s="64">
        <v>13.27</v>
      </c>
      <c r="E54" s="64">
        <v>3.49</v>
      </c>
      <c r="F54" s="64">
        <v>8.15</v>
      </c>
      <c r="G54" s="64">
        <v>27.83</v>
      </c>
      <c r="H54" s="64">
        <v>7.13</v>
      </c>
      <c r="I54" s="64">
        <v>1.82</v>
      </c>
      <c r="J54" s="64">
        <v>0.25</v>
      </c>
      <c r="K54" s="64">
        <v>297.08999999999997</v>
      </c>
      <c r="L54" s="64">
        <v>27.6</v>
      </c>
      <c r="M54" s="64">
        <v>97.47</v>
      </c>
      <c r="N54" s="64">
        <v>242.2</v>
      </c>
      <c r="O54" s="64">
        <v>0</v>
      </c>
      <c r="P54" s="64">
        <v>0.55000000000000004</v>
      </c>
      <c r="Q54" s="64">
        <v>9.08</v>
      </c>
      <c r="R54" s="198"/>
      <c r="S54" s="198"/>
      <c r="T54" s="198"/>
      <c r="U54" s="198"/>
    </row>
    <row r="55" spans="1:21" s="12" customFormat="1" x14ac:dyDescent="0.25">
      <c r="A55" s="211" t="s">
        <v>582</v>
      </c>
      <c r="B55" s="64">
        <v>9.64</v>
      </c>
      <c r="C55" s="64">
        <v>9.8699999999999992</v>
      </c>
      <c r="D55" s="64">
        <v>12.89</v>
      </c>
      <c r="E55" s="64">
        <v>3.4</v>
      </c>
      <c r="F55" s="64">
        <v>7.48</v>
      </c>
      <c r="G55" s="64">
        <v>27.83</v>
      </c>
      <c r="H55" s="64">
        <v>7.13</v>
      </c>
      <c r="I55" s="64">
        <v>1.83</v>
      </c>
      <c r="J55" s="64">
        <v>0.32</v>
      </c>
      <c r="K55" s="64">
        <v>298.98</v>
      </c>
      <c r="L55" s="64">
        <v>29.05</v>
      </c>
      <c r="M55" s="64">
        <v>91.34</v>
      </c>
      <c r="N55" s="64">
        <v>501.4</v>
      </c>
      <c r="O55" s="64">
        <v>0</v>
      </c>
      <c r="P55" s="64">
        <v>0.56000000000000005</v>
      </c>
      <c r="Q55" s="64">
        <v>9.08</v>
      </c>
      <c r="R55" s="198"/>
      <c r="S55" s="198"/>
      <c r="T55" s="198"/>
      <c r="U55" s="198"/>
    </row>
    <row r="56" spans="1:21" s="12" customFormat="1" x14ac:dyDescent="0.25">
      <c r="A56" s="211" t="s">
        <v>583</v>
      </c>
      <c r="B56" s="64">
        <v>9.39</v>
      </c>
      <c r="C56" s="64">
        <v>10.32</v>
      </c>
      <c r="D56" s="64">
        <v>12.92</v>
      </c>
      <c r="E56" s="64">
        <v>3.22</v>
      </c>
      <c r="F56" s="64">
        <v>9.1199999999999992</v>
      </c>
      <c r="G56" s="64">
        <v>27.83</v>
      </c>
      <c r="H56" s="64">
        <v>7.13</v>
      </c>
      <c r="I56" s="64">
        <v>1.85</v>
      </c>
      <c r="J56" s="64">
        <v>0.21</v>
      </c>
      <c r="K56" s="64">
        <v>279.67</v>
      </c>
      <c r="L56" s="64">
        <v>28.82</v>
      </c>
      <c r="M56" s="64">
        <v>92.35</v>
      </c>
      <c r="N56" s="64">
        <v>464.9</v>
      </c>
      <c r="O56" s="64">
        <v>0</v>
      </c>
      <c r="P56" s="64">
        <v>0.54</v>
      </c>
      <c r="Q56" s="64">
        <v>9.08</v>
      </c>
      <c r="R56" s="198"/>
      <c r="S56" s="198"/>
      <c r="T56" s="198"/>
      <c r="U56" s="198"/>
    </row>
    <row r="57" spans="1:21" s="12" customFormat="1" x14ac:dyDescent="0.25">
      <c r="A57" s="211" t="s">
        <v>584</v>
      </c>
      <c r="B57" s="64">
        <v>9.1300000000000008</v>
      </c>
      <c r="C57" s="64">
        <v>9.82</v>
      </c>
      <c r="D57" s="64">
        <v>12.45</v>
      </c>
      <c r="E57" s="64">
        <v>3.44</v>
      </c>
      <c r="F57" s="64">
        <v>8.58</v>
      </c>
      <c r="G57" s="64">
        <v>29.24</v>
      </c>
      <c r="H57" s="64">
        <v>6.68</v>
      </c>
      <c r="I57" s="64">
        <v>1.86</v>
      </c>
      <c r="J57" s="64">
        <v>0.27</v>
      </c>
      <c r="K57" s="64">
        <v>294.94</v>
      </c>
      <c r="L57" s="64">
        <v>29.18</v>
      </c>
      <c r="M57" s="64">
        <v>88.3</v>
      </c>
      <c r="N57" s="64">
        <v>499.9</v>
      </c>
      <c r="O57" s="64">
        <v>0</v>
      </c>
      <c r="P57" s="64">
        <v>0.53</v>
      </c>
      <c r="Q57" s="64">
        <v>9.08</v>
      </c>
      <c r="R57" s="198"/>
      <c r="S57" s="198"/>
      <c r="T57" s="198"/>
      <c r="U57" s="198"/>
    </row>
    <row r="58" spans="1:21" s="12" customFormat="1" x14ac:dyDescent="0.25">
      <c r="A58" s="211" t="s">
        <v>585</v>
      </c>
      <c r="B58" s="64">
        <v>10.11</v>
      </c>
      <c r="C58" s="64">
        <v>9.41</v>
      </c>
      <c r="D58" s="64">
        <v>13.03</v>
      </c>
      <c r="E58" s="64">
        <v>3.22</v>
      </c>
      <c r="F58" s="64">
        <v>8.5299999999999994</v>
      </c>
      <c r="G58" s="64">
        <v>29.34</v>
      </c>
      <c r="H58" s="64">
        <v>6.68</v>
      </c>
      <c r="I58" s="64">
        <v>1.85</v>
      </c>
      <c r="J58" s="64">
        <v>0.22</v>
      </c>
      <c r="K58" s="64">
        <v>293.02</v>
      </c>
      <c r="L58" s="64">
        <v>29.32</v>
      </c>
      <c r="M58" s="64">
        <v>86.46</v>
      </c>
      <c r="N58" s="64">
        <v>397.7</v>
      </c>
      <c r="O58" s="64">
        <v>0</v>
      </c>
      <c r="P58" s="64">
        <v>0.51</v>
      </c>
      <c r="Q58" s="64">
        <v>9.07</v>
      </c>
      <c r="R58" s="198"/>
      <c r="S58" s="198"/>
      <c r="T58" s="198"/>
      <c r="U58" s="198"/>
    </row>
    <row r="59" spans="1:21" s="12" customFormat="1" x14ac:dyDescent="0.25">
      <c r="A59" s="211" t="s">
        <v>586</v>
      </c>
      <c r="B59" s="64">
        <v>8.4600000000000009</v>
      </c>
      <c r="C59" s="64">
        <v>9.18</v>
      </c>
      <c r="D59" s="64">
        <v>11.58</v>
      </c>
      <c r="E59" s="64">
        <v>3.3</v>
      </c>
      <c r="F59" s="64">
        <v>14.78</v>
      </c>
      <c r="G59" s="64">
        <v>29.34</v>
      </c>
      <c r="H59" s="64">
        <v>6.68</v>
      </c>
      <c r="I59" s="64">
        <v>1.83</v>
      </c>
      <c r="J59" s="64">
        <v>0.26</v>
      </c>
      <c r="K59" s="64">
        <v>299.66000000000003</v>
      </c>
      <c r="L59" s="64">
        <v>29.59</v>
      </c>
      <c r="M59" s="64">
        <v>84.57</v>
      </c>
      <c r="N59" s="64">
        <v>470.2</v>
      </c>
      <c r="O59" s="64">
        <v>0</v>
      </c>
      <c r="P59" s="64">
        <v>0.51</v>
      </c>
      <c r="Q59" s="64">
        <v>9.06</v>
      </c>
      <c r="R59" s="198"/>
      <c r="S59" s="198"/>
      <c r="T59" s="198"/>
      <c r="U59" s="198"/>
    </row>
    <row r="60" spans="1:21" s="12" customFormat="1" x14ac:dyDescent="0.25">
      <c r="A60" s="211" t="s">
        <v>587</v>
      </c>
      <c r="B60" s="64">
        <v>7.51</v>
      </c>
      <c r="C60" s="64">
        <v>9.64</v>
      </c>
      <c r="D60" s="64">
        <v>11.06</v>
      </c>
      <c r="E60" s="64">
        <v>3.19</v>
      </c>
      <c r="F60" s="64">
        <v>10.4</v>
      </c>
      <c r="G60" s="64">
        <v>29.34</v>
      </c>
      <c r="H60" s="64">
        <v>6.68</v>
      </c>
      <c r="I60" s="64">
        <v>1.79</v>
      </c>
      <c r="J60" s="64">
        <v>0.37</v>
      </c>
      <c r="K60" s="64">
        <v>314.24</v>
      </c>
      <c r="L60" s="64">
        <v>30.31</v>
      </c>
      <c r="M60" s="64">
        <v>80.63</v>
      </c>
      <c r="N60" s="64">
        <v>554.5</v>
      </c>
      <c r="O60" s="64">
        <v>0</v>
      </c>
      <c r="P60" s="64">
        <v>0.5</v>
      </c>
      <c r="Q60" s="64">
        <v>9.0299999999999994</v>
      </c>
      <c r="R60" s="198"/>
      <c r="S60" s="198"/>
      <c r="T60" s="198"/>
      <c r="U60" s="198"/>
    </row>
    <row r="61" spans="1:21" s="12" customFormat="1" x14ac:dyDescent="0.25">
      <c r="A61" s="211" t="s">
        <v>588</v>
      </c>
      <c r="B61" s="64">
        <v>7.59</v>
      </c>
      <c r="C61" s="64">
        <v>8.6300000000000008</v>
      </c>
      <c r="D61" s="64">
        <v>10.59</v>
      </c>
      <c r="E61" s="64">
        <v>3.34</v>
      </c>
      <c r="F61" s="64">
        <v>6.31</v>
      </c>
      <c r="G61" s="64">
        <v>35.51</v>
      </c>
      <c r="H61" s="64">
        <v>6.56</v>
      </c>
      <c r="I61" s="64">
        <v>1.76</v>
      </c>
      <c r="J61" s="64">
        <v>0.24</v>
      </c>
      <c r="K61" s="64">
        <v>289.45999999999998</v>
      </c>
      <c r="L61" s="64">
        <v>29.4</v>
      </c>
      <c r="M61" s="64">
        <v>82.37</v>
      </c>
      <c r="N61" s="64">
        <v>380.8</v>
      </c>
      <c r="O61" s="64">
        <v>0</v>
      </c>
      <c r="P61" s="64">
        <v>0.45</v>
      </c>
      <c r="Q61" s="64">
        <v>9.0299999999999994</v>
      </c>
      <c r="R61" s="198"/>
      <c r="S61" s="198"/>
      <c r="T61" s="198"/>
      <c r="U61" s="198"/>
    </row>
    <row r="62" spans="1:21" s="12" customFormat="1" x14ac:dyDescent="0.25">
      <c r="A62" s="211" t="s">
        <v>589</v>
      </c>
      <c r="B62" s="64">
        <v>7.61</v>
      </c>
      <c r="C62" s="64">
        <v>9.52</v>
      </c>
      <c r="D62" s="64">
        <v>11.08</v>
      </c>
      <c r="E62" s="64">
        <v>3.6</v>
      </c>
      <c r="F62" s="64">
        <v>8.34</v>
      </c>
      <c r="G62" s="64">
        <v>35.950000000000003</v>
      </c>
      <c r="H62" s="64">
        <v>6.56</v>
      </c>
      <c r="I62" s="64">
        <v>1.74</v>
      </c>
      <c r="J62" s="64">
        <v>0.19</v>
      </c>
      <c r="K62" s="64">
        <v>298.89</v>
      </c>
      <c r="L62" s="64">
        <v>29.27</v>
      </c>
      <c r="M62" s="64">
        <v>88.1</v>
      </c>
      <c r="N62" s="64">
        <v>295.39999999999998</v>
      </c>
      <c r="O62" s="64">
        <v>0</v>
      </c>
      <c r="P62" s="64">
        <v>0.49</v>
      </c>
      <c r="Q62" s="64">
        <v>9.01</v>
      </c>
      <c r="R62" s="198"/>
      <c r="S62" s="198"/>
      <c r="T62" s="198"/>
      <c r="U62" s="198"/>
    </row>
    <row r="63" spans="1:21" s="12" customFormat="1" x14ac:dyDescent="0.25">
      <c r="A63" s="211" t="s">
        <v>590</v>
      </c>
      <c r="B63" s="64">
        <v>9.3000000000000007</v>
      </c>
      <c r="C63" s="64">
        <v>8.56</v>
      </c>
      <c r="D63" s="64">
        <v>11.93</v>
      </c>
      <c r="E63" s="64">
        <v>3.35</v>
      </c>
      <c r="F63" s="64">
        <v>10.31</v>
      </c>
      <c r="G63" s="64">
        <v>35.950000000000003</v>
      </c>
      <c r="H63" s="64">
        <v>6.56</v>
      </c>
      <c r="I63" s="64">
        <v>1.71</v>
      </c>
      <c r="J63" s="64">
        <v>0.16</v>
      </c>
      <c r="K63" s="64">
        <v>262.45999999999998</v>
      </c>
      <c r="L63" s="64">
        <v>29.04</v>
      </c>
      <c r="M63" s="64">
        <v>87.34</v>
      </c>
      <c r="N63" s="64">
        <v>296.2</v>
      </c>
      <c r="O63" s="64">
        <v>0</v>
      </c>
      <c r="P63" s="64">
        <v>0.46</v>
      </c>
      <c r="Q63" s="64">
        <v>9.01</v>
      </c>
      <c r="R63" s="198"/>
      <c r="S63" s="198"/>
      <c r="T63" s="198"/>
      <c r="U63" s="198"/>
    </row>
    <row r="64" spans="1:21" s="12" customFormat="1" x14ac:dyDescent="0.25">
      <c r="A64" s="211" t="s">
        <v>591</v>
      </c>
      <c r="B64" s="64">
        <v>8.31</v>
      </c>
      <c r="C64" s="64">
        <v>8.5500000000000007</v>
      </c>
      <c r="D64" s="64">
        <v>11.13</v>
      </c>
      <c r="E64" s="64">
        <v>3.35</v>
      </c>
      <c r="F64" s="64">
        <v>10.57</v>
      </c>
      <c r="G64" s="64">
        <v>35.950000000000003</v>
      </c>
      <c r="H64" s="64">
        <v>6.56</v>
      </c>
      <c r="I64" s="64">
        <v>1.67</v>
      </c>
      <c r="J64" s="64">
        <v>0.34</v>
      </c>
      <c r="K64" s="64">
        <v>317.52999999999997</v>
      </c>
      <c r="L64" s="64">
        <v>29.26</v>
      </c>
      <c r="M64" s="64">
        <v>88.13</v>
      </c>
      <c r="N64" s="64">
        <v>214.9</v>
      </c>
      <c r="O64" s="64">
        <v>0</v>
      </c>
      <c r="P64" s="64">
        <v>0.47</v>
      </c>
      <c r="Q64" s="64">
        <v>9.01</v>
      </c>
      <c r="R64" s="198"/>
      <c r="S64" s="198"/>
      <c r="T64" s="198"/>
      <c r="U64" s="198"/>
    </row>
    <row r="65" spans="1:21" s="12" customFormat="1" x14ac:dyDescent="0.25">
      <c r="A65" s="211" t="s">
        <v>592</v>
      </c>
      <c r="B65" s="64">
        <v>8.23</v>
      </c>
      <c r="C65" s="64">
        <v>10.32</v>
      </c>
      <c r="D65" s="64">
        <v>11.99</v>
      </c>
      <c r="E65" s="64">
        <v>3.28</v>
      </c>
      <c r="F65" s="64">
        <v>8.85</v>
      </c>
      <c r="G65" s="64">
        <v>33.81</v>
      </c>
      <c r="H65" s="64">
        <v>7.16</v>
      </c>
      <c r="I65" s="64">
        <v>1.65</v>
      </c>
      <c r="J65" s="64">
        <v>0.32</v>
      </c>
      <c r="K65" s="64">
        <v>306.81</v>
      </c>
      <c r="L65" s="64">
        <v>28.88</v>
      </c>
      <c r="M65" s="64">
        <v>89</v>
      </c>
      <c r="N65" s="64">
        <v>198.6</v>
      </c>
      <c r="O65" s="64">
        <v>0</v>
      </c>
      <c r="P65" s="64">
        <v>0.48</v>
      </c>
      <c r="Q65" s="64">
        <v>9</v>
      </c>
      <c r="R65" s="198"/>
      <c r="S65" s="198"/>
      <c r="T65" s="198"/>
      <c r="U65" s="198"/>
    </row>
    <row r="66" spans="1:21" s="12" customFormat="1" x14ac:dyDescent="0.25">
      <c r="A66" s="211" t="s">
        <v>593</v>
      </c>
      <c r="B66" s="64">
        <v>9.83</v>
      </c>
      <c r="C66" s="64">
        <v>12.74</v>
      </c>
      <c r="D66" s="64">
        <v>14.54</v>
      </c>
      <c r="E66" s="64">
        <v>3.49</v>
      </c>
      <c r="F66" s="64">
        <v>9.27</v>
      </c>
      <c r="G66" s="64">
        <v>33.65</v>
      </c>
      <c r="H66" s="64">
        <v>7.16</v>
      </c>
      <c r="I66" s="64">
        <v>1.65</v>
      </c>
      <c r="J66" s="64">
        <v>0.41</v>
      </c>
      <c r="K66" s="64">
        <v>327.55</v>
      </c>
      <c r="L66" s="64">
        <v>28.83</v>
      </c>
      <c r="M66" s="64">
        <v>89.68</v>
      </c>
      <c r="N66" s="64">
        <v>132.30000000000001</v>
      </c>
      <c r="O66" s="64">
        <v>0</v>
      </c>
      <c r="P66" s="64">
        <v>0.56000000000000005</v>
      </c>
      <c r="Q66" s="64">
        <v>9</v>
      </c>
      <c r="R66" s="198"/>
      <c r="S66" s="198"/>
      <c r="T66" s="198"/>
      <c r="U66" s="198"/>
    </row>
    <row r="67" spans="1:21" s="12" customFormat="1" x14ac:dyDescent="0.25">
      <c r="A67" s="211" t="s">
        <v>594</v>
      </c>
      <c r="B67" s="64">
        <v>9.5</v>
      </c>
      <c r="C67" s="64">
        <v>8.64</v>
      </c>
      <c r="D67" s="64">
        <v>12.13</v>
      </c>
      <c r="E67" s="64">
        <v>3.68</v>
      </c>
      <c r="F67" s="64">
        <v>9.34</v>
      </c>
      <c r="G67" s="64">
        <v>33.65</v>
      </c>
      <c r="H67" s="64">
        <v>7.16</v>
      </c>
      <c r="I67" s="64">
        <v>1.63</v>
      </c>
      <c r="J67" s="64">
        <v>2.08</v>
      </c>
      <c r="K67" s="64">
        <v>336.54</v>
      </c>
      <c r="L67" s="64">
        <v>27.76</v>
      </c>
      <c r="M67" s="64">
        <v>94.05</v>
      </c>
      <c r="N67" s="64">
        <v>147.1</v>
      </c>
      <c r="O67" s="64">
        <v>0</v>
      </c>
      <c r="P67" s="64">
        <v>0.49</v>
      </c>
      <c r="Q67" s="64">
        <v>9.02</v>
      </c>
      <c r="R67" s="198"/>
      <c r="S67" s="198"/>
      <c r="T67" s="198"/>
      <c r="U67" s="198"/>
    </row>
    <row r="68" spans="1:21" s="12" customFormat="1" x14ac:dyDescent="0.25">
      <c r="A68" s="211" t="s">
        <v>595</v>
      </c>
      <c r="B68" s="64">
        <v>11.49</v>
      </c>
      <c r="C68" s="64">
        <v>7.94</v>
      </c>
      <c r="D68" s="64">
        <v>13.36</v>
      </c>
      <c r="E68" s="64">
        <v>3.43</v>
      </c>
      <c r="F68" s="64">
        <v>9.1199999999999992</v>
      </c>
      <c r="G68" s="64">
        <v>33.65</v>
      </c>
      <c r="H68" s="64">
        <v>7.16</v>
      </c>
      <c r="I68" s="64">
        <v>1.64</v>
      </c>
      <c r="J68" s="64">
        <v>1.5</v>
      </c>
      <c r="K68" s="64">
        <v>338.73</v>
      </c>
      <c r="L68" s="64">
        <v>27.15</v>
      </c>
      <c r="M68" s="64">
        <v>97.34</v>
      </c>
      <c r="N68" s="64">
        <v>209.5</v>
      </c>
      <c r="O68" s="64">
        <v>0</v>
      </c>
      <c r="P68" s="64">
        <v>0.47</v>
      </c>
      <c r="Q68" s="64">
        <v>9.0299999999999994</v>
      </c>
      <c r="R68" s="198"/>
      <c r="S68" s="198"/>
      <c r="T68" s="198"/>
      <c r="U68" s="198"/>
    </row>
    <row r="69" spans="1:21" s="12" customFormat="1" x14ac:dyDescent="0.25">
      <c r="A69" s="211" t="s">
        <v>596</v>
      </c>
      <c r="B69" s="64">
        <v>12.84</v>
      </c>
      <c r="C69" s="64">
        <v>8.8000000000000007</v>
      </c>
      <c r="D69" s="64">
        <v>14.89</v>
      </c>
      <c r="E69" s="64">
        <v>3.46</v>
      </c>
      <c r="F69" s="64">
        <v>11.39</v>
      </c>
      <c r="G69" s="64">
        <v>26.94</v>
      </c>
      <c r="H69" s="64">
        <v>11.31</v>
      </c>
      <c r="I69" s="64">
        <v>1.64</v>
      </c>
      <c r="J69" s="64">
        <v>0.48</v>
      </c>
      <c r="K69" s="64">
        <v>329.26</v>
      </c>
      <c r="L69" s="64">
        <v>27.74</v>
      </c>
      <c r="M69" s="64">
        <v>96.04</v>
      </c>
      <c r="N69" s="64">
        <v>183.4</v>
      </c>
      <c r="O69" s="64">
        <v>0</v>
      </c>
      <c r="P69" s="64">
        <v>0.5</v>
      </c>
      <c r="Q69" s="64">
        <v>9.07</v>
      </c>
      <c r="R69" s="198"/>
      <c r="S69" s="198"/>
      <c r="T69" s="198"/>
      <c r="U69" s="198"/>
    </row>
    <row r="70" spans="1:21" s="12" customFormat="1" x14ac:dyDescent="0.25">
      <c r="A70" s="211" t="s">
        <v>597</v>
      </c>
      <c r="B70" s="64">
        <v>13.57</v>
      </c>
      <c r="C70" s="64">
        <v>10.46</v>
      </c>
      <c r="D70" s="64">
        <v>16.350000000000001</v>
      </c>
      <c r="E70" s="64">
        <v>3.92</v>
      </c>
      <c r="F70" s="64">
        <v>10.41</v>
      </c>
      <c r="G70" s="64">
        <v>26.46</v>
      </c>
      <c r="H70" s="64">
        <v>11.31</v>
      </c>
      <c r="I70" s="64">
        <v>1.52</v>
      </c>
      <c r="J70" s="64">
        <v>0.21</v>
      </c>
      <c r="K70" s="64">
        <v>311.35000000000002</v>
      </c>
      <c r="L70" s="64">
        <v>28.03</v>
      </c>
      <c r="M70" s="64">
        <v>91.76</v>
      </c>
      <c r="N70" s="64">
        <v>152.6</v>
      </c>
      <c r="O70" s="64">
        <v>0</v>
      </c>
      <c r="P70" s="64">
        <v>0.51</v>
      </c>
      <c r="Q70" s="64">
        <v>9.07</v>
      </c>
      <c r="R70" s="198"/>
      <c r="S70" s="198"/>
      <c r="T70" s="198"/>
      <c r="U70" s="198"/>
    </row>
    <row r="71" spans="1:21" s="12" customFormat="1" x14ac:dyDescent="0.25">
      <c r="A71" s="211" t="s">
        <v>598</v>
      </c>
      <c r="B71" s="64">
        <v>11.17</v>
      </c>
      <c r="C71" s="64">
        <v>10.29</v>
      </c>
      <c r="D71" s="64">
        <v>14.34</v>
      </c>
      <c r="E71" s="64">
        <v>3.58</v>
      </c>
      <c r="F71" s="64">
        <v>7.92</v>
      </c>
      <c r="G71" s="64">
        <v>26.46</v>
      </c>
      <c r="H71" s="64">
        <v>11.31</v>
      </c>
      <c r="I71" s="64">
        <v>1.54</v>
      </c>
      <c r="J71" s="64">
        <v>0.44</v>
      </c>
      <c r="K71" s="64">
        <v>328.57</v>
      </c>
      <c r="L71" s="64">
        <v>27.61</v>
      </c>
      <c r="M71" s="64">
        <v>92.86</v>
      </c>
      <c r="N71" s="64">
        <v>103</v>
      </c>
      <c r="O71" s="64">
        <v>0</v>
      </c>
      <c r="P71" s="64">
        <v>0.48</v>
      </c>
      <c r="Q71" s="64">
        <v>9.1</v>
      </c>
      <c r="R71" s="198"/>
      <c r="S71" s="198"/>
      <c r="T71" s="198"/>
      <c r="U71" s="198"/>
    </row>
    <row r="72" spans="1:21" s="12" customFormat="1" x14ac:dyDescent="0.25">
      <c r="A72" s="211" t="s">
        <v>599</v>
      </c>
      <c r="B72" s="64">
        <v>11.36</v>
      </c>
      <c r="C72" s="64">
        <v>8.24</v>
      </c>
      <c r="D72" s="64">
        <v>13.41</v>
      </c>
      <c r="E72" s="64">
        <v>5.13</v>
      </c>
      <c r="F72" s="64">
        <v>9.1</v>
      </c>
      <c r="G72" s="64">
        <v>26.46</v>
      </c>
      <c r="H72" s="64">
        <v>11.31</v>
      </c>
      <c r="I72" s="64">
        <v>1.61</v>
      </c>
      <c r="J72" s="64">
        <v>0.24</v>
      </c>
      <c r="K72" s="64">
        <v>302.07</v>
      </c>
      <c r="L72" s="64">
        <v>27.52</v>
      </c>
      <c r="M72" s="64">
        <v>94.21</v>
      </c>
      <c r="N72" s="64">
        <v>96.6</v>
      </c>
      <c r="O72" s="64">
        <v>0</v>
      </c>
      <c r="P72" s="64">
        <v>0.47</v>
      </c>
      <c r="Q72" s="64">
        <v>9.11</v>
      </c>
      <c r="R72" s="198"/>
      <c r="S72" s="198"/>
      <c r="T72" s="198"/>
      <c r="U72" s="198"/>
    </row>
    <row r="73" spans="1:21" s="12" customFormat="1" x14ac:dyDescent="0.25">
      <c r="A73" s="211" t="s">
        <v>600</v>
      </c>
      <c r="B73" s="64">
        <v>10.52</v>
      </c>
      <c r="C73" s="64">
        <v>10.56</v>
      </c>
      <c r="D73" s="64">
        <v>13.96</v>
      </c>
      <c r="E73" s="64">
        <v>4.4000000000000004</v>
      </c>
      <c r="F73" s="64">
        <v>8.33</v>
      </c>
      <c r="G73" s="64">
        <v>30.32</v>
      </c>
      <c r="H73" s="64">
        <v>9.2899999999999991</v>
      </c>
      <c r="I73" s="64">
        <v>1.61</v>
      </c>
      <c r="J73" s="64">
        <v>0.14000000000000001</v>
      </c>
      <c r="K73" s="64">
        <v>285.12</v>
      </c>
      <c r="L73" s="64">
        <v>26.69</v>
      </c>
      <c r="M73" s="64">
        <v>96.51</v>
      </c>
      <c r="N73" s="64">
        <v>80.7</v>
      </c>
      <c r="O73" s="64">
        <v>0</v>
      </c>
      <c r="P73" s="64">
        <v>0.47</v>
      </c>
      <c r="Q73" s="64">
        <v>9.11</v>
      </c>
      <c r="R73" s="198"/>
      <c r="S73" s="198"/>
      <c r="T73" s="198"/>
      <c r="U73" s="198"/>
    </row>
    <row r="74" spans="1:21" s="12" customFormat="1" x14ac:dyDescent="0.25">
      <c r="A74" s="211" t="s">
        <v>601</v>
      </c>
      <c r="B74" s="64">
        <v>9.49</v>
      </c>
      <c r="C74" s="64">
        <v>9.89</v>
      </c>
      <c r="D74" s="64">
        <v>12.77</v>
      </c>
      <c r="E74" s="64">
        <v>4.5199999999999996</v>
      </c>
      <c r="F74" s="64">
        <v>10</v>
      </c>
      <c r="G74" s="64">
        <v>30.6</v>
      </c>
      <c r="H74" s="64">
        <v>9.2899999999999991</v>
      </c>
      <c r="I74" s="64">
        <v>1.52</v>
      </c>
      <c r="J74" s="64">
        <v>0.12</v>
      </c>
      <c r="K74" s="64">
        <v>296.74</v>
      </c>
      <c r="L74" s="64">
        <v>25.43</v>
      </c>
      <c r="M74" s="64">
        <v>97.84</v>
      </c>
      <c r="N74" s="64">
        <v>77.3</v>
      </c>
      <c r="O74" s="64">
        <v>0</v>
      </c>
      <c r="P74" s="64">
        <v>0.49</v>
      </c>
      <c r="Q74" s="64">
        <v>9.09</v>
      </c>
      <c r="R74" s="198"/>
      <c r="S74" s="198"/>
      <c r="T74" s="198"/>
      <c r="U74" s="198"/>
    </row>
    <row r="75" spans="1:21" s="12" customFormat="1" x14ac:dyDescent="0.25">
      <c r="A75" s="211" t="s">
        <v>602</v>
      </c>
      <c r="B75" s="64">
        <v>13.91</v>
      </c>
      <c r="C75" s="64">
        <v>13.88</v>
      </c>
      <c r="D75" s="64">
        <v>18.28</v>
      </c>
      <c r="E75" s="64">
        <v>4.1900000000000004</v>
      </c>
      <c r="F75" s="64">
        <v>7.54</v>
      </c>
      <c r="G75" s="64">
        <v>30.6</v>
      </c>
      <c r="H75" s="64">
        <v>9.2899999999999991</v>
      </c>
      <c r="I75" s="64">
        <v>1.53</v>
      </c>
      <c r="J75" s="64">
        <v>0.09</v>
      </c>
      <c r="K75" s="64">
        <v>284.62</v>
      </c>
      <c r="L75" s="64">
        <v>24.95</v>
      </c>
      <c r="M75" s="64">
        <v>97.91</v>
      </c>
      <c r="N75" s="64">
        <v>69.400000000000006</v>
      </c>
      <c r="O75" s="64">
        <v>0</v>
      </c>
      <c r="P75" s="64">
        <v>0.56999999999999995</v>
      </c>
      <c r="Q75" s="64">
        <v>9.1</v>
      </c>
      <c r="R75" s="198"/>
      <c r="S75" s="198"/>
      <c r="T75" s="198"/>
      <c r="U75" s="198"/>
    </row>
    <row r="76" spans="1:21" s="12" customFormat="1" x14ac:dyDescent="0.25">
      <c r="A76" s="211" t="s">
        <v>603</v>
      </c>
      <c r="B76" s="64">
        <v>14.06</v>
      </c>
      <c r="C76" s="64">
        <v>11.56</v>
      </c>
      <c r="D76" s="64">
        <v>17.32</v>
      </c>
      <c r="E76" s="64">
        <v>4.7</v>
      </c>
      <c r="F76" s="64">
        <v>8.82</v>
      </c>
      <c r="G76" s="64">
        <v>30.6</v>
      </c>
      <c r="H76" s="64">
        <v>9.2899999999999991</v>
      </c>
      <c r="I76" s="64">
        <v>1.6</v>
      </c>
      <c r="J76" s="64">
        <v>0.05</v>
      </c>
      <c r="K76" s="64">
        <v>0.45</v>
      </c>
      <c r="L76" s="64">
        <v>25.03</v>
      </c>
      <c r="M76" s="64">
        <v>97.94</v>
      </c>
      <c r="N76" s="64">
        <v>58.6</v>
      </c>
      <c r="O76" s="64">
        <v>0</v>
      </c>
      <c r="P76" s="64">
        <v>0.67</v>
      </c>
      <c r="Q76" s="64">
        <v>9.09</v>
      </c>
      <c r="R76" s="198"/>
      <c r="S76" s="198"/>
      <c r="T76" s="198"/>
      <c r="U76" s="198"/>
    </row>
    <row r="77" spans="1:21" s="12" customFormat="1" x14ac:dyDescent="0.25">
      <c r="A77" s="211" t="s">
        <v>604</v>
      </c>
      <c r="B77" s="64">
        <v>10</v>
      </c>
      <c r="C77" s="64">
        <v>15.02</v>
      </c>
      <c r="D77" s="64">
        <v>15.87</v>
      </c>
      <c r="E77" s="64">
        <v>4.78</v>
      </c>
      <c r="F77" s="64">
        <v>6.95</v>
      </c>
      <c r="G77" s="64">
        <v>32.85</v>
      </c>
      <c r="H77" s="64">
        <v>7.55</v>
      </c>
      <c r="I77" s="64">
        <v>1.61</v>
      </c>
      <c r="J77" s="64">
        <v>0.05</v>
      </c>
      <c r="K77" s="64">
        <v>221.42</v>
      </c>
      <c r="L77" s="64">
        <v>24.96</v>
      </c>
      <c r="M77" s="64">
        <v>97.95</v>
      </c>
      <c r="N77" s="64">
        <v>53.2</v>
      </c>
      <c r="O77" s="64">
        <v>0</v>
      </c>
      <c r="P77" s="64">
        <v>0.8</v>
      </c>
      <c r="Q77" s="64">
        <v>9.09</v>
      </c>
      <c r="R77" s="198"/>
      <c r="S77" s="198"/>
      <c r="T77" s="198"/>
      <c r="U77" s="198"/>
    </row>
    <row r="78" spans="1:21" s="12" customFormat="1" x14ac:dyDescent="0.25">
      <c r="A78" s="211" t="s">
        <v>605</v>
      </c>
      <c r="B78" s="64">
        <v>10.91</v>
      </c>
      <c r="C78" s="64">
        <v>12.6</v>
      </c>
      <c r="D78" s="64">
        <v>15.33</v>
      </c>
      <c r="E78" s="64">
        <v>4.4400000000000004</v>
      </c>
      <c r="F78" s="64">
        <v>8.7899999999999991</v>
      </c>
      <c r="G78" s="64">
        <v>33.01</v>
      </c>
      <c r="H78" s="64">
        <v>7.55</v>
      </c>
      <c r="I78" s="64">
        <v>1.63</v>
      </c>
      <c r="J78" s="64">
        <v>0.04</v>
      </c>
      <c r="K78" s="64">
        <v>205.14</v>
      </c>
      <c r="L78" s="64">
        <v>24.89</v>
      </c>
      <c r="M78" s="64">
        <v>97.97</v>
      </c>
      <c r="N78" s="64">
        <v>47.8</v>
      </c>
      <c r="O78" s="64">
        <v>0</v>
      </c>
      <c r="P78" s="64">
        <v>0.69</v>
      </c>
      <c r="Q78" s="64">
        <v>9.1</v>
      </c>
      <c r="R78" s="198"/>
      <c r="S78" s="198"/>
      <c r="T78" s="198"/>
      <c r="U78" s="198"/>
    </row>
    <row r="79" spans="1:21" s="12" customFormat="1" x14ac:dyDescent="0.25">
      <c r="A79" s="211" t="s">
        <v>606</v>
      </c>
      <c r="B79" s="64">
        <v>12.52</v>
      </c>
      <c r="C79" s="64">
        <v>13.32</v>
      </c>
      <c r="D79" s="64">
        <v>17</v>
      </c>
      <c r="E79" s="64">
        <v>4.6500000000000004</v>
      </c>
      <c r="F79" s="64">
        <v>8.26</v>
      </c>
      <c r="G79" s="64">
        <v>33.01</v>
      </c>
      <c r="H79" s="64">
        <v>7.55</v>
      </c>
      <c r="I79" s="64">
        <v>1.65</v>
      </c>
      <c r="J79" s="64">
        <v>0.1</v>
      </c>
      <c r="K79" s="64">
        <v>288.81</v>
      </c>
      <c r="L79" s="64">
        <v>24.76</v>
      </c>
      <c r="M79" s="64">
        <v>97.97</v>
      </c>
      <c r="N79" s="64">
        <v>42.5</v>
      </c>
      <c r="O79" s="64">
        <v>0</v>
      </c>
      <c r="P79" s="64">
        <v>0.72</v>
      </c>
      <c r="Q79" s="64">
        <v>9.1</v>
      </c>
      <c r="R79" s="198"/>
      <c r="S79" s="198"/>
      <c r="T79" s="198"/>
      <c r="U79" s="198"/>
    </row>
    <row r="80" spans="1:21" s="12" customFormat="1" x14ac:dyDescent="0.25">
      <c r="A80" s="211" t="s">
        <v>607</v>
      </c>
      <c r="B80" s="64">
        <v>10.99</v>
      </c>
      <c r="C80" s="64">
        <v>10.64</v>
      </c>
      <c r="D80" s="64">
        <v>14.37</v>
      </c>
      <c r="E80" s="64">
        <v>4.43</v>
      </c>
      <c r="F80" s="64">
        <v>8.93</v>
      </c>
      <c r="G80" s="64">
        <v>33.01</v>
      </c>
      <c r="H80" s="64">
        <v>7.55</v>
      </c>
      <c r="I80" s="64">
        <v>1.6</v>
      </c>
      <c r="J80" s="64">
        <v>0.04</v>
      </c>
      <c r="K80" s="64">
        <v>163.34</v>
      </c>
      <c r="L80" s="64">
        <v>24.58</v>
      </c>
      <c r="M80" s="64">
        <v>98</v>
      </c>
      <c r="N80" s="64">
        <v>40.9</v>
      </c>
      <c r="O80" s="64">
        <v>0</v>
      </c>
      <c r="P80" s="64">
        <v>0.56000000000000005</v>
      </c>
      <c r="Q80" s="64">
        <v>9.09</v>
      </c>
      <c r="R80" s="198"/>
      <c r="S80" s="198"/>
      <c r="T80" s="198"/>
      <c r="U80" s="198"/>
    </row>
    <row r="81" spans="1:26" s="12" customFormat="1" x14ac:dyDescent="0.25">
      <c r="A81" s="211" t="s">
        <v>608</v>
      </c>
      <c r="B81" s="64">
        <v>9.91</v>
      </c>
      <c r="C81" s="64">
        <v>13.67</v>
      </c>
      <c r="D81" s="64">
        <v>15.09</v>
      </c>
      <c r="E81" s="64">
        <v>4.25</v>
      </c>
      <c r="F81" s="64">
        <v>8.83</v>
      </c>
      <c r="G81" s="64">
        <v>36.49</v>
      </c>
      <c r="H81" s="64">
        <v>6.44</v>
      </c>
      <c r="I81" s="64">
        <v>1.56</v>
      </c>
      <c r="J81" s="64">
        <v>0.1</v>
      </c>
      <c r="K81" s="64">
        <v>146.13999999999999</v>
      </c>
      <c r="L81" s="64">
        <v>24.35</v>
      </c>
      <c r="M81" s="64">
        <v>98.01</v>
      </c>
      <c r="N81" s="64">
        <v>40.6</v>
      </c>
      <c r="O81" s="64">
        <v>0</v>
      </c>
      <c r="P81" s="64">
        <v>0.47</v>
      </c>
      <c r="Q81" s="64">
        <v>9.1</v>
      </c>
      <c r="R81" s="198"/>
      <c r="S81" s="198"/>
      <c r="T81" s="198"/>
      <c r="U81" s="198"/>
    </row>
    <row r="82" spans="1:26" s="12" customFormat="1" x14ac:dyDescent="0.25">
      <c r="A82" s="211" t="s">
        <v>609</v>
      </c>
      <c r="B82" s="64">
        <v>9.93</v>
      </c>
      <c r="C82" s="64">
        <v>10.130000000000001</v>
      </c>
      <c r="D82" s="64">
        <v>13.25</v>
      </c>
      <c r="E82" s="64">
        <v>4.41</v>
      </c>
      <c r="F82" s="64">
        <v>9.65</v>
      </c>
      <c r="G82" s="64">
        <v>36.729999999999997</v>
      </c>
      <c r="H82" s="64">
        <v>6.44</v>
      </c>
      <c r="I82" s="64">
        <v>1.58</v>
      </c>
      <c r="J82" s="64">
        <v>7.0000000000000007E-2</v>
      </c>
      <c r="K82" s="64">
        <v>182.53</v>
      </c>
      <c r="L82" s="64">
        <v>24.22</v>
      </c>
      <c r="M82" s="64">
        <v>98.02</v>
      </c>
      <c r="N82" s="64">
        <v>40.700000000000003</v>
      </c>
      <c r="O82" s="64">
        <v>0</v>
      </c>
      <c r="P82" s="64">
        <v>0.51</v>
      </c>
      <c r="Q82" s="64">
        <v>9.1</v>
      </c>
      <c r="R82" s="198"/>
      <c r="S82" s="198"/>
      <c r="T82" s="198"/>
      <c r="U82" s="198"/>
    </row>
    <row r="83" spans="1:26" s="12" customFormat="1" x14ac:dyDescent="0.25">
      <c r="A83" s="211" t="s">
        <v>610</v>
      </c>
      <c r="B83" s="64">
        <v>9.61</v>
      </c>
      <c r="C83" s="64">
        <v>10.96</v>
      </c>
      <c r="D83" s="64">
        <v>13.43</v>
      </c>
      <c r="E83" s="64">
        <v>4.28</v>
      </c>
      <c r="F83" s="64">
        <v>8.7799999999999994</v>
      </c>
      <c r="G83" s="64">
        <v>36.729999999999997</v>
      </c>
      <c r="H83" s="64">
        <v>6.44</v>
      </c>
      <c r="I83" s="64">
        <v>1.56</v>
      </c>
      <c r="J83" s="64">
        <v>0.16</v>
      </c>
      <c r="K83" s="64">
        <v>140.13</v>
      </c>
      <c r="L83" s="64">
        <v>24.13</v>
      </c>
      <c r="M83" s="64">
        <v>98.04</v>
      </c>
      <c r="N83" s="64">
        <v>40.6</v>
      </c>
      <c r="O83" s="64">
        <v>0</v>
      </c>
      <c r="P83" s="64">
        <v>0.48</v>
      </c>
      <c r="Q83" s="64">
        <v>9.1</v>
      </c>
      <c r="R83" s="198"/>
      <c r="S83" s="198"/>
      <c r="T83" s="198"/>
      <c r="U83" s="198"/>
    </row>
    <row r="84" spans="1:26" s="12" customFormat="1" x14ac:dyDescent="0.25">
      <c r="A84" s="211" t="s">
        <v>611</v>
      </c>
      <c r="B84" s="64">
        <v>9.41</v>
      </c>
      <c r="C84" s="64">
        <v>10.58</v>
      </c>
      <c r="D84" s="64">
        <v>13.08</v>
      </c>
      <c r="E84" s="64">
        <v>4.2699999999999996</v>
      </c>
      <c r="F84" s="64">
        <v>10.59</v>
      </c>
      <c r="G84" s="64">
        <v>36.729999999999997</v>
      </c>
      <c r="H84" s="64">
        <v>6.44</v>
      </c>
      <c r="I84" s="64">
        <v>1.55</v>
      </c>
      <c r="J84" s="64">
        <v>0.15</v>
      </c>
      <c r="K84" s="64">
        <v>134.29</v>
      </c>
      <c r="L84" s="64">
        <v>24.09</v>
      </c>
      <c r="M84" s="64">
        <v>98.05</v>
      </c>
      <c r="N84" s="64">
        <v>40.5</v>
      </c>
      <c r="O84" s="64">
        <v>0</v>
      </c>
      <c r="P84" s="64">
        <v>0.45</v>
      </c>
      <c r="Q84" s="64">
        <v>9.1</v>
      </c>
      <c r="R84" s="198"/>
      <c r="S84" s="198"/>
      <c r="T84" s="198"/>
      <c r="U84" s="198"/>
    </row>
    <row r="85" spans="1:26" s="12" customFormat="1" x14ac:dyDescent="0.25">
      <c r="A85" s="211" t="s">
        <v>612</v>
      </c>
      <c r="B85" s="64">
        <v>8.99</v>
      </c>
      <c r="C85" s="64">
        <v>11.22</v>
      </c>
      <c r="D85" s="64">
        <v>13.08</v>
      </c>
      <c r="E85" s="64">
        <v>4.4400000000000004</v>
      </c>
      <c r="F85" s="64">
        <v>8.9</v>
      </c>
      <c r="G85" s="64">
        <v>28.29</v>
      </c>
      <c r="H85" s="64">
        <v>8.11</v>
      </c>
      <c r="I85" s="64">
        <v>1.53</v>
      </c>
      <c r="J85" s="64">
        <v>0.03</v>
      </c>
      <c r="K85" s="64">
        <v>165.46</v>
      </c>
      <c r="L85" s="64">
        <v>24.08</v>
      </c>
      <c r="M85" s="64">
        <v>97.99</v>
      </c>
      <c r="N85" s="64">
        <v>40.4</v>
      </c>
      <c r="O85" s="64">
        <v>0</v>
      </c>
      <c r="P85" s="64">
        <v>0.4</v>
      </c>
      <c r="Q85" s="64">
        <v>9.11</v>
      </c>
      <c r="R85" s="198"/>
      <c r="S85" s="198"/>
      <c r="T85" s="198"/>
      <c r="U85" s="198"/>
    </row>
    <row r="86" spans="1:26" s="12" customFormat="1" x14ac:dyDescent="0.25">
      <c r="A86" s="211" t="s">
        <v>613</v>
      </c>
      <c r="B86" s="64">
        <v>9.92</v>
      </c>
      <c r="C86" s="64">
        <v>8.41</v>
      </c>
      <c r="D86" s="64">
        <v>12.35</v>
      </c>
      <c r="E86" s="64">
        <v>4.4400000000000004</v>
      </c>
      <c r="F86" s="64">
        <v>9.9600000000000009</v>
      </c>
      <c r="G86" s="64">
        <v>27.69</v>
      </c>
      <c r="H86" s="64">
        <v>8.11</v>
      </c>
      <c r="I86" s="64">
        <v>1.53</v>
      </c>
      <c r="J86" s="64">
        <v>0.05</v>
      </c>
      <c r="K86" s="64">
        <v>191.94</v>
      </c>
      <c r="L86" s="64">
        <v>24.09</v>
      </c>
      <c r="M86" s="64">
        <v>98.02</v>
      </c>
      <c r="N86" s="64">
        <v>40.4</v>
      </c>
      <c r="O86" s="64">
        <v>0</v>
      </c>
      <c r="P86" s="64">
        <v>0.42</v>
      </c>
      <c r="Q86" s="64">
        <v>9.11</v>
      </c>
      <c r="R86" s="198"/>
      <c r="S86" s="198"/>
      <c r="T86" s="198"/>
      <c r="U86" s="198"/>
    </row>
    <row r="87" spans="1:26" s="12" customFormat="1" x14ac:dyDescent="0.25">
      <c r="A87" s="211" t="s">
        <v>614</v>
      </c>
      <c r="B87" s="64">
        <v>10.119999999999999</v>
      </c>
      <c r="C87" s="64">
        <v>9.99</v>
      </c>
      <c r="D87" s="64">
        <v>13.33</v>
      </c>
      <c r="E87" s="64">
        <v>4.87</v>
      </c>
      <c r="F87" s="64">
        <v>10.17</v>
      </c>
      <c r="G87" s="64">
        <v>27.69</v>
      </c>
      <c r="H87" s="64">
        <v>8.11</v>
      </c>
      <c r="I87" s="64">
        <v>1.52</v>
      </c>
      <c r="J87" s="64">
        <v>0.04</v>
      </c>
      <c r="K87" s="64">
        <v>175.62</v>
      </c>
      <c r="L87" s="64">
        <v>24.01</v>
      </c>
      <c r="M87" s="64">
        <v>98.03</v>
      </c>
      <c r="N87" s="64">
        <v>40.5</v>
      </c>
      <c r="O87" s="64">
        <v>0</v>
      </c>
      <c r="P87" s="64">
        <v>0.37</v>
      </c>
      <c r="Q87" s="64">
        <v>9.11</v>
      </c>
      <c r="R87" s="198"/>
      <c r="S87" s="198"/>
      <c r="T87" s="198"/>
      <c r="U87" s="198"/>
    </row>
    <row r="88" spans="1:26" s="12" customFormat="1" x14ac:dyDescent="0.25">
      <c r="A88" s="211" t="s">
        <v>615</v>
      </c>
      <c r="B88" s="64">
        <v>9.11</v>
      </c>
      <c r="C88" s="64">
        <v>10.16</v>
      </c>
      <c r="D88" s="64">
        <v>12.61</v>
      </c>
      <c r="E88" s="64">
        <v>4.4000000000000004</v>
      </c>
      <c r="F88" s="64">
        <v>11.46</v>
      </c>
      <c r="G88" s="64">
        <v>27.69</v>
      </c>
      <c r="H88" s="64">
        <v>8.11</v>
      </c>
      <c r="I88" s="64">
        <v>1.51</v>
      </c>
      <c r="J88" s="64">
        <v>0.08</v>
      </c>
      <c r="K88" s="64">
        <v>153.09</v>
      </c>
      <c r="L88" s="64">
        <v>23.94</v>
      </c>
      <c r="M88" s="64">
        <v>98.08</v>
      </c>
      <c r="N88" s="64">
        <v>40.6</v>
      </c>
      <c r="O88" s="64">
        <v>0</v>
      </c>
      <c r="P88" s="64">
        <v>0.37</v>
      </c>
      <c r="Q88" s="64">
        <v>9.1300000000000008</v>
      </c>
      <c r="R88" s="198"/>
      <c r="S88" s="198"/>
      <c r="T88" s="198"/>
      <c r="U88" s="198"/>
    </row>
    <row r="89" spans="1:26" s="12" customFormat="1" x14ac:dyDescent="0.25">
      <c r="A89" s="211" t="s">
        <v>616</v>
      </c>
      <c r="B89" s="64">
        <v>8.64</v>
      </c>
      <c r="C89" s="64">
        <v>10.52</v>
      </c>
      <c r="D89" s="64">
        <v>12.42</v>
      </c>
      <c r="E89" s="64">
        <v>4.4400000000000004</v>
      </c>
      <c r="F89" s="64">
        <v>9.33</v>
      </c>
      <c r="G89" s="64">
        <v>24.88</v>
      </c>
      <c r="H89" s="64">
        <v>6.83</v>
      </c>
      <c r="I89" s="64">
        <v>1.51</v>
      </c>
      <c r="J89" s="64">
        <v>0.09</v>
      </c>
      <c r="K89" s="64">
        <v>133.15</v>
      </c>
      <c r="L89" s="64">
        <v>23.84</v>
      </c>
      <c r="M89" s="64">
        <v>98.07</v>
      </c>
      <c r="N89" s="64">
        <v>40.5</v>
      </c>
      <c r="O89" s="64">
        <v>0</v>
      </c>
      <c r="P89" s="64">
        <v>0.37</v>
      </c>
      <c r="Q89" s="64">
        <v>9.1199999999999992</v>
      </c>
      <c r="R89" s="198"/>
      <c r="S89" s="198"/>
      <c r="T89" s="198"/>
      <c r="U89" s="198"/>
    </row>
    <row r="90" spans="1:26" s="12" customFormat="1" x14ac:dyDescent="0.25">
      <c r="A90" s="211" t="s">
        <v>617</v>
      </c>
      <c r="B90" s="64">
        <v>10.57</v>
      </c>
      <c r="C90" s="64">
        <v>10.63</v>
      </c>
      <c r="D90" s="64">
        <v>14.03</v>
      </c>
      <c r="E90" s="64">
        <v>4.67</v>
      </c>
      <c r="F90" s="64">
        <v>11.24</v>
      </c>
      <c r="G90" s="64">
        <v>24.68</v>
      </c>
      <c r="H90" s="64">
        <v>6.83</v>
      </c>
      <c r="I90" s="64">
        <v>1.5</v>
      </c>
      <c r="J90" s="64">
        <v>0.52</v>
      </c>
      <c r="K90" s="64">
        <v>124.69</v>
      </c>
      <c r="L90" s="64">
        <v>23.73</v>
      </c>
      <c r="M90" s="64">
        <v>98.03</v>
      </c>
      <c r="N90" s="64">
        <v>40.4</v>
      </c>
      <c r="O90" s="64">
        <v>0</v>
      </c>
      <c r="P90" s="64">
        <v>0.38</v>
      </c>
      <c r="Q90" s="64">
        <v>9.14</v>
      </c>
      <c r="R90" s="198"/>
      <c r="S90" s="198"/>
      <c r="T90" s="198"/>
      <c r="U90" s="198"/>
    </row>
    <row r="91" spans="1:26" s="12" customFormat="1" x14ac:dyDescent="0.25">
      <c r="A91" s="211" t="s">
        <v>618</v>
      </c>
      <c r="B91" s="64">
        <v>9.83</v>
      </c>
      <c r="C91" s="64">
        <v>9.11</v>
      </c>
      <c r="D91" s="64">
        <v>12.64</v>
      </c>
      <c r="E91" s="64">
        <v>4.4400000000000004</v>
      </c>
      <c r="F91" s="64">
        <v>11.06</v>
      </c>
      <c r="G91" s="64">
        <v>24.68</v>
      </c>
      <c r="H91" s="64">
        <v>6.83</v>
      </c>
      <c r="I91" s="64">
        <v>1.49</v>
      </c>
      <c r="J91" s="64">
        <v>0.15</v>
      </c>
      <c r="K91" s="64">
        <v>171.42</v>
      </c>
      <c r="L91" s="64">
        <v>23.71</v>
      </c>
      <c r="M91" s="64">
        <v>98.07</v>
      </c>
      <c r="N91" s="64">
        <v>40.4</v>
      </c>
      <c r="O91" s="64">
        <v>0</v>
      </c>
      <c r="P91" s="64">
        <v>0.37</v>
      </c>
      <c r="Q91" s="64">
        <v>9.14</v>
      </c>
      <c r="R91" s="198"/>
      <c r="S91" s="198"/>
      <c r="T91" s="198"/>
      <c r="U91" s="198"/>
    </row>
    <row r="92" spans="1:26" s="12" customFormat="1" x14ac:dyDescent="0.25">
      <c r="A92" s="211" t="s">
        <v>619</v>
      </c>
      <c r="B92" s="64">
        <v>9.2899999999999991</v>
      </c>
      <c r="C92" s="64">
        <v>8.09</v>
      </c>
      <c r="D92" s="64">
        <v>11.68</v>
      </c>
      <c r="E92" s="64">
        <v>4.75</v>
      </c>
      <c r="F92" s="64">
        <v>10.4</v>
      </c>
      <c r="G92" s="64">
        <v>24.68</v>
      </c>
      <c r="H92" s="64">
        <v>6.83</v>
      </c>
      <c r="I92" s="64">
        <v>1.47</v>
      </c>
      <c r="J92" s="64">
        <v>0.08</v>
      </c>
      <c r="K92" s="64">
        <v>168.84</v>
      </c>
      <c r="L92" s="64">
        <v>23.67</v>
      </c>
      <c r="M92" s="64">
        <v>98.08</v>
      </c>
      <c r="N92" s="64">
        <v>40.5</v>
      </c>
      <c r="O92" s="64">
        <v>0</v>
      </c>
      <c r="P92" s="64">
        <v>0.38</v>
      </c>
      <c r="Q92" s="64">
        <v>9.14</v>
      </c>
      <c r="R92" s="198"/>
      <c r="S92" s="198"/>
      <c r="T92" s="198"/>
      <c r="U92" s="198"/>
    </row>
    <row r="93" spans="1:26" s="12" customFormat="1" x14ac:dyDescent="0.25">
      <c r="A93" s="211" t="s">
        <v>620</v>
      </c>
      <c r="B93" s="64">
        <v>9.98</v>
      </c>
      <c r="C93" s="64">
        <v>8.4600000000000009</v>
      </c>
      <c r="D93" s="64">
        <v>12.42</v>
      </c>
      <c r="E93" s="64">
        <v>4.79</v>
      </c>
      <c r="F93" s="64">
        <v>10.63</v>
      </c>
      <c r="G93" s="64">
        <v>24.94</v>
      </c>
      <c r="H93" s="64">
        <v>5.94</v>
      </c>
      <c r="I93" s="64">
        <v>1.46</v>
      </c>
      <c r="J93" s="64">
        <v>0.2</v>
      </c>
      <c r="K93" s="64">
        <v>154.36000000000001</v>
      </c>
      <c r="L93" s="64">
        <v>23.55</v>
      </c>
      <c r="M93" s="64">
        <v>98.07</v>
      </c>
      <c r="N93" s="64">
        <v>40.5</v>
      </c>
      <c r="O93" s="64">
        <v>0</v>
      </c>
      <c r="P93" s="64">
        <v>0.36</v>
      </c>
      <c r="Q93" s="64">
        <v>9.14</v>
      </c>
      <c r="R93" s="198"/>
      <c r="S93" s="198"/>
      <c r="T93" s="198"/>
      <c r="U93" s="198"/>
    </row>
    <row r="94" spans="1:26" s="12" customFormat="1" x14ac:dyDescent="0.25">
      <c r="A94" s="211" t="s">
        <v>621</v>
      </c>
      <c r="B94" s="64">
        <v>11.47</v>
      </c>
      <c r="C94" s="64">
        <v>8.48</v>
      </c>
      <c r="D94" s="64">
        <v>13.63</v>
      </c>
      <c r="E94" s="64">
        <v>4.74</v>
      </c>
      <c r="F94" s="64">
        <v>8.02</v>
      </c>
      <c r="G94" s="64">
        <v>24.96</v>
      </c>
      <c r="H94" s="64">
        <v>5.94</v>
      </c>
      <c r="I94" s="64">
        <v>1.45</v>
      </c>
      <c r="J94" s="64">
        <v>0.28999999999999998</v>
      </c>
      <c r="K94" s="64">
        <v>120.14</v>
      </c>
      <c r="L94" s="64">
        <v>23.42</v>
      </c>
      <c r="M94" s="64">
        <v>98.07</v>
      </c>
      <c r="N94" s="64">
        <v>40.5</v>
      </c>
      <c r="O94" s="64">
        <v>0</v>
      </c>
      <c r="P94" s="64">
        <v>0.39</v>
      </c>
      <c r="Q94" s="64">
        <v>9.1199999999999992</v>
      </c>
      <c r="R94" s="198"/>
      <c r="S94" s="198"/>
      <c r="T94" s="198"/>
      <c r="U94" s="198"/>
    </row>
    <row r="95" spans="1:26" s="12" customFormat="1" x14ac:dyDescent="0.25">
      <c r="A95" s="211" t="s">
        <v>622</v>
      </c>
      <c r="B95" s="64">
        <v>10.78</v>
      </c>
      <c r="C95" s="64">
        <v>8.75</v>
      </c>
      <c r="D95" s="64">
        <v>13.21</v>
      </c>
      <c r="E95" s="64">
        <v>4.7699999999999996</v>
      </c>
      <c r="F95" s="64">
        <v>10.039999999999999</v>
      </c>
      <c r="G95" s="64">
        <v>24.96</v>
      </c>
      <c r="H95" s="64">
        <v>5.94</v>
      </c>
      <c r="I95" s="64">
        <v>1.43</v>
      </c>
      <c r="J95" s="64">
        <v>0.04</v>
      </c>
      <c r="K95" s="64">
        <v>322.95999999999998</v>
      </c>
      <c r="L95" s="64">
        <v>23.31</v>
      </c>
      <c r="M95" s="64">
        <v>98.09</v>
      </c>
      <c r="N95" s="64">
        <v>40.4</v>
      </c>
      <c r="O95" s="64">
        <v>0</v>
      </c>
      <c r="P95" s="64">
        <v>0.36</v>
      </c>
      <c r="Q95" s="64">
        <v>9.11</v>
      </c>
      <c r="R95" s="198"/>
      <c r="S95" s="198"/>
      <c r="T95" s="198"/>
      <c r="U95" s="198"/>
    </row>
    <row r="96" spans="1:26" s="12" customFormat="1" x14ac:dyDescent="0.25">
      <c r="A96" s="211" t="s">
        <v>623</v>
      </c>
      <c r="B96" s="64">
        <v>10.08</v>
      </c>
      <c r="C96" s="64">
        <v>7.76</v>
      </c>
      <c r="D96" s="64">
        <v>12.14</v>
      </c>
      <c r="E96" s="64">
        <v>4.6500000000000004</v>
      </c>
      <c r="F96" s="64">
        <v>7.48</v>
      </c>
      <c r="G96" s="64">
        <v>24.96</v>
      </c>
      <c r="H96" s="64">
        <v>5.94</v>
      </c>
      <c r="I96" s="64">
        <v>1.4</v>
      </c>
      <c r="J96" s="64">
        <v>0.05</v>
      </c>
      <c r="K96" s="64">
        <v>111.57</v>
      </c>
      <c r="L96" s="64">
        <v>23.21</v>
      </c>
      <c r="M96" s="64">
        <v>98.1</v>
      </c>
      <c r="N96" s="64">
        <v>40.4</v>
      </c>
      <c r="O96" s="64">
        <v>0</v>
      </c>
      <c r="P96" s="64">
        <v>0.35</v>
      </c>
      <c r="Q96" s="64">
        <v>9.1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624</v>
      </c>
      <c r="B97" s="64">
        <v>11.36</v>
      </c>
      <c r="C97" s="64">
        <v>10.199999999999999</v>
      </c>
      <c r="D97" s="64">
        <v>14.44</v>
      </c>
      <c r="E97" s="64">
        <v>4.97</v>
      </c>
      <c r="F97" s="64">
        <v>9.34</v>
      </c>
      <c r="G97" s="64">
        <v>23.04</v>
      </c>
      <c r="H97" s="64">
        <v>5.35</v>
      </c>
      <c r="I97" s="64">
        <v>1.37</v>
      </c>
      <c r="J97" s="64">
        <v>0.01</v>
      </c>
      <c r="K97" s="64">
        <v>86.85</v>
      </c>
      <c r="L97" s="64">
        <v>23.19</v>
      </c>
      <c r="M97" s="64">
        <v>98.08</v>
      </c>
      <c r="N97" s="64">
        <v>40.299999999999997</v>
      </c>
      <c r="O97" s="64">
        <v>0</v>
      </c>
      <c r="P97" s="64">
        <v>0.4</v>
      </c>
      <c r="Q97" s="64">
        <v>9.1</v>
      </c>
      <c r="R97" s="198"/>
      <c r="S97" s="198"/>
      <c r="T97" s="198"/>
      <c r="U97" s="198"/>
    </row>
    <row r="98" spans="1:33" s="12" customFormat="1" x14ac:dyDescent="0.25">
      <c r="A98" s="211" t="s">
        <v>625</v>
      </c>
      <c r="B98" s="64">
        <v>14.23</v>
      </c>
      <c r="C98" s="64">
        <v>9.94</v>
      </c>
      <c r="D98" s="64">
        <v>16.61</v>
      </c>
      <c r="E98" s="64">
        <v>4.92</v>
      </c>
      <c r="F98" s="64">
        <v>9.36</v>
      </c>
      <c r="G98" s="64">
        <v>22.9</v>
      </c>
      <c r="H98" s="64">
        <v>5.35</v>
      </c>
      <c r="I98" s="64">
        <v>1.35</v>
      </c>
      <c r="J98" s="64">
        <v>0.08</v>
      </c>
      <c r="K98" s="64">
        <v>330.47</v>
      </c>
      <c r="L98" s="64">
        <v>23.29</v>
      </c>
      <c r="M98" s="64">
        <v>98.05</v>
      </c>
      <c r="N98" s="64">
        <v>40.299999999999997</v>
      </c>
      <c r="O98" s="64">
        <v>0</v>
      </c>
      <c r="P98" s="64">
        <v>0.53</v>
      </c>
      <c r="Q98" s="64">
        <v>9.11</v>
      </c>
      <c r="R98" s="198"/>
      <c r="S98" s="198"/>
      <c r="T98" s="198"/>
      <c r="U98" s="198"/>
    </row>
    <row r="99" spans="1:33" s="12" customFormat="1" x14ac:dyDescent="0.25">
      <c r="A99" s="211" t="s">
        <v>626</v>
      </c>
      <c r="B99" s="64">
        <v>14.65</v>
      </c>
      <c r="C99" s="64">
        <v>8.25</v>
      </c>
      <c r="D99" s="64">
        <v>16.059999999999999</v>
      </c>
      <c r="E99" s="64">
        <v>4.4800000000000004</v>
      </c>
      <c r="F99" s="64">
        <v>7.34</v>
      </c>
      <c r="G99" s="64">
        <v>22.9</v>
      </c>
      <c r="H99" s="64">
        <v>5.35</v>
      </c>
      <c r="I99" s="64">
        <v>1.34</v>
      </c>
      <c r="J99" s="64">
        <v>7.0000000000000007E-2</v>
      </c>
      <c r="K99" s="64">
        <v>302.20999999999998</v>
      </c>
      <c r="L99" s="64">
        <v>23.38</v>
      </c>
      <c r="M99" s="64">
        <v>98.07</v>
      </c>
      <c r="N99" s="64">
        <v>40.299999999999997</v>
      </c>
      <c r="O99" s="64">
        <v>0</v>
      </c>
      <c r="P99" s="64">
        <v>0.48</v>
      </c>
      <c r="Q99" s="64">
        <v>9.11</v>
      </c>
      <c r="R99" s="198"/>
      <c r="S99" s="198"/>
      <c r="T99" s="198"/>
      <c r="U99" s="198"/>
    </row>
    <row r="100" spans="1:33" s="12" customFormat="1" x14ac:dyDescent="0.25">
      <c r="A100" s="211" t="s">
        <v>627</v>
      </c>
      <c r="B100" s="64">
        <v>10.71</v>
      </c>
      <c r="C100" s="64">
        <v>7.95</v>
      </c>
      <c r="D100" s="64">
        <v>12.74</v>
      </c>
      <c r="E100" s="64">
        <v>4.24</v>
      </c>
      <c r="F100" s="64">
        <v>7.76</v>
      </c>
      <c r="G100" s="64">
        <v>22.9</v>
      </c>
      <c r="H100" s="64">
        <v>5.35</v>
      </c>
      <c r="I100" s="64">
        <v>1.35</v>
      </c>
      <c r="J100" s="64">
        <v>0.08</v>
      </c>
      <c r="K100" s="64">
        <v>215.43</v>
      </c>
      <c r="L100" s="64">
        <v>23.41</v>
      </c>
      <c r="M100" s="64">
        <v>98.08</v>
      </c>
      <c r="N100" s="64">
        <v>40.299999999999997</v>
      </c>
      <c r="O100" s="64">
        <v>0</v>
      </c>
      <c r="P100" s="64">
        <v>0.4</v>
      </c>
      <c r="Q100" s="64">
        <v>9.11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628</v>
      </c>
      <c r="B101" s="64">
        <v>8.86</v>
      </c>
      <c r="C101" s="64">
        <v>7.47</v>
      </c>
      <c r="D101" s="64">
        <v>11.01</v>
      </c>
      <c r="E101" s="64">
        <v>4.1900000000000004</v>
      </c>
      <c r="F101" s="64">
        <v>39.21</v>
      </c>
      <c r="G101" s="64">
        <v>24.5</v>
      </c>
      <c r="H101" s="64">
        <v>11.1</v>
      </c>
      <c r="I101" s="64">
        <v>1.35</v>
      </c>
      <c r="J101" s="64">
        <v>0.05</v>
      </c>
      <c r="K101" s="64">
        <v>173.85</v>
      </c>
      <c r="L101" s="64">
        <v>23.2</v>
      </c>
      <c r="M101" s="64">
        <v>98.06</v>
      </c>
      <c r="N101" s="64">
        <v>40.4</v>
      </c>
      <c r="O101" s="64">
        <v>0</v>
      </c>
      <c r="P101" s="64">
        <v>0.31</v>
      </c>
      <c r="Q101" s="64">
        <v>9.11</v>
      </c>
      <c r="R101" s="198"/>
      <c r="S101" s="198"/>
      <c r="T101" s="198"/>
      <c r="U101" s="198"/>
    </row>
    <row r="102" spans="1:33" s="12" customFormat="1" x14ac:dyDescent="0.25">
      <c r="A102" s="211" t="s">
        <v>629</v>
      </c>
      <c r="B102" s="64">
        <v>9.26</v>
      </c>
      <c r="C102" s="64">
        <v>6.59</v>
      </c>
      <c r="D102" s="64">
        <v>10.87</v>
      </c>
      <c r="E102" s="64">
        <v>4.45</v>
      </c>
      <c r="F102" s="64">
        <v>8.27</v>
      </c>
      <c r="G102" s="64">
        <v>24.61</v>
      </c>
      <c r="H102" s="64">
        <v>11.1</v>
      </c>
      <c r="I102" s="64">
        <v>1.34</v>
      </c>
      <c r="J102" s="64">
        <v>0.13</v>
      </c>
      <c r="K102" s="64">
        <v>161.79</v>
      </c>
      <c r="L102" s="64">
        <v>23.04</v>
      </c>
      <c r="M102" s="64">
        <v>98.09</v>
      </c>
      <c r="N102" s="64">
        <v>40.4</v>
      </c>
      <c r="O102" s="64">
        <v>0</v>
      </c>
      <c r="P102" s="64">
        <v>0.31</v>
      </c>
      <c r="Q102" s="64">
        <v>9.11</v>
      </c>
      <c r="R102" s="198"/>
      <c r="S102" s="198"/>
      <c r="T102" s="198"/>
      <c r="U102" s="198"/>
    </row>
    <row r="103" spans="1:33" s="12" customFormat="1" x14ac:dyDescent="0.25">
      <c r="A103" s="211" t="s">
        <v>630</v>
      </c>
      <c r="B103" s="64">
        <v>8.9499999999999993</v>
      </c>
      <c r="C103" s="64">
        <v>6.72</v>
      </c>
      <c r="D103" s="64">
        <v>10.69</v>
      </c>
      <c r="E103" s="64">
        <v>4.24</v>
      </c>
      <c r="F103" s="64">
        <v>8.5</v>
      </c>
      <c r="G103" s="64">
        <v>24.61</v>
      </c>
      <c r="H103" s="64">
        <v>11.1</v>
      </c>
      <c r="I103" s="64">
        <v>1.33</v>
      </c>
      <c r="J103" s="64">
        <v>0.12</v>
      </c>
      <c r="K103" s="64">
        <v>115.01</v>
      </c>
      <c r="L103" s="64">
        <v>22.98</v>
      </c>
      <c r="M103" s="64">
        <v>98.13</v>
      </c>
      <c r="N103" s="64">
        <v>40.4</v>
      </c>
      <c r="O103" s="64">
        <v>0</v>
      </c>
      <c r="P103" s="64">
        <v>0.35</v>
      </c>
      <c r="Q103" s="64">
        <v>9.11</v>
      </c>
      <c r="R103" s="198"/>
      <c r="S103" s="198"/>
      <c r="T103" s="198"/>
      <c r="U103" s="198"/>
    </row>
    <row r="104" spans="1:33" s="12" customFormat="1" x14ac:dyDescent="0.25">
      <c r="A104" s="211" t="s">
        <v>631</v>
      </c>
      <c r="B104" s="64">
        <v>9.09</v>
      </c>
      <c r="C104" s="64">
        <v>6.41</v>
      </c>
      <c r="D104" s="64">
        <v>10.64</v>
      </c>
      <c r="E104" s="64">
        <v>4.16</v>
      </c>
      <c r="F104" s="64">
        <v>16.190000000000001</v>
      </c>
      <c r="G104" s="64">
        <v>24.61</v>
      </c>
      <c r="H104" s="64">
        <v>11.1</v>
      </c>
      <c r="I104" s="64">
        <v>1.31</v>
      </c>
      <c r="J104" s="64">
        <v>0.15</v>
      </c>
      <c r="K104" s="64">
        <v>153.30000000000001</v>
      </c>
      <c r="L104" s="64">
        <v>22.91</v>
      </c>
      <c r="M104" s="64">
        <v>98.13</v>
      </c>
      <c r="N104" s="64">
        <v>40.299999999999997</v>
      </c>
      <c r="O104" s="64">
        <v>0</v>
      </c>
      <c r="P104" s="64">
        <v>0.3</v>
      </c>
      <c r="Q104" s="64">
        <v>9.11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7.51</v>
      </c>
      <c r="C106" s="67">
        <f>MIN(C9:C104)</f>
        <v>5.2</v>
      </c>
      <c r="D106" s="67">
        <f t="shared" ref="D106:Q106" si="0">MIN(D9:D104)</f>
        <v>9.48</v>
      </c>
      <c r="E106" s="67">
        <f t="shared" si="0"/>
        <v>2.8</v>
      </c>
      <c r="F106" s="67">
        <f t="shared" si="0"/>
        <v>5.44</v>
      </c>
      <c r="G106" s="67">
        <f t="shared" si="0"/>
        <v>2.36</v>
      </c>
      <c r="H106" s="67">
        <f t="shared" si="0"/>
        <v>5.26</v>
      </c>
      <c r="I106" s="67">
        <f t="shared" si="0"/>
        <v>1</v>
      </c>
      <c r="J106" s="67">
        <f t="shared" si="0"/>
        <v>0.01</v>
      </c>
      <c r="K106" s="67">
        <f t="shared" si="0"/>
        <v>0.45</v>
      </c>
      <c r="L106" s="67">
        <f t="shared" si="0"/>
        <v>22.54</v>
      </c>
      <c r="M106" s="67">
        <f t="shared" si="0"/>
        <v>80.63</v>
      </c>
      <c r="N106" s="67">
        <f t="shared" si="0"/>
        <v>40.299999999999997</v>
      </c>
      <c r="O106" s="67">
        <f t="shared" si="0"/>
        <v>0</v>
      </c>
      <c r="P106" s="67">
        <f t="shared" si="0"/>
        <v>0.26</v>
      </c>
      <c r="Q106" s="67">
        <f t="shared" si="0"/>
        <v>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14.65</v>
      </c>
      <c r="C107" s="66">
        <f t="shared" ref="C107:Q107" si="1">MAX(C9:C104)</f>
        <v>15.02</v>
      </c>
      <c r="D107" s="66">
        <f t="shared" si="1"/>
        <v>18.28</v>
      </c>
      <c r="E107" s="66">
        <f t="shared" si="1"/>
        <v>5.13</v>
      </c>
      <c r="F107" s="66">
        <f t="shared" si="1"/>
        <v>39.21</v>
      </c>
      <c r="G107" s="66">
        <f t="shared" si="1"/>
        <v>36.729999999999997</v>
      </c>
      <c r="H107" s="66">
        <f t="shared" si="1"/>
        <v>11.31</v>
      </c>
      <c r="I107" s="66">
        <f t="shared" si="1"/>
        <v>1.86</v>
      </c>
      <c r="J107" s="66">
        <f t="shared" si="1"/>
        <v>2.08</v>
      </c>
      <c r="K107" s="66">
        <f t="shared" si="1"/>
        <v>338.73</v>
      </c>
      <c r="L107" s="66">
        <f t="shared" si="1"/>
        <v>30.31</v>
      </c>
      <c r="M107" s="66">
        <f t="shared" si="1"/>
        <v>98.23</v>
      </c>
      <c r="N107" s="66">
        <f t="shared" si="1"/>
        <v>785.5</v>
      </c>
      <c r="O107" s="66">
        <f t="shared" si="1"/>
        <v>0</v>
      </c>
      <c r="P107" s="66">
        <f t="shared" si="1"/>
        <v>0.8</v>
      </c>
      <c r="Q107" s="66">
        <f t="shared" si="1"/>
        <v>9.15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9.5786458333333329</v>
      </c>
      <c r="C108" s="67">
        <f t="shared" ref="C108:Q108" si="2">AVERAGE(C9:C104)</f>
        <v>8.3901041666666689</v>
      </c>
      <c r="D108" s="67">
        <f t="shared" si="2"/>
        <v>12.063541666666671</v>
      </c>
      <c r="E108" s="67">
        <f t="shared" si="2"/>
        <v>4.1942708333333334</v>
      </c>
      <c r="F108" s="67">
        <f t="shared" si="2"/>
        <v>9.2413541666666656</v>
      </c>
      <c r="G108" s="67">
        <f t="shared" si="2"/>
        <v>22.143750000000015</v>
      </c>
      <c r="H108" s="67">
        <f t="shared" si="2"/>
        <v>7.3608333333333436</v>
      </c>
      <c r="I108" s="67">
        <f t="shared" si="2"/>
        <v>1.4561458333333333</v>
      </c>
      <c r="J108" s="67">
        <f t="shared" si="2"/>
        <v>0.19645833333333329</v>
      </c>
      <c r="K108" s="67">
        <f t="shared" si="2"/>
        <v>259.95197916666655</v>
      </c>
      <c r="L108" s="67">
        <f t="shared" si="2"/>
        <v>24.989374999999999</v>
      </c>
      <c r="M108" s="67">
        <f t="shared" si="2"/>
        <v>95.993645833333304</v>
      </c>
      <c r="N108" s="67">
        <f t="shared" si="2"/>
        <v>144.15729166666662</v>
      </c>
      <c r="O108" s="67">
        <f t="shared" si="2"/>
        <v>0</v>
      </c>
      <c r="P108" s="67">
        <f t="shared" si="2"/>
        <v>0.42687499999999989</v>
      </c>
      <c r="Q108" s="67">
        <f t="shared" si="2"/>
        <v>9.0729166666666714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1.618478570686662</v>
      </c>
      <c r="C109" s="67">
        <f t="shared" ref="C109:Q109" si="3">STDEV(C9:C104)</f>
        <v>2.1374936108450671</v>
      </c>
      <c r="D109" s="67">
        <f t="shared" si="3"/>
        <v>2.0122252563905665</v>
      </c>
      <c r="E109" s="67">
        <f t="shared" si="3"/>
        <v>0.64555279419092682</v>
      </c>
      <c r="F109" s="67">
        <f t="shared" si="3"/>
        <v>3.7646803512290155</v>
      </c>
      <c r="G109" s="67">
        <f t="shared" si="3"/>
        <v>10.151054313922781</v>
      </c>
      <c r="H109" s="67">
        <f t="shared" si="3"/>
        <v>1.6371294947120161</v>
      </c>
      <c r="I109" s="67">
        <f t="shared" si="3"/>
        <v>0.22997194241525504</v>
      </c>
      <c r="J109" s="67">
        <f t="shared" si="3"/>
        <v>0.25873774231496571</v>
      </c>
      <c r="K109" s="67">
        <f t="shared" si="3"/>
        <v>70.086271553366686</v>
      </c>
      <c r="L109" s="67">
        <f t="shared" si="3"/>
        <v>2.4727086416146533</v>
      </c>
      <c r="M109" s="67">
        <f t="shared" si="3"/>
        <v>4.1341362287007595</v>
      </c>
      <c r="N109" s="67">
        <f t="shared" si="3"/>
        <v>165.62415266582335</v>
      </c>
      <c r="O109" s="67">
        <f t="shared" si="3"/>
        <v>0</v>
      </c>
      <c r="P109" s="67">
        <f t="shared" si="3"/>
        <v>0.1042397287632294</v>
      </c>
      <c r="Q109" s="67">
        <f t="shared" si="3"/>
        <v>3.8686776379877795E-2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5" sqref="J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632</v>
      </c>
      <c r="B9" s="64">
        <v>7.98</v>
      </c>
      <c r="C9" s="64">
        <v>7.73</v>
      </c>
      <c r="D9" s="64">
        <v>10.44</v>
      </c>
      <c r="E9" s="64">
        <v>4.22</v>
      </c>
      <c r="F9" s="64">
        <v>10.98</v>
      </c>
      <c r="G9" s="64">
        <v>21.76</v>
      </c>
      <c r="H9" s="64">
        <v>9.01</v>
      </c>
      <c r="I9" s="64">
        <v>1.38</v>
      </c>
      <c r="J9" s="64">
        <v>0.19</v>
      </c>
      <c r="K9" s="64">
        <v>139.69</v>
      </c>
      <c r="L9" s="64">
        <v>22.86</v>
      </c>
      <c r="M9" s="64">
        <v>98.13</v>
      </c>
      <c r="N9" s="64">
        <v>40.299999999999997</v>
      </c>
      <c r="O9" s="64">
        <v>0</v>
      </c>
      <c r="P9" s="64">
        <v>0.28999999999999998</v>
      </c>
      <c r="Q9" s="64">
        <v>9.1300000000000008</v>
      </c>
      <c r="R9" s="198"/>
      <c r="S9" s="198"/>
      <c r="T9" s="198"/>
      <c r="U9" s="198"/>
    </row>
    <row r="10" spans="1:21" s="12" customFormat="1" x14ac:dyDescent="0.25">
      <c r="A10" s="211" t="s">
        <v>633</v>
      </c>
      <c r="B10" s="64">
        <v>8.26</v>
      </c>
      <c r="C10" s="64">
        <v>7.45</v>
      </c>
      <c r="D10" s="64">
        <v>10.52</v>
      </c>
      <c r="E10" s="64">
        <v>4.0999999999999996</v>
      </c>
      <c r="F10" s="64">
        <v>7.61</v>
      </c>
      <c r="G10" s="64">
        <v>21.6</v>
      </c>
      <c r="H10" s="64">
        <v>9.01</v>
      </c>
      <c r="I10" s="64">
        <v>1.34</v>
      </c>
      <c r="J10" s="64">
        <v>0.09</v>
      </c>
      <c r="K10" s="64">
        <v>132.63999999999999</v>
      </c>
      <c r="L10" s="64">
        <v>22.81</v>
      </c>
      <c r="M10" s="64">
        <v>98.13</v>
      </c>
      <c r="N10" s="64">
        <v>40.4</v>
      </c>
      <c r="O10" s="64">
        <v>0</v>
      </c>
      <c r="P10" s="64">
        <v>0.26</v>
      </c>
      <c r="Q10" s="64">
        <v>9.1300000000000008</v>
      </c>
      <c r="R10" s="198"/>
      <c r="S10" s="198"/>
      <c r="T10" s="198"/>
      <c r="U10" s="198"/>
    </row>
    <row r="11" spans="1:21" s="12" customFormat="1" x14ac:dyDescent="0.25">
      <c r="A11" s="211" t="s">
        <v>634</v>
      </c>
      <c r="B11" s="64">
        <v>7.99</v>
      </c>
      <c r="C11" s="64">
        <v>6.93</v>
      </c>
      <c r="D11" s="64">
        <v>10.029999999999999</v>
      </c>
      <c r="E11" s="64">
        <v>4.41</v>
      </c>
      <c r="F11" s="64">
        <v>8.23</v>
      </c>
      <c r="G11" s="64">
        <v>21.6</v>
      </c>
      <c r="H11" s="64">
        <v>9.01</v>
      </c>
      <c r="I11" s="64">
        <v>1.26</v>
      </c>
      <c r="J11" s="64">
        <v>0.1</v>
      </c>
      <c r="K11" s="64">
        <v>140.22</v>
      </c>
      <c r="L11" s="64">
        <v>22.76</v>
      </c>
      <c r="M11" s="64">
        <v>98.13</v>
      </c>
      <c r="N11" s="64">
        <v>40.4</v>
      </c>
      <c r="O11" s="64">
        <v>0</v>
      </c>
      <c r="P11" s="64">
        <v>0.28000000000000003</v>
      </c>
      <c r="Q11" s="64">
        <v>9.14</v>
      </c>
      <c r="R11" s="198"/>
      <c r="S11" s="198"/>
      <c r="T11" s="198"/>
      <c r="U11" s="198"/>
    </row>
    <row r="12" spans="1:21" s="12" customFormat="1" x14ac:dyDescent="0.25">
      <c r="A12" s="211" t="s">
        <v>635</v>
      </c>
      <c r="B12" s="64">
        <v>7.99</v>
      </c>
      <c r="C12" s="64">
        <v>6.16</v>
      </c>
      <c r="D12" s="64">
        <v>9.6300000000000008</v>
      </c>
      <c r="E12" s="64">
        <v>4.1399999999999997</v>
      </c>
      <c r="F12" s="64">
        <v>8.83</v>
      </c>
      <c r="G12" s="64">
        <v>21.6</v>
      </c>
      <c r="H12" s="64">
        <v>9.01</v>
      </c>
      <c r="I12" s="64">
        <v>1.25</v>
      </c>
      <c r="J12" s="64">
        <v>7.0000000000000007E-2</v>
      </c>
      <c r="K12" s="64">
        <v>184.96</v>
      </c>
      <c r="L12" s="64">
        <v>22.69</v>
      </c>
      <c r="M12" s="64">
        <v>98.13</v>
      </c>
      <c r="N12" s="64">
        <v>40.4</v>
      </c>
      <c r="O12" s="64">
        <v>0</v>
      </c>
      <c r="P12" s="64">
        <v>0.25</v>
      </c>
      <c r="Q12" s="64">
        <v>9.1300000000000008</v>
      </c>
      <c r="R12" s="198"/>
      <c r="S12" s="198"/>
      <c r="T12" s="198"/>
      <c r="U12" s="198"/>
    </row>
    <row r="13" spans="1:21" s="12" customFormat="1" x14ac:dyDescent="0.25">
      <c r="A13" s="211" t="s">
        <v>636</v>
      </c>
      <c r="B13" s="64">
        <v>8.2100000000000009</v>
      </c>
      <c r="C13" s="64">
        <v>5.61</v>
      </c>
      <c r="D13" s="64">
        <v>9.52</v>
      </c>
      <c r="E13" s="64">
        <v>4.1100000000000003</v>
      </c>
      <c r="F13" s="64">
        <v>8.26</v>
      </c>
      <c r="G13" s="64">
        <v>19.93</v>
      </c>
      <c r="H13" s="64">
        <v>7.46</v>
      </c>
      <c r="I13" s="64">
        <v>1.24</v>
      </c>
      <c r="J13" s="64">
        <v>0.08</v>
      </c>
      <c r="K13" s="64">
        <v>236.8</v>
      </c>
      <c r="L13" s="64">
        <v>22.66</v>
      </c>
      <c r="M13" s="64">
        <v>98.12</v>
      </c>
      <c r="N13" s="64">
        <v>40.4</v>
      </c>
      <c r="O13" s="64">
        <v>0</v>
      </c>
      <c r="P13" s="64">
        <v>0.25</v>
      </c>
      <c r="Q13" s="64">
        <v>9.1199999999999992</v>
      </c>
      <c r="R13" s="198"/>
      <c r="S13" s="198"/>
      <c r="T13" s="198"/>
      <c r="U13" s="198"/>
    </row>
    <row r="14" spans="1:21" s="12" customFormat="1" x14ac:dyDescent="0.25">
      <c r="A14" s="211" t="s">
        <v>637</v>
      </c>
      <c r="B14" s="64">
        <v>8.32</v>
      </c>
      <c r="C14" s="64">
        <v>5.52</v>
      </c>
      <c r="D14" s="64">
        <v>9.56</v>
      </c>
      <c r="E14" s="64">
        <v>4.3</v>
      </c>
      <c r="F14" s="64">
        <v>12.21</v>
      </c>
      <c r="G14" s="64">
        <v>19.829999999999998</v>
      </c>
      <c r="H14" s="64">
        <v>7.46</v>
      </c>
      <c r="I14" s="64">
        <v>1.32</v>
      </c>
      <c r="J14" s="64">
        <v>0.05</v>
      </c>
      <c r="K14" s="64">
        <v>226.41</v>
      </c>
      <c r="L14" s="64">
        <v>22.63</v>
      </c>
      <c r="M14" s="64">
        <v>98.13</v>
      </c>
      <c r="N14" s="64">
        <v>40.4</v>
      </c>
      <c r="O14" s="64">
        <v>0</v>
      </c>
      <c r="P14" s="64">
        <v>0.27</v>
      </c>
      <c r="Q14" s="64">
        <v>9.1300000000000008</v>
      </c>
      <c r="R14" s="198"/>
      <c r="S14" s="198"/>
      <c r="T14" s="198"/>
      <c r="U14" s="198"/>
    </row>
    <row r="15" spans="1:21" s="12" customFormat="1" x14ac:dyDescent="0.25">
      <c r="A15" s="211" t="s">
        <v>638</v>
      </c>
      <c r="B15" s="64">
        <v>8.34</v>
      </c>
      <c r="C15" s="64">
        <v>5.38</v>
      </c>
      <c r="D15" s="64">
        <v>9.5</v>
      </c>
      <c r="E15" s="64">
        <v>4.43</v>
      </c>
      <c r="F15" s="64">
        <v>11.41</v>
      </c>
      <c r="G15" s="64">
        <v>19.829999999999998</v>
      </c>
      <c r="H15" s="64">
        <v>7.46</v>
      </c>
      <c r="I15" s="64">
        <v>1.36</v>
      </c>
      <c r="J15" s="64">
        <v>0.08</v>
      </c>
      <c r="K15" s="64">
        <v>221.21</v>
      </c>
      <c r="L15" s="64">
        <v>22.64</v>
      </c>
      <c r="M15" s="64">
        <v>98.12</v>
      </c>
      <c r="N15" s="64">
        <v>40.4</v>
      </c>
      <c r="O15" s="64">
        <v>0</v>
      </c>
      <c r="P15" s="64">
        <v>0.28000000000000003</v>
      </c>
      <c r="Q15" s="64">
        <v>9.1300000000000008</v>
      </c>
      <c r="R15" s="198"/>
      <c r="S15" s="198"/>
      <c r="T15" s="198"/>
      <c r="U15" s="198"/>
    </row>
    <row r="16" spans="1:21" s="12" customFormat="1" x14ac:dyDescent="0.25">
      <c r="A16" s="211" t="s">
        <v>639</v>
      </c>
      <c r="B16" s="64">
        <v>9.35</v>
      </c>
      <c r="C16" s="64">
        <v>5.05</v>
      </c>
      <c r="D16" s="64">
        <v>10.130000000000001</v>
      </c>
      <c r="E16" s="64">
        <v>4.4800000000000004</v>
      </c>
      <c r="F16" s="64">
        <v>10.77</v>
      </c>
      <c r="G16" s="64">
        <v>19.829999999999998</v>
      </c>
      <c r="H16" s="64">
        <v>7.46</v>
      </c>
      <c r="I16" s="64">
        <v>1.35</v>
      </c>
      <c r="J16" s="64">
        <v>0.06</v>
      </c>
      <c r="K16" s="64">
        <v>267.95999999999998</v>
      </c>
      <c r="L16" s="64">
        <v>22.65</v>
      </c>
      <c r="M16" s="64">
        <v>98.13</v>
      </c>
      <c r="N16" s="64">
        <v>40.4</v>
      </c>
      <c r="O16" s="64">
        <v>0</v>
      </c>
      <c r="P16" s="64">
        <v>0.28999999999999998</v>
      </c>
      <c r="Q16" s="64">
        <v>9.11</v>
      </c>
      <c r="R16" s="198"/>
      <c r="S16" s="198"/>
      <c r="T16" s="198"/>
      <c r="U16" s="198"/>
    </row>
    <row r="17" spans="1:21" s="12" customFormat="1" x14ac:dyDescent="0.25">
      <c r="A17" s="211" t="s">
        <v>640</v>
      </c>
      <c r="B17" s="64">
        <v>8.7799999999999994</v>
      </c>
      <c r="C17" s="64">
        <v>5.38</v>
      </c>
      <c r="D17" s="64">
        <v>9.85</v>
      </c>
      <c r="E17" s="64">
        <v>4.28</v>
      </c>
      <c r="F17" s="64">
        <v>7.11</v>
      </c>
      <c r="G17" s="64">
        <v>20.78</v>
      </c>
      <c r="H17" s="64">
        <v>6.38</v>
      </c>
      <c r="I17" s="64">
        <v>1.33</v>
      </c>
      <c r="J17" s="64">
        <v>0.12</v>
      </c>
      <c r="K17" s="64">
        <v>162.65</v>
      </c>
      <c r="L17" s="64">
        <v>22.67</v>
      </c>
      <c r="M17" s="64">
        <v>98.11</v>
      </c>
      <c r="N17" s="64">
        <v>40.4</v>
      </c>
      <c r="O17" s="64">
        <v>0</v>
      </c>
      <c r="P17" s="64">
        <v>0.25</v>
      </c>
      <c r="Q17" s="64">
        <v>9.09</v>
      </c>
      <c r="R17" s="198"/>
      <c r="S17" s="198"/>
      <c r="T17" s="198"/>
      <c r="U17" s="198"/>
    </row>
    <row r="18" spans="1:21" s="12" customFormat="1" x14ac:dyDescent="0.25">
      <c r="A18" s="211" t="s">
        <v>641</v>
      </c>
      <c r="B18" s="64">
        <v>8.9</v>
      </c>
      <c r="C18" s="64">
        <v>5.36</v>
      </c>
      <c r="D18" s="64">
        <v>9.93</v>
      </c>
      <c r="E18" s="64">
        <v>4.53</v>
      </c>
      <c r="F18" s="64">
        <v>9.51</v>
      </c>
      <c r="G18" s="64">
        <v>20.84</v>
      </c>
      <c r="H18" s="64">
        <v>6.38</v>
      </c>
      <c r="I18" s="64">
        <v>1.31</v>
      </c>
      <c r="J18" s="64">
        <v>0.11</v>
      </c>
      <c r="K18" s="64">
        <v>181.41</v>
      </c>
      <c r="L18" s="64">
        <v>22.62</v>
      </c>
      <c r="M18" s="64">
        <v>98.12</v>
      </c>
      <c r="N18" s="64">
        <v>40.4</v>
      </c>
      <c r="O18" s="64">
        <v>0</v>
      </c>
      <c r="P18" s="64">
        <v>0.27</v>
      </c>
      <c r="Q18" s="64">
        <v>9.08</v>
      </c>
      <c r="R18" s="198"/>
      <c r="S18" s="198"/>
      <c r="T18" s="198"/>
      <c r="U18" s="198"/>
    </row>
    <row r="19" spans="1:21" s="12" customFormat="1" x14ac:dyDescent="0.25">
      <c r="A19" s="211" t="s">
        <v>642</v>
      </c>
      <c r="B19" s="64">
        <v>9.07</v>
      </c>
      <c r="C19" s="64">
        <v>5.31</v>
      </c>
      <c r="D19" s="64">
        <v>10.039999999999999</v>
      </c>
      <c r="E19" s="64">
        <v>4.09</v>
      </c>
      <c r="F19" s="64">
        <v>8.7799999999999994</v>
      </c>
      <c r="G19" s="64">
        <v>20.84</v>
      </c>
      <c r="H19" s="64">
        <v>6.38</v>
      </c>
      <c r="I19" s="64">
        <v>1.3</v>
      </c>
      <c r="J19" s="64">
        <v>0.04</v>
      </c>
      <c r="K19" s="64">
        <v>262.45999999999998</v>
      </c>
      <c r="L19" s="64">
        <v>22.58</v>
      </c>
      <c r="M19" s="64">
        <v>98.13</v>
      </c>
      <c r="N19" s="64">
        <v>40.4</v>
      </c>
      <c r="O19" s="64">
        <v>0</v>
      </c>
      <c r="P19" s="64">
        <v>0.28999999999999998</v>
      </c>
      <c r="Q19" s="64">
        <v>9.07</v>
      </c>
      <c r="R19" s="198"/>
      <c r="S19" s="198"/>
      <c r="T19" s="198"/>
      <c r="U19" s="198"/>
    </row>
    <row r="20" spans="1:21" s="12" customFormat="1" x14ac:dyDescent="0.25">
      <c r="A20" s="211" t="s">
        <v>643</v>
      </c>
      <c r="B20" s="64">
        <v>8.9700000000000006</v>
      </c>
      <c r="C20" s="64">
        <v>5.25</v>
      </c>
      <c r="D20" s="64">
        <v>9.94</v>
      </c>
      <c r="E20" s="64">
        <v>4.18</v>
      </c>
      <c r="F20" s="64">
        <v>9.2100000000000009</v>
      </c>
      <c r="G20" s="64">
        <v>20.84</v>
      </c>
      <c r="H20" s="64">
        <v>6.38</v>
      </c>
      <c r="I20" s="64">
        <v>1.28</v>
      </c>
      <c r="J20" s="64">
        <v>7.0000000000000007E-2</v>
      </c>
      <c r="K20" s="64">
        <v>311.29000000000002</v>
      </c>
      <c r="L20" s="64">
        <v>22.58</v>
      </c>
      <c r="M20" s="64">
        <v>98.13</v>
      </c>
      <c r="N20" s="64">
        <v>40.4</v>
      </c>
      <c r="O20" s="64">
        <v>0</v>
      </c>
      <c r="P20" s="64">
        <v>0.27</v>
      </c>
      <c r="Q20" s="64">
        <v>9.08</v>
      </c>
      <c r="R20" s="198"/>
      <c r="S20" s="198"/>
      <c r="T20" s="198"/>
      <c r="U20" s="198"/>
    </row>
    <row r="21" spans="1:21" s="12" customFormat="1" x14ac:dyDescent="0.25">
      <c r="A21" s="211" t="s">
        <v>644</v>
      </c>
      <c r="B21" s="64">
        <v>9.11</v>
      </c>
      <c r="C21" s="64">
        <v>5.25</v>
      </c>
      <c r="D21" s="64">
        <v>10.050000000000001</v>
      </c>
      <c r="E21" s="64">
        <v>4.32</v>
      </c>
      <c r="F21" s="64">
        <v>8.92</v>
      </c>
      <c r="G21" s="64">
        <v>15.01</v>
      </c>
      <c r="H21" s="64">
        <v>10.95</v>
      </c>
      <c r="I21" s="64">
        <v>1.26</v>
      </c>
      <c r="J21" s="64">
        <v>0.06</v>
      </c>
      <c r="K21" s="64">
        <v>271.95999999999998</v>
      </c>
      <c r="L21" s="64">
        <v>22.63</v>
      </c>
      <c r="M21" s="64">
        <v>98.13</v>
      </c>
      <c r="N21" s="64">
        <v>40.4</v>
      </c>
      <c r="O21" s="64">
        <v>0</v>
      </c>
      <c r="P21" s="64">
        <v>0.27</v>
      </c>
      <c r="Q21" s="64">
        <v>9.07</v>
      </c>
      <c r="R21" s="198"/>
      <c r="S21" s="198"/>
      <c r="T21" s="198"/>
      <c r="U21" s="198"/>
    </row>
    <row r="22" spans="1:21" s="12" customFormat="1" x14ac:dyDescent="0.25">
      <c r="A22" s="211" t="s">
        <v>645</v>
      </c>
      <c r="B22" s="64">
        <v>9.31</v>
      </c>
      <c r="C22" s="64">
        <v>5.21</v>
      </c>
      <c r="D22" s="64">
        <v>10.18</v>
      </c>
      <c r="E22" s="64">
        <v>3.99</v>
      </c>
      <c r="F22" s="64">
        <v>9.59</v>
      </c>
      <c r="G22" s="64">
        <v>14.59</v>
      </c>
      <c r="H22" s="64">
        <v>10.95</v>
      </c>
      <c r="I22" s="64">
        <v>1.24</v>
      </c>
      <c r="J22" s="64">
        <v>0.06</v>
      </c>
      <c r="K22" s="64">
        <v>295.26</v>
      </c>
      <c r="L22" s="64">
        <v>22.64</v>
      </c>
      <c r="M22" s="64">
        <v>98.13</v>
      </c>
      <c r="N22" s="64">
        <v>40.4</v>
      </c>
      <c r="O22" s="64">
        <v>0</v>
      </c>
      <c r="P22" s="64">
        <v>0.28000000000000003</v>
      </c>
      <c r="Q22" s="64">
        <v>9.07</v>
      </c>
      <c r="R22" s="198"/>
      <c r="S22" s="198"/>
      <c r="T22" s="198"/>
      <c r="U22" s="198"/>
    </row>
    <row r="23" spans="1:21" s="12" customFormat="1" x14ac:dyDescent="0.25">
      <c r="A23" s="211" t="s">
        <v>646</v>
      </c>
      <c r="B23" s="64">
        <v>9.1</v>
      </c>
      <c r="C23" s="64">
        <v>5.25</v>
      </c>
      <c r="D23" s="64">
        <v>10.039999999999999</v>
      </c>
      <c r="E23" s="64">
        <v>4.24</v>
      </c>
      <c r="F23" s="64">
        <v>10.02</v>
      </c>
      <c r="G23" s="64">
        <v>14.59</v>
      </c>
      <c r="H23" s="64">
        <v>10.95</v>
      </c>
      <c r="I23" s="64">
        <v>1.23</v>
      </c>
      <c r="J23" s="64">
        <v>0.1</v>
      </c>
      <c r="K23" s="64">
        <v>164.72</v>
      </c>
      <c r="L23" s="64">
        <v>22.61</v>
      </c>
      <c r="M23" s="64">
        <v>98.13</v>
      </c>
      <c r="N23" s="64">
        <v>40.4</v>
      </c>
      <c r="O23" s="64">
        <v>0</v>
      </c>
      <c r="P23" s="64">
        <v>0.27</v>
      </c>
      <c r="Q23" s="64">
        <v>9.07</v>
      </c>
      <c r="R23" s="198"/>
      <c r="S23" s="198"/>
      <c r="T23" s="198"/>
      <c r="U23" s="198"/>
    </row>
    <row r="24" spans="1:21" s="12" customFormat="1" x14ac:dyDescent="0.25">
      <c r="A24" s="211" t="s">
        <v>647</v>
      </c>
      <c r="B24" s="64">
        <v>8.4700000000000006</v>
      </c>
      <c r="C24" s="64">
        <v>5.56</v>
      </c>
      <c r="D24" s="64">
        <v>9.6999999999999993</v>
      </c>
      <c r="E24" s="64">
        <v>4.13</v>
      </c>
      <c r="F24" s="64">
        <v>8.6</v>
      </c>
      <c r="G24" s="64">
        <v>14.59</v>
      </c>
      <c r="H24" s="64">
        <v>10.95</v>
      </c>
      <c r="I24" s="64">
        <v>1.21</v>
      </c>
      <c r="J24" s="64">
        <v>0.08</v>
      </c>
      <c r="K24" s="64">
        <v>150.16</v>
      </c>
      <c r="L24" s="64">
        <v>22.55</v>
      </c>
      <c r="M24" s="64">
        <v>98.13</v>
      </c>
      <c r="N24" s="64">
        <v>40.4</v>
      </c>
      <c r="O24" s="64">
        <v>0</v>
      </c>
      <c r="P24" s="64">
        <v>0.25</v>
      </c>
      <c r="Q24" s="64">
        <v>9.06</v>
      </c>
      <c r="R24" s="198"/>
      <c r="S24" s="198"/>
      <c r="T24" s="198"/>
      <c r="U24" s="198"/>
    </row>
    <row r="25" spans="1:21" s="12" customFormat="1" x14ac:dyDescent="0.25">
      <c r="A25" s="211" t="s">
        <v>648</v>
      </c>
      <c r="B25" s="64">
        <v>8.5399999999999991</v>
      </c>
      <c r="C25" s="64">
        <v>5.51</v>
      </c>
      <c r="D25" s="64">
        <v>9.7200000000000006</v>
      </c>
      <c r="E25" s="64">
        <v>4.08</v>
      </c>
      <c r="F25" s="64">
        <v>11.63</v>
      </c>
      <c r="G25" s="64">
        <v>15.7</v>
      </c>
      <c r="H25" s="64">
        <v>8.82</v>
      </c>
      <c r="I25" s="64">
        <v>1.19</v>
      </c>
      <c r="J25" s="64">
        <v>0.06</v>
      </c>
      <c r="K25" s="64">
        <v>190.84</v>
      </c>
      <c r="L25" s="64">
        <v>22.5</v>
      </c>
      <c r="M25" s="64">
        <v>98.13</v>
      </c>
      <c r="N25" s="64">
        <v>40.4</v>
      </c>
      <c r="O25" s="64">
        <v>0</v>
      </c>
      <c r="P25" s="64">
        <v>0.24</v>
      </c>
      <c r="Q25" s="64">
        <v>9.0500000000000007</v>
      </c>
      <c r="R25" s="198"/>
      <c r="S25" s="198"/>
      <c r="T25" s="198"/>
      <c r="U25" s="198"/>
    </row>
    <row r="26" spans="1:21" s="12" customFormat="1" x14ac:dyDescent="0.25">
      <c r="A26" s="211" t="s">
        <v>649</v>
      </c>
      <c r="B26" s="64">
        <v>8.34</v>
      </c>
      <c r="C26" s="64">
        <v>6.76</v>
      </c>
      <c r="D26" s="64">
        <v>10.220000000000001</v>
      </c>
      <c r="E26" s="64">
        <v>4.16</v>
      </c>
      <c r="F26" s="64">
        <v>8.7100000000000009</v>
      </c>
      <c r="G26" s="64">
        <v>15.78</v>
      </c>
      <c r="H26" s="64">
        <v>8.82</v>
      </c>
      <c r="I26" s="64">
        <v>1.18</v>
      </c>
      <c r="J26" s="64">
        <v>0.11</v>
      </c>
      <c r="K26" s="64">
        <v>199.06</v>
      </c>
      <c r="L26" s="64">
        <v>22.44</v>
      </c>
      <c r="M26" s="64">
        <v>98.13</v>
      </c>
      <c r="N26" s="64">
        <v>40.4</v>
      </c>
      <c r="O26" s="64">
        <v>0</v>
      </c>
      <c r="P26" s="64">
        <v>0.23</v>
      </c>
      <c r="Q26" s="64">
        <v>9.07</v>
      </c>
      <c r="R26" s="198"/>
      <c r="S26" s="198"/>
      <c r="T26" s="198"/>
      <c r="U26" s="198"/>
    </row>
    <row r="27" spans="1:21" s="12" customFormat="1" x14ac:dyDescent="0.25">
      <c r="A27" s="211" t="s">
        <v>650</v>
      </c>
      <c r="B27" s="64">
        <v>8.44</v>
      </c>
      <c r="C27" s="64">
        <v>6.47</v>
      </c>
      <c r="D27" s="64">
        <v>10.14</v>
      </c>
      <c r="E27" s="64">
        <v>4.13</v>
      </c>
      <c r="F27" s="64">
        <v>9.2899999999999991</v>
      </c>
      <c r="G27" s="64">
        <v>15.78</v>
      </c>
      <c r="H27" s="64">
        <v>8.82</v>
      </c>
      <c r="I27" s="64">
        <v>1.1599999999999999</v>
      </c>
      <c r="J27" s="64">
        <v>0.04</v>
      </c>
      <c r="K27" s="64">
        <v>212.67</v>
      </c>
      <c r="L27" s="64">
        <v>22.43</v>
      </c>
      <c r="M27" s="64">
        <v>98.13</v>
      </c>
      <c r="N27" s="64">
        <v>40.4</v>
      </c>
      <c r="O27" s="64">
        <v>0</v>
      </c>
      <c r="P27" s="64">
        <v>0.22</v>
      </c>
      <c r="Q27" s="64">
        <v>9.08</v>
      </c>
      <c r="R27" s="198"/>
      <c r="S27" s="198"/>
      <c r="T27" s="198"/>
      <c r="U27" s="198"/>
    </row>
    <row r="28" spans="1:21" s="12" customFormat="1" x14ac:dyDescent="0.25">
      <c r="A28" s="211" t="s">
        <v>651</v>
      </c>
      <c r="B28" s="64">
        <v>8.94</v>
      </c>
      <c r="C28" s="64">
        <v>6.36</v>
      </c>
      <c r="D28" s="64">
        <v>10.49</v>
      </c>
      <c r="E28" s="64">
        <v>3.9</v>
      </c>
      <c r="F28" s="64">
        <v>6.96</v>
      </c>
      <c r="G28" s="64">
        <v>15.78</v>
      </c>
      <c r="H28" s="64">
        <v>8.82</v>
      </c>
      <c r="I28" s="64">
        <v>1.1399999999999999</v>
      </c>
      <c r="J28" s="64">
        <v>7.0000000000000007E-2</v>
      </c>
      <c r="K28" s="64">
        <v>254.94</v>
      </c>
      <c r="L28" s="64">
        <v>22.43</v>
      </c>
      <c r="M28" s="64">
        <v>98.15</v>
      </c>
      <c r="N28" s="64">
        <v>40.4</v>
      </c>
      <c r="O28" s="64">
        <v>0</v>
      </c>
      <c r="P28" s="64">
        <v>0.24</v>
      </c>
      <c r="Q28" s="64">
        <v>9.08</v>
      </c>
      <c r="R28" s="198"/>
      <c r="S28" s="198"/>
      <c r="T28" s="198"/>
      <c r="U28" s="198"/>
    </row>
    <row r="29" spans="1:21" s="12" customFormat="1" x14ac:dyDescent="0.25">
      <c r="A29" s="211" t="s">
        <v>652</v>
      </c>
      <c r="B29" s="64">
        <v>10.47</v>
      </c>
      <c r="C29" s="64">
        <v>7.36</v>
      </c>
      <c r="D29" s="64">
        <v>12.24</v>
      </c>
      <c r="E29" s="64">
        <v>4.09</v>
      </c>
      <c r="F29" s="64">
        <v>10.89</v>
      </c>
      <c r="G29" s="64">
        <v>13.81</v>
      </c>
      <c r="H29" s="64">
        <v>7.33</v>
      </c>
      <c r="I29" s="64">
        <v>1.1299999999999999</v>
      </c>
      <c r="J29" s="64">
        <v>7.0000000000000007E-2</v>
      </c>
      <c r="K29" s="64">
        <v>283.57</v>
      </c>
      <c r="L29" s="64">
        <v>22.44</v>
      </c>
      <c r="M29" s="64">
        <v>98.15</v>
      </c>
      <c r="N29" s="64">
        <v>40.4</v>
      </c>
      <c r="O29" s="64">
        <v>0</v>
      </c>
      <c r="P29" s="64">
        <v>0.24</v>
      </c>
      <c r="Q29" s="64">
        <v>9.09</v>
      </c>
      <c r="R29" s="198"/>
      <c r="S29" s="198"/>
      <c r="T29" s="198"/>
      <c r="U29" s="198"/>
    </row>
    <row r="30" spans="1:21" s="12" customFormat="1" x14ac:dyDescent="0.25">
      <c r="A30" s="211" t="s">
        <v>653</v>
      </c>
      <c r="B30" s="64">
        <v>10.81</v>
      </c>
      <c r="C30" s="64">
        <v>8.11</v>
      </c>
      <c r="D30" s="64">
        <v>12.91</v>
      </c>
      <c r="E30" s="64">
        <v>4.51</v>
      </c>
      <c r="F30" s="64">
        <v>7.67</v>
      </c>
      <c r="G30" s="64">
        <v>13.67</v>
      </c>
      <c r="H30" s="64">
        <v>7.33</v>
      </c>
      <c r="I30" s="64">
        <v>1.1200000000000001</v>
      </c>
      <c r="J30" s="64">
        <v>0.1</v>
      </c>
      <c r="K30" s="64">
        <v>306.97000000000003</v>
      </c>
      <c r="L30" s="64">
        <v>22.49</v>
      </c>
      <c r="M30" s="64">
        <v>98.15</v>
      </c>
      <c r="N30" s="64">
        <v>40.4</v>
      </c>
      <c r="O30" s="64">
        <v>0</v>
      </c>
      <c r="P30" s="64">
        <v>0.27</v>
      </c>
      <c r="Q30" s="64">
        <v>9.11</v>
      </c>
      <c r="R30" s="198"/>
      <c r="S30" s="198"/>
      <c r="T30" s="198"/>
      <c r="U30" s="198"/>
    </row>
    <row r="31" spans="1:21" s="12" customFormat="1" x14ac:dyDescent="0.25">
      <c r="A31" s="211" t="s">
        <v>654</v>
      </c>
      <c r="B31" s="64">
        <v>9.9</v>
      </c>
      <c r="C31" s="64">
        <v>7.97</v>
      </c>
      <c r="D31" s="64">
        <v>12.11</v>
      </c>
      <c r="E31" s="64">
        <v>4.2699999999999996</v>
      </c>
      <c r="F31" s="64">
        <v>12.24</v>
      </c>
      <c r="G31" s="64">
        <v>13.67</v>
      </c>
      <c r="H31" s="64">
        <v>7.33</v>
      </c>
      <c r="I31" s="64">
        <v>1.1100000000000001</v>
      </c>
      <c r="J31" s="64">
        <v>0.08</v>
      </c>
      <c r="K31" s="64">
        <v>264.87</v>
      </c>
      <c r="L31" s="64">
        <v>22.6</v>
      </c>
      <c r="M31" s="64">
        <v>98.15</v>
      </c>
      <c r="N31" s="64">
        <v>40.5</v>
      </c>
      <c r="O31" s="64">
        <v>0</v>
      </c>
      <c r="P31" s="64">
        <v>0.25</v>
      </c>
      <c r="Q31" s="64">
        <v>9.11</v>
      </c>
      <c r="R31" s="198"/>
      <c r="S31" s="198"/>
      <c r="T31" s="198"/>
      <c r="U31" s="198"/>
    </row>
    <row r="32" spans="1:21" s="12" customFormat="1" x14ac:dyDescent="0.25">
      <c r="A32" s="211" t="s">
        <v>655</v>
      </c>
      <c r="B32" s="64">
        <v>9.84</v>
      </c>
      <c r="C32" s="64">
        <v>7.66</v>
      </c>
      <c r="D32" s="64">
        <v>11.89</v>
      </c>
      <c r="E32" s="64">
        <v>4.5</v>
      </c>
      <c r="F32" s="64">
        <v>7.71</v>
      </c>
      <c r="G32" s="64">
        <v>13.67</v>
      </c>
      <c r="H32" s="64">
        <v>7.33</v>
      </c>
      <c r="I32" s="64">
        <v>1.1200000000000001</v>
      </c>
      <c r="J32" s="64">
        <v>7.0000000000000007E-2</v>
      </c>
      <c r="K32" s="64">
        <v>274.11</v>
      </c>
      <c r="L32" s="64">
        <v>22.72</v>
      </c>
      <c r="M32" s="64">
        <v>98.17</v>
      </c>
      <c r="N32" s="64">
        <v>42.4</v>
      </c>
      <c r="O32" s="64">
        <v>0</v>
      </c>
      <c r="P32" s="64">
        <v>0.26</v>
      </c>
      <c r="Q32" s="64">
        <v>9.11</v>
      </c>
      <c r="R32" s="198"/>
      <c r="S32" s="198"/>
      <c r="T32" s="198"/>
      <c r="U32" s="198"/>
    </row>
    <row r="33" spans="1:21" s="12" customFormat="1" x14ac:dyDescent="0.25">
      <c r="A33" s="211" t="s">
        <v>656</v>
      </c>
      <c r="B33" s="64">
        <v>11.8</v>
      </c>
      <c r="C33" s="64">
        <v>6.55</v>
      </c>
      <c r="D33" s="64">
        <v>12.89</v>
      </c>
      <c r="E33" s="64">
        <v>4.43</v>
      </c>
      <c r="F33" s="64">
        <v>7.96</v>
      </c>
      <c r="G33" s="64">
        <v>17.760000000000002</v>
      </c>
      <c r="H33" s="64">
        <v>6.28</v>
      </c>
      <c r="I33" s="64">
        <v>1.1200000000000001</v>
      </c>
      <c r="J33" s="64">
        <v>0.12</v>
      </c>
      <c r="K33" s="64">
        <v>310.98</v>
      </c>
      <c r="L33" s="64">
        <v>22.84</v>
      </c>
      <c r="M33" s="64">
        <v>98.17</v>
      </c>
      <c r="N33" s="64">
        <v>49.7</v>
      </c>
      <c r="O33" s="64">
        <v>0</v>
      </c>
      <c r="P33" s="64">
        <v>0.28999999999999998</v>
      </c>
      <c r="Q33" s="64">
        <v>9.11</v>
      </c>
      <c r="R33" s="198"/>
      <c r="S33" s="198"/>
      <c r="T33" s="198"/>
      <c r="U33" s="198"/>
    </row>
    <row r="34" spans="1:21" s="12" customFormat="1" x14ac:dyDescent="0.25">
      <c r="A34" s="211" t="s">
        <v>657</v>
      </c>
      <c r="B34" s="64">
        <v>10.88</v>
      </c>
      <c r="C34" s="64">
        <v>5.31</v>
      </c>
      <c r="D34" s="64">
        <v>11.5</v>
      </c>
      <c r="E34" s="64">
        <v>4.49</v>
      </c>
      <c r="F34" s="64">
        <v>8.0399999999999991</v>
      </c>
      <c r="G34" s="64">
        <v>18.05</v>
      </c>
      <c r="H34" s="64">
        <v>6.28</v>
      </c>
      <c r="I34" s="64">
        <v>1.1200000000000001</v>
      </c>
      <c r="J34" s="64">
        <v>0.12</v>
      </c>
      <c r="K34" s="64">
        <v>302.60000000000002</v>
      </c>
      <c r="L34" s="64">
        <v>22.97</v>
      </c>
      <c r="M34" s="64">
        <v>98</v>
      </c>
      <c r="N34" s="64">
        <v>58.6</v>
      </c>
      <c r="O34" s="64">
        <v>0</v>
      </c>
      <c r="P34" s="64">
        <v>0.28000000000000003</v>
      </c>
      <c r="Q34" s="64">
        <v>9.09</v>
      </c>
      <c r="R34" s="198"/>
      <c r="S34" s="198"/>
      <c r="T34" s="198"/>
      <c r="U34" s="198"/>
    </row>
    <row r="35" spans="1:21" s="12" customFormat="1" x14ac:dyDescent="0.25">
      <c r="A35" s="211" t="s">
        <v>658</v>
      </c>
      <c r="B35" s="64">
        <v>11.69</v>
      </c>
      <c r="C35" s="64">
        <v>4.91</v>
      </c>
      <c r="D35" s="64">
        <v>11.94</v>
      </c>
      <c r="E35" s="64">
        <v>4.42</v>
      </c>
      <c r="F35" s="64">
        <v>9.94</v>
      </c>
      <c r="G35" s="64">
        <v>18.05</v>
      </c>
      <c r="H35" s="64">
        <v>6.28</v>
      </c>
      <c r="I35" s="64">
        <v>1.1000000000000001</v>
      </c>
      <c r="J35" s="64">
        <v>0.12</v>
      </c>
      <c r="K35" s="64">
        <v>306.48</v>
      </c>
      <c r="L35" s="64">
        <v>23.21</v>
      </c>
      <c r="M35" s="64">
        <v>98</v>
      </c>
      <c r="N35" s="64">
        <v>62.6</v>
      </c>
      <c r="O35" s="64">
        <v>0</v>
      </c>
      <c r="P35" s="64">
        <v>0.28000000000000003</v>
      </c>
      <c r="Q35" s="64">
        <v>9.1</v>
      </c>
      <c r="R35" s="198"/>
      <c r="S35" s="198"/>
      <c r="T35" s="198"/>
      <c r="U35" s="198"/>
    </row>
    <row r="36" spans="1:21" s="12" customFormat="1" x14ac:dyDescent="0.25">
      <c r="A36" s="211" t="s">
        <v>659</v>
      </c>
      <c r="B36" s="64">
        <v>11.17</v>
      </c>
      <c r="C36" s="64">
        <v>5.47</v>
      </c>
      <c r="D36" s="64">
        <v>11.82</v>
      </c>
      <c r="E36" s="64">
        <v>4.1399999999999997</v>
      </c>
      <c r="F36" s="64">
        <v>11.93</v>
      </c>
      <c r="G36" s="64">
        <v>18.05</v>
      </c>
      <c r="H36" s="64">
        <v>6.28</v>
      </c>
      <c r="I36" s="64">
        <v>1.02</v>
      </c>
      <c r="J36" s="64">
        <v>0.1</v>
      </c>
      <c r="K36" s="64">
        <v>282.48</v>
      </c>
      <c r="L36" s="64">
        <v>23.2</v>
      </c>
      <c r="M36" s="64">
        <v>98</v>
      </c>
      <c r="N36" s="64">
        <v>73.400000000000006</v>
      </c>
      <c r="O36" s="64">
        <v>0</v>
      </c>
      <c r="P36" s="64">
        <v>0.27</v>
      </c>
      <c r="Q36" s="64">
        <v>9.09</v>
      </c>
      <c r="R36" s="198"/>
      <c r="S36" s="198"/>
      <c r="T36" s="198"/>
      <c r="U36" s="198"/>
    </row>
    <row r="37" spans="1:21" s="12" customFormat="1" x14ac:dyDescent="0.25">
      <c r="A37" s="211" t="s">
        <v>660</v>
      </c>
      <c r="B37" s="64">
        <v>11.11</v>
      </c>
      <c r="C37" s="64">
        <v>5.38</v>
      </c>
      <c r="D37" s="64">
        <v>11.72</v>
      </c>
      <c r="E37" s="64">
        <v>4.59</v>
      </c>
      <c r="F37" s="64">
        <v>9.94</v>
      </c>
      <c r="G37" s="64">
        <v>20.22</v>
      </c>
      <c r="H37" s="64">
        <v>10.72</v>
      </c>
      <c r="I37" s="64">
        <v>1.04</v>
      </c>
      <c r="J37" s="64">
        <v>0.13</v>
      </c>
      <c r="K37" s="64">
        <v>290.42</v>
      </c>
      <c r="L37" s="64">
        <v>23.24</v>
      </c>
      <c r="M37" s="64">
        <v>98</v>
      </c>
      <c r="N37" s="64">
        <v>91.3</v>
      </c>
      <c r="O37" s="64">
        <v>0</v>
      </c>
      <c r="P37" s="64">
        <v>0.35</v>
      </c>
      <c r="Q37" s="64">
        <v>9.08</v>
      </c>
      <c r="R37" s="198"/>
      <c r="S37" s="198"/>
      <c r="T37" s="198"/>
      <c r="U37" s="198"/>
    </row>
    <row r="38" spans="1:21" s="12" customFormat="1" x14ac:dyDescent="0.25">
      <c r="A38" s="211" t="s">
        <v>661</v>
      </c>
      <c r="B38" s="64">
        <v>11.05</v>
      </c>
      <c r="C38" s="64">
        <v>5.35</v>
      </c>
      <c r="D38" s="64">
        <v>11.65</v>
      </c>
      <c r="E38" s="64">
        <v>4.1100000000000003</v>
      </c>
      <c r="F38" s="64">
        <v>7.93</v>
      </c>
      <c r="G38" s="64">
        <v>20.38</v>
      </c>
      <c r="H38" s="64">
        <v>10.72</v>
      </c>
      <c r="I38" s="64">
        <v>1.03</v>
      </c>
      <c r="J38" s="64">
        <v>0.12</v>
      </c>
      <c r="K38" s="64">
        <v>294.20999999999998</v>
      </c>
      <c r="L38" s="64">
        <v>23.48</v>
      </c>
      <c r="M38" s="64">
        <v>98</v>
      </c>
      <c r="N38" s="64">
        <v>137.5</v>
      </c>
      <c r="O38" s="64">
        <v>0</v>
      </c>
      <c r="P38" s="64">
        <v>0.37</v>
      </c>
      <c r="Q38" s="64">
        <v>9.09</v>
      </c>
      <c r="R38" s="198"/>
      <c r="S38" s="198"/>
      <c r="T38" s="198"/>
      <c r="U38" s="198"/>
    </row>
    <row r="39" spans="1:21" s="12" customFormat="1" x14ac:dyDescent="0.25">
      <c r="A39" s="211" t="s">
        <v>662</v>
      </c>
      <c r="B39" s="64">
        <v>11.65</v>
      </c>
      <c r="C39" s="64">
        <v>5.95</v>
      </c>
      <c r="D39" s="64">
        <v>12.45</v>
      </c>
      <c r="E39" s="64">
        <v>4.3899999999999997</v>
      </c>
      <c r="F39" s="64">
        <v>7.9</v>
      </c>
      <c r="G39" s="64">
        <v>20.38</v>
      </c>
      <c r="H39" s="64">
        <v>10.72</v>
      </c>
      <c r="I39" s="64">
        <v>1.06</v>
      </c>
      <c r="J39" s="64">
        <v>0.08</v>
      </c>
      <c r="K39" s="64">
        <v>296.22000000000003</v>
      </c>
      <c r="L39" s="64">
        <v>24.21</v>
      </c>
      <c r="M39" s="64">
        <v>97.98</v>
      </c>
      <c r="N39" s="64">
        <v>206.7</v>
      </c>
      <c r="O39" s="64">
        <v>0</v>
      </c>
      <c r="P39" s="64">
        <v>0.38</v>
      </c>
      <c r="Q39" s="64">
        <v>9.09</v>
      </c>
      <c r="R39" s="198"/>
      <c r="S39" s="198"/>
      <c r="T39" s="198"/>
      <c r="U39" s="198"/>
    </row>
    <row r="40" spans="1:21" s="12" customFormat="1" x14ac:dyDescent="0.25">
      <c r="A40" s="211" t="s">
        <v>663</v>
      </c>
      <c r="B40" s="64">
        <v>11.26</v>
      </c>
      <c r="C40" s="64">
        <v>5.52</v>
      </c>
      <c r="D40" s="64">
        <v>11.91</v>
      </c>
      <c r="E40" s="64">
        <v>3.05</v>
      </c>
      <c r="F40" s="64">
        <v>6.6</v>
      </c>
      <c r="G40" s="64">
        <v>20.38</v>
      </c>
      <c r="H40" s="64">
        <v>10.72</v>
      </c>
      <c r="I40" s="64">
        <v>1.1200000000000001</v>
      </c>
      <c r="J40" s="64">
        <v>0.14000000000000001</v>
      </c>
      <c r="K40" s="64">
        <v>287.5</v>
      </c>
      <c r="L40" s="64">
        <v>25.28</v>
      </c>
      <c r="M40" s="64">
        <v>97.93</v>
      </c>
      <c r="N40" s="64">
        <v>257.7</v>
      </c>
      <c r="O40" s="64">
        <v>0</v>
      </c>
      <c r="P40" s="64">
        <v>0.38</v>
      </c>
      <c r="Q40" s="64">
        <v>9.09</v>
      </c>
      <c r="R40" s="198"/>
      <c r="S40" s="198"/>
      <c r="T40" s="198"/>
      <c r="U40" s="198"/>
    </row>
    <row r="41" spans="1:21" s="12" customFormat="1" x14ac:dyDescent="0.25">
      <c r="A41" s="211" t="s">
        <v>664</v>
      </c>
      <c r="B41" s="64">
        <v>11.71</v>
      </c>
      <c r="C41" s="64">
        <v>6.49</v>
      </c>
      <c r="D41" s="64">
        <v>12.78</v>
      </c>
      <c r="E41" s="64">
        <v>3.56</v>
      </c>
      <c r="F41" s="64">
        <v>9.5399999999999991</v>
      </c>
      <c r="G41" s="64">
        <v>24.76</v>
      </c>
      <c r="H41" s="64">
        <v>8.66</v>
      </c>
      <c r="I41" s="64">
        <v>1.1399999999999999</v>
      </c>
      <c r="J41" s="64">
        <v>0.19</v>
      </c>
      <c r="K41" s="64">
        <v>290.3</v>
      </c>
      <c r="L41" s="64">
        <v>26.5</v>
      </c>
      <c r="M41" s="64">
        <v>97.85</v>
      </c>
      <c r="N41" s="64">
        <v>249.8</v>
      </c>
      <c r="O41" s="64">
        <v>0</v>
      </c>
      <c r="P41" s="64">
        <v>0.38</v>
      </c>
      <c r="Q41" s="64">
        <v>9.1</v>
      </c>
      <c r="R41" s="198"/>
      <c r="S41" s="198"/>
      <c r="T41" s="198"/>
      <c r="U41" s="198"/>
    </row>
    <row r="42" spans="1:21" s="12" customFormat="1" x14ac:dyDescent="0.25">
      <c r="A42" s="211" t="s">
        <v>665</v>
      </c>
      <c r="B42" s="64">
        <v>11.22</v>
      </c>
      <c r="C42" s="64">
        <v>6.06</v>
      </c>
      <c r="D42" s="64">
        <v>12.16</v>
      </c>
      <c r="E42" s="64">
        <v>3.5</v>
      </c>
      <c r="F42" s="64">
        <v>6.58</v>
      </c>
      <c r="G42" s="64">
        <v>25.07</v>
      </c>
      <c r="H42" s="64">
        <v>8.66</v>
      </c>
      <c r="I42" s="64">
        <v>1.1599999999999999</v>
      </c>
      <c r="J42" s="64">
        <v>0.17</v>
      </c>
      <c r="K42" s="64">
        <v>294.10000000000002</v>
      </c>
      <c r="L42" s="64">
        <v>26.49</v>
      </c>
      <c r="M42" s="64">
        <v>97.87</v>
      </c>
      <c r="N42" s="64">
        <v>221.1</v>
      </c>
      <c r="O42" s="64">
        <v>0</v>
      </c>
      <c r="P42" s="64">
        <v>0.41</v>
      </c>
      <c r="Q42" s="64">
        <v>9.09</v>
      </c>
      <c r="R42" s="198"/>
      <c r="S42" s="198"/>
      <c r="T42" s="198"/>
      <c r="U42" s="198"/>
    </row>
    <row r="43" spans="1:21" s="12" customFormat="1" x14ac:dyDescent="0.25">
      <c r="A43" s="211" t="s">
        <v>666</v>
      </c>
      <c r="B43" s="64">
        <v>11.08</v>
      </c>
      <c r="C43" s="64">
        <v>6.33</v>
      </c>
      <c r="D43" s="64">
        <v>12.19</v>
      </c>
      <c r="E43" s="64">
        <v>3.41</v>
      </c>
      <c r="F43" s="64">
        <v>8.5500000000000007</v>
      </c>
      <c r="G43" s="64">
        <v>25.07</v>
      </c>
      <c r="H43" s="64">
        <v>8.66</v>
      </c>
      <c r="I43" s="64">
        <v>1.19</v>
      </c>
      <c r="J43" s="64">
        <v>0.14000000000000001</v>
      </c>
      <c r="K43" s="64">
        <v>281.16000000000003</v>
      </c>
      <c r="L43" s="64">
        <v>25.92</v>
      </c>
      <c r="M43" s="64">
        <v>97.91</v>
      </c>
      <c r="N43" s="64">
        <v>289.60000000000002</v>
      </c>
      <c r="O43" s="64">
        <v>0</v>
      </c>
      <c r="P43" s="64">
        <v>0.46</v>
      </c>
      <c r="Q43" s="64">
        <v>9.1</v>
      </c>
      <c r="R43" s="198"/>
      <c r="S43" s="198"/>
      <c r="T43" s="198"/>
      <c r="U43" s="198"/>
    </row>
    <row r="44" spans="1:21" s="12" customFormat="1" x14ac:dyDescent="0.25">
      <c r="A44" s="211" t="s">
        <v>667</v>
      </c>
      <c r="B44" s="64">
        <v>12.38</v>
      </c>
      <c r="C44" s="64">
        <v>7.08</v>
      </c>
      <c r="D44" s="64">
        <v>13.62</v>
      </c>
      <c r="E44" s="64">
        <v>3.55</v>
      </c>
      <c r="F44" s="64">
        <v>8.1300000000000008</v>
      </c>
      <c r="G44" s="64">
        <v>25.07</v>
      </c>
      <c r="H44" s="64">
        <v>8.66</v>
      </c>
      <c r="I44" s="64">
        <v>1.32</v>
      </c>
      <c r="J44" s="64">
        <v>0.14000000000000001</v>
      </c>
      <c r="K44" s="64">
        <v>290.75</v>
      </c>
      <c r="L44" s="64">
        <v>26.39</v>
      </c>
      <c r="M44" s="64">
        <v>97.9</v>
      </c>
      <c r="N44" s="64">
        <v>227.8</v>
      </c>
      <c r="O44" s="64">
        <v>0</v>
      </c>
      <c r="P44" s="64">
        <v>0.48</v>
      </c>
      <c r="Q44" s="64">
        <v>9.11</v>
      </c>
      <c r="R44" s="198"/>
      <c r="S44" s="198"/>
      <c r="T44" s="198"/>
      <c r="U44" s="198"/>
    </row>
    <row r="45" spans="1:21" s="12" customFormat="1" x14ac:dyDescent="0.25">
      <c r="A45" s="211" t="s">
        <v>668</v>
      </c>
      <c r="B45" s="64">
        <v>11.38</v>
      </c>
      <c r="C45" s="64">
        <v>7.67</v>
      </c>
      <c r="D45" s="64">
        <v>13.13</v>
      </c>
      <c r="E45" s="64">
        <v>3.6</v>
      </c>
      <c r="F45" s="64">
        <v>8.81</v>
      </c>
      <c r="G45" s="64">
        <v>37.15</v>
      </c>
      <c r="H45" s="64">
        <v>7.22</v>
      </c>
      <c r="I45" s="64">
        <v>1.5</v>
      </c>
      <c r="J45" s="64">
        <v>0.16</v>
      </c>
      <c r="K45" s="64">
        <v>286.27</v>
      </c>
      <c r="L45" s="64">
        <v>26.52</v>
      </c>
      <c r="M45" s="64">
        <v>97.9</v>
      </c>
      <c r="N45" s="64">
        <v>338</v>
      </c>
      <c r="O45" s="64">
        <v>0</v>
      </c>
      <c r="P45" s="64">
        <v>0.5</v>
      </c>
      <c r="Q45" s="64">
        <v>9.1199999999999992</v>
      </c>
      <c r="R45" s="198"/>
      <c r="S45" s="198"/>
      <c r="T45" s="198"/>
      <c r="U45" s="198"/>
    </row>
    <row r="46" spans="1:21" s="12" customFormat="1" x14ac:dyDescent="0.25">
      <c r="A46" s="211" t="s">
        <v>669</v>
      </c>
      <c r="B46" s="64">
        <v>11.12</v>
      </c>
      <c r="C46" s="64">
        <v>7.32</v>
      </c>
      <c r="D46" s="64">
        <v>12.74</v>
      </c>
      <c r="E46" s="64">
        <v>3.62</v>
      </c>
      <c r="F46" s="64">
        <v>7.15</v>
      </c>
      <c r="G46" s="64">
        <v>38.01</v>
      </c>
      <c r="H46" s="64">
        <v>7.22</v>
      </c>
      <c r="I46" s="64">
        <v>1.64</v>
      </c>
      <c r="J46" s="64">
        <v>0.17</v>
      </c>
      <c r="K46" s="64">
        <v>265.55</v>
      </c>
      <c r="L46" s="64">
        <v>27.42</v>
      </c>
      <c r="M46" s="64">
        <v>97.87</v>
      </c>
      <c r="N46" s="64">
        <v>467.8</v>
      </c>
      <c r="O46" s="64">
        <v>0</v>
      </c>
      <c r="P46" s="64">
        <v>0.53</v>
      </c>
      <c r="Q46" s="64">
        <v>9.1199999999999992</v>
      </c>
      <c r="R46" s="198"/>
      <c r="S46" s="198"/>
      <c r="T46" s="198"/>
      <c r="U46" s="198"/>
    </row>
    <row r="47" spans="1:21" s="12" customFormat="1" x14ac:dyDescent="0.25">
      <c r="A47" s="211" t="s">
        <v>670</v>
      </c>
      <c r="B47" s="64">
        <v>11.55</v>
      </c>
      <c r="C47" s="64">
        <v>10.08</v>
      </c>
      <c r="D47" s="64">
        <v>14.52</v>
      </c>
      <c r="E47" s="64">
        <v>3.88</v>
      </c>
      <c r="F47" s="64">
        <v>9.51</v>
      </c>
      <c r="G47" s="64">
        <v>38.01</v>
      </c>
      <c r="H47" s="64">
        <v>7.22</v>
      </c>
      <c r="I47" s="64">
        <v>1.76</v>
      </c>
      <c r="J47" s="64">
        <v>0.13</v>
      </c>
      <c r="K47" s="64">
        <v>278.27999999999997</v>
      </c>
      <c r="L47" s="64">
        <v>28.09</v>
      </c>
      <c r="M47" s="64">
        <v>97.84</v>
      </c>
      <c r="N47" s="64">
        <v>324.2</v>
      </c>
      <c r="O47" s="64">
        <v>0</v>
      </c>
      <c r="P47" s="64">
        <v>0.56000000000000005</v>
      </c>
      <c r="Q47" s="64">
        <v>9.1199999999999992</v>
      </c>
      <c r="R47" s="198"/>
      <c r="S47" s="198"/>
      <c r="T47" s="198"/>
      <c r="U47" s="198"/>
    </row>
    <row r="48" spans="1:21" s="12" customFormat="1" x14ac:dyDescent="0.25">
      <c r="A48" s="211" t="s">
        <v>671</v>
      </c>
      <c r="B48" s="64">
        <v>10.93</v>
      </c>
      <c r="C48" s="64">
        <v>10.96</v>
      </c>
      <c r="D48" s="64">
        <v>14.49</v>
      </c>
      <c r="E48" s="64">
        <v>3.82</v>
      </c>
      <c r="F48" s="64">
        <v>10.119999999999999</v>
      </c>
      <c r="G48" s="64">
        <v>38.01</v>
      </c>
      <c r="H48" s="64">
        <v>7.22</v>
      </c>
      <c r="I48" s="64">
        <v>1.91</v>
      </c>
      <c r="J48" s="64">
        <v>0.13</v>
      </c>
      <c r="K48" s="64">
        <v>283.06</v>
      </c>
      <c r="L48" s="64">
        <v>28.21</v>
      </c>
      <c r="M48" s="64">
        <v>97.31</v>
      </c>
      <c r="N48" s="64">
        <v>303.89999999999998</v>
      </c>
      <c r="O48" s="64">
        <v>0</v>
      </c>
      <c r="P48" s="64">
        <v>0.61</v>
      </c>
      <c r="Q48" s="64">
        <v>9.14</v>
      </c>
      <c r="R48" s="198"/>
      <c r="S48" s="198"/>
      <c r="T48" s="198"/>
      <c r="U48" s="198"/>
    </row>
    <row r="49" spans="1:21" s="12" customFormat="1" x14ac:dyDescent="0.25">
      <c r="A49" s="211" t="s">
        <v>672</v>
      </c>
      <c r="B49" s="64">
        <v>11.69</v>
      </c>
      <c r="C49" s="64">
        <v>13.43</v>
      </c>
      <c r="D49" s="64">
        <v>16.399999999999999</v>
      </c>
      <c r="E49" s="64">
        <v>4.24</v>
      </c>
      <c r="F49" s="64">
        <v>10.45</v>
      </c>
      <c r="G49" s="64">
        <v>44.73</v>
      </c>
      <c r="H49" s="64">
        <v>6.21</v>
      </c>
      <c r="I49" s="64">
        <v>2.04</v>
      </c>
      <c r="J49" s="64">
        <v>0.21</v>
      </c>
      <c r="K49" s="64">
        <v>208.43</v>
      </c>
      <c r="L49" s="64">
        <v>27.97</v>
      </c>
      <c r="M49" s="64">
        <v>97.35</v>
      </c>
      <c r="N49" s="64">
        <v>332.8</v>
      </c>
      <c r="O49" s="64">
        <v>0</v>
      </c>
      <c r="P49" s="64">
        <v>0.63</v>
      </c>
      <c r="Q49" s="64">
        <v>9.1300000000000008</v>
      </c>
      <c r="R49" s="198"/>
      <c r="S49" s="198"/>
      <c r="T49" s="198"/>
      <c r="U49" s="198"/>
    </row>
    <row r="50" spans="1:21" s="12" customFormat="1" x14ac:dyDescent="0.25">
      <c r="A50" s="211" t="s">
        <v>673</v>
      </c>
      <c r="B50" s="64">
        <v>9.98</v>
      </c>
      <c r="C50" s="64">
        <v>9.9499999999999993</v>
      </c>
      <c r="D50" s="64">
        <v>13.2</v>
      </c>
      <c r="E50" s="64">
        <v>3.78</v>
      </c>
      <c r="F50" s="64">
        <v>10.07</v>
      </c>
      <c r="G50" s="64">
        <v>45.21</v>
      </c>
      <c r="H50" s="64">
        <v>6.21</v>
      </c>
      <c r="I50" s="64">
        <v>2.12</v>
      </c>
      <c r="J50" s="64">
        <v>0.14000000000000001</v>
      </c>
      <c r="K50" s="64">
        <v>238.48</v>
      </c>
      <c r="L50" s="64">
        <v>27.88</v>
      </c>
      <c r="M50" s="64">
        <v>97.83</v>
      </c>
      <c r="N50" s="64">
        <v>456.3</v>
      </c>
      <c r="O50" s="64">
        <v>0</v>
      </c>
      <c r="P50" s="64">
        <v>0.55000000000000004</v>
      </c>
      <c r="Q50" s="64">
        <v>9.1300000000000008</v>
      </c>
      <c r="R50" s="198"/>
      <c r="S50" s="198"/>
      <c r="T50" s="198"/>
      <c r="U50" s="198"/>
    </row>
    <row r="51" spans="1:21" s="12" customFormat="1" x14ac:dyDescent="0.25">
      <c r="A51" s="211" t="s">
        <v>674</v>
      </c>
      <c r="B51" s="64">
        <v>10.3</v>
      </c>
      <c r="C51" s="64">
        <v>8.5399999999999991</v>
      </c>
      <c r="D51" s="64">
        <v>12.72</v>
      </c>
      <c r="E51" s="64">
        <v>3.53</v>
      </c>
      <c r="F51" s="64">
        <v>11.98</v>
      </c>
      <c r="G51" s="64">
        <v>45.21</v>
      </c>
      <c r="H51" s="64">
        <v>6.21</v>
      </c>
      <c r="I51" s="64">
        <v>2.17</v>
      </c>
      <c r="J51" s="64">
        <v>0.15</v>
      </c>
      <c r="K51" s="64">
        <v>263.69</v>
      </c>
      <c r="L51" s="64">
        <v>28.35</v>
      </c>
      <c r="M51" s="64">
        <v>97.65</v>
      </c>
      <c r="N51" s="64">
        <v>457</v>
      </c>
      <c r="O51" s="64">
        <v>0</v>
      </c>
      <c r="P51" s="64">
        <v>0.55000000000000004</v>
      </c>
      <c r="Q51" s="64">
        <v>9.11</v>
      </c>
      <c r="R51" s="198"/>
      <c r="S51" s="198"/>
      <c r="T51" s="198"/>
      <c r="U51" s="198"/>
    </row>
    <row r="52" spans="1:21" s="12" customFormat="1" x14ac:dyDescent="0.25">
      <c r="A52" s="211" t="s">
        <v>675</v>
      </c>
      <c r="B52" s="64">
        <v>12.25</v>
      </c>
      <c r="C52" s="64">
        <v>9.8800000000000008</v>
      </c>
      <c r="D52" s="64">
        <v>14.99</v>
      </c>
      <c r="E52" s="64">
        <v>4.01</v>
      </c>
      <c r="F52" s="64">
        <v>9.36</v>
      </c>
      <c r="G52" s="64">
        <v>45.21</v>
      </c>
      <c r="H52" s="64">
        <v>6.21</v>
      </c>
      <c r="I52" s="64">
        <v>2.1800000000000002</v>
      </c>
      <c r="J52" s="64">
        <v>0.17</v>
      </c>
      <c r="K52" s="64">
        <v>275.66000000000003</v>
      </c>
      <c r="L52" s="64">
        <v>28.6</v>
      </c>
      <c r="M52" s="64">
        <v>97.27</v>
      </c>
      <c r="N52" s="64">
        <v>316.60000000000002</v>
      </c>
      <c r="O52" s="64">
        <v>0</v>
      </c>
      <c r="P52" s="64">
        <v>0.56999999999999995</v>
      </c>
      <c r="Q52" s="64">
        <v>9.1</v>
      </c>
      <c r="R52" s="198"/>
      <c r="S52" s="198"/>
      <c r="T52" s="198"/>
      <c r="U52" s="198"/>
    </row>
    <row r="53" spans="1:21" s="12" customFormat="1" x14ac:dyDescent="0.25">
      <c r="A53" s="211" t="s">
        <v>676</v>
      </c>
      <c r="B53" s="64">
        <v>12.01</v>
      </c>
      <c r="C53" s="64">
        <v>11.29</v>
      </c>
      <c r="D53" s="64">
        <v>15.53</v>
      </c>
      <c r="E53" s="64">
        <v>3.84</v>
      </c>
      <c r="F53" s="64">
        <v>8.5299999999999994</v>
      </c>
      <c r="G53" s="64">
        <v>42.41</v>
      </c>
      <c r="H53" s="64">
        <v>10.34</v>
      </c>
      <c r="I53" s="64">
        <v>2.1800000000000002</v>
      </c>
      <c r="J53" s="64">
        <v>0.06</v>
      </c>
      <c r="K53" s="64">
        <v>228.88</v>
      </c>
      <c r="L53" s="64">
        <v>28.35</v>
      </c>
      <c r="M53" s="64">
        <v>97.35</v>
      </c>
      <c r="N53" s="64">
        <v>474.4</v>
      </c>
      <c r="O53" s="64">
        <v>0</v>
      </c>
      <c r="P53" s="64">
        <v>0.59</v>
      </c>
      <c r="Q53" s="64">
        <v>9.1</v>
      </c>
      <c r="R53" s="198"/>
      <c r="S53" s="198"/>
      <c r="T53" s="198"/>
      <c r="U53" s="198"/>
    </row>
    <row r="54" spans="1:21" s="12" customFormat="1" x14ac:dyDescent="0.25">
      <c r="A54" s="211" t="s">
        <v>677</v>
      </c>
      <c r="B54" s="64">
        <v>11.15</v>
      </c>
      <c r="C54" s="64">
        <v>9.85</v>
      </c>
      <c r="D54" s="64">
        <v>14.08</v>
      </c>
      <c r="E54" s="64">
        <v>4.03</v>
      </c>
      <c r="F54" s="64">
        <v>8.42</v>
      </c>
      <c r="G54" s="64">
        <v>42.21</v>
      </c>
      <c r="H54" s="64">
        <v>10.34</v>
      </c>
      <c r="I54" s="64">
        <v>2.19</v>
      </c>
      <c r="J54" s="64">
        <v>0.48</v>
      </c>
      <c r="K54" s="64">
        <v>333.67</v>
      </c>
      <c r="L54" s="64">
        <v>27.43</v>
      </c>
      <c r="M54" s="64">
        <v>98.04</v>
      </c>
      <c r="N54" s="64">
        <v>222.2</v>
      </c>
      <c r="O54" s="64">
        <v>0.8</v>
      </c>
      <c r="P54" s="64">
        <v>0.55000000000000004</v>
      </c>
      <c r="Q54" s="64">
        <v>9.09</v>
      </c>
      <c r="R54" s="198"/>
      <c r="S54" s="198"/>
      <c r="T54" s="198"/>
      <c r="U54" s="198"/>
    </row>
    <row r="55" spans="1:21" s="12" customFormat="1" x14ac:dyDescent="0.25">
      <c r="A55" s="211" t="s">
        <v>678</v>
      </c>
      <c r="B55" s="64">
        <v>10.1</v>
      </c>
      <c r="C55" s="64">
        <v>10.220000000000001</v>
      </c>
      <c r="D55" s="64">
        <v>13.44</v>
      </c>
      <c r="E55" s="64">
        <v>3.87</v>
      </c>
      <c r="F55" s="64">
        <v>14.42</v>
      </c>
      <c r="G55" s="64">
        <v>42.21</v>
      </c>
      <c r="H55" s="64">
        <v>10.34</v>
      </c>
      <c r="I55" s="64">
        <v>2.2200000000000002</v>
      </c>
      <c r="J55" s="64">
        <v>0.04</v>
      </c>
      <c r="K55" s="64">
        <v>183.54</v>
      </c>
      <c r="L55" s="64">
        <v>25.25</v>
      </c>
      <c r="M55" s="64">
        <v>98.15</v>
      </c>
      <c r="N55" s="64">
        <v>459.6</v>
      </c>
      <c r="O55" s="64">
        <v>0</v>
      </c>
      <c r="P55" s="64">
        <v>0.49</v>
      </c>
      <c r="Q55" s="64">
        <v>9.08</v>
      </c>
      <c r="R55" s="198"/>
      <c r="S55" s="198"/>
      <c r="T55" s="198"/>
      <c r="U55" s="198"/>
    </row>
    <row r="56" spans="1:21" s="12" customFormat="1" x14ac:dyDescent="0.25">
      <c r="A56" s="211" t="s">
        <v>679</v>
      </c>
      <c r="B56" s="64">
        <v>16.84</v>
      </c>
      <c r="C56" s="64">
        <v>12.61</v>
      </c>
      <c r="D56" s="64">
        <v>20.079999999999998</v>
      </c>
      <c r="E56" s="64">
        <v>4.01</v>
      </c>
      <c r="F56" s="64">
        <v>11.63</v>
      </c>
      <c r="G56" s="64">
        <v>42.21</v>
      </c>
      <c r="H56" s="64">
        <v>10.34</v>
      </c>
      <c r="I56" s="64">
        <v>2.1800000000000002</v>
      </c>
      <c r="J56" s="64">
        <v>0.61</v>
      </c>
      <c r="K56" s="64">
        <v>334.35</v>
      </c>
      <c r="L56" s="64">
        <v>27.84</v>
      </c>
      <c r="M56" s="64">
        <v>98.1</v>
      </c>
      <c r="N56" s="64">
        <v>685.2</v>
      </c>
      <c r="O56" s="64">
        <v>0</v>
      </c>
      <c r="P56" s="64">
        <v>0.66</v>
      </c>
      <c r="Q56" s="64">
        <v>9.07</v>
      </c>
      <c r="R56" s="198"/>
      <c r="S56" s="198"/>
      <c r="T56" s="198"/>
      <c r="U56" s="198"/>
    </row>
    <row r="57" spans="1:21" s="12" customFormat="1" x14ac:dyDescent="0.25">
      <c r="A57" s="211" t="s">
        <v>680</v>
      </c>
      <c r="B57" s="64">
        <v>10.24</v>
      </c>
      <c r="C57" s="64">
        <v>9.11</v>
      </c>
      <c r="D57" s="64">
        <v>12.97</v>
      </c>
      <c r="E57" s="64">
        <v>3.85</v>
      </c>
      <c r="F57" s="64">
        <v>11.93</v>
      </c>
      <c r="G57" s="64">
        <v>42.89</v>
      </c>
      <c r="H57" s="64">
        <v>11.68</v>
      </c>
      <c r="I57" s="64">
        <v>2.13</v>
      </c>
      <c r="J57" s="64">
        <v>0.21</v>
      </c>
      <c r="K57" s="64">
        <v>313.14999999999998</v>
      </c>
      <c r="L57" s="64">
        <v>29.47</v>
      </c>
      <c r="M57" s="64">
        <v>97.32</v>
      </c>
      <c r="N57" s="64">
        <v>798.5</v>
      </c>
      <c r="O57" s="64">
        <v>0</v>
      </c>
      <c r="P57" s="64">
        <v>0.59</v>
      </c>
      <c r="Q57" s="64">
        <v>9.06</v>
      </c>
      <c r="R57" s="198"/>
      <c r="S57" s="198"/>
      <c r="T57" s="198"/>
      <c r="U57" s="198"/>
    </row>
    <row r="58" spans="1:21" s="12" customFormat="1" x14ac:dyDescent="0.25">
      <c r="A58" s="211" t="s">
        <v>681</v>
      </c>
      <c r="B58" s="64">
        <v>9.24</v>
      </c>
      <c r="C58" s="64">
        <v>11.1</v>
      </c>
      <c r="D58" s="64">
        <v>13.21</v>
      </c>
      <c r="E58" s="64">
        <v>3.78</v>
      </c>
      <c r="F58" s="64">
        <v>12.1</v>
      </c>
      <c r="G58" s="64">
        <v>42.93</v>
      </c>
      <c r="H58" s="64">
        <v>11.68</v>
      </c>
      <c r="I58" s="64">
        <v>2.11</v>
      </c>
      <c r="J58" s="64">
        <v>0.13</v>
      </c>
      <c r="K58" s="64">
        <v>251.86</v>
      </c>
      <c r="L58" s="64">
        <v>29.64</v>
      </c>
      <c r="M58" s="64">
        <v>94.64</v>
      </c>
      <c r="N58" s="64">
        <v>791.2</v>
      </c>
      <c r="O58" s="64">
        <v>0</v>
      </c>
      <c r="P58" s="64">
        <v>0.59</v>
      </c>
      <c r="Q58" s="64">
        <v>9.06</v>
      </c>
      <c r="R58" s="198"/>
      <c r="S58" s="198"/>
      <c r="T58" s="198"/>
      <c r="U58" s="198"/>
    </row>
    <row r="59" spans="1:21" s="12" customFormat="1" x14ac:dyDescent="0.25">
      <c r="A59" s="211" t="s">
        <v>682</v>
      </c>
      <c r="B59" s="64">
        <v>8.86</v>
      </c>
      <c r="C59" s="64">
        <v>14.18</v>
      </c>
      <c r="D59" s="64">
        <v>14.51</v>
      </c>
      <c r="E59" s="64">
        <v>3.96</v>
      </c>
      <c r="F59" s="64">
        <v>15.46</v>
      </c>
      <c r="G59" s="64">
        <v>42.93</v>
      </c>
      <c r="H59" s="64">
        <v>11.68</v>
      </c>
      <c r="I59" s="64">
        <v>2.11</v>
      </c>
      <c r="J59" s="64">
        <v>0.06</v>
      </c>
      <c r="K59" s="64">
        <v>317.60000000000002</v>
      </c>
      <c r="L59" s="64">
        <v>30.08</v>
      </c>
      <c r="M59" s="64">
        <v>91.86</v>
      </c>
      <c r="N59" s="64">
        <v>544.1</v>
      </c>
      <c r="O59" s="64">
        <v>0</v>
      </c>
      <c r="P59" s="64">
        <v>0.69</v>
      </c>
      <c r="Q59" s="64">
        <v>9.06</v>
      </c>
      <c r="R59" s="198"/>
      <c r="S59" s="198"/>
      <c r="T59" s="198"/>
      <c r="U59" s="198"/>
    </row>
    <row r="60" spans="1:21" s="12" customFormat="1" x14ac:dyDescent="0.25">
      <c r="A60" s="211" t="s">
        <v>683</v>
      </c>
      <c r="B60" s="64">
        <v>7.07</v>
      </c>
      <c r="C60" s="64">
        <v>13.44</v>
      </c>
      <c r="D60" s="64">
        <v>12.7</v>
      </c>
      <c r="E60" s="64">
        <v>3.72</v>
      </c>
      <c r="F60" s="64">
        <v>15.66</v>
      </c>
      <c r="G60" s="64">
        <v>42.93</v>
      </c>
      <c r="H60" s="64">
        <v>11.68</v>
      </c>
      <c r="I60" s="64">
        <v>2.11</v>
      </c>
      <c r="J60" s="64">
        <v>0.12</v>
      </c>
      <c r="K60" s="64">
        <v>154.82</v>
      </c>
      <c r="L60" s="64">
        <v>29.04</v>
      </c>
      <c r="M60" s="64">
        <v>93.58</v>
      </c>
      <c r="N60" s="64">
        <v>214.4</v>
      </c>
      <c r="O60" s="64">
        <v>0</v>
      </c>
      <c r="P60" s="64">
        <v>0.64</v>
      </c>
      <c r="Q60" s="64">
        <v>9.06</v>
      </c>
      <c r="R60" s="198"/>
      <c r="S60" s="198"/>
      <c r="T60" s="198"/>
      <c r="U60" s="198"/>
    </row>
    <row r="61" spans="1:21" s="12" customFormat="1" x14ac:dyDescent="0.25">
      <c r="A61" s="211" t="s">
        <v>684</v>
      </c>
      <c r="B61" s="64">
        <v>8.74</v>
      </c>
      <c r="C61" s="64">
        <v>14.96</v>
      </c>
      <c r="D61" s="64">
        <v>14.82</v>
      </c>
      <c r="E61" s="64">
        <v>3.96</v>
      </c>
      <c r="F61" s="64">
        <v>16.190000000000001</v>
      </c>
      <c r="G61" s="64">
        <v>41.62</v>
      </c>
      <c r="H61" s="64">
        <v>9.33</v>
      </c>
      <c r="I61" s="64">
        <v>2.13</v>
      </c>
      <c r="J61" s="64">
        <v>0.14000000000000001</v>
      </c>
      <c r="K61" s="64">
        <v>157.69</v>
      </c>
      <c r="L61" s="64">
        <v>28.25</v>
      </c>
      <c r="M61" s="64">
        <v>97.45</v>
      </c>
      <c r="N61" s="64">
        <v>233</v>
      </c>
      <c r="O61" s="64">
        <v>0</v>
      </c>
      <c r="P61" s="64">
        <v>0.57999999999999996</v>
      </c>
      <c r="Q61" s="64">
        <v>9.06</v>
      </c>
      <c r="R61" s="198"/>
      <c r="S61" s="198"/>
      <c r="T61" s="198"/>
      <c r="U61" s="198"/>
    </row>
    <row r="62" spans="1:21" s="12" customFormat="1" x14ac:dyDescent="0.25">
      <c r="A62" s="211" t="s">
        <v>685</v>
      </c>
      <c r="B62" s="64">
        <v>8.99</v>
      </c>
      <c r="C62" s="64">
        <v>10.36</v>
      </c>
      <c r="D62" s="64">
        <v>12.62</v>
      </c>
      <c r="E62" s="64">
        <v>3.61</v>
      </c>
      <c r="F62" s="64">
        <v>10.49</v>
      </c>
      <c r="G62" s="64">
        <v>41.53</v>
      </c>
      <c r="H62" s="64">
        <v>9.33</v>
      </c>
      <c r="I62" s="64">
        <v>2.13</v>
      </c>
      <c r="J62" s="64">
        <v>2.58</v>
      </c>
      <c r="K62" s="64">
        <v>332.63</v>
      </c>
      <c r="L62" s="64">
        <v>26.99</v>
      </c>
      <c r="M62" s="64">
        <v>98</v>
      </c>
      <c r="N62" s="64">
        <v>78.5</v>
      </c>
      <c r="O62" s="64">
        <v>0</v>
      </c>
      <c r="P62" s="64">
        <v>0.55000000000000004</v>
      </c>
      <c r="Q62" s="64">
        <v>9.08</v>
      </c>
      <c r="R62" s="198"/>
      <c r="S62" s="198"/>
      <c r="T62" s="198"/>
      <c r="U62" s="198"/>
    </row>
    <row r="63" spans="1:21" s="12" customFormat="1" x14ac:dyDescent="0.25">
      <c r="A63" s="211" t="s">
        <v>686</v>
      </c>
      <c r="B63" s="64">
        <v>8.8699999999999992</v>
      </c>
      <c r="C63" s="64">
        <v>9.44</v>
      </c>
      <c r="D63" s="64">
        <v>12.04</v>
      </c>
      <c r="E63" s="64">
        <v>3.9</v>
      </c>
      <c r="F63" s="64">
        <v>9.18</v>
      </c>
      <c r="G63" s="64">
        <v>41.53</v>
      </c>
      <c r="H63" s="64">
        <v>9.33</v>
      </c>
      <c r="I63" s="64">
        <v>2.13</v>
      </c>
      <c r="J63" s="64">
        <v>2.15</v>
      </c>
      <c r="K63" s="64">
        <v>335.75</v>
      </c>
      <c r="L63" s="64">
        <v>23.43</v>
      </c>
      <c r="M63" s="64">
        <v>98.14</v>
      </c>
      <c r="N63" s="64">
        <v>74.099999999999994</v>
      </c>
      <c r="O63" s="64">
        <v>0</v>
      </c>
      <c r="P63" s="64">
        <v>0.48</v>
      </c>
      <c r="Q63" s="64">
        <v>9.07</v>
      </c>
      <c r="R63" s="198"/>
      <c r="S63" s="198"/>
      <c r="T63" s="198"/>
      <c r="U63" s="198"/>
    </row>
    <row r="64" spans="1:21" s="12" customFormat="1" x14ac:dyDescent="0.25">
      <c r="A64" s="211" t="s">
        <v>687</v>
      </c>
      <c r="B64" s="64">
        <v>9.01</v>
      </c>
      <c r="C64" s="64">
        <v>8.6999999999999993</v>
      </c>
      <c r="D64" s="64">
        <v>11.77</v>
      </c>
      <c r="E64" s="64">
        <v>4.0599999999999996</v>
      </c>
      <c r="F64" s="64">
        <v>8.3800000000000008</v>
      </c>
      <c r="G64" s="64">
        <v>41.53</v>
      </c>
      <c r="H64" s="64">
        <v>9.33</v>
      </c>
      <c r="I64" s="64">
        <v>2.04</v>
      </c>
      <c r="J64" s="64">
        <v>0.15</v>
      </c>
      <c r="K64" s="64">
        <v>102.62</v>
      </c>
      <c r="L64" s="64">
        <v>22.62</v>
      </c>
      <c r="M64" s="64">
        <v>98.16</v>
      </c>
      <c r="N64" s="64">
        <v>56.2</v>
      </c>
      <c r="O64" s="64">
        <v>0</v>
      </c>
      <c r="P64" s="64">
        <v>0.45</v>
      </c>
      <c r="Q64" s="64">
        <v>9.06</v>
      </c>
      <c r="R64" s="198"/>
      <c r="S64" s="198"/>
      <c r="T64" s="198"/>
      <c r="U64" s="198"/>
    </row>
    <row r="65" spans="1:21" s="12" customFormat="1" x14ac:dyDescent="0.25">
      <c r="A65" s="211" t="s">
        <v>688</v>
      </c>
      <c r="B65" s="64">
        <v>9.2100000000000009</v>
      </c>
      <c r="C65" s="64">
        <v>9.65</v>
      </c>
      <c r="D65" s="64">
        <v>12.43</v>
      </c>
      <c r="E65" s="64">
        <v>4.03</v>
      </c>
      <c r="F65" s="64">
        <v>9.1999999999999993</v>
      </c>
      <c r="G65" s="64">
        <v>37.14</v>
      </c>
      <c r="H65" s="64">
        <v>7.69</v>
      </c>
      <c r="I65" s="64">
        <v>1.91</v>
      </c>
      <c r="J65" s="64">
        <v>0.38</v>
      </c>
      <c r="K65" s="64">
        <v>153.59</v>
      </c>
      <c r="L65" s="64">
        <v>22.1</v>
      </c>
      <c r="M65" s="64">
        <v>98.17</v>
      </c>
      <c r="N65" s="64">
        <v>53.1</v>
      </c>
      <c r="O65" s="64">
        <v>0</v>
      </c>
      <c r="P65" s="64">
        <v>0.41</v>
      </c>
      <c r="Q65" s="64">
        <v>9.06</v>
      </c>
      <c r="R65" s="198"/>
      <c r="S65" s="198"/>
      <c r="T65" s="198"/>
      <c r="U65" s="198"/>
    </row>
    <row r="66" spans="1:21" s="12" customFormat="1" x14ac:dyDescent="0.25">
      <c r="A66" s="211" t="s">
        <v>689</v>
      </c>
      <c r="B66" s="64">
        <v>8.7899999999999991</v>
      </c>
      <c r="C66" s="64">
        <v>8.81</v>
      </c>
      <c r="D66" s="64">
        <v>11.65</v>
      </c>
      <c r="E66" s="64">
        <v>3.74</v>
      </c>
      <c r="F66" s="64">
        <v>8.3699999999999992</v>
      </c>
      <c r="G66" s="64">
        <v>36.83</v>
      </c>
      <c r="H66" s="64">
        <v>7.69</v>
      </c>
      <c r="I66" s="64">
        <v>1.87</v>
      </c>
      <c r="J66" s="64">
        <v>0.92</v>
      </c>
      <c r="K66" s="64">
        <v>143.22999999999999</v>
      </c>
      <c r="L66" s="64">
        <v>21.76</v>
      </c>
      <c r="M66" s="64">
        <v>98.18</v>
      </c>
      <c r="N66" s="64">
        <v>55</v>
      </c>
      <c r="O66" s="64">
        <v>0</v>
      </c>
      <c r="P66" s="64">
        <v>0.46</v>
      </c>
      <c r="Q66" s="64">
        <v>9.06</v>
      </c>
      <c r="R66" s="198"/>
      <c r="S66" s="198"/>
      <c r="T66" s="198"/>
      <c r="U66" s="198"/>
    </row>
    <row r="67" spans="1:21" s="12" customFormat="1" x14ac:dyDescent="0.25">
      <c r="A67" s="211" t="s">
        <v>690</v>
      </c>
      <c r="B67" s="64">
        <v>8.91</v>
      </c>
      <c r="C67" s="64">
        <v>8.19</v>
      </c>
      <c r="D67" s="64">
        <v>11.43</v>
      </c>
      <c r="E67" s="64">
        <v>3.75</v>
      </c>
      <c r="F67" s="64">
        <v>7.39</v>
      </c>
      <c r="G67" s="64">
        <v>36.83</v>
      </c>
      <c r="H67" s="64">
        <v>7.69</v>
      </c>
      <c r="I67" s="64">
        <v>1.86</v>
      </c>
      <c r="J67" s="64">
        <v>1.24</v>
      </c>
      <c r="K67" s="64">
        <v>143.72</v>
      </c>
      <c r="L67" s="64">
        <v>21.3</v>
      </c>
      <c r="M67" s="64">
        <v>98.22</v>
      </c>
      <c r="N67" s="64">
        <v>57.9</v>
      </c>
      <c r="O67" s="64">
        <v>0</v>
      </c>
      <c r="P67" s="64">
        <v>0.46</v>
      </c>
      <c r="Q67" s="64">
        <v>9.07</v>
      </c>
      <c r="R67" s="198"/>
      <c r="S67" s="198"/>
      <c r="T67" s="198"/>
      <c r="U67" s="198"/>
    </row>
    <row r="68" spans="1:21" s="12" customFormat="1" x14ac:dyDescent="0.25">
      <c r="A68" s="211" t="s">
        <v>691</v>
      </c>
      <c r="B68" s="64">
        <v>8.67</v>
      </c>
      <c r="C68" s="64">
        <v>8.1199999999999992</v>
      </c>
      <c r="D68" s="64">
        <v>11.19</v>
      </c>
      <c r="E68" s="64">
        <v>3.72</v>
      </c>
      <c r="F68" s="64">
        <v>9.52</v>
      </c>
      <c r="G68" s="64">
        <v>36.83</v>
      </c>
      <c r="H68" s="64">
        <v>7.69</v>
      </c>
      <c r="I68" s="64">
        <v>1.82</v>
      </c>
      <c r="J68" s="64">
        <v>0.33</v>
      </c>
      <c r="K68" s="64">
        <v>153.63</v>
      </c>
      <c r="L68" s="64">
        <v>21.19</v>
      </c>
      <c r="M68" s="64">
        <v>98.2</v>
      </c>
      <c r="N68" s="64">
        <v>62.6</v>
      </c>
      <c r="O68" s="64">
        <v>0</v>
      </c>
      <c r="P68" s="64">
        <v>0.42</v>
      </c>
      <c r="Q68" s="64">
        <v>9.06</v>
      </c>
      <c r="R68" s="198"/>
      <c r="S68" s="198"/>
      <c r="T68" s="198"/>
      <c r="U68" s="198"/>
    </row>
    <row r="69" spans="1:21" s="12" customFormat="1" x14ac:dyDescent="0.25">
      <c r="A69" s="211" t="s">
        <v>692</v>
      </c>
      <c r="B69" s="64">
        <v>8.89</v>
      </c>
      <c r="C69" s="64">
        <v>13.53</v>
      </c>
      <c r="D69" s="64">
        <v>14.2</v>
      </c>
      <c r="E69" s="64">
        <v>3.86</v>
      </c>
      <c r="F69" s="64">
        <v>8.9700000000000006</v>
      </c>
      <c r="G69" s="64">
        <v>24.8</v>
      </c>
      <c r="H69" s="64">
        <v>12.71</v>
      </c>
      <c r="I69" s="64">
        <v>1.79</v>
      </c>
      <c r="J69" s="64">
        <v>0.17</v>
      </c>
      <c r="K69" s="64">
        <v>98.2</v>
      </c>
      <c r="L69" s="64">
        <v>21.39</v>
      </c>
      <c r="M69" s="64">
        <v>98.2</v>
      </c>
      <c r="N69" s="64">
        <v>75.400000000000006</v>
      </c>
      <c r="O69" s="64">
        <v>0</v>
      </c>
      <c r="P69" s="64">
        <v>0.38</v>
      </c>
      <c r="Q69" s="64">
        <v>9.0500000000000007</v>
      </c>
      <c r="R69" s="198"/>
      <c r="S69" s="198"/>
      <c r="T69" s="198"/>
      <c r="U69" s="198"/>
    </row>
    <row r="70" spans="1:21" s="12" customFormat="1" x14ac:dyDescent="0.25">
      <c r="A70" s="211" t="s">
        <v>693</v>
      </c>
      <c r="B70" s="64">
        <v>9.17</v>
      </c>
      <c r="C70" s="64">
        <v>9.23</v>
      </c>
      <c r="D70" s="64">
        <v>12.18</v>
      </c>
      <c r="E70" s="64">
        <v>3.47</v>
      </c>
      <c r="F70" s="64">
        <v>9.73</v>
      </c>
      <c r="G70" s="64">
        <v>23.94</v>
      </c>
      <c r="H70" s="64">
        <v>12.71</v>
      </c>
      <c r="I70" s="64">
        <v>1.76</v>
      </c>
      <c r="J70" s="64">
        <v>0.03</v>
      </c>
      <c r="K70" s="64">
        <v>179.39</v>
      </c>
      <c r="L70" s="64">
        <v>21.64</v>
      </c>
      <c r="M70" s="64">
        <v>98.17</v>
      </c>
      <c r="N70" s="64">
        <v>104.3</v>
      </c>
      <c r="O70" s="64">
        <v>0</v>
      </c>
      <c r="P70" s="64">
        <v>0.42</v>
      </c>
      <c r="Q70" s="64">
        <v>9.0500000000000007</v>
      </c>
      <c r="R70" s="198"/>
      <c r="S70" s="198"/>
      <c r="T70" s="198"/>
      <c r="U70" s="198"/>
    </row>
    <row r="71" spans="1:21" s="12" customFormat="1" x14ac:dyDescent="0.25">
      <c r="A71" s="211" t="s">
        <v>694</v>
      </c>
      <c r="B71" s="64">
        <v>9</v>
      </c>
      <c r="C71" s="64">
        <v>9.84</v>
      </c>
      <c r="D71" s="64">
        <v>12.36</v>
      </c>
      <c r="E71" s="64">
        <v>4.05</v>
      </c>
      <c r="F71" s="64">
        <v>7.9</v>
      </c>
      <c r="G71" s="64">
        <v>23.94</v>
      </c>
      <c r="H71" s="64">
        <v>12.71</v>
      </c>
      <c r="I71" s="64">
        <v>1.74</v>
      </c>
      <c r="J71" s="64">
        <v>0.04</v>
      </c>
      <c r="K71" s="64">
        <v>101.73</v>
      </c>
      <c r="L71" s="64">
        <v>22.21</v>
      </c>
      <c r="M71" s="64">
        <v>98.15</v>
      </c>
      <c r="N71" s="64">
        <v>122.4</v>
      </c>
      <c r="O71" s="64">
        <v>0</v>
      </c>
      <c r="P71" s="64">
        <v>0.43</v>
      </c>
      <c r="Q71" s="64">
        <v>9.06</v>
      </c>
      <c r="R71" s="198"/>
      <c r="S71" s="198"/>
      <c r="T71" s="198"/>
      <c r="U71" s="198"/>
    </row>
    <row r="72" spans="1:21" s="12" customFormat="1" x14ac:dyDescent="0.25">
      <c r="A72" s="211" t="s">
        <v>695</v>
      </c>
      <c r="B72" s="64">
        <v>10.07</v>
      </c>
      <c r="C72" s="64">
        <v>16.399999999999999</v>
      </c>
      <c r="D72" s="64">
        <v>16.649999999999999</v>
      </c>
      <c r="E72" s="64">
        <v>4.7300000000000004</v>
      </c>
      <c r="F72" s="64">
        <v>11.17</v>
      </c>
      <c r="G72" s="64">
        <v>23.94</v>
      </c>
      <c r="H72" s="64">
        <v>12.71</v>
      </c>
      <c r="I72" s="64">
        <v>1.73</v>
      </c>
      <c r="J72" s="64">
        <v>0.04</v>
      </c>
      <c r="K72" s="64">
        <v>221.33</v>
      </c>
      <c r="L72" s="64">
        <v>22.49</v>
      </c>
      <c r="M72" s="64">
        <v>98.12</v>
      </c>
      <c r="N72" s="64">
        <v>110.9</v>
      </c>
      <c r="O72" s="64">
        <v>0</v>
      </c>
      <c r="P72" s="64">
        <v>0.43</v>
      </c>
      <c r="Q72" s="64">
        <v>9.06</v>
      </c>
      <c r="R72" s="198"/>
      <c r="S72" s="198"/>
      <c r="T72" s="198"/>
      <c r="U72" s="198"/>
    </row>
    <row r="73" spans="1:21" s="12" customFormat="1" x14ac:dyDescent="0.25">
      <c r="A73" s="211" t="s">
        <v>696</v>
      </c>
      <c r="B73" s="64">
        <v>9.18</v>
      </c>
      <c r="C73" s="64">
        <v>9.4600000000000009</v>
      </c>
      <c r="D73" s="64">
        <v>12.3</v>
      </c>
      <c r="E73" s="64">
        <v>4.97</v>
      </c>
      <c r="F73" s="64">
        <v>13.95</v>
      </c>
      <c r="G73" s="64">
        <v>16.559999999999999</v>
      </c>
      <c r="H73" s="64">
        <v>12.39</v>
      </c>
      <c r="I73" s="64">
        <v>1.72</v>
      </c>
      <c r="J73" s="64">
        <v>0.08</v>
      </c>
      <c r="K73" s="64">
        <v>215.09</v>
      </c>
      <c r="L73" s="64">
        <v>22.74</v>
      </c>
      <c r="M73" s="64">
        <v>98.07</v>
      </c>
      <c r="N73" s="64">
        <v>107.3</v>
      </c>
      <c r="O73" s="64">
        <v>0</v>
      </c>
      <c r="P73" s="64">
        <v>0.39</v>
      </c>
      <c r="Q73" s="64">
        <v>9.07</v>
      </c>
      <c r="R73" s="198"/>
      <c r="S73" s="198"/>
      <c r="T73" s="198"/>
      <c r="U73" s="198"/>
    </row>
    <row r="74" spans="1:21" s="12" customFormat="1" x14ac:dyDescent="0.25">
      <c r="A74" s="211" t="s">
        <v>697</v>
      </c>
      <c r="B74" s="64">
        <v>8.81</v>
      </c>
      <c r="C74" s="64">
        <v>10.83</v>
      </c>
      <c r="D74" s="64">
        <v>12.72</v>
      </c>
      <c r="E74" s="64">
        <v>4.97</v>
      </c>
      <c r="F74" s="64">
        <v>10.52</v>
      </c>
      <c r="G74" s="64">
        <v>16.04</v>
      </c>
      <c r="H74" s="64">
        <v>12.39</v>
      </c>
      <c r="I74" s="64">
        <v>1.71</v>
      </c>
      <c r="J74" s="64">
        <v>0.12</v>
      </c>
      <c r="K74" s="64">
        <v>151.38</v>
      </c>
      <c r="L74" s="64">
        <v>22.86</v>
      </c>
      <c r="M74" s="64">
        <v>98.07</v>
      </c>
      <c r="N74" s="64">
        <v>103.6</v>
      </c>
      <c r="O74" s="64">
        <v>0</v>
      </c>
      <c r="P74" s="64">
        <v>0.38</v>
      </c>
      <c r="Q74" s="64">
        <v>9.08</v>
      </c>
      <c r="R74" s="198"/>
      <c r="S74" s="198"/>
      <c r="T74" s="198"/>
      <c r="U74" s="198"/>
    </row>
    <row r="75" spans="1:21" s="12" customFormat="1" x14ac:dyDescent="0.25">
      <c r="A75" s="211" t="s">
        <v>698</v>
      </c>
      <c r="B75" s="64">
        <v>9.4600000000000009</v>
      </c>
      <c r="C75" s="64">
        <v>17.84</v>
      </c>
      <c r="D75" s="64">
        <v>16.91</v>
      </c>
      <c r="E75" s="64">
        <v>4.99</v>
      </c>
      <c r="F75" s="64">
        <v>10.199999999999999</v>
      </c>
      <c r="G75" s="64">
        <v>16.04</v>
      </c>
      <c r="H75" s="64">
        <v>12.39</v>
      </c>
      <c r="I75" s="64">
        <v>1.7</v>
      </c>
      <c r="J75" s="64">
        <v>0.21</v>
      </c>
      <c r="K75" s="64">
        <v>142.16999999999999</v>
      </c>
      <c r="L75" s="64">
        <v>22.99</v>
      </c>
      <c r="M75" s="64">
        <v>98.07</v>
      </c>
      <c r="N75" s="64">
        <v>92.2</v>
      </c>
      <c r="O75" s="64">
        <v>0</v>
      </c>
      <c r="P75" s="64">
        <v>0.37</v>
      </c>
      <c r="Q75" s="64">
        <v>9.08</v>
      </c>
      <c r="R75" s="198"/>
      <c r="S75" s="198"/>
      <c r="T75" s="198"/>
      <c r="U75" s="198"/>
    </row>
    <row r="76" spans="1:21" s="12" customFormat="1" x14ac:dyDescent="0.25">
      <c r="A76" s="211" t="s">
        <v>699</v>
      </c>
      <c r="B76" s="64">
        <v>9.1999999999999993</v>
      </c>
      <c r="C76" s="64">
        <v>14.52</v>
      </c>
      <c r="D76" s="64">
        <v>14.96</v>
      </c>
      <c r="E76" s="64">
        <v>4.96</v>
      </c>
      <c r="F76" s="64">
        <v>11.88</v>
      </c>
      <c r="G76" s="64">
        <v>16.04</v>
      </c>
      <c r="H76" s="64">
        <v>12.39</v>
      </c>
      <c r="I76" s="64">
        <v>1.7</v>
      </c>
      <c r="J76" s="64">
        <v>0.05</v>
      </c>
      <c r="K76" s="64">
        <v>172.05</v>
      </c>
      <c r="L76" s="64">
        <v>22.96</v>
      </c>
      <c r="M76" s="64">
        <v>98.05</v>
      </c>
      <c r="N76" s="64">
        <v>74.7</v>
      </c>
      <c r="O76" s="64">
        <v>0</v>
      </c>
      <c r="P76" s="64">
        <v>0.33</v>
      </c>
      <c r="Q76" s="64">
        <v>9.09</v>
      </c>
      <c r="R76" s="198"/>
      <c r="S76" s="198"/>
      <c r="T76" s="198"/>
      <c r="U76" s="198"/>
    </row>
    <row r="77" spans="1:21" s="12" customFormat="1" x14ac:dyDescent="0.25">
      <c r="A77" s="211" t="s">
        <v>700</v>
      </c>
      <c r="B77" s="64">
        <v>9.66</v>
      </c>
      <c r="C77" s="64">
        <v>12.41</v>
      </c>
      <c r="D77" s="64">
        <v>14.23</v>
      </c>
      <c r="E77" s="64">
        <v>4.88</v>
      </c>
      <c r="F77" s="64">
        <v>10.07</v>
      </c>
      <c r="G77" s="64">
        <v>14</v>
      </c>
      <c r="H77" s="64">
        <v>9.83</v>
      </c>
      <c r="I77" s="64">
        <v>1.7</v>
      </c>
      <c r="J77" s="64">
        <v>0.05</v>
      </c>
      <c r="K77" s="64">
        <v>197.72</v>
      </c>
      <c r="L77" s="64">
        <v>22.91</v>
      </c>
      <c r="M77" s="64">
        <v>98.07</v>
      </c>
      <c r="N77" s="64">
        <v>61.9</v>
      </c>
      <c r="O77" s="64">
        <v>0</v>
      </c>
      <c r="P77" s="64">
        <v>0.41</v>
      </c>
      <c r="Q77" s="64">
        <v>9.1</v>
      </c>
      <c r="R77" s="198"/>
      <c r="S77" s="198"/>
      <c r="T77" s="198"/>
      <c r="U77" s="198"/>
    </row>
    <row r="78" spans="1:21" s="12" customFormat="1" x14ac:dyDescent="0.25">
      <c r="A78" s="211" t="s">
        <v>701</v>
      </c>
      <c r="B78" s="64">
        <v>18.84</v>
      </c>
      <c r="C78" s="64">
        <v>11.04</v>
      </c>
      <c r="D78" s="64">
        <v>20.86</v>
      </c>
      <c r="E78" s="64">
        <v>4.8899999999999997</v>
      </c>
      <c r="F78" s="64">
        <v>10.44</v>
      </c>
      <c r="G78" s="64">
        <v>13.86</v>
      </c>
      <c r="H78" s="64">
        <v>9.83</v>
      </c>
      <c r="I78" s="64">
        <v>1.69</v>
      </c>
      <c r="J78" s="64">
        <v>0.06</v>
      </c>
      <c r="K78" s="64">
        <v>236.59</v>
      </c>
      <c r="L78" s="64">
        <v>22.96</v>
      </c>
      <c r="M78" s="64">
        <v>98.12</v>
      </c>
      <c r="N78" s="64">
        <v>52.4</v>
      </c>
      <c r="O78" s="64">
        <v>0</v>
      </c>
      <c r="P78" s="64">
        <v>0.6</v>
      </c>
      <c r="Q78" s="64">
        <v>9.11</v>
      </c>
      <c r="R78" s="198"/>
      <c r="S78" s="198"/>
      <c r="T78" s="198"/>
      <c r="U78" s="198"/>
    </row>
    <row r="79" spans="1:21" s="12" customFormat="1" x14ac:dyDescent="0.25">
      <c r="A79" s="211" t="s">
        <v>702</v>
      </c>
      <c r="B79" s="64">
        <v>17.559999999999999</v>
      </c>
      <c r="C79" s="64">
        <v>9.8699999999999992</v>
      </c>
      <c r="D79" s="64">
        <v>19.239999999999998</v>
      </c>
      <c r="E79" s="64">
        <v>5.01</v>
      </c>
      <c r="F79" s="64">
        <v>10.77</v>
      </c>
      <c r="G79" s="64">
        <v>13.86</v>
      </c>
      <c r="H79" s="64">
        <v>9.83</v>
      </c>
      <c r="I79" s="64">
        <v>1.69</v>
      </c>
      <c r="J79" s="64">
        <v>0.05</v>
      </c>
      <c r="K79" s="64">
        <v>287.95999999999998</v>
      </c>
      <c r="L79" s="64">
        <v>22.92</v>
      </c>
      <c r="M79" s="64">
        <v>98.13</v>
      </c>
      <c r="N79" s="64">
        <v>47.4</v>
      </c>
      <c r="O79" s="64">
        <v>0</v>
      </c>
      <c r="P79" s="64">
        <v>0.56999999999999995</v>
      </c>
      <c r="Q79" s="64">
        <v>9.11</v>
      </c>
      <c r="R79" s="198"/>
      <c r="S79" s="198"/>
      <c r="T79" s="198"/>
      <c r="U79" s="198"/>
    </row>
    <row r="80" spans="1:21" s="12" customFormat="1" x14ac:dyDescent="0.25">
      <c r="A80" s="211" t="s">
        <v>703</v>
      </c>
      <c r="B80" s="64">
        <v>9.35</v>
      </c>
      <c r="C80" s="64">
        <v>11.92</v>
      </c>
      <c r="D80" s="64">
        <v>13.72</v>
      </c>
      <c r="E80" s="64">
        <v>5.07</v>
      </c>
      <c r="F80" s="64">
        <v>8.81</v>
      </c>
      <c r="G80" s="64">
        <v>13.86</v>
      </c>
      <c r="H80" s="64">
        <v>9.83</v>
      </c>
      <c r="I80" s="64">
        <v>1.72</v>
      </c>
      <c r="J80" s="64">
        <v>0.04</v>
      </c>
      <c r="K80" s="64">
        <v>144</v>
      </c>
      <c r="L80" s="64">
        <v>22.91</v>
      </c>
      <c r="M80" s="64">
        <v>98.13</v>
      </c>
      <c r="N80" s="64">
        <v>46.3</v>
      </c>
      <c r="O80" s="64">
        <v>0</v>
      </c>
      <c r="P80" s="64">
        <v>0.45</v>
      </c>
      <c r="Q80" s="64">
        <v>9.1199999999999992</v>
      </c>
      <c r="R80" s="198"/>
      <c r="S80" s="198"/>
      <c r="T80" s="198"/>
      <c r="U80" s="198"/>
    </row>
    <row r="81" spans="1:26" s="12" customFormat="1" x14ac:dyDescent="0.25">
      <c r="A81" s="211" t="s">
        <v>704</v>
      </c>
      <c r="B81" s="64">
        <v>12.5</v>
      </c>
      <c r="C81" s="64">
        <v>10.9</v>
      </c>
      <c r="D81" s="64">
        <v>15.72</v>
      </c>
      <c r="E81" s="64">
        <v>5.4</v>
      </c>
      <c r="F81" s="64">
        <v>8.76</v>
      </c>
      <c r="G81" s="64">
        <v>16.66</v>
      </c>
      <c r="H81" s="64">
        <v>8.0399999999999991</v>
      </c>
      <c r="I81" s="64">
        <v>1.73</v>
      </c>
      <c r="J81" s="64">
        <v>0.26</v>
      </c>
      <c r="K81" s="64">
        <v>140.51</v>
      </c>
      <c r="L81" s="64">
        <v>22.94</v>
      </c>
      <c r="M81" s="64">
        <v>98.12</v>
      </c>
      <c r="N81" s="64">
        <v>46.4</v>
      </c>
      <c r="O81" s="64">
        <v>0</v>
      </c>
      <c r="P81" s="64">
        <v>0.44</v>
      </c>
      <c r="Q81" s="64">
        <v>9.11</v>
      </c>
      <c r="R81" s="198"/>
      <c r="S81" s="198"/>
      <c r="T81" s="198"/>
      <c r="U81" s="198"/>
    </row>
    <row r="82" spans="1:26" s="12" customFormat="1" x14ac:dyDescent="0.25">
      <c r="A82" s="211" t="s">
        <v>705</v>
      </c>
      <c r="B82" s="64">
        <v>12.5</v>
      </c>
      <c r="C82" s="64">
        <v>8.64</v>
      </c>
      <c r="D82" s="64">
        <v>14.54</v>
      </c>
      <c r="E82" s="64">
        <v>5.15</v>
      </c>
      <c r="F82" s="64">
        <v>9.66</v>
      </c>
      <c r="G82" s="64">
        <v>16.86</v>
      </c>
      <c r="H82" s="64">
        <v>8.0399999999999991</v>
      </c>
      <c r="I82" s="64">
        <v>1.69</v>
      </c>
      <c r="J82" s="64">
        <v>0.02</v>
      </c>
      <c r="K82" s="64">
        <v>120.1</v>
      </c>
      <c r="L82" s="64">
        <v>22.88</v>
      </c>
      <c r="M82" s="64">
        <v>98.13</v>
      </c>
      <c r="N82" s="64">
        <v>46.3</v>
      </c>
      <c r="O82" s="64">
        <v>0</v>
      </c>
      <c r="P82" s="64">
        <v>0.49</v>
      </c>
      <c r="Q82" s="64">
        <v>9.1</v>
      </c>
      <c r="R82" s="198"/>
      <c r="S82" s="198"/>
      <c r="T82" s="198"/>
      <c r="U82" s="198"/>
    </row>
    <row r="83" spans="1:26" s="12" customFormat="1" x14ac:dyDescent="0.25">
      <c r="A83" s="211" t="s">
        <v>706</v>
      </c>
      <c r="B83" s="64">
        <v>16.8</v>
      </c>
      <c r="C83" s="64">
        <v>10.5</v>
      </c>
      <c r="D83" s="64">
        <v>18.96</v>
      </c>
      <c r="E83" s="64">
        <v>5.0199999999999996</v>
      </c>
      <c r="F83" s="64">
        <v>9.14</v>
      </c>
      <c r="G83" s="64">
        <v>16.86</v>
      </c>
      <c r="H83" s="64">
        <v>8.0399999999999991</v>
      </c>
      <c r="I83" s="64">
        <v>1.56</v>
      </c>
      <c r="J83" s="64">
        <v>0.25</v>
      </c>
      <c r="K83" s="64">
        <v>330.76</v>
      </c>
      <c r="L83" s="64">
        <v>22.99</v>
      </c>
      <c r="M83" s="64">
        <v>98.16</v>
      </c>
      <c r="N83" s="64">
        <v>46</v>
      </c>
      <c r="O83" s="64">
        <v>0</v>
      </c>
      <c r="P83" s="64">
        <v>0.7</v>
      </c>
      <c r="Q83" s="64">
        <v>9.09</v>
      </c>
      <c r="R83" s="198"/>
      <c r="S83" s="198"/>
      <c r="T83" s="198"/>
      <c r="U83" s="198"/>
    </row>
    <row r="84" spans="1:26" s="12" customFormat="1" x14ac:dyDescent="0.25">
      <c r="A84" s="211" t="s">
        <v>707</v>
      </c>
      <c r="B84" s="64">
        <v>13.36</v>
      </c>
      <c r="C84" s="64">
        <v>12.22</v>
      </c>
      <c r="D84" s="64">
        <v>17.100000000000001</v>
      </c>
      <c r="E84" s="64">
        <v>5.22</v>
      </c>
      <c r="F84" s="64">
        <v>8.73</v>
      </c>
      <c r="G84" s="64">
        <v>16.86</v>
      </c>
      <c r="H84" s="64">
        <v>8.0399999999999991</v>
      </c>
      <c r="I84" s="64">
        <v>1.49</v>
      </c>
      <c r="J84" s="64">
        <v>0.02</v>
      </c>
      <c r="K84" s="64">
        <v>263.77</v>
      </c>
      <c r="L84" s="64">
        <v>22.98</v>
      </c>
      <c r="M84" s="64">
        <v>98.18</v>
      </c>
      <c r="N84" s="64">
        <v>46.1</v>
      </c>
      <c r="O84" s="64">
        <v>0</v>
      </c>
      <c r="P84" s="64">
        <v>0.67</v>
      </c>
      <c r="Q84" s="64">
        <v>9.11</v>
      </c>
      <c r="R84" s="198"/>
      <c r="S84" s="198"/>
      <c r="T84" s="198"/>
      <c r="U84" s="198"/>
    </row>
    <row r="85" spans="1:26" s="12" customFormat="1" x14ac:dyDescent="0.25">
      <c r="A85" s="211" t="s">
        <v>708</v>
      </c>
      <c r="B85" s="64">
        <v>13.52</v>
      </c>
      <c r="C85" s="64">
        <v>9.07</v>
      </c>
      <c r="D85" s="64">
        <v>15.58</v>
      </c>
      <c r="E85" s="64">
        <v>5.21</v>
      </c>
      <c r="F85" s="64">
        <v>9.56</v>
      </c>
      <c r="G85" s="64">
        <v>18.350000000000001</v>
      </c>
      <c r="H85" s="64">
        <v>11.07</v>
      </c>
      <c r="I85" s="64">
        <v>1.51</v>
      </c>
      <c r="J85" s="64">
        <v>0.32</v>
      </c>
      <c r="K85" s="64">
        <v>332.72</v>
      </c>
      <c r="L85" s="64">
        <v>23</v>
      </c>
      <c r="M85" s="64">
        <v>98.17</v>
      </c>
      <c r="N85" s="64">
        <v>45.8</v>
      </c>
      <c r="O85" s="64">
        <v>0</v>
      </c>
      <c r="P85" s="64">
        <v>0.54</v>
      </c>
      <c r="Q85" s="64">
        <v>9.1199999999999992</v>
      </c>
      <c r="R85" s="198"/>
      <c r="S85" s="198"/>
      <c r="T85" s="198"/>
      <c r="U85" s="198"/>
    </row>
    <row r="86" spans="1:26" s="12" customFormat="1" x14ac:dyDescent="0.25">
      <c r="A86" s="211" t="s">
        <v>709</v>
      </c>
      <c r="B86" s="64">
        <v>23.88</v>
      </c>
      <c r="C86" s="64">
        <v>8.8699999999999992</v>
      </c>
      <c r="D86" s="64">
        <v>23.78</v>
      </c>
      <c r="E86" s="64">
        <v>5</v>
      </c>
      <c r="F86" s="64">
        <v>15.58</v>
      </c>
      <c r="G86" s="64">
        <v>18.46</v>
      </c>
      <c r="H86" s="64">
        <v>11.07</v>
      </c>
      <c r="I86" s="64">
        <v>1.53</v>
      </c>
      <c r="J86" s="64">
        <v>0.23</v>
      </c>
      <c r="K86" s="64">
        <v>327.19</v>
      </c>
      <c r="L86" s="64">
        <v>23.13</v>
      </c>
      <c r="M86" s="64">
        <v>98.18</v>
      </c>
      <c r="N86" s="64">
        <v>46</v>
      </c>
      <c r="O86" s="64">
        <v>0</v>
      </c>
      <c r="P86" s="64">
        <v>0.87</v>
      </c>
      <c r="Q86" s="64">
        <v>9.14</v>
      </c>
      <c r="R86" s="198"/>
      <c r="S86" s="198"/>
      <c r="T86" s="198"/>
      <c r="U86" s="198"/>
    </row>
    <row r="87" spans="1:26" s="12" customFormat="1" x14ac:dyDescent="0.25">
      <c r="A87" s="211" t="s">
        <v>710</v>
      </c>
      <c r="B87" s="64">
        <v>14.4</v>
      </c>
      <c r="C87" s="64">
        <v>5.43</v>
      </c>
      <c r="D87" s="64">
        <v>14.39</v>
      </c>
      <c r="E87" s="64">
        <v>4.8600000000000003</v>
      </c>
      <c r="F87" s="64">
        <v>10.79</v>
      </c>
      <c r="G87" s="64">
        <v>18.46</v>
      </c>
      <c r="H87" s="64">
        <v>11.07</v>
      </c>
      <c r="I87" s="64">
        <v>1.58</v>
      </c>
      <c r="J87" s="64">
        <v>0.15</v>
      </c>
      <c r="K87" s="64">
        <v>309.42</v>
      </c>
      <c r="L87" s="64">
        <v>23.14</v>
      </c>
      <c r="M87" s="64">
        <v>98.18</v>
      </c>
      <c r="N87" s="64">
        <v>46.5</v>
      </c>
      <c r="O87" s="64">
        <v>0</v>
      </c>
      <c r="P87" s="64">
        <v>0.55000000000000004</v>
      </c>
      <c r="Q87" s="64">
        <v>9.15</v>
      </c>
      <c r="R87" s="198"/>
      <c r="S87" s="198"/>
      <c r="T87" s="198"/>
      <c r="U87" s="198"/>
    </row>
    <row r="88" spans="1:26" s="12" customFormat="1" x14ac:dyDescent="0.25">
      <c r="A88" s="211" t="s">
        <v>711</v>
      </c>
      <c r="B88" s="64">
        <v>16.079999999999998</v>
      </c>
      <c r="C88" s="64">
        <v>6.78</v>
      </c>
      <c r="D88" s="64">
        <v>16.440000000000001</v>
      </c>
      <c r="E88" s="64">
        <v>5.21</v>
      </c>
      <c r="F88" s="64">
        <v>9.81</v>
      </c>
      <c r="G88" s="64">
        <v>18.46</v>
      </c>
      <c r="H88" s="64">
        <v>11.07</v>
      </c>
      <c r="I88" s="64">
        <v>1.63</v>
      </c>
      <c r="J88" s="64">
        <v>0.13</v>
      </c>
      <c r="K88" s="64">
        <v>297.47000000000003</v>
      </c>
      <c r="L88" s="64">
        <v>23.12</v>
      </c>
      <c r="M88" s="64">
        <v>98.18</v>
      </c>
      <c r="N88" s="64">
        <v>46.4</v>
      </c>
      <c r="O88" s="64">
        <v>0</v>
      </c>
      <c r="P88" s="64">
        <v>0.62</v>
      </c>
      <c r="Q88" s="64">
        <v>9.16</v>
      </c>
      <c r="R88" s="198"/>
      <c r="S88" s="198"/>
      <c r="T88" s="198"/>
      <c r="U88" s="198"/>
    </row>
    <row r="89" spans="1:26" s="12" customFormat="1" x14ac:dyDescent="0.25">
      <c r="A89" s="211" t="s">
        <v>712</v>
      </c>
      <c r="B89" s="64">
        <v>16.28</v>
      </c>
      <c r="C89" s="64">
        <v>5.64</v>
      </c>
      <c r="D89" s="64">
        <v>16</v>
      </c>
      <c r="E89" s="64">
        <v>5.04</v>
      </c>
      <c r="F89" s="64">
        <v>9.24</v>
      </c>
      <c r="G89" s="64">
        <v>26.44</v>
      </c>
      <c r="H89" s="64">
        <v>8.9</v>
      </c>
      <c r="I89" s="64">
        <v>1.66</v>
      </c>
      <c r="J89" s="64">
        <v>0.13</v>
      </c>
      <c r="K89" s="64">
        <v>299.18</v>
      </c>
      <c r="L89" s="64">
        <v>23.11</v>
      </c>
      <c r="M89" s="64">
        <v>98.16</v>
      </c>
      <c r="N89" s="64">
        <v>46.2</v>
      </c>
      <c r="O89" s="64">
        <v>0</v>
      </c>
      <c r="P89" s="64">
        <v>0.57999999999999996</v>
      </c>
      <c r="Q89" s="64">
        <v>9.18</v>
      </c>
      <c r="R89" s="198"/>
      <c r="S89" s="198"/>
      <c r="T89" s="198"/>
      <c r="U89" s="198"/>
    </row>
    <row r="90" spans="1:26" s="12" customFormat="1" x14ac:dyDescent="0.25">
      <c r="A90" s="211" t="s">
        <v>713</v>
      </c>
      <c r="B90" s="64">
        <v>15.24</v>
      </c>
      <c r="C90" s="64">
        <v>7.36</v>
      </c>
      <c r="D90" s="64">
        <v>16.07</v>
      </c>
      <c r="E90" s="64">
        <v>4.78</v>
      </c>
      <c r="F90" s="64">
        <v>8.57</v>
      </c>
      <c r="G90" s="64">
        <v>27.01</v>
      </c>
      <c r="H90" s="64">
        <v>8.9</v>
      </c>
      <c r="I90" s="64">
        <v>1.78</v>
      </c>
      <c r="J90" s="64">
        <v>0.25</v>
      </c>
      <c r="K90" s="64">
        <v>322.45999999999998</v>
      </c>
      <c r="L90" s="64">
        <v>23.15</v>
      </c>
      <c r="M90" s="64">
        <v>98.16</v>
      </c>
      <c r="N90" s="64">
        <v>46.5</v>
      </c>
      <c r="O90" s="64">
        <v>0</v>
      </c>
      <c r="P90" s="64">
        <v>0.69</v>
      </c>
      <c r="Q90" s="64">
        <v>9.19</v>
      </c>
      <c r="R90" s="198"/>
      <c r="S90" s="198"/>
      <c r="T90" s="198"/>
      <c r="U90" s="198"/>
    </row>
    <row r="91" spans="1:26" s="12" customFormat="1" x14ac:dyDescent="0.25">
      <c r="A91" s="211" t="s">
        <v>714</v>
      </c>
      <c r="B91" s="64">
        <v>14.19</v>
      </c>
      <c r="C91" s="64">
        <v>8.09</v>
      </c>
      <c r="D91" s="64">
        <v>15.6</v>
      </c>
      <c r="E91" s="64">
        <v>4.76</v>
      </c>
      <c r="F91" s="64">
        <v>10.11</v>
      </c>
      <c r="G91" s="64">
        <v>27.01</v>
      </c>
      <c r="H91" s="64">
        <v>8.9</v>
      </c>
      <c r="I91" s="64">
        <v>1.79</v>
      </c>
      <c r="J91" s="64">
        <v>0.31</v>
      </c>
      <c r="K91" s="64">
        <v>326.52999999999997</v>
      </c>
      <c r="L91" s="64">
        <v>22.97</v>
      </c>
      <c r="M91" s="64">
        <v>98.09</v>
      </c>
      <c r="N91" s="64">
        <v>47</v>
      </c>
      <c r="O91" s="64">
        <v>0</v>
      </c>
      <c r="P91" s="64">
        <v>0.57999999999999996</v>
      </c>
      <c r="Q91" s="64">
        <v>9.2100000000000009</v>
      </c>
      <c r="R91" s="198"/>
      <c r="S91" s="198"/>
      <c r="T91" s="198"/>
      <c r="U91" s="198"/>
    </row>
    <row r="92" spans="1:26" s="12" customFormat="1" x14ac:dyDescent="0.25">
      <c r="A92" s="211" t="s">
        <v>715</v>
      </c>
      <c r="B92" s="64">
        <v>18.239999999999998</v>
      </c>
      <c r="C92" s="64">
        <v>12.16</v>
      </c>
      <c r="D92" s="64">
        <v>20.98</v>
      </c>
      <c r="E92" s="64">
        <v>5.13</v>
      </c>
      <c r="F92" s="64">
        <v>9.35</v>
      </c>
      <c r="G92" s="64">
        <v>27.01</v>
      </c>
      <c r="H92" s="64">
        <v>8.9</v>
      </c>
      <c r="I92" s="64">
        <v>1.77</v>
      </c>
      <c r="J92" s="64">
        <v>0.15</v>
      </c>
      <c r="K92" s="64">
        <v>312.47000000000003</v>
      </c>
      <c r="L92" s="64">
        <v>22.81</v>
      </c>
      <c r="M92" s="64">
        <v>98.08</v>
      </c>
      <c r="N92" s="64">
        <v>46.4</v>
      </c>
      <c r="O92" s="64">
        <v>0</v>
      </c>
      <c r="P92" s="64">
        <v>0.7</v>
      </c>
      <c r="Q92" s="64">
        <v>9.2100000000000009</v>
      </c>
      <c r="R92" s="198"/>
      <c r="S92" s="198"/>
      <c r="T92" s="198"/>
      <c r="U92" s="198"/>
    </row>
    <row r="93" spans="1:26" s="12" customFormat="1" x14ac:dyDescent="0.25">
      <c r="A93" s="211" t="s">
        <v>716</v>
      </c>
      <c r="B93" s="64">
        <v>16.100000000000001</v>
      </c>
      <c r="C93" s="64">
        <v>10.86</v>
      </c>
      <c r="D93" s="64">
        <v>18.579999999999998</v>
      </c>
      <c r="E93" s="64">
        <v>4.96</v>
      </c>
      <c r="F93" s="64">
        <v>11.5</v>
      </c>
      <c r="G93" s="64">
        <v>27.34</v>
      </c>
      <c r="H93" s="64">
        <v>7.39</v>
      </c>
      <c r="I93" s="64">
        <v>1.82</v>
      </c>
      <c r="J93" s="64">
        <v>0.17</v>
      </c>
      <c r="K93" s="64">
        <v>322.07</v>
      </c>
      <c r="L93" s="64">
        <v>22.71</v>
      </c>
      <c r="M93" s="64">
        <v>98.08</v>
      </c>
      <c r="N93" s="64">
        <v>46.3</v>
      </c>
      <c r="O93" s="64">
        <v>0</v>
      </c>
      <c r="P93" s="64">
        <v>0.66</v>
      </c>
      <c r="Q93" s="64">
        <v>9.2200000000000006</v>
      </c>
      <c r="R93" s="198"/>
      <c r="S93" s="198"/>
      <c r="T93" s="198"/>
      <c r="U93" s="198"/>
    </row>
    <row r="94" spans="1:26" s="12" customFormat="1" x14ac:dyDescent="0.25">
      <c r="A94" s="211" t="s">
        <v>717</v>
      </c>
      <c r="B94" s="64">
        <v>14.7</v>
      </c>
      <c r="C94" s="64">
        <v>13.54</v>
      </c>
      <c r="D94" s="64">
        <v>18.87</v>
      </c>
      <c r="E94" s="64">
        <v>4.96</v>
      </c>
      <c r="F94" s="64">
        <v>10.119999999999999</v>
      </c>
      <c r="G94" s="64">
        <v>27.36</v>
      </c>
      <c r="H94" s="64">
        <v>7.39</v>
      </c>
      <c r="I94" s="64">
        <v>1.87</v>
      </c>
      <c r="J94" s="64">
        <v>0.15</v>
      </c>
      <c r="K94" s="64">
        <v>322.99</v>
      </c>
      <c r="L94" s="64">
        <v>22.62</v>
      </c>
      <c r="M94" s="64">
        <v>98.11</v>
      </c>
      <c r="N94" s="64">
        <v>46</v>
      </c>
      <c r="O94" s="64">
        <v>0</v>
      </c>
      <c r="P94" s="64">
        <v>0.67</v>
      </c>
      <c r="Q94" s="64">
        <v>9.24</v>
      </c>
      <c r="R94" s="198"/>
      <c r="S94" s="198"/>
      <c r="T94" s="198"/>
      <c r="U94" s="198"/>
    </row>
    <row r="95" spans="1:26" s="12" customFormat="1" x14ac:dyDescent="0.25">
      <c r="A95" s="211" t="s">
        <v>718</v>
      </c>
      <c r="B95" s="64">
        <v>22.08</v>
      </c>
      <c r="C95" s="64">
        <v>11.88</v>
      </c>
      <c r="D95" s="64">
        <v>23.88</v>
      </c>
      <c r="E95" s="64">
        <v>5.16</v>
      </c>
      <c r="F95" s="64">
        <v>24.1</v>
      </c>
      <c r="G95" s="64">
        <v>27.36</v>
      </c>
      <c r="H95" s="64">
        <v>7.39</v>
      </c>
      <c r="I95" s="64">
        <v>1.92</v>
      </c>
      <c r="J95" s="64">
        <v>0.04</v>
      </c>
      <c r="K95" s="64">
        <v>287.18</v>
      </c>
      <c r="L95" s="64">
        <v>22.56</v>
      </c>
      <c r="M95" s="64">
        <v>98.08</v>
      </c>
      <c r="N95" s="64">
        <v>46</v>
      </c>
      <c r="O95" s="64">
        <v>0</v>
      </c>
      <c r="P95" s="64">
        <v>0.74</v>
      </c>
      <c r="Q95" s="64">
        <v>9.25</v>
      </c>
      <c r="R95" s="198"/>
      <c r="S95" s="198"/>
      <c r="T95" s="198"/>
      <c r="U95" s="198"/>
    </row>
    <row r="96" spans="1:26" s="12" customFormat="1" x14ac:dyDescent="0.25">
      <c r="A96" s="211" t="s">
        <v>719</v>
      </c>
      <c r="B96" s="64">
        <v>13.01</v>
      </c>
      <c r="C96" s="64">
        <v>9.31</v>
      </c>
      <c r="D96" s="64">
        <v>15.3</v>
      </c>
      <c r="E96" s="64">
        <v>4.9800000000000004</v>
      </c>
      <c r="F96" s="64">
        <v>19.86</v>
      </c>
      <c r="G96" s="64">
        <v>27.36</v>
      </c>
      <c r="H96" s="64">
        <v>7.39</v>
      </c>
      <c r="I96" s="64">
        <v>1.96</v>
      </c>
      <c r="J96" s="64">
        <v>0.4</v>
      </c>
      <c r="K96" s="64">
        <v>142.04</v>
      </c>
      <c r="L96" s="64">
        <v>22.56</v>
      </c>
      <c r="M96" s="64">
        <v>98.08</v>
      </c>
      <c r="N96" s="64">
        <v>46.1</v>
      </c>
      <c r="O96" s="64">
        <v>0</v>
      </c>
      <c r="P96" s="64">
        <v>0.57999999999999996</v>
      </c>
      <c r="Q96" s="64">
        <v>9.26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720</v>
      </c>
      <c r="B97" s="64">
        <v>12.94</v>
      </c>
      <c r="C97" s="64">
        <v>6.43</v>
      </c>
      <c r="D97" s="64">
        <v>13.74</v>
      </c>
      <c r="E97" s="64">
        <v>5.43</v>
      </c>
      <c r="F97" s="64">
        <v>13.11</v>
      </c>
      <c r="G97" s="64">
        <v>36.11</v>
      </c>
      <c r="H97" s="64">
        <v>6.33</v>
      </c>
      <c r="I97" s="64">
        <v>1.99</v>
      </c>
      <c r="J97" s="64">
        <v>0.6</v>
      </c>
      <c r="K97" s="64">
        <v>143.01</v>
      </c>
      <c r="L97" s="64">
        <v>22.45</v>
      </c>
      <c r="M97" s="64">
        <v>98.1</v>
      </c>
      <c r="N97" s="64">
        <v>46.4</v>
      </c>
      <c r="O97" s="64">
        <v>0</v>
      </c>
      <c r="P97" s="64">
        <v>0.52</v>
      </c>
      <c r="Q97" s="64">
        <v>9.26</v>
      </c>
      <c r="R97" s="198"/>
      <c r="S97" s="198"/>
      <c r="T97" s="198"/>
      <c r="U97" s="198"/>
    </row>
    <row r="98" spans="1:33" s="12" customFormat="1" x14ac:dyDescent="0.25">
      <c r="A98" s="211" t="s">
        <v>721</v>
      </c>
      <c r="B98" s="64">
        <v>15.34</v>
      </c>
      <c r="C98" s="64">
        <v>4.76</v>
      </c>
      <c r="D98" s="64">
        <v>14.79</v>
      </c>
      <c r="E98" s="64">
        <v>5.15</v>
      </c>
      <c r="F98" s="64">
        <v>9.1</v>
      </c>
      <c r="G98" s="64">
        <v>36.630000000000003</v>
      </c>
      <c r="H98" s="64">
        <v>6.33</v>
      </c>
      <c r="I98" s="64">
        <v>2</v>
      </c>
      <c r="J98" s="64">
        <v>0.65</v>
      </c>
      <c r="K98" s="64">
        <v>143.16</v>
      </c>
      <c r="L98" s="64">
        <v>22.35</v>
      </c>
      <c r="M98" s="64">
        <v>98.1</v>
      </c>
      <c r="N98" s="64">
        <v>46.4</v>
      </c>
      <c r="O98" s="64">
        <v>0</v>
      </c>
      <c r="P98" s="64">
        <v>0.61</v>
      </c>
      <c r="Q98" s="64">
        <v>9.24</v>
      </c>
      <c r="R98" s="198"/>
      <c r="S98" s="198"/>
      <c r="T98" s="198"/>
      <c r="U98" s="198"/>
    </row>
    <row r="99" spans="1:33" s="12" customFormat="1" x14ac:dyDescent="0.25">
      <c r="A99" s="211" t="s">
        <v>722</v>
      </c>
      <c r="B99" s="64">
        <v>13.69</v>
      </c>
      <c r="C99" s="64">
        <v>5.51</v>
      </c>
      <c r="D99" s="64">
        <v>13.86</v>
      </c>
      <c r="E99" s="64">
        <v>5.19</v>
      </c>
      <c r="F99" s="64">
        <v>9.25</v>
      </c>
      <c r="G99" s="64">
        <v>36.630000000000003</v>
      </c>
      <c r="H99" s="64">
        <v>6.33</v>
      </c>
      <c r="I99" s="64">
        <v>1.97</v>
      </c>
      <c r="J99" s="64">
        <v>0.56999999999999995</v>
      </c>
      <c r="K99" s="64">
        <v>132.91999999999999</v>
      </c>
      <c r="L99" s="64">
        <v>22.29</v>
      </c>
      <c r="M99" s="64">
        <v>98.09</v>
      </c>
      <c r="N99" s="64">
        <v>46.4</v>
      </c>
      <c r="O99" s="64">
        <v>0</v>
      </c>
      <c r="P99" s="64">
        <v>0.52</v>
      </c>
      <c r="Q99" s="64">
        <v>9.23</v>
      </c>
      <c r="R99" s="198"/>
      <c r="S99" s="198"/>
      <c r="T99" s="198"/>
      <c r="U99" s="198"/>
    </row>
    <row r="100" spans="1:33" s="12" customFormat="1" x14ac:dyDescent="0.25">
      <c r="A100" s="211" t="s">
        <v>723</v>
      </c>
      <c r="B100" s="64">
        <v>13.02</v>
      </c>
      <c r="C100" s="64">
        <v>5.5</v>
      </c>
      <c r="D100" s="64">
        <v>13.32</v>
      </c>
      <c r="E100" s="64">
        <v>4.74</v>
      </c>
      <c r="F100" s="64">
        <v>17.989999999999998</v>
      </c>
      <c r="G100" s="64">
        <v>36.630000000000003</v>
      </c>
      <c r="H100" s="64">
        <v>6.33</v>
      </c>
      <c r="I100" s="64">
        <v>1.92</v>
      </c>
      <c r="J100" s="64">
        <v>0.28999999999999998</v>
      </c>
      <c r="K100" s="64">
        <v>137.66999999999999</v>
      </c>
      <c r="L100" s="64">
        <v>22.29</v>
      </c>
      <c r="M100" s="64">
        <v>98.13</v>
      </c>
      <c r="N100" s="64">
        <v>46.3</v>
      </c>
      <c r="O100" s="64">
        <v>0</v>
      </c>
      <c r="P100" s="64">
        <v>0.48</v>
      </c>
      <c r="Q100" s="64">
        <v>9.23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724</v>
      </c>
      <c r="B101" s="64">
        <v>13.3</v>
      </c>
      <c r="C101" s="64">
        <v>5.16</v>
      </c>
      <c r="D101" s="64">
        <v>13.36</v>
      </c>
      <c r="E101" s="64">
        <v>4.91</v>
      </c>
      <c r="F101" s="64">
        <v>90.26</v>
      </c>
      <c r="G101" s="64">
        <v>24.66</v>
      </c>
      <c r="H101" s="64">
        <v>11.17</v>
      </c>
      <c r="I101" s="64">
        <v>1.87</v>
      </c>
      <c r="J101" s="64">
        <v>0.04</v>
      </c>
      <c r="K101" s="64">
        <v>203.11</v>
      </c>
      <c r="L101" s="64">
        <v>22.28</v>
      </c>
      <c r="M101" s="64">
        <v>98.08</v>
      </c>
      <c r="N101" s="64">
        <v>46.3</v>
      </c>
      <c r="O101" s="64">
        <v>0</v>
      </c>
      <c r="P101" s="64">
        <v>0.5</v>
      </c>
      <c r="Q101" s="64">
        <v>9.2100000000000009</v>
      </c>
      <c r="R101" s="198"/>
      <c r="S101" s="198"/>
      <c r="T101" s="198"/>
      <c r="U101" s="198"/>
    </row>
    <row r="102" spans="1:33" s="12" customFormat="1" x14ac:dyDescent="0.25">
      <c r="A102" s="211" t="s">
        <v>725</v>
      </c>
      <c r="B102" s="64">
        <v>14.1</v>
      </c>
      <c r="C102" s="64">
        <v>5.61</v>
      </c>
      <c r="D102" s="64">
        <v>14.24</v>
      </c>
      <c r="E102" s="64">
        <v>5.03</v>
      </c>
      <c r="F102" s="64">
        <v>12.74</v>
      </c>
      <c r="G102" s="64">
        <v>23.81</v>
      </c>
      <c r="H102" s="64">
        <v>11.17</v>
      </c>
      <c r="I102" s="64">
        <v>1.84</v>
      </c>
      <c r="J102" s="64">
        <v>0.08</v>
      </c>
      <c r="K102" s="64">
        <v>331.62</v>
      </c>
      <c r="L102" s="64">
        <v>22.28</v>
      </c>
      <c r="M102" s="64">
        <v>98.1</v>
      </c>
      <c r="N102" s="64">
        <v>46</v>
      </c>
      <c r="O102" s="64">
        <v>0</v>
      </c>
      <c r="P102" s="64">
        <v>0.49</v>
      </c>
      <c r="Q102" s="64">
        <v>9.2100000000000009</v>
      </c>
      <c r="R102" s="198"/>
      <c r="S102" s="198"/>
      <c r="T102" s="198"/>
      <c r="U102" s="198"/>
    </row>
    <row r="103" spans="1:33" s="12" customFormat="1" x14ac:dyDescent="0.25">
      <c r="A103" s="211" t="s">
        <v>726</v>
      </c>
      <c r="B103" s="64">
        <v>13.8</v>
      </c>
      <c r="C103" s="64">
        <v>5.58</v>
      </c>
      <c r="D103" s="64">
        <v>13.99</v>
      </c>
      <c r="E103" s="64">
        <v>4.96</v>
      </c>
      <c r="F103" s="64">
        <v>11.65</v>
      </c>
      <c r="G103" s="64">
        <v>23.81</v>
      </c>
      <c r="H103" s="64">
        <v>11.17</v>
      </c>
      <c r="I103" s="64">
        <v>1.81</v>
      </c>
      <c r="J103" s="64">
        <v>0.05</v>
      </c>
      <c r="K103" s="64">
        <v>255.09</v>
      </c>
      <c r="L103" s="64">
        <v>22.15</v>
      </c>
      <c r="M103" s="64">
        <v>98.11</v>
      </c>
      <c r="N103" s="64">
        <v>46</v>
      </c>
      <c r="O103" s="64">
        <v>0</v>
      </c>
      <c r="P103" s="64">
        <v>0.49</v>
      </c>
      <c r="Q103" s="64">
        <v>9.1999999999999993</v>
      </c>
      <c r="R103" s="198"/>
      <c r="S103" s="198"/>
      <c r="T103" s="198"/>
      <c r="U103" s="198"/>
    </row>
    <row r="104" spans="1:33" s="12" customFormat="1" x14ac:dyDescent="0.25">
      <c r="A104" s="211" t="s">
        <v>727</v>
      </c>
      <c r="B104" s="64">
        <v>12.85</v>
      </c>
      <c r="C104" s="64">
        <v>5.62</v>
      </c>
      <c r="D104" s="64">
        <v>13.25</v>
      </c>
      <c r="E104" s="64">
        <v>3.98</v>
      </c>
      <c r="F104" s="64">
        <v>9.1999999999999993</v>
      </c>
      <c r="G104" s="64">
        <v>23.81</v>
      </c>
      <c r="H104" s="64">
        <v>11.17</v>
      </c>
      <c r="I104" s="64">
        <v>1.77</v>
      </c>
      <c r="J104" s="64">
        <v>0.1</v>
      </c>
      <c r="K104" s="64">
        <v>303.85000000000002</v>
      </c>
      <c r="L104" s="64">
        <v>22.14</v>
      </c>
      <c r="M104" s="64">
        <v>98.12</v>
      </c>
      <c r="N104" s="64">
        <v>46.1</v>
      </c>
      <c r="O104" s="64">
        <v>0</v>
      </c>
      <c r="P104" s="64">
        <v>0.51</v>
      </c>
      <c r="Q104" s="64">
        <v>9.19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7.07</v>
      </c>
      <c r="C106" s="67">
        <f>MIN(C9:C104)</f>
        <v>4.76</v>
      </c>
      <c r="D106" s="67">
        <f t="shared" ref="D106:Q106" si="0">MIN(D9:D104)</f>
        <v>9.5</v>
      </c>
      <c r="E106" s="67">
        <f t="shared" si="0"/>
        <v>3.05</v>
      </c>
      <c r="F106" s="67">
        <f t="shared" si="0"/>
        <v>6.58</v>
      </c>
      <c r="G106" s="67">
        <f t="shared" si="0"/>
        <v>13.67</v>
      </c>
      <c r="H106" s="67">
        <f t="shared" si="0"/>
        <v>6.21</v>
      </c>
      <c r="I106" s="67">
        <f t="shared" si="0"/>
        <v>1.02</v>
      </c>
      <c r="J106" s="67">
        <f t="shared" si="0"/>
        <v>0.02</v>
      </c>
      <c r="K106" s="67">
        <f t="shared" si="0"/>
        <v>98.2</v>
      </c>
      <c r="L106" s="67">
        <f t="shared" si="0"/>
        <v>21.19</v>
      </c>
      <c r="M106" s="67">
        <f t="shared" si="0"/>
        <v>91.86</v>
      </c>
      <c r="N106" s="67">
        <f t="shared" si="0"/>
        <v>40.299999999999997</v>
      </c>
      <c r="O106" s="67">
        <f t="shared" si="0"/>
        <v>0</v>
      </c>
      <c r="P106" s="67">
        <f t="shared" si="0"/>
        <v>0.22</v>
      </c>
      <c r="Q106" s="67">
        <f t="shared" si="0"/>
        <v>9.0500000000000007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23.88</v>
      </c>
      <c r="C107" s="66">
        <f t="shared" ref="C107:Q107" si="1">MAX(C9:C104)</f>
        <v>17.84</v>
      </c>
      <c r="D107" s="66">
        <f t="shared" si="1"/>
        <v>23.88</v>
      </c>
      <c r="E107" s="66">
        <f t="shared" si="1"/>
        <v>5.43</v>
      </c>
      <c r="F107" s="66">
        <f t="shared" si="1"/>
        <v>90.26</v>
      </c>
      <c r="G107" s="66">
        <f t="shared" si="1"/>
        <v>45.21</v>
      </c>
      <c r="H107" s="66">
        <f t="shared" si="1"/>
        <v>12.71</v>
      </c>
      <c r="I107" s="66">
        <f t="shared" si="1"/>
        <v>2.2200000000000002</v>
      </c>
      <c r="J107" s="66">
        <f t="shared" si="1"/>
        <v>2.58</v>
      </c>
      <c r="K107" s="66">
        <f t="shared" si="1"/>
        <v>335.75</v>
      </c>
      <c r="L107" s="66">
        <f t="shared" si="1"/>
        <v>30.08</v>
      </c>
      <c r="M107" s="66">
        <f t="shared" si="1"/>
        <v>98.22</v>
      </c>
      <c r="N107" s="66">
        <f t="shared" si="1"/>
        <v>798.5</v>
      </c>
      <c r="O107" s="66">
        <f t="shared" si="1"/>
        <v>0.8</v>
      </c>
      <c r="P107" s="66">
        <f t="shared" si="1"/>
        <v>0.87</v>
      </c>
      <c r="Q107" s="66">
        <f t="shared" si="1"/>
        <v>9.26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11.327500000000001</v>
      </c>
      <c r="C108" s="67">
        <f t="shared" ref="C108:Q108" si="2">AVERAGE(C9:C104)</f>
        <v>8.4288541666666656</v>
      </c>
      <c r="D108" s="67">
        <f t="shared" si="2"/>
        <v>13.486874999999998</v>
      </c>
      <c r="E108" s="67">
        <f t="shared" si="2"/>
        <v>4.3502083333333337</v>
      </c>
      <c r="F108" s="67">
        <f t="shared" si="2"/>
        <v>11.094687500000004</v>
      </c>
      <c r="G108" s="67">
        <f t="shared" si="2"/>
        <v>25.855104166666678</v>
      </c>
      <c r="H108" s="67">
        <f t="shared" si="2"/>
        <v>8.9962500000000016</v>
      </c>
      <c r="I108" s="67">
        <f t="shared" si="2"/>
        <v>1.6122916666666667</v>
      </c>
      <c r="J108" s="67">
        <f t="shared" si="2"/>
        <v>0.21552083333333327</v>
      </c>
      <c r="K108" s="67">
        <f t="shared" si="2"/>
        <v>238.11541666666653</v>
      </c>
      <c r="L108" s="67">
        <f t="shared" si="2"/>
        <v>23.854375000000005</v>
      </c>
      <c r="M108" s="67">
        <f t="shared" si="2"/>
        <v>97.892708333333374</v>
      </c>
      <c r="N108" s="67">
        <f t="shared" si="2"/>
        <v>133.98645833333327</v>
      </c>
      <c r="O108" s="67">
        <f t="shared" si="2"/>
        <v>8.3333333333333332E-3</v>
      </c>
      <c r="P108" s="67">
        <f t="shared" si="2"/>
        <v>0.44864583333333335</v>
      </c>
      <c r="Q108" s="67">
        <f t="shared" si="2"/>
        <v>9.1146875000000041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3.1401397890439333</v>
      </c>
      <c r="C109" s="67">
        <f t="shared" ref="C109:Q109" si="3">STDEV(C9:C104)</f>
        <v>2.9914034269418277</v>
      </c>
      <c r="D109" s="67">
        <f t="shared" si="3"/>
        <v>3.0646044863725534</v>
      </c>
      <c r="E109" s="67">
        <f t="shared" si="3"/>
        <v>0.55404157010418253</v>
      </c>
      <c r="F109" s="67">
        <f t="shared" si="3"/>
        <v>8.6190519631465854</v>
      </c>
      <c r="G109" s="67">
        <f t="shared" si="3"/>
        <v>10.229252994776296</v>
      </c>
      <c r="H109" s="67">
        <f t="shared" si="3"/>
        <v>1.986045661212501</v>
      </c>
      <c r="I109" s="67">
        <f t="shared" si="3"/>
        <v>0.36384056417660599</v>
      </c>
      <c r="J109" s="67">
        <f t="shared" si="3"/>
        <v>0.36772664272789629</v>
      </c>
      <c r="K109" s="67">
        <f t="shared" si="3"/>
        <v>71.300871669827899</v>
      </c>
      <c r="L109" s="67">
        <f t="shared" si="3"/>
        <v>2.2732419754499</v>
      </c>
      <c r="M109" s="67">
        <f t="shared" si="3"/>
        <v>0.86795643738207384</v>
      </c>
      <c r="N109" s="67">
        <f t="shared" si="3"/>
        <v>167.28767697390202</v>
      </c>
      <c r="O109" s="67">
        <f t="shared" si="3"/>
        <v>8.1649658092772609E-2</v>
      </c>
      <c r="P109" s="67">
        <f t="shared" si="3"/>
        <v>0.15108463847279802</v>
      </c>
      <c r="Q109" s="67">
        <f t="shared" si="3"/>
        <v>5.4443657501175122E-2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5" sqref="I1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728</v>
      </c>
      <c r="B9" s="64">
        <v>12.25</v>
      </c>
      <c r="C9" s="64">
        <v>7.29</v>
      </c>
      <c r="D9" s="64">
        <v>13.63</v>
      </c>
      <c r="E9" s="64">
        <v>4.28</v>
      </c>
      <c r="F9" s="64">
        <v>9.33</v>
      </c>
      <c r="G9" s="64">
        <v>20.29</v>
      </c>
      <c r="H9" s="64">
        <v>10.97</v>
      </c>
      <c r="I9" s="64">
        <v>1.74</v>
      </c>
      <c r="J9" s="64">
        <v>7.0000000000000007E-2</v>
      </c>
      <c r="K9" s="64">
        <v>307.62</v>
      </c>
      <c r="L9" s="64">
        <v>22.05</v>
      </c>
      <c r="M9" s="64">
        <v>98.13</v>
      </c>
      <c r="N9" s="64">
        <v>46.3</v>
      </c>
      <c r="O9" s="64">
        <v>0</v>
      </c>
      <c r="P9" s="64">
        <v>0.46</v>
      </c>
      <c r="Q9" s="64">
        <v>9.19</v>
      </c>
      <c r="R9" s="198"/>
      <c r="S9" s="198"/>
      <c r="T9" s="198"/>
      <c r="U9" s="198"/>
    </row>
    <row r="10" spans="1:21" s="12" customFormat="1" x14ac:dyDescent="0.25">
      <c r="A10" s="211" t="s">
        <v>729</v>
      </c>
      <c r="B10" s="64">
        <v>14.02</v>
      </c>
      <c r="C10" s="64">
        <v>5.04</v>
      </c>
      <c r="D10" s="64">
        <v>13.87</v>
      </c>
      <c r="E10" s="64">
        <v>4.21</v>
      </c>
      <c r="F10" s="64">
        <v>9.32</v>
      </c>
      <c r="G10" s="64">
        <v>20.04</v>
      </c>
      <c r="H10" s="64">
        <v>10.97</v>
      </c>
      <c r="I10" s="64">
        <v>1.71</v>
      </c>
      <c r="J10" s="64">
        <v>0.35</v>
      </c>
      <c r="K10" s="64">
        <v>325.07</v>
      </c>
      <c r="L10" s="64">
        <v>22.02</v>
      </c>
      <c r="M10" s="64">
        <v>98.15</v>
      </c>
      <c r="N10" s="64">
        <v>46.2</v>
      </c>
      <c r="O10" s="64">
        <v>0</v>
      </c>
      <c r="P10" s="64">
        <v>0.52</v>
      </c>
      <c r="Q10" s="64">
        <v>9.18</v>
      </c>
      <c r="R10" s="198"/>
      <c r="S10" s="198"/>
      <c r="T10" s="198"/>
      <c r="U10" s="198"/>
    </row>
    <row r="11" spans="1:21" s="12" customFormat="1" x14ac:dyDescent="0.25">
      <c r="A11" s="211" t="s">
        <v>730</v>
      </c>
      <c r="B11" s="64">
        <v>14.16</v>
      </c>
      <c r="C11" s="64">
        <v>4.46</v>
      </c>
      <c r="D11" s="64">
        <v>13.68</v>
      </c>
      <c r="E11" s="64">
        <v>4.33</v>
      </c>
      <c r="F11" s="64">
        <v>291.08999999999997</v>
      </c>
      <c r="G11" s="64">
        <v>20.04</v>
      </c>
      <c r="H11" s="64">
        <v>10.97</v>
      </c>
      <c r="I11" s="64">
        <v>1.69</v>
      </c>
      <c r="J11" s="64">
        <v>0.19</v>
      </c>
      <c r="K11" s="64">
        <v>326.72000000000003</v>
      </c>
      <c r="L11" s="64">
        <v>22.02</v>
      </c>
      <c r="M11" s="64">
        <v>98.14</v>
      </c>
      <c r="N11" s="64">
        <v>46</v>
      </c>
      <c r="O11" s="64">
        <v>0</v>
      </c>
      <c r="P11" s="64">
        <v>0.51</v>
      </c>
      <c r="Q11" s="64">
        <v>9.17</v>
      </c>
      <c r="R11" s="198"/>
      <c r="S11" s="198"/>
      <c r="T11" s="198"/>
      <c r="U11" s="198"/>
    </row>
    <row r="12" spans="1:21" s="12" customFormat="1" x14ac:dyDescent="0.25">
      <c r="A12" s="211" t="s">
        <v>731</v>
      </c>
      <c r="B12" s="64">
        <v>11.59</v>
      </c>
      <c r="C12" s="64">
        <v>7.03</v>
      </c>
      <c r="D12" s="64">
        <v>12.97</v>
      </c>
      <c r="E12" s="64">
        <v>4.25</v>
      </c>
      <c r="F12" s="64">
        <v>8.9</v>
      </c>
      <c r="G12" s="64">
        <v>20.04</v>
      </c>
      <c r="H12" s="64">
        <v>10.97</v>
      </c>
      <c r="I12" s="64">
        <v>1.65</v>
      </c>
      <c r="J12" s="64">
        <v>0.06</v>
      </c>
      <c r="K12" s="64">
        <v>253.18</v>
      </c>
      <c r="L12" s="64">
        <v>21.98</v>
      </c>
      <c r="M12" s="64">
        <v>98.17</v>
      </c>
      <c r="N12" s="64">
        <v>46.1</v>
      </c>
      <c r="O12" s="64">
        <v>0</v>
      </c>
      <c r="P12" s="64">
        <v>0.38</v>
      </c>
      <c r="Q12" s="64">
        <v>9.18</v>
      </c>
      <c r="R12" s="198"/>
      <c r="S12" s="198"/>
      <c r="T12" s="198"/>
      <c r="U12" s="198"/>
    </row>
    <row r="13" spans="1:21" s="12" customFormat="1" x14ac:dyDescent="0.25">
      <c r="A13" s="211" t="s">
        <v>732</v>
      </c>
      <c r="B13" s="64">
        <v>10.46</v>
      </c>
      <c r="C13" s="64">
        <v>7.88</v>
      </c>
      <c r="D13" s="64">
        <v>12.5</v>
      </c>
      <c r="E13" s="64">
        <v>4.18</v>
      </c>
      <c r="F13" s="64">
        <v>10.71</v>
      </c>
      <c r="G13" s="64">
        <v>15.47</v>
      </c>
      <c r="H13" s="64">
        <v>9.3000000000000007</v>
      </c>
      <c r="I13" s="64">
        <v>1.63</v>
      </c>
      <c r="J13" s="64">
        <v>0.08</v>
      </c>
      <c r="K13" s="64">
        <v>190.46</v>
      </c>
      <c r="L13" s="64">
        <v>21.96</v>
      </c>
      <c r="M13" s="64">
        <v>98.17</v>
      </c>
      <c r="N13" s="64">
        <v>46</v>
      </c>
      <c r="O13" s="64">
        <v>0</v>
      </c>
      <c r="P13" s="64">
        <v>0.36</v>
      </c>
      <c r="Q13" s="64">
        <v>9.19</v>
      </c>
      <c r="R13" s="198"/>
      <c r="S13" s="198"/>
      <c r="T13" s="198"/>
      <c r="U13" s="198"/>
    </row>
    <row r="14" spans="1:21" s="12" customFormat="1" x14ac:dyDescent="0.25">
      <c r="A14" s="211" t="s">
        <v>733</v>
      </c>
      <c r="B14" s="64">
        <v>10.67</v>
      </c>
      <c r="C14" s="64">
        <v>6.43</v>
      </c>
      <c r="D14" s="64">
        <v>11.91</v>
      </c>
      <c r="E14" s="64">
        <v>4.04</v>
      </c>
      <c r="F14" s="64">
        <v>10.72</v>
      </c>
      <c r="G14" s="64">
        <v>15.2</v>
      </c>
      <c r="H14" s="64">
        <v>9.3000000000000007</v>
      </c>
      <c r="I14" s="64">
        <v>1.63</v>
      </c>
      <c r="J14" s="64">
        <v>0.04</v>
      </c>
      <c r="K14" s="64">
        <v>208.84</v>
      </c>
      <c r="L14" s="64">
        <v>21.97</v>
      </c>
      <c r="M14" s="64">
        <v>98.18</v>
      </c>
      <c r="N14" s="64">
        <v>46.2</v>
      </c>
      <c r="O14" s="64">
        <v>0</v>
      </c>
      <c r="P14" s="64">
        <v>0.4</v>
      </c>
      <c r="Q14" s="64">
        <v>9.19</v>
      </c>
      <c r="R14" s="198"/>
      <c r="S14" s="198"/>
      <c r="T14" s="198"/>
      <c r="U14" s="198"/>
    </row>
    <row r="15" spans="1:21" s="12" customFormat="1" x14ac:dyDescent="0.25">
      <c r="A15" s="211" t="s">
        <v>734</v>
      </c>
      <c r="B15" s="64">
        <v>10.210000000000001</v>
      </c>
      <c r="C15" s="64">
        <v>5.07</v>
      </c>
      <c r="D15" s="64">
        <v>10.84</v>
      </c>
      <c r="E15" s="64">
        <v>4.04</v>
      </c>
      <c r="F15" s="64">
        <v>9.52</v>
      </c>
      <c r="G15" s="64">
        <v>15.2</v>
      </c>
      <c r="H15" s="64">
        <v>9.3000000000000007</v>
      </c>
      <c r="I15" s="64">
        <v>1.61</v>
      </c>
      <c r="J15" s="64">
        <v>0.11</v>
      </c>
      <c r="K15" s="64">
        <v>204.75</v>
      </c>
      <c r="L15" s="64">
        <v>21.89</v>
      </c>
      <c r="M15" s="64">
        <v>98.18</v>
      </c>
      <c r="N15" s="64">
        <v>46.4</v>
      </c>
      <c r="O15" s="64">
        <v>0</v>
      </c>
      <c r="P15" s="64">
        <v>0.36</v>
      </c>
      <c r="Q15" s="64">
        <v>9.19</v>
      </c>
      <c r="R15" s="198"/>
      <c r="S15" s="198"/>
      <c r="T15" s="198"/>
      <c r="U15" s="198"/>
    </row>
    <row r="16" spans="1:21" s="12" customFormat="1" x14ac:dyDescent="0.25">
      <c r="A16" s="211" t="s">
        <v>735</v>
      </c>
      <c r="B16" s="64">
        <v>10.47</v>
      </c>
      <c r="C16" s="64">
        <v>5.32</v>
      </c>
      <c r="D16" s="64">
        <v>11.17</v>
      </c>
      <c r="E16" s="64">
        <v>4.0199999999999996</v>
      </c>
      <c r="F16" s="64">
        <v>14.43</v>
      </c>
      <c r="G16" s="64">
        <v>15.2</v>
      </c>
      <c r="H16" s="64">
        <v>9.3000000000000007</v>
      </c>
      <c r="I16" s="64">
        <v>1.57</v>
      </c>
      <c r="J16" s="64">
        <v>0.14000000000000001</v>
      </c>
      <c r="K16" s="64">
        <v>172.76</v>
      </c>
      <c r="L16" s="64">
        <v>21.86</v>
      </c>
      <c r="M16" s="64">
        <v>98.18</v>
      </c>
      <c r="N16" s="64">
        <v>46.2</v>
      </c>
      <c r="O16" s="64">
        <v>0</v>
      </c>
      <c r="P16" s="64">
        <v>0.37</v>
      </c>
      <c r="Q16" s="64">
        <v>9.1999999999999993</v>
      </c>
      <c r="R16" s="198"/>
      <c r="S16" s="198"/>
      <c r="T16" s="198"/>
      <c r="U16" s="198"/>
    </row>
    <row r="17" spans="1:21" s="12" customFormat="1" x14ac:dyDescent="0.25">
      <c r="A17" s="211" t="s">
        <v>736</v>
      </c>
      <c r="B17" s="64">
        <v>10.69</v>
      </c>
      <c r="C17" s="64">
        <v>5.0199999999999996</v>
      </c>
      <c r="D17" s="64">
        <v>11.19</v>
      </c>
      <c r="E17" s="64">
        <v>4.3600000000000003</v>
      </c>
      <c r="F17" s="64">
        <v>10.07</v>
      </c>
      <c r="G17" s="64">
        <v>11.61</v>
      </c>
      <c r="H17" s="64">
        <v>7.67</v>
      </c>
      <c r="I17" s="64">
        <v>1.55</v>
      </c>
      <c r="J17" s="64">
        <v>0.32</v>
      </c>
      <c r="K17" s="64">
        <v>134.13</v>
      </c>
      <c r="L17" s="64">
        <v>21.76</v>
      </c>
      <c r="M17" s="64">
        <v>98.19</v>
      </c>
      <c r="N17" s="64">
        <v>46.4</v>
      </c>
      <c r="O17" s="64">
        <v>0</v>
      </c>
      <c r="P17" s="64">
        <v>0.41</v>
      </c>
      <c r="Q17" s="64">
        <v>9.19</v>
      </c>
      <c r="R17" s="198"/>
      <c r="S17" s="198"/>
      <c r="T17" s="198"/>
      <c r="U17" s="198"/>
    </row>
    <row r="18" spans="1:21" s="12" customFormat="1" x14ac:dyDescent="0.25">
      <c r="A18" s="211" t="s">
        <v>737</v>
      </c>
      <c r="B18" s="64">
        <v>9.86</v>
      </c>
      <c r="C18" s="64">
        <v>4.9800000000000004</v>
      </c>
      <c r="D18" s="64">
        <v>10.51</v>
      </c>
      <c r="E18" s="64">
        <v>4.22</v>
      </c>
      <c r="F18" s="64">
        <v>10.71</v>
      </c>
      <c r="G18" s="64">
        <v>11.35</v>
      </c>
      <c r="H18" s="64">
        <v>7.67</v>
      </c>
      <c r="I18" s="64">
        <v>1.54</v>
      </c>
      <c r="J18" s="64">
        <v>0.22</v>
      </c>
      <c r="K18" s="64">
        <v>136.62</v>
      </c>
      <c r="L18" s="64">
        <v>21.69</v>
      </c>
      <c r="M18" s="64">
        <v>98.2</v>
      </c>
      <c r="N18" s="64">
        <v>46.4</v>
      </c>
      <c r="O18" s="64">
        <v>0</v>
      </c>
      <c r="P18" s="64">
        <v>0.34</v>
      </c>
      <c r="Q18" s="64">
        <v>9.19</v>
      </c>
      <c r="R18" s="198"/>
      <c r="S18" s="198"/>
      <c r="T18" s="198"/>
      <c r="U18" s="198"/>
    </row>
    <row r="19" spans="1:21" s="12" customFormat="1" x14ac:dyDescent="0.25">
      <c r="A19" s="211" t="s">
        <v>738</v>
      </c>
      <c r="B19" s="64">
        <v>10.98</v>
      </c>
      <c r="C19" s="64">
        <v>4.82</v>
      </c>
      <c r="D19" s="64">
        <v>11.32</v>
      </c>
      <c r="E19" s="64">
        <v>4.21</v>
      </c>
      <c r="F19" s="64">
        <v>10.11</v>
      </c>
      <c r="G19" s="64">
        <v>11.35</v>
      </c>
      <c r="H19" s="64">
        <v>7.67</v>
      </c>
      <c r="I19" s="64">
        <v>1.51</v>
      </c>
      <c r="J19" s="64">
        <v>0.28999999999999998</v>
      </c>
      <c r="K19" s="64">
        <v>124.79</v>
      </c>
      <c r="L19" s="64">
        <v>21.62</v>
      </c>
      <c r="M19" s="64">
        <v>98.2</v>
      </c>
      <c r="N19" s="64">
        <v>46.5</v>
      </c>
      <c r="O19" s="64">
        <v>0</v>
      </c>
      <c r="P19" s="64">
        <v>0.39</v>
      </c>
      <c r="Q19" s="64">
        <v>9.19</v>
      </c>
      <c r="R19" s="198"/>
      <c r="S19" s="198"/>
      <c r="T19" s="198"/>
      <c r="U19" s="198"/>
    </row>
    <row r="20" spans="1:21" s="12" customFormat="1" x14ac:dyDescent="0.25">
      <c r="A20" s="211" t="s">
        <v>739</v>
      </c>
      <c r="B20" s="64">
        <v>12.45</v>
      </c>
      <c r="C20" s="64">
        <v>4.2699999999999996</v>
      </c>
      <c r="D20" s="64">
        <v>12.22</v>
      </c>
      <c r="E20" s="64">
        <v>4.34</v>
      </c>
      <c r="F20" s="64">
        <v>8.6999999999999993</v>
      </c>
      <c r="G20" s="64">
        <v>11.35</v>
      </c>
      <c r="H20" s="64">
        <v>7.67</v>
      </c>
      <c r="I20" s="64">
        <v>1.59</v>
      </c>
      <c r="J20" s="64">
        <v>0.26</v>
      </c>
      <c r="K20" s="64">
        <v>144.31</v>
      </c>
      <c r="L20" s="64">
        <v>21.56</v>
      </c>
      <c r="M20" s="64">
        <v>98.2</v>
      </c>
      <c r="N20" s="64">
        <v>46.9</v>
      </c>
      <c r="O20" s="64">
        <v>0</v>
      </c>
      <c r="P20" s="64">
        <v>0.43</v>
      </c>
      <c r="Q20" s="64">
        <v>9.17</v>
      </c>
      <c r="R20" s="198"/>
      <c r="S20" s="198"/>
      <c r="T20" s="198"/>
      <c r="U20" s="198"/>
    </row>
    <row r="21" spans="1:21" s="12" customFormat="1" x14ac:dyDescent="0.25">
      <c r="A21" s="211" t="s">
        <v>740</v>
      </c>
      <c r="B21" s="64">
        <v>12.02</v>
      </c>
      <c r="C21" s="64">
        <v>4.33</v>
      </c>
      <c r="D21" s="64">
        <v>11.9</v>
      </c>
      <c r="E21" s="64">
        <v>4.24</v>
      </c>
      <c r="F21" s="64">
        <v>11.07</v>
      </c>
      <c r="G21" s="64">
        <v>8.17</v>
      </c>
      <c r="H21" s="64">
        <v>9.07</v>
      </c>
      <c r="I21" s="64">
        <v>1.53</v>
      </c>
      <c r="J21" s="64">
        <v>0.21</v>
      </c>
      <c r="K21" s="64">
        <v>130.04</v>
      </c>
      <c r="L21" s="64">
        <v>21.57</v>
      </c>
      <c r="M21" s="64">
        <v>98.2</v>
      </c>
      <c r="N21" s="64">
        <v>46.6</v>
      </c>
      <c r="O21" s="64">
        <v>0</v>
      </c>
      <c r="P21" s="64">
        <v>0.38</v>
      </c>
      <c r="Q21" s="64">
        <v>9.1300000000000008</v>
      </c>
      <c r="R21" s="198"/>
      <c r="S21" s="198"/>
      <c r="T21" s="198"/>
      <c r="U21" s="198"/>
    </row>
    <row r="22" spans="1:21" s="12" customFormat="1" x14ac:dyDescent="0.25">
      <c r="A22" s="211" t="s">
        <v>741</v>
      </c>
      <c r="B22" s="64">
        <v>11.53</v>
      </c>
      <c r="C22" s="64">
        <v>4.54</v>
      </c>
      <c r="D22" s="64">
        <v>11.62</v>
      </c>
      <c r="E22" s="64">
        <v>4.05</v>
      </c>
      <c r="F22" s="64">
        <v>10.74</v>
      </c>
      <c r="G22" s="64">
        <v>7.95</v>
      </c>
      <c r="H22" s="64">
        <v>9.07</v>
      </c>
      <c r="I22" s="64">
        <v>1.42</v>
      </c>
      <c r="J22" s="64">
        <v>0.39</v>
      </c>
      <c r="K22" s="64">
        <v>126.15</v>
      </c>
      <c r="L22" s="64">
        <v>21.54</v>
      </c>
      <c r="M22" s="64">
        <v>98.18</v>
      </c>
      <c r="N22" s="64">
        <v>46.6</v>
      </c>
      <c r="O22" s="64">
        <v>0</v>
      </c>
      <c r="P22" s="64">
        <v>0.37</v>
      </c>
      <c r="Q22" s="64">
        <v>9.1199999999999992</v>
      </c>
      <c r="R22" s="198"/>
      <c r="S22" s="198"/>
      <c r="T22" s="198"/>
      <c r="U22" s="198"/>
    </row>
    <row r="23" spans="1:21" s="12" customFormat="1" x14ac:dyDescent="0.25">
      <c r="A23" s="211" t="s">
        <v>742</v>
      </c>
      <c r="B23" s="64">
        <v>11.36</v>
      </c>
      <c r="C23" s="64">
        <v>4.55</v>
      </c>
      <c r="D23" s="64">
        <v>11.48</v>
      </c>
      <c r="E23" s="64">
        <v>4.2699999999999996</v>
      </c>
      <c r="F23" s="64">
        <v>19.170000000000002</v>
      </c>
      <c r="G23" s="64">
        <v>7.95</v>
      </c>
      <c r="H23" s="64">
        <v>9.07</v>
      </c>
      <c r="I23" s="64">
        <v>1.49</v>
      </c>
      <c r="J23" s="64">
        <v>0.12</v>
      </c>
      <c r="K23" s="64">
        <v>128.26</v>
      </c>
      <c r="L23" s="64">
        <v>21.49</v>
      </c>
      <c r="M23" s="64">
        <v>98.18</v>
      </c>
      <c r="N23" s="64">
        <v>46.4</v>
      </c>
      <c r="O23" s="64">
        <v>0</v>
      </c>
      <c r="P23" s="64">
        <v>0.39</v>
      </c>
      <c r="Q23" s="64">
        <v>9.1300000000000008</v>
      </c>
      <c r="R23" s="198"/>
      <c r="S23" s="198"/>
      <c r="T23" s="198"/>
      <c r="U23" s="198"/>
    </row>
    <row r="24" spans="1:21" s="12" customFormat="1" x14ac:dyDescent="0.25">
      <c r="A24" s="211" t="s">
        <v>743</v>
      </c>
      <c r="B24" s="64">
        <v>10.83</v>
      </c>
      <c r="C24" s="64">
        <v>4.8</v>
      </c>
      <c r="D24" s="64">
        <v>11.19</v>
      </c>
      <c r="E24" s="64">
        <v>4.1500000000000004</v>
      </c>
      <c r="F24" s="64">
        <v>15.63</v>
      </c>
      <c r="G24" s="64">
        <v>7.95</v>
      </c>
      <c r="H24" s="64">
        <v>9.07</v>
      </c>
      <c r="I24" s="64">
        <v>1.53</v>
      </c>
      <c r="J24" s="64">
        <v>0.05</v>
      </c>
      <c r="K24" s="64">
        <v>91.9</v>
      </c>
      <c r="L24" s="64">
        <v>21.45</v>
      </c>
      <c r="M24" s="64">
        <v>98.19</v>
      </c>
      <c r="N24" s="64">
        <v>46.3</v>
      </c>
      <c r="O24" s="64">
        <v>0</v>
      </c>
      <c r="P24" s="64">
        <v>0.36</v>
      </c>
      <c r="Q24" s="64">
        <v>9.1300000000000008</v>
      </c>
      <c r="R24" s="198"/>
      <c r="S24" s="198"/>
      <c r="T24" s="198"/>
      <c r="U24" s="198"/>
    </row>
    <row r="25" spans="1:21" s="12" customFormat="1" x14ac:dyDescent="0.25">
      <c r="A25" s="211" t="s">
        <v>744</v>
      </c>
      <c r="B25" s="64">
        <v>11.24</v>
      </c>
      <c r="C25" s="64">
        <v>5</v>
      </c>
      <c r="D25" s="64">
        <v>11.63</v>
      </c>
      <c r="E25" s="64">
        <v>4.12</v>
      </c>
      <c r="F25" s="64">
        <v>12.12</v>
      </c>
      <c r="G25" s="64">
        <v>5.72</v>
      </c>
      <c r="H25" s="64">
        <v>8.59</v>
      </c>
      <c r="I25" s="64">
        <v>1.41</v>
      </c>
      <c r="J25" s="64">
        <v>0.05</v>
      </c>
      <c r="K25" s="64">
        <v>111.43</v>
      </c>
      <c r="L25" s="64">
        <v>21.43</v>
      </c>
      <c r="M25" s="64">
        <v>98.13</v>
      </c>
      <c r="N25" s="64">
        <v>46.2</v>
      </c>
      <c r="O25" s="64">
        <v>0</v>
      </c>
      <c r="P25" s="64">
        <v>0.36</v>
      </c>
      <c r="Q25" s="64">
        <v>9.11</v>
      </c>
      <c r="R25" s="198"/>
      <c r="S25" s="198"/>
      <c r="T25" s="198"/>
      <c r="U25" s="198"/>
    </row>
    <row r="26" spans="1:21" s="12" customFormat="1" x14ac:dyDescent="0.25">
      <c r="A26" s="211" t="s">
        <v>745</v>
      </c>
      <c r="B26" s="64">
        <v>11.19</v>
      </c>
      <c r="C26" s="64">
        <v>5.37</v>
      </c>
      <c r="D26" s="64">
        <v>11.78</v>
      </c>
      <c r="E26" s="64">
        <v>4.21</v>
      </c>
      <c r="F26" s="64">
        <v>14.55</v>
      </c>
      <c r="G26" s="64">
        <v>5.56</v>
      </c>
      <c r="H26" s="64">
        <v>8.59</v>
      </c>
      <c r="I26" s="64">
        <v>1.41</v>
      </c>
      <c r="J26" s="64">
        <v>0.04</v>
      </c>
      <c r="K26" s="64">
        <v>132.96</v>
      </c>
      <c r="L26" s="64">
        <v>21.41</v>
      </c>
      <c r="M26" s="64">
        <v>98.13</v>
      </c>
      <c r="N26" s="64">
        <v>46.2</v>
      </c>
      <c r="O26" s="64">
        <v>0</v>
      </c>
      <c r="P26" s="64">
        <v>0.36</v>
      </c>
      <c r="Q26" s="64">
        <v>9.1</v>
      </c>
      <c r="R26" s="198"/>
      <c r="S26" s="198"/>
      <c r="T26" s="198"/>
      <c r="U26" s="198"/>
    </row>
    <row r="27" spans="1:21" s="12" customFormat="1" x14ac:dyDescent="0.25">
      <c r="A27" s="211" t="s">
        <v>746</v>
      </c>
      <c r="B27" s="64">
        <v>11.15</v>
      </c>
      <c r="C27" s="64">
        <v>5.21</v>
      </c>
      <c r="D27" s="64">
        <v>11.66</v>
      </c>
      <c r="E27" s="64">
        <v>3.93</v>
      </c>
      <c r="F27" s="64">
        <v>10.09</v>
      </c>
      <c r="G27" s="64">
        <v>5.56</v>
      </c>
      <c r="H27" s="64">
        <v>8.59</v>
      </c>
      <c r="I27" s="64">
        <v>1.45</v>
      </c>
      <c r="J27" s="64">
        <v>0.05</v>
      </c>
      <c r="K27" s="64">
        <v>165.2</v>
      </c>
      <c r="L27" s="64">
        <v>21.41</v>
      </c>
      <c r="M27" s="64">
        <v>98.16</v>
      </c>
      <c r="N27" s="64">
        <v>46.1</v>
      </c>
      <c r="O27" s="64">
        <v>0</v>
      </c>
      <c r="P27" s="64">
        <v>0.38</v>
      </c>
      <c r="Q27" s="64">
        <v>9.1</v>
      </c>
      <c r="R27" s="198"/>
      <c r="S27" s="198"/>
      <c r="T27" s="198"/>
      <c r="U27" s="198"/>
    </row>
    <row r="28" spans="1:21" s="12" customFormat="1" x14ac:dyDescent="0.25">
      <c r="A28" s="211" t="s">
        <v>747</v>
      </c>
      <c r="B28" s="64">
        <v>11.01</v>
      </c>
      <c r="C28" s="64">
        <v>4.91</v>
      </c>
      <c r="D28" s="64">
        <v>11.4</v>
      </c>
      <c r="E28" s="64">
        <v>4.0199999999999996</v>
      </c>
      <c r="F28" s="64">
        <v>8.23</v>
      </c>
      <c r="G28" s="64">
        <v>5.56</v>
      </c>
      <c r="H28" s="64">
        <v>8.59</v>
      </c>
      <c r="I28" s="64">
        <v>1.43</v>
      </c>
      <c r="J28" s="64">
        <v>0.05</v>
      </c>
      <c r="K28" s="64">
        <v>247.21</v>
      </c>
      <c r="L28" s="64">
        <v>21.37</v>
      </c>
      <c r="M28" s="64">
        <v>98.18</v>
      </c>
      <c r="N28" s="64">
        <v>46.3</v>
      </c>
      <c r="O28" s="64">
        <v>0</v>
      </c>
      <c r="P28" s="64">
        <v>0.33</v>
      </c>
      <c r="Q28" s="64">
        <v>9.1</v>
      </c>
      <c r="R28" s="198"/>
      <c r="S28" s="198"/>
      <c r="T28" s="198"/>
      <c r="U28" s="198"/>
    </row>
    <row r="29" spans="1:21" s="12" customFormat="1" x14ac:dyDescent="0.25">
      <c r="A29" s="211" t="s">
        <v>748</v>
      </c>
      <c r="B29" s="64">
        <v>10.62</v>
      </c>
      <c r="C29" s="64">
        <v>5.45</v>
      </c>
      <c r="D29" s="64">
        <v>11.37</v>
      </c>
      <c r="E29" s="64">
        <v>3.94</v>
      </c>
      <c r="F29" s="64">
        <v>9.6300000000000008</v>
      </c>
      <c r="G29" s="64">
        <v>6.14</v>
      </c>
      <c r="H29" s="64">
        <v>7.17</v>
      </c>
      <c r="I29" s="64">
        <v>1.42</v>
      </c>
      <c r="J29" s="64">
        <v>7.0000000000000007E-2</v>
      </c>
      <c r="K29" s="64">
        <v>190.46</v>
      </c>
      <c r="L29" s="64">
        <v>21.41</v>
      </c>
      <c r="M29" s="64">
        <v>98.19</v>
      </c>
      <c r="N29" s="64">
        <v>46</v>
      </c>
      <c r="O29" s="64">
        <v>0</v>
      </c>
      <c r="P29" s="64">
        <v>0.32</v>
      </c>
      <c r="Q29" s="64">
        <v>9.11</v>
      </c>
      <c r="R29" s="198"/>
      <c r="S29" s="198"/>
      <c r="T29" s="198"/>
      <c r="U29" s="198"/>
    </row>
    <row r="30" spans="1:21" s="12" customFormat="1" x14ac:dyDescent="0.25">
      <c r="A30" s="211" t="s">
        <v>749</v>
      </c>
      <c r="B30" s="64">
        <v>9.98</v>
      </c>
      <c r="C30" s="64">
        <v>6.42</v>
      </c>
      <c r="D30" s="64">
        <v>11.35</v>
      </c>
      <c r="E30" s="64">
        <v>3.97</v>
      </c>
      <c r="F30" s="64">
        <v>7.96</v>
      </c>
      <c r="G30" s="64">
        <v>6.18</v>
      </c>
      <c r="H30" s="64">
        <v>7.17</v>
      </c>
      <c r="I30" s="64">
        <v>1.4</v>
      </c>
      <c r="J30" s="64">
        <v>0.14000000000000001</v>
      </c>
      <c r="K30" s="64">
        <v>136.59</v>
      </c>
      <c r="L30" s="64">
        <v>21.48</v>
      </c>
      <c r="M30" s="64">
        <v>98.22</v>
      </c>
      <c r="N30" s="64">
        <v>46.2</v>
      </c>
      <c r="O30" s="64">
        <v>0</v>
      </c>
      <c r="P30" s="64">
        <v>0.32</v>
      </c>
      <c r="Q30" s="64">
        <v>9.1199999999999992</v>
      </c>
      <c r="R30" s="198"/>
      <c r="S30" s="198"/>
      <c r="T30" s="198"/>
      <c r="U30" s="198"/>
    </row>
    <row r="31" spans="1:21" s="12" customFormat="1" x14ac:dyDescent="0.25">
      <c r="A31" s="211" t="s">
        <v>750</v>
      </c>
      <c r="B31" s="64">
        <v>12.03</v>
      </c>
      <c r="C31" s="64">
        <v>6.78</v>
      </c>
      <c r="D31" s="64">
        <v>13.19</v>
      </c>
      <c r="E31" s="64">
        <v>4.01</v>
      </c>
      <c r="F31" s="64">
        <v>7.2</v>
      </c>
      <c r="G31" s="64">
        <v>6.18</v>
      </c>
      <c r="H31" s="64">
        <v>7.17</v>
      </c>
      <c r="I31" s="64">
        <v>1.37</v>
      </c>
      <c r="J31" s="64">
        <v>0.04</v>
      </c>
      <c r="K31" s="64">
        <v>293.52999999999997</v>
      </c>
      <c r="L31" s="64">
        <v>21.57</v>
      </c>
      <c r="M31" s="64">
        <v>98.23</v>
      </c>
      <c r="N31" s="64">
        <v>46.3</v>
      </c>
      <c r="O31" s="64">
        <v>0</v>
      </c>
      <c r="P31" s="64">
        <v>0.33</v>
      </c>
      <c r="Q31" s="64">
        <v>9.1199999999999992</v>
      </c>
      <c r="R31" s="198"/>
      <c r="S31" s="198"/>
      <c r="T31" s="198"/>
      <c r="U31" s="198"/>
    </row>
    <row r="32" spans="1:21" s="12" customFormat="1" x14ac:dyDescent="0.25">
      <c r="A32" s="211" t="s">
        <v>751</v>
      </c>
      <c r="B32" s="64">
        <v>10.17</v>
      </c>
      <c r="C32" s="64">
        <v>7.26</v>
      </c>
      <c r="D32" s="64">
        <v>11.94</v>
      </c>
      <c r="E32" s="64">
        <v>4.34</v>
      </c>
      <c r="F32" s="64">
        <v>8.7200000000000006</v>
      </c>
      <c r="G32" s="64">
        <v>6.18</v>
      </c>
      <c r="H32" s="64">
        <v>7.17</v>
      </c>
      <c r="I32" s="64">
        <v>1.35</v>
      </c>
      <c r="J32" s="64">
        <v>0.02</v>
      </c>
      <c r="K32" s="64">
        <v>206.01</v>
      </c>
      <c r="L32" s="64">
        <v>21.56</v>
      </c>
      <c r="M32" s="64">
        <v>98.23</v>
      </c>
      <c r="N32" s="64">
        <v>47.2</v>
      </c>
      <c r="O32" s="64">
        <v>0</v>
      </c>
      <c r="P32" s="64">
        <v>0.32</v>
      </c>
      <c r="Q32" s="64">
        <v>9.1199999999999992</v>
      </c>
      <c r="R32" s="198"/>
      <c r="S32" s="198"/>
      <c r="T32" s="198"/>
      <c r="U32" s="198"/>
    </row>
    <row r="33" spans="1:21" s="12" customFormat="1" x14ac:dyDescent="0.25">
      <c r="A33" s="211" t="s">
        <v>752</v>
      </c>
      <c r="B33" s="64">
        <v>18.3</v>
      </c>
      <c r="C33" s="64">
        <v>6.21</v>
      </c>
      <c r="D33" s="64">
        <v>17.920000000000002</v>
      </c>
      <c r="E33" s="64">
        <v>4.01</v>
      </c>
      <c r="F33" s="64">
        <v>8.48</v>
      </c>
      <c r="G33" s="64">
        <v>7.39</v>
      </c>
      <c r="H33" s="64">
        <v>6.17</v>
      </c>
      <c r="I33" s="64">
        <v>1.34</v>
      </c>
      <c r="J33" s="64">
        <v>0.12</v>
      </c>
      <c r="K33" s="64">
        <v>322.20999999999998</v>
      </c>
      <c r="L33" s="64">
        <v>21.66</v>
      </c>
      <c r="M33" s="64">
        <v>98.23</v>
      </c>
      <c r="N33" s="64">
        <v>50.4</v>
      </c>
      <c r="O33" s="64">
        <v>0</v>
      </c>
      <c r="P33" s="64">
        <v>0.38</v>
      </c>
      <c r="Q33" s="64">
        <v>9.1199999999999992</v>
      </c>
      <c r="R33" s="198"/>
      <c r="S33" s="198"/>
      <c r="T33" s="198"/>
      <c r="U33" s="198"/>
    </row>
    <row r="34" spans="1:21" s="12" customFormat="1" x14ac:dyDescent="0.25">
      <c r="A34" s="211" t="s">
        <v>753</v>
      </c>
      <c r="B34" s="64">
        <v>13.33</v>
      </c>
      <c r="C34" s="64">
        <v>6.28</v>
      </c>
      <c r="D34" s="64">
        <v>13.97</v>
      </c>
      <c r="E34" s="64">
        <v>4.4400000000000004</v>
      </c>
      <c r="F34" s="64">
        <v>8.2100000000000009</v>
      </c>
      <c r="G34" s="64">
        <v>7.47</v>
      </c>
      <c r="H34" s="64">
        <v>6.17</v>
      </c>
      <c r="I34" s="64">
        <v>1.35</v>
      </c>
      <c r="J34" s="64">
        <v>0.1</v>
      </c>
      <c r="K34" s="64">
        <v>314.48</v>
      </c>
      <c r="L34" s="64">
        <v>21.72</v>
      </c>
      <c r="M34" s="64">
        <v>98.24</v>
      </c>
      <c r="N34" s="64">
        <v>55</v>
      </c>
      <c r="O34" s="64">
        <v>0</v>
      </c>
      <c r="P34" s="64">
        <v>0.35</v>
      </c>
      <c r="Q34" s="64">
        <v>9.14</v>
      </c>
      <c r="R34" s="198"/>
      <c r="S34" s="198"/>
      <c r="T34" s="198"/>
      <c r="U34" s="198"/>
    </row>
    <row r="35" spans="1:21" s="12" customFormat="1" x14ac:dyDescent="0.25">
      <c r="A35" s="211" t="s">
        <v>754</v>
      </c>
      <c r="B35" s="64">
        <v>15.85</v>
      </c>
      <c r="C35" s="64">
        <v>6.55</v>
      </c>
      <c r="D35" s="64">
        <v>16.07</v>
      </c>
      <c r="E35" s="64">
        <v>4.2699999999999996</v>
      </c>
      <c r="F35" s="64">
        <v>12.4</v>
      </c>
      <c r="G35" s="64">
        <v>7.47</v>
      </c>
      <c r="H35" s="64">
        <v>6.17</v>
      </c>
      <c r="I35" s="64">
        <v>1.35</v>
      </c>
      <c r="J35" s="64">
        <v>0.06</v>
      </c>
      <c r="K35" s="64">
        <v>326.88</v>
      </c>
      <c r="L35" s="64">
        <v>21.76</v>
      </c>
      <c r="M35" s="64">
        <v>98.22</v>
      </c>
      <c r="N35" s="64">
        <v>61</v>
      </c>
      <c r="O35" s="64">
        <v>0</v>
      </c>
      <c r="P35" s="64">
        <v>0.36</v>
      </c>
      <c r="Q35" s="64">
        <v>9.15</v>
      </c>
      <c r="R35" s="198"/>
      <c r="S35" s="198"/>
      <c r="T35" s="198"/>
      <c r="U35" s="198"/>
    </row>
    <row r="36" spans="1:21" s="12" customFormat="1" x14ac:dyDescent="0.25">
      <c r="A36" s="211" t="s">
        <v>755</v>
      </c>
      <c r="B36" s="64">
        <v>12.41</v>
      </c>
      <c r="C36" s="64">
        <v>7.78</v>
      </c>
      <c r="D36" s="64">
        <v>14.02</v>
      </c>
      <c r="E36" s="64">
        <v>4.28</v>
      </c>
      <c r="F36" s="64">
        <v>10.29</v>
      </c>
      <c r="G36" s="64">
        <v>7.47</v>
      </c>
      <c r="H36" s="64">
        <v>6.17</v>
      </c>
      <c r="I36" s="64">
        <v>1.35</v>
      </c>
      <c r="J36" s="64">
        <v>0.05</v>
      </c>
      <c r="K36" s="64">
        <v>284.93</v>
      </c>
      <c r="L36" s="64">
        <v>21.87</v>
      </c>
      <c r="M36" s="64">
        <v>98.21</v>
      </c>
      <c r="N36" s="64">
        <v>65.8</v>
      </c>
      <c r="O36" s="64">
        <v>0</v>
      </c>
      <c r="P36" s="64">
        <v>0.37</v>
      </c>
      <c r="Q36" s="64">
        <v>9.17</v>
      </c>
      <c r="R36" s="198"/>
      <c r="S36" s="198"/>
      <c r="T36" s="198"/>
      <c r="U36" s="198"/>
    </row>
    <row r="37" spans="1:21" s="12" customFormat="1" x14ac:dyDescent="0.25">
      <c r="A37" s="211" t="s">
        <v>756</v>
      </c>
      <c r="B37" s="64">
        <v>15.19</v>
      </c>
      <c r="C37" s="64">
        <v>6.09</v>
      </c>
      <c r="D37" s="64">
        <v>15.36</v>
      </c>
      <c r="E37" s="64">
        <v>4.3899999999999997</v>
      </c>
      <c r="F37" s="64">
        <v>6.95</v>
      </c>
      <c r="G37" s="64">
        <v>5.54</v>
      </c>
      <c r="H37" s="64">
        <v>5.98</v>
      </c>
      <c r="I37" s="64">
        <v>1.35</v>
      </c>
      <c r="J37" s="64">
        <v>0.1</v>
      </c>
      <c r="K37" s="64">
        <v>304.36</v>
      </c>
      <c r="L37" s="64">
        <v>22.07</v>
      </c>
      <c r="M37" s="64">
        <v>98.16</v>
      </c>
      <c r="N37" s="64">
        <v>67.900000000000006</v>
      </c>
      <c r="O37" s="64">
        <v>0</v>
      </c>
      <c r="P37" s="64">
        <v>0.35</v>
      </c>
      <c r="Q37" s="64">
        <v>9.16</v>
      </c>
      <c r="R37" s="198"/>
      <c r="S37" s="198"/>
      <c r="T37" s="198"/>
      <c r="U37" s="198"/>
    </row>
    <row r="38" spans="1:21" s="12" customFormat="1" x14ac:dyDescent="0.25">
      <c r="A38" s="211" t="s">
        <v>757</v>
      </c>
      <c r="B38" s="64">
        <v>14.81</v>
      </c>
      <c r="C38" s="64">
        <v>5.46</v>
      </c>
      <c r="D38" s="64">
        <v>14.73</v>
      </c>
      <c r="E38" s="64">
        <v>4.5199999999999996</v>
      </c>
      <c r="F38" s="64">
        <v>6.68</v>
      </c>
      <c r="G38" s="64">
        <v>5.41</v>
      </c>
      <c r="H38" s="64">
        <v>5.98</v>
      </c>
      <c r="I38" s="64">
        <v>1.35</v>
      </c>
      <c r="J38" s="64">
        <v>0.08</v>
      </c>
      <c r="K38" s="64">
        <v>326.42</v>
      </c>
      <c r="L38" s="64">
        <v>22.2</v>
      </c>
      <c r="M38" s="64">
        <v>98.2</v>
      </c>
      <c r="N38" s="64">
        <v>72.5</v>
      </c>
      <c r="O38" s="64">
        <v>0</v>
      </c>
      <c r="P38" s="64">
        <v>0.39</v>
      </c>
      <c r="Q38" s="64">
        <v>9.16</v>
      </c>
      <c r="R38" s="198"/>
      <c r="S38" s="198"/>
      <c r="T38" s="198"/>
      <c r="U38" s="198"/>
    </row>
    <row r="39" spans="1:21" s="12" customFormat="1" x14ac:dyDescent="0.25">
      <c r="A39" s="211" t="s">
        <v>758</v>
      </c>
      <c r="B39" s="64">
        <v>13.81</v>
      </c>
      <c r="C39" s="64">
        <v>5.81</v>
      </c>
      <c r="D39" s="64">
        <v>14.11</v>
      </c>
      <c r="E39" s="64">
        <v>4.4400000000000004</v>
      </c>
      <c r="F39" s="64">
        <v>23.43</v>
      </c>
      <c r="G39" s="64">
        <v>5.41</v>
      </c>
      <c r="H39" s="64">
        <v>5.98</v>
      </c>
      <c r="I39" s="64">
        <v>1.35</v>
      </c>
      <c r="J39" s="64">
        <v>0.05</v>
      </c>
      <c r="K39" s="64">
        <v>254.17</v>
      </c>
      <c r="L39" s="64">
        <v>22.29</v>
      </c>
      <c r="M39" s="64">
        <v>98.22</v>
      </c>
      <c r="N39" s="64">
        <v>83.4</v>
      </c>
      <c r="O39" s="64">
        <v>0</v>
      </c>
      <c r="P39" s="64">
        <v>0.36</v>
      </c>
      <c r="Q39" s="64">
        <v>9.16</v>
      </c>
      <c r="R39" s="198"/>
      <c r="S39" s="198"/>
      <c r="T39" s="198"/>
      <c r="U39" s="198"/>
    </row>
    <row r="40" spans="1:21" s="12" customFormat="1" x14ac:dyDescent="0.25">
      <c r="A40" s="211" t="s">
        <v>759</v>
      </c>
      <c r="B40" s="64">
        <v>12.8</v>
      </c>
      <c r="C40" s="64">
        <v>5.77</v>
      </c>
      <c r="D40" s="64">
        <v>13.28</v>
      </c>
      <c r="E40" s="64">
        <v>4.6900000000000004</v>
      </c>
      <c r="F40" s="64">
        <v>18.77</v>
      </c>
      <c r="G40" s="64">
        <v>5.41</v>
      </c>
      <c r="H40" s="64">
        <v>5.98</v>
      </c>
      <c r="I40" s="64">
        <v>1.35</v>
      </c>
      <c r="J40" s="64">
        <v>0.1</v>
      </c>
      <c r="K40" s="64">
        <v>210.82</v>
      </c>
      <c r="L40" s="64">
        <v>22.4</v>
      </c>
      <c r="M40" s="64">
        <v>98.17</v>
      </c>
      <c r="N40" s="64">
        <v>98.3</v>
      </c>
      <c r="O40" s="64">
        <v>0</v>
      </c>
      <c r="P40" s="64">
        <v>0.36</v>
      </c>
      <c r="Q40" s="64">
        <v>9.17</v>
      </c>
      <c r="R40" s="198"/>
      <c r="S40" s="198"/>
      <c r="T40" s="198"/>
      <c r="U40" s="198"/>
    </row>
    <row r="41" spans="1:21" s="12" customFormat="1" x14ac:dyDescent="0.25">
      <c r="A41" s="211" t="s">
        <v>760</v>
      </c>
      <c r="B41" s="64">
        <v>12.18</v>
      </c>
      <c r="C41" s="64">
        <v>6.68</v>
      </c>
      <c r="D41" s="64">
        <v>13.26</v>
      </c>
      <c r="E41" s="64">
        <v>4.5</v>
      </c>
      <c r="F41" s="64">
        <v>9.24</v>
      </c>
      <c r="G41" s="64">
        <v>8.4</v>
      </c>
      <c r="H41" s="64">
        <v>5.58</v>
      </c>
      <c r="I41" s="64">
        <v>1.36</v>
      </c>
      <c r="J41" s="64">
        <v>0.09</v>
      </c>
      <c r="K41" s="64">
        <v>222.72</v>
      </c>
      <c r="L41" s="64">
        <v>22.46</v>
      </c>
      <c r="M41" s="64">
        <v>98.2</v>
      </c>
      <c r="N41" s="64">
        <v>102</v>
      </c>
      <c r="O41" s="64">
        <v>0</v>
      </c>
      <c r="P41" s="64">
        <v>0.36</v>
      </c>
      <c r="Q41" s="64">
        <v>9.17</v>
      </c>
      <c r="R41" s="198"/>
      <c r="S41" s="198"/>
      <c r="T41" s="198"/>
      <c r="U41" s="198"/>
    </row>
    <row r="42" spans="1:21" s="12" customFormat="1" x14ac:dyDescent="0.25">
      <c r="A42" s="211" t="s">
        <v>761</v>
      </c>
      <c r="B42" s="64">
        <v>14</v>
      </c>
      <c r="C42" s="64">
        <v>5.68</v>
      </c>
      <c r="D42" s="64">
        <v>14.19</v>
      </c>
      <c r="E42" s="64">
        <v>4.33</v>
      </c>
      <c r="F42" s="64">
        <v>8.76</v>
      </c>
      <c r="G42" s="64">
        <v>8.6199999999999992</v>
      </c>
      <c r="H42" s="64">
        <v>5.58</v>
      </c>
      <c r="I42" s="64">
        <v>1.36</v>
      </c>
      <c r="J42" s="64">
        <v>0.01</v>
      </c>
      <c r="K42" s="64">
        <v>299.06</v>
      </c>
      <c r="L42" s="64">
        <v>22.77</v>
      </c>
      <c r="M42" s="64">
        <v>98.17</v>
      </c>
      <c r="N42" s="64">
        <v>123.6</v>
      </c>
      <c r="O42" s="64">
        <v>0</v>
      </c>
      <c r="P42" s="64">
        <v>0.39</v>
      </c>
      <c r="Q42" s="64">
        <v>9.17</v>
      </c>
      <c r="R42" s="198"/>
      <c r="S42" s="198"/>
      <c r="T42" s="198"/>
      <c r="U42" s="198"/>
    </row>
    <row r="43" spans="1:21" s="12" customFormat="1" x14ac:dyDescent="0.25">
      <c r="A43" s="211" t="s">
        <v>762</v>
      </c>
      <c r="B43" s="64">
        <v>15.17</v>
      </c>
      <c r="C43" s="64">
        <v>6.8</v>
      </c>
      <c r="D43" s="64">
        <v>15.71</v>
      </c>
      <c r="E43" s="64">
        <v>4.8</v>
      </c>
      <c r="F43" s="64">
        <v>7.03</v>
      </c>
      <c r="G43" s="64">
        <v>8.6199999999999992</v>
      </c>
      <c r="H43" s="64">
        <v>5.58</v>
      </c>
      <c r="I43" s="64">
        <v>1.36</v>
      </c>
      <c r="J43" s="64">
        <v>0.08</v>
      </c>
      <c r="K43" s="64">
        <v>297.61</v>
      </c>
      <c r="L43" s="64">
        <v>23.23</v>
      </c>
      <c r="M43" s="64">
        <v>98.21</v>
      </c>
      <c r="N43" s="64">
        <v>138.1</v>
      </c>
      <c r="O43" s="64">
        <v>0</v>
      </c>
      <c r="P43" s="64">
        <v>0.56000000000000005</v>
      </c>
      <c r="Q43" s="64">
        <v>9.18</v>
      </c>
      <c r="R43" s="198"/>
      <c r="S43" s="198"/>
      <c r="T43" s="198"/>
      <c r="U43" s="198"/>
    </row>
    <row r="44" spans="1:21" s="12" customFormat="1" x14ac:dyDescent="0.25">
      <c r="A44" s="211" t="s">
        <v>763</v>
      </c>
      <c r="B44" s="64">
        <v>14.54</v>
      </c>
      <c r="C44" s="64">
        <v>7.18</v>
      </c>
      <c r="D44" s="64">
        <v>15.41</v>
      </c>
      <c r="E44" s="64">
        <v>4.32</v>
      </c>
      <c r="F44" s="64">
        <v>7.35</v>
      </c>
      <c r="G44" s="64">
        <v>8.6199999999999992</v>
      </c>
      <c r="H44" s="64">
        <v>5.58</v>
      </c>
      <c r="I44" s="64">
        <v>1.38</v>
      </c>
      <c r="J44" s="64">
        <v>0.05</v>
      </c>
      <c r="K44" s="64">
        <v>147.63</v>
      </c>
      <c r="L44" s="64">
        <v>23.14</v>
      </c>
      <c r="M44" s="64">
        <v>98.19</v>
      </c>
      <c r="N44" s="64">
        <v>139.69999999999999</v>
      </c>
      <c r="O44" s="64">
        <v>0</v>
      </c>
      <c r="P44" s="64">
        <v>0.47</v>
      </c>
      <c r="Q44" s="64">
        <v>9.19</v>
      </c>
      <c r="R44" s="198"/>
      <c r="S44" s="198"/>
      <c r="T44" s="198"/>
      <c r="U44" s="198"/>
    </row>
    <row r="45" spans="1:21" s="12" customFormat="1" x14ac:dyDescent="0.25">
      <c r="A45" s="211" t="s">
        <v>764</v>
      </c>
      <c r="B45" s="64">
        <v>13.05</v>
      </c>
      <c r="C45" s="64">
        <v>6.29</v>
      </c>
      <c r="D45" s="64">
        <v>13.75</v>
      </c>
      <c r="E45" s="64">
        <v>4.37</v>
      </c>
      <c r="F45" s="64">
        <v>8.67</v>
      </c>
      <c r="G45" s="64">
        <v>20.23</v>
      </c>
      <c r="H45" s="64">
        <v>5.27</v>
      </c>
      <c r="I45" s="64">
        <v>1.48</v>
      </c>
      <c r="J45" s="64">
        <v>0.09</v>
      </c>
      <c r="K45" s="64">
        <v>187.47</v>
      </c>
      <c r="L45" s="64">
        <v>23.26</v>
      </c>
      <c r="M45" s="64">
        <v>98.19</v>
      </c>
      <c r="N45" s="64">
        <v>136.69999999999999</v>
      </c>
      <c r="O45" s="64">
        <v>0</v>
      </c>
      <c r="P45" s="64">
        <v>0.43</v>
      </c>
      <c r="Q45" s="64">
        <v>9.18</v>
      </c>
      <c r="R45" s="198"/>
      <c r="S45" s="198"/>
      <c r="T45" s="198"/>
      <c r="U45" s="198"/>
    </row>
    <row r="46" spans="1:21" s="12" customFormat="1" x14ac:dyDescent="0.25">
      <c r="A46" s="211" t="s">
        <v>765</v>
      </c>
      <c r="B46" s="64">
        <v>14.3</v>
      </c>
      <c r="C46" s="64">
        <v>5.09</v>
      </c>
      <c r="D46" s="64">
        <v>14.12</v>
      </c>
      <c r="E46" s="64">
        <v>4.54</v>
      </c>
      <c r="F46" s="64">
        <v>19.64</v>
      </c>
      <c r="G46" s="64">
        <v>21.06</v>
      </c>
      <c r="H46" s="64">
        <v>5.27</v>
      </c>
      <c r="I46" s="64">
        <v>1.62</v>
      </c>
      <c r="J46" s="64">
        <v>0.08</v>
      </c>
      <c r="K46" s="64">
        <v>278.12</v>
      </c>
      <c r="L46" s="64">
        <v>23.55</v>
      </c>
      <c r="M46" s="64">
        <v>98.17</v>
      </c>
      <c r="N46" s="64">
        <v>150</v>
      </c>
      <c r="O46" s="64">
        <v>0</v>
      </c>
      <c r="P46" s="64">
        <v>0.44</v>
      </c>
      <c r="Q46" s="64">
        <v>9.18</v>
      </c>
      <c r="R46" s="198"/>
      <c r="S46" s="198"/>
      <c r="T46" s="198"/>
      <c r="U46" s="198"/>
    </row>
    <row r="47" spans="1:21" s="12" customFormat="1" x14ac:dyDescent="0.25">
      <c r="A47" s="211" t="s">
        <v>766</v>
      </c>
      <c r="B47" s="64">
        <v>14.9</v>
      </c>
      <c r="C47" s="64">
        <v>5.19</v>
      </c>
      <c r="D47" s="64">
        <v>14.66</v>
      </c>
      <c r="E47" s="64">
        <v>4.38</v>
      </c>
      <c r="F47" s="64">
        <v>9.24</v>
      </c>
      <c r="G47" s="64">
        <v>21.06</v>
      </c>
      <c r="H47" s="64">
        <v>5.27</v>
      </c>
      <c r="I47" s="64">
        <v>1.7</v>
      </c>
      <c r="J47" s="64">
        <v>0.11</v>
      </c>
      <c r="K47" s="64">
        <v>272.52</v>
      </c>
      <c r="L47" s="64">
        <v>23.54</v>
      </c>
      <c r="M47" s="64">
        <v>98.19</v>
      </c>
      <c r="N47" s="64">
        <v>177.4</v>
      </c>
      <c r="O47" s="64">
        <v>0</v>
      </c>
      <c r="P47" s="64">
        <v>0.52</v>
      </c>
      <c r="Q47" s="64">
        <v>9.18</v>
      </c>
      <c r="R47" s="198"/>
      <c r="S47" s="198"/>
      <c r="T47" s="198"/>
      <c r="U47" s="198"/>
    </row>
    <row r="48" spans="1:21" s="12" customFormat="1" x14ac:dyDescent="0.25">
      <c r="A48" s="211" t="s">
        <v>767</v>
      </c>
      <c r="B48" s="64">
        <v>13.97</v>
      </c>
      <c r="C48" s="64">
        <v>7.37</v>
      </c>
      <c r="D48" s="64">
        <v>15.06</v>
      </c>
      <c r="E48" s="64">
        <v>4.5</v>
      </c>
      <c r="F48" s="64">
        <v>9.68</v>
      </c>
      <c r="G48" s="64">
        <v>21.06</v>
      </c>
      <c r="H48" s="64">
        <v>5.27</v>
      </c>
      <c r="I48" s="64">
        <v>1.85</v>
      </c>
      <c r="J48" s="64">
        <v>0.11</v>
      </c>
      <c r="K48" s="64">
        <v>260.79000000000002</v>
      </c>
      <c r="L48" s="64">
        <v>23.87</v>
      </c>
      <c r="M48" s="64">
        <v>98.2</v>
      </c>
      <c r="N48" s="64">
        <v>174.8</v>
      </c>
      <c r="O48" s="64">
        <v>0</v>
      </c>
      <c r="P48" s="64">
        <v>0.63</v>
      </c>
      <c r="Q48" s="64">
        <v>9.19</v>
      </c>
      <c r="R48" s="198"/>
      <c r="S48" s="198"/>
      <c r="T48" s="198"/>
      <c r="U48" s="198"/>
    </row>
    <row r="49" spans="1:21" s="12" customFormat="1" x14ac:dyDescent="0.25">
      <c r="A49" s="211" t="s">
        <v>768</v>
      </c>
      <c r="B49" s="64">
        <v>12.66</v>
      </c>
      <c r="C49" s="64">
        <v>9.9</v>
      </c>
      <c r="D49" s="64">
        <v>15.32</v>
      </c>
      <c r="E49" s="64">
        <v>4.71</v>
      </c>
      <c r="F49" s="64">
        <v>7.26</v>
      </c>
      <c r="G49" s="64">
        <v>34.64</v>
      </c>
      <c r="H49" s="64">
        <v>4.96</v>
      </c>
      <c r="I49" s="64">
        <v>2.14</v>
      </c>
      <c r="J49" s="64">
        <v>0.14000000000000001</v>
      </c>
      <c r="K49" s="64">
        <v>178.34</v>
      </c>
      <c r="L49" s="64">
        <v>24.03</v>
      </c>
      <c r="M49" s="64">
        <v>98.17</v>
      </c>
      <c r="N49" s="64">
        <v>173.7</v>
      </c>
      <c r="O49" s="64">
        <v>0</v>
      </c>
      <c r="P49" s="64">
        <v>0.62</v>
      </c>
      <c r="Q49" s="64">
        <v>9.1999999999999993</v>
      </c>
      <c r="R49" s="198"/>
      <c r="S49" s="198"/>
      <c r="T49" s="198"/>
      <c r="U49" s="198"/>
    </row>
    <row r="50" spans="1:21" s="12" customFormat="1" x14ac:dyDescent="0.25">
      <c r="A50" s="211" t="s">
        <v>769</v>
      </c>
      <c r="B50" s="64">
        <v>13.99</v>
      </c>
      <c r="C50" s="64">
        <v>8.08</v>
      </c>
      <c r="D50" s="64">
        <v>15.44</v>
      </c>
      <c r="E50" s="64">
        <v>4.49</v>
      </c>
      <c r="F50" s="64">
        <v>6.95</v>
      </c>
      <c r="G50" s="64">
        <v>35.61</v>
      </c>
      <c r="H50" s="64">
        <v>4.96</v>
      </c>
      <c r="I50" s="64">
        <v>2.37</v>
      </c>
      <c r="J50" s="64">
        <v>0.08</v>
      </c>
      <c r="K50" s="64">
        <v>272.89999999999998</v>
      </c>
      <c r="L50" s="64">
        <v>24.39</v>
      </c>
      <c r="M50" s="64">
        <v>98.13</v>
      </c>
      <c r="N50" s="64">
        <v>223.2</v>
      </c>
      <c r="O50" s="64">
        <v>0</v>
      </c>
      <c r="P50" s="64">
        <v>0.56000000000000005</v>
      </c>
      <c r="Q50" s="64">
        <v>9.1999999999999993</v>
      </c>
      <c r="R50" s="198"/>
      <c r="S50" s="198"/>
      <c r="T50" s="198"/>
      <c r="U50" s="198"/>
    </row>
    <row r="51" spans="1:21" s="12" customFormat="1" x14ac:dyDescent="0.25">
      <c r="A51" s="211" t="s">
        <v>770</v>
      </c>
      <c r="B51" s="64">
        <v>16.88</v>
      </c>
      <c r="C51" s="64">
        <v>7.34</v>
      </c>
      <c r="D51" s="64">
        <v>17.38</v>
      </c>
      <c r="E51" s="64">
        <v>4.5999999999999996</v>
      </c>
      <c r="F51" s="64">
        <v>6.63</v>
      </c>
      <c r="G51" s="64">
        <v>35.61</v>
      </c>
      <c r="H51" s="64">
        <v>4.96</v>
      </c>
      <c r="I51" s="64">
        <v>2.48</v>
      </c>
      <c r="J51" s="64">
        <v>7.0000000000000007E-2</v>
      </c>
      <c r="K51" s="64">
        <v>256.75</v>
      </c>
      <c r="L51" s="64">
        <v>25.2</v>
      </c>
      <c r="M51" s="64">
        <v>98.09</v>
      </c>
      <c r="N51" s="64">
        <v>229.3</v>
      </c>
      <c r="O51" s="64">
        <v>0</v>
      </c>
      <c r="P51" s="64">
        <v>0.66</v>
      </c>
      <c r="Q51" s="64">
        <v>9.2100000000000009</v>
      </c>
      <c r="R51" s="198"/>
      <c r="S51" s="198"/>
      <c r="T51" s="198"/>
      <c r="U51" s="198"/>
    </row>
    <row r="52" spans="1:21" s="12" customFormat="1" x14ac:dyDescent="0.25">
      <c r="A52" s="211" t="s">
        <v>771</v>
      </c>
      <c r="B52" s="64">
        <v>16.059999999999999</v>
      </c>
      <c r="C52" s="64">
        <v>6.63</v>
      </c>
      <c r="D52" s="64">
        <v>16.34</v>
      </c>
      <c r="E52" s="64">
        <v>4.99</v>
      </c>
      <c r="F52" s="64">
        <v>8.5</v>
      </c>
      <c r="G52" s="64">
        <v>35.61</v>
      </c>
      <c r="H52" s="64">
        <v>4.96</v>
      </c>
      <c r="I52" s="64">
        <v>2.5299999999999998</v>
      </c>
      <c r="J52" s="64">
        <v>0.12</v>
      </c>
      <c r="K52" s="64">
        <v>278.83</v>
      </c>
      <c r="L52" s="64">
        <v>25.16</v>
      </c>
      <c r="M52" s="64">
        <v>98.07</v>
      </c>
      <c r="N52" s="64">
        <v>225.8</v>
      </c>
      <c r="O52" s="64">
        <v>0</v>
      </c>
      <c r="P52" s="64">
        <v>0.57999999999999996</v>
      </c>
      <c r="Q52" s="64">
        <v>9.2100000000000009</v>
      </c>
      <c r="R52" s="198"/>
      <c r="S52" s="198"/>
      <c r="T52" s="198"/>
      <c r="U52" s="198"/>
    </row>
    <row r="53" spans="1:21" s="12" customFormat="1" x14ac:dyDescent="0.25">
      <c r="A53" s="211" t="s">
        <v>772</v>
      </c>
      <c r="B53" s="64">
        <v>16.05</v>
      </c>
      <c r="C53" s="64">
        <v>8.42</v>
      </c>
      <c r="D53" s="64">
        <v>17.27</v>
      </c>
      <c r="E53" s="64">
        <v>4.72</v>
      </c>
      <c r="F53" s="64">
        <v>9.64</v>
      </c>
      <c r="G53" s="64">
        <v>37.44</v>
      </c>
      <c r="H53" s="64">
        <v>7.39</v>
      </c>
      <c r="I53" s="64">
        <v>2.5299999999999998</v>
      </c>
      <c r="J53" s="64">
        <v>0.08</v>
      </c>
      <c r="K53" s="64">
        <v>313.70999999999998</v>
      </c>
      <c r="L53" s="64">
        <v>25.58</v>
      </c>
      <c r="M53" s="64">
        <v>98.07</v>
      </c>
      <c r="N53" s="64">
        <v>252</v>
      </c>
      <c r="O53" s="64">
        <v>0</v>
      </c>
      <c r="P53" s="64">
        <v>0.65</v>
      </c>
      <c r="Q53" s="64">
        <v>9.2100000000000009</v>
      </c>
      <c r="R53" s="198"/>
      <c r="S53" s="198"/>
      <c r="T53" s="198"/>
      <c r="U53" s="198"/>
    </row>
    <row r="54" spans="1:21" s="12" customFormat="1" x14ac:dyDescent="0.25">
      <c r="A54" s="211" t="s">
        <v>773</v>
      </c>
      <c r="B54" s="64">
        <v>13.78</v>
      </c>
      <c r="C54" s="64">
        <v>7.6</v>
      </c>
      <c r="D54" s="64">
        <v>15.02</v>
      </c>
      <c r="E54" s="64">
        <v>4.33</v>
      </c>
      <c r="F54" s="64">
        <v>8.89</v>
      </c>
      <c r="G54" s="64">
        <v>37.57</v>
      </c>
      <c r="H54" s="64">
        <v>7.39</v>
      </c>
      <c r="I54" s="64">
        <v>2.52</v>
      </c>
      <c r="J54" s="64">
        <v>0.08</v>
      </c>
      <c r="K54" s="64">
        <v>180.13</v>
      </c>
      <c r="L54" s="64">
        <v>25.54</v>
      </c>
      <c r="M54" s="64">
        <v>98.05</v>
      </c>
      <c r="N54" s="64">
        <v>289.39999999999998</v>
      </c>
      <c r="O54" s="64">
        <v>0</v>
      </c>
      <c r="P54" s="64">
        <v>0.56000000000000005</v>
      </c>
      <c r="Q54" s="64">
        <v>9.2200000000000006</v>
      </c>
      <c r="R54" s="198"/>
      <c r="S54" s="198"/>
      <c r="T54" s="198"/>
      <c r="U54" s="198"/>
    </row>
    <row r="55" spans="1:21" s="12" customFormat="1" x14ac:dyDescent="0.25">
      <c r="A55" s="211" t="s">
        <v>774</v>
      </c>
      <c r="B55" s="64">
        <v>14.39</v>
      </c>
      <c r="C55" s="64">
        <v>7.46</v>
      </c>
      <c r="D55" s="64">
        <v>15.44</v>
      </c>
      <c r="E55" s="64">
        <v>4.6500000000000004</v>
      </c>
      <c r="F55" s="64">
        <v>8.18</v>
      </c>
      <c r="G55" s="64">
        <v>37.57</v>
      </c>
      <c r="H55" s="64">
        <v>7.39</v>
      </c>
      <c r="I55" s="64">
        <v>2.5099999999999998</v>
      </c>
      <c r="J55" s="64">
        <v>0.43</v>
      </c>
      <c r="K55" s="64">
        <v>129</v>
      </c>
      <c r="L55" s="64">
        <v>25.81</v>
      </c>
      <c r="M55" s="64">
        <v>98.02</v>
      </c>
      <c r="N55" s="64">
        <v>325</v>
      </c>
      <c r="O55" s="64">
        <v>0</v>
      </c>
      <c r="P55" s="64">
        <v>0.59</v>
      </c>
      <c r="Q55" s="64">
        <v>9.1999999999999993</v>
      </c>
      <c r="R55" s="198"/>
      <c r="S55" s="198"/>
      <c r="T55" s="198"/>
      <c r="U55" s="198"/>
    </row>
    <row r="56" spans="1:21" s="12" customFormat="1" x14ac:dyDescent="0.25">
      <c r="A56" s="211" t="s">
        <v>775</v>
      </c>
      <c r="B56" s="64">
        <v>11.91</v>
      </c>
      <c r="C56" s="64">
        <v>9.59</v>
      </c>
      <c r="D56" s="64">
        <v>14.56</v>
      </c>
      <c r="E56" s="64">
        <v>4.6500000000000004</v>
      </c>
      <c r="F56" s="64">
        <v>7.82</v>
      </c>
      <c r="G56" s="64">
        <v>37.57</v>
      </c>
      <c r="H56" s="64">
        <v>7.39</v>
      </c>
      <c r="I56" s="64">
        <v>2.5099999999999998</v>
      </c>
      <c r="J56" s="64">
        <v>0.44</v>
      </c>
      <c r="K56" s="64">
        <v>137.07</v>
      </c>
      <c r="L56" s="64">
        <v>25.71</v>
      </c>
      <c r="M56" s="64">
        <v>98.04</v>
      </c>
      <c r="N56" s="64">
        <v>426.7</v>
      </c>
      <c r="O56" s="64">
        <v>0</v>
      </c>
      <c r="P56" s="64">
        <v>0.56999999999999995</v>
      </c>
      <c r="Q56" s="64">
        <v>9.18</v>
      </c>
      <c r="R56" s="198"/>
      <c r="S56" s="198"/>
      <c r="T56" s="198"/>
      <c r="U56" s="198"/>
    </row>
    <row r="57" spans="1:21" s="12" customFormat="1" x14ac:dyDescent="0.25">
      <c r="A57" s="211" t="s">
        <v>776</v>
      </c>
      <c r="B57" s="64">
        <v>13.36</v>
      </c>
      <c r="C57" s="64">
        <v>8.6999999999999993</v>
      </c>
      <c r="D57" s="64">
        <v>15.25</v>
      </c>
      <c r="E57" s="64">
        <v>4.49</v>
      </c>
      <c r="F57" s="64">
        <v>10.26</v>
      </c>
      <c r="G57" s="64">
        <v>44.82</v>
      </c>
      <c r="H57" s="64">
        <v>7.12</v>
      </c>
      <c r="I57" s="64">
        <v>2.5099999999999998</v>
      </c>
      <c r="J57" s="64">
        <v>0.34</v>
      </c>
      <c r="K57" s="64">
        <v>147.84</v>
      </c>
      <c r="L57" s="64">
        <v>26.49</v>
      </c>
      <c r="M57" s="64">
        <v>97.84</v>
      </c>
      <c r="N57" s="64">
        <v>628.1</v>
      </c>
      <c r="O57" s="64">
        <v>0</v>
      </c>
      <c r="P57" s="64">
        <v>0.59</v>
      </c>
      <c r="Q57" s="64">
        <v>9.17</v>
      </c>
      <c r="R57" s="198"/>
      <c r="S57" s="198"/>
      <c r="T57" s="198"/>
      <c r="U57" s="198"/>
    </row>
    <row r="58" spans="1:21" s="12" customFormat="1" x14ac:dyDescent="0.25">
      <c r="A58" s="211" t="s">
        <v>777</v>
      </c>
      <c r="B58" s="64">
        <v>13.82</v>
      </c>
      <c r="C58" s="64">
        <v>7.44</v>
      </c>
      <c r="D58" s="64">
        <v>14.97</v>
      </c>
      <c r="E58" s="64">
        <v>4.32</v>
      </c>
      <c r="F58" s="64">
        <v>8.44</v>
      </c>
      <c r="G58" s="64">
        <v>45.34</v>
      </c>
      <c r="H58" s="64">
        <v>7.12</v>
      </c>
      <c r="I58" s="64">
        <v>2.5099999999999998</v>
      </c>
      <c r="J58" s="64">
        <v>0.38</v>
      </c>
      <c r="K58" s="64">
        <v>154.94999999999999</v>
      </c>
      <c r="L58" s="64">
        <v>26.95</v>
      </c>
      <c r="M58" s="64">
        <v>96.24</v>
      </c>
      <c r="N58" s="64">
        <v>564.29999999999995</v>
      </c>
      <c r="O58" s="64">
        <v>0</v>
      </c>
      <c r="P58" s="64">
        <v>0.6</v>
      </c>
      <c r="Q58" s="64">
        <v>9.17</v>
      </c>
      <c r="R58" s="198"/>
      <c r="S58" s="198"/>
      <c r="T58" s="198"/>
      <c r="U58" s="198"/>
    </row>
    <row r="59" spans="1:21" s="12" customFormat="1" x14ac:dyDescent="0.25">
      <c r="A59" s="211" t="s">
        <v>778</v>
      </c>
      <c r="B59" s="64">
        <v>17.16</v>
      </c>
      <c r="C59" s="64">
        <v>11.63</v>
      </c>
      <c r="D59" s="64">
        <v>19.75</v>
      </c>
      <c r="E59" s="64">
        <v>4.55</v>
      </c>
      <c r="F59" s="64">
        <v>11.79</v>
      </c>
      <c r="G59" s="64">
        <v>45.34</v>
      </c>
      <c r="H59" s="64">
        <v>7.12</v>
      </c>
      <c r="I59" s="64">
        <v>2.5099999999999998</v>
      </c>
      <c r="J59" s="64">
        <v>0.44</v>
      </c>
      <c r="K59" s="64">
        <v>328.58</v>
      </c>
      <c r="L59" s="64">
        <v>28.53</v>
      </c>
      <c r="M59" s="64">
        <v>89.3</v>
      </c>
      <c r="N59" s="64">
        <v>710.8</v>
      </c>
      <c r="O59" s="64">
        <v>0</v>
      </c>
      <c r="P59" s="64">
        <v>0.7</v>
      </c>
      <c r="Q59" s="64">
        <v>9.17</v>
      </c>
      <c r="R59" s="198"/>
      <c r="S59" s="198"/>
      <c r="T59" s="198"/>
      <c r="U59" s="198"/>
    </row>
    <row r="60" spans="1:21" s="12" customFormat="1" x14ac:dyDescent="0.25">
      <c r="A60" s="211" t="s">
        <v>779</v>
      </c>
      <c r="B60" s="64">
        <v>14.7</v>
      </c>
      <c r="C60" s="64">
        <v>13.72</v>
      </c>
      <c r="D60" s="64">
        <v>18.96</v>
      </c>
      <c r="E60" s="64">
        <v>5.15</v>
      </c>
      <c r="F60" s="64">
        <v>10.66</v>
      </c>
      <c r="G60" s="64">
        <v>45.34</v>
      </c>
      <c r="H60" s="64">
        <v>7.12</v>
      </c>
      <c r="I60" s="64">
        <v>2.52</v>
      </c>
      <c r="J60" s="64">
        <v>0.11</v>
      </c>
      <c r="K60" s="64">
        <v>359.01</v>
      </c>
      <c r="L60" s="64">
        <v>28.78</v>
      </c>
      <c r="M60" s="64">
        <v>85.47</v>
      </c>
      <c r="N60" s="64">
        <v>369</v>
      </c>
      <c r="O60" s="64">
        <v>0</v>
      </c>
      <c r="P60" s="64">
        <v>0.69</v>
      </c>
      <c r="Q60" s="64">
        <v>9.16</v>
      </c>
      <c r="R60" s="198"/>
      <c r="S60" s="198"/>
      <c r="T60" s="198"/>
      <c r="U60" s="198"/>
    </row>
    <row r="61" spans="1:21" s="12" customFormat="1" x14ac:dyDescent="0.25">
      <c r="A61" s="211" t="s">
        <v>780</v>
      </c>
      <c r="B61" s="64">
        <v>10.42</v>
      </c>
      <c r="C61" s="64">
        <v>13.25</v>
      </c>
      <c r="D61" s="64">
        <v>15.28</v>
      </c>
      <c r="E61" s="64">
        <v>4.6399999999999997</v>
      </c>
      <c r="F61" s="64">
        <v>12.31</v>
      </c>
      <c r="G61" s="64">
        <v>54.75</v>
      </c>
      <c r="H61" s="64">
        <v>7.74</v>
      </c>
      <c r="I61" s="64">
        <v>2.54</v>
      </c>
      <c r="J61" s="64">
        <v>0.28000000000000003</v>
      </c>
      <c r="K61" s="64">
        <v>126.89</v>
      </c>
      <c r="L61" s="64">
        <v>28.38</v>
      </c>
      <c r="M61" s="64">
        <v>86.38</v>
      </c>
      <c r="N61" s="64">
        <v>604</v>
      </c>
      <c r="O61" s="64">
        <v>0</v>
      </c>
      <c r="P61" s="64">
        <v>0.51</v>
      </c>
      <c r="Q61" s="64">
        <v>9.17</v>
      </c>
      <c r="R61" s="198"/>
      <c r="S61" s="198"/>
      <c r="T61" s="198"/>
      <c r="U61" s="198"/>
    </row>
    <row r="62" spans="1:21" s="12" customFormat="1" x14ac:dyDescent="0.25">
      <c r="A62" s="211" t="s">
        <v>781</v>
      </c>
      <c r="B62" s="64">
        <v>13.33</v>
      </c>
      <c r="C62" s="64">
        <v>13.14</v>
      </c>
      <c r="D62" s="64">
        <v>17.559999999999999</v>
      </c>
      <c r="E62" s="64">
        <v>4.84</v>
      </c>
      <c r="F62" s="64">
        <v>11.09</v>
      </c>
      <c r="G62" s="64">
        <v>55.42</v>
      </c>
      <c r="H62" s="64">
        <v>7.74</v>
      </c>
      <c r="I62" s="64">
        <v>2.5499999999999998</v>
      </c>
      <c r="J62" s="64">
        <v>0.11</v>
      </c>
      <c r="K62" s="64">
        <v>329.94</v>
      </c>
      <c r="L62" s="64">
        <v>28.42</v>
      </c>
      <c r="M62" s="64">
        <v>86.96</v>
      </c>
      <c r="N62" s="64">
        <v>281.2</v>
      </c>
      <c r="O62" s="64">
        <v>0</v>
      </c>
      <c r="P62" s="64">
        <v>0.52</v>
      </c>
      <c r="Q62" s="64">
        <v>9.16</v>
      </c>
      <c r="R62" s="198"/>
      <c r="S62" s="198"/>
      <c r="T62" s="198"/>
      <c r="U62" s="198"/>
    </row>
    <row r="63" spans="1:21" s="12" customFormat="1" x14ac:dyDescent="0.25">
      <c r="A63" s="211" t="s">
        <v>782</v>
      </c>
      <c r="B63" s="64">
        <v>14.91</v>
      </c>
      <c r="C63" s="64">
        <v>14.16</v>
      </c>
      <c r="D63" s="64">
        <v>19.36</v>
      </c>
      <c r="E63" s="64">
        <v>4.74</v>
      </c>
      <c r="F63" s="64">
        <v>16.64</v>
      </c>
      <c r="G63" s="64">
        <v>55.42</v>
      </c>
      <c r="H63" s="64">
        <v>7.74</v>
      </c>
      <c r="I63" s="64">
        <v>2.5499999999999998</v>
      </c>
      <c r="J63" s="64">
        <v>0.16</v>
      </c>
      <c r="K63" s="64">
        <v>348.42</v>
      </c>
      <c r="L63" s="64">
        <v>29.38</v>
      </c>
      <c r="M63" s="64">
        <v>82.44</v>
      </c>
      <c r="N63" s="64">
        <v>354.4</v>
      </c>
      <c r="O63" s="64">
        <v>0</v>
      </c>
      <c r="P63" s="64">
        <v>0.6</v>
      </c>
      <c r="Q63" s="64">
        <v>9.16</v>
      </c>
      <c r="R63" s="198"/>
      <c r="S63" s="198"/>
      <c r="T63" s="198"/>
      <c r="U63" s="198"/>
    </row>
    <row r="64" spans="1:21" s="12" customFormat="1" x14ac:dyDescent="0.25">
      <c r="A64" s="211" t="s">
        <v>783</v>
      </c>
      <c r="B64" s="64">
        <v>10.82</v>
      </c>
      <c r="C64" s="64">
        <v>14.46</v>
      </c>
      <c r="D64" s="64">
        <v>16.23</v>
      </c>
      <c r="E64" s="64">
        <v>4.7699999999999996</v>
      </c>
      <c r="F64" s="64">
        <v>14.45</v>
      </c>
      <c r="G64" s="64">
        <v>55.42</v>
      </c>
      <c r="H64" s="64">
        <v>7.74</v>
      </c>
      <c r="I64" s="64">
        <v>2.54</v>
      </c>
      <c r="J64" s="64">
        <v>0.18</v>
      </c>
      <c r="K64" s="64">
        <v>315.11</v>
      </c>
      <c r="L64" s="64">
        <v>29.5</v>
      </c>
      <c r="M64" s="64">
        <v>79.7</v>
      </c>
      <c r="N64" s="64">
        <v>168</v>
      </c>
      <c r="O64" s="64">
        <v>0</v>
      </c>
      <c r="P64" s="64">
        <v>0.56000000000000005</v>
      </c>
      <c r="Q64" s="64">
        <v>9.16</v>
      </c>
      <c r="R64" s="198"/>
      <c r="S64" s="198"/>
      <c r="T64" s="198"/>
      <c r="U64" s="198"/>
    </row>
    <row r="65" spans="1:21" s="12" customFormat="1" x14ac:dyDescent="0.25">
      <c r="A65" s="211" t="s">
        <v>784</v>
      </c>
      <c r="B65" s="64">
        <v>10.69</v>
      </c>
      <c r="C65" s="64">
        <v>16.77</v>
      </c>
      <c r="D65" s="64">
        <v>17.34</v>
      </c>
      <c r="E65" s="64">
        <v>4.75</v>
      </c>
      <c r="F65" s="64">
        <v>12.72</v>
      </c>
      <c r="G65" s="64">
        <v>52.84</v>
      </c>
      <c r="H65" s="64">
        <v>7.07</v>
      </c>
      <c r="I65" s="64">
        <v>2.54</v>
      </c>
      <c r="J65" s="64">
        <v>0.17</v>
      </c>
      <c r="K65" s="64">
        <v>316.67</v>
      </c>
      <c r="L65" s="64">
        <v>28.53</v>
      </c>
      <c r="M65" s="64">
        <v>83.79</v>
      </c>
      <c r="N65" s="64">
        <v>95.5</v>
      </c>
      <c r="O65" s="64">
        <v>0</v>
      </c>
      <c r="P65" s="64">
        <v>0.69</v>
      </c>
      <c r="Q65" s="64">
        <v>9.16</v>
      </c>
      <c r="R65" s="198"/>
      <c r="S65" s="198"/>
      <c r="T65" s="198"/>
      <c r="U65" s="198"/>
    </row>
    <row r="66" spans="1:21" s="12" customFormat="1" x14ac:dyDescent="0.25">
      <c r="A66" s="211" t="s">
        <v>785</v>
      </c>
      <c r="B66" s="64">
        <v>13.75</v>
      </c>
      <c r="C66" s="64">
        <v>18.079999999999998</v>
      </c>
      <c r="D66" s="64">
        <v>20.47</v>
      </c>
      <c r="E66" s="64">
        <v>4.72</v>
      </c>
      <c r="F66" s="64">
        <v>13.5</v>
      </c>
      <c r="G66" s="64">
        <v>52.66</v>
      </c>
      <c r="H66" s="64">
        <v>7.07</v>
      </c>
      <c r="I66" s="64">
        <v>2.5299999999999998</v>
      </c>
      <c r="J66" s="64">
        <v>0.06</v>
      </c>
      <c r="K66" s="64">
        <v>302.77999999999997</v>
      </c>
      <c r="L66" s="64">
        <v>26.84</v>
      </c>
      <c r="M66" s="64">
        <v>94.95</v>
      </c>
      <c r="N66" s="64">
        <v>97.7</v>
      </c>
      <c r="O66" s="64">
        <v>0</v>
      </c>
      <c r="P66" s="64">
        <v>0.72</v>
      </c>
      <c r="Q66" s="64">
        <v>9.17</v>
      </c>
      <c r="R66" s="198"/>
      <c r="S66" s="198"/>
      <c r="T66" s="198"/>
      <c r="U66" s="198"/>
    </row>
    <row r="67" spans="1:21" s="12" customFormat="1" x14ac:dyDescent="0.25">
      <c r="A67" s="211" t="s">
        <v>786</v>
      </c>
      <c r="B67" s="64">
        <v>9.01</v>
      </c>
      <c r="C67" s="64">
        <v>15.27</v>
      </c>
      <c r="D67" s="64">
        <v>15.21</v>
      </c>
      <c r="E67" s="64">
        <v>4.9400000000000004</v>
      </c>
      <c r="F67" s="64">
        <v>14.8</v>
      </c>
      <c r="G67" s="64">
        <v>52.66</v>
      </c>
      <c r="H67" s="64">
        <v>7.07</v>
      </c>
      <c r="I67" s="64">
        <v>2.5299999999999998</v>
      </c>
      <c r="J67" s="64">
        <v>0.1</v>
      </c>
      <c r="K67" s="64">
        <v>265.13</v>
      </c>
      <c r="L67" s="64">
        <v>25.96</v>
      </c>
      <c r="M67" s="64">
        <v>98.03</v>
      </c>
      <c r="N67" s="64">
        <v>96.1</v>
      </c>
      <c r="O67" s="64">
        <v>0</v>
      </c>
      <c r="P67" s="64">
        <v>0.67</v>
      </c>
      <c r="Q67" s="64">
        <v>9.17</v>
      </c>
      <c r="R67" s="198"/>
      <c r="S67" s="198"/>
      <c r="T67" s="198"/>
      <c r="U67" s="198"/>
    </row>
    <row r="68" spans="1:21" s="12" customFormat="1" x14ac:dyDescent="0.25">
      <c r="A68" s="211" t="s">
        <v>787</v>
      </c>
      <c r="B68" s="64">
        <v>9.67</v>
      </c>
      <c r="C68" s="64">
        <v>12.43</v>
      </c>
      <c r="D68" s="64">
        <v>14.25</v>
      </c>
      <c r="E68" s="64">
        <v>5.08</v>
      </c>
      <c r="F68" s="64">
        <v>12.03</v>
      </c>
      <c r="G68" s="64">
        <v>52.66</v>
      </c>
      <c r="H68" s="64">
        <v>7.07</v>
      </c>
      <c r="I68" s="64">
        <v>2.5299999999999998</v>
      </c>
      <c r="J68" s="64">
        <v>0.14000000000000001</v>
      </c>
      <c r="K68" s="64">
        <v>278.14</v>
      </c>
      <c r="L68" s="64">
        <v>25.96</v>
      </c>
      <c r="M68" s="64">
        <v>98.07</v>
      </c>
      <c r="N68" s="64">
        <v>126.6</v>
      </c>
      <c r="O68" s="64">
        <v>0</v>
      </c>
      <c r="P68" s="64">
        <v>0.64</v>
      </c>
      <c r="Q68" s="64">
        <v>9.17</v>
      </c>
      <c r="R68" s="198"/>
      <c r="S68" s="198"/>
      <c r="T68" s="198"/>
      <c r="U68" s="198"/>
    </row>
    <row r="69" spans="1:21" s="12" customFormat="1" x14ac:dyDescent="0.25">
      <c r="A69" s="211" t="s">
        <v>788</v>
      </c>
      <c r="B69" s="64">
        <v>9.74</v>
      </c>
      <c r="C69" s="64">
        <v>10.83</v>
      </c>
      <c r="D69" s="64">
        <v>13.47</v>
      </c>
      <c r="E69" s="64">
        <v>4.74</v>
      </c>
      <c r="F69" s="64">
        <v>13.48</v>
      </c>
      <c r="G69" s="64">
        <v>55.37</v>
      </c>
      <c r="H69" s="64">
        <v>10.44</v>
      </c>
      <c r="I69" s="64">
        <v>2.56</v>
      </c>
      <c r="J69" s="64">
        <v>0.14000000000000001</v>
      </c>
      <c r="K69" s="64">
        <v>254.32</v>
      </c>
      <c r="L69" s="64">
        <v>25.98</v>
      </c>
      <c r="M69" s="64">
        <v>98.06</v>
      </c>
      <c r="N69" s="64">
        <v>157.6</v>
      </c>
      <c r="O69" s="64">
        <v>0</v>
      </c>
      <c r="P69" s="64">
        <v>0.55000000000000004</v>
      </c>
      <c r="Q69" s="64">
        <v>9.17</v>
      </c>
      <c r="R69" s="198"/>
      <c r="S69" s="198"/>
      <c r="T69" s="198"/>
      <c r="U69" s="198"/>
    </row>
    <row r="70" spans="1:21" s="12" customFormat="1" x14ac:dyDescent="0.25">
      <c r="A70" s="211" t="s">
        <v>789</v>
      </c>
      <c r="B70" s="64">
        <v>11.29</v>
      </c>
      <c r="C70" s="64">
        <v>14.52</v>
      </c>
      <c r="D70" s="64">
        <v>16.649999999999999</v>
      </c>
      <c r="E70" s="64">
        <v>4.87</v>
      </c>
      <c r="F70" s="64">
        <v>11.42</v>
      </c>
      <c r="G70" s="64">
        <v>55.56</v>
      </c>
      <c r="H70" s="64">
        <v>10.44</v>
      </c>
      <c r="I70" s="64">
        <v>2.6</v>
      </c>
      <c r="J70" s="64">
        <v>0.02</v>
      </c>
      <c r="K70" s="64">
        <v>308.5</v>
      </c>
      <c r="L70" s="64">
        <v>26.47</v>
      </c>
      <c r="M70" s="64">
        <v>98.05</v>
      </c>
      <c r="N70" s="64">
        <v>150</v>
      </c>
      <c r="O70" s="64">
        <v>0</v>
      </c>
      <c r="P70" s="64">
        <v>0.6</v>
      </c>
      <c r="Q70" s="64">
        <v>9.15</v>
      </c>
      <c r="R70" s="198"/>
      <c r="S70" s="198"/>
      <c r="T70" s="198"/>
      <c r="U70" s="198"/>
    </row>
    <row r="71" spans="1:21" s="12" customFormat="1" x14ac:dyDescent="0.25">
      <c r="A71" s="211" t="s">
        <v>790</v>
      </c>
      <c r="B71" s="64">
        <v>10.199999999999999</v>
      </c>
      <c r="C71" s="64">
        <v>14.37</v>
      </c>
      <c r="D71" s="64">
        <v>15.69</v>
      </c>
      <c r="E71" s="64">
        <v>4.8600000000000003</v>
      </c>
      <c r="F71" s="64">
        <v>16.510000000000002</v>
      </c>
      <c r="G71" s="64">
        <v>55.56</v>
      </c>
      <c r="H71" s="64">
        <v>10.44</v>
      </c>
      <c r="I71" s="64">
        <v>2.59</v>
      </c>
      <c r="J71" s="64">
        <v>0.09</v>
      </c>
      <c r="K71" s="64">
        <v>155.71</v>
      </c>
      <c r="L71" s="64">
        <v>26.5</v>
      </c>
      <c r="M71" s="64">
        <v>97.98</v>
      </c>
      <c r="N71" s="64">
        <v>112.3</v>
      </c>
      <c r="O71" s="64">
        <v>0</v>
      </c>
      <c r="P71" s="64">
        <v>0.46</v>
      </c>
      <c r="Q71" s="64">
        <v>9.14</v>
      </c>
      <c r="R71" s="198"/>
      <c r="S71" s="198"/>
      <c r="T71" s="198"/>
      <c r="U71" s="198"/>
    </row>
    <row r="72" spans="1:21" s="12" customFormat="1" x14ac:dyDescent="0.25">
      <c r="A72" s="211" t="s">
        <v>791</v>
      </c>
      <c r="B72" s="64">
        <v>8.66</v>
      </c>
      <c r="C72" s="64">
        <v>13.67</v>
      </c>
      <c r="D72" s="64">
        <v>14.08</v>
      </c>
      <c r="E72" s="64">
        <v>3.71</v>
      </c>
      <c r="F72" s="64">
        <v>14.87</v>
      </c>
      <c r="G72" s="64">
        <v>55.56</v>
      </c>
      <c r="H72" s="64">
        <v>10.44</v>
      </c>
      <c r="I72" s="64">
        <v>2.56</v>
      </c>
      <c r="J72" s="64">
        <v>0.54</v>
      </c>
      <c r="K72" s="64">
        <v>132.62</v>
      </c>
      <c r="L72" s="64">
        <v>25.86</v>
      </c>
      <c r="M72" s="64">
        <v>98.1</v>
      </c>
      <c r="N72" s="64">
        <v>89</v>
      </c>
      <c r="O72" s="64">
        <v>0</v>
      </c>
      <c r="P72" s="64">
        <v>0.45</v>
      </c>
      <c r="Q72" s="64">
        <v>9.14</v>
      </c>
      <c r="R72" s="198"/>
      <c r="S72" s="198"/>
      <c r="T72" s="198"/>
      <c r="U72" s="198"/>
    </row>
    <row r="73" spans="1:21" s="12" customFormat="1" x14ac:dyDescent="0.25">
      <c r="A73" s="211" t="s">
        <v>792</v>
      </c>
      <c r="B73" s="64">
        <v>8.93</v>
      </c>
      <c r="C73" s="64">
        <v>11.3</v>
      </c>
      <c r="D73" s="64">
        <v>13.07</v>
      </c>
      <c r="E73" s="64">
        <v>4.4000000000000004</v>
      </c>
      <c r="F73" s="64">
        <v>11.26</v>
      </c>
      <c r="G73" s="64">
        <v>46.94</v>
      </c>
      <c r="H73" s="64">
        <v>8.4600000000000009</v>
      </c>
      <c r="I73" s="64">
        <v>2.54</v>
      </c>
      <c r="J73" s="64">
        <v>0.03</v>
      </c>
      <c r="K73" s="64">
        <v>173.17</v>
      </c>
      <c r="L73" s="64">
        <v>25.38</v>
      </c>
      <c r="M73" s="64">
        <v>98.11</v>
      </c>
      <c r="N73" s="64">
        <v>75.900000000000006</v>
      </c>
      <c r="O73" s="64">
        <v>0</v>
      </c>
      <c r="P73" s="64">
        <v>0.45</v>
      </c>
      <c r="Q73" s="64">
        <v>9.11</v>
      </c>
      <c r="R73" s="198"/>
      <c r="S73" s="198"/>
      <c r="T73" s="198"/>
      <c r="U73" s="198"/>
    </row>
    <row r="74" spans="1:21" s="12" customFormat="1" x14ac:dyDescent="0.25">
      <c r="A74" s="211" t="s">
        <v>793</v>
      </c>
      <c r="B74" s="64">
        <v>8.66</v>
      </c>
      <c r="C74" s="64">
        <v>9.84</v>
      </c>
      <c r="D74" s="64">
        <v>12.09</v>
      </c>
      <c r="E74" s="64">
        <v>4.3499999999999996</v>
      </c>
      <c r="F74" s="64">
        <v>8.68</v>
      </c>
      <c r="G74" s="64">
        <v>46.32</v>
      </c>
      <c r="H74" s="64">
        <v>8.4600000000000009</v>
      </c>
      <c r="I74" s="64">
        <v>2.4700000000000002</v>
      </c>
      <c r="J74" s="64">
        <v>0.24</v>
      </c>
      <c r="K74" s="64">
        <v>135.46</v>
      </c>
      <c r="L74" s="64">
        <v>24.95</v>
      </c>
      <c r="M74" s="64">
        <v>98.09</v>
      </c>
      <c r="N74" s="64">
        <v>70.599999999999994</v>
      </c>
      <c r="O74" s="64">
        <v>0</v>
      </c>
      <c r="P74" s="64">
        <v>0.45</v>
      </c>
      <c r="Q74" s="64">
        <v>9.08</v>
      </c>
      <c r="R74" s="198"/>
      <c r="S74" s="198"/>
      <c r="T74" s="198"/>
      <c r="U74" s="198"/>
    </row>
    <row r="75" spans="1:21" s="12" customFormat="1" x14ac:dyDescent="0.25">
      <c r="A75" s="211" t="s">
        <v>794</v>
      </c>
      <c r="B75" s="64">
        <v>8.76</v>
      </c>
      <c r="C75" s="64">
        <v>13.08</v>
      </c>
      <c r="D75" s="64">
        <v>13.86</v>
      </c>
      <c r="E75" s="64">
        <v>4.16</v>
      </c>
      <c r="F75" s="64">
        <v>10.5</v>
      </c>
      <c r="G75" s="64">
        <v>46.32</v>
      </c>
      <c r="H75" s="64">
        <v>8.4600000000000009</v>
      </c>
      <c r="I75" s="64">
        <v>2.4</v>
      </c>
      <c r="J75" s="64">
        <v>0.05</v>
      </c>
      <c r="K75" s="64">
        <v>185.28</v>
      </c>
      <c r="L75" s="64">
        <v>24.62</v>
      </c>
      <c r="M75" s="64">
        <v>98.11</v>
      </c>
      <c r="N75" s="64">
        <v>59.2</v>
      </c>
      <c r="O75" s="64">
        <v>0</v>
      </c>
      <c r="P75" s="64">
        <v>0.42</v>
      </c>
      <c r="Q75" s="64">
        <v>9.07</v>
      </c>
      <c r="R75" s="198"/>
      <c r="S75" s="198"/>
      <c r="T75" s="198"/>
      <c r="U75" s="198"/>
    </row>
    <row r="76" spans="1:21" s="12" customFormat="1" x14ac:dyDescent="0.25">
      <c r="A76" s="211" t="s">
        <v>795</v>
      </c>
      <c r="B76" s="64">
        <v>11.87</v>
      </c>
      <c r="C76" s="64">
        <v>14.39</v>
      </c>
      <c r="D76" s="64">
        <v>17.04</v>
      </c>
      <c r="E76" s="64">
        <v>4.1500000000000004</v>
      </c>
      <c r="F76" s="64">
        <v>9.98</v>
      </c>
      <c r="G76" s="64">
        <v>46.32</v>
      </c>
      <c r="H76" s="64">
        <v>8.4600000000000009</v>
      </c>
      <c r="I76" s="64">
        <v>2.35</v>
      </c>
      <c r="J76" s="64">
        <v>0.01</v>
      </c>
      <c r="K76" s="64">
        <v>116.21</v>
      </c>
      <c r="L76" s="64">
        <v>24.47</v>
      </c>
      <c r="M76" s="64">
        <v>98.14</v>
      </c>
      <c r="N76" s="64">
        <v>51.2</v>
      </c>
      <c r="O76" s="64">
        <v>0</v>
      </c>
      <c r="P76" s="64">
        <v>0.61</v>
      </c>
      <c r="Q76" s="64">
        <v>9.06</v>
      </c>
      <c r="R76" s="198"/>
      <c r="S76" s="198"/>
      <c r="T76" s="198"/>
      <c r="U76" s="198"/>
    </row>
    <row r="77" spans="1:21" s="12" customFormat="1" x14ac:dyDescent="0.25">
      <c r="A77" s="211" t="s">
        <v>796</v>
      </c>
      <c r="B77" s="64">
        <v>10.27</v>
      </c>
      <c r="C77" s="64">
        <v>11.16</v>
      </c>
      <c r="D77" s="64">
        <v>14.07</v>
      </c>
      <c r="E77" s="64">
        <v>4.2699999999999996</v>
      </c>
      <c r="F77" s="64">
        <v>8.02</v>
      </c>
      <c r="G77" s="64">
        <v>38.08</v>
      </c>
      <c r="H77" s="64">
        <v>7.08</v>
      </c>
      <c r="I77" s="64">
        <v>2.2999999999999998</v>
      </c>
      <c r="J77" s="64">
        <v>0.13</v>
      </c>
      <c r="K77" s="64">
        <v>295.89999999999998</v>
      </c>
      <c r="L77" s="64">
        <v>24.42</v>
      </c>
      <c r="M77" s="64">
        <v>98.16</v>
      </c>
      <c r="N77" s="64">
        <v>47</v>
      </c>
      <c r="O77" s="64">
        <v>0</v>
      </c>
      <c r="P77" s="64">
        <v>0.52</v>
      </c>
      <c r="Q77" s="64">
        <v>9.06</v>
      </c>
      <c r="R77" s="198"/>
      <c r="S77" s="198"/>
      <c r="T77" s="198"/>
      <c r="U77" s="198"/>
    </row>
    <row r="78" spans="1:21" s="12" customFormat="1" x14ac:dyDescent="0.25">
      <c r="A78" s="211" t="s">
        <v>797</v>
      </c>
      <c r="B78" s="64">
        <v>11.3</v>
      </c>
      <c r="C78" s="64">
        <v>8.4700000000000006</v>
      </c>
      <c r="D78" s="64">
        <v>13.48</v>
      </c>
      <c r="E78" s="64">
        <v>4.3099999999999996</v>
      </c>
      <c r="F78" s="64">
        <v>7.53</v>
      </c>
      <c r="G78" s="64">
        <v>37.49</v>
      </c>
      <c r="H78" s="64">
        <v>7.08</v>
      </c>
      <c r="I78" s="64">
        <v>2.27</v>
      </c>
      <c r="J78" s="64">
        <v>0.12</v>
      </c>
      <c r="K78" s="64">
        <v>296.72000000000003</v>
      </c>
      <c r="L78" s="64">
        <v>24.28</v>
      </c>
      <c r="M78" s="64">
        <v>98.16</v>
      </c>
      <c r="N78" s="64">
        <v>45.7</v>
      </c>
      <c r="O78" s="64">
        <v>0</v>
      </c>
      <c r="P78" s="64">
        <v>0.66</v>
      </c>
      <c r="Q78" s="64">
        <v>9.07</v>
      </c>
      <c r="R78" s="198"/>
      <c r="S78" s="198"/>
      <c r="T78" s="198"/>
      <c r="U78" s="198"/>
    </row>
    <row r="79" spans="1:21" s="12" customFormat="1" x14ac:dyDescent="0.25">
      <c r="A79" s="211" t="s">
        <v>798</v>
      </c>
      <c r="B79" s="64">
        <v>10.43</v>
      </c>
      <c r="C79" s="64">
        <v>7.1</v>
      </c>
      <c r="D79" s="64">
        <v>12.08</v>
      </c>
      <c r="E79" s="64">
        <v>4.34</v>
      </c>
      <c r="F79" s="64">
        <v>7.1</v>
      </c>
      <c r="G79" s="64">
        <v>37.49</v>
      </c>
      <c r="H79" s="64">
        <v>7.08</v>
      </c>
      <c r="I79" s="64">
        <v>2.2799999999999998</v>
      </c>
      <c r="J79" s="64">
        <v>0.2</v>
      </c>
      <c r="K79" s="64">
        <v>302.08</v>
      </c>
      <c r="L79" s="64">
        <v>23.97</v>
      </c>
      <c r="M79" s="64">
        <v>98.18</v>
      </c>
      <c r="N79" s="64">
        <v>44.6</v>
      </c>
      <c r="O79" s="64">
        <v>0</v>
      </c>
      <c r="P79" s="64">
        <v>0.56999999999999995</v>
      </c>
      <c r="Q79" s="64">
        <v>9.07</v>
      </c>
      <c r="R79" s="198"/>
      <c r="S79" s="198"/>
      <c r="T79" s="198"/>
      <c r="U79" s="198"/>
    </row>
    <row r="80" spans="1:21" s="12" customFormat="1" x14ac:dyDescent="0.25">
      <c r="A80" s="211" t="s">
        <v>799</v>
      </c>
      <c r="B80" s="64">
        <v>10</v>
      </c>
      <c r="C80" s="64">
        <v>7.65</v>
      </c>
      <c r="D80" s="64">
        <v>12.01</v>
      </c>
      <c r="E80" s="64">
        <v>4.1399999999999997</v>
      </c>
      <c r="F80" s="64">
        <v>8.81</v>
      </c>
      <c r="G80" s="64">
        <v>37.49</v>
      </c>
      <c r="H80" s="64">
        <v>7.08</v>
      </c>
      <c r="I80" s="64">
        <v>2.3199999999999998</v>
      </c>
      <c r="J80" s="64">
        <v>0.25</v>
      </c>
      <c r="K80" s="64">
        <v>311.77999999999997</v>
      </c>
      <c r="L80" s="64">
        <v>23.4</v>
      </c>
      <c r="M80" s="64">
        <v>98.18</v>
      </c>
      <c r="N80" s="64">
        <v>43.7</v>
      </c>
      <c r="O80" s="64">
        <v>0</v>
      </c>
      <c r="P80" s="64">
        <v>0.56999999999999995</v>
      </c>
      <c r="Q80" s="64">
        <v>9.08</v>
      </c>
      <c r="R80" s="198"/>
      <c r="S80" s="198"/>
      <c r="T80" s="198"/>
      <c r="U80" s="198"/>
    </row>
    <row r="81" spans="1:26" s="12" customFormat="1" x14ac:dyDescent="0.25">
      <c r="A81" s="211" t="s">
        <v>800</v>
      </c>
      <c r="B81" s="64">
        <v>12.2</v>
      </c>
      <c r="C81" s="64">
        <v>8.83</v>
      </c>
      <c r="D81" s="64">
        <v>14.4</v>
      </c>
      <c r="E81" s="64">
        <v>4.09</v>
      </c>
      <c r="F81" s="64">
        <v>11.13</v>
      </c>
      <c r="G81" s="64">
        <v>36.020000000000003</v>
      </c>
      <c r="H81" s="64">
        <v>6.11</v>
      </c>
      <c r="I81" s="64">
        <v>2.34</v>
      </c>
      <c r="J81" s="64">
        <v>0.2</v>
      </c>
      <c r="K81" s="64">
        <v>312.95999999999998</v>
      </c>
      <c r="L81" s="64">
        <v>22.93</v>
      </c>
      <c r="M81" s="64">
        <v>98.17</v>
      </c>
      <c r="N81" s="64">
        <v>43.5</v>
      </c>
      <c r="O81" s="64">
        <v>0</v>
      </c>
      <c r="P81" s="64">
        <v>0.56999999999999995</v>
      </c>
      <c r="Q81" s="64">
        <v>9.07</v>
      </c>
      <c r="R81" s="198"/>
      <c r="S81" s="198"/>
      <c r="T81" s="198"/>
      <c r="U81" s="198"/>
    </row>
    <row r="82" spans="1:26" s="12" customFormat="1" x14ac:dyDescent="0.25">
      <c r="A82" s="211" t="s">
        <v>801</v>
      </c>
      <c r="B82" s="64">
        <v>14.2</v>
      </c>
      <c r="C82" s="64">
        <v>10.77</v>
      </c>
      <c r="D82" s="64">
        <v>17.010000000000002</v>
      </c>
      <c r="E82" s="64">
        <v>3.92</v>
      </c>
      <c r="F82" s="64">
        <v>22.51</v>
      </c>
      <c r="G82" s="64">
        <v>35.909999999999997</v>
      </c>
      <c r="H82" s="64">
        <v>6.11</v>
      </c>
      <c r="I82" s="64">
        <v>2.21</v>
      </c>
      <c r="J82" s="64">
        <v>0.24</v>
      </c>
      <c r="K82" s="64">
        <v>320.35000000000002</v>
      </c>
      <c r="L82" s="64">
        <v>22.64</v>
      </c>
      <c r="M82" s="64">
        <v>98.22</v>
      </c>
      <c r="N82" s="64">
        <v>43.7</v>
      </c>
      <c r="O82" s="64">
        <v>0</v>
      </c>
      <c r="P82" s="64">
        <v>0.69</v>
      </c>
      <c r="Q82" s="64">
        <v>9.08</v>
      </c>
      <c r="R82" s="198"/>
      <c r="S82" s="198"/>
      <c r="T82" s="198"/>
      <c r="U82" s="198"/>
    </row>
    <row r="83" spans="1:26" s="12" customFormat="1" x14ac:dyDescent="0.25">
      <c r="A83" s="211" t="s">
        <v>802</v>
      </c>
      <c r="B83" s="64">
        <v>16.39</v>
      </c>
      <c r="C83" s="64">
        <v>11.94</v>
      </c>
      <c r="D83" s="64">
        <v>19.39</v>
      </c>
      <c r="E83" s="64">
        <v>4.1399999999999997</v>
      </c>
      <c r="F83" s="64">
        <v>8.6199999999999992</v>
      </c>
      <c r="G83" s="64">
        <v>35.909999999999997</v>
      </c>
      <c r="H83" s="64">
        <v>6.11</v>
      </c>
      <c r="I83" s="64">
        <v>2.11</v>
      </c>
      <c r="J83" s="64">
        <v>0.21</v>
      </c>
      <c r="K83" s="64">
        <v>317.12</v>
      </c>
      <c r="L83" s="64">
        <v>22.4</v>
      </c>
      <c r="M83" s="64">
        <v>98.23</v>
      </c>
      <c r="N83" s="64">
        <v>43.7</v>
      </c>
      <c r="O83" s="64">
        <v>0</v>
      </c>
      <c r="P83" s="64">
        <v>0.76</v>
      </c>
      <c r="Q83" s="64">
        <v>9.11</v>
      </c>
      <c r="R83" s="198"/>
      <c r="S83" s="198"/>
      <c r="T83" s="198"/>
      <c r="U83" s="198"/>
    </row>
    <row r="84" spans="1:26" s="12" customFormat="1" x14ac:dyDescent="0.25">
      <c r="A84" s="211" t="s">
        <v>803</v>
      </c>
      <c r="B84" s="64">
        <v>15.12</v>
      </c>
      <c r="C84" s="64">
        <v>11.85</v>
      </c>
      <c r="D84" s="64">
        <v>18.309999999999999</v>
      </c>
      <c r="E84" s="64">
        <v>3.79</v>
      </c>
      <c r="F84" s="64">
        <v>8.14</v>
      </c>
      <c r="G84" s="64">
        <v>35.909999999999997</v>
      </c>
      <c r="H84" s="64">
        <v>6.11</v>
      </c>
      <c r="I84" s="64">
        <v>2.1</v>
      </c>
      <c r="J84" s="64">
        <v>0.28999999999999998</v>
      </c>
      <c r="K84" s="64">
        <v>335.97</v>
      </c>
      <c r="L84" s="64">
        <v>22.27</v>
      </c>
      <c r="M84" s="64">
        <v>98.24</v>
      </c>
      <c r="N84" s="64">
        <v>43.8</v>
      </c>
      <c r="O84" s="64">
        <v>0</v>
      </c>
      <c r="P84" s="64">
        <v>0.83</v>
      </c>
      <c r="Q84" s="64">
        <v>9.14</v>
      </c>
      <c r="R84" s="198"/>
      <c r="S84" s="198"/>
      <c r="T84" s="198"/>
      <c r="U84" s="198"/>
    </row>
    <row r="85" spans="1:26" s="12" customFormat="1" x14ac:dyDescent="0.25">
      <c r="A85" s="211" t="s">
        <v>804</v>
      </c>
      <c r="B85" s="64">
        <v>16.260000000000002</v>
      </c>
      <c r="C85" s="64">
        <v>13.65</v>
      </c>
      <c r="D85" s="64">
        <v>20.170000000000002</v>
      </c>
      <c r="E85" s="64">
        <v>4.46</v>
      </c>
      <c r="F85" s="64">
        <v>28.28</v>
      </c>
      <c r="G85" s="64">
        <v>24.18</v>
      </c>
      <c r="H85" s="64">
        <v>8.2200000000000006</v>
      </c>
      <c r="I85" s="64">
        <v>2.11</v>
      </c>
      <c r="J85" s="64">
        <v>0</v>
      </c>
      <c r="K85" s="64">
        <v>314.23</v>
      </c>
      <c r="L85" s="64">
        <v>22.22</v>
      </c>
      <c r="M85" s="64">
        <v>98.26</v>
      </c>
      <c r="N85" s="64">
        <v>43.8</v>
      </c>
      <c r="O85" s="64">
        <v>0</v>
      </c>
      <c r="P85" s="64">
        <v>0.93</v>
      </c>
      <c r="Q85" s="64">
        <v>9.15</v>
      </c>
      <c r="R85" s="198"/>
      <c r="S85" s="198"/>
      <c r="T85" s="198"/>
      <c r="U85" s="198"/>
    </row>
    <row r="86" spans="1:26" s="12" customFormat="1" x14ac:dyDescent="0.25">
      <c r="A86" s="211" t="s">
        <v>805</v>
      </c>
      <c r="B86" s="64">
        <v>13.19</v>
      </c>
      <c r="C86" s="64">
        <v>15.03</v>
      </c>
      <c r="D86" s="64">
        <v>18.43</v>
      </c>
      <c r="E86" s="64">
        <v>4.4000000000000004</v>
      </c>
      <c r="F86" s="64">
        <v>22.54</v>
      </c>
      <c r="G86" s="64">
        <v>23.34</v>
      </c>
      <c r="H86" s="64">
        <v>8.2200000000000006</v>
      </c>
      <c r="I86" s="64">
        <v>2.14</v>
      </c>
      <c r="J86" s="64">
        <v>0.14000000000000001</v>
      </c>
      <c r="K86" s="64">
        <v>114.5</v>
      </c>
      <c r="L86" s="64">
        <v>22.15</v>
      </c>
      <c r="M86" s="64">
        <v>98.19</v>
      </c>
      <c r="N86" s="64">
        <v>43.8</v>
      </c>
      <c r="O86" s="64">
        <v>0</v>
      </c>
      <c r="P86" s="64">
        <v>0.88</v>
      </c>
      <c r="Q86" s="64">
        <v>9.18</v>
      </c>
      <c r="R86" s="198"/>
      <c r="S86" s="198"/>
      <c r="T86" s="198"/>
      <c r="U86" s="198"/>
    </row>
    <row r="87" spans="1:26" s="12" customFormat="1" x14ac:dyDescent="0.25">
      <c r="A87" s="211" t="s">
        <v>806</v>
      </c>
      <c r="B87" s="64">
        <v>38.79</v>
      </c>
      <c r="C87" s="64">
        <v>12.88</v>
      </c>
      <c r="D87" s="64">
        <v>37.44</v>
      </c>
      <c r="E87" s="64">
        <v>4.53</v>
      </c>
      <c r="F87" s="64">
        <v>8.84</v>
      </c>
      <c r="G87" s="64">
        <v>23.34</v>
      </c>
      <c r="H87" s="64">
        <v>8.2200000000000006</v>
      </c>
      <c r="I87" s="64">
        <v>2.19</v>
      </c>
      <c r="J87" s="64">
        <v>0.14000000000000001</v>
      </c>
      <c r="K87" s="64">
        <v>300.64</v>
      </c>
      <c r="L87" s="64">
        <v>22.3</v>
      </c>
      <c r="M87" s="64">
        <v>98.18</v>
      </c>
      <c r="N87" s="64">
        <v>43.5</v>
      </c>
      <c r="O87" s="64">
        <v>0</v>
      </c>
      <c r="P87" s="64">
        <v>1.42</v>
      </c>
      <c r="Q87" s="64">
        <v>9.1999999999999993</v>
      </c>
      <c r="R87" s="198"/>
      <c r="S87" s="198"/>
      <c r="T87" s="198"/>
      <c r="U87" s="198"/>
    </row>
    <row r="88" spans="1:26" s="12" customFormat="1" x14ac:dyDescent="0.25">
      <c r="A88" s="211" t="s">
        <v>807</v>
      </c>
      <c r="B88" s="64">
        <v>22.57</v>
      </c>
      <c r="C88" s="64">
        <v>14.26</v>
      </c>
      <c r="D88" s="64">
        <v>25.55</v>
      </c>
      <c r="E88" s="64">
        <v>4.57</v>
      </c>
      <c r="F88" s="64">
        <v>8.4700000000000006</v>
      </c>
      <c r="G88" s="64">
        <v>23.34</v>
      </c>
      <c r="H88" s="64">
        <v>8.2200000000000006</v>
      </c>
      <c r="I88" s="64">
        <v>2.2400000000000002</v>
      </c>
      <c r="J88" s="64">
        <v>0.17</v>
      </c>
      <c r="K88" s="64">
        <v>295.56</v>
      </c>
      <c r="L88" s="64">
        <v>22.39</v>
      </c>
      <c r="M88" s="64">
        <v>98.18</v>
      </c>
      <c r="N88" s="64">
        <v>43.8</v>
      </c>
      <c r="O88" s="64">
        <v>0</v>
      </c>
      <c r="P88" s="64">
        <v>1.26</v>
      </c>
      <c r="Q88" s="64">
        <v>9.2200000000000006</v>
      </c>
      <c r="R88" s="198"/>
      <c r="S88" s="198"/>
      <c r="T88" s="198"/>
      <c r="U88" s="198"/>
    </row>
    <row r="89" spans="1:26" s="12" customFormat="1" x14ac:dyDescent="0.25">
      <c r="A89" s="211" t="s">
        <v>808</v>
      </c>
      <c r="B89" s="64">
        <v>23.8</v>
      </c>
      <c r="C89" s="64">
        <v>13.18</v>
      </c>
      <c r="D89" s="64">
        <v>25.96</v>
      </c>
      <c r="E89" s="64">
        <v>4.83</v>
      </c>
      <c r="F89" s="64">
        <v>5.96</v>
      </c>
      <c r="G89" s="64">
        <v>23.41</v>
      </c>
      <c r="H89" s="64">
        <v>6.91</v>
      </c>
      <c r="I89" s="64">
        <v>2.3199999999999998</v>
      </c>
      <c r="J89" s="64">
        <v>0.09</v>
      </c>
      <c r="K89" s="64">
        <v>265.01</v>
      </c>
      <c r="L89" s="64">
        <v>22.31</v>
      </c>
      <c r="M89" s="64">
        <v>98.42</v>
      </c>
      <c r="N89" s="64">
        <v>43.8</v>
      </c>
      <c r="O89" s="64">
        <v>0</v>
      </c>
      <c r="P89" s="64">
        <v>1.24</v>
      </c>
      <c r="Q89" s="64">
        <v>9.24</v>
      </c>
      <c r="R89" s="198"/>
      <c r="S89" s="198"/>
      <c r="T89" s="198"/>
      <c r="U89" s="198"/>
    </row>
    <row r="90" spans="1:26" s="12" customFormat="1" x14ac:dyDescent="0.25">
      <c r="A90" s="211" t="s">
        <v>809</v>
      </c>
      <c r="B90" s="64">
        <v>25.91</v>
      </c>
      <c r="C90" s="64">
        <v>5.6</v>
      </c>
      <c r="D90" s="64">
        <v>23.7</v>
      </c>
      <c r="E90" s="64">
        <v>5.0199999999999996</v>
      </c>
      <c r="F90" s="64">
        <v>6.24</v>
      </c>
      <c r="G90" s="64">
        <v>23.42</v>
      </c>
      <c r="H90" s="64">
        <v>6.91</v>
      </c>
      <c r="I90" s="64">
        <v>2.41</v>
      </c>
      <c r="J90" s="64">
        <v>0.06</v>
      </c>
      <c r="K90" s="64">
        <v>74.08</v>
      </c>
      <c r="L90" s="64">
        <v>22.31</v>
      </c>
      <c r="M90" s="64">
        <v>98.36</v>
      </c>
      <c r="N90" s="64">
        <v>43.9</v>
      </c>
      <c r="O90" s="64">
        <v>0</v>
      </c>
      <c r="P90" s="64">
        <v>1.1100000000000001</v>
      </c>
      <c r="Q90" s="64">
        <v>9.26</v>
      </c>
      <c r="R90" s="198"/>
      <c r="S90" s="198"/>
      <c r="T90" s="198"/>
      <c r="U90" s="198"/>
    </row>
    <row r="91" spans="1:26" s="12" customFormat="1" x14ac:dyDescent="0.25">
      <c r="A91" s="211" t="s">
        <v>810</v>
      </c>
      <c r="B91" s="64">
        <v>23.03</v>
      </c>
      <c r="C91" s="64">
        <v>11.76</v>
      </c>
      <c r="D91" s="64">
        <v>24.61</v>
      </c>
      <c r="E91" s="64">
        <v>4.66</v>
      </c>
      <c r="F91" s="64">
        <v>7.31</v>
      </c>
      <c r="G91" s="64">
        <v>23.42</v>
      </c>
      <c r="H91" s="64">
        <v>6.91</v>
      </c>
      <c r="I91" s="64">
        <v>2.48</v>
      </c>
      <c r="J91" s="64">
        <v>0.11</v>
      </c>
      <c r="K91" s="64">
        <v>264.86</v>
      </c>
      <c r="L91" s="64">
        <v>22.25</v>
      </c>
      <c r="M91" s="64">
        <v>98.19</v>
      </c>
      <c r="N91" s="64">
        <v>43.9</v>
      </c>
      <c r="O91" s="64">
        <v>0</v>
      </c>
      <c r="P91" s="64">
        <v>1.1200000000000001</v>
      </c>
      <c r="Q91" s="64">
        <v>9.25</v>
      </c>
      <c r="R91" s="198"/>
      <c r="S91" s="198"/>
      <c r="T91" s="198"/>
      <c r="U91" s="198"/>
    </row>
    <row r="92" spans="1:26" s="12" customFormat="1" x14ac:dyDescent="0.25">
      <c r="A92" s="211" t="s">
        <v>811</v>
      </c>
      <c r="B92" s="64">
        <v>22.71</v>
      </c>
      <c r="C92" s="64">
        <v>10.01</v>
      </c>
      <c r="D92" s="64">
        <v>23.44</v>
      </c>
      <c r="E92" s="64">
        <v>4.4800000000000004</v>
      </c>
      <c r="F92" s="64">
        <v>7.69</v>
      </c>
      <c r="G92" s="64">
        <v>23.42</v>
      </c>
      <c r="H92" s="64">
        <v>6.91</v>
      </c>
      <c r="I92" s="64">
        <v>2.5299999999999998</v>
      </c>
      <c r="J92" s="64">
        <v>0.08</v>
      </c>
      <c r="K92" s="64">
        <v>227.9</v>
      </c>
      <c r="L92" s="64">
        <v>22.35</v>
      </c>
      <c r="M92" s="64">
        <v>98.15</v>
      </c>
      <c r="N92" s="64">
        <v>43.8</v>
      </c>
      <c r="O92" s="64">
        <v>0</v>
      </c>
      <c r="P92" s="64">
        <v>1.02</v>
      </c>
      <c r="Q92" s="64">
        <v>9.27</v>
      </c>
      <c r="R92" s="198"/>
      <c r="S92" s="198"/>
      <c r="T92" s="198"/>
      <c r="U92" s="198"/>
    </row>
    <row r="93" spans="1:26" s="12" customFormat="1" x14ac:dyDescent="0.25">
      <c r="A93" s="211" t="s">
        <v>812</v>
      </c>
      <c r="B93" s="64">
        <v>21.66</v>
      </c>
      <c r="C93" s="64">
        <v>7.12</v>
      </c>
      <c r="D93" s="64">
        <v>21.09</v>
      </c>
      <c r="E93" s="64">
        <v>4.4000000000000004</v>
      </c>
      <c r="F93" s="64">
        <v>8.2899999999999991</v>
      </c>
      <c r="G93" s="64">
        <v>25.69</v>
      </c>
      <c r="H93" s="64">
        <v>7.01</v>
      </c>
      <c r="I93" s="64">
        <v>2.57</v>
      </c>
      <c r="J93" s="64">
        <v>7.0000000000000007E-2</v>
      </c>
      <c r="K93" s="64">
        <v>232.59</v>
      </c>
      <c r="L93" s="64">
        <v>22.44</v>
      </c>
      <c r="M93" s="64">
        <v>98.16</v>
      </c>
      <c r="N93" s="64">
        <v>43.8</v>
      </c>
      <c r="O93" s="64">
        <v>0</v>
      </c>
      <c r="P93" s="64">
        <v>0.99</v>
      </c>
      <c r="Q93" s="64">
        <v>9.2899999999999991</v>
      </c>
      <c r="R93" s="198"/>
      <c r="S93" s="198"/>
      <c r="T93" s="198"/>
      <c r="U93" s="198"/>
    </row>
    <row r="94" spans="1:26" s="12" customFormat="1" x14ac:dyDescent="0.25">
      <c r="A94" s="211" t="s">
        <v>813</v>
      </c>
      <c r="B94" s="64">
        <v>19.75</v>
      </c>
      <c r="C94" s="64">
        <v>6.62</v>
      </c>
      <c r="D94" s="64">
        <v>19.29</v>
      </c>
      <c r="E94" s="64">
        <v>3.92</v>
      </c>
      <c r="F94" s="64">
        <v>6.35</v>
      </c>
      <c r="G94" s="64">
        <v>25.85</v>
      </c>
      <c r="H94" s="64">
        <v>7.01</v>
      </c>
      <c r="I94" s="64">
        <v>2.62</v>
      </c>
      <c r="J94" s="64">
        <v>0.04</v>
      </c>
      <c r="K94" s="64">
        <v>270.76</v>
      </c>
      <c r="L94" s="64">
        <v>22.28</v>
      </c>
      <c r="M94" s="64">
        <v>98.16</v>
      </c>
      <c r="N94" s="64">
        <v>44.2</v>
      </c>
      <c r="O94" s="64">
        <v>0</v>
      </c>
      <c r="P94" s="64">
        <v>0.94</v>
      </c>
      <c r="Q94" s="64">
        <v>9.3000000000000007</v>
      </c>
      <c r="R94" s="198"/>
      <c r="S94" s="198"/>
      <c r="T94" s="198"/>
      <c r="U94" s="198"/>
    </row>
    <row r="95" spans="1:26" s="12" customFormat="1" x14ac:dyDescent="0.25">
      <c r="A95" s="211" t="s">
        <v>814</v>
      </c>
      <c r="B95" s="64">
        <v>19.079999999999998</v>
      </c>
      <c r="C95" s="64">
        <v>4.55</v>
      </c>
      <c r="D95" s="64">
        <v>17.68</v>
      </c>
      <c r="E95" s="64">
        <v>4.0999999999999996</v>
      </c>
      <c r="F95" s="64">
        <v>8.51</v>
      </c>
      <c r="G95" s="64">
        <v>25.85</v>
      </c>
      <c r="H95" s="64">
        <v>7.01</v>
      </c>
      <c r="I95" s="64">
        <v>2.66</v>
      </c>
      <c r="J95" s="64">
        <v>0.14000000000000001</v>
      </c>
      <c r="K95" s="64">
        <v>128.16999999999999</v>
      </c>
      <c r="L95" s="64">
        <v>22.09</v>
      </c>
      <c r="M95" s="64">
        <v>98.22</v>
      </c>
      <c r="N95" s="64">
        <v>44.2</v>
      </c>
      <c r="O95" s="64">
        <v>0</v>
      </c>
      <c r="P95" s="64">
        <v>0.9</v>
      </c>
      <c r="Q95" s="64">
        <v>9.3000000000000007</v>
      </c>
      <c r="R95" s="198"/>
      <c r="S95" s="198"/>
      <c r="T95" s="198"/>
      <c r="U95" s="198"/>
    </row>
    <row r="96" spans="1:26" s="12" customFormat="1" x14ac:dyDescent="0.25">
      <c r="A96" s="211" t="s">
        <v>815</v>
      </c>
      <c r="B96" s="64">
        <v>18.71</v>
      </c>
      <c r="C96" s="64">
        <v>8.52</v>
      </c>
      <c r="D96" s="64">
        <v>19.46</v>
      </c>
      <c r="E96" s="64">
        <v>4.3099999999999996</v>
      </c>
      <c r="F96" s="64">
        <v>8.64</v>
      </c>
      <c r="G96" s="64">
        <v>25.85</v>
      </c>
      <c r="H96" s="64">
        <v>7.01</v>
      </c>
      <c r="I96" s="64">
        <v>2.69</v>
      </c>
      <c r="J96" s="64">
        <v>0.04</v>
      </c>
      <c r="K96" s="64">
        <v>191.62</v>
      </c>
      <c r="L96" s="64">
        <v>21.91</v>
      </c>
      <c r="M96" s="64">
        <v>98.2</v>
      </c>
      <c r="N96" s="64">
        <v>44.1</v>
      </c>
      <c r="O96" s="64">
        <v>0</v>
      </c>
      <c r="P96" s="64">
        <v>0.88</v>
      </c>
      <c r="Q96" s="64">
        <v>9.2899999999999991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816</v>
      </c>
      <c r="B97" s="64">
        <v>14.86</v>
      </c>
      <c r="C97" s="64">
        <v>8.83</v>
      </c>
      <c r="D97" s="64">
        <v>16.53</v>
      </c>
      <c r="E97" s="64">
        <v>4.1900000000000004</v>
      </c>
      <c r="F97" s="64">
        <v>7.93</v>
      </c>
      <c r="G97" s="64">
        <v>29.48</v>
      </c>
      <c r="H97" s="64">
        <v>6.19</v>
      </c>
      <c r="I97" s="64">
        <v>2.71</v>
      </c>
      <c r="J97" s="64">
        <v>0.11</v>
      </c>
      <c r="K97" s="64">
        <v>107.47</v>
      </c>
      <c r="L97" s="64">
        <v>21.78</v>
      </c>
      <c r="M97" s="64">
        <v>98.17</v>
      </c>
      <c r="N97" s="64">
        <v>44</v>
      </c>
      <c r="O97" s="64">
        <v>0</v>
      </c>
      <c r="P97" s="64">
        <v>0.84</v>
      </c>
      <c r="Q97" s="64">
        <v>9.3000000000000007</v>
      </c>
      <c r="R97" s="198"/>
      <c r="S97" s="198"/>
      <c r="T97" s="198"/>
      <c r="U97" s="198"/>
    </row>
    <row r="98" spans="1:33" s="12" customFormat="1" x14ac:dyDescent="0.25">
      <c r="A98" s="211" t="s">
        <v>817</v>
      </c>
      <c r="B98" s="64">
        <v>17.91</v>
      </c>
      <c r="C98" s="64">
        <v>5.34</v>
      </c>
      <c r="D98" s="64">
        <v>17.16</v>
      </c>
      <c r="E98" s="64">
        <v>3.98</v>
      </c>
      <c r="F98" s="64">
        <v>10.33</v>
      </c>
      <c r="G98" s="64">
        <v>29.74</v>
      </c>
      <c r="H98" s="64">
        <v>6.19</v>
      </c>
      <c r="I98" s="64">
        <v>2.72</v>
      </c>
      <c r="J98" s="64">
        <v>0.06</v>
      </c>
      <c r="K98" s="64">
        <v>95.88</v>
      </c>
      <c r="L98" s="64">
        <v>21.67</v>
      </c>
      <c r="M98" s="64">
        <v>98.17</v>
      </c>
      <c r="N98" s="64">
        <v>44</v>
      </c>
      <c r="O98" s="64">
        <v>0</v>
      </c>
      <c r="P98" s="64">
        <v>0.89</v>
      </c>
      <c r="Q98" s="64">
        <v>9.2899999999999991</v>
      </c>
      <c r="R98" s="198"/>
      <c r="S98" s="198"/>
      <c r="T98" s="198"/>
      <c r="U98" s="198"/>
    </row>
    <row r="99" spans="1:33" s="12" customFormat="1" x14ac:dyDescent="0.25">
      <c r="A99" s="211" t="s">
        <v>818</v>
      </c>
      <c r="B99" s="64">
        <v>19.79</v>
      </c>
      <c r="C99" s="64">
        <v>6.37</v>
      </c>
      <c r="D99" s="64">
        <v>19.2</v>
      </c>
      <c r="E99" s="64">
        <v>3.94</v>
      </c>
      <c r="F99" s="64">
        <v>7.2</v>
      </c>
      <c r="G99" s="64">
        <v>29.74</v>
      </c>
      <c r="H99" s="64">
        <v>6.19</v>
      </c>
      <c r="I99" s="64">
        <v>2.71</v>
      </c>
      <c r="J99" s="64">
        <v>0.13</v>
      </c>
      <c r="K99" s="64">
        <v>321.95999999999998</v>
      </c>
      <c r="L99" s="64">
        <v>21.55</v>
      </c>
      <c r="M99" s="64">
        <v>97.62</v>
      </c>
      <c r="N99" s="64">
        <v>43.9</v>
      </c>
      <c r="O99" s="64">
        <v>0</v>
      </c>
      <c r="P99" s="64">
        <v>0.94</v>
      </c>
      <c r="Q99" s="64">
        <v>9.2899999999999991</v>
      </c>
      <c r="R99" s="198"/>
      <c r="S99" s="198"/>
      <c r="T99" s="198"/>
      <c r="U99" s="198"/>
    </row>
    <row r="100" spans="1:33" s="12" customFormat="1" x14ac:dyDescent="0.25">
      <c r="A100" s="211" t="s">
        <v>819</v>
      </c>
      <c r="B100" s="64">
        <v>18.47</v>
      </c>
      <c r="C100" s="64">
        <v>6.53</v>
      </c>
      <c r="D100" s="64">
        <v>18.22</v>
      </c>
      <c r="E100" s="64">
        <v>4.17</v>
      </c>
      <c r="F100" s="64">
        <v>8.01</v>
      </c>
      <c r="G100" s="64">
        <v>29.74</v>
      </c>
      <c r="H100" s="64">
        <v>6.19</v>
      </c>
      <c r="I100" s="64">
        <v>2.71</v>
      </c>
      <c r="J100" s="64">
        <v>0.13</v>
      </c>
      <c r="K100" s="64">
        <v>320.13</v>
      </c>
      <c r="L100" s="64">
        <v>21.58</v>
      </c>
      <c r="M100" s="64">
        <v>97.64</v>
      </c>
      <c r="N100" s="64">
        <v>43.9</v>
      </c>
      <c r="O100" s="64">
        <v>0</v>
      </c>
      <c r="P100" s="64">
        <v>0.89</v>
      </c>
      <c r="Q100" s="64">
        <v>9.2899999999999991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820</v>
      </c>
      <c r="B101" s="64">
        <v>18.72</v>
      </c>
      <c r="C101" s="64">
        <v>8.3000000000000007</v>
      </c>
      <c r="D101" s="64">
        <v>19.29</v>
      </c>
      <c r="E101" s="64">
        <v>4.1100000000000003</v>
      </c>
      <c r="F101" s="64">
        <v>9.17</v>
      </c>
      <c r="G101" s="64">
        <v>30.56</v>
      </c>
      <c r="H101" s="64">
        <v>7.63</v>
      </c>
      <c r="I101" s="64">
        <v>2.72</v>
      </c>
      <c r="J101" s="64">
        <v>0.08</v>
      </c>
      <c r="K101" s="64">
        <v>311.22000000000003</v>
      </c>
      <c r="L101" s="64">
        <v>21.67</v>
      </c>
      <c r="M101" s="64">
        <v>98.22</v>
      </c>
      <c r="N101" s="64">
        <v>43.8</v>
      </c>
      <c r="O101" s="64">
        <v>0</v>
      </c>
      <c r="P101" s="64">
        <v>0.9</v>
      </c>
      <c r="Q101" s="64">
        <v>9.31</v>
      </c>
      <c r="R101" s="198"/>
      <c r="S101" s="198"/>
      <c r="T101" s="198"/>
      <c r="U101" s="198"/>
    </row>
    <row r="102" spans="1:33" s="12" customFormat="1" x14ac:dyDescent="0.25">
      <c r="A102" s="211" t="s">
        <v>821</v>
      </c>
      <c r="B102" s="64">
        <v>21.49</v>
      </c>
      <c r="C102" s="64">
        <v>6.4</v>
      </c>
      <c r="D102" s="64">
        <v>20.55</v>
      </c>
      <c r="E102" s="64">
        <v>4.29</v>
      </c>
      <c r="F102" s="64">
        <v>13.41</v>
      </c>
      <c r="G102" s="64">
        <v>30.56</v>
      </c>
      <c r="H102" s="64">
        <v>7.63</v>
      </c>
      <c r="I102" s="64">
        <v>2.75</v>
      </c>
      <c r="J102" s="64">
        <v>0.12</v>
      </c>
      <c r="K102" s="64">
        <v>308.31</v>
      </c>
      <c r="L102" s="64">
        <v>21.68</v>
      </c>
      <c r="M102" s="64">
        <v>98.21</v>
      </c>
      <c r="N102" s="64">
        <v>43.8</v>
      </c>
      <c r="O102" s="64">
        <v>0</v>
      </c>
      <c r="P102" s="64">
        <v>0.95</v>
      </c>
      <c r="Q102" s="64">
        <v>9.33</v>
      </c>
      <c r="R102" s="198"/>
      <c r="S102" s="198"/>
      <c r="T102" s="198"/>
      <c r="U102" s="198"/>
    </row>
    <row r="103" spans="1:33" s="12" customFormat="1" x14ac:dyDescent="0.25">
      <c r="A103" s="211" t="s">
        <v>822</v>
      </c>
      <c r="B103" s="64">
        <v>17.829999999999998</v>
      </c>
      <c r="C103" s="64">
        <v>7.13</v>
      </c>
      <c r="D103" s="64">
        <v>18.02</v>
      </c>
      <c r="E103" s="64">
        <v>4.3600000000000003</v>
      </c>
      <c r="F103" s="64">
        <v>13.33</v>
      </c>
      <c r="G103" s="64">
        <v>30.56</v>
      </c>
      <c r="H103" s="64">
        <v>7.63</v>
      </c>
      <c r="I103" s="64">
        <v>2.77</v>
      </c>
      <c r="J103" s="64">
        <v>0.2</v>
      </c>
      <c r="K103" s="64">
        <v>325.26</v>
      </c>
      <c r="L103" s="64">
        <v>21.63</v>
      </c>
      <c r="M103" s="64">
        <v>98.23</v>
      </c>
      <c r="N103" s="64">
        <v>44.1</v>
      </c>
      <c r="O103" s="64">
        <v>0</v>
      </c>
      <c r="P103" s="64">
        <v>0.88</v>
      </c>
      <c r="Q103" s="64">
        <v>9.35</v>
      </c>
      <c r="R103" s="198"/>
      <c r="S103" s="198"/>
      <c r="T103" s="198"/>
      <c r="U103" s="198"/>
    </row>
    <row r="104" spans="1:33" s="12" customFormat="1" x14ac:dyDescent="0.25">
      <c r="A104" s="211" t="s">
        <v>823</v>
      </c>
      <c r="B104" s="64">
        <v>16.96</v>
      </c>
      <c r="C104" s="64">
        <v>6.22</v>
      </c>
      <c r="D104" s="64">
        <v>16.850000000000001</v>
      </c>
      <c r="E104" s="64">
        <v>4.84</v>
      </c>
      <c r="F104" s="64">
        <v>9.6300000000000008</v>
      </c>
      <c r="G104" s="64">
        <v>30.56</v>
      </c>
      <c r="H104" s="64">
        <v>7.63</v>
      </c>
      <c r="I104" s="64">
        <v>2.79</v>
      </c>
      <c r="J104" s="64">
        <v>0.16</v>
      </c>
      <c r="K104" s="64">
        <v>313.12</v>
      </c>
      <c r="L104" s="64">
        <v>21.58</v>
      </c>
      <c r="M104" s="64">
        <v>98.23</v>
      </c>
      <c r="N104" s="64">
        <v>44.1</v>
      </c>
      <c r="O104" s="64">
        <v>0</v>
      </c>
      <c r="P104" s="64">
        <v>0.87</v>
      </c>
      <c r="Q104" s="64">
        <v>9.35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8.66</v>
      </c>
      <c r="C106" s="67">
        <f>MIN(C9:C104)</f>
        <v>4.2699999999999996</v>
      </c>
      <c r="D106" s="67">
        <f t="shared" ref="D106:Q106" si="0">MIN(D9:D104)</f>
        <v>10.51</v>
      </c>
      <c r="E106" s="67">
        <f t="shared" si="0"/>
        <v>3.71</v>
      </c>
      <c r="F106" s="67">
        <f t="shared" si="0"/>
        <v>5.96</v>
      </c>
      <c r="G106" s="67">
        <f t="shared" si="0"/>
        <v>5.41</v>
      </c>
      <c r="H106" s="67">
        <f t="shared" si="0"/>
        <v>4.96</v>
      </c>
      <c r="I106" s="67">
        <f t="shared" si="0"/>
        <v>1.34</v>
      </c>
      <c r="J106" s="67">
        <f t="shared" si="0"/>
        <v>0</v>
      </c>
      <c r="K106" s="67">
        <f t="shared" si="0"/>
        <v>74.08</v>
      </c>
      <c r="L106" s="67">
        <f t="shared" si="0"/>
        <v>21.37</v>
      </c>
      <c r="M106" s="67">
        <f t="shared" si="0"/>
        <v>79.7</v>
      </c>
      <c r="N106" s="67">
        <f t="shared" si="0"/>
        <v>43.5</v>
      </c>
      <c r="O106" s="67">
        <f t="shared" si="0"/>
        <v>0</v>
      </c>
      <c r="P106" s="67">
        <f t="shared" si="0"/>
        <v>0.32</v>
      </c>
      <c r="Q106" s="67">
        <f t="shared" si="0"/>
        <v>9.06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38.79</v>
      </c>
      <c r="C107" s="66">
        <f t="shared" ref="C107:Q107" si="1">MAX(C9:C104)</f>
        <v>18.079999999999998</v>
      </c>
      <c r="D107" s="66">
        <f t="shared" si="1"/>
        <v>37.44</v>
      </c>
      <c r="E107" s="66">
        <f t="shared" si="1"/>
        <v>5.15</v>
      </c>
      <c r="F107" s="66">
        <f t="shared" si="1"/>
        <v>291.08999999999997</v>
      </c>
      <c r="G107" s="66">
        <f t="shared" si="1"/>
        <v>55.56</v>
      </c>
      <c r="H107" s="66">
        <f t="shared" si="1"/>
        <v>10.97</v>
      </c>
      <c r="I107" s="66">
        <f t="shared" si="1"/>
        <v>2.79</v>
      </c>
      <c r="J107" s="66">
        <f t="shared" si="1"/>
        <v>0.54</v>
      </c>
      <c r="K107" s="66">
        <f t="shared" si="1"/>
        <v>359.01</v>
      </c>
      <c r="L107" s="66">
        <f t="shared" si="1"/>
        <v>29.5</v>
      </c>
      <c r="M107" s="66">
        <f t="shared" si="1"/>
        <v>98.42</v>
      </c>
      <c r="N107" s="66">
        <f t="shared" si="1"/>
        <v>710.8</v>
      </c>
      <c r="O107" s="66">
        <f t="shared" si="1"/>
        <v>0</v>
      </c>
      <c r="P107" s="66">
        <f t="shared" si="1"/>
        <v>1.42</v>
      </c>
      <c r="Q107" s="66">
        <f t="shared" si="1"/>
        <v>9.35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14.129375000000001</v>
      </c>
      <c r="C108" s="67">
        <f t="shared" ref="C108:Q108" si="2">AVERAGE(C9:C104)</f>
        <v>8.4854166666666675</v>
      </c>
      <c r="D108" s="67">
        <f t="shared" si="2"/>
        <v>15.757083333333341</v>
      </c>
      <c r="E108" s="67">
        <f t="shared" si="2"/>
        <v>4.3795833333333336</v>
      </c>
      <c r="F108" s="67">
        <f t="shared" si="2"/>
        <v>13.654062499999997</v>
      </c>
      <c r="G108" s="67">
        <f t="shared" si="2"/>
        <v>26.813229166666662</v>
      </c>
      <c r="H108" s="67">
        <f t="shared" si="2"/>
        <v>7.4208333333333334</v>
      </c>
      <c r="I108" s="67">
        <f t="shared" si="2"/>
        <v>2.0658333333333343</v>
      </c>
      <c r="J108" s="67">
        <f t="shared" si="2"/>
        <v>0.13937500000000003</v>
      </c>
      <c r="K108" s="67">
        <f t="shared" si="2"/>
        <v>234.96656249999998</v>
      </c>
      <c r="L108" s="67">
        <f t="shared" si="2"/>
        <v>23.413333333333341</v>
      </c>
      <c r="M108" s="67">
        <f t="shared" si="2"/>
        <v>97.131562499999973</v>
      </c>
      <c r="N108" s="67">
        <f t="shared" si="2"/>
        <v>115.09479166666667</v>
      </c>
      <c r="O108" s="67">
        <f t="shared" si="2"/>
        <v>0</v>
      </c>
      <c r="P108" s="67">
        <f t="shared" si="2"/>
        <v>0.59541666666666671</v>
      </c>
      <c r="Q108" s="67">
        <f t="shared" si="2"/>
        <v>9.1767708333333307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4.5493633591618199</v>
      </c>
      <c r="C109" s="67">
        <f t="shared" ref="C109:Q109" si="3">STDEV(C9:C104)</f>
        <v>3.4533480068102569</v>
      </c>
      <c r="D109" s="67">
        <f t="shared" si="3"/>
        <v>4.1029385917557999</v>
      </c>
      <c r="E109" s="67">
        <f t="shared" si="3"/>
        <v>0.30666256671553738</v>
      </c>
      <c r="F109" s="67">
        <f t="shared" si="3"/>
        <v>28.900020891565028</v>
      </c>
      <c r="G109" s="67">
        <f t="shared" si="3"/>
        <v>16.297479850047978</v>
      </c>
      <c r="H109" s="67">
        <f t="shared" si="3"/>
        <v>1.4941821679022789</v>
      </c>
      <c r="I109" s="67">
        <f t="shared" si="3"/>
        <v>0.51731832135932632</v>
      </c>
      <c r="J109" s="67">
        <f t="shared" si="3"/>
        <v>0.10875189048568547</v>
      </c>
      <c r="K109" s="67">
        <f t="shared" si="3"/>
        <v>80.093053773695402</v>
      </c>
      <c r="L109" s="67">
        <f t="shared" si="3"/>
        <v>2.1949816767808121</v>
      </c>
      <c r="M109" s="67">
        <f t="shared" si="3"/>
        <v>3.571269663100078</v>
      </c>
      <c r="N109" s="67">
        <f t="shared" si="3"/>
        <v>135.37604807956373</v>
      </c>
      <c r="O109" s="67">
        <f t="shared" si="3"/>
        <v>0</v>
      </c>
      <c r="P109" s="67">
        <f t="shared" si="3"/>
        <v>0.24466912853104358</v>
      </c>
      <c r="Q109" s="67">
        <f t="shared" si="3"/>
        <v>6.6245075950739835E-2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D110" si="4">COUNT(C9:C104)</f>
        <v>96</v>
      </c>
      <c r="D110" s="66">
        <f t="shared" si="4"/>
        <v>96</v>
      </c>
      <c r="E110" s="66">
        <f t="shared" ref="E110:Q110" si="5">COUNT(E9:E104)</f>
        <v>96</v>
      </c>
      <c r="F110" s="66">
        <f t="shared" si="5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3" sqref="I11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824</v>
      </c>
      <c r="B9" s="64">
        <v>17.03</v>
      </c>
      <c r="C9" s="64">
        <v>5.9</v>
      </c>
      <c r="D9" s="64">
        <v>16.739999999999998</v>
      </c>
      <c r="E9" s="64">
        <v>4.97</v>
      </c>
      <c r="F9" s="64">
        <v>10.87</v>
      </c>
      <c r="G9" s="64">
        <v>27.1</v>
      </c>
      <c r="H9" s="64">
        <v>6.8</v>
      </c>
      <c r="I9" s="64">
        <v>2.82</v>
      </c>
      <c r="J9" s="64">
        <v>0.17</v>
      </c>
      <c r="K9" s="64">
        <v>319.98</v>
      </c>
      <c r="L9" s="64">
        <v>21.58</v>
      </c>
      <c r="M9" s="64">
        <v>98.23</v>
      </c>
      <c r="N9" s="64">
        <v>44.1</v>
      </c>
      <c r="O9" s="64">
        <v>0</v>
      </c>
      <c r="P9" s="64">
        <v>0.86</v>
      </c>
      <c r="Q9" s="64">
        <v>9.35</v>
      </c>
      <c r="R9" s="198"/>
      <c r="S9" s="198"/>
      <c r="T9" s="198"/>
      <c r="U9" s="198"/>
    </row>
    <row r="10" spans="1:21" s="12" customFormat="1" x14ac:dyDescent="0.25">
      <c r="A10" s="211" t="s">
        <v>825</v>
      </c>
      <c r="B10" s="64">
        <v>16.47</v>
      </c>
      <c r="C10" s="64">
        <v>5.79</v>
      </c>
      <c r="D10" s="64">
        <v>16.239999999999998</v>
      </c>
      <c r="E10" s="64">
        <v>5.36</v>
      </c>
      <c r="F10" s="64">
        <v>7.37</v>
      </c>
      <c r="G10" s="64">
        <v>26.85</v>
      </c>
      <c r="H10" s="64">
        <v>6.8</v>
      </c>
      <c r="I10" s="64">
        <v>2.83</v>
      </c>
      <c r="J10" s="64">
        <v>0.12</v>
      </c>
      <c r="K10" s="64">
        <v>320.33</v>
      </c>
      <c r="L10" s="64">
        <v>21.53</v>
      </c>
      <c r="M10" s="64">
        <v>98.24</v>
      </c>
      <c r="N10" s="64">
        <v>44.1</v>
      </c>
      <c r="O10" s="64">
        <v>0</v>
      </c>
      <c r="P10" s="64">
        <v>0.83</v>
      </c>
      <c r="Q10" s="64">
        <v>9.34</v>
      </c>
      <c r="R10" s="198"/>
      <c r="S10" s="198"/>
      <c r="T10" s="198"/>
      <c r="U10" s="198"/>
    </row>
    <row r="11" spans="1:21" s="12" customFormat="1" x14ac:dyDescent="0.25">
      <c r="A11" s="211" t="s">
        <v>826</v>
      </c>
      <c r="B11" s="64">
        <v>17.079999999999998</v>
      </c>
      <c r="C11" s="64">
        <v>4.5999999999999996</v>
      </c>
      <c r="D11" s="64">
        <v>16.100000000000001</v>
      </c>
      <c r="E11" s="64">
        <v>5.3</v>
      </c>
      <c r="F11" s="64">
        <v>7.68</v>
      </c>
      <c r="G11" s="64">
        <v>26.85</v>
      </c>
      <c r="H11" s="64">
        <v>6.8</v>
      </c>
      <c r="I11" s="64">
        <v>2.84</v>
      </c>
      <c r="J11" s="64">
        <v>0.14000000000000001</v>
      </c>
      <c r="K11" s="64">
        <v>331.06</v>
      </c>
      <c r="L11" s="64">
        <v>21.5</v>
      </c>
      <c r="M11" s="64">
        <v>98.25</v>
      </c>
      <c r="N11" s="64">
        <v>44.1</v>
      </c>
      <c r="O11" s="64">
        <v>0</v>
      </c>
      <c r="P11" s="64">
        <v>0.85</v>
      </c>
      <c r="Q11" s="64">
        <v>9.33</v>
      </c>
      <c r="R11" s="198"/>
      <c r="S11" s="198"/>
      <c r="T11" s="198"/>
      <c r="U11" s="198"/>
    </row>
    <row r="12" spans="1:21" s="12" customFormat="1" x14ac:dyDescent="0.25">
      <c r="A12" s="211" t="s">
        <v>827</v>
      </c>
      <c r="B12" s="64">
        <v>18.899999999999999</v>
      </c>
      <c r="C12" s="64">
        <v>3.16</v>
      </c>
      <c r="D12" s="64">
        <v>16.809999999999999</v>
      </c>
      <c r="E12" s="64">
        <v>5.08</v>
      </c>
      <c r="F12" s="64">
        <v>9.94</v>
      </c>
      <c r="G12" s="64">
        <v>26.85</v>
      </c>
      <c r="H12" s="64">
        <v>6.8</v>
      </c>
      <c r="I12" s="64">
        <v>2.86</v>
      </c>
      <c r="J12" s="64">
        <v>0.08</v>
      </c>
      <c r="K12" s="64">
        <v>311.99</v>
      </c>
      <c r="L12" s="64">
        <v>21.57</v>
      </c>
      <c r="M12" s="64">
        <v>98.24</v>
      </c>
      <c r="N12" s="64">
        <v>43.8</v>
      </c>
      <c r="O12" s="64">
        <v>0</v>
      </c>
      <c r="P12" s="64">
        <v>0.88</v>
      </c>
      <c r="Q12" s="64">
        <v>9.31</v>
      </c>
      <c r="R12" s="198"/>
      <c r="S12" s="198"/>
      <c r="T12" s="198"/>
      <c r="U12" s="198"/>
    </row>
    <row r="13" spans="1:21" s="12" customFormat="1" x14ac:dyDescent="0.25">
      <c r="A13" s="211" t="s">
        <v>828</v>
      </c>
      <c r="B13" s="64">
        <v>16.46</v>
      </c>
      <c r="C13" s="64">
        <v>5.61</v>
      </c>
      <c r="D13" s="64">
        <v>16.14</v>
      </c>
      <c r="E13" s="64">
        <v>5.24</v>
      </c>
      <c r="F13" s="64">
        <v>16.93</v>
      </c>
      <c r="G13" s="64">
        <v>33.19</v>
      </c>
      <c r="H13" s="64">
        <v>6.21</v>
      </c>
      <c r="I13" s="64">
        <v>2.85</v>
      </c>
      <c r="J13" s="64">
        <v>0.05</v>
      </c>
      <c r="K13" s="64">
        <v>305</v>
      </c>
      <c r="L13" s="64">
        <v>21.61</v>
      </c>
      <c r="M13" s="64">
        <v>98.24</v>
      </c>
      <c r="N13" s="64">
        <v>43.9</v>
      </c>
      <c r="O13" s="64">
        <v>0</v>
      </c>
      <c r="P13" s="64">
        <v>0.83</v>
      </c>
      <c r="Q13" s="64">
        <v>9.3000000000000007</v>
      </c>
      <c r="R13" s="198"/>
      <c r="S13" s="198"/>
      <c r="T13" s="198"/>
      <c r="U13" s="198"/>
    </row>
    <row r="14" spans="1:21" s="12" customFormat="1" x14ac:dyDescent="0.25">
      <c r="A14" s="211" t="s">
        <v>829</v>
      </c>
      <c r="B14" s="64">
        <v>18.09</v>
      </c>
      <c r="C14" s="64">
        <v>4.0599999999999996</v>
      </c>
      <c r="D14" s="64">
        <v>16.62</v>
      </c>
      <c r="E14" s="64">
        <v>5.24</v>
      </c>
      <c r="F14" s="64">
        <v>9.58</v>
      </c>
      <c r="G14" s="64">
        <v>33.64</v>
      </c>
      <c r="H14" s="64">
        <v>6.21</v>
      </c>
      <c r="I14" s="64">
        <v>2.86</v>
      </c>
      <c r="J14" s="64">
        <v>0.11</v>
      </c>
      <c r="K14" s="64">
        <v>322.88</v>
      </c>
      <c r="L14" s="64">
        <v>21.66</v>
      </c>
      <c r="M14" s="64">
        <v>98.19</v>
      </c>
      <c r="N14" s="64">
        <v>44.1</v>
      </c>
      <c r="O14" s="64">
        <v>0</v>
      </c>
      <c r="P14" s="64">
        <v>0.86</v>
      </c>
      <c r="Q14" s="64">
        <v>9.2899999999999991</v>
      </c>
      <c r="R14" s="198"/>
      <c r="S14" s="198"/>
      <c r="T14" s="198"/>
      <c r="U14" s="198"/>
    </row>
    <row r="15" spans="1:21" s="12" customFormat="1" x14ac:dyDescent="0.25">
      <c r="A15" s="211" t="s">
        <v>830</v>
      </c>
      <c r="B15" s="64">
        <v>18.55</v>
      </c>
      <c r="C15" s="64">
        <v>3.31</v>
      </c>
      <c r="D15" s="64">
        <v>16.61</v>
      </c>
      <c r="E15" s="64">
        <v>5.24</v>
      </c>
      <c r="F15" s="64">
        <v>21.98</v>
      </c>
      <c r="G15" s="64">
        <v>33.64</v>
      </c>
      <c r="H15" s="64">
        <v>6.21</v>
      </c>
      <c r="I15" s="64">
        <v>2.89</v>
      </c>
      <c r="J15" s="64">
        <v>0.15</v>
      </c>
      <c r="K15" s="64">
        <v>314.95999999999998</v>
      </c>
      <c r="L15" s="64">
        <v>21.74</v>
      </c>
      <c r="M15" s="64">
        <v>98.19</v>
      </c>
      <c r="N15" s="64">
        <v>44.1</v>
      </c>
      <c r="O15" s="64">
        <v>0</v>
      </c>
      <c r="P15" s="64">
        <v>0.87</v>
      </c>
      <c r="Q15" s="64">
        <v>9.2899999999999991</v>
      </c>
      <c r="R15" s="198"/>
      <c r="S15" s="198"/>
      <c r="T15" s="198"/>
      <c r="U15" s="198"/>
    </row>
    <row r="16" spans="1:21" s="12" customFormat="1" x14ac:dyDescent="0.25">
      <c r="A16" s="211" t="s">
        <v>831</v>
      </c>
      <c r="B16" s="64">
        <v>16.87</v>
      </c>
      <c r="C16" s="64">
        <v>5.19</v>
      </c>
      <c r="D16" s="64">
        <v>16.239999999999998</v>
      </c>
      <c r="E16" s="64">
        <v>5.33</v>
      </c>
      <c r="F16" s="64">
        <v>24.82</v>
      </c>
      <c r="G16" s="64">
        <v>33.64</v>
      </c>
      <c r="H16" s="64">
        <v>6.21</v>
      </c>
      <c r="I16" s="64">
        <v>2.93</v>
      </c>
      <c r="J16" s="64">
        <v>0.52</v>
      </c>
      <c r="K16" s="64">
        <v>330.27</v>
      </c>
      <c r="L16" s="64">
        <v>21.82</v>
      </c>
      <c r="M16" s="64">
        <v>98.2</v>
      </c>
      <c r="N16" s="64">
        <v>44.4</v>
      </c>
      <c r="O16" s="64">
        <v>0</v>
      </c>
      <c r="P16" s="64">
        <v>0.83</v>
      </c>
      <c r="Q16" s="64">
        <v>9.2799999999999994</v>
      </c>
      <c r="R16" s="198"/>
      <c r="S16" s="198"/>
      <c r="T16" s="198"/>
      <c r="U16" s="198"/>
    </row>
    <row r="17" spans="1:21" s="12" customFormat="1" x14ac:dyDescent="0.25">
      <c r="A17" s="211" t="s">
        <v>832</v>
      </c>
      <c r="B17" s="64">
        <v>14.46</v>
      </c>
      <c r="C17" s="64">
        <v>8.31</v>
      </c>
      <c r="D17" s="64">
        <v>15.94</v>
      </c>
      <c r="E17" s="64">
        <v>5.5</v>
      </c>
      <c r="F17" s="64">
        <v>9.0299999999999994</v>
      </c>
      <c r="G17" s="64">
        <v>31.87</v>
      </c>
      <c r="H17" s="64">
        <v>5.89</v>
      </c>
      <c r="I17" s="64">
        <v>2.97</v>
      </c>
      <c r="J17" s="64">
        <v>0.1</v>
      </c>
      <c r="K17" s="64">
        <v>323.70999999999998</v>
      </c>
      <c r="L17" s="64">
        <v>21.83</v>
      </c>
      <c r="M17" s="64">
        <v>98.17</v>
      </c>
      <c r="N17" s="64">
        <v>44.2</v>
      </c>
      <c r="O17" s="64">
        <v>0</v>
      </c>
      <c r="P17" s="64">
        <v>0.77</v>
      </c>
      <c r="Q17" s="64">
        <v>9.26</v>
      </c>
      <c r="R17" s="198"/>
      <c r="S17" s="198"/>
      <c r="T17" s="198"/>
      <c r="U17" s="198"/>
    </row>
    <row r="18" spans="1:21" s="12" customFormat="1" x14ac:dyDescent="0.25">
      <c r="A18" s="211" t="s">
        <v>833</v>
      </c>
      <c r="B18" s="64">
        <v>15.45</v>
      </c>
      <c r="C18" s="64">
        <v>6.39</v>
      </c>
      <c r="D18" s="64">
        <v>15.73</v>
      </c>
      <c r="E18" s="64">
        <v>5.44</v>
      </c>
      <c r="F18" s="64">
        <v>7.95</v>
      </c>
      <c r="G18" s="64">
        <v>31.74</v>
      </c>
      <c r="H18" s="64">
        <v>5.89</v>
      </c>
      <c r="I18" s="64">
        <v>2.99</v>
      </c>
      <c r="J18" s="64">
        <v>0.06</v>
      </c>
      <c r="K18" s="64">
        <v>325.25</v>
      </c>
      <c r="L18" s="64">
        <v>21.84</v>
      </c>
      <c r="M18" s="64">
        <v>98.21</v>
      </c>
      <c r="N18" s="64">
        <v>44.1</v>
      </c>
      <c r="O18" s="64">
        <v>0</v>
      </c>
      <c r="P18" s="64">
        <v>0.77</v>
      </c>
      <c r="Q18" s="64">
        <v>9.27</v>
      </c>
      <c r="R18" s="198"/>
      <c r="S18" s="198"/>
      <c r="T18" s="198"/>
      <c r="U18" s="198"/>
    </row>
    <row r="19" spans="1:21" s="12" customFormat="1" x14ac:dyDescent="0.25">
      <c r="A19" s="211" t="s">
        <v>834</v>
      </c>
      <c r="B19" s="64">
        <v>15.8</v>
      </c>
      <c r="C19" s="64">
        <v>5.45</v>
      </c>
      <c r="D19" s="64">
        <v>15.52</v>
      </c>
      <c r="E19" s="64">
        <v>5.25</v>
      </c>
      <c r="F19" s="64">
        <v>10.41</v>
      </c>
      <c r="G19" s="64">
        <v>31.74</v>
      </c>
      <c r="H19" s="64">
        <v>5.89</v>
      </c>
      <c r="I19" s="64">
        <v>2.98</v>
      </c>
      <c r="J19" s="64">
        <v>0.05</v>
      </c>
      <c r="K19" s="64">
        <v>234.55</v>
      </c>
      <c r="L19" s="64">
        <v>21.82</v>
      </c>
      <c r="M19" s="64">
        <v>98.2</v>
      </c>
      <c r="N19" s="64">
        <v>44.3</v>
      </c>
      <c r="O19" s="64">
        <v>0</v>
      </c>
      <c r="P19" s="64">
        <v>0.78</v>
      </c>
      <c r="Q19" s="64">
        <v>9.27</v>
      </c>
      <c r="R19" s="198"/>
      <c r="S19" s="198"/>
      <c r="T19" s="198"/>
      <c r="U19" s="198"/>
    </row>
    <row r="20" spans="1:21" s="12" customFormat="1" x14ac:dyDescent="0.25">
      <c r="A20" s="211" t="s">
        <v>835</v>
      </c>
      <c r="B20" s="64">
        <v>14.48</v>
      </c>
      <c r="C20" s="64">
        <v>5.68</v>
      </c>
      <c r="D20" s="64">
        <v>14.58</v>
      </c>
      <c r="E20" s="64">
        <v>5.32</v>
      </c>
      <c r="F20" s="64">
        <v>10.72</v>
      </c>
      <c r="G20" s="64">
        <v>31.74</v>
      </c>
      <c r="H20" s="64">
        <v>5.89</v>
      </c>
      <c r="I20" s="64">
        <v>2.96</v>
      </c>
      <c r="J20" s="64">
        <v>7.0000000000000007E-2</v>
      </c>
      <c r="K20" s="64">
        <v>240.32</v>
      </c>
      <c r="L20" s="64">
        <v>21.76</v>
      </c>
      <c r="M20" s="64">
        <v>98.21</v>
      </c>
      <c r="N20" s="64">
        <v>44.4</v>
      </c>
      <c r="O20" s="64">
        <v>0</v>
      </c>
      <c r="P20" s="64">
        <v>0.74</v>
      </c>
      <c r="Q20" s="64">
        <v>9.26</v>
      </c>
      <c r="R20" s="198"/>
      <c r="S20" s="198"/>
      <c r="T20" s="198"/>
      <c r="U20" s="198"/>
    </row>
    <row r="21" spans="1:21" s="12" customFormat="1" x14ac:dyDescent="0.25">
      <c r="A21" s="211" t="s">
        <v>836</v>
      </c>
      <c r="B21" s="64">
        <v>16.18</v>
      </c>
      <c r="C21" s="64">
        <v>4.26</v>
      </c>
      <c r="D21" s="64">
        <v>15.2</v>
      </c>
      <c r="E21" s="64">
        <v>5.24</v>
      </c>
      <c r="F21" s="64">
        <v>6.33</v>
      </c>
      <c r="G21" s="64">
        <v>24.13</v>
      </c>
      <c r="H21" s="64">
        <v>8.14</v>
      </c>
      <c r="I21" s="64">
        <v>2.94</v>
      </c>
      <c r="J21" s="64">
        <v>0.06</v>
      </c>
      <c r="K21" s="64">
        <v>299.92</v>
      </c>
      <c r="L21" s="64">
        <v>21.81</v>
      </c>
      <c r="M21" s="64">
        <v>98.25</v>
      </c>
      <c r="N21" s="64">
        <v>44.5</v>
      </c>
      <c r="O21" s="64">
        <v>0</v>
      </c>
      <c r="P21" s="64">
        <v>0.77</v>
      </c>
      <c r="Q21" s="64">
        <v>9.25</v>
      </c>
      <c r="R21" s="198"/>
      <c r="S21" s="198"/>
      <c r="T21" s="198"/>
      <c r="U21" s="198"/>
    </row>
    <row r="22" spans="1:21" s="12" customFormat="1" x14ac:dyDescent="0.25">
      <c r="A22" s="211" t="s">
        <v>837</v>
      </c>
      <c r="B22" s="64">
        <v>12.72</v>
      </c>
      <c r="C22" s="64">
        <v>7.09</v>
      </c>
      <c r="D22" s="64">
        <v>13.9</v>
      </c>
      <c r="E22" s="64">
        <v>5.21</v>
      </c>
      <c r="F22" s="64">
        <v>7.89</v>
      </c>
      <c r="G22" s="64">
        <v>23.59</v>
      </c>
      <c r="H22" s="64">
        <v>8.14</v>
      </c>
      <c r="I22" s="64">
        <v>2.9</v>
      </c>
      <c r="J22" s="64">
        <v>7.0000000000000007E-2</v>
      </c>
      <c r="K22" s="64">
        <v>220.52</v>
      </c>
      <c r="L22" s="64">
        <v>21.73</v>
      </c>
      <c r="M22" s="64">
        <v>98.24</v>
      </c>
      <c r="N22" s="64">
        <v>44.4</v>
      </c>
      <c r="O22" s="64">
        <v>0</v>
      </c>
      <c r="P22" s="64">
        <v>0.6</v>
      </c>
      <c r="Q22" s="64">
        <v>9.25</v>
      </c>
      <c r="R22" s="198"/>
      <c r="S22" s="198"/>
      <c r="T22" s="198"/>
      <c r="U22" s="198"/>
    </row>
    <row r="23" spans="1:21" s="12" customFormat="1" x14ac:dyDescent="0.25">
      <c r="A23" s="211" t="s">
        <v>838</v>
      </c>
      <c r="B23" s="64">
        <v>12.38</v>
      </c>
      <c r="C23" s="64">
        <v>8.42</v>
      </c>
      <c r="D23" s="64">
        <v>14.33</v>
      </c>
      <c r="E23" s="64">
        <v>5.1100000000000003</v>
      </c>
      <c r="F23" s="64">
        <v>7.56</v>
      </c>
      <c r="G23" s="64">
        <v>23.59</v>
      </c>
      <c r="H23" s="64">
        <v>8.14</v>
      </c>
      <c r="I23" s="64">
        <v>2.87</v>
      </c>
      <c r="J23" s="64">
        <v>0.06</v>
      </c>
      <c r="K23" s="64">
        <v>225.18</v>
      </c>
      <c r="L23" s="64">
        <v>21.71</v>
      </c>
      <c r="M23" s="64">
        <v>98.25</v>
      </c>
      <c r="N23" s="64">
        <v>44.2</v>
      </c>
      <c r="O23" s="64">
        <v>0</v>
      </c>
      <c r="P23" s="64">
        <v>0.59</v>
      </c>
      <c r="Q23" s="64">
        <v>9.25</v>
      </c>
      <c r="R23" s="198"/>
      <c r="S23" s="198"/>
      <c r="T23" s="198"/>
      <c r="U23" s="198"/>
    </row>
    <row r="24" spans="1:21" s="12" customFormat="1" x14ac:dyDescent="0.25">
      <c r="A24" s="211" t="s">
        <v>839</v>
      </c>
      <c r="B24" s="64">
        <v>12.64</v>
      </c>
      <c r="C24" s="64">
        <v>8.84</v>
      </c>
      <c r="D24" s="64">
        <v>14.75</v>
      </c>
      <c r="E24" s="64">
        <v>5.13</v>
      </c>
      <c r="F24" s="64">
        <v>7.8</v>
      </c>
      <c r="G24" s="64">
        <v>23.59</v>
      </c>
      <c r="H24" s="64">
        <v>8.14</v>
      </c>
      <c r="I24" s="64">
        <v>2.84</v>
      </c>
      <c r="J24" s="64">
        <v>0.06</v>
      </c>
      <c r="K24" s="64">
        <v>277.89999999999998</v>
      </c>
      <c r="L24" s="64">
        <v>21.76</v>
      </c>
      <c r="M24" s="64">
        <v>98.25</v>
      </c>
      <c r="N24" s="64">
        <v>44.1</v>
      </c>
      <c r="O24" s="64">
        <v>0</v>
      </c>
      <c r="P24" s="64">
        <v>0.62</v>
      </c>
      <c r="Q24" s="64">
        <v>9.26</v>
      </c>
      <c r="R24" s="198"/>
      <c r="S24" s="198"/>
      <c r="T24" s="198"/>
      <c r="U24" s="198"/>
    </row>
    <row r="25" spans="1:21" s="12" customFormat="1" x14ac:dyDescent="0.25">
      <c r="A25" s="211" t="s">
        <v>840</v>
      </c>
      <c r="B25" s="64">
        <v>13.94</v>
      </c>
      <c r="C25" s="64">
        <v>8.76</v>
      </c>
      <c r="D25" s="64">
        <v>15.75</v>
      </c>
      <c r="E25" s="64">
        <v>5.28</v>
      </c>
      <c r="F25" s="64">
        <v>7.74</v>
      </c>
      <c r="G25" s="64">
        <v>27.2</v>
      </c>
      <c r="H25" s="64">
        <v>7.24</v>
      </c>
      <c r="I25" s="64">
        <v>2.81</v>
      </c>
      <c r="J25" s="64">
        <v>0.1</v>
      </c>
      <c r="K25" s="64">
        <v>323.87</v>
      </c>
      <c r="L25" s="64">
        <v>21.79</v>
      </c>
      <c r="M25" s="64">
        <v>98.27</v>
      </c>
      <c r="N25" s="64">
        <v>44.1</v>
      </c>
      <c r="O25" s="64">
        <v>0</v>
      </c>
      <c r="P25" s="64">
        <v>0.67</v>
      </c>
      <c r="Q25" s="64">
        <v>9.26</v>
      </c>
      <c r="R25" s="198"/>
      <c r="S25" s="198"/>
      <c r="T25" s="198"/>
      <c r="U25" s="198"/>
    </row>
    <row r="26" spans="1:21" s="12" customFormat="1" x14ac:dyDescent="0.25">
      <c r="A26" s="211" t="s">
        <v>841</v>
      </c>
      <c r="B26" s="64">
        <v>14.1</v>
      </c>
      <c r="C26" s="64">
        <v>8.27</v>
      </c>
      <c r="D26" s="64">
        <v>15.63</v>
      </c>
      <c r="E26" s="64">
        <v>5.51</v>
      </c>
      <c r="F26" s="64">
        <v>6.94</v>
      </c>
      <c r="G26" s="64">
        <v>27.46</v>
      </c>
      <c r="H26" s="64">
        <v>7.24</v>
      </c>
      <c r="I26" s="64">
        <v>2.8</v>
      </c>
      <c r="J26" s="64">
        <v>0.12</v>
      </c>
      <c r="K26" s="64">
        <v>317.58</v>
      </c>
      <c r="L26" s="64">
        <v>21.84</v>
      </c>
      <c r="M26" s="64">
        <v>98.29</v>
      </c>
      <c r="N26" s="64">
        <v>44.2</v>
      </c>
      <c r="O26" s="64">
        <v>0</v>
      </c>
      <c r="P26" s="64">
        <v>0.68</v>
      </c>
      <c r="Q26" s="64">
        <v>9.25</v>
      </c>
      <c r="R26" s="198"/>
      <c r="S26" s="198"/>
      <c r="T26" s="198"/>
      <c r="U26" s="198"/>
    </row>
    <row r="27" spans="1:21" s="12" customFormat="1" x14ac:dyDescent="0.25">
      <c r="A27" s="211" t="s">
        <v>842</v>
      </c>
      <c r="B27" s="64">
        <v>13.5</v>
      </c>
      <c r="C27" s="64">
        <v>10.3</v>
      </c>
      <c r="D27" s="64">
        <v>16.21</v>
      </c>
      <c r="E27" s="64">
        <v>5.47</v>
      </c>
      <c r="F27" s="64">
        <v>9.02</v>
      </c>
      <c r="G27" s="64">
        <v>27.46</v>
      </c>
      <c r="H27" s="64">
        <v>7.24</v>
      </c>
      <c r="I27" s="64">
        <v>2.79</v>
      </c>
      <c r="J27" s="64">
        <v>0.14000000000000001</v>
      </c>
      <c r="K27" s="64">
        <v>327.67</v>
      </c>
      <c r="L27" s="64">
        <v>21.85</v>
      </c>
      <c r="M27" s="64">
        <v>98.3</v>
      </c>
      <c r="N27" s="64">
        <v>44.4</v>
      </c>
      <c r="O27" s="64">
        <v>0</v>
      </c>
      <c r="P27" s="64">
        <v>0.67</v>
      </c>
      <c r="Q27" s="64">
        <v>9.25</v>
      </c>
      <c r="R27" s="198"/>
      <c r="S27" s="198"/>
      <c r="T27" s="198"/>
      <c r="U27" s="198"/>
    </row>
    <row r="28" spans="1:21" s="12" customFormat="1" x14ac:dyDescent="0.25">
      <c r="A28" s="211" t="s">
        <v>843</v>
      </c>
      <c r="B28" s="64">
        <v>16.25</v>
      </c>
      <c r="C28" s="64">
        <v>9.11</v>
      </c>
      <c r="D28" s="64">
        <v>17.79</v>
      </c>
      <c r="E28" s="64">
        <v>5.26</v>
      </c>
      <c r="F28" s="64">
        <v>8.82</v>
      </c>
      <c r="G28" s="64">
        <v>27.46</v>
      </c>
      <c r="H28" s="64">
        <v>7.24</v>
      </c>
      <c r="I28" s="64">
        <v>2.81</v>
      </c>
      <c r="J28" s="64">
        <v>0.09</v>
      </c>
      <c r="K28" s="64">
        <v>344.39</v>
      </c>
      <c r="L28" s="64">
        <v>21.83</v>
      </c>
      <c r="M28" s="64">
        <v>98.3</v>
      </c>
      <c r="N28" s="64">
        <v>44.4</v>
      </c>
      <c r="O28" s="64">
        <v>0</v>
      </c>
      <c r="P28" s="64">
        <v>0.71</v>
      </c>
      <c r="Q28" s="64">
        <v>9.26</v>
      </c>
      <c r="R28" s="198"/>
      <c r="S28" s="198"/>
      <c r="T28" s="198"/>
      <c r="U28" s="198"/>
    </row>
    <row r="29" spans="1:21" s="12" customFormat="1" x14ac:dyDescent="0.25">
      <c r="A29" s="211" t="s">
        <v>844</v>
      </c>
      <c r="B29" s="64">
        <v>13.76</v>
      </c>
      <c r="C29" s="64">
        <v>10.42</v>
      </c>
      <c r="D29" s="64">
        <v>16.48</v>
      </c>
      <c r="E29" s="64">
        <v>5.51</v>
      </c>
      <c r="F29" s="64">
        <v>9.67</v>
      </c>
      <c r="G29" s="64">
        <v>33.15</v>
      </c>
      <c r="H29" s="64">
        <v>6.36</v>
      </c>
      <c r="I29" s="64">
        <v>2.84</v>
      </c>
      <c r="J29" s="64">
        <v>0.09</v>
      </c>
      <c r="K29" s="64">
        <v>143.83000000000001</v>
      </c>
      <c r="L29" s="64">
        <v>21.81</v>
      </c>
      <c r="M29" s="64">
        <v>98.3</v>
      </c>
      <c r="N29" s="64">
        <v>44.4</v>
      </c>
      <c r="O29" s="64">
        <v>0</v>
      </c>
      <c r="P29" s="64">
        <v>0.69</v>
      </c>
      <c r="Q29" s="64">
        <v>9.25</v>
      </c>
      <c r="R29" s="198"/>
      <c r="S29" s="198"/>
      <c r="T29" s="198"/>
      <c r="U29" s="198"/>
    </row>
    <row r="30" spans="1:21" s="12" customFormat="1" x14ac:dyDescent="0.25">
      <c r="A30" s="211" t="s">
        <v>845</v>
      </c>
      <c r="B30" s="64">
        <v>16.61</v>
      </c>
      <c r="C30" s="64">
        <v>6.89</v>
      </c>
      <c r="D30" s="64">
        <v>16.920000000000002</v>
      </c>
      <c r="E30" s="64">
        <v>5.3</v>
      </c>
      <c r="F30" s="64">
        <v>8.4</v>
      </c>
      <c r="G30" s="64">
        <v>33.549999999999997</v>
      </c>
      <c r="H30" s="64">
        <v>6.36</v>
      </c>
      <c r="I30" s="64">
        <v>2.87</v>
      </c>
      <c r="J30" s="64">
        <v>7.0000000000000007E-2</v>
      </c>
      <c r="K30" s="64">
        <v>323.11</v>
      </c>
      <c r="L30" s="64">
        <v>21.82</v>
      </c>
      <c r="M30" s="64">
        <v>98.3</v>
      </c>
      <c r="N30" s="64">
        <v>44.4</v>
      </c>
      <c r="O30" s="64">
        <v>0</v>
      </c>
      <c r="P30" s="64">
        <v>0.72</v>
      </c>
      <c r="Q30" s="64">
        <v>9.23</v>
      </c>
      <c r="R30" s="198"/>
      <c r="S30" s="198"/>
      <c r="T30" s="198"/>
      <c r="U30" s="198"/>
    </row>
    <row r="31" spans="1:21" s="12" customFormat="1" x14ac:dyDescent="0.25">
      <c r="A31" s="211" t="s">
        <v>846</v>
      </c>
      <c r="B31" s="64">
        <v>17.059999999999999</v>
      </c>
      <c r="C31" s="64">
        <v>6.99</v>
      </c>
      <c r="D31" s="64">
        <v>17.329999999999998</v>
      </c>
      <c r="E31" s="64">
        <v>5.58</v>
      </c>
      <c r="F31" s="64">
        <v>7.05</v>
      </c>
      <c r="G31" s="64">
        <v>33.549999999999997</v>
      </c>
      <c r="H31" s="64">
        <v>6.36</v>
      </c>
      <c r="I31" s="64">
        <v>2.87</v>
      </c>
      <c r="J31" s="64">
        <v>0.04</v>
      </c>
      <c r="K31" s="64">
        <v>353.37</v>
      </c>
      <c r="L31" s="64">
        <v>21.85</v>
      </c>
      <c r="M31" s="64">
        <v>98.31</v>
      </c>
      <c r="N31" s="64">
        <v>44.6</v>
      </c>
      <c r="O31" s="64">
        <v>0</v>
      </c>
      <c r="P31" s="64">
        <v>0.72</v>
      </c>
      <c r="Q31" s="64">
        <v>9.24</v>
      </c>
      <c r="R31" s="198"/>
      <c r="S31" s="198"/>
      <c r="T31" s="198"/>
      <c r="U31" s="198"/>
    </row>
    <row r="32" spans="1:21" s="12" customFormat="1" x14ac:dyDescent="0.25">
      <c r="A32" s="211" t="s">
        <v>847</v>
      </c>
      <c r="B32" s="64">
        <v>19.239999999999998</v>
      </c>
      <c r="C32" s="64">
        <v>7.82</v>
      </c>
      <c r="D32" s="64">
        <v>19.52</v>
      </c>
      <c r="E32" s="64">
        <v>5.37</v>
      </c>
      <c r="F32" s="64">
        <v>6.09</v>
      </c>
      <c r="G32" s="64">
        <v>33.549999999999997</v>
      </c>
      <c r="H32" s="64">
        <v>6.36</v>
      </c>
      <c r="I32" s="64">
        <v>2.87</v>
      </c>
      <c r="J32" s="64">
        <v>0.01</v>
      </c>
      <c r="K32" s="64">
        <v>130.5</v>
      </c>
      <c r="L32" s="64">
        <v>21.86</v>
      </c>
      <c r="M32" s="64">
        <v>98.32</v>
      </c>
      <c r="N32" s="64">
        <v>46.7</v>
      </c>
      <c r="O32" s="64">
        <v>0</v>
      </c>
      <c r="P32" s="64">
        <v>0.69</v>
      </c>
      <c r="Q32" s="64">
        <v>9.24</v>
      </c>
      <c r="R32" s="198"/>
      <c r="S32" s="198"/>
      <c r="T32" s="198"/>
      <c r="U32" s="198"/>
    </row>
    <row r="33" spans="1:21" s="12" customFormat="1" x14ac:dyDescent="0.25">
      <c r="A33" s="211" t="s">
        <v>848</v>
      </c>
      <c r="B33" s="64">
        <v>18.04</v>
      </c>
      <c r="C33" s="64">
        <v>5.0599999999999996</v>
      </c>
      <c r="D33" s="64">
        <v>17.11</v>
      </c>
      <c r="E33" s="64">
        <v>5.42</v>
      </c>
      <c r="F33" s="64">
        <v>5.82</v>
      </c>
      <c r="G33" s="64">
        <v>48.29</v>
      </c>
      <c r="H33" s="64">
        <v>5.58</v>
      </c>
      <c r="I33" s="64">
        <v>2.9</v>
      </c>
      <c r="J33" s="64">
        <v>0.18</v>
      </c>
      <c r="K33" s="64">
        <v>322.23</v>
      </c>
      <c r="L33" s="64">
        <v>21.88</v>
      </c>
      <c r="M33" s="64">
        <v>98.31</v>
      </c>
      <c r="N33" s="64">
        <v>60</v>
      </c>
      <c r="O33" s="64">
        <v>0</v>
      </c>
      <c r="P33" s="64">
        <v>0.73</v>
      </c>
      <c r="Q33" s="64">
        <v>9.24</v>
      </c>
      <c r="R33" s="198"/>
      <c r="S33" s="198"/>
      <c r="T33" s="198"/>
      <c r="U33" s="198"/>
    </row>
    <row r="34" spans="1:21" s="12" customFormat="1" x14ac:dyDescent="0.25">
      <c r="A34" s="211" t="s">
        <v>849</v>
      </c>
      <c r="B34" s="64">
        <v>18.04</v>
      </c>
      <c r="C34" s="64">
        <v>4.93</v>
      </c>
      <c r="D34" s="64">
        <v>17.04</v>
      </c>
      <c r="E34" s="64">
        <v>5.14</v>
      </c>
      <c r="F34" s="64">
        <v>8.1300000000000008</v>
      </c>
      <c r="G34" s="64">
        <v>49.34</v>
      </c>
      <c r="H34" s="64">
        <v>5.58</v>
      </c>
      <c r="I34" s="64">
        <v>2.93</v>
      </c>
      <c r="J34" s="64">
        <v>0.13</v>
      </c>
      <c r="K34" s="64">
        <v>315.68</v>
      </c>
      <c r="L34" s="64">
        <v>22.1</v>
      </c>
      <c r="M34" s="64">
        <v>98.32</v>
      </c>
      <c r="N34" s="64">
        <v>82.1</v>
      </c>
      <c r="O34" s="64">
        <v>0</v>
      </c>
      <c r="P34" s="64">
        <v>0.72</v>
      </c>
      <c r="Q34" s="64">
        <v>9.26</v>
      </c>
      <c r="R34" s="198"/>
      <c r="S34" s="198"/>
      <c r="T34" s="198"/>
      <c r="U34" s="198"/>
    </row>
    <row r="35" spans="1:21" s="12" customFormat="1" x14ac:dyDescent="0.25">
      <c r="A35" s="211" t="s">
        <v>850</v>
      </c>
      <c r="B35" s="64">
        <v>20.63</v>
      </c>
      <c r="C35" s="64">
        <v>5.45</v>
      </c>
      <c r="D35" s="64">
        <v>19.39</v>
      </c>
      <c r="E35" s="64">
        <v>5.47</v>
      </c>
      <c r="F35" s="64">
        <v>8.1999999999999993</v>
      </c>
      <c r="G35" s="64">
        <v>49.34</v>
      </c>
      <c r="H35" s="64">
        <v>5.58</v>
      </c>
      <c r="I35" s="64">
        <v>2.95</v>
      </c>
      <c r="J35" s="64">
        <v>7.0000000000000007E-2</v>
      </c>
      <c r="K35" s="64">
        <v>305.01</v>
      </c>
      <c r="L35" s="64">
        <v>22.27</v>
      </c>
      <c r="M35" s="64">
        <v>98.33</v>
      </c>
      <c r="N35" s="64">
        <v>93.7</v>
      </c>
      <c r="O35" s="64">
        <v>0</v>
      </c>
      <c r="P35" s="64">
        <v>0.74</v>
      </c>
      <c r="Q35" s="64">
        <v>9.26</v>
      </c>
      <c r="R35" s="198"/>
      <c r="S35" s="198"/>
      <c r="T35" s="198"/>
      <c r="U35" s="198"/>
    </row>
    <row r="36" spans="1:21" s="12" customFormat="1" x14ac:dyDescent="0.25">
      <c r="A36" s="211" t="s">
        <v>851</v>
      </c>
      <c r="B36" s="64">
        <v>19.149999999999999</v>
      </c>
      <c r="C36" s="64">
        <v>4.83</v>
      </c>
      <c r="D36" s="64">
        <v>17.88</v>
      </c>
      <c r="E36" s="64">
        <v>5.36</v>
      </c>
      <c r="F36" s="64">
        <v>6.97</v>
      </c>
      <c r="G36" s="64">
        <v>49.34</v>
      </c>
      <c r="H36" s="64">
        <v>5.58</v>
      </c>
      <c r="I36" s="64">
        <v>2.97</v>
      </c>
      <c r="J36" s="64">
        <v>0.09</v>
      </c>
      <c r="K36" s="64">
        <v>264.76</v>
      </c>
      <c r="L36" s="64">
        <v>22.58</v>
      </c>
      <c r="M36" s="64">
        <v>98.3</v>
      </c>
      <c r="N36" s="64">
        <v>137.80000000000001</v>
      </c>
      <c r="O36" s="64">
        <v>0</v>
      </c>
      <c r="P36" s="64">
        <v>0.73</v>
      </c>
      <c r="Q36" s="64">
        <v>9.27</v>
      </c>
      <c r="R36" s="198"/>
      <c r="S36" s="198"/>
      <c r="T36" s="198"/>
      <c r="U36" s="198"/>
    </row>
    <row r="37" spans="1:21" s="12" customFormat="1" x14ac:dyDescent="0.25">
      <c r="A37" s="211" t="s">
        <v>852</v>
      </c>
      <c r="B37" s="64">
        <v>20.25</v>
      </c>
      <c r="C37" s="64">
        <v>5.81</v>
      </c>
      <c r="D37" s="64">
        <v>19.27</v>
      </c>
      <c r="E37" s="64">
        <v>5.3</v>
      </c>
      <c r="F37" s="64">
        <v>7.04</v>
      </c>
      <c r="G37" s="64">
        <v>46.07</v>
      </c>
      <c r="H37" s="64">
        <v>8.5399999999999991</v>
      </c>
      <c r="I37" s="64">
        <v>2.99</v>
      </c>
      <c r="J37" s="64">
        <v>0.1</v>
      </c>
      <c r="K37" s="64">
        <v>276.43</v>
      </c>
      <c r="L37" s="64">
        <v>23.16</v>
      </c>
      <c r="M37" s="64">
        <v>98.25</v>
      </c>
      <c r="N37" s="64">
        <v>187.1</v>
      </c>
      <c r="O37" s="64">
        <v>0</v>
      </c>
      <c r="P37" s="64">
        <v>0.64</v>
      </c>
      <c r="Q37" s="64">
        <v>9.27</v>
      </c>
      <c r="R37" s="198"/>
      <c r="S37" s="198"/>
      <c r="T37" s="198"/>
      <c r="U37" s="198"/>
    </row>
    <row r="38" spans="1:21" s="12" customFormat="1" x14ac:dyDescent="0.25">
      <c r="A38" s="211" t="s">
        <v>853</v>
      </c>
      <c r="B38" s="64">
        <v>18.690000000000001</v>
      </c>
      <c r="C38" s="64">
        <v>3.84</v>
      </c>
      <c r="D38" s="64">
        <v>17</v>
      </c>
      <c r="E38" s="64">
        <v>5.32</v>
      </c>
      <c r="F38" s="64">
        <v>6.9</v>
      </c>
      <c r="G38" s="64">
        <v>45.84</v>
      </c>
      <c r="H38" s="64">
        <v>8.5399999999999991</v>
      </c>
      <c r="I38" s="64">
        <v>3</v>
      </c>
      <c r="J38" s="64">
        <v>0.11</v>
      </c>
      <c r="K38" s="64">
        <v>247.93</v>
      </c>
      <c r="L38" s="64">
        <v>23.84</v>
      </c>
      <c r="M38" s="64">
        <v>98.21</v>
      </c>
      <c r="N38" s="64">
        <v>236</v>
      </c>
      <c r="O38" s="64">
        <v>0</v>
      </c>
      <c r="P38" s="64">
        <v>0.66</v>
      </c>
      <c r="Q38" s="64">
        <v>9.2799999999999994</v>
      </c>
      <c r="R38" s="198"/>
      <c r="S38" s="198"/>
      <c r="T38" s="198"/>
      <c r="U38" s="198"/>
    </row>
    <row r="39" spans="1:21" s="12" customFormat="1" x14ac:dyDescent="0.25">
      <c r="A39" s="211" t="s">
        <v>854</v>
      </c>
      <c r="B39" s="64">
        <v>19</v>
      </c>
      <c r="C39" s="64">
        <v>5.08</v>
      </c>
      <c r="D39" s="64">
        <v>17.89</v>
      </c>
      <c r="E39" s="64">
        <v>5.09</v>
      </c>
      <c r="F39" s="64">
        <v>11.89</v>
      </c>
      <c r="G39" s="64">
        <v>45.84</v>
      </c>
      <c r="H39" s="64">
        <v>8.5399999999999991</v>
      </c>
      <c r="I39" s="64">
        <v>2.97</v>
      </c>
      <c r="J39" s="64">
        <v>0.09</v>
      </c>
      <c r="K39" s="64">
        <v>289.93</v>
      </c>
      <c r="L39" s="64">
        <v>24.39</v>
      </c>
      <c r="M39" s="64">
        <v>98.19</v>
      </c>
      <c r="N39" s="64">
        <v>167.6</v>
      </c>
      <c r="O39" s="64">
        <v>0</v>
      </c>
      <c r="P39" s="64">
        <v>0.68</v>
      </c>
      <c r="Q39" s="64">
        <v>9.2799999999999994</v>
      </c>
      <c r="R39" s="198"/>
      <c r="S39" s="198"/>
      <c r="T39" s="198"/>
      <c r="U39" s="198"/>
    </row>
    <row r="40" spans="1:21" s="12" customFormat="1" x14ac:dyDescent="0.25">
      <c r="A40" s="211" t="s">
        <v>855</v>
      </c>
      <c r="B40" s="64">
        <v>17.77</v>
      </c>
      <c r="C40" s="64">
        <v>6.7</v>
      </c>
      <c r="D40" s="64">
        <v>17.75</v>
      </c>
      <c r="E40" s="64">
        <v>5.23</v>
      </c>
      <c r="F40" s="64">
        <v>19.739999999999998</v>
      </c>
      <c r="G40" s="64">
        <v>45.84</v>
      </c>
      <c r="H40" s="64">
        <v>8.5399999999999991</v>
      </c>
      <c r="I40" s="64">
        <v>2.91</v>
      </c>
      <c r="J40" s="64">
        <v>0.09</v>
      </c>
      <c r="K40" s="64">
        <v>225.51</v>
      </c>
      <c r="L40" s="64">
        <v>23.94</v>
      </c>
      <c r="M40" s="64">
        <v>98.2</v>
      </c>
      <c r="N40" s="64">
        <v>254.9</v>
      </c>
      <c r="O40" s="64">
        <v>0</v>
      </c>
      <c r="P40" s="64">
        <v>0.63</v>
      </c>
      <c r="Q40" s="64">
        <v>9.2899999999999991</v>
      </c>
      <c r="R40" s="198"/>
      <c r="S40" s="198"/>
      <c r="T40" s="198"/>
      <c r="U40" s="198"/>
    </row>
    <row r="41" spans="1:21" s="12" customFormat="1" x14ac:dyDescent="0.25">
      <c r="A41" s="211" t="s">
        <v>856</v>
      </c>
      <c r="B41" s="64">
        <v>18.23</v>
      </c>
      <c r="C41" s="64">
        <v>5.8</v>
      </c>
      <c r="D41" s="64">
        <v>17.649999999999999</v>
      </c>
      <c r="E41" s="64">
        <v>5.2</v>
      </c>
      <c r="F41" s="64">
        <v>9.5399999999999991</v>
      </c>
      <c r="G41" s="64">
        <v>44.78</v>
      </c>
      <c r="H41" s="64">
        <v>7.14</v>
      </c>
      <c r="I41" s="64">
        <v>2.89</v>
      </c>
      <c r="J41" s="64">
        <v>0.12</v>
      </c>
      <c r="K41" s="64">
        <v>249.6</v>
      </c>
      <c r="L41" s="64">
        <v>23.83</v>
      </c>
      <c r="M41" s="64">
        <v>98.23</v>
      </c>
      <c r="N41" s="64">
        <v>158.9</v>
      </c>
      <c r="O41" s="64">
        <v>0</v>
      </c>
      <c r="P41" s="64">
        <v>0.66</v>
      </c>
      <c r="Q41" s="64">
        <v>9.2899999999999991</v>
      </c>
      <c r="R41" s="198"/>
      <c r="S41" s="198"/>
      <c r="T41" s="198"/>
      <c r="U41" s="198"/>
    </row>
    <row r="42" spans="1:21" s="12" customFormat="1" x14ac:dyDescent="0.25">
      <c r="A42" s="211" t="s">
        <v>857</v>
      </c>
      <c r="B42" s="64">
        <v>19.28</v>
      </c>
      <c r="C42" s="64">
        <v>6.02</v>
      </c>
      <c r="D42" s="64">
        <v>18.61</v>
      </c>
      <c r="E42" s="64">
        <v>5.38</v>
      </c>
      <c r="F42" s="64">
        <v>6.72</v>
      </c>
      <c r="G42" s="64">
        <v>44.7</v>
      </c>
      <c r="H42" s="64">
        <v>7.14</v>
      </c>
      <c r="I42" s="64">
        <v>3.05</v>
      </c>
      <c r="J42" s="64">
        <v>0.14000000000000001</v>
      </c>
      <c r="K42" s="64">
        <v>284.68</v>
      </c>
      <c r="L42" s="64">
        <v>23.75</v>
      </c>
      <c r="M42" s="64">
        <v>98.23</v>
      </c>
      <c r="N42" s="64">
        <v>180.3</v>
      </c>
      <c r="O42" s="64">
        <v>0</v>
      </c>
      <c r="P42" s="64">
        <v>0.69</v>
      </c>
      <c r="Q42" s="64">
        <v>9.2899999999999991</v>
      </c>
      <c r="R42" s="198"/>
      <c r="S42" s="198"/>
      <c r="T42" s="198"/>
      <c r="U42" s="198"/>
    </row>
    <row r="43" spans="1:21" s="12" customFormat="1" x14ac:dyDescent="0.25">
      <c r="A43" s="211" t="s">
        <v>858</v>
      </c>
      <c r="B43" s="64">
        <v>16.57</v>
      </c>
      <c r="C43" s="64">
        <v>6.3</v>
      </c>
      <c r="D43" s="64">
        <v>16.579999999999998</v>
      </c>
      <c r="E43" s="64">
        <v>5.35</v>
      </c>
      <c r="F43" s="64">
        <v>6.72</v>
      </c>
      <c r="G43" s="64">
        <v>44.7</v>
      </c>
      <c r="H43" s="64">
        <v>7.14</v>
      </c>
      <c r="I43" s="64">
        <v>3.21</v>
      </c>
      <c r="J43" s="64">
        <v>0.09</v>
      </c>
      <c r="K43" s="64">
        <v>276.68</v>
      </c>
      <c r="L43" s="64">
        <v>23.8</v>
      </c>
      <c r="M43" s="64">
        <v>98.21</v>
      </c>
      <c r="N43" s="64">
        <v>147.69999999999999</v>
      </c>
      <c r="O43" s="64">
        <v>0</v>
      </c>
      <c r="P43" s="64">
        <v>0.7</v>
      </c>
      <c r="Q43" s="64">
        <v>9.3000000000000007</v>
      </c>
      <c r="R43" s="198"/>
      <c r="S43" s="198"/>
      <c r="T43" s="198"/>
      <c r="U43" s="198"/>
    </row>
    <row r="44" spans="1:21" s="12" customFormat="1" x14ac:dyDescent="0.25">
      <c r="A44" s="211" t="s">
        <v>859</v>
      </c>
      <c r="B44" s="64">
        <v>17.86</v>
      </c>
      <c r="C44" s="64">
        <v>7.47</v>
      </c>
      <c r="D44" s="64">
        <v>18.22</v>
      </c>
      <c r="E44" s="64">
        <v>5.29</v>
      </c>
      <c r="F44" s="64">
        <v>8.4700000000000006</v>
      </c>
      <c r="G44" s="64">
        <v>44.7</v>
      </c>
      <c r="H44" s="64">
        <v>7.14</v>
      </c>
      <c r="I44" s="64">
        <v>3.3</v>
      </c>
      <c r="J44" s="64">
        <v>0.06</v>
      </c>
      <c r="K44" s="64">
        <v>219.43</v>
      </c>
      <c r="L44" s="64">
        <v>24.12</v>
      </c>
      <c r="M44" s="64">
        <v>98.22</v>
      </c>
      <c r="N44" s="64">
        <v>247.2</v>
      </c>
      <c r="O44" s="64">
        <v>0</v>
      </c>
      <c r="P44" s="64">
        <v>0.79</v>
      </c>
      <c r="Q44" s="64">
        <v>9.3000000000000007</v>
      </c>
      <c r="R44" s="198"/>
      <c r="S44" s="198"/>
      <c r="T44" s="198"/>
      <c r="U44" s="198"/>
    </row>
    <row r="45" spans="1:21" s="12" customFormat="1" x14ac:dyDescent="0.25">
      <c r="A45" s="211" t="s">
        <v>860</v>
      </c>
      <c r="B45" s="64">
        <v>15.05</v>
      </c>
      <c r="C45" s="64">
        <v>7.48</v>
      </c>
      <c r="D45" s="64">
        <v>15.98</v>
      </c>
      <c r="E45" s="64">
        <v>5.16</v>
      </c>
      <c r="F45" s="64">
        <v>7.49</v>
      </c>
      <c r="G45" s="64">
        <v>60.31</v>
      </c>
      <c r="H45" s="64">
        <v>6.22</v>
      </c>
      <c r="I45" s="64">
        <v>3.43</v>
      </c>
      <c r="J45" s="64">
        <v>0.12</v>
      </c>
      <c r="K45" s="64">
        <v>177.73</v>
      </c>
      <c r="L45" s="64">
        <v>24.08</v>
      </c>
      <c r="M45" s="64">
        <v>98.2</v>
      </c>
      <c r="N45" s="64">
        <v>188.6</v>
      </c>
      <c r="O45" s="64">
        <v>0</v>
      </c>
      <c r="P45" s="64">
        <v>0.71</v>
      </c>
      <c r="Q45" s="64">
        <v>9.31</v>
      </c>
      <c r="R45" s="198"/>
      <c r="S45" s="198"/>
      <c r="T45" s="198"/>
      <c r="U45" s="198"/>
    </row>
    <row r="46" spans="1:21" s="12" customFormat="1" x14ac:dyDescent="0.25">
      <c r="A46" s="211" t="s">
        <v>861</v>
      </c>
      <c r="B46" s="64">
        <v>15.82</v>
      </c>
      <c r="C46" s="64">
        <v>8.67</v>
      </c>
      <c r="D46" s="64">
        <v>17.22</v>
      </c>
      <c r="E46" s="64">
        <v>5.17</v>
      </c>
      <c r="F46" s="64">
        <v>8.2200000000000006</v>
      </c>
      <c r="G46" s="64">
        <v>61.42</v>
      </c>
      <c r="H46" s="64">
        <v>6.22</v>
      </c>
      <c r="I46" s="64">
        <v>3.57</v>
      </c>
      <c r="J46" s="64">
        <v>0.36</v>
      </c>
      <c r="K46" s="64">
        <v>142.16</v>
      </c>
      <c r="L46" s="64">
        <v>23.99</v>
      </c>
      <c r="M46" s="64">
        <v>98.21</v>
      </c>
      <c r="N46" s="64">
        <v>215.4</v>
      </c>
      <c r="O46" s="64">
        <v>0</v>
      </c>
      <c r="P46" s="64">
        <v>0.66</v>
      </c>
      <c r="Q46" s="64">
        <v>9.31</v>
      </c>
      <c r="R46" s="198"/>
      <c r="S46" s="198"/>
      <c r="T46" s="198"/>
      <c r="U46" s="198"/>
    </row>
    <row r="47" spans="1:21" s="12" customFormat="1" x14ac:dyDescent="0.25">
      <c r="A47" s="211" t="s">
        <v>862</v>
      </c>
      <c r="B47" s="64">
        <v>18.52</v>
      </c>
      <c r="C47" s="64">
        <v>6.25</v>
      </c>
      <c r="D47" s="64">
        <v>18.12</v>
      </c>
      <c r="E47" s="64">
        <v>5.04</v>
      </c>
      <c r="F47" s="64">
        <v>8.73</v>
      </c>
      <c r="G47" s="64">
        <v>61.42</v>
      </c>
      <c r="H47" s="64">
        <v>6.22</v>
      </c>
      <c r="I47" s="64">
        <v>3.67</v>
      </c>
      <c r="J47" s="64">
        <v>0.25</v>
      </c>
      <c r="K47" s="64">
        <v>152.91999999999999</v>
      </c>
      <c r="L47" s="64">
        <v>24.36</v>
      </c>
      <c r="M47" s="64">
        <v>98.12</v>
      </c>
      <c r="N47" s="64">
        <v>220.3</v>
      </c>
      <c r="O47" s="64">
        <v>0</v>
      </c>
      <c r="P47" s="64">
        <v>0.69</v>
      </c>
      <c r="Q47" s="64">
        <v>9.3000000000000007</v>
      </c>
      <c r="R47" s="198"/>
      <c r="S47" s="198"/>
      <c r="T47" s="198"/>
      <c r="U47" s="198"/>
    </row>
    <row r="48" spans="1:21" s="12" customFormat="1" x14ac:dyDescent="0.25">
      <c r="A48" s="211" t="s">
        <v>863</v>
      </c>
      <c r="B48" s="64">
        <v>17.29</v>
      </c>
      <c r="C48" s="64">
        <v>6.39</v>
      </c>
      <c r="D48" s="64">
        <v>17.21</v>
      </c>
      <c r="E48" s="64">
        <v>5.24</v>
      </c>
      <c r="F48" s="64">
        <v>7.26</v>
      </c>
      <c r="G48" s="64">
        <v>61.42</v>
      </c>
      <c r="H48" s="64">
        <v>6.22</v>
      </c>
      <c r="I48" s="64">
        <v>3.7</v>
      </c>
      <c r="J48" s="64">
        <v>0.17</v>
      </c>
      <c r="K48" s="64">
        <v>129.19999999999999</v>
      </c>
      <c r="L48" s="64">
        <v>24.96</v>
      </c>
      <c r="M48" s="64">
        <v>98.08</v>
      </c>
      <c r="N48" s="64">
        <v>457.7</v>
      </c>
      <c r="O48" s="64">
        <v>0</v>
      </c>
      <c r="P48" s="64">
        <v>0.7</v>
      </c>
      <c r="Q48" s="64">
        <v>9.3000000000000007</v>
      </c>
      <c r="R48" s="198"/>
      <c r="S48" s="198"/>
      <c r="T48" s="198"/>
      <c r="U48" s="198"/>
    </row>
    <row r="49" spans="1:21" s="12" customFormat="1" x14ac:dyDescent="0.25">
      <c r="A49" s="211" t="s">
        <v>864</v>
      </c>
      <c r="B49" s="64">
        <v>18.45</v>
      </c>
      <c r="C49" s="64">
        <v>5.99</v>
      </c>
      <c r="D49" s="64">
        <v>17.93</v>
      </c>
      <c r="E49" s="64">
        <v>5.36</v>
      </c>
      <c r="F49" s="64">
        <v>5.39</v>
      </c>
      <c r="G49" s="64">
        <v>59.92</v>
      </c>
      <c r="H49" s="64">
        <v>5.6</v>
      </c>
      <c r="I49" s="64">
        <v>3.7</v>
      </c>
      <c r="J49" s="64">
        <v>0.19</v>
      </c>
      <c r="K49" s="64">
        <v>225.3</v>
      </c>
      <c r="L49" s="64">
        <v>26.62</v>
      </c>
      <c r="M49" s="64">
        <v>97.94</v>
      </c>
      <c r="N49" s="64">
        <v>382.2</v>
      </c>
      <c r="O49" s="64">
        <v>0</v>
      </c>
      <c r="P49" s="64">
        <v>0.7</v>
      </c>
      <c r="Q49" s="64">
        <v>9.2799999999999994</v>
      </c>
      <c r="R49" s="198"/>
      <c r="S49" s="198"/>
      <c r="T49" s="198"/>
      <c r="U49" s="198"/>
    </row>
    <row r="50" spans="1:21" s="12" customFormat="1" x14ac:dyDescent="0.25">
      <c r="A50" s="211" t="s">
        <v>865</v>
      </c>
      <c r="B50" s="64">
        <v>15.66</v>
      </c>
      <c r="C50" s="64">
        <v>8.2799999999999994</v>
      </c>
      <c r="D50" s="64">
        <v>16.89</v>
      </c>
      <c r="E50" s="64">
        <v>5.14</v>
      </c>
      <c r="F50" s="64">
        <v>7.37</v>
      </c>
      <c r="G50" s="64">
        <v>59.82</v>
      </c>
      <c r="H50" s="64">
        <v>5.6</v>
      </c>
      <c r="I50" s="64">
        <v>3.72</v>
      </c>
      <c r="J50" s="64">
        <v>0.19</v>
      </c>
      <c r="K50" s="64">
        <v>175.7</v>
      </c>
      <c r="L50" s="64">
        <v>26.59</v>
      </c>
      <c r="M50" s="64">
        <v>97.97</v>
      </c>
      <c r="N50" s="64">
        <v>524.70000000000005</v>
      </c>
      <c r="O50" s="64">
        <v>0</v>
      </c>
      <c r="P50" s="64">
        <v>0.63</v>
      </c>
      <c r="Q50" s="64">
        <v>9.25</v>
      </c>
      <c r="R50" s="198"/>
      <c r="S50" s="198"/>
      <c r="T50" s="198"/>
      <c r="U50" s="198"/>
    </row>
    <row r="51" spans="1:21" s="12" customFormat="1" x14ac:dyDescent="0.25">
      <c r="A51" s="211" t="s">
        <v>866</v>
      </c>
      <c r="B51" s="64">
        <v>7.91</v>
      </c>
      <c r="C51" s="64">
        <v>16.21</v>
      </c>
      <c r="D51" s="64">
        <v>14.81</v>
      </c>
      <c r="E51" s="64">
        <v>5.46</v>
      </c>
      <c r="F51" s="64">
        <v>14.02</v>
      </c>
      <c r="G51" s="64">
        <v>59.82</v>
      </c>
      <c r="H51" s="64">
        <v>5.6</v>
      </c>
      <c r="I51" s="64">
        <v>3.73</v>
      </c>
      <c r="J51" s="64">
        <v>0.17</v>
      </c>
      <c r="K51" s="64">
        <v>199.8</v>
      </c>
      <c r="L51" s="64">
        <v>27.37</v>
      </c>
      <c r="M51" s="64">
        <v>97.29</v>
      </c>
      <c r="N51" s="64">
        <v>755.5</v>
      </c>
      <c r="O51" s="64">
        <v>0</v>
      </c>
      <c r="P51" s="64">
        <v>0.47</v>
      </c>
      <c r="Q51" s="64">
        <v>9.1199999999999992</v>
      </c>
      <c r="R51" s="198"/>
      <c r="S51" s="198"/>
      <c r="T51" s="198"/>
      <c r="U51" s="198"/>
    </row>
    <row r="52" spans="1:21" s="12" customFormat="1" x14ac:dyDescent="0.25">
      <c r="A52" s="211" t="s">
        <v>867</v>
      </c>
      <c r="B52" s="64">
        <v>5.54</v>
      </c>
      <c r="C52" s="64">
        <v>16.05</v>
      </c>
      <c r="D52" s="64">
        <v>12.83</v>
      </c>
      <c r="E52" s="64">
        <v>5.38</v>
      </c>
      <c r="F52" s="64">
        <v>37</v>
      </c>
      <c r="G52" s="64">
        <v>59.82</v>
      </c>
      <c r="H52" s="64">
        <v>5.6</v>
      </c>
      <c r="I52" s="64">
        <v>3.4</v>
      </c>
      <c r="J52" s="64">
        <v>0.13</v>
      </c>
      <c r="K52" s="64">
        <v>288.36</v>
      </c>
      <c r="L52" s="64">
        <v>28.57</v>
      </c>
      <c r="M52" s="64">
        <v>92.49</v>
      </c>
      <c r="N52" s="64">
        <v>682.9</v>
      </c>
      <c r="O52" s="64">
        <v>0</v>
      </c>
      <c r="P52" s="64">
        <v>0.45</v>
      </c>
      <c r="Q52" s="64">
        <v>9.0299999999999994</v>
      </c>
      <c r="R52" s="198"/>
      <c r="S52" s="198"/>
      <c r="T52" s="198"/>
      <c r="U52" s="198"/>
    </row>
    <row r="53" spans="1:21" s="12" customFormat="1" x14ac:dyDescent="0.25">
      <c r="A53" s="211" t="s">
        <v>868</v>
      </c>
      <c r="B53" s="64">
        <v>12</v>
      </c>
      <c r="C53" s="64">
        <v>22.49</v>
      </c>
      <c r="D53" s="64">
        <v>21.38</v>
      </c>
      <c r="E53" s="64">
        <v>5.49</v>
      </c>
      <c r="F53" s="64">
        <v>25.26</v>
      </c>
      <c r="G53" s="64">
        <v>40.28</v>
      </c>
      <c r="H53" s="64">
        <v>12.99</v>
      </c>
      <c r="I53" s="64">
        <v>2.91</v>
      </c>
      <c r="J53" s="64">
        <v>0.12</v>
      </c>
      <c r="K53" s="64">
        <v>67.23</v>
      </c>
      <c r="L53" s="64">
        <v>29.24</v>
      </c>
      <c r="M53" s="64">
        <v>88.56</v>
      </c>
      <c r="N53" s="64">
        <v>849.2</v>
      </c>
      <c r="O53" s="64">
        <v>0</v>
      </c>
      <c r="P53" s="64">
        <v>0.47</v>
      </c>
      <c r="Q53" s="64">
        <v>9.06</v>
      </c>
      <c r="R53" s="198"/>
      <c r="S53" s="198"/>
      <c r="T53" s="198"/>
      <c r="U53" s="198"/>
    </row>
    <row r="54" spans="1:21" s="12" customFormat="1" x14ac:dyDescent="0.25">
      <c r="A54" s="211" t="s">
        <v>869</v>
      </c>
      <c r="B54" s="64">
        <v>7.66</v>
      </c>
      <c r="C54" s="64">
        <v>22.74</v>
      </c>
      <c r="D54" s="64">
        <v>18.02</v>
      </c>
      <c r="E54" s="64">
        <v>5.29</v>
      </c>
      <c r="F54" s="64">
        <v>7.82</v>
      </c>
      <c r="G54" s="64">
        <v>38.880000000000003</v>
      </c>
      <c r="H54" s="64">
        <v>12.99</v>
      </c>
      <c r="I54" s="64">
        <v>2.83</v>
      </c>
      <c r="J54" s="64">
        <v>0.33</v>
      </c>
      <c r="K54" s="64">
        <v>338.2</v>
      </c>
      <c r="L54" s="64">
        <v>30.65</v>
      </c>
      <c r="M54" s="64">
        <v>79.709999999999994</v>
      </c>
      <c r="N54" s="64">
        <v>543.9</v>
      </c>
      <c r="O54" s="64">
        <v>0</v>
      </c>
      <c r="P54" s="64">
        <v>0.5</v>
      </c>
      <c r="Q54" s="64">
        <v>9.15</v>
      </c>
      <c r="R54" s="198"/>
      <c r="S54" s="198"/>
      <c r="T54" s="198"/>
      <c r="U54" s="198"/>
    </row>
    <row r="55" spans="1:21" s="12" customFormat="1" x14ac:dyDescent="0.25">
      <c r="A55" s="211" t="s">
        <v>870</v>
      </c>
      <c r="B55" s="64">
        <v>7.62</v>
      </c>
      <c r="C55" s="64">
        <v>23.54</v>
      </c>
      <c r="D55" s="64">
        <v>18.399999999999999</v>
      </c>
      <c r="E55" s="64">
        <v>5</v>
      </c>
      <c r="F55" s="64">
        <v>50.31</v>
      </c>
      <c r="G55" s="64">
        <v>38.880000000000003</v>
      </c>
      <c r="H55" s="64">
        <v>12.99</v>
      </c>
      <c r="I55" s="64">
        <v>2.57</v>
      </c>
      <c r="J55" s="64">
        <v>0.27</v>
      </c>
      <c r="K55" s="64">
        <v>326.16000000000003</v>
      </c>
      <c r="L55" s="64">
        <v>30.7</v>
      </c>
      <c r="M55" s="64">
        <v>79.72</v>
      </c>
      <c r="N55" s="64">
        <v>758.6</v>
      </c>
      <c r="O55" s="64">
        <v>0</v>
      </c>
      <c r="P55" s="64">
        <v>0.46</v>
      </c>
      <c r="Q55" s="64">
        <v>9.09</v>
      </c>
      <c r="R55" s="198"/>
      <c r="S55" s="198"/>
      <c r="T55" s="198"/>
      <c r="U55" s="198"/>
    </row>
    <row r="56" spans="1:21" s="12" customFormat="1" x14ac:dyDescent="0.25">
      <c r="A56" s="211" t="s">
        <v>871</v>
      </c>
      <c r="B56" s="64">
        <v>9.51</v>
      </c>
      <c r="C56" s="64">
        <v>19.38</v>
      </c>
      <c r="D56" s="64">
        <v>17.75</v>
      </c>
      <c r="E56" s="64">
        <v>5.14</v>
      </c>
      <c r="F56" s="64">
        <v>22.26</v>
      </c>
      <c r="G56" s="64">
        <v>38.880000000000003</v>
      </c>
      <c r="H56" s="64">
        <v>12.99</v>
      </c>
      <c r="I56" s="64">
        <v>2.33</v>
      </c>
      <c r="J56" s="64">
        <v>0.74</v>
      </c>
      <c r="K56" s="64">
        <v>343.5</v>
      </c>
      <c r="L56" s="64">
        <v>31</v>
      </c>
      <c r="M56" s="64">
        <v>76.59</v>
      </c>
      <c r="N56" s="64">
        <v>557</v>
      </c>
      <c r="O56" s="64">
        <v>0</v>
      </c>
      <c r="P56" s="64">
        <v>0.46</v>
      </c>
      <c r="Q56" s="64">
        <v>9.08</v>
      </c>
      <c r="R56" s="198"/>
      <c r="S56" s="198"/>
      <c r="T56" s="198"/>
      <c r="U56" s="198"/>
    </row>
    <row r="57" spans="1:21" s="12" customFormat="1" x14ac:dyDescent="0.25">
      <c r="A57" s="211" t="s">
        <v>872</v>
      </c>
      <c r="B57" s="64">
        <v>7.28</v>
      </c>
      <c r="C57" s="64">
        <v>17.489999999999998</v>
      </c>
      <c r="D57" s="64">
        <v>14.98</v>
      </c>
      <c r="E57" s="64">
        <v>5.19</v>
      </c>
      <c r="F57" s="64">
        <v>14.62</v>
      </c>
      <c r="G57" s="64">
        <v>62.97</v>
      </c>
      <c r="H57" s="64">
        <v>10.53</v>
      </c>
      <c r="I57" s="64">
        <v>2.3199999999999998</v>
      </c>
      <c r="J57" s="64">
        <v>0.14000000000000001</v>
      </c>
      <c r="K57" s="64">
        <v>134.52000000000001</v>
      </c>
      <c r="L57" s="64">
        <v>30.63</v>
      </c>
      <c r="M57" s="64">
        <v>75.099999999999994</v>
      </c>
      <c r="N57" s="64">
        <v>875.7</v>
      </c>
      <c r="O57" s="64">
        <v>0</v>
      </c>
      <c r="P57" s="64">
        <v>0.36</v>
      </c>
      <c r="Q57" s="64">
        <v>9.09</v>
      </c>
      <c r="R57" s="198"/>
      <c r="S57" s="198"/>
      <c r="T57" s="198"/>
      <c r="U57" s="198"/>
    </row>
    <row r="58" spans="1:21" s="12" customFormat="1" x14ac:dyDescent="0.25">
      <c r="A58" s="211" t="s">
        <v>873</v>
      </c>
      <c r="B58" s="64">
        <v>8.4600000000000009</v>
      </c>
      <c r="C58" s="64">
        <v>17.05</v>
      </c>
      <c r="D58" s="64">
        <v>15.69</v>
      </c>
      <c r="E58" s="64">
        <v>5.24</v>
      </c>
      <c r="F58" s="64">
        <v>19.68</v>
      </c>
      <c r="G58" s="64">
        <v>64.69</v>
      </c>
      <c r="H58" s="64">
        <v>10.53</v>
      </c>
      <c r="I58" s="64">
        <v>2.2999999999999998</v>
      </c>
      <c r="J58" s="64">
        <v>0.04</v>
      </c>
      <c r="K58" s="64">
        <v>60.64</v>
      </c>
      <c r="L58" s="64">
        <v>30.29</v>
      </c>
      <c r="M58" s="64">
        <v>75.25</v>
      </c>
      <c r="N58" s="64">
        <v>807.3</v>
      </c>
      <c r="O58" s="64">
        <v>0</v>
      </c>
      <c r="P58" s="64">
        <v>0.38</v>
      </c>
      <c r="Q58" s="64">
        <v>9.1</v>
      </c>
      <c r="R58" s="198"/>
      <c r="S58" s="198"/>
      <c r="T58" s="198"/>
      <c r="U58" s="198"/>
    </row>
    <row r="59" spans="1:21" s="12" customFormat="1" x14ac:dyDescent="0.25">
      <c r="A59" s="211" t="s">
        <v>874</v>
      </c>
      <c r="B59" s="64">
        <v>9.8800000000000008</v>
      </c>
      <c r="C59" s="64">
        <v>17.07</v>
      </c>
      <c r="D59" s="64">
        <v>16.84</v>
      </c>
      <c r="E59" s="64">
        <v>5.53</v>
      </c>
      <c r="F59" s="64">
        <v>19.41</v>
      </c>
      <c r="G59" s="64">
        <v>64.69</v>
      </c>
      <c r="H59" s="64">
        <v>10.53</v>
      </c>
      <c r="I59" s="64">
        <v>2.2400000000000002</v>
      </c>
      <c r="J59" s="64">
        <v>0.75</v>
      </c>
      <c r="K59" s="64">
        <v>336.02</v>
      </c>
      <c r="L59" s="64">
        <v>32.11</v>
      </c>
      <c r="M59" s="64">
        <v>68.27</v>
      </c>
      <c r="N59" s="64">
        <v>784.4</v>
      </c>
      <c r="O59" s="64">
        <v>0</v>
      </c>
      <c r="P59" s="64">
        <v>0.45</v>
      </c>
      <c r="Q59" s="64">
        <v>9.1</v>
      </c>
      <c r="R59" s="198"/>
      <c r="S59" s="198"/>
      <c r="T59" s="198"/>
      <c r="U59" s="198"/>
    </row>
    <row r="60" spans="1:21" s="12" customFormat="1" x14ac:dyDescent="0.25">
      <c r="A60" s="211" t="s">
        <v>875</v>
      </c>
      <c r="B60" s="64">
        <v>7.57</v>
      </c>
      <c r="C60" s="64">
        <v>15.89</v>
      </c>
      <c r="D60" s="64">
        <v>14.38</v>
      </c>
      <c r="E60" s="64">
        <v>5.49</v>
      </c>
      <c r="F60" s="64">
        <v>17.7</v>
      </c>
      <c r="G60" s="64">
        <v>64.69</v>
      </c>
      <c r="H60" s="64">
        <v>10.53</v>
      </c>
      <c r="I60" s="64">
        <v>2.17</v>
      </c>
      <c r="J60" s="64">
        <v>0.06</v>
      </c>
      <c r="K60" s="64">
        <v>242.73</v>
      </c>
      <c r="L60" s="64">
        <v>31.36</v>
      </c>
      <c r="M60" s="64">
        <v>67.8</v>
      </c>
      <c r="N60" s="64">
        <v>319.39999999999998</v>
      </c>
      <c r="O60" s="64">
        <v>0</v>
      </c>
      <c r="P60" s="64">
        <v>0.36</v>
      </c>
      <c r="Q60" s="64">
        <v>9.1199999999999992</v>
      </c>
      <c r="R60" s="198"/>
      <c r="S60" s="198"/>
      <c r="T60" s="198"/>
      <c r="U60" s="198"/>
    </row>
    <row r="61" spans="1:21" s="12" customFormat="1" x14ac:dyDescent="0.25">
      <c r="A61" s="211" t="s">
        <v>876</v>
      </c>
      <c r="B61" s="64">
        <v>9.49</v>
      </c>
      <c r="C61" s="64">
        <v>23.55</v>
      </c>
      <c r="D61" s="64">
        <v>19.920000000000002</v>
      </c>
      <c r="E61" s="64">
        <v>5.6</v>
      </c>
      <c r="F61" s="64">
        <v>12.43</v>
      </c>
      <c r="G61" s="64">
        <v>57.84</v>
      </c>
      <c r="H61" s="64">
        <v>8.5299999999999994</v>
      </c>
      <c r="I61" s="64">
        <v>1.99</v>
      </c>
      <c r="J61" s="64">
        <v>0.48</v>
      </c>
      <c r="K61" s="64">
        <v>325.76</v>
      </c>
      <c r="L61" s="64">
        <v>30.01</v>
      </c>
      <c r="M61" s="64">
        <v>79.319999999999993</v>
      </c>
      <c r="N61" s="64">
        <v>151.1</v>
      </c>
      <c r="O61" s="64">
        <v>0</v>
      </c>
      <c r="P61" s="64">
        <v>0.46</v>
      </c>
      <c r="Q61" s="64">
        <v>9.14</v>
      </c>
      <c r="R61" s="198"/>
      <c r="S61" s="198"/>
      <c r="T61" s="198"/>
      <c r="U61" s="198"/>
    </row>
    <row r="62" spans="1:21" s="12" customFormat="1" x14ac:dyDescent="0.25">
      <c r="A62" s="211" t="s">
        <v>877</v>
      </c>
      <c r="B62" s="64">
        <v>6.31</v>
      </c>
      <c r="C62" s="64">
        <v>20.21</v>
      </c>
      <c r="D62" s="64">
        <v>15.62</v>
      </c>
      <c r="E62" s="64">
        <v>5.74</v>
      </c>
      <c r="F62" s="64">
        <v>12.55</v>
      </c>
      <c r="G62" s="64">
        <v>57.35</v>
      </c>
      <c r="H62" s="64">
        <v>8.5299999999999994</v>
      </c>
      <c r="I62" s="64">
        <v>1.72</v>
      </c>
      <c r="J62" s="64">
        <v>0.13</v>
      </c>
      <c r="K62" s="64">
        <v>258.60000000000002</v>
      </c>
      <c r="L62" s="64">
        <v>29.58</v>
      </c>
      <c r="M62" s="64">
        <v>78.5</v>
      </c>
      <c r="N62" s="64">
        <v>286.39999999999998</v>
      </c>
      <c r="O62" s="64">
        <v>0</v>
      </c>
      <c r="P62" s="64">
        <v>0.38</v>
      </c>
      <c r="Q62" s="64">
        <v>9.16</v>
      </c>
      <c r="R62" s="198"/>
      <c r="S62" s="198"/>
      <c r="T62" s="198"/>
      <c r="U62" s="198"/>
    </row>
    <row r="63" spans="1:21" s="12" customFormat="1" x14ac:dyDescent="0.25">
      <c r="A63" s="211" t="s">
        <v>878</v>
      </c>
      <c r="B63" s="64">
        <v>6.46</v>
      </c>
      <c r="C63" s="64">
        <v>18.579999999999998</v>
      </c>
      <c r="D63" s="64">
        <v>14.89</v>
      </c>
      <c r="E63" s="64">
        <v>6.37</v>
      </c>
      <c r="F63" s="64">
        <v>18.57</v>
      </c>
      <c r="G63" s="64">
        <v>57.35</v>
      </c>
      <c r="H63" s="64">
        <v>8.5299999999999994</v>
      </c>
      <c r="I63" s="64">
        <v>1.62</v>
      </c>
      <c r="J63" s="64">
        <v>0.76</v>
      </c>
      <c r="K63" s="64">
        <v>139.69999999999999</v>
      </c>
      <c r="L63" s="64">
        <v>29.21</v>
      </c>
      <c r="M63" s="64">
        <v>79.760000000000005</v>
      </c>
      <c r="N63" s="64">
        <v>310.8</v>
      </c>
      <c r="O63" s="64">
        <v>0</v>
      </c>
      <c r="P63" s="64">
        <v>0.27</v>
      </c>
      <c r="Q63" s="64">
        <v>9.17</v>
      </c>
      <c r="R63" s="198"/>
      <c r="S63" s="198"/>
      <c r="T63" s="198"/>
      <c r="U63" s="198"/>
    </row>
    <row r="64" spans="1:21" s="12" customFormat="1" x14ac:dyDescent="0.25">
      <c r="A64" s="211" t="s">
        <v>879</v>
      </c>
      <c r="B64" s="64">
        <v>10.68</v>
      </c>
      <c r="C64" s="64">
        <v>23.18</v>
      </c>
      <c r="D64" s="64">
        <v>20.67</v>
      </c>
      <c r="E64" s="64">
        <v>5.63</v>
      </c>
      <c r="F64" s="64">
        <v>16.16</v>
      </c>
      <c r="G64" s="64">
        <v>57.35</v>
      </c>
      <c r="H64" s="64">
        <v>8.5299999999999994</v>
      </c>
      <c r="I64" s="64">
        <v>1.62</v>
      </c>
      <c r="J64" s="64">
        <v>0.12</v>
      </c>
      <c r="K64" s="64">
        <v>345.14</v>
      </c>
      <c r="L64" s="64">
        <v>29.42</v>
      </c>
      <c r="M64" s="64">
        <v>80.33</v>
      </c>
      <c r="N64" s="64">
        <v>149.9</v>
      </c>
      <c r="O64" s="64">
        <v>0</v>
      </c>
      <c r="P64" s="64">
        <v>0.52</v>
      </c>
      <c r="Q64" s="64">
        <v>9.17</v>
      </c>
      <c r="R64" s="198"/>
      <c r="S64" s="198"/>
      <c r="T64" s="198"/>
      <c r="U64" s="198"/>
    </row>
    <row r="65" spans="1:21" s="12" customFormat="1" x14ac:dyDescent="0.25">
      <c r="A65" s="211" t="s">
        <v>880</v>
      </c>
      <c r="B65" s="64">
        <v>6.54</v>
      </c>
      <c r="C65" s="64">
        <v>17.91</v>
      </c>
      <c r="D65" s="64">
        <v>14.6</v>
      </c>
      <c r="E65" s="64">
        <v>5.82</v>
      </c>
      <c r="F65" s="64">
        <v>19.14</v>
      </c>
      <c r="G65" s="64">
        <v>42.15</v>
      </c>
      <c r="H65" s="64">
        <v>7.13</v>
      </c>
      <c r="I65" s="64">
        <v>1.72</v>
      </c>
      <c r="J65" s="64">
        <v>0.3</v>
      </c>
      <c r="K65" s="64">
        <v>122.53</v>
      </c>
      <c r="L65" s="64">
        <v>28.36</v>
      </c>
      <c r="M65" s="64">
        <v>85.01</v>
      </c>
      <c r="N65" s="64">
        <v>135.30000000000001</v>
      </c>
      <c r="O65" s="64">
        <v>0</v>
      </c>
      <c r="P65" s="64">
        <v>0.39</v>
      </c>
      <c r="Q65" s="64">
        <v>9.15</v>
      </c>
      <c r="R65" s="198"/>
      <c r="S65" s="198"/>
      <c r="T65" s="198"/>
      <c r="U65" s="198"/>
    </row>
    <row r="66" spans="1:21" s="12" customFormat="1" x14ac:dyDescent="0.25">
      <c r="A66" s="211" t="s">
        <v>881</v>
      </c>
      <c r="B66" s="64">
        <v>5.66</v>
      </c>
      <c r="C66" s="64">
        <v>15.35</v>
      </c>
      <c r="D66" s="64">
        <v>12.56</v>
      </c>
      <c r="E66" s="64">
        <v>5.5</v>
      </c>
      <c r="F66" s="64">
        <v>16.79</v>
      </c>
      <c r="G66" s="64">
        <v>41.06</v>
      </c>
      <c r="H66" s="64">
        <v>7.13</v>
      </c>
      <c r="I66" s="64">
        <v>1.68</v>
      </c>
      <c r="J66" s="64">
        <v>0.7</v>
      </c>
      <c r="K66" s="64">
        <v>147.38</v>
      </c>
      <c r="L66" s="64">
        <v>28.1</v>
      </c>
      <c r="M66" s="64">
        <v>84.63</v>
      </c>
      <c r="N66" s="64">
        <v>173.6</v>
      </c>
      <c r="O66" s="64">
        <v>0</v>
      </c>
      <c r="P66" s="64">
        <v>0.3</v>
      </c>
      <c r="Q66" s="64">
        <v>9.1300000000000008</v>
      </c>
      <c r="R66" s="198"/>
      <c r="S66" s="198"/>
      <c r="T66" s="198"/>
      <c r="U66" s="198"/>
    </row>
    <row r="67" spans="1:21" s="12" customFormat="1" x14ac:dyDescent="0.25">
      <c r="A67" s="211" t="s">
        <v>882</v>
      </c>
      <c r="B67" s="64">
        <v>6.4</v>
      </c>
      <c r="C67" s="64">
        <v>15.98</v>
      </c>
      <c r="D67" s="64">
        <v>13.49</v>
      </c>
      <c r="E67" s="64">
        <v>5.41</v>
      </c>
      <c r="F67" s="64">
        <v>13.31</v>
      </c>
      <c r="G67" s="64">
        <v>41.06</v>
      </c>
      <c r="H67" s="64">
        <v>7.13</v>
      </c>
      <c r="I67" s="64">
        <v>1.6</v>
      </c>
      <c r="J67" s="64">
        <v>1.01</v>
      </c>
      <c r="K67" s="64">
        <v>148.66999999999999</v>
      </c>
      <c r="L67" s="64">
        <v>27.77</v>
      </c>
      <c r="M67" s="64">
        <v>90.22</v>
      </c>
      <c r="N67" s="64">
        <v>171.9</v>
      </c>
      <c r="O67" s="64">
        <v>0</v>
      </c>
      <c r="P67" s="64">
        <v>0.37</v>
      </c>
      <c r="Q67" s="64">
        <v>9.1</v>
      </c>
      <c r="R67" s="198"/>
      <c r="S67" s="198"/>
      <c r="T67" s="198"/>
      <c r="U67" s="198"/>
    </row>
    <row r="68" spans="1:21" s="12" customFormat="1" x14ac:dyDescent="0.25">
      <c r="A68" s="211" t="s">
        <v>883</v>
      </c>
      <c r="B68" s="64">
        <v>7.14</v>
      </c>
      <c r="C68" s="64">
        <v>15.92</v>
      </c>
      <c r="D68" s="64">
        <v>14.05</v>
      </c>
      <c r="E68" s="64">
        <v>5.12</v>
      </c>
      <c r="F68" s="64">
        <v>15.43</v>
      </c>
      <c r="G68" s="64">
        <v>41.06</v>
      </c>
      <c r="H68" s="64">
        <v>7.13</v>
      </c>
      <c r="I68" s="64">
        <v>1.6</v>
      </c>
      <c r="J68" s="64">
        <v>1.04</v>
      </c>
      <c r="K68" s="64">
        <v>141.4</v>
      </c>
      <c r="L68" s="64">
        <v>27.19</v>
      </c>
      <c r="M68" s="64">
        <v>96.64</v>
      </c>
      <c r="N68" s="64">
        <v>129.6</v>
      </c>
      <c r="O68" s="64">
        <v>0</v>
      </c>
      <c r="P68" s="64">
        <v>0.34</v>
      </c>
      <c r="Q68" s="64">
        <v>9.07</v>
      </c>
      <c r="R68" s="198"/>
      <c r="S68" s="198"/>
      <c r="T68" s="198"/>
      <c r="U68" s="198"/>
    </row>
    <row r="69" spans="1:21" s="12" customFormat="1" x14ac:dyDescent="0.25">
      <c r="A69" s="211" t="s">
        <v>884</v>
      </c>
      <c r="B69" s="64">
        <v>7.85</v>
      </c>
      <c r="C69" s="64">
        <v>17.75</v>
      </c>
      <c r="D69" s="64">
        <v>15.56</v>
      </c>
      <c r="E69" s="64">
        <v>5.56</v>
      </c>
      <c r="F69" s="64">
        <v>20.74</v>
      </c>
      <c r="G69" s="64">
        <v>60.7</v>
      </c>
      <c r="H69" s="64">
        <v>13.64</v>
      </c>
      <c r="I69" s="64">
        <v>1.6</v>
      </c>
      <c r="J69" s="64">
        <v>0.9</v>
      </c>
      <c r="K69" s="64">
        <v>136</v>
      </c>
      <c r="L69" s="64">
        <v>27.21</v>
      </c>
      <c r="M69" s="64">
        <v>94.06</v>
      </c>
      <c r="N69" s="64">
        <v>144.5</v>
      </c>
      <c r="O69" s="64">
        <v>0</v>
      </c>
      <c r="P69" s="64">
        <v>0.26</v>
      </c>
      <c r="Q69" s="64">
        <v>9.06</v>
      </c>
      <c r="R69" s="198"/>
      <c r="S69" s="198"/>
      <c r="T69" s="198"/>
      <c r="U69" s="198"/>
    </row>
    <row r="70" spans="1:21" s="12" customFormat="1" x14ac:dyDescent="0.25">
      <c r="A70" s="211" t="s">
        <v>885</v>
      </c>
      <c r="B70" s="64">
        <v>6.74</v>
      </c>
      <c r="C70" s="64">
        <v>14.3</v>
      </c>
      <c r="D70" s="64">
        <v>12.88</v>
      </c>
      <c r="E70" s="64">
        <v>5.08</v>
      </c>
      <c r="F70" s="64">
        <v>25.21</v>
      </c>
      <c r="G70" s="64">
        <v>62.1</v>
      </c>
      <c r="H70" s="64">
        <v>13.64</v>
      </c>
      <c r="I70" s="64">
        <v>1.59</v>
      </c>
      <c r="J70" s="64">
        <v>0.65</v>
      </c>
      <c r="K70" s="64">
        <v>135.24</v>
      </c>
      <c r="L70" s="64">
        <v>27.3</v>
      </c>
      <c r="M70" s="64">
        <v>92.87</v>
      </c>
      <c r="N70" s="64">
        <v>126.3</v>
      </c>
      <c r="O70" s="64">
        <v>0</v>
      </c>
      <c r="P70" s="64">
        <v>0.34</v>
      </c>
      <c r="Q70" s="64">
        <v>9.0500000000000007</v>
      </c>
      <c r="R70" s="198"/>
      <c r="S70" s="198"/>
      <c r="T70" s="198"/>
      <c r="U70" s="198"/>
    </row>
    <row r="71" spans="1:21" s="12" customFormat="1" x14ac:dyDescent="0.25">
      <c r="A71" s="211" t="s">
        <v>886</v>
      </c>
      <c r="B71" s="64">
        <v>8.18</v>
      </c>
      <c r="C71" s="64">
        <v>17.89</v>
      </c>
      <c r="D71" s="64">
        <v>15.91</v>
      </c>
      <c r="E71" s="64">
        <v>5.38</v>
      </c>
      <c r="F71" s="64">
        <v>19.21</v>
      </c>
      <c r="G71" s="64">
        <v>62.1</v>
      </c>
      <c r="H71" s="64">
        <v>13.64</v>
      </c>
      <c r="I71" s="64">
        <v>1.57</v>
      </c>
      <c r="J71" s="64">
        <v>0.97</v>
      </c>
      <c r="K71" s="64">
        <v>136.22999999999999</v>
      </c>
      <c r="L71" s="64">
        <v>27.36</v>
      </c>
      <c r="M71" s="64">
        <v>91.12</v>
      </c>
      <c r="N71" s="64">
        <v>118</v>
      </c>
      <c r="O71" s="64">
        <v>0</v>
      </c>
      <c r="P71" s="64">
        <v>0.24</v>
      </c>
      <c r="Q71" s="64">
        <v>9.0500000000000007</v>
      </c>
      <c r="R71" s="198"/>
      <c r="S71" s="198"/>
      <c r="T71" s="198"/>
      <c r="U71" s="198"/>
    </row>
    <row r="72" spans="1:21" s="12" customFormat="1" x14ac:dyDescent="0.25">
      <c r="A72" s="211" t="s">
        <v>887</v>
      </c>
      <c r="B72" s="64">
        <v>15.7</v>
      </c>
      <c r="C72" s="64">
        <v>28.72</v>
      </c>
      <c r="D72" s="64">
        <v>27.6</v>
      </c>
      <c r="E72" s="64">
        <v>4.08</v>
      </c>
      <c r="F72" s="64">
        <v>16.05</v>
      </c>
      <c r="G72" s="64">
        <v>62.1</v>
      </c>
      <c r="H72" s="64">
        <v>13.64</v>
      </c>
      <c r="I72" s="64">
        <v>1.55</v>
      </c>
      <c r="J72" s="64">
        <v>0.27</v>
      </c>
      <c r="K72" s="64">
        <v>145.75</v>
      </c>
      <c r="L72" s="64">
        <v>27.45</v>
      </c>
      <c r="M72" s="64">
        <v>89.82</v>
      </c>
      <c r="N72" s="64">
        <v>111.4</v>
      </c>
      <c r="O72" s="64">
        <v>0</v>
      </c>
      <c r="P72" s="64">
        <v>0.16</v>
      </c>
      <c r="Q72" s="64">
        <v>9.0500000000000007</v>
      </c>
      <c r="R72" s="198"/>
      <c r="S72" s="198"/>
      <c r="T72" s="198"/>
      <c r="U72" s="198"/>
    </row>
    <row r="73" spans="1:21" s="12" customFormat="1" x14ac:dyDescent="0.25">
      <c r="A73" s="211" t="s">
        <v>888</v>
      </c>
      <c r="B73" s="64">
        <v>6.45</v>
      </c>
      <c r="C73" s="64">
        <v>17.239999999999998</v>
      </c>
      <c r="D73" s="64">
        <v>14.18</v>
      </c>
      <c r="E73" s="64">
        <v>3.97</v>
      </c>
      <c r="F73" s="64">
        <v>14.96</v>
      </c>
      <c r="G73" s="64">
        <v>53.4</v>
      </c>
      <c r="H73" s="64">
        <v>10.7</v>
      </c>
      <c r="I73" s="64">
        <v>1.53</v>
      </c>
      <c r="J73" s="64">
        <v>0.67</v>
      </c>
      <c r="K73" s="64">
        <v>139.01</v>
      </c>
      <c r="L73" s="64">
        <v>27.54</v>
      </c>
      <c r="M73" s="64">
        <v>89.91</v>
      </c>
      <c r="N73" s="64">
        <v>98.9</v>
      </c>
      <c r="O73" s="64">
        <v>0</v>
      </c>
      <c r="P73" s="64">
        <v>0.25</v>
      </c>
      <c r="Q73" s="64">
        <v>9.06</v>
      </c>
      <c r="R73" s="198"/>
      <c r="S73" s="198"/>
      <c r="T73" s="198"/>
      <c r="U73" s="198"/>
    </row>
    <row r="74" spans="1:21" s="12" customFormat="1" x14ac:dyDescent="0.25">
      <c r="A74" s="211" t="s">
        <v>889</v>
      </c>
      <c r="B74" s="64">
        <v>6.49</v>
      </c>
      <c r="C74" s="64">
        <v>16.440000000000001</v>
      </c>
      <c r="D74" s="64">
        <v>13.79</v>
      </c>
      <c r="E74" s="64">
        <v>4.3600000000000003</v>
      </c>
      <c r="F74" s="64">
        <v>17.55</v>
      </c>
      <c r="G74" s="64">
        <v>52.78</v>
      </c>
      <c r="H74" s="64">
        <v>10.7</v>
      </c>
      <c r="I74" s="64">
        <v>1.51</v>
      </c>
      <c r="J74" s="64">
        <v>0.68</v>
      </c>
      <c r="K74" s="64">
        <v>134.88999999999999</v>
      </c>
      <c r="L74" s="64">
        <v>27.46</v>
      </c>
      <c r="M74" s="64">
        <v>89.65</v>
      </c>
      <c r="N74" s="64">
        <v>98.9</v>
      </c>
      <c r="O74" s="64">
        <v>0</v>
      </c>
      <c r="P74" s="64">
        <v>0.21</v>
      </c>
      <c r="Q74" s="64">
        <v>9.06</v>
      </c>
      <c r="R74" s="198"/>
      <c r="S74" s="198"/>
      <c r="T74" s="198"/>
      <c r="U74" s="198"/>
    </row>
    <row r="75" spans="1:21" s="12" customFormat="1" x14ac:dyDescent="0.25">
      <c r="A75" s="211" t="s">
        <v>890</v>
      </c>
      <c r="B75" s="64">
        <v>6.12</v>
      </c>
      <c r="C75" s="64">
        <v>16.350000000000001</v>
      </c>
      <c r="D75" s="64">
        <v>13.45</v>
      </c>
      <c r="E75" s="64">
        <v>4.13</v>
      </c>
      <c r="F75" s="64">
        <v>16.16</v>
      </c>
      <c r="G75" s="64">
        <v>52.78</v>
      </c>
      <c r="H75" s="64">
        <v>10.7</v>
      </c>
      <c r="I75" s="64">
        <v>1.48</v>
      </c>
      <c r="J75" s="64">
        <v>1.01</v>
      </c>
      <c r="K75" s="64">
        <v>139.21</v>
      </c>
      <c r="L75" s="64">
        <v>27.33</v>
      </c>
      <c r="M75" s="64">
        <v>92.09</v>
      </c>
      <c r="N75" s="64">
        <v>88.7</v>
      </c>
      <c r="O75" s="64">
        <v>0</v>
      </c>
      <c r="P75" s="64">
        <v>0.21</v>
      </c>
      <c r="Q75" s="64">
        <v>9.0500000000000007</v>
      </c>
      <c r="R75" s="198"/>
      <c r="S75" s="198"/>
      <c r="T75" s="198"/>
      <c r="U75" s="198"/>
    </row>
    <row r="76" spans="1:21" s="12" customFormat="1" x14ac:dyDescent="0.25">
      <c r="A76" s="211" t="s">
        <v>891</v>
      </c>
      <c r="B76" s="64">
        <v>12.77</v>
      </c>
      <c r="C76" s="64">
        <v>23.29</v>
      </c>
      <c r="D76" s="64">
        <v>22.41</v>
      </c>
      <c r="E76" s="64">
        <v>3.95</v>
      </c>
      <c r="F76" s="64">
        <v>14.57</v>
      </c>
      <c r="G76" s="64">
        <v>52.78</v>
      </c>
      <c r="H76" s="64">
        <v>10.7</v>
      </c>
      <c r="I76" s="64">
        <v>1.45</v>
      </c>
      <c r="J76" s="64">
        <v>0.54</v>
      </c>
      <c r="K76" s="64">
        <v>124.08</v>
      </c>
      <c r="L76" s="64">
        <v>27.07</v>
      </c>
      <c r="M76" s="64">
        <v>96.38</v>
      </c>
      <c r="N76" s="64">
        <v>73.3</v>
      </c>
      <c r="O76" s="64">
        <v>0</v>
      </c>
      <c r="P76" s="64">
        <v>0.28000000000000003</v>
      </c>
      <c r="Q76" s="64">
        <v>9.0299999999999994</v>
      </c>
      <c r="R76" s="198"/>
      <c r="S76" s="198"/>
      <c r="T76" s="198"/>
      <c r="U76" s="198"/>
    </row>
    <row r="77" spans="1:21" s="12" customFormat="1" x14ac:dyDescent="0.25">
      <c r="A77" s="211" t="s">
        <v>892</v>
      </c>
      <c r="B77" s="64">
        <v>9.89</v>
      </c>
      <c r="C77" s="64">
        <v>24.54</v>
      </c>
      <c r="D77" s="64">
        <v>20.75</v>
      </c>
      <c r="E77" s="64">
        <v>4.3099999999999996</v>
      </c>
      <c r="F77" s="64">
        <v>14.77</v>
      </c>
      <c r="G77" s="64">
        <v>47.2</v>
      </c>
      <c r="H77" s="64">
        <v>8.65</v>
      </c>
      <c r="I77" s="64">
        <v>1.43</v>
      </c>
      <c r="J77" s="64">
        <v>0.55000000000000004</v>
      </c>
      <c r="K77" s="64">
        <v>140.38999999999999</v>
      </c>
      <c r="L77" s="64">
        <v>26.93</v>
      </c>
      <c r="M77" s="64">
        <v>97.39</v>
      </c>
      <c r="N77" s="64">
        <v>59</v>
      </c>
      <c r="O77" s="64">
        <v>0</v>
      </c>
      <c r="P77" s="64">
        <v>0.28999999999999998</v>
      </c>
      <c r="Q77" s="64">
        <v>9.0399999999999991</v>
      </c>
      <c r="R77" s="198"/>
      <c r="S77" s="198"/>
      <c r="T77" s="198"/>
      <c r="U77" s="198"/>
    </row>
    <row r="78" spans="1:21" s="12" customFormat="1" x14ac:dyDescent="0.25">
      <c r="A78" s="211" t="s">
        <v>893</v>
      </c>
      <c r="B78" s="64">
        <v>6.72</v>
      </c>
      <c r="C78" s="64">
        <v>18.399999999999999</v>
      </c>
      <c r="D78" s="64">
        <v>15</v>
      </c>
      <c r="E78" s="64">
        <v>4.37</v>
      </c>
      <c r="F78" s="64">
        <v>20.149999999999999</v>
      </c>
      <c r="G78" s="64">
        <v>46.81</v>
      </c>
      <c r="H78" s="64">
        <v>8.65</v>
      </c>
      <c r="I78" s="64">
        <v>1.42</v>
      </c>
      <c r="J78" s="64">
        <v>0.3</v>
      </c>
      <c r="K78" s="64">
        <v>139.54</v>
      </c>
      <c r="L78" s="64">
        <v>26.57</v>
      </c>
      <c r="M78" s="64">
        <v>97.41</v>
      </c>
      <c r="N78" s="64">
        <v>53.4</v>
      </c>
      <c r="O78" s="64">
        <v>0</v>
      </c>
      <c r="P78" s="64">
        <v>0.33</v>
      </c>
      <c r="Q78" s="64">
        <v>9.0500000000000007</v>
      </c>
      <c r="R78" s="198"/>
      <c r="S78" s="198"/>
      <c r="T78" s="198"/>
      <c r="U78" s="198"/>
    </row>
    <row r="79" spans="1:21" s="12" customFormat="1" x14ac:dyDescent="0.25">
      <c r="A79" s="211" t="s">
        <v>894</v>
      </c>
      <c r="B79" s="64">
        <v>36.619999999999997</v>
      </c>
      <c r="C79" s="64">
        <v>29.15</v>
      </c>
      <c r="D79" s="64">
        <v>44.6</v>
      </c>
      <c r="E79" s="64">
        <v>4.22</v>
      </c>
      <c r="F79" s="64">
        <v>14.52</v>
      </c>
      <c r="G79" s="64">
        <v>46.81</v>
      </c>
      <c r="H79" s="64">
        <v>8.65</v>
      </c>
      <c r="I79" s="64">
        <v>1.42</v>
      </c>
      <c r="J79" s="64">
        <v>0.06</v>
      </c>
      <c r="K79" s="64">
        <v>129.47</v>
      </c>
      <c r="L79" s="64">
        <v>26.22</v>
      </c>
      <c r="M79" s="64">
        <v>97.99</v>
      </c>
      <c r="N79" s="64">
        <v>48.7</v>
      </c>
      <c r="O79" s="64">
        <v>0</v>
      </c>
      <c r="P79" s="64">
        <v>0.37</v>
      </c>
      <c r="Q79" s="64">
        <v>9.0500000000000007</v>
      </c>
      <c r="R79" s="198"/>
      <c r="S79" s="198"/>
      <c r="T79" s="198"/>
      <c r="U79" s="198"/>
    </row>
    <row r="80" spans="1:21" s="12" customFormat="1" x14ac:dyDescent="0.25">
      <c r="A80" s="211" t="s">
        <v>895</v>
      </c>
      <c r="B80" s="64">
        <v>42.15</v>
      </c>
      <c r="C80" s="64">
        <v>26.02</v>
      </c>
      <c r="D80" s="64">
        <v>47.11</v>
      </c>
      <c r="E80" s="64">
        <v>4.07</v>
      </c>
      <c r="F80" s="64">
        <v>60.47</v>
      </c>
      <c r="G80" s="64">
        <v>46.81</v>
      </c>
      <c r="H80" s="64">
        <v>8.65</v>
      </c>
      <c r="I80" s="64">
        <v>1.43</v>
      </c>
      <c r="J80" s="64">
        <v>0.26</v>
      </c>
      <c r="K80" s="64">
        <v>118.76</v>
      </c>
      <c r="L80" s="64">
        <v>25.93</v>
      </c>
      <c r="M80" s="64">
        <v>97.47</v>
      </c>
      <c r="N80" s="64">
        <v>46.9</v>
      </c>
      <c r="O80" s="64">
        <v>0</v>
      </c>
      <c r="P80" s="64">
        <v>0.47</v>
      </c>
      <c r="Q80" s="64">
        <v>9.07</v>
      </c>
      <c r="R80" s="198"/>
      <c r="S80" s="198"/>
      <c r="T80" s="198"/>
      <c r="U80" s="198"/>
    </row>
    <row r="81" spans="1:26" s="12" customFormat="1" x14ac:dyDescent="0.25">
      <c r="A81" s="211" t="s">
        <v>896</v>
      </c>
      <c r="B81" s="64">
        <v>18.420000000000002</v>
      </c>
      <c r="C81" s="64">
        <v>23.07</v>
      </c>
      <c r="D81" s="64">
        <v>26.82</v>
      </c>
      <c r="E81" s="64">
        <v>4.09</v>
      </c>
      <c r="F81" s="64">
        <v>11.7</v>
      </c>
      <c r="G81" s="64">
        <v>48.38</v>
      </c>
      <c r="H81" s="64">
        <v>7.34</v>
      </c>
      <c r="I81" s="64">
        <v>1.45</v>
      </c>
      <c r="J81" s="64">
        <v>0.56999999999999995</v>
      </c>
      <c r="K81" s="64">
        <v>140.26</v>
      </c>
      <c r="L81" s="64">
        <v>25.8</v>
      </c>
      <c r="M81" s="64">
        <v>97.46</v>
      </c>
      <c r="N81" s="64">
        <v>46.5</v>
      </c>
      <c r="O81" s="64">
        <v>0</v>
      </c>
      <c r="P81" s="64">
        <v>0.44</v>
      </c>
      <c r="Q81" s="64">
        <v>9.1199999999999992</v>
      </c>
      <c r="R81" s="198"/>
      <c r="S81" s="198"/>
      <c r="T81" s="198"/>
      <c r="U81" s="198"/>
    </row>
    <row r="82" spans="1:26" s="12" customFormat="1" x14ac:dyDescent="0.25">
      <c r="A82" s="211" t="s">
        <v>897</v>
      </c>
      <c r="B82" s="64">
        <v>11.33</v>
      </c>
      <c r="C82" s="64">
        <v>24.69</v>
      </c>
      <c r="D82" s="64">
        <v>21.99</v>
      </c>
      <c r="E82" s="64">
        <v>3.98</v>
      </c>
      <c r="F82" s="64">
        <v>11.15</v>
      </c>
      <c r="G82" s="64">
        <v>48.49</v>
      </c>
      <c r="H82" s="64">
        <v>7.34</v>
      </c>
      <c r="I82" s="64">
        <v>1.45</v>
      </c>
      <c r="J82" s="64">
        <v>0.44</v>
      </c>
      <c r="K82" s="64">
        <v>137.71</v>
      </c>
      <c r="L82" s="64">
        <v>25.66</v>
      </c>
      <c r="M82" s="64">
        <v>97.47</v>
      </c>
      <c r="N82" s="64">
        <v>46.6</v>
      </c>
      <c r="O82" s="64">
        <v>0</v>
      </c>
      <c r="P82" s="64">
        <v>0.42</v>
      </c>
      <c r="Q82" s="64">
        <v>9.17</v>
      </c>
      <c r="R82" s="198"/>
      <c r="S82" s="198"/>
      <c r="T82" s="198"/>
      <c r="U82" s="198"/>
    </row>
    <row r="83" spans="1:26" s="12" customFormat="1" x14ac:dyDescent="0.25">
      <c r="A83" s="211" t="s">
        <v>898</v>
      </c>
      <c r="B83" s="64">
        <v>10.37</v>
      </c>
      <c r="C83" s="64">
        <v>23.93</v>
      </c>
      <c r="D83" s="64">
        <v>20.82</v>
      </c>
      <c r="E83" s="64">
        <v>4.0199999999999996</v>
      </c>
      <c r="F83" s="64">
        <v>14.53</v>
      </c>
      <c r="G83" s="64">
        <v>48.49</v>
      </c>
      <c r="H83" s="64">
        <v>7.34</v>
      </c>
      <c r="I83" s="64">
        <v>1.47</v>
      </c>
      <c r="J83" s="64">
        <v>0.46</v>
      </c>
      <c r="K83" s="64">
        <v>135.72999999999999</v>
      </c>
      <c r="L83" s="64">
        <v>25.48</v>
      </c>
      <c r="M83" s="64">
        <v>97.99</v>
      </c>
      <c r="N83" s="64">
        <v>46.5</v>
      </c>
      <c r="O83" s="64">
        <v>0</v>
      </c>
      <c r="P83" s="64">
        <v>0.45</v>
      </c>
      <c r="Q83" s="64">
        <v>9.18</v>
      </c>
      <c r="R83" s="198"/>
      <c r="S83" s="198"/>
      <c r="T83" s="198"/>
      <c r="U83" s="198"/>
    </row>
    <row r="84" spans="1:26" s="12" customFormat="1" x14ac:dyDescent="0.25">
      <c r="A84" s="211" t="s">
        <v>899</v>
      </c>
      <c r="B84" s="64">
        <v>7.58</v>
      </c>
      <c r="C84" s="64">
        <v>19.86</v>
      </c>
      <c r="D84" s="64">
        <v>16.45</v>
      </c>
      <c r="E84" s="64">
        <v>4.12</v>
      </c>
      <c r="F84" s="64">
        <v>16.440000000000001</v>
      </c>
      <c r="G84" s="64">
        <v>48.49</v>
      </c>
      <c r="H84" s="64">
        <v>7.34</v>
      </c>
      <c r="I84" s="64">
        <v>1.5</v>
      </c>
      <c r="J84" s="64">
        <v>0.41</v>
      </c>
      <c r="K84" s="64">
        <v>130.38</v>
      </c>
      <c r="L84" s="64">
        <v>25.38</v>
      </c>
      <c r="M84" s="64">
        <v>97.49</v>
      </c>
      <c r="N84" s="64">
        <v>46.5</v>
      </c>
      <c r="O84" s="64">
        <v>0</v>
      </c>
      <c r="P84" s="64">
        <v>0.43</v>
      </c>
      <c r="Q84" s="64">
        <v>9.19</v>
      </c>
      <c r="R84" s="198"/>
      <c r="S84" s="198"/>
      <c r="T84" s="198"/>
      <c r="U84" s="198"/>
    </row>
    <row r="85" spans="1:26" s="12" customFormat="1" x14ac:dyDescent="0.25">
      <c r="A85" s="211" t="s">
        <v>900</v>
      </c>
      <c r="B85" s="64">
        <v>7.96</v>
      </c>
      <c r="C85" s="64">
        <v>21.91</v>
      </c>
      <c r="D85" s="64">
        <v>17.829999999999998</v>
      </c>
      <c r="E85" s="64">
        <v>4.09</v>
      </c>
      <c r="F85" s="64">
        <v>14.68</v>
      </c>
      <c r="G85" s="64">
        <v>48.67</v>
      </c>
      <c r="H85" s="64">
        <v>8.3000000000000007</v>
      </c>
      <c r="I85" s="64">
        <v>1.53</v>
      </c>
      <c r="J85" s="64">
        <v>0.23</v>
      </c>
      <c r="K85" s="64">
        <v>139.94999999999999</v>
      </c>
      <c r="L85" s="64">
        <v>25.28</v>
      </c>
      <c r="M85" s="64">
        <v>97.47</v>
      </c>
      <c r="N85" s="64">
        <v>46.5</v>
      </c>
      <c r="O85" s="64">
        <v>0</v>
      </c>
      <c r="P85" s="64">
        <v>0.61</v>
      </c>
      <c r="Q85" s="64">
        <v>9.19</v>
      </c>
      <c r="R85" s="198"/>
      <c r="S85" s="198"/>
      <c r="T85" s="198"/>
      <c r="U85" s="198"/>
    </row>
    <row r="86" spans="1:26" s="12" customFormat="1" x14ac:dyDescent="0.25">
      <c r="A86" s="211" t="s">
        <v>901</v>
      </c>
      <c r="B86" s="64">
        <v>17.02</v>
      </c>
      <c r="C86" s="64">
        <v>29</v>
      </c>
      <c r="D86" s="64">
        <v>28.8</v>
      </c>
      <c r="E86" s="64">
        <v>4.13</v>
      </c>
      <c r="F86" s="64">
        <v>9.83</v>
      </c>
      <c r="G86" s="64">
        <v>48.68</v>
      </c>
      <c r="H86" s="64">
        <v>8.3000000000000007</v>
      </c>
      <c r="I86" s="64">
        <v>1.56</v>
      </c>
      <c r="J86" s="64">
        <v>7.0000000000000007E-2</v>
      </c>
      <c r="K86" s="64">
        <v>97.36</v>
      </c>
      <c r="L86" s="64">
        <v>25.26</v>
      </c>
      <c r="M86" s="64">
        <v>97.49</v>
      </c>
      <c r="N86" s="64">
        <v>46.5</v>
      </c>
      <c r="O86" s="64">
        <v>0</v>
      </c>
      <c r="P86" s="64">
        <v>0.66</v>
      </c>
      <c r="Q86" s="64">
        <v>9.1999999999999993</v>
      </c>
      <c r="R86" s="198"/>
      <c r="S86" s="198"/>
      <c r="T86" s="198"/>
      <c r="U86" s="198"/>
    </row>
    <row r="87" spans="1:26" s="12" customFormat="1" x14ac:dyDescent="0.25">
      <c r="A87" s="211" t="s">
        <v>902</v>
      </c>
      <c r="B87" s="64">
        <v>14.03</v>
      </c>
      <c r="C87" s="64">
        <v>31.69</v>
      </c>
      <c r="D87" s="64">
        <v>27.81</v>
      </c>
      <c r="E87" s="64">
        <v>4.2</v>
      </c>
      <c r="F87" s="64">
        <v>12.71</v>
      </c>
      <c r="G87" s="64">
        <v>48.68</v>
      </c>
      <c r="H87" s="64">
        <v>8.3000000000000007</v>
      </c>
      <c r="I87" s="64">
        <v>1.6</v>
      </c>
      <c r="J87" s="64">
        <v>0.08</v>
      </c>
      <c r="K87" s="64">
        <v>329.66</v>
      </c>
      <c r="L87" s="64">
        <v>24.99</v>
      </c>
      <c r="M87" s="64">
        <v>98.03</v>
      </c>
      <c r="N87" s="64">
        <v>46.8</v>
      </c>
      <c r="O87" s="64">
        <v>0</v>
      </c>
      <c r="P87" s="64">
        <v>0.9</v>
      </c>
      <c r="Q87" s="64">
        <v>9.1999999999999993</v>
      </c>
      <c r="R87" s="198"/>
      <c r="S87" s="198"/>
      <c r="T87" s="198"/>
      <c r="U87" s="198"/>
    </row>
    <row r="88" spans="1:26" s="12" customFormat="1" x14ac:dyDescent="0.25">
      <c r="A88" s="211" t="s">
        <v>903</v>
      </c>
      <c r="B88" s="64">
        <v>11.2</v>
      </c>
      <c r="C88" s="64">
        <v>27.63</v>
      </c>
      <c r="D88" s="64">
        <v>23.42</v>
      </c>
      <c r="E88" s="64">
        <v>4.3099999999999996</v>
      </c>
      <c r="F88" s="64">
        <v>11.9</v>
      </c>
      <c r="G88" s="64">
        <v>48.68</v>
      </c>
      <c r="H88" s="64">
        <v>8.3000000000000007</v>
      </c>
      <c r="I88" s="64">
        <v>1.63</v>
      </c>
      <c r="J88" s="64">
        <v>0.03</v>
      </c>
      <c r="K88" s="64">
        <v>330.32</v>
      </c>
      <c r="L88" s="64">
        <v>24.77</v>
      </c>
      <c r="M88" s="64">
        <v>97.6</v>
      </c>
      <c r="N88" s="64">
        <v>46.6</v>
      </c>
      <c r="O88" s="64">
        <v>0</v>
      </c>
      <c r="P88" s="64">
        <v>0.85</v>
      </c>
      <c r="Q88" s="64">
        <v>9.19</v>
      </c>
      <c r="R88" s="198"/>
      <c r="S88" s="198"/>
      <c r="T88" s="198"/>
      <c r="U88" s="198"/>
    </row>
    <row r="89" spans="1:26" s="12" customFormat="1" x14ac:dyDescent="0.25">
      <c r="A89" s="211" t="s">
        <v>904</v>
      </c>
      <c r="B89" s="64">
        <v>11.1</v>
      </c>
      <c r="C89" s="64">
        <v>22.97</v>
      </c>
      <c r="D89" s="64">
        <v>20.9</v>
      </c>
      <c r="E89" s="64">
        <v>4.03</v>
      </c>
      <c r="F89" s="64">
        <v>10.42</v>
      </c>
      <c r="G89" s="64">
        <v>55.47</v>
      </c>
      <c r="H89" s="64">
        <v>6.97</v>
      </c>
      <c r="I89" s="64">
        <v>1.68</v>
      </c>
      <c r="J89" s="64">
        <v>0.06</v>
      </c>
      <c r="K89" s="64">
        <v>322.43</v>
      </c>
      <c r="L89" s="64">
        <v>24.88</v>
      </c>
      <c r="M89" s="64">
        <v>98.1</v>
      </c>
      <c r="N89" s="64">
        <v>46.6</v>
      </c>
      <c r="O89" s="64">
        <v>0</v>
      </c>
      <c r="P89" s="64">
        <v>0.78</v>
      </c>
      <c r="Q89" s="64">
        <v>9.18</v>
      </c>
      <c r="R89" s="198"/>
      <c r="S89" s="198"/>
      <c r="T89" s="198"/>
      <c r="U89" s="198"/>
    </row>
    <row r="90" spans="1:26" s="12" customFormat="1" x14ac:dyDescent="0.25">
      <c r="A90" s="211" t="s">
        <v>905</v>
      </c>
      <c r="B90" s="64">
        <v>12</v>
      </c>
      <c r="C90" s="64">
        <v>25.48</v>
      </c>
      <c r="D90" s="64">
        <v>22.94</v>
      </c>
      <c r="E90" s="64">
        <v>4.6900000000000004</v>
      </c>
      <c r="F90" s="64">
        <v>12.73</v>
      </c>
      <c r="G90" s="64">
        <v>55.96</v>
      </c>
      <c r="H90" s="64">
        <v>6.97</v>
      </c>
      <c r="I90" s="64">
        <v>1.7</v>
      </c>
      <c r="J90" s="64">
        <v>7.0000000000000007E-2</v>
      </c>
      <c r="K90" s="64">
        <v>92.6</v>
      </c>
      <c r="L90" s="64">
        <v>24.78</v>
      </c>
      <c r="M90" s="64">
        <v>98.13</v>
      </c>
      <c r="N90" s="64">
        <v>46.4</v>
      </c>
      <c r="O90" s="64">
        <v>0</v>
      </c>
      <c r="P90" s="64">
        <v>0.85</v>
      </c>
      <c r="Q90" s="64">
        <v>9.16</v>
      </c>
      <c r="R90" s="198"/>
      <c r="S90" s="198"/>
      <c r="T90" s="198"/>
      <c r="U90" s="198"/>
    </row>
    <row r="91" spans="1:26" s="12" customFormat="1" x14ac:dyDescent="0.25">
      <c r="A91" s="211" t="s">
        <v>906</v>
      </c>
      <c r="B91" s="64">
        <v>26.29</v>
      </c>
      <c r="C91" s="64">
        <v>25.56</v>
      </c>
      <c r="D91" s="64">
        <v>34.43</v>
      </c>
      <c r="E91" s="64">
        <v>4.18</v>
      </c>
      <c r="F91" s="64">
        <v>11.92</v>
      </c>
      <c r="G91" s="64">
        <v>55.96</v>
      </c>
      <c r="H91" s="64">
        <v>6.97</v>
      </c>
      <c r="I91" s="64">
        <v>1.74</v>
      </c>
      <c r="J91" s="64">
        <v>0.06</v>
      </c>
      <c r="K91" s="64">
        <v>13.55</v>
      </c>
      <c r="L91" s="64">
        <v>24.68</v>
      </c>
      <c r="M91" s="64">
        <v>98.13</v>
      </c>
      <c r="N91" s="64">
        <v>46.5</v>
      </c>
      <c r="O91" s="64">
        <v>0</v>
      </c>
      <c r="P91" s="64">
        <v>1.39</v>
      </c>
      <c r="Q91" s="64">
        <v>9.16</v>
      </c>
      <c r="R91" s="198"/>
      <c r="S91" s="198"/>
      <c r="T91" s="198"/>
      <c r="U91" s="198"/>
    </row>
    <row r="92" spans="1:26" s="12" customFormat="1" x14ac:dyDescent="0.25">
      <c r="A92" s="211" t="s">
        <v>907</v>
      </c>
      <c r="B92" s="64">
        <v>11.82</v>
      </c>
      <c r="C92" s="64">
        <v>28.07</v>
      </c>
      <c r="D92" s="64">
        <v>24.14</v>
      </c>
      <c r="E92" s="64">
        <v>4.33</v>
      </c>
      <c r="F92" s="64">
        <v>11.01</v>
      </c>
      <c r="G92" s="64">
        <v>55.96</v>
      </c>
      <c r="H92" s="64">
        <v>6.97</v>
      </c>
      <c r="I92" s="64">
        <v>1.79</v>
      </c>
      <c r="J92" s="64">
        <v>0.12</v>
      </c>
      <c r="K92" s="64">
        <v>146.38</v>
      </c>
      <c r="L92" s="64">
        <v>24.57</v>
      </c>
      <c r="M92" s="64">
        <v>98.13</v>
      </c>
      <c r="N92" s="64">
        <v>46.4</v>
      </c>
      <c r="O92" s="64">
        <v>0</v>
      </c>
      <c r="P92" s="64">
        <v>0.68</v>
      </c>
      <c r="Q92" s="64">
        <v>9.15</v>
      </c>
      <c r="R92" s="198"/>
      <c r="S92" s="198"/>
      <c r="T92" s="198"/>
      <c r="U92" s="198"/>
    </row>
    <row r="93" spans="1:26" s="12" customFormat="1" x14ac:dyDescent="0.25">
      <c r="A93" s="211" t="s">
        <v>908</v>
      </c>
      <c r="B93" s="64">
        <v>12.34</v>
      </c>
      <c r="C93" s="64">
        <v>22.3</v>
      </c>
      <c r="D93" s="64">
        <v>21.55</v>
      </c>
      <c r="E93" s="64">
        <v>4.3499999999999996</v>
      </c>
      <c r="F93" s="64">
        <v>9.83</v>
      </c>
      <c r="G93" s="64">
        <v>67.48</v>
      </c>
      <c r="H93" s="64">
        <v>6.09</v>
      </c>
      <c r="I93" s="64">
        <v>1.84</v>
      </c>
      <c r="J93" s="64">
        <v>0.03</v>
      </c>
      <c r="K93" s="64">
        <v>256.7</v>
      </c>
      <c r="L93" s="64">
        <v>24.48</v>
      </c>
      <c r="M93" s="64">
        <v>98.14</v>
      </c>
      <c r="N93" s="64">
        <v>46.6</v>
      </c>
      <c r="O93" s="64">
        <v>0</v>
      </c>
      <c r="P93" s="64">
        <v>0.72</v>
      </c>
      <c r="Q93" s="64">
        <v>9.16</v>
      </c>
      <c r="R93" s="198"/>
      <c r="S93" s="198"/>
      <c r="T93" s="198"/>
      <c r="U93" s="198"/>
    </row>
    <row r="94" spans="1:26" s="12" customFormat="1" x14ac:dyDescent="0.25">
      <c r="A94" s="211" t="s">
        <v>909</v>
      </c>
      <c r="B94" s="64">
        <v>13.77</v>
      </c>
      <c r="C94" s="64">
        <v>23.98</v>
      </c>
      <c r="D94" s="64">
        <v>23.57</v>
      </c>
      <c r="E94" s="64">
        <v>4.18</v>
      </c>
      <c r="F94" s="64">
        <v>9.9700000000000006</v>
      </c>
      <c r="G94" s="64">
        <v>68.3</v>
      </c>
      <c r="H94" s="64">
        <v>6.09</v>
      </c>
      <c r="I94" s="64">
        <v>1.88</v>
      </c>
      <c r="J94" s="64">
        <v>0.1</v>
      </c>
      <c r="K94" s="64">
        <v>110.4</v>
      </c>
      <c r="L94" s="64">
        <v>24.4</v>
      </c>
      <c r="M94" s="64">
        <v>98.16</v>
      </c>
      <c r="N94" s="64">
        <v>46.6</v>
      </c>
      <c r="O94" s="64">
        <v>0</v>
      </c>
      <c r="P94" s="64">
        <v>0.9</v>
      </c>
      <c r="Q94" s="64">
        <v>9.17</v>
      </c>
      <c r="R94" s="198"/>
      <c r="S94" s="198"/>
      <c r="T94" s="198"/>
      <c r="U94" s="198"/>
    </row>
    <row r="95" spans="1:26" s="12" customFormat="1" x14ac:dyDescent="0.25">
      <c r="A95" s="211" t="s">
        <v>910</v>
      </c>
      <c r="B95" s="64">
        <v>10.15</v>
      </c>
      <c r="C95" s="64">
        <v>18.62</v>
      </c>
      <c r="D95" s="64">
        <v>17.86</v>
      </c>
      <c r="E95" s="64">
        <v>3.79</v>
      </c>
      <c r="F95" s="64">
        <v>9.09</v>
      </c>
      <c r="G95" s="64">
        <v>68.3</v>
      </c>
      <c r="H95" s="64">
        <v>6.09</v>
      </c>
      <c r="I95" s="64">
        <v>1.91</v>
      </c>
      <c r="J95" s="64">
        <v>0.52</v>
      </c>
      <c r="K95" s="64">
        <v>140.99</v>
      </c>
      <c r="L95" s="64">
        <v>24.32</v>
      </c>
      <c r="M95" s="64">
        <v>98.17</v>
      </c>
      <c r="N95" s="64">
        <v>46.3</v>
      </c>
      <c r="O95" s="64">
        <v>0</v>
      </c>
      <c r="P95" s="64">
        <v>0.59</v>
      </c>
      <c r="Q95" s="64">
        <v>9.17</v>
      </c>
      <c r="R95" s="198"/>
      <c r="S95" s="198"/>
      <c r="T95" s="198"/>
      <c r="U95" s="198"/>
    </row>
    <row r="96" spans="1:26" s="12" customFormat="1" x14ac:dyDescent="0.25">
      <c r="A96" s="211" t="s">
        <v>911</v>
      </c>
      <c r="B96" s="64">
        <v>9.49</v>
      </c>
      <c r="C96" s="64">
        <v>16.510000000000002</v>
      </c>
      <c r="D96" s="64">
        <v>16.23</v>
      </c>
      <c r="E96" s="64">
        <v>4.2300000000000004</v>
      </c>
      <c r="F96" s="64">
        <v>8.74</v>
      </c>
      <c r="G96" s="64">
        <v>68.3</v>
      </c>
      <c r="H96" s="64">
        <v>6.09</v>
      </c>
      <c r="I96" s="64">
        <v>1.95</v>
      </c>
      <c r="J96" s="64">
        <v>0.28999999999999998</v>
      </c>
      <c r="K96" s="64">
        <v>135.79</v>
      </c>
      <c r="L96" s="64">
        <v>24.29</v>
      </c>
      <c r="M96" s="64">
        <v>98.17</v>
      </c>
      <c r="N96" s="64">
        <v>46.5</v>
      </c>
      <c r="O96" s="64">
        <v>0</v>
      </c>
      <c r="P96" s="64">
        <v>0.59</v>
      </c>
      <c r="Q96" s="64">
        <v>9.17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912</v>
      </c>
      <c r="B97" s="64">
        <v>12.72</v>
      </c>
      <c r="C97" s="64">
        <v>23.98</v>
      </c>
      <c r="D97" s="64">
        <v>22.73</v>
      </c>
      <c r="E97" s="64">
        <v>3.97</v>
      </c>
      <c r="F97" s="64">
        <v>9.8000000000000007</v>
      </c>
      <c r="G97" s="64">
        <v>64.69</v>
      </c>
      <c r="H97" s="64">
        <v>5.51</v>
      </c>
      <c r="I97" s="64">
        <v>1.97</v>
      </c>
      <c r="J97" s="64">
        <v>0.04</v>
      </c>
      <c r="K97" s="64">
        <v>127.53</v>
      </c>
      <c r="L97" s="64">
        <v>24.17</v>
      </c>
      <c r="M97" s="64">
        <v>98.17</v>
      </c>
      <c r="N97" s="64">
        <v>46.6</v>
      </c>
      <c r="O97" s="64">
        <v>0</v>
      </c>
      <c r="P97" s="64">
        <v>0.64</v>
      </c>
      <c r="Q97" s="64">
        <v>9.16</v>
      </c>
      <c r="R97" s="198"/>
      <c r="S97" s="198"/>
      <c r="T97" s="198"/>
      <c r="U97" s="198"/>
    </row>
    <row r="98" spans="1:33" s="12" customFormat="1" x14ac:dyDescent="0.25">
      <c r="A98" s="211" t="s">
        <v>913</v>
      </c>
      <c r="B98" s="64">
        <v>9.27</v>
      </c>
      <c r="C98" s="64">
        <v>14.54</v>
      </c>
      <c r="D98" s="64">
        <v>15.03</v>
      </c>
      <c r="E98" s="64">
        <v>4.08</v>
      </c>
      <c r="F98" s="64">
        <v>10.72</v>
      </c>
      <c r="G98" s="64">
        <v>64.430000000000007</v>
      </c>
      <c r="H98" s="64">
        <v>5.51</v>
      </c>
      <c r="I98" s="64">
        <v>1.99</v>
      </c>
      <c r="J98" s="64">
        <v>0.24</v>
      </c>
      <c r="K98" s="64">
        <v>130.71</v>
      </c>
      <c r="L98" s="64">
        <v>24.03</v>
      </c>
      <c r="M98" s="64">
        <v>98.2</v>
      </c>
      <c r="N98" s="64">
        <v>46.5</v>
      </c>
      <c r="O98" s="64">
        <v>0</v>
      </c>
      <c r="P98" s="64">
        <v>0.56999999999999995</v>
      </c>
      <c r="Q98" s="64">
        <v>9.17</v>
      </c>
      <c r="R98" s="198"/>
      <c r="S98" s="198"/>
      <c r="T98" s="198"/>
      <c r="U98" s="198"/>
    </row>
    <row r="99" spans="1:33" s="12" customFormat="1" x14ac:dyDescent="0.25">
      <c r="A99" s="211" t="s">
        <v>914</v>
      </c>
      <c r="B99" s="64">
        <v>8.0399999999999991</v>
      </c>
      <c r="C99" s="64">
        <v>13.98</v>
      </c>
      <c r="D99" s="64">
        <v>13.75</v>
      </c>
      <c r="E99" s="64">
        <v>3.99</v>
      </c>
      <c r="F99" s="64">
        <v>11.72</v>
      </c>
      <c r="G99" s="64">
        <v>64.430000000000007</v>
      </c>
      <c r="H99" s="64">
        <v>5.51</v>
      </c>
      <c r="I99" s="64">
        <v>2</v>
      </c>
      <c r="J99" s="64">
        <v>0.08</v>
      </c>
      <c r="K99" s="64">
        <v>138.79</v>
      </c>
      <c r="L99" s="64">
        <v>23.98</v>
      </c>
      <c r="M99" s="64">
        <v>98.2</v>
      </c>
      <c r="N99" s="64">
        <v>46.6</v>
      </c>
      <c r="O99" s="64">
        <v>0</v>
      </c>
      <c r="P99" s="64">
        <v>0.56000000000000005</v>
      </c>
      <c r="Q99" s="64">
        <v>9.18</v>
      </c>
      <c r="R99" s="198"/>
      <c r="S99" s="198"/>
      <c r="T99" s="198"/>
      <c r="U99" s="198"/>
    </row>
    <row r="100" spans="1:33" s="12" customFormat="1" x14ac:dyDescent="0.25">
      <c r="A100" s="211" t="s">
        <v>915</v>
      </c>
      <c r="B100" s="64">
        <v>7.79</v>
      </c>
      <c r="C100" s="64">
        <v>12.88</v>
      </c>
      <c r="D100" s="64">
        <v>12.98</v>
      </c>
      <c r="E100" s="64">
        <v>4.08</v>
      </c>
      <c r="F100" s="64">
        <v>10.7</v>
      </c>
      <c r="G100" s="64">
        <v>64.430000000000007</v>
      </c>
      <c r="H100" s="64">
        <v>5.51</v>
      </c>
      <c r="I100" s="64">
        <v>2</v>
      </c>
      <c r="J100" s="64">
        <v>0.06</v>
      </c>
      <c r="K100" s="64">
        <v>239.64</v>
      </c>
      <c r="L100" s="64">
        <v>23.87</v>
      </c>
      <c r="M100" s="64">
        <v>98.2</v>
      </c>
      <c r="N100" s="64">
        <v>46.7</v>
      </c>
      <c r="O100" s="64">
        <v>0</v>
      </c>
      <c r="P100" s="64">
        <v>0.52</v>
      </c>
      <c r="Q100" s="64">
        <v>9.17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916</v>
      </c>
      <c r="B101" s="64">
        <v>7.7</v>
      </c>
      <c r="C101" s="64">
        <v>12.75</v>
      </c>
      <c r="D101" s="64">
        <v>12.84</v>
      </c>
      <c r="E101" s="64">
        <v>3.94</v>
      </c>
      <c r="F101" s="64">
        <v>11.66</v>
      </c>
      <c r="G101" s="64">
        <v>54.75</v>
      </c>
      <c r="H101" s="64">
        <v>7.28</v>
      </c>
      <c r="I101" s="64">
        <v>2.0099999999999998</v>
      </c>
      <c r="J101" s="64">
        <v>0.1</v>
      </c>
      <c r="K101" s="64">
        <v>150.49</v>
      </c>
      <c r="L101" s="64">
        <v>23.75</v>
      </c>
      <c r="M101" s="64">
        <v>98.19</v>
      </c>
      <c r="N101" s="64">
        <v>46.5</v>
      </c>
      <c r="O101" s="64">
        <v>0</v>
      </c>
      <c r="P101" s="64">
        <v>0.48</v>
      </c>
      <c r="Q101" s="64">
        <v>9.17</v>
      </c>
      <c r="R101" s="198"/>
      <c r="S101" s="198"/>
      <c r="T101" s="198"/>
      <c r="U101" s="198"/>
    </row>
    <row r="102" spans="1:33" s="12" customFormat="1" x14ac:dyDescent="0.25">
      <c r="A102" s="211" t="s">
        <v>917</v>
      </c>
      <c r="B102" s="64">
        <v>9.8000000000000007</v>
      </c>
      <c r="C102" s="64">
        <v>14.13</v>
      </c>
      <c r="D102" s="64">
        <v>15.24</v>
      </c>
      <c r="E102" s="64">
        <v>4.33</v>
      </c>
      <c r="F102" s="64">
        <v>10.029999999999999</v>
      </c>
      <c r="G102" s="64">
        <v>54.18</v>
      </c>
      <c r="H102" s="64">
        <v>7.28</v>
      </c>
      <c r="I102" s="64">
        <v>2</v>
      </c>
      <c r="J102" s="64">
        <v>0.11</v>
      </c>
      <c r="K102" s="64">
        <v>91.76</v>
      </c>
      <c r="L102" s="64">
        <v>23.73</v>
      </c>
      <c r="M102" s="64">
        <v>98.2</v>
      </c>
      <c r="N102" s="64">
        <v>46.5</v>
      </c>
      <c r="O102" s="64">
        <v>0</v>
      </c>
      <c r="P102" s="64">
        <v>0.45</v>
      </c>
      <c r="Q102" s="64">
        <v>9.18</v>
      </c>
      <c r="R102" s="198"/>
      <c r="S102" s="198"/>
      <c r="T102" s="198"/>
      <c r="U102" s="198"/>
    </row>
    <row r="103" spans="1:33" s="12" customFormat="1" x14ac:dyDescent="0.25">
      <c r="A103" s="211" t="s">
        <v>918</v>
      </c>
      <c r="B103" s="64">
        <v>9.35</v>
      </c>
      <c r="C103" s="64">
        <v>11.21</v>
      </c>
      <c r="D103" s="64">
        <v>13.36</v>
      </c>
      <c r="E103" s="64">
        <v>4.3600000000000003</v>
      </c>
      <c r="F103" s="64">
        <v>27.4</v>
      </c>
      <c r="G103" s="64">
        <v>54.18</v>
      </c>
      <c r="H103" s="64">
        <v>7.28</v>
      </c>
      <c r="I103" s="64">
        <v>1.98</v>
      </c>
      <c r="J103" s="64">
        <v>0.05</v>
      </c>
      <c r="K103" s="64">
        <v>288.02999999999997</v>
      </c>
      <c r="L103" s="64">
        <v>23.68</v>
      </c>
      <c r="M103" s="64">
        <v>98.2</v>
      </c>
      <c r="N103" s="64">
        <v>46.5</v>
      </c>
      <c r="O103" s="64">
        <v>0</v>
      </c>
      <c r="P103" s="64">
        <v>0.49</v>
      </c>
      <c r="Q103" s="64">
        <v>9.18</v>
      </c>
      <c r="R103" s="198"/>
      <c r="S103" s="198"/>
      <c r="T103" s="198"/>
      <c r="U103" s="198"/>
    </row>
    <row r="104" spans="1:33" s="12" customFormat="1" x14ac:dyDescent="0.25">
      <c r="A104" s="211" t="s">
        <v>919</v>
      </c>
      <c r="B104" s="64">
        <v>8.8000000000000007</v>
      </c>
      <c r="C104" s="64">
        <v>9.31</v>
      </c>
      <c r="D104" s="64">
        <v>11.92</v>
      </c>
      <c r="E104" s="64">
        <v>3.89</v>
      </c>
      <c r="F104" s="64">
        <v>11.58</v>
      </c>
      <c r="G104" s="64">
        <v>54.18</v>
      </c>
      <c r="H104" s="64">
        <v>7.28</v>
      </c>
      <c r="I104" s="64">
        <v>1.97</v>
      </c>
      <c r="J104" s="64">
        <v>7.0000000000000007E-2</v>
      </c>
      <c r="K104" s="64">
        <v>309.08999999999997</v>
      </c>
      <c r="L104" s="64">
        <v>23.58</v>
      </c>
      <c r="M104" s="64">
        <v>98.2</v>
      </c>
      <c r="N104" s="64">
        <v>46.6</v>
      </c>
      <c r="O104" s="64">
        <v>0</v>
      </c>
      <c r="P104" s="64">
        <v>0.43</v>
      </c>
      <c r="Q104" s="64">
        <v>9.18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5.54</v>
      </c>
      <c r="C106" s="67">
        <f>MIN(C9:C104)</f>
        <v>3.16</v>
      </c>
      <c r="D106" s="67">
        <f t="shared" ref="D106:Q106" si="0">MIN(D9:D104)</f>
        <v>11.92</v>
      </c>
      <c r="E106" s="67">
        <f t="shared" si="0"/>
        <v>3.79</v>
      </c>
      <c r="F106" s="67">
        <f t="shared" si="0"/>
        <v>5.39</v>
      </c>
      <c r="G106" s="67">
        <f t="shared" si="0"/>
        <v>23.59</v>
      </c>
      <c r="H106" s="67">
        <f t="shared" si="0"/>
        <v>5.51</v>
      </c>
      <c r="I106" s="67">
        <f t="shared" si="0"/>
        <v>1.42</v>
      </c>
      <c r="J106" s="67">
        <f t="shared" si="0"/>
        <v>0.01</v>
      </c>
      <c r="K106" s="67">
        <f t="shared" si="0"/>
        <v>13.55</v>
      </c>
      <c r="L106" s="67">
        <f t="shared" si="0"/>
        <v>21.5</v>
      </c>
      <c r="M106" s="67">
        <f t="shared" si="0"/>
        <v>67.8</v>
      </c>
      <c r="N106" s="67">
        <f t="shared" si="0"/>
        <v>43.8</v>
      </c>
      <c r="O106" s="67">
        <f t="shared" si="0"/>
        <v>0</v>
      </c>
      <c r="P106" s="67">
        <f t="shared" si="0"/>
        <v>0.16</v>
      </c>
      <c r="Q106" s="67">
        <f t="shared" si="0"/>
        <v>9.0299999999999994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42.15</v>
      </c>
      <c r="C107" s="66">
        <f t="shared" ref="C107:Q107" si="1">MAX(C9:C104)</f>
        <v>31.69</v>
      </c>
      <c r="D107" s="66">
        <f t="shared" si="1"/>
        <v>47.11</v>
      </c>
      <c r="E107" s="66">
        <f t="shared" si="1"/>
        <v>6.37</v>
      </c>
      <c r="F107" s="66">
        <f t="shared" si="1"/>
        <v>60.47</v>
      </c>
      <c r="G107" s="66">
        <f t="shared" si="1"/>
        <v>68.3</v>
      </c>
      <c r="H107" s="66">
        <f t="shared" si="1"/>
        <v>13.64</v>
      </c>
      <c r="I107" s="66">
        <f t="shared" si="1"/>
        <v>3.73</v>
      </c>
      <c r="J107" s="66">
        <f t="shared" si="1"/>
        <v>1.04</v>
      </c>
      <c r="K107" s="66">
        <f t="shared" si="1"/>
        <v>353.37</v>
      </c>
      <c r="L107" s="66">
        <f t="shared" si="1"/>
        <v>32.11</v>
      </c>
      <c r="M107" s="66">
        <f t="shared" si="1"/>
        <v>98.33</v>
      </c>
      <c r="N107" s="66">
        <f t="shared" si="1"/>
        <v>875.7</v>
      </c>
      <c r="O107" s="66">
        <f t="shared" si="1"/>
        <v>0</v>
      </c>
      <c r="P107" s="66">
        <f t="shared" si="1"/>
        <v>1.39</v>
      </c>
      <c r="Q107" s="66">
        <f t="shared" si="1"/>
        <v>9.35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13.42135416666666</v>
      </c>
      <c r="C108" s="67">
        <f t="shared" ref="C108:Q108" si="2">AVERAGE(C9:C104)</f>
        <v>14.142708333333333</v>
      </c>
      <c r="D108" s="67">
        <f t="shared" si="2"/>
        <v>18.149479166666666</v>
      </c>
      <c r="E108" s="67">
        <f t="shared" si="2"/>
        <v>4.9285416666666668</v>
      </c>
      <c r="F108" s="67">
        <f t="shared" si="2"/>
        <v>13.419479166666669</v>
      </c>
      <c r="G108" s="67">
        <f t="shared" si="2"/>
        <v>47.551770833333343</v>
      </c>
      <c r="H108" s="67">
        <f t="shared" si="2"/>
        <v>7.8075000000000001</v>
      </c>
      <c r="I108" s="67">
        <f t="shared" si="2"/>
        <v>2.3727083333333323</v>
      </c>
      <c r="J108" s="67">
        <f t="shared" si="2"/>
        <v>0.24500000000000002</v>
      </c>
      <c r="K108" s="67">
        <f t="shared" si="2"/>
        <v>218.43937500000004</v>
      </c>
      <c r="L108" s="67">
        <f t="shared" si="2"/>
        <v>24.978333333333339</v>
      </c>
      <c r="M108" s="67">
        <f t="shared" si="2"/>
        <v>94.567812500000073</v>
      </c>
      <c r="N108" s="67">
        <f t="shared" si="2"/>
        <v>162.84999999999997</v>
      </c>
      <c r="O108" s="67">
        <f t="shared" si="2"/>
        <v>0</v>
      </c>
      <c r="P108" s="67">
        <f t="shared" si="2"/>
        <v>0.59020833333333356</v>
      </c>
      <c r="Q108" s="67">
        <f t="shared" si="2"/>
        <v>9.1918749999999907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5.9923035935653521</v>
      </c>
      <c r="C109" s="67">
        <f t="shared" ref="C109:Q109" si="3">STDEV(C9:C104)</f>
        <v>7.9069817888225868</v>
      </c>
      <c r="D109" s="67">
        <f t="shared" si="3"/>
        <v>5.6042155880601312</v>
      </c>
      <c r="E109" s="67">
        <f t="shared" si="3"/>
        <v>0.6056939980701832</v>
      </c>
      <c r="F109" s="67">
        <f t="shared" si="3"/>
        <v>8.3625624843599571</v>
      </c>
      <c r="G109" s="67">
        <f t="shared" si="3"/>
        <v>12.8769515839075</v>
      </c>
      <c r="H109" s="67">
        <f t="shared" si="3"/>
        <v>2.1630743228830136</v>
      </c>
      <c r="I109" s="67">
        <f t="shared" si="3"/>
        <v>0.70174291163864888</v>
      </c>
      <c r="J109" s="67">
        <f t="shared" si="3"/>
        <v>0.26069946399315008</v>
      </c>
      <c r="K109" s="67">
        <f t="shared" si="3"/>
        <v>89.83630643169522</v>
      </c>
      <c r="L109" s="67">
        <f t="shared" si="3"/>
        <v>2.8573866111560253</v>
      </c>
      <c r="M109" s="67">
        <f t="shared" si="3"/>
        <v>7.3070096415233943</v>
      </c>
      <c r="N109" s="67">
        <f t="shared" si="3"/>
        <v>209.7227724000374</v>
      </c>
      <c r="O109" s="67">
        <f t="shared" si="3"/>
        <v>0</v>
      </c>
      <c r="P109" s="67">
        <f t="shared" si="3"/>
        <v>0.20727799368641742</v>
      </c>
      <c r="Q109" s="67">
        <f t="shared" si="3"/>
        <v>8.7434938217240257E-2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9" sqref="J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920</v>
      </c>
      <c r="B9" s="64">
        <v>11.56</v>
      </c>
      <c r="C9" s="64">
        <v>10.89</v>
      </c>
      <c r="D9" s="64">
        <v>14.96</v>
      </c>
      <c r="E9" s="64">
        <v>3.99</v>
      </c>
      <c r="F9" s="64">
        <v>10.029999999999999</v>
      </c>
      <c r="G9" s="64">
        <v>48.15</v>
      </c>
      <c r="H9" s="64">
        <v>6.53</v>
      </c>
      <c r="I9" s="64">
        <v>1.95</v>
      </c>
      <c r="J9" s="64">
        <v>0.05</v>
      </c>
      <c r="K9" s="64">
        <v>351.27</v>
      </c>
      <c r="L9" s="64">
        <v>23.51</v>
      </c>
      <c r="M9" s="64">
        <v>98.19</v>
      </c>
      <c r="N9" s="64">
        <v>46.7</v>
      </c>
      <c r="O9" s="64">
        <v>0</v>
      </c>
      <c r="P9" s="64">
        <v>0.45</v>
      </c>
      <c r="Q9" s="64">
        <v>9.17</v>
      </c>
      <c r="R9" s="198"/>
      <c r="S9" s="198"/>
      <c r="T9" s="198"/>
      <c r="U9" s="198"/>
    </row>
    <row r="10" spans="1:21" s="12" customFormat="1" x14ac:dyDescent="0.25">
      <c r="A10" s="211" t="s">
        <v>921</v>
      </c>
      <c r="B10" s="64">
        <v>8.49</v>
      </c>
      <c r="C10" s="64">
        <v>8.5500000000000007</v>
      </c>
      <c r="D10" s="64">
        <v>11.28</v>
      </c>
      <c r="E10" s="64">
        <v>4.16</v>
      </c>
      <c r="F10" s="64">
        <v>8.81</v>
      </c>
      <c r="G10" s="64">
        <v>47.72</v>
      </c>
      <c r="H10" s="64">
        <v>6.53</v>
      </c>
      <c r="I10" s="64">
        <v>1.93</v>
      </c>
      <c r="J10" s="64">
        <v>0.05</v>
      </c>
      <c r="K10" s="64">
        <v>357.78</v>
      </c>
      <c r="L10" s="64">
        <v>23.31</v>
      </c>
      <c r="M10" s="64">
        <v>98.2</v>
      </c>
      <c r="N10" s="64">
        <v>46.7</v>
      </c>
      <c r="O10" s="64">
        <v>0</v>
      </c>
      <c r="P10" s="64">
        <v>0.46</v>
      </c>
      <c r="Q10" s="64">
        <v>9.15</v>
      </c>
      <c r="R10" s="198"/>
      <c r="S10" s="198"/>
      <c r="T10" s="198"/>
      <c r="U10" s="198"/>
    </row>
    <row r="11" spans="1:21" s="12" customFormat="1" x14ac:dyDescent="0.25">
      <c r="A11" s="211" t="s">
        <v>922</v>
      </c>
      <c r="B11" s="64">
        <v>7.22</v>
      </c>
      <c r="C11" s="64">
        <v>7.98</v>
      </c>
      <c r="D11" s="64">
        <v>9.9600000000000009</v>
      </c>
      <c r="E11" s="64">
        <v>4.16</v>
      </c>
      <c r="F11" s="64">
        <v>11.69</v>
      </c>
      <c r="G11" s="64">
        <v>47.72</v>
      </c>
      <c r="H11" s="64">
        <v>6.53</v>
      </c>
      <c r="I11" s="64">
        <v>1.91</v>
      </c>
      <c r="J11" s="64">
        <v>0.05</v>
      </c>
      <c r="K11" s="64">
        <v>195.23</v>
      </c>
      <c r="L11" s="64">
        <v>23.24</v>
      </c>
      <c r="M11" s="64">
        <v>98.2</v>
      </c>
      <c r="N11" s="64">
        <v>46.6</v>
      </c>
      <c r="O11" s="64">
        <v>0</v>
      </c>
      <c r="P11" s="64">
        <v>0.32</v>
      </c>
      <c r="Q11" s="64">
        <v>9.1300000000000008</v>
      </c>
      <c r="R11" s="198"/>
      <c r="S11" s="198"/>
      <c r="T11" s="198"/>
      <c r="U11" s="198"/>
    </row>
    <row r="12" spans="1:21" s="12" customFormat="1" x14ac:dyDescent="0.25">
      <c r="A12" s="211" t="s">
        <v>923</v>
      </c>
      <c r="B12" s="64">
        <v>10.34</v>
      </c>
      <c r="C12" s="64">
        <v>7.3</v>
      </c>
      <c r="D12" s="64">
        <v>12.11</v>
      </c>
      <c r="E12" s="64">
        <v>4.04</v>
      </c>
      <c r="F12" s="64">
        <v>10.64</v>
      </c>
      <c r="G12" s="64">
        <v>47.72</v>
      </c>
      <c r="H12" s="64">
        <v>6.53</v>
      </c>
      <c r="I12" s="64">
        <v>1.87</v>
      </c>
      <c r="J12" s="64">
        <v>0.08</v>
      </c>
      <c r="K12" s="64">
        <v>320.94</v>
      </c>
      <c r="L12" s="64">
        <v>23.25</v>
      </c>
      <c r="M12" s="64">
        <v>98.19</v>
      </c>
      <c r="N12" s="64">
        <v>46.7</v>
      </c>
      <c r="O12" s="64">
        <v>0</v>
      </c>
      <c r="P12" s="64">
        <v>0.44</v>
      </c>
      <c r="Q12" s="64">
        <v>9.1199999999999992</v>
      </c>
      <c r="R12" s="198"/>
      <c r="S12" s="198"/>
      <c r="T12" s="198"/>
      <c r="U12" s="198"/>
    </row>
    <row r="13" spans="1:21" s="12" customFormat="1" x14ac:dyDescent="0.25">
      <c r="A13" s="211" t="s">
        <v>924</v>
      </c>
      <c r="B13" s="64">
        <v>7.5</v>
      </c>
      <c r="C13" s="64">
        <v>8.16</v>
      </c>
      <c r="D13" s="64">
        <v>10.28</v>
      </c>
      <c r="E13" s="64">
        <v>4.26</v>
      </c>
      <c r="F13" s="64">
        <v>8.2799999999999994</v>
      </c>
      <c r="G13" s="64">
        <v>44.77</v>
      </c>
      <c r="H13" s="64">
        <v>5.99</v>
      </c>
      <c r="I13" s="64">
        <v>1.84</v>
      </c>
      <c r="J13" s="64">
        <v>7.0000000000000007E-2</v>
      </c>
      <c r="K13" s="64">
        <v>356.14</v>
      </c>
      <c r="L13" s="64">
        <v>23.2</v>
      </c>
      <c r="M13" s="64">
        <v>98.21</v>
      </c>
      <c r="N13" s="64">
        <v>46.7</v>
      </c>
      <c r="O13" s="64">
        <v>0</v>
      </c>
      <c r="P13" s="64">
        <v>0.33</v>
      </c>
      <c r="Q13" s="64">
        <v>9.1199999999999992</v>
      </c>
      <c r="R13" s="198"/>
      <c r="S13" s="198"/>
      <c r="T13" s="198"/>
      <c r="U13" s="198"/>
    </row>
    <row r="14" spans="1:21" s="12" customFormat="1" x14ac:dyDescent="0.25">
      <c r="A14" s="211" t="s">
        <v>925</v>
      </c>
      <c r="B14" s="64">
        <v>6.77</v>
      </c>
      <c r="C14" s="64">
        <v>7.91</v>
      </c>
      <c r="D14" s="64">
        <v>9.56</v>
      </c>
      <c r="E14" s="64">
        <v>3.68</v>
      </c>
      <c r="F14" s="64">
        <v>9.7100000000000009</v>
      </c>
      <c r="G14" s="64">
        <v>44.56</v>
      </c>
      <c r="H14" s="64">
        <v>5.99</v>
      </c>
      <c r="I14" s="64">
        <v>1.82</v>
      </c>
      <c r="J14" s="64">
        <v>0.05</v>
      </c>
      <c r="K14" s="64">
        <v>60.86</v>
      </c>
      <c r="L14" s="64">
        <v>23.14</v>
      </c>
      <c r="M14" s="64">
        <v>98.22</v>
      </c>
      <c r="N14" s="64">
        <v>46.7</v>
      </c>
      <c r="O14" s="64">
        <v>0</v>
      </c>
      <c r="P14" s="64">
        <v>0.34</v>
      </c>
      <c r="Q14" s="64">
        <v>9.1</v>
      </c>
      <c r="R14" s="198"/>
      <c r="S14" s="198"/>
      <c r="T14" s="198"/>
      <c r="U14" s="198"/>
    </row>
    <row r="15" spans="1:21" s="12" customFormat="1" x14ac:dyDescent="0.25">
      <c r="A15" s="211" t="s">
        <v>926</v>
      </c>
      <c r="B15" s="64">
        <v>7.86</v>
      </c>
      <c r="C15" s="64">
        <v>8.26</v>
      </c>
      <c r="D15" s="64">
        <v>10.62</v>
      </c>
      <c r="E15" s="64">
        <v>3.75</v>
      </c>
      <c r="F15" s="64">
        <v>7.18</v>
      </c>
      <c r="G15" s="64">
        <v>44.56</v>
      </c>
      <c r="H15" s="64">
        <v>5.99</v>
      </c>
      <c r="I15" s="64">
        <v>1.8</v>
      </c>
      <c r="J15" s="64">
        <v>0.25</v>
      </c>
      <c r="K15" s="64">
        <v>337.88</v>
      </c>
      <c r="L15" s="64">
        <v>23.06</v>
      </c>
      <c r="M15" s="64">
        <v>98.23</v>
      </c>
      <c r="N15" s="64">
        <v>46.6</v>
      </c>
      <c r="O15" s="64">
        <v>0</v>
      </c>
      <c r="P15" s="64">
        <v>0.41</v>
      </c>
      <c r="Q15" s="64">
        <v>9.09</v>
      </c>
      <c r="R15" s="198"/>
      <c r="S15" s="198"/>
      <c r="T15" s="198"/>
      <c r="U15" s="198"/>
    </row>
    <row r="16" spans="1:21" s="12" customFormat="1" x14ac:dyDescent="0.25">
      <c r="A16" s="211" t="s">
        <v>927</v>
      </c>
      <c r="B16" s="64">
        <v>9.7899999999999991</v>
      </c>
      <c r="C16" s="64">
        <v>8.9</v>
      </c>
      <c r="D16" s="64">
        <v>12.5</v>
      </c>
      <c r="E16" s="64">
        <v>3.93</v>
      </c>
      <c r="F16" s="64">
        <v>7.86</v>
      </c>
      <c r="G16" s="64">
        <v>44.56</v>
      </c>
      <c r="H16" s="64">
        <v>5.99</v>
      </c>
      <c r="I16" s="64">
        <v>1.77</v>
      </c>
      <c r="J16" s="64">
        <v>0.05</v>
      </c>
      <c r="K16" s="64">
        <v>325.24</v>
      </c>
      <c r="L16" s="64">
        <v>23.03</v>
      </c>
      <c r="M16" s="64">
        <v>98.24</v>
      </c>
      <c r="N16" s="64">
        <v>46.6</v>
      </c>
      <c r="O16" s="64">
        <v>0</v>
      </c>
      <c r="P16" s="64">
        <v>0.33</v>
      </c>
      <c r="Q16" s="64">
        <v>9.1</v>
      </c>
      <c r="R16" s="198"/>
      <c r="S16" s="198"/>
      <c r="T16" s="198"/>
      <c r="U16" s="198"/>
    </row>
    <row r="17" spans="1:21" s="12" customFormat="1" x14ac:dyDescent="0.25">
      <c r="A17" s="211" t="s">
        <v>928</v>
      </c>
      <c r="B17" s="64">
        <v>7.9</v>
      </c>
      <c r="C17" s="64">
        <v>9.1</v>
      </c>
      <c r="D17" s="64">
        <v>11.09</v>
      </c>
      <c r="E17" s="64">
        <v>4.05</v>
      </c>
      <c r="F17" s="64">
        <v>8.4499999999999993</v>
      </c>
      <c r="G17" s="64">
        <v>43.5</v>
      </c>
      <c r="H17" s="64">
        <v>5.88</v>
      </c>
      <c r="I17" s="64">
        <v>1.75</v>
      </c>
      <c r="J17" s="64">
        <v>0.05</v>
      </c>
      <c r="K17" s="64">
        <v>93.91</v>
      </c>
      <c r="L17" s="64">
        <v>22.94</v>
      </c>
      <c r="M17" s="64">
        <v>98.24</v>
      </c>
      <c r="N17" s="64">
        <v>46.7</v>
      </c>
      <c r="O17" s="64">
        <v>0</v>
      </c>
      <c r="P17" s="64">
        <v>0.4</v>
      </c>
      <c r="Q17" s="64">
        <v>9.09</v>
      </c>
      <c r="R17" s="198"/>
      <c r="S17" s="198"/>
      <c r="T17" s="198"/>
      <c r="U17" s="198"/>
    </row>
    <row r="18" spans="1:21" s="12" customFormat="1" x14ac:dyDescent="0.25">
      <c r="A18" s="211" t="s">
        <v>929</v>
      </c>
      <c r="B18" s="64">
        <v>7.48</v>
      </c>
      <c r="C18" s="64">
        <v>8.7200000000000006</v>
      </c>
      <c r="D18" s="64">
        <v>10.55</v>
      </c>
      <c r="E18" s="64">
        <v>4.18</v>
      </c>
      <c r="F18" s="64">
        <v>8.7200000000000006</v>
      </c>
      <c r="G18" s="64">
        <v>43.43</v>
      </c>
      <c r="H18" s="64">
        <v>5.88</v>
      </c>
      <c r="I18" s="64">
        <v>1.76</v>
      </c>
      <c r="J18" s="64">
        <v>0.02</v>
      </c>
      <c r="K18" s="64">
        <v>291.60000000000002</v>
      </c>
      <c r="L18" s="64">
        <v>22.8</v>
      </c>
      <c r="M18" s="64">
        <v>98.24</v>
      </c>
      <c r="N18" s="64">
        <v>46.7</v>
      </c>
      <c r="O18" s="64">
        <v>0</v>
      </c>
      <c r="P18" s="64">
        <v>0.37</v>
      </c>
      <c r="Q18" s="64">
        <v>9.1</v>
      </c>
      <c r="R18" s="198"/>
      <c r="S18" s="198"/>
      <c r="T18" s="198"/>
      <c r="U18" s="198"/>
    </row>
    <row r="19" spans="1:21" s="12" customFormat="1" x14ac:dyDescent="0.25">
      <c r="A19" s="211" t="s">
        <v>930</v>
      </c>
      <c r="B19" s="64">
        <v>7.55</v>
      </c>
      <c r="C19" s="64">
        <v>9.4</v>
      </c>
      <c r="D19" s="64">
        <v>10.96</v>
      </c>
      <c r="E19" s="64">
        <v>4.0599999999999996</v>
      </c>
      <c r="F19" s="64">
        <v>11.03</v>
      </c>
      <c r="G19" s="64">
        <v>43.43</v>
      </c>
      <c r="H19" s="64">
        <v>5.88</v>
      </c>
      <c r="I19" s="64">
        <v>1.76</v>
      </c>
      <c r="J19" s="64">
        <v>0.05</v>
      </c>
      <c r="K19" s="64">
        <v>349.18</v>
      </c>
      <c r="L19" s="64">
        <v>22.72</v>
      </c>
      <c r="M19" s="64">
        <v>98.27</v>
      </c>
      <c r="N19" s="64">
        <v>46.8</v>
      </c>
      <c r="O19" s="64">
        <v>0</v>
      </c>
      <c r="P19" s="64">
        <v>0.43</v>
      </c>
      <c r="Q19" s="64">
        <v>9.1</v>
      </c>
      <c r="R19" s="198"/>
      <c r="S19" s="198"/>
      <c r="T19" s="198"/>
      <c r="U19" s="198"/>
    </row>
    <row r="20" spans="1:21" s="12" customFormat="1" x14ac:dyDescent="0.25">
      <c r="A20" s="211" t="s">
        <v>931</v>
      </c>
      <c r="B20" s="64">
        <v>8.1199999999999992</v>
      </c>
      <c r="C20" s="64">
        <v>8.74</v>
      </c>
      <c r="D20" s="64">
        <v>11.08</v>
      </c>
      <c r="E20" s="64">
        <v>3.68</v>
      </c>
      <c r="F20" s="64">
        <v>9.7100000000000009</v>
      </c>
      <c r="G20" s="64">
        <v>43.43</v>
      </c>
      <c r="H20" s="64">
        <v>5.88</v>
      </c>
      <c r="I20" s="64">
        <v>1.76</v>
      </c>
      <c r="J20" s="64">
        <v>0.03</v>
      </c>
      <c r="K20" s="64">
        <v>195.32</v>
      </c>
      <c r="L20" s="64">
        <v>22.69</v>
      </c>
      <c r="M20" s="64">
        <v>98.26</v>
      </c>
      <c r="N20" s="64">
        <v>46.7</v>
      </c>
      <c r="O20" s="64">
        <v>0</v>
      </c>
      <c r="P20" s="64">
        <v>0.42</v>
      </c>
      <c r="Q20" s="64">
        <v>9.1</v>
      </c>
      <c r="R20" s="198"/>
      <c r="S20" s="198"/>
      <c r="T20" s="198"/>
      <c r="U20" s="198"/>
    </row>
    <row r="21" spans="1:21" s="12" customFormat="1" x14ac:dyDescent="0.25">
      <c r="A21" s="211" t="s">
        <v>932</v>
      </c>
      <c r="B21" s="64">
        <v>7.28</v>
      </c>
      <c r="C21" s="64">
        <v>10.09</v>
      </c>
      <c r="D21" s="64">
        <v>11.11</v>
      </c>
      <c r="E21" s="64">
        <v>3.79</v>
      </c>
      <c r="F21" s="64">
        <v>7.63</v>
      </c>
      <c r="G21" s="64">
        <v>36.369999999999997</v>
      </c>
      <c r="H21" s="64">
        <v>8.25</v>
      </c>
      <c r="I21" s="64">
        <v>1.77</v>
      </c>
      <c r="J21" s="64">
        <v>0.26</v>
      </c>
      <c r="K21" s="64">
        <v>338.09</v>
      </c>
      <c r="L21" s="64">
        <v>22.69</v>
      </c>
      <c r="M21" s="64">
        <v>98.26</v>
      </c>
      <c r="N21" s="64">
        <v>46.6</v>
      </c>
      <c r="O21" s="64">
        <v>0</v>
      </c>
      <c r="P21" s="64">
        <v>0.4</v>
      </c>
      <c r="Q21" s="64">
        <v>9.1199999999999992</v>
      </c>
      <c r="R21" s="198"/>
      <c r="S21" s="198"/>
      <c r="T21" s="198"/>
      <c r="U21" s="198"/>
    </row>
    <row r="22" spans="1:21" s="12" customFormat="1" x14ac:dyDescent="0.25">
      <c r="A22" s="211" t="s">
        <v>933</v>
      </c>
      <c r="B22" s="64">
        <v>9.61</v>
      </c>
      <c r="C22" s="64">
        <v>8.2799999999999994</v>
      </c>
      <c r="D22" s="64">
        <v>12.03</v>
      </c>
      <c r="E22" s="64">
        <v>3.73</v>
      </c>
      <c r="F22" s="64">
        <v>10.6</v>
      </c>
      <c r="G22" s="64">
        <v>35.869999999999997</v>
      </c>
      <c r="H22" s="64">
        <v>8.25</v>
      </c>
      <c r="I22" s="64">
        <v>1.79</v>
      </c>
      <c r="J22" s="64">
        <v>0.53</v>
      </c>
      <c r="K22" s="64">
        <v>335.53</v>
      </c>
      <c r="L22" s="64">
        <v>22.77</v>
      </c>
      <c r="M22" s="64">
        <v>98.32</v>
      </c>
      <c r="N22" s="64">
        <v>46.4</v>
      </c>
      <c r="O22" s="64">
        <v>0</v>
      </c>
      <c r="P22" s="64">
        <v>0.44</v>
      </c>
      <c r="Q22" s="64">
        <v>9.1300000000000008</v>
      </c>
      <c r="R22" s="198"/>
      <c r="S22" s="198"/>
      <c r="T22" s="198"/>
      <c r="U22" s="198"/>
    </row>
    <row r="23" spans="1:21" s="12" customFormat="1" x14ac:dyDescent="0.25">
      <c r="A23" s="211" t="s">
        <v>934</v>
      </c>
      <c r="B23" s="64">
        <v>11.35</v>
      </c>
      <c r="C23" s="64">
        <v>8.4600000000000009</v>
      </c>
      <c r="D23" s="64">
        <v>13.52</v>
      </c>
      <c r="E23" s="64">
        <v>4.29</v>
      </c>
      <c r="F23" s="64">
        <v>7.94</v>
      </c>
      <c r="G23" s="64">
        <v>35.869999999999997</v>
      </c>
      <c r="H23" s="64">
        <v>8.25</v>
      </c>
      <c r="I23" s="64">
        <v>1.81</v>
      </c>
      <c r="J23" s="64">
        <v>0.41</v>
      </c>
      <c r="K23" s="64">
        <v>334.48</v>
      </c>
      <c r="L23" s="64">
        <v>22.81</v>
      </c>
      <c r="M23" s="64">
        <v>98.35</v>
      </c>
      <c r="N23" s="64">
        <v>46.6</v>
      </c>
      <c r="O23" s="64">
        <v>0</v>
      </c>
      <c r="P23" s="64">
        <v>0.44</v>
      </c>
      <c r="Q23" s="64">
        <v>9.1300000000000008</v>
      </c>
      <c r="R23" s="198"/>
      <c r="S23" s="198"/>
      <c r="T23" s="198"/>
      <c r="U23" s="198"/>
    </row>
    <row r="24" spans="1:21" s="12" customFormat="1" x14ac:dyDescent="0.25">
      <c r="A24" s="211" t="s">
        <v>935</v>
      </c>
      <c r="B24" s="64">
        <v>8.6199999999999992</v>
      </c>
      <c r="C24" s="64">
        <v>7.85</v>
      </c>
      <c r="D24" s="64">
        <v>11.01</v>
      </c>
      <c r="E24" s="64">
        <v>4.13</v>
      </c>
      <c r="F24" s="64">
        <v>9.49</v>
      </c>
      <c r="G24" s="64">
        <v>35.869999999999997</v>
      </c>
      <c r="H24" s="64">
        <v>8.25</v>
      </c>
      <c r="I24" s="64">
        <v>1.83</v>
      </c>
      <c r="J24" s="64">
        <v>0.27</v>
      </c>
      <c r="K24" s="64">
        <v>343.1</v>
      </c>
      <c r="L24" s="64">
        <v>22.8</v>
      </c>
      <c r="M24" s="64">
        <v>98.34</v>
      </c>
      <c r="N24" s="64">
        <v>46.7</v>
      </c>
      <c r="O24" s="64">
        <v>0</v>
      </c>
      <c r="P24" s="64">
        <v>0.42</v>
      </c>
      <c r="Q24" s="64">
        <v>9.1300000000000008</v>
      </c>
      <c r="R24" s="198"/>
      <c r="S24" s="198"/>
      <c r="T24" s="198"/>
      <c r="U24" s="198"/>
    </row>
    <row r="25" spans="1:21" s="12" customFormat="1" x14ac:dyDescent="0.25">
      <c r="A25" s="211" t="s">
        <v>936</v>
      </c>
      <c r="B25" s="64">
        <v>9.56</v>
      </c>
      <c r="C25" s="64">
        <v>8.92</v>
      </c>
      <c r="D25" s="64">
        <v>12.33</v>
      </c>
      <c r="E25" s="64">
        <v>3.89</v>
      </c>
      <c r="F25" s="64">
        <v>7.28</v>
      </c>
      <c r="G25" s="64">
        <v>43.83</v>
      </c>
      <c r="H25" s="64">
        <v>7.33</v>
      </c>
      <c r="I25" s="64">
        <v>1.84</v>
      </c>
      <c r="J25" s="64">
        <v>0.09</v>
      </c>
      <c r="K25" s="64">
        <v>180.57</v>
      </c>
      <c r="L25" s="64">
        <v>22.74</v>
      </c>
      <c r="M25" s="64">
        <v>98.32</v>
      </c>
      <c r="N25" s="64">
        <v>46.8</v>
      </c>
      <c r="O25" s="64">
        <v>0</v>
      </c>
      <c r="P25" s="64">
        <v>0.4</v>
      </c>
      <c r="Q25" s="64">
        <v>9.14</v>
      </c>
      <c r="R25" s="198"/>
      <c r="S25" s="198"/>
      <c r="T25" s="198"/>
      <c r="U25" s="198"/>
    </row>
    <row r="26" spans="1:21" s="12" customFormat="1" x14ac:dyDescent="0.25">
      <c r="A26" s="211" t="s">
        <v>937</v>
      </c>
      <c r="B26" s="64">
        <v>12.17</v>
      </c>
      <c r="C26" s="64">
        <v>9.24</v>
      </c>
      <c r="D26" s="64">
        <v>14.59</v>
      </c>
      <c r="E26" s="64">
        <v>3.97</v>
      </c>
      <c r="F26" s="64">
        <v>7.64</v>
      </c>
      <c r="G26" s="64">
        <v>44.39</v>
      </c>
      <c r="H26" s="64">
        <v>7.33</v>
      </c>
      <c r="I26" s="64">
        <v>1.84</v>
      </c>
      <c r="J26" s="64">
        <v>0.08</v>
      </c>
      <c r="K26" s="64">
        <v>322.45999999999998</v>
      </c>
      <c r="L26" s="64">
        <v>22.75</v>
      </c>
      <c r="M26" s="64">
        <v>98.35</v>
      </c>
      <c r="N26" s="64">
        <v>46.8</v>
      </c>
      <c r="O26" s="64">
        <v>0</v>
      </c>
      <c r="P26" s="64">
        <v>0.42</v>
      </c>
      <c r="Q26" s="64">
        <v>9.14</v>
      </c>
      <c r="R26" s="198"/>
      <c r="S26" s="198"/>
      <c r="T26" s="198"/>
      <c r="U26" s="198"/>
    </row>
    <row r="27" spans="1:21" s="12" customFormat="1" x14ac:dyDescent="0.25">
      <c r="A27" s="211" t="s">
        <v>938</v>
      </c>
      <c r="B27" s="64">
        <v>10.97</v>
      </c>
      <c r="C27" s="64">
        <v>8.3000000000000007</v>
      </c>
      <c r="D27" s="64">
        <v>13.14</v>
      </c>
      <c r="E27" s="64">
        <v>4.0599999999999996</v>
      </c>
      <c r="F27" s="64">
        <v>9.32</v>
      </c>
      <c r="G27" s="64">
        <v>44.39</v>
      </c>
      <c r="H27" s="64">
        <v>7.33</v>
      </c>
      <c r="I27" s="64">
        <v>1.84</v>
      </c>
      <c r="J27" s="64">
        <v>0.2</v>
      </c>
      <c r="K27" s="64">
        <v>319.02</v>
      </c>
      <c r="L27" s="64">
        <v>22.75</v>
      </c>
      <c r="M27" s="64">
        <v>98.37</v>
      </c>
      <c r="N27" s="64">
        <v>46.7</v>
      </c>
      <c r="O27" s="64">
        <v>0</v>
      </c>
      <c r="P27" s="64">
        <v>0.42</v>
      </c>
      <c r="Q27" s="64">
        <v>9.1300000000000008</v>
      </c>
      <c r="R27" s="198"/>
      <c r="S27" s="198"/>
      <c r="T27" s="198"/>
      <c r="U27" s="198"/>
    </row>
    <row r="28" spans="1:21" s="12" customFormat="1" x14ac:dyDescent="0.25">
      <c r="A28" s="211" t="s">
        <v>939</v>
      </c>
      <c r="B28" s="64">
        <v>13.2</v>
      </c>
      <c r="C28" s="64">
        <v>6.84</v>
      </c>
      <c r="D28" s="64">
        <v>14.16</v>
      </c>
      <c r="E28" s="64">
        <v>3.93</v>
      </c>
      <c r="F28" s="64">
        <v>8.8800000000000008</v>
      </c>
      <c r="G28" s="64">
        <v>44.39</v>
      </c>
      <c r="H28" s="64">
        <v>7.33</v>
      </c>
      <c r="I28" s="64">
        <v>1.83</v>
      </c>
      <c r="J28" s="64">
        <v>0.16</v>
      </c>
      <c r="K28" s="64">
        <v>318.76</v>
      </c>
      <c r="L28" s="64">
        <v>22.82</v>
      </c>
      <c r="M28" s="64">
        <v>98.36</v>
      </c>
      <c r="N28" s="64">
        <v>46.8</v>
      </c>
      <c r="O28" s="64">
        <v>0</v>
      </c>
      <c r="P28" s="64">
        <v>0.47</v>
      </c>
      <c r="Q28" s="64">
        <v>9.1300000000000008</v>
      </c>
      <c r="R28" s="198"/>
      <c r="S28" s="198"/>
      <c r="T28" s="198"/>
      <c r="U28" s="198"/>
    </row>
    <row r="29" spans="1:21" s="12" customFormat="1" x14ac:dyDescent="0.25">
      <c r="A29" s="211" t="s">
        <v>940</v>
      </c>
      <c r="B29" s="64">
        <v>11.27</v>
      </c>
      <c r="C29" s="64">
        <v>7.97</v>
      </c>
      <c r="D29" s="64">
        <v>13.2</v>
      </c>
      <c r="E29" s="64">
        <v>4.1100000000000003</v>
      </c>
      <c r="F29" s="64">
        <v>8.6</v>
      </c>
      <c r="G29" s="64">
        <v>46.28</v>
      </c>
      <c r="H29" s="64">
        <v>6.42</v>
      </c>
      <c r="I29" s="64">
        <v>1.82</v>
      </c>
      <c r="J29" s="64">
        <v>0.12</v>
      </c>
      <c r="K29" s="64">
        <v>307.04000000000002</v>
      </c>
      <c r="L29" s="64">
        <v>22.9</v>
      </c>
      <c r="M29" s="64">
        <v>98.35</v>
      </c>
      <c r="N29" s="64">
        <v>47.1</v>
      </c>
      <c r="O29" s="64">
        <v>0</v>
      </c>
      <c r="P29" s="64">
        <v>0.44</v>
      </c>
      <c r="Q29" s="64">
        <v>9.1199999999999992</v>
      </c>
      <c r="R29" s="198"/>
      <c r="S29" s="198"/>
      <c r="T29" s="198"/>
      <c r="U29" s="198"/>
    </row>
    <row r="30" spans="1:21" s="12" customFormat="1" x14ac:dyDescent="0.25">
      <c r="A30" s="211" t="s">
        <v>941</v>
      </c>
      <c r="B30" s="64">
        <v>11.98</v>
      </c>
      <c r="C30" s="64">
        <v>6.86</v>
      </c>
      <c r="D30" s="64">
        <v>13.19</v>
      </c>
      <c r="E30" s="64">
        <v>3.67</v>
      </c>
      <c r="F30" s="64">
        <v>6.82</v>
      </c>
      <c r="G30" s="64">
        <v>46.41</v>
      </c>
      <c r="H30" s="64">
        <v>6.42</v>
      </c>
      <c r="I30" s="64">
        <v>1.81</v>
      </c>
      <c r="J30" s="64">
        <v>0.16</v>
      </c>
      <c r="K30" s="64">
        <v>311.52</v>
      </c>
      <c r="L30" s="64">
        <v>22.95</v>
      </c>
      <c r="M30" s="64">
        <v>98.35</v>
      </c>
      <c r="N30" s="64">
        <v>47.1</v>
      </c>
      <c r="O30" s="64">
        <v>0</v>
      </c>
      <c r="P30" s="64">
        <v>0.43</v>
      </c>
      <c r="Q30" s="64">
        <v>9.1199999999999992</v>
      </c>
      <c r="R30" s="198"/>
      <c r="S30" s="198"/>
      <c r="T30" s="198"/>
      <c r="U30" s="198"/>
    </row>
    <row r="31" spans="1:21" s="12" customFormat="1" x14ac:dyDescent="0.25">
      <c r="A31" s="211" t="s">
        <v>942</v>
      </c>
      <c r="B31" s="64">
        <v>14.19</v>
      </c>
      <c r="C31" s="64">
        <v>6.91</v>
      </c>
      <c r="D31" s="64">
        <v>14.95</v>
      </c>
      <c r="E31" s="64">
        <v>3.92</v>
      </c>
      <c r="F31" s="64">
        <v>7.58</v>
      </c>
      <c r="G31" s="64">
        <v>46.41</v>
      </c>
      <c r="H31" s="64">
        <v>6.42</v>
      </c>
      <c r="I31" s="64">
        <v>1.81</v>
      </c>
      <c r="J31" s="64">
        <v>0.26</v>
      </c>
      <c r="K31" s="64">
        <v>331</v>
      </c>
      <c r="L31" s="64">
        <v>22.95</v>
      </c>
      <c r="M31" s="64">
        <v>98.35</v>
      </c>
      <c r="N31" s="64">
        <v>47.4</v>
      </c>
      <c r="O31" s="64">
        <v>0</v>
      </c>
      <c r="P31" s="64">
        <v>0.47</v>
      </c>
      <c r="Q31" s="64">
        <v>9.1199999999999992</v>
      </c>
      <c r="R31" s="198"/>
      <c r="S31" s="198"/>
      <c r="T31" s="198"/>
      <c r="U31" s="198"/>
    </row>
    <row r="32" spans="1:21" s="12" customFormat="1" x14ac:dyDescent="0.25">
      <c r="A32" s="211" t="s">
        <v>943</v>
      </c>
      <c r="B32" s="64">
        <v>13.97</v>
      </c>
      <c r="C32" s="64">
        <v>6.01</v>
      </c>
      <c r="D32" s="64">
        <v>14.34</v>
      </c>
      <c r="E32" s="64">
        <v>3.89</v>
      </c>
      <c r="F32" s="64">
        <v>8.66</v>
      </c>
      <c r="G32" s="64">
        <v>46.41</v>
      </c>
      <c r="H32" s="64">
        <v>6.42</v>
      </c>
      <c r="I32" s="64">
        <v>1.82</v>
      </c>
      <c r="J32" s="64">
        <v>0.32</v>
      </c>
      <c r="K32" s="64">
        <v>324.52999999999997</v>
      </c>
      <c r="L32" s="64">
        <v>22.9</v>
      </c>
      <c r="M32" s="64">
        <v>98.33</v>
      </c>
      <c r="N32" s="64">
        <v>50.4</v>
      </c>
      <c r="O32" s="64">
        <v>0</v>
      </c>
      <c r="P32" s="64">
        <v>0.46</v>
      </c>
      <c r="Q32" s="64">
        <v>9.1199999999999992</v>
      </c>
      <c r="R32" s="198"/>
      <c r="S32" s="198"/>
      <c r="T32" s="198"/>
      <c r="U32" s="198"/>
    </row>
    <row r="33" spans="1:21" s="12" customFormat="1" x14ac:dyDescent="0.25">
      <c r="A33" s="211" t="s">
        <v>944</v>
      </c>
      <c r="B33" s="64">
        <v>14.07</v>
      </c>
      <c r="C33" s="64">
        <v>8.34</v>
      </c>
      <c r="D33" s="64">
        <v>15.62</v>
      </c>
      <c r="E33" s="64">
        <v>3.67</v>
      </c>
      <c r="F33" s="64">
        <v>6.4</v>
      </c>
      <c r="G33" s="64">
        <v>60.56</v>
      </c>
      <c r="H33" s="64">
        <v>5.62</v>
      </c>
      <c r="I33" s="64">
        <v>1.82</v>
      </c>
      <c r="J33" s="64">
        <v>0.36</v>
      </c>
      <c r="K33" s="64">
        <v>326.95</v>
      </c>
      <c r="L33" s="64">
        <v>22.88</v>
      </c>
      <c r="M33" s="64">
        <v>98.3</v>
      </c>
      <c r="N33" s="64">
        <v>57.1</v>
      </c>
      <c r="O33" s="64">
        <v>0</v>
      </c>
      <c r="P33" s="64">
        <v>0.47</v>
      </c>
      <c r="Q33" s="64">
        <v>9.1300000000000008</v>
      </c>
      <c r="R33" s="198"/>
      <c r="S33" s="198"/>
      <c r="T33" s="198"/>
      <c r="U33" s="198"/>
    </row>
    <row r="34" spans="1:21" s="12" customFormat="1" x14ac:dyDescent="0.25">
      <c r="A34" s="211" t="s">
        <v>945</v>
      </c>
      <c r="B34" s="64">
        <v>17.22</v>
      </c>
      <c r="C34" s="64">
        <v>6.15</v>
      </c>
      <c r="D34" s="64">
        <v>17.03</v>
      </c>
      <c r="E34" s="64">
        <v>3.75</v>
      </c>
      <c r="F34" s="64">
        <v>8.67</v>
      </c>
      <c r="G34" s="64">
        <v>61.57</v>
      </c>
      <c r="H34" s="64">
        <v>5.62</v>
      </c>
      <c r="I34" s="64">
        <v>1.82</v>
      </c>
      <c r="J34" s="64">
        <v>0.46</v>
      </c>
      <c r="K34" s="64">
        <v>339.36</v>
      </c>
      <c r="L34" s="64">
        <v>22.95</v>
      </c>
      <c r="M34" s="64">
        <v>98.31</v>
      </c>
      <c r="N34" s="64">
        <v>71.599999999999994</v>
      </c>
      <c r="O34" s="64">
        <v>0</v>
      </c>
      <c r="P34" s="64">
        <v>0.48</v>
      </c>
      <c r="Q34" s="64">
        <v>9.14</v>
      </c>
      <c r="R34" s="198"/>
      <c r="S34" s="198"/>
      <c r="T34" s="198"/>
      <c r="U34" s="198"/>
    </row>
    <row r="35" spans="1:21" s="12" customFormat="1" x14ac:dyDescent="0.25">
      <c r="A35" s="211" t="s">
        <v>946</v>
      </c>
      <c r="B35" s="64">
        <v>19.28</v>
      </c>
      <c r="C35" s="64">
        <v>7.08</v>
      </c>
      <c r="D35" s="64">
        <v>19.14</v>
      </c>
      <c r="E35" s="64">
        <v>3.86</v>
      </c>
      <c r="F35" s="64">
        <v>8.24</v>
      </c>
      <c r="G35" s="64">
        <v>61.57</v>
      </c>
      <c r="H35" s="64">
        <v>5.62</v>
      </c>
      <c r="I35" s="64">
        <v>1.83</v>
      </c>
      <c r="J35" s="64">
        <v>0.38</v>
      </c>
      <c r="K35" s="64">
        <v>339.76</v>
      </c>
      <c r="L35" s="64">
        <v>23.27</v>
      </c>
      <c r="M35" s="64">
        <v>98.31</v>
      </c>
      <c r="N35" s="64">
        <v>99.4</v>
      </c>
      <c r="O35" s="64">
        <v>0</v>
      </c>
      <c r="P35" s="64">
        <v>0.52</v>
      </c>
      <c r="Q35" s="64">
        <v>9.16</v>
      </c>
      <c r="R35" s="198"/>
      <c r="S35" s="198"/>
      <c r="T35" s="198"/>
      <c r="U35" s="198"/>
    </row>
    <row r="36" spans="1:21" s="12" customFormat="1" x14ac:dyDescent="0.25">
      <c r="A36" s="211" t="s">
        <v>947</v>
      </c>
      <c r="B36" s="64">
        <v>19.329999999999998</v>
      </c>
      <c r="C36" s="64">
        <v>8.56</v>
      </c>
      <c r="D36" s="64">
        <v>19.98</v>
      </c>
      <c r="E36" s="64">
        <v>3.74</v>
      </c>
      <c r="F36" s="64">
        <v>10.17</v>
      </c>
      <c r="G36" s="64">
        <v>61.57</v>
      </c>
      <c r="H36" s="64">
        <v>5.62</v>
      </c>
      <c r="I36" s="64">
        <v>1.83</v>
      </c>
      <c r="J36" s="64">
        <v>0.47</v>
      </c>
      <c r="K36" s="64">
        <v>333.8</v>
      </c>
      <c r="L36" s="64">
        <v>23.92</v>
      </c>
      <c r="M36" s="64">
        <v>98.26</v>
      </c>
      <c r="N36" s="64">
        <v>146.9</v>
      </c>
      <c r="O36" s="64">
        <v>0</v>
      </c>
      <c r="P36" s="64">
        <v>0.52</v>
      </c>
      <c r="Q36" s="64">
        <v>9.17</v>
      </c>
      <c r="R36" s="198"/>
      <c r="S36" s="198"/>
      <c r="T36" s="198"/>
      <c r="U36" s="198"/>
    </row>
    <row r="37" spans="1:21" s="12" customFormat="1" x14ac:dyDescent="0.25">
      <c r="A37" s="211" t="s">
        <v>948</v>
      </c>
      <c r="B37" s="64">
        <v>18.420000000000002</v>
      </c>
      <c r="C37" s="64">
        <v>5.94</v>
      </c>
      <c r="D37" s="64">
        <v>17.87</v>
      </c>
      <c r="E37" s="64">
        <v>4.24</v>
      </c>
      <c r="F37" s="64">
        <v>9</v>
      </c>
      <c r="G37" s="64">
        <v>72.36</v>
      </c>
      <c r="H37" s="64">
        <v>8.65</v>
      </c>
      <c r="I37" s="64">
        <v>1.84</v>
      </c>
      <c r="J37" s="64">
        <v>0.71</v>
      </c>
      <c r="K37" s="64">
        <v>340.02</v>
      </c>
      <c r="L37" s="64">
        <v>25.59</v>
      </c>
      <c r="M37" s="64">
        <v>98.11</v>
      </c>
      <c r="N37" s="64">
        <v>211.5</v>
      </c>
      <c r="O37" s="64">
        <v>0</v>
      </c>
      <c r="P37" s="64">
        <v>0.55000000000000004</v>
      </c>
      <c r="Q37" s="64">
        <v>9.19</v>
      </c>
      <c r="R37" s="198"/>
      <c r="S37" s="198"/>
      <c r="T37" s="198"/>
      <c r="U37" s="198"/>
    </row>
    <row r="38" spans="1:21" s="12" customFormat="1" x14ac:dyDescent="0.25">
      <c r="A38" s="211" t="s">
        <v>949</v>
      </c>
      <c r="B38" s="64">
        <v>21.74</v>
      </c>
      <c r="C38" s="64">
        <v>8.7100000000000009</v>
      </c>
      <c r="D38" s="64">
        <v>21.99</v>
      </c>
      <c r="E38" s="64">
        <v>3.98</v>
      </c>
      <c r="F38" s="64">
        <v>9.07</v>
      </c>
      <c r="G38" s="64">
        <v>73.13</v>
      </c>
      <c r="H38" s="64">
        <v>8.65</v>
      </c>
      <c r="I38" s="64">
        <v>1.86</v>
      </c>
      <c r="J38" s="64">
        <v>0.5</v>
      </c>
      <c r="K38" s="64">
        <v>336.2</v>
      </c>
      <c r="L38" s="64">
        <v>27.4</v>
      </c>
      <c r="M38" s="64">
        <v>96.07</v>
      </c>
      <c r="N38" s="64">
        <v>268.8</v>
      </c>
      <c r="O38" s="64">
        <v>0</v>
      </c>
      <c r="P38" s="64">
        <v>0.66</v>
      </c>
      <c r="Q38" s="64">
        <v>9.2200000000000006</v>
      </c>
      <c r="R38" s="198"/>
      <c r="S38" s="198"/>
      <c r="T38" s="198"/>
      <c r="U38" s="198"/>
    </row>
    <row r="39" spans="1:21" s="12" customFormat="1" x14ac:dyDescent="0.25">
      <c r="A39" s="211" t="s">
        <v>950</v>
      </c>
      <c r="B39" s="64">
        <v>28.37</v>
      </c>
      <c r="C39" s="64">
        <v>14.01</v>
      </c>
      <c r="D39" s="64">
        <v>30.02</v>
      </c>
      <c r="E39" s="64">
        <v>4.5</v>
      </c>
      <c r="F39" s="64">
        <v>9.83</v>
      </c>
      <c r="G39" s="64">
        <v>73.13</v>
      </c>
      <c r="H39" s="64">
        <v>8.65</v>
      </c>
      <c r="I39" s="64">
        <v>1.87</v>
      </c>
      <c r="J39" s="64">
        <v>0.39</v>
      </c>
      <c r="K39" s="64">
        <v>347.24</v>
      </c>
      <c r="L39" s="64">
        <v>28.92</v>
      </c>
      <c r="M39" s="64">
        <v>87.76</v>
      </c>
      <c r="N39" s="64">
        <v>316.7</v>
      </c>
      <c r="O39" s="64">
        <v>0</v>
      </c>
      <c r="P39" s="64">
        <v>0.86</v>
      </c>
      <c r="Q39" s="64">
        <v>9.25</v>
      </c>
      <c r="R39" s="198"/>
      <c r="S39" s="198"/>
      <c r="T39" s="198"/>
      <c r="U39" s="198"/>
    </row>
    <row r="40" spans="1:21" s="12" customFormat="1" x14ac:dyDescent="0.25">
      <c r="A40" s="211" t="s">
        <v>951</v>
      </c>
      <c r="B40" s="64">
        <v>25.53</v>
      </c>
      <c r="C40" s="64">
        <v>14.19</v>
      </c>
      <c r="D40" s="64">
        <v>27.89</v>
      </c>
      <c r="E40" s="64">
        <v>5.51</v>
      </c>
      <c r="F40" s="64">
        <v>8.83</v>
      </c>
      <c r="G40" s="64">
        <v>73.13</v>
      </c>
      <c r="H40" s="64">
        <v>8.65</v>
      </c>
      <c r="I40" s="64">
        <v>1.89</v>
      </c>
      <c r="J40" s="64">
        <v>0.23</v>
      </c>
      <c r="K40" s="64">
        <v>337.47</v>
      </c>
      <c r="L40" s="64">
        <v>29.78</v>
      </c>
      <c r="M40" s="64">
        <v>83.68</v>
      </c>
      <c r="N40" s="64">
        <v>369</v>
      </c>
      <c r="O40" s="64">
        <v>0</v>
      </c>
      <c r="P40" s="64">
        <v>0.9</v>
      </c>
      <c r="Q40" s="64">
        <v>9.27</v>
      </c>
      <c r="R40" s="198"/>
      <c r="S40" s="198"/>
      <c r="T40" s="198"/>
      <c r="U40" s="198"/>
    </row>
    <row r="41" spans="1:21" s="12" customFormat="1" x14ac:dyDescent="0.25">
      <c r="A41" s="211" t="s">
        <v>952</v>
      </c>
      <c r="B41" s="64">
        <v>29.46</v>
      </c>
      <c r="C41" s="64">
        <v>17.14</v>
      </c>
      <c r="D41" s="64">
        <v>32.42</v>
      </c>
      <c r="E41" s="64">
        <v>5.58</v>
      </c>
      <c r="F41" s="64">
        <v>9.7899999999999991</v>
      </c>
      <c r="G41" s="64">
        <v>200.71</v>
      </c>
      <c r="H41" s="64">
        <v>7.21</v>
      </c>
      <c r="I41" s="64">
        <v>1.91</v>
      </c>
      <c r="J41" s="64">
        <v>0.26</v>
      </c>
      <c r="K41" s="64">
        <v>342.46</v>
      </c>
      <c r="L41" s="64">
        <v>30.39</v>
      </c>
      <c r="M41" s="64">
        <v>80.38</v>
      </c>
      <c r="N41" s="64">
        <v>417</v>
      </c>
      <c r="O41" s="64">
        <v>0</v>
      </c>
      <c r="P41" s="64">
        <v>1.05</v>
      </c>
      <c r="Q41" s="64">
        <v>9.3000000000000007</v>
      </c>
      <c r="R41" s="198"/>
      <c r="S41" s="198"/>
      <c r="T41" s="198"/>
      <c r="U41" s="198"/>
    </row>
    <row r="42" spans="1:21" s="12" customFormat="1" x14ac:dyDescent="0.25">
      <c r="A42" s="211" t="s">
        <v>953</v>
      </c>
      <c r="B42" s="64">
        <v>20.260000000000002</v>
      </c>
      <c r="C42" s="64">
        <v>20.5</v>
      </c>
      <c r="D42" s="64">
        <v>26.95</v>
      </c>
      <c r="E42" s="64">
        <v>5.47</v>
      </c>
      <c r="F42" s="64">
        <v>10.49</v>
      </c>
      <c r="G42" s="64">
        <v>209.82</v>
      </c>
      <c r="H42" s="64">
        <v>7.21</v>
      </c>
      <c r="I42" s="64">
        <v>1.94</v>
      </c>
      <c r="J42" s="64">
        <v>0.31</v>
      </c>
      <c r="K42" s="64">
        <v>139.82</v>
      </c>
      <c r="L42" s="64">
        <v>30.13</v>
      </c>
      <c r="M42" s="64">
        <v>80.95</v>
      </c>
      <c r="N42" s="64">
        <v>455.2</v>
      </c>
      <c r="O42" s="64">
        <v>0</v>
      </c>
      <c r="P42" s="64">
        <v>1.0900000000000001</v>
      </c>
      <c r="Q42" s="64">
        <v>9.33</v>
      </c>
      <c r="R42" s="198"/>
      <c r="S42" s="198"/>
      <c r="T42" s="198"/>
      <c r="U42" s="198"/>
    </row>
    <row r="43" spans="1:21" s="12" customFormat="1" x14ac:dyDescent="0.25">
      <c r="A43" s="211" t="s">
        <v>954</v>
      </c>
      <c r="B43" s="64">
        <v>20.52</v>
      </c>
      <c r="C43" s="64">
        <v>20.02</v>
      </c>
      <c r="D43" s="64">
        <v>26.91</v>
      </c>
      <c r="E43" s="64">
        <v>6.03</v>
      </c>
      <c r="F43" s="64">
        <v>10.34</v>
      </c>
      <c r="G43" s="64">
        <v>209.82</v>
      </c>
      <c r="H43" s="64">
        <v>7.21</v>
      </c>
      <c r="I43" s="64">
        <v>1.98</v>
      </c>
      <c r="J43" s="64">
        <v>0.18</v>
      </c>
      <c r="K43" s="64">
        <v>120.48</v>
      </c>
      <c r="L43" s="64">
        <v>29.45</v>
      </c>
      <c r="M43" s="64">
        <v>84.92</v>
      </c>
      <c r="N43" s="64">
        <v>432.8</v>
      </c>
      <c r="O43" s="64">
        <v>0</v>
      </c>
      <c r="P43" s="64">
        <v>0.98</v>
      </c>
      <c r="Q43" s="64">
        <v>9.34</v>
      </c>
      <c r="R43" s="198"/>
      <c r="S43" s="198"/>
      <c r="T43" s="198"/>
      <c r="U43" s="198"/>
    </row>
    <row r="44" spans="1:21" s="12" customFormat="1" x14ac:dyDescent="0.25">
      <c r="A44" s="211" t="s">
        <v>955</v>
      </c>
      <c r="B44" s="64">
        <v>19.690000000000001</v>
      </c>
      <c r="C44" s="64">
        <v>20.440000000000001</v>
      </c>
      <c r="D44" s="64">
        <v>26.47</v>
      </c>
      <c r="E44" s="64">
        <v>6.46</v>
      </c>
      <c r="F44" s="64">
        <v>12.83</v>
      </c>
      <c r="G44" s="64">
        <v>209.82</v>
      </c>
      <c r="H44" s="64">
        <v>7.21</v>
      </c>
      <c r="I44" s="64">
        <v>2.0299999999999998</v>
      </c>
      <c r="J44" s="64">
        <v>0.12</v>
      </c>
      <c r="K44" s="64">
        <v>176.43</v>
      </c>
      <c r="L44" s="64">
        <v>30</v>
      </c>
      <c r="M44" s="64">
        <v>82.96</v>
      </c>
      <c r="N44" s="64">
        <v>434.8</v>
      </c>
      <c r="O44" s="64">
        <v>0</v>
      </c>
      <c r="P44" s="64">
        <v>0.94</v>
      </c>
      <c r="Q44" s="64">
        <v>9.36</v>
      </c>
      <c r="R44" s="198"/>
      <c r="S44" s="198"/>
      <c r="T44" s="198"/>
      <c r="U44" s="198"/>
    </row>
    <row r="45" spans="1:21" s="12" customFormat="1" x14ac:dyDescent="0.25">
      <c r="A45" s="211" t="s">
        <v>956</v>
      </c>
      <c r="B45" s="64">
        <v>16.37</v>
      </c>
      <c r="C45" s="64">
        <v>22.71</v>
      </c>
      <c r="D45" s="64">
        <v>24.99</v>
      </c>
      <c r="E45" s="64">
        <v>6.09</v>
      </c>
      <c r="F45" s="64">
        <v>9.15</v>
      </c>
      <c r="G45" s="64">
        <v>247.54</v>
      </c>
      <c r="H45" s="64">
        <v>6.2</v>
      </c>
      <c r="I45" s="64">
        <v>2.0699999999999998</v>
      </c>
      <c r="J45" s="64">
        <v>0.31</v>
      </c>
      <c r="K45" s="64">
        <v>130.29</v>
      </c>
      <c r="L45" s="64">
        <v>29.46</v>
      </c>
      <c r="M45" s="64">
        <v>84.51</v>
      </c>
      <c r="N45" s="64">
        <v>458.8</v>
      </c>
      <c r="O45" s="64">
        <v>0</v>
      </c>
      <c r="P45" s="64">
        <v>0.89</v>
      </c>
      <c r="Q45" s="64">
        <v>9.36</v>
      </c>
      <c r="R45" s="198"/>
      <c r="S45" s="198"/>
      <c r="T45" s="198"/>
      <c r="U45" s="198"/>
    </row>
    <row r="46" spans="1:21" s="12" customFormat="1" x14ac:dyDescent="0.25">
      <c r="A46" s="211" t="s">
        <v>957</v>
      </c>
      <c r="B46" s="64">
        <v>14.66</v>
      </c>
      <c r="C46" s="64">
        <v>24.99</v>
      </c>
      <c r="D46" s="64">
        <v>24.81</v>
      </c>
      <c r="E46" s="64">
        <v>6.23</v>
      </c>
      <c r="F46" s="64">
        <v>11.72</v>
      </c>
      <c r="G46" s="64">
        <v>250.24</v>
      </c>
      <c r="H46" s="64">
        <v>6.2</v>
      </c>
      <c r="I46" s="64">
        <v>2.1</v>
      </c>
      <c r="J46" s="64">
        <v>0.44</v>
      </c>
      <c r="K46" s="64">
        <v>129.79</v>
      </c>
      <c r="L46" s="64">
        <v>29.35</v>
      </c>
      <c r="M46" s="64">
        <v>86.84</v>
      </c>
      <c r="N46" s="64">
        <v>340.8</v>
      </c>
      <c r="O46" s="64">
        <v>0</v>
      </c>
      <c r="P46" s="64">
        <v>0.98</v>
      </c>
      <c r="Q46" s="64">
        <v>9.35</v>
      </c>
      <c r="R46" s="198"/>
      <c r="S46" s="198"/>
      <c r="T46" s="198"/>
      <c r="U46" s="198"/>
    </row>
    <row r="47" spans="1:21" s="12" customFormat="1" x14ac:dyDescent="0.25">
      <c r="A47" s="211" t="s">
        <v>958</v>
      </c>
      <c r="B47" s="64">
        <v>21</v>
      </c>
      <c r="C47" s="64">
        <v>30.14</v>
      </c>
      <c r="D47" s="64">
        <v>32.590000000000003</v>
      </c>
      <c r="E47" s="64">
        <v>5.93</v>
      </c>
      <c r="F47" s="64">
        <v>12.87</v>
      </c>
      <c r="G47" s="64">
        <v>250.24</v>
      </c>
      <c r="H47" s="64">
        <v>6.2</v>
      </c>
      <c r="I47" s="64">
        <v>2.12</v>
      </c>
      <c r="J47" s="64">
        <v>0.06</v>
      </c>
      <c r="K47" s="64">
        <v>109.35</v>
      </c>
      <c r="L47" s="64">
        <v>28.72</v>
      </c>
      <c r="M47" s="64">
        <v>89.16</v>
      </c>
      <c r="N47" s="64">
        <v>282.60000000000002</v>
      </c>
      <c r="O47" s="64">
        <v>0</v>
      </c>
      <c r="P47" s="64">
        <v>1.2</v>
      </c>
      <c r="Q47" s="64">
        <v>9.32</v>
      </c>
      <c r="R47" s="198"/>
      <c r="S47" s="198"/>
      <c r="T47" s="198"/>
      <c r="U47" s="198"/>
    </row>
    <row r="48" spans="1:21" s="12" customFormat="1" x14ac:dyDescent="0.25">
      <c r="A48" s="211" t="s">
        <v>959</v>
      </c>
      <c r="B48" s="64">
        <v>22.11</v>
      </c>
      <c r="C48" s="64">
        <v>32.700000000000003</v>
      </c>
      <c r="D48" s="64">
        <v>34.81</v>
      </c>
      <c r="E48" s="64">
        <v>6.39</v>
      </c>
      <c r="F48" s="64">
        <v>12.38</v>
      </c>
      <c r="G48" s="64">
        <v>250.24</v>
      </c>
      <c r="H48" s="64">
        <v>6.2</v>
      </c>
      <c r="I48" s="64">
        <v>2.14</v>
      </c>
      <c r="J48" s="64">
        <v>0.21</v>
      </c>
      <c r="K48" s="64">
        <v>353.73</v>
      </c>
      <c r="L48" s="64">
        <v>29.2</v>
      </c>
      <c r="M48" s="64">
        <v>86.8</v>
      </c>
      <c r="N48" s="64">
        <v>283</v>
      </c>
      <c r="O48" s="64">
        <v>0</v>
      </c>
      <c r="P48" s="64">
        <v>1.27</v>
      </c>
      <c r="Q48" s="64">
        <v>9.33</v>
      </c>
      <c r="R48" s="198"/>
      <c r="S48" s="198"/>
      <c r="T48" s="198"/>
      <c r="U48" s="198"/>
    </row>
    <row r="49" spans="1:21" s="12" customFormat="1" x14ac:dyDescent="0.25">
      <c r="A49" s="211" t="s">
        <v>960</v>
      </c>
      <c r="B49" s="64">
        <v>13.12</v>
      </c>
      <c r="C49" s="64">
        <v>28.07</v>
      </c>
      <c r="D49" s="64">
        <v>25.19</v>
      </c>
      <c r="E49" s="64">
        <v>6.32</v>
      </c>
      <c r="F49" s="64">
        <v>18.03</v>
      </c>
      <c r="G49" s="64">
        <v>205.18</v>
      </c>
      <c r="H49" s="64">
        <v>5.54</v>
      </c>
      <c r="I49" s="64">
        <v>2.1800000000000002</v>
      </c>
      <c r="J49" s="64">
        <v>0.54</v>
      </c>
      <c r="K49" s="64">
        <v>134.04</v>
      </c>
      <c r="L49" s="64">
        <v>28.9</v>
      </c>
      <c r="M49" s="64">
        <v>87.93</v>
      </c>
      <c r="N49" s="64">
        <v>563.9</v>
      </c>
      <c r="O49" s="64">
        <v>0</v>
      </c>
      <c r="P49" s="64">
        <v>0.99</v>
      </c>
      <c r="Q49" s="64">
        <v>9.35</v>
      </c>
      <c r="R49" s="198"/>
      <c r="S49" s="198"/>
      <c r="T49" s="198"/>
      <c r="U49" s="198"/>
    </row>
    <row r="50" spans="1:21" s="12" customFormat="1" x14ac:dyDescent="0.25">
      <c r="A50" s="211" t="s">
        <v>961</v>
      </c>
      <c r="B50" s="64">
        <v>12.4</v>
      </c>
      <c r="C50" s="64">
        <v>24.84</v>
      </c>
      <c r="D50" s="64">
        <v>22.93</v>
      </c>
      <c r="E50" s="64">
        <v>5.76</v>
      </c>
      <c r="F50" s="64">
        <v>13.68</v>
      </c>
      <c r="G50" s="64">
        <v>201.96</v>
      </c>
      <c r="H50" s="64">
        <v>5.54</v>
      </c>
      <c r="I50" s="64">
        <v>2.21</v>
      </c>
      <c r="J50" s="64">
        <v>0.52</v>
      </c>
      <c r="K50" s="64">
        <v>142.18</v>
      </c>
      <c r="L50" s="64">
        <v>29.01</v>
      </c>
      <c r="M50" s="64">
        <v>88.42</v>
      </c>
      <c r="N50" s="64">
        <v>622.1</v>
      </c>
      <c r="O50" s="64">
        <v>0</v>
      </c>
      <c r="P50" s="64">
        <v>0.89</v>
      </c>
      <c r="Q50" s="64">
        <v>9.35</v>
      </c>
      <c r="R50" s="198"/>
      <c r="S50" s="198"/>
      <c r="T50" s="198"/>
      <c r="U50" s="198"/>
    </row>
    <row r="51" spans="1:21" s="12" customFormat="1" x14ac:dyDescent="0.25">
      <c r="A51" s="211" t="s">
        <v>962</v>
      </c>
      <c r="B51" s="64">
        <v>15.62</v>
      </c>
      <c r="C51" s="64">
        <v>16.239999999999998</v>
      </c>
      <c r="D51" s="64">
        <v>21.01</v>
      </c>
      <c r="E51" s="64">
        <v>7.15</v>
      </c>
      <c r="F51" s="64">
        <v>12.06</v>
      </c>
      <c r="G51" s="64">
        <v>201.96</v>
      </c>
      <c r="H51" s="64">
        <v>5.54</v>
      </c>
      <c r="I51" s="64">
        <v>2.2400000000000002</v>
      </c>
      <c r="J51" s="64">
        <v>0.09</v>
      </c>
      <c r="K51" s="64">
        <v>282.97000000000003</v>
      </c>
      <c r="L51" s="64">
        <v>29.76</v>
      </c>
      <c r="M51" s="64">
        <v>86.28</v>
      </c>
      <c r="N51" s="64">
        <v>321.3</v>
      </c>
      <c r="O51" s="64">
        <v>0</v>
      </c>
      <c r="P51" s="64">
        <v>0.88</v>
      </c>
      <c r="Q51" s="64">
        <v>9.33</v>
      </c>
      <c r="R51" s="198"/>
      <c r="S51" s="198"/>
      <c r="T51" s="198"/>
      <c r="U51" s="198"/>
    </row>
    <row r="52" spans="1:21" s="12" customFormat="1" x14ac:dyDescent="0.25">
      <c r="A52" s="211" t="s">
        <v>963</v>
      </c>
      <c r="B52" s="64">
        <v>12.08</v>
      </c>
      <c r="C52" s="64">
        <v>29.74</v>
      </c>
      <c r="D52" s="64">
        <v>25.23</v>
      </c>
      <c r="E52" s="64">
        <v>6.42</v>
      </c>
      <c r="F52" s="64">
        <v>13.77</v>
      </c>
      <c r="G52" s="64">
        <v>201.96</v>
      </c>
      <c r="H52" s="64">
        <v>5.54</v>
      </c>
      <c r="I52" s="64">
        <v>2.2599999999999998</v>
      </c>
      <c r="J52" s="64">
        <v>0.01</v>
      </c>
      <c r="K52" s="64">
        <v>9.7799999999999994</v>
      </c>
      <c r="L52" s="64">
        <v>29.22</v>
      </c>
      <c r="M52" s="64">
        <v>87.61</v>
      </c>
      <c r="N52" s="64">
        <v>115.1</v>
      </c>
      <c r="O52" s="64">
        <v>0</v>
      </c>
      <c r="P52" s="64">
        <v>1.1299999999999999</v>
      </c>
      <c r="Q52" s="64">
        <v>9.31</v>
      </c>
      <c r="R52" s="198"/>
      <c r="S52" s="198"/>
      <c r="T52" s="198"/>
      <c r="U52" s="198"/>
    </row>
    <row r="53" spans="1:21" s="12" customFormat="1" x14ac:dyDescent="0.25">
      <c r="A53" s="211" t="s">
        <v>964</v>
      </c>
      <c r="B53" s="64">
        <v>13.71</v>
      </c>
      <c r="C53" s="64">
        <v>26.08</v>
      </c>
      <c r="D53" s="64">
        <v>24.62</v>
      </c>
      <c r="E53" s="64">
        <v>6.09</v>
      </c>
      <c r="F53" s="64">
        <v>13.07</v>
      </c>
      <c r="G53" s="64">
        <v>160.65</v>
      </c>
      <c r="H53" s="64">
        <v>11.01</v>
      </c>
      <c r="I53" s="64">
        <v>2.2799999999999998</v>
      </c>
      <c r="J53" s="64">
        <v>0.03</v>
      </c>
      <c r="K53" s="64">
        <v>155.58000000000001</v>
      </c>
      <c r="L53" s="64">
        <v>28.22</v>
      </c>
      <c r="M53" s="64">
        <v>93.24</v>
      </c>
      <c r="N53" s="64">
        <v>99.8</v>
      </c>
      <c r="O53" s="64">
        <v>0</v>
      </c>
      <c r="P53" s="64">
        <v>0.97</v>
      </c>
      <c r="Q53" s="64">
        <v>9.2899999999999991</v>
      </c>
      <c r="R53" s="198"/>
      <c r="S53" s="198"/>
      <c r="T53" s="198"/>
      <c r="U53" s="198"/>
    </row>
    <row r="54" spans="1:21" s="12" customFormat="1" x14ac:dyDescent="0.25">
      <c r="A54" s="211" t="s">
        <v>965</v>
      </c>
      <c r="B54" s="64">
        <v>18.579999999999998</v>
      </c>
      <c r="C54" s="64">
        <v>32.74</v>
      </c>
      <c r="D54" s="64">
        <v>32.01</v>
      </c>
      <c r="E54" s="64">
        <v>5.83</v>
      </c>
      <c r="F54" s="64">
        <v>12.54</v>
      </c>
      <c r="G54" s="64">
        <v>157.69999999999999</v>
      </c>
      <c r="H54" s="64">
        <v>11.01</v>
      </c>
      <c r="I54" s="64">
        <v>2.2999999999999998</v>
      </c>
      <c r="J54" s="64">
        <v>0.12</v>
      </c>
      <c r="K54" s="64">
        <v>144.91</v>
      </c>
      <c r="L54" s="64">
        <v>28.16</v>
      </c>
      <c r="M54" s="64">
        <v>93.64</v>
      </c>
      <c r="N54" s="64">
        <v>141.5</v>
      </c>
      <c r="O54" s="64">
        <v>0</v>
      </c>
      <c r="P54" s="64">
        <v>1.1499999999999999</v>
      </c>
      <c r="Q54" s="64">
        <v>9.2799999999999994</v>
      </c>
      <c r="R54" s="198"/>
      <c r="S54" s="198"/>
      <c r="T54" s="198"/>
      <c r="U54" s="198"/>
    </row>
    <row r="55" spans="1:21" s="12" customFormat="1" x14ac:dyDescent="0.25">
      <c r="A55" s="211" t="s">
        <v>966</v>
      </c>
      <c r="B55" s="64">
        <v>9.6300000000000008</v>
      </c>
      <c r="C55" s="64">
        <v>20.85</v>
      </c>
      <c r="D55" s="64">
        <v>18.61</v>
      </c>
      <c r="E55" s="64">
        <v>5.75</v>
      </c>
      <c r="F55" s="64">
        <v>16.27</v>
      </c>
      <c r="G55" s="64">
        <v>157.69999999999999</v>
      </c>
      <c r="H55" s="64">
        <v>11.01</v>
      </c>
      <c r="I55" s="64">
        <v>2.31</v>
      </c>
      <c r="J55" s="64">
        <v>0.47</v>
      </c>
      <c r="K55" s="64">
        <v>147.44</v>
      </c>
      <c r="L55" s="64">
        <v>28.01</v>
      </c>
      <c r="M55" s="64">
        <v>91.8</v>
      </c>
      <c r="N55" s="64">
        <v>357</v>
      </c>
      <c r="O55" s="64">
        <v>0</v>
      </c>
      <c r="P55" s="64">
        <v>0.66</v>
      </c>
      <c r="Q55" s="64">
        <v>9.27</v>
      </c>
      <c r="R55" s="198"/>
      <c r="S55" s="198"/>
      <c r="T55" s="198"/>
      <c r="U55" s="198"/>
    </row>
    <row r="56" spans="1:21" s="12" customFormat="1" x14ac:dyDescent="0.25">
      <c r="A56" s="211" t="s">
        <v>967</v>
      </c>
      <c r="B56" s="64">
        <v>11.1</v>
      </c>
      <c r="C56" s="64">
        <v>19.760000000000002</v>
      </c>
      <c r="D56" s="64">
        <v>19.23</v>
      </c>
      <c r="E56" s="64">
        <v>6.79</v>
      </c>
      <c r="F56" s="64">
        <v>21.04</v>
      </c>
      <c r="G56" s="64">
        <v>157.69999999999999</v>
      </c>
      <c r="H56" s="64">
        <v>11.01</v>
      </c>
      <c r="I56" s="64">
        <v>2.3199999999999998</v>
      </c>
      <c r="J56" s="64">
        <v>0.71</v>
      </c>
      <c r="K56" s="64">
        <v>135.76</v>
      </c>
      <c r="L56" s="64">
        <v>29.33</v>
      </c>
      <c r="M56" s="64">
        <v>84.4</v>
      </c>
      <c r="N56" s="64">
        <v>723.9</v>
      </c>
      <c r="O56" s="64">
        <v>0</v>
      </c>
      <c r="P56" s="64">
        <v>0.66</v>
      </c>
      <c r="Q56" s="64">
        <v>9.27</v>
      </c>
      <c r="R56" s="198"/>
      <c r="S56" s="198"/>
      <c r="T56" s="198"/>
      <c r="U56" s="198"/>
    </row>
    <row r="57" spans="1:21" s="12" customFormat="1" x14ac:dyDescent="0.25">
      <c r="A57" s="211" t="s">
        <v>968</v>
      </c>
      <c r="B57" s="64">
        <v>11.05</v>
      </c>
      <c r="C57" s="64">
        <v>16.739999999999998</v>
      </c>
      <c r="D57" s="64">
        <v>17.61</v>
      </c>
      <c r="E57" s="64">
        <v>6.43</v>
      </c>
      <c r="F57" s="64">
        <v>19.309999999999999</v>
      </c>
      <c r="G57" s="64">
        <v>156.9</v>
      </c>
      <c r="H57" s="64">
        <v>9.74</v>
      </c>
      <c r="I57" s="64">
        <v>2.31</v>
      </c>
      <c r="J57" s="64">
        <v>0.1</v>
      </c>
      <c r="K57" s="64">
        <v>307.45999999999998</v>
      </c>
      <c r="L57" s="64">
        <v>29.95</v>
      </c>
      <c r="M57" s="64">
        <v>79.180000000000007</v>
      </c>
      <c r="N57" s="64">
        <v>173.1</v>
      </c>
      <c r="O57" s="64">
        <v>0</v>
      </c>
      <c r="P57" s="64">
        <v>0.68</v>
      </c>
      <c r="Q57" s="64">
        <v>9.2799999999999994</v>
      </c>
      <c r="R57" s="198"/>
      <c r="S57" s="198"/>
      <c r="T57" s="198"/>
      <c r="U57" s="198"/>
    </row>
    <row r="58" spans="1:21" s="12" customFormat="1" x14ac:dyDescent="0.25">
      <c r="A58" s="211" t="s">
        <v>969</v>
      </c>
      <c r="B58" s="64">
        <v>13.66</v>
      </c>
      <c r="C58" s="64">
        <v>15.14</v>
      </c>
      <c r="D58" s="64">
        <v>18.86</v>
      </c>
      <c r="E58" s="64">
        <v>6.92</v>
      </c>
      <c r="F58" s="64">
        <v>14.7</v>
      </c>
      <c r="G58" s="64">
        <v>156.85</v>
      </c>
      <c r="H58" s="64">
        <v>9.74</v>
      </c>
      <c r="I58" s="64">
        <v>2.29</v>
      </c>
      <c r="J58" s="64">
        <v>0.76</v>
      </c>
      <c r="K58" s="64">
        <v>337.7</v>
      </c>
      <c r="L58" s="64">
        <v>28.89</v>
      </c>
      <c r="M58" s="64">
        <v>83.15</v>
      </c>
      <c r="N58" s="64">
        <v>119</v>
      </c>
      <c r="O58" s="64">
        <v>0</v>
      </c>
      <c r="P58" s="64">
        <v>0.71</v>
      </c>
      <c r="Q58" s="64">
        <v>9.27</v>
      </c>
      <c r="R58" s="198"/>
      <c r="S58" s="198"/>
      <c r="T58" s="198"/>
      <c r="U58" s="198"/>
    </row>
    <row r="59" spans="1:21" s="12" customFormat="1" x14ac:dyDescent="0.25">
      <c r="A59" s="211" t="s">
        <v>970</v>
      </c>
      <c r="B59" s="64">
        <v>9.02</v>
      </c>
      <c r="C59" s="64">
        <v>15.44</v>
      </c>
      <c r="D59" s="64">
        <v>15.31</v>
      </c>
      <c r="E59" s="64">
        <v>6.96</v>
      </c>
      <c r="F59" s="64">
        <v>3.29</v>
      </c>
      <c r="G59" s="64">
        <v>156.85</v>
      </c>
      <c r="H59" s="64">
        <v>9.74</v>
      </c>
      <c r="I59" s="64">
        <v>2.2599999999999998</v>
      </c>
      <c r="J59" s="64">
        <v>0.87</v>
      </c>
      <c r="K59" s="64">
        <v>126.95</v>
      </c>
      <c r="L59" s="64">
        <v>26.72</v>
      </c>
      <c r="M59" s="64">
        <v>87.14</v>
      </c>
      <c r="N59" s="64">
        <v>697.5</v>
      </c>
      <c r="O59" s="64">
        <v>0</v>
      </c>
      <c r="P59" s="64">
        <v>0.61</v>
      </c>
      <c r="Q59" s="64">
        <v>9.1999999999999993</v>
      </c>
      <c r="R59" s="198"/>
      <c r="S59" s="198"/>
      <c r="T59" s="198"/>
      <c r="U59" s="198"/>
    </row>
    <row r="60" spans="1:21" s="12" customFormat="1" x14ac:dyDescent="0.25">
      <c r="A60" s="211" t="s">
        <v>971</v>
      </c>
      <c r="B60" s="64">
        <v>6.91</v>
      </c>
      <c r="C60" s="64">
        <v>14.42</v>
      </c>
      <c r="D60" s="64">
        <v>13.07</v>
      </c>
      <c r="E60" s="64">
        <v>6.41</v>
      </c>
      <c r="F60" s="64">
        <v>2.68</v>
      </c>
      <c r="G60" s="64">
        <v>156.85</v>
      </c>
      <c r="H60" s="64">
        <v>9.74</v>
      </c>
      <c r="I60" s="64">
        <v>2.13</v>
      </c>
      <c r="J60" s="64">
        <v>1.22</v>
      </c>
      <c r="K60" s="64">
        <v>127.85</v>
      </c>
      <c r="L60" s="64">
        <v>26.53</v>
      </c>
      <c r="M60" s="64">
        <v>83.82</v>
      </c>
      <c r="N60" s="64">
        <v>819.6</v>
      </c>
      <c r="O60" s="64">
        <v>0</v>
      </c>
      <c r="P60" s="64">
        <v>0.45</v>
      </c>
      <c r="Q60" s="64">
        <v>9.1300000000000008</v>
      </c>
      <c r="R60" s="198"/>
      <c r="S60" s="198"/>
      <c r="T60" s="198"/>
      <c r="U60" s="198"/>
    </row>
    <row r="61" spans="1:21" s="12" customFormat="1" x14ac:dyDescent="0.25">
      <c r="A61" s="211" t="s">
        <v>972</v>
      </c>
      <c r="B61" s="64">
        <v>5.89</v>
      </c>
      <c r="C61" s="64">
        <v>13.97</v>
      </c>
      <c r="D61" s="64">
        <v>12.02</v>
      </c>
      <c r="E61" s="64">
        <v>6.27</v>
      </c>
      <c r="F61" s="64">
        <v>2.79</v>
      </c>
      <c r="G61" s="64">
        <v>31.75</v>
      </c>
      <c r="H61" s="64">
        <v>7.97</v>
      </c>
      <c r="I61" s="64">
        <v>1.91</v>
      </c>
      <c r="J61" s="64">
        <v>1.36</v>
      </c>
      <c r="K61" s="64">
        <v>122.22</v>
      </c>
      <c r="L61" s="64">
        <v>27.29</v>
      </c>
      <c r="M61" s="64">
        <v>77.739999999999995</v>
      </c>
      <c r="N61" s="64">
        <v>736.6</v>
      </c>
      <c r="O61" s="64">
        <v>0</v>
      </c>
      <c r="P61" s="64">
        <v>0.4</v>
      </c>
      <c r="Q61" s="64">
        <v>9.09</v>
      </c>
      <c r="R61" s="198"/>
      <c r="S61" s="198"/>
      <c r="T61" s="198"/>
      <c r="U61" s="198"/>
    </row>
    <row r="62" spans="1:21" s="12" customFormat="1" x14ac:dyDescent="0.25">
      <c r="A62" s="211" t="s">
        <v>973</v>
      </c>
      <c r="B62" s="64">
        <v>5.62</v>
      </c>
      <c r="C62" s="64">
        <v>15.99</v>
      </c>
      <c r="D62" s="64">
        <v>12.86</v>
      </c>
      <c r="E62" s="64">
        <v>6.11</v>
      </c>
      <c r="F62" s="64">
        <v>10.49</v>
      </c>
      <c r="G62" s="64">
        <v>22.82</v>
      </c>
      <c r="H62" s="64">
        <v>7.97</v>
      </c>
      <c r="I62" s="64">
        <v>1.75</v>
      </c>
      <c r="J62" s="64">
        <v>0.53</v>
      </c>
      <c r="K62" s="64">
        <v>116.08</v>
      </c>
      <c r="L62" s="64">
        <v>28.17</v>
      </c>
      <c r="M62" s="64">
        <v>74.12</v>
      </c>
      <c r="N62" s="64">
        <v>272.60000000000002</v>
      </c>
      <c r="O62" s="64">
        <v>0</v>
      </c>
      <c r="P62" s="64">
        <v>0.35</v>
      </c>
      <c r="Q62" s="64">
        <v>9.07</v>
      </c>
      <c r="R62" s="198"/>
      <c r="S62" s="198"/>
      <c r="T62" s="198"/>
      <c r="U62" s="198"/>
    </row>
    <row r="63" spans="1:21" s="12" customFormat="1" x14ac:dyDescent="0.25">
      <c r="A63" s="211" t="s">
        <v>974</v>
      </c>
      <c r="B63" s="64">
        <v>5.41</v>
      </c>
      <c r="C63" s="64">
        <v>17.149999999999999</v>
      </c>
      <c r="D63" s="64">
        <v>13.3</v>
      </c>
      <c r="E63" s="64">
        <v>5.97</v>
      </c>
      <c r="F63" s="64">
        <v>30.58</v>
      </c>
      <c r="G63" s="64">
        <v>22.82</v>
      </c>
      <c r="H63" s="64">
        <v>7.97</v>
      </c>
      <c r="I63" s="64">
        <v>1.59</v>
      </c>
      <c r="J63" s="64">
        <v>0.59</v>
      </c>
      <c r="K63" s="64">
        <v>117.42</v>
      </c>
      <c r="L63" s="64">
        <v>28.78</v>
      </c>
      <c r="M63" s="64">
        <v>66.8</v>
      </c>
      <c r="N63" s="64">
        <v>232.9</v>
      </c>
      <c r="O63" s="64">
        <v>0</v>
      </c>
      <c r="P63" s="64">
        <v>0.32</v>
      </c>
      <c r="Q63" s="64">
        <v>9.0399999999999991</v>
      </c>
      <c r="R63" s="198"/>
      <c r="S63" s="198"/>
      <c r="T63" s="198"/>
      <c r="U63" s="198"/>
    </row>
    <row r="64" spans="1:21" s="12" customFormat="1" x14ac:dyDescent="0.25">
      <c r="A64" s="211" t="s">
        <v>975</v>
      </c>
      <c r="B64" s="64">
        <v>6.07</v>
      </c>
      <c r="C64" s="64">
        <v>17.47</v>
      </c>
      <c r="D64" s="64">
        <v>14</v>
      </c>
      <c r="E64" s="64">
        <v>5.98</v>
      </c>
      <c r="F64" s="64">
        <v>20.6</v>
      </c>
      <c r="G64" s="64">
        <v>22.82</v>
      </c>
      <c r="H64" s="64">
        <v>7.97</v>
      </c>
      <c r="I64" s="64">
        <v>1.34</v>
      </c>
      <c r="J64" s="64">
        <v>0.45</v>
      </c>
      <c r="K64" s="64">
        <v>133.38</v>
      </c>
      <c r="L64" s="64">
        <v>29.03</v>
      </c>
      <c r="M64" s="64">
        <v>69.87</v>
      </c>
      <c r="N64" s="64">
        <v>162.69999999999999</v>
      </c>
      <c r="O64" s="64">
        <v>0</v>
      </c>
      <c r="P64" s="64">
        <v>0.28999999999999998</v>
      </c>
      <c r="Q64" s="64">
        <v>9.01</v>
      </c>
      <c r="R64" s="198"/>
      <c r="S64" s="198"/>
      <c r="T64" s="198"/>
      <c r="U64" s="198"/>
    </row>
    <row r="65" spans="1:21" s="12" customFormat="1" x14ac:dyDescent="0.25">
      <c r="A65" s="211" t="s">
        <v>976</v>
      </c>
      <c r="B65" s="64">
        <v>7.28</v>
      </c>
      <c r="C65" s="64">
        <v>19.559999999999999</v>
      </c>
      <c r="D65" s="64">
        <v>16.059999999999999</v>
      </c>
      <c r="E65" s="64">
        <v>6.04</v>
      </c>
      <c r="F65" s="64">
        <v>13.58</v>
      </c>
      <c r="G65" s="64">
        <v>19.61</v>
      </c>
      <c r="H65" s="64">
        <v>6.74</v>
      </c>
      <c r="I65" s="64">
        <v>1.24</v>
      </c>
      <c r="J65" s="64">
        <v>0.15</v>
      </c>
      <c r="K65" s="64">
        <v>127.53</v>
      </c>
      <c r="L65" s="64">
        <v>29.36</v>
      </c>
      <c r="M65" s="64">
        <v>74.069999999999993</v>
      </c>
      <c r="N65" s="64">
        <v>154.4</v>
      </c>
      <c r="O65" s="64">
        <v>0</v>
      </c>
      <c r="P65" s="64">
        <v>0.48</v>
      </c>
      <c r="Q65" s="64">
        <v>9</v>
      </c>
      <c r="R65" s="198"/>
      <c r="S65" s="198"/>
      <c r="T65" s="198"/>
      <c r="U65" s="198"/>
    </row>
    <row r="66" spans="1:21" s="12" customFormat="1" x14ac:dyDescent="0.25">
      <c r="A66" s="211" t="s">
        <v>977</v>
      </c>
      <c r="B66" s="64">
        <v>13.18</v>
      </c>
      <c r="C66" s="64">
        <v>24</v>
      </c>
      <c r="D66" s="64">
        <v>23.11</v>
      </c>
      <c r="E66" s="64">
        <v>6.63</v>
      </c>
      <c r="F66" s="64">
        <v>12.13</v>
      </c>
      <c r="G66" s="64">
        <v>19.38</v>
      </c>
      <c r="H66" s="64">
        <v>6.74</v>
      </c>
      <c r="I66" s="64">
        <v>1.25</v>
      </c>
      <c r="J66" s="64">
        <v>0.56999999999999995</v>
      </c>
      <c r="K66" s="64">
        <v>336.86</v>
      </c>
      <c r="L66" s="64">
        <v>29.8</v>
      </c>
      <c r="M66" s="64">
        <v>72.75</v>
      </c>
      <c r="N66" s="64">
        <v>152.80000000000001</v>
      </c>
      <c r="O66" s="64">
        <v>0.2</v>
      </c>
      <c r="P66" s="64">
        <v>0.62</v>
      </c>
      <c r="Q66" s="64">
        <v>9.02</v>
      </c>
      <c r="R66" s="198"/>
      <c r="S66" s="198"/>
      <c r="T66" s="198"/>
      <c r="U66" s="198"/>
    </row>
    <row r="67" spans="1:21" s="12" customFormat="1" x14ac:dyDescent="0.25">
      <c r="A67" s="211" t="s">
        <v>978</v>
      </c>
      <c r="B67" s="64">
        <v>9.23</v>
      </c>
      <c r="C67" s="64">
        <v>24.13</v>
      </c>
      <c r="D67" s="64">
        <v>20.010000000000002</v>
      </c>
      <c r="E67" s="64">
        <v>6.98</v>
      </c>
      <c r="F67" s="64">
        <v>11.48</v>
      </c>
      <c r="G67" s="64">
        <v>19.38</v>
      </c>
      <c r="H67" s="64">
        <v>6.74</v>
      </c>
      <c r="I67" s="64">
        <v>1.27</v>
      </c>
      <c r="J67" s="64">
        <v>0.19</v>
      </c>
      <c r="K67" s="64">
        <v>17.52</v>
      </c>
      <c r="L67" s="64">
        <v>30.27</v>
      </c>
      <c r="M67" s="64">
        <v>71.459999999999994</v>
      </c>
      <c r="N67" s="64">
        <v>149.80000000000001</v>
      </c>
      <c r="O67" s="64">
        <v>0</v>
      </c>
      <c r="P67" s="64">
        <v>0.64</v>
      </c>
      <c r="Q67" s="64">
        <v>9.0500000000000007</v>
      </c>
      <c r="R67" s="198"/>
      <c r="S67" s="198"/>
      <c r="T67" s="198"/>
      <c r="U67" s="198"/>
    </row>
    <row r="68" spans="1:21" s="12" customFormat="1" x14ac:dyDescent="0.25">
      <c r="A68" s="211" t="s">
        <v>979</v>
      </c>
      <c r="B68" s="64">
        <v>9.25</v>
      </c>
      <c r="C68" s="64">
        <v>24.45</v>
      </c>
      <c r="D68" s="64">
        <v>20.190000000000001</v>
      </c>
      <c r="E68" s="64">
        <v>7.68</v>
      </c>
      <c r="F68" s="64">
        <v>14.14</v>
      </c>
      <c r="G68" s="64">
        <v>19.38</v>
      </c>
      <c r="H68" s="64">
        <v>6.74</v>
      </c>
      <c r="I68" s="64">
        <v>1.31</v>
      </c>
      <c r="J68" s="64">
        <v>0.38</v>
      </c>
      <c r="K68" s="64">
        <v>102.94</v>
      </c>
      <c r="L68" s="64">
        <v>29.32</v>
      </c>
      <c r="M68" s="64">
        <v>77.88</v>
      </c>
      <c r="N68" s="64">
        <v>142.19999999999999</v>
      </c>
      <c r="O68" s="64">
        <v>0</v>
      </c>
      <c r="P68" s="64">
        <v>0.63</v>
      </c>
      <c r="Q68" s="64">
        <v>9.07</v>
      </c>
      <c r="R68" s="198"/>
      <c r="S68" s="198"/>
      <c r="T68" s="198"/>
      <c r="U68" s="198"/>
    </row>
    <row r="69" spans="1:21" s="12" customFormat="1" x14ac:dyDescent="0.25">
      <c r="A69" s="211" t="s">
        <v>980</v>
      </c>
      <c r="B69" s="64">
        <v>11.4</v>
      </c>
      <c r="C69" s="64">
        <v>30.85</v>
      </c>
      <c r="D69" s="64">
        <v>25.25</v>
      </c>
      <c r="E69" s="64">
        <v>7.1</v>
      </c>
      <c r="F69" s="64">
        <v>0</v>
      </c>
      <c r="G69" s="64">
        <v>37</v>
      </c>
      <c r="H69" s="64">
        <v>11.83</v>
      </c>
      <c r="I69" s="64">
        <v>1.28</v>
      </c>
      <c r="J69" s="64">
        <v>0.15</v>
      </c>
      <c r="K69" s="64">
        <v>21.74</v>
      </c>
      <c r="L69" s="64">
        <v>29.45</v>
      </c>
      <c r="M69" s="64">
        <v>76.38</v>
      </c>
      <c r="N69" s="64">
        <v>132.5</v>
      </c>
      <c r="O69" s="64">
        <v>0</v>
      </c>
      <c r="P69" s="64">
        <v>0.72</v>
      </c>
      <c r="Q69" s="64">
        <v>9.07</v>
      </c>
      <c r="R69" s="198"/>
      <c r="S69" s="198"/>
      <c r="T69" s="198"/>
      <c r="U69" s="198"/>
    </row>
    <row r="70" spans="1:21" s="12" customFormat="1" x14ac:dyDescent="0.25">
      <c r="A70" s="211" t="s">
        <v>981</v>
      </c>
      <c r="B70" s="64">
        <v>6.41</v>
      </c>
      <c r="C70" s="64">
        <v>21.69</v>
      </c>
      <c r="D70" s="64">
        <v>16.47</v>
      </c>
      <c r="E70" s="64">
        <v>6.82</v>
      </c>
      <c r="F70" s="64">
        <v>0.32</v>
      </c>
      <c r="G70" s="64">
        <v>38.26</v>
      </c>
      <c r="H70" s="64">
        <v>11.83</v>
      </c>
      <c r="I70" s="64">
        <v>1.22</v>
      </c>
      <c r="J70" s="64">
        <v>0.35</v>
      </c>
      <c r="K70" s="64">
        <v>133.5</v>
      </c>
      <c r="L70" s="64">
        <v>28.93</v>
      </c>
      <c r="M70" s="64">
        <v>82.85</v>
      </c>
      <c r="N70" s="64">
        <v>129.1</v>
      </c>
      <c r="O70" s="64">
        <v>0</v>
      </c>
      <c r="P70" s="64">
        <v>0.53</v>
      </c>
      <c r="Q70" s="64">
        <v>9.07</v>
      </c>
      <c r="R70" s="198"/>
      <c r="S70" s="198"/>
      <c r="T70" s="198"/>
      <c r="U70" s="198"/>
    </row>
    <row r="71" spans="1:21" s="12" customFormat="1" x14ac:dyDescent="0.25">
      <c r="A71" s="211" t="s">
        <v>982</v>
      </c>
      <c r="B71" s="64">
        <v>5.73</v>
      </c>
      <c r="C71" s="64">
        <v>20.78</v>
      </c>
      <c r="D71" s="64">
        <v>15.45</v>
      </c>
      <c r="E71" s="64">
        <v>6.45</v>
      </c>
      <c r="F71" s="64">
        <v>0.12</v>
      </c>
      <c r="G71" s="64">
        <v>38.26</v>
      </c>
      <c r="H71" s="64">
        <v>11.83</v>
      </c>
      <c r="I71" s="64">
        <v>1.27</v>
      </c>
      <c r="J71" s="64">
        <v>0.46</v>
      </c>
      <c r="K71" s="64">
        <v>128.88999999999999</v>
      </c>
      <c r="L71" s="64">
        <v>28.56</v>
      </c>
      <c r="M71" s="64">
        <v>86.55</v>
      </c>
      <c r="N71" s="64">
        <v>103.4</v>
      </c>
      <c r="O71" s="64">
        <v>0</v>
      </c>
      <c r="P71" s="64">
        <v>0.51</v>
      </c>
      <c r="Q71" s="64">
        <v>9.0500000000000007</v>
      </c>
      <c r="R71" s="198"/>
      <c r="S71" s="198"/>
      <c r="T71" s="198"/>
      <c r="U71" s="198"/>
    </row>
    <row r="72" spans="1:21" s="12" customFormat="1" x14ac:dyDescent="0.25">
      <c r="A72" s="211" t="s">
        <v>983</v>
      </c>
      <c r="B72" s="64">
        <v>8.57</v>
      </c>
      <c r="C72" s="64">
        <v>20.85</v>
      </c>
      <c r="D72" s="64">
        <v>17.77</v>
      </c>
      <c r="E72" s="64">
        <v>4.5599999999999996</v>
      </c>
      <c r="F72" s="64">
        <v>183.43</v>
      </c>
      <c r="G72" s="64">
        <v>38.26</v>
      </c>
      <c r="H72" s="64">
        <v>11.83</v>
      </c>
      <c r="I72" s="64">
        <v>1.32</v>
      </c>
      <c r="J72" s="64">
        <v>0.2</v>
      </c>
      <c r="K72" s="64">
        <v>17.2</v>
      </c>
      <c r="L72" s="64">
        <v>28.56</v>
      </c>
      <c r="M72" s="64">
        <v>84.91</v>
      </c>
      <c r="N72" s="64">
        <v>100.5</v>
      </c>
      <c r="O72" s="64">
        <v>0</v>
      </c>
      <c r="P72" s="64">
        <v>0.47</v>
      </c>
      <c r="Q72" s="64">
        <v>9.0399999999999991</v>
      </c>
      <c r="R72" s="198"/>
      <c r="S72" s="198"/>
      <c r="T72" s="198"/>
      <c r="U72" s="198"/>
    </row>
    <row r="73" spans="1:21" s="12" customFormat="1" x14ac:dyDescent="0.25">
      <c r="A73" s="211" t="s">
        <v>984</v>
      </c>
      <c r="B73" s="64">
        <v>19.829999999999998</v>
      </c>
      <c r="C73" s="64">
        <v>26.47</v>
      </c>
      <c r="D73" s="64">
        <v>29.73</v>
      </c>
      <c r="E73" s="64">
        <v>5.7</v>
      </c>
      <c r="F73" s="64">
        <v>57.87</v>
      </c>
      <c r="G73" s="64">
        <v>28.87</v>
      </c>
      <c r="H73" s="64">
        <v>10.38</v>
      </c>
      <c r="I73" s="64">
        <v>1.31</v>
      </c>
      <c r="J73" s="64">
        <v>0.36</v>
      </c>
      <c r="K73" s="64">
        <v>338.69</v>
      </c>
      <c r="L73" s="64">
        <v>28.59</v>
      </c>
      <c r="M73" s="64">
        <v>82.49</v>
      </c>
      <c r="N73" s="64">
        <v>77.3</v>
      </c>
      <c r="O73" s="64">
        <v>0</v>
      </c>
      <c r="P73" s="64">
        <v>0.84</v>
      </c>
      <c r="Q73" s="64">
        <v>9.0500000000000007</v>
      </c>
      <c r="R73" s="198"/>
      <c r="S73" s="198"/>
      <c r="T73" s="198"/>
      <c r="U73" s="198"/>
    </row>
    <row r="74" spans="1:21" s="12" customFormat="1" x14ac:dyDescent="0.25">
      <c r="A74" s="211" t="s">
        <v>985</v>
      </c>
      <c r="B74" s="64">
        <v>35.81</v>
      </c>
      <c r="C74" s="64">
        <v>30.96</v>
      </c>
      <c r="D74" s="64">
        <v>44.89</v>
      </c>
      <c r="E74" s="64">
        <v>5.75</v>
      </c>
      <c r="F74" s="64">
        <v>9.18</v>
      </c>
      <c r="G74" s="64">
        <v>28.2</v>
      </c>
      <c r="H74" s="64">
        <v>10.38</v>
      </c>
      <c r="I74" s="64">
        <v>1.27</v>
      </c>
      <c r="J74" s="64">
        <v>0.48</v>
      </c>
      <c r="K74" s="64">
        <v>337.15</v>
      </c>
      <c r="L74" s="64">
        <v>28.29</v>
      </c>
      <c r="M74" s="64">
        <v>82.93</v>
      </c>
      <c r="N74" s="64">
        <v>66.400000000000006</v>
      </c>
      <c r="O74" s="64">
        <v>0</v>
      </c>
      <c r="P74" s="64">
        <v>1.1000000000000001</v>
      </c>
      <c r="Q74" s="64">
        <v>9.11</v>
      </c>
      <c r="R74" s="198"/>
      <c r="S74" s="198"/>
      <c r="T74" s="198"/>
      <c r="U74" s="198"/>
    </row>
    <row r="75" spans="1:21" s="12" customFormat="1" x14ac:dyDescent="0.25">
      <c r="A75" s="211" t="s">
        <v>986</v>
      </c>
      <c r="B75" s="64">
        <v>9.92</v>
      </c>
      <c r="C75" s="64">
        <v>28.25</v>
      </c>
      <c r="D75" s="64">
        <v>22.71</v>
      </c>
      <c r="E75" s="64">
        <v>6.03</v>
      </c>
      <c r="F75" s="64">
        <v>14.51</v>
      </c>
      <c r="G75" s="64">
        <v>28.2</v>
      </c>
      <c r="H75" s="64">
        <v>10.38</v>
      </c>
      <c r="I75" s="64">
        <v>1.48</v>
      </c>
      <c r="J75" s="64">
        <v>0.23</v>
      </c>
      <c r="K75" s="64">
        <v>125.56</v>
      </c>
      <c r="L75" s="64">
        <v>27.92</v>
      </c>
      <c r="M75" s="64">
        <v>83.52</v>
      </c>
      <c r="N75" s="64">
        <v>60.1</v>
      </c>
      <c r="O75" s="64">
        <v>0</v>
      </c>
      <c r="P75" s="64">
        <v>0.66</v>
      </c>
      <c r="Q75" s="64">
        <v>9.18</v>
      </c>
      <c r="R75" s="198"/>
      <c r="S75" s="198"/>
      <c r="T75" s="198"/>
      <c r="U75" s="198"/>
    </row>
    <row r="76" spans="1:21" s="12" customFormat="1" x14ac:dyDescent="0.25">
      <c r="A76" s="211" t="s">
        <v>987</v>
      </c>
      <c r="B76" s="64">
        <v>5.3</v>
      </c>
      <c r="C76" s="64">
        <v>19.13</v>
      </c>
      <c r="D76" s="64">
        <v>14.24</v>
      </c>
      <c r="E76" s="64">
        <v>5.84</v>
      </c>
      <c r="F76" s="64">
        <v>23.08</v>
      </c>
      <c r="G76" s="64">
        <v>28.2</v>
      </c>
      <c r="H76" s="64">
        <v>10.38</v>
      </c>
      <c r="I76" s="64">
        <v>1.82</v>
      </c>
      <c r="J76" s="64">
        <v>0.37</v>
      </c>
      <c r="K76" s="64">
        <v>131.21</v>
      </c>
      <c r="L76" s="64">
        <v>27.5</v>
      </c>
      <c r="M76" s="64">
        <v>85.64</v>
      </c>
      <c r="N76" s="64">
        <v>55.7</v>
      </c>
      <c r="O76" s="64">
        <v>0</v>
      </c>
      <c r="P76" s="64">
        <v>0.38</v>
      </c>
      <c r="Q76" s="64">
        <v>9.2200000000000006</v>
      </c>
      <c r="R76" s="198"/>
      <c r="S76" s="198"/>
      <c r="T76" s="198"/>
      <c r="U76" s="198"/>
    </row>
    <row r="77" spans="1:21" s="12" customFormat="1" x14ac:dyDescent="0.25">
      <c r="A77" s="211" t="s">
        <v>988</v>
      </c>
      <c r="B77" s="64">
        <v>15.88</v>
      </c>
      <c r="C77" s="64">
        <v>28.73</v>
      </c>
      <c r="D77" s="64">
        <v>27.75</v>
      </c>
      <c r="E77" s="64">
        <v>5.71</v>
      </c>
      <c r="F77" s="64">
        <v>12.23</v>
      </c>
      <c r="G77" s="64">
        <v>32.4</v>
      </c>
      <c r="H77" s="64">
        <v>8.42</v>
      </c>
      <c r="I77" s="64">
        <v>1.92</v>
      </c>
      <c r="J77" s="64">
        <v>0.02</v>
      </c>
      <c r="K77" s="64">
        <v>299.20999999999998</v>
      </c>
      <c r="L77" s="64">
        <v>27.26</v>
      </c>
      <c r="M77" s="64">
        <v>87.9</v>
      </c>
      <c r="N77" s="64">
        <v>55.7</v>
      </c>
      <c r="O77" s="64">
        <v>0</v>
      </c>
      <c r="P77" s="64">
        <v>0.86</v>
      </c>
      <c r="Q77" s="64">
        <v>9.2200000000000006</v>
      </c>
      <c r="R77" s="198"/>
      <c r="S77" s="198"/>
      <c r="T77" s="198"/>
      <c r="U77" s="198"/>
    </row>
    <row r="78" spans="1:21" s="12" customFormat="1" x14ac:dyDescent="0.25">
      <c r="A78" s="211" t="s">
        <v>989</v>
      </c>
      <c r="B78" s="64">
        <v>32.4</v>
      </c>
      <c r="C78" s="64">
        <v>34.53</v>
      </c>
      <c r="D78" s="64">
        <v>44.02</v>
      </c>
      <c r="E78" s="64">
        <v>5.74</v>
      </c>
      <c r="F78" s="64">
        <v>5.36</v>
      </c>
      <c r="G78" s="64">
        <v>32.700000000000003</v>
      </c>
      <c r="H78" s="64">
        <v>8.42</v>
      </c>
      <c r="I78" s="64">
        <v>1.91</v>
      </c>
      <c r="J78" s="64">
        <v>0.1</v>
      </c>
      <c r="K78" s="64">
        <v>345.28</v>
      </c>
      <c r="L78" s="64">
        <v>27.13</v>
      </c>
      <c r="M78" s="64">
        <v>91.7</v>
      </c>
      <c r="N78" s="64">
        <v>53</v>
      </c>
      <c r="O78" s="64">
        <v>0</v>
      </c>
      <c r="P78" s="64">
        <v>1.48</v>
      </c>
      <c r="Q78" s="64">
        <v>9.2200000000000006</v>
      </c>
      <c r="R78" s="198"/>
      <c r="S78" s="198"/>
      <c r="T78" s="198"/>
      <c r="U78" s="198"/>
    </row>
    <row r="79" spans="1:21" s="12" customFormat="1" x14ac:dyDescent="0.25">
      <c r="A79" s="211" t="s">
        <v>990</v>
      </c>
      <c r="B79" s="64">
        <v>12.26</v>
      </c>
      <c r="C79" s="64">
        <v>36.840000000000003</v>
      </c>
      <c r="D79" s="64">
        <v>29.08</v>
      </c>
      <c r="E79" s="64">
        <v>5.66</v>
      </c>
      <c r="F79" s="64">
        <v>4.38</v>
      </c>
      <c r="G79" s="64">
        <v>32.700000000000003</v>
      </c>
      <c r="H79" s="64">
        <v>8.42</v>
      </c>
      <c r="I79" s="64">
        <v>1.92</v>
      </c>
      <c r="J79" s="64">
        <v>0.02</v>
      </c>
      <c r="K79" s="64">
        <v>353.77</v>
      </c>
      <c r="L79" s="64">
        <v>26.95</v>
      </c>
      <c r="M79" s="64">
        <v>89.28</v>
      </c>
      <c r="N79" s="64">
        <v>50.2</v>
      </c>
      <c r="O79" s="64">
        <v>0</v>
      </c>
      <c r="P79" s="64">
        <v>1.2</v>
      </c>
      <c r="Q79" s="64">
        <v>9.23</v>
      </c>
      <c r="R79" s="198"/>
      <c r="S79" s="198"/>
      <c r="T79" s="198"/>
      <c r="U79" s="198"/>
    </row>
    <row r="80" spans="1:21" s="12" customFormat="1" x14ac:dyDescent="0.25">
      <c r="A80" s="211" t="s">
        <v>991</v>
      </c>
      <c r="B80" s="64">
        <v>27.99</v>
      </c>
      <c r="C80" s="64">
        <v>35.229999999999997</v>
      </c>
      <c r="D80" s="64">
        <v>40.85</v>
      </c>
      <c r="E80" s="64">
        <v>5.66</v>
      </c>
      <c r="F80" s="64">
        <v>2.31</v>
      </c>
      <c r="G80" s="64">
        <v>32.700000000000003</v>
      </c>
      <c r="H80" s="64">
        <v>8.42</v>
      </c>
      <c r="I80" s="64">
        <v>1.98</v>
      </c>
      <c r="J80" s="64">
        <v>0.05</v>
      </c>
      <c r="K80" s="64">
        <v>330.07</v>
      </c>
      <c r="L80" s="64">
        <v>26.76</v>
      </c>
      <c r="M80" s="64">
        <v>91.88</v>
      </c>
      <c r="N80" s="64">
        <v>45</v>
      </c>
      <c r="O80" s="64">
        <v>0</v>
      </c>
      <c r="P80" s="64">
        <v>1.19</v>
      </c>
      <c r="Q80" s="64">
        <v>9.24</v>
      </c>
      <c r="R80" s="198"/>
      <c r="S80" s="198"/>
      <c r="T80" s="198"/>
      <c r="U80" s="198"/>
    </row>
    <row r="81" spans="1:26" s="12" customFormat="1" x14ac:dyDescent="0.25">
      <c r="A81" s="211" t="s">
        <v>992</v>
      </c>
      <c r="B81" s="64">
        <v>61.61</v>
      </c>
      <c r="C81" s="64">
        <v>32.4</v>
      </c>
      <c r="D81" s="64">
        <v>66.33</v>
      </c>
      <c r="E81" s="64">
        <v>5.79</v>
      </c>
      <c r="F81" s="64">
        <v>2.1</v>
      </c>
      <c r="G81" s="64">
        <v>34.42</v>
      </c>
      <c r="H81" s="64">
        <v>7.05</v>
      </c>
      <c r="I81" s="64">
        <v>2.0699999999999998</v>
      </c>
      <c r="J81" s="64">
        <v>0.04</v>
      </c>
      <c r="K81" s="64">
        <v>280.49</v>
      </c>
      <c r="L81" s="64">
        <v>26.6</v>
      </c>
      <c r="M81" s="64">
        <v>97.58</v>
      </c>
      <c r="N81" s="64">
        <v>44.3</v>
      </c>
      <c r="O81" s="64">
        <v>0</v>
      </c>
      <c r="P81" s="64">
        <v>2.42</v>
      </c>
      <c r="Q81" s="64">
        <v>9.2200000000000006</v>
      </c>
      <c r="R81" s="198"/>
      <c r="S81" s="198"/>
      <c r="T81" s="198"/>
      <c r="U81" s="198"/>
    </row>
    <row r="82" spans="1:26" s="12" customFormat="1" x14ac:dyDescent="0.25">
      <c r="A82" s="211" t="s">
        <v>993</v>
      </c>
      <c r="B82" s="64">
        <v>35.21</v>
      </c>
      <c r="C82" s="64">
        <v>31.35</v>
      </c>
      <c r="D82" s="64">
        <v>44.61</v>
      </c>
      <c r="E82" s="64">
        <v>5.32</v>
      </c>
      <c r="F82" s="64">
        <v>2.25</v>
      </c>
      <c r="G82" s="64">
        <v>34.54</v>
      </c>
      <c r="H82" s="64">
        <v>7.05</v>
      </c>
      <c r="I82" s="64">
        <v>2.11</v>
      </c>
      <c r="J82" s="64">
        <v>0.03</v>
      </c>
      <c r="K82" s="64">
        <v>243.95</v>
      </c>
      <c r="L82" s="64">
        <v>26.33</v>
      </c>
      <c r="M82" s="64">
        <v>97.86</v>
      </c>
      <c r="N82" s="64">
        <v>44.3</v>
      </c>
      <c r="O82" s="64">
        <v>0</v>
      </c>
      <c r="P82" s="64">
        <v>1.25</v>
      </c>
      <c r="Q82" s="64">
        <v>9.25</v>
      </c>
      <c r="R82" s="198"/>
      <c r="S82" s="198"/>
      <c r="T82" s="198"/>
      <c r="U82" s="198"/>
    </row>
    <row r="83" spans="1:26" s="12" customFormat="1" x14ac:dyDescent="0.25">
      <c r="A83" s="211" t="s">
        <v>994</v>
      </c>
      <c r="B83" s="64">
        <v>15.11</v>
      </c>
      <c r="C83" s="64">
        <v>16.29</v>
      </c>
      <c r="D83" s="64">
        <v>20.63</v>
      </c>
      <c r="E83" s="64">
        <v>5.42</v>
      </c>
      <c r="F83" s="64">
        <v>7.95</v>
      </c>
      <c r="G83" s="64">
        <v>34.54</v>
      </c>
      <c r="H83" s="64">
        <v>7.05</v>
      </c>
      <c r="I83" s="64">
        <v>2.2200000000000002</v>
      </c>
      <c r="J83" s="64">
        <v>0.62</v>
      </c>
      <c r="K83" s="64">
        <v>139.30000000000001</v>
      </c>
      <c r="L83" s="64">
        <v>26.11</v>
      </c>
      <c r="M83" s="64">
        <v>97.87</v>
      </c>
      <c r="N83" s="64">
        <v>44.4</v>
      </c>
      <c r="O83" s="64">
        <v>0</v>
      </c>
      <c r="P83" s="64">
        <v>0.84</v>
      </c>
      <c r="Q83" s="64">
        <v>9.27</v>
      </c>
      <c r="R83" s="198"/>
      <c r="S83" s="198"/>
      <c r="T83" s="198"/>
      <c r="U83" s="198"/>
    </row>
    <row r="84" spans="1:26" s="12" customFormat="1" x14ac:dyDescent="0.25">
      <c r="A84" s="211" t="s">
        <v>995</v>
      </c>
      <c r="B84" s="64">
        <v>10.07</v>
      </c>
      <c r="C84" s="64">
        <v>14.49</v>
      </c>
      <c r="D84" s="64">
        <v>15.65</v>
      </c>
      <c r="E84" s="64">
        <v>5.03</v>
      </c>
      <c r="F84" s="64">
        <v>7.7</v>
      </c>
      <c r="G84" s="64">
        <v>34.54</v>
      </c>
      <c r="H84" s="64">
        <v>7.05</v>
      </c>
      <c r="I84" s="64">
        <v>2.34</v>
      </c>
      <c r="J84" s="64">
        <v>0.1</v>
      </c>
      <c r="K84" s="64">
        <v>147.66</v>
      </c>
      <c r="L84" s="64">
        <v>25.55</v>
      </c>
      <c r="M84" s="64">
        <v>97.94</v>
      </c>
      <c r="N84" s="64">
        <v>44.4</v>
      </c>
      <c r="O84" s="64">
        <v>0</v>
      </c>
      <c r="P84" s="64">
        <v>0.53</v>
      </c>
      <c r="Q84" s="64">
        <v>9.2799999999999994</v>
      </c>
      <c r="R84" s="198"/>
      <c r="S84" s="198"/>
      <c r="T84" s="198"/>
      <c r="U84" s="198"/>
    </row>
    <row r="85" spans="1:26" s="12" customFormat="1" x14ac:dyDescent="0.25">
      <c r="A85" s="211" t="s">
        <v>996</v>
      </c>
      <c r="B85" s="64">
        <v>9.68</v>
      </c>
      <c r="C85" s="64">
        <v>14.55</v>
      </c>
      <c r="D85" s="64">
        <v>15.36</v>
      </c>
      <c r="E85" s="64">
        <v>5.01</v>
      </c>
      <c r="F85" s="64">
        <v>3.66</v>
      </c>
      <c r="G85" s="64">
        <v>32.03</v>
      </c>
      <c r="H85" s="64">
        <v>14.15</v>
      </c>
      <c r="I85" s="64">
        <v>2.36</v>
      </c>
      <c r="J85" s="64">
        <v>0.36</v>
      </c>
      <c r="K85" s="64">
        <v>138.03</v>
      </c>
      <c r="L85" s="64">
        <v>25.29</v>
      </c>
      <c r="M85" s="64">
        <v>97.92</v>
      </c>
      <c r="N85" s="64">
        <v>44.1</v>
      </c>
      <c r="O85" s="64">
        <v>0</v>
      </c>
      <c r="P85" s="64">
        <v>0.47</v>
      </c>
      <c r="Q85" s="64">
        <v>9.27</v>
      </c>
      <c r="R85" s="198"/>
      <c r="S85" s="198"/>
      <c r="T85" s="198"/>
      <c r="U85" s="198"/>
    </row>
    <row r="86" spans="1:26" s="12" customFormat="1" x14ac:dyDescent="0.25">
      <c r="A86" s="211" t="s">
        <v>997</v>
      </c>
      <c r="B86" s="64">
        <v>10.55</v>
      </c>
      <c r="C86" s="64">
        <v>17.510000000000002</v>
      </c>
      <c r="D86" s="64">
        <v>17.600000000000001</v>
      </c>
      <c r="E86" s="64">
        <v>4.66</v>
      </c>
      <c r="F86" s="64">
        <v>3.83</v>
      </c>
      <c r="G86" s="64">
        <v>31.85</v>
      </c>
      <c r="H86" s="64">
        <v>14.15</v>
      </c>
      <c r="I86" s="64">
        <v>2.34</v>
      </c>
      <c r="J86" s="64">
        <v>0.39</v>
      </c>
      <c r="K86" s="64">
        <v>134.83000000000001</v>
      </c>
      <c r="L86" s="64">
        <v>25.17</v>
      </c>
      <c r="M86" s="64">
        <v>97.96</v>
      </c>
      <c r="N86" s="64">
        <v>44</v>
      </c>
      <c r="O86" s="64">
        <v>0</v>
      </c>
      <c r="P86" s="64">
        <v>0.46</v>
      </c>
      <c r="Q86" s="64">
        <v>9.25</v>
      </c>
      <c r="R86" s="198"/>
      <c r="S86" s="198"/>
      <c r="T86" s="198"/>
      <c r="U86" s="198"/>
    </row>
    <row r="87" spans="1:26" s="12" customFormat="1" x14ac:dyDescent="0.25">
      <c r="A87" s="211" t="s">
        <v>998</v>
      </c>
      <c r="B87" s="64">
        <v>9.5</v>
      </c>
      <c r="C87" s="64">
        <v>21.5</v>
      </c>
      <c r="D87" s="64">
        <v>18.850000000000001</v>
      </c>
      <c r="E87" s="64">
        <v>4.7</v>
      </c>
      <c r="F87" s="64">
        <v>3.06</v>
      </c>
      <c r="G87" s="64">
        <v>31.85</v>
      </c>
      <c r="H87" s="64">
        <v>14.15</v>
      </c>
      <c r="I87" s="64">
        <v>2.3199999999999998</v>
      </c>
      <c r="J87" s="64">
        <v>0.24</v>
      </c>
      <c r="K87" s="64">
        <v>141.69</v>
      </c>
      <c r="L87" s="64">
        <v>25.16</v>
      </c>
      <c r="M87" s="64">
        <v>97.97</v>
      </c>
      <c r="N87" s="64">
        <v>44</v>
      </c>
      <c r="O87" s="64">
        <v>0</v>
      </c>
      <c r="P87" s="64">
        <v>0.5</v>
      </c>
      <c r="Q87" s="64">
        <v>9.25</v>
      </c>
      <c r="R87" s="198"/>
      <c r="S87" s="198"/>
      <c r="T87" s="198"/>
      <c r="U87" s="198"/>
    </row>
    <row r="88" spans="1:26" s="12" customFormat="1" x14ac:dyDescent="0.25">
      <c r="A88" s="211" t="s">
        <v>999</v>
      </c>
      <c r="B88" s="64">
        <v>13.58</v>
      </c>
      <c r="C88" s="64">
        <v>19.32</v>
      </c>
      <c r="D88" s="64">
        <v>20.98</v>
      </c>
      <c r="E88" s="64">
        <v>4.82</v>
      </c>
      <c r="F88" s="64">
        <v>3.95</v>
      </c>
      <c r="G88" s="64">
        <v>31.85</v>
      </c>
      <c r="H88" s="64">
        <v>14.15</v>
      </c>
      <c r="I88" s="64">
        <v>2.2999999999999998</v>
      </c>
      <c r="J88" s="64">
        <v>0.03</v>
      </c>
      <c r="K88" s="64">
        <v>294.95</v>
      </c>
      <c r="L88" s="64">
        <v>25.15</v>
      </c>
      <c r="M88" s="64">
        <v>97.91</v>
      </c>
      <c r="N88" s="64">
        <v>44.1</v>
      </c>
      <c r="O88" s="64">
        <v>0</v>
      </c>
      <c r="P88" s="64">
        <v>0.63</v>
      </c>
      <c r="Q88" s="64">
        <v>9.24</v>
      </c>
      <c r="R88" s="198"/>
      <c r="S88" s="198"/>
      <c r="T88" s="198"/>
      <c r="U88" s="198"/>
    </row>
    <row r="89" spans="1:26" s="12" customFormat="1" x14ac:dyDescent="0.25">
      <c r="A89" s="211" t="s">
        <v>1000</v>
      </c>
      <c r="B89" s="64">
        <v>13.93</v>
      </c>
      <c r="C89" s="64">
        <v>22.27</v>
      </c>
      <c r="D89" s="64">
        <v>22.81</v>
      </c>
      <c r="E89" s="64">
        <v>4.84</v>
      </c>
      <c r="F89" s="64">
        <v>2.1</v>
      </c>
      <c r="G89" s="64">
        <v>25.47</v>
      </c>
      <c r="H89" s="64">
        <v>11.34</v>
      </c>
      <c r="I89" s="64">
        <v>2.29</v>
      </c>
      <c r="J89" s="64">
        <v>7.0000000000000007E-2</v>
      </c>
      <c r="K89" s="64">
        <v>344.07</v>
      </c>
      <c r="L89" s="64">
        <v>25.01</v>
      </c>
      <c r="M89" s="64">
        <v>97.97</v>
      </c>
      <c r="N89" s="64">
        <v>44.1</v>
      </c>
      <c r="O89" s="64">
        <v>0</v>
      </c>
      <c r="P89" s="64">
        <v>0.75</v>
      </c>
      <c r="Q89" s="64">
        <v>9.23</v>
      </c>
      <c r="R89" s="198"/>
      <c r="S89" s="198"/>
      <c r="T89" s="198"/>
      <c r="U89" s="198"/>
    </row>
    <row r="90" spans="1:26" s="12" customFormat="1" x14ac:dyDescent="0.25">
      <c r="A90" s="211" t="s">
        <v>1001</v>
      </c>
      <c r="B90" s="64">
        <v>25.76</v>
      </c>
      <c r="C90" s="64">
        <v>19.62</v>
      </c>
      <c r="D90" s="64">
        <v>30.91</v>
      </c>
      <c r="E90" s="64">
        <v>4.5599999999999996</v>
      </c>
      <c r="F90" s="64">
        <v>3.26</v>
      </c>
      <c r="G90" s="64">
        <v>25.1</v>
      </c>
      <c r="H90" s="64">
        <v>11.34</v>
      </c>
      <c r="I90" s="64">
        <v>2.2799999999999998</v>
      </c>
      <c r="J90" s="64">
        <v>0.11</v>
      </c>
      <c r="K90" s="64">
        <v>339.91</v>
      </c>
      <c r="L90" s="64">
        <v>24.89</v>
      </c>
      <c r="M90" s="64">
        <v>97.94</v>
      </c>
      <c r="N90" s="64">
        <v>44.1</v>
      </c>
      <c r="O90" s="64">
        <v>0</v>
      </c>
      <c r="P90" s="64">
        <v>1.83</v>
      </c>
      <c r="Q90" s="64">
        <v>9.24</v>
      </c>
      <c r="R90" s="198"/>
      <c r="S90" s="198"/>
      <c r="T90" s="198"/>
      <c r="U90" s="198"/>
    </row>
    <row r="91" spans="1:26" s="12" customFormat="1" x14ac:dyDescent="0.25">
      <c r="A91" s="211" t="s">
        <v>1002</v>
      </c>
      <c r="B91" s="64">
        <v>20.65</v>
      </c>
      <c r="C91" s="64">
        <v>22.86</v>
      </c>
      <c r="D91" s="64">
        <v>28.51</v>
      </c>
      <c r="E91" s="64">
        <v>4.72</v>
      </c>
      <c r="F91" s="64">
        <v>2.58</v>
      </c>
      <c r="G91" s="64">
        <v>25.1</v>
      </c>
      <c r="H91" s="64">
        <v>11.34</v>
      </c>
      <c r="I91" s="64">
        <v>2.27</v>
      </c>
      <c r="J91" s="64">
        <v>0.08</v>
      </c>
      <c r="K91" s="64">
        <v>173.32</v>
      </c>
      <c r="L91" s="64">
        <v>24.81</v>
      </c>
      <c r="M91" s="64">
        <v>97.98</v>
      </c>
      <c r="N91" s="64">
        <v>43.8</v>
      </c>
      <c r="O91" s="64">
        <v>0</v>
      </c>
      <c r="P91" s="64">
        <v>0.98</v>
      </c>
      <c r="Q91" s="64">
        <v>9.26</v>
      </c>
      <c r="R91" s="198"/>
      <c r="S91" s="198"/>
      <c r="T91" s="198"/>
      <c r="U91" s="198"/>
    </row>
    <row r="92" spans="1:26" s="12" customFormat="1" x14ac:dyDescent="0.25">
      <c r="A92" s="211" t="s">
        <v>1003</v>
      </c>
      <c r="B92" s="64">
        <v>48.9</v>
      </c>
      <c r="C92" s="64">
        <v>18.78</v>
      </c>
      <c r="D92" s="64">
        <v>49.02</v>
      </c>
      <c r="E92" s="64">
        <v>4.72</v>
      </c>
      <c r="F92" s="64">
        <v>2.23</v>
      </c>
      <c r="G92" s="64">
        <v>25.1</v>
      </c>
      <c r="H92" s="64">
        <v>11.34</v>
      </c>
      <c r="I92" s="64">
        <v>2.3199999999999998</v>
      </c>
      <c r="J92" s="64">
        <v>0.06</v>
      </c>
      <c r="K92" s="64">
        <v>297.41000000000003</v>
      </c>
      <c r="L92" s="64">
        <v>24.77</v>
      </c>
      <c r="M92" s="64">
        <v>97.97</v>
      </c>
      <c r="N92" s="64">
        <v>44</v>
      </c>
      <c r="O92" s="64">
        <v>0</v>
      </c>
      <c r="P92" s="64">
        <v>1</v>
      </c>
      <c r="Q92" s="64">
        <v>9.2799999999999994</v>
      </c>
      <c r="R92" s="198"/>
      <c r="S92" s="198"/>
      <c r="T92" s="198"/>
      <c r="U92" s="198"/>
    </row>
    <row r="93" spans="1:26" s="12" customFormat="1" x14ac:dyDescent="0.25">
      <c r="A93" s="211" t="s">
        <v>1004</v>
      </c>
      <c r="B93" s="64">
        <v>34.24</v>
      </c>
      <c r="C93" s="64">
        <v>18.55</v>
      </c>
      <c r="D93" s="64">
        <v>37.15</v>
      </c>
      <c r="E93" s="64">
        <v>4.9400000000000004</v>
      </c>
      <c r="F93" s="64">
        <v>3.26</v>
      </c>
      <c r="G93" s="64">
        <v>34.89</v>
      </c>
      <c r="H93" s="64">
        <v>9.1</v>
      </c>
      <c r="I93" s="64">
        <v>2.36</v>
      </c>
      <c r="J93" s="64">
        <v>0.16</v>
      </c>
      <c r="K93" s="64">
        <v>130.9</v>
      </c>
      <c r="L93" s="64">
        <v>24.78</v>
      </c>
      <c r="M93" s="64">
        <v>97.97</v>
      </c>
      <c r="N93" s="64">
        <v>43.8</v>
      </c>
      <c r="O93" s="64">
        <v>0</v>
      </c>
      <c r="P93" s="64">
        <v>0.89</v>
      </c>
      <c r="Q93" s="64">
        <v>9.32</v>
      </c>
      <c r="R93" s="198"/>
      <c r="S93" s="198"/>
      <c r="T93" s="198"/>
      <c r="U93" s="198"/>
    </row>
    <row r="94" spans="1:26" s="12" customFormat="1" x14ac:dyDescent="0.25">
      <c r="A94" s="211" t="s">
        <v>1005</v>
      </c>
      <c r="B94" s="64">
        <v>17.79</v>
      </c>
      <c r="C94" s="64">
        <v>16.149999999999999</v>
      </c>
      <c r="D94" s="64">
        <v>22.7</v>
      </c>
      <c r="E94" s="64">
        <v>4.82</v>
      </c>
      <c r="F94" s="64">
        <v>4.18</v>
      </c>
      <c r="G94" s="64">
        <v>35.590000000000003</v>
      </c>
      <c r="H94" s="64">
        <v>9.1</v>
      </c>
      <c r="I94" s="64">
        <v>2.39</v>
      </c>
      <c r="J94" s="64">
        <v>0.02</v>
      </c>
      <c r="K94" s="64">
        <v>95.59</v>
      </c>
      <c r="L94" s="64">
        <v>24.79</v>
      </c>
      <c r="M94" s="64">
        <v>97.98</v>
      </c>
      <c r="N94" s="64">
        <v>43.9</v>
      </c>
      <c r="O94" s="64">
        <v>0</v>
      </c>
      <c r="P94" s="64">
        <v>0.65</v>
      </c>
      <c r="Q94" s="64">
        <v>9.34</v>
      </c>
      <c r="R94" s="198"/>
      <c r="S94" s="198"/>
      <c r="T94" s="198"/>
      <c r="U94" s="198"/>
    </row>
    <row r="95" spans="1:26" s="12" customFormat="1" x14ac:dyDescent="0.25">
      <c r="A95" s="211" t="s">
        <v>1006</v>
      </c>
      <c r="B95" s="64">
        <v>21.82</v>
      </c>
      <c r="C95" s="64">
        <v>16.489999999999998</v>
      </c>
      <c r="D95" s="64">
        <v>26.11</v>
      </c>
      <c r="E95" s="64">
        <v>4.76</v>
      </c>
      <c r="F95" s="64">
        <v>2.7</v>
      </c>
      <c r="G95" s="64">
        <v>35.590000000000003</v>
      </c>
      <c r="H95" s="64">
        <v>9.1</v>
      </c>
      <c r="I95" s="64">
        <v>2.42</v>
      </c>
      <c r="J95" s="64">
        <v>0.06</v>
      </c>
      <c r="K95" s="64">
        <v>154.91</v>
      </c>
      <c r="L95" s="64">
        <v>24.6</v>
      </c>
      <c r="M95" s="64">
        <v>97.95</v>
      </c>
      <c r="N95" s="64">
        <v>44</v>
      </c>
      <c r="O95" s="64">
        <v>0</v>
      </c>
      <c r="P95" s="64">
        <v>1.03</v>
      </c>
      <c r="Q95" s="64">
        <v>9.35</v>
      </c>
      <c r="R95" s="198"/>
      <c r="S95" s="198"/>
      <c r="T95" s="198"/>
      <c r="U95" s="198"/>
    </row>
    <row r="96" spans="1:26" s="12" customFormat="1" x14ac:dyDescent="0.25">
      <c r="A96" s="211" t="s">
        <v>1007</v>
      </c>
      <c r="B96" s="64">
        <v>11.32</v>
      </c>
      <c r="C96" s="64">
        <v>12.74</v>
      </c>
      <c r="D96" s="64">
        <v>15.73</v>
      </c>
      <c r="E96" s="64">
        <v>4.68</v>
      </c>
      <c r="F96" s="64">
        <v>5.07</v>
      </c>
      <c r="G96" s="64">
        <v>35.590000000000003</v>
      </c>
      <c r="H96" s="64">
        <v>9.1</v>
      </c>
      <c r="I96" s="64">
        <v>2.41</v>
      </c>
      <c r="J96" s="64">
        <v>0.08</v>
      </c>
      <c r="K96" s="64">
        <v>148.11000000000001</v>
      </c>
      <c r="L96" s="64">
        <v>24.45</v>
      </c>
      <c r="M96" s="64">
        <v>97.99</v>
      </c>
      <c r="N96" s="64">
        <v>43.9</v>
      </c>
      <c r="O96" s="64">
        <v>0</v>
      </c>
      <c r="P96" s="64">
        <v>0.49</v>
      </c>
      <c r="Q96" s="64">
        <v>9.35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1008</v>
      </c>
      <c r="B97" s="64">
        <v>11.83</v>
      </c>
      <c r="C97" s="64">
        <v>11.86</v>
      </c>
      <c r="D97" s="64">
        <v>15.68</v>
      </c>
      <c r="E97" s="64">
        <v>4.4000000000000004</v>
      </c>
      <c r="F97" s="64">
        <v>3.55</v>
      </c>
      <c r="G97" s="64">
        <v>29.51</v>
      </c>
      <c r="H97" s="64">
        <v>7.52</v>
      </c>
      <c r="I97" s="64">
        <v>2.41</v>
      </c>
      <c r="J97" s="64">
        <v>0.04</v>
      </c>
      <c r="K97" s="64">
        <v>244.67</v>
      </c>
      <c r="L97" s="64">
        <v>24.26</v>
      </c>
      <c r="M97" s="64">
        <v>97.96</v>
      </c>
      <c r="N97" s="64">
        <v>44.1</v>
      </c>
      <c r="O97" s="64">
        <v>0</v>
      </c>
      <c r="P97" s="64">
        <v>0.43</v>
      </c>
      <c r="Q97" s="64">
        <v>9.36</v>
      </c>
      <c r="R97" s="198"/>
      <c r="S97" s="198"/>
      <c r="T97" s="198"/>
      <c r="U97" s="198"/>
    </row>
    <row r="98" spans="1:33" s="12" customFormat="1" x14ac:dyDescent="0.25">
      <c r="A98" s="211" t="s">
        <v>1009</v>
      </c>
      <c r="B98" s="64">
        <v>22.21</v>
      </c>
      <c r="C98" s="64">
        <v>11.19</v>
      </c>
      <c r="D98" s="64">
        <v>23.66</v>
      </c>
      <c r="E98" s="64">
        <v>4.8499999999999996</v>
      </c>
      <c r="F98" s="64">
        <v>2.1</v>
      </c>
      <c r="G98" s="64">
        <v>29.08</v>
      </c>
      <c r="H98" s="64">
        <v>7.52</v>
      </c>
      <c r="I98" s="64">
        <v>2.39</v>
      </c>
      <c r="J98" s="64">
        <v>0.16</v>
      </c>
      <c r="K98" s="64">
        <v>342.99</v>
      </c>
      <c r="L98" s="64">
        <v>24.15</v>
      </c>
      <c r="M98" s="64">
        <v>98.01</v>
      </c>
      <c r="N98" s="64">
        <v>43.9</v>
      </c>
      <c r="O98" s="64">
        <v>0</v>
      </c>
      <c r="P98" s="64">
        <v>0.88</v>
      </c>
      <c r="Q98" s="64">
        <v>9.34</v>
      </c>
      <c r="R98" s="198"/>
      <c r="S98" s="198"/>
      <c r="T98" s="198"/>
      <c r="U98" s="198"/>
    </row>
    <row r="99" spans="1:33" s="12" customFormat="1" x14ac:dyDescent="0.25">
      <c r="A99" s="211" t="s">
        <v>1010</v>
      </c>
      <c r="B99" s="64">
        <v>12.69</v>
      </c>
      <c r="C99" s="64">
        <v>16.05</v>
      </c>
      <c r="D99" s="64">
        <v>18.559999999999999</v>
      </c>
      <c r="E99" s="64">
        <v>4.59</v>
      </c>
      <c r="F99" s="64">
        <v>2.1</v>
      </c>
      <c r="G99" s="64">
        <v>29.08</v>
      </c>
      <c r="H99" s="64">
        <v>7.52</v>
      </c>
      <c r="I99" s="64">
        <v>2.36</v>
      </c>
      <c r="J99" s="64">
        <v>0.03</v>
      </c>
      <c r="K99" s="64">
        <v>140.38</v>
      </c>
      <c r="L99" s="64">
        <v>23.94</v>
      </c>
      <c r="M99" s="64">
        <v>98</v>
      </c>
      <c r="N99" s="64">
        <v>44.1</v>
      </c>
      <c r="O99" s="64">
        <v>0</v>
      </c>
      <c r="P99" s="64">
        <v>0.59</v>
      </c>
      <c r="Q99" s="64">
        <v>9.32</v>
      </c>
      <c r="R99" s="198"/>
      <c r="S99" s="198"/>
      <c r="T99" s="198"/>
      <c r="U99" s="198"/>
    </row>
    <row r="100" spans="1:33" s="12" customFormat="1" x14ac:dyDescent="0.25">
      <c r="A100" s="211" t="s">
        <v>1011</v>
      </c>
      <c r="B100" s="64">
        <v>12.36</v>
      </c>
      <c r="C100" s="64">
        <v>17.87</v>
      </c>
      <c r="D100" s="64">
        <v>19.25</v>
      </c>
      <c r="E100" s="64">
        <v>4.43</v>
      </c>
      <c r="F100" s="64">
        <v>2.27</v>
      </c>
      <c r="G100" s="64">
        <v>29.08</v>
      </c>
      <c r="H100" s="64">
        <v>7.52</v>
      </c>
      <c r="I100" s="64">
        <v>2.34</v>
      </c>
      <c r="J100" s="64">
        <v>0.04</v>
      </c>
      <c r="K100" s="64">
        <v>7.33</v>
      </c>
      <c r="L100" s="64">
        <v>23.9</v>
      </c>
      <c r="M100" s="64">
        <v>98</v>
      </c>
      <c r="N100" s="64">
        <v>43.8</v>
      </c>
      <c r="O100" s="64">
        <v>0</v>
      </c>
      <c r="P100" s="64">
        <v>0.48</v>
      </c>
      <c r="Q100" s="64">
        <v>9.32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1012</v>
      </c>
      <c r="B101" s="64">
        <v>13.38</v>
      </c>
      <c r="C101" s="64">
        <v>18.350000000000001</v>
      </c>
      <c r="D101" s="64">
        <v>20.309999999999999</v>
      </c>
      <c r="E101" s="64">
        <v>4.46</v>
      </c>
      <c r="F101" s="64">
        <v>2.13</v>
      </c>
      <c r="G101" s="64">
        <v>22.67</v>
      </c>
      <c r="H101" s="64">
        <v>7.25</v>
      </c>
      <c r="I101" s="64">
        <v>2.3199999999999998</v>
      </c>
      <c r="J101" s="64">
        <v>0.28999999999999998</v>
      </c>
      <c r="K101" s="64">
        <v>144.93</v>
      </c>
      <c r="L101" s="64">
        <v>23.92</v>
      </c>
      <c r="M101" s="64">
        <v>97.97</v>
      </c>
      <c r="N101" s="64">
        <v>43.8</v>
      </c>
      <c r="O101" s="64">
        <v>0</v>
      </c>
      <c r="P101" s="64">
        <v>0.35</v>
      </c>
      <c r="Q101" s="64">
        <v>9.31</v>
      </c>
      <c r="R101" s="198"/>
      <c r="S101" s="198"/>
      <c r="T101" s="198"/>
      <c r="U101" s="198"/>
    </row>
    <row r="102" spans="1:33" s="12" customFormat="1" x14ac:dyDescent="0.25">
      <c r="A102" s="211" t="s">
        <v>1013</v>
      </c>
      <c r="B102" s="64">
        <v>13.35</v>
      </c>
      <c r="C102" s="64">
        <v>11.79</v>
      </c>
      <c r="D102" s="64">
        <v>16.86</v>
      </c>
      <c r="E102" s="64">
        <v>4.32</v>
      </c>
      <c r="F102" s="64">
        <v>2.36</v>
      </c>
      <c r="G102" s="64">
        <v>22.21</v>
      </c>
      <c r="H102" s="64">
        <v>7.25</v>
      </c>
      <c r="I102" s="64">
        <v>2.31</v>
      </c>
      <c r="J102" s="64">
        <v>0.05</v>
      </c>
      <c r="K102" s="64">
        <v>144.94</v>
      </c>
      <c r="L102" s="64">
        <v>23.78</v>
      </c>
      <c r="M102" s="64">
        <v>98.02</v>
      </c>
      <c r="N102" s="64">
        <v>43.9</v>
      </c>
      <c r="O102" s="64">
        <v>0</v>
      </c>
      <c r="P102" s="64">
        <v>0.43</v>
      </c>
      <c r="Q102" s="64">
        <v>9.31</v>
      </c>
      <c r="R102" s="198"/>
      <c r="S102" s="198"/>
      <c r="T102" s="198"/>
      <c r="U102" s="198"/>
    </row>
    <row r="103" spans="1:33" s="12" customFormat="1" x14ac:dyDescent="0.25">
      <c r="A103" s="211" t="s">
        <v>1014</v>
      </c>
      <c r="B103" s="64">
        <v>11.31</v>
      </c>
      <c r="C103" s="64">
        <v>10.210000000000001</v>
      </c>
      <c r="D103" s="64">
        <v>14.4</v>
      </c>
      <c r="E103" s="64">
        <v>4.17</v>
      </c>
      <c r="F103" s="64">
        <v>2.4700000000000002</v>
      </c>
      <c r="G103" s="64">
        <v>22.21</v>
      </c>
      <c r="H103" s="64">
        <v>7.25</v>
      </c>
      <c r="I103" s="64">
        <v>2.2799999999999998</v>
      </c>
      <c r="J103" s="64">
        <v>0.03</v>
      </c>
      <c r="K103" s="64">
        <v>87.62</v>
      </c>
      <c r="L103" s="64">
        <v>23.69</v>
      </c>
      <c r="M103" s="64">
        <v>97.97</v>
      </c>
      <c r="N103" s="64">
        <v>43.9</v>
      </c>
      <c r="O103" s="64">
        <v>0</v>
      </c>
      <c r="P103" s="64">
        <v>0.47</v>
      </c>
      <c r="Q103" s="64">
        <v>9.3000000000000007</v>
      </c>
      <c r="R103" s="198"/>
      <c r="S103" s="198"/>
      <c r="T103" s="198"/>
      <c r="U103" s="198"/>
    </row>
    <row r="104" spans="1:33" s="12" customFormat="1" x14ac:dyDescent="0.25">
      <c r="A104" s="211" t="s">
        <v>1015</v>
      </c>
      <c r="B104" s="64">
        <v>11.95</v>
      </c>
      <c r="C104" s="64">
        <v>11.82</v>
      </c>
      <c r="D104" s="64">
        <v>15.76</v>
      </c>
      <c r="E104" s="64">
        <v>4.46</v>
      </c>
      <c r="F104" s="64">
        <v>2.29</v>
      </c>
      <c r="G104" s="64">
        <v>22.21</v>
      </c>
      <c r="H104" s="64">
        <v>7.25</v>
      </c>
      <c r="I104" s="64">
        <v>2.23</v>
      </c>
      <c r="J104" s="64">
        <v>0.06</v>
      </c>
      <c r="K104" s="64">
        <v>332.51</v>
      </c>
      <c r="L104" s="64">
        <v>23.56</v>
      </c>
      <c r="M104" s="64">
        <v>97.98</v>
      </c>
      <c r="N104" s="64">
        <v>43.9</v>
      </c>
      <c r="O104" s="64">
        <v>0</v>
      </c>
      <c r="P104" s="64">
        <v>0.46</v>
      </c>
      <c r="Q104" s="64">
        <v>9.2899999999999991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5.3</v>
      </c>
      <c r="C106" s="67">
        <f>MIN(C9:C104)</f>
        <v>5.94</v>
      </c>
      <c r="D106" s="67">
        <f t="shared" ref="D106:Q106" si="0">MIN(D9:D104)</f>
        <v>9.56</v>
      </c>
      <c r="E106" s="67">
        <f t="shared" si="0"/>
        <v>3.67</v>
      </c>
      <c r="F106" s="67">
        <f t="shared" si="0"/>
        <v>0</v>
      </c>
      <c r="G106" s="67">
        <f t="shared" si="0"/>
        <v>19.38</v>
      </c>
      <c r="H106" s="67">
        <f t="shared" si="0"/>
        <v>5.54</v>
      </c>
      <c r="I106" s="67">
        <f t="shared" si="0"/>
        <v>1.22</v>
      </c>
      <c r="J106" s="67">
        <f t="shared" si="0"/>
        <v>0.01</v>
      </c>
      <c r="K106" s="67">
        <f t="shared" si="0"/>
        <v>7.33</v>
      </c>
      <c r="L106" s="67">
        <f t="shared" si="0"/>
        <v>22.69</v>
      </c>
      <c r="M106" s="67">
        <f t="shared" si="0"/>
        <v>66.8</v>
      </c>
      <c r="N106" s="67">
        <f t="shared" si="0"/>
        <v>43.8</v>
      </c>
      <c r="O106" s="67">
        <f t="shared" si="0"/>
        <v>0</v>
      </c>
      <c r="P106" s="67">
        <f t="shared" si="0"/>
        <v>0.28999999999999998</v>
      </c>
      <c r="Q106" s="67">
        <f t="shared" si="0"/>
        <v>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61.61</v>
      </c>
      <c r="C107" s="66">
        <f t="shared" ref="C107:Q107" si="1">MAX(C9:C104)</f>
        <v>36.840000000000003</v>
      </c>
      <c r="D107" s="66">
        <f t="shared" si="1"/>
        <v>66.33</v>
      </c>
      <c r="E107" s="66">
        <f t="shared" si="1"/>
        <v>7.68</v>
      </c>
      <c r="F107" s="66">
        <f t="shared" si="1"/>
        <v>183.43</v>
      </c>
      <c r="G107" s="66">
        <f t="shared" si="1"/>
        <v>250.24</v>
      </c>
      <c r="H107" s="66">
        <f t="shared" si="1"/>
        <v>14.15</v>
      </c>
      <c r="I107" s="66">
        <f t="shared" si="1"/>
        <v>2.42</v>
      </c>
      <c r="J107" s="66">
        <f t="shared" si="1"/>
        <v>1.36</v>
      </c>
      <c r="K107" s="66">
        <f t="shared" si="1"/>
        <v>357.78</v>
      </c>
      <c r="L107" s="66">
        <f t="shared" si="1"/>
        <v>30.39</v>
      </c>
      <c r="M107" s="66">
        <f t="shared" si="1"/>
        <v>98.37</v>
      </c>
      <c r="N107" s="66">
        <f t="shared" si="1"/>
        <v>819.6</v>
      </c>
      <c r="O107" s="66">
        <f t="shared" si="1"/>
        <v>0.2</v>
      </c>
      <c r="P107" s="66">
        <f t="shared" si="1"/>
        <v>2.42</v>
      </c>
      <c r="Q107" s="66">
        <f t="shared" si="1"/>
        <v>9.36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14.91552083333333</v>
      </c>
      <c r="C108" s="67">
        <f t="shared" ref="C108:Q108" si="2">AVERAGE(C9:C104)</f>
        <v>17.045416666666661</v>
      </c>
      <c r="D108" s="67">
        <f t="shared" si="2"/>
        <v>20.863333333333333</v>
      </c>
      <c r="E108" s="67">
        <f t="shared" si="2"/>
        <v>5.1117708333333338</v>
      </c>
      <c r="F108" s="67">
        <f t="shared" si="2"/>
        <v>10.838541666666666</v>
      </c>
      <c r="G108" s="67">
        <f t="shared" si="2"/>
        <v>70.578749999999999</v>
      </c>
      <c r="H108" s="67">
        <f t="shared" si="2"/>
        <v>8.1716666666666651</v>
      </c>
      <c r="I108" s="67">
        <f t="shared" si="2"/>
        <v>1.9548958333333328</v>
      </c>
      <c r="J108" s="67">
        <f t="shared" si="2"/>
        <v>0.25677083333333328</v>
      </c>
      <c r="K108" s="67">
        <f t="shared" si="2"/>
        <v>224.41593750000004</v>
      </c>
      <c r="L108" s="67">
        <f t="shared" si="2"/>
        <v>26.014687500000004</v>
      </c>
      <c r="M108" s="67">
        <f t="shared" si="2"/>
        <v>91.688124999999971</v>
      </c>
      <c r="N108" s="67">
        <f t="shared" si="2"/>
        <v>151.19687499999998</v>
      </c>
      <c r="O108" s="67">
        <f t="shared" si="2"/>
        <v>2.0833333333333333E-3</v>
      </c>
      <c r="P108" s="67">
        <f t="shared" si="2"/>
        <v>0.68260416666666668</v>
      </c>
      <c r="Q108" s="67">
        <f t="shared" si="2"/>
        <v>9.2026041666666654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9.1779281998535378</v>
      </c>
      <c r="C109" s="67">
        <f t="shared" ref="C109:Q109" si="3">STDEV(C9:C104)</f>
        <v>8.2127683539162302</v>
      </c>
      <c r="D109" s="67">
        <f t="shared" si="3"/>
        <v>9.8254484474237795</v>
      </c>
      <c r="E109" s="67">
        <f t="shared" si="3"/>
        <v>1.0632660654216339</v>
      </c>
      <c r="F109" s="67">
        <f t="shared" si="3"/>
        <v>19.266439704924959</v>
      </c>
      <c r="G109" s="67">
        <f t="shared" si="3"/>
        <v>67.144436603802902</v>
      </c>
      <c r="H109" s="67">
        <f t="shared" si="3"/>
        <v>2.2011282593331729</v>
      </c>
      <c r="I109" s="67">
        <f t="shared" si="3"/>
        <v>0.33208114034363717</v>
      </c>
      <c r="J109" s="67">
        <f t="shared" si="3"/>
        <v>0.25317559868978268</v>
      </c>
      <c r="K109" s="67">
        <f t="shared" si="3"/>
        <v>108.61847412487936</v>
      </c>
      <c r="L109" s="67">
        <f t="shared" si="3"/>
        <v>2.6411181655642548</v>
      </c>
      <c r="M109" s="67">
        <f t="shared" si="3"/>
        <v>8.4274134525369053</v>
      </c>
      <c r="N109" s="67">
        <f t="shared" si="3"/>
        <v>181.14829020104816</v>
      </c>
      <c r="O109" s="67">
        <f t="shared" si="3"/>
        <v>2.0412414523193152E-2</v>
      </c>
      <c r="P109" s="67">
        <f t="shared" si="3"/>
        <v>0.35136199594290551</v>
      </c>
      <c r="Q109" s="67">
        <f t="shared" si="3"/>
        <v>0.10238466981943672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R13" sqref="R1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1016</v>
      </c>
      <c r="B9" s="64">
        <v>14.33</v>
      </c>
      <c r="C9" s="64">
        <v>9.34</v>
      </c>
      <c r="D9" s="64">
        <v>16.37</v>
      </c>
      <c r="E9" s="64">
        <v>4.43</v>
      </c>
      <c r="F9" s="64">
        <v>2.1</v>
      </c>
      <c r="G9" s="64">
        <v>22.72</v>
      </c>
      <c r="H9" s="64">
        <v>6.64</v>
      </c>
      <c r="I9" s="64">
        <v>2.2000000000000002</v>
      </c>
      <c r="J9" s="64">
        <v>0.03</v>
      </c>
      <c r="K9" s="64">
        <v>277.17</v>
      </c>
      <c r="L9" s="64">
        <v>23.49</v>
      </c>
      <c r="M9" s="64">
        <v>97.99</v>
      </c>
      <c r="N9" s="64">
        <v>43.9</v>
      </c>
      <c r="O9" s="64">
        <v>0</v>
      </c>
      <c r="P9" s="64">
        <v>0.52</v>
      </c>
      <c r="Q9" s="64">
        <v>9.2899999999999991</v>
      </c>
      <c r="R9" s="198"/>
      <c r="S9" s="198"/>
      <c r="T9" s="198"/>
      <c r="U9" s="198"/>
    </row>
    <row r="10" spans="1:21" s="12" customFormat="1" x14ac:dyDescent="0.25">
      <c r="A10" s="211" t="s">
        <v>1017</v>
      </c>
      <c r="B10" s="64">
        <v>9.84</v>
      </c>
      <c r="C10" s="64">
        <v>10.54</v>
      </c>
      <c r="D10" s="64">
        <v>13.4</v>
      </c>
      <c r="E10" s="64">
        <v>4.1100000000000003</v>
      </c>
      <c r="F10" s="64">
        <v>2.96</v>
      </c>
      <c r="G10" s="64">
        <v>22.75</v>
      </c>
      <c r="H10" s="64">
        <v>6.64</v>
      </c>
      <c r="I10" s="64">
        <v>2.17</v>
      </c>
      <c r="J10" s="64">
        <v>0.01</v>
      </c>
      <c r="K10" s="64">
        <v>229.31</v>
      </c>
      <c r="L10" s="64">
        <v>23.51</v>
      </c>
      <c r="M10" s="64">
        <v>97.97</v>
      </c>
      <c r="N10" s="64">
        <v>43.8</v>
      </c>
      <c r="O10" s="64">
        <v>0</v>
      </c>
      <c r="P10" s="64">
        <v>0.41</v>
      </c>
      <c r="Q10" s="64">
        <v>9.2899999999999991</v>
      </c>
      <c r="R10" s="198"/>
      <c r="S10" s="198"/>
      <c r="T10" s="198"/>
      <c r="U10" s="198"/>
    </row>
    <row r="11" spans="1:21" s="12" customFormat="1" x14ac:dyDescent="0.25">
      <c r="A11" s="211" t="s">
        <v>1018</v>
      </c>
      <c r="B11" s="64">
        <v>14.6</v>
      </c>
      <c r="C11" s="64">
        <v>8.4600000000000009</v>
      </c>
      <c r="D11" s="64">
        <v>16.13</v>
      </c>
      <c r="E11" s="64">
        <v>4.1900000000000004</v>
      </c>
      <c r="F11" s="64">
        <v>4.7699999999999996</v>
      </c>
      <c r="G11" s="64">
        <v>22.75</v>
      </c>
      <c r="H11" s="64">
        <v>6.64</v>
      </c>
      <c r="I11" s="64">
        <v>2.15</v>
      </c>
      <c r="J11" s="64">
        <v>0.08</v>
      </c>
      <c r="K11" s="64">
        <v>306.12</v>
      </c>
      <c r="L11" s="64">
        <v>23.48</v>
      </c>
      <c r="M11" s="64">
        <v>97.98</v>
      </c>
      <c r="N11" s="64">
        <v>43.8</v>
      </c>
      <c r="O11" s="64">
        <v>0</v>
      </c>
      <c r="P11" s="64">
        <v>0.46</v>
      </c>
      <c r="Q11" s="64">
        <v>9.2799999999999994</v>
      </c>
      <c r="R11" s="198"/>
      <c r="S11" s="198"/>
      <c r="T11" s="198"/>
      <c r="U11" s="198"/>
    </row>
    <row r="12" spans="1:21" s="12" customFormat="1" x14ac:dyDescent="0.25">
      <c r="A12" s="211" t="s">
        <v>1019</v>
      </c>
      <c r="B12" s="64">
        <v>11.49</v>
      </c>
      <c r="C12" s="64">
        <v>9.93</v>
      </c>
      <c r="D12" s="64">
        <v>14.41</v>
      </c>
      <c r="E12" s="64">
        <v>4</v>
      </c>
      <c r="F12" s="64">
        <v>3.84</v>
      </c>
      <c r="G12" s="64">
        <v>22.75</v>
      </c>
      <c r="H12" s="64">
        <v>6.64</v>
      </c>
      <c r="I12" s="64">
        <v>2.11</v>
      </c>
      <c r="J12" s="64">
        <v>0.06</v>
      </c>
      <c r="K12" s="64">
        <v>245.13</v>
      </c>
      <c r="L12" s="64">
        <v>23.48</v>
      </c>
      <c r="M12" s="64">
        <v>98.01</v>
      </c>
      <c r="N12" s="64">
        <v>43.8</v>
      </c>
      <c r="O12" s="64">
        <v>0</v>
      </c>
      <c r="P12" s="64">
        <v>0.38</v>
      </c>
      <c r="Q12" s="64">
        <v>9.2799999999999994</v>
      </c>
      <c r="R12" s="198"/>
      <c r="S12" s="198"/>
      <c r="T12" s="198"/>
      <c r="U12" s="198"/>
    </row>
    <row r="13" spans="1:21" s="12" customFormat="1" x14ac:dyDescent="0.25">
      <c r="A13" s="211" t="s">
        <v>1020</v>
      </c>
      <c r="B13" s="64">
        <v>10.77</v>
      </c>
      <c r="C13" s="64">
        <v>9.11</v>
      </c>
      <c r="D13" s="64">
        <v>13.4</v>
      </c>
      <c r="E13" s="64">
        <v>4.32</v>
      </c>
      <c r="F13" s="64">
        <v>3.49</v>
      </c>
      <c r="G13" s="64">
        <v>24.18</v>
      </c>
      <c r="H13" s="64">
        <v>5.86</v>
      </c>
      <c r="I13" s="64">
        <v>2.08</v>
      </c>
      <c r="J13" s="64">
        <v>0.04</v>
      </c>
      <c r="K13" s="64">
        <v>293.11</v>
      </c>
      <c r="L13" s="64">
        <v>23.35</v>
      </c>
      <c r="M13" s="64">
        <v>98</v>
      </c>
      <c r="N13" s="64">
        <v>43.8</v>
      </c>
      <c r="O13" s="64">
        <v>0</v>
      </c>
      <c r="P13" s="64">
        <v>0.43</v>
      </c>
      <c r="Q13" s="64">
        <v>9.2799999999999994</v>
      </c>
      <c r="R13" s="198"/>
      <c r="S13" s="198"/>
      <c r="T13" s="198"/>
      <c r="U13" s="198"/>
    </row>
    <row r="14" spans="1:21" s="12" customFormat="1" x14ac:dyDescent="0.25">
      <c r="A14" s="211" t="s">
        <v>1021</v>
      </c>
      <c r="B14" s="64">
        <v>11.3</v>
      </c>
      <c r="C14" s="64">
        <v>8.77</v>
      </c>
      <c r="D14" s="64">
        <v>13.64</v>
      </c>
      <c r="E14" s="64">
        <v>4.34</v>
      </c>
      <c r="F14" s="64">
        <v>3.29</v>
      </c>
      <c r="G14" s="64">
        <v>24.27</v>
      </c>
      <c r="H14" s="64">
        <v>5.86</v>
      </c>
      <c r="I14" s="64">
        <v>2.06</v>
      </c>
      <c r="J14" s="64">
        <v>0.08</v>
      </c>
      <c r="K14" s="64">
        <v>326.29000000000002</v>
      </c>
      <c r="L14" s="64">
        <v>23.29</v>
      </c>
      <c r="M14" s="64">
        <v>98.02</v>
      </c>
      <c r="N14" s="64">
        <v>43.8</v>
      </c>
      <c r="O14" s="64">
        <v>0</v>
      </c>
      <c r="P14" s="64">
        <v>0.43</v>
      </c>
      <c r="Q14" s="64">
        <v>9.2799999999999994</v>
      </c>
      <c r="R14" s="198"/>
      <c r="S14" s="198"/>
      <c r="T14" s="198"/>
      <c r="U14" s="198"/>
    </row>
    <row r="15" spans="1:21" s="12" customFormat="1" x14ac:dyDescent="0.25">
      <c r="A15" s="211" t="s">
        <v>1022</v>
      </c>
      <c r="B15" s="64">
        <v>11.29</v>
      </c>
      <c r="C15" s="64">
        <v>8.33</v>
      </c>
      <c r="D15" s="64">
        <v>13.4</v>
      </c>
      <c r="E15" s="64">
        <v>4.29</v>
      </c>
      <c r="F15" s="64">
        <v>3.03</v>
      </c>
      <c r="G15" s="64">
        <v>24.27</v>
      </c>
      <c r="H15" s="64">
        <v>5.86</v>
      </c>
      <c r="I15" s="64">
        <v>2.04</v>
      </c>
      <c r="J15" s="64">
        <v>0.15</v>
      </c>
      <c r="K15" s="64">
        <v>319.3</v>
      </c>
      <c r="L15" s="64">
        <v>23.15</v>
      </c>
      <c r="M15" s="64">
        <v>98.01</v>
      </c>
      <c r="N15" s="64">
        <v>43.8</v>
      </c>
      <c r="O15" s="64">
        <v>0</v>
      </c>
      <c r="P15" s="64">
        <v>0.41</v>
      </c>
      <c r="Q15" s="64">
        <v>9.2799999999999994</v>
      </c>
      <c r="R15" s="198"/>
      <c r="S15" s="198"/>
      <c r="T15" s="198"/>
      <c r="U15" s="198"/>
    </row>
    <row r="16" spans="1:21" s="12" customFormat="1" x14ac:dyDescent="0.25">
      <c r="A16" s="211" t="s">
        <v>1023</v>
      </c>
      <c r="B16" s="64">
        <v>10.92</v>
      </c>
      <c r="C16" s="64">
        <v>8.25</v>
      </c>
      <c r="D16" s="64">
        <v>13.07</v>
      </c>
      <c r="E16" s="64">
        <v>4.17</v>
      </c>
      <c r="F16" s="64">
        <v>3.71</v>
      </c>
      <c r="G16" s="64">
        <v>24.27</v>
      </c>
      <c r="H16" s="64">
        <v>5.86</v>
      </c>
      <c r="I16" s="64">
        <v>2.0299999999999998</v>
      </c>
      <c r="J16" s="64">
        <v>0.26</v>
      </c>
      <c r="K16" s="64">
        <v>329.94</v>
      </c>
      <c r="L16" s="64">
        <v>23.05</v>
      </c>
      <c r="M16" s="64">
        <v>97.99</v>
      </c>
      <c r="N16" s="64">
        <v>43.8</v>
      </c>
      <c r="O16" s="64">
        <v>0</v>
      </c>
      <c r="P16" s="64">
        <v>0.4</v>
      </c>
      <c r="Q16" s="64">
        <v>9.27</v>
      </c>
      <c r="R16" s="198"/>
      <c r="S16" s="198"/>
      <c r="T16" s="198"/>
      <c r="U16" s="198"/>
    </row>
    <row r="17" spans="1:21" s="12" customFormat="1" x14ac:dyDescent="0.25">
      <c r="A17" s="211" t="s">
        <v>1024</v>
      </c>
      <c r="B17" s="64">
        <v>10.73</v>
      </c>
      <c r="C17" s="64">
        <v>8.27</v>
      </c>
      <c r="D17" s="64">
        <v>12.93</v>
      </c>
      <c r="E17" s="64">
        <v>4.2</v>
      </c>
      <c r="F17" s="64">
        <v>3.3</v>
      </c>
      <c r="G17" s="64">
        <v>12.37</v>
      </c>
      <c r="H17" s="64">
        <v>5.34</v>
      </c>
      <c r="I17" s="64">
        <v>2.02</v>
      </c>
      <c r="J17" s="64">
        <v>0.25</v>
      </c>
      <c r="K17" s="64">
        <v>322.05</v>
      </c>
      <c r="L17" s="64">
        <v>23.04</v>
      </c>
      <c r="M17" s="64">
        <v>97.94</v>
      </c>
      <c r="N17" s="64">
        <v>43.7</v>
      </c>
      <c r="O17" s="64">
        <v>0</v>
      </c>
      <c r="P17" s="64">
        <v>0.36</v>
      </c>
      <c r="Q17" s="64">
        <v>9.26</v>
      </c>
      <c r="R17" s="198"/>
      <c r="S17" s="198"/>
      <c r="T17" s="198"/>
      <c r="U17" s="198"/>
    </row>
    <row r="18" spans="1:21" s="12" customFormat="1" x14ac:dyDescent="0.25">
      <c r="A18" s="211" t="s">
        <v>1025</v>
      </c>
      <c r="B18" s="64">
        <v>10.82</v>
      </c>
      <c r="C18" s="64">
        <v>7.39</v>
      </c>
      <c r="D18" s="64">
        <v>12.53</v>
      </c>
      <c r="E18" s="64">
        <v>4.3099999999999996</v>
      </c>
      <c r="F18" s="64">
        <v>2.86</v>
      </c>
      <c r="G18" s="64">
        <v>11.52</v>
      </c>
      <c r="H18" s="64">
        <v>5.34</v>
      </c>
      <c r="I18" s="64">
        <v>2.0099999999999998</v>
      </c>
      <c r="J18" s="64">
        <v>0.14000000000000001</v>
      </c>
      <c r="K18" s="64">
        <v>320.08</v>
      </c>
      <c r="L18" s="64">
        <v>23.02</v>
      </c>
      <c r="M18" s="64">
        <v>97.99</v>
      </c>
      <c r="N18" s="64">
        <v>43.9</v>
      </c>
      <c r="O18" s="64">
        <v>0</v>
      </c>
      <c r="P18" s="64">
        <v>0.36</v>
      </c>
      <c r="Q18" s="64">
        <v>9.26</v>
      </c>
      <c r="R18" s="198"/>
      <c r="S18" s="198"/>
      <c r="T18" s="198"/>
      <c r="U18" s="198"/>
    </row>
    <row r="19" spans="1:21" s="12" customFormat="1" x14ac:dyDescent="0.25">
      <c r="A19" s="211" t="s">
        <v>1026</v>
      </c>
      <c r="B19" s="64">
        <v>10.88</v>
      </c>
      <c r="C19" s="64">
        <v>7.53</v>
      </c>
      <c r="D19" s="64">
        <v>12.66</v>
      </c>
      <c r="E19" s="64">
        <v>4.29</v>
      </c>
      <c r="F19" s="64">
        <v>2.4</v>
      </c>
      <c r="G19" s="64">
        <v>11.52</v>
      </c>
      <c r="H19" s="64">
        <v>5.34</v>
      </c>
      <c r="I19" s="64">
        <v>1.98</v>
      </c>
      <c r="J19" s="64">
        <v>0.08</v>
      </c>
      <c r="K19" s="64">
        <v>95.23</v>
      </c>
      <c r="L19" s="64">
        <v>22.93</v>
      </c>
      <c r="M19" s="64">
        <v>97.95</v>
      </c>
      <c r="N19" s="64">
        <v>43.9</v>
      </c>
      <c r="O19" s="64">
        <v>0</v>
      </c>
      <c r="P19" s="64">
        <v>0.38</v>
      </c>
      <c r="Q19" s="64">
        <v>9.26</v>
      </c>
      <c r="R19" s="198"/>
      <c r="S19" s="198"/>
      <c r="T19" s="198"/>
      <c r="U19" s="198"/>
    </row>
    <row r="20" spans="1:21" s="12" customFormat="1" x14ac:dyDescent="0.25">
      <c r="A20" s="211" t="s">
        <v>1027</v>
      </c>
      <c r="B20" s="64">
        <v>11.24</v>
      </c>
      <c r="C20" s="64">
        <v>7.15</v>
      </c>
      <c r="D20" s="64">
        <v>12.75</v>
      </c>
      <c r="E20" s="64">
        <v>4.46</v>
      </c>
      <c r="F20" s="64">
        <v>2.1</v>
      </c>
      <c r="G20" s="64">
        <v>11.52</v>
      </c>
      <c r="H20" s="64">
        <v>5.34</v>
      </c>
      <c r="I20" s="64">
        <v>1.96</v>
      </c>
      <c r="J20" s="64">
        <v>0.05</v>
      </c>
      <c r="K20" s="64">
        <v>70.97</v>
      </c>
      <c r="L20" s="64">
        <v>22.85</v>
      </c>
      <c r="M20" s="64">
        <v>98</v>
      </c>
      <c r="N20" s="64">
        <v>44.1</v>
      </c>
      <c r="O20" s="64">
        <v>0</v>
      </c>
      <c r="P20" s="64">
        <v>0.41</v>
      </c>
      <c r="Q20" s="64">
        <v>9.23</v>
      </c>
      <c r="R20" s="198"/>
      <c r="S20" s="198"/>
      <c r="T20" s="198"/>
      <c r="U20" s="198"/>
    </row>
    <row r="21" spans="1:21" s="12" customFormat="1" x14ac:dyDescent="0.25">
      <c r="A21" s="211" t="s">
        <v>1028</v>
      </c>
      <c r="B21" s="64">
        <v>13.58</v>
      </c>
      <c r="C21" s="64">
        <v>6.88</v>
      </c>
      <c r="D21" s="64">
        <v>14.48</v>
      </c>
      <c r="E21" s="64">
        <v>4.3099999999999996</v>
      </c>
      <c r="F21" s="64">
        <v>2.1</v>
      </c>
      <c r="G21" s="64">
        <v>11.74</v>
      </c>
      <c r="H21" s="64">
        <v>9.49</v>
      </c>
      <c r="I21" s="64">
        <v>1.92</v>
      </c>
      <c r="J21" s="64">
        <v>0.42</v>
      </c>
      <c r="K21" s="64">
        <v>343.6</v>
      </c>
      <c r="L21" s="64">
        <v>22.76</v>
      </c>
      <c r="M21" s="64">
        <v>98.03</v>
      </c>
      <c r="N21" s="64">
        <v>43.8</v>
      </c>
      <c r="O21" s="64">
        <v>0</v>
      </c>
      <c r="P21" s="64">
        <v>0.47</v>
      </c>
      <c r="Q21" s="64">
        <v>9.2200000000000006</v>
      </c>
      <c r="R21" s="198"/>
      <c r="S21" s="198"/>
      <c r="T21" s="198"/>
      <c r="U21" s="198"/>
    </row>
    <row r="22" spans="1:21" s="12" customFormat="1" x14ac:dyDescent="0.25">
      <c r="A22" s="211" t="s">
        <v>1029</v>
      </c>
      <c r="B22" s="64">
        <v>11.44</v>
      </c>
      <c r="C22" s="64">
        <v>6.87</v>
      </c>
      <c r="D22" s="64">
        <v>12.76</v>
      </c>
      <c r="E22" s="64">
        <v>4.2</v>
      </c>
      <c r="F22" s="64">
        <v>3.36</v>
      </c>
      <c r="G22" s="64">
        <v>11.75</v>
      </c>
      <c r="H22" s="64">
        <v>9.49</v>
      </c>
      <c r="I22" s="64">
        <v>1.89</v>
      </c>
      <c r="J22" s="64">
        <v>0.54</v>
      </c>
      <c r="K22" s="64">
        <v>330.75</v>
      </c>
      <c r="L22" s="64">
        <v>22.84</v>
      </c>
      <c r="M22" s="64">
        <v>97.99</v>
      </c>
      <c r="N22" s="64">
        <v>43.6</v>
      </c>
      <c r="O22" s="64">
        <v>0</v>
      </c>
      <c r="P22" s="64">
        <v>0.44</v>
      </c>
      <c r="Q22" s="64">
        <v>9.1999999999999993</v>
      </c>
      <c r="R22" s="198"/>
      <c r="S22" s="198"/>
      <c r="T22" s="198"/>
      <c r="U22" s="198"/>
    </row>
    <row r="23" spans="1:21" s="12" customFormat="1" x14ac:dyDescent="0.25">
      <c r="A23" s="211" t="s">
        <v>1030</v>
      </c>
      <c r="B23" s="64">
        <v>12.33</v>
      </c>
      <c r="C23" s="64">
        <v>5.92</v>
      </c>
      <c r="D23" s="64">
        <v>12.98</v>
      </c>
      <c r="E23" s="64">
        <v>4.16</v>
      </c>
      <c r="F23" s="64">
        <v>2.37</v>
      </c>
      <c r="G23" s="64">
        <v>11.75</v>
      </c>
      <c r="H23" s="64">
        <v>9.49</v>
      </c>
      <c r="I23" s="64">
        <v>1.86</v>
      </c>
      <c r="J23" s="64">
        <v>7.0000000000000007E-2</v>
      </c>
      <c r="K23" s="64">
        <v>332.95</v>
      </c>
      <c r="L23" s="64">
        <v>22.91</v>
      </c>
      <c r="M23" s="64">
        <v>97.98</v>
      </c>
      <c r="N23" s="64">
        <v>44</v>
      </c>
      <c r="O23" s="64">
        <v>0</v>
      </c>
      <c r="P23" s="64">
        <v>0.48</v>
      </c>
      <c r="Q23" s="64">
        <v>9.1999999999999993</v>
      </c>
      <c r="R23" s="198"/>
      <c r="S23" s="198"/>
      <c r="T23" s="198"/>
      <c r="U23" s="198"/>
    </row>
    <row r="24" spans="1:21" s="12" customFormat="1" x14ac:dyDescent="0.25">
      <c r="A24" s="211" t="s">
        <v>1031</v>
      </c>
      <c r="B24" s="64">
        <v>15.62</v>
      </c>
      <c r="C24" s="64">
        <v>7.81</v>
      </c>
      <c r="D24" s="64">
        <v>16.440000000000001</v>
      </c>
      <c r="E24" s="64">
        <v>3.95</v>
      </c>
      <c r="F24" s="64">
        <v>2.1</v>
      </c>
      <c r="G24" s="64">
        <v>11.75</v>
      </c>
      <c r="H24" s="64">
        <v>9.49</v>
      </c>
      <c r="I24" s="64">
        <v>1.83</v>
      </c>
      <c r="J24" s="64">
        <v>0.12</v>
      </c>
      <c r="K24" s="64">
        <v>343.3</v>
      </c>
      <c r="L24" s="64">
        <v>22.77</v>
      </c>
      <c r="M24" s="64">
        <v>97.99</v>
      </c>
      <c r="N24" s="64">
        <v>44</v>
      </c>
      <c r="O24" s="64">
        <v>0</v>
      </c>
      <c r="P24" s="64">
        <v>0.3</v>
      </c>
      <c r="Q24" s="64">
        <v>9.1999999999999993</v>
      </c>
      <c r="R24" s="198"/>
      <c r="S24" s="198"/>
      <c r="T24" s="198"/>
      <c r="U24" s="198"/>
    </row>
    <row r="25" spans="1:21" s="12" customFormat="1" x14ac:dyDescent="0.25">
      <c r="A25" s="211" t="s">
        <v>1032</v>
      </c>
      <c r="B25" s="64">
        <v>13.44</v>
      </c>
      <c r="C25" s="64">
        <v>7.96</v>
      </c>
      <c r="D25" s="64">
        <v>14.94</v>
      </c>
      <c r="E25" s="64">
        <v>3.95</v>
      </c>
      <c r="F25" s="64">
        <v>2.1</v>
      </c>
      <c r="G25" s="64">
        <v>22.27</v>
      </c>
      <c r="H25" s="64">
        <v>8.65</v>
      </c>
      <c r="I25" s="64">
        <v>1.8</v>
      </c>
      <c r="J25" s="64">
        <v>0.35</v>
      </c>
      <c r="K25" s="64">
        <v>342.34</v>
      </c>
      <c r="L25" s="64">
        <v>22.8</v>
      </c>
      <c r="M25" s="64">
        <v>97.99</v>
      </c>
      <c r="N25" s="64">
        <v>43.9</v>
      </c>
      <c r="O25" s="64">
        <v>0</v>
      </c>
      <c r="P25" s="64">
        <v>0.39</v>
      </c>
      <c r="Q25" s="64">
        <v>9.19</v>
      </c>
      <c r="R25" s="198"/>
      <c r="S25" s="198"/>
      <c r="T25" s="198"/>
      <c r="U25" s="198"/>
    </row>
    <row r="26" spans="1:21" s="12" customFormat="1" x14ac:dyDescent="0.25">
      <c r="A26" s="211" t="s">
        <v>1033</v>
      </c>
      <c r="B26" s="64">
        <v>13.62</v>
      </c>
      <c r="C26" s="64">
        <v>5.7</v>
      </c>
      <c r="D26" s="64">
        <v>13.9</v>
      </c>
      <c r="E26" s="64">
        <v>4.12</v>
      </c>
      <c r="F26" s="64">
        <v>2.1</v>
      </c>
      <c r="G26" s="64">
        <v>23.02</v>
      </c>
      <c r="H26" s="64">
        <v>8.65</v>
      </c>
      <c r="I26" s="64">
        <v>1.78</v>
      </c>
      <c r="J26" s="64">
        <v>0.28000000000000003</v>
      </c>
      <c r="K26" s="64">
        <v>341</v>
      </c>
      <c r="L26" s="64">
        <v>22.74</v>
      </c>
      <c r="M26" s="64">
        <v>98.02</v>
      </c>
      <c r="N26" s="64">
        <v>43.8</v>
      </c>
      <c r="O26" s="64">
        <v>0</v>
      </c>
      <c r="P26" s="64">
        <v>0.41</v>
      </c>
      <c r="Q26" s="64">
        <v>9.19</v>
      </c>
      <c r="R26" s="198"/>
      <c r="S26" s="198"/>
      <c r="T26" s="198"/>
      <c r="U26" s="198"/>
    </row>
    <row r="27" spans="1:21" s="12" customFormat="1" x14ac:dyDescent="0.25">
      <c r="A27" s="211" t="s">
        <v>1034</v>
      </c>
      <c r="B27" s="64">
        <v>14.83</v>
      </c>
      <c r="C27" s="64">
        <v>6.12</v>
      </c>
      <c r="D27" s="64">
        <v>15.09</v>
      </c>
      <c r="E27" s="64">
        <v>4.0599999999999996</v>
      </c>
      <c r="F27" s="64">
        <v>2.78</v>
      </c>
      <c r="G27" s="64">
        <v>23.02</v>
      </c>
      <c r="H27" s="64">
        <v>8.65</v>
      </c>
      <c r="I27" s="64">
        <v>1.76</v>
      </c>
      <c r="J27" s="64">
        <v>0.42</v>
      </c>
      <c r="K27" s="64">
        <v>333.37</v>
      </c>
      <c r="L27" s="64">
        <v>22.67</v>
      </c>
      <c r="M27" s="64">
        <v>98.06</v>
      </c>
      <c r="N27" s="64">
        <v>43.8</v>
      </c>
      <c r="O27" s="64">
        <v>0</v>
      </c>
      <c r="P27" s="64">
        <v>0.4</v>
      </c>
      <c r="Q27" s="64">
        <v>9.19</v>
      </c>
      <c r="R27" s="198"/>
      <c r="S27" s="198"/>
      <c r="T27" s="198"/>
      <c r="U27" s="198"/>
    </row>
    <row r="28" spans="1:21" s="12" customFormat="1" x14ac:dyDescent="0.25">
      <c r="A28" s="211" t="s">
        <v>1035</v>
      </c>
      <c r="B28" s="64">
        <v>14.68</v>
      </c>
      <c r="C28" s="64">
        <v>6.2</v>
      </c>
      <c r="D28" s="64">
        <v>15.01</v>
      </c>
      <c r="E28" s="64">
        <v>3.77</v>
      </c>
      <c r="F28" s="64">
        <v>4.22</v>
      </c>
      <c r="G28" s="64">
        <v>23.02</v>
      </c>
      <c r="H28" s="64">
        <v>8.65</v>
      </c>
      <c r="I28" s="64">
        <v>1.74</v>
      </c>
      <c r="J28" s="64">
        <v>0.59</v>
      </c>
      <c r="K28" s="64">
        <v>330.37</v>
      </c>
      <c r="L28" s="64">
        <v>22.68</v>
      </c>
      <c r="M28" s="64">
        <v>98.04</v>
      </c>
      <c r="N28" s="64">
        <v>43.7</v>
      </c>
      <c r="O28" s="64">
        <v>0</v>
      </c>
      <c r="P28" s="64">
        <v>0.43</v>
      </c>
      <c r="Q28" s="64">
        <v>9.19</v>
      </c>
      <c r="R28" s="198"/>
      <c r="S28" s="198"/>
      <c r="T28" s="198"/>
      <c r="U28" s="198"/>
    </row>
    <row r="29" spans="1:21" s="12" customFormat="1" x14ac:dyDescent="0.25">
      <c r="A29" s="211" t="s">
        <v>1036</v>
      </c>
      <c r="B29" s="64">
        <v>13.44</v>
      </c>
      <c r="C29" s="64">
        <v>8.1199999999999992</v>
      </c>
      <c r="D29" s="64">
        <v>15.02</v>
      </c>
      <c r="E29" s="64">
        <v>4.24</v>
      </c>
      <c r="F29" s="64">
        <v>3.74</v>
      </c>
      <c r="G29" s="64">
        <v>23.42</v>
      </c>
      <c r="H29" s="64">
        <v>7.87</v>
      </c>
      <c r="I29" s="64">
        <v>1.72</v>
      </c>
      <c r="J29" s="64">
        <v>0.6</v>
      </c>
      <c r="K29" s="64">
        <v>330.53</v>
      </c>
      <c r="L29" s="64">
        <v>22.77</v>
      </c>
      <c r="M29" s="64">
        <v>98.01</v>
      </c>
      <c r="N29" s="64">
        <v>43.8</v>
      </c>
      <c r="O29" s="64">
        <v>0</v>
      </c>
      <c r="P29" s="64">
        <v>0.5</v>
      </c>
      <c r="Q29" s="64">
        <v>9.19</v>
      </c>
      <c r="R29" s="198"/>
      <c r="S29" s="198"/>
      <c r="T29" s="198"/>
      <c r="U29" s="198"/>
    </row>
    <row r="30" spans="1:21" s="12" customFormat="1" x14ac:dyDescent="0.25">
      <c r="A30" s="211" t="s">
        <v>1037</v>
      </c>
      <c r="B30" s="64">
        <v>12.82</v>
      </c>
      <c r="C30" s="64">
        <v>9.9600000000000009</v>
      </c>
      <c r="D30" s="64">
        <v>15.48</v>
      </c>
      <c r="E30" s="64">
        <v>4.18</v>
      </c>
      <c r="F30" s="64">
        <v>3.2</v>
      </c>
      <c r="G30" s="64">
        <v>23.45</v>
      </c>
      <c r="H30" s="64">
        <v>7.87</v>
      </c>
      <c r="I30" s="64">
        <v>1.71</v>
      </c>
      <c r="J30" s="64">
        <v>0.69</v>
      </c>
      <c r="K30" s="64">
        <v>337.46</v>
      </c>
      <c r="L30" s="64">
        <v>22.76</v>
      </c>
      <c r="M30" s="64">
        <v>98.02</v>
      </c>
      <c r="N30" s="64">
        <v>43.8</v>
      </c>
      <c r="O30" s="64">
        <v>0</v>
      </c>
      <c r="P30" s="64">
        <v>0.55000000000000004</v>
      </c>
      <c r="Q30" s="64">
        <v>9.2100000000000009</v>
      </c>
      <c r="R30" s="198"/>
      <c r="S30" s="198"/>
      <c r="T30" s="198"/>
      <c r="U30" s="198"/>
    </row>
    <row r="31" spans="1:21" s="12" customFormat="1" x14ac:dyDescent="0.25">
      <c r="A31" s="211" t="s">
        <v>1038</v>
      </c>
      <c r="B31" s="64">
        <v>18.309999999999999</v>
      </c>
      <c r="C31" s="64">
        <v>7.89</v>
      </c>
      <c r="D31" s="64">
        <v>18.66</v>
      </c>
      <c r="E31" s="64">
        <v>4.1500000000000004</v>
      </c>
      <c r="F31" s="64">
        <v>3.49</v>
      </c>
      <c r="G31" s="64">
        <v>23.45</v>
      </c>
      <c r="H31" s="64">
        <v>7.87</v>
      </c>
      <c r="I31" s="64">
        <v>1.69</v>
      </c>
      <c r="J31" s="64">
        <v>0.74</v>
      </c>
      <c r="K31" s="64">
        <v>336.3</v>
      </c>
      <c r="L31" s="64">
        <v>22.73</v>
      </c>
      <c r="M31" s="64">
        <v>98.03</v>
      </c>
      <c r="N31" s="64">
        <v>44.3</v>
      </c>
      <c r="O31" s="64">
        <v>0</v>
      </c>
      <c r="P31" s="64">
        <v>0.56999999999999995</v>
      </c>
      <c r="Q31" s="64">
        <v>9.23</v>
      </c>
      <c r="R31" s="198"/>
      <c r="S31" s="198"/>
      <c r="T31" s="198"/>
      <c r="U31" s="198"/>
    </row>
    <row r="32" spans="1:21" s="12" customFormat="1" x14ac:dyDescent="0.25">
      <c r="A32" s="211" t="s">
        <v>1039</v>
      </c>
      <c r="B32" s="64">
        <v>14.33</v>
      </c>
      <c r="C32" s="64">
        <v>9.18</v>
      </c>
      <c r="D32" s="64">
        <v>16.29</v>
      </c>
      <c r="E32" s="64">
        <v>4.47</v>
      </c>
      <c r="F32" s="64">
        <v>3.14</v>
      </c>
      <c r="G32" s="64">
        <v>23.45</v>
      </c>
      <c r="H32" s="64">
        <v>7.87</v>
      </c>
      <c r="I32" s="64">
        <v>1.7</v>
      </c>
      <c r="J32" s="64">
        <v>0.76</v>
      </c>
      <c r="K32" s="64">
        <v>335.87</v>
      </c>
      <c r="L32" s="64">
        <v>22.73</v>
      </c>
      <c r="M32" s="64">
        <v>98.01</v>
      </c>
      <c r="N32" s="64">
        <v>47.8</v>
      </c>
      <c r="O32" s="64">
        <v>0</v>
      </c>
      <c r="P32" s="64">
        <v>0.56000000000000005</v>
      </c>
      <c r="Q32" s="64">
        <v>9.25</v>
      </c>
      <c r="R32" s="198"/>
      <c r="S32" s="198"/>
      <c r="T32" s="198"/>
      <c r="U32" s="198"/>
    </row>
    <row r="33" spans="1:21" s="12" customFormat="1" x14ac:dyDescent="0.25">
      <c r="A33" s="211" t="s">
        <v>1040</v>
      </c>
      <c r="B33" s="64">
        <v>17.45</v>
      </c>
      <c r="C33" s="64">
        <v>7.54</v>
      </c>
      <c r="D33" s="64">
        <v>17.93</v>
      </c>
      <c r="E33" s="64">
        <v>4.45</v>
      </c>
      <c r="F33" s="64">
        <v>3.45</v>
      </c>
      <c r="G33" s="64">
        <v>31.58</v>
      </c>
      <c r="H33" s="64">
        <v>6.66</v>
      </c>
      <c r="I33" s="64">
        <v>1.71</v>
      </c>
      <c r="J33" s="64">
        <v>0.74</v>
      </c>
      <c r="K33" s="64">
        <v>332.23</v>
      </c>
      <c r="L33" s="64">
        <v>22.76</v>
      </c>
      <c r="M33" s="64">
        <v>98.04</v>
      </c>
      <c r="N33" s="64">
        <v>59.3</v>
      </c>
      <c r="O33" s="64">
        <v>0</v>
      </c>
      <c r="P33" s="64">
        <v>0.59</v>
      </c>
      <c r="Q33" s="64">
        <v>9.25</v>
      </c>
      <c r="R33" s="198"/>
      <c r="S33" s="198"/>
      <c r="T33" s="198"/>
      <c r="U33" s="198"/>
    </row>
    <row r="34" spans="1:21" s="12" customFormat="1" x14ac:dyDescent="0.25">
      <c r="A34" s="211" t="s">
        <v>1041</v>
      </c>
      <c r="B34" s="64">
        <v>16.14</v>
      </c>
      <c r="C34" s="64">
        <v>9.85</v>
      </c>
      <c r="D34" s="64">
        <v>18.09</v>
      </c>
      <c r="E34" s="64">
        <v>4.3600000000000003</v>
      </c>
      <c r="F34" s="64">
        <v>2.78</v>
      </c>
      <c r="G34" s="64">
        <v>32.159999999999997</v>
      </c>
      <c r="H34" s="64">
        <v>6.66</v>
      </c>
      <c r="I34" s="64">
        <v>1.73</v>
      </c>
      <c r="J34" s="64">
        <v>0.76</v>
      </c>
      <c r="K34" s="64">
        <v>338.28</v>
      </c>
      <c r="L34" s="64">
        <v>22.98</v>
      </c>
      <c r="M34" s="64">
        <v>98.04</v>
      </c>
      <c r="N34" s="64">
        <v>78.5</v>
      </c>
      <c r="O34" s="64">
        <v>0</v>
      </c>
      <c r="P34" s="64">
        <v>0.63</v>
      </c>
      <c r="Q34" s="64">
        <v>9.26</v>
      </c>
      <c r="R34" s="198"/>
      <c r="S34" s="198"/>
      <c r="T34" s="198"/>
      <c r="U34" s="198"/>
    </row>
    <row r="35" spans="1:21" s="12" customFormat="1" x14ac:dyDescent="0.25">
      <c r="A35" s="211" t="s">
        <v>1042</v>
      </c>
      <c r="B35" s="64">
        <v>16.690000000000001</v>
      </c>
      <c r="C35" s="64">
        <v>9</v>
      </c>
      <c r="D35" s="64">
        <v>18.09</v>
      </c>
      <c r="E35" s="64">
        <v>4.58</v>
      </c>
      <c r="F35" s="64">
        <v>3.28</v>
      </c>
      <c r="G35" s="64">
        <v>32.159999999999997</v>
      </c>
      <c r="H35" s="64">
        <v>6.66</v>
      </c>
      <c r="I35" s="64">
        <v>1.74</v>
      </c>
      <c r="J35" s="64">
        <v>1</v>
      </c>
      <c r="K35" s="64">
        <v>338.08</v>
      </c>
      <c r="L35" s="64">
        <v>23.54</v>
      </c>
      <c r="M35" s="64">
        <v>98</v>
      </c>
      <c r="N35" s="64">
        <v>112.9</v>
      </c>
      <c r="O35" s="64">
        <v>0</v>
      </c>
      <c r="P35" s="64">
        <v>0.6</v>
      </c>
      <c r="Q35" s="64">
        <v>9.27</v>
      </c>
      <c r="R35" s="198"/>
      <c r="S35" s="198"/>
      <c r="T35" s="198"/>
      <c r="U35" s="198"/>
    </row>
    <row r="36" spans="1:21" s="12" customFormat="1" x14ac:dyDescent="0.25">
      <c r="A36" s="211" t="s">
        <v>1043</v>
      </c>
      <c r="B36" s="64">
        <v>19.97</v>
      </c>
      <c r="C36" s="64">
        <v>8.26</v>
      </c>
      <c r="D36" s="64">
        <v>20.29</v>
      </c>
      <c r="E36" s="64">
        <v>4.7300000000000004</v>
      </c>
      <c r="F36" s="64">
        <v>2.68</v>
      </c>
      <c r="G36" s="64">
        <v>32.159999999999997</v>
      </c>
      <c r="H36" s="64">
        <v>6.66</v>
      </c>
      <c r="I36" s="64">
        <v>1.77</v>
      </c>
      <c r="J36" s="64">
        <v>0.57999999999999996</v>
      </c>
      <c r="K36" s="64">
        <v>333.55</v>
      </c>
      <c r="L36" s="64">
        <v>24.66</v>
      </c>
      <c r="M36" s="64">
        <v>97.91</v>
      </c>
      <c r="N36" s="64">
        <v>153.9</v>
      </c>
      <c r="O36" s="64">
        <v>0</v>
      </c>
      <c r="P36" s="64">
        <v>0.63</v>
      </c>
      <c r="Q36" s="64">
        <v>9.2799999999999994</v>
      </c>
      <c r="R36" s="198"/>
      <c r="S36" s="198"/>
      <c r="T36" s="198"/>
      <c r="U36" s="198"/>
    </row>
    <row r="37" spans="1:21" s="12" customFormat="1" x14ac:dyDescent="0.25">
      <c r="A37" s="211" t="s">
        <v>1044</v>
      </c>
      <c r="B37" s="64">
        <v>18.87</v>
      </c>
      <c r="C37" s="64">
        <v>5.53</v>
      </c>
      <c r="D37" s="64">
        <v>18.02</v>
      </c>
      <c r="E37" s="64">
        <v>4.4800000000000004</v>
      </c>
      <c r="F37" s="64">
        <v>2.4</v>
      </c>
      <c r="G37" s="64">
        <v>37.07</v>
      </c>
      <c r="H37" s="64">
        <v>8.58</v>
      </c>
      <c r="I37" s="64">
        <v>1.8</v>
      </c>
      <c r="J37" s="64">
        <v>0.78</v>
      </c>
      <c r="K37" s="64">
        <v>340.68</v>
      </c>
      <c r="L37" s="64">
        <v>25.99</v>
      </c>
      <c r="M37" s="64">
        <v>97.83</v>
      </c>
      <c r="N37" s="64">
        <v>196</v>
      </c>
      <c r="O37" s="64">
        <v>0</v>
      </c>
      <c r="P37" s="64">
        <v>0.54</v>
      </c>
      <c r="Q37" s="64">
        <v>9.2799999999999994</v>
      </c>
      <c r="R37" s="198"/>
      <c r="S37" s="198"/>
      <c r="T37" s="198"/>
      <c r="U37" s="198"/>
    </row>
    <row r="38" spans="1:21" s="12" customFormat="1" x14ac:dyDescent="0.25">
      <c r="A38" s="211" t="s">
        <v>1045</v>
      </c>
      <c r="B38" s="64">
        <v>21.59</v>
      </c>
      <c r="C38" s="64">
        <v>7.7</v>
      </c>
      <c r="D38" s="64">
        <v>21.34</v>
      </c>
      <c r="E38" s="64">
        <v>4.7300000000000004</v>
      </c>
      <c r="F38" s="64">
        <v>2.73</v>
      </c>
      <c r="G38" s="64">
        <v>37.42</v>
      </c>
      <c r="H38" s="64">
        <v>8.58</v>
      </c>
      <c r="I38" s="64">
        <v>1.82</v>
      </c>
      <c r="J38" s="64">
        <v>0.86</v>
      </c>
      <c r="K38" s="64">
        <v>340.32</v>
      </c>
      <c r="L38" s="64">
        <v>27.37</v>
      </c>
      <c r="M38" s="64">
        <v>96</v>
      </c>
      <c r="N38" s="64">
        <v>249.5</v>
      </c>
      <c r="O38" s="64">
        <v>0</v>
      </c>
      <c r="P38" s="64">
        <v>0.65</v>
      </c>
      <c r="Q38" s="64">
        <v>9.27</v>
      </c>
      <c r="R38" s="198"/>
      <c r="S38" s="198"/>
      <c r="T38" s="198"/>
      <c r="U38" s="198"/>
    </row>
    <row r="39" spans="1:21" s="12" customFormat="1" x14ac:dyDescent="0.25">
      <c r="A39" s="211" t="s">
        <v>1046</v>
      </c>
      <c r="B39" s="64">
        <v>20.7</v>
      </c>
      <c r="C39" s="64">
        <v>7.78</v>
      </c>
      <c r="D39" s="64">
        <v>20.66</v>
      </c>
      <c r="E39" s="64">
        <v>4.6900000000000004</v>
      </c>
      <c r="F39" s="64">
        <v>2.46</v>
      </c>
      <c r="G39" s="64">
        <v>37.42</v>
      </c>
      <c r="H39" s="64">
        <v>8.58</v>
      </c>
      <c r="I39" s="64">
        <v>1.81</v>
      </c>
      <c r="J39" s="64">
        <v>0.86</v>
      </c>
      <c r="K39" s="64">
        <v>341.57</v>
      </c>
      <c r="L39" s="64">
        <v>28.69</v>
      </c>
      <c r="M39" s="64">
        <v>87.96</v>
      </c>
      <c r="N39" s="64">
        <v>300.8</v>
      </c>
      <c r="O39" s="64">
        <v>0</v>
      </c>
      <c r="P39" s="64">
        <v>0.66</v>
      </c>
      <c r="Q39" s="64">
        <v>9.2799999999999994</v>
      </c>
      <c r="R39" s="198"/>
      <c r="S39" s="198"/>
      <c r="T39" s="198"/>
      <c r="U39" s="198"/>
    </row>
    <row r="40" spans="1:21" s="12" customFormat="1" x14ac:dyDescent="0.25">
      <c r="A40" s="211" t="s">
        <v>1047</v>
      </c>
      <c r="B40" s="64">
        <v>27.18</v>
      </c>
      <c r="C40" s="64">
        <v>12.18</v>
      </c>
      <c r="D40" s="64">
        <v>28.13</v>
      </c>
      <c r="E40" s="64">
        <v>5.28</v>
      </c>
      <c r="F40" s="64">
        <v>4.3600000000000003</v>
      </c>
      <c r="G40" s="64">
        <v>37.42</v>
      </c>
      <c r="H40" s="64">
        <v>8.58</v>
      </c>
      <c r="I40" s="64">
        <v>1.81</v>
      </c>
      <c r="J40" s="64">
        <v>1.01</v>
      </c>
      <c r="K40" s="64">
        <v>340.9</v>
      </c>
      <c r="L40" s="64">
        <v>29.66</v>
      </c>
      <c r="M40" s="64">
        <v>82.28</v>
      </c>
      <c r="N40" s="64">
        <v>342.8</v>
      </c>
      <c r="O40" s="64">
        <v>0</v>
      </c>
      <c r="P40" s="64">
        <v>0.8</v>
      </c>
      <c r="Q40" s="64">
        <v>9.3000000000000007</v>
      </c>
      <c r="R40" s="198"/>
      <c r="S40" s="198"/>
      <c r="T40" s="198"/>
      <c r="U40" s="198"/>
    </row>
    <row r="41" spans="1:21" s="12" customFormat="1" x14ac:dyDescent="0.25">
      <c r="A41" s="211" t="s">
        <v>1048</v>
      </c>
      <c r="B41" s="64">
        <v>22.57</v>
      </c>
      <c r="C41" s="64">
        <v>7.29</v>
      </c>
      <c r="D41" s="64">
        <v>21.91</v>
      </c>
      <c r="E41" s="64">
        <v>5.77</v>
      </c>
      <c r="F41" s="64">
        <v>3.75</v>
      </c>
      <c r="G41" s="64">
        <v>48.91</v>
      </c>
      <c r="H41" s="64">
        <v>9.58</v>
      </c>
      <c r="I41" s="64">
        <v>1.84</v>
      </c>
      <c r="J41" s="64">
        <v>1.02</v>
      </c>
      <c r="K41" s="64">
        <v>340.45</v>
      </c>
      <c r="L41" s="64">
        <v>30.29</v>
      </c>
      <c r="M41" s="64">
        <v>79.63</v>
      </c>
      <c r="N41" s="64">
        <v>403</v>
      </c>
      <c r="O41" s="64">
        <v>0</v>
      </c>
      <c r="P41" s="64">
        <v>0.68</v>
      </c>
      <c r="Q41" s="64">
        <v>9.33</v>
      </c>
      <c r="R41" s="198"/>
      <c r="S41" s="198"/>
      <c r="T41" s="198"/>
      <c r="U41" s="198"/>
    </row>
    <row r="42" spans="1:21" s="12" customFormat="1" x14ac:dyDescent="0.25">
      <c r="A42" s="211" t="s">
        <v>1049</v>
      </c>
      <c r="B42" s="64">
        <v>20.309999999999999</v>
      </c>
      <c r="C42" s="64">
        <v>10.130000000000001</v>
      </c>
      <c r="D42" s="64">
        <v>21.58</v>
      </c>
      <c r="E42" s="64">
        <v>5.24</v>
      </c>
      <c r="F42" s="64">
        <v>6.11</v>
      </c>
      <c r="G42" s="64">
        <v>49.73</v>
      </c>
      <c r="H42" s="64">
        <v>9.58</v>
      </c>
      <c r="I42" s="64">
        <v>1.87</v>
      </c>
      <c r="J42" s="64">
        <v>1.44</v>
      </c>
      <c r="K42" s="64">
        <v>338.82</v>
      </c>
      <c r="L42" s="64">
        <v>31.21</v>
      </c>
      <c r="M42" s="64">
        <v>74.56</v>
      </c>
      <c r="N42" s="64">
        <v>461.1</v>
      </c>
      <c r="O42" s="64">
        <v>0</v>
      </c>
      <c r="P42" s="64">
        <v>0.69</v>
      </c>
      <c r="Q42" s="64">
        <v>9.35</v>
      </c>
      <c r="R42" s="198"/>
      <c r="S42" s="198"/>
      <c r="T42" s="198"/>
      <c r="U42" s="198"/>
    </row>
    <row r="43" spans="1:21" s="12" customFormat="1" x14ac:dyDescent="0.25">
      <c r="A43" s="211" t="s">
        <v>1050</v>
      </c>
      <c r="B43" s="64">
        <v>20.99</v>
      </c>
      <c r="C43" s="64">
        <v>6.52</v>
      </c>
      <c r="D43" s="64">
        <v>20.239999999999998</v>
      </c>
      <c r="E43" s="64">
        <v>6.42</v>
      </c>
      <c r="F43" s="64">
        <v>4.63</v>
      </c>
      <c r="G43" s="64">
        <v>49.73</v>
      </c>
      <c r="H43" s="64">
        <v>9.58</v>
      </c>
      <c r="I43" s="64">
        <v>1.91</v>
      </c>
      <c r="J43" s="64">
        <v>1.32</v>
      </c>
      <c r="K43" s="64">
        <v>339.1</v>
      </c>
      <c r="L43" s="64">
        <v>31.39</v>
      </c>
      <c r="M43" s="64">
        <v>73.88</v>
      </c>
      <c r="N43" s="64">
        <v>507.3</v>
      </c>
      <c r="O43" s="64">
        <v>0</v>
      </c>
      <c r="P43" s="64">
        <v>0.66</v>
      </c>
      <c r="Q43" s="64">
        <v>9.36</v>
      </c>
      <c r="R43" s="198"/>
      <c r="S43" s="198"/>
      <c r="T43" s="198"/>
      <c r="U43" s="198"/>
    </row>
    <row r="44" spans="1:21" s="12" customFormat="1" x14ac:dyDescent="0.25">
      <c r="A44" s="211" t="s">
        <v>1051</v>
      </c>
      <c r="B44" s="64">
        <v>26.36</v>
      </c>
      <c r="C44" s="64">
        <v>14.88</v>
      </c>
      <c r="D44" s="64">
        <v>28.85</v>
      </c>
      <c r="E44" s="64">
        <v>5.21</v>
      </c>
      <c r="F44" s="64">
        <v>6.01</v>
      </c>
      <c r="G44" s="64">
        <v>49.73</v>
      </c>
      <c r="H44" s="64">
        <v>9.58</v>
      </c>
      <c r="I44" s="64">
        <v>1.96</v>
      </c>
      <c r="J44" s="64">
        <v>0.62</v>
      </c>
      <c r="K44" s="64">
        <v>337.37</v>
      </c>
      <c r="L44" s="64">
        <v>32.32</v>
      </c>
      <c r="M44" s="64">
        <v>69.11</v>
      </c>
      <c r="N44" s="64">
        <v>549.9</v>
      </c>
      <c r="O44" s="64">
        <v>0</v>
      </c>
      <c r="P44" s="64">
        <v>0.79</v>
      </c>
      <c r="Q44" s="64">
        <v>9.3699999999999992</v>
      </c>
      <c r="R44" s="198"/>
      <c r="S44" s="198"/>
      <c r="T44" s="198"/>
      <c r="U44" s="198"/>
    </row>
    <row r="45" spans="1:21" s="12" customFormat="1" x14ac:dyDescent="0.25">
      <c r="A45" s="211" t="s">
        <v>1052</v>
      </c>
      <c r="B45" s="64">
        <v>20.52</v>
      </c>
      <c r="C45" s="64">
        <v>16.510000000000002</v>
      </c>
      <c r="D45" s="64">
        <v>25.08</v>
      </c>
      <c r="E45" s="64">
        <v>5.59</v>
      </c>
      <c r="F45" s="64">
        <v>5.0199999999999996</v>
      </c>
      <c r="G45" s="64">
        <v>52.54</v>
      </c>
      <c r="H45" s="64">
        <v>8.65</v>
      </c>
      <c r="I45" s="64">
        <v>2.0099999999999998</v>
      </c>
      <c r="J45" s="64">
        <v>0.63</v>
      </c>
      <c r="K45" s="64">
        <v>336.79</v>
      </c>
      <c r="L45" s="64">
        <v>32.380000000000003</v>
      </c>
      <c r="M45" s="64">
        <v>68.569999999999993</v>
      </c>
      <c r="N45" s="64">
        <v>588.79999999999995</v>
      </c>
      <c r="O45" s="64">
        <v>0</v>
      </c>
      <c r="P45" s="64">
        <v>0.74</v>
      </c>
      <c r="Q45" s="64">
        <v>9.39</v>
      </c>
      <c r="R45" s="198"/>
      <c r="S45" s="198"/>
      <c r="T45" s="198"/>
      <c r="U45" s="198"/>
    </row>
    <row r="46" spans="1:21" s="12" customFormat="1" x14ac:dyDescent="0.25">
      <c r="A46" s="211" t="s">
        <v>1053</v>
      </c>
      <c r="B46" s="64">
        <v>23.07</v>
      </c>
      <c r="C46" s="64">
        <v>14.65</v>
      </c>
      <c r="D46" s="64">
        <v>26.15</v>
      </c>
      <c r="E46" s="64">
        <v>5.95</v>
      </c>
      <c r="F46" s="64">
        <v>7.32</v>
      </c>
      <c r="G46" s="64">
        <v>52.74</v>
      </c>
      <c r="H46" s="64">
        <v>8.65</v>
      </c>
      <c r="I46" s="64">
        <v>2.04</v>
      </c>
      <c r="J46" s="64">
        <v>0.78</v>
      </c>
      <c r="K46" s="64">
        <v>337.38</v>
      </c>
      <c r="L46" s="64">
        <v>32.75</v>
      </c>
      <c r="M46" s="64">
        <v>67.08</v>
      </c>
      <c r="N46" s="64">
        <v>637.5</v>
      </c>
      <c r="O46" s="64">
        <v>0</v>
      </c>
      <c r="P46" s="64">
        <v>0.73</v>
      </c>
      <c r="Q46" s="64">
        <v>9.39</v>
      </c>
      <c r="R46" s="198"/>
      <c r="S46" s="198"/>
      <c r="T46" s="198"/>
      <c r="U46" s="198"/>
    </row>
    <row r="47" spans="1:21" s="12" customFormat="1" x14ac:dyDescent="0.25">
      <c r="A47" s="211" t="s">
        <v>1054</v>
      </c>
      <c r="B47" s="64">
        <v>26.6</v>
      </c>
      <c r="C47" s="64">
        <v>15.9</v>
      </c>
      <c r="D47" s="64">
        <v>29.64</v>
      </c>
      <c r="E47" s="64">
        <v>7.05</v>
      </c>
      <c r="F47" s="64">
        <v>8.4</v>
      </c>
      <c r="G47" s="64">
        <v>52.74</v>
      </c>
      <c r="H47" s="64">
        <v>8.65</v>
      </c>
      <c r="I47" s="64">
        <v>2.06</v>
      </c>
      <c r="J47" s="64">
        <v>0.55000000000000004</v>
      </c>
      <c r="K47" s="64">
        <v>335.64</v>
      </c>
      <c r="L47" s="64">
        <v>33.119999999999997</v>
      </c>
      <c r="M47" s="64">
        <v>66.069999999999993</v>
      </c>
      <c r="N47" s="64">
        <v>488.4</v>
      </c>
      <c r="O47" s="64">
        <v>0</v>
      </c>
      <c r="P47" s="64">
        <v>0.85</v>
      </c>
      <c r="Q47" s="64">
        <v>9.39</v>
      </c>
      <c r="R47" s="198"/>
      <c r="S47" s="198"/>
      <c r="T47" s="198"/>
      <c r="U47" s="198"/>
    </row>
    <row r="48" spans="1:21" s="12" customFormat="1" x14ac:dyDescent="0.25">
      <c r="A48" s="211" t="s">
        <v>1055</v>
      </c>
      <c r="B48" s="64">
        <v>25.74</v>
      </c>
      <c r="C48" s="64">
        <v>18</v>
      </c>
      <c r="D48" s="64">
        <v>30.05</v>
      </c>
      <c r="E48" s="64">
        <v>6.5</v>
      </c>
      <c r="F48" s="64">
        <v>7.99</v>
      </c>
      <c r="G48" s="64">
        <v>52.74</v>
      </c>
      <c r="H48" s="64">
        <v>8.65</v>
      </c>
      <c r="I48" s="64">
        <v>2.0699999999999998</v>
      </c>
      <c r="J48" s="64">
        <v>0.41</v>
      </c>
      <c r="K48" s="64">
        <v>333.2</v>
      </c>
      <c r="L48" s="64">
        <v>30.83</v>
      </c>
      <c r="M48" s="64">
        <v>76.94</v>
      </c>
      <c r="N48" s="64">
        <v>338.6</v>
      </c>
      <c r="O48" s="64">
        <v>0</v>
      </c>
      <c r="P48" s="64">
        <v>1</v>
      </c>
      <c r="Q48" s="64">
        <v>9.42</v>
      </c>
      <c r="R48" s="198"/>
      <c r="S48" s="198"/>
      <c r="T48" s="198"/>
      <c r="U48" s="198"/>
    </row>
    <row r="49" spans="1:21" s="12" customFormat="1" x14ac:dyDescent="0.25">
      <c r="A49" s="211" t="s">
        <v>1056</v>
      </c>
      <c r="B49" s="64">
        <v>24.36</v>
      </c>
      <c r="C49" s="64">
        <v>14.85</v>
      </c>
      <c r="D49" s="64">
        <v>27.3</v>
      </c>
      <c r="E49" s="64">
        <v>7.11</v>
      </c>
      <c r="F49" s="64">
        <v>7.96</v>
      </c>
      <c r="G49" s="64">
        <v>50</v>
      </c>
      <c r="H49" s="64">
        <v>7.21</v>
      </c>
      <c r="I49" s="64">
        <v>2.09</v>
      </c>
      <c r="J49" s="64">
        <v>0.81</v>
      </c>
      <c r="K49" s="64">
        <v>339.48</v>
      </c>
      <c r="L49" s="64">
        <v>31.13</v>
      </c>
      <c r="M49" s="64">
        <v>73.290000000000006</v>
      </c>
      <c r="N49" s="64">
        <v>600.5</v>
      </c>
      <c r="O49" s="64">
        <v>0</v>
      </c>
      <c r="P49" s="64">
        <v>0.82</v>
      </c>
      <c r="Q49" s="64">
        <v>9.44</v>
      </c>
      <c r="R49" s="198"/>
      <c r="S49" s="198"/>
      <c r="T49" s="198"/>
      <c r="U49" s="198"/>
    </row>
    <row r="50" spans="1:21" s="12" customFormat="1" x14ac:dyDescent="0.25">
      <c r="A50" s="211" t="s">
        <v>1057</v>
      </c>
      <c r="B50" s="64">
        <v>17.88</v>
      </c>
      <c r="C50" s="64">
        <v>16.350000000000001</v>
      </c>
      <c r="D50" s="64">
        <v>22.89</v>
      </c>
      <c r="E50" s="64">
        <v>6.97</v>
      </c>
      <c r="F50" s="64">
        <v>9.5299999999999994</v>
      </c>
      <c r="G50" s="64">
        <v>49.8</v>
      </c>
      <c r="H50" s="64">
        <v>7.21</v>
      </c>
      <c r="I50" s="64">
        <v>2.11</v>
      </c>
      <c r="J50" s="64">
        <v>0.16</v>
      </c>
      <c r="K50" s="64">
        <v>87.54</v>
      </c>
      <c r="L50" s="64">
        <v>30.35</v>
      </c>
      <c r="M50" s="64">
        <v>81.010000000000005</v>
      </c>
      <c r="N50" s="64">
        <v>439.7</v>
      </c>
      <c r="O50" s="64">
        <v>0</v>
      </c>
      <c r="P50" s="64">
        <v>0.71</v>
      </c>
      <c r="Q50" s="64">
        <v>9.4499999999999993</v>
      </c>
      <c r="R50" s="198"/>
      <c r="S50" s="198"/>
      <c r="T50" s="198"/>
      <c r="U50" s="198"/>
    </row>
    <row r="51" spans="1:21" s="12" customFormat="1" x14ac:dyDescent="0.25">
      <c r="A51" s="211" t="s">
        <v>1058</v>
      </c>
      <c r="B51" s="64">
        <v>17.350000000000001</v>
      </c>
      <c r="C51" s="64">
        <v>16.8</v>
      </c>
      <c r="D51" s="64">
        <v>22.69</v>
      </c>
      <c r="E51" s="64">
        <v>7.21</v>
      </c>
      <c r="F51" s="64">
        <v>10.35</v>
      </c>
      <c r="G51" s="64">
        <v>49.8</v>
      </c>
      <c r="H51" s="64">
        <v>7.21</v>
      </c>
      <c r="I51" s="64">
        <v>2.13</v>
      </c>
      <c r="J51" s="64">
        <v>0.17</v>
      </c>
      <c r="K51" s="64">
        <v>14.25</v>
      </c>
      <c r="L51" s="64">
        <v>29.54</v>
      </c>
      <c r="M51" s="64">
        <v>82.85</v>
      </c>
      <c r="N51" s="64">
        <v>247.5</v>
      </c>
      <c r="O51" s="64">
        <v>0</v>
      </c>
      <c r="P51" s="64">
        <v>0.66</v>
      </c>
      <c r="Q51" s="64">
        <v>9.4499999999999993</v>
      </c>
      <c r="R51" s="198"/>
      <c r="S51" s="198"/>
      <c r="T51" s="198"/>
      <c r="U51" s="198"/>
    </row>
    <row r="52" spans="1:21" s="12" customFormat="1" x14ac:dyDescent="0.25">
      <c r="A52" s="211" t="s">
        <v>1059</v>
      </c>
      <c r="B52" s="64">
        <v>20.89</v>
      </c>
      <c r="C52" s="64">
        <v>24.06</v>
      </c>
      <c r="D52" s="64">
        <v>29.32</v>
      </c>
      <c r="E52" s="64">
        <v>7.19</v>
      </c>
      <c r="F52" s="64">
        <v>7.8</v>
      </c>
      <c r="G52" s="64">
        <v>49.8</v>
      </c>
      <c r="H52" s="64">
        <v>7.21</v>
      </c>
      <c r="I52" s="64">
        <v>2.15</v>
      </c>
      <c r="J52" s="64">
        <v>0.15</v>
      </c>
      <c r="K52" s="64">
        <v>347.55</v>
      </c>
      <c r="L52" s="64">
        <v>29.81</v>
      </c>
      <c r="M52" s="64">
        <v>79.34</v>
      </c>
      <c r="N52" s="64">
        <v>288</v>
      </c>
      <c r="O52" s="64">
        <v>0</v>
      </c>
      <c r="P52" s="64">
        <v>0.82</v>
      </c>
      <c r="Q52" s="64">
        <v>9.44</v>
      </c>
      <c r="R52" s="198"/>
      <c r="S52" s="198"/>
      <c r="T52" s="198"/>
      <c r="U52" s="198"/>
    </row>
    <row r="53" spans="1:21" s="12" customFormat="1" x14ac:dyDescent="0.25">
      <c r="A53" s="211" t="s">
        <v>1060</v>
      </c>
      <c r="B53" s="64">
        <v>13.93</v>
      </c>
      <c r="C53" s="64">
        <v>18.149999999999999</v>
      </c>
      <c r="D53" s="64">
        <v>20.65</v>
      </c>
      <c r="E53" s="64">
        <v>6.71</v>
      </c>
      <c r="F53" s="64">
        <v>11.91</v>
      </c>
      <c r="G53" s="64">
        <v>43.12</v>
      </c>
      <c r="H53" s="64">
        <v>8.94</v>
      </c>
      <c r="I53" s="64">
        <v>2.16</v>
      </c>
      <c r="J53" s="64">
        <v>0.43</v>
      </c>
      <c r="K53" s="64">
        <v>127.04</v>
      </c>
      <c r="L53" s="64">
        <v>29.52</v>
      </c>
      <c r="M53" s="64">
        <v>83.37</v>
      </c>
      <c r="N53" s="64">
        <v>424.6</v>
      </c>
      <c r="O53" s="64">
        <v>0</v>
      </c>
      <c r="P53" s="64">
        <v>0.57999999999999996</v>
      </c>
      <c r="Q53" s="64">
        <v>9.44</v>
      </c>
      <c r="R53" s="198"/>
      <c r="S53" s="198"/>
      <c r="T53" s="198"/>
      <c r="U53" s="198"/>
    </row>
    <row r="54" spans="1:21" s="12" customFormat="1" x14ac:dyDescent="0.25">
      <c r="A54" s="211" t="s">
        <v>1061</v>
      </c>
      <c r="B54" s="64">
        <v>16.95</v>
      </c>
      <c r="C54" s="64">
        <v>15.09</v>
      </c>
      <c r="D54" s="64">
        <v>20.68</v>
      </c>
      <c r="E54" s="64">
        <v>6.86</v>
      </c>
      <c r="F54" s="64">
        <v>16.71</v>
      </c>
      <c r="G54" s="64">
        <v>42.64</v>
      </c>
      <c r="H54" s="64">
        <v>8.94</v>
      </c>
      <c r="I54" s="64">
        <v>2.16</v>
      </c>
      <c r="J54" s="64">
        <v>0.4</v>
      </c>
      <c r="K54" s="64">
        <v>137.61000000000001</v>
      </c>
      <c r="L54" s="64">
        <v>28.9</v>
      </c>
      <c r="M54" s="64">
        <v>86.94</v>
      </c>
      <c r="N54" s="64">
        <v>333.7</v>
      </c>
      <c r="O54" s="64">
        <v>0</v>
      </c>
      <c r="P54" s="64">
        <v>0.59</v>
      </c>
      <c r="Q54" s="64">
        <v>9.43</v>
      </c>
      <c r="R54" s="198"/>
      <c r="S54" s="198"/>
      <c r="T54" s="198"/>
      <c r="U54" s="198"/>
    </row>
    <row r="55" spans="1:21" s="12" customFormat="1" x14ac:dyDescent="0.25">
      <c r="A55" s="211" t="s">
        <v>1062</v>
      </c>
      <c r="B55" s="64">
        <v>11.61</v>
      </c>
      <c r="C55" s="64">
        <v>14.41</v>
      </c>
      <c r="D55" s="64">
        <v>16.84</v>
      </c>
      <c r="E55" s="64">
        <v>6.64</v>
      </c>
      <c r="F55" s="64">
        <v>11.63</v>
      </c>
      <c r="G55" s="64">
        <v>42.64</v>
      </c>
      <c r="H55" s="64">
        <v>8.94</v>
      </c>
      <c r="I55" s="64">
        <v>2.15</v>
      </c>
      <c r="J55" s="64">
        <v>0.45</v>
      </c>
      <c r="K55" s="64">
        <v>132.93</v>
      </c>
      <c r="L55" s="64">
        <v>28.69</v>
      </c>
      <c r="M55" s="64">
        <v>87.98</v>
      </c>
      <c r="N55" s="64">
        <v>357.3</v>
      </c>
      <c r="O55" s="64">
        <v>0</v>
      </c>
      <c r="P55" s="64">
        <v>0.6</v>
      </c>
      <c r="Q55" s="64">
        <v>9.39</v>
      </c>
      <c r="R55" s="198"/>
      <c r="S55" s="198"/>
      <c r="T55" s="198"/>
      <c r="U55" s="198"/>
    </row>
    <row r="56" spans="1:21" s="12" customFormat="1" x14ac:dyDescent="0.25">
      <c r="A56" s="211" t="s">
        <v>1063</v>
      </c>
      <c r="B56" s="64">
        <v>17.23</v>
      </c>
      <c r="C56" s="64">
        <v>18.5</v>
      </c>
      <c r="D56" s="64">
        <v>23.49</v>
      </c>
      <c r="E56" s="64">
        <v>6.75</v>
      </c>
      <c r="F56" s="64">
        <v>12.63</v>
      </c>
      <c r="G56" s="64">
        <v>42.64</v>
      </c>
      <c r="H56" s="64">
        <v>8.94</v>
      </c>
      <c r="I56" s="64">
        <v>2.12</v>
      </c>
      <c r="J56" s="64">
        <v>0.23</v>
      </c>
      <c r="K56" s="64">
        <v>94.46</v>
      </c>
      <c r="L56" s="64">
        <v>28.9</v>
      </c>
      <c r="M56" s="64">
        <v>86.33</v>
      </c>
      <c r="N56" s="64">
        <v>408.3</v>
      </c>
      <c r="O56" s="64">
        <v>0</v>
      </c>
      <c r="P56" s="64">
        <v>0.68</v>
      </c>
      <c r="Q56" s="64">
        <v>9.3699999999999992</v>
      </c>
      <c r="R56" s="198"/>
      <c r="S56" s="198"/>
      <c r="T56" s="198"/>
      <c r="U56" s="198"/>
    </row>
    <row r="57" spans="1:21" s="12" customFormat="1" x14ac:dyDescent="0.25">
      <c r="A57" s="211" t="s">
        <v>1064</v>
      </c>
      <c r="B57" s="64">
        <v>18.260000000000002</v>
      </c>
      <c r="C57" s="64">
        <v>22.9</v>
      </c>
      <c r="D57" s="64">
        <v>26.61</v>
      </c>
      <c r="E57" s="64">
        <v>6.61</v>
      </c>
      <c r="F57" s="64">
        <v>10.39</v>
      </c>
      <c r="G57" s="64">
        <v>41.15</v>
      </c>
      <c r="H57" s="64">
        <v>9.51</v>
      </c>
      <c r="I57" s="64">
        <v>2.08</v>
      </c>
      <c r="J57" s="64">
        <v>0.38</v>
      </c>
      <c r="K57" s="64">
        <v>336.85</v>
      </c>
      <c r="L57" s="64">
        <v>30.49</v>
      </c>
      <c r="M57" s="64">
        <v>78.06</v>
      </c>
      <c r="N57" s="64">
        <v>191.5</v>
      </c>
      <c r="O57" s="64">
        <v>0</v>
      </c>
      <c r="P57" s="64">
        <v>0.78</v>
      </c>
      <c r="Q57" s="64">
        <v>9.34</v>
      </c>
      <c r="R57" s="198"/>
      <c r="S57" s="198"/>
      <c r="T57" s="198"/>
      <c r="U57" s="198"/>
    </row>
    <row r="58" spans="1:21" s="12" customFormat="1" x14ac:dyDescent="0.25">
      <c r="A58" s="211" t="s">
        <v>1065</v>
      </c>
      <c r="B58" s="64">
        <v>16.579999999999998</v>
      </c>
      <c r="C58" s="64">
        <v>12.46</v>
      </c>
      <c r="D58" s="64">
        <v>19.8</v>
      </c>
      <c r="E58" s="64">
        <v>6.67</v>
      </c>
      <c r="F58" s="64">
        <v>7.68</v>
      </c>
      <c r="G58" s="64">
        <v>41.05</v>
      </c>
      <c r="H58" s="64">
        <v>9.51</v>
      </c>
      <c r="I58" s="64">
        <v>2.06</v>
      </c>
      <c r="J58" s="64">
        <v>1.27</v>
      </c>
      <c r="K58" s="64">
        <v>337.82</v>
      </c>
      <c r="L58" s="64">
        <v>27.45</v>
      </c>
      <c r="M58" s="64">
        <v>93.81</v>
      </c>
      <c r="N58" s="64">
        <v>234.3</v>
      </c>
      <c r="O58" s="64">
        <v>0.2</v>
      </c>
      <c r="P58" s="64">
        <v>0.73</v>
      </c>
      <c r="Q58" s="64">
        <v>9.32</v>
      </c>
      <c r="R58" s="198"/>
      <c r="S58" s="198"/>
      <c r="T58" s="198"/>
      <c r="U58" s="198"/>
    </row>
    <row r="59" spans="1:21" s="12" customFormat="1" x14ac:dyDescent="0.25">
      <c r="A59" s="211" t="s">
        <v>1066</v>
      </c>
      <c r="B59" s="64">
        <v>14.47</v>
      </c>
      <c r="C59" s="64">
        <v>20.329999999999998</v>
      </c>
      <c r="D59" s="64">
        <v>22.23</v>
      </c>
      <c r="E59" s="64">
        <v>6.52</v>
      </c>
      <c r="F59" s="64">
        <v>11.91</v>
      </c>
      <c r="G59" s="64">
        <v>41.05</v>
      </c>
      <c r="H59" s="64">
        <v>9.51</v>
      </c>
      <c r="I59" s="64">
        <v>2.06</v>
      </c>
      <c r="J59" s="64">
        <v>0.41</v>
      </c>
      <c r="K59" s="64">
        <v>339.79</v>
      </c>
      <c r="L59" s="64">
        <v>24.73</v>
      </c>
      <c r="M59" s="64">
        <v>97.96</v>
      </c>
      <c r="N59" s="64">
        <v>352.9</v>
      </c>
      <c r="O59" s="64">
        <v>0</v>
      </c>
      <c r="P59" s="64">
        <v>0.65</v>
      </c>
      <c r="Q59" s="64">
        <v>9.3000000000000007</v>
      </c>
      <c r="R59" s="198"/>
      <c r="S59" s="198"/>
      <c r="T59" s="198"/>
      <c r="U59" s="198"/>
    </row>
    <row r="60" spans="1:21" s="12" customFormat="1" x14ac:dyDescent="0.25">
      <c r="A60" s="211" t="s">
        <v>1067</v>
      </c>
      <c r="B60" s="64">
        <v>18.03</v>
      </c>
      <c r="C60" s="64">
        <v>31.41</v>
      </c>
      <c r="D60" s="64">
        <v>30.87</v>
      </c>
      <c r="E60" s="64">
        <v>5.43</v>
      </c>
      <c r="F60" s="64">
        <v>3.47</v>
      </c>
      <c r="G60" s="64">
        <v>41.05</v>
      </c>
      <c r="H60" s="64">
        <v>9.51</v>
      </c>
      <c r="I60" s="64">
        <v>2.0299999999999998</v>
      </c>
      <c r="J60" s="64">
        <v>0.33</v>
      </c>
      <c r="K60" s="64">
        <v>340.91</v>
      </c>
      <c r="L60" s="64">
        <v>25.39</v>
      </c>
      <c r="M60" s="64">
        <v>97.94</v>
      </c>
      <c r="N60" s="64">
        <v>187</v>
      </c>
      <c r="O60" s="64">
        <v>0</v>
      </c>
      <c r="P60" s="64">
        <v>0.91</v>
      </c>
      <c r="Q60" s="64">
        <v>9.2899999999999991</v>
      </c>
      <c r="R60" s="198"/>
      <c r="S60" s="198"/>
      <c r="T60" s="198"/>
      <c r="U60" s="198"/>
    </row>
    <row r="61" spans="1:21" s="12" customFormat="1" x14ac:dyDescent="0.25">
      <c r="A61" s="211" t="s">
        <v>1068</v>
      </c>
      <c r="B61" s="64">
        <v>27.06</v>
      </c>
      <c r="C61" s="64">
        <v>30.63</v>
      </c>
      <c r="D61" s="64">
        <v>37.700000000000003</v>
      </c>
      <c r="E61" s="64">
        <v>5.1100000000000003</v>
      </c>
      <c r="F61" s="64">
        <v>2.83</v>
      </c>
      <c r="G61" s="64">
        <v>35.81</v>
      </c>
      <c r="H61" s="64">
        <v>9.8800000000000008</v>
      </c>
      <c r="I61" s="64">
        <v>2</v>
      </c>
      <c r="J61" s="64">
        <v>0.36</v>
      </c>
      <c r="K61" s="64">
        <v>333.8</v>
      </c>
      <c r="L61" s="64">
        <v>26.01</v>
      </c>
      <c r="M61" s="64">
        <v>97.87</v>
      </c>
      <c r="N61" s="64">
        <v>271.7</v>
      </c>
      <c r="O61" s="64">
        <v>0</v>
      </c>
      <c r="P61" s="64">
        <v>0.98</v>
      </c>
      <c r="Q61" s="64">
        <v>9.2899999999999991</v>
      </c>
      <c r="R61" s="198"/>
      <c r="S61" s="198"/>
      <c r="T61" s="198"/>
      <c r="U61" s="198"/>
    </row>
    <row r="62" spans="1:21" s="12" customFormat="1" x14ac:dyDescent="0.25">
      <c r="A62" s="211" t="s">
        <v>1069</v>
      </c>
      <c r="B62" s="64">
        <v>13.58</v>
      </c>
      <c r="C62" s="64">
        <v>27.42</v>
      </c>
      <c r="D62" s="64">
        <v>25.21</v>
      </c>
      <c r="E62" s="64">
        <v>5.24</v>
      </c>
      <c r="F62" s="64">
        <v>5.59</v>
      </c>
      <c r="G62" s="64">
        <v>35.43</v>
      </c>
      <c r="H62" s="64">
        <v>9.8800000000000008</v>
      </c>
      <c r="I62" s="64">
        <v>2.02</v>
      </c>
      <c r="J62" s="64">
        <v>0.27</v>
      </c>
      <c r="K62" s="64">
        <v>334.47</v>
      </c>
      <c r="L62" s="64">
        <v>27.52</v>
      </c>
      <c r="M62" s="64">
        <v>97.79</v>
      </c>
      <c r="N62" s="64">
        <v>325.7</v>
      </c>
      <c r="O62" s="64">
        <v>0</v>
      </c>
      <c r="P62" s="64">
        <v>0.92</v>
      </c>
      <c r="Q62" s="64">
        <v>9.3000000000000007</v>
      </c>
      <c r="R62" s="198"/>
      <c r="S62" s="198"/>
      <c r="T62" s="198"/>
      <c r="U62" s="198"/>
    </row>
    <row r="63" spans="1:21" s="12" customFormat="1" x14ac:dyDescent="0.25">
      <c r="A63" s="211" t="s">
        <v>1070</v>
      </c>
      <c r="B63" s="64">
        <v>17.53</v>
      </c>
      <c r="C63" s="64">
        <v>26.58</v>
      </c>
      <c r="D63" s="64">
        <v>27.93</v>
      </c>
      <c r="E63" s="64">
        <v>4.53</v>
      </c>
      <c r="F63" s="64">
        <v>6.19</v>
      </c>
      <c r="G63" s="64">
        <v>35.43</v>
      </c>
      <c r="H63" s="64">
        <v>9.8800000000000008</v>
      </c>
      <c r="I63" s="64">
        <v>2.04</v>
      </c>
      <c r="J63" s="64">
        <v>0.44</v>
      </c>
      <c r="K63" s="64">
        <v>334.23</v>
      </c>
      <c r="L63" s="64">
        <v>28.9</v>
      </c>
      <c r="M63" s="64">
        <v>96.38</v>
      </c>
      <c r="N63" s="64">
        <v>295.60000000000002</v>
      </c>
      <c r="O63" s="64">
        <v>0</v>
      </c>
      <c r="P63" s="64">
        <v>0.89</v>
      </c>
      <c r="Q63" s="64">
        <v>9.3000000000000007</v>
      </c>
      <c r="R63" s="198"/>
      <c r="S63" s="198"/>
      <c r="T63" s="198"/>
      <c r="U63" s="198"/>
    </row>
    <row r="64" spans="1:21" s="12" customFormat="1" x14ac:dyDescent="0.25">
      <c r="A64" s="211" t="s">
        <v>1071</v>
      </c>
      <c r="B64" s="64">
        <v>10.72</v>
      </c>
      <c r="C64" s="64">
        <v>23.96</v>
      </c>
      <c r="D64" s="64">
        <v>21.11</v>
      </c>
      <c r="E64" s="64">
        <v>4.9000000000000004</v>
      </c>
      <c r="F64" s="64">
        <v>8.16</v>
      </c>
      <c r="G64" s="64">
        <v>35.43</v>
      </c>
      <c r="H64" s="64">
        <v>9.8800000000000008</v>
      </c>
      <c r="I64" s="64">
        <v>2.0499999999999998</v>
      </c>
      <c r="J64" s="64">
        <v>0.13</v>
      </c>
      <c r="K64" s="64">
        <v>39.56</v>
      </c>
      <c r="L64" s="64">
        <v>29.42</v>
      </c>
      <c r="M64" s="64">
        <v>88.38</v>
      </c>
      <c r="N64" s="64">
        <v>237.1</v>
      </c>
      <c r="O64" s="64">
        <v>0</v>
      </c>
      <c r="P64" s="64">
        <v>0.84</v>
      </c>
      <c r="Q64" s="64">
        <v>9.3000000000000007</v>
      </c>
      <c r="R64" s="198"/>
      <c r="S64" s="198"/>
      <c r="T64" s="198"/>
      <c r="U64" s="198"/>
    </row>
    <row r="65" spans="1:21" s="12" customFormat="1" x14ac:dyDescent="0.25">
      <c r="A65" s="211" t="s">
        <v>1072</v>
      </c>
      <c r="B65" s="64">
        <v>11.8</v>
      </c>
      <c r="C65" s="64">
        <v>22.34</v>
      </c>
      <c r="D65" s="64">
        <v>21.13</v>
      </c>
      <c r="E65" s="64">
        <v>4.62</v>
      </c>
      <c r="F65" s="64">
        <v>8.15</v>
      </c>
      <c r="G65" s="64">
        <v>34.869999999999997</v>
      </c>
      <c r="H65" s="64">
        <v>8.09</v>
      </c>
      <c r="I65" s="64">
        <v>2.0699999999999998</v>
      </c>
      <c r="J65" s="64">
        <v>0.19</v>
      </c>
      <c r="K65" s="64">
        <v>343.99</v>
      </c>
      <c r="L65" s="64">
        <v>29.08</v>
      </c>
      <c r="M65" s="64">
        <v>88.65</v>
      </c>
      <c r="N65" s="64">
        <v>220.6</v>
      </c>
      <c r="O65" s="64">
        <v>0</v>
      </c>
      <c r="P65" s="64">
        <v>0.75</v>
      </c>
      <c r="Q65" s="64">
        <v>9.2899999999999991</v>
      </c>
      <c r="R65" s="198"/>
      <c r="S65" s="198"/>
      <c r="T65" s="198"/>
      <c r="U65" s="198"/>
    </row>
    <row r="66" spans="1:21" s="12" customFormat="1" x14ac:dyDescent="0.25">
      <c r="A66" s="211" t="s">
        <v>1073</v>
      </c>
      <c r="B66" s="64">
        <v>17.7</v>
      </c>
      <c r="C66" s="64">
        <v>25.88</v>
      </c>
      <c r="D66" s="64">
        <v>27.72</v>
      </c>
      <c r="E66" s="64">
        <v>4.83</v>
      </c>
      <c r="F66" s="64">
        <v>9.8000000000000007</v>
      </c>
      <c r="G66" s="64">
        <v>34.83</v>
      </c>
      <c r="H66" s="64">
        <v>8.09</v>
      </c>
      <c r="I66" s="64">
        <v>2.09</v>
      </c>
      <c r="J66" s="64">
        <v>0.53</v>
      </c>
      <c r="K66" s="64">
        <v>337.78</v>
      </c>
      <c r="L66" s="64">
        <v>29.25</v>
      </c>
      <c r="M66" s="64">
        <v>88.33</v>
      </c>
      <c r="N66" s="64">
        <v>166.2</v>
      </c>
      <c r="O66" s="64">
        <v>0</v>
      </c>
      <c r="P66" s="64">
        <v>0.78</v>
      </c>
      <c r="Q66" s="64">
        <v>9.2799999999999994</v>
      </c>
      <c r="R66" s="198"/>
      <c r="S66" s="198"/>
      <c r="T66" s="198"/>
      <c r="U66" s="198"/>
    </row>
    <row r="67" spans="1:21" s="12" customFormat="1" x14ac:dyDescent="0.25">
      <c r="A67" s="211" t="s">
        <v>1074</v>
      </c>
      <c r="B67" s="64">
        <v>18.36</v>
      </c>
      <c r="C67" s="64">
        <v>23.05</v>
      </c>
      <c r="D67" s="64">
        <v>26.76</v>
      </c>
      <c r="E67" s="64">
        <v>6.72</v>
      </c>
      <c r="F67" s="64">
        <v>13.13</v>
      </c>
      <c r="G67" s="64">
        <v>34.83</v>
      </c>
      <c r="H67" s="64">
        <v>8.09</v>
      </c>
      <c r="I67" s="64">
        <v>2.08</v>
      </c>
      <c r="J67" s="64">
        <v>0.84</v>
      </c>
      <c r="K67" s="64">
        <v>339.75</v>
      </c>
      <c r="L67" s="64">
        <v>28.78</v>
      </c>
      <c r="M67" s="64">
        <v>89.8</v>
      </c>
      <c r="N67" s="64">
        <v>121.4</v>
      </c>
      <c r="O67" s="64">
        <v>0</v>
      </c>
      <c r="P67" s="64">
        <v>0.83</v>
      </c>
      <c r="Q67" s="64">
        <v>9.2799999999999994</v>
      </c>
      <c r="R67" s="198"/>
      <c r="S67" s="198"/>
      <c r="T67" s="198"/>
      <c r="U67" s="198"/>
    </row>
    <row r="68" spans="1:21" s="12" customFormat="1" x14ac:dyDescent="0.25">
      <c r="A68" s="211" t="s">
        <v>1075</v>
      </c>
      <c r="B68" s="64">
        <v>18</v>
      </c>
      <c r="C68" s="64">
        <v>20.49</v>
      </c>
      <c r="D68" s="64">
        <v>25.14</v>
      </c>
      <c r="E68" s="64">
        <v>6.42</v>
      </c>
      <c r="F68" s="64">
        <v>11.6</v>
      </c>
      <c r="G68" s="64">
        <v>34.83</v>
      </c>
      <c r="H68" s="64">
        <v>8.09</v>
      </c>
      <c r="I68" s="64">
        <v>2.08</v>
      </c>
      <c r="J68" s="64">
        <v>1.1499999999999999</v>
      </c>
      <c r="K68" s="64">
        <v>340.24</v>
      </c>
      <c r="L68" s="64">
        <v>28.42</v>
      </c>
      <c r="M68" s="64">
        <v>91.63</v>
      </c>
      <c r="N68" s="64">
        <v>129.80000000000001</v>
      </c>
      <c r="O68" s="64">
        <v>0</v>
      </c>
      <c r="P68" s="64">
        <v>0.8</v>
      </c>
      <c r="Q68" s="64">
        <v>9.2899999999999991</v>
      </c>
      <c r="R68" s="198"/>
      <c r="S68" s="198"/>
      <c r="T68" s="198"/>
      <c r="U68" s="198"/>
    </row>
    <row r="69" spans="1:21" s="12" customFormat="1" x14ac:dyDescent="0.25">
      <c r="A69" s="211" t="s">
        <v>1076</v>
      </c>
      <c r="B69" s="64">
        <v>17.47</v>
      </c>
      <c r="C69" s="64">
        <v>15.81</v>
      </c>
      <c r="D69" s="64">
        <v>22.27</v>
      </c>
      <c r="E69" s="64">
        <v>7.1</v>
      </c>
      <c r="F69" s="64">
        <v>10.16</v>
      </c>
      <c r="G69" s="64">
        <v>37.69</v>
      </c>
      <c r="H69" s="64">
        <v>10.49</v>
      </c>
      <c r="I69" s="64">
        <v>2.08</v>
      </c>
      <c r="J69" s="64">
        <v>1.1100000000000001</v>
      </c>
      <c r="K69" s="64">
        <v>338.11</v>
      </c>
      <c r="L69" s="64">
        <v>28.33</v>
      </c>
      <c r="M69" s="64">
        <v>80.23</v>
      </c>
      <c r="N69" s="64">
        <v>151.30000000000001</v>
      </c>
      <c r="O69" s="64">
        <v>0</v>
      </c>
      <c r="P69" s="64">
        <v>0.73</v>
      </c>
      <c r="Q69" s="64">
        <v>9.2899999999999991</v>
      </c>
      <c r="R69" s="198"/>
      <c r="S69" s="198"/>
      <c r="T69" s="198"/>
      <c r="U69" s="198"/>
    </row>
    <row r="70" spans="1:21" s="12" customFormat="1" x14ac:dyDescent="0.25">
      <c r="A70" s="211" t="s">
        <v>1077</v>
      </c>
      <c r="B70" s="64">
        <v>25.15</v>
      </c>
      <c r="C70" s="64">
        <v>21.27</v>
      </c>
      <c r="D70" s="64">
        <v>31.28</v>
      </c>
      <c r="E70" s="64">
        <v>7.67</v>
      </c>
      <c r="F70" s="64">
        <v>7.52</v>
      </c>
      <c r="G70" s="64">
        <v>37.9</v>
      </c>
      <c r="H70" s="64">
        <v>10.49</v>
      </c>
      <c r="I70" s="64">
        <v>2.08</v>
      </c>
      <c r="J70" s="64">
        <v>0.73</v>
      </c>
      <c r="K70" s="64">
        <v>336.61</v>
      </c>
      <c r="L70" s="64">
        <v>28.79</v>
      </c>
      <c r="M70" s="64">
        <v>79.41</v>
      </c>
      <c r="N70" s="64">
        <v>174.1</v>
      </c>
      <c r="O70" s="64">
        <v>0</v>
      </c>
      <c r="P70" s="64">
        <v>0.83</v>
      </c>
      <c r="Q70" s="64">
        <v>9.3000000000000007</v>
      </c>
      <c r="R70" s="198"/>
      <c r="S70" s="198"/>
      <c r="T70" s="198"/>
      <c r="U70" s="198"/>
    </row>
    <row r="71" spans="1:21" s="12" customFormat="1" x14ac:dyDescent="0.25">
      <c r="A71" s="211" t="s">
        <v>1078</v>
      </c>
      <c r="B71" s="64">
        <v>20.79</v>
      </c>
      <c r="C71" s="64">
        <v>21.8</v>
      </c>
      <c r="D71" s="64">
        <v>28.06</v>
      </c>
      <c r="E71" s="64">
        <v>7.9</v>
      </c>
      <c r="F71" s="64">
        <v>12.27</v>
      </c>
      <c r="G71" s="64">
        <v>37.9</v>
      </c>
      <c r="H71" s="64">
        <v>10.49</v>
      </c>
      <c r="I71" s="64">
        <v>2.0699999999999998</v>
      </c>
      <c r="J71" s="64">
        <v>0.74</v>
      </c>
      <c r="K71" s="64">
        <v>338.76</v>
      </c>
      <c r="L71" s="64">
        <v>29.23</v>
      </c>
      <c r="M71" s="64">
        <v>79.17</v>
      </c>
      <c r="N71" s="64">
        <v>156.30000000000001</v>
      </c>
      <c r="O71" s="64">
        <v>0</v>
      </c>
      <c r="P71" s="64">
        <v>0.87</v>
      </c>
      <c r="Q71" s="64">
        <v>9.31</v>
      </c>
      <c r="R71" s="198"/>
      <c r="S71" s="198"/>
      <c r="T71" s="198"/>
      <c r="U71" s="198"/>
    </row>
    <row r="72" spans="1:21" s="12" customFormat="1" x14ac:dyDescent="0.25">
      <c r="A72" s="211" t="s">
        <v>1079</v>
      </c>
      <c r="B72" s="64">
        <v>16.21</v>
      </c>
      <c r="C72" s="64">
        <v>20.43</v>
      </c>
      <c r="D72" s="64">
        <v>23.59</v>
      </c>
      <c r="E72" s="64">
        <v>6.85</v>
      </c>
      <c r="F72" s="64">
        <v>14.84</v>
      </c>
      <c r="G72" s="64">
        <v>37.9</v>
      </c>
      <c r="H72" s="64">
        <v>10.49</v>
      </c>
      <c r="I72" s="64">
        <v>2.06</v>
      </c>
      <c r="J72" s="64">
        <v>0.04</v>
      </c>
      <c r="K72" s="64">
        <v>344.85</v>
      </c>
      <c r="L72" s="64">
        <v>28.88</v>
      </c>
      <c r="M72" s="64">
        <v>85.02</v>
      </c>
      <c r="N72" s="64">
        <v>139.30000000000001</v>
      </c>
      <c r="O72" s="64">
        <v>0</v>
      </c>
      <c r="P72" s="64">
        <v>0.76</v>
      </c>
      <c r="Q72" s="64">
        <v>9.32</v>
      </c>
      <c r="R72" s="198"/>
      <c r="S72" s="198"/>
      <c r="T72" s="198"/>
      <c r="U72" s="198"/>
    </row>
    <row r="73" spans="1:21" s="12" customFormat="1" x14ac:dyDescent="0.25">
      <c r="A73" s="211" t="s">
        <v>1080</v>
      </c>
      <c r="B73" s="64">
        <v>9.67</v>
      </c>
      <c r="C73" s="64">
        <v>17.14</v>
      </c>
      <c r="D73" s="64">
        <v>16.71</v>
      </c>
      <c r="E73" s="64">
        <v>6.81</v>
      </c>
      <c r="F73" s="64">
        <v>16.39</v>
      </c>
      <c r="G73" s="64">
        <v>38.700000000000003</v>
      </c>
      <c r="H73" s="64">
        <v>8.5</v>
      </c>
      <c r="I73" s="64">
        <v>2.0499999999999998</v>
      </c>
      <c r="J73" s="64">
        <v>0.37</v>
      </c>
      <c r="K73" s="64">
        <v>133.16</v>
      </c>
      <c r="L73" s="64">
        <v>28.49</v>
      </c>
      <c r="M73" s="64">
        <v>82.9</v>
      </c>
      <c r="N73" s="64">
        <v>125.1</v>
      </c>
      <c r="O73" s="64">
        <v>0</v>
      </c>
      <c r="P73" s="64">
        <v>0.44</v>
      </c>
      <c r="Q73" s="64">
        <v>9.31</v>
      </c>
      <c r="R73" s="198"/>
      <c r="S73" s="198"/>
      <c r="T73" s="198"/>
      <c r="U73" s="198"/>
    </row>
    <row r="74" spans="1:21" s="12" customFormat="1" x14ac:dyDescent="0.25">
      <c r="A74" s="211" t="s">
        <v>1081</v>
      </c>
      <c r="B74" s="64">
        <v>10.28</v>
      </c>
      <c r="C74" s="64">
        <v>19.95</v>
      </c>
      <c r="D74" s="64">
        <v>18.66</v>
      </c>
      <c r="E74" s="64">
        <v>6.96</v>
      </c>
      <c r="F74" s="64">
        <v>8.14</v>
      </c>
      <c r="G74" s="64">
        <v>38.76</v>
      </c>
      <c r="H74" s="64">
        <v>8.5</v>
      </c>
      <c r="I74" s="64">
        <v>2.04</v>
      </c>
      <c r="J74" s="64">
        <v>0.13</v>
      </c>
      <c r="K74" s="64">
        <v>132.86000000000001</v>
      </c>
      <c r="L74" s="64">
        <v>28.15</v>
      </c>
      <c r="M74" s="64">
        <v>83.72</v>
      </c>
      <c r="N74" s="64">
        <v>104.8</v>
      </c>
      <c r="O74" s="64">
        <v>0</v>
      </c>
      <c r="P74" s="64">
        <v>0.6</v>
      </c>
      <c r="Q74" s="64">
        <v>9.2899999999999991</v>
      </c>
      <c r="R74" s="198"/>
      <c r="S74" s="198"/>
      <c r="T74" s="198"/>
      <c r="U74" s="198"/>
    </row>
    <row r="75" spans="1:21" s="12" customFormat="1" x14ac:dyDescent="0.25">
      <c r="A75" s="211" t="s">
        <v>1082</v>
      </c>
      <c r="B75" s="64">
        <v>5.69</v>
      </c>
      <c r="C75" s="64">
        <v>18.23</v>
      </c>
      <c r="D75" s="64">
        <v>14.09</v>
      </c>
      <c r="E75" s="64">
        <v>6.49</v>
      </c>
      <c r="F75" s="64">
        <v>13.36</v>
      </c>
      <c r="G75" s="64">
        <v>38.76</v>
      </c>
      <c r="H75" s="64">
        <v>8.5</v>
      </c>
      <c r="I75" s="64">
        <v>2.02</v>
      </c>
      <c r="J75" s="64">
        <v>0.4</v>
      </c>
      <c r="K75" s="64">
        <v>128.38999999999999</v>
      </c>
      <c r="L75" s="64">
        <v>27.92</v>
      </c>
      <c r="M75" s="64">
        <v>86.75</v>
      </c>
      <c r="N75" s="64">
        <v>93.1</v>
      </c>
      <c r="O75" s="64">
        <v>0</v>
      </c>
      <c r="P75" s="64">
        <v>0.39</v>
      </c>
      <c r="Q75" s="64">
        <v>9.27</v>
      </c>
      <c r="R75" s="198"/>
      <c r="S75" s="198"/>
      <c r="T75" s="198"/>
      <c r="U75" s="198"/>
    </row>
    <row r="76" spans="1:21" s="12" customFormat="1" x14ac:dyDescent="0.25">
      <c r="A76" s="211" t="s">
        <v>1083</v>
      </c>
      <c r="B76" s="64">
        <v>10.01</v>
      </c>
      <c r="C76" s="64">
        <v>14.85</v>
      </c>
      <c r="D76" s="64">
        <v>15.78</v>
      </c>
      <c r="E76" s="64">
        <v>5.97</v>
      </c>
      <c r="F76" s="64">
        <v>6.62</v>
      </c>
      <c r="G76" s="64">
        <v>38.76</v>
      </c>
      <c r="H76" s="64">
        <v>8.5</v>
      </c>
      <c r="I76" s="64">
        <v>1.99</v>
      </c>
      <c r="J76" s="64">
        <v>0.18</v>
      </c>
      <c r="K76" s="64">
        <v>140.46</v>
      </c>
      <c r="L76" s="64">
        <v>27.24</v>
      </c>
      <c r="M76" s="64">
        <v>93.28</v>
      </c>
      <c r="N76" s="64">
        <v>82.6</v>
      </c>
      <c r="O76" s="64">
        <v>0</v>
      </c>
      <c r="P76" s="64">
        <v>0.49</v>
      </c>
      <c r="Q76" s="64">
        <v>9.25</v>
      </c>
      <c r="R76" s="198"/>
      <c r="S76" s="198"/>
      <c r="T76" s="198"/>
      <c r="U76" s="198"/>
    </row>
    <row r="77" spans="1:21" s="12" customFormat="1" x14ac:dyDescent="0.25">
      <c r="A77" s="211" t="s">
        <v>1084</v>
      </c>
      <c r="B77" s="64">
        <v>9.5399999999999991</v>
      </c>
      <c r="C77" s="64">
        <v>15.68</v>
      </c>
      <c r="D77" s="64">
        <v>15.84</v>
      </c>
      <c r="E77" s="64">
        <v>6.36</v>
      </c>
      <c r="F77" s="64">
        <v>11.17</v>
      </c>
      <c r="G77" s="64">
        <v>34.130000000000003</v>
      </c>
      <c r="H77" s="64">
        <v>7.1</v>
      </c>
      <c r="I77" s="64">
        <v>1.96</v>
      </c>
      <c r="J77" s="64">
        <v>0.37</v>
      </c>
      <c r="K77" s="64">
        <v>161.09</v>
      </c>
      <c r="L77" s="64">
        <v>26.76</v>
      </c>
      <c r="M77" s="64">
        <v>97.1</v>
      </c>
      <c r="N77" s="64">
        <v>77.3</v>
      </c>
      <c r="O77" s="64">
        <v>0</v>
      </c>
      <c r="P77" s="64">
        <v>0.46</v>
      </c>
      <c r="Q77" s="64">
        <v>9.2200000000000006</v>
      </c>
      <c r="R77" s="198"/>
      <c r="S77" s="198"/>
      <c r="T77" s="198"/>
      <c r="U77" s="198"/>
    </row>
    <row r="78" spans="1:21" s="12" customFormat="1" x14ac:dyDescent="0.25">
      <c r="A78" s="211" t="s">
        <v>1085</v>
      </c>
      <c r="B78" s="64">
        <v>8.34</v>
      </c>
      <c r="C78" s="64">
        <v>18.309999999999999</v>
      </c>
      <c r="D78" s="64">
        <v>16.25</v>
      </c>
      <c r="E78" s="64">
        <v>6.3</v>
      </c>
      <c r="F78" s="64">
        <v>3.36</v>
      </c>
      <c r="G78" s="64">
        <v>33.799999999999997</v>
      </c>
      <c r="H78" s="64">
        <v>7.1</v>
      </c>
      <c r="I78" s="64">
        <v>1.93</v>
      </c>
      <c r="J78" s="64">
        <v>0.43</v>
      </c>
      <c r="K78" s="64">
        <v>176.37</v>
      </c>
      <c r="L78" s="64">
        <v>26.53</v>
      </c>
      <c r="M78" s="64">
        <v>97.77</v>
      </c>
      <c r="N78" s="64">
        <v>64.2</v>
      </c>
      <c r="O78" s="64">
        <v>0</v>
      </c>
      <c r="P78" s="64">
        <v>0.44</v>
      </c>
      <c r="Q78" s="64">
        <v>9.1999999999999993</v>
      </c>
      <c r="R78" s="198"/>
      <c r="S78" s="198"/>
      <c r="T78" s="198"/>
      <c r="U78" s="198"/>
    </row>
    <row r="79" spans="1:21" s="12" customFormat="1" x14ac:dyDescent="0.25">
      <c r="A79" s="211" t="s">
        <v>1086</v>
      </c>
      <c r="B79" s="64">
        <v>9.74</v>
      </c>
      <c r="C79" s="64">
        <v>13.65</v>
      </c>
      <c r="D79" s="64">
        <v>14.95</v>
      </c>
      <c r="E79" s="64">
        <v>6.1</v>
      </c>
      <c r="F79" s="64">
        <v>8.86</v>
      </c>
      <c r="G79" s="64">
        <v>33.799999999999997</v>
      </c>
      <c r="H79" s="64">
        <v>7.1</v>
      </c>
      <c r="I79" s="64">
        <v>1.91</v>
      </c>
      <c r="J79" s="64">
        <v>0.41</v>
      </c>
      <c r="K79" s="64">
        <v>172.42</v>
      </c>
      <c r="L79" s="64">
        <v>26.32</v>
      </c>
      <c r="M79" s="64">
        <v>97.79</v>
      </c>
      <c r="N79" s="64">
        <v>48.2</v>
      </c>
      <c r="O79" s="64">
        <v>0</v>
      </c>
      <c r="P79" s="64">
        <v>0.56000000000000005</v>
      </c>
      <c r="Q79" s="64">
        <v>9.18</v>
      </c>
      <c r="R79" s="198"/>
      <c r="S79" s="198"/>
      <c r="T79" s="198"/>
      <c r="U79" s="198"/>
    </row>
    <row r="80" spans="1:21" s="12" customFormat="1" x14ac:dyDescent="0.25">
      <c r="A80" s="211" t="s">
        <v>1087</v>
      </c>
      <c r="B80" s="64">
        <v>7.87</v>
      </c>
      <c r="C80" s="64">
        <v>17.850000000000001</v>
      </c>
      <c r="D80" s="64">
        <v>15.64</v>
      </c>
      <c r="E80" s="64">
        <v>5.93</v>
      </c>
      <c r="F80" s="64">
        <v>7.49</v>
      </c>
      <c r="G80" s="64">
        <v>33.799999999999997</v>
      </c>
      <c r="H80" s="64">
        <v>7.1</v>
      </c>
      <c r="I80" s="64">
        <v>1.89</v>
      </c>
      <c r="J80" s="64">
        <v>0.15</v>
      </c>
      <c r="K80" s="64">
        <v>161.58000000000001</v>
      </c>
      <c r="L80" s="64">
        <v>25.93</v>
      </c>
      <c r="M80" s="64">
        <v>97.82</v>
      </c>
      <c r="N80" s="64">
        <v>42.3</v>
      </c>
      <c r="O80" s="64">
        <v>0</v>
      </c>
      <c r="P80" s="64">
        <v>0.41</v>
      </c>
      <c r="Q80" s="64">
        <v>9.17</v>
      </c>
      <c r="R80" s="198"/>
      <c r="S80" s="198"/>
      <c r="T80" s="198"/>
      <c r="U80" s="198"/>
    </row>
    <row r="81" spans="1:26" s="12" customFormat="1" x14ac:dyDescent="0.25">
      <c r="A81" s="211" t="s">
        <v>1088</v>
      </c>
      <c r="B81" s="64">
        <v>7.65</v>
      </c>
      <c r="C81" s="64">
        <v>21.19</v>
      </c>
      <c r="D81" s="64">
        <v>17.21</v>
      </c>
      <c r="E81" s="64">
        <v>5.85</v>
      </c>
      <c r="F81" s="64">
        <v>6.69</v>
      </c>
      <c r="G81" s="64">
        <v>30.02</v>
      </c>
      <c r="H81" s="64">
        <v>6.24</v>
      </c>
      <c r="I81" s="64">
        <v>1.87</v>
      </c>
      <c r="J81" s="64">
        <v>0.44</v>
      </c>
      <c r="K81" s="64">
        <v>149.38999999999999</v>
      </c>
      <c r="L81" s="64">
        <v>25.7</v>
      </c>
      <c r="M81" s="64">
        <v>97.82</v>
      </c>
      <c r="N81" s="64">
        <v>41.7</v>
      </c>
      <c r="O81" s="64">
        <v>0</v>
      </c>
      <c r="P81" s="64">
        <v>0.45</v>
      </c>
      <c r="Q81" s="64">
        <v>9.16</v>
      </c>
      <c r="R81" s="198"/>
      <c r="S81" s="198"/>
      <c r="T81" s="198"/>
      <c r="U81" s="198"/>
    </row>
    <row r="82" spans="1:26" s="12" customFormat="1" x14ac:dyDescent="0.25">
      <c r="A82" s="211" t="s">
        <v>1089</v>
      </c>
      <c r="B82" s="64">
        <v>7.58</v>
      </c>
      <c r="C82" s="64">
        <v>25.04</v>
      </c>
      <c r="D82" s="64">
        <v>19.16</v>
      </c>
      <c r="E82" s="64">
        <v>5.76</v>
      </c>
      <c r="F82" s="64">
        <v>3.59</v>
      </c>
      <c r="G82" s="64">
        <v>29.75</v>
      </c>
      <c r="H82" s="64">
        <v>6.24</v>
      </c>
      <c r="I82" s="64">
        <v>1.86</v>
      </c>
      <c r="J82" s="64">
        <v>0.18</v>
      </c>
      <c r="K82" s="64">
        <v>164.37</v>
      </c>
      <c r="L82" s="64">
        <v>25.61</v>
      </c>
      <c r="M82" s="64">
        <v>97.85</v>
      </c>
      <c r="N82" s="64">
        <v>41.5</v>
      </c>
      <c r="O82" s="64">
        <v>0</v>
      </c>
      <c r="P82" s="64">
        <v>0.38</v>
      </c>
      <c r="Q82" s="64">
        <v>9.15</v>
      </c>
      <c r="R82" s="198"/>
      <c r="S82" s="198"/>
      <c r="T82" s="198"/>
      <c r="U82" s="198"/>
    </row>
    <row r="83" spans="1:26" s="12" customFormat="1" x14ac:dyDescent="0.25">
      <c r="A83" s="211" t="s">
        <v>1090</v>
      </c>
      <c r="B83" s="64">
        <v>11.34</v>
      </c>
      <c r="C83" s="64">
        <v>22.04</v>
      </c>
      <c r="D83" s="64">
        <v>20.61</v>
      </c>
      <c r="E83" s="64">
        <v>5.43</v>
      </c>
      <c r="F83" s="64">
        <v>4.66</v>
      </c>
      <c r="G83" s="64">
        <v>29.75</v>
      </c>
      <c r="H83" s="64">
        <v>6.24</v>
      </c>
      <c r="I83" s="64">
        <v>1.83</v>
      </c>
      <c r="J83" s="64">
        <v>0.02</v>
      </c>
      <c r="K83" s="64">
        <v>272.68</v>
      </c>
      <c r="L83" s="64">
        <v>25.59</v>
      </c>
      <c r="M83" s="64">
        <v>97.85</v>
      </c>
      <c r="N83" s="64">
        <v>41.6</v>
      </c>
      <c r="O83" s="64">
        <v>0</v>
      </c>
      <c r="P83" s="64">
        <v>0.67</v>
      </c>
      <c r="Q83" s="64">
        <v>9.15</v>
      </c>
      <c r="R83" s="198"/>
      <c r="S83" s="198"/>
      <c r="T83" s="198"/>
      <c r="U83" s="198"/>
    </row>
    <row r="84" spans="1:26" s="12" customFormat="1" x14ac:dyDescent="0.25">
      <c r="A84" s="211" t="s">
        <v>1091</v>
      </c>
      <c r="B84" s="64">
        <v>11.71</v>
      </c>
      <c r="C84" s="64">
        <v>12.11</v>
      </c>
      <c r="D84" s="64">
        <v>15.72</v>
      </c>
      <c r="E84" s="64">
        <v>6.21</v>
      </c>
      <c r="F84" s="64">
        <v>5.73</v>
      </c>
      <c r="G84" s="64">
        <v>29.75</v>
      </c>
      <c r="H84" s="64">
        <v>6.24</v>
      </c>
      <c r="I84" s="64">
        <v>1.81</v>
      </c>
      <c r="J84" s="64">
        <v>0.25</v>
      </c>
      <c r="K84" s="64">
        <v>318.76</v>
      </c>
      <c r="L84" s="64">
        <v>25.27</v>
      </c>
      <c r="M84" s="64">
        <v>97.85</v>
      </c>
      <c r="N84" s="64">
        <v>42.1</v>
      </c>
      <c r="O84" s="64">
        <v>0</v>
      </c>
      <c r="P84" s="64">
        <v>0.65</v>
      </c>
      <c r="Q84" s="64">
        <v>9.15</v>
      </c>
      <c r="R84" s="198"/>
      <c r="S84" s="198"/>
      <c r="T84" s="198"/>
      <c r="U84" s="198"/>
    </row>
    <row r="85" spans="1:26" s="12" customFormat="1" x14ac:dyDescent="0.25">
      <c r="A85" s="211" t="s">
        <v>1092</v>
      </c>
      <c r="B85" s="64">
        <v>11.1</v>
      </c>
      <c r="C85" s="64">
        <v>15.74</v>
      </c>
      <c r="D85" s="64">
        <v>17.13</v>
      </c>
      <c r="E85" s="64">
        <v>5.88</v>
      </c>
      <c r="F85" s="64">
        <v>9</v>
      </c>
      <c r="G85" s="64">
        <v>26.44</v>
      </c>
      <c r="H85" s="64">
        <v>7.32</v>
      </c>
      <c r="I85" s="64">
        <v>1.8</v>
      </c>
      <c r="J85" s="64">
        <v>0.13</v>
      </c>
      <c r="K85" s="64">
        <v>303.36</v>
      </c>
      <c r="L85" s="64">
        <v>24.77</v>
      </c>
      <c r="M85" s="64">
        <v>97.95</v>
      </c>
      <c r="N85" s="64">
        <v>41.8</v>
      </c>
      <c r="O85" s="64">
        <v>0</v>
      </c>
      <c r="P85" s="64">
        <v>0.57999999999999996</v>
      </c>
      <c r="Q85" s="64">
        <v>9.15</v>
      </c>
      <c r="R85" s="198"/>
      <c r="S85" s="198"/>
      <c r="T85" s="198"/>
      <c r="U85" s="198"/>
    </row>
    <row r="86" spans="1:26" s="12" customFormat="1" x14ac:dyDescent="0.25">
      <c r="A86" s="211" t="s">
        <v>1093</v>
      </c>
      <c r="B86" s="64">
        <v>10.43</v>
      </c>
      <c r="C86" s="64">
        <v>15.84</v>
      </c>
      <c r="D86" s="64">
        <v>16.64</v>
      </c>
      <c r="E86" s="64">
        <v>5.7</v>
      </c>
      <c r="F86" s="64">
        <v>6.61</v>
      </c>
      <c r="G86" s="64">
        <v>26.21</v>
      </c>
      <c r="H86" s="64">
        <v>7.32</v>
      </c>
      <c r="I86" s="64">
        <v>1.81</v>
      </c>
      <c r="J86" s="64">
        <v>0.09</v>
      </c>
      <c r="K86" s="64">
        <v>316.3</v>
      </c>
      <c r="L86" s="64">
        <v>24.29</v>
      </c>
      <c r="M86" s="64">
        <v>97.9</v>
      </c>
      <c r="N86" s="64">
        <v>41.7</v>
      </c>
      <c r="O86" s="64">
        <v>0</v>
      </c>
      <c r="P86" s="64">
        <v>0.64</v>
      </c>
      <c r="Q86" s="64">
        <v>9.17</v>
      </c>
      <c r="R86" s="198"/>
      <c r="S86" s="198"/>
      <c r="T86" s="198"/>
      <c r="U86" s="198"/>
    </row>
    <row r="87" spans="1:26" s="12" customFormat="1" x14ac:dyDescent="0.25">
      <c r="A87" s="211" t="s">
        <v>1094</v>
      </c>
      <c r="B87" s="64">
        <v>8.5500000000000007</v>
      </c>
      <c r="C87" s="64">
        <v>18.420000000000002</v>
      </c>
      <c r="D87" s="64">
        <v>16.48</v>
      </c>
      <c r="E87" s="64">
        <v>6.23</v>
      </c>
      <c r="F87" s="64">
        <v>6.16</v>
      </c>
      <c r="G87" s="64">
        <v>26.21</v>
      </c>
      <c r="H87" s="64">
        <v>7.32</v>
      </c>
      <c r="I87" s="64">
        <v>1.81</v>
      </c>
      <c r="J87" s="64">
        <v>0.01</v>
      </c>
      <c r="K87" s="64">
        <v>60.52</v>
      </c>
      <c r="L87" s="64">
        <v>24.14</v>
      </c>
      <c r="M87" s="64">
        <v>97.91</v>
      </c>
      <c r="N87" s="64">
        <v>41.7</v>
      </c>
      <c r="O87" s="64">
        <v>0</v>
      </c>
      <c r="P87" s="64">
        <v>0.61</v>
      </c>
      <c r="Q87" s="64">
        <v>9.17</v>
      </c>
      <c r="R87" s="198"/>
      <c r="S87" s="198"/>
      <c r="T87" s="198"/>
      <c r="U87" s="198"/>
    </row>
    <row r="88" spans="1:26" s="12" customFormat="1" x14ac:dyDescent="0.25">
      <c r="A88" s="211" t="s">
        <v>1095</v>
      </c>
      <c r="B88" s="64">
        <v>6.43</v>
      </c>
      <c r="C88" s="64">
        <v>18.72</v>
      </c>
      <c r="D88" s="64">
        <v>14.94</v>
      </c>
      <c r="E88" s="64">
        <v>5.76</v>
      </c>
      <c r="F88" s="64">
        <v>6.77</v>
      </c>
      <c r="G88" s="64">
        <v>26.21</v>
      </c>
      <c r="H88" s="64">
        <v>7.32</v>
      </c>
      <c r="I88" s="64">
        <v>1.83</v>
      </c>
      <c r="J88" s="64">
        <v>0.26</v>
      </c>
      <c r="K88" s="64">
        <v>149.44</v>
      </c>
      <c r="L88" s="64">
        <v>24.14</v>
      </c>
      <c r="M88" s="64">
        <v>97.94</v>
      </c>
      <c r="N88" s="64">
        <v>41.5</v>
      </c>
      <c r="O88" s="64">
        <v>0</v>
      </c>
      <c r="P88" s="64">
        <v>0.51</v>
      </c>
      <c r="Q88" s="64">
        <v>9.16</v>
      </c>
      <c r="R88" s="198"/>
      <c r="S88" s="198"/>
      <c r="T88" s="198"/>
      <c r="U88" s="198"/>
    </row>
    <row r="89" spans="1:26" s="12" customFormat="1" x14ac:dyDescent="0.25">
      <c r="A89" s="211" t="s">
        <v>1096</v>
      </c>
      <c r="B89" s="64">
        <v>7.24</v>
      </c>
      <c r="C89" s="64">
        <v>20.22</v>
      </c>
      <c r="D89" s="64">
        <v>16.37</v>
      </c>
      <c r="E89" s="64">
        <v>5.87</v>
      </c>
      <c r="F89" s="64">
        <v>5.55</v>
      </c>
      <c r="G89" s="64">
        <v>24</v>
      </c>
      <c r="H89" s="64">
        <v>6.35</v>
      </c>
      <c r="I89" s="64">
        <v>1.83</v>
      </c>
      <c r="J89" s="64">
        <v>0.1</v>
      </c>
      <c r="K89" s="64">
        <v>163.30000000000001</v>
      </c>
      <c r="L89" s="64">
        <v>24.14</v>
      </c>
      <c r="M89" s="64">
        <v>97.91</v>
      </c>
      <c r="N89" s="64">
        <v>41.5</v>
      </c>
      <c r="O89" s="64">
        <v>0</v>
      </c>
      <c r="P89" s="64">
        <v>0.54</v>
      </c>
      <c r="Q89" s="64">
        <v>9.15</v>
      </c>
      <c r="R89" s="198"/>
      <c r="S89" s="198"/>
      <c r="T89" s="198"/>
      <c r="U89" s="198"/>
    </row>
    <row r="90" spans="1:26" s="12" customFormat="1" x14ac:dyDescent="0.25">
      <c r="A90" s="211" t="s">
        <v>1097</v>
      </c>
      <c r="B90" s="64">
        <v>7.49</v>
      </c>
      <c r="C90" s="64">
        <v>20.62</v>
      </c>
      <c r="D90" s="64">
        <v>16.78</v>
      </c>
      <c r="E90" s="64">
        <v>5.69</v>
      </c>
      <c r="F90" s="64">
        <v>6.94</v>
      </c>
      <c r="G90" s="64">
        <v>23.87</v>
      </c>
      <c r="H90" s="64">
        <v>6.35</v>
      </c>
      <c r="I90" s="64">
        <v>1.83</v>
      </c>
      <c r="J90" s="64">
        <v>0.17</v>
      </c>
      <c r="K90" s="64">
        <v>137.79</v>
      </c>
      <c r="L90" s="64">
        <v>24.24</v>
      </c>
      <c r="M90" s="64">
        <v>97.88</v>
      </c>
      <c r="N90" s="64">
        <v>41.3</v>
      </c>
      <c r="O90" s="64">
        <v>0</v>
      </c>
      <c r="P90" s="64">
        <v>0.42</v>
      </c>
      <c r="Q90" s="64">
        <v>9.16</v>
      </c>
      <c r="R90" s="198"/>
      <c r="S90" s="198"/>
      <c r="T90" s="198"/>
      <c r="U90" s="198"/>
    </row>
    <row r="91" spans="1:26" s="12" customFormat="1" x14ac:dyDescent="0.25">
      <c r="A91" s="211" t="s">
        <v>1098</v>
      </c>
      <c r="B91" s="64">
        <v>28.76</v>
      </c>
      <c r="C91" s="64">
        <v>25.13</v>
      </c>
      <c r="D91" s="64">
        <v>36.200000000000003</v>
      </c>
      <c r="E91" s="64">
        <v>5.63</v>
      </c>
      <c r="F91" s="64">
        <v>2.85</v>
      </c>
      <c r="G91" s="64">
        <v>23.87</v>
      </c>
      <c r="H91" s="64">
        <v>6.35</v>
      </c>
      <c r="I91" s="64">
        <v>1.83</v>
      </c>
      <c r="J91" s="64">
        <v>7.0000000000000007E-2</v>
      </c>
      <c r="K91" s="64">
        <v>52.18</v>
      </c>
      <c r="L91" s="64">
        <v>24.36</v>
      </c>
      <c r="M91" s="64">
        <v>97.9</v>
      </c>
      <c r="N91" s="64">
        <v>41.4</v>
      </c>
      <c r="O91" s="64">
        <v>0</v>
      </c>
      <c r="P91" s="64">
        <v>0.93</v>
      </c>
      <c r="Q91" s="64">
        <v>9.15</v>
      </c>
      <c r="R91" s="198"/>
      <c r="S91" s="198"/>
      <c r="T91" s="198"/>
      <c r="U91" s="198"/>
    </row>
    <row r="92" spans="1:26" s="12" customFormat="1" x14ac:dyDescent="0.25">
      <c r="A92" s="211" t="s">
        <v>1099</v>
      </c>
      <c r="B92" s="64">
        <v>13.71</v>
      </c>
      <c r="C92" s="64">
        <v>16.260000000000002</v>
      </c>
      <c r="D92" s="64">
        <v>19.48</v>
      </c>
      <c r="E92" s="64">
        <v>5.73</v>
      </c>
      <c r="F92" s="64">
        <v>2.88</v>
      </c>
      <c r="G92" s="64">
        <v>23.87</v>
      </c>
      <c r="H92" s="64">
        <v>6.35</v>
      </c>
      <c r="I92" s="64">
        <v>1.83</v>
      </c>
      <c r="J92" s="64">
        <v>0.11</v>
      </c>
      <c r="K92" s="64">
        <v>312.19</v>
      </c>
      <c r="L92" s="64">
        <v>24.35</v>
      </c>
      <c r="M92" s="64">
        <v>98.02</v>
      </c>
      <c r="N92" s="64">
        <v>41.5</v>
      </c>
      <c r="O92" s="64">
        <v>0</v>
      </c>
      <c r="P92" s="64">
        <v>0.82</v>
      </c>
      <c r="Q92" s="64">
        <v>9.14</v>
      </c>
      <c r="R92" s="198"/>
      <c r="S92" s="198"/>
      <c r="T92" s="198"/>
      <c r="U92" s="198"/>
    </row>
    <row r="93" spans="1:26" s="12" customFormat="1" x14ac:dyDescent="0.25">
      <c r="A93" s="211" t="s">
        <v>1100</v>
      </c>
      <c r="B93" s="64">
        <v>17.22</v>
      </c>
      <c r="C93" s="64">
        <v>11.84</v>
      </c>
      <c r="D93" s="64">
        <v>19.88</v>
      </c>
      <c r="E93" s="64">
        <v>5.84</v>
      </c>
      <c r="F93" s="64">
        <v>4.63</v>
      </c>
      <c r="G93" s="64">
        <v>26.62</v>
      </c>
      <c r="H93" s="64">
        <v>5.7</v>
      </c>
      <c r="I93" s="64">
        <v>1.83</v>
      </c>
      <c r="J93" s="64">
        <v>0.5</v>
      </c>
      <c r="K93" s="64">
        <v>318.85000000000002</v>
      </c>
      <c r="L93" s="64">
        <v>23.97</v>
      </c>
      <c r="M93" s="64">
        <v>97.83</v>
      </c>
      <c r="N93" s="64">
        <v>42.2</v>
      </c>
      <c r="O93" s="64">
        <v>0</v>
      </c>
      <c r="P93" s="64">
        <v>0.74</v>
      </c>
      <c r="Q93" s="64">
        <v>9.14</v>
      </c>
      <c r="R93" s="198"/>
      <c r="S93" s="198"/>
      <c r="T93" s="198"/>
      <c r="U93" s="198"/>
    </row>
    <row r="94" spans="1:26" s="12" customFormat="1" x14ac:dyDescent="0.25">
      <c r="A94" s="211" t="s">
        <v>1101</v>
      </c>
      <c r="B94" s="64">
        <v>12.6</v>
      </c>
      <c r="C94" s="64">
        <v>9.83</v>
      </c>
      <c r="D94" s="64">
        <v>15.24</v>
      </c>
      <c r="E94" s="64">
        <v>5.77</v>
      </c>
      <c r="F94" s="64">
        <v>2.57</v>
      </c>
      <c r="G94" s="64">
        <v>26.81</v>
      </c>
      <c r="H94" s="64">
        <v>5.7</v>
      </c>
      <c r="I94" s="64">
        <v>1.84</v>
      </c>
      <c r="J94" s="64">
        <v>0.91</v>
      </c>
      <c r="K94" s="64">
        <v>332.09</v>
      </c>
      <c r="L94" s="64">
        <v>23.43</v>
      </c>
      <c r="M94" s="64">
        <v>97.88</v>
      </c>
      <c r="N94" s="64">
        <v>42.4</v>
      </c>
      <c r="O94" s="64">
        <v>0</v>
      </c>
      <c r="P94" s="64">
        <v>0.67</v>
      </c>
      <c r="Q94" s="64">
        <v>9.14</v>
      </c>
      <c r="R94" s="198"/>
      <c r="S94" s="198"/>
      <c r="T94" s="198"/>
      <c r="U94" s="198"/>
    </row>
    <row r="95" spans="1:26" s="12" customFormat="1" x14ac:dyDescent="0.25">
      <c r="A95" s="211" t="s">
        <v>1102</v>
      </c>
      <c r="B95" s="64">
        <v>13.89</v>
      </c>
      <c r="C95" s="64">
        <v>9.93</v>
      </c>
      <c r="D95" s="64">
        <v>16.329999999999998</v>
      </c>
      <c r="E95" s="64">
        <v>5.95</v>
      </c>
      <c r="F95" s="64">
        <v>4.05</v>
      </c>
      <c r="G95" s="64">
        <v>26.81</v>
      </c>
      <c r="H95" s="64">
        <v>5.7</v>
      </c>
      <c r="I95" s="64">
        <v>1.83</v>
      </c>
      <c r="J95" s="64">
        <v>1.23</v>
      </c>
      <c r="K95" s="64">
        <v>334.28</v>
      </c>
      <c r="L95" s="64">
        <v>23.28</v>
      </c>
      <c r="M95" s="64">
        <v>97.83</v>
      </c>
      <c r="N95" s="64">
        <v>42.2</v>
      </c>
      <c r="O95" s="64">
        <v>0</v>
      </c>
      <c r="P95" s="64">
        <v>0.65</v>
      </c>
      <c r="Q95" s="64">
        <v>9.15</v>
      </c>
      <c r="R95" s="198"/>
      <c r="S95" s="198"/>
      <c r="T95" s="198"/>
      <c r="U95" s="198"/>
    </row>
    <row r="96" spans="1:26" s="12" customFormat="1" x14ac:dyDescent="0.25">
      <c r="A96" s="211" t="s">
        <v>1103</v>
      </c>
      <c r="B96" s="64">
        <v>15.37</v>
      </c>
      <c r="C96" s="64">
        <v>12.61</v>
      </c>
      <c r="D96" s="64">
        <v>18.91</v>
      </c>
      <c r="E96" s="64">
        <v>5.58</v>
      </c>
      <c r="F96" s="64">
        <v>4.7</v>
      </c>
      <c r="G96" s="64">
        <v>26.81</v>
      </c>
      <c r="H96" s="64">
        <v>5.7</v>
      </c>
      <c r="I96" s="64">
        <v>1.82</v>
      </c>
      <c r="J96" s="64">
        <v>0.43</v>
      </c>
      <c r="K96" s="64">
        <v>330.39</v>
      </c>
      <c r="L96" s="64">
        <v>23.16</v>
      </c>
      <c r="M96" s="64">
        <v>97.9</v>
      </c>
      <c r="N96" s="64">
        <v>41.6</v>
      </c>
      <c r="O96" s="64">
        <v>0</v>
      </c>
      <c r="P96" s="64">
        <v>0.69</v>
      </c>
      <c r="Q96" s="64">
        <v>9.16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1104</v>
      </c>
      <c r="B97" s="64">
        <v>12.9</v>
      </c>
      <c r="C97" s="64">
        <v>13.43</v>
      </c>
      <c r="D97" s="64">
        <v>17.36</v>
      </c>
      <c r="E97" s="64">
        <v>5.49</v>
      </c>
      <c r="F97" s="64">
        <v>2.11</v>
      </c>
      <c r="G97" s="64">
        <v>25.15</v>
      </c>
      <c r="H97" s="64">
        <v>5.25</v>
      </c>
      <c r="I97" s="64">
        <v>1.81</v>
      </c>
      <c r="J97" s="64">
        <v>0.04</v>
      </c>
      <c r="K97" s="64">
        <v>114.83</v>
      </c>
      <c r="L97" s="64">
        <v>22.97</v>
      </c>
      <c r="M97" s="64">
        <v>97.88</v>
      </c>
      <c r="N97" s="64">
        <v>41.5</v>
      </c>
      <c r="O97" s="64">
        <v>0</v>
      </c>
      <c r="P97" s="64">
        <v>0.67</v>
      </c>
      <c r="Q97" s="64">
        <v>9.17</v>
      </c>
      <c r="R97" s="198"/>
      <c r="S97" s="198"/>
      <c r="T97" s="198"/>
      <c r="U97" s="198"/>
    </row>
    <row r="98" spans="1:33" s="12" customFormat="1" x14ac:dyDescent="0.25">
      <c r="A98" s="211" t="s">
        <v>1105</v>
      </c>
      <c r="B98" s="64">
        <v>15.16</v>
      </c>
      <c r="C98" s="64">
        <v>11.54</v>
      </c>
      <c r="D98" s="64">
        <v>18.190000000000001</v>
      </c>
      <c r="E98" s="64">
        <v>5.71</v>
      </c>
      <c r="F98" s="64">
        <v>2.27</v>
      </c>
      <c r="G98" s="64">
        <v>25.05</v>
      </c>
      <c r="H98" s="64">
        <v>5.25</v>
      </c>
      <c r="I98" s="64">
        <v>1.81</v>
      </c>
      <c r="J98" s="64">
        <v>0.33</v>
      </c>
      <c r="K98" s="64">
        <v>332.55</v>
      </c>
      <c r="L98" s="64">
        <v>22.88</v>
      </c>
      <c r="M98" s="64">
        <v>97.94</v>
      </c>
      <c r="N98" s="64">
        <v>41.4</v>
      </c>
      <c r="O98" s="64">
        <v>0</v>
      </c>
      <c r="P98" s="64">
        <v>0.68</v>
      </c>
      <c r="Q98" s="64">
        <v>9.17</v>
      </c>
      <c r="R98" s="198"/>
      <c r="S98" s="198"/>
      <c r="T98" s="198"/>
      <c r="U98" s="198"/>
    </row>
    <row r="99" spans="1:33" s="12" customFormat="1" x14ac:dyDescent="0.25">
      <c r="A99" s="211" t="s">
        <v>1106</v>
      </c>
      <c r="B99" s="64">
        <v>13.04</v>
      </c>
      <c r="C99" s="64">
        <v>10.08</v>
      </c>
      <c r="D99" s="64">
        <v>15.72</v>
      </c>
      <c r="E99" s="64">
        <v>5.56</v>
      </c>
      <c r="F99" s="64">
        <v>2.1</v>
      </c>
      <c r="G99" s="64">
        <v>25.05</v>
      </c>
      <c r="H99" s="64">
        <v>5.25</v>
      </c>
      <c r="I99" s="64">
        <v>1.81</v>
      </c>
      <c r="J99" s="64">
        <v>0.1</v>
      </c>
      <c r="K99" s="64">
        <v>319.49</v>
      </c>
      <c r="L99" s="64">
        <v>22.86</v>
      </c>
      <c r="M99" s="64">
        <v>97.93</v>
      </c>
      <c r="N99" s="64">
        <v>41.3</v>
      </c>
      <c r="O99" s="64">
        <v>0</v>
      </c>
      <c r="P99" s="64">
        <v>0.68</v>
      </c>
      <c r="Q99" s="64">
        <v>9.18</v>
      </c>
      <c r="R99" s="198"/>
      <c r="S99" s="198"/>
      <c r="T99" s="198"/>
      <c r="U99" s="198"/>
    </row>
    <row r="100" spans="1:33" s="12" customFormat="1" x14ac:dyDescent="0.25">
      <c r="A100" s="211" t="s">
        <v>1107</v>
      </c>
      <c r="B100" s="64">
        <v>12.92</v>
      </c>
      <c r="C100" s="64">
        <v>15.37</v>
      </c>
      <c r="D100" s="64">
        <v>18.39</v>
      </c>
      <c r="E100" s="64">
        <v>5.45</v>
      </c>
      <c r="F100" s="64">
        <v>2.13</v>
      </c>
      <c r="G100" s="64">
        <v>25.05</v>
      </c>
      <c r="H100" s="64">
        <v>5.25</v>
      </c>
      <c r="I100" s="64">
        <v>1.82</v>
      </c>
      <c r="J100" s="64">
        <v>0.14000000000000001</v>
      </c>
      <c r="K100" s="64">
        <v>336.79</v>
      </c>
      <c r="L100" s="64">
        <v>22.79</v>
      </c>
      <c r="M100" s="64">
        <v>97.95</v>
      </c>
      <c r="N100" s="64">
        <v>40.700000000000003</v>
      </c>
      <c r="O100" s="64">
        <v>0</v>
      </c>
      <c r="P100" s="64">
        <v>0.65</v>
      </c>
      <c r="Q100" s="64">
        <v>9.18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1108</v>
      </c>
      <c r="B101" s="64">
        <v>12.45</v>
      </c>
      <c r="C101" s="64">
        <v>9.69</v>
      </c>
      <c r="D101" s="64">
        <v>15.05</v>
      </c>
      <c r="E101" s="64">
        <v>5.63</v>
      </c>
      <c r="F101" s="64">
        <v>2.1</v>
      </c>
      <c r="G101" s="64">
        <v>20.5</v>
      </c>
      <c r="H101" s="64">
        <v>8.3699999999999992</v>
      </c>
      <c r="I101" s="64">
        <v>1.82</v>
      </c>
      <c r="J101" s="64">
        <v>0</v>
      </c>
      <c r="K101" s="64">
        <v>201.43</v>
      </c>
      <c r="L101" s="64">
        <v>22.69</v>
      </c>
      <c r="M101" s="64">
        <v>97.99</v>
      </c>
      <c r="N101" s="64">
        <v>40.5</v>
      </c>
      <c r="O101" s="64">
        <v>0</v>
      </c>
      <c r="P101" s="64">
        <v>0.65</v>
      </c>
      <c r="Q101" s="64">
        <v>9.18</v>
      </c>
      <c r="R101" s="198"/>
      <c r="S101" s="198"/>
      <c r="T101" s="198"/>
      <c r="U101" s="198"/>
    </row>
    <row r="102" spans="1:33" s="12" customFormat="1" x14ac:dyDescent="0.25">
      <c r="A102" s="211" t="s">
        <v>1109</v>
      </c>
      <c r="B102" s="64">
        <v>10.91</v>
      </c>
      <c r="C102" s="64">
        <v>11.93</v>
      </c>
      <c r="D102" s="64">
        <v>14.99</v>
      </c>
      <c r="E102" s="64">
        <v>5.4</v>
      </c>
      <c r="F102" s="64">
        <v>2.21</v>
      </c>
      <c r="G102" s="64">
        <v>20.170000000000002</v>
      </c>
      <c r="H102" s="64">
        <v>8.3699999999999992</v>
      </c>
      <c r="I102" s="64">
        <v>1.83</v>
      </c>
      <c r="J102" s="64">
        <v>0.04</v>
      </c>
      <c r="K102" s="64">
        <v>253.14</v>
      </c>
      <c r="L102" s="64">
        <v>22.57</v>
      </c>
      <c r="M102" s="64">
        <v>97.97</v>
      </c>
      <c r="N102" s="64">
        <v>40.9</v>
      </c>
      <c r="O102" s="64">
        <v>0</v>
      </c>
      <c r="P102" s="64">
        <v>0.55000000000000004</v>
      </c>
      <c r="Q102" s="64">
        <v>9.19</v>
      </c>
      <c r="R102" s="198"/>
      <c r="S102" s="198"/>
      <c r="T102" s="198"/>
      <c r="U102" s="198"/>
    </row>
    <row r="103" spans="1:33" s="12" customFormat="1" x14ac:dyDescent="0.25">
      <c r="A103" s="211" t="s">
        <v>1110</v>
      </c>
      <c r="B103" s="64">
        <v>10.51</v>
      </c>
      <c r="C103" s="64">
        <v>11.27</v>
      </c>
      <c r="D103" s="64">
        <v>14.32</v>
      </c>
      <c r="E103" s="64">
        <v>5.53</v>
      </c>
      <c r="F103" s="64">
        <v>3.01</v>
      </c>
      <c r="G103" s="64">
        <v>20.170000000000002</v>
      </c>
      <c r="H103" s="64">
        <v>8.3699999999999992</v>
      </c>
      <c r="I103" s="64">
        <v>1.82</v>
      </c>
      <c r="J103" s="64">
        <v>0.03</v>
      </c>
      <c r="K103" s="64">
        <v>24.48</v>
      </c>
      <c r="L103" s="64">
        <v>22.45</v>
      </c>
      <c r="M103" s="64">
        <v>98.04</v>
      </c>
      <c r="N103" s="64">
        <v>41.1</v>
      </c>
      <c r="O103" s="64">
        <v>0</v>
      </c>
      <c r="P103" s="64">
        <v>0.54</v>
      </c>
      <c r="Q103" s="64">
        <v>9.1999999999999993</v>
      </c>
      <c r="R103" s="198"/>
      <c r="S103" s="198"/>
      <c r="T103" s="198"/>
      <c r="U103" s="198"/>
    </row>
    <row r="104" spans="1:33" s="12" customFormat="1" x14ac:dyDescent="0.25">
      <c r="A104" s="211" t="s">
        <v>1111</v>
      </c>
      <c r="B104" s="64">
        <v>8.75</v>
      </c>
      <c r="C104" s="64">
        <v>15.72</v>
      </c>
      <c r="D104" s="64">
        <v>15.23</v>
      </c>
      <c r="E104" s="64">
        <v>5.33</v>
      </c>
      <c r="F104" s="64">
        <v>2.25</v>
      </c>
      <c r="G104" s="64">
        <v>20.170000000000002</v>
      </c>
      <c r="H104" s="64">
        <v>8.3699999999999992</v>
      </c>
      <c r="I104" s="64">
        <v>1.81</v>
      </c>
      <c r="J104" s="64">
        <v>0.14000000000000001</v>
      </c>
      <c r="K104" s="64">
        <v>123.87</v>
      </c>
      <c r="L104" s="64">
        <v>22.49</v>
      </c>
      <c r="M104" s="64">
        <v>97.98</v>
      </c>
      <c r="N104" s="64">
        <v>41.1</v>
      </c>
      <c r="O104" s="64">
        <v>0</v>
      </c>
      <c r="P104" s="64">
        <v>0.45</v>
      </c>
      <c r="Q104" s="64">
        <v>9.1999999999999993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5.69</v>
      </c>
      <c r="C106" s="67">
        <f>MIN(C9:C104)</f>
        <v>5.53</v>
      </c>
      <c r="D106" s="67">
        <f t="shared" ref="D106:Q106" si="0">MIN(D9:D104)</f>
        <v>12.53</v>
      </c>
      <c r="E106" s="67">
        <f t="shared" si="0"/>
        <v>3.77</v>
      </c>
      <c r="F106" s="67">
        <f t="shared" si="0"/>
        <v>2.1</v>
      </c>
      <c r="G106" s="67">
        <f t="shared" si="0"/>
        <v>11.52</v>
      </c>
      <c r="H106" s="67">
        <f t="shared" si="0"/>
        <v>5.25</v>
      </c>
      <c r="I106" s="67">
        <f t="shared" si="0"/>
        <v>1.69</v>
      </c>
      <c r="J106" s="67">
        <f t="shared" si="0"/>
        <v>0</v>
      </c>
      <c r="K106" s="67">
        <f t="shared" si="0"/>
        <v>14.25</v>
      </c>
      <c r="L106" s="67">
        <f t="shared" si="0"/>
        <v>22.45</v>
      </c>
      <c r="M106" s="67">
        <f t="shared" si="0"/>
        <v>66.069999999999993</v>
      </c>
      <c r="N106" s="67">
        <f t="shared" si="0"/>
        <v>40.5</v>
      </c>
      <c r="O106" s="67">
        <f t="shared" si="0"/>
        <v>0</v>
      </c>
      <c r="P106" s="67">
        <f t="shared" si="0"/>
        <v>0.3</v>
      </c>
      <c r="Q106" s="67">
        <f t="shared" si="0"/>
        <v>9.14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28.76</v>
      </c>
      <c r="C107" s="66">
        <f t="shared" ref="C107:Q107" si="1">MAX(C9:C104)</f>
        <v>31.41</v>
      </c>
      <c r="D107" s="66">
        <f t="shared" si="1"/>
        <v>37.700000000000003</v>
      </c>
      <c r="E107" s="66">
        <f t="shared" si="1"/>
        <v>7.9</v>
      </c>
      <c r="F107" s="66">
        <f t="shared" si="1"/>
        <v>16.71</v>
      </c>
      <c r="G107" s="66">
        <f t="shared" si="1"/>
        <v>52.74</v>
      </c>
      <c r="H107" s="66">
        <f t="shared" si="1"/>
        <v>10.49</v>
      </c>
      <c r="I107" s="66">
        <f t="shared" si="1"/>
        <v>2.2000000000000002</v>
      </c>
      <c r="J107" s="66">
        <f t="shared" si="1"/>
        <v>1.44</v>
      </c>
      <c r="K107" s="66">
        <f t="shared" si="1"/>
        <v>347.55</v>
      </c>
      <c r="L107" s="66">
        <f t="shared" si="1"/>
        <v>33.119999999999997</v>
      </c>
      <c r="M107" s="66">
        <f t="shared" si="1"/>
        <v>98.06</v>
      </c>
      <c r="N107" s="66">
        <f t="shared" si="1"/>
        <v>637.5</v>
      </c>
      <c r="O107" s="66">
        <f t="shared" si="1"/>
        <v>0.2</v>
      </c>
      <c r="P107" s="66">
        <f t="shared" si="1"/>
        <v>1</v>
      </c>
      <c r="Q107" s="66">
        <f t="shared" si="1"/>
        <v>9.4499999999999993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14.918333333333337</v>
      </c>
      <c r="C108" s="67">
        <f t="shared" ref="C108:Q108" si="2">AVERAGE(C9:C104)</f>
        <v>14.36041666666666</v>
      </c>
      <c r="D108" s="67">
        <f t="shared" si="2"/>
        <v>19.451145833333339</v>
      </c>
      <c r="E108" s="67">
        <f t="shared" si="2"/>
        <v>5.4808333333333339</v>
      </c>
      <c r="F108" s="67">
        <f t="shared" si="2"/>
        <v>5.7820833333333361</v>
      </c>
      <c r="G108" s="67">
        <f t="shared" si="2"/>
        <v>31.454583333333346</v>
      </c>
      <c r="H108" s="67">
        <f t="shared" si="2"/>
        <v>7.761250000000004</v>
      </c>
      <c r="I108" s="67">
        <f t="shared" si="2"/>
        <v>1.9350000000000014</v>
      </c>
      <c r="J108" s="67">
        <f t="shared" si="2"/>
        <v>0.41718749999999982</v>
      </c>
      <c r="K108" s="67">
        <f t="shared" si="2"/>
        <v>266.70916666666659</v>
      </c>
      <c r="L108" s="67">
        <f t="shared" si="2"/>
        <v>25.924270833333328</v>
      </c>
      <c r="M108" s="67">
        <f t="shared" si="2"/>
        <v>92.317604166666683</v>
      </c>
      <c r="N108" s="67">
        <f t="shared" si="2"/>
        <v>152.21770833333335</v>
      </c>
      <c r="O108" s="67">
        <f t="shared" si="2"/>
        <v>2.0833333333333333E-3</v>
      </c>
      <c r="P108" s="67">
        <f t="shared" si="2"/>
        <v>0.61260416666666662</v>
      </c>
      <c r="Q108" s="67">
        <f t="shared" si="2"/>
        <v>9.2596874999999894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5.2629446763828538</v>
      </c>
      <c r="C109" s="67">
        <f t="shared" ref="C109:Q109" si="3">STDEV(C9:C104)</f>
        <v>6.3193480537600921</v>
      </c>
      <c r="D109" s="67">
        <f t="shared" si="3"/>
        <v>5.6045567682005135</v>
      </c>
      <c r="E109" s="67">
        <f t="shared" si="3"/>
        <v>1.0355508746725439</v>
      </c>
      <c r="F109" s="67">
        <f t="shared" si="3"/>
        <v>3.6649566427152225</v>
      </c>
      <c r="G109" s="67">
        <f t="shared" si="3"/>
        <v>10.893168300087632</v>
      </c>
      <c r="H109" s="67">
        <f t="shared" si="3"/>
        <v>1.5038121733220275</v>
      </c>
      <c r="I109" s="67">
        <f t="shared" si="3"/>
        <v>0.13826747533979961</v>
      </c>
      <c r="J109" s="67">
        <f t="shared" si="3"/>
        <v>0.34982613162601389</v>
      </c>
      <c r="K109" s="67">
        <f t="shared" si="3"/>
        <v>100.26813353956892</v>
      </c>
      <c r="L109" s="67">
        <f t="shared" si="3"/>
        <v>3.1095153607128583</v>
      </c>
      <c r="M109" s="67">
        <f t="shared" si="3"/>
        <v>8.8592098667273529</v>
      </c>
      <c r="N109" s="67">
        <f t="shared" si="3"/>
        <v>158.25708398198944</v>
      </c>
      <c r="O109" s="67">
        <f t="shared" si="3"/>
        <v>2.0412414523193152E-2</v>
      </c>
      <c r="P109" s="67">
        <f t="shared" si="3"/>
        <v>0.16573437715793984</v>
      </c>
      <c r="Q109" s="67">
        <f t="shared" si="3"/>
        <v>8.4060794103215222E-2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5" sqref="I1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1112</v>
      </c>
      <c r="B9" s="64">
        <v>9.15</v>
      </c>
      <c r="C9" s="64">
        <v>19.29</v>
      </c>
      <c r="D9" s="64">
        <v>17.420000000000002</v>
      </c>
      <c r="E9" s="64">
        <v>6.02</v>
      </c>
      <c r="F9" s="64">
        <v>2.25</v>
      </c>
      <c r="G9" s="64">
        <v>20.350000000000001</v>
      </c>
      <c r="H9" s="64">
        <v>7.46</v>
      </c>
      <c r="I9" s="64">
        <v>1.79</v>
      </c>
      <c r="J9" s="64">
        <v>0.52</v>
      </c>
      <c r="K9" s="64">
        <v>121.06</v>
      </c>
      <c r="L9" s="64">
        <v>22.6</v>
      </c>
      <c r="M9" s="64">
        <v>98.01</v>
      </c>
      <c r="N9" s="64">
        <v>40.9</v>
      </c>
      <c r="O9" s="64">
        <v>0</v>
      </c>
      <c r="P9" s="64">
        <v>0.47</v>
      </c>
      <c r="Q9" s="64">
        <v>9.1999999999999993</v>
      </c>
      <c r="R9" s="198"/>
      <c r="S9" s="198"/>
      <c r="T9" s="198"/>
      <c r="U9" s="198"/>
    </row>
    <row r="10" spans="1:21" s="12" customFormat="1" x14ac:dyDescent="0.25">
      <c r="A10" s="211" t="s">
        <v>1113</v>
      </c>
      <c r="B10" s="64">
        <v>13.26</v>
      </c>
      <c r="C10" s="64">
        <v>16.38</v>
      </c>
      <c r="D10" s="64">
        <v>19.190000000000001</v>
      </c>
      <c r="E10" s="64">
        <v>6.01</v>
      </c>
      <c r="F10" s="64">
        <v>2.17</v>
      </c>
      <c r="G10" s="64">
        <v>20.36</v>
      </c>
      <c r="H10" s="64">
        <v>7.46</v>
      </c>
      <c r="I10" s="64">
        <v>1.77</v>
      </c>
      <c r="J10" s="64">
        <v>0.34</v>
      </c>
      <c r="K10" s="64">
        <v>326.58999999999997</v>
      </c>
      <c r="L10" s="64">
        <v>22.79</v>
      </c>
      <c r="M10" s="64">
        <v>98</v>
      </c>
      <c r="N10" s="64">
        <v>41.3</v>
      </c>
      <c r="O10" s="64">
        <v>0</v>
      </c>
      <c r="P10" s="64">
        <v>0.56000000000000005</v>
      </c>
      <c r="Q10" s="64">
        <v>9.2100000000000009</v>
      </c>
      <c r="R10" s="198"/>
      <c r="S10" s="198"/>
      <c r="T10" s="198"/>
      <c r="U10" s="198"/>
    </row>
    <row r="11" spans="1:21" s="12" customFormat="1" x14ac:dyDescent="0.25">
      <c r="A11" s="211" t="s">
        <v>1114</v>
      </c>
      <c r="B11" s="64">
        <v>10.06</v>
      </c>
      <c r="C11" s="64">
        <v>12.64</v>
      </c>
      <c r="D11" s="64">
        <v>14.67</v>
      </c>
      <c r="E11" s="64">
        <v>6.02</v>
      </c>
      <c r="F11" s="64">
        <v>2.25</v>
      </c>
      <c r="G11" s="64">
        <v>20.36</v>
      </c>
      <c r="H11" s="64">
        <v>7.46</v>
      </c>
      <c r="I11" s="64">
        <v>1.76</v>
      </c>
      <c r="J11" s="64">
        <v>0.52</v>
      </c>
      <c r="K11" s="64">
        <v>338.58</v>
      </c>
      <c r="L11" s="64">
        <v>22.8</v>
      </c>
      <c r="M11" s="64">
        <v>98</v>
      </c>
      <c r="N11" s="64">
        <v>41.1</v>
      </c>
      <c r="O11" s="64">
        <v>0</v>
      </c>
      <c r="P11" s="64">
        <v>0.56999999999999995</v>
      </c>
      <c r="Q11" s="64">
        <v>9.2100000000000009</v>
      </c>
      <c r="R11" s="198"/>
      <c r="S11" s="198"/>
      <c r="T11" s="198"/>
      <c r="U11" s="198"/>
    </row>
    <row r="12" spans="1:21" s="12" customFormat="1" x14ac:dyDescent="0.25">
      <c r="A12" s="211" t="s">
        <v>1115</v>
      </c>
      <c r="B12" s="64">
        <v>9.77</v>
      </c>
      <c r="C12" s="64">
        <v>14.45</v>
      </c>
      <c r="D12" s="64">
        <v>15.38</v>
      </c>
      <c r="E12" s="64">
        <v>5.97</v>
      </c>
      <c r="F12" s="64">
        <v>2.35</v>
      </c>
      <c r="G12" s="64">
        <v>20.36</v>
      </c>
      <c r="H12" s="64">
        <v>7.46</v>
      </c>
      <c r="I12" s="64">
        <v>1.76</v>
      </c>
      <c r="J12" s="64">
        <v>0.5</v>
      </c>
      <c r="K12" s="64">
        <v>340.48</v>
      </c>
      <c r="L12" s="64">
        <v>22.81</v>
      </c>
      <c r="M12" s="64">
        <v>98.03</v>
      </c>
      <c r="N12" s="64">
        <v>41.3</v>
      </c>
      <c r="O12" s="64">
        <v>0</v>
      </c>
      <c r="P12" s="64">
        <v>0.63</v>
      </c>
      <c r="Q12" s="64">
        <v>9.2100000000000009</v>
      </c>
      <c r="R12" s="198"/>
      <c r="S12" s="198"/>
      <c r="T12" s="198"/>
      <c r="U12" s="198"/>
    </row>
    <row r="13" spans="1:21" s="12" customFormat="1" x14ac:dyDescent="0.25">
      <c r="A13" s="211" t="s">
        <v>1116</v>
      </c>
      <c r="B13" s="64">
        <v>10.87</v>
      </c>
      <c r="C13" s="64">
        <v>16.89</v>
      </c>
      <c r="D13" s="64">
        <v>17.54</v>
      </c>
      <c r="E13" s="64">
        <v>6.28</v>
      </c>
      <c r="F13" s="64">
        <v>2.25</v>
      </c>
      <c r="G13" s="64">
        <v>20.77</v>
      </c>
      <c r="H13" s="64">
        <v>6.56</v>
      </c>
      <c r="I13" s="64">
        <v>1.76</v>
      </c>
      <c r="J13" s="64">
        <v>0.5</v>
      </c>
      <c r="K13" s="64">
        <v>338.16</v>
      </c>
      <c r="L13" s="64">
        <v>22.8</v>
      </c>
      <c r="M13" s="64">
        <v>98</v>
      </c>
      <c r="N13" s="64">
        <v>41.5</v>
      </c>
      <c r="O13" s="64">
        <v>0</v>
      </c>
      <c r="P13" s="64">
        <v>0.66</v>
      </c>
      <c r="Q13" s="64">
        <v>9.2100000000000009</v>
      </c>
      <c r="R13" s="198"/>
      <c r="S13" s="198"/>
      <c r="T13" s="198"/>
      <c r="U13" s="198"/>
    </row>
    <row r="14" spans="1:21" s="12" customFormat="1" x14ac:dyDescent="0.25">
      <c r="A14" s="211" t="s">
        <v>1117</v>
      </c>
      <c r="B14" s="64">
        <v>12.86</v>
      </c>
      <c r="C14" s="64">
        <v>12.18</v>
      </c>
      <c r="D14" s="64">
        <v>16.670000000000002</v>
      </c>
      <c r="E14" s="64">
        <v>6.37</v>
      </c>
      <c r="F14" s="64">
        <v>2.14</v>
      </c>
      <c r="G14" s="64">
        <v>20.8</v>
      </c>
      <c r="H14" s="64">
        <v>6.56</v>
      </c>
      <c r="I14" s="64">
        <v>1.77</v>
      </c>
      <c r="J14" s="64">
        <v>0.95</v>
      </c>
      <c r="K14" s="64">
        <v>336.87</v>
      </c>
      <c r="L14" s="64">
        <v>22.64</v>
      </c>
      <c r="M14" s="64">
        <v>98.01</v>
      </c>
      <c r="N14" s="64">
        <v>41.9</v>
      </c>
      <c r="O14" s="64">
        <v>0</v>
      </c>
      <c r="P14" s="64">
        <v>0.7</v>
      </c>
      <c r="Q14" s="64">
        <v>9.17</v>
      </c>
      <c r="R14" s="198"/>
      <c r="S14" s="198"/>
      <c r="T14" s="198"/>
      <c r="U14" s="198"/>
    </row>
    <row r="15" spans="1:21" s="12" customFormat="1" x14ac:dyDescent="0.25">
      <c r="A15" s="211" t="s">
        <v>1118</v>
      </c>
      <c r="B15" s="64">
        <v>13.78</v>
      </c>
      <c r="C15" s="64">
        <v>8.5500000000000007</v>
      </c>
      <c r="D15" s="64">
        <v>15.52</v>
      </c>
      <c r="E15" s="64">
        <v>6.53</v>
      </c>
      <c r="F15" s="64">
        <v>2.1</v>
      </c>
      <c r="G15" s="64">
        <v>20.8</v>
      </c>
      <c r="H15" s="64">
        <v>6.56</v>
      </c>
      <c r="I15" s="64">
        <v>1.81</v>
      </c>
      <c r="J15" s="64">
        <v>1.02</v>
      </c>
      <c r="K15" s="64">
        <v>338.92</v>
      </c>
      <c r="L15" s="64">
        <v>22.49</v>
      </c>
      <c r="M15" s="64">
        <v>98</v>
      </c>
      <c r="N15" s="64">
        <v>41.7</v>
      </c>
      <c r="O15" s="64">
        <v>0</v>
      </c>
      <c r="P15" s="64">
        <v>0.68</v>
      </c>
      <c r="Q15" s="64">
        <v>9.17</v>
      </c>
      <c r="R15" s="198"/>
      <c r="S15" s="198"/>
      <c r="T15" s="198"/>
      <c r="U15" s="198"/>
    </row>
    <row r="16" spans="1:21" s="12" customFormat="1" x14ac:dyDescent="0.25">
      <c r="A16" s="211" t="s">
        <v>1119</v>
      </c>
      <c r="B16" s="64">
        <v>12.25</v>
      </c>
      <c r="C16" s="64">
        <v>10.199999999999999</v>
      </c>
      <c r="D16" s="64">
        <v>15.15</v>
      </c>
      <c r="E16" s="64">
        <v>6.2</v>
      </c>
      <c r="F16" s="64">
        <v>2.1</v>
      </c>
      <c r="G16" s="64">
        <v>20.8</v>
      </c>
      <c r="H16" s="64">
        <v>6.56</v>
      </c>
      <c r="I16" s="64">
        <v>1.83</v>
      </c>
      <c r="J16" s="64">
        <v>0.79</v>
      </c>
      <c r="K16" s="64">
        <v>339.71</v>
      </c>
      <c r="L16" s="64">
        <v>22.4</v>
      </c>
      <c r="M16" s="64">
        <v>98.01</v>
      </c>
      <c r="N16" s="64">
        <v>41.5</v>
      </c>
      <c r="O16" s="64">
        <v>0</v>
      </c>
      <c r="P16" s="64">
        <v>0.68</v>
      </c>
      <c r="Q16" s="64">
        <v>9.18</v>
      </c>
      <c r="R16" s="198"/>
      <c r="S16" s="198"/>
      <c r="T16" s="198"/>
      <c r="U16" s="198"/>
    </row>
    <row r="17" spans="1:21" s="12" customFormat="1" x14ac:dyDescent="0.25">
      <c r="A17" s="211" t="s">
        <v>1120</v>
      </c>
      <c r="B17" s="64">
        <v>12.39</v>
      </c>
      <c r="C17" s="64">
        <v>8.1999999999999993</v>
      </c>
      <c r="D17" s="64">
        <v>14.22</v>
      </c>
      <c r="E17" s="64">
        <v>6.08</v>
      </c>
      <c r="F17" s="64">
        <v>2.1</v>
      </c>
      <c r="G17" s="64">
        <v>28.39</v>
      </c>
      <c r="H17" s="64">
        <v>6.01</v>
      </c>
      <c r="I17" s="64">
        <v>1.85</v>
      </c>
      <c r="J17" s="64">
        <v>0.75</v>
      </c>
      <c r="K17" s="64">
        <v>340.64</v>
      </c>
      <c r="L17" s="64">
        <v>22.24</v>
      </c>
      <c r="M17" s="64">
        <v>97.98</v>
      </c>
      <c r="N17" s="64">
        <v>41.3</v>
      </c>
      <c r="O17" s="64">
        <v>0</v>
      </c>
      <c r="P17" s="64">
        <v>0.67</v>
      </c>
      <c r="Q17" s="64">
        <v>9.18</v>
      </c>
      <c r="R17" s="198"/>
      <c r="S17" s="198"/>
      <c r="T17" s="198"/>
      <c r="U17" s="198"/>
    </row>
    <row r="18" spans="1:21" s="12" customFormat="1" x14ac:dyDescent="0.25">
      <c r="A18" s="211" t="s">
        <v>1121</v>
      </c>
      <c r="B18" s="64">
        <v>12.15</v>
      </c>
      <c r="C18" s="64">
        <v>7.94</v>
      </c>
      <c r="D18" s="64">
        <v>13.89</v>
      </c>
      <c r="E18" s="64">
        <v>6.08</v>
      </c>
      <c r="F18" s="64">
        <v>2.1</v>
      </c>
      <c r="G18" s="64">
        <v>28.94</v>
      </c>
      <c r="H18" s="64">
        <v>6.01</v>
      </c>
      <c r="I18" s="64">
        <v>1.85</v>
      </c>
      <c r="J18" s="64">
        <v>0.83</v>
      </c>
      <c r="K18" s="64">
        <v>338.55</v>
      </c>
      <c r="L18" s="64">
        <v>22.17</v>
      </c>
      <c r="M18" s="64">
        <v>97.99</v>
      </c>
      <c r="N18" s="64">
        <v>41.2</v>
      </c>
      <c r="O18" s="64">
        <v>0</v>
      </c>
      <c r="P18" s="64">
        <v>0.65</v>
      </c>
      <c r="Q18" s="64">
        <v>9.17</v>
      </c>
      <c r="R18" s="198"/>
      <c r="S18" s="198"/>
      <c r="T18" s="198"/>
      <c r="U18" s="198"/>
    </row>
    <row r="19" spans="1:21" s="12" customFormat="1" x14ac:dyDescent="0.25">
      <c r="A19" s="211" t="s">
        <v>1122</v>
      </c>
      <c r="B19" s="64">
        <v>11.09</v>
      </c>
      <c r="C19" s="64">
        <v>8.27</v>
      </c>
      <c r="D19" s="64">
        <v>13.21</v>
      </c>
      <c r="E19" s="64">
        <v>6.09</v>
      </c>
      <c r="F19" s="64">
        <v>2.1</v>
      </c>
      <c r="G19" s="64">
        <v>28.94</v>
      </c>
      <c r="H19" s="64">
        <v>6.01</v>
      </c>
      <c r="I19" s="64">
        <v>1.85</v>
      </c>
      <c r="J19" s="64">
        <v>0.1</v>
      </c>
      <c r="K19" s="64">
        <v>350.32</v>
      </c>
      <c r="L19" s="64">
        <v>22.01</v>
      </c>
      <c r="M19" s="64">
        <v>97.99</v>
      </c>
      <c r="N19" s="64">
        <v>41.5</v>
      </c>
      <c r="O19" s="64">
        <v>0</v>
      </c>
      <c r="P19" s="64">
        <v>0.61</v>
      </c>
      <c r="Q19" s="64">
        <v>9.17</v>
      </c>
      <c r="R19" s="198"/>
      <c r="S19" s="198"/>
      <c r="T19" s="198"/>
      <c r="U19" s="198"/>
    </row>
    <row r="20" spans="1:21" s="12" customFormat="1" x14ac:dyDescent="0.25">
      <c r="A20" s="211" t="s">
        <v>1123</v>
      </c>
      <c r="B20" s="64">
        <v>10.79</v>
      </c>
      <c r="C20" s="64">
        <v>8.14</v>
      </c>
      <c r="D20" s="64">
        <v>12.91</v>
      </c>
      <c r="E20" s="64">
        <v>5.81</v>
      </c>
      <c r="F20" s="64">
        <v>2.1</v>
      </c>
      <c r="G20" s="64">
        <v>28.94</v>
      </c>
      <c r="H20" s="64">
        <v>6.01</v>
      </c>
      <c r="I20" s="64">
        <v>1.86</v>
      </c>
      <c r="J20" s="64">
        <v>0.04</v>
      </c>
      <c r="K20" s="64">
        <v>159.24</v>
      </c>
      <c r="L20" s="64">
        <v>21.8</v>
      </c>
      <c r="M20" s="64">
        <v>97.97</v>
      </c>
      <c r="N20" s="64">
        <v>41.4</v>
      </c>
      <c r="O20" s="64">
        <v>0</v>
      </c>
      <c r="P20" s="64">
        <v>0.63</v>
      </c>
      <c r="Q20" s="64">
        <v>9.17</v>
      </c>
      <c r="R20" s="198"/>
      <c r="S20" s="198"/>
      <c r="T20" s="198"/>
      <c r="U20" s="198"/>
    </row>
    <row r="21" spans="1:21" s="12" customFormat="1" x14ac:dyDescent="0.25">
      <c r="A21" s="211" t="s">
        <v>1124</v>
      </c>
      <c r="B21" s="64">
        <v>10.52</v>
      </c>
      <c r="C21" s="64">
        <v>9.02</v>
      </c>
      <c r="D21" s="64">
        <v>13.15</v>
      </c>
      <c r="E21" s="64">
        <v>6.09</v>
      </c>
      <c r="F21" s="64">
        <v>2.1</v>
      </c>
      <c r="G21" s="64">
        <v>25.51</v>
      </c>
      <c r="H21" s="64">
        <v>9</v>
      </c>
      <c r="I21" s="64">
        <v>1.87</v>
      </c>
      <c r="J21" s="64">
        <v>0.13</v>
      </c>
      <c r="K21" s="64">
        <v>347.19</v>
      </c>
      <c r="L21" s="64">
        <v>21.73</v>
      </c>
      <c r="M21" s="64">
        <v>97.98</v>
      </c>
      <c r="N21" s="64">
        <v>41.2</v>
      </c>
      <c r="O21" s="64">
        <v>0</v>
      </c>
      <c r="P21" s="64">
        <v>0.63</v>
      </c>
      <c r="Q21" s="64">
        <v>9.16</v>
      </c>
      <c r="R21" s="198"/>
      <c r="S21" s="198"/>
      <c r="T21" s="198"/>
      <c r="U21" s="198"/>
    </row>
    <row r="22" spans="1:21" s="12" customFormat="1" x14ac:dyDescent="0.25">
      <c r="A22" s="211" t="s">
        <v>1125</v>
      </c>
      <c r="B22" s="64">
        <v>11.17</v>
      </c>
      <c r="C22" s="64">
        <v>8.25</v>
      </c>
      <c r="D22" s="64">
        <v>13.27</v>
      </c>
      <c r="E22" s="64">
        <v>6.28</v>
      </c>
      <c r="F22" s="64">
        <v>2.1</v>
      </c>
      <c r="G22" s="64">
        <v>25.27</v>
      </c>
      <c r="H22" s="64">
        <v>9</v>
      </c>
      <c r="I22" s="64">
        <v>1.9</v>
      </c>
      <c r="J22" s="64">
        <v>0.1</v>
      </c>
      <c r="K22" s="64">
        <v>354.13</v>
      </c>
      <c r="L22" s="64">
        <v>21.74</v>
      </c>
      <c r="M22" s="64">
        <v>98.06</v>
      </c>
      <c r="N22" s="64">
        <v>41.2</v>
      </c>
      <c r="O22" s="64">
        <v>0</v>
      </c>
      <c r="P22" s="64">
        <v>0.68</v>
      </c>
      <c r="Q22" s="64">
        <v>9.15</v>
      </c>
      <c r="R22" s="198"/>
      <c r="S22" s="198"/>
      <c r="T22" s="198"/>
      <c r="U22" s="198"/>
    </row>
    <row r="23" spans="1:21" s="12" customFormat="1" x14ac:dyDescent="0.25">
      <c r="A23" s="211" t="s">
        <v>1126</v>
      </c>
      <c r="B23" s="64">
        <v>10.8</v>
      </c>
      <c r="C23" s="64">
        <v>11.73</v>
      </c>
      <c r="D23" s="64">
        <v>14.79</v>
      </c>
      <c r="E23" s="64">
        <v>6.12</v>
      </c>
      <c r="F23" s="64">
        <v>2.1</v>
      </c>
      <c r="G23" s="64">
        <v>25.27</v>
      </c>
      <c r="H23" s="64">
        <v>9</v>
      </c>
      <c r="I23" s="64">
        <v>1.93</v>
      </c>
      <c r="J23" s="64">
        <v>0.2</v>
      </c>
      <c r="K23" s="64">
        <v>130.32</v>
      </c>
      <c r="L23" s="64">
        <v>21.71</v>
      </c>
      <c r="M23" s="64">
        <v>98</v>
      </c>
      <c r="N23" s="64">
        <v>41.1</v>
      </c>
      <c r="O23" s="64">
        <v>0</v>
      </c>
      <c r="P23" s="64">
        <v>0.85</v>
      </c>
      <c r="Q23" s="64">
        <v>9.15</v>
      </c>
      <c r="R23" s="198"/>
      <c r="S23" s="198"/>
      <c r="T23" s="198"/>
      <c r="U23" s="198"/>
    </row>
    <row r="24" spans="1:21" s="12" customFormat="1" x14ac:dyDescent="0.25">
      <c r="A24" s="211" t="s">
        <v>1127</v>
      </c>
      <c r="B24" s="64">
        <v>10.39</v>
      </c>
      <c r="C24" s="64">
        <v>14.07</v>
      </c>
      <c r="D24" s="64">
        <v>15.68</v>
      </c>
      <c r="E24" s="64">
        <v>6.92</v>
      </c>
      <c r="F24" s="64">
        <v>2.1</v>
      </c>
      <c r="G24" s="64">
        <v>25.27</v>
      </c>
      <c r="H24" s="64">
        <v>9</v>
      </c>
      <c r="I24" s="64">
        <v>1.96</v>
      </c>
      <c r="J24" s="64">
        <v>0.11</v>
      </c>
      <c r="K24" s="64">
        <v>329.5</v>
      </c>
      <c r="L24" s="64">
        <v>21.76</v>
      </c>
      <c r="M24" s="64">
        <v>98.04</v>
      </c>
      <c r="N24" s="64">
        <v>41.2</v>
      </c>
      <c r="O24" s="64">
        <v>0</v>
      </c>
      <c r="P24" s="64">
        <v>0.94</v>
      </c>
      <c r="Q24" s="64">
        <v>9.18</v>
      </c>
      <c r="R24" s="198"/>
      <c r="S24" s="198"/>
      <c r="T24" s="198"/>
      <c r="U24" s="198"/>
    </row>
    <row r="25" spans="1:21" s="12" customFormat="1" x14ac:dyDescent="0.25">
      <c r="A25" s="211" t="s">
        <v>1128</v>
      </c>
      <c r="B25" s="64">
        <v>15.14</v>
      </c>
      <c r="C25" s="64">
        <v>12.09</v>
      </c>
      <c r="D25" s="64">
        <v>18.46</v>
      </c>
      <c r="E25" s="64">
        <v>6.91</v>
      </c>
      <c r="F25" s="64">
        <v>2.1</v>
      </c>
      <c r="G25" s="64">
        <v>73.010000000000005</v>
      </c>
      <c r="H25" s="64">
        <v>7.45</v>
      </c>
      <c r="I25" s="64">
        <v>2.0099999999999998</v>
      </c>
      <c r="J25" s="64">
        <v>0.04</v>
      </c>
      <c r="K25" s="64">
        <v>213.19</v>
      </c>
      <c r="L25" s="64">
        <v>21.58</v>
      </c>
      <c r="M25" s="64">
        <v>98.07</v>
      </c>
      <c r="N25" s="64">
        <v>41.2</v>
      </c>
      <c r="O25" s="64">
        <v>0</v>
      </c>
      <c r="P25" s="64">
        <v>0.93</v>
      </c>
      <c r="Q25" s="64">
        <v>9.19</v>
      </c>
      <c r="R25" s="198"/>
      <c r="S25" s="198"/>
      <c r="T25" s="198"/>
      <c r="U25" s="198"/>
    </row>
    <row r="26" spans="1:21" s="12" customFormat="1" x14ac:dyDescent="0.25">
      <c r="A26" s="211" t="s">
        <v>1129</v>
      </c>
      <c r="B26" s="64">
        <v>14.31</v>
      </c>
      <c r="C26" s="64">
        <v>13.16</v>
      </c>
      <c r="D26" s="64">
        <v>18.350000000000001</v>
      </c>
      <c r="E26" s="64">
        <v>6.66</v>
      </c>
      <c r="F26" s="64">
        <v>2.1</v>
      </c>
      <c r="G26" s="64">
        <v>76.42</v>
      </c>
      <c r="H26" s="64">
        <v>7.45</v>
      </c>
      <c r="I26" s="64">
        <v>2.0499999999999998</v>
      </c>
      <c r="J26" s="64">
        <v>0.04</v>
      </c>
      <c r="K26" s="64">
        <v>61.21</v>
      </c>
      <c r="L26" s="64">
        <v>21.65</v>
      </c>
      <c r="M26" s="64">
        <v>98.05</v>
      </c>
      <c r="N26" s="64">
        <v>41.1</v>
      </c>
      <c r="O26" s="64">
        <v>0</v>
      </c>
      <c r="P26" s="64">
        <v>0.91</v>
      </c>
      <c r="Q26" s="64">
        <v>9.1999999999999993</v>
      </c>
      <c r="R26" s="198"/>
      <c r="S26" s="198"/>
      <c r="T26" s="198"/>
      <c r="U26" s="198"/>
    </row>
    <row r="27" spans="1:21" s="12" customFormat="1" x14ac:dyDescent="0.25">
      <c r="A27" s="211" t="s">
        <v>1130</v>
      </c>
      <c r="B27" s="64">
        <v>11.46</v>
      </c>
      <c r="C27" s="64">
        <v>13.48</v>
      </c>
      <c r="D27" s="64">
        <v>16.23</v>
      </c>
      <c r="E27" s="64">
        <v>6.75</v>
      </c>
      <c r="F27" s="64">
        <v>2.1</v>
      </c>
      <c r="G27" s="64">
        <v>76.42</v>
      </c>
      <c r="H27" s="64">
        <v>7.45</v>
      </c>
      <c r="I27" s="64">
        <v>2.08</v>
      </c>
      <c r="J27" s="64">
        <v>0.06</v>
      </c>
      <c r="K27" s="64">
        <v>111.73</v>
      </c>
      <c r="L27" s="64">
        <v>21.58</v>
      </c>
      <c r="M27" s="64">
        <v>98.07</v>
      </c>
      <c r="N27" s="64">
        <v>41.1</v>
      </c>
      <c r="O27" s="64">
        <v>0</v>
      </c>
      <c r="P27" s="64">
        <v>0.83</v>
      </c>
      <c r="Q27" s="64">
        <v>9.2100000000000009</v>
      </c>
      <c r="R27" s="198"/>
      <c r="S27" s="198"/>
      <c r="T27" s="198"/>
      <c r="U27" s="198"/>
    </row>
    <row r="28" spans="1:21" s="12" customFormat="1" x14ac:dyDescent="0.25">
      <c r="A28" s="211" t="s">
        <v>1131</v>
      </c>
      <c r="B28" s="64">
        <v>13.36</v>
      </c>
      <c r="C28" s="64">
        <v>12.59</v>
      </c>
      <c r="D28" s="64">
        <v>17.29</v>
      </c>
      <c r="E28" s="64">
        <v>6.59</v>
      </c>
      <c r="F28" s="64">
        <v>2.1</v>
      </c>
      <c r="G28" s="64">
        <v>76.42</v>
      </c>
      <c r="H28" s="64">
        <v>7.45</v>
      </c>
      <c r="I28" s="64">
        <v>2.1</v>
      </c>
      <c r="J28" s="64">
        <v>0.04</v>
      </c>
      <c r="K28" s="64">
        <v>355.95</v>
      </c>
      <c r="L28" s="64">
        <v>21.63</v>
      </c>
      <c r="M28" s="64">
        <v>98.09</v>
      </c>
      <c r="N28" s="64">
        <v>41.2</v>
      </c>
      <c r="O28" s="64">
        <v>0</v>
      </c>
      <c r="P28" s="64">
        <v>0.78</v>
      </c>
      <c r="Q28" s="64">
        <v>9.1999999999999993</v>
      </c>
      <c r="R28" s="198"/>
      <c r="S28" s="198"/>
      <c r="T28" s="198"/>
      <c r="U28" s="198"/>
    </row>
    <row r="29" spans="1:21" s="12" customFormat="1" x14ac:dyDescent="0.25">
      <c r="A29" s="211" t="s">
        <v>1132</v>
      </c>
      <c r="B29" s="64">
        <v>15.25</v>
      </c>
      <c r="C29" s="64">
        <v>13.45</v>
      </c>
      <c r="D29" s="64">
        <v>19.25</v>
      </c>
      <c r="E29" s="64">
        <v>6.59</v>
      </c>
      <c r="F29" s="64">
        <v>2.1</v>
      </c>
      <c r="G29" s="64">
        <v>52.22</v>
      </c>
      <c r="H29" s="64">
        <v>6.37</v>
      </c>
      <c r="I29" s="64">
        <v>2.12</v>
      </c>
      <c r="J29" s="64">
        <v>0.05</v>
      </c>
      <c r="K29" s="64">
        <v>320.45999999999998</v>
      </c>
      <c r="L29" s="64">
        <v>21.61</v>
      </c>
      <c r="M29" s="64">
        <v>98.08</v>
      </c>
      <c r="N29" s="64">
        <v>41.1</v>
      </c>
      <c r="O29" s="64">
        <v>0</v>
      </c>
      <c r="P29" s="64">
        <v>0.8</v>
      </c>
      <c r="Q29" s="64">
        <v>9.2100000000000009</v>
      </c>
      <c r="R29" s="198"/>
      <c r="S29" s="198"/>
      <c r="T29" s="198"/>
      <c r="U29" s="198"/>
    </row>
    <row r="30" spans="1:21" s="12" customFormat="1" x14ac:dyDescent="0.25">
      <c r="A30" s="211" t="s">
        <v>1133</v>
      </c>
      <c r="B30" s="64">
        <v>16.13</v>
      </c>
      <c r="C30" s="64">
        <v>13.52</v>
      </c>
      <c r="D30" s="64">
        <v>20</v>
      </c>
      <c r="E30" s="64">
        <v>6.56</v>
      </c>
      <c r="F30" s="64">
        <v>2.1</v>
      </c>
      <c r="G30" s="64">
        <v>50.49</v>
      </c>
      <c r="H30" s="64">
        <v>6.37</v>
      </c>
      <c r="I30" s="64">
        <v>2.13</v>
      </c>
      <c r="J30" s="64">
        <v>0.12</v>
      </c>
      <c r="K30" s="64">
        <v>319.61</v>
      </c>
      <c r="L30" s="64">
        <v>21.55</v>
      </c>
      <c r="M30" s="64">
        <v>98.07</v>
      </c>
      <c r="N30" s="64">
        <v>41.1</v>
      </c>
      <c r="O30" s="64">
        <v>0</v>
      </c>
      <c r="P30" s="64">
        <v>0.82</v>
      </c>
      <c r="Q30" s="64">
        <v>9.2200000000000006</v>
      </c>
      <c r="R30" s="198"/>
      <c r="S30" s="198"/>
      <c r="T30" s="198"/>
      <c r="U30" s="198"/>
    </row>
    <row r="31" spans="1:21" s="12" customFormat="1" x14ac:dyDescent="0.25">
      <c r="A31" s="211" t="s">
        <v>1134</v>
      </c>
      <c r="B31" s="64">
        <v>14.84</v>
      </c>
      <c r="C31" s="64">
        <v>6.78</v>
      </c>
      <c r="D31" s="64">
        <v>15.44</v>
      </c>
      <c r="E31" s="64">
        <v>6.32</v>
      </c>
      <c r="F31" s="64">
        <v>2.1</v>
      </c>
      <c r="G31" s="64">
        <v>50.49</v>
      </c>
      <c r="H31" s="64">
        <v>6.37</v>
      </c>
      <c r="I31" s="64">
        <v>2.13</v>
      </c>
      <c r="J31" s="64">
        <v>0.11</v>
      </c>
      <c r="K31" s="64">
        <v>353.25</v>
      </c>
      <c r="L31" s="64">
        <v>21.5</v>
      </c>
      <c r="M31" s="64">
        <v>98.12</v>
      </c>
      <c r="N31" s="64">
        <v>41.5</v>
      </c>
      <c r="O31" s="64">
        <v>0</v>
      </c>
      <c r="P31" s="64">
        <v>0.77</v>
      </c>
      <c r="Q31" s="64">
        <v>9.2100000000000009</v>
      </c>
      <c r="R31" s="198"/>
      <c r="S31" s="198"/>
      <c r="T31" s="198"/>
      <c r="U31" s="198"/>
    </row>
    <row r="32" spans="1:21" s="12" customFormat="1" x14ac:dyDescent="0.25">
      <c r="A32" s="211" t="s">
        <v>1135</v>
      </c>
      <c r="B32" s="64">
        <v>18.04</v>
      </c>
      <c r="C32" s="64">
        <v>10.98</v>
      </c>
      <c r="D32" s="64">
        <v>20.21</v>
      </c>
      <c r="E32" s="64">
        <v>6.18</v>
      </c>
      <c r="F32" s="64">
        <v>2.1</v>
      </c>
      <c r="G32" s="64">
        <v>50.49</v>
      </c>
      <c r="H32" s="64">
        <v>6.37</v>
      </c>
      <c r="I32" s="64">
        <v>2.13</v>
      </c>
      <c r="J32" s="64">
        <v>0.11</v>
      </c>
      <c r="K32" s="64">
        <v>20.190000000000001</v>
      </c>
      <c r="L32" s="64">
        <v>21.5</v>
      </c>
      <c r="M32" s="64">
        <v>98.17</v>
      </c>
      <c r="N32" s="64">
        <v>44.9</v>
      </c>
      <c r="O32" s="64">
        <v>0</v>
      </c>
      <c r="P32" s="64">
        <v>0.84</v>
      </c>
      <c r="Q32" s="64">
        <v>9.2100000000000009</v>
      </c>
      <c r="R32" s="198"/>
      <c r="S32" s="198"/>
      <c r="T32" s="198"/>
      <c r="U32" s="198"/>
    </row>
    <row r="33" spans="1:21" s="12" customFormat="1" x14ac:dyDescent="0.25">
      <c r="A33" s="211" t="s">
        <v>1136</v>
      </c>
      <c r="B33" s="64">
        <v>14.37</v>
      </c>
      <c r="C33" s="64">
        <v>8.9</v>
      </c>
      <c r="D33" s="64">
        <v>16.170000000000002</v>
      </c>
      <c r="E33" s="64">
        <v>6.28</v>
      </c>
      <c r="F33" s="64">
        <v>2.1</v>
      </c>
      <c r="G33" s="64">
        <v>43.91</v>
      </c>
      <c r="H33" s="64">
        <v>5.67</v>
      </c>
      <c r="I33" s="64">
        <v>2.1</v>
      </c>
      <c r="J33" s="64">
        <v>0.06</v>
      </c>
      <c r="K33" s="64">
        <v>50.94</v>
      </c>
      <c r="L33" s="64">
        <v>21.58</v>
      </c>
      <c r="M33" s="64">
        <v>98.11</v>
      </c>
      <c r="N33" s="64">
        <v>54.9</v>
      </c>
      <c r="O33" s="64">
        <v>0</v>
      </c>
      <c r="P33" s="64">
        <v>0.78</v>
      </c>
      <c r="Q33" s="64">
        <v>9.2100000000000009</v>
      </c>
      <c r="R33" s="198"/>
      <c r="S33" s="198"/>
      <c r="T33" s="198"/>
      <c r="U33" s="198"/>
    </row>
    <row r="34" spans="1:21" s="12" customFormat="1" x14ac:dyDescent="0.25">
      <c r="A34" s="211" t="s">
        <v>1137</v>
      </c>
      <c r="B34" s="64">
        <v>15.44</v>
      </c>
      <c r="C34" s="64">
        <v>10.53</v>
      </c>
      <c r="D34" s="64">
        <v>17.89</v>
      </c>
      <c r="E34" s="64">
        <v>5.97</v>
      </c>
      <c r="F34" s="64">
        <v>2.1</v>
      </c>
      <c r="G34" s="64">
        <v>43.44</v>
      </c>
      <c r="H34" s="64">
        <v>5.67</v>
      </c>
      <c r="I34" s="64">
        <v>2.09</v>
      </c>
      <c r="J34" s="64">
        <v>0.05</v>
      </c>
      <c r="K34" s="64">
        <v>70.77</v>
      </c>
      <c r="L34" s="64">
        <v>21.8</v>
      </c>
      <c r="M34" s="64">
        <v>98.14</v>
      </c>
      <c r="N34" s="64">
        <v>69.5</v>
      </c>
      <c r="O34" s="64">
        <v>0</v>
      </c>
      <c r="P34" s="64">
        <v>0.87</v>
      </c>
      <c r="Q34" s="64">
        <v>9.1999999999999993</v>
      </c>
      <c r="R34" s="198"/>
      <c r="S34" s="198"/>
      <c r="T34" s="198"/>
      <c r="U34" s="198"/>
    </row>
    <row r="35" spans="1:21" s="12" customFormat="1" x14ac:dyDescent="0.25">
      <c r="A35" s="211" t="s">
        <v>1138</v>
      </c>
      <c r="B35" s="64">
        <v>17.82</v>
      </c>
      <c r="C35" s="64">
        <v>5.71</v>
      </c>
      <c r="D35" s="64">
        <v>17.27</v>
      </c>
      <c r="E35" s="64">
        <v>5.64</v>
      </c>
      <c r="F35" s="64">
        <v>2.1</v>
      </c>
      <c r="G35" s="64">
        <v>43.44</v>
      </c>
      <c r="H35" s="64">
        <v>5.67</v>
      </c>
      <c r="I35" s="64">
        <v>2.09</v>
      </c>
      <c r="J35" s="64">
        <v>0.08</v>
      </c>
      <c r="K35" s="64">
        <v>6.45</v>
      </c>
      <c r="L35" s="64">
        <v>22.24</v>
      </c>
      <c r="M35" s="64">
        <v>98.15</v>
      </c>
      <c r="N35" s="64">
        <v>84.9</v>
      </c>
      <c r="O35" s="64">
        <v>0</v>
      </c>
      <c r="P35" s="64">
        <v>0.86</v>
      </c>
      <c r="Q35" s="64">
        <v>9.2100000000000009</v>
      </c>
      <c r="R35" s="198"/>
      <c r="S35" s="198"/>
      <c r="T35" s="198"/>
      <c r="U35" s="198"/>
    </row>
    <row r="36" spans="1:21" s="12" customFormat="1" x14ac:dyDescent="0.25">
      <c r="A36" s="211" t="s">
        <v>1139</v>
      </c>
      <c r="B36" s="64">
        <v>24.85</v>
      </c>
      <c r="C36" s="64">
        <v>10.82</v>
      </c>
      <c r="D36" s="64">
        <v>25.58</v>
      </c>
      <c r="E36" s="64">
        <v>5.98</v>
      </c>
      <c r="F36" s="64">
        <v>2.13</v>
      </c>
      <c r="G36" s="64">
        <v>43.44</v>
      </c>
      <c r="H36" s="64">
        <v>5.67</v>
      </c>
      <c r="I36" s="64">
        <v>2.1</v>
      </c>
      <c r="J36" s="64">
        <v>0.32</v>
      </c>
      <c r="K36" s="64">
        <v>337.12</v>
      </c>
      <c r="L36" s="64">
        <v>23.03</v>
      </c>
      <c r="M36" s="64">
        <v>98.09</v>
      </c>
      <c r="N36" s="64">
        <v>127.6</v>
      </c>
      <c r="O36" s="64">
        <v>0</v>
      </c>
      <c r="P36" s="64">
        <v>0.93</v>
      </c>
      <c r="Q36" s="64">
        <v>9.24</v>
      </c>
      <c r="R36" s="198"/>
      <c r="S36" s="198"/>
      <c r="T36" s="198"/>
      <c r="U36" s="198"/>
    </row>
    <row r="37" spans="1:21" s="12" customFormat="1" x14ac:dyDescent="0.25">
      <c r="A37" s="211" t="s">
        <v>1140</v>
      </c>
      <c r="B37" s="64">
        <v>21.3</v>
      </c>
      <c r="C37" s="64">
        <v>6.26</v>
      </c>
      <c r="D37" s="64">
        <v>20.350000000000001</v>
      </c>
      <c r="E37" s="64">
        <v>6.24</v>
      </c>
      <c r="F37" s="64">
        <v>2.11</v>
      </c>
      <c r="G37" s="64">
        <v>44.83</v>
      </c>
      <c r="H37" s="64">
        <v>11.84</v>
      </c>
      <c r="I37" s="64">
        <v>2.1</v>
      </c>
      <c r="J37" s="64">
        <v>0.48</v>
      </c>
      <c r="K37" s="64">
        <v>337.86</v>
      </c>
      <c r="L37" s="64">
        <v>24.01</v>
      </c>
      <c r="M37" s="64">
        <v>98.03</v>
      </c>
      <c r="N37" s="64">
        <v>111.2</v>
      </c>
      <c r="O37" s="64">
        <v>0</v>
      </c>
      <c r="P37" s="64">
        <v>0.71</v>
      </c>
      <c r="Q37" s="64">
        <v>9.25</v>
      </c>
      <c r="R37" s="198"/>
      <c r="S37" s="198"/>
      <c r="T37" s="198"/>
      <c r="U37" s="198"/>
    </row>
    <row r="38" spans="1:21" s="12" customFormat="1" x14ac:dyDescent="0.25">
      <c r="A38" s="211" t="s">
        <v>1141</v>
      </c>
      <c r="B38" s="64">
        <v>19.93</v>
      </c>
      <c r="C38" s="64">
        <v>9.82</v>
      </c>
      <c r="D38" s="64">
        <v>21.12</v>
      </c>
      <c r="E38" s="64">
        <v>6.45</v>
      </c>
      <c r="F38" s="64">
        <v>2.85</v>
      </c>
      <c r="G38" s="64">
        <v>44.93</v>
      </c>
      <c r="H38" s="64">
        <v>11.84</v>
      </c>
      <c r="I38" s="64">
        <v>2.12</v>
      </c>
      <c r="J38" s="64">
        <v>0.46</v>
      </c>
      <c r="K38" s="64">
        <v>341.22</v>
      </c>
      <c r="L38" s="64">
        <v>24.13</v>
      </c>
      <c r="M38" s="64">
        <v>98.01</v>
      </c>
      <c r="N38" s="64">
        <v>107.3</v>
      </c>
      <c r="O38" s="64">
        <v>0</v>
      </c>
      <c r="P38" s="64">
        <v>0.76</v>
      </c>
      <c r="Q38" s="64">
        <v>9.27</v>
      </c>
      <c r="R38" s="198"/>
      <c r="S38" s="198"/>
      <c r="T38" s="198"/>
      <c r="U38" s="198"/>
    </row>
    <row r="39" spans="1:21" s="12" customFormat="1" x14ac:dyDescent="0.25">
      <c r="A39" s="211" t="s">
        <v>1142</v>
      </c>
      <c r="B39" s="64">
        <v>21.48</v>
      </c>
      <c r="C39" s="64">
        <v>9.43</v>
      </c>
      <c r="D39" s="64">
        <v>22.15</v>
      </c>
      <c r="E39" s="64">
        <v>6.14</v>
      </c>
      <c r="F39" s="64">
        <v>2.1</v>
      </c>
      <c r="G39" s="64">
        <v>44.93</v>
      </c>
      <c r="H39" s="64">
        <v>11.84</v>
      </c>
      <c r="I39" s="64">
        <v>2.14</v>
      </c>
      <c r="J39" s="64">
        <v>0.28999999999999998</v>
      </c>
      <c r="K39" s="64">
        <v>322.89</v>
      </c>
      <c r="L39" s="64">
        <v>24</v>
      </c>
      <c r="M39" s="64">
        <v>98.06</v>
      </c>
      <c r="N39" s="64">
        <v>125.4</v>
      </c>
      <c r="O39" s="64">
        <v>0</v>
      </c>
      <c r="P39" s="64">
        <v>0.75</v>
      </c>
      <c r="Q39" s="64">
        <v>9.2899999999999991</v>
      </c>
      <c r="R39" s="198"/>
      <c r="S39" s="198"/>
      <c r="T39" s="198"/>
      <c r="U39" s="198"/>
    </row>
    <row r="40" spans="1:21" s="12" customFormat="1" x14ac:dyDescent="0.25">
      <c r="A40" s="211" t="s">
        <v>1143</v>
      </c>
      <c r="B40" s="64">
        <v>19.329999999999998</v>
      </c>
      <c r="C40" s="64">
        <v>10.35</v>
      </c>
      <c r="D40" s="64">
        <v>20.91</v>
      </c>
      <c r="E40" s="64">
        <v>5.31</v>
      </c>
      <c r="F40" s="64">
        <v>3.08</v>
      </c>
      <c r="G40" s="64">
        <v>44.93</v>
      </c>
      <c r="H40" s="64">
        <v>11.84</v>
      </c>
      <c r="I40" s="64">
        <v>2.16</v>
      </c>
      <c r="J40" s="64">
        <v>0.17</v>
      </c>
      <c r="K40" s="64">
        <v>123.54</v>
      </c>
      <c r="L40" s="64">
        <v>24.04</v>
      </c>
      <c r="M40" s="64">
        <v>98.06</v>
      </c>
      <c r="N40" s="64">
        <v>136.5</v>
      </c>
      <c r="O40" s="64">
        <v>0</v>
      </c>
      <c r="P40" s="64">
        <v>0.66</v>
      </c>
      <c r="Q40" s="64">
        <v>9.3000000000000007</v>
      </c>
      <c r="R40" s="198"/>
      <c r="S40" s="198"/>
      <c r="T40" s="198"/>
      <c r="U40" s="198"/>
    </row>
    <row r="41" spans="1:21" s="12" customFormat="1" x14ac:dyDescent="0.25">
      <c r="A41" s="211" t="s">
        <v>1144</v>
      </c>
      <c r="B41" s="64">
        <v>15.4</v>
      </c>
      <c r="C41" s="64">
        <v>10.52</v>
      </c>
      <c r="D41" s="64">
        <v>17.850000000000001</v>
      </c>
      <c r="E41" s="64">
        <v>5.72</v>
      </c>
      <c r="F41" s="64">
        <v>4.79</v>
      </c>
      <c r="G41" s="64">
        <v>46.54</v>
      </c>
      <c r="H41" s="64">
        <v>10.1</v>
      </c>
      <c r="I41" s="64">
        <v>2.16</v>
      </c>
      <c r="J41" s="64">
        <v>0.64</v>
      </c>
      <c r="K41" s="64">
        <v>129.41999999999999</v>
      </c>
      <c r="L41" s="64">
        <v>23.88</v>
      </c>
      <c r="M41" s="64">
        <v>98.03</v>
      </c>
      <c r="N41" s="64">
        <v>150.4</v>
      </c>
      <c r="O41" s="64">
        <v>0</v>
      </c>
      <c r="P41" s="64">
        <v>0.5</v>
      </c>
      <c r="Q41" s="64">
        <v>9.32</v>
      </c>
      <c r="R41" s="198"/>
      <c r="S41" s="198"/>
      <c r="T41" s="198"/>
      <c r="U41" s="198"/>
    </row>
    <row r="42" spans="1:21" s="12" customFormat="1" x14ac:dyDescent="0.25">
      <c r="A42" s="211" t="s">
        <v>1145</v>
      </c>
      <c r="B42" s="64">
        <v>17.32</v>
      </c>
      <c r="C42" s="64">
        <v>11.65</v>
      </c>
      <c r="D42" s="64">
        <v>19.98</v>
      </c>
      <c r="E42" s="64">
        <v>5.94</v>
      </c>
      <c r="F42" s="64">
        <v>4.54</v>
      </c>
      <c r="G42" s="64">
        <v>46.65</v>
      </c>
      <c r="H42" s="64">
        <v>10.1</v>
      </c>
      <c r="I42" s="64">
        <v>2.17</v>
      </c>
      <c r="J42" s="64">
        <v>0.45</v>
      </c>
      <c r="K42" s="64">
        <v>133.72</v>
      </c>
      <c r="L42" s="64">
        <v>24.04</v>
      </c>
      <c r="M42" s="64">
        <v>98.05</v>
      </c>
      <c r="N42" s="64">
        <v>174.9</v>
      </c>
      <c r="O42" s="64">
        <v>0</v>
      </c>
      <c r="P42" s="64">
        <v>0.54</v>
      </c>
      <c r="Q42" s="64">
        <v>9.35</v>
      </c>
      <c r="R42" s="198"/>
      <c r="S42" s="198"/>
      <c r="T42" s="198"/>
      <c r="U42" s="198"/>
    </row>
    <row r="43" spans="1:21" s="12" customFormat="1" x14ac:dyDescent="0.25">
      <c r="A43" s="211" t="s">
        <v>1146</v>
      </c>
      <c r="B43" s="64">
        <v>15.35</v>
      </c>
      <c r="C43" s="64">
        <v>10.92</v>
      </c>
      <c r="D43" s="64">
        <v>18.02</v>
      </c>
      <c r="E43" s="64">
        <v>5.78</v>
      </c>
      <c r="F43" s="64">
        <v>5.54</v>
      </c>
      <c r="G43" s="64">
        <v>46.65</v>
      </c>
      <c r="H43" s="64">
        <v>10.1</v>
      </c>
      <c r="I43" s="64">
        <v>2.16</v>
      </c>
      <c r="J43" s="64">
        <v>0.33</v>
      </c>
      <c r="K43" s="64">
        <v>123.12</v>
      </c>
      <c r="L43" s="64">
        <v>24.16</v>
      </c>
      <c r="M43" s="64">
        <v>98.1</v>
      </c>
      <c r="N43" s="64">
        <v>195.8</v>
      </c>
      <c r="O43" s="64">
        <v>0</v>
      </c>
      <c r="P43" s="64">
        <v>0.49</v>
      </c>
      <c r="Q43" s="64">
        <v>9.35</v>
      </c>
      <c r="R43" s="198"/>
      <c r="S43" s="198"/>
      <c r="T43" s="198"/>
      <c r="U43" s="198"/>
    </row>
    <row r="44" spans="1:21" s="12" customFormat="1" x14ac:dyDescent="0.25">
      <c r="A44" s="211" t="s">
        <v>1147</v>
      </c>
      <c r="B44" s="64">
        <v>23.76</v>
      </c>
      <c r="C44" s="64">
        <v>11.6</v>
      </c>
      <c r="D44" s="64">
        <v>25.09</v>
      </c>
      <c r="E44" s="64">
        <v>5.89</v>
      </c>
      <c r="F44" s="64">
        <v>6.46</v>
      </c>
      <c r="G44" s="64">
        <v>46.65</v>
      </c>
      <c r="H44" s="64">
        <v>10.1</v>
      </c>
      <c r="I44" s="64">
        <v>2.14</v>
      </c>
      <c r="J44" s="64">
        <v>0.36</v>
      </c>
      <c r="K44" s="64">
        <v>129.72</v>
      </c>
      <c r="L44" s="64">
        <v>24.84</v>
      </c>
      <c r="M44" s="64">
        <v>98.13</v>
      </c>
      <c r="N44" s="64">
        <v>259.10000000000002</v>
      </c>
      <c r="O44" s="64">
        <v>0</v>
      </c>
      <c r="P44" s="64">
        <v>0.62</v>
      </c>
      <c r="Q44" s="64">
        <v>9.35</v>
      </c>
      <c r="R44" s="198"/>
      <c r="S44" s="198"/>
      <c r="T44" s="198"/>
      <c r="U44" s="198"/>
    </row>
    <row r="45" spans="1:21" s="12" customFormat="1" x14ac:dyDescent="0.25">
      <c r="A45" s="211" t="s">
        <v>1148</v>
      </c>
      <c r="B45" s="64">
        <v>18.309999999999999</v>
      </c>
      <c r="C45" s="64">
        <v>11.73</v>
      </c>
      <c r="D45" s="64">
        <v>20.81</v>
      </c>
      <c r="E45" s="64">
        <v>5.89</v>
      </c>
      <c r="F45" s="64">
        <v>7.12</v>
      </c>
      <c r="G45" s="64">
        <v>22.53</v>
      </c>
      <c r="H45" s="64">
        <v>8.2200000000000006</v>
      </c>
      <c r="I45" s="64">
        <v>2.13</v>
      </c>
      <c r="J45" s="64">
        <v>0.28999999999999998</v>
      </c>
      <c r="K45" s="64">
        <v>126.6</v>
      </c>
      <c r="L45" s="64">
        <v>25.11</v>
      </c>
      <c r="M45" s="64">
        <v>97.99</v>
      </c>
      <c r="N45" s="64">
        <v>276</v>
      </c>
      <c r="O45" s="64">
        <v>0</v>
      </c>
      <c r="P45" s="64">
        <v>0.56000000000000005</v>
      </c>
      <c r="Q45" s="64">
        <v>9.35</v>
      </c>
      <c r="R45" s="198"/>
      <c r="S45" s="198"/>
      <c r="T45" s="198"/>
      <c r="U45" s="198"/>
    </row>
    <row r="46" spans="1:21" s="12" customFormat="1" x14ac:dyDescent="0.25">
      <c r="A46" s="211" t="s">
        <v>1149</v>
      </c>
      <c r="B46" s="64">
        <v>16.13</v>
      </c>
      <c r="C46" s="64">
        <v>11.12</v>
      </c>
      <c r="D46" s="64">
        <v>18.739999999999998</v>
      </c>
      <c r="E46" s="64">
        <v>6.17</v>
      </c>
      <c r="F46" s="64">
        <v>6.93</v>
      </c>
      <c r="G46" s="64">
        <v>20.8</v>
      </c>
      <c r="H46" s="64">
        <v>8.2200000000000006</v>
      </c>
      <c r="I46" s="64">
        <v>2.13</v>
      </c>
      <c r="J46" s="64">
        <v>0.18</v>
      </c>
      <c r="K46" s="64">
        <v>138.94999999999999</v>
      </c>
      <c r="L46" s="64">
        <v>25.74</v>
      </c>
      <c r="M46" s="64">
        <v>97.97</v>
      </c>
      <c r="N46" s="64">
        <v>347.1</v>
      </c>
      <c r="O46" s="64">
        <v>0</v>
      </c>
      <c r="P46" s="64">
        <v>0.56000000000000005</v>
      </c>
      <c r="Q46" s="64">
        <v>9.35</v>
      </c>
      <c r="R46" s="198"/>
      <c r="S46" s="198"/>
      <c r="T46" s="198"/>
      <c r="U46" s="198"/>
    </row>
    <row r="47" spans="1:21" s="12" customFormat="1" x14ac:dyDescent="0.25">
      <c r="A47" s="211" t="s">
        <v>1150</v>
      </c>
      <c r="B47" s="64">
        <v>15.19</v>
      </c>
      <c r="C47" s="64">
        <v>9.02</v>
      </c>
      <c r="D47" s="64">
        <v>16.89</v>
      </c>
      <c r="E47" s="64">
        <v>6.34</v>
      </c>
      <c r="F47" s="64">
        <v>9.36</v>
      </c>
      <c r="G47" s="64">
        <v>20.8</v>
      </c>
      <c r="H47" s="64">
        <v>8.2200000000000006</v>
      </c>
      <c r="I47" s="64">
        <v>2.2400000000000002</v>
      </c>
      <c r="J47" s="64">
        <v>0.97</v>
      </c>
      <c r="K47" s="64">
        <v>129.49</v>
      </c>
      <c r="L47" s="64">
        <v>26.02</v>
      </c>
      <c r="M47" s="64">
        <v>97.95</v>
      </c>
      <c r="N47" s="64">
        <v>464.9</v>
      </c>
      <c r="O47" s="64">
        <v>0</v>
      </c>
      <c r="P47" s="64">
        <v>0.51</v>
      </c>
      <c r="Q47" s="64">
        <v>9.35</v>
      </c>
      <c r="R47" s="198"/>
      <c r="S47" s="198"/>
      <c r="T47" s="198"/>
      <c r="U47" s="198"/>
    </row>
    <row r="48" spans="1:21" s="12" customFormat="1" x14ac:dyDescent="0.25">
      <c r="A48" s="211" t="s">
        <v>1151</v>
      </c>
      <c r="B48" s="64">
        <v>14.53</v>
      </c>
      <c r="C48" s="64">
        <v>7.17</v>
      </c>
      <c r="D48" s="64">
        <v>15.4</v>
      </c>
      <c r="E48" s="64">
        <v>6.55</v>
      </c>
      <c r="F48" s="64">
        <v>9.4499999999999993</v>
      </c>
      <c r="G48" s="64">
        <v>20.8</v>
      </c>
      <c r="H48" s="64">
        <v>8.2200000000000006</v>
      </c>
      <c r="I48" s="64">
        <v>2.19</v>
      </c>
      <c r="J48" s="64">
        <v>0.53</v>
      </c>
      <c r="K48" s="64">
        <v>135.44999999999999</v>
      </c>
      <c r="L48" s="64">
        <v>26.24</v>
      </c>
      <c r="M48" s="64">
        <v>97.95</v>
      </c>
      <c r="N48" s="64">
        <v>425</v>
      </c>
      <c r="O48" s="64">
        <v>0</v>
      </c>
      <c r="P48" s="64">
        <v>0.53</v>
      </c>
      <c r="Q48" s="64">
        <v>9.34</v>
      </c>
      <c r="R48" s="198"/>
      <c r="S48" s="198"/>
      <c r="T48" s="198"/>
      <c r="U48" s="198"/>
    </row>
    <row r="49" spans="1:21" s="12" customFormat="1" x14ac:dyDescent="0.25">
      <c r="A49" s="211" t="s">
        <v>1152</v>
      </c>
      <c r="B49" s="64">
        <v>16.78</v>
      </c>
      <c r="C49" s="64">
        <v>9.61</v>
      </c>
      <c r="D49" s="64">
        <v>15.4</v>
      </c>
      <c r="E49" s="64">
        <v>6.39</v>
      </c>
      <c r="F49" s="64">
        <v>7.28</v>
      </c>
      <c r="G49" s="64">
        <v>26.82</v>
      </c>
      <c r="H49" s="64">
        <v>6.91</v>
      </c>
      <c r="I49" s="64">
        <v>2.06</v>
      </c>
      <c r="J49" s="64">
        <v>0.67</v>
      </c>
      <c r="K49" s="64">
        <v>132.28</v>
      </c>
      <c r="L49" s="64">
        <v>27.21</v>
      </c>
      <c r="M49" s="64">
        <v>96.85</v>
      </c>
      <c r="N49" s="64">
        <v>427.6</v>
      </c>
      <c r="O49" s="64">
        <v>0</v>
      </c>
      <c r="P49" s="64">
        <v>0.52</v>
      </c>
      <c r="Q49" s="64">
        <v>9.31</v>
      </c>
      <c r="R49" s="198"/>
      <c r="S49" s="198"/>
      <c r="T49" s="198"/>
      <c r="U49" s="198"/>
    </row>
    <row r="50" spans="1:21" s="12" customFormat="1" x14ac:dyDescent="0.25">
      <c r="A50" s="211" t="s">
        <v>1153</v>
      </c>
      <c r="B50" s="64">
        <v>15.68</v>
      </c>
      <c r="C50" s="64">
        <v>10.199999999999999</v>
      </c>
      <c r="D50" s="64">
        <v>17.899999999999999</v>
      </c>
      <c r="E50" s="64">
        <v>6.51</v>
      </c>
      <c r="F50" s="64">
        <v>6.55</v>
      </c>
      <c r="G50" s="64">
        <v>26.82</v>
      </c>
      <c r="H50" s="64">
        <v>6.91</v>
      </c>
      <c r="I50" s="64">
        <v>2.04</v>
      </c>
      <c r="J50" s="64">
        <v>0.17</v>
      </c>
      <c r="K50" s="64">
        <v>104.04</v>
      </c>
      <c r="L50" s="64">
        <v>27.57</v>
      </c>
      <c r="M50" s="64">
        <v>95</v>
      </c>
      <c r="N50" s="64">
        <v>381.2</v>
      </c>
      <c r="O50" s="64">
        <v>0</v>
      </c>
      <c r="P50" s="64">
        <v>0.57999999999999996</v>
      </c>
      <c r="Q50" s="64">
        <v>9.3000000000000007</v>
      </c>
      <c r="R50" s="198"/>
      <c r="S50" s="198"/>
      <c r="T50" s="198"/>
      <c r="U50" s="198"/>
    </row>
    <row r="51" spans="1:21" s="12" customFormat="1" x14ac:dyDescent="0.25">
      <c r="A51" s="211" t="s">
        <v>1154</v>
      </c>
      <c r="B51" s="64">
        <v>16.28</v>
      </c>
      <c r="C51" s="64">
        <v>12.87</v>
      </c>
      <c r="D51" s="64">
        <v>19.79</v>
      </c>
      <c r="E51" s="64">
        <v>6.43</v>
      </c>
      <c r="F51" s="64">
        <v>8.0500000000000007</v>
      </c>
      <c r="G51" s="64">
        <v>26.82</v>
      </c>
      <c r="H51" s="64">
        <v>6.91</v>
      </c>
      <c r="I51" s="64">
        <v>2.02</v>
      </c>
      <c r="J51" s="64">
        <v>0.17</v>
      </c>
      <c r="K51" s="64">
        <v>109.99</v>
      </c>
      <c r="L51" s="64">
        <v>27.89</v>
      </c>
      <c r="M51" s="64">
        <v>92.39</v>
      </c>
      <c r="N51" s="64">
        <v>426.9</v>
      </c>
      <c r="O51" s="64">
        <v>0</v>
      </c>
      <c r="P51" s="64">
        <v>0.52</v>
      </c>
      <c r="Q51" s="64">
        <v>9.2799999999999994</v>
      </c>
      <c r="R51" s="198"/>
      <c r="S51" s="198"/>
      <c r="T51" s="198"/>
      <c r="U51" s="198"/>
    </row>
    <row r="52" spans="1:21" s="12" customFormat="1" x14ac:dyDescent="0.25">
      <c r="A52" s="211" t="s">
        <v>1155</v>
      </c>
      <c r="B52" s="64">
        <v>15.31</v>
      </c>
      <c r="C52" s="64">
        <v>12.32</v>
      </c>
      <c r="D52" s="64">
        <v>18.72</v>
      </c>
      <c r="E52" s="64">
        <v>6.45</v>
      </c>
      <c r="F52" s="64">
        <v>7.6</v>
      </c>
      <c r="G52" s="64">
        <v>26.82</v>
      </c>
      <c r="H52" s="64">
        <v>6.91</v>
      </c>
      <c r="I52" s="64">
        <v>2</v>
      </c>
      <c r="J52" s="64">
        <v>0.17</v>
      </c>
      <c r="K52" s="64">
        <v>21.05</v>
      </c>
      <c r="L52" s="64">
        <v>28.03</v>
      </c>
      <c r="M52" s="64">
        <v>91.74</v>
      </c>
      <c r="N52" s="64">
        <v>309.8</v>
      </c>
      <c r="O52" s="64">
        <v>0</v>
      </c>
      <c r="P52" s="64">
        <v>0.55000000000000004</v>
      </c>
      <c r="Q52" s="64">
        <v>9.27</v>
      </c>
      <c r="R52" s="198"/>
      <c r="S52" s="198"/>
      <c r="T52" s="198"/>
      <c r="U52" s="198"/>
    </row>
    <row r="53" spans="1:21" s="12" customFormat="1" x14ac:dyDescent="0.25">
      <c r="A53" s="211" t="s">
        <v>1156</v>
      </c>
      <c r="B53" s="64">
        <v>13.31</v>
      </c>
      <c r="C53" s="64">
        <v>13.76</v>
      </c>
      <c r="D53" s="64">
        <v>17.86</v>
      </c>
      <c r="E53" s="64">
        <v>6.44</v>
      </c>
      <c r="F53" s="64">
        <v>9.7899999999999991</v>
      </c>
      <c r="G53" s="64">
        <v>23.6</v>
      </c>
      <c r="H53" s="64">
        <v>9.5</v>
      </c>
      <c r="I53" s="64">
        <v>1.99</v>
      </c>
      <c r="J53" s="64">
        <v>0.09</v>
      </c>
      <c r="K53" s="64">
        <v>82.09</v>
      </c>
      <c r="L53" s="64">
        <v>28.35</v>
      </c>
      <c r="M53" s="64">
        <v>89.37</v>
      </c>
      <c r="N53" s="64">
        <v>415.7</v>
      </c>
      <c r="O53" s="64">
        <v>0</v>
      </c>
      <c r="P53" s="64">
        <v>0.59</v>
      </c>
      <c r="Q53" s="64">
        <v>9.26</v>
      </c>
      <c r="R53" s="198"/>
      <c r="S53" s="198"/>
      <c r="T53" s="198"/>
      <c r="U53" s="198"/>
    </row>
    <row r="54" spans="1:21" s="12" customFormat="1" x14ac:dyDescent="0.25">
      <c r="A54" s="211" t="s">
        <v>1157</v>
      </c>
      <c r="B54" s="64">
        <v>17.11</v>
      </c>
      <c r="C54" s="64">
        <v>15.23</v>
      </c>
      <c r="D54" s="64">
        <v>21.68</v>
      </c>
      <c r="E54" s="64">
        <v>6.45</v>
      </c>
      <c r="F54" s="64">
        <v>7.35</v>
      </c>
      <c r="G54" s="64">
        <v>23.37</v>
      </c>
      <c r="H54" s="64">
        <v>9.5</v>
      </c>
      <c r="I54" s="64">
        <v>1.97</v>
      </c>
      <c r="J54" s="64">
        <v>0.11</v>
      </c>
      <c r="K54" s="64">
        <v>15.84</v>
      </c>
      <c r="L54" s="64">
        <v>28.48</v>
      </c>
      <c r="M54" s="64">
        <v>87.79</v>
      </c>
      <c r="N54" s="64">
        <v>347.5</v>
      </c>
      <c r="O54" s="64">
        <v>0</v>
      </c>
      <c r="P54" s="64">
        <v>0.6</v>
      </c>
      <c r="Q54" s="64">
        <v>9.27</v>
      </c>
      <c r="R54" s="198"/>
      <c r="S54" s="198"/>
      <c r="T54" s="198"/>
      <c r="U54" s="198"/>
    </row>
    <row r="55" spans="1:21" s="12" customFormat="1" x14ac:dyDescent="0.25">
      <c r="A55" s="211" t="s">
        <v>1158</v>
      </c>
      <c r="B55" s="64">
        <v>13.02</v>
      </c>
      <c r="C55" s="64">
        <v>13.2</v>
      </c>
      <c r="D55" s="64">
        <v>17.329999999999998</v>
      </c>
      <c r="E55" s="64">
        <v>6.48</v>
      </c>
      <c r="F55" s="64">
        <v>9.69</v>
      </c>
      <c r="G55" s="64">
        <v>23.37</v>
      </c>
      <c r="H55" s="64">
        <v>9.5</v>
      </c>
      <c r="I55" s="64">
        <v>1.97</v>
      </c>
      <c r="J55" s="64">
        <v>0.02</v>
      </c>
      <c r="K55" s="64">
        <v>83.27</v>
      </c>
      <c r="L55" s="64">
        <v>28.46</v>
      </c>
      <c r="M55" s="64">
        <v>87.51</v>
      </c>
      <c r="N55" s="64">
        <v>295.8</v>
      </c>
      <c r="O55" s="64">
        <v>0</v>
      </c>
      <c r="P55" s="64">
        <v>0.55000000000000004</v>
      </c>
      <c r="Q55" s="64">
        <v>9.26</v>
      </c>
      <c r="R55" s="198"/>
      <c r="S55" s="198"/>
      <c r="T55" s="198"/>
      <c r="U55" s="198"/>
    </row>
    <row r="56" spans="1:21" s="12" customFormat="1" x14ac:dyDescent="0.25">
      <c r="A56" s="211" t="s">
        <v>1159</v>
      </c>
      <c r="B56" s="64">
        <v>11.16</v>
      </c>
      <c r="C56" s="64">
        <v>14.13</v>
      </c>
      <c r="D56" s="64">
        <v>16.329999999999998</v>
      </c>
      <c r="E56" s="64">
        <v>6.35</v>
      </c>
      <c r="F56" s="64">
        <v>12.76</v>
      </c>
      <c r="G56" s="64">
        <v>23.37</v>
      </c>
      <c r="H56" s="64">
        <v>9.5</v>
      </c>
      <c r="I56" s="64">
        <v>1.96</v>
      </c>
      <c r="J56" s="64">
        <v>0.05</v>
      </c>
      <c r="K56" s="64">
        <v>352.85</v>
      </c>
      <c r="L56" s="64">
        <v>28.19</v>
      </c>
      <c r="M56" s="64">
        <v>88.29</v>
      </c>
      <c r="N56" s="64">
        <v>302.10000000000002</v>
      </c>
      <c r="O56" s="64">
        <v>0</v>
      </c>
      <c r="P56" s="64">
        <v>0.52</v>
      </c>
      <c r="Q56" s="64">
        <v>9.25</v>
      </c>
      <c r="R56" s="198"/>
      <c r="S56" s="198"/>
      <c r="T56" s="198"/>
      <c r="U56" s="198"/>
    </row>
    <row r="57" spans="1:21" s="12" customFormat="1" x14ac:dyDescent="0.25">
      <c r="A57" s="211" t="s">
        <v>1160</v>
      </c>
      <c r="B57" s="64">
        <v>16.93</v>
      </c>
      <c r="C57" s="64">
        <v>19.420000000000002</v>
      </c>
      <c r="D57" s="64">
        <v>23.73</v>
      </c>
      <c r="E57" s="64">
        <v>6.58</v>
      </c>
      <c r="F57" s="64">
        <v>11.16</v>
      </c>
      <c r="G57" s="64">
        <v>33.85</v>
      </c>
      <c r="H57" s="64">
        <v>8.4</v>
      </c>
      <c r="I57" s="64">
        <v>1.96</v>
      </c>
      <c r="J57" s="64">
        <v>0.2</v>
      </c>
      <c r="K57" s="64">
        <v>348.9</v>
      </c>
      <c r="L57" s="64">
        <v>28.39</v>
      </c>
      <c r="M57" s="64">
        <v>88.64</v>
      </c>
      <c r="N57" s="64">
        <v>229.5</v>
      </c>
      <c r="O57" s="64">
        <v>0</v>
      </c>
      <c r="P57" s="64">
        <v>0.59</v>
      </c>
      <c r="Q57" s="64">
        <v>9.23</v>
      </c>
      <c r="R57" s="198"/>
      <c r="S57" s="198"/>
      <c r="T57" s="198"/>
      <c r="U57" s="198"/>
    </row>
    <row r="58" spans="1:21" s="12" customFormat="1" x14ac:dyDescent="0.25">
      <c r="A58" s="211" t="s">
        <v>1161</v>
      </c>
      <c r="B58" s="64">
        <v>13.17</v>
      </c>
      <c r="C58" s="64">
        <v>14.69</v>
      </c>
      <c r="D58" s="64">
        <v>18.239999999999998</v>
      </c>
      <c r="E58" s="64">
        <v>6.59</v>
      </c>
      <c r="F58" s="64">
        <v>10.64</v>
      </c>
      <c r="G58" s="64">
        <v>34.6</v>
      </c>
      <c r="H58" s="64">
        <v>8.4</v>
      </c>
      <c r="I58" s="64">
        <v>1.94</v>
      </c>
      <c r="J58" s="64">
        <v>0.42</v>
      </c>
      <c r="K58" s="64">
        <v>126.82</v>
      </c>
      <c r="L58" s="64">
        <v>28.14</v>
      </c>
      <c r="M58" s="64">
        <v>89.19</v>
      </c>
      <c r="N58" s="64">
        <v>292.7</v>
      </c>
      <c r="O58" s="64">
        <v>0</v>
      </c>
      <c r="P58" s="64">
        <v>0.48</v>
      </c>
      <c r="Q58" s="64">
        <v>9.2200000000000006</v>
      </c>
      <c r="R58" s="198"/>
      <c r="S58" s="198"/>
      <c r="T58" s="198"/>
      <c r="U58" s="198"/>
    </row>
    <row r="59" spans="1:21" s="12" customFormat="1" x14ac:dyDescent="0.25">
      <c r="A59" s="211" t="s">
        <v>1162</v>
      </c>
      <c r="B59" s="64">
        <v>13.92</v>
      </c>
      <c r="C59" s="64">
        <v>16.04</v>
      </c>
      <c r="D59" s="64">
        <v>19.54</v>
      </c>
      <c r="E59" s="64">
        <v>6.57</v>
      </c>
      <c r="F59" s="64">
        <v>13.62</v>
      </c>
      <c r="G59" s="64">
        <v>34.6</v>
      </c>
      <c r="H59" s="64">
        <v>8.4</v>
      </c>
      <c r="I59" s="64">
        <v>1.92</v>
      </c>
      <c r="J59" s="64">
        <v>0.38</v>
      </c>
      <c r="K59" s="64">
        <v>117.22</v>
      </c>
      <c r="L59" s="64">
        <v>27.44</v>
      </c>
      <c r="M59" s="64">
        <v>94.84</v>
      </c>
      <c r="N59" s="64">
        <v>169.6</v>
      </c>
      <c r="O59" s="64">
        <v>0</v>
      </c>
      <c r="P59" s="64">
        <v>0.53</v>
      </c>
      <c r="Q59" s="64">
        <v>9.23</v>
      </c>
      <c r="R59" s="198"/>
      <c r="S59" s="198"/>
      <c r="T59" s="198"/>
      <c r="U59" s="198"/>
    </row>
    <row r="60" spans="1:21" s="12" customFormat="1" x14ac:dyDescent="0.25">
      <c r="A60" s="211" t="s">
        <v>1163</v>
      </c>
      <c r="B60" s="64">
        <v>8.0299999999999994</v>
      </c>
      <c r="C60" s="64">
        <v>22.16</v>
      </c>
      <c r="D60" s="64">
        <v>18.02</v>
      </c>
      <c r="E60" s="64">
        <v>6.18</v>
      </c>
      <c r="F60" s="64">
        <v>13.78</v>
      </c>
      <c r="G60" s="64">
        <v>34.6</v>
      </c>
      <c r="H60" s="64">
        <v>8.4</v>
      </c>
      <c r="I60" s="64">
        <v>1.9</v>
      </c>
      <c r="J60" s="64">
        <v>0.13</v>
      </c>
      <c r="K60" s="64">
        <v>120.1</v>
      </c>
      <c r="L60" s="64">
        <v>27.52</v>
      </c>
      <c r="M60" s="64">
        <v>95.03</v>
      </c>
      <c r="N60" s="64">
        <v>164.9</v>
      </c>
      <c r="O60" s="64">
        <v>0</v>
      </c>
      <c r="P60" s="64">
        <v>0.6</v>
      </c>
      <c r="Q60" s="64">
        <v>9.19</v>
      </c>
      <c r="R60" s="198"/>
      <c r="S60" s="198"/>
      <c r="T60" s="198"/>
      <c r="U60" s="198"/>
    </row>
    <row r="61" spans="1:21" s="12" customFormat="1" x14ac:dyDescent="0.25">
      <c r="A61" s="211" t="s">
        <v>1164</v>
      </c>
      <c r="B61" s="64">
        <v>8.98</v>
      </c>
      <c r="C61" s="64">
        <v>22</v>
      </c>
      <c r="D61" s="64">
        <v>18.7</v>
      </c>
      <c r="E61" s="64">
        <v>6.19</v>
      </c>
      <c r="F61" s="64">
        <v>11.61</v>
      </c>
      <c r="G61" s="64">
        <v>16.68</v>
      </c>
      <c r="H61" s="64">
        <v>7.54</v>
      </c>
      <c r="I61" s="64">
        <v>1.88</v>
      </c>
      <c r="J61" s="64">
        <v>0.12</v>
      </c>
      <c r="K61" s="64">
        <v>52.92</v>
      </c>
      <c r="L61" s="64">
        <v>27.12</v>
      </c>
      <c r="M61" s="64">
        <v>97.46</v>
      </c>
      <c r="N61" s="64">
        <v>136.9</v>
      </c>
      <c r="O61" s="64">
        <v>0</v>
      </c>
      <c r="P61" s="64">
        <v>0.6</v>
      </c>
      <c r="Q61" s="64">
        <v>9.11</v>
      </c>
      <c r="R61" s="198"/>
      <c r="S61" s="198"/>
      <c r="T61" s="198"/>
      <c r="U61" s="198"/>
    </row>
    <row r="62" spans="1:21" s="12" customFormat="1" x14ac:dyDescent="0.25">
      <c r="A62" s="211" t="s">
        <v>1165</v>
      </c>
      <c r="B62" s="64">
        <v>8.2100000000000009</v>
      </c>
      <c r="C62" s="64">
        <v>19.12</v>
      </c>
      <c r="D62" s="64">
        <v>16.57</v>
      </c>
      <c r="E62" s="64">
        <v>5.95</v>
      </c>
      <c r="F62" s="64">
        <v>14.05</v>
      </c>
      <c r="G62" s="64">
        <v>15.4</v>
      </c>
      <c r="H62" s="64">
        <v>7.54</v>
      </c>
      <c r="I62" s="64">
        <v>1.79</v>
      </c>
      <c r="J62" s="64">
        <v>0.12</v>
      </c>
      <c r="K62" s="64">
        <v>86.23</v>
      </c>
      <c r="L62" s="64">
        <v>27.47</v>
      </c>
      <c r="M62" s="64">
        <v>95.33</v>
      </c>
      <c r="N62" s="64">
        <v>205.1</v>
      </c>
      <c r="O62" s="64">
        <v>0</v>
      </c>
      <c r="P62" s="64">
        <v>0.6</v>
      </c>
      <c r="Q62" s="64">
        <v>9.08</v>
      </c>
      <c r="R62" s="198"/>
      <c r="S62" s="198"/>
      <c r="T62" s="198"/>
      <c r="U62" s="198"/>
    </row>
    <row r="63" spans="1:21" s="12" customFormat="1" x14ac:dyDescent="0.25">
      <c r="A63" s="211" t="s">
        <v>1166</v>
      </c>
      <c r="B63" s="64">
        <v>18.3</v>
      </c>
      <c r="C63" s="64">
        <v>29.61</v>
      </c>
      <c r="D63" s="64">
        <v>30.14</v>
      </c>
      <c r="E63" s="64">
        <v>9.35</v>
      </c>
      <c r="F63" s="64">
        <v>5.39</v>
      </c>
      <c r="G63" s="64">
        <v>15.4</v>
      </c>
      <c r="H63" s="64">
        <v>7.54</v>
      </c>
      <c r="I63" s="64">
        <v>1.76</v>
      </c>
      <c r="J63" s="64">
        <v>0.11</v>
      </c>
      <c r="K63" s="64">
        <v>352.35</v>
      </c>
      <c r="L63" s="64">
        <v>28.09</v>
      </c>
      <c r="M63" s="64">
        <v>90.42</v>
      </c>
      <c r="N63" s="64">
        <v>244.1</v>
      </c>
      <c r="O63" s="64">
        <v>0</v>
      </c>
      <c r="P63" s="64">
        <v>0.66</v>
      </c>
      <c r="Q63" s="64">
        <v>9.17</v>
      </c>
      <c r="R63" s="198"/>
      <c r="S63" s="198"/>
      <c r="T63" s="198"/>
      <c r="U63" s="198"/>
    </row>
    <row r="64" spans="1:21" s="12" customFormat="1" x14ac:dyDescent="0.25">
      <c r="A64" s="211" t="s">
        <v>1167</v>
      </c>
      <c r="B64" s="64">
        <v>12.28</v>
      </c>
      <c r="C64" s="64">
        <v>31.48</v>
      </c>
      <c r="D64" s="64">
        <v>26.29</v>
      </c>
      <c r="E64" s="64">
        <v>6.42</v>
      </c>
      <c r="F64" s="64">
        <v>10.71</v>
      </c>
      <c r="G64" s="64">
        <v>15.4</v>
      </c>
      <c r="H64" s="64">
        <v>7.54</v>
      </c>
      <c r="I64" s="64">
        <v>1.86</v>
      </c>
      <c r="J64" s="64">
        <v>0.86</v>
      </c>
      <c r="K64" s="64">
        <v>334.55</v>
      </c>
      <c r="L64" s="64">
        <v>29.33</v>
      </c>
      <c r="M64" s="64">
        <v>86.42</v>
      </c>
      <c r="N64" s="64">
        <v>297.10000000000002</v>
      </c>
      <c r="O64" s="64">
        <v>0</v>
      </c>
      <c r="P64" s="64">
        <v>0.68</v>
      </c>
      <c r="Q64" s="64">
        <v>9.31</v>
      </c>
      <c r="R64" s="198"/>
      <c r="S64" s="198"/>
      <c r="T64" s="198"/>
      <c r="U64" s="198"/>
    </row>
    <row r="65" spans="1:21" s="12" customFormat="1" x14ac:dyDescent="0.25">
      <c r="A65" s="211" t="s">
        <v>1168</v>
      </c>
      <c r="B65" s="64">
        <v>7.4</v>
      </c>
      <c r="C65" s="64">
        <v>31.11</v>
      </c>
      <c r="D65" s="64">
        <v>22.19</v>
      </c>
      <c r="E65" s="64">
        <v>6.68</v>
      </c>
      <c r="F65" s="64">
        <v>11.46</v>
      </c>
      <c r="G65" s="64">
        <v>30.53</v>
      </c>
      <c r="H65" s="64">
        <v>7.17</v>
      </c>
      <c r="I65" s="64">
        <v>1.96</v>
      </c>
      <c r="J65" s="64">
        <v>1.06</v>
      </c>
      <c r="K65" s="64">
        <v>332.96</v>
      </c>
      <c r="L65" s="64">
        <v>29.73</v>
      </c>
      <c r="M65" s="64">
        <v>85.46</v>
      </c>
      <c r="N65" s="64">
        <v>157.9</v>
      </c>
      <c r="O65" s="64">
        <v>0</v>
      </c>
      <c r="P65" s="64">
        <v>0.64</v>
      </c>
      <c r="Q65" s="64">
        <v>9.2799999999999994</v>
      </c>
      <c r="R65" s="198"/>
      <c r="S65" s="198"/>
      <c r="T65" s="198"/>
      <c r="U65" s="198"/>
    </row>
    <row r="66" spans="1:21" s="12" customFormat="1" x14ac:dyDescent="0.25">
      <c r="A66" s="211" t="s">
        <v>1169</v>
      </c>
      <c r="B66" s="64">
        <v>8.0399999999999991</v>
      </c>
      <c r="C66" s="64">
        <v>29.47</v>
      </c>
      <c r="D66" s="64">
        <v>21.84</v>
      </c>
      <c r="E66" s="64">
        <v>6.74</v>
      </c>
      <c r="F66" s="64">
        <v>7.2</v>
      </c>
      <c r="G66" s="64">
        <v>31.61</v>
      </c>
      <c r="H66" s="64">
        <v>7.17</v>
      </c>
      <c r="I66" s="64">
        <v>1.86</v>
      </c>
      <c r="J66" s="64">
        <v>1.3</v>
      </c>
      <c r="K66" s="64">
        <v>333.88</v>
      </c>
      <c r="L66" s="64">
        <v>28.27</v>
      </c>
      <c r="M66" s="64">
        <v>95.86</v>
      </c>
      <c r="N66" s="64">
        <v>112</v>
      </c>
      <c r="O66" s="64">
        <v>0</v>
      </c>
      <c r="P66" s="64">
        <v>0.66</v>
      </c>
      <c r="Q66" s="64">
        <v>9.26</v>
      </c>
      <c r="R66" s="198"/>
      <c r="S66" s="198"/>
      <c r="T66" s="198"/>
      <c r="U66" s="198"/>
    </row>
    <row r="67" spans="1:21" s="12" customFormat="1" x14ac:dyDescent="0.25">
      <c r="A67" s="211" t="s">
        <v>1170</v>
      </c>
      <c r="B67" s="64">
        <v>9.32</v>
      </c>
      <c r="C67" s="64">
        <v>25.99</v>
      </c>
      <c r="D67" s="64">
        <v>21.06</v>
      </c>
      <c r="E67" s="64">
        <v>6.4</v>
      </c>
      <c r="F67" s="64">
        <v>8.89</v>
      </c>
      <c r="G67" s="64">
        <v>31.61</v>
      </c>
      <c r="H67" s="64">
        <v>7.17</v>
      </c>
      <c r="I67" s="64">
        <v>1.8</v>
      </c>
      <c r="J67" s="64">
        <v>1.26</v>
      </c>
      <c r="K67" s="64">
        <v>333.27</v>
      </c>
      <c r="L67" s="64">
        <v>27.65</v>
      </c>
      <c r="M67" s="64">
        <v>98.02</v>
      </c>
      <c r="N67" s="64">
        <v>160.4</v>
      </c>
      <c r="O67" s="64">
        <v>0</v>
      </c>
      <c r="P67" s="64">
        <v>0.68</v>
      </c>
      <c r="Q67" s="64">
        <v>9.27</v>
      </c>
      <c r="R67" s="198"/>
      <c r="S67" s="198"/>
      <c r="T67" s="198"/>
      <c r="U67" s="198"/>
    </row>
    <row r="68" spans="1:21" s="12" customFormat="1" x14ac:dyDescent="0.25">
      <c r="A68" s="211" t="s">
        <v>1171</v>
      </c>
      <c r="B68" s="64">
        <v>10.119999999999999</v>
      </c>
      <c r="C68" s="64">
        <v>23.24</v>
      </c>
      <c r="D68" s="64">
        <v>20.25</v>
      </c>
      <c r="E68" s="64">
        <v>6.39</v>
      </c>
      <c r="F68" s="64">
        <v>7.51</v>
      </c>
      <c r="G68" s="64">
        <v>31.61</v>
      </c>
      <c r="H68" s="64">
        <v>7.17</v>
      </c>
      <c r="I68" s="64">
        <v>1.81</v>
      </c>
      <c r="J68" s="64">
        <v>1.28</v>
      </c>
      <c r="K68" s="64">
        <v>333.69</v>
      </c>
      <c r="L68" s="64">
        <v>27.66</v>
      </c>
      <c r="M68" s="64">
        <v>97.07</v>
      </c>
      <c r="N68" s="64">
        <v>206.7</v>
      </c>
      <c r="O68" s="64">
        <v>0</v>
      </c>
      <c r="P68" s="64">
        <v>0.65</v>
      </c>
      <c r="Q68" s="64">
        <v>9.26</v>
      </c>
      <c r="R68" s="198"/>
      <c r="S68" s="198"/>
      <c r="T68" s="198"/>
      <c r="U68" s="198"/>
    </row>
    <row r="69" spans="1:21" s="12" customFormat="1" x14ac:dyDescent="0.25">
      <c r="A69" s="211" t="s">
        <v>1172</v>
      </c>
      <c r="B69" s="64">
        <v>10.8</v>
      </c>
      <c r="C69" s="64">
        <v>23.86</v>
      </c>
      <c r="D69" s="64">
        <v>21.13</v>
      </c>
      <c r="E69" s="64">
        <v>6.56</v>
      </c>
      <c r="F69" s="64">
        <v>12.05</v>
      </c>
      <c r="G69" s="64">
        <v>31.3</v>
      </c>
      <c r="H69" s="64">
        <v>13.76</v>
      </c>
      <c r="I69" s="64">
        <v>1.81</v>
      </c>
      <c r="J69" s="64">
        <v>1.43</v>
      </c>
      <c r="K69" s="64">
        <v>335.75</v>
      </c>
      <c r="L69" s="64">
        <v>27.84</v>
      </c>
      <c r="M69" s="64">
        <v>94.57</v>
      </c>
      <c r="N69" s="64">
        <v>210.7</v>
      </c>
      <c r="O69" s="64">
        <v>0</v>
      </c>
      <c r="P69" s="64">
        <v>0.64</v>
      </c>
      <c r="Q69" s="64">
        <v>9.24</v>
      </c>
      <c r="R69" s="198"/>
      <c r="S69" s="198"/>
      <c r="T69" s="198"/>
      <c r="U69" s="198"/>
    </row>
    <row r="70" spans="1:21" s="12" customFormat="1" x14ac:dyDescent="0.25">
      <c r="A70" s="211" t="s">
        <v>1173</v>
      </c>
      <c r="B70" s="64">
        <v>11.32</v>
      </c>
      <c r="C70" s="64">
        <v>23.8</v>
      </c>
      <c r="D70" s="64">
        <v>21.42</v>
      </c>
      <c r="E70" s="64">
        <v>7.37</v>
      </c>
      <c r="F70" s="64">
        <v>9.61</v>
      </c>
      <c r="G70" s="64">
        <v>31.28</v>
      </c>
      <c r="H70" s="64">
        <v>13.76</v>
      </c>
      <c r="I70" s="64">
        <v>1.78</v>
      </c>
      <c r="J70" s="64">
        <v>1.0900000000000001</v>
      </c>
      <c r="K70" s="64">
        <v>337.27</v>
      </c>
      <c r="L70" s="64">
        <v>28.25</v>
      </c>
      <c r="M70" s="64">
        <v>94.05</v>
      </c>
      <c r="N70" s="64">
        <v>212.7</v>
      </c>
      <c r="O70" s="64">
        <v>0</v>
      </c>
      <c r="P70" s="64">
        <v>0.68</v>
      </c>
      <c r="Q70" s="64">
        <v>9.24</v>
      </c>
      <c r="R70" s="198"/>
      <c r="S70" s="198"/>
      <c r="T70" s="198"/>
      <c r="U70" s="198"/>
    </row>
    <row r="71" spans="1:21" s="12" customFormat="1" x14ac:dyDescent="0.25">
      <c r="A71" s="211" t="s">
        <v>1174</v>
      </c>
      <c r="B71" s="64">
        <v>11.87</v>
      </c>
      <c r="C71" s="64">
        <v>24.17</v>
      </c>
      <c r="D71" s="64">
        <v>22.14</v>
      </c>
      <c r="E71" s="64">
        <v>7.92</v>
      </c>
      <c r="F71" s="64">
        <v>9.9600000000000009</v>
      </c>
      <c r="G71" s="64">
        <v>31.28</v>
      </c>
      <c r="H71" s="64">
        <v>13.76</v>
      </c>
      <c r="I71" s="64">
        <v>1.73</v>
      </c>
      <c r="J71" s="64">
        <v>0.96</v>
      </c>
      <c r="K71" s="64">
        <v>335.32</v>
      </c>
      <c r="L71" s="64">
        <v>28.71</v>
      </c>
      <c r="M71" s="64">
        <v>92.65</v>
      </c>
      <c r="N71" s="64">
        <v>213.9</v>
      </c>
      <c r="O71" s="64">
        <v>0</v>
      </c>
      <c r="P71" s="64">
        <v>0.77</v>
      </c>
      <c r="Q71" s="64">
        <v>9.2200000000000006</v>
      </c>
      <c r="R71" s="198"/>
      <c r="S71" s="198"/>
      <c r="T71" s="198"/>
      <c r="U71" s="198"/>
    </row>
    <row r="72" spans="1:21" s="12" customFormat="1" x14ac:dyDescent="0.25">
      <c r="A72" s="211" t="s">
        <v>1175</v>
      </c>
      <c r="B72" s="64">
        <v>10.86</v>
      </c>
      <c r="C72" s="64">
        <v>29.21</v>
      </c>
      <c r="D72" s="64">
        <v>23.97</v>
      </c>
      <c r="E72" s="64">
        <v>6.9</v>
      </c>
      <c r="F72" s="64">
        <v>9.6</v>
      </c>
      <c r="G72" s="64">
        <v>31.28</v>
      </c>
      <c r="H72" s="64">
        <v>13.76</v>
      </c>
      <c r="I72" s="64">
        <v>1.76</v>
      </c>
      <c r="J72" s="64">
        <v>0.18</v>
      </c>
      <c r="K72" s="64">
        <v>51.66</v>
      </c>
      <c r="L72" s="64">
        <v>28.15</v>
      </c>
      <c r="M72" s="64">
        <v>89.22</v>
      </c>
      <c r="N72" s="64">
        <v>153.4</v>
      </c>
      <c r="O72" s="64">
        <v>0</v>
      </c>
      <c r="P72" s="64">
        <v>0.64</v>
      </c>
      <c r="Q72" s="64">
        <v>9.1999999999999993</v>
      </c>
      <c r="R72" s="198"/>
      <c r="S72" s="198"/>
      <c r="T72" s="198"/>
      <c r="U72" s="198"/>
    </row>
    <row r="73" spans="1:21" s="12" customFormat="1" x14ac:dyDescent="0.25">
      <c r="A73" s="211" t="s">
        <v>1176</v>
      </c>
      <c r="B73" s="64">
        <v>6.82</v>
      </c>
      <c r="C73" s="64">
        <v>21.9</v>
      </c>
      <c r="D73" s="64">
        <v>16.91</v>
      </c>
      <c r="E73" s="64">
        <v>6.95</v>
      </c>
      <c r="F73" s="64">
        <v>5.69</v>
      </c>
      <c r="G73" s="64">
        <v>49.83</v>
      </c>
      <c r="H73" s="64">
        <v>11.47</v>
      </c>
      <c r="I73" s="64">
        <v>1.8</v>
      </c>
      <c r="J73" s="64">
        <v>0.61</v>
      </c>
      <c r="K73" s="64">
        <v>111.55</v>
      </c>
      <c r="L73" s="64">
        <v>26.22</v>
      </c>
      <c r="M73" s="64">
        <v>94.53</v>
      </c>
      <c r="N73" s="64">
        <v>162.69999999999999</v>
      </c>
      <c r="O73" s="64">
        <v>0</v>
      </c>
      <c r="P73" s="64">
        <v>0.47</v>
      </c>
      <c r="Q73" s="64">
        <v>9.19</v>
      </c>
      <c r="R73" s="198"/>
      <c r="S73" s="198"/>
      <c r="T73" s="198"/>
      <c r="U73" s="198"/>
    </row>
    <row r="74" spans="1:21" s="12" customFormat="1" x14ac:dyDescent="0.25">
      <c r="A74" s="211" t="s">
        <v>1177</v>
      </c>
      <c r="B74" s="64">
        <v>7.55</v>
      </c>
      <c r="C74" s="64">
        <v>18.38</v>
      </c>
      <c r="D74" s="64">
        <v>15.66</v>
      </c>
      <c r="E74" s="64">
        <v>7.1</v>
      </c>
      <c r="F74" s="64">
        <v>8.89</v>
      </c>
      <c r="G74" s="64">
        <v>51.16</v>
      </c>
      <c r="H74" s="64">
        <v>11.47</v>
      </c>
      <c r="I74" s="64">
        <v>1.82</v>
      </c>
      <c r="J74" s="64">
        <v>1.07</v>
      </c>
      <c r="K74" s="64">
        <v>118.43</v>
      </c>
      <c r="L74" s="64">
        <v>25.59</v>
      </c>
      <c r="M74" s="64">
        <v>98.08</v>
      </c>
      <c r="N74" s="64">
        <v>124.5</v>
      </c>
      <c r="O74" s="64">
        <v>0</v>
      </c>
      <c r="P74" s="64">
        <v>0.56000000000000005</v>
      </c>
      <c r="Q74" s="64">
        <v>9.19</v>
      </c>
      <c r="R74" s="198"/>
      <c r="S74" s="198"/>
      <c r="T74" s="198"/>
      <c r="U74" s="198"/>
    </row>
    <row r="75" spans="1:21" s="12" customFormat="1" x14ac:dyDescent="0.25">
      <c r="A75" s="211" t="s">
        <v>1178</v>
      </c>
      <c r="B75" s="64">
        <v>6.98</v>
      </c>
      <c r="C75" s="64">
        <v>15.2</v>
      </c>
      <c r="D75" s="64">
        <v>13.54</v>
      </c>
      <c r="E75" s="64">
        <v>6.18</v>
      </c>
      <c r="F75" s="64">
        <v>13.31</v>
      </c>
      <c r="G75" s="64">
        <v>51.16</v>
      </c>
      <c r="H75" s="64">
        <v>11.47</v>
      </c>
      <c r="I75" s="64">
        <v>1.81</v>
      </c>
      <c r="J75" s="64">
        <v>1.07</v>
      </c>
      <c r="K75" s="64">
        <v>121.71</v>
      </c>
      <c r="L75" s="64">
        <v>25.08</v>
      </c>
      <c r="M75" s="64">
        <v>97.94</v>
      </c>
      <c r="N75" s="64">
        <v>103.6</v>
      </c>
      <c r="O75" s="64">
        <v>0</v>
      </c>
      <c r="P75" s="64">
        <v>0.47</v>
      </c>
      <c r="Q75" s="64">
        <v>9.18</v>
      </c>
      <c r="R75" s="198"/>
      <c r="S75" s="198"/>
      <c r="T75" s="198"/>
      <c r="U75" s="198"/>
    </row>
    <row r="76" spans="1:21" s="12" customFormat="1" x14ac:dyDescent="0.25">
      <c r="A76" s="211" t="s">
        <v>1179</v>
      </c>
      <c r="B76" s="64">
        <v>6.3</v>
      </c>
      <c r="C76" s="64">
        <v>15.17</v>
      </c>
      <c r="D76" s="64">
        <v>12.98</v>
      </c>
      <c r="E76" s="64">
        <v>5.83</v>
      </c>
      <c r="F76" s="64">
        <v>8.01</v>
      </c>
      <c r="G76" s="64">
        <v>51.16</v>
      </c>
      <c r="H76" s="64">
        <v>11.47</v>
      </c>
      <c r="I76" s="64">
        <v>1.8</v>
      </c>
      <c r="J76" s="64">
        <v>0.42</v>
      </c>
      <c r="K76" s="64">
        <v>121.47</v>
      </c>
      <c r="L76" s="64">
        <v>25.31</v>
      </c>
      <c r="M76" s="64">
        <v>94.61</v>
      </c>
      <c r="N76" s="64">
        <v>87.7</v>
      </c>
      <c r="O76" s="64">
        <v>0</v>
      </c>
      <c r="P76" s="64">
        <v>0.44</v>
      </c>
      <c r="Q76" s="64">
        <v>9.17</v>
      </c>
      <c r="R76" s="198"/>
      <c r="S76" s="198"/>
      <c r="T76" s="198"/>
      <c r="U76" s="198"/>
    </row>
    <row r="77" spans="1:21" s="12" customFormat="1" x14ac:dyDescent="0.25">
      <c r="A77" s="211" t="s">
        <v>1180</v>
      </c>
      <c r="B77" s="64">
        <v>6.09</v>
      </c>
      <c r="C77" s="64">
        <v>16.899999999999999</v>
      </c>
      <c r="D77" s="64">
        <v>13.72</v>
      </c>
      <c r="E77" s="64">
        <v>5.84</v>
      </c>
      <c r="F77" s="64">
        <v>8.75</v>
      </c>
      <c r="G77" s="64">
        <v>27.76</v>
      </c>
      <c r="H77" s="64">
        <v>9.18</v>
      </c>
      <c r="I77" s="64">
        <v>1.77</v>
      </c>
      <c r="J77" s="64">
        <v>0.79</v>
      </c>
      <c r="K77" s="64">
        <v>123.89</v>
      </c>
      <c r="L77" s="64">
        <v>25.35</v>
      </c>
      <c r="M77" s="64">
        <v>94.47</v>
      </c>
      <c r="N77" s="64">
        <v>73.400000000000006</v>
      </c>
      <c r="O77" s="64">
        <v>0</v>
      </c>
      <c r="P77" s="64">
        <v>0.47</v>
      </c>
      <c r="Q77" s="64">
        <v>9.16</v>
      </c>
      <c r="R77" s="198"/>
      <c r="S77" s="198"/>
      <c r="T77" s="198"/>
      <c r="U77" s="198"/>
    </row>
    <row r="78" spans="1:21" s="12" customFormat="1" x14ac:dyDescent="0.25">
      <c r="A78" s="211" t="s">
        <v>1181</v>
      </c>
      <c r="B78" s="64">
        <v>7.68</v>
      </c>
      <c r="C78" s="64">
        <v>19.8</v>
      </c>
      <c r="D78" s="64">
        <v>16.510000000000002</v>
      </c>
      <c r="E78" s="64">
        <v>5.47</v>
      </c>
      <c r="F78" s="64">
        <v>4.4400000000000004</v>
      </c>
      <c r="G78" s="64">
        <v>26.09</v>
      </c>
      <c r="H78" s="64">
        <v>9.18</v>
      </c>
      <c r="I78" s="64">
        <v>1.74</v>
      </c>
      <c r="J78" s="64">
        <v>0.9</v>
      </c>
      <c r="K78" s="64">
        <v>115.4</v>
      </c>
      <c r="L78" s="64">
        <v>24.95</v>
      </c>
      <c r="M78" s="64">
        <v>96.13</v>
      </c>
      <c r="N78" s="64">
        <v>59.6</v>
      </c>
      <c r="O78" s="64">
        <v>0</v>
      </c>
      <c r="P78" s="64">
        <v>0.51</v>
      </c>
      <c r="Q78" s="64">
        <v>9.16</v>
      </c>
      <c r="R78" s="198"/>
      <c r="S78" s="198"/>
      <c r="T78" s="198"/>
      <c r="U78" s="198"/>
    </row>
    <row r="79" spans="1:21" s="12" customFormat="1" x14ac:dyDescent="0.25">
      <c r="A79" s="211" t="s">
        <v>1182</v>
      </c>
      <c r="B79" s="64">
        <v>7.38</v>
      </c>
      <c r="C79" s="64">
        <v>12.78</v>
      </c>
      <c r="D79" s="64">
        <v>12.59</v>
      </c>
      <c r="E79" s="64">
        <v>5.59</v>
      </c>
      <c r="F79" s="64">
        <v>6.69</v>
      </c>
      <c r="G79" s="64">
        <v>26.09</v>
      </c>
      <c r="H79" s="64">
        <v>9.18</v>
      </c>
      <c r="I79" s="64">
        <v>1.72</v>
      </c>
      <c r="J79" s="64">
        <v>0.75</v>
      </c>
      <c r="K79" s="64">
        <v>123.32</v>
      </c>
      <c r="L79" s="64">
        <v>23.66</v>
      </c>
      <c r="M79" s="64">
        <v>98.03</v>
      </c>
      <c r="N79" s="64">
        <v>47</v>
      </c>
      <c r="O79" s="64">
        <v>0</v>
      </c>
      <c r="P79" s="64">
        <v>0.5</v>
      </c>
      <c r="Q79" s="64">
        <v>9.16</v>
      </c>
      <c r="R79" s="198"/>
      <c r="S79" s="198"/>
      <c r="T79" s="198"/>
      <c r="U79" s="198"/>
    </row>
    <row r="80" spans="1:21" s="12" customFormat="1" x14ac:dyDescent="0.25">
      <c r="A80" s="211" t="s">
        <v>1183</v>
      </c>
      <c r="B80" s="64">
        <v>7.1</v>
      </c>
      <c r="C80" s="64">
        <v>12.54</v>
      </c>
      <c r="D80" s="64">
        <v>12.25</v>
      </c>
      <c r="E80" s="64">
        <v>5.37</v>
      </c>
      <c r="F80" s="64">
        <v>6.65</v>
      </c>
      <c r="G80" s="64">
        <v>26.09</v>
      </c>
      <c r="H80" s="64">
        <v>9.18</v>
      </c>
      <c r="I80" s="64">
        <v>1.69</v>
      </c>
      <c r="J80" s="64">
        <v>0.87</v>
      </c>
      <c r="K80" s="64">
        <v>129.31</v>
      </c>
      <c r="L80" s="64">
        <v>23.49</v>
      </c>
      <c r="M80" s="64">
        <v>98.03</v>
      </c>
      <c r="N80" s="64">
        <v>42.1</v>
      </c>
      <c r="O80" s="64">
        <v>0</v>
      </c>
      <c r="P80" s="64">
        <v>0.47</v>
      </c>
      <c r="Q80" s="64">
        <v>9.15</v>
      </c>
      <c r="R80" s="198"/>
      <c r="S80" s="198"/>
      <c r="T80" s="198"/>
      <c r="U80" s="198"/>
    </row>
    <row r="81" spans="1:26" s="12" customFormat="1" x14ac:dyDescent="0.25">
      <c r="A81" s="211" t="s">
        <v>1184</v>
      </c>
      <c r="B81" s="64">
        <v>6.67</v>
      </c>
      <c r="C81" s="64">
        <v>14.56</v>
      </c>
      <c r="D81" s="64">
        <v>12.95</v>
      </c>
      <c r="E81" s="64">
        <v>5.49</v>
      </c>
      <c r="F81" s="64">
        <v>4.45</v>
      </c>
      <c r="G81" s="64">
        <v>16.95</v>
      </c>
      <c r="H81" s="64">
        <v>7.58</v>
      </c>
      <c r="I81" s="64">
        <v>1.66</v>
      </c>
      <c r="J81" s="64">
        <v>0.47</v>
      </c>
      <c r="K81" s="64">
        <v>130.25</v>
      </c>
      <c r="L81" s="64">
        <v>23.43</v>
      </c>
      <c r="M81" s="64">
        <v>98</v>
      </c>
      <c r="N81" s="64">
        <v>41.5</v>
      </c>
      <c r="O81" s="64">
        <v>0</v>
      </c>
      <c r="P81" s="64">
        <v>0.47</v>
      </c>
      <c r="Q81" s="64">
        <v>9.14</v>
      </c>
      <c r="R81" s="198"/>
      <c r="S81" s="198"/>
      <c r="T81" s="198"/>
      <c r="U81" s="198"/>
    </row>
    <row r="82" spans="1:26" s="12" customFormat="1" x14ac:dyDescent="0.25">
      <c r="A82" s="211" t="s">
        <v>1185</v>
      </c>
      <c r="B82" s="64">
        <v>6.6</v>
      </c>
      <c r="C82" s="64">
        <v>14.9</v>
      </c>
      <c r="D82" s="64">
        <v>13.08</v>
      </c>
      <c r="E82" s="64">
        <v>5.15</v>
      </c>
      <c r="F82" s="64">
        <v>3.4</v>
      </c>
      <c r="G82" s="64">
        <v>16.3</v>
      </c>
      <c r="H82" s="64">
        <v>7.58</v>
      </c>
      <c r="I82" s="64">
        <v>1.64</v>
      </c>
      <c r="J82" s="64">
        <v>0.42</v>
      </c>
      <c r="K82" s="64">
        <v>132.88</v>
      </c>
      <c r="L82" s="64">
        <v>23.24</v>
      </c>
      <c r="M82" s="64">
        <v>98.02</v>
      </c>
      <c r="N82" s="64">
        <v>41.5</v>
      </c>
      <c r="O82" s="64">
        <v>0</v>
      </c>
      <c r="P82" s="64">
        <v>0.51</v>
      </c>
      <c r="Q82" s="64">
        <v>9.1300000000000008</v>
      </c>
      <c r="R82" s="198"/>
      <c r="S82" s="198"/>
      <c r="T82" s="198"/>
      <c r="U82" s="198"/>
    </row>
    <row r="83" spans="1:26" s="12" customFormat="1" x14ac:dyDescent="0.25">
      <c r="A83" s="211" t="s">
        <v>1186</v>
      </c>
      <c r="B83" s="64">
        <v>8.81</v>
      </c>
      <c r="C83" s="64">
        <v>19.239999999999998</v>
      </c>
      <c r="D83" s="64">
        <v>17.11</v>
      </c>
      <c r="E83" s="64">
        <v>5</v>
      </c>
      <c r="F83" s="64">
        <v>2.16</v>
      </c>
      <c r="G83" s="64">
        <v>16.3</v>
      </c>
      <c r="H83" s="64">
        <v>7.58</v>
      </c>
      <c r="I83" s="64">
        <v>1.62</v>
      </c>
      <c r="J83" s="64">
        <v>0.12</v>
      </c>
      <c r="K83" s="64">
        <v>111.33</v>
      </c>
      <c r="L83" s="64">
        <v>23.33</v>
      </c>
      <c r="M83" s="64">
        <v>97.92</v>
      </c>
      <c r="N83" s="64">
        <v>41.2</v>
      </c>
      <c r="O83" s="64">
        <v>0</v>
      </c>
      <c r="P83" s="64">
        <v>0.59</v>
      </c>
      <c r="Q83" s="64">
        <v>9.1199999999999992</v>
      </c>
      <c r="R83" s="198"/>
      <c r="S83" s="198"/>
      <c r="T83" s="198"/>
      <c r="U83" s="198"/>
    </row>
    <row r="84" spans="1:26" s="12" customFormat="1" x14ac:dyDescent="0.25">
      <c r="A84" s="211" t="s">
        <v>1187</v>
      </c>
      <c r="B84" s="64">
        <v>8.8000000000000007</v>
      </c>
      <c r="C84" s="64">
        <v>10.33</v>
      </c>
      <c r="D84" s="64">
        <v>12.45</v>
      </c>
      <c r="E84" s="64">
        <v>5.01</v>
      </c>
      <c r="F84" s="64">
        <v>2.1</v>
      </c>
      <c r="G84" s="64">
        <v>16.3</v>
      </c>
      <c r="H84" s="64">
        <v>7.58</v>
      </c>
      <c r="I84" s="64">
        <v>1.61</v>
      </c>
      <c r="J84" s="64">
        <v>0.11</v>
      </c>
      <c r="K84" s="64">
        <v>135.47</v>
      </c>
      <c r="L84" s="64">
        <v>23.29</v>
      </c>
      <c r="M84" s="64">
        <v>98.05</v>
      </c>
      <c r="N84" s="64">
        <v>41.5</v>
      </c>
      <c r="O84" s="64">
        <v>0</v>
      </c>
      <c r="P84" s="64">
        <v>0.6</v>
      </c>
      <c r="Q84" s="64">
        <v>9.11</v>
      </c>
      <c r="R84" s="198"/>
      <c r="S84" s="198"/>
      <c r="T84" s="198"/>
      <c r="U84" s="198"/>
    </row>
    <row r="85" spans="1:26" s="12" customFormat="1" x14ac:dyDescent="0.25">
      <c r="A85" s="211" t="s">
        <v>1188</v>
      </c>
      <c r="B85" s="64">
        <v>7.19</v>
      </c>
      <c r="C85" s="64">
        <v>17.86</v>
      </c>
      <c r="D85" s="64">
        <v>15.1</v>
      </c>
      <c r="E85" s="64">
        <v>4.9800000000000004</v>
      </c>
      <c r="F85" s="64">
        <v>2.1</v>
      </c>
      <c r="G85" s="64">
        <v>12.29</v>
      </c>
      <c r="H85" s="64">
        <v>7.56</v>
      </c>
      <c r="I85" s="64">
        <v>1.61</v>
      </c>
      <c r="J85" s="64">
        <v>0.27</v>
      </c>
      <c r="K85" s="64">
        <v>128.58000000000001</v>
      </c>
      <c r="L85" s="64">
        <v>23.22</v>
      </c>
      <c r="M85" s="64">
        <v>97.97</v>
      </c>
      <c r="N85" s="64">
        <v>41.4</v>
      </c>
      <c r="O85" s="64">
        <v>0</v>
      </c>
      <c r="P85" s="64">
        <v>0.55000000000000004</v>
      </c>
      <c r="Q85" s="64">
        <v>9.11</v>
      </c>
      <c r="R85" s="198"/>
      <c r="S85" s="198"/>
      <c r="T85" s="198"/>
      <c r="U85" s="198"/>
    </row>
    <row r="86" spans="1:26" s="12" customFormat="1" x14ac:dyDescent="0.25">
      <c r="A86" s="211" t="s">
        <v>1189</v>
      </c>
      <c r="B86" s="64">
        <v>11.95</v>
      </c>
      <c r="C86" s="64">
        <v>17.55</v>
      </c>
      <c r="D86" s="64">
        <v>18.75</v>
      </c>
      <c r="E86" s="64">
        <v>5.19</v>
      </c>
      <c r="F86" s="64">
        <v>2.1</v>
      </c>
      <c r="G86" s="64">
        <v>12.01</v>
      </c>
      <c r="H86" s="64">
        <v>7.56</v>
      </c>
      <c r="I86" s="64">
        <v>1.63</v>
      </c>
      <c r="J86" s="64">
        <v>0.22</v>
      </c>
      <c r="K86" s="64">
        <v>120.49</v>
      </c>
      <c r="L86" s="64">
        <v>23.41</v>
      </c>
      <c r="M86" s="64">
        <v>98.01</v>
      </c>
      <c r="N86" s="64">
        <v>41.2</v>
      </c>
      <c r="O86" s="64">
        <v>0</v>
      </c>
      <c r="P86" s="64">
        <v>0.69</v>
      </c>
      <c r="Q86" s="64">
        <v>9.09</v>
      </c>
      <c r="R86" s="198"/>
      <c r="S86" s="198"/>
      <c r="T86" s="198"/>
      <c r="U86" s="198"/>
    </row>
    <row r="87" spans="1:26" s="12" customFormat="1" x14ac:dyDescent="0.25">
      <c r="A87" s="211" t="s">
        <v>1190</v>
      </c>
      <c r="B87" s="64">
        <v>14.43</v>
      </c>
      <c r="C87" s="64">
        <v>19.46</v>
      </c>
      <c r="D87" s="64">
        <v>21.73</v>
      </c>
      <c r="E87" s="64">
        <v>5.15</v>
      </c>
      <c r="F87" s="64">
        <v>3.84</v>
      </c>
      <c r="G87" s="64">
        <v>12.01</v>
      </c>
      <c r="H87" s="64">
        <v>7.56</v>
      </c>
      <c r="I87" s="64">
        <v>1.64</v>
      </c>
      <c r="J87" s="64">
        <v>0.2</v>
      </c>
      <c r="K87" s="64">
        <v>338.74</v>
      </c>
      <c r="L87" s="64">
        <v>23.57</v>
      </c>
      <c r="M87" s="64">
        <v>98.05</v>
      </c>
      <c r="N87" s="64">
        <v>41.4</v>
      </c>
      <c r="O87" s="64">
        <v>0</v>
      </c>
      <c r="P87" s="64">
        <v>0.88</v>
      </c>
      <c r="Q87" s="64">
        <v>9.09</v>
      </c>
      <c r="R87" s="198"/>
      <c r="S87" s="198"/>
      <c r="T87" s="198"/>
      <c r="U87" s="198"/>
    </row>
    <row r="88" spans="1:26" s="12" customFormat="1" x14ac:dyDescent="0.25">
      <c r="A88" s="211" t="s">
        <v>1191</v>
      </c>
      <c r="B88" s="64">
        <v>18.899999999999999</v>
      </c>
      <c r="C88" s="64">
        <v>20.100000000000001</v>
      </c>
      <c r="D88" s="64">
        <v>25.65</v>
      </c>
      <c r="E88" s="64">
        <v>4.8499999999999996</v>
      </c>
      <c r="F88" s="64">
        <v>2.23</v>
      </c>
      <c r="G88" s="64">
        <v>12.01</v>
      </c>
      <c r="H88" s="64">
        <v>7.56</v>
      </c>
      <c r="I88" s="64">
        <v>1.69</v>
      </c>
      <c r="J88" s="64">
        <v>7.0000000000000007E-2</v>
      </c>
      <c r="K88" s="64">
        <v>299.67</v>
      </c>
      <c r="L88" s="64">
        <v>23.45</v>
      </c>
      <c r="M88" s="64">
        <v>98.06</v>
      </c>
      <c r="N88" s="64">
        <v>41.6</v>
      </c>
      <c r="O88" s="64">
        <v>0</v>
      </c>
      <c r="P88" s="64">
        <v>0.93</v>
      </c>
      <c r="Q88" s="64">
        <v>9.1</v>
      </c>
      <c r="R88" s="198"/>
      <c r="S88" s="198"/>
      <c r="T88" s="198"/>
      <c r="U88" s="198"/>
    </row>
    <row r="89" spans="1:26" s="12" customFormat="1" x14ac:dyDescent="0.25">
      <c r="A89" s="211" t="s">
        <v>1192</v>
      </c>
      <c r="B89" s="64">
        <v>20.78</v>
      </c>
      <c r="C89" s="64">
        <v>23.23</v>
      </c>
      <c r="D89" s="64">
        <v>28.8</v>
      </c>
      <c r="E89" s="64">
        <v>5.0199999999999996</v>
      </c>
      <c r="F89" s="64">
        <v>2.33</v>
      </c>
      <c r="G89" s="64">
        <v>20.57</v>
      </c>
      <c r="H89" s="64">
        <v>9.2899999999999991</v>
      </c>
      <c r="I89" s="64">
        <v>1.75</v>
      </c>
      <c r="J89" s="64">
        <v>0.04</v>
      </c>
      <c r="K89" s="64">
        <v>23.58</v>
      </c>
      <c r="L89" s="64">
        <v>23.42</v>
      </c>
      <c r="M89" s="64">
        <v>98.08</v>
      </c>
      <c r="N89" s="64">
        <v>41.5</v>
      </c>
      <c r="O89" s="64">
        <v>0</v>
      </c>
      <c r="P89" s="64">
        <v>1.07</v>
      </c>
      <c r="Q89" s="64">
        <v>9.1199999999999992</v>
      </c>
      <c r="R89" s="198"/>
      <c r="S89" s="198"/>
      <c r="T89" s="198"/>
      <c r="U89" s="198"/>
    </row>
    <row r="90" spans="1:26" s="12" customFormat="1" x14ac:dyDescent="0.25">
      <c r="A90" s="211" t="s">
        <v>1193</v>
      </c>
      <c r="B90" s="64">
        <v>13.45</v>
      </c>
      <c r="C90" s="64">
        <v>14.33</v>
      </c>
      <c r="D90" s="64">
        <v>18.27</v>
      </c>
      <c r="E90" s="64">
        <v>4.9400000000000004</v>
      </c>
      <c r="F90" s="64">
        <v>2.1</v>
      </c>
      <c r="G90" s="64">
        <v>21.18</v>
      </c>
      <c r="H90" s="64">
        <v>9.2899999999999991</v>
      </c>
      <c r="I90" s="64">
        <v>1.82</v>
      </c>
      <c r="J90" s="64">
        <v>0.11</v>
      </c>
      <c r="K90" s="64">
        <v>160.85</v>
      </c>
      <c r="L90" s="64">
        <v>23.31</v>
      </c>
      <c r="M90" s="64">
        <v>98.12</v>
      </c>
      <c r="N90" s="64">
        <v>41.5</v>
      </c>
      <c r="O90" s="64">
        <v>0</v>
      </c>
      <c r="P90" s="64">
        <v>0.82</v>
      </c>
      <c r="Q90" s="64">
        <v>9.1300000000000008</v>
      </c>
      <c r="R90" s="198"/>
      <c r="S90" s="198"/>
      <c r="T90" s="198"/>
      <c r="U90" s="198"/>
    </row>
    <row r="91" spans="1:26" s="12" customFormat="1" x14ac:dyDescent="0.25">
      <c r="A91" s="211" t="s">
        <v>1194</v>
      </c>
      <c r="B91" s="64">
        <v>24.82</v>
      </c>
      <c r="C91" s="64">
        <v>22.65</v>
      </c>
      <c r="D91" s="64">
        <v>31.74</v>
      </c>
      <c r="E91" s="64">
        <v>5.47</v>
      </c>
      <c r="F91" s="64">
        <v>3.25</v>
      </c>
      <c r="G91" s="64">
        <v>21.18</v>
      </c>
      <c r="H91" s="64">
        <v>9.2899999999999991</v>
      </c>
      <c r="I91" s="64">
        <v>1.89</v>
      </c>
      <c r="J91" s="64">
        <v>0.13</v>
      </c>
      <c r="K91" s="64">
        <v>141.93</v>
      </c>
      <c r="L91" s="64">
        <v>23.26</v>
      </c>
      <c r="M91" s="64">
        <v>98.15</v>
      </c>
      <c r="N91" s="64">
        <v>41.3</v>
      </c>
      <c r="O91" s="64">
        <v>0</v>
      </c>
      <c r="P91" s="64">
        <v>1.0900000000000001</v>
      </c>
      <c r="Q91" s="64">
        <v>9.15</v>
      </c>
      <c r="R91" s="198"/>
      <c r="S91" s="198"/>
      <c r="T91" s="198"/>
      <c r="U91" s="198"/>
    </row>
    <row r="92" spans="1:26" s="12" customFormat="1" x14ac:dyDescent="0.25">
      <c r="A92" s="211" t="s">
        <v>1195</v>
      </c>
      <c r="B92" s="64">
        <v>21.33</v>
      </c>
      <c r="C92" s="64">
        <v>28.23</v>
      </c>
      <c r="D92" s="64">
        <v>31.86</v>
      </c>
      <c r="E92" s="64">
        <v>5.03</v>
      </c>
      <c r="F92" s="64">
        <v>3.12</v>
      </c>
      <c r="G92" s="64">
        <v>21.18</v>
      </c>
      <c r="H92" s="64">
        <v>9.2899999999999991</v>
      </c>
      <c r="I92" s="64">
        <v>1.95</v>
      </c>
      <c r="J92" s="64">
        <v>7.0000000000000007E-2</v>
      </c>
      <c r="K92" s="64">
        <v>287.52999999999997</v>
      </c>
      <c r="L92" s="64">
        <v>23.22</v>
      </c>
      <c r="M92" s="64">
        <v>98.21</v>
      </c>
      <c r="N92" s="64">
        <v>41.4</v>
      </c>
      <c r="O92" s="64">
        <v>0</v>
      </c>
      <c r="P92" s="64">
        <v>1.24</v>
      </c>
      <c r="Q92" s="64">
        <v>9.15</v>
      </c>
      <c r="R92" s="198"/>
      <c r="S92" s="198"/>
      <c r="T92" s="198"/>
      <c r="U92" s="198"/>
    </row>
    <row r="93" spans="1:26" s="12" customFormat="1" x14ac:dyDescent="0.25">
      <c r="A93" s="211" t="s">
        <v>1196</v>
      </c>
      <c r="B93" s="64">
        <v>13.83</v>
      </c>
      <c r="C93" s="64">
        <v>18.559999999999999</v>
      </c>
      <c r="D93" s="64">
        <v>20.79</v>
      </c>
      <c r="E93" s="64">
        <v>4.97</v>
      </c>
      <c r="F93" s="64">
        <v>2.94</v>
      </c>
      <c r="G93" s="64">
        <v>29.62</v>
      </c>
      <c r="H93" s="64">
        <v>9.2899999999999991</v>
      </c>
      <c r="I93" s="64">
        <v>2</v>
      </c>
      <c r="J93" s="64">
        <v>0.05</v>
      </c>
      <c r="K93" s="64">
        <v>192.97</v>
      </c>
      <c r="L93" s="64">
        <v>23.18</v>
      </c>
      <c r="M93" s="64">
        <v>98.25</v>
      </c>
      <c r="N93" s="64">
        <v>41.4</v>
      </c>
      <c r="O93" s="64">
        <v>0</v>
      </c>
      <c r="P93" s="64">
        <v>0.88</v>
      </c>
      <c r="Q93" s="64">
        <v>9.16</v>
      </c>
      <c r="R93" s="198"/>
      <c r="S93" s="198"/>
      <c r="T93" s="198"/>
      <c r="U93" s="198"/>
    </row>
    <row r="94" spans="1:26" s="12" customFormat="1" x14ac:dyDescent="0.25">
      <c r="A94" s="211" t="s">
        <v>1197</v>
      </c>
      <c r="B94" s="64">
        <v>20.56</v>
      </c>
      <c r="C94" s="64">
        <v>22.01</v>
      </c>
      <c r="D94" s="64">
        <v>27.98</v>
      </c>
      <c r="E94" s="64">
        <v>4.92</v>
      </c>
      <c r="F94" s="64">
        <v>3.44</v>
      </c>
      <c r="G94" s="64">
        <v>30.23</v>
      </c>
      <c r="H94" s="64">
        <v>9.2899999999999991</v>
      </c>
      <c r="I94" s="64">
        <v>2.0499999999999998</v>
      </c>
      <c r="J94" s="64">
        <v>7.0000000000000007E-2</v>
      </c>
      <c r="K94" s="64">
        <v>177.57</v>
      </c>
      <c r="L94" s="64">
        <v>23.12</v>
      </c>
      <c r="M94" s="64">
        <v>98.19</v>
      </c>
      <c r="N94" s="64">
        <v>41.3</v>
      </c>
      <c r="O94" s="64">
        <v>0</v>
      </c>
      <c r="P94" s="64">
        <v>0.92</v>
      </c>
      <c r="Q94" s="64">
        <v>9.19</v>
      </c>
      <c r="R94" s="198"/>
      <c r="S94" s="198"/>
      <c r="T94" s="198"/>
      <c r="U94" s="198"/>
    </row>
    <row r="95" spans="1:26" s="12" customFormat="1" x14ac:dyDescent="0.25">
      <c r="A95" s="211" t="s">
        <v>1198</v>
      </c>
      <c r="B95" s="64">
        <v>19.82</v>
      </c>
      <c r="C95" s="64">
        <v>21.18</v>
      </c>
      <c r="D95" s="64">
        <v>26.88</v>
      </c>
      <c r="E95" s="64">
        <v>5.14</v>
      </c>
      <c r="F95" s="64">
        <v>3.66</v>
      </c>
      <c r="G95" s="64">
        <v>30.23</v>
      </c>
      <c r="H95" s="64">
        <v>9.2899999999999991</v>
      </c>
      <c r="I95" s="64">
        <v>2.08</v>
      </c>
      <c r="J95" s="64">
        <v>0.2</v>
      </c>
      <c r="K95" s="64">
        <v>331.83</v>
      </c>
      <c r="L95" s="64">
        <v>23.09</v>
      </c>
      <c r="M95" s="64">
        <v>98.2</v>
      </c>
      <c r="N95" s="64">
        <v>41.2</v>
      </c>
      <c r="O95" s="64">
        <v>0</v>
      </c>
      <c r="P95" s="64">
        <v>0.97</v>
      </c>
      <c r="Q95" s="64">
        <v>9.2100000000000009</v>
      </c>
      <c r="R95" s="198"/>
      <c r="S95" s="198"/>
      <c r="T95" s="198"/>
      <c r="U95" s="198"/>
    </row>
    <row r="96" spans="1:26" s="12" customFormat="1" x14ac:dyDescent="0.25">
      <c r="A96" s="211" t="s">
        <v>1199</v>
      </c>
      <c r="B96" s="64">
        <v>25.65</v>
      </c>
      <c r="C96" s="64">
        <v>18.54</v>
      </c>
      <c r="D96" s="64">
        <v>30.26</v>
      </c>
      <c r="E96" s="64">
        <v>5.65</v>
      </c>
      <c r="F96" s="64">
        <v>3.87</v>
      </c>
      <c r="G96" s="64">
        <v>30.23</v>
      </c>
      <c r="H96" s="64">
        <v>9.2899999999999991</v>
      </c>
      <c r="I96" s="64">
        <v>2.1</v>
      </c>
      <c r="J96" s="64">
        <v>0.26</v>
      </c>
      <c r="K96" s="64">
        <v>331.23</v>
      </c>
      <c r="L96" s="64">
        <v>23.2</v>
      </c>
      <c r="M96" s="64">
        <v>98.21</v>
      </c>
      <c r="N96" s="64">
        <v>41.2</v>
      </c>
      <c r="O96" s="64">
        <v>0</v>
      </c>
      <c r="P96" s="64">
        <v>1.06</v>
      </c>
      <c r="Q96" s="64">
        <v>9.24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1200</v>
      </c>
      <c r="B97" s="64">
        <v>18.09</v>
      </c>
      <c r="C97" s="64">
        <v>17.239999999999998</v>
      </c>
      <c r="D97" s="64">
        <v>23.51</v>
      </c>
      <c r="E97" s="64">
        <v>5.34</v>
      </c>
      <c r="F97" s="64">
        <v>3.55</v>
      </c>
      <c r="G97" s="64">
        <v>36.200000000000003</v>
      </c>
      <c r="H97" s="64">
        <v>7.66</v>
      </c>
      <c r="I97" s="64">
        <v>2.13</v>
      </c>
      <c r="J97" s="64">
        <v>0.42</v>
      </c>
      <c r="K97" s="64">
        <v>332.41</v>
      </c>
      <c r="L97" s="64">
        <v>23.23</v>
      </c>
      <c r="M97" s="64">
        <v>98.22</v>
      </c>
      <c r="N97" s="64">
        <v>41.3</v>
      </c>
      <c r="O97" s="64">
        <v>0</v>
      </c>
      <c r="P97" s="64">
        <v>0.84</v>
      </c>
      <c r="Q97" s="64">
        <v>9.26</v>
      </c>
      <c r="R97" s="198"/>
      <c r="S97" s="198"/>
      <c r="T97" s="198"/>
      <c r="U97" s="198"/>
    </row>
    <row r="98" spans="1:33" s="12" customFormat="1" x14ac:dyDescent="0.25">
      <c r="A98" s="211" t="s">
        <v>1201</v>
      </c>
      <c r="B98" s="64">
        <v>15.07</v>
      </c>
      <c r="C98" s="64">
        <v>14.91</v>
      </c>
      <c r="D98" s="64">
        <v>19.88</v>
      </c>
      <c r="E98" s="64">
        <v>5.56</v>
      </c>
      <c r="F98" s="64">
        <v>5.33</v>
      </c>
      <c r="G98" s="64">
        <v>36.630000000000003</v>
      </c>
      <c r="H98" s="64">
        <v>7.66</v>
      </c>
      <c r="I98" s="64">
        <v>2.15</v>
      </c>
      <c r="J98" s="64">
        <v>0.44</v>
      </c>
      <c r="K98" s="64">
        <v>334.28</v>
      </c>
      <c r="L98" s="64">
        <v>23.16</v>
      </c>
      <c r="M98" s="64">
        <v>98.23</v>
      </c>
      <c r="N98" s="64">
        <v>41.4</v>
      </c>
      <c r="O98" s="64">
        <v>0</v>
      </c>
      <c r="P98" s="64">
        <v>0.84</v>
      </c>
      <c r="Q98" s="64">
        <v>9.26</v>
      </c>
      <c r="R98" s="198"/>
      <c r="S98" s="198"/>
      <c r="T98" s="198"/>
      <c r="U98" s="198"/>
    </row>
    <row r="99" spans="1:33" s="12" customFormat="1" x14ac:dyDescent="0.25">
      <c r="A99" s="211" t="s">
        <v>1202</v>
      </c>
      <c r="B99" s="64">
        <v>15.91</v>
      </c>
      <c r="C99" s="64">
        <v>13.09</v>
      </c>
      <c r="D99" s="64">
        <v>19.600000000000001</v>
      </c>
      <c r="E99" s="64">
        <v>5.67</v>
      </c>
      <c r="F99" s="64">
        <v>4.49</v>
      </c>
      <c r="G99" s="64">
        <v>36.630000000000003</v>
      </c>
      <c r="H99" s="64">
        <v>7.66</v>
      </c>
      <c r="I99" s="64">
        <v>2.1800000000000002</v>
      </c>
      <c r="J99" s="64">
        <v>0.53</v>
      </c>
      <c r="K99" s="64">
        <v>335.17</v>
      </c>
      <c r="L99" s="64">
        <v>23.12</v>
      </c>
      <c r="M99" s="64">
        <v>98.27</v>
      </c>
      <c r="N99" s="64">
        <v>41.4</v>
      </c>
      <c r="O99" s="64">
        <v>0</v>
      </c>
      <c r="P99" s="64">
        <v>0.75</v>
      </c>
      <c r="Q99" s="64">
        <v>9.2799999999999994</v>
      </c>
      <c r="R99" s="198"/>
      <c r="S99" s="198"/>
      <c r="T99" s="198"/>
      <c r="U99" s="198"/>
    </row>
    <row r="100" spans="1:33" s="12" customFormat="1" x14ac:dyDescent="0.25">
      <c r="A100" s="211" t="s">
        <v>1203</v>
      </c>
      <c r="B100" s="64">
        <v>13.29</v>
      </c>
      <c r="C100" s="64">
        <v>15.99</v>
      </c>
      <c r="D100" s="64">
        <v>19.010000000000002</v>
      </c>
      <c r="E100" s="64">
        <v>5.48</v>
      </c>
      <c r="F100" s="64">
        <v>5.25</v>
      </c>
      <c r="G100" s="64">
        <v>36.630000000000003</v>
      </c>
      <c r="H100" s="64">
        <v>7.66</v>
      </c>
      <c r="I100" s="64">
        <v>2.21</v>
      </c>
      <c r="J100" s="64">
        <v>0.55000000000000004</v>
      </c>
      <c r="K100" s="64">
        <v>331.74</v>
      </c>
      <c r="L100" s="64">
        <v>23.12</v>
      </c>
      <c r="M100" s="64">
        <v>98.28</v>
      </c>
      <c r="N100" s="64">
        <v>41.4</v>
      </c>
      <c r="O100" s="64">
        <v>0</v>
      </c>
      <c r="P100" s="64">
        <v>0.75</v>
      </c>
      <c r="Q100" s="64">
        <v>9.2899999999999991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1204</v>
      </c>
      <c r="B101" s="64">
        <v>14.68</v>
      </c>
      <c r="C101" s="64">
        <v>11.94</v>
      </c>
      <c r="D101" s="64">
        <v>18.010000000000002</v>
      </c>
      <c r="E101" s="64">
        <v>5.52</v>
      </c>
      <c r="F101" s="64">
        <v>3.03</v>
      </c>
      <c r="G101" s="64">
        <v>35.4</v>
      </c>
      <c r="H101" s="64">
        <v>8.6999999999999993</v>
      </c>
      <c r="I101" s="64">
        <v>2.23</v>
      </c>
      <c r="J101" s="64">
        <v>0.65</v>
      </c>
      <c r="K101" s="64">
        <v>336.42</v>
      </c>
      <c r="L101" s="64">
        <v>22.99</v>
      </c>
      <c r="M101" s="64">
        <v>98.31</v>
      </c>
      <c r="N101" s="64">
        <v>41.3</v>
      </c>
      <c r="O101" s="64">
        <v>0</v>
      </c>
      <c r="P101" s="64">
        <v>0.75</v>
      </c>
      <c r="Q101" s="64">
        <v>9.2799999999999994</v>
      </c>
      <c r="R101" s="198"/>
      <c r="S101" s="198"/>
      <c r="T101" s="198"/>
      <c r="U101" s="198"/>
    </row>
    <row r="102" spans="1:33" s="12" customFormat="1" x14ac:dyDescent="0.25">
      <c r="A102" s="211" t="s">
        <v>1205</v>
      </c>
      <c r="B102" s="64">
        <v>16.03</v>
      </c>
      <c r="C102" s="64">
        <v>9.85</v>
      </c>
      <c r="D102" s="64">
        <v>18</v>
      </c>
      <c r="E102" s="64">
        <v>5.44</v>
      </c>
      <c r="F102" s="64">
        <v>3.21</v>
      </c>
      <c r="G102" s="64">
        <v>35.31</v>
      </c>
      <c r="H102" s="64">
        <v>8.6999999999999993</v>
      </c>
      <c r="I102" s="64">
        <v>2.2400000000000002</v>
      </c>
      <c r="J102" s="64">
        <v>0.54</v>
      </c>
      <c r="K102" s="64">
        <v>337.16</v>
      </c>
      <c r="L102" s="64">
        <v>22.88</v>
      </c>
      <c r="M102" s="64">
        <v>98.42</v>
      </c>
      <c r="N102" s="64">
        <v>41.5</v>
      </c>
      <c r="O102" s="64">
        <v>0</v>
      </c>
      <c r="P102" s="64">
        <v>0.75</v>
      </c>
      <c r="Q102" s="64">
        <v>9.26</v>
      </c>
      <c r="R102" s="198"/>
      <c r="S102" s="198"/>
      <c r="T102" s="198"/>
      <c r="U102" s="198"/>
    </row>
    <row r="103" spans="1:33" s="12" customFormat="1" x14ac:dyDescent="0.25">
      <c r="A103" s="211" t="s">
        <v>1206</v>
      </c>
      <c r="B103" s="64">
        <v>12.28</v>
      </c>
      <c r="C103" s="64">
        <v>13.56</v>
      </c>
      <c r="D103" s="64">
        <v>16.940000000000001</v>
      </c>
      <c r="E103" s="64">
        <v>5.09</v>
      </c>
      <c r="F103" s="64">
        <v>2.69</v>
      </c>
      <c r="G103" s="64">
        <v>35.31</v>
      </c>
      <c r="H103" s="64">
        <v>8.6999999999999993</v>
      </c>
      <c r="I103" s="64">
        <v>2.2400000000000002</v>
      </c>
      <c r="J103" s="64">
        <v>0.11</v>
      </c>
      <c r="K103" s="64">
        <v>307.66000000000003</v>
      </c>
      <c r="L103" s="64">
        <v>22.83</v>
      </c>
      <c r="M103" s="64">
        <v>98.33</v>
      </c>
      <c r="N103" s="64">
        <v>41.5</v>
      </c>
      <c r="O103" s="64">
        <v>0</v>
      </c>
      <c r="P103" s="64">
        <v>0.73</v>
      </c>
      <c r="Q103" s="64">
        <v>9.24</v>
      </c>
      <c r="R103" s="198"/>
      <c r="S103" s="198"/>
      <c r="T103" s="198"/>
      <c r="U103" s="198"/>
    </row>
    <row r="104" spans="1:33" s="12" customFormat="1" x14ac:dyDescent="0.25">
      <c r="A104" s="211" t="s">
        <v>1207</v>
      </c>
      <c r="B104" s="64">
        <v>11.84</v>
      </c>
      <c r="C104" s="64">
        <v>11.72</v>
      </c>
      <c r="D104" s="64">
        <v>15.62</v>
      </c>
      <c r="E104" s="64">
        <v>4.74</v>
      </c>
      <c r="F104" s="64">
        <v>5.17</v>
      </c>
      <c r="G104" s="64">
        <v>35.31</v>
      </c>
      <c r="H104" s="64">
        <v>8.6999999999999993</v>
      </c>
      <c r="I104" s="64">
        <v>2.2400000000000002</v>
      </c>
      <c r="J104" s="64">
        <v>0.09</v>
      </c>
      <c r="K104" s="64">
        <v>190.76</v>
      </c>
      <c r="L104" s="64">
        <v>22.73</v>
      </c>
      <c r="M104" s="64">
        <v>98.33</v>
      </c>
      <c r="N104" s="64">
        <v>41.5</v>
      </c>
      <c r="O104" s="64">
        <v>0</v>
      </c>
      <c r="P104" s="64">
        <v>0.6</v>
      </c>
      <c r="Q104" s="64">
        <v>9.23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6.09</v>
      </c>
      <c r="C106" s="67">
        <f>MIN(C9:C104)</f>
        <v>5.71</v>
      </c>
      <c r="D106" s="67">
        <f t="shared" ref="D106:Q106" si="0">MIN(D9:D104)</f>
        <v>12.25</v>
      </c>
      <c r="E106" s="67">
        <f t="shared" si="0"/>
        <v>4.74</v>
      </c>
      <c r="F106" s="67">
        <f t="shared" si="0"/>
        <v>2.1</v>
      </c>
      <c r="G106" s="67">
        <f t="shared" si="0"/>
        <v>12.01</v>
      </c>
      <c r="H106" s="67">
        <f t="shared" si="0"/>
        <v>5.67</v>
      </c>
      <c r="I106" s="67">
        <f t="shared" si="0"/>
        <v>1.61</v>
      </c>
      <c r="J106" s="67">
        <f t="shared" si="0"/>
        <v>0.02</v>
      </c>
      <c r="K106" s="67">
        <f t="shared" si="0"/>
        <v>6.45</v>
      </c>
      <c r="L106" s="67">
        <f t="shared" si="0"/>
        <v>21.5</v>
      </c>
      <c r="M106" s="67">
        <f t="shared" si="0"/>
        <v>85.46</v>
      </c>
      <c r="N106" s="67">
        <f t="shared" si="0"/>
        <v>40.9</v>
      </c>
      <c r="O106" s="67">
        <f t="shared" si="0"/>
        <v>0</v>
      </c>
      <c r="P106" s="67">
        <f t="shared" si="0"/>
        <v>0.44</v>
      </c>
      <c r="Q106" s="67">
        <f t="shared" si="0"/>
        <v>9.08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25.65</v>
      </c>
      <c r="C107" s="66">
        <f t="shared" ref="C107:Q107" si="1">MAX(C9:C104)</f>
        <v>31.48</v>
      </c>
      <c r="D107" s="66">
        <f t="shared" si="1"/>
        <v>31.86</v>
      </c>
      <c r="E107" s="66">
        <f t="shared" si="1"/>
        <v>9.35</v>
      </c>
      <c r="F107" s="66">
        <f t="shared" si="1"/>
        <v>14.05</v>
      </c>
      <c r="G107" s="66">
        <f t="shared" si="1"/>
        <v>76.42</v>
      </c>
      <c r="H107" s="66">
        <f t="shared" si="1"/>
        <v>13.76</v>
      </c>
      <c r="I107" s="66">
        <f t="shared" si="1"/>
        <v>2.2400000000000002</v>
      </c>
      <c r="J107" s="66">
        <f t="shared" si="1"/>
        <v>1.43</v>
      </c>
      <c r="K107" s="66">
        <f t="shared" si="1"/>
        <v>355.95</v>
      </c>
      <c r="L107" s="66">
        <f t="shared" si="1"/>
        <v>29.73</v>
      </c>
      <c r="M107" s="66">
        <f t="shared" si="1"/>
        <v>98.42</v>
      </c>
      <c r="N107" s="66">
        <f t="shared" si="1"/>
        <v>464.9</v>
      </c>
      <c r="O107" s="66">
        <f t="shared" si="1"/>
        <v>0</v>
      </c>
      <c r="P107" s="66">
        <f t="shared" si="1"/>
        <v>1.24</v>
      </c>
      <c r="Q107" s="66">
        <f t="shared" si="1"/>
        <v>9.35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13.596041666666657</v>
      </c>
      <c r="C108" s="67">
        <f t="shared" ref="C108:Q108" si="2">AVERAGE(C9:C104)</f>
        <v>15.293645833333329</v>
      </c>
      <c r="D108" s="67">
        <f t="shared" si="2"/>
        <v>18.859166666666667</v>
      </c>
      <c r="E108" s="67">
        <f t="shared" si="2"/>
        <v>6.053541666666665</v>
      </c>
      <c r="F108" s="67">
        <f t="shared" si="2"/>
        <v>5.2345833333333331</v>
      </c>
      <c r="G108" s="67">
        <f t="shared" si="2"/>
        <v>32.080520833333338</v>
      </c>
      <c r="H108" s="67">
        <f t="shared" si="2"/>
        <v>8.4454166666666648</v>
      </c>
      <c r="I108" s="67">
        <f t="shared" si="2"/>
        <v>1.9409375000000004</v>
      </c>
      <c r="J108" s="67">
        <f t="shared" si="2"/>
        <v>0.40208333333333335</v>
      </c>
      <c r="K108" s="67">
        <f t="shared" si="2"/>
        <v>214.30197916666654</v>
      </c>
      <c r="L108" s="67">
        <f t="shared" si="2"/>
        <v>24.420208333333324</v>
      </c>
      <c r="M108" s="67">
        <f t="shared" si="2"/>
        <v>96.484166666666667</v>
      </c>
      <c r="N108" s="67">
        <f t="shared" si="2"/>
        <v>123.67916666666667</v>
      </c>
      <c r="O108" s="67">
        <f t="shared" si="2"/>
        <v>0</v>
      </c>
      <c r="P108" s="67">
        <f t="shared" si="2"/>
        <v>0.68354166666666683</v>
      </c>
      <c r="Q108" s="67">
        <f t="shared" si="2"/>
        <v>9.2154166666666679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4.5932030972930784</v>
      </c>
      <c r="C109" s="67">
        <f t="shared" ref="C109:Q109" si="3">STDEV(C9:C104)</f>
        <v>6.0216485100434838</v>
      </c>
      <c r="D109" s="67">
        <f t="shared" si="3"/>
        <v>4.4468398398642019</v>
      </c>
      <c r="E109" s="67">
        <f t="shared" si="3"/>
        <v>0.7104809033570938</v>
      </c>
      <c r="F109" s="67">
        <f t="shared" si="3"/>
        <v>3.5607976388109139</v>
      </c>
      <c r="G109" s="67">
        <f t="shared" si="3"/>
        <v>14.1534337563115</v>
      </c>
      <c r="H109" s="67">
        <f t="shared" si="3"/>
        <v>1.898136436040506</v>
      </c>
      <c r="I109" s="67">
        <f t="shared" si="3"/>
        <v>0.17885647362590693</v>
      </c>
      <c r="J109" s="67">
        <f t="shared" si="3"/>
        <v>0.3615286744590811</v>
      </c>
      <c r="K109" s="67">
        <f t="shared" si="3"/>
        <v>116.71627941853234</v>
      </c>
      <c r="L109" s="67">
        <f t="shared" si="3"/>
        <v>2.4001929655612741</v>
      </c>
      <c r="M109" s="67">
        <f t="shared" si="3"/>
        <v>3.1837510702303624</v>
      </c>
      <c r="N109" s="67">
        <f t="shared" si="3"/>
        <v>115.86579797485915</v>
      </c>
      <c r="O109" s="67">
        <f t="shared" si="3"/>
        <v>0</v>
      </c>
      <c r="P109" s="67">
        <f t="shared" si="3"/>
        <v>0.16340443314650174</v>
      </c>
      <c r="Q109" s="67">
        <f t="shared" si="3"/>
        <v>6.6726727331339067E-2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4" sqref="J11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1208</v>
      </c>
      <c r="B9" s="64">
        <v>12.72</v>
      </c>
      <c r="C9" s="64">
        <v>10.95</v>
      </c>
      <c r="D9" s="64">
        <v>15.92</v>
      </c>
      <c r="E9" s="64">
        <v>5.41</v>
      </c>
      <c r="F9" s="64">
        <v>2.98</v>
      </c>
      <c r="G9" s="64">
        <v>31.39</v>
      </c>
      <c r="H9" s="64">
        <v>8.1</v>
      </c>
      <c r="I9" s="64">
        <v>2.25</v>
      </c>
      <c r="J9" s="64">
        <v>0.05</v>
      </c>
      <c r="K9" s="64">
        <v>221.24</v>
      </c>
      <c r="L9" s="64">
        <v>22.67</v>
      </c>
      <c r="M9" s="64">
        <v>98.32</v>
      </c>
      <c r="N9" s="64">
        <v>41.3</v>
      </c>
      <c r="O9" s="64">
        <v>0</v>
      </c>
      <c r="P9" s="64">
        <v>0.72</v>
      </c>
      <c r="Q9" s="64">
        <v>9.2200000000000006</v>
      </c>
      <c r="R9" s="198"/>
      <c r="S9" s="198"/>
      <c r="T9" s="198"/>
      <c r="U9" s="198"/>
    </row>
    <row r="10" spans="1:21" s="12" customFormat="1" x14ac:dyDescent="0.25">
      <c r="A10" s="211" t="s">
        <v>1209</v>
      </c>
      <c r="B10" s="64">
        <v>12.09</v>
      </c>
      <c r="C10" s="64">
        <v>9.18</v>
      </c>
      <c r="D10" s="64">
        <v>14.49</v>
      </c>
      <c r="E10" s="64">
        <v>5.35</v>
      </c>
      <c r="F10" s="64">
        <v>4.5</v>
      </c>
      <c r="G10" s="64">
        <v>31.11</v>
      </c>
      <c r="H10" s="64">
        <v>8.1</v>
      </c>
      <c r="I10" s="64">
        <v>2.2400000000000002</v>
      </c>
      <c r="J10" s="64">
        <v>0.12</v>
      </c>
      <c r="K10" s="64">
        <v>280.06</v>
      </c>
      <c r="L10" s="64">
        <v>22.67</v>
      </c>
      <c r="M10" s="64">
        <v>98.29</v>
      </c>
      <c r="N10" s="64">
        <v>41.4</v>
      </c>
      <c r="O10" s="64">
        <v>0</v>
      </c>
      <c r="P10" s="64">
        <v>0.64</v>
      </c>
      <c r="Q10" s="64">
        <v>9.23</v>
      </c>
      <c r="R10" s="198"/>
      <c r="S10" s="198"/>
      <c r="T10" s="198"/>
      <c r="U10" s="198"/>
    </row>
    <row r="11" spans="1:21" s="12" customFormat="1" x14ac:dyDescent="0.25">
      <c r="A11" s="211" t="s">
        <v>1210</v>
      </c>
      <c r="B11" s="64">
        <v>12.13</v>
      </c>
      <c r="C11" s="64">
        <v>9.08</v>
      </c>
      <c r="D11" s="64">
        <v>14.47</v>
      </c>
      <c r="E11" s="64">
        <v>5.36</v>
      </c>
      <c r="F11" s="64">
        <v>4.7300000000000004</v>
      </c>
      <c r="G11" s="64">
        <v>31.11</v>
      </c>
      <c r="H11" s="64">
        <v>8.1</v>
      </c>
      <c r="I11" s="64">
        <v>2.21</v>
      </c>
      <c r="J11" s="64">
        <v>0.06</v>
      </c>
      <c r="K11" s="64">
        <v>236.72</v>
      </c>
      <c r="L11" s="64">
        <v>22.65</v>
      </c>
      <c r="M11" s="64">
        <v>98.3</v>
      </c>
      <c r="N11" s="64">
        <v>41.5</v>
      </c>
      <c r="O11" s="64">
        <v>0</v>
      </c>
      <c r="P11" s="64">
        <v>0.64</v>
      </c>
      <c r="Q11" s="64">
        <v>9.23</v>
      </c>
      <c r="R11" s="198"/>
      <c r="S11" s="198"/>
      <c r="T11" s="198"/>
      <c r="U11" s="198"/>
    </row>
    <row r="12" spans="1:21" s="12" customFormat="1" x14ac:dyDescent="0.25">
      <c r="A12" s="211" t="s">
        <v>1211</v>
      </c>
      <c r="B12" s="64">
        <v>12.13</v>
      </c>
      <c r="C12" s="64">
        <v>7.86</v>
      </c>
      <c r="D12" s="64">
        <v>13.83</v>
      </c>
      <c r="E12" s="64">
        <v>5.0199999999999996</v>
      </c>
      <c r="F12" s="64">
        <v>4.3499999999999996</v>
      </c>
      <c r="G12" s="64">
        <v>31.11</v>
      </c>
      <c r="H12" s="64">
        <v>8.1</v>
      </c>
      <c r="I12" s="64">
        <v>2.19</v>
      </c>
      <c r="J12" s="64">
        <v>0.28999999999999998</v>
      </c>
      <c r="K12" s="64">
        <v>322.14</v>
      </c>
      <c r="L12" s="64">
        <v>22.63</v>
      </c>
      <c r="M12" s="64">
        <v>98.3</v>
      </c>
      <c r="N12" s="64">
        <v>41.5</v>
      </c>
      <c r="O12" s="64">
        <v>0</v>
      </c>
      <c r="P12" s="64">
        <v>0.61</v>
      </c>
      <c r="Q12" s="64">
        <v>9.2200000000000006</v>
      </c>
      <c r="R12" s="198"/>
      <c r="S12" s="198"/>
      <c r="T12" s="198"/>
      <c r="U12" s="198"/>
    </row>
    <row r="13" spans="1:21" s="12" customFormat="1" x14ac:dyDescent="0.25">
      <c r="A13" s="211" t="s">
        <v>1212</v>
      </c>
      <c r="B13" s="64">
        <v>10.34</v>
      </c>
      <c r="C13" s="64">
        <v>8.74</v>
      </c>
      <c r="D13" s="64">
        <v>12.86</v>
      </c>
      <c r="E13" s="64">
        <v>5.28</v>
      </c>
      <c r="F13" s="64">
        <v>5.87</v>
      </c>
      <c r="G13" s="64">
        <v>28.32</v>
      </c>
      <c r="H13" s="64">
        <v>6.83</v>
      </c>
      <c r="I13" s="64">
        <v>2.17</v>
      </c>
      <c r="J13" s="64">
        <v>0.48</v>
      </c>
      <c r="K13" s="64">
        <v>334.09</v>
      </c>
      <c r="L13" s="64">
        <v>22.61</v>
      </c>
      <c r="M13" s="64">
        <v>98.34</v>
      </c>
      <c r="N13" s="64">
        <v>41.4</v>
      </c>
      <c r="O13" s="64">
        <v>0</v>
      </c>
      <c r="P13" s="64">
        <v>0.51</v>
      </c>
      <c r="Q13" s="64">
        <v>9.1999999999999993</v>
      </c>
      <c r="R13" s="198"/>
      <c r="S13" s="198"/>
      <c r="T13" s="198"/>
      <c r="U13" s="198"/>
    </row>
    <row r="14" spans="1:21" s="12" customFormat="1" x14ac:dyDescent="0.25">
      <c r="A14" s="211" t="s">
        <v>1213</v>
      </c>
      <c r="B14" s="64">
        <v>12.95</v>
      </c>
      <c r="C14" s="64">
        <v>8.92</v>
      </c>
      <c r="D14" s="64">
        <v>15.05</v>
      </c>
      <c r="E14" s="64">
        <v>5.01</v>
      </c>
      <c r="F14" s="64">
        <v>2.16</v>
      </c>
      <c r="G14" s="64">
        <v>28.12</v>
      </c>
      <c r="H14" s="64">
        <v>6.83</v>
      </c>
      <c r="I14" s="64">
        <v>2.13</v>
      </c>
      <c r="J14" s="64">
        <v>0.22</v>
      </c>
      <c r="K14" s="64">
        <v>325.58999999999997</v>
      </c>
      <c r="L14" s="64">
        <v>22.49</v>
      </c>
      <c r="M14" s="64">
        <v>98.46</v>
      </c>
      <c r="N14" s="64">
        <v>41.5</v>
      </c>
      <c r="O14" s="64">
        <v>0</v>
      </c>
      <c r="P14" s="64">
        <v>0.59</v>
      </c>
      <c r="Q14" s="64">
        <v>9.1999999999999993</v>
      </c>
      <c r="R14" s="198"/>
      <c r="S14" s="198"/>
      <c r="T14" s="198"/>
      <c r="U14" s="198"/>
    </row>
    <row r="15" spans="1:21" s="12" customFormat="1" x14ac:dyDescent="0.25">
      <c r="A15" s="211" t="s">
        <v>1214</v>
      </c>
      <c r="B15" s="64">
        <v>11.02</v>
      </c>
      <c r="C15" s="64">
        <v>11.5</v>
      </c>
      <c r="D15" s="64">
        <v>14.84</v>
      </c>
      <c r="E15" s="64">
        <v>5.1100000000000003</v>
      </c>
      <c r="F15" s="64">
        <v>4.78</v>
      </c>
      <c r="G15" s="64">
        <v>28.12</v>
      </c>
      <c r="H15" s="64">
        <v>6.83</v>
      </c>
      <c r="I15" s="64">
        <v>2.09</v>
      </c>
      <c r="J15" s="64">
        <v>0.72</v>
      </c>
      <c r="K15" s="64">
        <v>337.48</v>
      </c>
      <c r="L15" s="64">
        <v>22.39</v>
      </c>
      <c r="M15" s="64">
        <v>98.38</v>
      </c>
      <c r="N15" s="64">
        <v>41.3</v>
      </c>
      <c r="O15" s="64">
        <v>0</v>
      </c>
      <c r="P15" s="64">
        <v>0.51</v>
      </c>
      <c r="Q15" s="64">
        <v>9.19</v>
      </c>
      <c r="R15" s="198"/>
      <c r="S15" s="198"/>
      <c r="T15" s="198"/>
      <c r="U15" s="198"/>
    </row>
    <row r="16" spans="1:21" s="12" customFormat="1" x14ac:dyDescent="0.25">
      <c r="A16" s="211" t="s">
        <v>1215</v>
      </c>
      <c r="B16" s="64">
        <v>10.31</v>
      </c>
      <c r="C16" s="64">
        <v>11.51</v>
      </c>
      <c r="D16" s="64">
        <v>14.28</v>
      </c>
      <c r="E16" s="64">
        <v>5.15</v>
      </c>
      <c r="F16" s="64">
        <v>3.95</v>
      </c>
      <c r="G16" s="64">
        <v>28.12</v>
      </c>
      <c r="H16" s="64">
        <v>6.83</v>
      </c>
      <c r="I16" s="64">
        <v>2.0699999999999998</v>
      </c>
      <c r="J16" s="64">
        <v>0.74</v>
      </c>
      <c r="K16" s="64">
        <v>337.77</v>
      </c>
      <c r="L16" s="64">
        <v>22.32</v>
      </c>
      <c r="M16" s="64">
        <v>98.38</v>
      </c>
      <c r="N16" s="64">
        <v>41.3</v>
      </c>
      <c r="O16" s="64">
        <v>0</v>
      </c>
      <c r="P16" s="64">
        <v>0.5</v>
      </c>
      <c r="Q16" s="64">
        <v>9.1999999999999993</v>
      </c>
      <c r="R16" s="198"/>
      <c r="S16" s="198"/>
      <c r="T16" s="198"/>
      <c r="U16" s="198"/>
    </row>
    <row r="17" spans="1:21" s="12" customFormat="1" x14ac:dyDescent="0.25">
      <c r="A17" s="211" t="s">
        <v>1216</v>
      </c>
      <c r="B17" s="64">
        <v>9.31</v>
      </c>
      <c r="C17" s="64">
        <v>13.24</v>
      </c>
      <c r="D17" s="64">
        <v>14.38</v>
      </c>
      <c r="E17" s="64">
        <v>4.99</v>
      </c>
      <c r="F17" s="64">
        <v>2.84</v>
      </c>
      <c r="G17" s="64">
        <v>29.47</v>
      </c>
      <c r="H17" s="64">
        <v>5.99</v>
      </c>
      <c r="I17" s="64">
        <v>2.11</v>
      </c>
      <c r="J17" s="64">
        <v>0.43</v>
      </c>
      <c r="K17" s="64">
        <v>340.1</v>
      </c>
      <c r="L17" s="64">
        <v>22.38</v>
      </c>
      <c r="M17" s="64">
        <v>98.38</v>
      </c>
      <c r="N17" s="64">
        <v>41.5</v>
      </c>
      <c r="O17" s="64">
        <v>0</v>
      </c>
      <c r="P17" s="64">
        <v>0.48</v>
      </c>
      <c r="Q17" s="64">
        <v>9.2100000000000009</v>
      </c>
      <c r="R17" s="198"/>
      <c r="S17" s="198"/>
      <c r="T17" s="198"/>
      <c r="U17" s="198"/>
    </row>
    <row r="18" spans="1:21" s="12" customFormat="1" x14ac:dyDescent="0.25">
      <c r="A18" s="211" t="s">
        <v>1217</v>
      </c>
      <c r="B18" s="64">
        <v>9.9700000000000006</v>
      </c>
      <c r="C18" s="64">
        <v>12.71</v>
      </c>
      <c r="D18" s="64">
        <v>14.64</v>
      </c>
      <c r="E18" s="64">
        <v>5.43</v>
      </c>
      <c r="F18" s="64">
        <v>2.1</v>
      </c>
      <c r="G18" s="64">
        <v>29.57</v>
      </c>
      <c r="H18" s="64">
        <v>5.99</v>
      </c>
      <c r="I18" s="64">
        <v>2.23</v>
      </c>
      <c r="J18" s="64">
        <v>0.76</v>
      </c>
      <c r="K18" s="64">
        <v>340.45</v>
      </c>
      <c r="L18" s="64">
        <v>22.36</v>
      </c>
      <c r="M18" s="64">
        <v>98.38</v>
      </c>
      <c r="N18" s="64">
        <v>41.5</v>
      </c>
      <c r="O18" s="64">
        <v>0</v>
      </c>
      <c r="P18" s="64">
        <v>0.51</v>
      </c>
      <c r="Q18" s="64">
        <v>9.2100000000000009</v>
      </c>
      <c r="R18" s="198"/>
      <c r="S18" s="198"/>
      <c r="T18" s="198"/>
      <c r="U18" s="198"/>
    </row>
    <row r="19" spans="1:21" s="12" customFormat="1" x14ac:dyDescent="0.25">
      <c r="A19" s="211" t="s">
        <v>1218</v>
      </c>
      <c r="B19" s="64">
        <v>12.25</v>
      </c>
      <c r="C19" s="64">
        <v>11.36</v>
      </c>
      <c r="D19" s="64">
        <v>15.76</v>
      </c>
      <c r="E19" s="64">
        <v>5.7</v>
      </c>
      <c r="F19" s="64">
        <v>2.1</v>
      </c>
      <c r="G19" s="64">
        <v>29.57</v>
      </c>
      <c r="H19" s="64">
        <v>5.99</v>
      </c>
      <c r="I19" s="64">
        <v>2.31</v>
      </c>
      <c r="J19" s="64">
        <v>0.81</v>
      </c>
      <c r="K19" s="64">
        <v>340.67</v>
      </c>
      <c r="L19" s="64">
        <v>22.29</v>
      </c>
      <c r="M19" s="64">
        <v>98.42</v>
      </c>
      <c r="N19" s="64">
        <v>41.5</v>
      </c>
      <c r="O19" s="64">
        <v>0</v>
      </c>
      <c r="P19" s="64">
        <v>0.59</v>
      </c>
      <c r="Q19" s="64">
        <v>9.2100000000000009</v>
      </c>
      <c r="R19" s="198"/>
      <c r="S19" s="198"/>
      <c r="T19" s="198"/>
      <c r="U19" s="198"/>
    </row>
    <row r="20" spans="1:21" s="12" customFormat="1" x14ac:dyDescent="0.25">
      <c r="A20" s="211" t="s">
        <v>1219</v>
      </c>
      <c r="B20" s="64">
        <v>12.6</v>
      </c>
      <c r="C20" s="64">
        <v>10.09</v>
      </c>
      <c r="D20" s="64">
        <v>15.38</v>
      </c>
      <c r="E20" s="64">
        <v>6.04</v>
      </c>
      <c r="F20" s="64">
        <v>2.13</v>
      </c>
      <c r="G20" s="64">
        <v>29.57</v>
      </c>
      <c r="H20" s="64">
        <v>5.99</v>
      </c>
      <c r="I20" s="64">
        <v>2.37</v>
      </c>
      <c r="J20" s="64">
        <v>0.66</v>
      </c>
      <c r="K20" s="64">
        <v>336.33</v>
      </c>
      <c r="L20" s="64">
        <v>22.2</v>
      </c>
      <c r="M20" s="64">
        <v>98.44</v>
      </c>
      <c r="N20" s="64">
        <v>41.5</v>
      </c>
      <c r="O20" s="64">
        <v>0</v>
      </c>
      <c r="P20" s="64">
        <v>0.6</v>
      </c>
      <c r="Q20" s="64">
        <v>9.1999999999999993</v>
      </c>
      <c r="R20" s="198"/>
      <c r="S20" s="198"/>
      <c r="T20" s="198"/>
      <c r="U20" s="198"/>
    </row>
    <row r="21" spans="1:21" s="12" customFormat="1" x14ac:dyDescent="0.25">
      <c r="A21" s="211" t="s">
        <v>1220</v>
      </c>
      <c r="B21" s="64">
        <v>12.14</v>
      </c>
      <c r="C21" s="64">
        <v>13.82</v>
      </c>
      <c r="D21" s="64">
        <v>16.96</v>
      </c>
      <c r="E21" s="64">
        <v>6.37</v>
      </c>
      <c r="F21" s="64">
        <v>2.13</v>
      </c>
      <c r="G21" s="64">
        <v>36.479999999999997</v>
      </c>
      <c r="H21" s="64">
        <v>7.48</v>
      </c>
      <c r="I21" s="64">
        <v>2.4300000000000002</v>
      </c>
      <c r="J21" s="64">
        <v>0.39</v>
      </c>
      <c r="K21" s="64">
        <v>333.31</v>
      </c>
      <c r="L21" s="64">
        <v>22.15</v>
      </c>
      <c r="M21" s="64">
        <v>98.45</v>
      </c>
      <c r="N21" s="64">
        <v>41.5</v>
      </c>
      <c r="O21" s="64">
        <v>0</v>
      </c>
      <c r="P21" s="64">
        <v>0.63</v>
      </c>
      <c r="Q21" s="64">
        <v>9.1999999999999993</v>
      </c>
      <c r="R21" s="198"/>
      <c r="S21" s="198"/>
      <c r="T21" s="198"/>
      <c r="U21" s="198"/>
    </row>
    <row r="22" spans="1:21" s="12" customFormat="1" x14ac:dyDescent="0.25">
      <c r="A22" s="211" t="s">
        <v>1221</v>
      </c>
      <c r="B22" s="64">
        <v>12.65</v>
      </c>
      <c r="C22" s="64">
        <v>14.52</v>
      </c>
      <c r="D22" s="64">
        <v>17.73</v>
      </c>
      <c r="E22" s="64">
        <v>6.34</v>
      </c>
      <c r="F22" s="64">
        <v>2.11</v>
      </c>
      <c r="G22" s="64">
        <v>36.979999999999997</v>
      </c>
      <c r="H22" s="64">
        <v>7.48</v>
      </c>
      <c r="I22" s="64">
        <v>2.46</v>
      </c>
      <c r="J22" s="64">
        <v>0.23</v>
      </c>
      <c r="K22" s="64">
        <v>336.63</v>
      </c>
      <c r="L22" s="64">
        <v>22.14</v>
      </c>
      <c r="M22" s="64">
        <v>98.47</v>
      </c>
      <c r="N22" s="64">
        <v>41.4</v>
      </c>
      <c r="O22" s="64">
        <v>0</v>
      </c>
      <c r="P22" s="64">
        <v>0.69</v>
      </c>
      <c r="Q22" s="64">
        <v>9.2100000000000009</v>
      </c>
      <c r="R22" s="198"/>
      <c r="S22" s="198"/>
      <c r="T22" s="198"/>
      <c r="U22" s="198"/>
    </row>
    <row r="23" spans="1:21" s="12" customFormat="1" x14ac:dyDescent="0.25">
      <c r="A23" s="211" t="s">
        <v>1222</v>
      </c>
      <c r="B23" s="64">
        <v>13.26</v>
      </c>
      <c r="C23" s="64">
        <v>10.08</v>
      </c>
      <c r="D23" s="64">
        <v>15.9</v>
      </c>
      <c r="E23" s="64">
        <v>6.12</v>
      </c>
      <c r="F23" s="64">
        <v>2.1</v>
      </c>
      <c r="G23" s="64">
        <v>36.979999999999997</v>
      </c>
      <c r="H23" s="64">
        <v>7.48</v>
      </c>
      <c r="I23" s="64">
        <v>2.4700000000000002</v>
      </c>
      <c r="J23" s="64">
        <v>0.63</v>
      </c>
      <c r="K23" s="64">
        <v>336.77</v>
      </c>
      <c r="L23" s="64">
        <v>22.03</v>
      </c>
      <c r="M23" s="64">
        <v>98.45</v>
      </c>
      <c r="N23" s="64">
        <v>41.5</v>
      </c>
      <c r="O23" s="64">
        <v>0</v>
      </c>
      <c r="P23" s="64">
        <v>0.63</v>
      </c>
      <c r="Q23" s="64">
        <v>9.2100000000000009</v>
      </c>
      <c r="R23" s="198"/>
      <c r="S23" s="198"/>
      <c r="T23" s="198"/>
      <c r="U23" s="198"/>
    </row>
    <row r="24" spans="1:21" s="12" customFormat="1" x14ac:dyDescent="0.25">
      <c r="A24" s="211" t="s">
        <v>1223</v>
      </c>
      <c r="B24" s="64">
        <v>13.38</v>
      </c>
      <c r="C24" s="64">
        <v>9.7100000000000009</v>
      </c>
      <c r="D24" s="64">
        <v>15.8</v>
      </c>
      <c r="E24" s="64">
        <v>5.76</v>
      </c>
      <c r="F24" s="64">
        <v>2.1</v>
      </c>
      <c r="G24" s="64">
        <v>36.979999999999997</v>
      </c>
      <c r="H24" s="64">
        <v>7.48</v>
      </c>
      <c r="I24" s="64">
        <v>2.62</v>
      </c>
      <c r="J24" s="64">
        <v>0.23</v>
      </c>
      <c r="K24" s="64">
        <v>335.73</v>
      </c>
      <c r="L24" s="64">
        <v>21.99</v>
      </c>
      <c r="M24" s="64">
        <v>98.49</v>
      </c>
      <c r="N24" s="64">
        <v>41.5</v>
      </c>
      <c r="O24" s="64">
        <v>0</v>
      </c>
      <c r="P24" s="64">
        <v>0.68</v>
      </c>
      <c r="Q24" s="64">
        <v>9.1999999999999993</v>
      </c>
      <c r="R24" s="198"/>
      <c r="S24" s="198"/>
      <c r="T24" s="198"/>
      <c r="U24" s="198"/>
    </row>
    <row r="25" spans="1:21" s="12" customFormat="1" x14ac:dyDescent="0.25">
      <c r="A25" s="211" t="s">
        <v>1224</v>
      </c>
      <c r="B25" s="64">
        <v>14.39</v>
      </c>
      <c r="C25" s="64">
        <v>7.97</v>
      </c>
      <c r="D25" s="64">
        <v>15.7</v>
      </c>
      <c r="E25" s="64">
        <v>6.21</v>
      </c>
      <c r="F25" s="64">
        <v>2.1</v>
      </c>
      <c r="G25" s="64">
        <v>53.09</v>
      </c>
      <c r="H25" s="64">
        <v>6.54</v>
      </c>
      <c r="I25" s="64">
        <v>2.57</v>
      </c>
      <c r="J25" s="64">
        <v>0.08</v>
      </c>
      <c r="K25" s="64">
        <v>348.07</v>
      </c>
      <c r="L25" s="64">
        <v>21.94</v>
      </c>
      <c r="M25" s="64">
        <v>98.45</v>
      </c>
      <c r="N25" s="64">
        <v>41.4</v>
      </c>
      <c r="O25" s="64">
        <v>0</v>
      </c>
      <c r="P25" s="64">
        <v>0.65</v>
      </c>
      <c r="Q25" s="64">
        <v>9.1999999999999993</v>
      </c>
      <c r="R25" s="198"/>
      <c r="S25" s="198"/>
      <c r="T25" s="198"/>
      <c r="U25" s="198"/>
    </row>
    <row r="26" spans="1:21" s="12" customFormat="1" x14ac:dyDescent="0.25">
      <c r="A26" s="211" t="s">
        <v>1225</v>
      </c>
      <c r="B26" s="64">
        <v>12.88</v>
      </c>
      <c r="C26" s="64">
        <v>7.73</v>
      </c>
      <c r="D26" s="64">
        <v>14.36</v>
      </c>
      <c r="E26" s="64">
        <v>5.48</v>
      </c>
      <c r="F26" s="64">
        <v>2.63</v>
      </c>
      <c r="G26" s="64">
        <v>54.24</v>
      </c>
      <c r="H26" s="64">
        <v>6.54</v>
      </c>
      <c r="I26" s="64">
        <v>2.46</v>
      </c>
      <c r="J26" s="64">
        <v>0.12</v>
      </c>
      <c r="K26" s="64">
        <v>304.81</v>
      </c>
      <c r="L26" s="64">
        <v>21.91</v>
      </c>
      <c r="M26" s="64">
        <v>98.43</v>
      </c>
      <c r="N26" s="64">
        <v>41.4</v>
      </c>
      <c r="O26" s="64">
        <v>0</v>
      </c>
      <c r="P26" s="64">
        <v>0.61</v>
      </c>
      <c r="Q26" s="64">
        <v>9.19</v>
      </c>
      <c r="R26" s="198"/>
      <c r="S26" s="198"/>
      <c r="T26" s="198"/>
      <c r="U26" s="198"/>
    </row>
    <row r="27" spans="1:21" s="12" customFormat="1" x14ac:dyDescent="0.25">
      <c r="A27" s="211" t="s">
        <v>1226</v>
      </c>
      <c r="B27" s="64">
        <v>12.35</v>
      </c>
      <c r="C27" s="64">
        <v>7.74</v>
      </c>
      <c r="D27" s="64">
        <v>13.95</v>
      </c>
      <c r="E27" s="64">
        <v>5.8</v>
      </c>
      <c r="F27" s="64">
        <v>2.23</v>
      </c>
      <c r="G27" s="64">
        <v>54.24</v>
      </c>
      <c r="H27" s="64">
        <v>6.54</v>
      </c>
      <c r="I27" s="64">
        <v>2.46</v>
      </c>
      <c r="J27" s="64">
        <v>0.4</v>
      </c>
      <c r="K27" s="64">
        <v>335.84</v>
      </c>
      <c r="L27" s="64">
        <v>21.82</v>
      </c>
      <c r="M27" s="64">
        <v>98.41</v>
      </c>
      <c r="N27" s="64">
        <v>41.5</v>
      </c>
      <c r="O27" s="64">
        <v>0</v>
      </c>
      <c r="P27" s="64">
        <v>0.63</v>
      </c>
      <c r="Q27" s="64">
        <v>9.18</v>
      </c>
      <c r="R27" s="198"/>
      <c r="S27" s="198"/>
      <c r="T27" s="198"/>
      <c r="U27" s="198"/>
    </row>
    <row r="28" spans="1:21" s="12" customFormat="1" x14ac:dyDescent="0.25">
      <c r="A28" s="211" t="s">
        <v>1227</v>
      </c>
      <c r="B28" s="64">
        <v>14.24</v>
      </c>
      <c r="C28" s="64">
        <v>8.6199999999999992</v>
      </c>
      <c r="D28" s="64">
        <v>15.92</v>
      </c>
      <c r="E28" s="64">
        <v>5.87</v>
      </c>
      <c r="F28" s="64">
        <v>2.1800000000000002</v>
      </c>
      <c r="G28" s="64">
        <v>54.24</v>
      </c>
      <c r="H28" s="64">
        <v>6.54</v>
      </c>
      <c r="I28" s="64">
        <v>2.44</v>
      </c>
      <c r="J28" s="64">
        <v>0.41</v>
      </c>
      <c r="K28" s="64">
        <v>333.45</v>
      </c>
      <c r="L28" s="64">
        <v>21.85</v>
      </c>
      <c r="M28" s="64">
        <v>98.39</v>
      </c>
      <c r="N28" s="64">
        <v>41.5</v>
      </c>
      <c r="O28" s="64">
        <v>0</v>
      </c>
      <c r="P28" s="64">
        <v>0.59</v>
      </c>
      <c r="Q28" s="64">
        <v>9.18</v>
      </c>
      <c r="R28" s="198"/>
      <c r="S28" s="198"/>
      <c r="T28" s="198"/>
      <c r="U28" s="198"/>
    </row>
    <row r="29" spans="1:21" s="12" customFormat="1" x14ac:dyDescent="0.25">
      <c r="A29" s="211" t="s">
        <v>1228</v>
      </c>
      <c r="B29" s="64">
        <v>13.37</v>
      </c>
      <c r="C29" s="64">
        <v>7.67</v>
      </c>
      <c r="D29" s="64">
        <v>14.73</v>
      </c>
      <c r="E29" s="64">
        <v>6.15</v>
      </c>
      <c r="F29" s="64">
        <v>2.1</v>
      </c>
      <c r="G29" s="64">
        <v>52.03</v>
      </c>
      <c r="H29" s="64">
        <v>5.89</v>
      </c>
      <c r="I29" s="64">
        <v>2.54</v>
      </c>
      <c r="J29" s="64">
        <v>0.3</v>
      </c>
      <c r="K29" s="64">
        <v>338.74</v>
      </c>
      <c r="L29" s="64">
        <v>21.82</v>
      </c>
      <c r="M29" s="64">
        <v>98.38</v>
      </c>
      <c r="N29" s="64">
        <v>41.5</v>
      </c>
      <c r="O29" s="64">
        <v>0</v>
      </c>
      <c r="P29" s="64">
        <v>0.62</v>
      </c>
      <c r="Q29" s="64">
        <v>9.19</v>
      </c>
      <c r="R29" s="198"/>
      <c r="S29" s="198"/>
      <c r="T29" s="198"/>
      <c r="U29" s="198"/>
    </row>
    <row r="30" spans="1:21" s="12" customFormat="1" x14ac:dyDescent="0.25">
      <c r="A30" s="211" t="s">
        <v>1229</v>
      </c>
      <c r="B30" s="64">
        <v>15.75</v>
      </c>
      <c r="C30" s="64">
        <v>8.2100000000000009</v>
      </c>
      <c r="D30" s="64">
        <v>16.920000000000002</v>
      </c>
      <c r="E30" s="64">
        <v>5.41</v>
      </c>
      <c r="F30" s="64">
        <v>2.1</v>
      </c>
      <c r="G30" s="64">
        <v>51.87</v>
      </c>
      <c r="H30" s="64">
        <v>5.89</v>
      </c>
      <c r="I30" s="64">
        <v>2.48</v>
      </c>
      <c r="J30" s="64">
        <v>0.17</v>
      </c>
      <c r="K30" s="64">
        <v>339.73</v>
      </c>
      <c r="L30" s="64">
        <v>21.69</v>
      </c>
      <c r="M30" s="64">
        <v>98.4</v>
      </c>
      <c r="N30" s="64">
        <v>41.5</v>
      </c>
      <c r="O30" s="64">
        <v>0</v>
      </c>
      <c r="P30" s="64">
        <v>0.62</v>
      </c>
      <c r="Q30" s="64">
        <v>9.1999999999999993</v>
      </c>
      <c r="R30" s="198"/>
      <c r="S30" s="198"/>
      <c r="T30" s="198"/>
      <c r="U30" s="198"/>
    </row>
    <row r="31" spans="1:21" s="12" customFormat="1" x14ac:dyDescent="0.25">
      <c r="A31" s="211" t="s">
        <v>1230</v>
      </c>
      <c r="B31" s="64">
        <v>15.62</v>
      </c>
      <c r="C31" s="64">
        <v>6.24</v>
      </c>
      <c r="D31" s="64">
        <v>15.78</v>
      </c>
      <c r="E31" s="64">
        <v>6.02</v>
      </c>
      <c r="F31" s="64">
        <v>2.1</v>
      </c>
      <c r="G31" s="64">
        <v>51.87</v>
      </c>
      <c r="H31" s="64">
        <v>5.89</v>
      </c>
      <c r="I31" s="64">
        <v>2.5</v>
      </c>
      <c r="J31" s="64">
        <v>0.01</v>
      </c>
      <c r="K31" s="64">
        <v>331.66</v>
      </c>
      <c r="L31" s="64">
        <v>21.58</v>
      </c>
      <c r="M31" s="64">
        <v>98.4</v>
      </c>
      <c r="N31" s="64">
        <v>41.9</v>
      </c>
      <c r="O31" s="64">
        <v>0</v>
      </c>
      <c r="P31" s="64">
        <v>0.62</v>
      </c>
      <c r="Q31" s="64">
        <v>9.19</v>
      </c>
      <c r="R31" s="198"/>
      <c r="S31" s="198"/>
      <c r="T31" s="198"/>
      <c r="U31" s="198"/>
    </row>
    <row r="32" spans="1:21" s="12" customFormat="1" x14ac:dyDescent="0.25">
      <c r="A32" s="211" t="s">
        <v>1231</v>
      </c>
      <c r="B32" s="64">
        <v>14.59</v>
      </c>
      <c r="C32" s="64">
        <v>8.3000000000000007</v>
      </c>
      <c r="D32" s="64">
        <v>16.03</v>
      </c>
      <c r="E32" s="64">
        <v>5.66</v>
      </c>
      <c r="F32" s="64">
        <v>2.1</v>
      </c>
      <c r="G32" s="64">
        <v>51.87</v>
      </c>
      <c r="H32" s="64">
        <v>5.89</v>
      </c>
      <c r="I32" s="64">
        <v>2.57</v>
      </c>
      <c r="J32" s="64">
        <v>7.0000000000000007E-2</v>
      </c>
      <c r="K32" s="64">
        <v>113.38</v>
      </c>
      <c r="L32" s="64">
        <v>21.48</v>
      </c>
      <c r="M32" s="64">
        <v>98.41</v>
      </c>
      <c r="N32" s="64">
        <v>46.6</v>
      </c>
      <c r="O32" s="64">
        <v>0</v>
      </c>
      <c r="P32" s="64">
        <v>0.53</v>
      </c>
      <c r="Q32" s="64">
        <v>9.19</v>
      </c>
      <c r="R32" s="198"/>
      <c r="S32" s="198"/>
      <c r="T32" s="198"/>
      <c r="U32" s="198"/>
    </row>
    <row r="33" spans="1:21" s="12" customFormat="1" x14ac:dyDescent="0.25">
      <c r="A33" s="211" t="s">
        <v>1232</v>
      </c>
      <c r="B33" s="64">
        <v>24.87</v>
      </c>
      <c r="C33" s="64">
        <v>10.62</v>
      </c>
      <c r="D33" s="64">
        <v>25.49</v>
      </c>
      <c r="E33" s="64">
        <v>5.95</v>
      </c>
      <c r="F33" s="64">
        <v>2.1</v>
      </c>
      <c r="G33" s="64">
        <v>49.19</v>
      </c>
      <c r="H33" s="64">
        <v>5.44</v>
      </c>
      <c r="I33" s="64">
        <v>2.56</v>
      </c>
      <c r="J33" s="64">
        <v>0.04</v>
      </c>
      <c r="K33" s="64">
        <v>328.65</v>
      </c>
      <c r="L33" s="64">
        <v>21.54</v>
      </c>
      <c r="M33" s="64">
        <v>98.4</v>
      </c>
      <c r="N33" s="64">
        <v>49.8</v>
      </c>
      <c r="O33" s="64">
        <v>0</v>
      </c>
      <c r="P33" s="64">
        <v>0.56999999999999995</v>
      </c>
      <c r="Q33" s="64">
        <v>9.1999999999999993</v>
      </c>
      <c r="R33" s="198"/>
      <c r="S33" s="198"/>
      <c r="T33" s="198"/>
      <c r="U33" s="198"/>
    </row>
    <row r="34" spans="1:21" s="12" customFormat="1" x14ac:dyDescent="0.25">
      <c r="A34" s="211" t="s">
        <v>1233</v>
      </c>
      <c r="B34" s="64">
        <v>12.32</v>
      </c>
      <c r="C34" s="64">
        <v>9</v>
      </c>
      <c r="D34" s="64">
        <v>14.58</v>
      </c>
      <c r="E34" s="64">
        <v>5.95</v>
      </c>
      <c r="F34" s="64">
        <v>2.1</v>
      </c>
      <c r="G34" s="64">
        <v>49</v>
      </c>
      <c r="H34" s="64">
        <v>5.44</v>
      </c>
      <c r="I34" s="64">
        <v>2.5499999999999998</v>
      </c>
      <c r="J34" s="64">
        <v>0.11</v>
      </c>
      <c r="K34" s="64">
        <v>231.53</v>
      </c>
      <c r="L34" s="64">
        <v>21.55</v>
      </c>
      <c r="M34" s="64">
        <v>98.41</v>
      </c>
      <c r="N34" s="64">
        <v>53.4</v>
      </c>
      <c r="O34" s="64">
        <v>0</v>
      </c>
      <c r="P34" s="64">
        <v>0.53</v>
      </c>
      <c r="Q34" s="64">
        <v>9.24</v>
      </c>
      <c r="R34" s="198"/>
      <c r="S34" s="198"/>
      <c r="T34" s="198"/>
      <c r="U34" s="198"/>
    </row>
    <row r="35" spans="1:21" s="12" customFormat="1" x14ac:dyDescent="0.25">
      <c r="A35" s="211" t="s">
        <v>1234</v>
      </c>
      <c r="B35" s="64">
        <v>19.22</v>
      </c>
      <c r="C35" s="64">
        <v>8.9499999999999993</v>
      </c>
      <c r="D35" s="64">
        <v>20.09</v>
      </c>
      <c r="E35" s="64">
        <v>5.78</v>
      </c>
      <c r="F35" s="64">
        <v>2.1</v>
      </c>
      <c r="G35" s="64">
        <v>49</v>
      </c>
      <c r="H35" s="64">
        <v>5.44</v>
      </c>
      <c r="I35" s="64">
        <v>2.54</v>
      </c>
      <c r="J35" s="64">
        <v>0.24</v>
      </c>
      <c r="K35" s="64">
        <v>332.62</v>
      </c>
      <c r="L35" s="64">
        <v>21.74</v>
      </c>
      <c r="M35" s="64">
        <v>98.45</v>
      </c>
      <c r="N35" s="64">
        <v>75.099999999999994</v>
      </c>
      <c r="O35" s="64">
        <v>0</v>
      </c>
      <c r="P35" s="64">
        <v>0.57999999999999996</v>
      </c>
      <c r="Q35" s="64">
        <v>9.25</v>
      </c>
      <c r="R35" s="198"/>
      <c r="S35" s="198"/>
      <c r="T35" s="198"/>
      <c r="U35" s="198"/>
    </row>
    <row r="36" spans="1:21" s="12" customFormat="1" x14ac:dyDescent="0.25">
      <c r="A36" s="211" t="s">
        <v>1235</v>
      </c>
      <c r="B36" s="64">
        <v>16.68</v>
      </c>
      <c r="C36" s="64">
        <v>10.17</v>
      </c>
      <c r="D36" s="64">
        <v>18.690000000000001</v>
      </c>
      <c r="E36" s="64">
        <v>5.45</v>
      </c>
      <c r="F36" s="64">
        <v>2.1</v>
      </c>
      <c r="G36" s="64">
        <v>49</v>
      </c>
      <c r="H36" s="64">
        <v>5.44</v>
      </c>
      <c r="I36" s="64">
        <v>2.52</v>
      </c>
      <c r="J36" s="64">
        <v>0.62</v>
      </c>
      <c r="K36" s="64">
        <v>342.75</v>
      </c>
      <c r="L36" s="64">
        <v>22.28</v>
      </c>
      <c r="M36" s="64">
        <v>98.42</v>
      </c>
      <c r="N36" s="64">
        <v>84</v>
      </c>
      <c r="O36" s="64">
        <v>0</v>
      </c>
      <c r="P36" s="64">
        <v>0.57999999999999996</v>
      </c>
      <c r="Q36" s="64">
        <v>9.27</v>
      </c>
      <c r="R36" s="198"/>
      <c r="S36" s="198"/>
      <c r="T36" s="198"/>
      <c r="U36" s="198"/>
    </row>
    <row r="37" spans="1:21" s="12" customFormat="1" x14ac:dyDescent="0.25">
      <c r="A37" s="211" t="s">
        <v>1236</v>
      </c>
      <c r="B37" s="64">
        <v>19.010000000000002</v>
      </c>
      <c r="C37" s="64">
        <v>5.95</v>
      </c>
      <c r="D37" s="64">
        <v>18.350000000000001</v>
      </c>
      <c r="E37" s="64">
        <v>5.95</v>
      </c>
      <c r="F37" s="64">
        <v>2.1</v>
      </c>
      <c r="G37" s="64">
        <v>48.02</v>
      </c>
      <c r="H37" s="64">
        <v>6.58</v>
      </c>
      <c r="I37" s="64">
        <v>2.5099999999999998</v>
      </c>
      <c r="J37" s="64">
        <v>0.76</v>
      </c>
      <c r="K37" s="64">
        <v>339.29</v>
      </c>
      <c r="L37" s="64">
        <v>22.77</v>
      </c>
      <c r="M37" s="64">
        <v>98.4</v>
      </c>
      <c r="N37" s="64">
        <v>91.7</v>
      </c>
      <c r="O37" s="64">
        <v>0</v>
      </c>
      <c r="P37" s="64">
        <v>0.61</v>
      </c>
      <c r="Q37" s="64">
        <v>9.2799999999999994</v>
      </c>
      <c r="R37" s="198"/>
      <c r="S37" s="198"/>
      <c r="T37" s="198"/>
      <c r="U37" s="198"/>
    </row>
    <row r="38" spans="1:21" s="12" customFormat="1" x14ac:dyDescent="0.25">
      <c r="A38" s="211" t="s">
        <v>1237</v>
      </c>
      <c r="B38" s="64">
        <v>20.48</v>
      </c>
      <c r="C38" s="64">
        <v>10.51</v>
      </c>
      <c r="D38" s="64">
        <v>21.92</v>
      </c>
      <c r="E38" s="64">
        <v>6.39</v>
      </c>
      <c r="F38" s="64">
        <v>2.1</v>
      </c>
      <c r="G38" s="64">
        <v>47.95</v>
      </c>
      <c r="H38" s="64">
        <v>6.58</v>
      </c>
      <c r="I38" s="64">
        <v>2.5099999999999998</v>
      </c>
      <c r="J38" s="64">
        <v>0.25</v>
      </c>
      <c r="K38" s="64">
        <v>345.46</v>
      </c>
      <c r="L38" s="64">
        <v>23.11</v>
      </c>
      <c r="M38" s="64">
        <v>98.29</v>
      </c>
      <c r="N38" s="64">
        <v>99.1</v>
      </c>
      <c r="O38" s="64">
        <v>0</v>
      </c>
      <c r="P38" s="64">
        <v>0.71</v>
      </c>
      <c r="Q38" s="64">
        <v>9.2899999999999991</v>
      </c>
      <c r="R38" s="198"/>
      <c r="S38" s="198"/>
      <c r="T38" s="198"/>
      <c r="U38" s="198"/>
    </row>
    <row r="39" spans="1:21" s="12" customFormat="1" x14ac:dyDescent="0.25">
      <c r="A39" s="211" t="s">
        <v>1238</v>
      </c>
      <c r="B39" s="64">
        <v>20.18</v>
      </c>
      <c r="C39" s="64">
        <v>10.27</v>
      </c>
      <c r="D39" s="64">
        <v>21.55</v>
      </c>
      <c r="E39" s="64">
        <v>6.62</v>
      </c>
      <c r="F39" s="64">
        <v>2.1</v>
      </c>
      <c r="G39" s="64">
        <v>47.95</v>
      </c>
      <c r="H39" s="64">
        <v>6.58</v>
      </c>
      <c r="I39" s="64">
        <v>2.5</v>
      </c>
      <c r="J39" s="64">
        <v>0.38</v>
      </c>
      <c r="K39" s="64">
        <v>334.81</v>
      </c>
      <c r="L39" s="64">
        <v>23.17</v>
      </c>
      <c r="M39" s="64">
        <v>98.3</v>
      </c>
      <c r="N39" s="64">
        <v>95.2</v>
      </c>
      <c r="O39" s="64">
        <v>0</v>
      </c>
      <c r="P39" s="64">
        <v>0.7</v>
      </c>
      <c r="Q39" s="64">
        <v>9.3000000000000007</v>
      </c>
      <c r="R39" s="198"/>
      <c r="S39" s="198"/>
      <c r="T39" s="198"/>
      <c r="U39" s="198"/>
    </row>
    <row r="40" spans="1:21" s="12" customFormat="1" x14ac:dyDescent="0.25">
      <c r="A40" s="211" t="s">
        <v>1239</v>
      </c>
      <c r="B40" s="64">
        <v>24.93</v>
      </c>
      <c r="C40" s="64">
        <v>9.3000000000000007</v>
      </c>
      <c r="D40" s="64">
        <v>24.79</v>
      </c>
      <c r="E40" s="64">
        <v>6.76</v>
      </c>
      <c r="F40" s="64">
        <v>2.1</v>
      </c>
      <c r="G40" s="64">
        <v>47.95</v>
      </c>
      <c r="H40" s="64">
        <v>6.58</v>
      </c>
      <c r="I40" s="64">
        <v>2.4900000000000002</v>
      </c>
      <c r="J40" s="64">
        <v>0.52</v>
      </c>
      <c r="K40" s="64">
        <v>343.7</v>
      </c>
      <c r="L40" s="64">
        <v>23.56</v>
      </c>
      <c r="M40" s="64">
        <v>98.29</v>
      </c>
      <c r="N40" s="64">
        <v>122.5</v>
      </c>
      <c r="O40" s="64">
        <v>0</v>
      </c>
      <c r="P40" s="64">
        <v>0.76</v>
      </c>
      <c r="Q40" s="64">
        <v>9.32</v>
      </c>
      <c r="R40" s="198"/>
      <c r="S40" s="198"/>
      <c r="T40" s="198"/>
      <c r="U40" s="198"/>
    </row>
    <row r="41" spans="1:21" s="12" customFormat="1" x14ac:dyDescent="0.25">
      <c r="A41" s="211" t="s">
        <v>1240</v>
      </c>
      <c r="B41" s="64">
        <v>19.78</v>
      </c>
      <c r="C41" s="64">
        <v>5.91</v>
      </c>
      <c r="D41" s="64">
        <v>18.95</v>
      </c>
      <c r="E41" s="64">
        <v>6.84</v>
      </c>
      <c r="F41" s="64">
        <v>2.1</v>
      </c>
      <c r="G41" s="64">
        <v>55.09</v>
      </c>
      <c r="H41" s="64">
        <v>6.09</v>
      </c>
      <c r="I41" s="64">
        <v>2.5</v>
      </c>
      <c r="J41" s="64">
        <v>0.54</v>
      </c>
      <c r="K41" s="64">
        <v>337.23</v>
      </c>
      <c r="L41" s="64">
        <v>23.97</v>
      </c>
      <c r="M41" s="64">
        <v>98.27</v>
      </c>
      <c r="N41" s="64">
        <v>130.6</v>
      </c>
      <c r="O41" s="64">
        <v>0</v>
      </c>
      <c r="P41" s="64">
        <v>0.71</v>
      </c>
      <c r="Q41" s="64">
        <v>9.34</v>
      </c>
      <c r="R41" s="198"/>
      <c r="S41" s="198"/>
      <c r="T41" s="198"/>
      <c r="U41" s="198"/>
    </row>
    <row r="42" spans="1:21" s="12" customFormat="1" x14ac:dyDescent="0.25">
      <c r="A42" s="211" t="s">
        <v>1241</v>
      </c>
      <c r="B42" s="64">
        <v>23.9</v>
      </c>
      <c r="C42" s="64">
        <v>12.34</v>
      </c>
      <c r="D42" s="64">
        <v>25.61</v>
      </c>
      <c r="E42" s="64">
        <v>6.8</v>
      </c>
      <c r="F42" s="64">
        <v>2.1</v>
      </c>
      <c r="G42" s="64">
        <v>55.6</v>
      </c>
      <c r="H42" s="64">
        <v>6.09</v>
      </c>
      <c r="I42" s="64">
        <v>2.5099999999999998</v>
      </c>
      <c r="J42" s="64">
        <v>0.31</v>
      </c>
      <c r="K42" s="64">
        <v>343.02</v>
      </c>
      <c r="L42" s="64">
        <v>24.38</v>
      </c>
      <c r="M42" s="64">
        <v>98.27</v>
      </c>
      <c r="N42" s="64">
        <v>163.69999999999999</v>
      </c>
      <c r="O42" s="64">
        <v>0</v>
      </c>
      <c r="P42" s="64">
        <v>0.83</v>
      </c>
      <c r="Q42" s="64">
        <v>9.3699999999999992</v>
      </c>
      <c r="R42" s="198"/>
      <c r="S42" s="198"/>
      <c r="T42" s="198"/>
      <c r="U42" s="198"/>
    </row>
    <row r="43" spans="1:21" s="12" customFormat="1" x14ac:dyDescent="0.25">
      <c r="A43" s="211" t="s">
        <v>1242</v>
      </c>
      <c r="B43" s="64">
        <v>22.77</v>
      </c>
      <c r="C43" s="64">
        <v>8.51</v>
      </c>
      <c r="D43" s="64">
        <v>22.7</v>
      </c>
      <c r="E43" s="64">
        <v>7.5</v>
      </c>
      <c r="F43" s="64">
        <v>2.17</v>
      </c>
      <c r="G43" s="64">
        <v>55.6</v>
      </c>
      <c r="H43" s="64">
        <v>6.09</v>
      </c>
      <c r="I43" s="64">
        <v>2.5</v>
      </c>
      <c r="J43" s="64">
        <v>0.28000000000000003</v>
      </c>
      <c r="K43" s="64">
        <v>334.04</v>
      </c>
      <c r="L43" s="64">
        <v>24.88</v>
      </c>
      <c r="M43" s="64">
        <v>98.25</v>
      </c>
      <c r="N43" s="64">
        <v>214.1</v>
      </c>
      <c r="O43" s="64">
        <v>0</v>
      </c>
      <c r="P43" s="64">
        <v>0.72</v>
      </c>
      <c r="Q43" s="64">
        <v>9.3800000000000008</v>
      </c>
      <c r="R43" s="198"/>
      <c r="S43" s="198"/>
      <c r="T43" s="198"/>
      <c r="U43" s="198"/>
    </row>
    <row r="44" spans="1:21" s="12" customFormat="1" x14ac:dyDescent="0.25">
      <c r="A44" s="211" t="s">
        <v>1243</v>
      </c>
      <c r="B44" s="64">
        <v>18.48</v>
      </c>
      <c r="C44" s="64">
        <v>9.1300000000000008</v>
      </c>
      <c r="D44" s="64">
        <v>19.59</v>
      </c>
      <c r="E44" s="64">
        <v>7.69</v>
      </c>
      <c r="F44" s="64">
        <v>2.39</v>
      </c>
      <c r="G44" s="64">
        <v>55.6</v>
      </c>
      <c r="H44" s="64">
        <v>6.09</v>
      </c>
      <c r="I44" s="64">
        <v>2.4</v>
      </c>
      <c r="J44" s="64">
        <v>0.48</v>
      </c>
      <c r="K44" s="64">
        <v>127.54</v>
      </c>
      <c r="L44" s="64">
        <v>24.41</v>
      </c>
      <c r="M44" s="64">
        <v>98.24</v>
      </c>
      <c r="N44" s="64">
        <v>240.4</v>
      </c>
      <c r="O44" s="64">
        <v>0</v>
      </c>
      <c r="P44" s="64">
        <v>0.65</v>
      </c>
      <c r="Q44" s="64">
        <v>9.39</v>
      </c>
      <c r="R44" s="198"/>
      <c r="S44" s="198"/>
      <c r="T44" s="198"/>
      <c r="U44" s="198"/>
    </row>
    <row r="45" spans="1:21" s="12" customFormat="1" x14ac:dyDescent="0.25">
      <c r="A45" s="211" t="s">
        <v>1244</v>
      </c>
      <c r="B45" s="64">
        <v>21.59</v>
      </c>
      <c r="C45" s="64">
        <v>9.75</v>
      </c>
      <c r="D45" s="64">
        <v>22.41</v>
      </c>
      <c r="E45" s="64">
        <v>7.18</v>
      </c>
      <c r="F45" s="64">
        <v>2.1</v>
      </c>
      <c r="G45" s="64">
        <v>59.03</v>
      </c>
      <c r="H45" s="64">
        <v>5.73</v>
      </c>
      <c r="I45" s="64">
        <v>2.33</v>
      </c>
      <c r="J45" s="64">
        <v>7.0000000000000007E-2</v>
      </c>
      <c r="K45" s="64">
        <v>7.92</v>
      </c>
      <c r="L45" s="64">
        <v>25.3</v>
      </c>
      <c r="M45" s="64">
        <v>97.18</v>
      </c>
      <c r="N45" s="64">
        <v>340.9</v>
      </c>
      <c r="O45" s="64">
        <v>0</v>
      </c>
      <c r="P45" s="64">
        <v>0.73</v>
      </c>
      <c r="Q45" s="64">
        <v>9.3800000000000008</v>
      </c>
      <c r="R45" s="198"/>
      <c r="S45" s="198"/>
      <c r="T45" s="198"/>
      <c r="U45" s="198"/>
    </row>
    <row r="46" spans="1:21" s="12" customFormat="1" x14ac:dyDescent="0.25">
      <c r="A46" s="211" t="s">
        <v>1245</v>
      </c>
      <c r="B46" s="64">
        <v>23.06</v>
      </c>
      <c r="C46" s="64">
        <v>11.51</v>
      </c>
      <c r="D46" s="64">
        <v>24.51</v>
      </c>
      <c r="E46" s="64">
        <v>8.16</v>
      </c>
      <c r="F46" s="64">
        <v>2.93</v>
      </c>
      <c r="G46" s="64">
        <v>59.27</v>
      </c>
      <c r="H46" s="64">
        <v>5.73</v>
      </c>
      <c r="I46" s="64">
        <v>2.44</v>
      </c>
      <c r="J46" s="64">
        <v>0.28999999999999998</v>
      </c>
      <c r="K46" s="64">
        <v>341.13</v>
      </c>
      <c r="L46" s="64">
        <v>26.67</v>
      </c>
      <c r="M46" s="64">
        <v>90.84</v>
      </c>
      <c r="N46" s="64">
        <v>367.9</v>
      </c>
      <c r="O46" s="64">
        <v>0</v>
      </c>
      <c r="P46" s="64">
        <v>0.75</v>
      </c>
      <c r="Q46" s="64">
        <v>9.39</v>
      </c>
      <c r="R46" s="198"/>
      <c r="S46" s="198"/>
      <c r="T46" s="198"/>
      <c r="U46" s="198"/>
    </row>
    <row r="47" spans="1:21" s="12" customFormat="1" x14ac:dyDescent="0.25">
      <c r="A47" s="211" t="s">
        <v>1246</v>
      </c>
      <c r="B47" s="64">
        <v>22.43</v>
      </c>
      <c r="C47" s="64">
        <v>6.31</v>
      </c>
      <c r="D47" s="64">
        <v>21.28</v>
      </c>
      <c r="E47" s="64">
        <v>8.11</v>
      </c>
      <c r="F47" s="64">
        <v>2.1</v>
      </c>
      <c r="G47" s="64">
        <v>59.27</v>
      </c>
      <c r="H47" s="64">
        <v>5.73</v>
      </c>
      <c r="I47" s="64">
        <v>2.4</v>
      </c>
      <c r="J47" s="64">
        <v>0.61</v>
      </c>
      <c r="K47" s="64">
        <v>339.68</v>
      </c>
      <c r="L47" s="64">
        <v>28.8</v>
      </c>
      <c r="M47" s="64">
        <v>79.19</v>
      </c>
      <c r="N47" s="64">
        <v>513.1</v>
      </c>
      <c r="O47" s="64">
        <v>0</v>
      </c>
      <c r="P47" s="64">
        <v>0.73</v>
      </c>
      <c r="Q47" s="64">
        <v>9.39</v>
      </c>
      <c r="R47" s="198"/>
      <c r="S47" s="198"/>
      <c r="T47" s="198"/>
      <c r="U47" s="198"/>
    </row>
    <row r="48" spans="1:21" s="12" customFormat="1" x14ac:dyDescent="0.25">
      <c r="A48" s="211" t="s">
        <v>1247</v>
      </c>
      <c r="B48" s="64">
        <v>24.44</v>
      </c>
      <c r="C48" s="64">
        <v>17.61</v>
      </c>
      <c r="D48" s="64">
        <v>28.8</v>
      </c>
      <c r="E48" s="64">
        <v>8.2100000000000009</v>
      </c>
      <c r="F48" s="64">
        <v>7.19</v>
      </c>
      <c r="G48" s="64">
        <v>59.27</v>
      </c>
      <c r="H48" s="64">
        <v>5.73</v>
      </c>
      <c r="I48" s="64">
        <v>2.4300000000000002</v>
      </c>
      <c r="J48" s="64">
        <v>0.71</v>
      </c>
      <c r="K48" s="64">
        <v>342.09</v>
      </c>
      <c r="L48" s="64">
        <v>30.09</v>
      </c>
      <c r="M48" s="64">
        <v>72.83</v>
      </c>
      <c r="N48" s="64">
        <v>553.20000000000005</v>
      </c>
      <c r="O48" s="64">
        <v>0</v>
      </c>
      <c r="P48" s="64">
        <v>0.84</v>
      </c>
      <c r="Q48" s="64">
        <v>9.39</v>
      </c>
      <c r="R48" s="198"/>
      <c r="S48" s="198"/>
      <c r="T48" s="198"/>
      <c r="U48" s="198"/>
    </row>
    <row r="49" spans="1:21" s="12" customFormat="1" x14ac:dyDescent="0.25">
      <c r="A49" s="211" t="s">
        <v>1248</v>
      </c>
      <c r="B49" s="64">
        <v>16.57</v>
      </c>
      <c r="C49" s="64">
        <v>17.59</v>
      </c>
      <c r="D49" s="64">
        <v>22.47</v>
      </c>
      <c r="E49" s="64">
        <v>9.24</v>
      </c>
      <c r="F49" s="64">
        <v>6.81</v>
      </c>
      <c r="G49" s="64">
        <v>52.51</v>
      </c>
      <c r="H49" s="64">
        <v>5.68</v>
      </c>
      <c r="I49" s="64">
        <v>2.4</v>
      </c>
      <c r="J49" s="64">
        <v>0.81</v>
      </c>
      <c r="K49" s="64">
        <v>336.08</v>
      </c>
      <c r="L49" s="64">
        <v>30.3</v>
      </c>
      <c r="M49" s="64">
        <v>71.83</v>
      </c>
      <c r="N49" s="64">
        <v>415.1</v>
      </c>
      <c r="O49" s="64">
        <v>0</v>
      </c>
      <c r="P49" s="64">
        <v>0.79</v>
      </c>
      <c r="Q49" s="64">
        <v>9.3699999999999992</v>
      </c>
      <c r="R49" s="198"/>
      <c r="S49" s="198"/>
      <c r="T49" s="198"/>
      <c r="U49" s="198"/>
    </row>
    <row r="50" spans="1:21" s="12" customFormat="1" x14ac:dyDescent="0.25">
      <c r="A50" s="211" t="s">
        <v>1249</v>
      </c>
      <c r="B50" s="64">
        <v>14.79</v>
      </c>
      <c r="C50" s="64">
        <v>20.11</v>
      </c>
      <c r="D50" s="64">
        <v>22.37</v>
      </c>
      <c r="E50" s="64">
        <v>7.96</v>
      </c>
      <c r="F50" s="64">
        <v>2.72</v>
      </c>
      <c r="G50" s="64">
        <v>52.02</v>
      </c>
      <c r="H50" s="64">
        <v>5.68</v>
      </c>
      <c r="I50" s="64">
        <v>2.36</v>
      </c>
      <c r="J50" s="64">
        <v>0.27</v>
      </c>
      <c r="K50" s="64">
        <v>331.76</v>
      </c>
      <c r="L50" s="64">
        <v>29.69</v>
      </c>
      <c r="M50" s="64">
        <v>73.56</v>
      </c>
      <c r="N50" s="64">
        <v>251.4</v>
      </c>
      <c r="O50" s="64">
        <v>0</v>
      </c>
      <c r="P50" s="64">
        <v>0.79</v>
      </c>
      <c r="Q50" s="64">
        <v>9.35</v>
      </c>
      <c r="R50" s="198"/>
      <c r="S50" s="198"/>
      <c r="T50" s="198"/>
      <c r="U50" s="198"/>
    </row>
    <row r="51" spans="1:21" s="12" customFormat="1" x14ac:dyDescent="0.25">
      <c r="A51" s="211" t="s">
        <v>1250</v>
      </c>
      <c r="B51" s="64">
        <v>13.34</v>
      </c>
      <c r="C51" s="64">
        <v>23.25</v>
      </c>
      <c r="D51" s="64">
        <v>22.84</v>
      </c>
      <c r="E51" s="64">
        <v>8.26</v>
      </c>
      <c r="F51" s="64">
        <v>10.1</v>
      </c>
      <c r="G51" s="64">
        <v>52.02</v>
      </c>
      <c r="H51" s="64">
        <v>5.68</v>
      </c>
      <c r="I51" s="64">
        <v>2.42</v>
      </c>
      <c r="J51" s="64">
        <v>0.15</v>
      </c>
      <c r="K51" s="64">
        <v>8.66</v>
      </c>
      <c r="L51" s="64">
        <v>27.35</v>
      </c>
      <c r="M51" s="64">
        <v>87.24</v>
      </c>
      <c r="N51" s="64">
        <v>230.7</v>
      </c>
      <c r="O51" s="64">
        <v>0</v>
      </c>
      <c r="P51" s="64">
        <v>0.77</v>
      </c>
      <c r="Q51" s="64">
        <v>9.27</v>
      </c>
      <c r="R51" s="198"/>
      <c r="S51" s="198"/>
      <c r="T51" s="198"/>
      <c r="U51" s="198"/>
    </row>
    <row r="52" spans="1:21" s="12" customFormat="1" x14ac:dyDescent="0.25">
      <c r="A52" s="211" t="s">
        <v>1251</v>
      </c>
      <c r="B52" s="64">
        <v>18.04</v>
      </c>
      <c r="C52" s="64">
        <v>23.8</v>
      </c>
      <c r="D52" s="64">
        <v>26.9</v>
      </c>
      <c r="E52" s="64">
        <v>8.89</v>
      </c>
      <c r="F52" s="64">
        <v>9.09</v>
      </c>
      <c r="G52" s="64">
        <v>52.02</v>
      </c>
      <c r="H52" s="64">
        <v>5.68</v>
      </c>
      <c r="I52" s="64">
        <v>2.38</v>
      </c>
      <c r="J52" s="64">
        <v>1.1299999999999999</v>
      </c>
      <c r="K52" s="64">
        <v>337.59</v>
      </c>
      <c r="L52" s="64">
        <v>28.19</v>
      </c>
      <c r="M52" s="64">
        <v>85.68</v>
      </c>
      <c r="N52" s="64">
        <v>345.6</v>
      </c>
      <c r="O52" s="64">
        <v>0</v>
      </c>
      <c r="P52" s="64">
        <v>0.87</v>
      </c>
      <c r="Q52" s="64">
        <v>9.24</v>
      </c>
      <c r="R52" s="198"/>
      <c r="S52" s="198"/>
      <c r="T52" s="198"/>
      <c r="U52" s="198"/>
    </row>
    <row r="53" spans="1:21" s="12" customFormat="1" x14ac:dyDescent="0.25">
      <c r="A53" s="211" t="s">
        <v>1252</v>
      </c>
      <c r="B53" s="64">
        <v>12.77</v>
      </c>
      <c r="C53" s="64">
        <v>24.26</v>
      </c>
      <c r="D53" s="64">
        <v>22.92</v>
      </c>
      <c r="E53" s="64">
        <v>10.039999999999999</v>
      </c>
      <c r="F53" s="64">
        <v>5.53</v>
      </c>
      <c r="G53" s="64">
        <v>60.6</v>
      </c>
      <c r="H53" s="64">
        <v>10.07</v>
      </c>
      <c r="I53" s="64">
        <v>2.37</v>
      </c>
      <c r="J53" s="64">
        <v>0.73</v>
      </c>
      <c r="K53" s="64">
        <v>336.88</v>
      </c>
      <c r="L53" s="64">
        <v>28.65</v>
      </c>
      <c r="M53" s="64">
        <v>83.57</v>
      </c>
      <c r="N53" s="64">
        <v>333.9</v>
      </c>
      <c r="O53" s="64">
        <v>0</v>
      </c>
      <c r="P53" s="64">
        <v>0.86</v>
      </c>
      <c r="Q53" s="64">
        <v>9.24</v>
      </c>
      <c r="R53" s="198"/>
      <c r="S53" s="198"/>
      <c r="T53" s="198"/>
      <c r="U53" s="198"/>
    </row>
    <row r="54" spans="1:21" s="12" customFormat="1" x14ac:dyDescent="0.25">
      <c r="A54" s="211" t="s">
        <v>1253</v>
      </c>
      <c r="B54" s="64">
        <v>15.18</v>
      </c>
      <c r="C54" s="64">
        <v>23.43</v>
      </c>
      <c r="D54" s="64">
        <v>24.41</v>
      </c>
      <c r="E54" s="64">
        <v>10.42</v>
      </c>
      <c r="F54" s="64">
        <v>7.77</v>
      </c>
      <c r="G54" s="64">
        <v>61.21</v>
      </c>
      <c r="H54" s="64">
        <v>10.07</v>
      </c>
      <c r="I54" s="64">
        <v>2.4</v>
      </c>
      <c r="J54" s="64">
        <v>0.72</v>
      </c>
      <c r="K54" s="64">
        <v>337.45</v>
      </c>
      <c r="L54" s="64">
        <v>29.25</v>
      </c>
      <c r="M54" s="64">
        <v>78.88</v>
      </c>
      <c r="N54" s="64">
        <v>298.7</v>
      </c>
      <c r="O54" s="64">
        <v>0</v>
      </c>
      <c r="P54" s="64">
        <v>0.83</v>
      </c>
      <c r="Q54" s="64">
        <v>9.25</v>
      </c>
      <c r="R54" s="198"/>
      <c r="S54" s="198"/>
      <c r="T54" s="198"/>
      <c r="U54" s="198"/>
    </row>
    <row r="55" spans="1:21" s="12" customFormat="1" x14ac:dyDescent="0.25">
      <c r="A55" s="211" t="s">
        <v>1254</v>
      </c>
      <c r="B55" s="64">
        <v>14.83</v>
      </c>
      <c r="C55" s="64">
        <v>25.42</v>
      </c>
      <c r="D55" s="64">
        <v>25.18</v>
      </c>
      <c r="E55" s="64">
        <v>10.130000000000001</v>
      </c>
      <c r="F55" s="64">
        <v>6.71</v>
      </c>
      <c r="G55" s="64">
        <v>61.21</v>
      </c>
      <c r="H55" s="64">
        <v>10.07</v>
      </c>
      <c r="I55" s="64">
        <v>2.41</v>
      </c>
      <c r="J55" s="64">
        <v>0.72</v>
      </c>
      <c r="K55" s="64">
        <v>334.55</v>
      </c>
      <c r="L55" s="64">
        <v>28.84</v>
      </c>
      <c r="M55" s="64">
        <v>82.06</v>
      </c>
      <c r="N55" s="64">
        <v>213</v>
      </c>
      <c r="O55" s="64">
        <v>0</v>
      </c>
      <c r="P55" s="64">
        <v>0.86</v>
      </c>
      <c r="Q55" s="64">
        <v>9.25</v>
      </c>
      <c r="R55" s="198"/>
      <c r="S55" s="198"/>
      <c r="T55" s="198"/>
      <c r="U55" s="198"/>
    </row>
    <row r="56" spans="1:21" s="12" customFormat="1" x14ac:dyDescent="0.25">
      <c r="A56" s="211" t="s">
        <v>1255</v>
      </c>
      <c r="B56" s="64">
        <v>18.61</v>
      </c>
      <c r="C56" s="64">
        <v>24.3</v>
      </c>
      <c r="D56" s="64">
        <v>27.6</v>
      </c>
      <c r="E56" s="64">
        <v>9.52</v>
      </c>
      <c r="F56" s="64">
        <v>10.83</v>
      </c>
      <c r="G56" s="64">
        <v>61.21</v>
      </c>
      <c r="H56" s="64">
        <v>10.07</v>
      </c>
      <c r="I56" s="64">
        <v>2.4300000000000002</v>
      </c>
      <c r="J56" s="64">
        <v>1.03</v>
      </c>
      <c r="K56" s="64">
        <v>338.61</v>
      </c>
      <c r="L56" s="64">
        <v>28.94</v>
      </c>
      <c r="M56" s="64">
        <v>81.73</v>
      </c>
      <c r="N56" s="64">
        <v>452.8</v>
      </c>
      <c r="O56" s="64">
        <v>0</v>
      </c>
      <c r="P56" s="64">
        <v>0.78</v>
      </c>
      <c r="Q56" s="64">
        <v>9.26</v>
      </c>
      <c r="R56" s="198"/>
      <c r="S56" s="198"/>
      <c r="T56" s="198"/>
      <c r="U56" s="198"/>
    </row>
    <row r="57" spans="1:21" s="12" customFormat="1" x14ac:dyDescent="0.25">
      <c r="A57" s="211" t="s">
        <v>1256</v>
      </c>
      <c r="B57" s="64">
        <v>12.54</v>
      </c>
      <c r="C57" s="64">
        <v>20.29</v>
      </c>
      <c r="D57" s="64">
        <v>20.65</v>
      </c>
      <c r="E57" s="64">
        <v>9.9</v>
      </c>
      <c r="F57" s="64">
        <v>6.47</v>
      </c>
      <c r="G57" s="64">
        <v>62.81</v>
      </c>
      <c r="H57" s="64">
        <v>9.77</v>
      </c>
      <c r="I57" s="64">
        <v>2.44</v>
      </c>
      <c r="J57" s="64">
        <v>1.02</v>
      </c>
      <c r="K57" s="64">
        <v>331.19</v>
      </c>
      <c r="L57" s="64">
        <v>30.23</v>
      </c>
      <c r="M57" s="64">
        <v>75.83</v>
      </c>
      <c r="N57" s="64">
        <v>512.29999999999995</v>
      </c>
      <c r="O57" s="64">
        <v>0</v>
      </c>
      <c r="P57" s="64">
        <v>0.81</v>
      </c>
      <c r="Q57" s="64">
        <v>9.3000000000000007</v>
      </c>
      <c r="R57" s="198"/>
      <c r="S57" s="198"/>
      <c r="T57" s="198"/>
      <c r="U57" s="198"/>
    </row>
    <row r="58" spans="1:21" s="12" customFormat="1" x14ac:dyDescent="0.25">
      <c r="A58" s="211" t="s">
        <v>1257</v>
      </c>
      <c r="B58" s="64">
        <v>9.8800000000000008</v>
      </c>
      <c r="C58" s="64">
        <v>22.28</v>
      </c>
      <c r="D58" s="64">
        <v>19.57</v>
      </c>
      <c r="E58" s="64">
        <v>9.24</v>
      </c>
      <c r="F58" s="64">
        <v>3.98</v>
      </c>
      <c r="G58" s="64">
        <v>62.92</v>
      </c>
      <c r="H58" s="64">
        <v>9.77</v>
      </c>
      <c r="I58" s="64">
        <v>2.4300000000000002</v>
      </c>
      <c r="J58" s="64">
        <v>0.56000000000000005</v>
      </c>
      <c r="K58" s="64">
        <v>324.8</v>
      </c>
      <c r="L58" s="64">
        <v>30.44</v>
      </c>
      <c r="M58" s="64">
        <v>74.12</v>
      </c>
      <c r="N58" s="64">
        <v>482.2</v>
      </c>
      <c r="O58" s="64">
        <v>0</v>
      </c>
      <c r="P58" s="64">
        <v>0.79</v>
      </c>
      <c r="Q58" s="64">
        <v>9.27</v>
      </c>
      <c r="R58" s="198"/>
      <c r="S58" s="198"/>
      <c r="T58" s="198"/>
      <c r="U58" s="198"/>
    </row>
    <row r="59" spans="1:21" s="12" customFormat="1" x14ac:dyDescent="0.25">
      <c r="A59" s="211" t="s">
        <v>1258</v>
      </c>
      <c r="B59" s="64">
        <v>8.57</v>
      </c>
      <c r="C59" s="64">
        <v>21.17</v>
      </c>
      <c r="D59" s="64">
        <v>17.940000000000001</v>
      </c>
      <c r="E59" s="64">
        <v>8.02</v>
      </c>
      <c r="F59" s="64">
        <v>4.75</v>
      </c>
      <c r="G59" s="64">
        <v>62.92</v>
      </c>
      <c r="H59" s="64">
        <v>9.77</v>
      </c>
      <c r="I59" s="64">
        <v>2.39</v>
      </c>
      <c r="J59" s="64">
        <v>1.21</v>
      </c>
      <c r="K59" s="64">
        <v>334.77</v>
      </c>
      <c r="L59" s="64">
        <v>30.54</v>
      </c>
      <c r="M59" s="64">
        <v>74.25</v>
      </c>
      <c r="N59" s="64">
        <v>439</v>
      </c>
      <c r="O59" s="64">
        <v>0</v>
      </c>
      <c r="P59" s="64">
        <v>0.78</v>
      </c>
      <c r="Q59" s="64">
        <v>9.23</v>
      </c>
      <c r="R59" s="198"/>
      <c r="S59" s="198"/>
      <c r="T59" s="198"/>
      <c r="U59" s="198"/>
    </row>
    <row r="60" spans="1:21" s="12" customFormat="1" x14ac:dyDescent="0.25">
      <c r="A60" s="211" t="s">
        <v>1259</v>
      </c>
      <c r="B60" s="64">
        <v>8.93</v>
      </c>
      <c r="C60" s="64">
        <v>19.07</v>
      </c>
      <c r="D60" s="64">
        <v>17.12</v>
      </c>
      <c r="E60" s="64">
        <v>8.18</v>
      </c>
      <c r="F60" s="64">
        <v>11.13</v>
      </c>
      <c r="G60" s="64">
        <v>62.92</v>
      </c>
      <c r="H60" s="64">
        <v>9.77</v>
      </c>
      <c r="I60" s="64">
        <v>2.29</v>
      </c>
      <c r="J60" s="64">
        <v>1.1200000000000001</v>
      </c>
      <c r="K60" s="64">
        <v>340.66</v>
      </c>
      <c r="L60" s="64">
        <v>29.81</v>
      </c>
      <c r="M60" s="64">
        <v>76.67</v>
      </c>
      <c r="N60" s="64">
        <v>260.39999999999998</v>
      </c>
      <c r="O60" s="64">
        <v>0</v>
      </c>
      <c r="P60" s="64">
        <v>0.73</v>
      </c>
      <c r="Q60" s="64">
        <v>9.2100000000000009</v>
      </c>
      <c r="R60" s="198"/>
      <c r="S60" s="198"/>
      <c r="T60" s="198"/>
      <c r="U60" s="198"/>
    </row>
    <row r="61" spans="1:21" s="12" customFormat="1" x14ac:dyDescent="0.25">
      <c r="A61" s="211" t="s">
        <v>1260</v>
      </c>
      <c r="B61" s="64">
        <v>9.1300000000000008</v>
      </c>
      <c r="C61" s="64">
        <v>16.84</v>
      </c>
      <c r="D61" s="64">
        <v>16.12</v>
      </c>
      <c r="E61" s="64">
        <v>8.44</v>
      </c>
      <c r="F61" s="64">
        <v>8.8800000000000008</v>
      </c>
      <c r="G61" s="64">
        <v>59.94</v>
      </c>
      <c r="H61" s="64">
        <v>9.1300000000000008</v>
      </c>
      <c r="I61" s="64">
        <v>2.23</v>
      </c>
      <c r="J61" s="64">
        <v>1.26</v>
      </c>
      <c r="K61" s="64">
        <v>336.45</v>
      </c>
      <c r="L61" s="64">
        <v>29.21</v>
      </c>
      <c r="M61" s="64">
        <v>79.94</v>
      </c>
      <c r="N61" s="64">
        <v>294.7</v>
      </c>
      <c r="O61" s="64">
        <v>0</v>
      </c>
      <c r="P61" s="64">
        <v>0.63</v>
      </c>
      <c r="Q61" s="64">
        <v>9.18</v>
      </c>
      <c r="R61" s="198"/>
      <c r="S61" s="198"/>
      <c r="T61" s="198"/>
      <c r="U61" s="198"/>
    </row>
    <row r="62" spans="1:21" s="12" customFormat="1" x14ac:dyDescent="0.25">
      <c r="A62" s="211" t="s">
        <v>1261</v>
      </c>
      <c r="B62" s="64">
        <v>8.5399999999999991</v>
      </c>
      <c r="C62" s="64">
        <v>14.54</v>
      </c>
      <c r="D62" s="64">
        <v>14.44</v>
      </c>
      <c r="E62" s="64">
        <v>7.88</v>
      </c>
      <c r="F62" s="64">
        <v>6.04</v>
      </c>
      <c r="G62" s="64">
        <v>59.72</v>
      </c>
      <c r="H62" s="64">
        <v>9.1300000000000008</v>
      </c>
      <c r="I62" s="64">
        <v>2.2000000000000002</v>
      </c>
      <c r="J62" s="64">
        <v>0.67</v>
      </c>
      <c r="K62" s="64">
        <v>327.37</v>
      </c>
      <c r="L62" s="64">
        <v>29.83</v>
      </c>
      <c r="M62" s="64">
        <v>74.97</v>
      </c>
      <c r="N62" s="64">
        <v>302.10000000000002</v>
      </c>
      <c r="O62" s="64">
        <v>0</v>
      </c>
      <c r="P62" s="64">
        <v>0.65</v>
      </c>
      <c r="Q62" s="64">
        <v>9.17</v>
      </c>
      <c r="R62" s="198"/>
      <c r="S62" s="198"/>
      <c r="T62" s="198"/>
      <c r="U62" s="198"/>
    </row>
    <row r="63" spans="1:21" s="12" customFormat="1" x14ac:dyDescent="0.25">
      <c r="A63" s="211" t="s">
        <v>1262</v>
      </c>
      <c r="B63" s="64">
        <v>10.31</v>
      </c>
      <c r="C63" s="64">
        <v>18.350000000000001</v>
      </c>
      <c r="D63" s="64">
        <v>17.850000000000001</v>
      </c>
      <c r="E63" s="64">
        <v>6.43</v>
      </c>
      <c r="F63" s="64">
        <v>11.47</v>
      </c>
      <c r="G63" s="64">
        <v>59.72</v>
      </c>
      <c r="H63" s="64">
        <v>9.1300000000000008</v>
      </c>
      <c r="I63" s="64">
        <v>2.17</v>
      </c>
      <c r="J63" s="64">
        <v>0.81</v>
      </c>
      <c r="K63" s="64">
        <v>336.43</v>
      </c>
      <c r="L63" s="64">
        <v>29.98</v>
      </c>
      <c r="M63" s="64">
        <v>74.86</v>
      </c>
      <c r="N63" s="64">
        <v>312.7</v>
      </c>
      <c r="O63" s="64">
        <v>0</v>
      </c>
      <c r="P63" s="64">
        <v>0.66</v>
      </c>
      <c r="Q63" s="64">
        <v>9.15</v>
      </c>
      <c r="R63" s="198"/>
      <c r="S63" s="198"/>
      <c r="T63" s="198"/>
      <c r="U63" s="198"/>
    </row>
    <row r="64" spans="1:21" s="12" customFormat="1" x14ac:dyDescent="0.25">
      <c r="A64" s="211" t="s">
        <v>1263</v>
      </c>
      <c r="B64" s="64">
        <v>9.9</v>
      </c>
      <c r="C64" s="64">
        <v>18.66</v>
      </c>
      <c r="D64" s="64">
        <v>17.690000000000001</v>
      </c>
      <c r="E64" s="64">
        <v>7.62</v>
      </c>
      <c r="F64" s="64">
        <v>12.93</v>
      </c>
      <c r="G64" s="64">
        <v>59.72</v>
      </c>
      <c r="H64" s="64">
        <v>9.1300000000000008</v>
      </c>
      <c r="I64" s="64">
        <v>2.14</v>
      </c>
      <c r="J64" s="64">
        <v>0.63</v>
      </c>
      <c r="K64" s="64">
        <v>333.39</v>
      </c>
      <c r="L64" s="64">
        <v>30.38</v>
      </c>
      <c r="M64" s="64">
        <v>73.569999999999993</v>
      </c>
      <c r="N64" s="64">
        <v>246.9</v>
      </c>
      <c r="O64" s="64">
        <v>0</v>
      </c>
      <c r="P64" s="64">
        <v>0.67</v>
      </c>
      <c r="Q64" s="64">
        <v>9.1199999999999992</v>
      </c>
      <c r="R64" s="198"/>
      <c r="S64" s="198"/>
      <c r="T64" s="198"/>
      <c r="U64" s="198"/>
    </row>
    <row r="65" spans="1:21" s="12" customFormat="1" x14ac:dyDescent="0.25">
      <c r="A65" s="211" t="s">
        <v>1264</v>
      </c>
      <c r="B65" s="64">
        <v>9.15</v>
      </c>
      <c r="C65" s="64">
        <v>14.78</v>
      </c>
      <c r="D65" s="64">
        <v>15.06</v>
      </c>
      <c r="E65" s="64">
        <v>7.71</v>
      </c>
      <c r="F65" s="64">
        <v>11.4</v>
      </c>
      <c r="G65" s="64">
        <v>54.68</v>
      </c>
      <c r="H65" s="64">
        <v>8.07</v>
      </c>
      <c r="I65" s="64">
        <v>2.1</v>
      </c>
      <c r="J65" s="64">
        <v>1.27</v>
      </c>
      <c r="K65" s="64">
        <v>333.64</v>
      </c>
      <c r="L65" s="64">
        <v>29.99</v>
      </c>
      <c r="M65" s="64">
        <v>75.62</v>
      </c>
      <c r="N65" s="64">
        <v>264.2</v>
      </c>
      <c r="O65" s="64">
        <v>0</v>
      </c>
      <c r="P65" s="64">
        <v>0.62</v>
      </c>
      <c r="Q65" s="64">
        <v>9.1</v>
      </c>
      <c r="R65" s="198"/>
      <c r="S65" s="198"/>
      <c r="T65" s="198"/>
      <c r="U65" s="198"/>
    </row>
    <row r="66" spans="1:21" s="12" customFormat="1" x14ac:dyDescent="0.25">
      <c r="A66" s="211" t="s">
        <v>1265</v>
      </c>
      <c r="B66" s="64">
        <v>8.9700000000000006</v>
      </c>
      <c r="C66" s="64">
        <v>13.91</v>
      </c>
      <c r="D66" s="64">
        <v>14.46</v>
      </c>
      <c r="E66" s="64">
        <v>7.03</v>
      </c>
      <c r="F66" s="64">
        <v>3.79</v>
      </c>
      <c r="G66" s="64">
        <v>54.32</v>
      </c>
      <c r="H66" s="64">
        <v>8.07</v>
      </c>
      <c r="I66" s="64">
        <v>2.0699999999999998</v>
      </c>
      <c r="J66" s="64">
        <v>1.62</v>
      </c>
      <c r="K66" s="64">
        <v>331.19</v>
      </c>
      <c r="L66" s="64">
        <v>29.64</v>
      </c>
      <c r="M66" s="64">
        <v>78.900000000000006</v>
      </c>
      <c r="N66" s="64">
        <v>275.3</v>
      </c>
      <c r="O66" s="64">
        <v>0</v>
      </c>
      <c r="P66" s="64">
        <v>0.65</v>
      </c>
      <c r="Q66" s="64">
        <v>9.1</v>
      </c>
      <c r="R66" s="198"/>
      <c r="S66" s="198"/>
      <c r="T66" s="198"/>
      <c r="U66" s="198"/>
    </row>
    <row r="67" spans="1:21" s="12" customFormat="1" x14ac:dyDescent="0.25">
      <c r="A67" s="211" t="s">
        <v>1266</v>
      </c>
      <c r="B67" s="64">
        <v>8.94</v>
      </c>
      <c r="C67" s="64">
        <v>11.96</v>
      </c>
      <c r="D67" s="64">
        <v>13.42</v>
      </c>
      <c r="E67" s="64">
        <v>6.7</v>
      </c>
      <c r="F67" s="64">
        <v>8.8000000000000007</v>
      </c>
      <c r="G67" s="64">
        <v>54.32</v>
      </c>
      <c r="H67" s="64">
        <v>8.07</v>
      </c>
      <c r="I67" s="64">
        <v>2.0299999999999998</v>
      </c>
      <c r="J67" s="64">
        <v>2.2599999999999998</v>
      </c>
      <c r="K67" s="64">
        <v>335.65</v>
      </c>
      <c r="L67" s="64">
        <v>29.04</v>
      </c>
      <c r="M67" s="64">
        <v>82.92</v>
      </c>
      <c r="N67" s="64">
        <v>223.1</v>
      </c>
      <c r="O67" s="64">
        <v>0</v>
      </c>
      <c r="P67" s="64">
        <v>0.59</v>
      </c>
      <c r="Q67" s="64">
        <v>9.1199999999999992</v>
      </c>
      <c r="R67" s="198"/>
      <c r="S67" s="198"/>
      <c r="T67" s="198"/>
      <c r="U67" s="198"/>
    </row>
    <row r="68" spans="1:21" s="12" customFormat="1" x14ac:dyDescent="0.25">
      <c r="A68" s="211" t="s">
        <v>1267</v>
      </c>
      <c r="B68" s="64">
        <v>12.98</v>
      </c>
      <c r="C68" s="64">
        <v>13.9</v>
      </c>
      <c r="D68" s="64">
        <v>17.100000000000001</v>
      </c>
      <c r="E68" s="64">
        <v>7.21</v>
      </c>
      <c r="F68" s="64">
        <v>8.6300000000000008</v>
      </c>
      <c r="G68" s="64">
        <v>54.32</v>
      </c>
      <c r="H68" s="64">
        <v>8.07</v>
      </c>
      <c r="I68" s="64">
        <v>1.95</v>
      </c>
      <c r="J68" s="64">
        <v>1.91</v>
      </c>
      <c r="K68" s="64">
        <v>335.45</v>
      </c>
      <c r="L68" s="64">
        <v>27.63</v>
      </c>
      <c r="M68" s="64">
        <v>91.98</v>
      </c>
      <c r="N68" s="64">
        <v>153</v>
      </c>
      <c r="O68" s="64">
        <v>0</v>
      </c>
      <c r="P68" s="64">
        <v>0.57999999999999996</v>
      </c>
      <c r="Q68" s="64">
        <v>9.11</v>
      </c>
      <c r="R68" s="198"/>
      <c r="S68" s="198"/>
      <c r="T68" s="198"/>
      <c r="U68" s="198"/>
    </row>
    <row r="69" spans="1:21" s="12" customFormat="1" x14ac:dyDescent="0.25">
      <c r="A69" s="211" t="s">
        <v>1268</v>
      </c>
      <c r="B69" s="64">
        <v>10.69</v>
      </c>
      <c r="C69" s="64">
        <v>15.87</v>
      </c>
      <c r="D69" s="64">
        <v>16.87</v>
      </c>
      <c r="E69" s="64">
        <v>7.14</v>
      </c>
      <c r="F69" s="64">
        <v>14.79</v>
      </c>
      <c r="G69" s="64">
        <v>46.22</v>
      </c>
      <c r="H69" s="64">
        <v>7.95</v>
      </c>
      <c r="I69" s="64">
        <v>1.88</v>
      </c>
      <c r="J69" s="64">
        <v>1.94</v>
      </c>
      <c r="K69" s="64">
        <v>336.47</v>
      </c>
      <c r="L69" s="64">
        <v>27.13</v>
      </c>
      <c r="M69" s="64">
        <v>94.28</v>
      </c>
      <c r="N69" s="64">
        <v>179.9</v>
      </c>
      <c r="O69" s="64">
        <v>0</v>
      </c>
      <c r="P69" s="64">
        <v>0.5</v>
      </c>
      <c r="Q69" s="64">
        <v>9.1300000000000008</v>
      </c>
      <c r="R69" s="198"/>
      <c r="S69" s="198"/>
      <c r="T69" s="198"/>
      <c r="U69" s="198"/>
    </row>
    <row r="70" spans="1:21" s="12" customFormat="1" x14ac:dyDescent="0.25">
      <c r="A70" s="211" t="s">
        <v>1269</v>
      </c>
      <c r="B70" s="64">
        <v>7.52</v>
      </c>
      <c r="C70" s="64">
        <v>19.579999999999998</v>
      </c>
      <c r="D70" s="64">
        <v>16.260000000000002</v>
      </c>
      <c r="E70" s="64">
        <v>7.46</v>
      </c>
      <c r="F70" s="64">
        <v>11.19</v>
      </c>
      <c r="G70" s="64">
        <v>45.64</v>
      </c>
      <c r="H70" s="64">
        <v>7.95</v>
      </c>
      <c r="I70" s="64">
        <v>1.84</v>
      </c>
      <c r="J70" s="64">
        <v>1.71</v>
      </c>
      <c r="K70" s="64">
        <v>335.83</v>
      </c>
      <c r="L70" s="64">
        <v>26.49</v>
      </c>
      <c r="M70" s="64">
        <v>96.47</v>
      </c>
      <c r="N70" s="64">
        <v>103.3</v>
      </c>
      <c r="O70" s="64">
        <v>0</v>
      </c>
      <c r="P70" s="64">
        <v>0.5</v>
      </c>
      <c r="Q70" s="64">
        <v>9.1300000000000008</v>
      </c>
      <c r="R70" s="198"/>
      <c r="S70" s="198"/>
      <c r="T70" s="198"/>
      <c r="U70" s="198"/>
    </row>
    <row r="71" spans="1:21" s="12" customFormat="1" x14ac:dyDescent="0.25">
      <c r="A71" s="211" t="s">
        <v>1270</v>
      </c>
      <c r="B71" s="64">
        <v>7.9</v>
      </c>
      <c r="C71" s="64">
        <v>16.39</v>
      </c>
      <c r="D71" s="64">
        <v>14.9</v>
      </c>
      <c r="E71" s="64">
        <v>7.29</v>
      </c>
      <c r="F71" s="64">
        <v>6.93</v>
      </c>
      <c r="G71" s="64">
        <v>45.64</v>
      </c>
      <c r="H71" s="64">
        <v>7.95</v>
      </c>
      <c r="I71" s="64">
        <v>1.74</v>
      </c>
      <c r="J71" s="64">
        <v>0.93</v>
      </c>
      <c r="K71" s="64">
        <v>327.22000000000003</v>
      </c>
      <c r="L71" s="64">
        <v>25.3</v>
      </c>
      <c r="M71" s="64">
        <v>97.79</v>
      </c>
      <c r="N71" s="64">
        <v>123.2</v>
      </c>
      <c r="O71" s="64">
        <v>0</v>
      </c>
      <c r="P71" s="64">
        <v>0.49</v>
      </c>
      <c r="Q71" s="64">
        <v>9.11</v>
      </c>
      <c r="R71" s="198"/>
      <c r="S71" s="198"/>
      <c r="T71" s="198"/>
      <c r="U71" s="198"/>
    </row>
    <row r="72" spans="1:21" s="12" customFormat="1" x14ac:dyDescent="0.25">
      <c r="A72" s="211" t="s">
        <v>1271</v>
      </c>
      <c r="B72" s="64">
        <v>8.23</v>
      </c>
      <c r="C72" s="64">
        <v>15.26</v>
      </c>
      <c r="D72" s="64">
        <v>14.57</v>
      </c>
      <c r="E72" s="64">
        <v>5.7</v>
      </c>
      <c r="F72" s="64">
        <v>8.2899999999999991</v>
      </c>
      <c r="G72" s="64">
        <v>45.64</v>
      </c>
      <c r="H72" s="64">
        <v>7.95</v>
      </c>
      <c r="I72" s="64">
        <v>1.65</v>
      </c>
      <c r="J72" s="64">
        <v>0.9</v>
      </c>
      <c r="K72" s="64">
        <v>333.13</v>
      </c>
      <c r="L72" s="64">
        <v>25.04</v>
      </c>
      <c r="M72" s="64">
        <v>97.93</v>
      </c>
      <c r="N72" s="64">
        <v>129</v>
      </c>
      <c r="O72" s="64">
        <v>0</v>
      </c>
      <c r="P72" s="64">
        <v>0.45</v>
      </c>
      <c r="Q72" s="64">
        <v>9.1</v>
      </c>
      <c r="R72" s="198"/>
      <c r="S72" s="198"/>
      <c r="T72" s="198"/>
      <c r="U72" s="198"/>
    </row>
    <row r="73" spans="1:21" s="12" customFormat="1" x14ac:dyDescent="0.25">
      <c r="A73" s="211" t="s">
        <v>1272</v>
      </c>
      <c r="B73" s="64">
        <v>8.26</v>
      </c>
      <c r="C73" s="64">
        <v>17.260000000000002</v>
      </c>
      <c r="D73" s="64">
        <v>15.65</v>
      </c>
      <c r="E73" s="64">
        <v>6.51</v>
      </c>
      <c r="F73" s="64">
        <v>5.52</v>
      </c>
      <c r="G73" s="64">
        <v>35.880000000000003</v>
      </c>
      <c r="H73" s="64">
        <v>6.72</v>
      </c>
      <c r="I73" s="64">
        <v>1.63</v>
      </c>
      <c r="J73" s="64">
        <v>0.2</v>
      </c>
      <c r="K73" s="64">
        <v>323.58</v>
      </c>
      <c r="L73" s="64">
        <v>24.94</v>
      </c>
      <c r="M73" s="64">
        <v>97.93</v>
      </c>
      <c r="N73" s="64">
        <v>117.4</v>
      </c>
      <c r="O73" s="64">
        <v>0</v>
      </c>
      <c r="P73" s="64">
        <v>0.44</v>
      </c>
      <c r="Q73" s="64">
        <v>9.11</v>
      </c>
      <c r="R73" s="198"/>
      <c r="S73" s="198"/>
      <c r="T73" s="198"/>
      <c r="U73" s="198"/>
    </row>
    <row r="74" spans="1:21" s="12" customFormat="1" x14ac:dyDescent="0.25">
      <c r="A74" s="211" t="s">
        <v>1273</v>
      </c>
      <c r="B74" s="64">
        <v>11.08</v>
      </c>
      <c r="C74" s="64">
        <v>18.04</v>
      </c>
      <c r="D74" s="64">
        <v>18.260000000000002</v>
      </c>
      <c r="E74" s="64">
        <v>6.85</v>
      </c>
      <c r="F74" s="64">
        <v>6.81</v>
      </c>
      <c r="G74" s="64">
        <v>35.19</v>
      </c>
      <c r="H74" s="64">
        <v>6.72</v>
      </c>
      <c r="I74" s="64">
        <v>1.62</v>
      </c>
      <c r="J74" s="64">
        <v>0.12</v>
      </c>
      <c r="K74" s="64">
        <v>149.66999999999999</v>
      </c>
      <c r="L74" s="64">
        <v>24.79</v>
      </c>
      <c r="M74" s="64">
        <v>97.94</v>
      </c>
      <c r="N74" s="64">
        <v>97.9</v>
      </c>
      <c r="O74" s="64">
        <v>0</v>
      </c>
      <c r="P74" s="64">
        <v>0.51</v>
      </c>
      <c r="Q74" s="64">
        <v>9.11</v>
      </c>
      <c r="R74" s="198"/>
      <c r="S74" s="198"/>
      <c r="T74" s="198"/>
      <c r="U74" s="198"/>
    </row>
    <row r="75" spans="1:21" s="12" customFormat="1" x14ac:dyDescent="0.25">
      <c r="A75" s="211" t="s">
        <v>1274</v>
      </c>
      <c r="B75" s="64">
        <v>7.24</v>
      </c>
      <c r="C75" s="64">
        <v>14.86</v>
      </c>
      <c r="D75" s="64">
        <v>13.57</v>
      </c>
      <c r="E75" s="64">
        <v>6.46</v>
      </c>
      <c r="F75" s="64">
        <v>9.92</v>
      </c>
      <c r="G75" s="64">
        <v>35.19</v>
      </c>
      <c r="H75" s="64">
        <v>6.72</v>
      </c>
      <c r="I75" s="64">
        <v>1.69</v>
      </c>
      <c r="J75" s="64">
        <v>0.64</v>
      </c>
      <c r="K75" s="64">
        <v>138.06</v>
      </c>
      <c r="L75" s="64">
        <v>24.49</v>
      </c>
      <c r="M75" s="64">
        <v>97.97</v>
      </c>
      <c r="N75" s="64">
        <v>70.900000000000006</v>
      </c>
      <c r="O75" s="64">
        <v>0</v>
      </c>
      <c r="P75" s="64">
        <v>0.41</v>
      </c>
      <c r="Q75" s="64">
        <v>9.1199999999999992</v>
      </c>
      <c r="R75" s="198"/>
      <c r="S75" s="198"/>
      <c r="T75" s="198"/>
      <c r="U75" s="198"/>
    </row>
    <row r="76" spans="1:21" s="12" customFormat="1" x14ac:dyDescent="0.25">
      <c r="A76" s="211" t="s">
        <v>1275</v>
      </c>
      <c r="B76" s="64">
        <v>7.13</v>
      </c>
      <c r="C76" s="64">
        <v>13.67</v>
      </c>
      <c r="D76" s="64">
        <v>12.86</v>
      </c>
      <c r="E76" s="64">
        <v>5.84</v>
      </c>
      <c r="F76" s="64">
        <v>2.73</v>
      </c>
      <c r="G76" s="64">
        <v>35.19</v>
      </c>
      <c r="H76" s="64">
        <v>6.72</v>
      </c>
      <c r="I76" s="64">
        <v>1.66</v>
      </c>
      <c r="J76" s="64">
        <v>0.16</v>
      </c>
      <c r="K76" s="64">
        <v>166.86</v>
      </c>
      <c r="L76" s="64">
        <v>24.23</v>
      </c>
      <c r="M76" s="64">
        <v>97.96</v>
      </c>
      <c r="N76" s="64">
        <v>55.7</v>
      </c>
      <c r="O76" s="64">
        <v>0</v>
      </c>
      <c r="P76" s="64">
        <v>0.44</v>
      </c>
      <c r="Q76" s="64">
        <v>9.1199999999999992</v>
      </c>
      <c r="R76" s="198"/>
      <c r="S76" s="198"/>
      <c r="T76" s="198"/>
      <c r="U76" s="198"/>
    </row>
    <row r="77" spans="1:21" s="12" customFormat="1" x14ac:dyDescent="0.25">
      <c r="A77" s="211" t="s">
        <v>1276</v>
      </c>
      <c r="B77" s="64">
        <v>8.31</v>
      </c>
      <c r="C77" s="64">
        <v>15.56</v>
      </c>
      <c r="D77" s="64">
        <v>14.79</v>
      </c>
      <c r="E77" s="64">
        <v>6.18</v>
      </c>
      <c r="F77" s="64">
        <v>10.07</v>
      </c>
      <c r="G77" s="64">
        <v>18.77</v>
      </c>
      <c r="H77" s="64">
        <v>5.86</v>
      </c>
      <c r="I77" s="64">
        <v>1.58</v>
      </c>
      <c r="J77" s="64">
        <v>0.55000000000000004</v>
      </c>
      <c r="K77" s="64">
        <v>133.77000000000001</v>
      </c>
      <c r="L77" s="64">
        <v>23.98</v>
      </c>
      <c r="M77" s="64">
        <v>97.97</v>
      </c>
      <c r="N77" s="64">
        <v>52.3</v>
      </c>
      <c r="O77" s="64">
        <v>0</v>
      </c>
      <c r="P77" s="64">
        <v>0.38</v>
      </c>
      <c r="Q77" s="64">
        <v>9.1</v>
      </c>
      <c r="R77" s="198"/>
      <c r="S77" s="198"/>
      <c r="T77" s="198"/>
      <c r="U77" s="198"/>
    </row>
    <row r="78" spans="1:21" s="12" customFormat="1" x14ac:dyDescent="0.25">
      <c r="A78" s="211" t="s">
        <v>1277</v>
      </c>
      <c r="B78" s="64">
        <v>6.3</v>
      </c>
      <c r="C78" s="64">
        <v>16.72</v>
      </c>
      <c r="D78" s="64">
        <v>13.79</v>
      </c>
      <c r="E78" s="64">
        <v>5.95</v>
      </c>
      <c r="F78" s="64">
        <v>10.199999999999999</v>
      </c>
      <c r="G78" s="64">
        <v>17.59</v>
      </c>
      <c r="H78" s="64">
        <v>5.86</v>
      </c>
      <c r="I78" s="64">
        <v>1.53</v>
      </c>
      <c r="J78" s="64">
        <v>0.82</v>
      </c>
      <c r="K78" s="64">
        <v>128.26</v>
      </c>
      <c r="L78" s="64">
        <v>23.48</v>
      </c>
      <c r="M78" s="64">
        <v>98.01</v>
      </c>
      <c r="N78" s="64">
        <v>49.9</v>
      </c>
      <c r="O78" s="64">
        <v>0</v>
      </c>
      <c r="P78" s="64">
        <v>0.33</v>
      </c>
      <c r="Q78" s="64">
        <v>9.08</v>
      </c>
      <c r="R78" s="198"/>
      <c r="S78" s="198"/>
      <c r="T78" s="198"/>
      <c r="U78" s="198"/>
    </row>
    <row r="79" spans="1:21" s="12" customFormat="1" x14ac:dyDescent="0.25">
      <c r="A79" s="211" t="s">
        <v>1278</v>
      </c>
      <c r="B79" s="64">
        <v>10.89</v>
      </c>
      <c r="C79" s="64">
        <v>21.53</v>
      </c>
      <c r="D79" s="64">
        <v>19.98</v>
      </c>
      <c r="E79" s="64">
        <v>6</v>
      </c>
      <c r="F79" s="64">
        <v>4.37</v>
      </c>
      <c r="G79" s="64">
        <v>17.59</v>
      </c>
      <c r="H79" s="64">
        <v>5.86</v>
      </c>
      <c r="I79" s="64">
        <v>1.5</v>
      </c>
      <c r="J79" s="64">
        <v>0.11</v>
      </c>
      <c r="K79" s="64">
        <v>110.19</v>
      </c>
      <c r="L79" s="64">
        <v>23.23</v>
      </c>
      <c r="M79" s="64">
        <v>98.05</v>
      </c>
      <c r="N79" s="64">
        <v>44.7</v>
      </c>
      <c r="O79" s="64">
        <v>0</v>
      </c>
      <c r="P79" s="64">
        <v>0.52</v>
      </c>
      <c r="Q79" s="64">
        <v>9.07</v>
      </c>
      <c r="R79" s="198"/>
      <c r="S79" s="198"/>
      <c r="T79" s="198"/>
      <c r="U79" s="198"/>
    </row>
    <row r="80" spans="1:21" s="12" customFormat="1" x14ac:dyDescent="0.25">
      <c r="A80" s="211" t="s">
        <v>1279</v>
      </c>
      <c r="B80" s="64">
        <v>12.25</v>
      </c>
      <c r="C80" s="64">
        <v>23.84</v>
      </c>
      <c r="D80" s="64">
        <v>22.27</v>
      </c>
      <c r="E80" s="64">
        <v>5.56</v>
      </c>
      <c r="F80" s="64">
        <v>6.15</v>
      </c>
      <c r="G80" s="64">
        <v>17.59</v>
      </c>
      <c r="H80" s="64">
        <v>5.86</v>
      </c>
      <c r="I80" s="64">
        <v>1.47</v>
      </c>
      <c r="J80" s="64">
        <v>0.12</v>
      </c>
      <c r="K80" s="64">
        <v>59.32</v>
      </c>
      <c r="L80" s="64">
        <v>23.14</v>
      </c>
      <c r="M80" s="64">
        <v>98.05</v>
      </c>
      <c r="N80" s="64">
        <v>41.9</v>
      </c>
      <c r="O80" s="64">
        <v>0</v>
      </c>
      <c r="P80" s="64">
        <v>0.47</v>
      </c>
      <c r="Q80" s="64">
        <v>9.07</v>
      </c>
      <c r="R80" s="198"/>
      <c r="S80" s="198"/>
      <c r="T80" s="198"/>
      <c r="U80" s="198"/>
    </row>
    <row r="81" spans="1:26" s="12" customFormat="1" x14ac:dyDescent="0.25">
      <c r="A81" s="211" t="s">
        <v>1280</v>
      </c>
      <c r="B81" s="64">
        <v>11.18</v>
      </c>
      <c r="C81" s="64">
        <v>14.79</v>
      </c>
      <c r="D81" s="64">
        <v>16.690000000000001</v>
      </c>
      <c r="E81" s="64">
        <v>5.35</v>
      </c>
      <c r="F81" s="64">
        <v>3.02</v>
      </c>
      <c r="G81" s="64">
        <v>25.2</v>
      </c>
      <c r="H81" s="64">
        <v>5.3</v>
      </c>
      <c r="I81" s="64">
        <v>1.47</v>
      </c>
      <c r="J81" s="64">
        <v>0.5</v>
      </c>
      <c r="K81" s="64">
        <v>334.72</v>
      </c>
      <c r="L81" s="64">
        <v>23.14</v>
      </c>
      <c r="M81" s="64">
        <v>98.05</v>
      </c>
      <c r="N81" s="64">
        <v>41.3</v>
      </c>
      <c r="O81" s="64">
        <v>0</v>
      </c>
      <c r="P81" s="64">
        <v>0.52</v>
      </c>
      <c r="Q81" s="64">
        <v>9.07</v>
      </c>
      <c r="R81" s="198"/>
      <c r="S81" s="198"/>
      <c r="T81" s="198"/>
      <c r="U81" s="198"/>
    </row>
    <row r="82" spans="1:26" s="12" customFormat="1" x14ac:dyDescent="0.25">
      <c r="A82" s="211" t="s">
        <v>1281</v>
      </c>
      <c r="B82" s="64">
        <v>11.22</v>
      </c>
      <c r="C82" s="64">
        <v>18.059999999999999</v>
      </c>
      <c r="D82" s="64">
        <v>18.440000000000001</v>
      </c>
      <c r="E82" s="64">
        <v>5.26</v>
      </c>
      <c r="F82" s="64">
        <v>3.37</v>
      </c>
      <c r="G82" s="64">
        <v>25.75</v>
      </c>
      <c r="H82" s="64">
        <v>5.3</v>
      </c>
      <c r="I82" s="64">
        <v>1.49</v>
      </c>
      <c r="J82" s="64">
        <v>0.11</v>
      </c>
      <c r="K82" s="64">
        <v>105.9</v>
      </c>
      <c r="L82" s="64">
        <v>23.05</v>
      </c>
      <c r="M82" s="64">
        <v>98.07</v>
      </c>
      <c r="N82" s="64">
        <v>41.5</v>
      </c>
      <c r="O82" s="64">
        <v>0</v>
      </c>
      <c r="P82" s="64">
        <v>0.51</v>
      </c>
      <c r="Q82" s="64">
        <v>9.1</v>
      </c>
      <c r="R82" s="198"/>
      <c r="S82" s="198"/>
      <c r="T82" s="198"/>
      <c r="U82" s="198"/>
    </row>
    <row r="83" spans="1:26" s="12" customFormat="1" x14ac:dyDescent="0.25">
      <c r="A83" s="211" t="s">
        <v>1282</v>
      </c>
      <c r="B83" s="64">
        <v>9.1999999999999993</v>
      </c>
      <c r="C83" s="64">
        <v>17.96</v>
      </c>
      <c r="D83" s="64">
        <v>16.77</v>
      </c>
      <c r="E83" s="64">
        <v>5.57</v>
      </c>
      <c r="F83" s="64">
        <v>5.87</v>
      </c>
      <c r="G83" s="64">
        <v>25.75</v>
      </c>
      <c r="H83" s="64">
        <v>5.3</v>
      </c>
      <c r="I83" s="64">
        <v>1.54</v>
      </c>
      <c r="J83" s="64">
        <v>0.17</v>
      </c>
      <c r="K83" s="64">
        <v>134.76</v>
      </c>
      <c r="L83" s="64">
        <v>22.82</v>
      </c>
      <c r="M83" s="64">
        <v>98.1</v>
      </c>
      <c r="N83" s="64">
        <v>41.7</v>
      </c>
      <c r="O83" s="64">
        <v>0</v>
      </c>
      <c r="P83" s="64">
        <v>0.49</v>
      </c>
      <c r="Q83" s="64">
        <v>9.11</v>
      </c>
      <c r="R83" s="198"/>
      <c r="S83" s="198"/>
      <c r="T83" s="198"/>
      <c r="U83" s="198"/>
    </row>
    <row r="84" spans="1:26" s="12" customFormat="1" x14ac:dyDescent="0.25">
      <c r="A84" s="211" t="s">
        <v>1283</v>
      </c>
      <c r="B84" s="64">
        <v>11.2</v>
      </c>
      <c r="C84" s="64">
        <v>13.48</v>
      </c>
      <c r="D84" s="64">
        <v>16.02</v>
      </c>
      <c r="E84" s="64">
        <v>5.26</v>
      </c>
      <c r="F84" s="64">
        <v>2.1</v>
      </c>
      <c r="G84" s="64">
        <v>25.75</v>
      </c>
      <c r="H84" s="64">
        <v>5.3</v>
      </c>
      <c r="I84" s="64">
        <v>1.58</v>
      </c>
      <c r="J84" s="64">
        <v>0.28000000000000003</v>
      </c>
      <c r="K84" s="64">
        <v>331.99</v>
      </c>
      <c r="L84" s="64">
        <v>22.7</v>
      </c>
      <c r="M84" s="64">
        <v>98.13</v>
      </c>
      <c r="N84" s="64">
        <v>41.5</v>
      </c>
      <c r="O84" s="64">
        <v>0</v>
      </c>
      <c r="P84" s="64">
        <v>0.51</v>
      </c>
      <c r="Q84" s="64">
        <v>9.1199999999999992</v>
      </c>
      <c r="R84" s="198"/>
      <c r="S84" s="198"/>
      <c r="T84" s="198"/>
      <c r="U84" s="198"/>
    </row>
    <row r="85" spans="1:26" s="12" customFormat="1" x14ac:dyDescent="0.25">
      <c r="A85" s="211" t="s">
        <v>1284</v>
      </c>
      <c r="B85" s="64">
        <v>15.1</v>
      </c>
      <c r="C85" s="64">
        <v>13.2</v>
      </c>
      <c r="D85" s="64">
        <v>19</v>
      </c>
      <c r="E85" s="64">
        <v>5.48</v>
      </c>
      <c r="F85" s="64">
        <v>4.22</v>
      </c>
      <c r="G85" s="64">
        <v>25.36</v>
      </c>
      <c r="H85" s="64">
        <v>8.4</v>
      </c>
      <c r="I85" s="64">
        <v>1.6</v>
      </c>
      <c r="J85" s="64">
        <v>0.28999999999999998</v>
      </c>
      <c r="K85" s="64">
        <v>333.35</v>
      </c>
      <c r="L85" s="64">
        <v>22.7</v>
      </c>
      <c r="M85" s="64">
        <v>98.09</v>
      </c>
      <c r="N85" s="64">
        <v>41.5</v>
      </c>
      <c r="O85" s="64">
        <v>0</v>
      </c>
      <c r="P85" s="64">
        <v>0.47</v>
      </c>
      <c r="Q85" s="64">
        <v>9.15</v>
      </c>
      <c r="R85" s="198"/>
      <c r="S85" s="198"/>
      <c r="T85" s="198"/>
      <c r="U85" s="198"/>
    </row>
    <row r="86" spans="1:26" s="12" customFormat="1" x14ac:dyDescent="0.25">
      <c r="A86" s="211" t="s">
        <v>1285</v>
      </c>
      <c r="B86" s="64">
        <v>11.83</v>
      </c>
      <c r="C86" s="64">
        <v>10.48</v>
      </c>
      <c r="D86" s="64">
        <v>14.96</v>
      </c>
      <c r="E86" s="64">
        <v>5.39</v>
      </c>
      <c r="F86" s="64">
        <v>4.08</v>
      </c>
      <c r="G86" s="64">
        <v>25.34</v>
      </c>
      <c r="H86" s="64">
        <v>8.4</v>
      </c>
      <c r="I86" s="64">
        <v>1.63</v>
      </c>
      <c r="J86" s="64">
        <v>0.76</v>
      </c>
      <c r="K86" s="64">
        <v>332.65</v>
      </c>
      <c r="L86" s="64">
        <v>22.56</v>
      </c>
      <c r="M86" s="64">
        <v>98.09</v>
      </c>
      <c r="N86" s="64">
        <v>41.5</v>
      </c>
      <c r="O86" s="64">
        <v>0</v>
      </c>
      <c r="P86" s="64">
        <v>0.53</v>
      </c>
      <c r="Q86" s="64">
        <v>9.15</v>
      </c>
      <c r="R86" s="198"/>
      <c r="S86" s="198"/>
      <c r="T86" s="198"/>
      <c r="U86" s="198"/>
    </row>
    <row r="87" spans="1:26" s="12" customFormat="1" x14ac:dyDescent="0.25">
      <c r="A87" s="211" t="s">
        <v>1286</v>
      </c>
      <c r="B87" s="64">
        <v>10.62</v>
      </c>
      <c r="C87" s="64">
        <v>12.25</v>
      </c>
      <c r="D87" s="64">
        <v>14.92</v>
      </c>
      <c r="E87" s="64">
        <v>5.53</v>
      </c>
      <c r="F87" s="64">
        <v>2.98</v>
      </c>
      <c r="G87" s="64">
        <v>25.34</v>
      </c>
      <c r="H87" s="64">
        <v>8.4</v>
      </c>
      <c r="I87" s="64">
        <v>1.68</v>
      </c>
      <c r="J87" s="64">
        <v>0.82</v>
      </c>
      <c r="K87" s="64">
        <v>333.3</v>
      </c>
      <c r="L87" s="64">
        <v>22.51</v>
      </c>
      <c r="M87" s="64">
        <v>98.06</v>
      </c>
      <c r="N87" s="64">
        <v>41.5</v>
      </c>
      <c r="O87" s="64">
        <v>0</v>
      </c>
      <c r="P87" s="64">
        <v>0.52</v>
      </c>
      <c r="Q87" s="64">
        <v>9.17</v>
      </c>
      <c r="R87" s="198"/>
      <c r="S87" s="198"/>
      <c r="T87" s="198"/>
      <c r="U87" s="198"/>
    </row>
    <row r="88" spans="1:26" s="12" customFormat="1" x14ac:dyDescent="0.25">
      <c r="A88" s="211" t="s">
        <v>1287</v>
      </c>
      <c r="B88" s="64">
        <v>11.47</v>
      </c>
      <c r="C88" s="64">
        <v>12.5</v>
      </c>
      <c r="D88" s="64">
        <v>15.73</v>
      </c>
      <c r="E88" s="64">
        <v>5.96</v>
      </c>
      <c r="F88" s="64">
        <v>2.25</v>
      </c>
      <c r="G88" s="64">
        <v>25.34</v>
      </c>
      <c r="H88" s="64">
        <v>8.4</v>
      </c>
      <c r="I88" s="64">
        <v>1.72</v>
      </c>
      <c r="J88" s="64">
        <v>0.34</v>
      </c>
      <c r="K88" s="64">
        <v>333.01</v>
      </c>
      <c r="L88" s="64">
        <v>22.4</v>
      </c>
      <c r="M88" s="64">
        <v>98.06</v>
      </c>
      <c r="N88" s="64">
        <v>41.5</v>
      </c>
      <c r="O88" s="64">
        <v>0</v>
      </c>
      <c r="P88" s="64">
        <v>0.55000000000000004</v>
      </c>
      <c r="Q88" s="64">
        <v>9.19</v>
      </c>
      <c r="R88" s="198"/>
      <c r="S88" s="198"/>
      <c r="T88" s="198"/>
      <c r="U88" s="198"/>
    </row>
    <row r="89" spans="1:26" s="12" customFormat="1" x14ac:dyDescent="0.25">
      <c r="A89" s="211" t="s">
        <v>1288</v>
      </c>
      <c r="B89" s="64">
        <v>11.95</v>
      </c>
      <c r="C89" s="64">
        <v>13.25</v>
      </c>
      <c r="D89" s="64">
        <v>16.510000000000002</v>
      </c>
      <c r="E89" s="64">
        <v>6.26</v>
      </c>
      <c r="F89" s="64">
        <v>2.1</v>
      </c>
      <c r="G89" s="64">
        <v>25.46</v>
      </c>
      <c r="H89" s="64">
        <v>7.31</v>
      </c>
      <c r="I89" s="64">
        <v>1.77</v>
      </c>
      <c r="J89" s="64">
        <v>0.83</v>
      </c>
      <c r="K89" s="64">
        <v>333.82</v>
      </c>
      <c r="L89" s="64">
        <v>22.31</v>
      </c>
      <c r="M89" s="64">
        <v>98.04</v>
      </c>
      <c r="N89" s="64">
        <v>41.5</v>
      </c>
      <c r="O89" s="64">
        <v>0</v>
      </c>
      <c r="P89" s="64">
        <v>0.56999999999999995</v>
      </c>
      <c r="Q89" s="64">
        <v>9.19</v>
      </c>
      <c r="R89" s="198"/>
      <c r="S89" s="198"/>
      <c r="T89" s="198"/>
      <c r="U89" s="198"/>
    </row>
    <row r="90" spans="1:26" s="12" customFormat="1" x14ac:dyDescent="0.25">
      <c r="A90" s="211" t="s">
        <v>1289</v>
      </c>
      <c r="B90" s="64">
        <v>17.989999999999998</v>
      </c>
      <c r="C90" s="64">
        <v>13.13</v>
      </c>
      <c r="D90" s="64">
        <v>21.29</v>
      </c>
      <c r="E90" s="64">
        <v>6.28</v>
      </c>
      <c r="F90" s="64">
        <v>2.1</v>
      </c>
      <c r="G90" s="64">
        <v>25.47</v>
      </c>
      <c r="H90" s="64">
        <v>7.31</v>
      </c>
      <c r="I90" s="64">
        <v>1.81</v>
      </c>
      <c r="J90" s="64">
        <v>0.63</v>
      </c>
      <c r="K90" s="64">
        <v>334.52</v>
      </c>
      <c r="L90" s="64">
        <v>22.27</v>
      </c>
      <c r="M90" s="64">
        <v>98.03</v>
      </c>
      <c r="N90" s="64">
        <v>41.5</v>
      </c>
      <c r="O90" s="64">
        <v>0</v>
      </c>
      <c r="P90" s="64">
        <v>0.57999999999999996</v>
      </c>
      <c r="Q90" s="64">
        <v>9.2100000000000009</v>
      </c>
      <c r="R90" s="198"/>
      <c r="S90" s="198"/>
      <c r="T90" s="198"/>
      <c r="U90" s="198"/>
    </row>
    <row r="91" spans="1:26" s="12" customFormat="1" x14ac:dyDescent="0.25">
      <c r="A91" s="211" t="s">
        <v>1290</v>
      </c>
      <c r="B91" s="64">
        <v>13.48</v>
      </c>
      <c r="C91" s="64">
        <v>11.14</v>
      </c>
      <c r="D91" s="64">
        <v>16.63</v>
      </c>
      <c r="E91" s="64">
        <v>6.57</v>
      </c>
      <c r="F91" s="64">
        <v>2.1</v>
      </c>
      <c r="G91" s="64">
        <v>25.47</v>
      </c>
      <c r="H91" s="64">
        <v>7.31</v>
      </c>
      <c r="I91" s="64">
        <v>1.86</v>
      </c>
      <c r="J91" s="64">
        <v>0.59</v>
      </c>
      <c r="K91" s="64">
        <v>334.94</v>
      </c>
      <c r="L91" s="64">
        <v>22.2</v>
      </c>
      <c r="M91" s="64">
        <v>98.07</v>
      </c>
      <c r="N91" s="64">
        <v>41.5</v>
      </c>
      <c r="O91" s="64">
        <v>0</v>
      </c>
      <c r="P91" s="64">
        <v>0.56999999999999995</v>
      </c>
      <c r="Q91" s="64">
        <v>9.2200000000000006</v>
      </c>
      <c r="R91" s="198"/>
      <c r="S91" s="198"/>
      <c r="T91" s="198"/>
      <c r="U91" s="198"/>
    </row>
    <row r="92" spans="1:26" s="12" customFormat="1" x14ac:dyDescent="0.25">
      <c r="A92" s="211" t="s">
        <v>1291</v>
      </c>
      <c r="B92" s="64">
        <v>19.489999999999998</v>
      </c>
      <c r="C92" s="64">
        <v>12.36</v>
      </c>
      <c r="D92" s="64">
        <v>22.09</v>
      </c>
      <c r="E92" s="64">
        <v>6.48</v>
      </c>
      <c r="F92" s="64">
        <v>2.12</v>
      </c>
      <c r="G92" s="64">
        <v>25.47</v>
      </c>
      <c r="H92" s="64">
        <v>7.31</v>
      </c>
      <c r="I92" s="64">
        <v>1.94</v>
      </c>
      <c r="J92" s="64">
        <v>0.49</v>
      </c>
      <c r="K92" s="64">
        <v>326.56</v>
      </c>
      <c r="L92" s="64">
        <v>22.21</v>
      </c>
      <c r="M92" s="64">
        <v>98.05</v>
      </c>
      <c r="N92" s="64">
        <v>41.7</v>
      </c>
      <c r="O92" s="64">
        <v>0</v>
      </c>
      <c r="P92" s="64">
        <v>0.65</v>
      </c>
      <c r="Q92" s="64">
        <v>9.24</v>
      </c>
      <c r="R92" s="198"/>
      <c r="S92" s="198"/>
      <c r="T92" s="198"/>
      <c r="U92" s="198"/>
    </row>
    <row r="93" spans="1:26" s="12" customFormat="1" x14ac:dyDescent="0.25">
      <c r="A93" s="211" t="s">
        <v>1292</v>
      </c>
      <c r="B93" s="64">
        <v>20.62</v>
      </c>
      <c r="C93" s="64">
        <v>11.4</v>
      </c>
      <c r="D93" s="64">
        <v>22.43</v>
      </c>
      <c r="E93" s="64">
        <v>6.67</v>
      </c>
      <c r="F93" s="64">
        <v>2.1</v>
      </c>
      <c r="G93" s="64">
        <v>31.4</v>
      </c>
      <c r="H93" s="64">
        <v>6.55</v>
      </c>
      <c r="I93" s="64">
        <v>2.0099999999999998</v>
      </c>
      <c r="J93" s="64">
        <v>0.41</v>
      </c>
      <c r="K93" s="64">
        <v>327.17</v>
      </c>
      <c r="L93" s="64">
        <v>22.11</v>
      </c>
      <c r="M93" s="64">
        <v>98.05</v>
      </c>
      <c r="N93" s="64">
        <v>41.6</v>
      </c>
      <c r="O93" s="64">
        <v>0</v>
      </c>
      <c r="P93" s="64">
        <v>0.65</v>
      </c>
      <c r="Q93" s="64">
        <v>9.25</v>
      </c>
      <c r="R93" s="198"/>
      <c r="S93" s="198"/>
      <c r="T93" s="198"/>
      <c r="U93" s="198"/>
    </row>
    <row r="94" spans="1:26" s="12" customFormat="1" x14ac:dyDescent="0.25">
      <c r="A94" s="211" t="s">
        <v>1293</v>
      </c>
      <c r="B94" s="64">
        <v>15.34</v>
      </c>
      <c r="C94" s="64">
        <v>7.01</v>
      </c>
      <c r="D94" s="64">
        <v>15.96</v>
      </c>
      <c r="E94" s="64">
        <v>5.99</v>
      </c>
      <c r="F94" s="64">
        <v>2.1</v>
      </c>
      <c r="G94" s="64">
        <v>31.83</v>
      </c>
      <c r="H94" s="64">
        <v>6.55</v>
      </c>
      <c r="I94" s="64">
        <v>2.08</v>
      </c>
      <c r="J94" s="64">
        <v>0.49</v>
      </c>
      <c r="K94" s="64">
        <v>332.95</v>
      </c>
      <c r="L94" s="64">
        <v>21.99</v>
      </c>
      <c r="M94" s="64">
        <v>98.08</v>
      </c>
      <c r="N94" s="64">
        <v>41.5</v>
      </c>
      <c r="O94" s="64">
        <v>0</v>
      </c>
      <c r="P94" s="64">
        <v>0.61</v>
      </c>
      <c r="Q94" s="64">
        <v>9.26</v>
      </c>
      <c r="R94" s="198"/>
      <c r="S94" s="198"/>
      <c r="T94" s="198"/>
      <c r="U94" s="198"/>
    </row>
    <row r="95" spans="1:26" s="12" customFormat="1" x14ac:dyDescent="0.25">
      <c r="A95" s="211" t="s">
        <v>1294</v>
      </c>
      <c r="B95" s="64">
        <v>17.88</v>
      </c>
      <c r="C95" s="64">
        <v>10.69</v>
      </c>
      <c r="D95" s="64">
        <v>19.920000000000002</v>
      </c>
      <c r="E95" s="64">
        <v>5.59</v>
      </c>
      <c r="F95" s="64">
        <v>2.1</v>
      </c>
      <c r="G95" s="64">
        <v>31.83</v>
      </c>
      <c r="H95" s="64">
        <v>6.55</v>
      </c>
      <c r="I95" s="64">
        <v>2.12</v>
      </c>
      <c r="J95" s="64">
        <v>0.05</v>
      </c>
      <c r="K95" s="64">
        <v>182.87</v>
      </c>
      <c r="L95" s="64">
        <v>21.78</v>
      </c>
      <c r="M95" s="64">
        <v>98.12</v>
      </c>
      <c r="N95" s="64">
        <v>41.7</v>
      </c>
      <c r="O95" s="64">
        <v>0</v>
      </c>
      <c r="P95" s="64">
        <v>0.62</v>
      </c>
      <c r="Q95" s="64">
        <v>9.27</v>
      </c>
      <c r="R95" s="198"/>
      <c r="S95" s="198"/>
      <c r="T95" s="198"/>
      <c r="U95" s="198"/>
    </row>
    <row r="96" spans="1:26" s="12" customFormat="1" x14ac:dyDescent="0.25">
      <c r="A96" s="211" t="s">
        <v>1295</v>
      </c>
      <c r="B96" s="64">
        <v>16.53</v>
      </c>
      <c r="C96" s="64">
        <v>6.56</v>
      </c>
      <c r="D96" s="64">
        <v>16.68</v>
      </c>
      <c r="E96" s="64">
        <v>5.81</v>
      </c>
      <c r="F96" s="64">
        <v>2.1</v>
      </c>
      <c r="G96" s="64">
        <v>31.83</v>
      </c>
      <c r="H96" s="64">
        <v>6.55</v>
      </c>
      <c r="I96" s="64">
        <v>2.16</v>
      </c>
      <c r="J96" s="64">
        <v>0.08</v>
      </c>
      <c r="K96" s="64">
        <v>341.63</v>
      </c>
      <c r="L96" s="64">
        <v>21.66</v>
      </c>
      <c r="M96" s="64">
        <v>98.12</v>
      </c>
      <c r="N96" s="64">
        <v>41.5</v>
      </c>
      <c r="O96" s="64">
        <v>0</v>
      </c>
      <c r="P96" s="64">
        <v>0.61</v>
      </c>
      <c r="Q96" s="64">
        <v>9.2799999999999994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1296</v>
      </c>
      <c r="B97" s="64">
        <v>18.260000000000002</v>
      </c>
      <c r="C97" s="64">
        <v>11.96</v>
      </c>
      <c r="D97" s="64">
        <v>20.89</v>
      </c>
      <c r="E97" s="64">
        <v>5.81</v>
      </c>
      <c r="F97" s="64">
        <v>2.15</v>
      </c>
      <c r="G97" s="64">
        <v>34.79</v>
      </c>
      <c r="H97" s="64">
        <v>6.01</v>
      </c>
      <c r="I97" s="64">
        <v>2.17</v>
      </c>
      <c r="J97" s="64">
        <v>0.17</v>
      </c>
      <c r="K97" s="64">
        <v>324.29000000000002</v>
      </c>
      <c r="L97" s="64">
        <v>21.6</v>
      </c>
      <c r="M97" s="64">
        <v>98.11</v>
      </c>
      <c r="N97" s="64">
        <v>41.4</v>
      </c>
      <c r="O97" s="64">
        <v>0</v>
      </c>
      <c r="P97" s="64">
        <v>0.6</v>
      </c>
      <c r="Q97" s="64">
        <v>9.2899999999999991</v>
      </c>
      <c r="R97" s="198"/>
      <c r="S97" s="198"/>
      <c r="T97" s="198"/>
      <c r="U97" s="198"/>
    </row>
    <row r="98" spans="1:33" s="12" customFormat="1" x14ac:dyDescent="0.25">
      <c r="A98" s="211" t="s">
        <v>1297</v>
      </c>
      <c r="B98" s="64">
        <v>17.63</v>
      </c>
      <c r="C98" s="64">
        <v>6.73</v>
      </c>
      <c r="D98" s="64">
        <v>17.649999999999999</v>
      </c>
      <c r="E98" s="64">
        <v>5.87</v>
      </c>
      <c r="F98" s="64">
        <v>2.1</v>
      </c>
      <c r="G98" s="64">
        <v>35</v>
      </c>
      <c r="H98" s="64">
        <v>6.01</v>
      </c>
      <c r="I98" s="64">
        <v>2.1800000000000002</v>
      </c>
      <c r="J98" s="64">
        <v>0.04</v>
      </c>
      <c r="K98" s="64">
        <v>297.88</v>
      </c>
      <c r="L98" s="64">
        <v>21.54</v>
      </c>
      <c r="M98" s="64">
        <v>98.14</v>
      </c>
      <c r="N98" s="64">
        <v>41.5</v>
      </c>
      <c r="O98" s="64">
        <v>0</v>
      </c>
      <c r="P98" s="64">
        <v>0.62</v>
      </c>
      <c r="Q98" s="64">
        <v>9.31</v>
      </c>
      <c r="R98" s="198"/>
      <c r="S98" s="198"/>
      <c r="T98" s="198"/>
      <c r="U98" s="198"/>
    </row>
    <row r="99" spans="1:33" s="12" customFormat="1" x14ac:dyDescent="0.25">
      <c r="A99" s="211" t="s">
        <v>1298</v>
      </c>
      <c r="B99" s="64">
        <v>19.239999999999998</v>
      </c>
      <c r="C99" s="64">
        <v>10.029999999999999</v>
      </c>
      <c r="D99" s="64">
        <v>20.67</v>
      </c>
      <c r="E99" s="64">
        <v>5.48</v>
      </c>
      <c r="F99" s="64">
        <v>2.1</v>
      </c>
      <c r="G99" s="64">
        <v>35</v>
      </c>
      <c r="H99" s="64">
        <v>6.01</v>
      </c>
      <c r="I99" s="64">
        <v>2.1800000000000002</v>
      </c>
      <c r="J99" s="64">
        <v>0.63</v>
      </c>
      <c r="K99" s="64">
        <v>335.92</v>
      </c>
      <c r="L99" s="64">
        <v>21.44</v>
      </c>
      <c r="M99" s="64">
        <v>97.99</v>
      </c>
      <c r="N99" s="64">
        <v>41.2</v>
      </c>
      <c r="O99" s="64">
        <v>0</v>
      </c>
      <c r="P99" s="64">
        <v>0.63</v>
      </c>
      <c r="Q99" s="64">
        <v>9.31</v>
      </c>
      <c r="R99" s="198"/>
      <c r="S99" s="198"/>
      <c r="T99" s="198"/>
      <c r="U99" s="198"/>
    </row>
    <row r="100" spans="1:33" s="12" customFormat="1" x14ac:dyDescent="0.25">
      <c r="A100" s="211" t="s">
        <v>1299</v>
      </c>
      <c r="B100" s="64">
        <v>19.96</v>
      </c>
      <c r="C100" s="64">
        <v>8</v>
      </c>
      <c r="D100" s="64">
        <v>20.190000000000001</v>
      </c>
      <c r="E100" s="64">
        <v>5.61</v>
      </c>
      <c r="F100" s="64">
        <v>2.1</v>
      </c>
      <c r="G100" s="64">
        <v>35</v>
      </c>
      <c r="H100" s="64">
        <v>6.01</v>
      </c>
      <c r="I100" s="64">
        <v>2.19</v>
      </c>
      <c r="J100" s="64">
        <v>0.46</v>
      </c>
      <c r="K100" s="64">
        <v>334.28</v>
      </c>
      <c r="L100" s="64">
        <v>21.52</v>
      </c>
      <c r="M100" s="64">
        <v>97.6</v>
      </c>
      <c r="N100" s="64">
        <v>41.5</v>
      </c>
      <c r="O100" s="64">
        <v>0</v>
      </c>
      <c r="P100" s="64">
        <v>0.63</v>
      </c>
      <c r="Q100" s="64">
        <v>9.31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1300</v>
      </c>
      <c r="B101" s="64">
        <v>18.399999999999999</v>
      </c>
      <c r="C101" s="64">
        <v>10.32</v>
      </c>
      <c r="D101" s="64">
        <v>20.149999999999999</v>
      </c>
      <c r="E101" s="64">
        <v>5.81</v>
      </c>
      <c r="F101" s="64">
        <v>2.1</v>
      </c>
      <c r="G101" s="64">
        <v>30.72</v>
      </c>
      <c r="H101" s="64">
        <v>9.6</v>
      </c>
      <c r="I101" s="64">
        <v>2.19</v>
      </c>
      <c r="J101" s="64">
        <v>0.74</v>
      </c>
      <c r="K101" s="64">
        <v>337.26</v>
      </c>
      <c r="L101" s="64">
        <v>21.38</v>
      </c>
      <c r="M101" s="64">
        <v>98.07</v>
      </c>
      <c r="N101" s="64">
        <v>41.5</v>
      </c>
      <c r="O101" s="64">
        <v>0</v>
      </c>
      <c r="P101" s="64">
        <v>0.6</v>
      </c>
      <c r="Q101" s="64">
        <v>9.32</v>
      </c>
      <c r="R101" s="198"/>
      <c r="S101" s="198"/>
      <c r="T101" s="198"/>
      <c r="U101" s="198"/>
    </row>
    <row r="102" spans="1:33" s="12" customFormat="1" x14ac:dyDescent="0.25">
      <c r="A102" s="211" t="s">
        <v>1301</v>
      </c>
      <c r="B102" s="64">
        <v>19.34</v>
      </c>
      <c r="C102" s="64">
        <v>7.91</v>
      </c>
      <c r="D102" s="64">
        <v>19.64</v>
      </c>
      <c r="E102" s="64">
        <v>5.13</v>
      </c>
      <c r="F102" s="64">
        <v>2.1</v>
      </c>
      <c r="G102" s="64">
        <v>30.41</v>
      </c>
      <c r="H102" s="64">
        <v>9.6</v>
      </c>
      <c r="I102" s="64">
        <v>2.2000000000000002</v>
      </c>
      <c r="J102" s="64">
        <v>0.54</v>
      </c>
      <c r="K102" s="64">
        <v>342.02</v>
      </c>
      <c r="L102" s="64">
        <v>21.28</v>
      </c>
      <c r="M102" s="64">
        <v>97.68</v>
      </c>
      <c r="N102" s="64">
        <v>41.4</v>
      </c>
      <c r="O102" s="64">
        <v>0</v>
      </c>
      <c r="P102" s="64">
        <v>0.61</v>
      </c>
      <c r="Q102" s="64">
        <v>9.33</v>
      </c>
      <c r="R102" s="198"/>
      <c r="S102" s="198"/>
      <c r="T102" s="198"/>
      <c r="U102" s="198"/>
    </row>
    <row r="103" spans="1:33" s="12" customFormat="1" x14ac:dyDescent="0.25">
      <c r="A103" s="211" t="s">
        <v>1302</v>
      </c>
      <c r="B103" s="64">
        <v>18.41</v>
      </c>
      <c r="C103" s="64">
        <v>6.56</v>
      </c>
      <c r="D103" s="64">
        <v>18.190000000000001</v>
      </c>
      <c r="E103" s="64">
        <v>5.93</v>
      </c>
      <c r="F103" s="64">
        <v>2.1</v>
      </c>
      <c r="G103" s="64">
        <v>30.41</v>
      </c>
      <c r="H103" s="64">
        <v>9.6</v>
      </c>
      <c r="I103" s="64">
        <v>2.21</v>
      </c>
      <c r="J103" s="64">
        <v>0.65</v>
      </c>
      <c r="K103" s="64">
        <v>336.94</v>
      </c>
      <c r="L103" s="64">
        <v>21.27</v>
      </c>
      <c r="M103" s="64">
        <v>97.59</v>
      </c>
      <c r="N103" s="64">
        <v>41.3</v>
      </c>
      <c r="O103" s="64">
        <v>0</v>
      </c>
      <c r="P103" s="64">
        <v>0.6</v>
      </c>
      <c r="Q103" s="64">
        <v>9.34</v>
      </c>
      <c r="R103" s="198"/>
      <c r="S103" s="198"/>
      <c r="T103" s="198"/>
      <c r="U103" s="198"/>
    </row>
    <row r="104" spans="1:33" s="12" customFormat="1" x14ac:dyDescent="0.25">
      <c r="A104" s="211" t="s">
        <v>1303</v>
      </c>
      <c r="B104" s="64">
        <v>16.28</v>
      </c>
      <c r="C104" s="64">
        <v>10.63</v>
      </c>
      <c r="D104" s="64">
        <v>18.61</v>
      </c>
      <c r="E104" s="64">
        <v>5.78</v>
      </c>
      <c r="F104" s="64">
        <v>2.1</v>
      </c>
      <c r="G104" s="64">
        <v>30.41</v>
      </c>
      <c r="H104" s="64">
        <v>9.6</v>
      </c>
      <c r="I104" s="64">
        <v>2.19</v>
      </c>
      <c r="J104" s="64">
        <v>0.43</v>
      </c>
      <c r="K104" s="64">
        <v>331.42</v>
      </c>
      <c r="L104" s="64">
        <v>21.28</v>
      </c>
      <c r="M104" s="64">
        <v>97.58</v>
      </c>
      <c r="N104" s="64">
        <v>41.5</v>
      </c>
      <c r="O104" s="64">
        <v>0</v>
      </c>
      <c r="P104" s="64">
        <v>0.55000000000000004</v>
      </c>
      <c r="Q104" s="64">
        <v>9.34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6.3</v>
      </c>
      <c r="C106" s="67">
        <f>MIN(C9:C104)</f>
        <v>5.91</v>
      </c>
      <c r="D106" s="67">
        <f t="shared" ref="D106:Q106" si="0">MIN(D9:D104)</f>
        <v>12.86</v>
      </c>
      <c r="E106" s="67">
        <f t="shared" si="0"/>
        <v>4.99</v>
      </c>
      <c r="F106" s="67">
        <f t="shared" si="0"/>
        <v>2.1</v>
      </c>
      <c r="G106" s="67">
        <f t="shared" si="0"/>
        <v>17.59</v>
      </c>
      <c r="H106" s="67">
        <f t="shared" si="0"/>
        <v>5.3</v>
      </c>
      <c r="I106" s="67">
        <f t="shared" si="0"/>
        <v>1.47</v>
      </c>
      <c r="J106" s="67">
        <f t="shared" si="0"/>
        <v>0.01</v>
      </c>
      <c r="K106" s="67">
        <f t="shared" si="0"/>
        <v>7.92</v>
      </c>
      <c r="L106" s="67">
        <f t="shared" si="0"/>
        <v>21.27</v>
      </c>
      <c r="M106" s="67">
        <f t="shared" si="0"/>
        <v>71.83</v>
      </c>
      <c r="N106" s="67">
        <f t="shared" si="0"/>
        <v>41.2</v>
      </c>
      <c r="O106" s="67">
        <f t="shared" si="0"/>
        <v>0</v>
      </c>
      <c r="P106" s="67">
        <f t="shared" si="0"/>
        <v>0.33</v>
      </c>
      <c r="Q106" s="67">
        <f t="shared" si="0"/>
        <v>9.07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24.93</v>
      </c>
      <c r="C107" s="66">
        <f t="shared" ref="C107:Q107" si="1">MAX(C9:C104)</f>
        <v>25.42</v>
      </c>
      <c r="D107" s="66">
        <f t="shared" si="1"/>
        <v>28.8</v>
      </c>
      <c r="E107" s="66">
        <f t="shared" si="1"/>
        <v>10.42</v>
      </c>
      <c r="F107" s="66">
        <f t="shared" si="1"/>
        <v>14.79</v>
      </c>
      <c r="G107" s="66">
        <f t="shared" si="1"/>
        <v>62.92</v>
      </c>
      <c r="H107" s="66">
        <f t="shared" si="1"/>
        <v>10.07</v>
      </c>
      <c r="I107" s="66">
        <f t="shared" si="1"/>
        <v>2.62</v>
      </c>
      <c r="J107" s="66">
        <f t="shared" si="1"/>
        <v>2.2599999999999998</v>
      </c>
      <c r="K107" s="66">
        <f t="shared" si="1"/>
        <v>348.07</v>
      </c>
      <c r="L107" s="66">
        <f t="shared" si="1"/>
        <v>30.54</v>
      </c>
      <c r="M107" s="66">
        <f t="shared" si="1"/>
        <v>98.49</v>
      </c>
      <c r="N107" s="66">
        <f t="shared" si="1"/>
        <v>553.20000000000005</v>
      </c>
      <c r="O107" s="66">
        <f t="shared" si="1"/>
        <v>0</v>
      </c>
      <c r="P107" s="66">
        <f t="shared" si="1"/>
        <v>0.87</v>
      </c>
      <c r="Q107" s="66">
        <f t="shared" si="1"/>
        <v>9.39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14.135104166666665</v>
      </c>
      <c r="C108" s="67">
        <f t="shared" ref="C108:Q108" si="2">AVERAGE(C9:C104)</f>
        <v>13.109166666666667</v>
      </c>
      <c r="D108" s="67">
        <f t="shared" si="2"/>
        <v>18.176041666666674</v>
      </c>
      <c r="E108" s="67">
        <f t="shared" si="2"/>
        <v>6.5521874999999961</v>
      </c>
      <c r="F108" s="67">
        <f t="shared" si="2"/>
        <v>4.4240625000000033</v>
      </c>
      <c r="G108" s="67">
        <f t="shared" si="2"/>
        <v>41.92510416666665</v>
      </c>
      <c r="H108" s="67">
        <f t="shared" si="2"/>
        <v>7.128749999999993</v>
      </c>
      <c r="I108" s="67">
        <f t="shared" si="2"/>
        <v>2.160729166666667</v>
      </c>
      <c r="J108" s="67">
        <f t="shared" si="2"/>
        <v>0.5540624999999999</v>
      </c>
      <c r="K108" s="67">
        <f t="shared" si="2"/>
        <v>298.03437500000001</v>
      </c>
      <c r="L108" s="67">
        <f t="shared" si="2"/>
        <v>24.314270833333339</v>
      </c>
      <c r="M108" s="67">
        <f t="shared" si="2"/>
        <v>93.56302083333334</v>
      </c>
      <c r="N108" s="67">
        <f t="shared" si="2"/>
        <v>130.87604166666668</v>
      </c>
      <c r="O108" s="67">
        <f t="shared" si="2"/>
        <v>0</v>
      </c>
      <c r="P108" s="67">
        <f t="shared" si="2"/>
        <v>0.6182291666666665</v>
      </c>
      <c r="Q108" s="67">
        <f t="shared" si="2"/>
        <v>9.2198958333333358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4.62878021781383</v>
      </c>
      <c r="C109" s="67">
        <f t="shared" ref="C109:Q109" si="3">STDEV(C9:C104)</f>
        <v>5.0337813905372686</v>
      </c>
      <c r="D109" s="67">
        <f t="shared" si="3"/>
        <v>3.6957416403111094</v>
      </c>
      <c r="E109" s="67">
        <f t="shared" si="3"/>
        <v>1.2960597802367861</v>
      </c>
      <c r="F109" s="67">
        <f t="shared" si="3"/>
        <v>3.1807352933840463</v>
      </c>
      <c r="G109" s="67">
        <f t="shared" si="3"/>
        <v>13.633570408894986</v>
      </c>
      <c r="H109" s="67">
        <f t="shared" si="3"/>
        <v>1.4257402509426389</v>
      </c>
      <c r="I109" s="67">
        <f t="shared" si="3"/>
        <v>0.33104060743650576</v>
      </c>
      <c r="J109" s="67">
        <f t="shared" si="3"/>
        <v>0.44481002006178838</v>
      </c>
      <c r="K109" s="67">
        <f t="shared" si="3"/>
        <v>82.2009954839518</v>
      </c>
      <c r="L109" s="67">
        <f t="shared" si="3"/>
        <v>3.0525343206110445</v>
      </c>
      <c r="M109" s="67">
        <f t="shared" si="3"/>
        <v>8.5918367768226052</v>
      </c>
      <c r="N109" s="67">
        <f t="shared" si="3"/>
        <v>135.84489897618855</v>
      </c>
      <c r="O109" s="67">
        <f t="shared" si="3"/>
        <v>0</v>
      </c>
      <c r="P109" s="67">
        <f t="shared" si="3"/>
        <v>0.11345293289490718</v>
      </c>
      <c r="Q109" s="67">
        <f t="shared" si="3"/>
        <v>8.5698305475683315E-2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K122" sqref="K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1304</v>
      </c>
      <c r="B9" s="64">
        <v>17.239999999999998</v>
      </c>
      <c r="C9" s="64">
        <v>9.1300000000000008</v>
      </c>
      <c r="D9" s="64">
        <v>18.59</v>
      </c>
      <c r="E9" s="64">
        <v>6.06</v>
      </c>
      <c r="F9" s="64">
        <v>2.1</v>
      </c>
      <c r="G9" s="64">
        <v>29.36</v>
      </c>
      <c r="H9" s="64">
        <v>7.87</v>
      </c>
      <c r="I9" s="64">
        <v>2.16</v>
      </c>
      <c r="J9" s="64">
        <v>0.45</v>
      </c>
      <c r="K9" s="64">
        <v>337.56</v>
      </c>
      <c r="L9" s="64">
        <v>21.14</v>
      </c>
      <c r="M9" s="64">
        <v>98.08</v>
      </c>
      <c r="N9" s="64">
        <v>41.5</v>
      </c>
      <c r="O9" s="64">
        <v>0</v>
      </c>
      <c r="P9" s="64">
        <v>0.55000000000000004</v>
      </c>
      <c r="Q9" s="64">
        <v>9.34</v>
      </c>
      <c r="R9" s="198"/>
      <c r="S9" s="198"/>
      <c r="T9" s="198"/>
      <c r="U9" s="198"/>
    </row>
    <row r="10" spans="1:21" s="12" customFormat="1" x14ac:dyDescent="0.25">
      <c r="A10" s="211" t="s">
        <v>1305</v>
      </c>
      <c r="B10" s="64">
        <v>15.29</v>
      </c>
      <c r="C10" s="64">
        <v>11.42</v>
      </c>
      <c r="D10" s="64">
        <v>18.22</v>
      </c>
      <c r="E10" s="64">
        <v>6.33</v>
      </c>
      <c r="F10" s="64">
        <v>2.1</v>
      </c>
      <c r="G10" s="64">
        <v>29.28</v>
      </c>
      <c r="H10" s="64">
        <v>7.87</v>
      </c>
      <c r="I10" s="64">
        <v>2.14</v>
      </c>
      <c r="J10" s="64">
        <v>0.75</v>
      </c>
      <c r="K10" s="64">
        <v>338.73</v>
      </c>
      <c r="L10" s="64">
        <v>21.05</v>
      </c>
      <c r="M10" s="64">
        <v>97.65</v>
      </c>
      <c r="N10" s="64">
        <v>41.4</v>
      </c>
      <c r="O10" s="64">
        <v>0</v>
      </c>
      <c r="P10" s="64">
        <v>0.56000000000000005</v>
      </c>
      <c r="Q10" s="64">
        <v>9.34</v>
      </c>
      <c r="R10" s="198"/>
      <c r="S10" s="198"/>
      <c r="T10" s="198"/>
      <c r="U10" s="198"/>
    </row>
    <row r="11" spans="1:21" s="12" customFormat="1" x14ac:dyDescent="0.25">
      <c r="A11" s="211" t="s">
        <v>1306</v>
      </c>
      <c r="B11" s="64">
        <v>15.99</v>
      </c>
      <c r="C11" s="64">
        <v>10.199999999999999</v>
      </c>
      <c r="D11" s="64">
        <v>18.149999999999999</v>
      </c>
      <c r="E11" s="64">
        <v>6.56</v>
      </c>
      <c r="F11" s="64">
        <v>2.1</v>
      </c>
      <c r="G11" s="64">
        <v>29.28</v>
      </c>
      <c r="H11" s="64">
        <v>7.87</v>
      </c>
      <c r="I11" s="64">
        <v>2.11</v>
      </c>
      <c r="J11" s="64">
        <v>0.78</v>
      </c>
      <c r="K11" s="64">
        <v>338.04</v>
      </c>
      <c r="L11" s="64">
        <v>21.13</v>
      </c>
      <c r="M11" s="64">
        <v>97.61</v>
      </c>
      <c r="N11" s="64">
        <v>41.5</v>
      </c>
      <c r="O11" s="64">
        <v>0</v>
      </c>
      <c r="P11" s="64">
        <v>0.56999999999999995</v>
      </c>
      <c r="Q11" s="64">
        <v>9.34</v>
      </c>
      <c r="R11" s="198"/>
      <c r="S11" s="198"/>
      <c r="T11" s="198"/>
      <c r="U11" s="198"/>
    </row>
    <row r="12" spans="1:21" s="12" customFormat="1" x14ac:dyDescent="0.25">
      <c r="A12" s="211" t="s">
        <v>1307</v>
      </c>
      <c r="B12" s="64">
        <v>14.84</v>
      </c>
      <c r="C12" s="64">
        <v>12.65</v>
      </c>
      <c r="D12" s="64">
        <v>18.510000000000002</v>
      </c>
      <c r="E12" s="64">
        <v>6.64</v>
      </c>
      <c r="F12" s="64">
        <v>2.1</v>
      </c>
      <c r="G12" s="64">
        <v>29.28</v>
      </c>
      <c r="H12" s="64">
        <v>7.87</v>
      </c>
      <c r="I12" s="64">
        <v>2.0699999999999998</v>
      </c>
      <c r="J12" s="64">
        <v>0.27</v>
      </c>
      <c r="K12" s="64">
        <v>333.47</v>
      </c>
      <c r="L12" s="64">
        <v>21.22</v>
      </c>
      <c r="M12" s="64">
        <v>97.63</v>
      </c>
      <c r="N12" s="64">
        <v>41.5</v>
      </c>
      <c r="O12" s="64">
        <v>0</v>
      </c>
      <c r="P12" s="64">
        <v>0.57999999999999996</v>
      </c>
      <c r="Q12" s="64">
        <v>9.34</v>
      </c>
      <c r="R12" s="198"/>
      <c r="S12" s="198"/>
      <c r="T12" s="198"/>
      <c r="U12" s="198"/>
    </row>
    <row r="13" spans="1:21" s="12" customFormat="1" x14ac:dyDescent="0.25">
      <c r="A13" s="211" t="s">
        <v>1308</v>
      </c>
      <c r="B13" s="64">
        <v>14.73</v>
      </c>
      <c r="C13" s="64">
        <v>12.56</v>
      </c>
      <c r="D13" s="64">
        <v>18.37</v>
      </c>
      <c r="E13" s="64">
        <v>6.29</v>
      </c>
      <c r="F13" s="64">
        <v>2.1</v>
      </c>
      <c r="G13" s="64">
        <v>31.88</v>
      </c>
      <c r="H13" s="64">
        <v>6.67</v>
      </c>
      <c r="I13" s="64">
        <v>2.0299999999999998</v>
      </c>
      <c r="J13" s="64">
        <v>0.1</v>
      </c>
      <c r="K13" s="64">
        <v>323.85000000000002</v>
      </c>
      <c r="L13" s="64">
        <v>21.13</v>
      </c>
      <c r="M13" s="64">
        <v>98.13</v>
      </c>
      <c r="N13" s="64">
        <v>41.7</v>
      </c>
      <c r="O13" s="64">
        <v>0</v>
      </c>
      <c r="P13" s="64">
        <v>0.6</v>
      </c>
      <c r="Q13" s="64">
        <v>9.34</v>
      </c>
      <c r="R13" s="198"/>
      <c r="S13" s="198"/>
      <c r="T13" s="198"/>
      <c r="U13" s="198"/>
    </row>
    <row r="14" spans="1:21" s="12" customFormat="1" x14ac:dyDescent="0.25">
      <c r="A14" s="211" t="s">
        <v>1309</v>
      </c>
      <c r="B14" s="64">
        <v>15.05</v>
      </c>
      <c r="C14" s="64">
        <v>11.98</v>
      </c>
      <c r="D14" s="64">
        <v>18.329999999999998</v>
      </c>
      <c r="E14" s="64">
        <v>6.26</v>
      </c>
      <c r="F14" s="64">
        <v>2.1</v>
      </c>
      <c r="G14" s="64">
        <v>32.03</v>
      </c>
      <c r="H14" s="64">
        <v>6.67</v>
      </c>
      <c r="I14" s="64">
        <v>2.02</v>
      </c>
      <c r="J14" s="64">
        <v>0.42</v>
      </c>
      <c r="K14" s="64">
        <v>333.53</v>
      </c>
      <c r="L14" s="64">
        <v>21.23</v>
      </c>
      <c r="M14" s="64">
        <v>97.69</v>
      </c>
      <c r="N14" s="64">
        <v>41.5</v>
      </c>
      <c r="O14" s="64">
        <v>0</v>
      </c>
      <c r="P14" s="64">
        <v>0.62</v>
      </c>
      <c r="Q14" s="64">
        <v>9.34</v>
      </c>
      <c r="R14" s="198"/>
      <c r="S14" s="198"/>
      <c r="T14" s="198"/>
      <c r="U14" s="198"/>
    </row>
    <row r="15" spans="1:21" s="12" customFormat="1" x14ac:dyDescent="0.25">
      <c r="A15" s="211" t="s">
        <v>1310</v>
      </c>
      <c r="B15" s="64">
        <v>16.46</v>
      </c>
      <c r="C15" s="64">
        <v>8.85</v>
      </c>
      <c r="D15" s="64">
        <v>17.82</v>
      </c>
      <c r="E15" s="64">
        <v>6.58</v>
      </c>
      <c r="F15" s="64">
        <v>2.1</v>
      </c>
      <c r="G15" s="64">
        <v>32.03</v>
      </c>
      <c r="H15" s="64">
        <v>6.67</v>
      </c>
      <c r="I15" s="64">
        <v>2</v>
      </c>
      <c r="J15" s="64">
        <v>0.38</v>
      </c>
      <c r="K15" s="64">
        <v>340.13</v>
      </c>
      <c r="L15" s="64">
        <v>21.3</v>
      </c>
      <c r="M15" s="64">
        <v>97.65</v>
      </c>
      <c r="N15" s="64">
        <v>41.6</v>
      </c>
      <c r="O15" s="64">
        <v>0</v>
      </c>
      <c r="P15" s="64">
        <v>0.61</v>
      </c>
      <c r="Q15" s="64">
        <v>9.34</v>
      </c>
      <c r="R15" s="198"/>
      <c r="S15" s="198"/>
      <c r="T15" s="198"/>
      <c r="U15" s="198"/>
    </row>
    <row r="16" spans="1:21" s="12" customFormat="1" x14ac:dyDescent="0.25">
      <c r="A16" s="211" t="s">
        <v>1311</v>
      </c>
      <c r="B16" s="64">
        <v>15.92</v>
      </c>
      <c r="C16" s="64">
        <v>8.33</v>
      </c>
      <c r="D16" s="64">
        <v>17.12</v>
      </c>
      <c r="E16" s="64">
        <v>5.87</v>
      </c>
      <c r="F16" s="64">
        <v>2.1</v>
      </c>
      <c r="G16" s="64">
        <v>32.03</v>
      </c>
      <c r="H16" s="64">
        <v>6.67</v>
      </c>
      <c r="I16" s="64">
        <v>1.98</v>
      </c>
      <c r="J16" s="64">
        <v>0.33</v>
      </c>
      <c r="K16" s="64">
        <v>123.18</v>
      </c>
      <c r="L16" s="64">
        <v>21.28</v>
      </c>
      <c r="M16" s="64">
        <v>97.64</v>
      </c>
      <c r="N16" s="64">
        <v>41.9</v>
      </c>
      <c r="O16" s="64">
        <v>0</v>
      </c>
      <c r="P16" s="64">
        <v>0.61</v>
      </c>
      <c r="Q16" s="64">
        <v>9.32</v>
      </c>
      <c r="R16" s="198"/>
      <c r="S16" s="198"/>
      <c r="T16" s="198"/>
      <c r="U16" s="198"/>
    </row>
    <row r="17" spans="1:21" s="12" customFormat="1" x14ac:dyDescent="0.25">
      <c r="A17" s="211" t="s">
        <v>1312</v>
      </c>
      <c r="B17" s="64">
        <v>15.04</v>
      </c>
      <c r="C17" s="64">
        <v>9.9700000000000006</v>
      </c>
      <c r="D17" s="64">
        <v>17.27</v>
      </c>
      <c r="E17" s="64">
        <v>6.25</v>
      </c>
      <c r="F17" s="64">
        <v>2.1</v>
      </c>
      <c r="G17" s="64">
        <v>34.229999999999997</v>
      </c>
      <c r="H17" s="64">
        <v>5.82</v>
      </c>
      <c r="I17" s="64">
        <v>1.95</v>
      </c>
      <c r="J17" s="64">
        <v>0.09</v>
      </c>
      <c r="K17" s="64">
        <v>326.95999999999998</v>
      </c>
      <c r="L17" s="64">
        <v>21.21</v>
      </c>
      <c r="M17" s="64">
        <v>98.11</v>
      </c>
      <c r="N17" s="64">
        <v>41.7</v>
      </c>
      <c r="O17" s="64">
        <v>0</v>
      </c>
      <c r="P17" s="64">
        <v>0.59</v>
      </c>
      <c r="Q17" s="64">
        <v>9.3000000000000007</v>
      </c>
      <c r="R17" s="198"/>
      <c r="S17" s="198"/>
      <c r="T17" s="198"/>
      <c r="U17" s="198"/>
    </row>
    <row r="18" spans="1:21" s="12" customFormat="1" x14ac:dyDescent="0.25">
      <c r="A18" s="211" t="s">
        <v>1313</v>
      </c>
      <c r="B18" s="64">
        <v>17.190000000000001</v>
      </c>
      <c r="C18" s="64">
        <v>6.67</v>
      </c>
      <c r="D18" s="64">
        <v>17.27</v>
      </c>
      <c r="E18" s="64">
        <v>5.61</v>
      </c>
      <c r="F18" s="64">
        <v>2.1</v>
      </c>
      <c r="G18" s="64">
        <v>34.39</v>
      </c>
      <c r="H18" s="64">
        <v>5.82</v>
      </c>
      <c r="I18" s="64">
        <v>1.94</v>
      </c>
      <c r="J18" s="64">
        <v>0.21</v>
      </c>
      <c r="K18" s="64">
        <v>340.51</v>
      </c>
      <c r="L18" s="64">
        <v>21.3</v>
      </c>
      <c r="M18" s="64">
        <v>97.7</v>
      </c>
      <c r="N18" s="64">
        <v>41.7</v>
      </c>
      <c r="O18" s="64">
        <v>0</v>
      </c>
      <c r="P18" s="64">
        <v>0.6</v>
      </c>
      <c r="Q18" s="64">
        <v>9.3000000000000007</v>
      </c>
      <c r="R18" s="198"/>
      <c r="S18" s="198"/>
      <c r="T18" s="198"/>
      <c r="U18" s="198"/>
    </row>
    <row r="19" spans="1:21" s="12" customFormat="1" x14ac:dyDescent="0.25">
      <c r="A19" s="211" t="s">
        <v>1314</v>
      </c>
      <c r="B19" s="64">
        <v>18.84</v>
      </c>
      <c r="C19" s="64">
        <v>4.5599999999999996</v>
      </c>
      <c r="D19" s="64">
        <v>17.489999999999998</v>
      </c>
      <c r="E19" s="64">
        <v>5.67</v>
      </c>
      <c r="F19" s="64">
        <v>2.1</v>
      </c>
      <c r="G19" s="64">
        <v>34.39</v>
      </c>
      <c r="H19" s="64">
        <v>5.82</v>
      </c>
      <c r="I19" s="64">
        <v>1.94</v>
      </c>
      <c r="J19" s="64">
        <v>0.33</v>
      </c>
      <c r="K19" s="64">
        <v>335.64</v>
      </c>
      <c r="L19" s="64">
        <v>21.44</v>
      </c>
      <c r="M19" s="64">
        <v>97.63</v>
      </c>
      <c r="N19" s="64">
        <v>41.8</v>
      </c>
      <c r="O19" s="64">
        <v>0</v>
      </c>
      <c r="P19" s="64">
        <v>0.6</v>
      </c>
      <c r="Q19" s="64">
        <v>9.2799999999999994</v>
      </c>
      <c r="R19" s="198"/>
      <c r="S19" s="198"/>
      <c r="T19" s="198"/>
      <c r="U19" s="198"/>
    </row>
    <row r="20" spans="1:21" s="12" customFormat="1" x14ac:dyDescent="0.25">
      <c r="A20" s="211" t="s">
        <v>1315</v>
      </c>
      <c r="B20" s="64">
        <v>17.38</v>
      </c>
      <c r="C20" s="64">
        <v>6.34</v>
      </c>
      <c r="D20" s="64">
        <v>17.25</v>
      </c>
      <c r="E20" s="64">
        <v>5.73</v>
      </c>
      <c r="F20" s="64">
        <v>2.1</v>
      </c>
      <c r="G20" s="64">
        <v>34.39</v>
      </c>
      <c r="H20" s="64">
        <v>5.82</v>
      </c>
      <c r="I20" s="64">
        <v>1.93</v>
      </c>
      <c r="J20" s="64">
        <v>0.56999999999999995</v>
      </c>
      <c r="K20" s="64">
        <v>340.66</v>
      </c>
      <c r="L20" s="64">
        <v>21.5</v>
      </c>
      <c r="M20" s="64">
        <v>97.66</v>
      </c>
      <c r="N20" s="64">
        <v>41.9</v>
      </c>
      <c r="O20" s="64">
        <v>0</v>
      </c>
      <c r="P20" s="64">
        <v>0.65</v>
      </c>
      <c r="Q20" s="64">
        <v>9.2899999999999991</v>
      </c>
      <c r="R20" s="198"/>
      <c r="S20" s="198"/>
      <c r="T20" s="198"/>
      <c r="U20" s="198"/>
    </row>
    <row r="21" spans="1:21" s="12" customFormat="1" x14ac:dyDescent="0.25">
      <c r="A21" s="211" t="s">
        <v>1316</v>
      </c>
      <c r="B21" s="64">
        <v>16.03</v>
      </c>
      <c r="C21" s="64">
        <v>10.029999999999999</v>
      </c>
      <c r="D21" s="64">
        <v>18.100000000000001</v>
      </c>
      <c r="E21" s="64">
        <v>6.46</v>
      </c>
      <c r="F21" s="64">
        <v>2.1</v>
      </c>
      <c r="G21" s="64">
        <v>42.31</v>
      </c>
      <c r="H21" s="64">
        <v>8.57</v>
      </c>
      <c r="I21" s="64">
        <v>1.91</v>
      </c>
      <c r="J21" s="64">
        <v>0.56999999999999995</v>
      </c>
      <c r="K21" s="64">
        <v>339.04</v>
      </c>
      <c r="L21" s="64">
        <v>21.49</v>
      </c>
      <c r="M21" s="64">
        <v>98.2</v>
      </c>
      <c r="N21" s="64">
        <v>41.8</v>
      </c>
      <c r="O21" s="64">
        <v>0</v>
      </c>
      <c r="P21" s="64">
        <v>0.65</v>
      </c>
      <c r="Q21" s="64">
        <v>9.3000000000000007</v>
      </c>
      <c r="R21" s="198"/>
      <c r="S21" s="198"/>
      <c r="T21" s="198"/>
      <c r="U21" s="198"/>
    </row>
    <row r="22" spans="1:21" s="12" customFormat="1" x14ac:dyDescent="0.25">
      <c r="A22" s="211" t="s">
        <v>1317</v>
      </c>
      <c r="B22" s="64">
        <v>17.13</v>
      </c>
      <c r="C22" s="64">
        <v>6.85</v>
      </c>
      <c r="D22" s="64">
        <v>17.32</v>
      </c>
      <c r="E22" s="64">
        <v>5.95</v>
      </c>
      <c r="F22" s="64">
        <v>2.1</v>
      </c>
      <c r="G22" s="64">
        <v>42.88</v>
      </c>
      <c r="H22" s="64">
        <v>8.57</v>
      </c>
      <c r="I22" s="64">
        <v>1.91</v>
      </c>
      <c r="J22" s="64">
        <v>0.5</v>
      </c>
      <c r="K22" s="64">
        <v>340.09</v>
      </c>
      <c r="L22" s="64">
        <v>21.53</v>
      </c>
      <c r="M22" s="64">
        <v>98.22</v>
      </c>
      <c r="N22" s="64">
        <v>41.9</v>
      </c>
      <c r="O22" s="64">
        <v>0</v>
      </c>
      <c r="P22" s="64">
        <v>0.64</v>
      </c>
      <c r="Q22" s="64">
        <v>9.2899999999999991</v>
      </c>
      <c r="R22" s="198"/>
      <c r="S22" s="198"/>
      <c r="T22" s="198"/>
      <c r="U22" s="198"/>
    </row>
    <row r="23" spans="1:21" s="12" customFormat="1" x14ac:dyDescent="0.25">
      <c r="A23" s="211" t="s">
        <v>1318</v>
      </c>
      <c r="B23" s="64">
        <v>17.059999999999999</v>
      </c>
      <c r="C23" s="64">
        <v>6.62</v>
      </c>
      <c r="D23" s="64">
        <v>17.14</v>
      </c>
      <c r="E23" s="64">
        <v>5.68</v>
      </c>
      <c r="F23" s="64">
        <v>2.1</v>
      </c>
      <c r="G23" s="64">
        <v>42.88</v>
      </c>
      <c r="H23" s="64">
        <v>8.57</v>
      </c>
      <c r="I23" s="64">
        <v>1.92</v>
      </c>
      <c r="J23" s="64">
        <v>0.66</v>
      </c>
      <c r="K23" s="64">
        <v>339.67</v>
      </c>
      <c r="L23" s="64">
        <v>21.56</v>
      </c>
      <c r="M23" s="64">
        <v>98.25</v>
      </c>
      <c r="N23" s="64">
        <v>41.9</v>
      </c>
      <c r="O23" s="64">
        <v>0</v>
      </c>
      <c r="P23" s="64">
        <v>0.63</v>
      </c>
      <c r="Q23" s="64">
        <v>9.2899999999999991</v>
      </c>
      <c r="R23" s="198"/>
      <c r="S23" s="198"/>
      <c r="T23" s="198"/>
      <c r="U23" s="198"/>
    </row>
    <row r="24" spans="1:21" s="12" customFormat="1" x14ac:dyDescent="0.25">
      <c r="A24" s="211" t="s">
        <v>1319</v>
      </c>
      <c r="B24" s="64">
        <v>16.829999999999998</v>
      </c>
      <c r="C24" s="64">
        <v>6.65</v>
      </c>
      <c r="D24" s="64">
        <v>16.97</v>
      </c>
      <c r="E24" s="64">
        <v>6.11</v>
      </c>
      <c r="F24" s="64">
        <v>2.1</v>
      </c>
      <c r="G24" s="64">
        <v>42.88</v>
      </c>
      <c r="H24" s="64">
        <v>8.57</v>
      </c>
      <c r="I24" s="64">
        <v>1.93</v>
      </c>
      <c r="J24" s="64">
        <v>0.64</v>
      </c>
      <c r="K24" s="64">
        <v>341.72</v>
      </c>
      <c r="L24" s="64">
        <v>21.58</v>
      </c>
      <c r="M24" s="64">
        <v>98.25</v>
      </c>
      <c r="N24" s="64">
        <v>41.8</v>
      </c>
      <c r="O24" s="64">
        <v>0</v>
      </c>
      <c r="P24" s="64">
        <v>0.63</v>
      </c>
      <c r="Q24" s="64">
        <v>9.2799999999999994</v>
      </c>
      <c r="R24" s="198"/>
      <c r="S24" s="198"/>
      <c r="T24" s="198"/>
      <c r="U24" s="198"/>
    </row>
    <row r="25" spans="1:21" s="12" customFormat="1" x14ac:dyDescent="0.25">
      <c r="A25" s="211" t="s">
        <v>1320</v>
      </c>
      <c r="B25" s="64">
        <v>17.07</v>
      </c>
      <c r="C25" s="64">
        <v>9.56</v>
      </c>
      <c r="D25" s="64">
        <v>18.68</v>
      </c>
      <c r="E25" s="64">
        <v>5.99</v>
      </c>
      <c r="F25" s="64">
        <v>2.1</v>
      </c>
      <c r="G25" s="64">
        <v>41.94</v>
      </c>
      <c r="H25" s="64">
        <v>7.77</v>
      </c>
      <c r="I25" s="64">
        <v>2.0699999999999998</v>
      </c>
      <c r="J25" s="64">
        <v>0.47</v>
      </c>
      <c r="K25" s="64">
        <v>341.89</v>
      </c>
      <c r="L25" s="64">
        <v>21.47</v>
      </c>
      <c r="M25" s="64">
        <v>98.2</v>
      </c>
      <c r="N25" s="64">
        <v>41.8</v>
      </c>
      <c r="O25" s="64">
        <v>0</v>
      </c>
      <c r="P25" s="64">
        <v>0.63</v>
      </c>
      <c r="Q25" s="64">
        <v>9.2799999999999994</v>
      </c>
      <c r="R25" s="198"/>
      <c r="S25" s="198"/>
      <c r="T25" s="198"/>
      <c r="U25" s="198"/>
    </row>
    <row r="26" spans="1:21" s="12" customFormat="1" x14ac:dyDescent="0.25">
      <c r="A26" s="211" t="s">
        <v>1321</v>
      </c>
      <c r="B26" s="64">
        <v>14.56</v>
      </c>
      <c r="C26" s="64">
        <v>11.61</v>
      </c>
      <c r="D26" s="64">
        <v>17.739999999999998</v>
      </c>
      <c r="E26" s="64">
        <v>6.67</v>
      </c>
      <c r="F26" s="64">
        <v>2.1</v>
      </c>
      <c r="G26" s="64">
        <v>41.88</v>
      </c>
      <c r="H26" s="64">
        <v>7.77</v>
      </c>
      <c r="I26" s="64">
        <v>2.17</v>
      </c>
      <c r="J26" s="64">
        <v>0.14000000000000001</v>
      </c>
      <c r="K26" s="64">
        <v>102.69</v>
      </c>
      <c r="L26" s="64">
        <v>21.29</v>
      </c>
      <c r="M26" s="64">
        <v>98.2</v>
      </c>
      <c r="N26" s="64">
        <v>41.8</v>
      </c>
      <c r="O26" s="64">
        <v>0</v>
      </c>
      <c r="P26" s="64">
        <v>0.62</v>
      </c>
      <c r="Q26" s="64">
        <v>9.3000000000000007</v>
      </c>
      <c r="R26" s="198"/>
      <c r="S26" s="198"/>
      <c r="T26" s="198"/>
      <c r="U26" s="198"/>
    </row>
    <row r="27" spans="1:21" s="12" customFormat="1" x14ac:dyDescent="0.25">
      <c r="A27" s="211" t="s">
        <v>1322</v>
      </c>
      <c r="B27" s="64">
        <v>17.84</v>
      </c>
      <c r="C27" s="64">
        <v>10.029999999999999</v>
      </c>
      <c r="D27" s="64">
        <v>19.54</v>
      </c>
      <c r="E27" s="64">
        <v>6.96</v>
      </c>
      <c r="F27" s="64">
        <v>2.1</v>
      </c>
      <c r="G27" s="64">
        <v>41.88</v>
      </c>
      <c r="H27" s="64">
        <v>7.77</v>
      </c>
      <c r="I27" s="64">
        <v>2.17</v>
      </c>
      <c r="J27" s="64">
        <v>0.18</v>
      </c>
      <c r="K27" s="64">
        <v>337.81</v>
      </c>
      <c r="L27" s="64">
        <v>21.13</v>
      </c>
      <c r="M27" s="64">
        <v>98.23</v>
      </c>
      <c r="N27" s="64">
        <v>41.6</v>
      </c>
      <c r="O27" s="64">
        <v>0</v>
      </c>
      <c r="P27" s="64">
        <v>0.65</v>
      </c>
      <c r="Q27" s="64">
        <v>9.32</v>
      </c>
      <c r="R27" s="198"/>
      <c r="S27" s="198"/>
      <c r="T27" s="198"/>
      <c r="U27" s="198"/>
    </row>
    <row r="28" spans="1:21" s="12" customFormat="1" x14ac:dyDescent="0.25">
      <c r="A28" s="211" t="s">
        <v>1323</v>
      </c>
      <c r="B28" s="64">
        <v>17.899999999999999</v>
      </c>
      <c r="C28" s="64">
        <v>9.75</v>
      </c>
      <c r="D28" s="64">
        <v>19.45</v>
      </c>
      <c r="E28" s="64">
        <v>6.73</v>
      </c>
      <c r="F28" s="64">
        <v>2.1</v>
      </c>
      <c r="G28" s="64">
        <v>41.88</v>
      </c>
      <c r="H28" s="64">
        <v>7.77</v>
      </c>
      <c r="I28" s="64">
        <v>2.16</v>
      </c>
      <c r="J28" s="64">
        <v>0.05</v>
      </c>
      <c r="K28" s="64">
        <v>330.42</v>
      </c>
      <c r="L28" s="64">
        <v>21.08</v>
      </c>
      <c r="M28" s="64">
        <v>98.22</v>
      </c>
      <c r="N28" s="64">
        <v>41.6</v>
      </c>
      <c r="O28" s="64">
        <v>0</v>
      </c>
      <c r="P28" s="64">
        <v>0.63</v>
      </c>
      <c r="Q28" s="64">
        <v>9.33</v>
      </c>
      <c r="R28" s="198"/>
      <c r="S28" s="198"/>
      <c r="T28" s="198"/>
      <c r="U28" s="198"/>
    </row>
    <row r="29" spans="1:21" s="12" customFormat="1" x14ac:dyDescent="0.25">
      <c r="A29" s="211" t="s">
        <v>1324</v>
      </c>
      <c r="B29" s="64">
        <v>16.670000000000002</v>
      </c>
      <c r="C29" s="64">
        <v>10.35</v>
      </c>
      <c r="D29" s="64">
        <v>18.77</v>
      </c>
      <c r="E29" s="64">
        <v>6.66</v>
      </c>
      <c r="F29" s="64">
        <v>2.1</v>
      </c>
      <c r="G29" s="64">
        <v>39.93</v>
      </c>
      <c r="H29" s="64">
        <v>6.6</v>
      </c>
      <c r="I29" s="64">
        <v>2.16</v>
      </c>
      <c r="J29" s="64">
        <v>0.16</v>
      </c>
      <c r="K29" s="64">
        <v>344.8</v>
      </c>
      <c r="L29" s="64">
        <v>21.05</v>
      </c>
      <c r="M29" s="64">
        <v>98.2</v>
      </c>
      <c r="N29" s="64">
        <v>41.5</v>
      </c>
      <c r="O29" s="64">
        <v>0</v>
      </c>
      <c r="P29" s="64">
        <v>0.61</v>
      </c>
      <c r="Q29" s="64">
        <v>9.34</v>
      </c>
      <c r="R29" s="198"/>
      <c r="S29" s="198"/>
      <c r="T29" s="198"/>
      <c r="U29" s="198"/>
    </row>
    <row r="30" spans="1:21" s="12" customFormat="1" x14ac:dyDescent="0.25">
      <c r="A30" s="211" t="s">
        <v>1325</v>
      </c>
      <c r="B30" s="64">
        <v>15.48</v>
      </c>
      <c r="C30" s="64">
        <v>8.99</v>
      </c>
      <c r="D30" s="64">
        <v>17.11</v>
      </c>
      <c r="E30" s="64">
        <v>6.26</v>
      </c>
      <c r="F30" s="64">
        <v>2.1</v>
      </c>
      <c r="G30" s="64">
        <v>39.79</v>
      </c>
      <c r="H30" s="64">
        <v>6.6</v>
      </c>
      <c r="I30" s="64">
        <v>2.16</v>
      </c>
      <c r="J30" s="64">
        <v>0.04</v>
      </c>
      <c r="K30" s="64">
        <v>78.06</v>
      </c>
      <c r="L30" s="64">
        <v>21.04</v>
      </c>
      <c r="M30" s="64">
        <v>98.17</v>
      </c>
      <c r="N30" s="64">
        <v>41.6</v>
      </c>
      <c r="O30" s="64">
        <v>0</v>
      </c>
      <c r="P30" s="64">
        <v>0.59</v>
      </c>
      <c r="Q30" s="64">
        <v>9.33</v>
      </c>
      <c r="R30" s="198"/>
      <c r="S30" s="198"/>
      <c r="T30" s="198"/>
      <c r="U30" s="198"/>
    </row>
    <row r="31" spans="1:21" s="12" customFormat="1" x14ac:dyDescent="0.25">
      <c r="A31" s="211" t="s">
        <v>1326</v>
      </c>
      <c r="B31" s="64">
        <v>15.48</v>
      </c>
      <c r="C31" s="64">
        <v>8.1300000000000008</v>
      </c>
      <c r="D31" s="64">
        <v>16.670000000000002</v>
      </c>
      <c r="E31" s="64">
        <v>6.44</v>
      </c>
      <c r="F31" s="64">
        <v>2.1</v>
      </c>
      <c r="G31" s="64">
        <v>39.79</v>
      </c>
      <c r="H31" s="64">
        <v>6.6</v>
      </c>
      <c r="I31" s="64">
        <v>2.15</v>
      </c>
      <c r="J31" s="64">
        <v>0.11</v>
      </c>
      <c r="K31" s="64">
        <v>145.85</v>
      </c>
      <c r="L31" s="64">
        <v>21.05</v>
      </c>
      <c r="M31" s="64">
        <v>98.15</v>
      </c>
      <c r="N31" s="64">
        <v>42</v>
      </c>
      <c r="O31" s="64">
        <v>0</v>
      </c>
      <c r="P31" s="64">
        <v>0.56999999999999995</v>
      </c>
      <c r="Q31" s="64">
        <v>9.33</v>
      </c>
      <c r="R31" s="198"/>
      <c r="S31" s="198"/>
      <c r="T31" s="198"/>
      <c r="U31" s="198"/>
    </row>
    <row r="32" spans="1:21" s="12" customFormat="1" x14ac:dyDescent="0.25">
      <c r="A32" s="211" t="s">
        <v>1327</v>
      </c>
      <c r="B32" s="64">
        <v>15.6</v>
      </c>
      <c r="C32" s="64">
        <v>8.2899999999999991</v>
      </c>
      <c r="D32" s="64">
        <v>16.84</v>
      </c>
      <c r="E32" s="64">
        <v>6.37</v>
      </c>
      <c r="F32" s="64">
        <v>2.1</v>
      </c>
      <c r="G32" s="64">
        <v>39.79</v>
      </c>
      <c r="H32" s="64">
        <v>6.6</v>
      </c>
      <c r="I32" s="64">
        <v>2.13</v>
      </c>
      <c r="J32" s="64">
        <v>0.1</v>
      </c>
      <c r="K32" s="64">
        <v>351.26</v>
      </c>
      <c r="L32" s="64">
        <v>21.08</v>
      </c>
      <c r="M32" s="64">
        <v>98.15</v>
      </c>
      <c r="N32" s="64">
        <v>44.1</v>
      </c>
      <c r="O32" s="64">
        <v>0</v>
      </c>
      <c r="P32" s="64">
        <v>0.57999999999999996</v>
      </c>
      <c r="Q32" s="64">
        <v>9.33</v>
      </c>
      <c r="R32" s="198"/>
      <c r="S32" s="198"/>
      <c r="T32" s="198"/>
      <c r="U32" s="198"/>
    </row>
    <row r="33" spans="1:21" s="12" customFormat="1" x14ac:dyDescent="0.25">
      <c r="A33" s="211" t="s">
        <v>1328</v>
      </c>
      <c r="B33" s="64">
        <v>17.399999999999999</v>
      </c>
      <c r="C33" s="64">
        <v>5.43</v>
      </c>
      <c r="D33" s="64">
        <v>16.79</v>
      </c>
      <c r="E33" s="64">
        <v>5.63</v>
      </c>
      <c r="F33" s="64">
        <v>2.1</v>
      </c>
      <c r="G33" s="64">
        <v>40.04</v>
      </c>
      <c r="H33" s="64">
        <v>5.77</v>
      </c>
      <c r="I33" s="64">
        <v>2.12</v>
      </c>
      <c r="J33" s="64">
        <v>0.57999999999999996</v>
      </c>
      <c r="K33" s="64">
        <v>337.94</v>
      </c>
      <c r="L33" s="64">
        <v>21.22</v>
      </c>
      <c r="M33" s="64">
        <v>98.13</v>
      </c>
      <c r="N33" s="64">
        <v>53.3</v>
      </c>
      <c r="O33" s="64">
        <v>0</v>
      </c>
      <c r="P33" s="64">
        <v>0.62</v>
      </c>
      <c r="Q33" s="64">
        <v>9.32</v>
      </c>
      <c r="R33" s="198"/>
      <c r="S33" s="198"/>
      <c r="T33" s="198"/>
      <c r="U33" s="198"/>
    </row>
    <row r="34" spans="1:21" s="12" customFormat="1" x14ac:dyDescent="0.25">
      <c r="A34" s="211" t="s">
        <v>1329</v>
      </c>
      <c r="B34" s="64">
        <v>19.59</v>
      </c>
      <c r="C34" s="64">
        <v>5.75</v>
      </c>
      <c r="D34" s="64">
        <v>18.71</v>
      </c>
      <c r="E34" s="64">
        <v>5.68</v>
      </c>
      <c r="F34" s="64">
        <v>2.1</v>
      </c>
      <c r="G34" s="64">
        <v>40.049999999999997</v>
      </c>
      <c r="H34" s="64">
        <v>5.77</v>
      </c>
      <c r="I34" s="64">
        <v>2.1</v>
      </c>
      <c r="J34" s="64">
        <v>0.54</v>
      </c>
      <c r="K34" s="64">
        <v>341.21</v>
      </c>
      <c r="L34" s="64">
        <v>21.45</v>
      </c>
      <c r="M34" s="64">
        <v>98.08</v>
      </c>
      <c r="N34" s="64">
        <v>69.3</v>
      </c>
      <c r="O34" s="64">
        <v>0</v>
      </c>
      <c r="P34" s="64">
        <v>0.6</v>
      </c>
      <c r="Q34" s="64">
        <v>9.3000000000000007</v>
      </c>
      <c r="R34" s="198"/>
      <c r="S34" s="198"/>
      <c r="T34" s="198"/>
      <c r="U34" s="198"/>
    </row>
    <row r="35" spans="1:21" s="12" customFormat="1" x14ac:dyDescent="0.25">
      <c r="A35" s="211" t="s">
        <v>1330</v>
      </c>
      <c r="B35" s="64">
        <v>20.239999999999998</v>
      </c>
      <c r="C35" s="64">
        <v>4.54</v>
      </c>
      <c r="D35" s="64">
        <v>18.600000000000001</v>
      </c>
      <c r="E35" s="64">
        <v>6.22</v>
      </c>
      <c r="F35" s="64">
        <v>2.1</v>
      </c>
      <c r="G35" s="64">
        <v>40.049999999999997</v>
      </c>
      <c r="H35" s="64">
        <v>5.77</v>
      </c>
      <c r="I35" s="64">
        <v>2.08</v>
      </c>
      <c r="J35" s="64">
        <v>0.47</v>
      </c>
      <c r="K35" s="64">
        <v>341.1</v>
      </c>
      <c r="L35" s="64">
        <v>21.75</v>
      </c>
      <c r="M35" s="64">
        <v>98.05</v>
      </c>
      <c r="N35" s="64">
        <v>83.4</v>
      </c>
      <c r="O35" s="64">
        <v>0</v>
      </c>
      <c r="P35" s="64">
        <v>0.62</v>
      </c>
      <c r="Q35" s="64">
        <v>9.31</v>
      </c>
      <c r="R35" s="198"/>
      <c r="S35" s="198"/>
      <c r="T35" s="198"/>
      <c r="U35" s="198"/>
    </row>
    <row r="36" spans="1:21" s="12" customFormat="1" x14ac:dyDescent="0.25">
      <c r="A36" s="211" t="s">
        <v>1331</v>
      </c>
      <c r="B36" s="64">
        <v>19.350000000000001</v>
      </c>
      <c r="C36" s="64">
        <v>5.55</v>
      </c>
      <c r="D36" s="64">
        <v>18.420000000000002</v>
      </c>
      <c r="E36" s="64">
        <v>5.67</v>
      </c>
      <c r="F36" s="64">
        <v>2.1</v>
      </c>
      <c r="G36" s="64">
        <v>40.049999999999997</v>
      </c>
      <c r="H36" s="64">
        <v>5.77</v>
      </c>
      <c r="I36" s="64">
        <v>2.1</v>
      </c>
      <c r="J36" s="64">
        <v>0.51</v>
      </c>
      <c r="K36" s="64">
        <v>338.43</v>
      </c>
      <c r="L36" s="64">
        <v>22.14</v>
      </c>
      <c r="M36" s="64">
        <v>98.03</v>
      </c>
      <c r="N36" s="64">
        <v>119.6</v>
      </c>
      <c r="O36" s="64">
        <v>0</v>
      </c>
      <c r="P36" s="64">
        <v>0.62</v>
      </c>
      <c r="Q36" s="64">
        <v>9.31</v>
      </c>
      <c r="R36" s="198"/>
      <c r="S36" s="198"/>
      <c r="T36" s="198"/>
      <c r="U36" s="198"/>
    </row>
    <row r="37" spans="1:21" s="12" customFormat="1" x14ac:dyDescent="0.25">
      <c r="A37" s="211" t="s">
        <v>1332</v>
      </c>
      <c r="B37" s="64">
        <v>20.079999999999998</v>
      </c>
      <c r="C37" s="64">
        <v>9.23</v>
      </c>
      <c r="D37" s="64">
        <v>20.92</v>
      </c>
      <c r="E37" s="64">
        <v>6.23</v>
      </c>
      <c r="F37" s="64">
        <v>2.1</v>
      </c>
      <c r="G37" s="64">
        <v>39.03</v>
      </c>
      <c r="H37" s="64">
        <v>11.68</v>
      </c>
      <c r="I37" s="64">
        <v>2.1</v>
      </c>
      <c r="J37" s="64">
        <v>0.57999999999999996</v>
      </c>
      <c r="K37" s="64">
        <v>337.57</v>
      </c>
      <c r="L37" s="64">
        <v>22.82</v>
      </c>
      <c r="M37" s="64">
        <v>97.99</v>
      </c>
      <c r="N37" s="64">
        <v>163.19999999999999</v>
      </c>
      <c r="O37" s="64">
        <v>0</v>
      </c>
      <c r="P37" s="64">
        <v>0.56999999999999995</v>
      </c>
      <c r="Q37" s="64">
        <v>9.32</v>
      </c>
      <c r="R37" s="198"/>
      <c r="S37" s="198"/>
      <c r="T37" s="198"/>
      <c r="U37" s="198"/>
    </row>
    <row r="38" spans="1:21" s="12" customFormat="1" x14ac:dyDescent="0.25">
      <c r="A38" s="211" t="s">
        <v>1333</v>
      </c>
      <c r="B38" s="64">
        <v>20.13</v>
      </c>
      <c r="C38" s="64">
        <v>6.11</v>
      </c>
      <c r="D38" s="64">
        <v>19.25</v>
      </c>
      <c r="E38" s="64">
        <v>5.79</v>
      </c>
      <c r="F38" s="64">
        <v>2.1</v>
      </c>
      <c r="G38" s="64">
        <v>38.950000000000003</v>
      </c>
      <c r="H38" s="64">
        <v>11.68</v>
      </c>
      <c r="I38" s="64">
        <v>2.11</v>
      </c>
      <c r="J38" s="64">
        <v>0.36</v>
      </c>
      <c r="K38" s="64">
        <v>338.67</v>
      </c>
      <c r="L38" s="64">
        <v>23.97</v>
      </c>
      <c r="M38" s="64">
        <v>95.46</v>
      </c>
      <c r="N38" s="64">
        <v>222.5</v>
      </c>
      <c r="O38" s="64">
        <v>0</v>
      </c>
      <c r="P38" s="64">
        <v>0.62</v>
      </c>
      <c r="Q38" s="64">
        <v>9.31</v>
      </c>
      <c r="R38" s="198"/>
      <c r="S38" s="198"/>
      <c r="T38" s="198"/>
      <c r="U38" s="198"/>
    </row>
    <row r="39" spans="1:21" s="12" customFormat="1" x14ac:dyDescent="0.25">
      <c r="A39" s="211" t="s">
        <v>1334</v>
      </c>
      <c r="B39" s="64">
        <v>22.02</v>
      </c>
      <c r="C39" s="64">
        <v>6.89</v>
      </c>
      <c r="D39" s="64">
        <v>21.2</v>
      </c>
      <c r="E39" s="64">
        <v>6.47</v>
      </c>
      <c r="F39" s="64">
        <v>2.1</v>
      </c>
      <c r="G39" s="64">
        <v>38.950000000000003</v>
      </c>
      <c r="H39" s="64">
        <v>11.68</v>
      </c>
      <c r="I39" s="64">
        <v>2.1</v>
      </c>
      <c r="J39" s="64">
        <v>0.7</v>
      </c>
      <c r="K39" s="64">
        <v>339.7</v>
      </c>
      <c r="L39" s="64">
        <v>25.32</v>
      </c>
      <c r="M39" s="64">
        <v>87.47</v>
      </c>
      <c r="N39" s="64">
        <v>288.60000000000002</v>
      </c>
      <c r="O39" s="64">
        <v>0</v>
      </c>
      <c r="P39" s="64">
        <v>0.61</v>
      </c>
      <c r="Q39" s="64">
        <v>9.31</v>
      </c>
      <c r="R39" s="198"/>
      <c r="S39" s="198"/>
      <c r="T39" s="198"/>
      <c r="U39" s="198"/>
    </row>
    <row r="40" spans="1:21" s="12" customFormat="1" x14ac:dyDescent="0.25">
      <c r="A40" s="211" t="s">
        <v>1335</v>
      </c>
      <c r="B40" s="64">
        <v>19.2</v>
      </c>
      <c r="C40" s="64">
        <v>9.1</v>
      </c>
      <c r="D40" s="64">
        <v>20.149999999999999</v>
      </c>
      <c r="E40" s="64">
        <v>7.28</v>
      </c>
      <c r="F40" s="64">
        <v>2.1</v>
      </c>
      <c r="G40" s="64">
        <v>38.950000000000003</v>
      </c>
      <c r="H40" s="64">
        <v>11.68</v>
      </c>
      <c r="I40" s="64">
        <v>2.1</v>
      </c>
      <c r="J40" s="64">
        <v>0.25</v>
      </c>
      <c r="K40" s="64">
        <v>347.85</v>
      </c>
      <c r="L40" s="64">
        <v>25.9</v>
      </c>
      <c r="M40" s="64">
        <v>83.92</v>
      </c>
      <c r="N40" s="64">
        <v>328.2</v>
      </c>
      <c r="O40" s="64">
        <v>0</v>
      </c>
      <c r="P40" s="64">
        <v>0.57999999999999996</v>
      </c>
      <c r="Q40" s="64">
        <v>9.33</v>
      </c>
      <c r="R40" s="198"/>
      <c r="S40" s="198"/>
      <c r="T40" s="198"/>
      <c r="U40" s="198"/>
    </row>
    <row r="41" spans="1:21" s="12" customFormat="1" x14ac:dyDescent="0.25">
      <c r="A41" s="211" t="s">
        <v>1336</v>
      </c>
      <c r="B41" s="64">
        <v>19.11</v>
      </c>
      <c r="C41" s="64">
        <v>7.57</v>
      </c>
      <c r="D41" s="64">
        <v>19.28</v>
      </c>
      <c r="E41" s="64">
        <v>8.64</v>
      </c>
      <c r="F41" s="64">
        <v>2.13</v>
      </c>
      <c r="G41" s="64">
        <v>40.6</v>
      </c>
      <c r="H41" s="64">
        <v>9.36</v>
      </c>
      <c r="I41" s="64">
        <v>2.11</v>
      </c>
      <c r="J41" s="64">
        <v>0.44</v>
      </c>
      <c r="K41" s="64">
        <v>353.78</v>
      </c>
      <c r="L41" s="64">
        <v>26.62</v>
      </c>
      <c r="M41" s="64">
        <v>80.69</v>
      </c>
      <c r="N41" s="64">
        <v>387.6</v>
      </c>
      <c r="O41" s="64">
        <v>0</v>
      </c>
      <c r="P41" s="64">
        <v>0.59</v>
      </c>
      <c r="Q41" s="64">
        <v>9.34</v>
      </c>
      <c r="R41" s="198"/>
      <c r="S41" s="198"/>
      <c r="T41" s="198"/>
      <c r="U41" s="198"/>
    </row>
    <row r="42" spans="1:21" s="12" customFormat="1" x14ac:dyDescent="0.25">
      <c r="A42" s="211" t="s">
        <v>1337</v>
      </c>
      <c r="B42" s="64">
        <v>21.46</v>
      </c>
      <c r="C42" s="64">
        <v>5.12</v>
      </c>
      <c r="D42" s="64">
        <v>19.88</v>
      </c>
      <c r="E42" s="64">
        <v>7.63</v>
      </c>
      <c r="F42" s="64">
        <v>2.1</v>
      </c>
      <c r="G42" s="64">
        <v>40.71</v>
      </c>
      <c r="H42" s="64">
        <v>9.36</v>
      </c>
      <c r="I42" s="64">
        <v>2.1</v>
      </c>
      <c r="J42" s="64">
        <v>0.31</v>
      </c>
      <c r="K42" s="64">
        <v>340.63</v>
      </c>
      <c r="L42" s="64">
        <v>27.72</v>
      </c>
      <c r="M42" s="64">
        <v>75.19</v>
      </c>
      <c r="N42" s="64">
        <v>434.5</v>
      </c>
      <c r="O42" s="64">
        <v>0</v>
      </c>
      <c r="P42" s="64">
        <v>0.61</v>
      </c>
      <c r="Q42" s="64">
        <v>9.34</v>
      </c>
      <c r="R42" s="198"/>
      <c r="S42" s="198"/>
      <c r="T42" s="198"/>
      <c r="U42" s="198"/>
    </row>
    <row r="43" spans="1:21" s="12" customFormat="1" x14ac:dyDescent="0.25">
      <c r="A43" s="211" t="s">
        <v>1338</v>
      </c>
      <c r="B43" s="64">
        <v>33.24</v>
      </c>
      <c r="C43" s="64">
        <v>12.24</v>
      </c>
      <c r="D43" s="64">
        <v>32.96</v>
      </c>
      <c r="E43" s="64">
        <v>9.1199999999999992</v>
      </c>
      <c r="F43" s="64">
        <v>2.1</v>
      </c>
      <c r="G43" s="64">
        <v>40.71</v>
      </c>
      <c r="H43" s="64">
        <v>9.36</v>
      </c>
      <c r="I43" s="64">
        <v>2.08</v>
      </c>
      <c r="J43" s="64">
        <v>0.11</v>
      </c>
      <c r="K43" s="64">
        <v>110.74</v>
      </c>
      <c r="L43" s="64">
        <v>27.58</v>
      </c>
      <c r="M43" s="64">
        <v>75.569999999999993</v>
      </c>
      <c r="N43" s="64">
        <v>448.2</v>
      </c>
      <c r="O43" s="64">
        <v>0</v>
      </c>
      <c r="P43" s="64">
        <v>0.57999999999999996</v>
      </c>
      <c r="Q43" s="64">
        <v>9.36</v>
      </c>
      <c r="R43" s="198"/>
      <c r="S43" s="198"/>
      <c r="T43" s="198"/>
      <c r="U43" s="198"/>
    </row>
    <row r="44" spans="1:21" s="12" customFormat="1" x14ac:dyDescent="0.25">
      <c r="A44" s="211" t="s">
        <v>1339</v>
      </c>
      <c r="B44" s="64">
        <v>27.91</v>
      </c>
      <c r="C44" s="64">
        <v>12.72</v>
      </c>
      <c r="D44" s="64">
        <v>29.03</v>
      </c>
      <c r="E44" s="64">
        <v>10.35</v>
      </c>
      <c r="F44" s="64">
        <v>2.71</v>
      </c>
      <c r="G44" s="64">
        <v>40.71</v>
      </c>
      <c r="H44" s="64">
        <v>9.36</v>
      </c>
      <c r="I44" s="64">
        <v>2.09</v>
      </c>
      <c r="J44" s="64">
        <v>0.89</v>
      </c>
      <c r="K44" s="64">
        <v>130.47</v>
      </c>
      <c r="L44" s="64">
        <v>26.59</v>
      </c>
      <c r="M44" s="64">
        <v>80.23</v>
      </c>
      <c r="N44" s="64">
        <v>557.70000000000005</v>
      </c>
      <c r="O44" s="64">
        <v>0</v>
      </c>
      <c r="P44" s="64">
        <v>0.49</v>
      </c>
      <c r="Q44" s="64">
        <v>9.41</v>
      </c>
      <c r="R44" s="198"/>
      <c r="S44" s="198"/>
      <c r="T44" s="198"/>
      <c r="U44" s="198"/>
    </row>
    <row r="45" spans="1:21" s="12" customFormat="1" x14ac:dyDescent="0.25">
      <c r="A45" s="211" t="s">
        <v>1340</v>
      </c>
      <c r="B45" s="64">
        <v>25.44</v>
      </c>
      <c r="C45" s="64">
        <v>12.06</v>
      </c>
      <c r="D45" s="64">
        <v>26.7</v>
      </c>
      <c r="E45" s="64">
        <v>10.88</v>
      </c>
      <c r="F45" s="64">
        <v>3.06</v>
      </c>
      <c r="G45" s="64">
        <v>39.68</v>
      </c>
      <c r="H45" s="64">
        <v>7.92</v>
      </c>
      <c r="I45" s="64">
        <v>2.11</v>
      </c>
      <c r="J45" s="64">
        <v>0.5</v>
      </c>
      <c r="K45" s="64">
        <v>124.68</v>
      </c>
      <c r="L45" s="64">
        <v>26.51</v>
      </c>
      <c r="M45" s="64">
        <v>82.11</v>
      </c>
      <c r="N45" s="64">
        <v>595.6</v>
      </c>
      <c r="O45" s="64">
        <v>0</v>
      </c>
      <c r="P45" s="64">
        <v>0.49</v>
      </c>
      <c r="Q45" s="64">
        <v>9.44</v>
      </c>
      <c r="R45" s="198"/>
      <c r="S45" s="198"/>
      <c r="T45" s="198"/>
      <c r="U45" s="198"/>
    </row>
    <row r="46" spans="1:21" s="12" customFormat="1" x14ac:dyDescent="0.25">
      <c r="A46" s="211" t="s">
        <v>1341</v>
      </c>
      <c r="B46" s="64">
        <v>21.08</v>
      </c>
      <c r="C46" s="64">
        <v>9.85</v>
      </c>
      <c r="D46" s="64">
        <v>22.05</v>
      </c>
      <c r="E46" s="64">
        <v>11.45</v>
      </c>
      <c r="F46" s="64">
        <v>3.17</v>
      </c>
      <c r="G46" s="64">
        <v>39.61</v>
      </c>
      <c r="H46" s="64">
        <v>7.92</v>
      </c>
      <c r="I46" s="64">
        <v>2.1</v>
      </c>
      <c r="J46" s="64">
        <v>0.54</v>
      </c>
      <c r="K46" s="64">
        <v>128.88999999999999</v>
      </c>
      <c r="L46" s="64">
        <v>27.48</v>
      </c>
      <c r="M46" s="64">
        <v>77.16</v>
      </c>
      <c r="N46" s="64">
        <v>625.1</v>
      </c>
      <c r="O46" s="64">
        <v>0</v>
      </c>
      <c r="P46" s="64">
        <v>0.48</v>
      </c>
      <c r="Q46" s="64">
        <v>9.4600000000000009</v>
      </c>
      <c r="R46" s="198"/>
      <c r="S46" s="198"/>
      <c r="T46" s="198"/>
      <c r="U46" s="198"/>
    </row>
    <row r="47" spans="1:21" s="12" customFormat="1" x14ac:dyDescent="0.25">
      <c r="A47" s="211" t="s">
        <v>1342</v>
      </c>
      <c r="B47" s="64">
        <v>23.64</v>
      </c>
      <c r="C47" s="64">
        <v>11.46</v>
      </c>
      <c r="D47" s="64">
        <v>24.94</v>
      </c>
      <c r="E47" s="64">
        <v>11.5</v>
      </c>
      <c r="F47" s="64">
        <v>2.12</v>
      </c>
      <c r="G47" s="64">
        <v>39.61</v>
      </c>
      <c r="H47" s="64">
        <v>7.92</v>
      </c>
      <c r="I47" s="64">
        <v>2.08</v>
      </c>
      <c r="J47" s="64">
        <v>0.26</v>
      </c>
      <c r="K47" s="64">
        <v>0.44</v>
      </c>
      <c r="L47" s="64">
        <v>28.81</v>
      </c>
      <c r="M47" s="64">
        <v>72.12</v>
      </c>
      <c r="N47" s="64">
        <v>665.7</v>
      </c>
      <c r="O47" s="64">
        <v>0</v>
      </c>
      <c r="P47" s="64">
        <v>0.53</v>
      </c>
      <c r="Q47" s="64">
        <v>9.4700000000000006</v>
      </c>
      <c r="R47" s="198"/>
      <c r="S47" s="198"/>
      <c r="T47" s="198"/>
      <c r="U47" s="198"/>
    </row>
    <row r="48" spans="1:21" s="12" customFormat="1" x14ac:dyDescent="0.25">
      <c r="A48" s="211" t="s">
        <v>1343</v>
      </c>
      <c r="B48" s="64">
        <v>20.56</v>
      </c>
      <c r="C48" s="64">
        <v>13.63</v>
      </c>
      <c r="D48" s="64">
        <v>23.61</v>
      </c>
      <c r="E48" s="64">
        <v>11.13</v>
      </c>
      <c r="F48" s="64">
        <v>4.49</v>
      </c>
      <c r="G48" s="64">
        <v>39.61</v>
      </c>
      <c r="H48" s="64">
        <v>7.92</v>
      </c>
      <c r="I48" s="64">
        <v>2.06</v>
      </c>
      <c r="J48" s="64">
        <v>0.39</v>
      </c>
      <c r="K48" s="64">
        <v>123.66</v>
      </c>
      <c r="L48" s="64">
        <v>28.99</v>
      </c>
      <c r="M48" s="64">
        <v>71.400000000000006</v>
      </c>
      <c r="N48" s="64">
        <v>700.9</v>
      </c>
      <c r="O48" s="64">
        <v>0</v>
      </c>
      <c r="P48" s="64">
        <v>0.51</v>
      </c>
      <c r="Q48" s="64">
        <v>9.48</v>
      </c>
      <c r="R48" s="198"/>
      <c r="S48" s="198"/>
      <c r="T48" s="198"/>
      <c r="U48" s="198"/>
    </row>
    <row r="49" spans="1:21" s="12" customFormat="1" x14ac:dyDescent="0.25">
      <c r="A49" s="211" t="s">
        <v>1344</v>
      </c>
      <c r="B49" s="64">
        <v>23.59</v>
      </c>
      <c r="C49" s="64">
        <v>12.95</v>
      </c>
      <c r="D49" s="64">
        <v>25.68</v>
      </c>
      <c r="E49" s="64">
        <v>11.77</v>
      </c>
      <c r="F49" s="64">
        <v>4.71</v>
      </c>
      <c r="G49" s="64">
        <v>37.46</v>
      </c>
      <c r="H49" s="64">
        <v>7.34</v>
      </c>
      <c r="I49" s="64">
        <v>2.0499999999999998</v>
      </c>
      <c r="J49" s="64">
        <v>0.52</v>
      </c>
      <c r="K49" s="64">
        <v>108.46</v>
      </c>
      <c r="L49" s="64">
        <v>28.68</v>
      </c>
      <c r="M49" s="64">
        <v>73.72</v>
      </c>
      <c r="N49" s="64">
        <v>698.3</v>
      </c>
      <c r="O49" s="64">
        <v>0</v>
      </c>
      <c r="P49" s="64">
        <v>0.49</v>
      </c>
      <c r="Q49" s="64">
        <v>9.4700000000000006</v>
      </c>
      <c r="R49" s="198"/>
      <c r="S49" s="198"/>
      <c r="T49" s="198"/>
      <c r="U49" s="198"/>
    </row>
    <row r="50" spans="1:21" s="12" customFormat="1" x14ac:dyDescent="0.25">
      <c r="A50" s="211" t="s">
        <v>1345</v>
      </c>
      <c r="B50" s="64">
        <v>20.079999999999998</v>
      </c>
      <c r="C50" s="64">
        <v>10.24</v>
      </c>
      <c r="D50" s="64">
        <v>21.45</v>
      </c>
      <c r="E50" s="64">
        <v>11.66</v>
      </c>
      <c r="F50" s="64">
        <v>3.77</v>
      </c>
      <c r="G50" s="64">
        <v>37.31</v>
      </c>
      <c r="H50" s="64">
        <v>7.34</v>
      </c>
      <c r="I50" s="64">
        <v>2.0499999999999998</v>
      </c>
      <c r="J50" s="64">
        <v>0.53</v>
      </c>
      <c r="K50" s="64">
        <v>121.18</v>
      </c>
      <c r="L50" s="64">
        <v>27.03</v>
      </c>
      <c r="M50" s="64">
        <v>84.2</v>
      </c>
      <c r="N50" s="64">
        <v>576.9</v>
      </c>
      <c r="O50" s="64">
        <v>0</v>
      </c>
      <c r="P50" s="64">
        <v>0.47</v>
      </c>
      <c r="Q50" s="64">
        <v>9.4700000000000006</v>
      </c>
      <c r="R50" s="198"/>
      <c r="S50" s="198"/>
      <c r="T50" s="198"/>
      <c r="U50" s="198"/>
    </row>
    <row r="51" spans="1:21" s="12" customFormat="1" x14ac:dyDescent="0.25">
      <c r="A51" s="211" t="s">
        <v>1346</v>
      </c>
      <c r="B51" s="64">
        <v>19.579999999999998</v>
      </c>
      <c r="C51" s="64">
        <v>10.14</v>
      </c>
      <c r="D51" s="64">
        <v>21</v>
      </c>
      <c r="E51" s="64">
        <v>9.6</v>
      </c>
      <c r="F51" s="64">
        <v>2.62</v>
      </c>
      <c r="G51" s="64">
        <v>37.31</v>
      </c>
      <c r="H51" s="64">
        <v>7.34</v>
      </c>
      <c r="I51" s="64">
        <v>2.04</v>
      </c>
      <c r="J51" s="64">
        <v>0.32</v>
      </c>
      <c r="K51" s="64">
        <v>126.22</v>
      </c>
      <c r="L51" s="64">
        <v>27.7</v>
      </c>
      <c r="M51" s="64">
        <v>80.19</v>
      </c>
      <c r="N51" s="64">
        <v>568.79999999999995</v>
      </c>
      <c r="O51" s="64">
        <v>0</v>
      </c>
      <c r="P51" s="64">
        <v>0.53</v>
      </c>
      <c r="Q51" s="64">
        <v>9.4499999999999993</v>
      </c>
      <c r="R51" s="198"/>
      <c r="S51" s="198"/>
      <c r="T51" s="198"/>
      <c r="U51" s="198"/>
    </row>
    <row r="52" spans="1:21" s="12" customFormat="1" x14ac:dyDescent="0.25">
      <c r="A52" s="211" t="s">
        <v>1347</v>
      </c>
      <c r="B52" s="64">
        <v>18.920000000000002</v>
      </c>
      <c r="C52" s="64">
        <v>13.59</v>
      </c>
      <c r="D52" s="64">
        <v>22.28</v>
      </c>
      <c r="E52" s="64">
        <v>11.38</v>
      </c>
      <c r="F52" s="64">
        <v>6.32</v>
      </c>
      <c r="G52" s="64">
        <v>37.31</v>
      </c>
      <c r="H52" s="64">
        <v>7.34</v>
      </c>
      <c r="I52" s="64">
        <v>2</v>
      </c>
      <c r="J52" s="64">
        <v>0.15</v>
      </c>
      <c r="K52" s="64">
        <v>92</v>
      </c>
      <c r="L52" s="64">
        <v>28.53</v>
      </c>
      <c r="M52" s="64">
        <v>77.72</v>
      </c>
      <c r="N52" s="64">
        <v>661.2</v>
      </c>
      <c r="O52" s="64">
        <v>0</v>
      </c>
      <c r="P52" s="64">
        <v>0.5</v>
      </c>
      <c r="Q52" s="64">
        <v>9.43</v>
      </c>
      <c r="R52" s="198"/>
      <c r="S52" s="198"/>
      <c r="T52" s="198"/>
      <c r="U52" s="198"/>
    </row>
    <row r="53" spans="1:21" s="12" customFormat="1" x14ac:dyDescent="0.25">
      <c r="A53" s="211" t="s">
        <v>1348</v>
      </c>
      <c r="B53" s="64">
        <v>15.52</v>
      </c>
      <c r="C53" s="64">
        <v>9.3800000000000008</v>
      </c>
      <c r="D53" s="64">
        <v>17.34</v>
      </c>
      <c r="E53" s="64">
        <v>11.69</v>
      </c>
      <c r="F53" s="64">
        <v>6.28</v>
      </c>
      <c r="G53" s="64">
        <v>34.58</v>
      </c>
      <c r="H53" s="64">
        <v>9.65</v>
      </c>
      <c r="I53" s="64">
        <v>1.96</v>
      </c>
      <c r="J53" s="64">
        <v>0.73</v>
      </c>
      <c r="K53" s="64">
        <v>127.41</v>
      </c>
      <c r="L53" s="64">
        <v>27.8</v>
      </c>
      <c r="M53" s="64">
        <v>80.47</v>
      </c>
      <c r="N53" s="64">
        <v>410</v>
      </c>
      <c r="O53" s="64">
        <v>0</v>
      </c>
      <c r="P53" s="64">
        <v>0.43</v>
      </c>
      <c r="Q53" s="64">
        <v>9.41</v>
      </c>
      <c r="R53" s="198"/>
      <c r="S53" s="198"/>
      <c r="T53" s="198"/>
      <c r="U53" s="198"/>
    </row>
    <row r="54" spans="1:21" s="12" customFormat="1" x14ac:dyDescent="0.25">
      <c r="A54" s="211" t="s">
        <v>1349</v>
      </c>
      <c r="B54" s="64">
        <v>17.27</v>
      </c>
      <c r="C54" s="64">
        <v>12.21</v>
      </c>
      <c r="D54" s="64">
        <v>20.23</v>
      </c>
      <c r="E54" s="64">
        <v>11.59</v>
      </c>
      <c r="F54" s="64">
        <v>8.07</v>
      </c>
      <c r="G54" s="64">
        <v>34.380000000000003</v>
      </c>
      <c r="H54" s="64">
        <v>9.65</v>
      </c>
      <c r="I54" s="64">
        <v>1.93</v>
      </c>
      <c r="J54" s="64">
        <v>0.22</v>
      </c>
      <c r="K54" s="64">
        <v>13</v>
      </c>
      <c r="L54" s="64">
        <v>28.18</v>
      </c>
      <c r="M54" s="64">
        <v>77.98</v>
      </c>
      <c r="N54" s="64">
        <v>468.4</v>
      </c>
      <c r="O54" s="64">
        <v>0</v>
      </c>
      <c r="P54" s="64">
        <v>0.49</v>
      </c>
      <c r="Q54" s="64">
        <v>9.39</v>
      </c>
      <c r="R54" s="198"/>
      <c r="S54" s="198"/>
      <c r="T54" s="198"/>
      <c r="U54" s="198"/>
    </row>
    <row r="55" spans="1:21" s="12" customFormat="1" x14ac:dyDescent="0.25">
      <c r="A55" s="211" t="s">
        <v>1350</v>
      </c>
      <c r="B55" s="64">
        <v>16.45</v>
      </c>
      <c r="C55" s="64">
        <v>13.17</v>
      </c>
      <c r="D55" s="64">
        <v>20.07</v>
      </c>
      <c r="E55" s="64">
        <v>11.37</v>
      </c>
      <c r="F55" s="64">
        <v>8.14</v>
      </c>
      <c r="G55" s="64">
        <v>34.380000000000003</v>
      </c>
      <c r="H55" s="64">
        <v>9.65</v>
      </c>
      <c r="I55" s="64">
        <v>1.9</v>
      </c>
      <c r="J55" s="64">
        <v>0.24</v>
      </c>
      <c r="K55" s="64">
        <v>123.99</v>
      </c>
      <c r="L55" s="64">
        <v>28.75</v>
      </c>
      <c r="M55" s="64">
        <v>74.989999999999995</v>
      </c>
      <c r="N55" s="64">
        <v>448.6</v>
      </c>
      <c r="O55" s="64">
        <v>0</v>
      </c>
      <c r="P55" s="64">
        <v>0.53</v>
      </c>
      <c r="Q55" s="64">
        <v>9.3699999999999992</v>
      </c>
      <c r="R55" s="198"/>
      <c r="S55" s="198"/>
      <c r="T55" s="198"/>
      <c r="U55" s="198"/>
    </row>
    <row r="56" spans="1:21" s="12" customFormat="1" x14ac:dyDescent="0.25">
      <c r="A56" s="211" t="s">
        <v>1351</v>
      </c>
      <c r="B56" s="64">
        <v>16.55</v>
      </c>
      <c r="C56" s="64">
        <v>16.53</v>
      </c>
      <c r="D56" s="64">
        <v>21.9</v>
      </c>
      <c r="E56" s="64">
        <v>11.52</v>
      </c>
      <c r="F56" s="64">
        <v>9.0500000000000007</v>
      </c>
      <c r="G56" s="64">
        <v>34.380000000000003</v>
      </c>
      <c r="H56" s="64">
        <v>9.65</v>
      </c>
      <c r="I56" s="64">
        <v>1.89</v>
      </c>
      <c r="J56" s="64">
        <v>0.25</v>
      </c>
      <c r="K56" s="64">
        <v>352.44</v>
      </c>
      <c r="L56" s="64">
        <v>28.84</v>
      </c>
      <c r="M56" s="64">
        <v>74.27</v>
      </c>
      <c r="N56" s="64">
        <v>551.9</v>
      </c>
      <c r="O56" s="64">
        <v>0</v>
      </c>
      <c r="P56" s="64">
        <v>0.5</v>
      </c>
      <c r="Q56" s="64">
        <v>9.36</v>
      </c>
      <c r="R56" s="198"/>
      <c r="S56" s="198"/>
      <c r="T56" s="198"/>
      <c r="U56" s="198"/>
    </row>
    <row r="57" spans="1:21" s="12" customFormat="1" x14ac:dyDescent="0.25">
      <c r="A57" s="211" t="s">
        <v>1352</v>
      </c>
      <c r="B57" s="64">
        <v>10.4</v>
      </c>
      <c r="C57" s="64">
        <v>12.09</v>
      </c>
      <c r="D57" s="64">
        <v>14.66</v>
      </c>
      <c r="E57" s="64">
        <v>12.66</v>
      </c>
      <c r="F57" s="64">
        <v>18.23</v>
      </c>
      <c r="G57" s="64">
        <v>34.71</v>
      </c>
      <c r="H57" s="64">
        <v>9.1</v>
      </c>
      <c r="I57" s="64">
        <v>1.88</v>
      </c>
      <c r="J57" s="64">
        <v>0.66</v>
      </c>
      <c r="K57" s="64">
        <v>128.93</v>
      </c>
      <c r="L57" s="64">
        <v>28.99</v>
      </c>
      <c r="M57" s="64">
        <v>69.709999999999994</v>
      </c>
      <c r="N57" s="64">
        <v>582.70000000000005</v>
      </c>
      <c r="O57" s="64">
        <v>0</v>
      </c>
      <c r="P57" s="64">
        <v>0.34</v>
      </c>
      <c r="Q57" s="64">
        <v>9.34</v>
      </c>
      <c r="R57" s="198"/>
      <c r="S57" s="198"/>
      <c r="T57" s="198"/>
      <c r="U57" s="198"/>
    </row>
    <row r="58" spans="1:21" s="12" customFormat="1" x14ac:dyDescent="0.25">
      <c r="A58" s="211" t="s">
        <v>1353</v>
      </c>
      <c r="B58" s="64">
        <v>12.22</v>
      </c>
      <c r="C58" s="64">
        <v>13.98</v>
      </c>
      <c r="D58" s="64">
        <v>17.100000000000001</v>
      </c>
      <c r="E58" s="64">
        <v>12.79</v>
      </c>
      <c r="F58" s="64">
        <v>14</v>
      </c>
      <c r="G58" s="64">
        <v>34.729999999999997</v>
      </c>
      <c r="H58" s="64">
        <v>9.1</v>
      </c>
      <c r="I58" s="64">
        <v>1.88</v>
      </c>
      <c r="J58" s="64">
        <v>0.35</v>
      </c>
      <c r="K58" s="64">
        <v>122.34</v>
      </c>
      <c r="L58" s="64">
        <v>28.87</v>
      </c>
      <c r="M58" s="64">
        <v>70.239999999999995</v>
      </c>
      <c r="N58" s="64">
        <v>658.4</v>
      </c>
      <c r="O58" s="64">
        <v>0</v>
      </c>
      <c r="P58" s="64">
        <v>0.37</v>
      </c>
      <c r="Q58" s="64">
        <v>9.32</v>
      </c>
      <c r="R58" s="198"/>
      <c r="S58" s="198"/>
      <c r="T58" s="198"/>
      <c r="U58" s="198"/>
    </row>
    <row r="59" spans="1:21" s="12" customFormat="1" x14ac:dyDescent="0.25">
      <c r="A59" s="211" t="s">
        <v>1354</v>
      </c>
      <c r="B59" s="64">
        <v>10.029999999999999</v>
      </c>
      <c r="C59" s="64">
        <v>13.2</v>
      </c>
      <c r="D59" s="64">
        <v>14.94</v>
      </c>
      <c r="E59" s="64">
        <v>11.82</v>
      </c>
      <c r="F59" s="64">
        <v>19.190000000000001</v>
      </c>
      <c r="G59" s="64">
        <v>34.729999999999997</v>
      </c>
      <c r="H59" s="64">
        <v>9.1</v>
      </c>
      <c r="I59" s="64">
        <v>1.86</v>
      </c>
      <c r="J59" s="64">
        <v>0.46</v>
      </c>
      <c r="K59" s="64">
        <v>129.19</v>
      </c>
      <c r="L59" s="64">
        <v>28.71</v>
      </c>
      <c r="M59" s="64">
        <v>73.12</v>
      </c>
      <c r="N59" s="64">
        <v>314.5</v>
      </c>
      <c r="O59" s="64">
        <v>0</v>
      </c>
      <c r="P59" s="64">
        <v>0.39</v>
      </c>
      <c r="Q59" s="64">
        <v>9.2899999999999991</v>
      </c>
      <c r="R59" s="198"/>
      <c r="S59" s="198"/>
      <c r="T59" s="198"/>
      <c r="U59" s="198"/>
    </row>
    <row r="60" spans="1:21" s="12" customFormat="1" x14ac:dyDescent="0.25">
      <c r="A60" s="211" t="s">
        <v>1355</v>
      </c>
      <c r="B60" s="64">
        <v>12.79</v>
      </c>
      <c r="C60" s="64">
        <v>16.149999999999999</v>
      </c>
      <c r="D60" s="64">
        <v>18.7</v>
      </c>
      <c r="E60" s="64">
        <v>11.26</v>
      </c>
      <c r="F60" s="64">
        <v>7.18</v>
      </c>
      <c r="G60" s="64">
        <v>34.729999999999997</v>
      </c>
      <c r="H60" s="64">
        <v>9.1</v>
      </c>
      <c r="I60" s="64">
        <v>1.84</v>
      </c>
      <c r="J60" s="64">
        <v>0.43</v>
      </c>
      <c r="K60" s="64">
        <v>340.41</v>
      </c>
      <c r="L60" s="64">
        <v>28.61</v>
      </c>
      <c r="M60" s="64">
        <v>73.86</v>
      </c>
      <c r="N60" s="64">
        <v>221.6</v>
      </c>
      <c r="O60" s="64">
        <v>0</v>
      </c>
      <c r="P60" s="64">
        <v>0.5</v>
      </c>
      <c r="Q60" s="64">
        <v>9.26</v>
      </c>
      <c r="R60" s="198"/>
      <c r="S60" s="198"/>
      <c r="T60" s="198"/>
      <c r="U60" s="198"/>
    </row>
    <row r="61" spans="1:21" s="12" customFormat="1" x14ac:dyDescent="0.25">
      <c r="A61" s="211" t="s">
        <v>1356</v>
      </c>
      <c r="B61" s="64">
        <v>12.06</v>
      </c>
      <c r="C61" s="64">
        <v>16.809999999999999</v>
      </c>
      <c r="D61" s="64">
        <v>18.46</v>
      </c>
      <c r="E61" s="64">
        <v>11.29</v>
      </c>
      <c r="F61" s="64">
        <v>13.79</v>
      </c>
      <c r="G61" s="64">
        <v>33.43</v>
      </c>
      <c r="H61" s="64">
        <v>8</v>
      </c>
      <c r="I61" s="64">
        <v>1.8</v>
      </c>
      <c r="J61" s="64">
        <v>0.14000000000000001</v>
      </c>
      <c r="K61" s="64">
        <v>15.11</v>
      </c>
      <c r="L61" s="64">
        <v>28.64</v>
      </c>
      <c r="M61" s="64">
        <v>72.819999999999993</v>
      </c>
      <c r="N61" s="64">
        <v>209.1</v>
      </c>
      <c r="O61" s="64">
        <v>0</v>
      </c>
      <c r="P61" s="64">
        <v>0.52</v>
      </c>
      <c r="Q61" s="64">
        <v>9.25</v>
      </c>
      <c r="R61" s="198"/>
      <c r="S61" s="198"/>
      <c r="T61" s="198"/>
      <c r="U61" s="198"/>
    </row>
    <row r="62" spans="1:21" s="12" customFormat="1" x14ac:dyDescent="0.25">
      <c r="A62" s="211" t="s">
        <v>1357</v>
      </c>
      <c r="B62" s="64">
        <v>13.15</v>
      </c>
      <c r="C62" s="64">
        <v>19.55</v>
      </c>
      <c r="D62" s="64">
        <v>20.76</v>
      </c>
      <c r="E62" s="64">
        <v>10.87</v>
      </c>
      <c r="F62" s="64">
        <v>12.36</v>
      </c>
      <c r="G62" s="64">
        <v>33.340000000000003</v>
      </c>
      <c r="H62" s="64">
        <v>8</v>
      </c>
      <c r="I62" s="64">
        <v>1.79</v>
      </c>
      <c r="J62" s="64">
        <v>0.35</v>
      </c>
      <c r="K62" s="64">
        <v>130.26</v>
      </c>
      <c r="L62" s="64">
        <v>28.23</v>
      </c>
      <c r="M62" s="64">
        <v>74.09</v>
      </c>
      <c r="N62" s="64">
        <v>218.5</v>
      </c>
      <c r="O62" s="64">
        <v>0</v>
      </c>
      <c r="P62" s="64">
        <v>0.48</v>
      </c>
      <c r="Q62" s="64">
        <v>9.26</v>
      </c>
      <c r="R62" s="198"/>
      <c r="S62" s="198"/>
      <c r="T62" s="198"/>
      <c r="U62" s="198"/>
    </row>
    <row r="63" spans="1:21" s="12" customFormat="1" x14ac:dyDescent="0.25">
      <c r="A63" s="211" t="s">
        <v>1358</v>
      </c>
      <c r="B63" s="64">
        <v>14.58</v>
      </c>
      <c r="C63" s="64">
        <v>18.649999999999999</v>
      </c>
      <c r="D63" s="64">
        <v>21.44</v>
      </c>
      <c r="E63" s="64">
        <v>8.42</v>
      </c>
      <c r="F63" s="64">
        <v>12.61</v>
      </c>
      <c r="G63" s="64">
        <v>33.340000000000003</v>
      </c>
      <c r="H63" s="64">
        <v>8</v>
      </c>
      <c r="I63" s="64">
        <v>1.81</v>
      </c>
      <c r="J63" s="64">
        <v>0.42</v>
      </c>
      <c r="K63" s="64">
        <v>124.66</v>
      </c>
      <c r="L63" s="64">
        <v>28.22</v>
      </c>
      <c r="M63" s="64">
        <v>73.89</v>
      </c>
      <c r="N63" s="64">
        <v>250.2</v>
      </c>
      <c r="O63" s="64">
        <v>0</v>
      </c>
      <c r="P63" s="64">
        <v>0.43</v>
      </c>
      <c r="Q63" s="64">
        <v>9.25</v>
      </c>
      <c r="R63" s="198"/>
      <c r="S63" s="198"/>
      <c r="T63" s="198"/>
      <c r="U63" s="198"/>
    </row>
    <row r="64" spans="1:21" s="12" customFormat="1" x14ac:dyDescent="0.25">
      <c r="A64" s="211" t="s">
        <v>1359</v>
      </c>
      <c r="B64" s="64">
        <v>10.050000000000001</v>
      </c>
      <c r="C64" s="64">
        <v>13.47</v>
      </c>
      <c r="D64" s="64">
        <v>15.1</v>
      </c>
      <c r="E64" s="64">
        <v>10.130000000000001</v>
      </c>
      <c r="F64" s="64">
        <v>13.19</v>
      </c>
      <c r="G64" s="64">
        <v>33.340000000000003</v>
      </c>
      <c r="H64" s="64">
        <v>8</v>
      </c>
      <c r="I64" s="64">
        <v>1.82</v>
      </c>
      <c r="J64" s="64">
        <v>0.6</v>
      </c>
      <c r="K64" s="64">
        <v>132.15</v>
      </c>
      <c r="L64" s="64">
        <v>28.51</v>
      </c>
      <c r="M64" s="64">
        <v>68.78</v>
      </c>
      <c r="N64" s="64">
        <v>218.3</v>
      </c>
      <c r="O64" s="64">
        <v>0</v>
      </c>
      <c r="P64" s="64">
        <v>0.44</v>
      </c>
      <c r="Q64" s="64">
        <v>9.25</v>
      </c>
      <c r="R64" s="198"/>
      <c r="S64" s="198"/>
      <c r="T64" s="198"/>
      <c r="U64" s="198"/>
    </row>
    <row r="65" spans="1:21" s="12" customFormat="1" x14ac:dyDescent="0.25">
      <c r="A65" s="211" t="s">
        <v>1360</v>
      </c>
      <c r="B65" s="64">
        <v>8.74</v>
      </c>
      <c r="C65" s="64">
        <v>10.44</v>
      </c>
      <c r="D65" s="64">
        <v>12.46</v>
      </c>
      <c r="E65" s="64">
        <v>9.89</v>
      </c>
      <c r="F65" s="64">
        <v>13.19</v>
      </c>
      <c r="G65" s="64">
        <v>31.88</v>
      </c>
      <c r="H65" s="64">
        <v>6.75</v>
      </c>
      <c r="I65" s="64">
        <v>1.81</v>
      </c>
      <c r="J65" s="64">
        <v>0.59</v>
      </c>
      <c r="K65" s="64">
        <v>130.80000000000001</v>
      </c>
      <c r="L65" s="64">
        <v>27.86</v>
      </c>
      <c r="M65" s="64">
        <v>72.94</v>
      </c>
      <c r="N65" s="64">
        <v>179.3</v>
      </c>
      <c r="O65" s="64">
        <v>0</v>
      </c>
      <c r="P65" s="64">
        <v>0.36</v>
      </c>
      <c r="Q65" s="64">
        <v>9.23</v>
      </c>
      <c r="R65" s="198"/>
      <c r="S65" s="198"/>
      <c r="T65" s="198"/>
      <c r="U65" s="198"/>
    </row>
    <row r="66" spans="1:21" s="12" customFormat="1" x14ac:dyDescent="0.25">
      <c r="A66" s="211" t="s">
        <v>1361</v>
      </c>
      <c r="B66" s="64">
        <v>11.38</v>
      </c>
      <c r="C66" s="64">
        <v>13.45</v>
      </c>
      <c r="D66" s="64">
        <v>16.149999999999999</v>
      </c>
      <c r="E66" s="64">
        <v>9.73</v>
      </c>
      <c r="F66" s="64">
        <v>13.05</v>
      </c>
      <c r="G66" s="64">
        <v>31.78</v>
      </c>
      <c r="H66" s="64">
        <v>6.75</v>
      </c>
      <c r="I66" s="64">
        <v>1.8</v>
      </c>
      <c r="J66" s="64">
        <v>0.3</v>
      </c>
      <c r="K66" s="64">
        <v>123.39</v>
      </c>
      <c r="L66" s="64">
        <v>28.22</v>
      </c>
      <c r="M66" s="64">
        <v>69.5</v>
      </c>
      <c r="N66" s="64">
        <v>202.1</v>
      </c>
      <c r="O66" s="64">
        <v>0</v>
      </c>
      <c r="P66" s="64">
        <v>0.38</v>
      </c>
      <c r="Q66" s="64">
        <v>9.2200000000000006</v>
      </c>
      <c r="R66" s="198"/>
      <c r="S66" s="198"/>
      <c r="T66" s="198"/>
      <c r="U66" s="198"/>
    </row>
    <row r="67" spans="1:21" s="12" customFormat="1" x14ac:dyDescent="0.25">
      <c r="A67" s="211" t="s">
        <v>1362</v>
      </c>
      <c r="B67" s="64">
        <v>11.56</v>
      </c>
      <c r="C67" s="64">
        <v>17.98</v>
      </c>
      <c r="D67" s="64">
        <v>18.670000000000002</v>
      </c>
      <c r="E67" s="64">
        <v>9.59</v>
      </c>
      <c r="F67" s="64">
        <v>11.36</v>
      </c>
      <c r="G67" s="64">
        <v>31.78</v>
      </c>
      <c r="H67" s="64">
        <v>6.75</v>
      </c>
      <c r="I67" s="64">
        <v>1.79</v>
      </c>
      <c r="J67" s="64">
        <v>0.41</v>
      </c>
      <c r="K67" s="64">
        <v>134.59</v>
      </c>
      <c r="L67" s="64">
        <v>28.32</v>
      </c>
      <c r="M67" s="64">
        <v>73.61</v>
      </c>
      <c r="N67" s="64">
        <v>145.1</v>
      </c>
      <c r="O67" s="64">
        <v>0</v>
      </c>
      <c r="P67" s="64">
        <v>0.47</v>
      </c>
      <c r="Q67" s="64">
        <v>9.1999999999999993</v>
      </c>
      <c r="R67" s="198"/>
      <c r="S67" s="198"/>
      <c r="T67" s="198"/>
      <c r="U67" s="198"/>
    </row>
    <row r="68" spans="1:21" s="12" customFormat="1" x14ac:dyDescent="0.25">
      <c r="A68" s="211" t="s">
        <v>1363</v>
      </c>
      <c r="B68" s="64">
        <v>11.39</v>
      </c>
      <c r="C68" s="64">
        <v>22.84</v>
      </c>
      <c r="D68" s="64">
        <v>21.07</v>
      </c>
      <c r="E68" s="64">
        <v>9.3800000000000008</v>
      </c>
      <c r="F68" s="64">
        <v>5.45</v>
      </c>
      <c r="G68" s="64">
        <v>31.78</v>
      </c>
      <c r="H68" s="64">
        <v>6.75</v>
      </c>
      <c r="I68" s="64">
        <v>1.77</v>
      </c>
      <c r="J68" s="64">
        <v>0.04</v>
      </c>
      <c r="K68" s="64">
        <v>182.64</v>
      </c>
      <c r="L68" s="64">
        <v>27.64</v>
      </c>
      <c r="M68" s="64">
        <v>75.84</v>
      </c>
      <c r="N68" s="64">
        <v>104.5</v>
      </c>
      <c r="O68" s="64">
        <v>0</v>
      </c>
      <c r="P68" s="64">
        <v>0.56999999999999995</v>
      </c>
      <c r="Q68" s="64">
        <v>9.19</v>
      </c>
      <c r="R68" s="198"/>
      <c r="S68" s="198"/>
      <c r="T68" s="198"/>
      <c r="U68" s="198"/>
    </row>
    <row r="69" spans="1:21" s="12" customFormat="1" x14ac:dyDescent="0.25">
      <c r="A69" s="211" t="s">
        <v>1364</v>
      </c>
      <c r="B69" s="64">
        <v>7.24</v>
      </c>
      <c r="C69" s="64">
        <v>14.91</v>
      </c>
      <c r="D69" s="64">
        <v>13.6</v>
      </c>
      <c r="E69" s="64">
        <v>9.19</v>
      </c>
      <c r="F69" s="64">
        <v>12.5</v>
      </c>
      <c r="G69" s="64">
        <v>31.29</v>
      </c>
      <c r="H69" s="64">
        <v>10.43</v>
      </c>
      <c r="I69" s="64">
        <v>1.76</v>
      </c>
      <c r="J69" s="64">
        <v>0.52</v>
      </c>
      <c r="K69" s="64">
        <v>133.68</v>
      </c>
      <c r="L69" s="64">
        <v>27.33</v>
      </c>
      <c r="M69" s="64">
        <v>73.680000000000007</v>
      </c>
      <c r="N69" s="64">
        <v>110.4</v>
      </c>
      <c r="O69" s="64">
        <v>0</v>
      </c>
      <c r="P69" s="64">
        <v>0.3</v>
      </c>
      <c r="Q69" s="64">
        <v>9.17</v>
      </c>
      <c r="R69" s="198"/>
      <c r="S69" s="198"/>
      <c r="T69" s="198"/>
      <c r="U69" s="198"/>
    </row>
    <row r="70" spans="1:21" s="12" customFormat="1" x14ac:dyDescent="0.25">
      <c r="A70" s="211" t="s">
        <v>1365</v>
      </c>
      <c r="B70" s="64">
        <v>11.22</v>
      </c>
      <c r="C70" s="64">
        <v>18.36</v>
      </c>
      <c r="D70" s="64">
        <v>18.59</v>
      </c>
      <c r="E70" s="64">
        <v>9.01</v>
      </c>
      <c r="F70" s="64">
        <v>6.53</v>
      </c>
      <c r="G70" s="64">
        <v>31.25</v>
      </c>
      <c r="H70" s="64">
        <v>10.43</v>
      </c>
      <c r="I70" s="64">
        <v>1.75</v>
      </c>
      <c r="J70" s="64">
        <v>0.16</v>
      </c>
      <c r="K70" s="64">
        <v>27.3</v>
      </c>
      <c r="L70" s="64">
        <v>27.32</v>
      </c>
      <c r="M70" s="64">
        <v>75.61</v>
      </c>
      <c r="N70" s="64">
        <v>112.2</v>
      </c>
      <c r="O70" s="64">
        <v>0</v>
      </c>
      <c r="P70" s="64">
        <v>0.5</v>
      </c>
      <c r="Q70" s="64">
        <v>9.15</v>
      </c>
      <c r="R70" s="198"/>
      <c r="S70" s="198"/>
      <c r="T70" s="198"/>
      <c r="U70" s="198"/>
    </row>
    <row r="71" spans="1:21" s="12" customFormat="1" x14ac:dyDescent="0.25">
      <c r="A71" s="211" t="s">
        <v>1366</v>
      </c>
      <c r="B71" s="64">
        <v>13.42</v>
      </c>
      <c r="C71" s="64">
        <v>27.22</v>
      </c>
      <c r="D71" s="64">
        <v>24.99</v>
      </c>
      <c r="E71" s="64">
        <v>9.44</v>
      </c>
      <c r="F71" s="64">
        <v>8.1300000000000008</v>
      </c>
      <c r="G71" s="64">
        <v>31.25</v>
      </c>
      <c r="H71" s="64">
        <v>10.43</v>
      </c>
      <c r="I71" s="64">
        <v>1.74</v>
      </c>
      <c r="J71" s="64">
        <v>0.39</v>
      </c>
      <c r="K71" s="64">
        <v>337.93</v>
      </c>
      <c r="L71" s="64">
        <v>27.78</v>
      </c>
      <c r="M71" s="64">
        <v>75.069999999999993</v>
      </c>
      <c r="N71" s="64">
        <v>118.7</v>
      </c>
      <c r="O71" s="64">
        <v>0</v>
      </c>
      <c r="P71" s="64">
        <v>0.63</v>
      </c>
      <c r="Q71" s="64">
        <v>9.14</v>
      </c>
      <c r="R71" s="198"/>
      <c r="S71" s="198"/>
      <c r="T71" s="198"/>
      <c r="U71" s="198"/>
    </row>
    <row r="72" spans="1:21" s="12" customFormat="1" x14ac:dyDescent="0.25">
      <c r="A72" s="211" t="s">
        <v>1367</v>
      </c>
      <c r="B72" s="64">
        <v>10.54</v>
      </c>
      <c r="C72" s="64">
        <v>20.07</v>
      </c>
      <c r="D72" s="64">
        <v>18.940000000000001</v>
      </c>
      <c r="E72" s="64">
        <v>5.92</v>
      </c>
      <c r="F72" s="64">
        <v>12.16</v>
      </c>
      <c r="G72" s="64">
        <v>31.25</v>
      </c>
      <c r="H72" s="64">
        <v>10.43</v>
      </c>
      <c r="I72" s="64">
        <v>1.73</v>
      </c>
      <c r="J72" s="64">
        <v>0.14000000000000001</v>
      </c>
      <c r="K72" s="64">
        <v>123.53</v>
      </c>
      <c r="L72" s="64">
        <v>27.63</v>
      </c>
      <c r="M72" s="64">
        <v>75.17</v>
      </c>
      <c r="N72" s="64">
        <v>90.7</v>
      </c>
      <c r="O72" s="64">
        <v>0</v>
      </c>
      <c r="P72" s="64">
        <v>0.57999999999999996</v>
      </c>
      <c r="Q72" s="64">
        <v>9.1199999999999992</v>
      </c>
      <c r="R72" s="198"/>
      <c r="S72" s="198"/>
      <c r="T72" s="198"/>
      <c r="U72" s="198"/>
    </row>
    <row r="73" spans="1:21" s="12" customFormat="1" x14ac:dyDescent="0.25">
      <c r="A73" s="211" t="s">
        <v>1368</v>
      </c>
      <c r="B73" s="64">
        <v>18.37</v>
      </c>
      <c r="C73" s="64">
        <v>29.51</v>
      </c>
      <c r="D73" s="64">
        <v>30.15</v>
      </c>
      <c r="E73" s="64">
        <v>6.97</v>
      </c>
      <c r="F73" s="64">
        <v>4.67</v>
      </c>
      <c r="G73" s="64">
        <v>28.49</v>
      </c>
      <c r="H73" s="64">
        <v>8.73</v>
      </c>
      <c r="I73" s="64">
        <v>1.74</v>
      </c>
      <c r="J73" s="64">
        <v>0.05</v>
      </c>
      <c r="K73" s="64">
        <v>339.22</v>
      </c>
      <c r="L73" s="64">
        <v>27.34</v>
      </c>
      <c r="M73" s="64">
        <v>72.87</v>
      </c>
      <c r="N73" s="64">
        <v>86.3</v>
      </c>
      <c r="O73" s="64">
        <v>0</v>
      </c>
      <c r="P73" s="64">
        <v>0.65</v>
      </c>
      <c r="Q73" s="64">
        <v>9.1199999999999992</v>
      </c>
      <c r="R73" s="198"/>
      <c r="S73" s="198"/>
      <c r="T73" s="198"/>
      <c r="U73" s="198"/>
    </row>
    <row r="74" spans="1:21" s="12" customFormat="1" x14ac:dyDescent="0.25">
      <c r="A74" s="211" t="s">
        <v>1369</v>
      </c>
      <c r="B74" s="64">
        <v>18.25</v>
      </c>
      <c r="C74" s="64">
        <v>27.84</v>
      </c>
      <c r="D74" s="64">
        <v>29.18</v>
      </c>
      <c r="E74" s="64">
        <v>7.51</v>
      </c>
      <c r="F74" s="64">
        <v>8.1300000000000008</v>
      </c>
      <c r="G74" s="64">
        <v>28.29</v>
      </c>
      <c r="H74" s="64">
        <v>8.73</v>
      </c>
      <c r="I74" s="64">
        <v>1.74</v>
      </c>
      <c r="J74" s="64">
        <v>0.38</v>
      </c>
      <c r="K74" s="64">
        <v>332.29</v>
      </c>
      <c r="L74" s="64">
        <v>27.53</v>
      </c>
      <c r="M74" s="64">
        <v>75.17</v>
      </c>
      <c r="N74" s="64">
        <v>81.2</v>
      </c>
      <c r="O74" s="64">
        <v>0</v>
      </c>
      <c r="P74" s="64">
        <v>0.67</v>
      </c>
      <c r="Q74" s="64">
        <v>9.1199999999999992</v>
      </c>
      <c r="R74" s="198"/>
      <c r="S74" s="198"/>
      <c r="T74" s="198"/>
      <c r="U74" s="198"/>
    </row>
    <row r="75" spans="1:21" s="12" customFormat="1" x14ac:dyDescent="0.25">
      <c r="A75" s="211" t="s">
        <v>1370</v>
      </c>
      <c r="B75" s="64">
        <v>12.79</v>
      </c>
      <c r="C75" s="64">
        <v>26.16</v>
      </c>
      <c r="D75" s="64">
        <v>23.88</v>
      </c>
      <c r="E75" s="64">
        <v>7.28</v>
      </c>
      <c r="F75" s="64">
        <v>10.93</v>
      </c>
      <c r="G75" s="64">
        <v>28.29</v>
      </c>
      <c r="H75" s="64">
        <v>8.73</v>
      </c>
      <c r="I75" s="64">
        <v>1.66</v>
      </c>
      <c r="J75" s="64">
        <v>0.27</v>
      </c>
      <c r="K75" s="64">
        <v>320.07</v>
      </c>
      <c r="L75" s="64">
        <v>27.33</v>
      </c>
      <c r="M75" s="64">
        <v>75.98</v>
      </c>
      <c r="N75" s="64">
        <v>70.5</v>
      </c>
      <c r="O75" s="64">
        <v>0</v>
      </c>
      <c r="P75" s="64">
        <v>0.74</v>
      </c>
      <c r="Q75" s="64">
        <v>9.1199999999999992</v>
      </c>
      <c r="R75" s="198"/>
      <c r="S75" s="198"/>
      <c r="T75" s="198"/>
      <c r="U75" s="198"/>
    </row>
    <row r="76" spans="1:21" s="12" customFormat="1" x14ac:dyDescent="0.25">
      <c r="A76" s="211" t="s">
        <v>1371</v>
      </c>
      <c r="B76" s="64">
        <v>13.28</v>
      </c>
      <c r="C76" s="64">
        <v>27.22</v>
      </c>
      <c r="D76" s="64">
        <v>24.87</v>
      </c>
      <c r="E76" s="64">
        <v>7.55</v>
      </c>
      <c r="F76" s="64">
        <v>8.6300000000000008</v>
      </c>
      <c r="G76" s="64">
        <v>28.29</v>
      </c>
      <c r="H76" s="64">
        <v>8.73</v>
      </c>
      <c r="I76" s="64">
        <v>1.71</v>
      </c>
      <c r="J76" s="64">
        <v>0.13</v>
      </c>
      <c r="K76" s="64">
        <v>332.73</v>
      </c>
      <c r="L76" s="64">
        <v>27</v>
      </c>
      <c r="M76" s="64">
        <v>75.150000000000006</v>
      </c>
      <c r="N76" s="64">
        <v>62.8</v>
      </c>
      <c r="O76" s="64">
        <v>0</v>
      </c>
      <c r="P76" s="64">
        <v>0.74</v>
      </c>
      <c r="Q76" s="64">
        <v>9.1199999999999992</v>
      </c>
      <c r="R76" s="198"/>
      <c r="S76" s="198"/>
      <c r="T76" s="198"/>
      <c r="U76" s="198"/>
    </row>
    <row r="77" spans="1:21" s="12" customFormat="1" x14ac:dyDescent="0.25">
      <c r="A77" s="211" t="s">
        <v>1372</v>
      </c>
      <c r="B77" s="64">
        <v>18.66</v>
      </c>
      <c r="C77" s="64">
        <v>36.590000000000003</v>
      </c>
      <c r="D77" s="64">
        <v>34.08</v>
      </c>
      <c r="E77" s="64">
        <v>7.65</v>
      </c>
      <c r="F77" s="64">
        <v>4.74</v>
      </c>
      <c r="G77" s="64">
        <v>31.55</v>
      </c>
      <c r="H77" s="64">
        <v>7.27</v>
      </c>
      <c r="I77" s="64">
        <v>1.72</v>
      </c>
      <c r="J77" s="64">
        <v>0.08</v>
      </c>
      <c r="K77" s="64">
        <v>330.58</v>
      </c>
      <c r="L77" s="64">
        <v>26.69</v>
      </c>
      <c r="M77" s="64">
        <v>79.27</v>
      </c>
      <c r="N77" s="64">
        <v>54.9</v>
      </c>
      <c r="O77" s="64">
        <v>0</v>
      </c>
      <c r="P77" s="64">
        <v>0.82</v>
      </c>
      <c r="Q77" s="64">
        <v>9.1199999999999992</v>
      </c>
      <c r="R77" s="198"/>
      <c r="S77" s="198"/>
      <c r="T77" s="198"/>
      <c r="U77" s="198"/>
    </row>
    <row r="78" spans="1:21" s="12" customFormat="1" x14ac:dyDescent="0.25">
      <c r="A78" s="211" t="s">
        <v>1373</v>
      </c>
      <c r="B78" s="64">
        <v>8.26</v>
      </c>
      <c r="C78" s="64">
        <v>20.81</v>
      </c>
      <c r="D78" s="64">
        <v>17.489999999999998</v>
      </c>
      <c r="E78" s="64">
        <v>7.84</v>
      </c>
      <c r="F78" s="64">
        <v>11.22</v>
      </c>
      <c r="G78" s="64">
        <v>31.78</v>
      </c>
      <c r="H78" s="64">
        <v>7.27</v>
      </c>
      <c r="I78" s="64">
        <v>1.67</v>
      </c>
      <c r="J78" s="64">
        <v>0.18</v>
      </c>
      <c r="K78" s="64">
        <v>136.46</v>
      </c>
      <c r="L78" s="64">
        <v>26.36</v>
      </c>
      <c r="M78" s="64">
        <v>79.88</v>
      </c>
      <c r="N78" s="64">
        <v>47.6</v>
      </c>
      <c r="O78" s="64">
        <v>0</v>
      </c>
      <c r="P78" s="64">
        <v>0.51</v>
      </c>
      <c r="Q78" s="64">
        <v>9.1300000000000008</v>
      </c>
      <c r="R78" s="198"/>
      <c r="S78" s="198"/>
      <c r="T78" s="198"/>
      <c r="U78" s="198"/>
    </row>
    <row r="79" spans="1:21" s="12" customFormat="1" x14ac:dyDescent="0.25">
      <c r="A79" s="211" t="s">
        <v>1374</v>
      </c>
      <c r="B79" s="64">
        <v>7.1</v>
      </c>
      <c r="C79" s="64">
        <v>26.61</v>
      </c>
      <c r="D79" s="64">
        <v>19.600000000000001</v>
      </c>
      <c r="E79" s="64">
        <v>8.17</v>
      </c>
      <c r="F79" s="64">
        <v>8.64</v>
      </c>
      <c r="G79" s="64">
        <v>31.78</v>
      </c>
      <c r="H79" s="64">
        <v>7.27</v>
      </c>
      <c r="I79" s="64">
        <v>1.7</v>
      </c>
      <c r="J79" s="64">
        <v>0.08</v>
      </c>
      <c r="K79" s="64">
        <v>163.98</v>
      </c>
      <c r="L79" s="64">
        <v>25.98</v>
      </c>
      <c r="M79" s="64">
        <v>84.2</v>
      </c>
      <c r="N79" s="64">
        <v>43.3</v>
      </c>
      <c r="O79" s="64">
        <v>0</v>
      </c>
      <c r="P79" s="64">
        <v>0.6</v>
      </c>
      <c r="Q79" s="64">
        <v>9.14</v>
      </c>
      <c r="R79" s="198"/>
      <c r="S79" s="198"/>
      <c r="T79" s="198"/>
      <c r="U79" s="198"/>
    </row>
    <row r="80" spans="1:21" s="12" customFormat="1" x14ac:dyDescent="0.25">
      <c r="A80" s="211" t="s">
        <v>1375</v>
      </c>
      <c r="B80" s="64">
        <v>22.42</v>
      </c>
      <c r="C80" s="64">
        <v>40.450000000000003</v>
      </c>
      <c r="D80" s="64">
        <v>39.119999999999997</v>
      </c>
      <c r="E80" s="64">
        <v>8.06</v>
      </c>
      <c r="F80" s="64">
        <v>2.52</v>
      </c>
      <c r="G80" s="64">
        <v>31.78</v>
      </c>
      <c r="H80" s="64">
        <v>7.27</v>
      </c>
      <c r="I80" s="64">
        <v>1.72</v>
      </c>
      <c r="J80" s="64">
        <v>0.08</v>
      </c>
      <c r="K80" s="64">
        <v>301.45999999999998</v>
      </c>
      <c r="L80" s="64">
        <v>25.69</v>
      </c>
      <c r="M80" s="64">
        <v>88.22</v>
      </c>
      <c r="N80" s="64">
        <v>42</v>
      </c>
      <c r="O80" s="64">
        <v>0</v>
      </c>
      <c r="P80" s="64">
        <v>1.33</v>
      </c>
      <c r="Q80" s="64">
        <v>9.15</v>
      </c>
      <c r="R80" s="198"/>
      <c r="S80" s="198"/>
      <c r="T80" s="198"/>
      <c r="U80" s="198"/>
    </row>
    <row r="81" spans="1:26" s="12" customFormat="1" x14ac:dyDescent="0.25">
      <c r="A81" s="211" t="s">
        <v>1376</v>
      </c>
      <c r="B81" s="64">
        <v>16.41</v>
      </c>
      <c r="C81" s="64">
        <v>38.43</v>
      </c>
      <c r="D81" s="64">
        <v>33.24</v>
      </c>
      <c r="E81" s="64">
        <v>7.88</v>
      </c>
      <c r="F81" s="64">
        <v>2.4900000000000002</v>
      </c>
      <c r="G81" s="64">
        <v>30.76</v>
      </c>
      <c r="H81" s="64">
        <v>6.24</v>
      </c>
      <c r="I81" s="64">
        <v>1.73</v>
      </c>
      <c r="J81" s="64">
        <v>7.0000000000000007E-2</v>
      </c>
      <c r="K81" s="64">
        <v>131.57</v>
      </c>
      <c r="L81" s="64">
        <v>25.46</v>
      </c>
      <c r="M81" s="64">
        <v>90.68</v>
      </c>
      <c r="N81" s="64">
        <v>41.8</v>
      </c>
      <c r="O81" s="64">
        <v>0</v>
      </c>
      <c r="P81" s="64">
        <v>1.1399999999999999</v>
      </c>
      <c r="Q81" s="64">
        <v>9.16</v>
      </c>
      <c r="R81" s="198"/>
      <c r="S81" s="198"/>
      <c r="T81" s="198"/>
      <c r="U81" s="198"/>
    </row>
    <row r="82" spans="1:26" s="12" customFormat="1" x14ac:dyDescent="0.25">
      <c r="A82" s="211" t="s">
        <v>1377</v>
      </c>
      <c r="B82" s="64">
        <v>11.67</v>
      </c>
      <c r="C82" s="64">
        <v>38.630000000000003</v>
      </c>
      <c r="D82" s="64">
        <v>29.55</v>
      </c>
      <c r="E82" s="64">
        <v>8.26</v>
      </c>
      <c r="F82" s="64">
        <v>2.17</v>
      </c>
      <c r="G82" s="64">
        <v>30.69</v>
      </c>
      <c r="H82" s="64">
        <v>6.24</v>
      </c>
      <c r="I82" s="64">
        <v>1.79</v>
      </c>
      <c r="J82" s="64">
        <v>0</v>
      </c>
      <c r="K82" s="64">
        <v>190.9</v>
      </c>
      <c r="L82" s="64">
        <v>25.33</v>
      </c>
      <c r="M82" s="64">
        <v>91.75</v>
      </c>
      <c r="N82" s="64">
        <v>41.9</v>
      </c>
      <c r="O82" s="64">
        <v>0</v>
      </c>
      <c r="P82" s="64">
        <v>1.08</v>
      </c>
      <c r="Q82" s="64">
        <v>9.17</v>
      </c>
      <c r="R82" s="198"/>
      <c r="S82" s="198"/>
      <c r="T82" s="198"/>
      <c r="U82" s="198"/>
    </row>
    <row r="83" spans="1:26" s="12" customFormat="1" x14ac:dyDescent="0.25">
      <c r="A83" s="211" t="s">
        <v>1378</v>
      </c>
      <c r="B83" s="64">
        <v>23.3</v>
      </c>
      <c r="C83" s="64">
        <v>42.04</v>
      </c>
      <c r="D83" s="64">
        <v>40.65</v>
      </c>
      <c r="E83" s="64">
        <v>8.33</v>
      </c>
      <c r="F83" s="64">
        <v>2.2799999999999998</v>
      </c>
      <c r="G83" s="64">
        <v>30.69</v>
      </c>
      <c r="H83" s="64">
        <v>6.24</v>
      </c>
      <c r="I83" s="64">
        <v>1.86</v>
      </c>
      <c r="J83" s="64">
        <v>0.04</v>
      </c>
      <c r="K83" s="64">
        <v>303.24</v>
      </c>
      <c r="L83" s="64">
        <v>25.14</v>
      </c>
      <c r="M83" s="64">
        <v>94.59</v>
      </c>
      <c r="N83" s="64">
        <v>41.9</v>
      </c>
      <c r="O83" s="64">
        <v>0</v>
      </c>
      <c r="P83" s="64">
        <v>1.37</v>
      </c>
      <c r="Q83" s="64">
        <v>9.18</v>
      </c>
      <c r="R83" s="198"/>
      <c r="S83" s="198"/>
      <c r="T83" s="198"/>
      <c r="U83" s="198"/>
    </row>
    <row r="84" spans="1:26" s="12" customFormat="1" x14ac:dyDescent="0.25">
      <c r="A84" s="211" t="s">
        <v>1379</v>
      </c>
      <c r="B84" s="64">
        <v>16.23</v>
      </c>
      <c r="C84" s="64">
        <v>36.33</v>
      </c>
      <c r="D84" s="64">
        <v>32</v>
      </c>
      <c r="E84" s="64">
        <v>7.76</v>
      </c>
      <c r="F84" s="64">
        <v>2.68</v>
      </c>
      <c r="G84" s="64">
        <v>30.69</v>
      </c>
      <c r="H84" s="64">
        <v>6.24</v>
      </c>
      <c r="I84" s="64">
        <v>1.93</v>
      </c>
      <c r="J84" s="64">
        <v>0.05</v>
      </c>
      <c r="K84" s="64">
        <v>105.79</v>
      </c>
      <c r="L84" s="64">
        <v>25.07</v>
      </c>
      <c r="M84" s="64">
        <v>96.36</v>
      </c>
      <c r="N84" s="64">
        <v>41.7</v>
      </c>
      <c r="O84" s="64">
        <v>0</v>
      </c>
      <c r="P84" s="64">
        <v>1.1499999999999999</v>
      </c>
      <c r="Q84" s="64">
        <v>9.1999999999999993</v>
      </c>
      <c r="R84" s="198"/>
      <c r="S84" s="198"/>
      <c r="T84" s="198"/>
      <c r="U84" s="198"/>
    </row>
    <row r="85" spans="1:26" s="12" customFormat="1" x14ac:dyDescent="0.25">
      <c r="A85" s="211" t="s">
        <v>1380</v>
      </c>
      <c r="B85" s="64">
        <v>23.24</v>
      </c>
      <c r="C85" s="64">
        <v>38.58</v>
      </c>
      <c r="D85" s="64">
        <v>38.79</v>
      </c>
      <c r="E85" s="64">
        <v>7.7</v>
      </c>
      <c r="F85" s="64">
        <v>2.21</v>
      </c>
      <c r="G85" s="64">
        <v>39.14</v>
      </c>
      <c r="H85" s="64">
        <v>6.73</v>
      </c>
      <c r="I85" s="64">
        <v>2</v>
      </c>
      <c r="J85" s="64">
        <v>0.09</v>
      </c>
      <c r="K85" s="64">
        <v>308.08999999999997</v>
      </c>
      <c r="L85" s="64">
        <v>24.9</v>
      </c>
      <c r="M85" s="64">
        <v>98.14</v>
      </c>
      <c r="N85" s="64">
        <v>41.9</v>
      </c>
      <c r="O85" s="64">
        <v>0</v>
      </c>
      <c r="P85" s="64">
        <v>1.73</v>
      </c>
      <c r="Q85" s="64">
        <v>9.19</v>
      </c>
      <c r="R85" s="198"/>
      <c r="S85" s="198"/>
      <c r="T85" s="198"/>
      <c r="U85" s="198"/>
    </row>
    <row r="86" spans="1:26" s="12" customFormat="1" x14ac:dyDescent="0.25">
      <c r="A86" s="211" t="s">
        <v>1381</v>
      </c>
      <c r="B86" s="64">
        <v>20.86</v>
      </c>
      <c r="C86" s="64">
        <v>36.08</v>
      </c>
      <c r="D86" s="64">
        <v>35.58</v>
      </c>
      <c r="E86" s="64">
        <v>7.52</v>
      </c>
      <c r="F86" s="64">
        <v>2.1</v>
      </c>
      <c r="G86" s="64">
        <v>39.74</v>
      </c>
      <c r="H86" s="64">
        <v>6.73</v>
      </c>
      <c r="I86" s="64">
        <v>2.08</v>
      </c>
      <c r="J86" s="64">
        <v>0.02</v>
      </c>
      <c r="K86" s="64">
        <v>129.29</v>
      </c>
      <c r="L86" s="64">
        <v>24.76</v>
      </c>
      <c r="M86" s="64">
        <v>98.13</v>
      </c>
      <c r="N86" s="64">
        <v>41.8</v>
      </c>
      <c r="O86" s="64">
        <v>0</v>
      </c>
      <c r="P86" s="64">
        <v>1.46</v>
      </c>
      <c r="Q86" s="64">
        <v>9.1999999999999993</v>
      </c>
      <c r="R86" s="198"/>
      <c r="S86" s="198"/>
      <c r="T86" s="198"/>
      <c r="U86" s="198"/>
    </row>
    <row r="87" spans="1:26" s="12" customFormat="1" x14ac:dyDescent="0.25">
      <c r="A87" s="211" t="s">
        <v>1382</v>
      </c>
      <c r="B87" s="64">
        <v>12.06</v>
      </c>
      <c r="C87" s="64">
        <v>44.44</v>
      </c>
      <c r="D87" s="64">
        <v>32.89</v>
      </c>
      <c r="E87" s="64">
        <v>7.3</v>
      </c>
      <c r="F87" s="64">
        <v>2.2799999999999998</v>
      </c>
      <c r="G87" s="64">
        <v>39.74</v>
      </c>
      <c r="H87" s="64">
        <v>6.73</v>
      </c>
      <c r="I87" s="64">
        <v>2.1800000000000002</v>
      </c>
      <c r="J87" s="64">
        <v>0.03</v>
      </c>
      <c r="K87" s="64">
        <v>236.77</v>
      </c>
      <c r="L87" s="64">
        <v>24.7</v>
      </c>
      <c r="M87" s="64">
        <v>98.13</v>
      </c>
      <c r="N87" s="64">
        <v>41.7</v>
      </c>
      <c r="O87" s="64">
        <v>0</v>
      </c>
      <c r="P87" s="64">
        <v>1.44</v>
      </c>
      <c r="Q87" s="64">
        <v>9.2100000000000009</v>
      </c>
      <c r="R87" s="198"/>
      <c r="S87" s="198"/>
      <c r="T87" s="198"/>
      <c r="U87" s="198"/>
    </row>
    <row r="88" spans="1:26" s="12" customFormat="1" x14ac:dyDescent="0.25">
      <c r="A88" s="211" t="s">
        <v>1383</v>
      </c>
      <c r="B88" s="64">
        <v>10.59</v>
      </c>
      <c r="C88" s="64">
        <v>29.61</v>
      </c>
      <c r="D88" s="64">
        <v>23.96</v>
      </c>
      <c r="E88" s="64">
        <v>7.18</v>
      </c>
      <c r="F88" s="64">
        <v>2.17</v>
      </c>
      <c r="G88" s="64">
        <v>39.74</v>
      </c>
      <c r="H88" s="64">
        <v>6.73</v>
      </c>
      <c r="I88" s="64">
        <v>2.29</v>
      </c>
      <c r="J88" s="64">
        <v>0.03</v>
      </c>
      <c r="K88" s="64">
        <v>165.76</v>
      </c>
      <c r="L88" s="64">
        <v>24.65</v>
      </c>
      <c r="M88" s="64">
        <v>98.14</v>
      </c>
      <c r="N88" s="64">
        <v>41.6</v>
      </c>
      <c r="O88" s="64">
        <v>0</v>
      </c>
      <c r="P88" s="64">
        <v>1.06</v>
      </c>
      <c r="Q88" s="64">
        <v>9.1999999999999993</v>
      </c>
      <c r="R88" s="198"/>
      <c r="S88" s="198"/>
      <c r="T88" s="198"/>
      <c r="U88" s="198"/>
    </row>
    <row r="89" spans="1:26" s="12" customFormat="1" x14ac:dyDescent="0.25">
      <c r="A89" s="211" t="s">
        <v>1384</v>
      </c>
      <c r="B89" s="64">
        <v>27.01</v>
      </c>
      <c r="C89" s="64">
        <v>44.92</v>
      </c>
      <c r="D89" s="64">
        <v>45.13</v>
      </c>
      <c r="E89" s="64">
        <v>6.86</v>
      </c>
      <c r="F89" s="64">
        <v>2.1</v>
      </c>
      <c r="G89" s="64">
        <v>40.89</v>
      </c>
      <c r="H89" s="64">
        <v>6.52</v>
      </c>
      <c r="I89" s="64">
        <v>2.36</v>
      </c>
      <c r="J89" s="64">
        <v>0.06</v>
      </c>
      <c r="K89" s="64">
        <v>311.89999999999998</v>
      </c>
      <c r="L89" s="64">
        <v>24.57</v>
      </c>
      <c r="M89" s="64">
        <v>98.18</v>
      </c>
      <c r="N89" s="64">
        <v>41.7</v>
      </c>
      <c r="O89" s="64">
        <v>0</v>
      </c>
      <c r="P89" s="64">
        <v>1.55</v>
      </c>
      <c r="Q89" s="64">
        <v>9.1999999999999993</v>
      </c>
      <c r="R89" s="198"/>
      <c r="S89" s="198"/>
      <c r="T89" s="198"/>
      <c r="U89" s="198"/>
    </row>
    <row r="90" spans="1:26" s="12" customFormat="1" x14ac:dyDescent="0.25">
      <c r="A90" s="211" t="s">
        <v>1385</v>
      </c>
      <c r="B90" s="64">
        <v>21.17</v>
      </c>
      <c r="C90" s="64">
        <v>40.200000000000003</v>
      </c>
      <c r="D90" s="64">
        <v>37.979999999999997</v>
      </c>
      <c r="E90" s="64">
        <v>6.7</v>
      </c>
      <c r="F90" s="64">
        <v>2.1</v>
      </c>
      <c r="G90" s="64">
        <v>40.97</v>
      </c>
      <c r="H90" s="64">
        <v>6.52</v>
      </c>
      <c r="I90" s="64">
        <v>2.41</v>
      </c>
      <c r="J90" s="64">
        <v>0.01</v>
      </c>
      <c r="K90" s="64">
        <v>208.28</v>
      </c>
      <c r="L90" s="64">
        <v>24.46</v>
      </c>
      <c r="M90" s="64">
        <v>98.21</v>
      </c>
      <c r="N90" s="64">
        <v>41.6</v>
      </c>
      <c r="O90" s="64">
        <v>0</v>
      </c>
      <c r="P90" s="64">
        <v>1.54</v>
      </c>
      <c r="Q90" s="64">
        <v>9.2200000000000006</v>
      </c>
      <c r="R90" s="198"/>
      <c r="S90" s="198"/>
      <c r="T90" s="198"/>
      <c r="U90" s="198"/>
    </row>
    <row r="91" spans="1:26" s="12" customFormat="1" x14ac:dyDescent="0.25">
      <c r="A91" s="211" t="s">
        <v>1386</v>
      </c>
      <c r="B91" s="64">
        <v>13.06</v>
      </c>
      <c r="C91" s="64">
        <v>39.57</v>
      </c>
      <c r="D91" s="64">
        <v>31.15</v>
      </c>
      <c r="E91" s="64">
        <v>6.73</v>
      </c>
      <c r="F91" s="64">
        <v>2.1</v>
      </c>
      <c r="G91" s="64">
        <v>40.97</v>
      </c>
      <c r="H91" s="64">
        <v>6.52</v>
      </c>
      <c r="I91" s="64">
        <v>2.48</v>
      </c>
      <c r="J91" s="64">
        <v>0.06</v>
      </c>
      <c r="K91" s="64">
        <v>150.47</v>
      </c>
      <c r="L91" s="64">
        <v>24.4</v>
      </c>
      <c r="M91" s="64">
        <v>98.23</v>
      </c>
      <c r="N91" s="64">
        <v>41.7</v>
      </c>
      <c r="O91" s="64">
        <v>0</v>
      </c>
      <c r="P91" s="64">
        <v>1.28</v>
      </c>
      <c r="Q91" s="64">
        <v>9.23</v>
      </c>
      <c r="R91" s="198"/>
      <c r="S91" s="198"/>
      <c r="T91" s="198"/>
      <c r="U91" s="198"/>
    </row>
    <row r="92" spans="1:26" s="12" customFormat="1" x14ac:dyDescent="0.25">
      <c r="A92" s="211" t="s">
        <v>1387</v>
      </c>
      <c r="B92" s="64">
        <v>10.85</v>
      </c>
      <c r="C92" s="64">
        <v>38.270000000000003</v>
      </c>
      <c r="D92" s="64">
        <v>28.7</v>
      </c>
      <c r="E92" s="64">
        <v>6.57</v>
      </c>
      <c r="F92" s="64">
        <v>2.1</v>
      </c>
      <c r="G92" s="64">
        <v>40.97</v>
      </c>
      <c r="H92" s="64">
        <v>6.52</v>
      </c>
      <c r="I92" s="64">
        <v>2.54</v>
      </c>
      <c r="J92" s="64">
        <v>0.03</v>
      </c>
      <c r="K92" s="64">
        <v>133.02000000000001</v>
      </c>
      <c r="L92" s="64">
        <v>24.3</v>
      </c>
      <c r="M92" s="64">
        <v>98.24</v>
      </c>
      <c r="N92" s="64">
        <v>41.6</v>
      </c>
      <c r="O92" s="64">
        <v>0</v>
      </c>
      <c r="P92" s="64">
        <v>1.22</v>
      </c>
      <c r="Q92" s="64">
        <v>9.23</v>
      </c>
      <c r="R92" s="198"/>
      <c r="S92" s="198"/>
      <c r="T92" s="198"/>
      <c r="U92" s="198"/>
    </row>
    <row r="93" spans="1:26" s="12" customFormat="1" x14ac:dyDescent="0.25">
      <c r="A93" s="211" t="s">
        <v>1388</v>
      </c>
      <c r="B93" s="64">
        <v>32.840000000000003</v>
      </c>
      <c r="C93" s="64">
        <v>39.03</v>
      </c>
      <c r="D93" s="64">
        <v>46.73</v>
      </c>
      <c r="E93" s="64">
        <v>6.4</v>
      </c>
      <c r="F93" s="64">
        <v>2.1</v>
      </c>
      <c r="G93" s="64">
        <v>43.47</v>
      </c>
      <c r="H93" s="64">
        <v>6.45</v>
      </c>
      <c r="I93" s="64">
        <v>2.6</v>
      </c>
      <c r="J93" s="64">
        <v>0.02</v>
      </c>
      <c r="K93" s="64">
        <v>335.15</v>
      </c>
      <c r="L93" s="64">
        <v>24.2</v>
      </c>
      <c r="M93" s="64">
        <v>98.25</v>
      </c>
      <c r="N93" s="64">
        <v>41.7</v>
      </c>
      <c r="O93" s="64">
        <v>0</v>
      </c>
      <c r="P93" s="64">
        <v>1.67</v>
      </c>
      <c r="Q93" s="64">
        <v>9.23</v>
      </c>
      <c r="R93" s="198"/>
      <c r="S93" s="198"/>
      <c r="T93" s="198"/>
      <c r="U93" s="198"/>
    </row>
    <row r="94" spans="1:26" s="12" customFormat="1" x14ac:dyDescent="0.25">
      <c r="A94" s="211" t="s">
        <v>1389</v>
      </c>
      <c r="B94" s="64">
        <v>23.75</v>
      </c>
      <c r="C94" s="64">
        <v>43.11</v>
      </c>
      <c r="D94" s="64">
        <v>41.57</v>
      </c>
      <c r="E94" s="64">
        <v>6.32</v>
      </c>
      <c r="F94" s="64">
        <v>2.1</v>
      </c>
      <c r="G94" s="64">
        <v>43.64</v>
      </c>
      <c r="H94" s="64">
        <v>6.45</v>
      </c>
      <c r="I94" s="64">
        <v>2.66</v>
      </c>
      <c r="J94" s="64">
        <v>0.03</v>
      </c>
      <c r="K94" s="64">
        <v>310.91000000000003</v>
      </c>
      <c r="L94" s="64">
        <v>24.1</v>
      </c>
      <c r="M94" s="64">
        <v>98.26</v>
      </c>
      <c r="N94" s="64">
        <v>41.6</v>
      </c>
      <c r="O94" s="64">
        <v>0</v>
      </c>
      <c r="P94" s="64">
        <v>1.56</v>
      </c>
      <c r="Q94" s="64">
        <v>9.24</v>
      </c>
      <c r="R94" s="198"/>
      <c r="S94" s="198"/>
      <c r="T94" s="198"/>
      <c r="U94" s="198"/>
    </row>
    <row r="95" spans="1:26" s="12" customFormat="1" x14ac:dyDescent="0.25">
      <c r="A95" s="211" t="s">
        <v>1390</v>
      </c>
      <c r="B95" s="64">
        <v>34.54</v>
      </c>
      <c r="C95" s="64">
        <v>25.3</v>
      </c>
      <c r="D95" s="64">
        <v>40.92</v>
      </c>
      <c r="E95" s="64">
        <v>6.54</v>
      </c>
      <c r="F95" s="64">
        <v>2.1</v>
      </c>
      <c r="G95" s="64">
        <v>43.64</v>
      </c>
      <c r="H95" s="64">
        <v>6.45</v>
      </c>
      <c r="I95" s="64">
        <v>2.73</v>
      </c>
      <c r="J95" s="64">
        <v>0.16</v>
      </c>
      <c r="K95" s="64">
        <v>338.77</v>
      </c>
      <c r="L95" s="64">
        <v>23.95</v>
      </c>
      <c r="M95" s="64">
        <v>98.3</v>
      </c>
      <c r="N95" s="64">
        <v>41.6</v>
      </c>
      <c r="O95" s="64">
        <v>0</v>
      </c>
      <c r="P95" s="64">
        <v>1.49</v>
      </c>
      <c r="Q95" s="64">
        <v>9.24</v>
      </c>
      <c r="R95" s="198"/>
      <c r="S95" s="198"/>
      <c r="T95" s="198"/>
      <c r="U95" s="198"/>
    </row>
    <row r="96" spans="1:26" s="12" customFormat="1" x14ac:dyDescent="0.25">
      <c r="A96" s="211" t="s">
        <v>1391</v>
      </c>
      <c r="B96" s="64">
        <v>26.16</v>
      </c>
      <c r="C96" s="64">
        <v>36.83</v>
      </c>
      <c r="D96" s="64">
        <v>40.22</v>
      </c>
      <c r="E96" s="64">
        <v>6.4</v>
      </c>
      <c r="F96" s="64">
        <v>2.69</v>
      </c>
      <c r="G96" s="64">
        <v>43.64</v>
      </c>
      <c r="H96" s="64">
        <v>6.45</v>
      </c>
      <c r="I96" s="64">
        <v>2.79</v>
      </c>
      <c r="J96" s="64">
        <v>0.15</v>
      </c>
      <c r="K96" s="64">
        <v>318.89</v>
      </c>
      <c r="L96" s="64">
        <v>23.83</v>
      </c>
      <c r="M96" s="64">
        <v>98.3</v>
      </c>
      <c r="N96" s="64">
        <v>41.5</v>
      </c>
      <c r="O96" s="64">
        <v>0</v>
      </c>
      <c r="P96" s="64">
        <v>1.63</v>
      </c>
      <c r="Q96" s="64">
        <v>9.2799999999999994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1392</v>
      </c>
      <c r="B97" s="64">
        <v>40.090000000000003</v>
      </c>
      <c r="C97" s="64">
        <v>34.729999999999997</v>
      </c>
      <c r="D97" s="64">
        <v>50.29</v>
      </c>
      <c r="E97" s="64">
        <v>6.28</v>
      </c>
      <c r="F97" s="64">
        <v>2.71</v>
      </c>
      <c r="G97" s="64">
        <v>44.94</v>
      </c>
      <c r="H97" s="64">
        <v>5.82</v>
      </c>
      <c r="I97" s="64">
        <v>2.84</v>
      </c>
      <c r="J97" s="64">
        <v>0.16</v>
      </c>
      <c r="K97" s="64">
        <v>319.86</v>
      </c>
      <c r="L97" s="64">
        <v>23.73</v>
      </c>
      <c r="M97" s="64">
        <v>98.31</v>
      </c>
      <c r="N97" s="64">
        <v>41.6</v>
      </c>
      <c r="O97" s="64">
        <v>0</v>
      </c>
      <c r="P97" s="64">
        <v>1.68</v>
      </c>
      <c r="Q97" s="64">
        <v>9.32</v>
      </c>
      <c r="R97" s="198"/>
      <c r="S97" s="198"/>
      <c r="T97" s="198"/>
      <c r="U97" s="198"/>
    </row>
    <row r="98" spans="1:33" s="12" customFormat="1" x14ac:dyDescent="0.25">
      <c r="A98" s="211" t="s">
        <v>1393</v>
      </c>
      <c r="B98" s="64">
        <v>37.17</v>
      </c>
      <c r="C98" s="64">
        <v>31.02</v>
      </c>
      <c r="D98" s="64">
        <v>46.01</v>
      </c>
      <c r="E98" s="64">
        <v>6.26</v>
      </c>
      <c r="F98" s="64">
        <v>2.37</v>
      </c>
      <c r="G98" s="64">
        <v>45.03</v>
      </c>
      <c r="H98" s="64">
        <v>5.82</v>
      </c>
      <c r="I98" s="64">
        <v>2.91</v>
      </c>
      <c r="J98" s="64">
        <v>0.09</v>
      </c>
      <c r="K98" s="64">
        <v>326.27999999999997</v>
      </c>
      <c r="L98" s="64">
        <v>23.62</v>
      </c>
      <c r="M98" s="64">
        <v>98.3</v>
      </c>
      <c r="N98" s="64">
        <v>41.6</v>
      </c>
      <c r="O98" s="64">
        <v>0</v>
      </c>
      <c r="P98" s="64">
        <v>1.36</v>
      </c>
      <c r="Q98" s="64">
        <v>9.34</v>
      </c>
      <c r="R98" s="198"/>
      <c r="S98" s="198"/>
      <c r="T98" s="198"/>
      <c r="U98" s="198"/>
    </row>
    <row r="99" spans="1:33" s="12" customFormat="1" x14ac:dyDescent="0.25">
      <c r="A99" s="211" t="s">
        <v>1394</v>
      </c>
      <c r="B99" s="64">
        <v>26.47</v>
      </c>
      <c r="C99" s="64">
        <v>34.1</v>
      </c>
      <c r="D99" s="64">
        <v>39.049999999999997</v>
      </c>
      <c r="E99" s="64">
        <v>6.07</v>
      </c>
      <c r="F99" s="64">
        <v>2.31</v>
      </c>
      <c r="G99" s="64">
        <v>45.03</v>
      </c>
      <c r="H99" s="64">
        <v>5.82</v>
      </c>
      <c r="I99" s="64">
        <v>2.97</v>
      </c>
      <c r="J99" s="64">
        <v>0.1</v>
      </c>
      <c r="K99" s="64">
        <v>330.83</v>
      </c>
      <c r="L99" s="64">
        <v>23.52</v>
      </c>
      <c r="M99" s="64">
        <v>98.31</v>
      </c>
      <c r="N99" s="64">
        <v>41.7</v>
      </c>
      <c r="O99" s="64">
        <v>0</v>
      </c>
      <c r="P99" s="64">
        <v>1.22</v>
      </c>
      <c r="Q99" s="64">
        <v>9.3800000000000008</v>
      </c>
      <c r="R99" s="198"/>
      <c r="S99" s="198"/>
      <c r="T99" s="198"/>
      <c r="U99" s="198"/>
    </row>
    <row r="100" spans="1:33" s="12" customFormat="1" x14ac:dyDescent="0.25">
      <c r="A100" s="211" t="s">
        <v>1395</v>
      </c>
      <c r="B100" s="64">
        <v>15.89</v>
      </c>
      <c r="C100" s="64">
        <v>25.28</v>
      </c>
      <c r="D100" s="64">
        <v>25.95</v>
      </c>
      <c r="E100" s="64">
        <v>5.73</v>
      </c>
      <c r="F100" s="64">
        <v>3.13</v>
      </c>
      <c r="G100" s="64">
        <v>45.03</v>
      </c>
      <c r="H100" s="64">
        <v>5.82</v>
      </c>
      <c r="I100" s="64">
        <v>3.01</v>
      </c>
      <c r="J100" s="64">
        <v>0.22</v>
      </c>
      <c r="K100" s="64">
        <v>338.95</v>
      </c>
      <c r="L100" s="64">
        <v>23.41</v>
      </c>
      <c r="M100" s="64">
        <v>98.31</v>
      </c>
      <c r="N100" s="64">
        <v>41.6</v>
      </c>
      <c r="O100" s="64">
        <v>0</v>
      </c>
      <c r="P100" s="64">
        <v>1.18</v>
      </c>
      <c r="Q100" s="64">
        <v>9.4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1396</v>
      </c>
      <c r="B101" s="64">
        <v>23.4</v>
      </c>
      <c r="C101" s="64">
        <v>28.56</v>
      </c>
      <c r="D101" s="64">
        <v>33.69</v>
      </c>
      <c r="E101" s="64">
        <v>5.89</v>
      </c>
      <c r="F101" s="64">
        <v>2.31</v>
      </c>
      <c r="G101" s="64">
        <v>42.87</v>
      </c>
      <c r="H101" s="64">
        <v>8.82</v>
      </c>
      <c r="I101" s="64">
        <v>3.04</v>
      </c>
      <c r="J101" s="64">
        <v>0.08</v>
      </c>
      <c r="K101" s="64">
        <v>341.02</v>
      </c>
      <c r="L101" s="64">
        <v>23.26</v>
      </c>
      <c r="M101" s="64">
        <v>98.3</v>
      </c>
      <c r="N101" s="64">
        <v>41.5</v>
      </c>
      <c r="O101" s="64">
        <v>0</v>
      </c>
      <c r="P101" s="64">
        <v>1.1000000000000001</v>
      </c>
      <c r="Q101" s="64">
        <v>9.4</v>
      </c>
      <c r="R101" s="198"/>
      <c r="S101" s="198"/>
      <c r="T101" s="198"/>
      <c r="U101" s="198"/>
    </row>
    <row r="102" spans="1:33" s="12" customFormat="1" x14ac:dyDescent="0.25">
      <c r="A102" s="211" t="s">
        <v>1397</v>
      </c>
      <c r="B102" s="64">
        <v>11.21</v>
      </c>
      <c r="C102" s="64">
        <v>21.43</v>
      </c>
      <c r="D102" s="64">
        <v>20.18</v>
      </c>
      <c r="E102" s="64">
        <v>5.81</v>
      </c>
      <c r="F102" s="64">
        <v>3.69</v>
      </c>
      <c r="G102" s="64">
        <v>42.71</v>
      </c>
      <c r="H102" s="64">
        <v>8.82</v>
      </c>
      <c r="I102" s="64">
        <v>3.07</v>
      </c>
      <c r="J102" s="64">
        <v>0.06</v>
      </c>
      <c r="K102" s="64">
        <v>136.63999999999999</v>
      </c>
      <c r="L102" s="64">
        <v>23.2</v>
      </c>
      <c r="M102" s="64">
        <v>98.3</v>
      </c>
      <c r="N102" s="64">
        <v>41.5</v>
      </c>
      <c r="O102" s="64">
        <v>0</v>
      </c>
      <c r="P102" s="64">
        <v>0.92</v>
      </c>
      <c r="Q102" s="64">
        <v>9.41</v>
      </c>
      <c r="R102" s="198"/>
      <c r="S102" s="198"/>
      <c r="T102" s="198"/>
      <c r="U102" s="198"/>
    </row>
    <row r="103" spans="1:33" s="12" customFormat="1" x14ac:dyDescent="0.25">
      <c r="A103" s="211" t="s">
        <v>1398</v>
      </c>
      <c r="B103" s="64">
        <v>14.87</v>
      </c>
      <c r="C103" s="64">
        <v>25.03</v>
      </c>
      <c r="D103" s="64">
        <v>25</v>
      </c>
      <c r="E103" s="64">
        <v>5.66</v>
      </c>
      <c r="F103" s="64">
        <v>2.3199999999999998</v>
      </c>
      <c r="G103" s="64">
        <v>42.71</v>
      </c>
      <c r="H103" s="64">
        <v>8.82</v>
      </c>
      <c r="I103" s="64">
        <v>3.09</v>
      </c>
      <c r="J103" s="64">
        <v>0.04</v>
      </c>
      <c r="K103" s="64">
        <v>327.33999999999997</v>
      </c>
      <c r="L103" s="64">
        <v>23.23</v>
      </c>
      <c r="M103" s="64">
        <v>98.3</v>
      </c>
      <c r="N103" s="64">
        <v>41.6</v>
      </c>
      <c r="O103" s="64">
        <v>0</v>
      </c>
      <c r="P103" s="64">
        <v>1</v>
      </c>
      <c r="Q103" s="64">
        <v>9.4</v>
      </c>
      <c r="R103" s="198"/>
      <c r="S103" s="198"/>
      <c r="T103" s="198"/>
      <c r="U103" s="198"/>
    </row>
    <row r="104" spans="1:33" s="12" customFormat="1" x14ac:dyDescent="0.25">
      <c r="A104" s="211" t="s">
        <v>1399</v>
      </c>
      <c r="B104" s="64">
        <v>11.08</v>
      </c>
      <c r="C104" s="64">
        <v>24.27</v>
      </c>
      <c r="D104" s="64">
        <v>21.57</v>
      </c>
      <c r="E104" s="64">
        <v>6.59</v>
      </c>
      <c r="F104" s="64">
        <v>2.14</v>
      </c>
      <c r="G104" s="64">
        <v>42.71</v>
      </c>
      <c r="H104" s="64">
        <v>8.82</v>
      </c>
      <c r="I104" s="64">
        <v>3.11</v>
      </c>
      <c r="J104" s="64">
        <v>0.02</v>
      </c>
      <c r="K104" s="64">
        <v>330.86</v>
      </c>
      <c r="L104" s="64">
        <v>23.24</v>
      </c>
      <c r="M104" s="64">
        <v>98.32</v>
      </c>
      <c r="N104" s="64">
        <v>41.8</v>
      </c>
      <c r="O104" s="64">
        <v>0</v>
      </c>
      <c r="P104" s="64">
        <v>0.96</v>
      </c>
      <c r="Q104" s="64">
        <v>9.39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7.1</v>
      </c>
      <c r="C106" s="67">
        <f>MIN(C9:C104)</f>
        <v>4.54</v>
      </c>
      <c r="D106" s="67">
        <f t="shared" ref="D106:Q106" si="0">MIN(D9:D104)</f>
        <v>12.46</v>
      </c>
      <c r="E106" s="67">
        <f t="shared" si="0"/>
        <v>5.61</v>
      </c>
      <c r="F106" s="67">
        <f t="shared" si="0"/>
        <v>2.1</v>
      </c>
      <c r="G106" s="67">
        <f t="shared" si="0"/>
        <v>28.29</v>
      </c>
      <c r="H106" s="67">
        <f t="shared" si="0"/>
        <v>5.77</v>
      </c>
      <c r="I106" s="67">
        <f t="shared" si="0"/>
        <v>1.66</v>
      </c>
      <c r="J106" s="67">
        <f t="shared" si="0"/>
        <v>0</v>
      </c>
      <c r="K106" s="67">
        <f t="shared" si="0"/>
        <v>0.44</v>
      </c>
      <c r="L106" s="67">
        <f t="shared" si="0"/>
        <v>21.04</v>
      </c>
      <c r="M106" s="67">
        <f t="shared" si="0"/>
        <v>68.78</v>
      </c>
      <c r="N106" s="67">
        <f t="shared" si="0"/>
        <v>41.4</v>
      </c>
      <c r="O106" s="67">
        <f t="shared" si="0"/>
        <v>0</v>
      </c>
      <c r="P106" s="67">
        <f t="shared" si="0"/>
        <v>0.3</v>
      </c>
      <c r="Q106" s="67">
        <f t="shared" si="0"/>
        <v>9.1199999999999992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40.090000000000003</v>
      </c>
      <c r="C107" s="66">
        <f t="shared" ref="C107:Q107" si="1">MAX(C9:C104)</f>
        <v>44.92</v>
      </c>
      <c r="D107" s="66">
        <f t="shared" si="1"/>
        <v>50.29</v>
      </c>
      <c r="E107" s="66">
        <f t="shared" si="1"/>
        <v>12.79</v>
      </c>
      <c r="F107" s="66">
        <f t="shared" si="1"/>
        <v>19.190000000000001</v>
      </c>
      <c r="G107" s="66">
        <f t="shared" si="1"/>
        <v>45.03</v>
      </c>
      <c r="H107" s="66">
        <f t="shared" si="1"/>
        <v>11.68</v>
      </c>
      <c r="I107" s="66">
        <f t="shared" si="1"/>
        <v>3.11</v>
      </c>
      <c r="J107" s="66">
        <f t="shared" si="1"/>
        <v>0.89</v>
      </c>
      <c r="K107" s="66">
        <f t="shared" si="1"/>
        <v>353.78</v>
      </c>
      <c r="L107" s="66">
        <f t="shared" si="1"/>
        <v>28.99</v>
      </c>
      <c r="M107" s="66">
        <f t="shared" si="1"/>
        <v>98.32</v>
      </c>
      <c r="N107" s="66">
        <f t="shared" si="1"/>
        <v>700.9</v>
      </c>
      <c r="O107" s="66">
        <f t="shared" si="1"/>
        <v>0</v>
      </c>
      <c r="P107" s="66">
        <f t="shared" si="1"/>
        <v>1.73</v>
      </c>
      <c r="Q107" s="66">
        <f t="shared" si="1"/>
        <v>9.48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17.64427083333333</v>
      </c>
      <c r="C108" s="67">
        <f t="shared" ref="C108:Q108" si="2">AVERAGE(C9:C104)</f>
        <v>18.699270833333326</v>
      </c>
      <c r="D108" s="67">
        <f t="shared" si="2"/>
        <v>23.916250000000009</v>
      </c>
      <c r="E108" s="67">
        <f t="shared" si="2"/>
        <v>7.8702083333333315</v>
      </c>
      <c r="F108" s="67">
        <f t="shared" si="2"/>
        <v>4.6582291666666684</v>
      </c>
      <c r="G108" s="67">
        <f t="shared" si="2"/>
        <v>36.875937499999999</v>
      </c>
      <c r="H108" s="67">
        <f t="shared" si="2"/>
        <v>7.7450000000000072</v>
      </c>
      <c r="I108" s="67">
        <f t="shared" si="2"/>
        <v>2.0982291666666661</v>
      </c>
      <c r="J108" s="67">
        <f t="shared" si="2"/>
        <v>0.28666666666666663</v>
      </c>
      <c r="K108" s="67">
        <f t="shared" si="2"/>
        <v>239.69062500000007</v>
      </c>
      <c r="L108" s="67">
        <f t="shared" si="2"/>
        <v>24.859270833333326</v>
      </c>
      <c r="M108" s="67">
        <f t="shared" si="2"/>
        <v>88.372604166666676</v>
      </c>
      <c r="N108" s="67">
        <f t="shared" si="2"/>
        <v>170.37187500000007</v>
      </c>
      <c r="O108" s="67">
        <f t="shared" si="2"/>
        <v>0</v>
      </c>
      <c r="P108" s="67">
        <f t="shared" si="2"/>
        <v>0.75770833333333332</v>
      </c>
      <c r="Q108" s="67">
        <f t="shared" si="2"/>
        <v>9.2898958333333361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6.2372334867297203</v>
      </c>
      <c r="C109" s="67">
        <f t="shared" ref="C109:Q109" si="3">STDEV(C9:C104)</f>
        <v>11.83534459016647</v>
      </c>
      <c r="D109" s="67">
        <f t="shared" si="3"/>
        <v>8.6422036967917819</v>
      </c>
      <c r="E109" s="67">
        <f t="shared" si="3"/>
        <v>2.0831878300066298</v>
      </c>
      <c r="F109" s="67">
        <f t="shared" si="3"/>
        <v>4.1643350375329478</v>
      </c>
      <c r="G109" s="67">
        <f t="shared" si="3"/>
        <v>4.9427766707697591</v>
      </c>
      <c r="H109" s="67">
        <f t="shared" si="3"/>
        <v>1.5261399535739373</v>
      </c>
      <c r="I109" s="67">
        <f t="shared" si="3"/>
        <v>0.35650937772169572</v>
      </c>
      <c r="J109" s="67">
        <f t="shared" si="3"/>
        <v>0.22398151552805817</v>
      </c>
      <c r="K109" s="67">
        <f t="shared" si="3"/>
        <v>109.81000396198668</v>
      </c>
      <c r="L109" s="67">
        <f t="shared" si="3"/>
        <v>2.8078781068129635</v>
      </c>
      <c r="M109" s="67">
        <f t="shared" si="3"/>
        <v>11.118546501446158</v>
      </c>
      <c r="N109" s="67">
        <f t="shared" si="3"/>
        <v>202.74812878784755</v>
      </c>
      <c r="O109" s="67">
        <f t="shared" si="3"/>
        <v>0</v>
      </c>
      <c r="P109" s="67">
        <f t="shared" si="3"/>
        <v>0.36862897954637736</v>
      </c>
      <c r="Q109" s="67">
        <f t="shared" si="3"/>
        <v>9.421693658971779E-2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97" sqref="I9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1400</v>
      </c>
      <c r="B9" s="64">
        <v>13.45</v>
      </c>
      <c r="C9" s="64">
        <v>19.100000000000001</v>
      </c>
      <c r="D9" s="64">
        <v>20.76</v>
      </c>
      <c r="E9" s="64">
        <v>5.9</v>
      </c>
      <c r="F9" s="64">
        <v>2.1</v>
      </c>
      <c r="G9" s="64">
        <v>44.68</v>
      </c>
      <c r="H9" s="64">
        <v>7.48</v>
      </c>
      <c r="I9" s="64">
        <v>3.11</v>
      </c>
      <c r="J9" s="64">
        <v>0.18</v>
      </c>
      <c r="K9" s="64">
        <v>341.35</v>
      </c>
      <c r="L9" s="64">
        <v>23.16</v>
      </c>
      <c r="M9" s="64">
        <v>98.35</v>
      </c>
      <c r="N9" s="64">
        <v>41.7</v>
      </c>
      <c r="O9" s="64">
        <v>0</v>
      </c>
      <c r="P9" s="64">
        <v>1.1000000000000001</v>
      </c>
      <c r="Q9" s="64">
        <v>9.3699999999999992</v>
      </c>
      <c r="R9" s="198"/>
      <c r="S9" s="198"/>
      <c r="T9" s="198"/>
      <c r="U9" s="198"/>
    </row>
    <row r="10" spans="1:21" s="12" customFormat="1" x14ac:dyDescent="0.25">
      <c r="A10" s="211" t="s">
        <v>1401</v>
      </c>
      <c r="B10" s="64">
        <v>12.73</v>
      </c>
      <c r="C10" s="64">
        <v>20.86</v>
      </c>
      <c r="D10" s="64">
        <v>21.11</v>
      </c>
      <c r="E10" s="64">
        <v>5.72</v>
      </c>
      <c r="F10" s="64">
        <v>2.2000000000000002</v>
      </c>
      <c r="G10" s="64">
        <v>44.82</v>
      </c>
      <c r="H10" s="64">
        <v>7.48</v>
      </c>
      <c r="I10" s="64">
        <v>3.12</v>
      </c>
      <c r="J10" s="64">
        <v>0.31</v>
      </c>
      <c r="K10" s="64">
        <v>339.09</v>
      </c>
      <c r="L10" s="64">
        <v>23.08</v>
      </c>
      <c r="M10" s="64">
        <v>98.35</v>
      </c>
      <c r="N10" s="64">
        <v>41.3</v>
      </c>
      <c r="O10" s="64">
        <v>0</v>
      </c>
      <c r="P10" s="64">
        <v>1.04</v>
      </c>
      <c r="Q10" s="64">
        <v>9.36</v>
      </c>
      <c r="R10" s="198"/>
      <c r="S10" s="198"/>
      <c r="T10" s="198"/>
      <c r="U10" s="198"/>
    </row>
    <row r="11" spans="1:21" s="12" customFormat="1" x14ac:dyDescent="0.25">
      <c r="A11" s="211" t="s">
        <v>1402</v>
      </c>
      <c r="B11" s="64">
        <v>15.2</v>
      </c>
      <c r="C11" s="64">
        <v>19.03</v>
      </c>
      <c r="D11" s="64">
        <v>22.13</v>
      </c>
      <c r="E11" s="64">
        <v>5.9</v>
      </c>
      <c r="F11" s="64">
        <v>2.1</v>
      </c>
      <c r="G11" s="64">
        <v>44.82</v>
      </c>
      <c r="H11" s="64">
        <v>7.48</v>
      </c>
      <c r="I11" s="64">
        <v>3.15</v>
      </c>
      <c r="J11" s="64">
        <v>7.0000000000000007E-2</v>
      </c>
      <c r="K11" s="64">
        <v>354.08</v>
      </c>
      <c r="L11" s="64">
        <v>23</v>
      </c>
      <c r="M11" s="64">
        <v>98.35</v>
      </c>
      <c r="N11" s="64">
        <v>41.8</v>
      </c>
      <c r="O11" s="64">
        <v>0</v>
      </c>
      <c r="P11" s="64">
        <v>1.1000000000000001</v>
      </c>
      <c r="Q11" s="64">
        <v>9.34</v>
      </c>
      <c r="R11" s="198"/>
      <c r="S11" s="198"/>
      <c r="T11" s="198"/>
      <c r="U11" s="198"/>
    </row>
    <row r="12" spans="1:21" s="12" customFormat="1" x14ac:dyDescent="0.25">
      <c r="A12" s="211" t="s">
        <v>1403</v>
      </c>
      <c r="B12" s="64">
        <v>10.43</v>
      </c>
      <c r="C12" s="64">
        <v>21.69</v>
      </c>
      <c r="D12" s="64">
        <v>19.7</v>
      </c>
      <c r="E12" s="64">
        <v>5.75</v>
      </c>
      <c r="F12" s="64">
        <v>2.34</v>
      </c>
      <c r="G12" s="64">
        <v>44.82</v>
      </c>
      <c r="H12" s="64">
        <v>7.48</v>
      </c>
      <c r="I12" s="64">
        <v>3.17</v>
      </c>
      <c r="J12" s="64">
        <v>0.15</v>
      </c>
      <c r="K12" s="64">
        <v>334.44</v>
      </c>
      <c r="L12" s="64">
        <v>22.93</v>
      </c>
      <c r="M12" s="64">
        <v>98.35</v>
      </c>
      <c r="N12" s="64">
        <v>41.6</v>
      </c>
      <c r="O12" s="64">
        <v>0</v>
      </c>
      <c r="P12" s="64">
        <v>1.06</v>
      </c>
      <c r="Q12" s="64">
        <v>9.33</v>
      </c>
      <c r="R12" s="198"/>
      <c r="S12" s="198"/>
      <c r="T12" s="198"/>
      <c r="U12" s="198"/>
    </row>
    <row r="13" spans="1:21" s="12" customFormat="1" x14ac:dyDescent="0.25">
      <c r="A13" s="211" t="s">
        <v>1404</v>
      </c>
      <c r="B13" s="64">
        <v>14.3</v>
      </c>
      <c r="C13" s="64">
        <v>13.54</v>
      </c>
      <c r="D13" s="64">
        <v>18.54</v>
      </c>
      <c r="E13" s="64">
        <v>5.79</v>
      </c>
      <c r="F13" s="64">
        <v>2.1</v>
      </c>
      <c r="G13" s="64">
        <v>48.24</v>
      </c>
      <c r="H13" s="64">
        <v>6.32</v>
      </c>
      <c r="I13" s="64">
        <v>3.21</v>
      </c>
      <c r="J13" s="64">
        <v>0.65</v>
      </c>
      <c r="K13" s="64">
        <v>340.46</v>
      </c>
      <c r="L13" s="64">
        <v>22.89</v>
      </c>
      <c r="M13" s="64">
        <v>98.36</v>
      </c>
      <c r="N13" s="64">
        <v>41.4</v>
      </c>
      <c r="O13" s="64">
        <v>0</v>
      </c>
      <c r="P13" s="64">
        <v>0.95</v>
      </c>
      <c r="Q13" s="64">
        <v>9.32</v>
      </c>
      <c r="R13" s="198"/>
      <c r="S13" s="198"/>
      <c r="T13" s="198"/>
      <c r="U13" s="198"/>
    </row>
    <row r="14" spans="1:21" s="12" customFormat="1" x14ac:dyDescent="0.25">
      <c r="A14" s="211" t="s">
        <v>1405</v>
      </c>
      <c r="B14" s="64">
        <v>14.74</v>
      </c>
      <c r="C14" s="64">
        <v>13.12</v>
      </c>
      <c r="D14" s="64">
        <v>18.670000000000002</v>
      </c>
      <c r="E14" s="64">
        <v>6.41</v>
      </c>
      <c r="F14" s="64">
        <v>2.17</v>
      </c>
      <c r="G14" s="64">
        <v>48.45</v>
      </c>
      <c r="H14" s="64">
        <v>6.32</v>
      </c>
      <c r="I14" s="64">
        <v>3.24</v>
      </c>
      <c r="J14" s="64">
        <v>0.87</v>
      </c>
      <c r="K14" s="64">
        <v>339.71</v>
      </c>
      <c r="L14" s="64">
        <v>22.95</v>
      </c>
      <c r="M14" s="64">
        <v>98.39</v>
      </c>
      <c r="N14" s="64">
        <v>41.3</v>
      </c>
      <c r="O14" s="64">
        <v>0</v>
      </c>
      <c r="P14" s="64">
        <v>1.01</v>
      </c>
      <c r="Q14" s="64">
        <v>9.3000000000000007</v>
      </c>
      <c r="R14" s="198"/>
      <c r="S14" s="198"/>
      <c r="T14" s="198"/>
      <c r="U14" s="198"/>
    </row>
    <row r="15" spans="1:21" s="12" customFormat="1" x14ac:dyDescent="0.25">
      <c r="A15" s="211" t="s">
        <v>1406</v>
      </c>
      <c r="B15" s="64">
        <v>15.31</v>
      </c>
      <c r="C15" s="64">
        <v>16.11</v>
      </c>
      <c r="D15" s="64">
        <v>20.69</v>
      </c>
      <c r="E15" s="64">
        <v>6.49</v>
      </c>
      <c r="F15" s="64">
        <v>2.4300000000000002</v>
      </c>
      <c r="G15" s="64">
        <v>48.45</v>
      </c>
      <c r="H15" s="64">
        <v>6.32</v>
      </c>
      <c r="I15" s="64">
        <v>3.26</v>
      </c>
      <c r="J15" s="64">
        <v>0.73</v>
      </c>
      <c r="K15" s="64">
        <v>338.61</v>
      </c>
      <c r="L15" s="64">
        <v>23.04</v>
      </c>
      <c r="M15" s="64">
        <v>98.39</v>
      </c>
      <c r="N15" s="64">
        <v>41.5</v>
      </c>
      <c r="O15" s="64">
        <v>0</v>
      </c>
      <c r="P15" s="64">
        <v>0.97</v>
      </c>
      <c r="Q15" s="64">
        <v>9.2899999999999991</v>
      </c>
      <c r="R15" s="198"/>
      <c r="S15" s="198"/>
      <c r="T15" s="198"/>
      <c r="U15" s="198"/>
    </row>
    <row r="16" spans="1:21" s="12" customFormat="1" x14ac:dyDescent="0.25">
      <c r="A16" s="211" t="s">
        <v>1407</v>
      </c>
      <c r="B16" s="64">
        <v>14.51</v>
      </c>
      <c r="C16" s="64">
        <v>15.89</v>
      </c>
      <c r="D16" s="64">
        <v>19.940000000000001</v>
      </c>
      <c r="E16" s="64">
        <v>7.26</v>
      </c>
      <c r="F16" s="64">
        <v>2.46</v>
      </c>
      <c r="G16" s="64">
        <v>48.45</v>
      </c>
      <c r="H16" s="64">
        <v>6.32</v>
      </c>
      <c r="I16" s="64">
        <v>3.3</v>
      </c>
      <c r="J16" s="64">
        <v>0.6</v>
      </c>
      <c r="K16" s="64">
        <v>339.08</v>
      </c>
      <c r="L16" s="64">
        <v>23.06</v>
      </c>
      <c r="M16" s="64">
        <v>98.37</v>
      </c>
      <c r="N16" s="64">
        <v>41.7</v>
      </c>
      <c r="O16" s="64">
        <v>0</v>
      </c>
      <c r="P16" s="64">
        <v>0.99</v>
      </c>
      <c r="Q16" s="64">
        <v>9.2899999999999991</v>
      </c>
      <c r="R16" s="198"/>
      <c r="S16" s="198"/>
      <c r="T16" s="198"/>
      <c r="U16" s="198"/>
    </row>
    <row r="17" spans="1:21" s="12" customFormat="1" x14ac:dyDescent="0.25">
      <c r="A17" s="211" t="s">
        <v>1408</v>
      </c>
      <c r="B17" s="64">
        <v>12.26</v>
      </c>
      <c r="C17" s="64">
        <v>16.87</v>
      </c>
      <c r="D17" s="64">
        <v>18.649999999999999</v>
      </c>
      <c r="E17" s="64">
        <v>7.5</v>
      </c>
      <c r="F17" s="64">
        <v>4.32</v>
      </c>
      <c r="G17" s="64">
        <v>55.31</v>
      </c>
      <c r="H17" s="64">
        <v>6.42</v>
      </c>
      <c r="I17" s="64">
        <v>3.35</v>
      </c>
      <c r="J17" s="64">
        <v>0.46</v>
      </c>
      <c r="K17" s="64">
        <v>330.51</v>
      </c>
      <c r="L17" s="64">
        <v>22.98</v>
      </c>
      <c r="M17" s="64">
        <v>98.32</v>
      </c>
      <c r="N17" s="64">
        <v>41.6</v>
      </c>
      <c r="O17" s="64">
        <v>0</v>
      </c>
      <c r="P17" s="64">
        <v>0.91</v>
      </c>
      <c r="Q17" s="64">
        <v>9.2799999999999994</v>
      </c>
      <c r="R17" s="198"/>
      <c r="S17" s="198"/>
      <c r="T17" s="198"/>
      <c r="U17" s="198"/>
    </row>
    <row r="18" spans="1:21" s="12" customFormat="1" x14ac:dyDescent="0.25">
      <c r="A18" s="211" t="s">
        <v>1409</v>
      </c>
      <c r="B18" s="64">
        <v>12.98</v>
      </c>
      <c r="C18" s="64">
        <v>12.23</v>
      </c>
      <c r="D18" s="64">
        <v>16.8</v>
      </c>
      <c r="E18" s="64">
        <v>7.99</v>
      </c>
      <c r="F18" s="64">
        <v>4.55</v>
      </c>
      <c r="G18" s="64">
        <v>55.8</v>
      </c>
      <c r="H18" s="64">
        <v>6.42</v>
      </c>
      <c r="I18" s="64">
        <v>3.37</v>
      </c>
      <c r="J18" s="64">
        <v>0.49</v>
      </c>
      <c r="K18" s="64">
        <v>333.43</v>
      </c>
      <c r="L18" s="64">
        <v>22.87</v>
      </c>
      <c r="M18" s="64">
        <v>98.3</v>
      </c>
      <c r="N18" s="64">
        <v>41.6</v>
      </c>
      <c r="O18" s="64">
        <v>0</v>
      </c>
      <c r="P18" s="64">
        <v>0.82</v>
      </c>
      <c r="Q18" s="64">
        <v>9.2899999999999991</v>
      </c>
      <c r="R18" s="198"/>
      <c r="S18" s="198"/>
      <c r="T18" s="198"/>
      <c r="U18" s="198"/>
    </row>
    <row r="19" spans="1:21" s="12" customFormat="1" x14ac:dyDescent="0.25">
      <c r="A19" s="211" t="s">
        <v>1410</v>
      </c>
      <c r="B19" s="64">
        <v>12.82</v>
      </c>
      <c r="C19" s="64">
        <v>14.01</v>
      </c>
      <c r="D19" s="64">
        <v>17.600000000000001</v>
      </c>
      <c r="E19" s="64">
        <v>8.36</v>
      </c>
      <c r="F19" s="64">
        <v>3.91</v>
      </c>
      <c r="G19" s="64">
        <v>55.8</v>
      </c>
      <c r="H19" s="64">
        <v>6.42</v>
      </c>
      <c r="I19" s="64">
        <v>3.37</v>
      </c>
      <c r="J19" s="64">
        <v>0.44</v>
      </c>
      <c r="K19" s="64">
        <v>329.46</v>
      </c>
      <c r="L19" s="64">
        <v>22.74</v>
      </c>
      <c r="M19" s="64">
        <v>98.3</v>
      </c>
      <c r="N19" s="64">
        <v>41.7</v>
      </c>
      <c r="O19" s="64">
        <v>0</v>
      </c>
      <c r="P19" s="64">
        <v>0.82</v>
      </c>
      <c r="Q19" s="64">
        <v>9.3000000000000007</v>
      </c>
      <c r="R19" s="198"/>
      <c r="S19" s="198"/>
      <c r="T19" s="198"/>
      <c r="U19" s="198"/>
    </row>
    <row r="20" spans="1:21" s="12" customFormat="1" x14ac:dyDescent="0.25">
      <c r="A20" s="211" t="s">
        <v>1411</v>
      </c>
      <c r="B20" s="64">
        <v>14.75</v>
      </c>
      <c r="C20" s="64">
        <v>13.64</v>
      </c>
      <c r="D20" s="64">
        <v>18.96</v>
      </c>
      <c r="E20" s="64">
        <v>8.06</v>
      </c>
      <c r="F20" s="64">
        <v>2.79</v>
      </c>
      <c r="G20" s="64">
        <v>55.8</v>
      </c>
      <c r="H20" s="64">
        <v>6.42</v>
      </c>
      <c r="I20" s="64">
        <v>3.34</v>
      </c>
      <c r="J20" s="64">
        <v>0.38</v>
      </c>
      <c r="K20" s="64">
        <v>331.43</v>
      </c>
      <c r="L20" s="64">
        <v>22.62</v>
      </c>
      <c r="M20" s="64">
        <v>98.3</v>
      </c>
      <c r="N20" s="64">
        <v>41.8</v>
      </c>
      <c r="O20" s="64">
        <v>0</v>
      </c>
      <c r="P20" s="64">
        <v>0.76</v>
      </c>
      <c r="Q20" s="64">
        <v>9.2899999999999991</v>
      </c>
      <c r="R20" s="198"/>
      <c r="S20" s="198"/>
      <c r="T20" s="198"/>
      <c r="U20" s="198"/>
    </row>
    <row r="21" spans="1:21" s="12" customFormat="1" x14ac:dyDescent="0.25">
      <c r="A21" s="211" t="s">
        <v>1412</v>
      </c>
      <c r="B21" s="64">
        <v>11.71</v>
      </c>
      <c r="C21" s="64">
        <v>11.62</v>
      </c>
      <c r="D21" s="64">
        <v>15.46</v>
      </c>
      <c r="E21" s="64">
        <v>7.73</v>
      </c>
      <c r="F21" s="64">
        <v>3.39</v>
      </c>
      <c r="G21" s="64">
        <v>58.29</v>
      </c>
      <c r="H21" s="64">
        <v>7.94</v>
      </c>
      <c r="I21" s="64">
        <v>3.28</v>
      </c>
      <c r="J21" s="64">
        <v>0.42</v>
      </c>
      <c r="K21" s="64">
        <v>332.85</v>
      </c>
      <c r="L21" s="64">
        <v>22.47</v>
      </c>
      <c r="M21" s="64">
        <v>98.31</v>
      </c>
      <c r="N21" s="64">
        <v>41.6</v>
      </c>
      <c r="O21" s="64">
        <v>0</v>
      </c>
      <c r="P21" s="64">
        <v>0.72</v>
      </c>
      <c r="Q21" s="64">
        <v>9.2899999999999991</v>
      </c>
      <c r="R21" s="198"/>
      <c r="S21" s="198"/>
      <c r="T21" s="198"/>
      <c r="U21" s="198"/>
    </row>
    <row r="22" spans="1:21" s="12" customFormat="1" x14ac:dyDescent="0.25">
      <c r="A22" s="211" t="s">
        <v>1413</v>
      </c>
      <c r="B22" s="64">
        <v>11.2</v>
      </c>
      <c r="C22" s="64">
        <v>11.24</v>
      </c>
      <c r="D22" s="64">
        <v>14.86</v>
      </c>
      <c r="E22" s="64">
        <v>7.25</v>
      </c>
      <c r="F22" s="64">
        <v>2.31</v>
      </c>
      <c r="G22" s="64">
        <v>58.47</v>
      </c>
      <c r="H22" s="64">
        <v>7.94</v>
      </c>
      <c r="I22" s="64">
        <v>3.23</v>
      </c>
      <c r="J22" s="64">
        <v>0.23</v>
      </c>
      <c r="K22" s="64">
        <v>330.2</v>
      </c>
      <c r="L22" s="64">
        <v>22.41</v>
      </c>
      <c r="M22" s="64">
        <v>98.32</v>
      </c>
      <c r="N22" s="64">
        <v>41.7</v>
      </c>
      <c r="O22" s="64">
        <v>0</v>
      </c>
      <c r="P22" s="64">
        <v>0.69</v>
      </c>
      <c r="Q22" s="64">
        <v>9.2799999999999994</v>
      </c>
      <c r="R22" s="198"/>
      <c r="S22" s="198"/>
      <c r="T22" s="198"/>
      <c r="U22" s="198"/>
    </row>
    <row r="23" spans="1:21" s="12" customFormat="1" x14ac:dyDescent="0.25">
      <c r="A23" s="211" t="s">
        <v>1414</v>
      </c>
      <c r="B23" s="64">
        <v>11.92</v>
      </c>
      <c r="C23" s="64">
        <v>10.29</v>
      </c>
      <c r="D23" s="64">
        <v>14.93</v>
      </c>
      <c r="E23" s="64">
        <v>7.01</v>
      </c>
      <c r="F23" s="64">
        <v>2.1</v>
      </c>
      <c r="G23" s="64">
        <v>58.47</v>
      </c>
      <c r="H23" s="64">
        <v>7.94</v>
      </c>
      <c r="I23" s="64">
        <v>3.17</v>
      </c>
      <c r="J23" s="64">
        <v>0.09</v>
      </c>
      <c r="K23" s="64">
        <v>268.63</v>
      </c>
      <c r="L23" s="64">
        <v>22.32</v>
      </c>
      <c r="M23" s="64">
        <v>98.33</v>
      </c>
      <c r="N23" s="64">
        <v>41.8</v>
      </c>
      <c r="O23" s="64">
        <v>0</v>
      </c>
      <c r="P23" s="64">
        <v>0.75</v>
      </c>
      <c r="Q23" s="64">
        <v>9.27</v>
      </c>
      <c r="R23" s="198"/>
      <c r="S23" s="198"/>
      <c r="T23" s="198"/>
      <c r="U23" s="198"/>
    </row>
    <row r="24" spans="1:21" s="12" customFormat="1" x14ac:dyDescent="0.25">
      <c r="A24" s="211" t="s">
        <v>1415</v>
      </c>
      <c r="B24" s="64">
        <v>11.08</v>
      </c>
      <c r="C24" s="64">
        <v>10.24</v>
      </c>
      <c r="D24" s="64">
        <v>14.23</v>
      </c>
      <c r="E24" s="64">
        <v>6.68</v>
      </c>
      <c r="F24" s="64">
        <v>2.41</v>
      </c>
      <c r="G24" s="64">
        <v>58.47</v>
      </c>
      <c r="H24" s="64">
        <v>7.94</v>
      </c>
      <c r="I24" s="64">
        <v>3.12</v>
      </c>
      <c r="J24" s="64">
        <v>0.05</v>
      </c>
      <c r="K24" s="64">
        <v>254.41</v>
      </c>
      <c r="L24" s="64">
        <v>22.25</v>
      </c>
      <c r="M24" s="64">
        <v>98.33</v>
      </c>
      <c r="N24" s="64">
        <v>41.9</v>
      </c>
      <c r="O24" s="64">
        <v>0</v>
      </c>
      <c r="P24" s="64">
        <v>0.67</v>
      </c>
      <c r="Q24" s="64">
        <v>9.27</v>
      </c>
      <c r="R24" s="198"/>
      <c r="S24" s="198"/>
      <c r="T24" s="198"/>
      <c r="U24" s="198"/>
    </row>
    <row r="25" spans="1:21" s="12" customFormat="1" x14ac:dyDescent="0.25">
      <c r="A25" s="211" t="s">
        <v>1416</v>
      </c>
      <c r="B25" s="64">
        <v>13.36</v>
      </c>
      <c r="C25" s="64">
        <v>7.88</v>
      </c>
      <c r="D25" s="64">
        <v>14.83</v>
      </c>
      <c r="E25" s="64">
        <v>6.11</v>
      </c>
      <c r="F25" s="64">
        <v>2.1</v>
      </c>
      <c r="G25" s="64">
        <v>50.93</v>
      </c>
      <c r="H25" s="64">
        <v>6.79</v>
      </c>
      <c r="I25" s="64">
        <v>3.09</v>
      </c>
      <c r="J25" s="64">
        <v>0.06</v>
      </c>
      <c r="K25" s="64">
        <v>288.26</v>
      </c>
      <c r="L25" s="64">
        <v>22.1</v>
      </c>
      <c r="M25" s="64">
        <v>98.36</v>
      </c>
      <c r="N25" s="64">
        <v>41.7</v>
      </c>
      <c r="O25" s="64">
        <v>0</v>
      </c>
      <c r="P25" s="64">
        <v>0.83</v>
      </c>
      <c r="Q25" s="64">
        <v>9.25</v>
      </c>
      <c r="R25" s="198"/>
      <c r="S25" s="198"/>
      <c r="T25" s="198"/>
      <c r="U25" s="198"/>
    </row>
    <row r="26" spans="1:21" s="12" customFormat="1" x14ac:dyDescent="0.25">
      <c r="A26" s="211" t="s">
        <v>1417</v>
      </c>
      <c r="B26" s="64">
        <v>15.09</v>
      </c>
      <c r="C26" s="64">
        <v>10.220000000000001</v>
      </c>
      <c r="D26" s="64">
        <v>17.38</v>
      </c>
      <c r="E26" s="64">
        <v>6.13</v>
      </c>
      <c r="F26" s="64">
        <v>2.68</v>
      </c>
      <c r="G26" s="64">
        <v>50.39</v>
      </c>
      <c r="H26" s="64">
        <v>6.79</v>
      </c>
      <c r="I26" s="64">
        <v>3.06</v>
      </c>
      <c r="J26" s="64">
        <v>0.09</v>
      </c>
      <c r="K26" s="64">
        <v>285.18</v>
      </c>
      <c r="L26" s="64">
        <v>22.01</v>
      </c>
      <c r="M26" s="64">
        <v>98.39</v>
      </c>
      <c r="N26" s="64">
        <v>41.6</v>
      </c>
      <c r="O26" s="64">
        <v>0</v>
      </c>
      <c r="P26" s="64">
        <v>0.71</v>
      </c>
      <c r="Q26" s="64">
        <v>9.23</v>
      </c>
      <c r="R26" s="198"/>
      <c r="S26" s="198"/>
      <c r="T26" s="198"/>
      <c r="U26" s="198"/>
    </row>
    <row r="27" spans="1:21" s="12" customFormat="1" x14ac:dyDescent="0.25">
      <c r="A27" s="211" t="s">
        <v>1418</v>
      </c>
      <c r="B27" s="64">
        <v>12.51</v>
      </c>
      <c r="C27" s="64">
        <v>9.25</v>
      </c>
      <c r="D27" s="64">
        <v>14.87</v>
      </c>
      <c r="E27" s="64">
        <v>5.89</v>
      </c>
      <c r="F27" s="64">
        <v>2.19</v>
      </c>
      <c r="G27" s="64">
        <v>50.39</v>
      </c>
      <c r="H27" s="64">
        <v>6.79</v>
      </c>
      <c r="I27" s="64">
        <v>3.01</v>
      </c>
      <c r="J27" s="64">
        <v>0.1</v>
      </c>
      <c r="K27" s="64">
        <v>249</v>
      </c>
      <c r="L27" s="64">
        <v>21.95</v>
      </c>
      <c r="M27" s="64">
        <v>98.35</v>
      </c>
      <c r="N27" s="64">
        <v>41.6</v>
      </c>
      <c r="O27" s="64">
        <v>0</v>
      </c>
      <c r="P27" s="64">
        <v>0.77</v>
      </c>
      <c r="Q27" s="64">
        <v>9.2200000000000006</v>
      </c>
      <c r="R27" s="198"/>
      <c r="S27" s="198"/>
      <c r="T27" s="198"/>
      <c r="U27" s="198"/>
    </row>
    <row r="28" spans="1:21" s="12" customFormat="1" x14ac:dyDescent="0.25">
      <c r="A28" s="211" t="s">
        <v>1419</v>
      </c>
      <c r="B28" s="64">
        <v>12.56</v>
      </c>
      <c r="C28" s="64">
        <v>8.8699999999999992</v>
      </c>
      <c r="D28" s="64">
        <v>14.71</v>
      </c>
      <c r="E28" s="64">
        <v>5.67</v>
      </c>
      <c r="F28" s="64">
        <v>3.18</v>
      </c>
      <c r="G28" s="64">
        <v>50.39</v>
      </c>
      <c r="H28" s="64">
        <v>6.79</v>
      </c>
      <c r="I28" s="64">
        <v>2.98</v>
      </c>
      <c r="J28" s="64">
        <v>0.11</v>
      </c>
      <c r="K28" s="64">
        <v>240.67</v>
      </c>
      <c r="L28" s="64">
        <v>21.9</v>
      </c>
      <c r="M28" s="64">
        <v>98.35</v>
      </c>
      <c r="N28" s="64">
        <v>41.6</v>
      </c>
      <c r="O28" s="64">
        <v>0</v>
      </c>
      <c r="P28" s="64">
        <v>0.64</v>
      </c>
      <c r="Q28" s="64">
        <v>9.2100000000000009</v>
      </c>
      <c r="R28" s="198"/>
      <c r="S28" s="198"/>
      <c r="T28" s="198"/>
      <c r="U28" s="198"/>
    </row>
    <row r="29" spans="1:21" s="12" customFormat="1" x14ac:dyDescent="0.25">
      <c r="A29" s="211" t="s">
        <v>1420</v>
      </c>
      <c r="B29" s="64">
        <v>12.58</v>
      </c>
      <c r="C29" s="64">
        <v>13.98</v>
      </c>
      <c r="D29" s="64">
        <v>17.39</v>
      </c>
      <c r="E29" s="64">
        <v>5.49</v>
      </c>
      <c r="F29" s="64">
        <v>2.2799999999999998</v>
      </c>
      <c r="G29" s="64">
        <v>42.86</v>
      </c>
      <c r="H29" s="64">
        <v>6.03</v>
      </c>
      <c r="I29" s="64">
        <v>2.95</v>
      </c>
      <c r="J29" s="64">
        <v>0.09</v>
      </c>
      <c r="K29" s="64">
        <v>277.42</v>
      </c>
      <c r="L29" s="64">
        <v>21.95</v>
      </c>
      <c r="M29" s="64">
        <v>98.35</v>
      </c>
      <c r="N29" s="64">
        <v>41.5</v>
      </c>
      <c r="O29" s="64">
        <v>0</v>
      </c>
      <c r="P29" s="64">
        <v>0.61</v>
      </c>
      <c r="Q29" s="64">
        <v>9.2200000000000006</v>
      </c>
      <c r="R29" s="198"/>
      <c r="S29" s="198"/>
      <c r="T29" s="198"/>
      <c r="U29" s="198"/>
    </row>
    <row r="30" spans="1:21" s="12" customFormat="1" x14ac:dyDescent="0.25">
      <c r="A30" s="211" t="s">
        <v>1421</v>
      </c>
      <c r="B30" s="64">
        <v>14.93</v>
      </c>
      <c r="C30" s="64">
        <v>16.399999999999999</v>
      </c>
      <c r="D30" s="64">
        <v>20.54</v>
      </c>
      <c r="E30" s="64">
        <v>5.56</v>
      </c>
      <c r="F30" s="64">
        <v>2.81</v>
      </c>
      <c r="G30" s="64">
        <v>42.33</v>
      </c>
      <c r="H30" s="64">
        <v>6.03</v>
      </c>
      <c r="I30" s="64">
        <v>2.92</v>
      </c>
      <c r="J30" s="64">
        <v>0.08</v>
      </c>
      <c r="K30" s="64">
        <v>271.16000000000003</v>
      </c>
      <c r="L30" s="64">
        <v>21.96</v>
      </c>
      <c r="M30" s="64">
        <v>98.35</v>
      </c>
      <c r="N30" s="64">
        <v>41.5</v>
      </c>
      <c r="O30" s="64">
        <v>0</v>
      </c>
      <c r="P30" s="64">
        <v>0.61</v>
      </c>
      <c r="Q30" s="64">
        <v>9.2200000000000006</v>
      </c>
      <c r="R30" s="198"/>
      <c r="S30" s="198"/>
      <c r="T30" s="198"/>
      <c r="U30" s="198"/>
    </row>
    <row r="31" spans="1:21" s="12" customFormat="1" x14ac:dyDescent="0.25">
      <c r="A31" s="211" t="s">
        <v>1422</v>
      </c>
      <c r="B31" s="64">
        <v>14.73</v>
      </c>
      <c r="C31" s="64">
        <v>8.1300000000000008</v>
      </c>
      <c r="D31" s="64">
        <v>16.059999999999999</v>
      </c>
      <c r="E31" s="64">
        <v>5.66</v>
      </c>
      <c r="F31" s="64">
        <v>2.1</v>
      </c>
      <c r="G31" s="64">
        <v>42.33</v>
      </c>
      <c r="H31" s="64">
        <v>6.03</v>
      </c>
      <c r="I31" s="64">
        <v>2.9</v>
      </c>
      <c r="J31" s="64">
        <v>0.13</v>
      </c>
      <c r="K31" s="64">
        <v>279.04000000000002</v>
      </c>
      <c r="L31" s="64">
        <v>22.03</v>
      </c>
      <c r="M31" s="64">
        <v>98.32</v>
      </c>
      <c r="N31" s="64">
        <v>42.1</v>
      </c>
      <c r="O31" s="64">
        <v>0</v>
      </c>
      <c r="P31" s="64">
        <v>0.72</v>
      </c>
      <c r="Q31" s="64">
        <v>9.2100000000000009</v>
      </c>
      <c r="R31" s="198"/>
      <c r="S31" s="198"/>
      <c r="T31" s="198"/>
      <c r="U31" s="198"/>
    </row>
    <row r="32" spans="1:21" s="12" customFormat="1" x14ac:dyDescent="0.25">
      <c r="A32" s="211" t="s">
        <v>1423</v>
      </c>
      <c r="B32" s="64">
        <v>17.97</v>
      </c>
      <c r="C32" s="64">
        <v>18.25</v>
      </c>
      <c r="D32" s="64">
        <v>23.95</v>
      </c>
      <c r="E32" s="64">
        <v>5.59</v>
      </c>
      <c r="F32" s="64">
        <v>2.16</v>
      </c>
      <c r="G32" s="64">
        <v>42.33</v>
      </c>
      <c r="H32" s="64">
        <v>6.03</v>
      </c>
      <c r="I32" s="64">
        <v>2.86</v>
      </c>
      <c r="J32" s="64">
        <v>0.14000000000000001</v>
      </c>
      <c r="K32" s="64">
        <v>320.27999999999997</v>
      </c>
      <c r="L32" s="64">
        <v>22.07</v>
      </c>
      <c r="M32" s="64">
        <v>98.33</v>
      </c>
      <c r="N32" s="64">
        <v>45.4</v>
      </c>
      <c r="O32" s="64">
        <v>0</v>
      </c>
      <c r="P32" s="64">
        <v>0.59</v>
      </c>
      <c r="Q32" s="64">
        <v>9.2100000000000009</v>
      </c>
      <c r="R32" s="198"/>
      <c r="S32" s="198"/>
      <c r="T32" s="198"/>
      <c r="U32" s="198"/>
    </row>
    <row r="33" spans="1:21" s="12" customFormat="1" x14ac:dyDescent="0.25">
      <c r="A33" s="211" t="s">
        <v>1424</v>
      </c>
      <c r="B33" s="64">
        <v>16.260000000000002</v>
      </c>
      <c r="C33" s="64">
        <v>9.4700000000000006</v>
      </c>
      <c r="D33" s="64">
        <v>17.989999999999998</v>
      </c>
      <c r="E33" s="64">
        <v>5.68</v>
      </c>
      <c r="F33" s="64">
        <v>2.1</v>
      </c>
      <c r="G33" s="64">
        <v>40.799999999999997</v>
      </c>
      <c r="H33" s="64">
        <v>5.51</v>
      </c>
      <c r="I33" s="64">
        <v>2.83</v>
      </c>
      <c r="J33" s="64">
        <v>0.04</v>
      </c>
      <c r="K33" s="64">
        <v>333.08</v>
      </c>
      <c r="L33" s="64">
        <v>22.07</v>
      </c>
      <c r="M33" s="64">
        <v>98.34</v>
      </c>
      <c r="N33" s="64">
        <v>57.6</v>
      </c>
      <c r="O33" s="64">
        <v>0</v>
      </c>
      <c r="P33" s="64">
        <v>0.73</v>
      </c>
      <c r="Q33" s="64">
        <v>9.2100000000000009</v>
      </c>
      <c r="R33" s="198"/>
      <c r="S33" s="198"/>
      <c r="T33" s="198"/>
      <c r="U33" s="198"/>
    </row>
    <row r="34" spans="1:21" s="12" customFormat="1" x14ac:dyDescent="0.25">
      <c r="A34" s="211" t="s">
        <v>1425</v>
      </c>
      <c r="B34" s="64">
        <v>17.25</v>
      </c>
      <c r="C34" s="64">
        <v>13.25</v>
      </c>
      <c r="D34" s="64">
        <v>20.75</v>
      </c>
      <c r="E34" s="64">
        <v>5.45</v>
      </c>
      <c r="F34" s="64">
        <v>2.1</v>
      </c>
      <c r="G34" s="64">
        <v>40.69</v>
      </c>
      <c r="H34" s="64">
        <v>5.51</v>
      </c>
      <c r="I34" s="64">
        <v>2.82</v>
      </c>
      <c r="J34" s="64">
        <v>0.09</v>
      </c>
      <c r="K34" s="64">
        <v>279.45</v>
      </c>
      <c r="L34" s="64">
        <v>22.29</v>
      </c>
      <c r="M34" s="64">
        <v>98.33</v>
      </c>
      <c r="N34" s="64">
        <v>75.5</v>
      </c>
      <c r="O34" s="64">
        <v>0</v>
      </c>
      <c r="P34" s="64">
        <v>0.63</v>
      </c>
      <c r="Q34" s="64">
        <v>9.2200000000000006</v>
      </c>
      <c r="R34" s="198"/>
      <c r="S34" s="198"/>
      <c r="T34" s="198"/>
      <c r="U34" s="198"/>
    </row>
    <row r="35" spans="1:21" s="12" customFormat="1" x14ac:dyDescent="0.25">
      <c r="A35" s="211" t="s">
        <v>1426</v>
      </c>
      <c r="B35" s="64">
        <v>19.41</v>
      </c>
      <c r="C35" s="64">
        <v>11.95</v>
      </c>
      <c r="D35" s="64">
        <v>21.67</v>
      </c>
      <c r="E35" s="64">
        <v>5.92</v>
      </c>
      <c r="F35" s="64">
        <v>2.1</v>
      </c>
      <c r="G35" s="64">
        <v>40.69</v>
      </c>
      <c r="H35" s="64">
        <v>5.51</v>
      </c>
      <c r="I35" s="64">
        <v>2.8</v>
      </c>
      <c r="J35" s="64">
        <v>0.09</v>
      </c>
      <c r="K35" s="64">
        <v>162.06</v>
      </c>
      <c r="L35" s="64">
        <v>22.63</v>
      </c>
      <c r="M35" s="64">
        <v>98.32</v>
      </c>
      <c r="N35" s="64">
        <v>96.3</v>
      </c>
      <c r="O35" s="64">
        <v>0</v>
      </c>
      <c r="P35" s="64">
        <v>0.63</v>
      </c>
      <c r="Q35" s="64">
        <v>9.24</v>
      </c>
      <c r="R35" s="198"/>
      <c r="S35" s="198"/>
      <c r="T35" s="198"/>
      <c r="U35" s="198"/>
    </row>
    <row r="36" spans="1:21" s="12" customFormat="1" x14ac:dyDescent="0.25">
      <c r="A36" s="211" t="s">
        <v>1427</v>
      </c>
      <c r="B36" s="64">
        <v>26.3</v>
      </c>
      <c r="C36" s="64">
        <v>12.42</v>
      </c>
      <c r="D36" s="64">
        <v>27.32</v>
      </c>
      <c r="E36" s="64">
        <v>5.76</v>
      </c>
      <c r="F36" s="64">
        <v>2.1</v>
      </c>
      <c r="G36" s="64">
        <v>40.69</v>
      </c>
      <c r="H36" s="64">
        <v>5.51</v>
      </c>
      <c r="I36" s="64">
        <v>2.78</v>
      </c>
      <c r="J36" s="64">
        <v>7.0000000000000007E-2</v>
      </c>
      <c r="K36" s="64">
        <v>266.88</v>
      </c>
      <c r="L36" s="64">
        <v>22.93</v>
      </c>
      <c r="M36" s="64">
        <v>98.3</v>
      </c>
      <c r="N36" s="64">
        <v>100.6</v>
      </c>
      <c r="O36" s="64">
        <v>0</v>
      </c>
      <c r="P36" s="64">
        <v>0.67</v>
      </c>
      <c r="Q36" s="64">
        <v>9.27</v>
      </c>
      <c r="R36" s="198"/>
      <c r="S36" s="198"/>
      <c r="T36" s="198"/>
      <c r="U36" s="198"/>
    </row>
    <row r="37" spans="1:21" s="12" customFormat="1" x14ac:dyDescent="0.25">
      <c r="A37" s="211" t="s">
        <v>1428</v>
      </c>
      <c r="B37" s="64">
        <v>28.03</v>
      </c>
      <c r="C37" s="64">
        <v>14.47</v>
      </c>
      <c r="D37" s="64">
        <v>29.87</v>
      </c>
      <c r="E37" s="64">
        <v>5.76</v>
      </c>
      <c r="F37" s="64">
        <v>2.1</v>
      </c>
      <c r="G37" s="64">
        <v>38.01</v>
      </c>
      <c r="H37" s="64">
        <v>7.28</v>
      </c>
      <c r="I37" s="64">
        <v>2.77</v>
      </c>
      <c r="J37" s="64">
        <v>0.16</v>
      </c>
      <c r="K37" s="64">
        <v>314.29000000000002</v>
      </c>
      <c r="L37" s="64">
        <v>23.33</v>
      </c>
      <c r="M37" s="64">
        <v>98.29</v>
      </c>
      <c r="N37" s="64">
        <v>145.4</v>
      </c>
      <c r="O37" s="64">
        <v>0</v>
      </c>
      <c r="P37" s="64">
        <v>0.68</v>
      </c>
      <c r="Q37" s="64">
        <v>9.3000000000000007</v>
      </c>
      <c r="R37" s="198"/>
      <c r="S37" s="198"/>
      <c r="T37" s="198"/>
      <c r="U37" s="198"/>
    </row>
    <row r="38" spans="1:21" s="12" customFormat="1" x14ac:dyDescent="0.25">
      <c r="A38" s="211" t="s">
        <v>1429</v>
      </c>
      <c r="B38" s="64">
        <v>21.94</v>
      </c>
      <c r="C38" s="64">
        <v>13.61</v>
      </c>
      <c r="D38" s="64">
        <v>24.7</v>
      </c>
      <c r="E38" s="64">
        <v>6.09</v>
      </c>
      <c r="F38" s="64">
        <v>2.17</v>
      </c>
      <c r="G38" s="64">
        <v>37.81</v>
      </c>
      <c r="H38" s="64">
        <v>7.28</v>
      </c>
      <c r="I38" s="64">
        <v>2.76</v>
      </c>
      <c r="J38" s="64">
        <v>0.04</v>
      </c>
      <c r="K38" s="64">
        <v>121.96</v>
      </c>
      <c r="L38" s="64">
        <v>24.34</v>
      </c>
      <c r="M38" s="64">
        <v>98.24</v>
      </c>
      <c r="N38" s="64">
        <v>211.4</v>
      </c>
      <c r="O38" s="64">
        <v>0</v>
      </c>
      <c r="P38" s="64">
        <v>0.66</v>
      </c>
      <c r="Q38" s="64">
        <v>9.33</v>
      </c>
      <c r="R38" s="198"/>
      <c r="S38" s="198"/>
      <c r="T38" s="198"/>
      <c r="U38" s="198"/>
    </row>
    <row r="39" spans="1:21" s="12" customFormat="1" x14ac:dyDescent="0.25">
      <c r="A39" s="211" t="s">
        <v>1430</v>
      </c>
      <c r="B39" s="64">
        <v>24.13</v>
      </c>
      <c r="C39" s="64">
        <v>12.98</v>
      </c>
      <c r="D39" s="64">
        <v>26.13</v>
      </c>
      <c r="E39" s="64">
        <v>5.96</v>
      </c>
      <c r="F39" s="64">
        <v>2.1</v>
      </c>
      <c r="G39" s="64">
        <v>37.81</v>
      </c>
      <c r="H39" s="64">
        <v>7.28</v>
      </c>
      <c r="I39" s="64">
        <v>2.75</v>
      </c>
      <c r="J39" s="64">
        <v>0.19</v>
      </c>
      <c r="K39" s="64">
        <v>334.69</v>
      </c>
      <c r="L39" s="64">
        <v>25.22</v>
      </c>
      <c r="M39" s="64">
        <v>96.44</v>
      </c>
      <c r="N39" s="64">
        <v>273.10000000000002</v>
      </c>
      <c r="O39" s="64">
        <v>0</v>
      </c>
      <c r="P39" s="64">
        <v>0.7</v>
      </c>
      <c r="Q39" s="64">
        <v>9.34</v>
      </c>
      <c r="R39" s="198"/>
      <c r="S39" s="198"/>
      <c r="T39" s="198"/>
      <c r="U39" s="198"/>
    </row>
    <row r="40" spans="1:21" s="12" customFormat="1" x14ac:dyDescent="0.25">
      <c r="A40" s="211" t="s">
        <v>1431</v>
      </c>
      <c r="B40" s="64">
        <v>18.21</v>
      </c>
      <c r="C40" s="64">
        <v>15.78</v>
      </c>
      <c r="D40" s="64">
        <v>22.85</v>
      </c>
      <c r="E40" s="64">
        <v>5.72</v>
      </c>
      <c r="F40" s="64">
        <v>2.72</v>
      </c>
      <c r="G40" s="64">
        <v>37.81</v>
      </c>
      <c r="H40" s="64">
        <v>7.28</v>
      </c>
      <c r="I40" s="64">
        <v>2.74</v>
      </c>
      <c r="J40" s="64">
        <v>0.15</v>
      </c>
      <c r="K40" s="64">
        <v>129.9</v>
      </c>
      <c r="L40" s="64">
        <v>26.67</v>
      </c>
      <c r="M40" s="64">
        <v>87.72</v>
      </c>
      <c r="N40" s="64">
        <v>361.2</v>
      </c>
      <c r="O40" s="64">
        <v>0</v>
      </c>
      <c r="P40" s="64">
        <v>0.67</v>
      </c>
      <c r="Q40" s="64">
        <v>9.36</v>
      </c>
      <c r="R40" s="198"/>
      <c r="S40" s="198"/>
      <c r="T40" s="198"/>
      <c r="U40" s="198"/>
    </row>
    <row r="41" spans="1:21" s="12" customFormat="1" x14ac:dyDescent="0.25">
      <c r="A41" s="211" t="s">
        <v>1432</v>
      </c>
      <c r="B41" s="64">
        <v>20.37</v>
      </c>
      <c r="C41" s="64">
        <v>14.79</v>
      </c>
      <c r="D41" s="64">
        <v>24.06</v>
      </c>
      <c r="E41" s="64">
        <v>6.72</v>
      </c>
      <c r="F41" s="64">
        <v>4.13</v>
      </c>
      <c r="G41" s="64">
        <v>46.21</v>
      </c>
      <c r="H41" s="64">
        <v>6.59</v>
      </c>
      <c r="I41" s="64">
        <v>2.74</v>
      </c>
      <c r="J41" s="64">
        <v>0.04</v>
      </c>
      <c r="K41" s="64">
        <v>70.849999999999994</v>
      </c>
      <c r="L41" s="64">
        <v>27.45</v>
      </c>
      <c r="M41" s="64">
        <v>82.82</v>
      </c>
      <c r="N41" s="64">
        <v>414.2</v>
      </c>
      <c r="O41" s="64">
        <v>0</v>
      </c>
      <c r="P41" s="64">
        <v>0.64</v>
      </c>
      <c r="Q41" s="64">
        <v>9.3699999999999992</v>
      </c>
      <c r="R41" s="198"/>
      <c r="S41" s="198"/>
      <c r="T41" s="198"/>
      <c r="U41" s="198"/>
    </row>
    <row r="42" spans="1:21" s="12" customFormat="1" x14ac:dyDescent="0.25">
      <c r="A42" s="211" t="s">
        <v>1433</v>
      </c>
      <c r="B42" s="64">
        <v>17.510000000000002</v>
      </c>
      <c r="C42" s="64">
        <v>14.26</v>
      </c>
      <c r="D42" s="64">
        <v>21.5</v>
      </c>
      <c r="E42" s="64">
        <v>6.77</v>
      </c>
      <c r="F42" s="64">
        <v>3.92</v>
      </c>
      <c r="G42" s="64">
        <v>46.81</v>
      </c>
      <c r="H42" s="64">
        <v>6.59</v>
      </c>
      <c r="I42" s="64">
        <v>2.74</v>
      </c>
      <c r="J42" s="64">
        <v>0.05</v>
      </c>
      <c r="K42" s="64">
        <v>130.63</v>
      </c>
      <c r="L42" s="64">
        <v>28.18</v>
      </c>
      <c r="M42" s="64">
        <v>78.81</v>
      </c>
      <c r="N42" s="64">
        <v>476</v>
      </c>
      <c r="O42" s="64">
        <v>0</v>
      </c>
      <c r="P42" s="64">
        <v>0.63</v>
      </c>
      <c r="Q42" s="64">
        <v>9.3800000000000008</v>
      </c>
      <c r="R42" s="198"/>
      <c r="S42" s="198"/>
      <c r="T42" s="198"/>
      <c r="U42" s="198"/>
    </row>
    <row r="43" spans="1:21" s="12" customFormat="1" x14ac:dyDescent="0.25">
      <c r="A43" s="211" t="s">
        <v>1434</v>
      </c>
      <c r="B43" s="64">
        <v>16.28</v>
      </c>
      <c r="C43" s="64">
        <v>12.28</v>
      </c>
      <c r="D43" s="64">
        <v>19.47</v>
      </c>
      <c r="E43" s="64">
        <v>6.75</v>
      </c>
      <c r="F43" s="64">
        <v>4.62</v>
      </c>
      <c r="G43" s="64">
        <v>46.81</v>
      </c>
      <c r="H43" s="64">
        <v>6.59</v>
      </c>
      <c r="I43" s="64">
        <v>2.72</v>
      </c>
      <c r="J43" s="64">
        <v>0.27</v>
      </c>
      <c r="K43" s="64">
        <v>126.46</v>
      </c>
      <c r="L43" s="64">
        <v>28.61</v>
      </c>
      <c r="M43" s="64">
        <v>77.83</v>
      </c>
      <c r="N43" s="64">
        <v>524</v>
      </c>
      <c r="O43" s="64">
        <v>0</v>
      </c>
      <c r="P43" s="64">
        <v>0.62</v>
      </c>
      <c r="Q43" s="64">
        <v>9.3699999999999992</v>
      </c>
      <c r="R43" s="198"/>
      <c r="S43" s="198"/>
      <c r="T43" s="198"/>
      <c r="U43" s="198"/>
    </row>
    <row r="44" spans="1:21" s="12" customFormat="1" x14ac:dyDescent="0.25">
      <c r="A44" s="211" t="s">
        <v>1435</v>
      </c>
      <c r="B44" s="64">
        <v>12.06</v>
      </c>
      <c r="C44" s="64">
        <v>14.32</v>
      </c>
      <c r="D44" s="64">
        <v>17.149999999999999</v>
      </c>
      <c r="E44" s="64">
        <v>6.83</v>
      </c>
      <c r="F44" s="64">
        <v>12.33</v>
      </c>
      <c r="G44" s="64">
        <v>46.81</v>
      </c>
      <c r="H44" s="64">
        <v>6.59</v>
      </c>
      <c r="I44" s="64">
        <v>2.69</v>
      </c>
      <c r="J44" s="64">
        <v>0.57999999999999996</v>
      </c>
      <c r="K44" s="64">
        <v>123.7</v>
      </c>
      <c r="L44" s="64">
        <v>28.23</v>
      </c>
      <c r="M44" s="64">
        <v>79.349999999999994</v>
      </c>
      <c r="N44" s="64">
        <v>570.70000000000005</v>
      </c>
      <c r="O44" s="64">
        <v>0</v>
      </c>
      <c r="P44" s="64">
        <v>0.49</v>
      </c>
      <c r="Q44" s="64">
        <v>9.35</v>
      </c>
      <c r="R44" s="198"/>
      <c r="S44" s="198"/>
      <c r="T44" s="198"/>
      <c r="U44" s="198"/>
    </row>
    <row r="45" spans="1:21" s="12" customFormat="1" x14ac:dyDescent="0.25">
      <c r="A45" s="211" t="s">
        <v>1436</v>
      </c>
      <c r="B45" s="64">
        <v>11.03</v>
      </c>
      <c r="C45" s="64">
        <v>10.49</v>
      </c>
      <c r="D45" s="64">
        <v>14.13</v>
      </c>
      <c r="E45" s="64">
        <v>7.58</v>
      </c>
      <c r="F45" s="64">
        <v>12.13</v>
      </c>
      <c r="G45" s="64">
        <v>43.18</v>
      </c>
      <c r="H45" s="64">
        <v>6.1</v>
      </c>
      <c r="I45" s="64">
        <v>2.66</v>
      </c>
      <c r="J45" s="64">
        <v>1.05</v>
      </c>
      <c r="K45" s="64">
        <v>128.07</v>
      </c>
      <c r="L45" s="64">
        <v>27.55</v>
      </c>
      <c r="M45" s="64">
        <v>82.94</v>
      </c>
      <c r="N45" s="64">
        <v>612.70000000000005</v>
      </c>
      <c r="O45" s="64">
        <v>0</v>
      </c>
      <c r="P45" s="64">
        <v>0.47</v>
      </c>
      <c r="Q45" s="64">
        <v>9.33</v>
      </c>
      <c r="R45" s="198"/>
      <c r="S45" s="198"/>
      <c r="T45" s="198"/>
      <c r="U45" s="198"/>
    </row>
    <row r="46" spans="1:21" s="12" customFormat="1" x14ac:dyDescent="0.25">
      <c r="A46" s="211" t="s">
        <v>1437</v>
      </c>
      <c r="B46" s="64">
        <v>12.47</v>
      </c>
      <c r="C46" s="64">
        <v>13.17</v>
      </c>
      <c r="D46" s="64">
        <v>16.88</v>
      </c>
      <c r="E46" s="64">
        <v>8.27</v>
      </c>
      <c r="F46" s="64">
        <v>11.24</v>
      </c>
      <c r="G46" s="64">
        <v>43.18</v>
      </c>
      <c r="H46" s="64">
        <v>6.1</v>
      </c>
      <c r="I46" s="64">
        <v>2.65</v>
      </c>
      <c r="J46" s="64">
        <v>0.43</v>
      </c>
      <c r="K46" s="64">
        <v>130.88</v>
      </c>
      <c r="L46" s="64">
        <v>28.66</v>
      </c>
      <c r="M46" s="64">
        <v>76.92</v>
      </c>
      <c r="N46" s="64">
        <v>593</v>
      </c>
      <c r="O46" s="64">
        <v>0</v>
      </c>
      <c r="P46" s="64">
        <v>0.56000000000000005</v>
      </c>
      <c r="Q46" s="64">
        <v>9.3000000000000007</v>
      </c>
      <c r="R46" s="198"/>
      <c r="S46" s="198"/>
      <c r="T46" s="198"/>
      <c r="U46" s="198"/>
    </row>
    <row r="47" spans="1:21" s="12" customFormat="1" x14ac:dyDescent="0.25">
      <c r="A47" s="211" t="s">
        <v>1438</v>
      </c>
      <c r="B47" s="64">
        <v>12.5</v>
      </c>
      <c r="C47" s="64">
        <v>11.27</v>
      </c>
      <c r="D47" s="64">
        <v>15.91</v>
      </c>
      <c r="E47" s="64">
        <v>8.58</v>
      </c>
      <c r="F47" s="64">
        <v>9.6300000000000008</v>
      </c>
      <c r="G47" s="64">
        <v>43.18</v>
      </c>
      <c r="H47" s="64">
        <v>6.1</v>
      </c>
      <c r="I47" s="64">
        <v>2.61</v>
      </c>
      <c r="J47" s="64">
        <v>0.66</v>
      </c>
      <c r="K47" s="64">
        <v>131.13999999999999</v>
      </c>
      <c r="L47" s="64">
        <v>29.3</v>
      </c>
      <c r="M47" s="64">
        <v>71.58</v>
      </c>
      <c r="N47" s="64">
        <v>690.7</v>
      </c>
      <c r="O47" s="64">
        <v>0</v>
      </c>
      <c r="P47" s="64">
        <v>0.52</v>
      </c>
      <c r="Q47" s="64">
        <v>9.2799999999999994</v>
      </c>
      <c r="R47" s="198"/>
      <c r="S47" s="198"/>
      <c r="T47" s="198"/>
      <c r="U47" s="198"/>
    </row>
    <row r="48" spans="1:21" s="12" customFormat="1" x14ac:dyDescent="0.25">
      <c r="A48" s="211" t="s">
        <v>1439</v>
      </c>
      <c r="B48" s="64">
        <v>10.99</v>
      </c>
      <c r="C48" s="64">
        <v>8.82</v>
      </c>
      <c r="D48" s="64">
        <v>13.42</v>
      </c>
      <c r="E48" s="64">
        <v>8.27</v>
      </c>
      <c r="F48" s="64">
        <v>11.31</v>
      </c>
      <c r="G48" s="64">
        <v>43.18</v>
      </c>
      <c r="H48" s="64">
        <v>6.1</v>
      </c>
      <c r="I48" s="64">
        <v>2.5499999999999998</v>
      </c>
      <c r="J48" s="64">
        <v>0.9</v>
      </c>
      <c r="K48" s="64">
        <v>130.18</v>
      </c>
      <c r="L48" s="64">
        <v>28.56</v>
      </c>
      <c r="M48" s="64">
        <v>68.7</v>
      </c>
      <c r="N48" s="64">
        <v>541.4</v>
      </c>
      <c r="O48" s="64">
        <v>0</v>
      </c>
      <c r="P48" s="64">
        <v>0.46</v>
      </c>
      <c r="Q48" s="64">
        <v>9.26</v>
      </c>
      <c r="R48" s="198"/>
      <c r="S48" s="198"/>
      <c r="T48" s="198"/>
      <c r="U48" s="198"/>
    </row>
    <row r="49" spans="1:21" s="12" customFormat="1" x14ac:dyDescent="0.25">
      <c r="A49" s="211" t="s">
        <v>1440</v>
      </c>
      <c r="B49" s="64">
        <v>10.26</v>
      </c>
      <c r="C49" s="64">
        <v>8.8699999999999992</v>
      </c>
      <c r="D49" s="64">
        <v>12.86</v>
      </c>
      <c r="E49" s="64">
        <v>7.78</v>
      </c>
      <c r="F49" s="64">
        <v>7.87</v>
      </c>
      <c r="G49" s="64">
        <v>35.270000000000003</v>
      </c>
      <c r="H49" s="64">
        <v>5.74</v>
      </c>
      <c r="I49" s="64">
        <v>2.5099999999999998</v>
      </c>
      <c r="J49" s="64">
        <v>0.68</v>
      </c>
      <c r="K49" s="64">
        <v>129.57</v>
      </c>
      <c r="L49" s="64">
        <v>28.03</v>
      </c>
      <c r="M49" s="64">
        <v>69.7</v>
      </c>
      <c r="N49" s="64">
        <v>474</v>
      </c>
      <c r="O49" s="64">
        <v>0</v>
      </c>
      <c r="P49" s="64">
        <v>0.4</v>
      </c>
      <c r="Q49" s="64">
        <v>9.24</v>
      </c>
      <c r="R49" s="198"/>
      <c r="S49" s="198"/>
      <c r="T49" s="198"/>
      <c r="U49" s="198"/>
    </row>
    <row r="50" spans="1:21" s="12" customFormat="1" x14ac:dyDescent="0.25">
      <c r="A50" s="211" t="s">
        <v>1441</v>
      </c>
      <c r="B50" s="64">
        <v>9.27</v>
      </c>
      <c r="C50" s="64">
        <v>12.83</v>
      </c>
      <c r="D50" s="64">
        <v>14.13</v>
      </c>
      <c r="E50" s="64">
        <v>7.77</v>
      </c>
      <c r="F50" s="64">
        <v>10.51</v>
      </c>
      <c r="G50" s="64">
        <v>34.71</v>
      </c>
      <c r="H50" s="64">
        <v>5.74</v>
      </c>
      <c r="I50" s="64">
        <v>2.48</v>
      </c>
      <c r="J50" s="64">
        <v>0.75</v>
      </c>
      <c r="K50" s="64">
        <v>131.38</v>
      </c>
      <c r="L50" s="64">
        <v>28.58</v>
      </c>
      <c r="M50" s="64">
        <v>66.87</v>
      </c>
      <c r="N50" s="64">
        <v>672.2</v>
      </c>
      <c r="O50" s="64">
        <v>0</v>
      </c>
      <c r="P50" s="64">
        <v>0.4</v>
      </c>
      <c r="Q50" s="64">
        <v>9.2200000000000006</v>
      </c>
      <c r="R50" s="198"/>
      <c r="S50" s="198"/>
      <c r="T50" s="198"/>
      <c r="U50" s="198"/>
    </row>
    <row r="51" spans="1:21" s="12" customFormat="1" x14ac:dyDescent="0.25">
      <c r="A51" s="211" t="s">
        <v>1442</v>
      </c>
      <c r="B51" s="64">
        <v>9.7200000000000006</v>
      </c>
      <c r="C51" s="64">
        <v>10.4</v>
      </c>
      <c r="D51" s="64">
        <v>13.23</v>
      </c>
      <c r="E51" s="64">
        <v>8.26</v>
      </c>
      <c r="F51" s="64">
        <v>8.1</v>
      </c>
      <c r="G51" s="64">
        <v>34.71</v>
      </c>
      <c r="H51" s="64">
        <v>5.74</v>
      </c>
      <c r="I51" s="64">
        <v>2.4300000000000002</v>
      </c>
      <c r="J51" s="64">
        <v>0.92</v>
      </c>
      <c r="K51" s="64">
        <v>131.05000000000001</v>
      </c>
      <c r="L51" s="64">
        <v>28.8</v>
      </c>
      <c r="M51" s="64">
        <v>63.89</v>
      </c>
      <c r="N51" s="64">
        <v>816.3</v>
      </c>
      <c r="O51" s="64">
        <v>0</v>
      </c>
      <c r="P51" s="64">
        <v>0.39</v>
      </c>
      <c r="Q51" s="64">
        <v>9.1999999999999993</v>
      </c>
      <c r="R51" s="198"/>
      <c r="S51" s="198"/>
      <c r="T51" s="198"/>
      <c r="U51" s="198"/>
    </row>
    <row r="52" spans="1:21" s="12" customFormat="1" x14ac:dyDescent="0.25">
      <c r="A52" s="211" t="s">
        <v>1443</v>
      </c>
      <c r="B52" s="64">
        <v>9.09</v>
      </c>
      <c r="C52" s="64">
        <v>9.3699999999999992</v>
      </c>
      <c r="D52" s="64">
        <v>12.19</v>
      </c>
      <c r="E52" s="64">
        <v>8.44</v>
      </c>
      <c r="F52" s="64">
        <v>14.99</v>
      </c>
      <c r="G52" s="64">
        <v>34.71</v>
      </c>
      <c r="H52" s="64">
        <v>5.74</v>
      </c>
      <c r="I52" s="64">
        <v>2.37</v>
      </c>
      <c r="J52" s="64">
        <v>1.07</v>
      </c>
      <c r="K52" s="64">
        <v>126.2</v>
      </c>
      <c r="L52" s="64">
        <v>28.74</v>
      </c>
      <c r="M52" s="64">
        <v>64.69</v>
      </c>
      <c r="N52" s="64">
        <v>762.3</v>
      </c>
      <c r="O52" s="64">
        <v>0</v>
      </c>
      <c r="P52" s="64">
        <v>0.4</v>
      </c>
      <c r="Q52" s="64">
        <v>9.18</v>
      </c>
      <c r="R52" s="198"/>
      <c r="S52" s="198"/>
      <c r="T52" s="198"/>
      <c r="U52" s="198"/>
    </row>
    <row r="53" spans="1:21" s="12" customFormat="1" x14ac:dyDescent="0.25">
      <c r="A53" s="211" t="s">
        <v>1444</v>
      </c>
      <c r="B53" s="64">
        <v>8.76</v>
      </c>
      <c r="C53" s="64">
        <v>8.73</v>
      </c>
      <c r="D53" s="64">
        <v>11.58</v>
      </c>
      <c r="E53" s="64">
        <v>8.6</v>
      </c>
      <c r="F53" s="64">
        <v>12.57</v>
      </c>
      <c r="G53" s="64">
        <v>27.23</v>
      </c>
      <c r="H53" s="64">
        <v>6.42</v>
      </c>
      <c r="I53" s="64">
        <v>2.4500000000000002</v>
      </c>
      <c r="J53" s="64">
        <v>1.23</v>
      </c>
      <c r="K53" s="64">
        <v>126.19</v>
      </c>
      <c r="L53" s="64">
        <v>28.78</v>
      </c>
      <c r="M53" s="64">
        <v>64.900000000000006</v>
      </c>
      <c r="N53" s="64">
        <v>847.8</v>
      </c>
      <c r="O53" s="64">
        <v>0</v>
      </c>
      <c r="P53" s="64">
        <v>0.36</v>
      </c>
      <c r="Q53" s="64">
        <v>9.16</v>
      </c>
      <c r="R53" s="198"/>
      <c r="S53" s="198"/>
      <c r="T53" s="198"/>
      <c r="U53" s="198"/>
    </row>
    <row r="54" spans="1:21" s="12" customFormat="1" x14ac:dyDescent="0.25">
      <c r="A54" s="211" t="s">
        <v>1445</v>
      </c>
      <c r="B54" s="64">
        <v>10.4</v>
      </c>
      <c r="C54" s="64">
        <v>12.04</v>
      </c>
      <c r="D54" s="64">
        <v>14.63</v>
      </c>
      <c r="E54" s="64">
        <v>7.57</v>
      </c>
      <c r="F54" s="64">
        <v>12.51</v>
      </c>
      <c r="G54" s="64">
        <v>26.69</v>
      </c>
      <c r="H54" s="64">
        <v>6.42</v>
      </c>
      <c r="I54" s="64">
        <v>2.35</v>
      </c>
      <c r="J54" s="64">
        <v>0.67</v>
      </c>
      <c r="K54" s="64">
        <v>126.17</v>
      </c>
      <c r="L54" s="64">
        <v>29.25</v>
      </c>
      <c r="M54" s="64">
        <v>63.99</v>
      </c>
      <c r="N54" s="64">
        <v>804.5</v>
      </c>
      <c r="O54" s="64">
        <v>0</v>
      </c>
      <c r="P54" s="64">
        <v>0.38</v>
      </c>
      <c r="Q54" s="64">
        <v>9.16</v>
      </c>
      <c r="R54" s="198"/>
      <c r="S54" s="198"/>
      <c r="T54" s="198"/>
      <c r="U54" s="198"/>
    </row>
    <row r="55" spans="1:21" s="12" customFormat="1" x14ac:dyDescent="0.25">
      <c r="A55" s="211" t="s">
        <v>1446</v>
      </c>
      <c r="B55" s="64">
        <v>8.42</v>
      </c>
      <c r="C55" s="64">
        <v>9.77</v>
      </c>
      <c r="D55" s="64">
        <v>11.86</v>
      </c>
      <c r="E55" s="64">
        <v>7.22</v>
      </c>
      <c r="F55" s="64">
        <v>11.21</v>
      </c>
      <c r="G55" s="64">
        <v>26.69</v>
      </c>
      <c r="H55" s="64">
        <v>6.42</v>
      </c>
      <c r="I55" s="64">
        <v>2.19</v>
      </c>
      <c r="J55" s="64">
        <v>0.69</v>
      </c>
      <c r="K55" s="64">
        <v>129.62</v>
      </c>
      <c r="L55" s="64">
        <v>29.53</v>
      </c>
      <c r="M55" s="64">
        <v>59.71</v>
      </c>
      <c r="N55" s="64">
        <v>786.8</v>
      </c>
      <c r="O55" s="64">
        <v>0</v>
      </c>
      <c r="P55" s="64">
        <v>0.36</v>
      </c>
      <c r="Q55" s="64">
        <v>9.15</v>
      </c>
      <c r="R55" s="198"/>
      <c r="S55" s="198"/>
      <c r="T55" s="198"/>
      <c r="U55" s="198"/>
    </row>
    <row r="56" spans="1:21" s="12" customFormat="1" x14ac:dyDescent="0.25">
      <c r="A56" s="211" t="s">
        <v>1447</v>
      </c>
      <c r="B56" s="64">
        <v>7.69</v>
      </c>
      <c r="C56" s="64">
        <v>10.26</v>
      </c>
      <c r="D56" s="64">
        <v>11.53</v>
      </c>
      <c r="E56" s="64">
        <v>7.19</v>
      </c>
      <c r="F56" s="64">
        <v>13.84</v>
      </c>
      <c r="G56" s="64">
        <v>26.69</v>
      </c>
      <c r="H56" s="64">
        <v>6.42</v>
      </c>
      <c r="I56" s="64">
        <v>2.2599999999999998</v>
      </c>
      <c r="J56" s="64">
        <v>0.81</v>
      </c>
      <c r="K56" s="64">
        <v>122.96</v>
      </c>
      <c r="L56" s="64">
        <v>28.93</v>
      </c>
      <c r="M56" s="64">
        <v>62.26</v>
      </c>
      <c r="N56" s="64">
        <v>489.9</v>
      </c>
      <c r="O56" s="64">
        <v>0</v>
      </c>
      <c r="P56" s="64">
        <v>0.27</v>
      </c>
      <c r="Q56" s="64">
        <v>9.1300000000000008</v>
      </c>
      <c r="R56" s="198"/>
      <c r="S56" s="198"/>
      <c r="T56" s="198"/>
      <c r="U56" s="198"/>
    </row>
    <row r="57" spans="1:21" s="12" customFormat="1" x14ac:dyDescent="0.25">
      <c r="A57" s="211" t="s">
        <v>1448</v>
      </c>
      <c r="B57" s="64">
        <v>6.92</v>
      </c>
      <c r="C57" s="64">
        <v>14.61</v>
      </c>
      <c r="D57" s="64">
        <v>13.18</v>
      </c>
      <c r="E57" s="64">
        <v>7.43</v>
      </c>
      <c r="F57" s="64">
        <v>13.08</v>
      </c>
      <c r="G57" s="64">
        <v>23.85</v>
      </c>
      <c r="H57" s="64">
        <v>6.11</v>
      </c>
      <c r="I57" s="64">
        <v>2.29</v>
      </c>
      <c r="J57" s="64">
        <v>0.86</v>
      </c>
      <c r="K57" s="64">
        <v>117.68</v>
      </c>
      <c r="L57" s="64">
        <v>29.08</v>
      </c>
      <c r="M57" s="64">
        <v>61.27</v>
      </c>
      <c r="N57" s="64">
        <v>612.9</v>
      </c>
      <c r="O57" s="64">
        <v>0</v>
      </c>
      <c r="P57" s="64">
        <v>0.22</v>
      </c>
      <c r="Q57" s="64">
        <v>9.1300000000000008</v>
      </c>
      <c r="R57" s="198"/>
      <c r="S57" s="198"/>
      <c r="T57" s="198"/>
      <c r="U57" s="198"/>
    </row>
    <row r="58" spans="1:21" s="12" customFormat="1" x14ac:dyDescent="0.25">
      <c r="A58" s="211" t="s">
        <v>1449</v>
      </c>
      <c r="B58" s="64">
        <v>6.42</v>
      </c>
      <c r="C58" s="64">
        <v>12.07</v>
      </c>
      <c r="D58" s="64">
        <v>11.46</v>
      </c>
      <c r="E58" s="64">
        <v>6.88</v>
      </c>
      <c r="F58" s="64">
        <v>11.58</v>
      </c>
      <c r="G58" s="64">
        <v>23.65</v>
      </c>
      <c r="H58" s="64">
        <v>6.11</v>
      </c>
      <c r="I58" s="64">
        <v>2.25</v>
      </c>
      <c r="J58" s="64">
        <v>0.64</v>
      </c>
      <c r="K58" s="64">
        <v>120.79</v>
      </c>
      <c r="L58" s="64">
        <v>28.79</v>
      </c>
      <c r="M58" s="64">
        <v>61.67</v>
      </c>
      <c r="N58" s="64">
        <v>399</v>
      </c>
      <c r="O58" s="64">
        <v>0</v>
      </c>
      <c r="P58" s="64">
        <v>0.24</v>
      </c>
      <c r="Q58" s="64">
        <v>9.1199999999999992</v>
      </c>
      <c r="R58" s="198"/>
      <c r="S58" s="198"/>
      <c r="T58" s="198"/>
      <c r="U58" s="198"/>
    </row>
    <row r="59" spans="1:21" s="12" customFormat="1" x14ac:dyDescent="0.25">
      <c r="A59" s="211" t="s">
        <v>1450</v>
      </c>
      <c r="B59" s="64">
        <v>7.85</v>
      </c>
      <c r="C59" s="64">
        <v>12.84</v>
      </c>
      <c r="D59" s="64">
        <v>13</v>
      </c>
      <c r="E59" s="64">
        <v>7.3</v>
      </c>
      <c r="F59" s="64">
        <v>10.18</v>
      </c>
      <c r="G59" s="64">
        <v>23.65</v>
      </c>
      <c r="H59" s="64">
        <v>6.11</v>
      </c>
      <c r="I59" s="64">
        <v>2.19</v>
      </c>
      <c r="J59" s="64">
        <v>0.87</v>
      </c>
      <c r="K59" s="64">
        <v>138.55000000000001</v>
      </c>
      <c r="L59" s="64">
        <v>29.09</v>
      </c>
      <c r="M59" s="64">
        <v>61.73</v>
      </c>
      <c r="N59" s="64">
        <v>465.7</v>
      </c>
      <c r="O59" s="64">
        <v>0</v>
      </c>
      <c r="P59" s="64">
        <v>0.24</v>
      </c>
      <c r="Q59" s="64">
        <v>9.11</v>
      </c>
      <c r="R59" s="198"/>
      <c r="S59" s="198"/>
      <c r="T59" s="198"/>
      <c r="U59" s="198"/>
    </row>
    <row r="60" spans="1:21" s="12" customFormat="1" x14ac:dyDescent="0.25">
      <c r="A60" s="211" t="s">
        <v>1451</v>
      </c>
      <c r="B60" s="64">
        <v>6.5</v>
      </c>
      <c r="C60" s="64">
        <v>9.98</v>
      </c>
      <c r="D60" s="64">
        <v>10.42</v>
      </c>
      <c r="E60" s="64">
        <v>7.01</v>
      </c>
      <c r="F60" s="64">
        <v>11.24</v>
      </c>
      <c r="G60" s="64">
        <v>23.65</v>
      </c>
      <c r="H60" s="64">
        <v>6.11</v>
      </c>
      <c r="I60" s="64">
        <v>2.13</v>
      </c>
      <c r="J60" s="64">
        <v>0.95</v>
      </c>
      <c r="K60" s="64">
        <v>125.65</v>
      </c>
      <c r="L60" s="64">
        <v>28.58</v>
      </c>
      <c r="M60" s="64">
        <v>65.87</v>
      </c>
      <c r="N60" s="64">
        <v>391.1</v>
      </c>
      <c r="O60" s="64">
        <v>0</v>
      </c>
      <c r="P60" s="64">
        <v>0.26</v>
      </c>
      <c r="Q60" s="64">
        <v>9.09</v>
      </c>
      <c r="R60" s="198"/>
      <c r="S60" s="198"/>
      <c r="T60" s="198"/>
      <c r="U60" s="198"/>
    </row>
    <row r="61" spans="1:21" s="12" customFormat="1" x14ac:dyDescent="0.25">
      <c r="A61" s="211" t="s">
        <v>1452</v>
      </c>
      <c r="B61" s="64">
        <v>6.25</v>
      </c>
      <c r="C61" s="64">
        <v>9.57</v>
      </c>
      <c r="D61" s="64">
        <v>10.02</v>
      </c>
      <c r="E61" s="64">
        <v>6.77</v>
      </c>
      <c r="F61" s="64">
        <v>10.18</v>
      </c>
      <c r="G61" s="64">
        <v>21.1</v>
      </c>
      <c r="H61" s="64">
        <v>5.88</v>
      </c>
      <c r="I61" s="64">
        <v>2.0699999999999998</v>
      </c>
      <c r="J61" s="64">
        <v>0.98</v>
      </c>
      <c r="K61" s="64">
        <v>123.03</v>
      </c>
      <c r="L61" s="64">
        <v>29.19</v>
      </c>
      <c r="M61" s="64">
        <v>63.15</v>
      </c>
      <c r="N61" s="64">
        <v>328</v>
      </c>
      <c r="O61" s="64">
        <v>0</v>
      </c>
      <c r="P61" s="64">
        <v>0.3</v>
      </c>
      <c r="Q61" s="64">
        <v>9.0500000000000007</v>
      </c>
      <c r="R61" s="198"/>
      <c r="S61" s="198"/>
      <c r="T61" s="198"/>
      <c r="U61" s="198"/>
    </row>
    <row r="62" spans="1:21" s="12" customFormat="1" x14ac:dyDescent="0.25">
      <c r="A62" s="211" t="s">
        <v>1453</v>
      </c>
      <c r="B62" s="64">
        <v>5.85</v>
      </c>
      <c r="C62" s="64">
        <v>9.61</v>
      </c>
      <c r="D62" s="64">
        <v>9.7100000000000009</v>
      </c>
      <c r="E62" s="64">
        <v>6.93</v>
      </c>
      <c r="F62" s="64">
        <v>17.149999999999999</v>
      </c>
      <c r="G62" s="64">
        <v>20.91</v>
      </c>
      <c r="H62" s="64">
        <v>5.88</v>
      </c>
      <c r="I62" s="64">
        <v>2</v>
      </c>
      <c r="J62" s="64">
        <v>0.91</v>
      </c>
      <c r="K62" s="64">
        <v>126.5</v>
      </c>
      <c r="L62" s="64">
        <v>28.68</v>
      </c>
      <c r="M62" s="64">
        <v>66.709999999999994</v>
      </c>
      <c r="N62" s="64">
        <v>258.10000000000002</v>
      </c>
      <c r="O62" s="64">
        <v>0</v>
      </c>
      <c r="P62" s="64">
        <v>0.3</v>
      </c>
      <c r="Q62" s="64">
        <v>9.0399999999999991</v>
      </c>
      <c r="R62" s="198"/>
      <c r="S62" s="198"/>
      <c r="T62" s="198"/>
      <c r="U62" s="198"/>
    </row>
    <row r="63" spans="1:21" s="12" customFormat="1" x14ac:dyDescent="0.25">
      <c r="A63" s="211" t="s">
        <v>1454</v>
      </c>
      <c r="B63" s="64">
        <v>9.35</v>
      </c>
      <c r="C63" s="64">
        <v>13.79</v>
      </c>
      <c r="D63" s="64">
        <v>14.71</v>
      </c>
      <c r="E63" s="64">
        <v>5.96</v>
      </c>
      <c r="F63" s="64">
        <v>7.82</v>
      </c>
      <c r="G63" s="64">
        <v>20.91</v>
      </c>
      <c r="H63" s="64">
        <v>5.88</v>
      </c>
      <c r="I63" s="64">
        <v>1.93</v>
      </c>
      <c r="J63" s="64">
        <v>0.32</v>
      </c>
      <c r="K63" s="64">
        <v>120.63</v>
      </c>
      <c r="L63" s="64">
        <v>29.44</v>
      </c>
      <c r="M63" s="64">
        <v>63.33</v>
      </c>
      <c r="N63" s="64">
        <v>223.1</v>
      </c>
      <c r="O63" s="64">
        <v>0</v>
      </c>
      <c r="P63" s="64">
        <v>0.41</v>
      </c>
      <c r="Q63" s="64">
        <v>9.0299999999999994</v>
      </c>
      <c r="R63" s="198"/>
      <c r="S63" s="198"/>
      <c r="T63" s="198"/>
      <c r="U63" s="198"/>
    </row>
    <row r="64" spans="1:21" s="12" customFormat="1" x14ac:dyDescent="0.25">
      <c r="A64" s="211" t="s">
        <v>1455</v>
      </c>
      <c r="B64" s="64">
        <v>6.56</v>
      </c>
      <c r="C64" s="64">
        <v>11.65</v>
      </c>
      <c r="D64" s="64">
        <v>11.35</v>
      </c>
      <c r="E64" s="64">
        <v>6.28</v>
      </c>
      <c r="F64" s="64">
        <v>15.8</v>
      </c>
      <c r="G64" s="64">
        <v>20.91</v>
      </c>
      <c r="H64" s="64">
        <v>5.88</v>
      </c>
      <c r="I64" s="64">
        <v>1.87</v>
      </c>
      <c r="J64" s="64">
        <v>0.65</v>
      </c>
      <c r="K64" s="64">
        <v>129.66</v>
      </c>
      <c r="L64" s="64">
        <v>29.42</v>
      </c>
      <c r="M64" s="64">
        <v>63.59</v>
      </c>
      <c r="N64" s="64">
        <v>204.8</v>
      </c>
      <c r="O64" s="64">
        <v>0</v>
      </c>
      <c r="P64" s="64">
        <v>0.33</v>
      </c>
      <c r="Q64" s="64">
        <v>9.0299999999999994</v>
      </c>
      <c r="R64" s="198"/>
      <c r="S64" s="198"/>
      <c r="T64" s="198"/>
      <c r="U64" s="198"/>
    </row>
    <row r="65" spans="1:21" s="12" customFormat="1" x14ac:dyDescent="0.25">
      <c r="A65" s="211" t="s">
        <v>1456</v>
      </c>
      <c r="B65" s="64">
        <v>7.58</v>
      </c>
      <c r="C65" s="64">
        <v>14.7</v>
      </c>
      <c r="D65" s="64">
        <v>13.76</v>
      </c>
      <c r="E65" s="64">
        <v>6.7</v>
      </c>
      <c r="F65" s="64">
        <v>9.7200000000000006</v>
      </c>
      <c r="G65" s="64">
        <v>21.76</v>
      </c>
      <c r="H65" s="64">
        <v>6.19</v>
      </c>
      <c r="I65" s="64">
        <v>1.83</v>
      </c>
      <c r="J65" s="64">
        <v>0.53</v>
      </c>
      <c r="K65" s="64">
        <v>123.03</v>
      </c>
      <c r="L65" s="64">
        <v>29.17</v>
      </c>
      <c r="M65" s="64">
        <v>62.25</v>
      </c>
      <c r="N65" s="64">
        <v>164.6</v>
      </c>
      <c r="O65" s="64">
        <v>0</v>
      </c>
      <c r="P65" s="64">
        <v>0.34</v>
      </c>
      <c r="Q65" s="64">
        <v>9.02</v>
      </c>
      <c r="R65" s="198"/>
      <c r="S65" s="198"/>
      <c r="T65" s="198"/>
      <c r="U65" s="198"/>
    </row>
    <row r="66" spans="1:21" s="12" customFormat="1" x14ac:dyDescent="0.25">
      <c r="A66" s="211" t="s">
        <v>1457</v>
      </c>
      <c r="B66" s="64">
        <v>8.26</v>
      </c>
      <c r="C66" s="64">
        <v>13.73</v>
      </c>
      <c r="D66" s="64">
        <v>13.8</v>
      </c>
      <c r="E66" s="64">
        <v>7</v>
      </c>
      <c r="F66" s="64">
        <v>9.8800000000000008</v>
      </c>
      <c r="G66" s="64">
        <v>21.82</v>
      </c>
      <c r="H66" s="64">
        <v>6.19</v>
      </c>
      <c r="I66" s="64">
        <v>1.82</v>
      </c>
      <c r="J66" s="64">
        <v>0.37</v>
      </c>
      <c r="K66" s="64">
        <v>127.02</v>
      </c>
      <c r="L66" s="64">
        <v>28.87</v>
      </c>
      <c r="M66" s="64">
        <v>61.06</v>
      </c>
      <c r="N66" s="64">
        <v>171.2</v>
      </c>
      <c r="O66" s="64">
        <v>0</v>
      </c>
      <c r="P66" s="64">
        <v>0.36</v>
      </c>
      <c r="Q66" s="64">
        <v>9.02</v>
      </c>
      <c r="R66" s="198"/>
      <c r="S66" s="198"/>
      <c r="T66" s="198"/>
      <c r="U66" s="198"/>
    </row>
    <row r="67" spans="1:21" s="12" customFormat="1" x14ac:dyDescent="0.25">
      <c r="A67" s="211" t="s">
        <v>1458</v>
      </c>
      <c r="B67" s="64">
        <v>5.34</v>
      </c>
      <c r="C67" s="64">
        <v>9.9</v>
      </c>
      <c r="D67" s="64">
        <v>9.4499999999999993</v>
      </c>
      <c r="E67" s="64">
        <v>6.88</v>
      </c>
      <c r="F67" s="64">
        <v>13.3</v>
      </c>
      <c r="G67" s="64">
        <v>21.82</v>
      </c>
      <c r="H67" s="64">
        <v>6.19</v>
      </c>
      <c r="I67" s="64">
        <v>1.81</v>
      </c>
      <c r="J67" s="64">
        <v>0.81</v>
      </c>
      <c r="K67" s="64">
        <v>125.87</v>
      </c>
      <c r="L67" s="64">
        <v>28.49</v>
      </c>
      <c r="M67" s="64">
        <v>62.27</v>
      </c>
      <c r="N67" s="64">
        <v>163.6</v>
      </c>
      <c r="O67" s="64">
        <v>0</v>
      </c>
      <c r="P67" s="64">
        <v>0.24</v>
      </c>
      <c r="Q67" s="64">
        <v>9.0299999999999994</v>
      </c>
      <c r="R67" s="198"/>
      <c r="S67" s="198"/>
      <c r="T67" s="198"/>
      <c r="U67" s="198"/>
    </row>
    <row r="68" spans="1:21" s="12" customFormat="1" x14ac:dyDescent="0.25">
      <c r="A68" s="211" t="s">
        <v>1459</v>
      </c>
      <c r="B68" s="64">
        <v>6.36</v>
      </c>
      <c r="C68" s="64">
        <v>11.88</v>
      </c>
      <c r="D68" s="64">
        <v>11.31</v>
      </c>
      <c r="E68" s="64">
        <v>6.98</v>
      </c>
      <c r="F68" s="64">
        <v>7.96</v>
      </c>
      <c r="G68" s="64">
        <v>21.82</v>
      </c>
      <c r="H68" s="64">
        <v>6.19</v>
      </c>
      <c r="I68" s="64">
        <v>1.8</v>
      </c>
      <c r="J68" s="64">
        <v>0.77</v>
      </c>
      <c r="K68" s="64">
        <v>131.94</v>
      </c>
      <c r="L68" s="64">
        <v>28.52</v>
      </c>
      <c r="M68" s="64">
        <v>62.06</v>
      </c>
      <c r="N68" s="64">
        <v>138.19999999999999</v>
      </c>
      <c r="O68" s="64">
        <v>0</v>
      </c>
      <c r="P68" s="64">
        <v>0.34</v>
      </c>
      <c r="Q68" s="64">
        <v>9.01</v>
      </c>
      <c r="R68" s="198"/>
      <c r="S68" s="198"/>
      <c r="T68" s="198"/>
      <c r="U68" s="198"/>
    </row>
    <row r="69" spans="1:21" s="12" customFormat="1" x14ac:dyDescent="0.25">
      <c r="A69" s="211" t="s">
        <v>1460</v>
      </c>
      <c r="B69" s="64">
        <v>7.02</v>
      </c>
      <c r="C69" s="64">
        <v>13.84</v>
      </c>
      <c r="D69" s="64">
        <v>12.86</v>
      </c>
      <c r="E69" s="64">
        <v>7.14</v>
      </c>
      <c r="F69" s="64">
        <v>13.38</v>
      </c>
      <c r="G69" s="64">
        <v>18.48</v>
      </c>
      <c r="H69" s="64">
        <v>6.89</v>
      </c>
      <c r="I69" s="64">
        <v>1.75</v>
      </c>
      <c r="J69" s="64">
        <v>0.53</v>
      </c>
      <c r="K69" s="64">
        <v>129.01</v>
      </c>
      <c r="L69" s="64">
        <v>28.81</v>
      </c>
      <c r="M69" s="64">
        <v>61.21</v>
      </c>
      <c r="N69" s="64">
        <v>124.1</v>
      </c>
      <c r="O69" s="64">
        <v>0</v>
      </c>
      <c r="P69" s="64">
        <v>0.31</v>
      </c>
      <c r="Q69" s="64">
        <v>9.01</v>
      </c>
      <c r="R69" s="198"/>
      <c r="S69" s="198"/>
      <c r="T69" s="198"/>
      <c r="U69" s="198"/>
    </row>
    <row r="70" spans="1:21" s="12" customFormat="1" x14ac:dyDescent="0.25">
      <c r="A70" s="211" t="s">
        <v>1461</v>
      </c>
      <c r="B70" s="64">
        <v>6.31</v>
      </c>
      <c r="C70" s="64">
        <v>14.27</v>
      </c>
      <c r="D70" s="64">
        <v>12.51</v>
      </c>
      <c r="E70" s="64">
        <v>6.9</v>
      </c>
      <c r="F70" s="64">
        <v>11.19</v>
      </c>
      <c r="G70" s="64">
        <v>18.239999999999998</v>
      </c>
      <c r="H70" s="64">
        <v>6.89</v>
      </c>
      <c r="I70" s="64">
        <v>1.73</v>
      </c>
      <c r="J70" s="64">
        <v>0.83</v>
      </c>
      <c r="K70" s="64">
        <v>128.53</v>
      </c>
      <c r="L70" s="64">
        <v>28.49</v>
      </c>
      <c r="M70" s="64">
        <v>61.02</v>
      </c>
      <c r="N70" s="64">
        <v>112.9</v>
      </c>
      <c r="O70" s="64">
        <v>0</v>
      </c>
      <c r="P70" s="64">
        <v>0.28000000000000003</v>
      </c>
      <c r="Q70" s="64">
        <v>9.01</v>
      </c>
      <c r="R70" s="198"/>
      <c r="S70" s="198"/>
      <c r="T70" s="198"/>
      <c r="U70" s="198"/>
    </row>
    <row r="71" spans="1:21" s="12" customFormat="1" x14ac:dyDescent="0.25">
      <c r="A71" s="211" t="s">
        <v>1462</v>
      </c>
      <c r="B71" s="64">
        <v>6.67</v>
      </c>
      <c r="C71" s="64">
        <v>12.28</v>
      </c>
      <c r="D71" s="64">
        <v>11.76</v>
      </c>
      <c r="E71" s="64">
        <v>7.32</v>
      </c>
      <c r="F71" s="64">
        <v>12.16</v>
      </c>
      <c r="G71" s="64">
        <v>18.239999999999998</v>
      </c>
      <c r="H71" s="64">
        <v>6.89</v>
      </c>
      <c r="I71" s="64">
        <v>1.71</v>
      </c>
      <c r="J71" s="64">
        <v>0.49</v>
      </c>
      <c r="K71" s="64">
        <v>131.19999999999999</v>
      </c>
      <c r="L71" s="64">
        <v>28.38</v>
      </c>
      <c r="M71" s="64">
        <v>63.87</v>
      </c>
      <c r="N71" s="64">
        <v>99.5</v>
      </c>
      <c r="O71" s="64">
        <v>0</v>
      </c>
      <c r="P71" s="64">
        <v>0.28000000000000003</v>
      </c>
      <c r="Q71" s="64">
        <v>9.02</v>
      </c>
      <c r="R71" s="198"/>
      <c r="S71" s="198"/>
      <c r="T71" s="198"/>
      <c r="U71" s="198"/>
    </row>
    <row r="72" spans="1:21" s="12" customFormat="1" x14ac:dyDescent="0.25">
      <c r="A72" s="211" t="s">
        <v>1463</v>
      </c>
      <c r="B72" s="64">
        <v>10.99</v>
      </c>
      <c r="C72" s="64">
        <v>18.14</v>
      </c>
      <c r="D72" s="64">
        <v>18.29</v>
      </c>
      <c r="E72" s="64">
        <v>5.86</v>
      </c>
      <c r="F72" s="64">
        <v>9.06</v>
      </c>
      <c r="G72" s="64">
        <v>18.239999999999998</v>
      </c>
      <c r="H72" s="64">
        <v>6.89</v>
      </c>
      <c r="I72" s="64">
        <v>1.7</v>
      </c>
      <c r="J72" s="64">
        <v>0.42</v>
      </c>
      <c r="K72" s="64">
        <v>123.25</v>
      </c>
      <c r="L72" s="64">
        <v>28.32</v>
      </c>
      <c r="M72" s="64">
        <v>63.98</v>
      </c>
      <c r="N72" s="64">
        <v>93.3</v>
      </c>
      <c r="O72" s="64">
        <v>0</v>
      </c>
      <c r="P72" s="64">
        <v>0.37</v>
      </c>
      <c r="Q72" s="64">
        <v>9.0299999999999994</v>
      </c>
      <c r="R72" s="198"/>
      <c r="S72" s="198"/>
      <c r="T72" s="198"/>
      <c r="U72" s="198"/>
    </row>
    <row r="73" spans="1:21" s="12" customFormat="1" x14ac:dyDescent="0.25">
      <c r="A73" s="211" t="s">
        <v>1464</v>
      </c>
      <c r="B73" s="64">
        <v>9.25</v>
      </c>
      <c r="C73" s="64">
        <v>14.14</v>
      </c>
      <c r="D73" s="64">
        <v>14.8</v>
      </c>
      <c r="E73" s="64">
        <v>6.31</v>
      </c>
      <c r="F73" s="64">
        <v>8.81</v>
      </c>
      <c r="G73" s="64">
        <v>19.53</v>
      </c>
      <c r="H73" s="64">
        <v>6.55</v>
      </c>
      <c r="I73" s="64">
        <v>1.69</v>
      </c>
      <c r="J73" s="64">
        <v>0.46</v>
      </c>
      <c r="K73" s="64">
        <v>135.35</v>
      </c>
      <c r="L73" s="64">
        <v>28.15</v>
      </c>
      <c r="M73" s="64">
        <v>61.97</v>
      </c>
      <c r="N73" s="64">
        <v>86.1</v>
      </c>
      <c r="O73" s="64">
        <v>0</v>
      </c>
      <c r="P73" s="64">
        <v>0.31</v>
      </c>
      <c r="Q73" s="64">
        <v>9.0399999999999991</v>
      </c>
      <c r="R73" s="198"/>
      <c r="S73" s="198"/>
      <c r="T73" s="198"/>
      <c r="U73" s="198"/>
    </row>
    <row r="74" spans="1:21" s="12" customFormat="1" x14ac:dyDescent="0.25">
      <c r="A74" s="211" t="s">
        <v>1465</v>
      </c>
      <c r="B74" s="64">
        <v>11.62</v>
      </c>
      <c r="C74" s="64">
        <v>17.989999999999998</v>
      </c>
      <c r="D74" s="64">
        <v>18.72</v>
      </c>
      <c r="E74" s="64">
        <v>6.53</v>
      </c>
      <c r="F74" s="64">
        <v>7.77</v>
      </c>
      <c r="G74" s="64">
        <v>19.63</v>
      </c>
      <c r="H74" s="64">
        <v>6.55</v>
      </c>
      <c r="I74" s="64">
        <v>1.7</v>
      </c>
      <c r="J74" s="64">
        <v>0.09</v>
      </c>
      <c r="K74" s="64">
        <v>31.56</v>
      </c>
      <c r="L74" s="64">
        <v>28.05</v>
      </c>
      <c r="M74" s="64">
        <v>64.06</v>
      </c>
      <c r="N74" s="64">
        <v>74.900000000000006</v>
      </c>
      <c r="O74" s="64">
        <v>0</v>
      </c>
      <c r="P74" s="64">
        <v>0.4</v>
      </c>
      <c r="Q74" s="64">
        <v>9.0399999999999991</v>
      </c>
      <c r="R74" s="198"/>
      <c r="S74" s="198"/>
      <c r="T74" s="198"/>
      <c r="U74" s="198"/>
    </row>
    <row r="75" spans="1:21" s="12" customFormat="1" x14ac:dyDescent="0.25">
      <c r="A75" s="211" t="s">
        <v>1466</v>
      </c>
      <c r="B75" s="64">
        <v>8.26</v>
      </c>
      <c r="C75" s="64">
        <v>18.37</v>
      </c>
      <c r="D75" s="64">
        <v>16.22</v>
      </c>
      <c r="E75" s="64">
        <v>6.76</v>
      </c>
      <c r="F75" s="64">
        <v>7.37</v>
      </c>
      <c r="G75" s="64">
        <v>19.63</v>
      </c>
      <c r="H75" s="64">
        <v>6.55</v>
      </c>
      <c r="I75" s="64">
        <v>1.69</v>
      </c>
      <c r="J75" s="64">
        <v>0.13</v>
      </c>
      <c r="K75" s="64">
        <v>140.88</v>
      </c>
      <c r="L75" s="64">
        <v>27.78</v>
      </c>
      <c r="M75" s="64">
        <v>65.55</v>
      </c>
      <c r="N75" s="64">
        <v>68.2</v>
      </c>
      <c r="O75" s="64">
        <v>0</v>
      </c>
      <c r="P75" s="64">
        <v>0.41</v>
      </c>
      <c r="Q75" s="64">
        <v>9.06</v>
      </c>
      <c r="R75" s="198"/>
      <c r="S75" s="198"/>
      <c r="T75" s="198"/>
      <c r="U75" s="198"/>
    </row>
    <row r="76" spans="1:21" s="12" customFormat="1" x14ac:dyDescent="0.25">
      <c r="A76" s="211" t="s">
        <v>1467</v>
      </c>
      <c r="B76" s="64">
        <v>8.84</v>
      </c>
      <c r="C76" s="64">
        <v>17.84</v>
      </c>
      <c r="D76" s="64">
        <v>16.41</v>
      </c>
      <c r="E76" s="64">
        <v>6.61</v>
      </c>
      <c r="F76" s="64">
        <v>6.39</v>
      </c>
      <c r="G76" s="64">
        <v>19.63</v>
      </c>
      <c r="H76" s="64">
        <v>6.55</v>
      </c>
      <c r="I76" s="64">
        <v>1.69</v>
      </c>
      <c r="J76" s="64">
        <v>0.23</v>
      </c>
      <c r="K76" s="64">
        <v>130.08000000000001</v>
      </c>
      <c r="L76" s="64">
        <v>27.54</v>
      </c>
      <c r="M76" s="64">
        <v>64.58</v>
      </c>
      <c r="N76" s="64">
        <v>59.1</v>
      </c>
      <c r="O76" s="64">
        <v>0</v>
      </c>
      <c r="P76" s="64">
        <v>0.4</v>
      </c>
      <c r="Q76" s="64">
        <v>9.06</v>
      </c>
      <c r="R76" s="198"/>
      <c r="S76" s="198"/>
      <c r="T76" s="198"/>
      <c r="U76" s="198"/>
    </row>
    <row r="77" spans="1:21" s="12" customFormat="1" x14ac:dyDescent="0.25">
      <c r="A77" s="211" t="s">
        <v>1468</v>
      </c>
      <c r="B77" s="64">
        <v>7.08</v>
      </c>
      <c r="C77" s="64">
        <v>21.33</v>
      </c>
      <c r="D77" s="64">
        <v>16.82</v>
      </c>
      <c r="E77" s="64">
        <v>6.81</v>
      </c>
      <c r="F77" s="64">
        <v>5.69</v>
      </c>
      <c r="G77" s="64">
        <v>19.63</v>
      </c>
      <c r="H77" s="64">
        <v>6.12</v>
      </c>
      <c r="I77" s="64">
        <v>1.71</v>
      </c>
      <c r="J77" s="64">
        <v>0.28000000000000003</v>
      </c>
      <c r="K77" s="64">
        <v>133.77000000000001</v>
      </c>
      <c r="L77" s="64">
        <v>27.2</v>
      </c>
      <c r="M77" s="64">
        <v>69.16</v>
      </c>
      <c r="N77" s="64">
        <v>50.7</v>
      </c>
      <c r="O77" s="64">
        <v>0</v>
      </c>
      <c r="P77" s="64">
        <v>0.42</v>
      </c>
      <c r="Q77" s="64">
        <v>9.06</v>
      </c>
      <c r="R77" s="198"/>
      <c r="S77" s="198"/>
      <c r="T77" s="198"/>
      <c r="U77" s="198"/>
    </row>
    <row r="78" spans="1:21" s="12" customFormat="1" x14ac:dyDescent="0.25">
      <c r="A78" s="211" t="s">
        <v>1469</v>
      </c>
      <c r="B78" s="64">
        <v>6.16</v>
      </c>
      <c r="C78" s="64">
        <v>16.64</v>
      </c>
      <c r="D78" s="64">
        <v>13.63</v>
      </c>
      <c r="E78" s="64">
        <v>6.28</v>
      </c>
      <c r="F78" s="64">
        <v>5.62</v>
      </c>
      <c r="G78" s="64">
        <v>19.63</v>
      </c>
      <c r="H78" s="64">
        <v>6.12</v>
      </c>
      <c r="I78" s="64">
        <v>1.73</v>
      </c>
      <c r="J78" s="64">
        <v>0.33</v>
      </c>
      <c r="K78" s="64">
        <v>130.24</v>
      </c>
      <c r="L78" s="64">
        <v>26.99</v>
      </c>
      <c r="M78" s="64">
        <v>69.760000000000005</v>
      </c>
      <c r="N78" s="64">
        <v>45.3</v>
      </c>
      <c r="O78" s="64">
        <v>0</v>
      </c>
      <c r="P78" s="64">
        <v>0.37</v>
      </c>
      <c r="Q78" s="64">
        <v>9.06</v>
      </c>
      <c r="R78" s="198"/>
      <c r="S78" s="198"/>
      <c r="T78" s="198"/>
      <c r="U78" s="198"/>
    </row>
    <row r="79" spans="1:21" s="12" customFormat="1" x14ac:dyDescent="0.25">
      <c r="A79" s="211" t="s">
        <v>1470</v>
      </c>
      <c r="B79" s="64">
        <v>6.4</v>
      </c>
      <c r="C79" s="64">
        <v>19.16</v>
      </c>
      <c r="D79" s="64">
        <v>15.14</v>
      </c>
      <c r="E79" s="64">
        <v>6.56</v>
      </c>
      <c r="F79" s="64">
        <v>4.18</v>
      </c>
      <c r="G79" s="64">
        <v>19.63</v>
      </c>
      <c r="H79" s="64">
        <v>6.12</v>
      </c>
      <c r="I79" s="64">
        <v>1.73</v>
      </c>
      <c r="J79" s="64">
        <v>0.19</v>
      </c>
      <c r="K79" s="64">
        <v>146.66999999999999</v>
      </c>
      <c r="L79" s="64">
        <v>26.72</v>
      </c>
      <c r="M79" s="64">
        <v>70.66</v>
      </c>
      <c r="N79" s="64">
        <v>41.3</v>
      </c>
      <c r="O79" s="64">
        <v>0</v>
      </c>
      <c r="P79" s="64">
        <v>0.46</v>
      </c>
      <c r="Q79" s="64">
        <v>9.0500000000000007</v>
      </c>
      <c r="R79" s="198"/>
      <c r="S79" s="198"/>
      <c r="T79" s="198"/>
      <c r="U79" s="198"/>
    </row>
    <row r="80" spans="1:21" s="12" customFormat="1" x14ac:dyDescent="0.25">
      <c r="A80" s="211" t="s">
        <v>1471</v>
      </c>
      <c r="B80" s="64">
        <v>5.62</v>
      </c>
      <c r="C80" s="64">
        <v>21.33</v>
      </c>
      <c r="D80" s="64">
        <v>15.65</v>
      </c>
      <c r="E80" s="64">
        <v>6.18</v>
      </c>
      <c r="F80" s="64">
        <v>2.92</v>
      </c>
      <c r="G80" s="64">
        <v>19.63</v>
      </c>
      <c r="H80" s="64">
        <v>6.12</v>
      </c>
      <c r="I80" s="64">
        <v>1.71</v>
      </c>
      <c r="J80" s="64">
        <v>0.19</v>
      </c>
      <c r="K80" s="64">
        <v>127.76</v>
      </c>
      <c r="L80" s="64">
        <v>26.45</v>
      </c>
      <c r="M80" s="64">
        <v>74.040000000000006</v>
      </c>
      <c r="N80" s="64">
        <v>40.6</v>
      </c>
      <c r="O80" s="64">
        <v>0</v>
      </c>
      <c r="P80" s="64">
        <v>0.56999999999999995</v>
      </c>
      <c r="Q80" s="64">
        <v>9.0299999999999994</v>
      </c>
      <c r="R80" s="198"/>
      <c r="S80" s="198"/>
      <c r="T80" s="198"/>
      <c r="U80" s="198"/>
    </row>
    <row r="81" spans="1:26" s="12" customFormat="1" x14ac:dyDescent="0.25">
      <c r="A81" s="211" t="s">
        <v>1472</v>
      </c>
      <c r="B81" s="64">
        <v>6.78</v>
      </c>
      <c r="C81" s="64">
        <v>27.81</v>
      </c>
      <c r="D81" s="64">
        <v>19.96</v>
      </c>
      <c r="E81" s="64">
        <v>6.41</v>
      </c>
      <c r="F81" s="64">
        <v>2.1</v>
      </c>
      <c r="G81" s="64">
        <v>21.4</v>
      </c>
      <c r="H81" s="64">
        <v>5.64</v>
      </c>
      <c r="I81" s="64">
        <v>1.7</v>
      </c>
      <c r="J81" s="64">
        <v>0.18</v>
      </c>
      <c r="K81" s="64">
        <v>129.94999999999999</v>
      </c>
      <c r="L81" s="64">
        <v>26.33</v>
      </c>
      <c r="M81" s="64">
        <v>75.44</v>
      </c>
      <c r="N81" s="64">
        <v>40.299999999999997</v>
      </c>
      <c r="O81" s="64">
        <v>0</v>
      </c>
      <c r="P81" s="64">
        <v>0.65</v>
      </c>
      <c r="Q81" s="64">
        <v>9.0299999999999994</v>
      </c>
      <c r="R81" s="198"/>
      <c r="S81" s="198"/>
      <c r="T81" s="198"/>
      <c r="U81" s="198"/>
    </row>
    <row r="82" spans="1:26" s="12" customFormat="1" x14ac:dyDescent="0.25">
      <c r="A82" s="211" t="s">
        <v>1473</v>
      </c>
      <c r="B82" s="64">
        <v>6.45</v>
      </c>
      <c r="C82" s="64">
        <v>25.47</v>
      </c>
      <c r="D82" s="64">
        <v>18.48</v>
      </c>
      <c r="E82" s="64">
        <v>6.17</v>
      </c>
      <c r="F82" s="64">
        <v>2.75</v>
      </c>
      <c r="G82" s="64">
        <v>21.53</v>
      </c>
      <c r="H82" s="64">
        <v>5.64</v>
      </c>
      <c r="I82" s="64">
        <v>1.71</v>
      </c>
      <c r="J82" s="64">
        <v>0.36</v>
      </c>
      <c r="K82" s="64">
        <v>125.16</v>
      </c>
      <c r="L82" s="64">
        <v>26.28</v>
      </c>
      <c r="M82" s="64">
        <v>76.510000000000005</v>
      </c>
      <c r="N82" s="64">
        <v>40.1</v>
      </c>
      <c r="O82" s="64">
        <v>0</v>
      </c>
      <c r="P82" s="64">
        <v>0.66</v>
      </c>
      <c r="Q82" s="64">
        <v>9.0299999999999994</v>
      </c>
      <c r="R82" s="198"/>
      <c r="S82" s="198"/>
      <c r="T82" s="198"/>
      <c r="U82" s="198"/>
    </row>
    <row r="83" spans="1:26" s="12" customFormat="1" x14ac:dyDescent="0.25">
      <c r="A83" s="211" t="s">
        <v>1474</v>
      </c>
      <c r="B83" s="64">
        <v>5.14</v>
      </c>
      <c r="C83" s="64">
        <v>24.8</v>
      </c>
      <c r="D83" s="64">
        <v>17.07</v>
      </c>
      <c r="E83" s="64">
        <v>6.23</v>
      </c>
      <c r="F83" s="64">
        <v>2.46</v>
      </c>
      <c r="G83" s="64">
        <v>21.53</v>
      </c>
      <c r="H83" s="64">
        <v>5.64</v>
      </c>
      <c r="I83" s="64">
        <v>1.75</v>
      </c>
      <c r="J83" s="64">
        <v>0.25</v>
      </c>
      <c r="K83" s="64">
        <v>126.87</v>
      </c>
      <c r="L83" s="64">
        <v>26.17</v>
      </c>
      <c r="M83" s="64">
        <v>79.08</v>
      </c>
      <c r="N83" s="64">
        <v>40.299999999999997</v>
      </c>
      <c r="O83" s="64">
        <v>0</v>
      </c>
      <c r="P83" s="64">
        <v>0.63</v>
      </c>
      <c r="Q83" s="64">
        <v>9.0299999999999994</v>
      </c>
      <c r="R83" s="198"/>
      <c r="S83" s="198"/>
      <c r="T83" s="198"/>
      <c r="U83" s="198"/>
    </row>
    <row r="84" spans="1:26" s="12" customFormat="1" x14ac:dyDescent="0.25">
      <c r="A84" s="211" t="s">
        <v>1475</v>
      </c>
      <c r="B84" s="64">
        <v>5.46</v>
      </c>
      <c r="C84" s="64">
        <v>25.57</v>
      </c>
      <c r="D84" s="64">
        <v>17.739999999999998</v>
      </c>
      <c r="E84" s="64">
        <v>6.03</v>
      </c>
      <c r="F84" s="64">
        <v>4.37</v>
      </c>
      <c r="G84" s="64">
        <v>21.53</v>
      </c>
      <c r="H84" s="64">
        <v>5.64</v>
      </c>
      <c r="I84" s="64">
        <v>1.67</v>
      </c>
      <c r="J84" s="64">
        <v>0.24</v>
      </c>
      <c r="K84" s="64">
        <v>133.53</v>
      </c>
      <c r="L84" s="64">
        <v>26.04</v>
      </c>
      <c r="M84" s="64">
        <v>82.4</v>
      </c>
      <c r="N84" s="64">
        <v>40.299999999999997</v>
      </c>
      <c r="O84" s="64">
        <v>0</v>
      </c>
      <c r="P84" s="64">
        <v>0.63</v>
      </c>
      <c r="Q84" s="64">
        <v>9.02</v>
      </c>
      <c r="R84" s="198"/>
      <c r="S84" s="198"/>
      <c r="T84" s="198"/>
      <c r="U84" s="198"/>
    </row>
    <row r="85" spans="1:26" s="12" customFormat="1" x14ac:dyDescent="0.25">
      <c r="A85" s="211" t="s">
        <v>1476</v>
      </c>
      <c r="B85" s="64">
        <v>6.65</v>
      </c>
      <c r="C85" s="64">
        <v>22.87</v>
      </c>
      <c r="D85" s="64">
        <v>17.28</v>
      </c>
      <c r="E85" s="64">
        <v>5.94</v>
      </c>
      <c r="F85" s="64">
        <v>5.97</v>
      </c>
      <c r="G85" s="64">
        <v>20.63</v>
      </c>
      <c r="H85" s="64">
        <v>8.68</v>
      </c>
      <c r="I85" s="64">
        <v>1.62</v>
      </c>
      <c r="J85" s="64">
        <v>0.4</v>
      </c>
      <c r="K85" s="64">
        <v>128.4</v>
      </c>
      <c r="L85" s="64">
        <v>25.86</v>
      </c>
      <c r="M85" s="64">
        <v>86.77</v>
      </c>
      <c r="N85" s="64">
        <v>40.299999999999997</v>
      </c>
      <c r="O85" s="64">
        <v>0</v>
      </c>
      <c r="P85" s="64">
        <v>0.54</v>
      </c>
      <c r="Q85" s="64">
        <v>9.01</v>
      </c>
      <c r="R85" s="198"/>
      <c r="S85" s="198"/>
      <c r="T85" s="198"/>
      <c r="U85" s="198"/>
    </row>
    <row r="86" spans="1:26" s="12" customFormat="1" x14ac:dyDescent="0.25">
      <c r="A86" s="211" t="s">
        <v>1477</v>
      </c>
      <c r="B86" s="64">
        <v>8.1300000000000008</v>
      </c>
      <c r="C86" s="64">
        <v>25.33</v>
      </c>
      <c r="D86" s="64">
        <v>19.75</v>
      </c>
      <c r="E86" s="64">
        <v>6.04</v>
      </c>
      <c r="F86" s="64">
        <v>7.77</v>
      </c>
      <c r="G86" s="64">
        <v>20.56</v>
      </c>
      <c r="H86" s="64">
        <v>8.68</v>
      </c>
      <c r="I86" s="64">
        <v>1.65</v>
      </c>
      <c r="J86" s="64">
        <v>0.17</v>
      </c>
      <c r="K86" s="64">
        <v>132.54</v>
      </c>
      <c r="L86" s="64">
        <v>25.69</v>
      </c>
      <c r="M86" s="64">
        <v>90.93</v>
      </c>
      <c r="N86" s="64">
        <v>40.4</v>
      </c>
      <c r="O86" s="64">
        <v>0</v>
      </c>
      <c r="P86" s="64">
        <v>0.79</v>
      </c>
      <c r="Q86" s="64">
        <v>9.0299999999999994</v>
      </c>
      <c r="R86" s="198"/>
      <c r="S86" s="198"/>
      <c r="T86" s="198"/>
      <c r="U86" s="198"/>
    </row>
    <row r="87" spans="1:26" s="12" customFormat="1" x14ac:dyDescent="0.25">
      <c r="A87" s="211" t="s">
        <v>1478</v>
      </c>
      <c r="B87" s="64">
        <v>5.93</v>
      </c>
      <c r="C87" s="64">
        <v>19.739999999999998</v>
      </c>
      <c r="D87" s="64">
        <v>15.07</v>
      </c>
      <c r="E87" s="64">
        <v>6.1</v>
      </c>
      <c r="F87" s="64">
        <v>10.19</v>
      </c>
      <c r="G87" s="64">
        <v>20.56</v>
      </c>
      <c r="H87" s="64">
        <v>8.68</v>
      </c>
      <c r="I87" s="64">
        <v>1.69</v>
      </c>
      <c r="J87" s="64">
        <v>0.5</v>
      </c>
      <c r="K87" s="64">
        <v>121.06</v>
      </c>
      <c r="L87" s="64">
        <v>25.56</v>
      </c>
      <c r="M87" s="64">
        <v>93.49</v>
      </c>
      <c r="N87" s="64">
        <v>40.299999999999997</v>
      </c>
      <c r="O87" s="64">
        <v>0</v>
      </c>
      <c r="P87" s="64">
        <v>0.57999999999999996</v>
      </c>
      <c r="Q87" s="64">
        <v>9.0299999999999994</v>
      </c>
      <c r="R87" s="198"/>
      <c r="S87" s="198"/>
      <c r="T87" s="198"/>
      <c r="U87" s="198"/>
    </row>
    <row r="88" spans="1:26" s="12" customFormat="1" x14ac:dyDescent="0.25">
      <c r="A88" s="211" t="s">
        <v>1479</v>
      </c>
      <c r="B88" s="64">
        <v>7.65</v>
      </c>
      <c r="C88" s="64">
        <v>20.23</v>
      </c>
      <c r="D88" s="64">
        <v>16.71</v>
      </c>
      <c r="E88" s="64">
        <v>6.4</v>
      </c>
      <c r="F88" s="64">
        <v>7.66</v>
      </c>
      <c r="G88" s="64">
        <v>20.56</v>
      </c>
      <c r="H88" s="64">
        <v>8.68</v>
      </c>
      <c r="I88" s="64">
        <v>1.73</v>
      </c>
      <c r="J88" s="64">
        <v>0.2</v>
      </c>
      <c r="K88" s="64">
        <v>141.41999999999999</v>
      </c>
      <c r="L88" s="64">
        <v>25.43</v>
      </c>
      <c r="M88" s="64">
        <v>95.82</v>
      </c>
      <c r="N88" s="64">
        <v>40.4</v>
      </c>
      <c r="O88" s="64">
        <v>0</v>
      </c>
      <c r="P88" s="64">
        <v>0.63</v>
      </c>
      <c r="Q88" s="64">
        <v>9.0399999999999991</v>
      </c>
      <c r="R88" s="198"/>
      <c r="S88" s="198"/>
      <c r="T88" s="198"/>
      <c r="U88" s="198"/>
    </row>
    <row r="89" spans="1:26" s="12" customFormat="1" x14ac:dyDescent="0.25">
      <c r="A89" s="211" t="s">
        <v>1480</v>
      </c>
      <c r="B89" s="64">
        <v>8.25</v>
      </c>
      <c r="C89" s="64">
        <v>16.45</v>
      </c>
      <c r="D89" s="64">
        <v>15.21</v>
      </c>
      <c r="E89" s="64">
        <v>6.24</v>
      </c>
      <c r="F89" s="64">
        <v>9.94</v>
      </c>
      <c r="G89" s="64">
        <v>23.37</v>
      </c>
      <c r="H89" s="64">
        <v>8.5</v>
      </c>
      <c r="I89" s="64">
        <v>1.76</v>
      </c>
      <c r="J89" s="64">
        <v>0.37</v>
      </c>
      <c r="K89" s="64">
        <v>127.22</v>
      </c>
      <c r="L89" s="64">
        <v>25.28</v>
      </c>
      <c r="M89" s="64">
        <v>97.19</v>
      </c>
      <c r="N89" s="64">
        <v>40.299999999999997</v>
      </c>
      <c r="O89" s="64">
        <v>0</v>
      </c>
      <c r="P89" s="64">
        <v>0.61</v>
      </c>
      <c r="Q89" s="64">
        <v>9.06</v>
      </c>
      <c r="R89" s="198"/>
      <c r="S89" s="198"/>
      <c r="T89" s="198"/>
      <c r="U89" s="198"/>
    </row>
    <row r="90" spans="1:26" s="12" customFormat="1" x14ac:dyDescent="0.25">
      <c r="A90" s="211" t="s">
        <v>1481</v>
      </c>
      <c r="B90" s="64">
        <v>6.86</v>
      </c>
      <c r="C90" s="64">
        <v>20.04</v>
      </c>
      <c r="D90" s="64">
        <v>15.97</v>
      </c>
      <c r="E90" s="64">
        <v>6.62</v>
      </c>
      <c r="F90" s="64">
        <v>9.1199999999999992</v>
      </c>
      <c r="G90" s="64">
        <v>23.58</v>
      </c>
      <c r="H90" s="64">
        <v>8.5</v>
      </c>
      <c r="I90" s="64">
        <v>1.78</v>
      </c>
      <c r="J90" s="64">
        <v>0.36</v>
      </c>
      <c r="K90" s="64">
        <v>134.66999999999999</v>
      </c>
      <c r="L90" s="64">
        <v>25.2</v>
      </c>
      <c r="M90" s="64">
        <v>97.15</v>
      </c>
      <c r="N90" s="64">
        <v>40.299999999999997</v>
      </c>
      <c r="O90" s="64">
        <v>0</v>
      </c>
      <c r="P90" s="64">
        <v>0.63</v>
      </c>
      <c r="Q90" s="64">
        <v>9.06</v>
      </c>
      <c r="R90" s="198"/>
      <c r="S90" s="198"/>
      <c r="T90" s="198"/>
      <c r="U90" s="198"/>
    </row>
    <row r="91" spans="1:26" s="12" customFormat="1" x14ac:dyDescent="0.25">
      <c r="A91" s="211" t="s">
        <v>1482</v>
      </c>
      <c r="B91" s="64">
        <v>7.82</v>
      </c>
      <c r="C91" s="64">
        <v>18.05</v>
      </c>
      <c r="D91" s="64">
        <v>15.7</v>
      </c>
      <c r="E91" s="64">
        <v>6.38</v>
      </c>
      <c r="F91" s="64">
        <v>8.5500000000000007</v>
      </c>
      <c r="G91" s="64">
        <v>23.58</v>
      </c>
      <c r="H91" s="64">
        <v>8.5</v>
      </c>
      <c r="I91" s="64">
        <v>1.81</v>
      </c>
      <c r="J91" s="64">
        <v>0.17</v>
      </c>
      <c r="K91" s="64">
        <v>148.03</v>
      </c>
      <c r="L91" s="64">
        <v>25.05</v>
      </c>
      <c r="M91" s="64">
        <v>97.98</v>
      </c>
      <c r="N91" s="64">
        <v>40.299999999999997</v>
      </c>
      <c r="O91" s="64">
        <v>0</v>
      </c>
      <c r="P91" s="64">
        <v>0.63</v>
      </c>
      <c r="Q91" s="64">
        <v>9.08</v>
      </c>
      <c r="R91" s="198"/>
      <c r="S91" s="198"/>
      <c r="T91" s="198"/>
      <c r="U91" s="198"/>
    </row>
    <row r="92" spans="1:26" s="12" customFormat="1" x14ac:dyDescent="0.25">
      <c r="A92" s="211" t="s">
        <v>1483</v>
      </c>
      <c r="B92" s="64">
        <v>8.32</v>
      </c>
      <c r="C92" s="64">
        <v>21.59</v>
      </c>
      <c r="D92" s="64">
        <v>17.95</v>
      </c>
      <c r="E92" s="64">
        <v>6.36</v>
      </c>
      <c r="F92" s="64">
        <v>8</v>
      </c>
      <c r="G92" s="64">
        <v>23.58</v>
      </c>
      <c r="H92" s="64">
        <v>8.5</v>
      </c>
      <c r="I92" s="64">
        <v>1.82</v>
      </c>
      <c r="J92" s="64">
        <v>0.41</v>
      </c>
      <c r="K92" s="64">
        <v>133.01</v>
      </c>
      <c r="L92" s="64">
        <v>24.93</v>
      </c>
      <c r="M92" s="64">
        <v>98.19</v>
      </c>
      <c r="N92" s="64">
        <v>40.299999999999997</v>
      </c>
      <c r="O92" s="64">
        <v>0</v>
      </c>
      <c r="P92" s="64">
        <v>0.57999999999999996</v>
      </c>
      <c r="Q92" s="64">
        <v>9.09</v>
      </c>
      <c r="R92" s="198"/>
      <c r="S92" s="198"/>
      <c r="T92" s="198"/>
      <c r="U92" s="198"/>
    </row>
    <row r="93" spans="1:26" s="12" customFormat="1" x14ac:dyDescent="0.25">
      <c r="A93" s="211" t="s">
        <v>1484</v>
      </c>
      <c r="B93" s="64">
        <v>8.3800000000000008</v>
      </c>
      <c r="C93" s="64">
        <v>21.03</v>
      </c>
      <c r="D93" s="64">
        <v>17.7</v>
      </c>
      <c r="E93" s="64">
        <v>6.26</v>
      </c>
      <c r="F93" s="64">
        <v>7.57</v>
      </c>
      <c r="G93" s="64">
        <v>25.76</v>
      </c>
      <c r="H93" s="64">
        <v>7.1</v>
      </c>
      <c r="I93" s="64">
        <v>1.84</v>
      </c>
      <c r="J93" s="64">
        <v>0.13</v>
      </c>
      <c r="K93" s="64">
        <v>135.94999999999999</v>
      </c>
      <c r="L93" s="64">
        <v>24.83</v>
      </c>
      <c r="M93" s="64">
        <v>98.13</v>
      </c>
      <c r="N93" s="64">
        <v>40.200000000000003</v>
      </c>
      <c r="O93" s="64">
        <v>0</v>
      </c>
      <c r="P93" s="64">
        <v>0.62</v>
      </c>
      <c r="Q93" s="64">
        <v>9.09</v>
      </c>
      <c r="R93" s="198"/>
      <c r="S93" s="198"/>
      <c r="T93" s="198"/>
      <c r="U93" s="198"/>
    </row>
    <row r="94" spans="1:26" s="12" customFormat="1" x14ac:dyDescent="0.25">
      <c r="A94" s="211" t="s">
        <v>1485</v>
      </c>
      <c r="B94" s="64">
        <v>6.88</v>
      </c>
      <c r="C94" s="64">
        <v>17.920000000000002</v>
      </c>
      <c r="D94" s="64">
        <v>14.88</v>
      </c>
      <c r="E94" s="64">
        <v>6.4</v>
      </c>
      <c r="F94" s="64">
        <v>7.98</v>
      </c>
      <c r="G94" s="64">
        <v>25.91</v>
      </c>
      <c r="H94" s="64">
        <v>7.1</v>
      </c>
      <c r="I94" s="64">
        <v>1.86</v>
      </c>
      <c r="J94" s="64">
        <v>0.13</v>
      </c>
      <c r="K94" s="64">
        <v>138.66999999999999</v>
      </c>
      <c r="L94" s="64">
        <v>24.66</v>
      </c>
      <c r="M94" s="64">
        <v>98.2</v>
      </c>
      <c r="N94" s="64">
        <v>40.299999999999997</v>
      </c>
      <c r="O94" s="64">
        <v>0</v>
      </c>
      <c r="P94" s="64">
        <v>0.6</v>
      </c>
      <c r="Q94" s="64">
        <v>9.1</v>
      </c>
      <c r="R94" s="198"/>
      <c r="S94" s="198"/>
      <c r="T94" s="198"/>
      <c r="U94" s="198"/>
    </row>
    <row r="95" spans="1:26" s="12" customFormat="1" x14ac:dyDescent="0.25">
      <c r="A95" s="211" t="s">
        <v>1486</v>
      </c>
      <c r="B95" s="64">
        <v>7.02</v>
      </c>
      <c r="C95" s="64">
        <v>18.920000000000002</v>
      </c>
      <c r="D95" s="64">
        <v>15.51</v>
      </c>
      <c r="E95" s="64">
        <v>6.65</v>
      </c>
      <c r="F95" s="64">
        <v>7.41</v>
      </c>
      <c r="G95" s="64">
        <v>25.91</v>
      </c>
      <c r="H95" s="64">
        <v>7.1</v>
      </c>
      <c r="I95" s="64">
        <v>1.88</v>
      </c>
      <c r="J95" s="64">
        <v>0.23</v>
      </c>
      <c r="K95" s="64">
        <v>131.74</v>
      </c>
      <c r="L95" s="64">
        <v>24.58</v>
      </c>
      <c r="M95" s="64">
        <v>98.2</v>
      </c>
      <c r="N95" s="64">
        <v>40.200000000000003</v>
      </c>
      <c r="O95" s="64">
        <v>0</v>
      </c>
      <c r="P95" s="64">
        <v>0.57999999999999996</v>
      </c>
      <c r="Q95" s="64">
        <v>9.09</v>
      </c>
      <c r="R95" s="198"/>
      <c r="S95" s="198"/>
      <c r="T95" s="198"/>
      <c r="U95" s="198"/>
    </row>
    <row r="96" spans="1:26" s="12" customFormat="1" x14ac:dyDescent="0.25">
      <c r="A96" s="211" t="s">
        <v>1487</v>
      </c>
      <c r="B96" s="64">
        <v>6.18</v>
      </c>
      <c r="C96" s="64">
        <v>17</v>
      </c>
      <c r="D96" s="64">
        <v>13.84</v>
      </c>
      <c r="E96" s="64">
        <v>6.58</v>
      </c>
      <c r="F96" s="64">
        <v>9.4</v>
      </c>
      <c r="G96" s="64">
        <v>25.91</v>
      </c>
      <c r="H96" s="64">
        <v>7.1</v>
      </c>
      <c r="I96" s="64">
        <v>1.9</v>
      </c>
      <c r="J96" s="64">
        <v>0.38</v>
      </c>
      <c r="K96" s="64">
        <v>133.88999999999999</v>
      </c>
      <c r="L96" s="64">
        <v>24.54</v>
      </c>
      <c r="M96" s="64">
        <v>98.2</v>
      </c>
      <c r="N96" s="64">
        <v>40.1</v>
      </c>
      <c r="O96" s="64">
        <v>0</v>
      </c>
      <c r="P96" s="64">
        <v>0.56000000000000005</v>
      </c>
      <c r="Q96" s="64">
        <v>9.07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1488</v>
      </c>
      <c r="B97" s="64">
        <v>5.7</v>
      </c>
      <c r="C97" s="64">
        <v>16.07</v>
      </c>
      <c r="D97" s="64">
        <v>12.97</v>
      </c>
      <c r="E97" s="64">
        <v>6.27</v>
      </c>
      <c r="F97" s="64">
        <v>6.64</v>
      </c>
      <c r="G97" s="64">
        <v>26.11</v>
      </c>
      <c r="H97" s="64">
        <v>6.13</v>
      </c>
      <c r="I97" s="64">
        <v>1.92</v>
      </c>
      <c r="J97" s="64">
        <v>0.36</v>
      </c>
      <c r="K97" s="64">
        <v>138.29</v>
      </c>
      <c r="L97" s="64">
        <v>24.49</v>
      </c>
      <c r="M97" s="64">
        <v>98.18</v>
      </c>
      <c r="N97" s="64">
        <v>40.200000000000003</v>
      </c>
      <c r="O97" s="64">
        <v>0</v>
      </c>
      <c r="P97" s="64">
        <v>0.54</v>
      </c>
      <c r="Q97" s="64">
        <v>9.0500000000000007</v>
      </c>
      <c r="R97" s="198"/>
      <c r="S97" s="198"/>
      <c r="T97" s="198"/>
      <c r="U97" s="198"/>
    </row>
    <row r="98" spans="1:33" s="12" customFormat="1" x14ac:dyDescent="0.25">
      <c r="A98" s="211" t="s">
        <v>1489</v>
      </c>
      <c r="B98" s="64">
        <v>13.93</v>
      </c>
      <c r="C98" s="64">
        <v>28.57</v>
      </c>
      <c r="D98" s="64">
        <v>26.1</v>
      </c>
      <c r="E98" s="64">
        <v>6.46</v>
      </c>
      <c r="F98" s="64">
        <v>4.1399999999999997</v>
      </c>
      <c r="G98" s="64">
        <v>26.12</v>
      </c>
      <c r="H98" s="64">
        <v>6.13</v>
      </c>
      <c r="I98" s="64">
        <v>1.92</v>
      </c>
      <c r="J98" s="64">
        <v>0.11</v>
      </c>
      <c r="K98" s="64">
        <v>126.04</v>
      </c>
      <c r="L98" s="64">
        <v>24.3</v>
      </c>
      <c r="M98" s="64">
        <v>98.2</v>
      </c>
      <c r="N98" s="64">
        <v>40.299999999999997</v>
      </c>
      <c r="O98" s="64">
        <v>0</v>
      </c>
      <c r="P98" s="64">
        <v>0.73</v>
      </c>
      <c r="Q98" s="64">
        <v>9.0500000000000007</v>
      </c>
      <c r="R98" s="198"/>
      <c r="S98" s="198"/>
      <c r="T98" s="198"/>
      <c r="U98" s="198"/>
    </row>
    <row r="99" spans="1:33" s="12" customFormat="1" x14ac:dyDescent="0.25">
      <c r="A99" s="211" t="s">
        <v>1490</v>
      </c>
      <c r="B99" s="64">
        <v>8.08</v>
      </c>
      <c r="C99" s="64">
        <v>23.43</v>
      </c>
      <c r="D99" s="64">
        <v>18.72</v>
      </c>
      <c r="E99" s="64">
        <v>7.08</v>
      </c>
      <c r="F99" s="64">
        <v>2.5499999999999998</v>
      </c>
      <c r="G99" s="64">
        <v>26.12</v>
      </c>
      <c r="H99" s="64">
        <v>6.13</v>
      </c>
      <c r="I99" s="64">
        <v>1.93</v>
      </c>
      <c r="J99" s="64">
        <v>0.27</v>
      </c>
      <c r="K99" s="64">
        <v>135.30000000000001</v>
      </c>
      <c r="L99" s="64">
        <v>24.13</v>
      </c>
      <c r="M99" s="64">
        <v>98.2</v>
      </c>
      <c r="N99" s="64">
        <v>40.200000000000003</v>
      </c>
      <c r="O99" s="64">
        <v>0</v>
      </c>
      <c r="P99" s="64">
        <v>0.6</v>
      </c>
      <c r="Q99" s="64">
        <v>9.0500000000000007</v>
      </c>
      <c r="R99" s="198"/>
      <c r="S99" s="198"/>
      <c r="T99" s="198"/>
      <c r="U99" s="198"/>
    </row>
    <row r="100" spans="1:33" s="12" customFormat="1" x14ac:dyDescent="0.25">
      <c r="A100" s="211" t="s">
        <v>1491</v>
      </c>
      <c r="B100" s="64">
        <v>7.4</v>
      </c>
      <c r="C100" s="64">
        <v>28.1</v>
      </c>
      <c r="D100" s="64">
        <v>20.62</v>
      </c>
      <c r="E100" s="64">
        <v>6.88</v>
      </c>
      <c r="F100" s="64">
        <v>3.03</v>
      </c>
      <c r="G100" s="64">
        <v>26.12</v>
      </c>
      <c r="H100" s="64">
        <v>6.13</v>
      </c>
      <c r="I100" s="64">
        <v>1.94</v>
      </c>
      <c r="J100" s="64">
        <v>0.11</v>
      </c>
      <c r="K100" s="64">
        <v>138.51</v>
      </c>
      <c r="L100" s="64">
        <v>23.99</v>
      </c>
      <c r="M100" s="64">
        <v>98.2</v>
      </c>
      <c r="N100" s="64">
        <v>40.299999999999997</v>
      </c>
      <c r="O100" s="64">
        <v>0</v>
      </c>
      <c r="P100" s="64">
        <v>0.6</v>
      </c>
      <c r="Q100" s="64">
        <v>9.0500000000000007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1492</v>
      </c>
      <c r="B101" s="64">
        <v>6.82</v>
      </c>
      <c r="C101" s="64">
        <v>22.92</v>
      </c>
      <c r="D101" s="64">
        <v>17.440000000000001</v>
      </c>
      <c r="E101" s="64">
        <v>6.57</v>
      </c>
      <c r="F101" s="64">
        <v>3.4</v>
      </c>
      <c r="G101" s="64">
        <v>25.45</v>
      </c>
      <c r="H101" s="64">
        <v>10.93</v>
      </c>
      <c r="I101" s="64">
        <v>1.96</v>
      </c>
      <c r="J101" s="64">
        <v>0.22</v>
      </c>
      <c r="K101" s="64">
        <v>128.86000000000001</v>
      </c>
      <c r="L101" s="64">
        <v>23.97</v>
      </c>
      <c r="M101" s="64">
        <v>98.19</v>
      </c>
      <c r="N101" s="64">
        <v>40.1</v>
      </c>
      <c r="O101" s="64">
        <v>0</v>
      </c>
      <c r="P101" s="64">
        <v>0.53</v>
      </c>
      <c r="Q101" s="64">
        <v>9.0500000000000007</v>
      </c>
      <c r="R101" s="198"/>
      <c r="S101" s="198"/>
      <c r="T101" s="198"/>
      <c r="U101" s="198"/>
    </row>
    <row r="102" spans="1:33" s="12" customFormat="1" x14ac:dyDescent="0.25">
      <c r="A102" s="211" t="s">
        <v>1493</v>
      </c>
      <c r="B102" s="64">
        <v>6.84</v>
      </c>
      <c r="C102" s="64">
        <v>14.68</v>
      </c>
      <c r="D102" s="64">
        <v>13.16</v>
      </c>
      <c r="E102" s="64">
        <v>6.89</v>
      </c>
      <c r="F102" s="64">
        <v>4.26</v>
      </c>
      <c r="G102" s="64">
        <v>25.4</v>
      </c>
      <c r="H102" s="64">
        <v>10.93</v>
      </c>
      <c r="I102" s="64">
        <v>1.97</v>
      </c>
      <c r="J102" s="64">
        <v>0.35</v>
      </c>
      <c r="K102" s="64">
        <v>133.68</v>
      </c>
      <c r="L102" s="64">
        <v>23.99</v>
      </c>
      <c r="M102" s="64">
        <v>98.15</v>
      </c>
      <c r="N102" s="64">
        <v>40</v>
      </c>
      <c r="O102" s="64">
        <v>0</v>
      </c>
      <c r="P102" s="64">
        <v>0.5</v>
      </c>
      <c r="Q102" s="64">
        <v>9.0399999999999991</v>
      </c>
      <c r="R102" s="198"/>
      <c r="S102" s="198"/>
      <c r="T102" s="198"/>
      <c r="U102" s="198"/>
    </row>
    <row r="103" spans="1:33" s="12" customFormat="1" x14ac:dyDescent="0.25">
      <c r="A103" s="211" t="s">
        <v>1494</v>
      </c>
      <c r="B103" s="64">
        <v>6.83</v>
      </c>
      <c r="C103" s="64">
        <v>16.89</v>
      </c>
      <c r="D103" s="64">
        <v>14.3</v>
      </c>
      <c r="E103" s="64">
        <v>6.72</v>
      </c>
      <c r="F103" s="64">
        <v>2.9</v>
      </c>
      <c r="G103" s="64">
        <v>25.4</v>
      </c>
      <c r="H103" s="64">
        <v>10.93</v>
      </c>
      <c r="I103" s="64">
        <v>1.96</v>
      </c>
      <c r="J103" s="64">
        <v>0.16</v>
      </c>
      <c r="K103" s="64">
        <v>129.41999999999999</v>
      </c>
      <c r="L103" s="64">
        <v>23.97</v>
      </c>
      <c r="M103" s="64">
        <v>98.15</v>
      </c>
      <c r="N103" s="64">
        <v>40.299999999999997</v>
      </c>
      <c r="O103" s="64">
        <v>0</v>
      </c>
      <c r="P103" s="64">
        <v>0.5</v>
      </c>
      <c r="Q103" s="64">
        <v>9.0500000000000007</v>
      </c>
      <c r="R103" s="198"/>
      <c r="S103" s="198"/>
      <c r="T103" s="198"/>
      <c r="U103" s="198"/>
    </row>
    <row r="104" spans="1:33" s="12" customFormat="1" x14ac:dyDescent="0.25">
      <c r="A104" s="211" t="s">
        <v>1495</v>
      </c>
      <c r="B104" s="64">
        <v>8.01</v>
      </c>
      <c r="C104" s="64">
        <v>23.56</v>
      </c>
      <c r="D104" s="64">
        <v>18.73</v>
      </c>
      <c r="E104" s="64">
        <v>5.49</v>
      </c>
      <c r="F104" s="64">
        <v>2.71</v>
      </c>
      <c r="G104" s="64">
        <v>25.4</v>
      </c>
      <c r="H104" s="64">
        <v>10.93</v>
      </c>
      <c r="I104" s="64">
        <v>1.95</v>
      </c>
      <c r="J104" s="64">
        <v>0.02</v>
      </c>
      <c r="K104" s="64">
        <v>173.05</v>
      </c>
      <c r="L104" s="64">
        <v>23.81</v>
      </c>
      <c r="M104" s="64">
        <v>98.15</v>
      </c>
      <c r="N104" s="64">
        <v>40.4</v>
      </c>
      <c r="O104" s="64">
        <v>0</v>
      </c>
      <c r="P104" s="64">
        <v>0.49</v>
      </c>
      <c r="Q104" s="64">
        <v>9.0399999999999991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5.14</v>
      </c>
      <c r="C106" s="67">
        <f>MIN(C9:C104)</f>
        <v>7.88</v>
      </c>
      <c r="D106" s="67">
        <f t="shared" ref="D106:Q106" si="0">MIN(D9:D104)</f>
        <v>9.4499999999999993</v>
      </c>
      <c r="E106" s="67">
        <f t="shared" si="0"/>
        <v>5.45</v>
      </c>
      <c r="F106" s="67">
        <f t="shared" si="0"/>
        <v>2.1</v>
      </c>
      <c r="G106" s="67">
        <f t="shared" si="0"/>
        <v>18.239999999999998</v>
      </c>
      <c r="H106" s="67">
        <f t="shared" si="0"/>
        <v>5.51</v>
      </c>
      <c r="I106" s="67">
        <f t="shared" si="0"/>
        <v>1.62</v>
      </c>
      <c r="J106" s="67">
        <f t="shared" si="0"/>
        <v>0.02</v>
      </c>
      <c r="K106" s="67">
        <f t="shared" si="0"/>
        <v>31.56</v>
      </c>
      <c r="L106" s="67">
        <f t="shared" si="0"/>
        <v>21.9</v>
      </c>
      <c r="M106" s="67">
        <f t="shared" si="0"/>
        <v>59.71</v>
      </c>
      <c r="N106" s="67">
        <f t="shared" si="0"/>
        <v>40</v>
      </c>
      <c r="O106" s="67">
        <f t="shared" si="0"/>
        <v>0</v>
      </c>
      <c r="P106" s="67">
        <f t="shared" si="0"/>
        <v>0.22</v>
      </c>
      <c r="Q106" s="67">
        <f t="shared" si="0"/>
        <v>9.01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28.03</v>
      </c>
      <c r="C107" s="66">
        <f t="shared" ref="C107:Q107" si="1">MAX(C9:C104)</f>
        <v>28.57</v>
      </c>
      <c r="D107" s="66">
        <f t="shared" si="1"/>
        <v>29.87</v>
      </c>
      <c r="E107" s="66">
        <f t="shared" si="1"/>
        <v>8.6</v>
      </c>
      <c r="F107" s="66">
        <f t="shared" si="1"/>
        <v>17.149999999999999</v>
      </c>
      <c r="G107" s="66">
        <f t="shared" si="1"/>
        <v>58.47</v>
      </c>
      <c r="H107" s="66">
        <f t="shared" si="1"/>
        <v>10.93</v>
      </c>
      <c r="I107" s="66">
        <f t="shared" si="1"/>
        <v>3.37</v>
      </c>
      <c r="J107" s="66">
        <f t="shared" si="1"/>
        <v>1.23</v>
      </c>
      <c r="K107" s="66">
        <f t="shared" si="1"/>
        <v>354.08</v>
      </c>
      <c r="L107" s="66">
        <f t="shared" si="1"/>
        <v>29.53</v>
      </c>
      <c r="M107" s="66">
        <f t="shared" si="1"/>
        <v>98.39</v>
      </c>
      <c r="N107" s="66">
        <f t="shared" si="1"/>
        <v>847.8</v>
      </c>
      <c r="O107" s="66">
        <f t="shared" si="1"/>
        <v>0</v>
      </c>
      <c r="P107" s="66">
        <f t="shared" si="1"/>
        <v>1.1000000000000001</v>
      </c>
      <c r="Q107" s="66">
        <f t="shared" si="1"/>
        <v>9.3800000000000008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10.775416666666665</v>
      </c>
      <c r="C108" s="67">
        <f t="shared" ref="C108:Q108" si="2">AVERAGE(C9:C104)</f>
        <v>15.46625</v>
      </c>
      <c r="D108" s="67">
        <f t="shared" si="2"/>
        <v>16.712604166666672</v>
      </c>
      <c r="E108" s="67">
        <f t="shared" si="2"/>
        <v>6.6603125000000007</v>
      </c>
      <c r="F108" s="67">
        <f t="shared" si="2"/>
        <v>6.4049999999999985</v>
      </c>
      <c r="G108" s="67">
        <f t="shared" si="2"/>
        <v>33.223645833333343</v>
      </c>
      <c r="H108" s="67">
        <f t="shared" si="2"/>
        <v>6.8058333333333323</v>
      </c>
      <c r="I108" s="67">
        <f t="shared" si="2"/>
        <v>2.3589583333333324</v>
      </c>
      <c r="J108" s="67">
        <f t="shared" si="2"/>
        <v>0.39020833333333343</v>
      </c>
      <c r="K108" s="67">
        <f t="shared" si="2"/>
        <v>183.43770833333335</v>
      </c>
      <c r="L108" s="67">
        <f t="shared" si="2"/>
        <v>25.694583333333316</v>
      </c>
      <c r="M108" s="67">
        <f t="shared" si="2"/>
        <v>83.990416666666633</v>
      </c>
      <c r="N108" s="67">
        <f t="shared" si="2"/>
        <v>185.24062499999991</v>
      </c>
      <c r="O108" s="67">
        <f t="shared" si="2"/>
        <v>0</v>
      </c>
      <c r="P108" s="67">
        <f t="shared" si="2"/>
        <v>0.57427083333333329</v>
      </c>
      <c r="Q108" s="67">
        <f t="shared" si="2"/>
        <v>9.1602083333333244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4.7855631394229388</v>
      </c>
      <c r="C109" s="67">
        <f t="shared" ref="C109:Q109" si="3">STDEV(C9:C104)</f>
        <v>5.0573788197361607</v>
      </c>
      <c r="D109" s="67">
        <f t="shared" si="3"/>
        <v>4.0494447299122367</v>
      </c>
      <c r="E109" s="67">
        <f t="shared" si="3"/>
        <v>0.78163183300606309</v>
      </c>
      <c r="F109" s="67">
        <f t="shared" si="3"/>
        <v>4.1137233742681349</v>
      </c>
      <c r="G109" s="67">
        <f t="shared" si="3"/>
        <v>12.666917634430853</v>
      </c>
      <c r="H109" s="67">
        <f t="shared" si="3"/>
        <v>1.1968200556533408</v>
      </c>
      <c r="I109" s="67">
        <f t="shared" si="3"/>
        <v>0.58035647696126169</v>
      </c>
      <c r="J109" s="67">
        <f t="shared" si="3"/>
        <v>0.29901233618863005</v>
      </c>
      <c r="K109" s="67">
        <f t="shared" si="3"/>
        <v>86.555045077552833</v>
      </c>
      <c r="L109" s="67">
        <f t="shared" si="3"/>
        <v>2.6068686263577532</v>
      </c>
      <c r="M109" s="67">
        <f t="shared" si="3"/>
        <v>15.588811501685901</v>
      </c>
      <c r="N109" s="67">
        <f t="shared" si="3"/>
        <v>231.22992274864023</v>
      </c>
      <c r="O109" s="67">
        <f t="shared" si="3"/>
        <v>0</v>
      </c>
      <c r="P109" s="67">
        <f t="shared" si="3"/>
        <v>0.21111106975222729</v>
      </c>
      <c r="Q109" s="67">
        <f t="shared" si="3"/>
        <v>0.12167237429534554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 t="shared" ref="I110:J110" si="5">COUNT(I9:I104)</f>
        <v>96</v>
      </c>
      <c r="J110" s="66">
        <f t="shared" si="5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23" sqref="I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1496</v>
      </c>
      <c r="B9" s="64">
        <v>7.09</v>
      </c>
      <c r="C9" s="64">
        <v>14.44</v>
      </c>
      <c r="D9" s="64">
        <v>13.23</v>
      </c>
      <c r="E9" s="64">
        <v>5.98</v>
      </c>
      <c r="F9" s="64">
        <v>2.1</v>
      </c>
      <c r="G9" s="64">
        <v>26.08</v>
      </c>
      <c r="H9" s="64">
        <v>8.81</v>
      </c>
      <c r="I9" s="64">
        <v>1.95</v>
      </c>
      <c r="J9" s="64">
        <v>0.02</v>
      </c>
      <c r="K9" s="64">
        <v>253.46</v>
      </c>
      <c r="L9" s="64">
        <v>23.6</v>
      </c>
      <c r="M9" s="64">
        <v>98.15</v>
      </c>
      <c r="N9" s="64">
        <v>40.299999999999997</v>
      </c>
      <c r="O9" s="64">
        <v>0</v>
      </c>
      <c r="P9" s="64">
        <v>0.52</v>
      </c>
      <c r="Q9" s="64">
        <v>9.0399999999999991</v>
      </c>
      <c r="R9" s="198"/>
      <c r="S9" s="198"/>
      <c r="T9" s="198"/>
      <c r="U9" s="198"/>
    </row>
    <row r="10" spans="1:21" s="12" customFormat="1" x14ac:dyDescent="0.25">
      <c r="A10" s="211" t="s">
        <v>1497</v>
      </c>
      <c r="B10" s="64">
        <v>7.03</v>
      </c>
      <c r="C10" s="64">
        <v>15.76</v>
      </c>
      <c r="D10" s="64">
        <v>13.87</v>
      </c>
      <c r="E10" s="64">
        <v>6.31</v>
      </c>
      <c r="F10" s="64">
        <v>3.38</v>
      </c>
      <c r="G10" s="64">
        <v>26.13</v>
      </c>
      <c r="H10" s="64">
        <v>8.81</v>
      </c>
      <c r="I10" s="64">
        <v>1.94</v>
      </c>
      <c r="J10" s="64">
        <v>0.12</v>
      </c>
      <c r="K10" s="64">
        <v>276.87</v>
      </c>
      <c r="L10" s="64">
        <v>23.45</v>
      </c>
      <c r="M10" s="64">
        <v>98.17</v>
      </c>
      <c r="N10" s="64">
        <v>40.4</v>
      </c>
      <c r="O10" s="64">
        <v>0</v>
      </c>
      <c r="P10" s="64">
        <v>0.49</v>
      </c>
      <c r="Q10" s="64">
        <v>9.06</v>
      </c>
      <c r="R10" s="198"/>
      <c r="S10" s="198"/>
      <c r="T10" s="198"/>
      <c r="U10" s="198"/>
    </row>
    <row r="11" spans="1:21" s="12" customFormat="1" x14ac:dyDescent="0.25">
      <c r="A11" s="211" t="s">
        <v>1498</v>
      </c>
      <c r="B11" s="64">
        <v>6.59</v>
      </c>
      <c r="C11" s="64">
        <v>13.77</v>
      </c>
      <c r="D11" s="64">
        <v>12.47</v>
      </c>
      <c r="E11" s="64">
        <v>6.56</v>
      </c>
      <c r="F11" s="64">
        <v>6.47</v>
      </c>
      <c r="G11" s="64">
        <v>26.13</v>
      </c>
      <c r="H11" s="64">
        <v>8.81</v>
      </c>
      <c r="I11" s="64">
        <v>1.92</v>
      </c>
      <c r="J11" s="64">
        <v>0.04</v>
      </c>
      <c r="K11" s="64">
        <v>146.04</v>
      </c>
      <c r="L11" s="64">
        <v>23.36</v>
      </c>
      <c r="M11" s="64">
        <v>98.15</v>
      </c>
      <c r="N11" s="64">
        <v>40.299999999999997</v>
      </c>
      <c r="O11" s="64">
        <v>0</v>
      </c>
      <c r="P11" s="64">
        <v>0.46</v>
      </c>
      <c r="Q11" s="64">
        <v>9.08</v>
      </c>
      <c r="R11" s="198"/>
      <c r="S11" s="198"/>
      <c r="T11" s="198"/>
      <c r="U11" s="198"/>
    </row>
    <row r="12" spans="1:21" s="12" customFormat="1" x14ac:dyDescent="0.25">
      <c r="A12" s="211" t="s">
        <v>1499</v>
      </c>
      <c r="B12" s="64">
        <v>6.07</v>
      </c>
      <c r="C12" s="64">
        <v>15.33</v>
      </c>
      <c r="D12" s="64">
        <v>12.88</v>
      </c>
      <c r="E12" s="64">
        <v>6.87</v>
      </c>
      <c r="F12" s="64">
        <v>5.19</v>
      </c>
      <c r="G12" s="64">
        <v>26.13</v>
      </c>
      <c r="H12" s="64">
        <v>8.81</v>
      </c>
      <c r="I12" s="64">
        <v>1.91</v>
      </c>
      <c r="J12" s="64">
        <v>0.03</v>
      </c>
      <c r="K12" s="64">
        <v>173.22</v>
      </c>
      <c r="L12" s="64">
        <v>23.22</v>
      </c>
      <c r="M12" s="64">
        <v>98.17</v>
      </c>
      <c r="N12" s="64">
        <v>40.299999999999997</v>
      </c>
      <c r="O12" s="64">
        <v>0</v>
      </c>
      <c r="P12" s="64">
        <v>0.45</v>
      </c>
      <c r="Q12" s="64">
        <v>9.08</v>
      </c>
      <c r="R12" s="198"/>
      <c r="S12" s="198"/>
      <c r="T12" s="198"/>
      <c r="U12" s="198"/>
    </row>
    <row r="13" spans="1:21" s="12" customFormat="1" x14ac:dyDescent="0.25">
      <c r="A13" s="211" t="s">
        <v>1500</v>
      </c>
      <c r="B13" s="64">
        <v>6.01</v>
      </c>
      <c r="C13" s="64">
        <v>16.149999999999999</v>
      </c>
      <c r="D13" s="64">
        <v>13.26</v>
      </c>
      <c r="E13" s="64">
        <v>6.33</v>
      </c>
      <c r="F13" s="64">
        <v>3.2</v>
      </c>
      <c r="G13" s="64">
        <v>25.98</v>
      </c>
      <c r="H13" s="64">
        <v>7.32</v>
      </c>
      <c r="I13" s="64">
        <v>1.9</v>
      </c>
      <c r="J13" s="64">
        <v>0.14000000000000001</v>
      </c>
      <c r="K13" s="64">
        <v>316.13</v>
      </c>
      <c r="L13" s="64">
        <v>23.15</v>
      </c>
      <c r="M13" s="64">
        <v>98.15</v>
      </c>
      <c r="N13" s="64">
        <v>40.299999999999997</v>
      </c>
      <c r="O13" s="64">
        <v>0</v>
      </c>
      <c r="P13" s="64">
        <v>0.45</v>
      </c>
      <c r="Q13" s="64">
        <v>9.09</v>
      </c>
      <c r="R13" s="198"/>
      <c r="S13" s="198"/>
      <c r="T13" s="198"/>
      <c r="U13" s="198"/>
    </row>
    <row r="14" spans="1:21" s="12" customFormat="1" x14ac:dyDescent="0.25">
      <c r="A14" s="211" t="s">
        <v>1501</v>
      </c>
      <c r="B14" s="64">
        <v>6.05</v>
      </c>
      <c r="C14" s="64">
        <v>13.32</v>
      </c>
      <c r="D14" s="64">
        <v>11.81</v>
      </c>
      <c r="E14" s="64">
        <v>6.28</v>
      </c>
      <c r="F14" s="64">
        <v>4.55</v>
      </c>
      <c r="G14" s="64">
        <v>25.96</v>
      </c>
      <c r="H14" s="64">
        <v>7.32</v>
      </c>
      <c r="I14" s="64">
        <v>1.89</v>
      </c>
      <c r="J14" s="64">
        <v>0.08</v>
      </c>
      <c r="K14" s="64">
        <v>123.12</v>
      </c>
      <c r="L14" s="64">
        <v>22.95</v>
      </c>
      <c r="M14" s="64">
        <v>98.16</v>
      </c>
      <c r="N14" s="64">
        <v>40.4</v>
      </c>
      <c r="O14" s="64">
        <v>0</v>
      </c>
      <c r="P14" s="64">
        <v>0.46</v>
      </c>
      <c r="Q14" s="64">
        <v>9.09</v>
      </c>
      <c r="R14" s="198"/>
      <c r="S14" s="198"/>
      <c r="T14" s="198"/>
      <c r="U14" s="198"/>
    </row>
    <row r="15" spans="1:21" s="12" customFormat="1" x14ac:dyDescent="0.25">
      <c r="A15" s="211" t="s">
        <v>1502</v>
      </c>
      <c r="B15" s="64">
        <v>6.5</v>
      </c>
      <c r="C15" s="64">
        <v>10.38</v>
      </c>
      <c r="D15" s="64">
        <v>10.64</v>
      </c>
      <c r="E15" s="64">
        <v>6.2</v>
      </c>
      <c r="F15" s="64">
        <v>2.86</v>
      </c>
      <c r="G15" s="64">
        <v>25.96</v>
      </c>
      <c r="H15" s="64">
        <v>7.32</v>
      </c>
      <c r="I15" s="64">
        <v>1.89</v>
      </c>
      <c r="J15" s="64">
        <v>0.03</v>
      </c>
      <c r="K15" s="64">
        <v>351.64</v>
      </c>
      <c r="L15" s="64">
        <v>22.88</v>
      </c>
      <c r="M15" s="64">
        <v>98.18</v>
      </c>
      <c r="N15" s="64">
        <v>40.299999999999997</v>
      </c>
      <c r="O15" s="64">
        <v>0</v>
      </c>
      <c r="P15" s="64">
        <v>0.48</v>
      </c>
      <c r="Q15" s="64">
        <v>9.08</v>
      </c>
      <c r="R15" s="198"/>
      <c r="S15" s="198"/>
      <c r="T15" s="198"/>
      <c r="U15" s="198"/>
    </row>
    <row r="16" spans="1:21" s="12" customFormat="1" x14ac:dyDescent="0.25">
      <c r="A16" s="211" t="s">
        <v>1503</v>
      </c>
      <c r="B16" s="64">
        <v>6.51</v>
      </c>
      <c r="C16" s="64">
        <v>9.76</v>
      </c>
      <c r="D16" s="64">
        <v>10.32</v>
      </c>
      <c r="E16" s="64">
        <v>6.14</v>
      </c>
      <c r="F16" s="64">
        <v>3.72</v>
      </c>
      <c r="G16" s="64">
        <v>25.96</v>
      </c>
      <c r="H16" s="64">
        <v>7.32</v>
      </c>
      <c r="I16" s="64">
        <v>1.88</v>
      </c>
      <c r="J16" s="64">
        <v>0.01</v>
      </c>
      <c r="K16" s="64">
        <v>356.16</v>
      </c>
      <c r="L16" s="64">
        <v>22.85</v>
      </c>
      <c r="M16" s="64">
        <v>98.2</v>
      </c>
      <c r="N16" s="64">
        <v>40.299999999999997</v>
      </c>
      <c r="O16" s="64">
        <v>0</v>
      </c>
      <c r="P16" s="64">
        <v>0.41</v>
      </c>
      <c r="Q16" s="64">
        <v>9.06</v>
      </c>
      <c r="R16" s="198"/>
      <c r="S16" s="198"/>
      <c r="T16" s="198"/>
      <c r="U16" s="198"/>
    </row>
    <row r="17" spans="1:21" s="12" customFormat="1" x14ac:dyDescent="0.25">
      <c r="A17" s="211" t="s">
        <v>1504</v>
      </c>
      <c r="B17" s="64">
        <v>6.27</v>
      </c>
      <c r="C17" s="64">
        <v>9.86</v>
      </c>
      <c r="D17" s="64">
        <v>10.18</v>
      </c>
      <c r="E17" s="64">
        <v>6.1</v>
      </c>
      <c r="F17" s="64">
        <v>2.54</v>
      </c>
      <c r="G17" s="64">
        <v>26.46</v>
      </c>
      <c r="H17" s="64">
        <v>6.28</v>
      </c>
      <c r="I17" s="64">
        <v>1.87</v>
      </c>
      <c r="J17" s="64">
        <v>0.1</v>
      </c>
      <c r="K17" s="64">
        <v>114.82</v>
      </c>
      <c r="L17" s="64">
        <v>22.69</v>
      </c>
      <c r="M17" s="64">
        <v>98.22</v>
      </c>
      <c r="N17" s="64">
        <v>40.4</v>
      </c>
      <c r="O17" s="64">
        <v>0</v>
      </c>
      <c r="P17" s="64">
        <v>0.41</v>
      </c>
      <c r="Q17" s="64">
        <v>9.0399999999999991</v>
      </c>
      <c r="R17" s="198"/>
      <c r="S17" s="198"/>
      <c r="T17" s="198"/>
      <c r="U17" s="198"/>
    </row>
    <row r="18" spans="1:21" s="12" customFormat="1" x14ac:dyDescent="0.25">
      <c r="A18" s="211" t="s">
        <v>1505</v>
      </c>
      <c r="B18" s="64">
        <v>6.66</v>
      </c>
      <c r="C18" s="64">
        <v>9.2100000000000009</v>
      </c>
      <c r="D18" s="64">
        <v>10.15</v>
      </c>
      <c r="E18" s="64">
        <v>5.81</v>
      </c>
      <c r="F18" s="64">
        <v>2.23</v>
      </c>
      <c r="G18" s="64">
        <v>26.49</v>
      </c>
      <c r="H18" s="64">
        <v>6.28</v>
      </c>
      <c r="I18" s="64">
        <v>1.86</v>
      </c>
      <c r="J18" s="64">
        <v>0.09</v>
      </c>
      <c r="K18" s="64">
        <v>156</v>
      </c>
      <c r="L18" s="64">
        <v>22.54</v>
      </c>
      <c r="M18" s="64">
        <v>98.23</v>
      </c>
      <c r="N18" s="64">
        <v>40.299999999999997</v>
      </c>
      <c r="O18" s="64">
        <v>0</v>
      </c>
      <c r="P18" s="64">
        <v>0.45</v>
      </c>
      <c r="Q18" s="64">
        <v>9.0299999999999994</v>
      </c>
      <c r="R18" s="198"/>
      <c r="S18" s="198"/>
      <c r="T18" s="198"/>
      <c r="U18" s="198"/>
    </row>
    <row r="19" spans="1:21" s="12" customFormat="1" x14ac:dyDescent="0.25">
      <c r="A19" s="211" t="s">
        <v>1506</v>
      </c>
      <c r="B19" s="64">
        <v>6.76</v>
      </c>
      <c r="C19" s="64">
        <v>8.9700000000000006</v>
      </c>
      <c r="D19" s="64">
        <v>10.11</v>
      </c>
      <c r="E19" s="64">
        <v>5.9</v>
      </c>
      <c r="F19" s="64">
        <v>2.14</v>
      </c>
      <c r="G19" s="64">
        <v>26.49</v>
      </c>
      <c r="H19" s="64">
        <v>6.28</v>
      </c>
      <c r="I19" s="64">
        <v>1.85</v>
      </c>
      <c r="J19" s="64">
        <v>0.1</v>
      </c>
      <c r="K19" s="64">
        <v>128.30000000000001</v>
      </c>
      <c r="L19" s="64">
        <v>22.51</v>
      </c>
      <c r="M19" s="64">
        <v>98.23</v>
      </c>
      <c r="N19" s="64">
        <v>40.299999999999997</v>
      </c>
      <c r="O19" s="64">
        <v>0</v>
      </c>
      <c r="P19" s="64">
        <v>0.48</v>
      </c>
      <c r="Q19" s="64">
        <v>9.0299999999999994</v>
      </c>
      <c r="R19" s="198"/>
      <c r="S19" s="198"/>
      <c r="T19" s="198"/>
      <c r="U19" s="198"/>
    </row>
    <row r="20" spans="1:21" s="12" customFormat="1" x14ac:dyDescent="0.25">
      <c r="A20" s="211" t="s">
        <v>1507</v>
      </c>
      <c r="B20" s="64">
        <v>6.31</v>
      </c>
      <c r="C20" s="64">
        <v>9.15</v>
      </c>
      <c r="D20" s="64">
        <v>9.84</v>
      </c>
      <c r="E20" s="64">
        <v>5.75</v>
      </c>
      <c r="F20" s="64">
        <v>2.11</v>
      </c>
      <c r="G20" s="64">
        <v>26.49</v>
      </c>
      <c r="H20" s="64">
        <v>6.28</v>
      </c>
      <c r="I20" s="64">
        <v>1.84</v>
      </c>
      <c r="J20" s="64">
        <v>0.1</v>
      </c>
      <c r="K20" s="64">
        <v>130.85</v>
      </c>
      <c r="L20" s="64">
        <v>22.49</v>
      </c>
      <c r="M20" s="64">
        <v>98.26</v>
      </c>
      <c r="N20" s="64">
        <v>40.299999999999997</v>
      </c>
      <c r="O20" s="64">
        <v>0</v>
      </c>
      <c r="P20" s="64">
        <v>0.36</v>
      </c>
      <c r="Q20" s="64">
        <v>9.0299999999999994</v>
      </c>
      <c r="R20" s="198"/>
      <c r="S20" s="198"/>
      <c r="T20" s="198"/>
      <c r="U20" s="198"/>
    </row>
    <row r="21" spans="1:21" s="12" customFormat="1" x14ac:dyDescent="0.25">
      <c r="A21" s="211" t="s">
        <v>1508</v>
      </c>
      <c r="B21" s="64">
        <v>6.76</v>
      </c>
      <c r="C21" s="64">
        <v>8.89</v>
      </c>
      <c r="D21" s="64">
        <v>10.06</v>
      </c>
      <c r="E21" s="64">
        <v>5.62</v>
      </c>
      <c r="F21" s="64">
        <v>2.13</v>
      </c>
      <c r="G21" s="64">
        <v>25.95</v>
      </c>
      <c r="H21" s="64">
        <v>13.65</v>
      </c>
      <c r="I21" s="64">
        <v>1.85</v>
      </c>
      <c r="J21" s="64">
        <v>0.09</v>
      </c>
      <c r="K21" s="64">
        <v>296.25</v>
      </c>
      <c r="L21" s="64">
        <v>22.37</v>
      </c>
      <c r="M21" s="64">
        <v>98.28</v>
      </c>
      <c r="N21" s="64">
        <v>40.4</v>
      </c>
      <c r="O21" s="64">
        <v>0</v>
      </c>
      <c r="P21" s="64">
        <v>0.46</v>
      </c>
      <c r="Q21" s="64">
        <v>9.0299999999999994</v>
      </c>
      <c r="R21" s="198"/>
      <c r="S21" s="198"/>
      <c r="T21" s="198"/>
      <c r="U21" s="198"/>
    </row>
    <row r="22" spans="1:21" s="12" customFormat="1" x14ac:dyDescent="0.25">
      <c r="A22" s="211" t="s">
        <v>1509</v>
      </c>
      <c r="B22" s="64">
        <v>6.6</v>
      </c>
      <c r="C22" s="64">
        <v>12.32</v>
      </c>
      <c r="D22" s="64">
        <v>11.73</v>
      </c>
      <c r="E22" s="64">
        <v>5.48</v>
      </c>
      <c r="F22" s="64">
        <v>2.1</v>
      </c>
      <c r="G22" s="64">
        <v>25.91</v>
      </c>
      <c r="H22" s="64">
        <v>13.65</v>
      </c>
      <c r="I22" s="64">
        <v>1.84</v>
      </c>
      <c r="J22" s="64">
        <v>0.09</v>
      </c>
      <c r="K22" s="64">
        <v>118.15</v>
      </c>
      <c r="L22" s="64">
        <v>22.16</v>
      </c>
      <c r="M22" s="64">
        <v>98.3</v>
      </c>
      <c r="N22" s="64">
        <v>40.299999999999997</v>
      </c>
      <c r="O22" s="64">
        <v>0</v>
      </c>
      <c r="P22" s="64">
        <v>0.47</v>
      </c>
      <c r="Q22" s="64">
        <v>9.02</v>
      </c>
      <c r="R22" s="198"/>
      <c r="S22" s="198"/>
      <c r="T22" s="198"/>
      <c r="U22" s="198"/>
    </row>
    <row r="23" spans="1:21" s="12" customFormat="1" x14ac:dyDescent="0.25">
      <c r="A23" s="211" t="s">
        <v>1510</v>
      </c>
      <c r="B23" s="64">
        <v>7.11</v>
      </c>
      <c r="C23" s="64">
        <v>9.76</v>
      </c>
      <c r="D23" s="64">
        <v>10.8</v>
      </c>
      <c r="E23" s="64">
        <v>5.58</v>
      </c>
      <c r="F23" s="64">
        <v>2.1</v>
      </c>
      <c r="G23" s="64">
        <v>25.91</v>
      </c>
      <c r="H23" s="64">
        <v>13.65</v>
      </c>
      <c r="I23" s="64">
        <v>1.83</v>
      </c>
      <c r="J23" s="64">
        <v>0.04</v>
      </c>
      <c r="K23" s="64">
        <v>151.51</v>
      </c>
      <c r="L23" s="64">
        <v>22.05</v>
      </c>
      <c r="M23" s="64">
        <v>98.31</v>
      </c>
      <c r="N23" s="64">
        <v>40.200000000000003</v>
      </c>
      <c r="O23" s="64">
        <v>0</v>
      </c>
      <c r="P23" s="64">
        <v>0.46</v>
      </c>
      <c r="Q23" s="64">
        <v>9.0299999999999994</v>
      </c>
      <c r="R23" s="198"/>
      <c r="S23" s="198"/>
      <c r="T23" s="198"/>
      <c r="U23" s="198"/>
    </row>
    <row r="24" spans="1:21" s="12" customFormat="1" x14ac:dyDescent="0.25">
      <c r="A24" s="211" t="s">
        <v>1511</v>
      </c>
      <c r="B24" s="64">
        <v>7.2</v>
      </c>
      <c r="C24" s="64">
        <v>9.41</v>
      </c>
      <c r="D24" s="64">
        <v>10.69</v>
      </c>
      <c r="E24" s="64">
        <v>5.55</v>
      </c>
      <c r="F24" s="64">
        <v>2.1</v>
      </c>
      <c r="G24" s="64">
        <v>25.91</v>
      </c>
      <c r="H24" s="64">
        <v>13.65</v>
      </c>
      <c r="I24" s="64">
        <v>1.84</v>
      </c>
      <c r="J24" s="64">
        <v>0.1</v>
      </c>
      <c r="K24" s="64">
        <v>122.79</v>
      </c>
      <c r="L24" s="64">
        <v>21.97</v>
      </c>
      <c r="M24" s="64">
        <v>98.31</v>
      </c>
      <c r="N24" s="64">
        <v>40.299999999999997</v>
      </c>
      <c r="O24" s="64">
        <v>0</v>
      </c>
      <c r="P24" s="64">
        <v>0.48</v>
      </c>
      <c r="Q24" s="64">
        <v>9.02</v>
      </c>
      <c r="R24" s="198"/>
      <c r="S24" s="198"/>
      <c r="T24" s="198"/>
      <c r="U24" s="198"/>
    </row>
    <row r="25" spans="1:21" s="12" customFormat="1" x14ac:dyDescent="0.25">
      <c r="A25" s="211" t="s">
        <v>1512</v>
      </c>
      <c r="B25" s="64">
        <v>7.26</v>
      </c>
      <c r="C25" s="64">
        <v>12.13</v>
      </c>
      <c r="D25" s="64">
        <v>12.16</v>
      </c>
      <c r="E25" s="64">
        <v>5.69</v>
      </c>
      <c r="F25" s="64">
        <v>2.1</v>
      </c>
      <c r="G25" s="64">
        <v>25.71</v>
      </c>
      <c r="H25" s="64">
        <v>10.71</v>
      </c>
      <c r="I25" s="64">
        <v>1.85</v>
      </c>
      <c r="J25" s="64">
        <v>0.08</v>
      </c>
      <c r="K25" s="64">
        <v>121.81</v>
      </c>
      <c r="L25" s="64">
        <v>21.96</v>
      </c>
      <c r="M25" s="64">
        <v>98.3</v>
      </c>
      <c r="N25" s="64">
        <v>40.299999999999997</v>
      </c>
      <c r="O25" s="64">
        <v>0</v>
      </c>
      <c r="P25" s="64">
        <v>0.46</v>
      </c>
      <c r="Q25" s="64">
        <v>9.0299999999999994</v>
      </c>
      <c r="R25" s="198"/>
      <c r="S25" s="198"/>
      <c r="T25" s="198"/>
      <c r="U25" s="198"/>
    </row>
    <row r="26" spans="1:21" s="12" customFormat="1" x14ac:dyDescent="0.25">
      <c r="A26" s="211" t="s">
        <v>1513</v>
      </c>
      <c r="B26" s="64">
        <v>6.93</v>
      </c>
      <c r="C26" s="64">
        <v>11.28</v>
      </c>
      <c r="D26" s="64">
        <v>11.45</v>
      </c>
      <c r="E26" s="64">
        <v>5.28</v>
      </c>
      <c r="F26" s="64">
        <v>2.44</v>
      </c>
      <c r="G26" s="64">
        <v>25.7</v>
      </c>
      <c r="H26" s="64">
        <v>10.71</v>
      </c>
      <c r="I26" s="64">
        <v>1.87</v>
      </c>
      <c r="J26" s="64">
        <v>0.05</v>
      </c>
      <c r="K26" s="64">
        <v>301.57</v>
      </c>
      <c r="L26" s="64">
        <v>21.94</v>
      </c>
      <c r="M26" s="64">
        <v>98.32</v>
      </c>
      <c r="N26" s="64">
        <v>40.4</v>
      </c>
      <c r="O26" s="64">
        <v>0</v>
      </c>
      <c r="P26" s="64">
        <v>0.47</v>
      </c>
      <c r="Q26" s="64">
        <v>9.0500000000000007</v>
      </c>
      <c r="R26" s="198"/>
      <c r="S26" s="198"/>
      <c r="T26" s="198"/>
      <c r="U26" s="198"/>
    </row>
    <row r="27" spans="1:21" s="12" customFormat="1" x14ac:dyDescent="0.25">
      <c r="A27" s="211" t="s">
        <v>1514</v>
      </c>
      <c r="B27" s="64">
        <v>7.26</v>
      </c>
      <c r="C27" s="64">
        <v>11.17</v>
      </c>
      <c r="D27" s="64">
        <v>11.66</v>
      </c>
      <c r="E27" s="64">
        <v>5.46</v>
      </c>
      <c r="F27" s="64">
        <v>2.13</v>
      </c>
      <c r="G27" s="64">
        <v>25.7</v>
      </c>
      <c r="H27" s="64">
        <v>10.71</v>
      </c>
      <c r="I27" s="64">
        <v>1.89</v>
      </c>
      <c r="J27" s="64">
        <v>0.09</v>
      </c>
      <c r="K27" s="64">
        <v>315.99</v>
      </c>
      <c r="L27" s="64">
        <v>21.88</v>
      </c>
      <c r="M27" s="64">
        <v>98.31</v>
      </c>
      <c r="N27" s="64">
        <v>40.1</v>
      </c>
      <c r="O27" s="64">
        <v>0</v>
      </c>
      <c r="P27" s="64">
        <v>0.46</v>
      </c>
      <c r="Q27" s="64">
        <v>9.07</v>
      </c>
      <c r="R27" s="198"/>
      <c r="S27" s="198"/>
      <c r="T27" s="198"/>
      <c r="U27" s="198"/>
    </row>
    <row r="28" spans="1:21" s="12" customFormat="1" x14ac:dyDescent="0.25">
      <c r="A28" s="211" t="s">
        <v>1515</v>
      </c>
      <c r="B28" s="64">
        <v>7.44</v>
      </c>
      <c r="C28" s="64">
        <v>10.52</v>
      </c>
      <c r="D28" s="64">
        <v>11.46</v>
      </c>
      <c r="E28" s="64">
        <v>5.73</v>
      </c>
      <c r="F28" s="64">
        <v>2.1</v>
      </c>
      <c r="G28" s="64">
        <v>25.7</v>
      </c>
      <c r="H28" s="64">
        <v>10.71</v>
      </c>
      <c r="I28" s="64">
        <v>1.89</v>
      </c>
      <c r="J28" s="64">
        <v>0.01</v>
      </c>
      <c r="K28" s="64">
        <v>4.5</v>
      </c>
      <c r="L28" s="64">
        <v>21.91</v>
      </c>
      <c r="M28" s="64">
        <v>98.35</v>
      </c>
      <c r="N28" s="64">
        <v>40.200000000000003</v>
      </c>
      <c r="O28" s="64">
        <v>0</v>
      </c>
      <c r="P28" s="64">
        <v>0.46</v>
      </c>
      <c r="Q28" s="64">
        <v>9.08</v>
      </c>
      <c r="R28" s="198"/>
      <c r="S28" s="198"/>
      <c r="T28" s="198"/>
      <c r="U28" s="198"/>
    </row>
    <row r="29" spans="1:21" s="12" customFormat="1" x14ac:dyDescent="0.25">
      <c r="A29" s="211" t="s">
        <v>1516</v>
      </c>
      <c r="B29" s="64">
        <v>7.31</v>
      </c>
      <c r="C29" s="64">
        <v>11.04</v>
      </c>
      <c r="D29" s="64">
        <v>11.63</v>
      </c>
      <c r="E29" s="64">
        <v>5.39</v>
      </c>
      <c r="F29" s="64">
        <v>2.1</v>
      </c>
      <c r="G29" s="64">
        <v>27.6</v>
      </c>
      <c r="H29" s="64">
        <v>8.65</v>
      </c>
      <c r="I29" s="64">
        <v>1.9</v>
      </c>
      <c r="J29" s="64">
        <v>0.08</v>
      </c>
      <c r="K29" s="64">
        <v>137.78</v>
      </c>
      <c r="L29" s="64">
        <v>21.72</v>
      </c>
      <c r="M29" s="64">
        <v>98.35</v>
      </c>
      <c r="N29" s="64">
        <v>40.299999999999997</v>
      </c>
      <c r="O29" s="64">
        <v>0</v>
      </c>
      <c r="P29" s="64">
        <v>0.45</v>
      </c>
      <c r="Q29" s="64">
        <v>9.09</v>
      </c>
      <c r="R29" s="198"/>
      <c r="S29" s="198"/>
      <c r="T29" s="198"/>
      <c r="U29" s="198"/>
    </row>
    <row r="30" spans="1:21" s="12" customFormat="1" x14ac:dyDescent="0.25">
      <c r="A30" s="211" t="s">
        <v>1517</v>
      </c>
      <c r="B30" s="64">
        <v>7.6</v>
      </c>
      <c r="C30" s="64">
        <v>10.38</v>
      </c>
      <c r="D30" s="64">
        <v>11.52</v>
      </c>
      <c r="E30" s="64">
        <v>5.43</v>
      </c>
      <c r="F30" s="64">
        <v>2.1</v>
      </c>
      <c r="G30" s="64">
        <v>27.74</v>
      </c>
      <c r="H30" s="64">
        <v>8.65</v>
      </c>
      <c r="I30" s="64">
        <v>1.9</v>
      </c>
      <c r="J30" s="64">
        <v>0.17</v>
      </c>
      <c r="K30" s="64">
        <v>148.11000000000001</v>
      </c>
      <c r="L30" s="64">
        <v>21.64</v>
      </c>
      <c r="M30" s="64">
        <v>98.37</v>
      </c>
      <c r="N30" s="64">
        <v>40.200000000000003</v>
      </c>
      <c r="O30" s="64">
        <v>0</v>
      </c>
      <c r="P30" s="64">
        <v>0.47</v>
      </c>
      <c r="Q30" s="64">
        <v>9.09</v>
      </c>
      <c r="R30" s="198"/>
      <c r="S30" s="198"/>
      <c r="T30" s="198"/>
      <c r="U30" s="198"/>
    </row>
    <row r="31" spans="1:21" s="12" customFormat="1" x14ac:dyDescent="0.25">
      <c r="A31" s="211" t="s">
        <v>1518</v>
      </c>
      <c r="B31" s="64">
        <v>10.26</v>
      </c>
      <c r="C31" s="64">
        <v>13.36</v>
      </c>
      <c r="D31" s="64">
        <v>15.21</v>
      </c>
      <c r="E31" s="64">
        <v>5.42</v>
      </c>
      <c r="F31" s="64">
        <v>2.1</v>
      </c>
      <c r="G31" s="64">
        <v>27.74</v>
      </c>
      <c r="H31" s="64">
        <v>8.65</v>
      </c>
      <c r="I31" s="64">
        <v>1.91</v>
      </c>
      <c r="J31" s="64">
        <v>0.02</v>
      </c>
      <c r="K31" s="64">
        <v>58.81</v>
      </c>
      <c r="L31" s="64">
        <v>21.61</v>
      </c>
      <c r="M31" s="64">
        <v>98.41</v>
      </c>
      <c r="N31" s="64">
        <v>40.6</v>
      </c>
      <c r="O31" s="64">
        <v>0</v>
      </c>
      <c r="P31" s="64">
        <v>0.53</v>
      </c>
      <c r="Q31" s="64">
        <v>9.1</v>
      </c>
      <c r="R31" s="198"/>
      <c r="S31" s="198"/>
      <c r="T31" s="198"/>
      <c r="U31" s="198"/>
    </row>
    <row r="32" spans="1:21" s="12" customFormat="1" x14ac:dyDescent="0.25">
      <c r="A32" s="211" t="s">
        <v>1519</v>
      </c>
      <c r="B32" s="64">
        <v>8.57</v>
      </c>
      <c r="C32" s="64">
        <v>12.38</v>
      </c>
      <c r="D32" s="64">
        <v>13.34</v>
      </c>
      <c r="E32" s="64">
        <v>5.49</v>
      </c>
      <c r="F32" s="64">
        <v>2.1</v>
      </c>
      <c r="G32" s="64">
        <v>27.74</v>
      </c>
      <c r="H32" s="64">
        <v>8.65</v>
      </c>
      <c r="I32" s="64">
        <v>1.91</v>
      </c>
      <c r="J32" s="64">
        <v>0.12</v>
      </c>
      <c r="K32" s="64">
        <v>271.11</v>
      </c>
      <c r="L32" s="64">
        <v>21.61</v>
      </c>
      <c r="M32" s="64">
        <v>98.43</v>
      </c>
      <c r="N32" s="64">
        <v>43.7</v>
      </c>
      <c r="O32" s="64">
        <v>0</v>
      </c>
      <c r="P32" s="64">
        <v>0.51</v>
      </c>
      <c r="Q32" s="64">
        <v>9.09</v>
      </c>
      <c r="R32" s="198"/>
      <c r="S32" s="198"/>
      <c r="T32" s="198"/>
      <c r="U32" s="198"/>
    </row>
    <row r="33" spans="1:21" s="12" customFormat="1" x14ac:dyDescent="0.25">
      <c r="A33" s="211" t="s">
        <v>1520</v>
      </c>
      <c r="B33" s="64">
        <v>11.09</v>
      </c>
      <c r="C33" s="64">
        <v>9.7799999999999994</v>
      </c>
      <c r="D33" s="64">
        <v>14.01</v>
      </c>
      <c r="E33" s="64">
        <v>5.65</v>
      </c>
      <c r="F33" s="64">
        <v>2.1</v>
      </c>
      <c r="G33" s="64">
        <v>30.57</v>
      </c>
      <c r="H33" s="64">
        <v>7.21</v>
      </c>
      <c r="I33" s="64">
        <v>1.92</v>
      </c>
      <c r="J33" s="64">
        <v>7.0000000000000007E-2</v>
      </c>
      <c r="K33" s="64">
        <v>261.62</v>
      </c>
      <c r="L33" s="64">
        <v>21.69</v>
      </c>
      <c r="M33" s="64">
        <v>98.43</v>
      </c>
      <c r="N33" s="64">
        <v>53.8</v>
      </c>
      <c r="O33" s="64">
        <v>0</v>
      </c>
      <c r="P33" s="64">
        <v>0.51</v>
      </c>
      <c r="Q33" s="64">
        <v>9.09</v>
      </c>
      <c r="R33" s="198"/>
      <c r="S33" s="198"/>
      <c r="T33" s="198"/>
      <c r="U33" s="198"/>
    </row>
    <row r="34" spans="1:21" s="12" customFormat="1" x14ac:dyDescent="0.25">
      <c r="A34" s="211" t="s">
        <v>1521</v>
      </c>
      <c r="B34" s="64">
        <v>10.14</v>
      </c>
      <c r="C34" s="64">
        <v>10.15</v>
      </c>
      <c r="D34" s="64">
        <v>13.43</v>
      </c>
      <c r="E34" s="64">
        <v>5.48</v>
      </c>
      <c r="F34" s="64">
        <v>2.31</v>
      </c>
      <c r="G34" s="64">
        <v>30.78</v>
      </c>
      <c r="H34" s="64">
        <v>7.21</v>
      </c>
      <c r="I34" s="64">
        <v>1.94</v>
      </c>
      <c r="J34" s="64">
        <v>0.06</v>
      </c>
      <c r="K34" s="64">
        <v>307.16000000000003</v>
      </c>
      <c r="L34" s="64">
        <v>21.95</v>
      </c>
      <c r="M34" s="64">
        <v>98.41</v>
      </c>
      <c r="N34" s="64">
        <v>73.2</v>
      </c>
      <c r="O34" s="64">
        <v>0</v>
      </c>
      <c r="P34" s="64">
        <v>0.53</v>
      </c>
      <c r="Q34" s="64">
        <v>9.08</v>
      </c>
      <c r="R34" s="198"/>
      <c r="S34" s="198"/>
      <c r="T34" s="198"/>
      <c r="U34" s="198"/>
    </row>
    <row r="35" spans="1:21" s="12" customFormat="1" x14ac:dyDescent="0.25">
      <c r="A35" s="211" t="s">
        <v>1522</v>
      </c>
      <c r="B35" s="64">
        <v>11.89</v>
      </c>
      <c r="C35" s="64">
        <v>9.6199999999999992</v>
      </c>
      <c r="D35" s="64">
        <v>14.56</v>
      </c>
      <c r="E35" s="64">
        <v>5.57</v>
      </c>
      <c r="F35" s="64">
        <v>2.1</v>
      </c>
      <c r="G35" s="64">
        <v>30.78</v>
      </c>
      <c r="H35" s="64">
        <v>7.21</v>
      </c>
      <c r="I35" s="64">
        <v>1.94</v>
      </c>
      <c r="J35" s="64">
        <v>0.05</v>
      </c>
      <c r="K35" s="64">
        <v>17.920000000000002</v>
      </c>
      <c r="L35" s="64">
        <v>22.58</v>
      </c>
      <c r="M35" s="64">
        <v>98.39</v>
      </c>
      <c r="N35" s="64">
        <v>115.5</v>
      </c>
      <c r="O35" s="64">
        <v>0</v>
      </c>
      <c r="P35" s="64">
        <v>0.56000000000000005</v>
      </c>
      <c r="Q35" s="64">
        <v>9.09</v>
      </c>
      <c r="R35" s="198"/>
      <c r="S35" s="198"/>
      <c r="T35" s="198"/>
      <c r="U35" s="198"/>
    </row>
    <row r="36" spans="1:21" s="12" customFormat="1" x14ac:dyDescent="0.25">
      <c r="A36" s="211" t="s">
        <v>1523</v>
      </c>
      <c r="B36" s="64">
        <v>10.43</v>
      </c>
      <c r="C36" s="64">
        <v>13.06</v>
      </c>
      <c r="D36" s="64">
        <v>15.19</v>
      </c>
      <c r="E36" s="64">
        <v>5.57</v>
      </c>
      <c r="F36" s="64">
        <v>5.26</v>
      </c>
      <c r="G36" s="64">
        <v>30.78</v>
      </c>
      <c r="H36" s="64">
        <v>7.21</v>
      </c>
      <c r="I36" s="64">
        <v>1.96</v>
      </c>
      <c r="J36" s="64">
        <v>0.27</v>
      </c>
      <c r="K36" s="64">
        <v>140.52000000000001</v>
      </c>
      <c r="L36" s="64">
        <v>23.5</v>
      </c>
      <c r="M36" s="64">
        <v>98.33</v>
      </c>
      <c r="N36" s="64">
        <v>157.69999999999999</v>
      </c>
      <c r="O36" s="64">
        <v>0</v>
      </c>
      <c r="P36" s="64">
        <v>0.54</v>
      </c>
      <c r="Q36" s="64">
        <v>9.09</v>
      </c>
      <c r="R36" s="198"/>
      <c r="S36" s="198"/>
      <c r="T36" s="198"/>
      <c r="U36" s="198"/>
    </row>
    <row r="37" spans="1:21" s="12" customFormat="1" x14ac:dyDescent="0.25">
      <c r="A37" s="211" t="s">
        <v>1524</v>
      </c>
      <c r="B37" s="64">
        <v>12.53</v>
      </c>
      <c r="C37" s="64">
        <v>7.97</v>
      </c>
      <c r="D37" s="64">
        <v>14.21</v>
      </c>
      <c r="E37" s="64">
        <v>5.13</v>
      </c>
      <c r="F37" s="64">
        <v>2.4900000000000002</v>
      </c>
      <c r="G37" s="64">
        <v>33.01</v>
      </c>
      <c r="H37" s="64">
        <v>9.69</v>
      </c>
      <c r="I37" s="64">
        <v>2</v>
      </c>
      <c r="J37" s="64">
        <v>0.02</v>
      </c>
      <c r="K37" s="64">
        <v>211.2</v>
      </c>
      <c r="L37" s="64">
        <v>24.4</v>
      </c>
      <c r="M37" s="64">
        <v>98.29</v>
      </c>
      <c r="N37" s="64">
        <v>205.8</v>
      </c>
      <c r="O37" s="64">
        <v>0</v>
      </c>
      <c r="P37" s="64">
        <v>0.52</v>
      </c>
      <c r="Q37" s="64">
        <v>9.09</v>
      </c>
      <c r="R37" s="198"/>
      <c r="S37" s="198"/>
      <c r="T37" s="198"/>
      <c r="U37" s="198"/>
    </row>
    <row r="38" spans="1:21" s="12" customFormat="1" x14ac:dyDescent="0.25">
      <c r="A38" s="211" t="s">
        <v>1525</v>
      </c>
      <c r="B38" s="64">
        <v>10.71</v>
      </c>
      <c r="C38" s="64">
        <v>10.86</v>
      </c>
      <c r="D38" s="64">
        <v>14.27</v>
      </c>
      <c r="E38" s="64">
        <v>5.33</v>
      </c>
      <c r="F38" s="64">
        <v>3.16</v>
      </c>
      <c r="G38" s="64">
        <v>33.17</v>
      </c>
      <c r="H38" s="64">
        <v>9.69</v>
      </c>
      <c r="I38" s="64">
        <v>2.15</v>
      </c>
      <c r="J38" s="64">
        <v>0.25</v>
      </c>
      <c r="K38" s="64">
        <v>125.72</v>
      </c>
      <c r="L38" s="64">
        <v>25.41</v>
      </c>
      <c r="M38" s="64">
        <v>97.18</v>
      </c>
      <c r="N38" s="64">
        <v>254.3</v>
      </c>
      <c r="O38" s="64">
        <v>0</v>
      </c>
      <c r="P38" s="64">
        <v>0.57999999999999996</v>
      </c>
      <c r="Q38" s="64">
        <v>9.1</v>
      </c>
      <c r="R38" s="198"/>
      <c r="S38" s="198"/>
      <c r="T38" s="198"/>
      <c r="U38" s="198"/>
    </row>
    <row r="39" spans="1:21" s="12" customFormat="1" x14ac:dyDescent="0.25">
      <c r="A39" s="211" t="s">
        <v>1526</v>
      </c>
      <c r="B39" s="64">
        <v>12.4</v>
      </c>
      <c r="C39" s="64">
        <v>9.91</v>
      </c>
      <c r="D39" s="64">
        <v>15.12</v>
      </c>
      <c r="E39" s="64">
        <v>5.38</v>
      </c>
      <c r="F39" s="64">
        <v>2.17</v>
      </c>
      <c r="G39" s="64">
        <v>33.17</v>
      </c>
      <c r="H39" s="64">
        <v>9.69</v>
      </c>
      <c r="I39" s="64">
        <v>2.2599999999999998</v>
      </c>
      <c r="J39" s="64">
        <v>0.05</v>
      </c>
      <c r="K39" s="64">
        <v>92.78</v>
      </c>
      <c r="L39" s="64">
        <v>26.33</v>
      </c>
      <c r="M39" s="64">
        <v>90.44</v>
      </c>
      <c r="N39" s="64">
        <v>295.60000000000002</v>
      </c>
      <c r="O39" s="64">
        <v>0</v>
      </c>
      <c r="P39" s="64">
        <v>0.56999999999999995</v>
      </c>
      <c r="Q39" s="64">
        <v>9.11</v>
      </c>
      <c r="R39" s="198"/>
      <c r="S39" s="198"/>
      <c r="T39" s="198"/>
      <c r="U39" s="198"/>
    </row>
    <row r="40" spans="1:21" s="12" customFormat="1" x14ac:dyDescent="0.25">
      <c r="A40" s="211" t="s">
        <v>1527</v>
      </c>
      <c r="B40" s="64">
        <v>11.74</v>
      </c>
      <c r="C40" s="64">
        <v>13.59</v>
      </c>
      <c r="D40" s="64">
        <v>16.52</v>
      </c>
      <c r="E40" s="64">
        <v>5.17</v>
      </c>
      <c r="F40" s="64">
        <v>5.67</v>
      </c>
      <c r="G40" s="64">
        <v>33.17</v>
      </c>
      <c r="H40" s="64">
        <v>9.69</v>
      </c>
      <c r="I40" s="64">
        <v>2.29</v>
      </c>
      <c r="J40" s="64">
        <v>0.53</v>
      </c>
      <c r="K40" s="64">
        <v>130.03</v>
      </c>
      <c r="L40" s="64">
        <v>25.74</v>
      </c>
      <c r="M40" s="64">
        <v>93.37</v>
      </c>
      <c r="N40" s="64">
        <v>280.60000000000002</v>
      </c>
      <c r="O40" s="64">
        <v>0</v>
      </c>
      <c r="P40" s="64">
        <v>0.56999999999999995</v>
      </c>
      <c r="Q40" s="64">
        <v>9.1199999999999992</v>
      </c>
      <c r="R40" s="198"/>
      <c r="S40" s="198"/>
      <c r="T40" s="198"/>
      <c r="U40" s="198"/>
    </row>
    <row r="41" spans="1:21" s="12" customFormat="1" x14ac:dyDescent="0.25">
      <c r="A41" s="211" t="s">
        <v>1528</v>
      </c>
      <c r="B41" s="64">
        <v>12.65</v>
      </c>
      <c r="C41" s="64">
        <v>14.47</v>
      </c>
      <c r="D41" s="64">
        <v>17.7</v>
      </c>
      <c r="E41" s="64">
        <v>5.44</v>
      </c>
      <c r="F41" s="64">
        <v>6.16</v>
      </c>
      <c r="G41" s="64">
        <v>36.659999999999997</v>
      </c>
      <c r="H41" s="64">
        <v>7.94</v>
      </c>
      <c r="I41" s="64">
        <v>2.3199999999999998</v>
      </c>
      <c r="J41" s="64">
        <v>0.32</v>
      </c>
      <c r="K41" s="64">
        <v>128.27000000000001</v>
      </c>
      <c r="L41" s="64">
        <v>25.59</v>
      </c>
      <c r="M41" s="64">
        <v>92.97</v>
      </c>
      <c r="N41" s="64">
        <v>256.2</v>
      </c>
      <c r="O41" s="64">
        <v>0</v>
      </c>
      <c r="P41" s="64">
        <v>0.55000000000000004</v>
      </c>
      <c r="Q41" s="64">
        <v>9.1199999999999992</v>
      </c>
      <c r="R41" s="198"/>
      <c r="S41" s="198"/>
      <c r="T41" s="198"/>
      <c r="U41" s="198"/>
    </row>
    <row r="42" spans="1:21" s="12" customFormat="1" x14ac:dyDescent="0.25">
      <c r="A42" s="211" t="s">
        <v>1529</v>
      </c>
      <c r="B42" s="64">
        <v>15.2</v>
      </c>
      <c r="C42" s="64">
        <v>15.3</v>
      </c>
      <c r="D42" s="64">
        <v>20.18</v>
      </c>
      <c r="E42" s="64">
        <v>5.35</v>
      </c>
      <c r="F42" s="64">
        <v>5.2</v>
      </c>
      <c r="G42" s="64">
        <v>36.909999999999997</v>
      </c>
      <c r="H42" s="64">
        <v>7.94</v>
      </c>
      <c r="I42" s="64">
        <v>2.34</v>
      </c>
      <c r="J42" s="64">
        <v>0.21</v>
      </c>
      <c r="K42" s="64">
        <v>332.55</v>
      </c>
      <c r="L42" s="64">
        <v>26.5</v>
      </c>
      <c r="M42" s="64">
        <v>88.61</v>
      </c>
      <c r="N42" s="64">
        <v>319.2</v>
      </c>
      <c r="O42" s="64">
        <v>0</v>
      </c>
      <c r="P42" s="64">
        <v>0.64</v>
      </c>
      <c r="Q42" s="64">
        <v>9.1199999999999992</v>
      </c>
      <c r="R42" s="198"/>
      <c r="S42" s="198"/>
      <c r="T42" s="198"/>
      <c r="U42" s="198"/>
    </row>
    <row r="43" spans="1:21" s="12" customFormat="1" x14ac:dyDescent="0.25">
      <c r="A43" s="211" t="s">
        <v>1530</v>
      </c>
      <c r="B43" s="64">
        <v>9.85</v>
      </c>
      <c r="C43" s="64">
        <v>10.15</v>
      </c>
      <c r="D43" s="64">
        <v>13.2</v>
      </c>
      <c r="E43" s="64">
        <v>5.88</v>
      </c>
      <c r="F43" s="64">
        <v>7.22</v>
      </c>
      <c r="G43" s="64">
        <v>36.909999999999997</v>
      </c>
      <c r="H43" s="64">
        <v>7.94</v>
      </c>
      <c r="I43" s="64">
        <v>2.36</v>
      </c>
      <c r="J43" s="64">
        <v>0.91</v>
      </c>
      <c r="K43" s="64">
        <v>130.37</v>
      </c>
      <c r="L43" s="64">
        <v>26.11</v>
      </c>
      <c r="M43" s="64">
        <v>86.5</v>
      </c>
      <c r="N43" s="64">
        <v>323.2</v>
      </c>
      <c r="O43" s="64">
        <v>0</v>
      </c>
      <c r="P43" s="64">
        <v>0.48</v>
      </c>
      <c r="Q43" s="64">
        <v>9.1300000000000008</v>
      </c>
      <c r="R43" s="198"/>
      <c r="S43" s="198"/>
      <c r="T43" s="198"/>
      <c r="U43" s="198"/>
    </row>
    <row r="44" spans="1:21" s="12" customFormat="1" x14ac:dyDescent="0.25">
      <c r="A44" s="211" t="s">
        <v>1531</v>
      </c>
      <c r="B44" s="64">
        <v>15.48</v>
      </c>
      <c r="C44" s="64">
        <v>13.63</v>
      </c>
      <c r="D44" s="64">
        <v>19.53</v>
      </c>
      <c r="E44" s="64">
        <v>5.84</v>
      </c>
      <c r="F44" s="64">
        <v>5.43</v>
      </c>
      <c r="G44" s="64">
        <v>36.909999999999997</v>
      </c>
      <c r="H44" s="64">
        <v>7.94</v>
      </c>
      <c r="I44" s="64">
        <v>2.37</v>
      </c>
      <c r="J44" s="64">
        <v>0.28999999999999998</v>
      </c>
      <c r="K44" s="64">
        <v>125.96</v>
      </c>
      <c r="L44" s="64">
        <v>26.13</v>
      </c>
      <c r="M44" s="64">
        <v>89.77</v>
      </c>
      <c r="N44" s="64">
        <v>310.5</v>
      </c>
      <c r="O44" s="64">
        <v>0</v>
      </c>
      <c r="P44" s="64">
        <v>0.53</v>
      </c>
      <c r="Q44" s="64">
        <v>9.15</v>
      </c>
      <c r="R44" s="198"/>
      <c r="S44" s="198"/>
      <c r="T44" s="198"/>
      <c r="U44" s="198"/>
    </row>
    <row r="45" spans="1:21" s="12" customFormat="1" x14ac:dyDescent="0.25">
      <c r="A45" s="211" t="s">
        <v>1532</v>
      </c>
      <c r="B45" s="64">
        <v>13.86</v>
      </c>
      <c r="C45" s="64">
        <v>12.26</v>
      </c>
      <c r="D45" s="64">
        <v>17.52</v>
      </c>
      <c r="E45" s="64">
        <v>5.69</v>
      </c>
      <c r="F45" s="64">
        <v>5.2</v>
      </c>
      <c r="G45" s="64">
        <v>36.46</v>
      </c>
      <c r="H45" s="64">
        <v>6.71</v>
      </c>
      <c r="I45" s="64">
        <v>2.36</v>
      </c>
      <c r="J45" s="64">
        <v>0.31</v>
      </c>
      <c r="K45" s="64">
        <v>346.98</v>
      </c>
      <c r="L45" s="64">
        <v>27.46</v>
      </c>
      <c r="M45" s="64">
        <v>81.83</v>
      </c>
      <c r="N45" s="64">
        <v>484</v>
      </c>
      <c r="O45" s="64">
        <v>0</v>
      </c>
      <c r="P45" s="64">
        <v>0.59</v>
      </c>
      <c r="Q45" s="64">
        <v>9.16</v>
      </c>
      <c r="R45" s="198"/>
      <c r="S45" s="198"/>
      <c r="T45" s="198"/>
      <c r="U45" s="198"/>
    </row>
    <row r="46" spans="1:21" s="12" customFormat="1" x14ac:dyDescent="0.25">
      <c r="A46" s="211" t="s">
        <v>1533</v>
      </c>
      <c r="B46" s="64">
        <v>15.48</v>
      </c>
      <c r="C46" s="64">
        <v>15.37</v>
      </c>
      <c r="D46" s="64">
        <v>20.45</v>
      </c>
      <c r="E46" s="64">
        <v>5.95</v>
      </c>
      <c r="F46" s="64">
        <v>6.33</v>
      </c>
      <c r="G46" s="64">
        <v>36.43</v>
      </c>
      <c r="H46" s="64">
        <v>6.71</v>
      </c>
      <c r="I46" s="64">
        <v>2.35</v>
      </c>
      <c r="J46" s="64">
        <v>0.24</v>
      </c>
      <c r="K46" s="64">
        <v>345.89</v>
      </c>
      <c r="L46" s="64">
        <v>29.69</v>
      </c>
      <c r="M46" s="64">
        <v>69.150000000000006</v>
      </c>
      <c r="N46" s="64">
        <v>626.20000000000005</v>
      </c>
      <c r="O46" s="64">
        <v>0</v>
      </c>
      <c r="P46" s="64">
        <v>0.59</v>
      </c>
      <c r="Q46" s="64">
        <v>9.18</v>
      </c>
      <c r="R46" s="198"/>
      <c r="S46" s="198"/>
      <c r="T46" s="198"/>
      <c r="U46" s="198"/>
    </row>
    <row r="47" spans="1:21" s="12" customFormat="1" x14ac:dyDescent="0.25">
      <c r="A47" s="211" t="s">
        <v>1534</v>
      </c>
      <c r="B47" s="64">
        <v>13.23</v>
      </c>
      <c r="C47" s="64">
        <v>12.94</v>
      </c>
      <c r="D47" s="64">
        <v>17.32</v>
      </c>
      <c r="E47" s="64">
        <v>6.04</v>
      </c>
      <c r="F47" s="64">
        <v>5.67</v>
      </c>
      <c r="G47" s="64">
        <v>36.43</v>
      </c>
      <c r="H47" s="64">
        <v>6.71</v>
      </c>
      <c r="I47" s="64">
        <v>2.36</v>
      </c>
      <c r="J47" s="64">
        <v>0.15</v>
      </c>
      <c r="K47" s="64">
        <v>103.69</v>
      </c>
      <c r="L47" s="64">
        <v>30.18</v>
      </c>
      <c r="M47" s="64">
        <v>66.739999999999995</v>
      </c>
      <c r="N47" s="64">
        <v>691.2</v>
      </c>
      <c r="O47" s="64">
        <v>0</v>
      </c>
      <c r="P47" s="64">
        <v>0.61</v>
      </c>
      <c r="Q47" s="64">
        <v>9.18</v>
      </c>
      <c r="R47" s="198"/>
      <c r="S47" s="198"/>
      <c r="T47" s="198"/>
      <c r="U47" s="198"/>
    </row>
    <row r="48" spans="1:21" s="12" customFormat="1" x14ac:dyDescent="0.25">
      <c r="A48" s="211" t="s">
        <v>1535</v>
      </c>
      <c r="B48" s="64">
        <v>12.16</v>
      </c>
      <c r="C48" s="64">
        <v>15.2</v>
      </c>
      <c r="D48" s="64">
        <v>17.690000000000001</v>
      </c>
      <c r="E48" s="64">
        <v>6.43</v>
      </c>
      <c r="F48" s="64">
        <v>6.38</v>
      </c>
      <c r="G48" s="64">
        <v>36.43</v>
      </c>
      <c r="H48" s="64">
        <v>6.71</v>
      </c>
      <c r="I48" s="64">
        <v>2.36</v>
      </c>
      <c r="J48" s="64">
        <v>0.22</v>
      </c>
      <c r="K48" s="64">
        <v>119.75</v>
      </c>
      <c r="L48" s="64">
        <v>30.21</v>
      </c>
      <c r="M48" s="64">
        <v>64.78</v>
      </c>
      <c r="N48" s="64">
        <v>718.6</v>
      </c>
      <c r="O48" s="64">
        <v>0</v>
      </c>
      <c r="P48" s="64">
        <v>0.61</v>
      </c>
      <c r="Q48" s="64">
        <v>9.18</v>
      </c>
      <c r="R48" s="198"/>
      <c r="S48" s="198"/>
      <c r="T48" s="198"/>
      <c r="U48" s="198"/>
    </row>
    <row r="49" spans="1:21" s="12" customFormat="1" x14ac:dyDescent="0.25">
      <c r="A49" s="211" t="s">
        <v>1536</v>
      </c>
      <c r="B49" s="64">
        <v>8.9</v>
      </c>
      <c r="C49" s="64">
        <v>9.65</v>
      </c>
      <c r="D49" s="64">
        <v>12.18</v>
      </c>
      <c r="E49" s="64">
        <v>6.64</v>
      </c>
      <c r="F49" s="64">
        <v>9.93</v>
      </c>
      <c r="G49" s="64">
        <v>35.770000000000003</v>
      </c>
      <c r="H49" s="64">
        <v>9.64</v>
      </c>
      <c r="I49" s="64">
        <v>2.36</v>
      </c>
      <c r="J49" s="64">
        <v>0.87</v>
      </c>
      <c r="K49" s="64">
        <v>132.88</v>
      </c>
      <c r="L49" s="64">
        <v>28.69</v>
      </c>
      <c r="M49" s="64">
        <v>70.48</v>
      </c>
      <c r="N49" s="64">
        <v>754.4</v>
      </c>
      <c r="O49" s="64">
        <v>0</v>
      </c>
      <c r="P49" s="64">
        <v>0.48</v>
      </c>
      <c r="Q49" s="64">
        <v>9.18</v>
      </c>
      <c r="R49" s="198"/>
      <c r="S49" s="198"/>
      <c r="T49" s="198"/>
      <c r="U49" s="198"/>
    </row>
    <row r="50" spans="1:21" s="12" customFormat="1" x14ac:dyDescent="0.25">
      <c r="A50" s="211" t="s">
        <v>1537</v>
      </c>
      <c r="B50" s="64">
        <v>9.5299999999999994</v>
      </c>
      <c r="C50" s="64">
        <v>12.49</v>
      </c>
      <c r="D50" s="64">
        <v>14.17</v>
      </c>
      <c r="E50" s="64">
        <v>6.91</v>
      </c>
      <c r="F50" s="64">
        <v>8.67</v>
      </c>
      <c r="G50" s="64">
        <v>35.72</v>
      </c>
      <c r="H50" s="64">
        <v>9.85</v>
      </c>
      <c r="I50" s="64">
        <v>2.36</v>
      </c>
      <c r="J50" s="64">
        <v>0.52</v>
      </c>
      <c r="K50" s="64">
        <v>125.16</v>
      </c>
      <c r="L50" s="64">
        <v>29.2</v>
      </c>
      <c r="M50" s="64">
        <v>67.989999999999995</v>
      </c>
      <c r="N50" s="64">
        <v>683.6</v>
      </c>
      <c r="O50" s="64">
        <v>0</v>
      </c>
      <c r="P50" s="64">
        <v>0.51</v>
      </c>
      <c r="Q50" s="64">
        <v>9.18</v>
      </c>
      <c r="R50" s="198"/>
      <c r="S50" s="198"/>
      <c r="T50" s="198"/>
      <c r="U50" s="198"/>
    </row>
    <row r="51" spans="1:21" s="12" customFormat="1" x14ac:dyDescent="0.25">
      <c r="A51" s="211" t="s">
        <v>1538</v>
      </c>
      <c r="B51" s="64">
        <v>9.43</v>
      </c>
      <c r="C51" s="64">
        <v>10.48</v>
      </c>
      <c r="D51" s="64">
        <v>13.04</v>
      </c>
      <c r="E51" s="64">
        <v>6.9</v>
      </c>
      <c r="F51" s="64">
        <v>10.29</v>
      </c>
      <c r="G51" s="64">
        <v>35.72</v>
      </c>
      <c r="H51" s="64">
        <v>9.85</v>
      </c>
      <c r="I51" s="64">
        <v>2.37</v>
      </c>
      <c r="J51" s="64">
        <v>0.84</v>
      </c>
      <c r="K51" s="64">
        <v>125.11</v>
      </c>
      <c r="L51" s="64">
        <v>28.49</v>
      </c>
      <c r="M51" s="64">
        <v>70.8</v>
      </c>
      <c r="N51" s="64">
        <v>714.1</v>
      </c>
      <c r="O51" s="64">
        <v>0</v>
      </c>
      <c r="P51" s="64">
        <v>0.48</v>
      </c>
      <c r="Q51" s="64">
        <v>9.15</v>
      </c>
      <c r="R51" s="198"/>
      <c r="S51" s="198"/>
      <c r="T51" s="198"/>
      <c r="U51" s="198"/>
    </row>
    <row r="52" spans="1:21" s="12" customFormat="1" x14ac:dyDescent="0.25">
      <c r="A52" s="211" t="s">
        <v>1539</v>
      </c>
      <c r="B52" s="64">
        <v>8.93</v>
      </c>
      <c r="C52" s="64">
        <v>10.52</v>
      </c>
      <c r="D52" s="64">
        <v>12.66</v>
      </c>
      <c r="E52" s="64">
        <v>6.48</v>
      </c>
      <c r="F52" s="64">
        <v>10.51</v>
      </c>
      <c r="G52" s="64">
        <v>35.72</v>
      </c>
      <c r="H52" s="64">
        <v>9.85</v>
      </c>
      <c r="I52" s="64">
        <v>2.34</v>
      </c>
      <c r="J52" s="64">
        <v>0.57999999999999996</v>
      </c>
      <c r="K52" s="64">
        <v>125.61</v>
      </c>
      <c r="L52" s="64">
        <v>28.81</v>
      </c>
      <c r="M52" s="64">
        <v>68.23</v>
      </c>
      <c r="N52" s="64">
        <v>826.7</v>
      </c>
      <c r="O52" s="64">
        <v>0</v>
      </c>
      <c r="P52" s="64">
        <v>0.47</v>
      </c>
      <c r="Q52" s="64">
        <v>9.1300000000000008</v>
      </c>
      <c r="R52" s="198"/>
      <c r="S52" s="198"/>
      <c r="T52" s="198"/>
      <c r="U52" s="198"/>
    </row>
    <row r="53" spans="1:21" s="12" customFormat="1" x14ac:dyDescent="0.25">
      <c r="A53" s="211" t="s">
        <v>1540</v>
      </c>
      <c r="B53" s="64">
        <v>8.17</v>
      </c>
      <c r="C53" s="64">
        <v>9.85</v>
      </c>
      <c r="D53" s="64">
        <v>11.7</v>
      </c>
      <c r="E53" s="64">
        <v>6.31</v>
      </c>
      <c r="F53" s="64">
        <v>9.9</v>
      </c>
      <c r="G53" s="64">
        <v>38.07</v>
      </c>
      <c r="H53" s="64">
        <v>10.55</v>
      </c>
      <c r="I53" s="64">
        <v>2.31</v>
      </c>
      <c r="J53" s="64">
        <v>1.01</v>
      </c>
      <c r="K53" s="64">
        <v>124.3</v>
      </c>
      <c r="L53" s="64">
        <v>28.74</v>
      </c>
      <c r="M53" s="64">
        <v>66.06</v>
      </c>
      <c r="N53" s="64">
        <v>740.4</v>
      </c>
      <c r="O53" s="64">
        <v>0</v>
      </c>
      <c r="P53" s="64">
        <v>0.45</v>
      </c>
      <c r="Q53" s="64">
        <v>9.09</v>
      </c>
      <c r="R53" s="198"/>
      <c r="S53" s="198"/>
      <c r="T53" s="198"/>
      <c r="U53" s="198"/>
    </row>
    <row r="54" spans="1:21" s="12" customFormat="1" x14ac:dyDescent="0.25">
      <c r="A54" s="211" t="s">
        <v>1541</v>
      </c>
      <c r="B54" s="64">
        <v>9.07</v>
      </c>
      <c r="C54" s="64">
        <v>9.82</v>
      </c>
      <c r="D54" s="64">
        <v>12.4</v>
      </c>
      <c r="E54" s="64">
        <v>6.02</v>
      </c>
      <c r="F54" s="64">
        <v>8.92</v>
      </c>
      <c r="G54" s="64">
        <v>38.24</v>
      </c>
      <c r="H54" s="64">
        <v>10.55</v>
      </c>
      <c r="I54" s="64">
        <v>2.2799999999999998</v>
      </c>
      <c r="J54" s="64">
        <v>1.02</v>
      </c>
      <c r="K54" s="64">
        <v>124</v>
      </c>
      <c r="L54" s="64">
        <v>28.97</v>
      </c>
      <c r="M54" s="64">
        <v>63.91</v>
      </c>
      <c r="N54" s="64">
        <v>884.9</v>
      </c>
      <c r="O54" s="64">
        <v>0</v>
      </c>
      <c r="P54" s="64">
        <v>0.48</v>
      </c>
      <c r="Q54" s="64">
        <v>9.08</v>
      </c>
      <c r="R54" s="198"/>
      <c r="S54" s="198"/>
      <c r="T54" s="198"/>
      <c r="U54" s="198"/>
    </row>
    <row r="55" spans="1:21" s="12" customFormat="1" x14ac:dyDescent="0.25">
      <c r="A55" s="211" t="s">
        <v>1542</v>
      </c>
      <c r="B55" s="64">
        <v>7.85</v>
      </c>
      <c r="C55" s="64">
        <v>8.82</v>
      </c>
      <c r="D55" s="64">
        <v>10.9</v>
      </c>
      <c r="E55" s="64">
        <v>5.97</v>
      </c>
      <c r="F55" s="64">
        <v>13.57</v>
      </c>
      <c r="G55" s="64">
        <v>38.24</v>
      </c>
      <c r="H55" s="64">
        <v>10.55</v>
      </c>
      <c r="I55" s="64">
        <v>2.23</v>
      </c>
      <c r="J55" s="64">
        <v>0.82</v>
      </c>
      <c r="K55" s="64">
        <v>127.52</v>
      </c>
      <c r="L55" s="64">
        <v>28.9</v>
      </c>
      <c r="M55" s="64">
        <v>61.65</v>
      </c>
      <c r="N55" s="64">
        <v>712.2</v>
      </c>
      <c r="O55" s="64">
        <v>0</v>
      </c>
      <c r="P55" s="64">
        <v>0.37</v>
      </c>
      <c r="Q55" s="64">
        <v>9.06</v>
      </c>
      <c r="R55" s="198"/>
      <c r="S55" s="198"/>
      <c r="T55" s="198"/>
      <c r="U55" s="198"/>
    </row>
    <row r="56" spans="1:21" s="12" customFormat="1" x14ac:dyDescent="0.25">
      <c r="A56" s="211" t="s">
        <v>1543</v>
      </c>
      <c r="B56" s="64">
        <v>7.14</v>
      </c>
      <c r="C56" s="64">
        <v>10.45</v>
      </c>
      <c r="D56" s="64">
        <v>11.19</v>
      </c>
      <c r="E56" s="64">
        <v>6.27</v>
      </c>
      <c r="F56" s="64">
        <v>15.17</v>
      </c>
      <c r="G56" s="64">
        <v>38.24</v>
      </c>
      <c r="H56" s="64">
        <v>10.55</v>
      </c>
      <c r="I56" s="64">
        <v>2.1800000000000002</v>
      </c>
      <c r="J56" s="64">
        <v>0.67</v>
      </c>
      <c r="K56" s="64">
        <v>140.28</v>
      </c>
      <c r="L56" s="64">
        <v>29.32</v>
      </c>
      <c r="M56" s="64">
        <v>63.11</v>
      </c>
      <c r="N56" s="64">
        <v>899.1</v>
      </c>
      <c r="O56" s="64">
        <v>0</v>
      </c>
      <c r="P56" s="64">
        <v>0.38</v>
      </c>
      <c r="Q56" s="64">
        <v>9.07</v>
      </c>
      <c r="R56" s="198"/>
      <c r="S56" s="198"/>
      <c r="T56" s="198"/>
      <c r="U56" s="198"/>
    </row>
    <row r="57" spans="1:21" s="12" customFormat="1" x14ac:dyDescent="0.25">
      <c r="A57" s="211" t="s">
        <v>1544</v>
      </c>
      <c r="B57" s="64">
        <v>8.02</v>
      </c>
      <c r="C57" s="64">
        <v>10.85</v>
      </c>
      <c r="D57" s="64">
        <v>12.1</v>
      </c>
      <c r="E57" s="64">
        <v>6.26</v>
      </c>
      <c r="F57" s="64">
        <v>10.74</v>
      </c>
      <c r="G57" s="64">
        <v>33.78</v>
      </c>
      <c r="H57" s="64">
        <v>9.7100000000000009</v>
      </c>
      <c r="I57" s="64">
        <v>2.13</v>
      </c>
      <c r="J57" s="64">
        <v>0.86</v>
      </c>
      <c r="K57" s="64">
        <v>121.79</v>
      </c>
      <c r="L57" s="64">
        <v>29.69</v>
      </c>
      <c r="M57" s="64">
        <v>59.89</v>
      </c>
      <c r="N57" s="64">
        <v>826.7</v>
      </c>
      <c r="O57" s="64">
        <v>0</v>
      </c>
      <c r="P57" s="64">
        <v>0.42</v>
      </c>
      <c r="Q57" s="64">
        <v>9.0500000000000007</v>
      </c>
      <c r="R57" s="198"/>
      <c r="S57" s="198"/>
      <c r="T57" s="198"/>
      <c r="U57" s="198"/>
    </row>
    <row r="58" spans="1:21" s="12" customFormat="1" x14ac:dyDescent="0.25">
      <c r="A58" s="211" t="s">
        <v>1545</v>
      </c>
      <c r="B58" s="64">
        <v>7.16</v>
      </c>
      <c r="C58" s="64">
        <v>10.79</v>
      </c>
      <c r="D58" s="64">
        <v>11.38</v>
      </c>
      <c r="E58" s="64">
        <v>6.51</v>
      </c>
      <c r="F58" s="64">
        <v>12.17</v>
      </c>
      <c r="G58" s="64">
        <v>33.47</v>
      </c>
      <c r="H58" s="64">
        <v>9.7100000000000009</v>
      </c>
      <c r="I58" s="64">
        <v>2.0699999999999998</v>
      </c>
      <c r="J58" s="64">
        <v>0.71</v>
      </c>
      <c r="K58" s="64">
        <v>116.11</v>
      </c>
      <c r="L58" s="64">
        <v>29.55</v>
      </c>
      <c r="M58" s="64">
        <v>59.19</v>
      </c>
      <c r="N58" s="64">
        <v>814</v>
      </c>
      <c r="O58" s="64">
        <v>0</v>
      </c>
      <c r="P58" s="64">
        <v>0.34</v>
      </c>
      <c r="Q58" s="64">
        <v>9.0399999999999991</v>
      </c>
      <c r="R58" s="198"/>
      <c r="S58" s="198"/>
      <c r="T58" s="198"/>
      <c r="U58" s="198"/>
    </row>
    <row r="59" spans="1:21" s="12" customFormat="1" x14ac:dyDescent="0.25">
      <c r="A59" s="211" t="s">
        <v>1546</v>
      </c>
      <c r="B59" s="64">
        <v>6.17</v>
      </c>
      <c r="C59" s="64">
        <v>9.91</v>
      </c>
      <c r="D59" s="64">
        <v>10.130000000000001</v>
      </c>
      <c r="E59" s="64">
        <v>6.53</v>
      </c>
      <c r="F59" s="64">
        <v>11.81</v>
      </c>
      <c r="G59" s="64">
        <v>33.47</v>
      </c>
      <c r="H59" s="64">
        <v>9.7100000000000009</v>
      </c>
      <c r="I59" s="64">
        <v>2.02</v>
      </c>
      <c r="J59" s="64">
        <v>0.86</v>
      </c>
      <c r="K59" s="64">
        <v>123.12</v>
      </c>
      <c r="L59" s="64">
        <v>29.58</v>
      </c>
      <c r="M59" s="64">
        <v>56.83</v>
      </c>
      <c r="N59" s="64">
        <v>690.2</v>
      </c>
      <c r="O59" s="64">
        <v>0</v>
      </c>
      <c r="P59" s="64">
        <v>0.3</v>
      </c>
      <c r="Q59" s="64">
        <v>9.02</v>
      </c>
      <c r="R59" s="198"/>
      <c r="S59" s="198"/>
      <c r="T59" s="198"/>
      <c r="U59" s="198"/>
    </row>
    <row r="60" spans="1:21" s="12" customFormat="1" x14ac:dyDescent="0.25">
      <c r="A60" s="211" t="s">
        <v>1547</v>
      </c>
      <c r="B60" s="64">
        <v>6.81</v>
      </c>
      <c r="C60" s="64">
        <v>10.23</v>
      </c>
      <c r="D60" s="64">
        <v>10.81</v>
      </c>
      <c r="E60" s="64">
        <v>6.38</v>
      </c>
      <c r="F60" s="64">
        <v>6.88</v>
      </c>
      <c r="G60" s="64">
        <v>33.47</v>
      </c>
      <c r="H60" s="64">
        <v>9.7100000000000009</v>
      </c>
      <c r="I60" s="64">
        <v>1.97</v>
      </c>
      <c r="J60" s="64">
        <v>0.71</v>
      </c>
      <c r="K60" s="64">
        <v>138.24</v>
      </c>
      <c r="L60" s="64">
        <v>29.52</v>
      </c>
      <c r="M60" s="64">
        <v>56.3</v>
      </c>
      <c r="N60" s="64">
        <v>424.3</v>
      </c>
      <c r="O60" s="64">
        <v>0</v>
      </c>
      <c r="P60" s="64">
        <v>0.39</v>
      </c>
      <c r="Q60" s="64">
        <v>9.02</v>
      </c>
      <c r="R60" s="198"/>
      <c r="S60" s="198"/>
      <c r="T60" s="198"/>
      <c r="U60" s="198"/>
    </row>
    <row r="61" spans="1:21" s="12" customFormat="1" x14ac:dyDescent="0.25">
      <c r="A61" s="211" t="s">
        <v>1548</v>
      </c>
      <c r="B61" s="64">
        <v>5.85</v>
      </c>
      <c r="C61" s="64">
        <v>8.74</v>
      </c>
      <c r="D61" s="64">
        <v>9.26</v>
      </c>
      <c r="E61" s="64">
        <v>5.84</v>
      </c>
      <c r="F61" s="64">
        <v>11.37</v>
      </c>
      <c r="G61" s="64">
        <v>41.45</v>
      </c>
      <c r="H61" s="64">
        <v>8.76</v>
      </c>
      <c r="I61" s="64">
        <v>1.93</v>
      </c>
      <c r="J61" s="64">
        <v>1.22</v>
      </c>
      <c r="K61" s="64">
        <v>124.01</v>
      </c>
      <c r="L61" s="64">
        <v>28.7</v>
      </c>
      <c r="M61" s="64">
        <v>59.36</v>
      </c>
      <c r="N61" s="64">
        <v>274.7</v>
      </c>
      <c r="O61" s="64">
        <v>0</v>
      </c>
      <c r="P61" s="64">
        <v>0.26</v>
      </c>
      <c r="Q61" s="64">
        <v>9.0299999999999994</v>
      </c>
      <c r="R61" s="198"/>
      <c r="S61" s="198"/>
      <c r="T61" s="198"/>
      <c r="U61" s="198"/>
    </row>
    <row r="62" spans="1:21" s="12" customFormat="1" x14ac:dyDescent="0.25">
      <c r="A62" s="211" t="s">
        <v>1549</v>
      </c>
      <c r="B62" s="64">
        <v>6.03</v>
      </c>
      <c r="C62" s="64">
        <v>9.57</v>
      </c>
      <c r="D62" s="64">
        <v>9.84</v>
      </c>
      <c r="E62" s="64">
        <v>5.97</v>
      </c>
      <c r="F62" s="64">
        <v>10.64</v>
      </c>
      <c r="G62" s="64">
        <v>42.03</v>
      </c>
      <c r="H62" s="64">
        <v>8.76</v>
      </c>
      <c r="I62" s="64">
        <v>1.87</v>
      </c>
      <c r="J62" s="64">
        <v>0.74</v>
      </c>
      <c r="K62" s="64">
        <v>123</v>
      </c>
      <c r="L62" s="64">
        <v>28.67</v>
      </c>
      <c r="M62" s="64">
        <v>62.02</v>
      </c>
      <c r="N62" s="64">
        <v>226.8</v>
      </c>
      <c r="O62" s="64">
        <v>0</v>
      </c>
      <c r="P62" s="64">
        <v>0.3</v>
      </c>
      <c r="Q62" s="64">
        <v>9.0399999999999991</v>
      </c>
      <c r="R62" s="198"/>
      <c r="S62" s="198"/>
      <c r="T62" s="198"/>
      <c r="U62" s="198"/>
    </row>
    <row r="63" spans="1:21" s="12" customFormat="1" x14ac:dyDescent="0.25">
      <c r="A63" s="211" t="s">
        <v>1550</v>
      </c>
      <c r="B63" s="64">
        <v>7.31</v>
      </c>
      <c r="C63" s="64">
        <v>13.72</v>
      </c>
      <c r="D63" s="64">
        <v>13.04</v>
      </c>
      <c r="E63" s="64">
        <v>5.65</v>
      </c>
      <c r="F63" s="64">
        <v>13.1</v>
      </c>
      <c r="G63" s="64">
        <v>42.03</v>
      </c>
      <c r="H63" s="64">
        <v>8.76</v>
      </c>
      <c r="I63" s="64">
        <v>1.83</v>
      </c>
      <c r="J63" s="64">
        <v>0.78</v>
      </c>
      <c r="K63" s="64">
        <v>130.21</v>
      </c>
      <c r="L63" s="64">
        <v>29.07</v>
      </c>
      <c r="M63" s="64">
        <v>61.62</v>
      </c>
      <c r="N63" s="64">
        <v>207.1</v>
      </c>
      <c r="O63" s="64">
        <v>0</v>
      </c>
      <c r="P63" s="64">
        <v>0.33</v>
      </c>
      <c r="Q63" s="64">
        <v>9.0399999999999991</v>
      </c>
      <c r="R63" s="198"/>
      <c r="S63" s="198"/>
      <c r="T63" s="198"/>
      <c r="U63" s="198"/>
    </row>
    <row r="64" spans="1:21" s="12" customFormat="1" x14ac:dyDescent="0.25">
      <c r="A64" s="211" t="s">
        <v>1551</v>
      </c>
      <c r="B64" s="64">
        <v>7.44</v>
      </c>
      <c r="C64" s="64">
        <v>14.65</v>
      </c>
      <c r="D64" s="64">
        <v>13.62</v>
      </c>
      <c r="E64" s="64">
        <v>6.06</v>
      </c>
      <c r="F64" s="64">
        <v>9.8000000000000007</v>
      </c>
      <c r="G64" s="64">
        <v>42.03</v>
      </c>
      <c r="H64" s="64">
        <v>8.76</v>
      </c>
      <c r="I64" s="64">
        <v>1.79</v>
      </c>
      <c r="J64" s="64">
        <v>0.47</v>
      </c>
      <c r="K64" s="64">
        <v>134.74</v>
      </c>
      <c r="L64" s="64">
        <v>28.85</v>
      </c>
      <c r="M64" s="64">
        <v>59.82</v>
      </c>
      <c r="N64" s="64">
        <v>187.9</v>
      </c>
      <c r="O64" s="64">
        <v>0</v>
      </c>
      <c r="P64" s="64">
        <v>0.34</v>
      </c>
      <c r="Q64" s="64">
        <v>9.0299999999999994</v>
      </c>
      <c r="R64" s="198"/>
      <c r="S64" s="198"/>
      <c r="T64" s="198"/>
      <c r="U64" s="198"/>
    </row>
    <row r="65" spans="1:21" s="12" customFormat="1" x14ac:dyDescent="0.25">
      <c r="A65" s="211" t="s">
        <v>1552</v>
      </c>
      <c r="B65" s="64">
        <v>7.09</v>
      </c>
      <c r="C65" s="64">
        <v>13.84</v>
      </c>
      <c r="D65" s="64">
        <v>12.91</v>
      </c>
      <c r="E65" s="64">
        <v>6.19</v>
      </c>
      <c r="F65" s="64">
        <v>12.1</v>
      </c>
      <c r="G65" s="64">
        <v>39.020000000000003</v>
      </c>
      <c r="H65" s="64">
        <v>8.11</v>
      </c>
      <c r="I65" s="64">
        <v>1.74</v>
      </c>
      <c r="J65" s="64">
        <v>0.76</v>
      </c>
      <c r="K65" s="64">
        <v>124.9</v>
      </c>
      <c r="L65" s="64">
        <v>28.84</v>
      </c>
      <c r="M65" s="64">
        <v>59.72</v>
      </c>
      <c r="N65" s="64">
        <v>167.6</v>
      </c>
      <c r="O65" s="64">
        <v>0</v>
      </c>
      <c r="P65" s="64">
        <v>0.35</v>
      </c>
      <c r="Q65" s="64">
        <v>9.0500000000000007</v>
      </c>
      <c r="R65" s="198"/>
      <c r="S65" s="198"/>
      <c r="T65" s="198"/>
      <c r="U65" s="198"/>
    </row>
    <row r="66" spans="1:21" s="12" customFormat="1" x14ac:dyDescent="0.25">
      <c r="A66" s="211" t="s">
        <v>1553</v>
      </c>
      <c r="B66" s="64">
        <v>7.57</v>
      </c>
      <c r="C66" s="64">
        <v>12.16</v>
      </c>
      <c r="D66" s="64">
        <v>12.43</v>
      </c>
      <c r="E66" s="64">
        <v>6.19</v>
      </c>
      <c r="F66" s="64">
        <v>10.81</v>
      </c>
      <c r="G66" s="64">
        <v>38.799999999999997</v>
      </c>
      <c r="H66" s="64">
        <v>8.11</v>
      </c>
      <c r="I66" s="64">
        <v>1.72</v>
      </c>
      <c r="J66" s="64">
        <v>0.49</v>
      </c>
      <c r="K66" s="64">
        <v>129.81</v>
      </c>
      <c r="L66" s="64">
        <v>28.91</v>
      </c>
      <c r="M66" s="64">
        <v>57.6</v>
      </c>
      <c r="N66" s="64">
        <v>165.6</v>
      </c>
      <c r="O66" s="64">
        <v>0</v>
      </c>
      <c r="P66" s="64">
        <v>0.3</v>
      </c>
      <c r="Q66" s="64">
        <v>9.0500000000000007</v>
      </c>
      <c r="R66" s="198"/>
      <c r="S66" s="198"/>
      <c r="T66" s="198"/>
      <c r="U66" s="198"/>
    </row>
    <row r="67" spans="1:21" s="12" customFormat="1" x14ac:dyDescent="0.25">
      <c r="A67" s="211" t="s">
        <v>1554</v>
      </c>
      <c r="B67" s="64">
        <v>7.01</v>
      </c>
      <c r="C67" s="64">
        <v>14.24</v>
      </c>
      <c r="D67" s="64">
        <v>13.06</v>
      </c>
      <c r="E67" s="64">
        <v>6.33</v>
      </c>
      <c r="F67" s="64">
        <v>9.23</v>
      </c>
      <c r="G67" s="64">
        <v>38.799999999999997</v>
      </c>
      <c r="H67" s="64">
        <v>8.11</v>
      </c>
      <c r="I67" s="64">
        <v>1.7</v>
      </c>
      <c r="J67" s="64">
        <v>0.73</v>
      </c>
      <c r="K67" s="64">
        <v>136.25</v>
      </c>
      <c r="L67" s="64">
        <v>29.04</v>
      </c>
      <c r="M67" s="64">
        <v>56.19</v>
      </c>
      <c r="N67" s="64">
        <v>169.4</v>
      </c>
      <c r="O67" s="64">
        <v>0</v>
      </c>
      <c r="P67" s="64">
        <v>0.33</v>
      </c>
      <c r="Q67" s="64">
        <v>9.0500000000000007</v>
      </c>
      <c r="R67" s="198"/>
      <c r="S67" s="198"/>
      <c r="T67" s="198"/>
      <c r="U67" s="198"/>
    </row>
    <row r="68" spans="1:21" s="12" customFormat="1" x14ac:dyDescent="0.25">
      <c r="A68" s="211" t="s">
        <v>1555</v>
      </c>
      <c r="B68" s="64">
        <v>8.68</v>
      </c>
      <c r="C68" s="64">
        <v>12.62</v>
      </c>
      <c r="D68" s="64">
        <v>13.55</v>
      </c>
      <c r="E68" s="64">
        <v>6.07</v>
      </c>
      <c r="F68" s="64">
        <v>8.89</v>
      </c>
      <c r="G68" s="64">
        <v>38.799999999999997</v>
      </c>
      <c r="H68" s="64">
        <v>8.11</v>
      </c>
      <c r="I68" s="64">
        <v>1.67</v>
      </c>
      <c r="J68" s="64">
        <v>0.27</v>
      </c>
      <c r="K68" s="64">
        <v>128.02000000000001</v>
      </c>
      <c r="L68" s="64">
        <v>28.81</v>
      </c>
      <c r="M68" s="64">
        <v>59.34</v>
      </c>
      <c r="N68" s="64">
        <v>138.1</v>
      </c>
      <c r="O68" s="64">
        <v>0</v>
      </c>
      <c r="P68" s="64">
        <v>0.37</v>
      </c>
      <c r="Q68" s="64">
        <v>9.0399999999999991</v>
      </c>
      <c r="R68" s="198"/>
      <c r="S68" s="198"/>
      <c r="T68" s="198"/>
      <c r="U68" s="198"/>
    </row>
    <row r="69" spans="1:21" s="12" customFormat="1" x14ac:dyDescent="0.25">
      <c r="A69" s="211" t="s">
        <v>1556</v>
      </c>
      <c r="B69" s="64">
        <v>9.98</v>
      </c>
      <c r="C69" s="64">
        <v>16.07</v>
      </c>
      <c r="D69" s="64">
        <v>16.399999999999999</v>
      </c>
      <c r="E69" s="64">
        <v>5.91</v>
      </c>
      <c r="F69" s="64">
        <v>7.35</v>
      </c>
      <c r="G69" s="64">
        <v>35.75</v>
      </c>
      <c r="H69" s="64">
        <v>10.25</v>
      </c>
      <c r="I69" s="64">
        <v>1.65</v>
      </c>
      <c r="J69" s="64">
        <v>0.17</v>
      </c>
      <c r="K69" s="64">
        <v>142.91</v>
      </c>
      <c r="L69" s="64">
        <v>28.46</v>
      </c>
      <c r="M69" s="64">
        <v>59.7</v>
      </c>
      <c r="N69" s="64">
        <v>122.1</v>
      </c>
      <c r="O69" s="64">
        <v>0</v>
      </c>
      <c r="P69" s="64">
        <v>0.37</v>
      </c>
      <c r="Q69" s="64">
        <v>9.0299999999999994</v>
      </c>
      <c r="R69" s="198"/>
      <c r="S69" s="198"/>
      <c r="T69" s="198"/>
      <c r="U69" s="198"/>
    </row>
    <row r="70" spans="1:21" s="12" customFormat="1" x14ac:dyDescent="0.25">
      <c r="A70" s="211" t="s">
        <v>1557</v>
      </c>
      <c r="B70" s="64">
        <v>10.1</v>
      </c>
      <c r="C70" s="64">
        <v>19.559999999999999</v>
      </c>
      <c r="D70" s="64">
        <v>18.32</v>
      </c>
      <c r="E70" s="64">
        <v>6.15</v>
      </c>
      <c r="F70" s="64">
        <v>5.83</v>
      </c>
      <c r="G70" s="64">
        <v>35.53</v>
      </c>
      <c r="H70" s="64">
        <v>10.25</v>
      </c>
      <c r="I70" s="64">
        <v>1.61</v>
      </c>
      <c r="J70" s="64">
        <v>0.57999999999999996</v>
      </c>
      <c r="K70" s="64">
        <v>128.13999999999999</v>
      </c>
      <c r="L70" s="64">
        <v>28.25</v>
      </c>
      <c r="M70" s="64">
        <v>60.5</v>
      </c>
      <c r="N70" s="64">
        <v>113.7</v>
      </c>
      <c r="O70" s="64">
        <v>0</v>
      </c>
      <c r="P70" s="64">
        <v>0.41</v>
      </c>
      <c r="Q70" s="64">
        <v>9.01</v>
      </c>
      <c r="R70" s="198"/>
      <c r="S70" s="198"/>
      <c r="T70" s="198"/>
      <c r="U70" s="198"/>
    </row>
    <row r="71" spans="1:21" s="12" customFormat="1" x14ac:dyDescent="0.25">
      <c r="A71" s="211" t="s">
        <v>1558</v>
      </c>
      <c r="B71" s="64">
        <v>6.08</v>
      </c>
      <c r="C71" s="64">
        <v>12.26</v>
      </c>
      <c r="D71" s="64">
        <v>11.28</v>
      </c>
      <c r="E71" s="64">
        <v>6.01</v>
      </c>
      <c r="F71" s="64">
        <v>7.24</v>
      </c>
      <c r="G71" s="64">
        <v>35.53</v>
      </c>
      <c r="H71" s="64">
        <v>10.25</v>
      </c>
      <c r="I71" s="64">
        <v>1.58</v>
      </c>
      <c r="J71" s="64">
        <v>0.78</v>
      </c>
      <c r="K71" s="64">
        <v>124.19</v>
      </c>
      <c r="L71" s="64">
        <v>28.17</v>
      </c>
      <c r="M71" s="64">
        <v>58.84</v>
      </c>
      <c r="N71" s="64">
        <v>110.3</v>
      </c>
      <c r="O71" s="64">
        <v>0</v>
      </c>
      <c r="P71" s="64">
        <v>0.23</v>
      </c>
      <c r="Q71" s="64">
        <v>9.01</v>
      </c>
      <c r="R71" s="198"/>
      <c r="S71" s="198"/>
      <c r="T71" s="198"/>
      <c r="U71" s="198"/>
    </row>
    <row r="72" spans="1:21" s="12" customFormat="1" x14ac:dyDescent="0.25">
      <c r="A72" s="211" t="s">
        <v>1559</v>
      </c>
      <c r="B72" s="64">
        <v>6.12</v>
      </c>
      <c r="C72" s="64">
        <v>9.9600000000000009</v>
      </c>
      <c r="D72" s="64">
        <v>10.52</v>
      </c>
      <c r="E72" s="64">
        <v>5.74</v>
      </c>
      <c r="F72" s="64">
        <v>11.42</v>
      </c>
      <c r="G72" s="64">
        <v>35.53</v>
      </c>
      <c r="H72" s="64">
        <v>10.25</v>
      </c>
      <c r="I72" s="64">
        <v>1.54</v>
      </c>
      <c r="J72" s="64">
        <v>0.91</v>
      </c>
      <c r="K72" s="64">
        <v>131.22999999999999</v>
      </c>
      <c r="L72" s="64">
        <v>28.12</v>
      </c>
      <c r="M72" s="64">
        <v>62.1</v>
      </c>
      <c r="N72" s="64">
        <v>88.3</v>
      </c>
      <c r="O72" s="64">
        <v>0</v>
      </c>
      <c r="P72" s="64">
        <v>0.27</v>
      </c>
      <c r="Q72" s="64">
        <v>9.01</v>
      </c>
      <c r="R72" s="198"/>
      <c r="S72" s="198"/>
      <c r="T72" s="198"/>
      <c r="U72" s="198"/>
    </row>
    <row r="73" spans="1:21" s="12" customFormat="1" x14ac:dyDescent="0.25">
      <c r="A73" s="211" t="s">
        <v>1560</v>
      </c>
      <c r="B73" s="64">
        <v>6.97</v>
      </c>
      <c r="C73" s="64">
        <v>13.17</v>
      </c>
      <c r="D73" s="64">
        <v>12.47</v>
      </c>
      <c r="E73" s="64">
        <v>5.75</v>
      </c>
      <c r="F73" s="64">
        <v>8.33</v>
      </c>
      <c r="G73" s="64">
        <v>34.270000000000003</v>
      </c>
      <c r="H73" s="64">
        <v>9.75</v>
      </c>
      <c r="I73" s="64">
        <v>1.52</v>
      </c>
      <c r="J73" s="64">
        <v>0.47</v>
      </c>
      <c r="K73" s="64">
        <v>123.21</v>
      </c>
      <c r="L73" s="64">
        <v>28.01</v>
      </c>
      <c r="M73" s="64">
        <v>62.8</v>
      </c>
      <c r="N73" s="64">
        <v>83.5</v>
      </c>
      <c r="O73" s="64">
        <v>0</v>
      </c>
      <c r="P73" s="64">
        <v>0.28000000000000003</v>
      </c>
      <c r="Q73" s="64">
        <v>9</v>
      </c>
      <c r="R73" s="198"/>
      <c r="S73" s="198"/>
      <c r="T73" s="198"/>
      <c r="U73" s="198"/>
    </row>
    <row r="74" spans="1:21" s="12" customFormat="1" x14ac:dyDescent="0.25">
      <c r="A74" s="211" t="s">
        <v>1561</v>
      </c>
      <c r="B74" s="64">
        <v>6.6</v>
      </c>
      <c r="C74" s="64">
        <v>13.1</v>
      </c>
      <c r="D74" s="64">
        <v>12.14</v>
      </c>
      <c r="E74" s="64">
        <v>5.33</v>
      </c>
      <c r="F74" s="64">
        <v>6.89</v>
      </c>
      <c r="G74" s="64">
        <v>34.18</v>
      </c>
      <c r="H74" s="64">
        <v>9.75</v>
      </c>
      <c r="I74" s="64">
        <v>1.5</v>
      </c>
      <c r="J74" s="64">
        <v>0.48</v>
      </c>
      <c r="K74" s="64">
        <v>129.94</v>
      </c>
      <c r="L74" s="64">
        <v>27.85</v>
      </c>
      <c r="M74" s="64">
        <v>62.25</v>
      </c>
      <c r="N74" s="64">
        <v>75.8</v>
      </c>
      <c r="O74" s="64">
        <v>0</v>
      </c>
      <c r="P74" s="64">
        <v>0.3</v>
      </c>
      <c r="Q74" s="64">
        <v>9.01</v>
      </c>
      <c r="R74" s="198"/>
      <c r="S74" s="198"/>
      <c r="T74" s="198"/>
      <c r="U74" s="198"/>
    </row>
    <row r="75" spans="1:21" s="12" customFormat="1" x14ac:dyDescent="0.25">
      <c r="A75" s="211" t="s">
        <v>1562</v>
      </c>
      <c r="B75" s="64">
        <v>5.27</v>
      </c>
      <c r="C75" s="64">
        <v>11.16</v>
      </c>
      <c r="D75" s="64">
        <v>10.06</v>
      </c>
      <c r="E75" s="64">
        <v>5.2</v>
      </c>
      <c r="F75" s="64">
        <v>10.72</v>
      </c>
      <c r="G75" s="64">
        <v>34.18</v>
      </c>
      <c r="H75" s="64">
        <v>9.75</v>
      </c>
      <c r="I75" s="64">
        <v>1.47</v>
      </c>
      <c r="J75" s="64">
        <v>0.62</v>
      </c>
      <c r="K75" s="64">
        <v>128.33000000000001</v>
      </c>
      <c r="L75" s="64">
        <v>27.64</v>
      </c>
      <c r="M75" s="64">
        <v>64.510000000000005</v>
      </c>
      <c r="N75" s="64">
        <v>68.8</v>
      </c>
      <c r="O75" s="64">
        <v>0</v>
      </c>
      <c r="P75" s="64">
        <v>0.24</v>
      </c>
      <c r="Q75" s="64">
        <v>9</v>
      </c>
      <c r="R75" s="198"/>
      <c r="S75" s="198"/>
      <c r="T75" s="198"/>
      <c r="U75" s="198"/>
    </row>
    <row r="76" spans="1:21" s="12" customFormat="1" x14ac:dyDescent="0.25">
      <c r="A76" s="211" t="s">
        <v>1563</v>
      </c>
      <c r="B76" s="64">
        <v>15.42</v>
      </c>
      <c r="C76" s="64">
        <v>17.059999999999999</v>
      </c>
      <c r="D76" s="64">
        <v>21.28</v>
      </c>
      <c r="E76" s="64">
        <v>5.56</v>
      </c>
      <c r="F76" s="64">
        <v>3.97</v>
      </c>
      <c r="G76" s="64">
        <v>34.18</v>
      </c>
      <c r="H76" s="64">
        <v>9.75</v>
      </c>
      <c r="I76" s="64">
        <v>1.45</v>
      </c>
      <c r="J76" s="64">
        <v>0.14000000000000001</v>
      </c>
      <c r="K76" s="64">
        <v>156.86000000000001</v>
      </c>
      <c r="L76" s="64">
        <v>27.44</v>
      </c>
      <c r="M76" s="64">
        <v>65.599999999999994</v>
      </c>
      <c r="N76" s="64">
        <v>60.1</v>
      </c>
      <c r="O76" s="64">
        <v>0</v>
      </c>
      <c r="P76" s="64">
        <v>0.41</v>
      </c>
      <c r="Q76" s="64">
        <v>9</v>
      </c>
      <c r="R76" s="198"/>
      <c r="S76" s="198"/>
      <c r="T76" s="198"/>
      <c r="U76" s="198"/>
    </row>
    <row r="77" spans="1:21" s="12" customFormat="1" x14ac:dyDescent="0.25">
      <c r="A77" s="211" t="s">
        <v>1564</v>
      </c>
      <c r="B77" s="64">
        <v>10.45</v>
      </c>
      <c r="C77" s="64">
        <v>23.01</v>
      </c>
      <c r="D77" s="64">
        <v>20.399999999999999</v>
      </c>
      <c r="E77" s="64">
        <v>5.53</v>
      </c>
      <c r="F77" s="64">
        <v>4.47</v>
      </c>
      <c r="G77" s="64">
        <v>36.35</v>
      </c>
      <c r="H77" s="64">
        <v>9.56</v>
      </c>
      <c r="I77" s="64">
        <v>1.43</v>
      </c>
      <c r="J77" s="64">
        <v>0.14000000000000001</v>
      </c>
      <c r="K77" s="64">
        <v>155.34</v>
      </c>
      <c r="L77" s="64">
        <v>27.22</v>
      </c>
      <c r="M77" s="64">
        <v>68.55</v>
      </c>
      <c r="N77" s="64">
        <v>53</v>
      </c>
      <c r="O77" s="64">
        <v>0</v>
      </c>
      <c r="P77" s="64">
        <v>0.55000000000000004</v>
      </c>
      <c r="Q77" s="64">
        <v>9.02</v>
      </c>
      <c r="R77" s="198"/>
      <c r="S77" s="198"/>
      <c r="T77" s="198"/>
      <c r="U77" s="198"/>
    </row>
    <row r="78" spans="1:21" s="12" customFormat="1" x14ac:dyDescent="0.25">
      <c r="A78" s="211" t="s">
        <v>1565</v>
      </c>
      <c r="B78" s="64">
        <v>27.58</v>
      </c>
      <c r="C78" s="64">
        <v>30.31</v>
      </c>
      <c r="D78" s="64">
        <v>37.950000000000003</v>
      </c>
      <c r="E78" s="64">
        <v>5.38</v>
      </c>
      <c r="F78" s="64">
        <v>2.69</v>
      </c>
      <c r="G78" s="64">
        <v>36.5</v>
      </c>
      <c r="H78" s="64">
        <v>9.56</v>
      </c>
      <c r="I78" s="64">
        <v>1.43</v>
      </c>
      <c r="J78" s="64">
        <v>0.02</v>
      </c>
      <c r="K78" s="64">
        <v>238.69</v>
      </c>
      <c r="L78" s="64">
        <v>27.03</v>
      </c>
      <c r="M78" s="64">
        <v>72.760000000000005</v>
      </c>
      <c r="N78" s="64">
        <v>46.5</v>
      </c>
      <c r="O78" s="64">
        <v>0</v>
      </c>
      <c r="P78" s="64">
        <v>0.92</v>
      </c>
      <c r="Q78" s="64">
        <v>9.02</v>
      </c>
      <c r="R78" s="198"/>
      <c r="S78" s="198"/>
      <c r="T78" s="198"/>
      <c r="U78" s="198"/>
    </row>
    <row r="79" spans="1:21" s="12" customFormat="1" x14ac:dyDescent="0.25">
      <c r="A79" s="211" t="s">
        <v>1566</v>
      </c>
      <c r="B79" s="64">
        <v>8.18</v>
      </c>
      <c r="C79" s="64">
        <v>23.5</v>
      </c>
      <c r="D79" s="64">
        <v>18.84</v>
      </c>
      <c r="E79" s="64">
        <v>5.6</v>
      </c>
      <c r="F79" s="64">
        <v>4.18</v>
      </c>
      <c r="G79" s="64">
        <v>36.5</v>
      </c>
      <c r="H79" s="64">
        <v>9.56</v>
      </c>
      <c r="I79" s="64">
        <v>1.46</v>
      </c>
      <c r="J79" s="64">
        <v>0.16</v>
      </c>
      <c r="K79" s="64">
        <v>131.25</v>
      </c>
      <c r="L79" s="64">
        <v>26.75</v>
      </c>
      <c r="M79" s="64">
        <v>76.599999999999994</v>
      </c>
      <c r="N79" s="64">
        <v>42.7</v>
      </c>
      <c r="O79" s="64">
        <v>0</v>
      </c>
      <c r="P79" s="64">
        <v>0.73</v>
      </c>
      <c r="Q79" s="64">
        <v>9.0500000000000007</v>
      </c>
      <c r="R79" s="198"/>
      <c r="S79" s="198"/>
      <c r="T79" s="198"/>
      <c r="U79" s="198"/>
    </row>
    <row r="80" spans="1:21" s="12" customFormat="1" x14ac:dyDescent="0.25">
      <c r="A80" s="211" t="s">
        <v>1567</v>
      </c>
      <c r="B80" s="64">
        <v>18.2</v>
      </c>
      <c r="C80" s="64">
        <v>29.98</v>
      </c>
      <c r="D80" s="64">
        <v>30.26</v>
      </c>
      <c r="E80" s="64">
        <v>5.72</v>
      </c>
      <c r="F80" s="64">
        <v>2.71</v>
      </c>
      <c r="G80" s="64">
        <v>36.5</v>
      </c>
      <c r="H80" s="64">
        <v>9.56</v>
      </c>
      <c r="I80" s="64">
        <v>1.5</v>
      </c>
      <c r="J80" s="64">
        <v>0.05</v>
      </c>
      <c r="K80" s="64">
        <v>235.06</v>
      </c>
      <c r="L80" s="64">
        <v>26.38</v>
      </c>
      <c r="M80" s="64">
        <v>79.5</v>
      </c>
      <c r="N80" s="64">
        <v>41.8</v>
      </c>
      <c r="O80" s="64">
        <v>0</v>
      </c>
      <c r="P80" s="64">
        <v>1.01</v>
      </c>
      <c r="Q80" s="64">
        <v>9.07</v>
      </c>
      <c r="R80" s="198"/>
      <c r="S80" s="198"/>
      <c r="T80" s="198"/>
      <c r="U80" s="198"/>
    </row>
    <row r="81" spans="1:26" s="12" customFormat="1" x14ac:dyDescent="0.25">
      <c r="A81" s="211" t="s">
        <v>1568</v>
      </c>
      <c r="B81" s="64">
        <v>12.27</v>
      </c>
      <c r="C81" s="64">
        <v>28.8</v>
      </c>
      <c r="D81" s="64">
        <v>24.89</v>
      </c>
      <c r="E81" s="64">
        <v>5.68</v>
      </c>
      <c r="F81" s="64">
        <v>2.77</v>
      </c>
      <c r="G81" s="64">
        <v>44.73</v>
      </c>
      <c r="H81" s="64">
        <v>9.2100000000000009</v>
      </c>
      <c r="I81" s="64">
        <v>1.55</v>
      </c>
      <c r="J81" s="64">
        <v>0.15</v>
      </c>
      <c r="K81" s="64">
        <v>143.15</v>
      </c>
      <c r="L81" s="64">
        <v>26.15</v>
      </c>
      <c r="M81" s="64">
        <v>83.02</v>
      </c>
      <c r="N81" s="64">
        <v>41.6</v>
      </c>
      <c r="O81" s="64">
        <v>0</v>
      </c>
      <c r="P81" s="64">
        <v>0.79</v>
      </c>
      <c r="Q81" s="64">
        <v>9.09</v>
      </c>
      <c r="R81" s="198"/>
      <c r="S81" s="198"/>
      <c r="T81" s="198"/>
      <c r="U81" s="198"/>
    </row>
    <row r="82" spans="1:26" s="12" customFormat="1" x14ac:dyDescent="0.25">
      <c r="A82" s="211" t="s">
        <v>1569</v>
      </c>
      <c r="B82" s="64">
        <v>14.61</v>
      </c>
      <c r="C82" s="64">
        <v>24.5</v>
      </c>
      <c r="D82" s="64">
        <v>24.51</v>
      </c>
      <c r="E82" s="64">
        <v>5.94</v>
      </c>
      <c r="F82" s="64">
        <v>4.5</v>
      </c>
      <c r="G82" s="64">
        <v>45.32</v>
      </c>
      <c r="H82" s="64">
        <v>9.2100000000000009</v>
      </c>
      <c r="I82" s="64">
        <v>1.52</v>
      </c>
      <c r="J82" s="64">
        <v>0.09</v>
      </c>
      <c r="K82" s="64">
        <v>181.1</v>
      </c>
      <c r="L82" s="64">
        <v>26</v>
      </c>
      <c r="M82" s="64">
        <v>86.46</v>
      </c>
      <c r="N82" s="64">
        <v>41.5</v>
      </c>
      <c r="O82" s="64">
        <v>0</v>
      </c>
      <c r="P82" s="64">
        <v>0.82</v>
      </c>
      <c r="Q82" s="64">
        <v>9.11</v>
      </c>
      <c r="R82" s="198"/>
      <c r="S82" s="198"/>
      <c r="T82" s="198"/>
      <c r="U82" s="198"/>
    </row>
    <row r="83" spans="1:26" s="12" customFormat="1" x14ac:dyDescent="0.25">
      <c r="A83" s="211" t="s">
        <v>1570</v>
      </c>
      <c r="B83" s="64">
        <v>23.54</v>
      </c>
      <c r="C83" s="64">
        <v>27.18</v>
      </c>
      <c r="D83" s="64">
        <v>33.08</v>
      </c>
      <c r="E83" s="64">
        <v>5.82</v>
      </c>
      <c r="F83" s="64">
        <v>3.65</v>
      </c>
      <c r="G83" s="64">
        <v>45.32</v>
      </c>
      <c r="H83" s="64">
        <v>9.2100000000000009</v>
      </c>
      <c r="I83" s="64">
        <v>1.5</v>
      </c>
      <c r="J83" s="64">
        <v>0.04</v>
      </c>
      <c r="K83" s="64">
        <v>241.42</v>
      </c>
      <c r="L83" s="64">
        <v>25.93</v>
      </c>
      <c r="M83" s="64">
        <v>88.36</v>
      </c>
      <c r="N83" s="64">
        <v>41.5</v>
      </c>
      <c r="O83" s="64">
        <v>0</v>
      </c>
      <c r="P83" s="64">
        <v>0.99</v>
      </c>
      <c r="Q83" s="64">
        <v>9.1300000000000008</v>
      </c>
      <c r="R83" s="198"/>
      <c r="S83" s="198"/>
      <c r="T83" s="198"/>
      <c r="U83" s="198"/>
    </row>
    <row r="84" spans="1:26" s="12" customFormat="1" x14ac:dyDescent="0.25">
      <c r="A84" s="211" t="s">
        <v>1571</v>
      </c>
      <c r="B84" s="64">
        <v>17.760000000000002</v>
      </c>
      <c r="C84" s="64">
        <v>28.74</v>
      </c>
      <c r="D84" s="64">
        <v>29.26</v>
      </c>
      <c r="E84" s="64">
        <v>5.55</v>
      </c>
      <c r="F84" s="64">
        <v>4.3</v>
      </c>
      <c r="G84" s="64">
        <v>45.32</v>
      </c>
      <c r="H84" s="64">
        <v>9.2100000000000009</v>
      </c>
      <c r="I84" s="64">
        <v>1.56</v>
      </c>
      <c r="J84" s="64">
        <v>0.04</v>
      </c>
      <c r="K84" s="64">
        <v>288.17</v>
      </c>
      <c r="L84" s="64">
        <v>25.79</v>
      </c>
      <c r="M84" s="64">
        <v>89.26</v>
      </c>
      <c r="N84" s="64">
        <v>41.5</v>
      </c>
      <c r="O84" s="64">
        <v>0</v>
      </c>
      <c r="P84" s="64">
        <v>1.1000000000000001</v>
      </c>
      <c r="Q84" s="64">
        <v>9.15</v>
      </c>
      <c r="R84" s="198"/>
      <c r="S84" s="198"/>
      <c r="T84" s="198"/>
      <c r="U84" s="198"/>
    </row>
    <row r="85" spans="1:26" s="12" customFormat="1" x14ac:dyDescent="0.25">
      <c r="A85" s="211" t="s">
        <v>1572</v>
      </c>
      <c r="B85" s="64">
        <v>12.6</v>
      </c>
      <c r="C85" s="64">
        <v>26.47</v>
      </c>
      <c r="D85" s="64">
        <v>23.93</v>
      </c>
      <c r="E85" s="64">
        <v>5.83</v>
      </c>
      <c r="F85" s="64">
        <v>4.49</v>
      </c>
      <c r="G85" s="64">
        <v>46.42</v>
      </c>
      <c r="H85" s="64">
        <v>9.98</v>
      </c>
      <c r="I85" s="64">
        <v>1.63</v>
      </c>
      <c r="J85" s="64">
        <v>0.08</v>
      </c>
      <c r="K85" s="64">
        <v>179.27</v>
      </c>
      <c r="L85" s="64">
        <v>25.68</v>
      </c>
      <c r="M85" s="64">
        <v>90.53</v>
      </c>
      <c r="N85" s="64">
        <v>41.5</v>
      </c>
      <c r="O85" s="64">
        <v>0</v>
      </c>
      <c r="P85" s="64">
        <v>0.94</v>
      </c>
      <c r="Q85" s="64">
        <v>9.17</v>
      </c>
      <c r="R85" s="198"/>
      <c r="S85" s="198"/>
      <c r="T85" s="198"/>
      <c r="U85" s="198"/>
    </row>
    <row r="86" spans="1:26" s="12" customFormat="1" x14ac:dyDescent="0.25">
      <c r="A86" s="211" t="s">
        <v>1573</v>
      </c>
      <c r="B86" s="64">
        <v>10.6</v>
      </c>
      <c r="C86" s="64">
        <v>23.08</v>
      </c>
      <c r="D86" s="64">
        <v>20.56</v>
      </c>
      <c r="E86" s="64">
        <v>5.76</v>
      </c>
      <c r="F86" s="64">
        <v>3.23</v>
      </c>
      <c r="G86" s="64">
        <v>46.49</v>
      </c>
      <c r="H86" s="64">
        <v>9.98</v>
      </c>
      <c r="I86" s="64">
        <v>1.7</v>
      </c>
      <c r="J86" s="64">
        <v>0.03</v>
      </c>
      <c r="K86" s="64">
        <v>243.27</v>
      </c>
      <c r="L86" s="64">
        <v>25.52</v>
      </c>
      <c r="M86" s="64">
        <v>92.09</v>
      </c>
      <c r="N86" s="64">
        <v>41.5</v>
      </c>
      <c r="O86" s="64">
        <v>0</v>
      </c>
      <c r="P86" s="64">
        <v>0.85</v>
      </c>
      <c r="Q86" s="64">
        <v>9.16</v>
      </c>
      <c r="R86" s="198"/>
      <c r="S86" s="198"/>
      <c r="T86" s="198"/>
      <c r="U86" s="198"/>
    </row>
    <row r="87" spans="1:26" s="12" customFormat="1" x14ac:dyDescent="0.25">
      <c r="A87" s="211" t="s">
        <v>1574</v>
      </c>
      <c r="B87" s="64">
        <v>8.8000000000000007</v>
      </c>
      <c r="C87" s="64">
        <v>24.06</v>
      </c>
      <c r="D87" s="64">
        <v>19.63</v>
      </c>
      <c r="E87" s="64">
        <v>5.64</v>
      </c>
      <c r="F87" s="64">
        <v>5.99</v>
      </c>
      <c r="G87" s="64">
        <v>46.49</v>
      </c>
      <c r="H87" s="64">
        <v>9.98</v>
      </c>
      <c r="I87" s="64">
        <v>1.77</v>
      </c>
      <c r="J87" s="64">
        <v>0.09</v>
      </c>
      <c r="K87" s="64">
        <v>218.68</v>
      </c>
      <c r="L87" s="64">
        <v>25.43</v>
      </c>
      <c r="M87" s="64">
        <v>92.8</v>
      </c>
      <c r="N87" s="64">
        <v>41.5</v>
      </c>
      <c r="O87" s="64">
        <v>0</v>
      </c>
      <c r="P87" s="64">
        <v>0.85</v>
      </c>
      <c r="Q87" s="64">
        <v>9.15</v>
      </c>
      <c r="R87" s="198"/>
      <c r="S87" s="198"/>
      <c r="T87" s="198"/>
      <c r="U87" s="198"/>
    </row>
    <row r="88" spans="1:26" s="12" customFormat="1" x14ac:dyDescent="0.25">
      <c r="A88" s="211" t="s">
        <v>1575</v>
      </c>
      <c r="B88" s="64">
        <v>10.09</v>
      </c>
      <c r="C88" s="64">
        <v>22.39</v>
      </c>
      <c r="D88" s="64">
        <v>19.79</v>
      </c>
      <c r="E88" s="64">
        <v>5.98</v>
      </c>
      <c r="F88" s="64">
        <v>4.92</v>
      </c>
      <c r="G88" s="64">
        <v>46.49</v>
      </c>
      <c r="H88" s="64">
        <v>9.98</v>
      </c>
      <c r="I88" s="64">
        <v>1.83</v>
      </c>
      <c r="J88" s="64">
        <v>0.15</v>
      </c>
      <c r="K88" s="64">
        <v>140.94999999999999</v>
      </c>
      <c r="L88" s="64">
        <v>25.33</v>
      </c>
      <c r="M88" s="64">
        <v>93.86</v>
      </c>
      <c r="N88" s="64">
        <v>41.5</v>
      </c>
      <c r="O88" s="64">
        <v>0</v>
      </c>
      <c r="P88" s="64">
        <v>0.8</v>
      </c>
      <c r="Q88" s="64">
        <v>9.14</v>
      </c>
      <c r="R88" s="198"/>
      <c r="S88" s="198"/>
      <c r="T88" s="198"/>
      <c r="U88" s="198"/>
    </row>
    <row r="89" spans="1:26" s="12" customFormat="1" x14ac:dyDescent="0.25">
      <c r="A89" s="211" t="s">
        <v>1576</v>
      </c>
      <c r="B89" s="64">
        <v>17.3</v>
      </c>
      <c r="C89" s="64">
        <v>22.87</v>
      </c>
      <c r="D89" s="64">
        <v>25.8</v>
      </c>
      <c r="E89" s="64">
        <v>5.93</v>
      </c>
      <c r="F89" s="64">
        <v>3.66</v>
      </c>
      <c r="G89" s="64">
        <v>54.09</v>
      </c>
      <c r="H89" s="64">
        <v>9.27</v>
      </c>
      <c r="I89" s="64">
        <v>1.88</v>
      </c>
      <c r="J89" s="64">
        <v>0.01</v>
      </c>
      <c r="K89" s="64">
        <v>113.01</v>
      </c>
      <c r="L89" s="64">
        <v>25.26</v>
      </c>
      <c r="M89" s="64">
        <v>93.97</v>
      </c>
      <c r="N89" s="64">
        <v>41.5</v>
      </c>
      <c r="O89" s="64">
        <v>0</v>
      </c>
      <c r="P89" s="64">
        <v>0.91</v>
      </c>
      <c r="Q89" s="64">
        <v>9.1199999999999992</v>
      </c>
      <c r="R89" s="198"/>
      <c r="S89" s="198"/>
      <c r="T89" s="198"/>
      <c r="U89" s="198"/>
    </row>
    <row r="90" spans="1:26" s="12" customFormat="1" x14ac:dyDescent="0.25">
      <c r="A90" s="211" t="s">
        <v>1577</v>
      </c>
      <c r="B90" s="64">
        <v>9.51</v>
      </c>
      <c r="C90" s="64">
        <v>30.5</v>
      </c>
      <c r="D90" s="64">
        <v>23.56</v>
      </c>
      <c r="E90" s="64">
        <v>5.56</v>
      </c>
      <c r="F90" s="64">
        <v>2.76</v>
      </c>
      <c r="G90" s="64">
        <v>54.63</v>
      </c>
      <c r="H90" s="64">
        <v>9.27</v>
      </c>
      <c r="I90" s="64">
        <v>1.94</v>
      </c>
      <c r="J90" s="64">
        <v>0.1</v>
      </c>
      <c r="K90" s="64">
        <v>143.41999999999999</v>
      </c>
      <c r="L90" s="64">
        <v>25.12</v>
      </c>
      <c r="M90" s="64">
        <v>94.91</v>
      </c>
      <c r="N90" s="64">
        <v>41.8</v>
      </c>
      <c r="O90" s="64">
        <v>0</v>
      </c>
      <c r="P90" s="64">
        <v>0.95</v>
      </c>
      <c r="Q90" s="64">
        <v>9.1300000000000008</v>
      </c>
      <c r="R90" s="198"/>
      <c r="S90" s="198"/>
      <c r="T90" s="198"/>
      <c r="U90" s="198"/>
    </row>
    <row r="91" spans="1:26" s="12" customFormat="1" x14ac:dyDescent="0.25">
      <c r="A91" s="211" t="s">
        <v>1578</v>
      </c>
      <c r="B91" s="64">
        <v>7.18</v>
      </c>
      <c r="C91" s="64">
        <v>22.39</v>
      </c>
      <c r="D91" s="64">
        <v>17.46</v>
      </c>
      <c r="E91" s="64">
        <v>5.81</v>
      </c>
      <c r="F91" s="64">
        <v>4.21</v>
      </c>
      <c r="G91" s="64">
        <v>54.63</v>
      </c>
      <c r="H91" s="64">
        <v>9.27</v>
      </c>
      <c r="I91" s="64">
        <v>1.98</v>
      </c>
      <c r="J91" s="64">
        <v>0.26</v>
      </c>
      <c r="K91" s="64">
        <v>137.1</v>
      </c>
      <c r="L91" s="64">
        <v>24.97</v>
      </c>
      <c r="M91" s="64">
        <v>95.38</v>
      </c>
      <c r="N91" s="64">
        <v>41.5</v>
      </c>
      <c r="O91" s="64">
        <v>0</v>
      </c>
      <c r="P91" s="64">
        <v>0.7</v>
      </c>
      <c r="Q91" s="64">
        <v>9.1300000000000008</v>
      </c>
      <c r="R91" s="198"/>
      <c r="S91" s="198"/>
      <c r="T91" s="198"/>
      <c r="U91" s="198"/>
    </row>
    <row r="92" spans="1:26" s="12" customFormat="1" x14ac:dyDescent="0.25">
      <c r="A92" s="211" t="s">
        <v>1579</v>
      </c>
      <c r="B92" s="64">
        <v>7.28</v>
      </c>
      <c r="C92" s="64">
        <v>19.440000000000001</v>
      </c>
      <c r="D92" s="64">
        <v>15.99</v>
      </c>
      <c r="E92" s="64">
        <v>5.37</v>
      </c>
      <c r="F92" s="64">
        <v>7.45</v>
      </c>
      <c r="G92" s="64">
        <v>54.63</v>
      </c>
      <c r="H92" s="64">
        <v>9.27</v>
      </c>
      <c r="I92" s="64">
        <v>2.02</v>
      </c>
      <c r="J92" s="64">
        <v>0.22</v>
      </c>
      <c r="K92" s="64">
        <v>139.22</v>
      </c>
      <c r="L92" s="64">
        <v>24.96</v>
      </c>
      <c r="M92" s="64">
        <v>94.76</v>
      </c>
      <c r="N92" s="64">
        <v>41.6</v>
      </c>
      <c r="O92" s="64">
        <v>0</v>
      </c>
      <c r="P92" s="64">
        <v>0.68</v>
      </c>
      <c r="Q92" s="64">
        <v>9.1199999999999992</v>
      </c>
      <c r="R92" s="198"/>
      <c r="S92" s="198"/>
      <c r="T92" s="198"/>
      <c r="U92" s="198"/>
    </row>
    <row r="93" spans="1:26" s="12" customFormat="1" x14ac:dyDescent="0.25">
      <c r="A93" s="211" t="s">
        <v>1580</v>
      </c>
      <c r="B93" s="64">
        <v>9.4700000000000006</v>
      </c>
      <c r="C93" s="64">
        <v>20.170000000000002</v>
      </c>
      <c r="D93" s="64">
        <v>18.13</v>
      </c>
      <c r="E93" s="64">
        <v>5.57</v>
      </c>
      <c r="F93" s="64">
        <v>3.8</v>
      </c>
      <c r="G93" s="64">
        <v>56.01</v>
      </c>
      <c r="H93" s="64">
        <v>8.56</v>
      </c>
      <c r="I93" s="64">
        <v>2.04</v>
      </c>
      <c r="J93" s="64">
        <v>0.1</v>
      </c>
      <c r="K93" s="64">
        <v>253.14</v>
      </c>
      <c r="L93" s="64">
        <v>24.86</v>
      </c>
      <c r="M93" s="64">
        <v>94.74</v>
      </c>
      <c r="N93" s="64">
        <v>41.8</v>
      </c>
      <c r="O93" s="64">
        <v>0</v>
      </c>
      <c r="P93" s="64">
        <v>0.74</v>
      </c>
      <c r="Q93" s="64">
        <v>9.1300000000000008</v>
      </c>
      <c r="R93" s="198"/>
      <c r="S93" s="198"/>
      <c r="T93" s="198"/>
      <c r="U93" s="198"/>
    </row>
    <row r="94" spans="1:26" s="12" customFormat="1" x14ac:dyDescent="0.25">
      <c r="A94" s="211" t="s">
        <v>1581</v>
      </c>
      <c r="B94" s="64">
        <v>17.670000000000002</v>
      </c>
      <c r="C94" s="64">
        <v>38.17</v>
      </c>
      <c r="D94" s="64">
        <v>34.11</v>
      </c>
      <c r="E94" s="64">
        <v>5.63</v>
      </c>
      <c r="F94" s="64">
        <v>2.12</v>
      </c>
      <c r="G94" s="64">
        <v>56.11</v>
      </c>
      <c r="H94" s="64">
        <v>8.56</v>
      </c>
      <c r="I94" s="64">
        <v>2.0499999999999998</v>
      </c>
      <c r="J94" s="64">
        <v>0.04</v>
      </c>
      <c r="K94" s="64">
        <v>141.30000000000001</v>
      </c>
      <c r="L94" s="64">
        <v>24.71</v>
      </c>
      <c r="M94" s="64">
        <v>96.11</v>
      </c>
      <c r="N94" s="64">
        <v>41.9</v>
      </c>
      <c r="O94" s="64">
        <v>0</v>
      </c>
      <c r="P94" s="64">
        <v>1.1599999999999999</v>
      </c>
      <c r="Q94" s="64">
        <v>9.1300000000000008</v>
      </c>
      <c r="R94" s="198"/>
      <c r="S94" s="198"/>
      <c r="T94" s="198"/>
      <c r="U94" s="198"/>
    </row>
    <row r="95" spans="1:26" s="12" customFormat="1" x14ac:dyDescent="0.25">
      <c r="A95" s="211" t="s">
        <v>1582</v>
      </c>
      <c r="B95" s="64">
        <v>7.8</v>
      </c>
      <c r="C95" s="64">
        <v>21.65</v>
      </c>
      <c r="D95" s="64">
        <v>17.57</v>
      </c>
      <c r="E95" s="64">
        <v>5.54</v>
      </c>
      <c r="F95" s="64">
        <v>3.42</v>
      </c>
      <c r="G95" s="64">
        <v>56.11</v>
      </c>
      <c r="H95" s="64">
        <v>8.56</v>
      </c>
      <c r="I95" s="64">
        <v>2.0699999999999998</v>
      </c>
      <c r="J95" s="64">
        <v>0.22</v>
      </c>
      <c r="K95" s="64">
        <v>138.71</v>
      </c>
      <c r="L95" s="64">
        <v>24.61</v>
      </c>
      <c r="M95" s="64">
        <v>96.54</v>
      </c>
      <c r="N95" s="64">
        <v>41.6</v>
      </c>
      <c r="O95" s="64">
        <v>0</v>
      </c>
      <c r="P95" s="64">
        <v>0.76</v>
      </c>
      <c r="Q95" s="64">
        <v>9.1300000000000008</v>
      </c>
      <c r="R95" s="198"/>
      <c r="S95" s="198"/>
      <c r="T95" s="198"/>
      <c r="U95" s="198"/>
    </row>
    <row r="96" spans="1:26" s="12" customFormat="1" x14ac:dyDescent="0.25">
      <c r="A96" s="211" t="s">
        <v>1583</v>
      </c>
      <c r="B96" s="64">
        <v>7.57</v>
      </c>
      <c r="C96" s="64">
        <v>18.12</v>
      </c>
      <c r="D96" s="64">
        <v>15.54</v>
      </c>
      <c r="E96" s="64">
        <v>5.53</v>
      </c>
      <c r="F96" s="64">
        <v>6.75</v>
      </c>
      <c r="G96" s="64">
        <v>56.11</v>
      </c>
      <c r="H96" s="64">
        <v>8.56</v>
      </c>
      <c r="I96" s="64">
        <v>2.1</v>
      </c>
      <c r="J96" s="64">
        <v>0.34</v>
      </c>
      <c r="K96" s="64">
        <v>129.72999999999999</v>
      </c>
      <c r="L96" s="64">
        <v>24.65</v>
      </c>
      <c r="M96" s="64">
        <v>95.95</v>
      </c>
      <c r="N96" s="64">
        <v>41.6</v>
      </c>
      <c r="O96" s="64">
        <v>0</v>
      </c>
      <c r="P96" s="64">
        <v>0.66</v>
      </c>
      <c r="Q96" s="64">
        <v>9.14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1584</v>
      </c>
      <c r="B97" s="64">
        <v>6.6</v>
      </c>
      <c r="C97" s="64">
        <v>20.21</v>
      </c>
      <c r="D97" s="64">
        <v>15.85</v>
      </c>
      <c r="E97" s="64">
        <v>5.86</v>
      </c>
      <c r="F97" s="64">
        <v>7.65</v>
      </c>
      <c r="G97" s="64">
        <v>56.84</v>
      </c>
      <c r="H97" s="64">
        <v>7.91</v>
      </c>
      <c r="I97" s="64">
        <v>2.12</v>
      </c>
      <c r="J97" s="64">
        <v>0.23</v>
      </c>
      <c r="K97" s="64">
        <v>140.47</v>
      </c>
      <c r="L97" s="64">
        <v>24.59</v>
      </c>
      <c r="M97" s="64">
        <v>95.93</v>
      </c>
      <c r="N97" s="64">
        <v>41.7</v>
      </c>
      <c r="O97" s="64">
        <v>0</v>
      </c>
      <c r="P97" s="64">
        <v>0.64</v>
      </c>
      <c r="Q97" s="64">
        <v>9.15</v>
      </c>
      <c r="R97" s="198"/>
      <c r="S97" s="198"/>
      <c r="T97" s="198"/>
      <c r="U97" s="198"/>
    </row>
    <row r="98" spans="1:33" s="12" customFormat="1" x14ac:dyDescent="0.25">
      <c r="A98" s="211" t="s">
        <v>1585</v>
      </c>
      <c r="B98" s="64">
        <v>7.45</v>
      </c>
      <c r="C98" s="64">
        <v>18.989999999999998</v>
      </c>
      <c r="D98" s="64">
        <v>15.89</v>
      </c>
      <c r="E98" s="64">
        <v>5.94</v>
      </c>
      <c r="F98" s="64">
        <v>9.08</v>
      </c>
      <c r="G98" s="64">
        <v>56.89</v>
      </c>
      <c r="H98" s="64">
        <v>7.91</v>
      </c>
      <c r="I98" s="64">
        <v>2.14</v>
      </c>
      <c r="J98" s="64">
        <v>0.37</v>
      </c>
      <c r="K98" s="64">
        <v>128.11000000000001</v>
      </c>
      <c r="L98" s="64">
        <v>24.53</v>
      </c>
      <c r="M98" s="64">
        <v>96.56</v>
      </c>
      <c r="N98" s="64">
        <v>41.5</v>
      </c>
      <c r="O98" s="64">
        <v>0</v>
      </c>
      <c r="P98" s="64">
        <v>0.63</v>
      </c>
      <c r="Q98" s="64">
        <v>9.15</v>
      </c>
      <c r="R98" s="198"/>
      <c r="S98" s="198"/>
      <c r="T98" s="198"/>
      <c r="U98" s="198"/>
    </row>
    <row r="99" spans="1:33" s="12" customFormat="1" x14ac:dyDescent="0.25">
      <c r="A99" s="211" t="s">
        <v>1586</v>
      </c>
      <c r="B99" s="64">
        <v>6.92</v>
      </c>
      <c r="C99" s="64">
        <v>19.059999999999999</v>
      </c>
      <c r="D99" s="64">
        <v>15.51</v>
      </c>
      <c r="E99" s="64">
        <v>5.79</v>
      </c>
      <c r="F99" s="64">
        <v>8.0299999999999994</v>
      </c>
      <c r="G99" s="64">
        <v>56.89</v>
      </c>
      <c r="H99" s="64">
        <v>7.91</v>
      </c>
      <c r="I99" s="64">
        <v>2.15</v>
      </c>
      <c r="J99" s="64">
        <v>0.26</v>
      </c>
      <c r="K99" s="64">
        <v>147</v>
      </c>
      <c r="L99" s="64">
        <v>24.48</v>
      </c>
      <c r="M99" s="64">
        <v>97.12</v>
      </c>
      <c r="N99" s="64">
        <v>41.8</v>
      </c>
      <c r="O99" s="64">
        <v>0</v>
      </c>
      <c r="P99" s="64">
        <v>0.59</v>
      </c>
      <c r="Q99" s="64">
        <v>9.15</v>
      </c>
      <c r="R99" s="198"/>
      <c r="S99" s="198"/>
      <c r="T99" s="198"/>
      <c r="U99" s="198"/>
    </row>
    <row r="100" spans="1:33" s="12" customFormat="1" x14ac:dyDescent="0.25">
      <c r="A100" s="211" t="s">
        <v>1587</v>
      </c>
      <c r="B100" s="64">
        <v>6.77</v>
      </c>
      <c r="C100" s="64">
        <v>18.73</v>
      </c>
      <c r="D100" s="64">
        <v>15.21</v>
      </c>
      <c r="E100" s="64">
        <v>6.03</v>
      </c>
      <c r="F100" s="64">
        <v>8.7100000000000009</v>
      </c>
      <c r="G100" s="64">
        <v>56.89</v>
      </c>
      <c r="H100" s="64">
        <v>7.91</v>
      </c>
      <c r="I100" s="64">
        <v>2.13</v>
      </c>
      <c r="J100" s="64">
        <v>0.41</v>
      </c>
      <c r="K100" s="64">
        <v>129.1</v>
      </c>
      <c r="L100" s="64">
        <v>24.36</v>
      </c>
      <c r="M100" s="64">
        <v>98.04</v>
      </c>
      <c r="N100" s="64">
        <v>41.6</v>
      </c>
      <c r="O100" s="64">
        <v>0</v>
      </c>
      <c r="P100" s="64">
        <v>0.62</v>
      </c>
      <c r="Q100" s="64">
        <v>9.15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1588</v>
      </c>
      <c r="B101" s="64">
        <v>6.74</v>
      </c>
      <c r="C101" s="64">
        <v>17.350000000000001</v>
      </c>
      <c r="D101" s="64">
        <v>14.47</v>
      </c>
      <c r="E101" s="64">
        <v>6.21</v>
      </c>
      <c r="F101" s="64">
        <v>7.68</v>
      </c>
      <c r="G101" s="64">
        <v>53.69</v>
      </c>
      <c r="H101" s="64">
        <v>10.97</v>
      </c>
      <c r="I101" s="64">
        <v>2.12</v>
      </c>
      <c r="J101" s="64">
        <v>0.37</v>
      </c>
      <c r="K101" s="64">
        <v>126.83</v>
      </c>
      <c r="L101" s="64">
        <v>24.29</v>
      </c>
      <c r="M101" s="64">
        <v>98.29</v>
      </c>
      <c r="N101" s="64">
        <v>41.7</v>
      </c>
      <c r="O101" s="64">
        <v>0</v>
      </c>
      <c r="P101" s="64">
        <v>0.61</v>
      </c>
      <c r="Q101" s="64">
        <v>9.15</v>
      </c>
      <c r="R101" s="198"/>
      <c r="S101" s="198"/>
      <c r="T101" s="198"/>
      <c r="U101" s="198"/>
    </row>
    <row r="102" spans="1:33" s="12" customFormat="1" x14ac:dyDescent="0.25">
      <c r="A102" s="211" t="s">
        <v>1589</v>
      </c>
      <c r="B102" s="64">
        <v>6.66</v>
      </c>
      <c r="C102" s="64">
        <v>15.04</v>
      </c>
      <c r="D102" s="64">
        <v>13.2</v>
      </c>
      <c r="E102" s="64">
        <v>6.88</v>
      </c>
      <c r="F102" s="64">
        <v>9.4600000000000009</v>
      </c>
      <c r="G102" s="64">
        <v>53.46</v>
      </c>
      <c r="H102" s="64">
        <v>10.97</v>
      </c>
      <c r="I102" s="64">
        <v>2.12</v>
      </c>
      <c r="J102" s="64">
        <v>0.25</v>
      </c>
      <c r="K102" s="64">
        <v>138.07</v>
      </c>
      <c r="L102" s="64">
        <v>24.19</v>
      </c>
      <c r="M102" s="64">
        <v>98.3</v>
      </c>
      <c r="N102" s="64">
        <v>41.8</v>
      </c>
      <c r="O102" s="64">
        <v>0</v>
      </c>
      <c r="P102" s="64">
        <v>0.6</v>
      </c>
      <c r="Q102" s="64">
        <v>9.14</v>
      </c>
      <c r="R102" s="198"/>
      <c r="S102" s="198"/>
      <c r="T102" s="198"/>
      <c r="U102" s="198"/>
    </row>
    <row r="103" spans="1:33" s="12" customFormat="1" x14ac:dyDescent="0.25">
      <c r="A103" s="211" t="s">
        <v>1590</v>
      </c>
      <c r="B103" s="64">
        <v>6.31</v>
      </c>
      <c r="C103" s="64">
        <v>15.61</v>
      </c>
      <c r="D103" s="64">
        <v>13.22</v>
      </c>
      <c r="E103" s="64">
        <v>6.65</v>
      </c>
      <c r="F103" s="64">
        <v>7.63</v>
      </c>
      <c r="G103" s="64">
        <v>53.46</v>
      </c>
      <c r="H103" s="64">
        <v>10.97</v>
      </c>
      <c r="I103" s="64">
        <v>2.1</v>
      </c>
      <c r="J103" s="64">
        <v>0.28000000000000003</v>
      </c>
      <c r="K103" s="64">
        <v>126.87</v>
      </c>
      <c r="L103" s="64">
        <v>24.08</v>
      </c>
      <c r="M103" s="64">
        <v>98.31</v>
      </c>
      <c r="N103" s="64">
        <v>41.9</v>
      </c>
      <c r="O103" s="64">
        <v>0</v>
      </c>
      <c r="P103" s="64">
        <v>0.54</v>
      </c>
      <c r="Q103" s="64">
        <v>9.1199999999999992</v>
      </c>
      <c r="R103" s="198"/>
      <c r="S103" s="198"/>
      <c r="T103" s="198"/>
      <c r="U103" s="198"/>
    </row>
    <row r="104" spans="1:33" s="12" customFormat="1" x14ac:dyDescent="0.25">
      <c r="A104" s="211" t="s">
        <v>1591</v>
      </c>
      <c r="B104" s="64">
        <v>6.69</v>
      </c>
      <c r="C104" s="64">
        <v>12.97</v>
      </c>
      <c r="D104" s="64">
        <v>12.14</v>
      </c>
      <c r="E104" s="64">
        <v>6.66</v>
      </c>
      <c r="F104" s="64">
        <v>8.43</v>
      </c>
      <c r="G104" s="64">
        <v>53.46</v>
      </c>
      <c r="H104" s="64">
        <v>10.97</v>
      </c>
      <c r="I104" s="64">
        <v>2.1</v>
      </c>
      <c r="J104" s="64">
        <v>0.26</v>
      </c>
      <c r="K104" s="64">
        <v>132.46</v>
      </c>
      <c r="L104" s="64">
        <v>23.89</v>
      </c>
      <c r="M104" s="64">
        <v>98.35</v>
      </c>
      <c r="N104" s="64">
        <v>41.9</v>
      </c>
      <c r="O104" s="64">
        <v>0</v>
      </c>
      <c r="P104" s="64">
        <v>0.53</v>
      </c>
      <c r="Q104" s="64">
        <v>9.1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5.27</v>
      </c>
      <c r="C106" s="67">
        <f>MIN(C9:C104)</f>
        <v>7.97</v>
      </c>
      <c r="D106" s="67">
        <f t="shared" ref="D106:Q106" si="0">MIN(D9:D104)</f>
        <v>9.26</v>
      </c>
      <c r="E106" s="67">
        <f t="shared" si="0"/>
        <v>5.13</v>
      </c>
      <c r="F106" s="67">
        <f t="shared" si="0"/>
        <v>2.1</v>
      </c>
      <c r="G106" s="67">
        <f t="shared" si="0"/>
        <v>25.7</v>
      </c>
      <c r="H106" s="67">
        <f t="shared" si="0"/>
        <v>6.28</v>
      </c>
      <c r="I106" s="67">
        <f t="shared" si="0"/>
        <v>1.43</v>
      </c>
      <c r="J106" s="67">
        <f t="shared" si="0"/>
        <v>0.01</v>
      </c>
      <c r="K106" s="67">
        <f t="shared" si="0"/>
        <v>4.5</v>
      </c>
      <c r="L106" s="67">
        <f t="shared" si="0"/>
        <v>21.61</v>
      </c>
      <c r="M106" s="67">
        <f t="shared" si="0"/>
        <v>56.19</v>
      </c>
      <c r="N106" s="67">
        <f t="shared" si="0"/>
        <v>40.1</v>
      </c>
      <c r="O106" s="67">
        <f t="shared" si="0"/>
        <v>0</v>
      </c>
      <c r="P106" s="67">
        <f t="shared" si="0"/>
        <v>0.23</v>
      </c>
      <c r="Q106" s="67">
        <f t="shared" si="0"/>
        <v>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27.58</v>
      </c>
      <c r="C107" s="66">
        <f t="shared" ref="C107:Q107" si="1">MAX(C9:C104)</f>
        <v>38.17</v>
      </c>
      <c r="D107" s="66">
        <f t="shared" si="1"/>
        <v>37.950000000000003</v>
      </c>
      <c r="E107" s="66">
        <f t="shared" si="1"/>
        <v>6.91</v>
      </c>
      <c r="F107" s="66">
        <f t="shared" si="1"/>
        <v>15.17</v>
      </c>
      <c r="G107" s="66">
        <f t="shared" si="1"/>
        <v>56.89</v>
      </c>
      <c r="H107" s="66">
        <f t="shared" si="1"/>
        <v>13.65</v>
      </c>
      <c r="I107" s="66">
        <f t="shared" si="1"/>
        <v>2.37</v>
      </c>
      <c r="J107" s="66">
        <f t="shared" si="1"/>
        <v>1.22</v>
      </c>
      <c r="K107" s="66">
        <f t="shared" si="1"/>
        <v>356.16</v>
      </c>
      <c r="L107" s="66">
        <f t="shared" si="1"/>
        <v>30.21</v>
      </c>
      <c r="M107" s="66">
        <f t="shared" si="1"/>
        <v>98.43</v>
      </c>
      <c r="N107" s="66">
        <f t="shared" si="1"/>
        <v>899.1</v>
      </c>
      <c r="O107" s="66">
        <f t="shared" si="1"/>
        <v>0</v>
      </c>
      <c r="P107" s="66">
        <f t="shared" si="1"/>
        <v>1.1599999999999999</v>
      </c>
      <c r="Q107" s="66">
        <f t="shared" si="1"/>
        <v>9.18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9.3780208333333324</v>
      </c>
      <c r="C108" s="67">
        <f t="shared" ref="C108:Q108" si="2">AVERAGE(C9:C104)</f>
        <v>15.1253125</v>
      </c>
      <c r="D108" s="67">
        <f t="shared" si="2"/>
        <v>15.426666666666662</v>
      </c>
      <c r="E108" s="67">
        <f t="shared" si="2"/>
        <v>5.8830208333333323</v>
      </c>
      <c r="F108" s="67">
        <f t="shared" si="2"/>
        <v>5.8742708333333331</v>
      </c>
      <c r="G108" s="67">
        <f t="shared" si="2"/>
        <v>37.588437500000005</v>
      </c>
      <c r="H108" s="67">
        <f t="shared" si="2"/>
        <v>9.1398958333333304</v>
      </c>
      <c r="I108" s="67">
        <f t="shared" si="2"/>
        <v>1.933229166666667</v>
      </c>
      <c r="J108" s="67">
        <f t="shared" si="2"/>
        <v>0.30822916666666672</v>
      </c>
      <c r="K108" s="67">
        <f t="shared" si="2"/>
        <v>164.33500000000001</v>
      </c>
      <c r="L108" s="67">
        <f t="shared" si="2"/>
        <v>25.65656250000001</v>
      </c>
      <c r="M108" s="67">
        <f t="shared" si="2"/>
        <v>84.01</v>
      </c>
      <c r="N108" s="67">
        <f t="shared" si="2"/>
        <v>193.23124999999993</v>
      </c>
      <c r="O108" s="67">
        <f t="shared" si="2"/>
        <v>0</v>
      </c>
      <c r="P108" s="67">
        <f t="shared" si="2"/>
        <v>0.54072916666666682</v>
      </c>
      <c r="Q108" s="67">
        <f t="shared" si="2"/>
        <v>9.0861458333333278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3.9127534038783272</v>
      </c>
      <c r="C109" s="67">
        <f t="shared" ref="C109:Q109" si="3">STDEV(C9:C104)</f>
        <v>6.2145806401473891</v>
      </c>
      <c r="D109" s="67">
        <f t="shared" si="3"/>
        <v>5.633169747443171</v>
      </c>
      <c r="E109" s="67">
        <f t="shared" si="3"/>
        <v>0.42181342793047272</v>
      </c>
      <c r="F109" s="67">
        <f t="shared" si="3"/>
        <v>3.4054382961720355</v>
      </c>
      <c r="G109" s="67">
        <f t="shared" si="3"/>
        <v>9.8009533723295981</v>
      </c>
      <c r="H109" s="67">
        <f t="shared" si="3"/>
        <v>1.5584523326832067</v>
      </c>
      <c r="I109" s="67">
        <f t="shared" si="3"/>
        <v>0.26379216217424045</v>
      </c>
      <c r="J109" s="67">
        <f t="shared" si="3"/>
        <v>0.30170042580318734</v>
      </c>
      <c r="K109" s="67">
        <f t="shared" si="3"/>
        <v>72.928224469066336</v>
      </c>
      <c r="L109" s="67">
        <f t="shared" si="3"/>
        <v>2.6452303961439112</v>
      </c>
      <c r="M109" s="67">
        <f t="shared" si="3"/>
        <v>16.06191166442488</v>
      </c>
      <c r="N109" s="67">
        <f t="shared" si="3"/>
        <v>252.77004041014715</v>
      </c>
      <c r="O109" s="67">
        <f t="shared" si="3"/>
        <v>0</v>
      </c>
      <c r="P109" s="67">
        <f t="shared" si="3"/>
        <v>0.1948075692448514</v>
      </c>
      <c r="Q109" s="67">
        <f t="shared" si="3"/>
        <v>5.1837190300455437E-2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7" sqref="G1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1592</v>
      </c>
      <c r="B9" s="64">
        <v>7.29</v>
      </c>
      <c r="C9" s="64">
        <v>18.45</v>
      </c>
      <c r="D9" s="64">
        <v>15.48</v>
      </c>
      <c r="E9" s="64">
        <v>6.26</v>
      </c>
      <c r="F9" s="64">
        <v>5.29</v>
      </c>
      <c r="G9" s="64">
        <v>53.2</v>
      </c>
      <c r="H9" s="64">
        <v>10.9</v>
      </c>
      <c r="I9" s="64">
        <v>2.09</v>
      </c>
      <c r="J9" s="64">
        <v>0.25</v>
      </c>
      <c r="K9" s="64">
        <v>146.85</v>
      </c>
      <c r="L9" s="64">
        <v>23.8</v>
      </c>
      <c r="M9" s="64">
        <v>98.36</v>
      </c>
      <c r="N9" s="64">
        <v>41.9</v>
      </c>
      <c r="O9" s="64">
        <v>0</v>
      </c>
      <c r="P9" s="64">
        <v>0.52</v>
      </c>
      <c r="Q9" s="64">
        <v>9.08</v>
      </c>
      <c r="R9" s="198"/>
      <c r="S9" s="198"/>
      <c r="T9" s="198"/>
      <c r="U9" s="198"/>
    </row>
    <row r="10" spans="1:21" s="12" customFormat="1" x14ac:dyDescent="0.25">
      <c r="A10" s="211" t="s">
        <v>1593</v>
      </c>
      <c r="B10" s="64">
        <v>6.37</v>
      </c>
      <c r="C10" s="64">
        <v>12.78</v>
      </c>
      <c r="D10" s="64">
        <v>11.79</v>
      </c>
      <c r="E10" s="64">
        <v>6.46</v>
      </c>
      <c r="F10" s="64">
        <v>7.44</v>
      </c>
      <c r="G10" s="64">
        <v>53.18</v>
      </c>
      <c r="H10" s="64">
        <v>10.9</v>
      </c>
      <c r="I10" s="64">
        <v>2.0699999999999998</v>
      </c>
      <c r="J10" s="64">
        <v>0.27</v>
      </c>
      <c r="K10" s="64">
        <v>134.63999999999999</v>
      </c>
      <c r="L10" s="64">
        <v>23.68</v>
      </c>
      <c r="M10" s="64">
        <v>98.4</v>
      </c>
      <c r="N10" s="64">
        <v>41.9</v>
      </c>
      <c r="O10" s="64">
        <v>0</v>
      </c>
      <c r="P10" s="64">
        <v>0.51</v>
      </c>
      <c r="Q10" s="64">
        <v>9.07</v>
      </c>
      <c r="R10" s="198"/>
      <c r="S10" s="198"/>
      <c r="T10" s="198"/>
      <c r="U10" s="198"/>
    </row>
    <row r="11" spans="1:21" s="12" customFormat="1" x14ac:dyDescent="0.25">
      <c r="A11" s="211" t="s">
        <v>1594</v>
      </c>
      <c r="B11" s="64">
        <v>5.66</v>
      </c>
      <c r="C11" s="64">
        <v>13.33</v>
      </c>
      <c r="D11" s="64">
        <v>11.5</v>
      </c>
      <c r="E11" s="64">
        <v>5.98</v>
      </c>
      <c r="F11" s="64">
        <v>10.17</v>
      </c>
      <c r="G11" s="64">
        <v>53.18</v>
      </c>
      <c r="H11" s="64">
        <v>10.9</v>
      </c>
      <c r="I11" s="64">
        <v>2.0499999999999998</v>
      </c>
      <c r="J11" s="64">
        <v>0.33</v>
      </c>
      <c r="K11" s="64">
        <v>125.04</v>
      </c>
      <c r="L11" s="64">
        <v>23.6</v>
      </c>
      <c r="M11" s="64">
        <v>98.4</v>
      </c>
      <c r="N11" s="64">
        <v>42</v>
      </c>
      <c r="O11" s="64">
        <v>0</v>
      </c>
      <c r="P11" s="64">
        <v>0.44</v>
      </c>
      <c r="Q11" s="64">
        <v>9.07</v>
      </c>
      <c r="R11" s="198"/>
      <c r="S11" s="198"/>
      <c r="T11" s="198"/>
      <c r="U11" s="198"/>
    </row>
    <row r="12" spans="1:21" s="12" customFormat="1" x14ac:dyDescent="0.25">
      <c r="A12" s="211" t="s">
        <v>1595</v>
      </c>
      <c r="B12" s="64">
        <v>6.18</v>
      </c>
      <c r="C12" s="64">
        <v>11.87</v>
      </c>
      <c r="D12" s="64">
        <v>11.15</v>
      </c>
      <c r="E12" s="64">
        <v>6.33</v>
      </c>
      <c r="F12" s="64">
        <v>3.79</v>
      </c>
      <c r="G12" s="64">
        <v>53.18</v>
      </c>
      <c r="H12" s="64">
        <v>10.9</v>
      </c>
      <c r="I12" s="64">
        <v>2.0299999999999998</v>
      </c>
      <c r="J12" s="64">
        <v>0.13</v>
      </c>
      <c r="K12" s="64">
        <v>126.44</v>
      </c>
      <c r="L12" s="64">
        <v>23.57</v>
      </c>
      <c r="M12" s="64">
        <v>98.4</v>
      </c>
      <c r="N12" s="64">
        <v>42</v>
      </c>
      <c r="O12" s="64">
        <v>0</v>
      </c>
      <c r="P12" s="64">
        <v>0.54</v>
      </c>
      <c r="Q12" s="64">
        <v>9.06</v>
      </c>
      <c r="R12" s="198"/>
      <c r="S12" s="198"/>
      <c r="T12" s="198"/>
      <c r="U12" s="198"/>
    </row>
    <row r="13" spans="1:21" s="12" customFormat="1" x14ac:dyDescent="0.25">
      <c r="A13" s="211" t="s">
        <v>1596</v>
      </c>
      <c r="B13" s="64">
        <v>5.83</v>
      </c>
      <c r="C13" s="64">
        <v>15.35</v>
      </c>
      <c r="D13" s="64">
        <v>12.7</v>
      </c>
      <c r="E13" s="64">
        <v>5.77</v>
      </c>
      <c r="F13" s="64">
        <v>3.24</v>
      </c>
      <c r="G13" s="64">
        <v>50.36</v>
      </c>
      <c r="H13" s="64">
        <v>10.33</v>
      </c>
      <c r="I13" s="64">
        <v>2.12</v>
      </c>
      <c r="J13" s="64">
        <v>7.0000000000000007E-2</v>
      </c>
      <c r="K13" s="64">
        <v>330.86</v>
      </c>
      <c r="L13" s="64">
        <v>23.3</v>
      </c>
      <c r="M13" s="64">
        <v>98.41</v>
      </c>
      <c r="N13" s="64">
        <v>42.3</v>
      </c>
      <c r="O13" s="64">
        <v>0</v>
      </c>
      <c r="P13" s="64">
        <v>0.45</v>
      </c>
      <c r="Q13" s="64">
        <v>9.0500000000000007</v>
      </c>
      <c r="R13" s="198"/>
      <c r="S13" s="198"/>
      <c r="T13" s="198"/>
      <c r="U13" s="198"/>
    </row>
    <row r="14" spans="1:21" s="12" customFormat="1" x14ac:dyDescent="0.25">
      <c r="A14" s="211" t="s">
        <v>1597</v>
      </c>
      <c r="B14" s="64">
        <v>6.27</v>
      </c>
      <c r="C14" s="64">
        <v>12.27</v>
      </c>
      <c r="D14" s="64">
        <v>11.44</v>
      </c>
      <c r="E14" s="64">
        <v>5.67</v>
      </c>
      <c r="F14" s="64">
        <v>2.65</v>
      </c>
      <c r="G14" s="64">
        <v>50.16</v>
      </c>
      <c r="H14" s="64">
        <v>10.33</v>
      </c>
      <c r="I14" s="64">
        <v>2.0699999999999998</v>
      </c>
      <c r="J14" s="64">
        <v>0.06</v>
      </c>
      <c r="K14" s="64">
        <v>332.98</v>
      </c>
      <c r="L14" s="64">
        <v>23.06</v>
      </c>
      <c r="M14" s="64">
        <v>98.45</v>
      </c>
      <c r="N14" s="64">
        <v>42.3</v>
      </c>
      <c r="O14" s="64">
        <v>0</v>
      </c>
      <c r="P14" s="64">
        <v>0.5</v>
      </c>
      <c r="Q14" s="64">
        <v>9.0500000000000007</v>
      </c>
      <c r="R14" s="198"/>
      <c r="S14" s="198"/>
      <c r="T14" s="198"/>
      <c r="U14" s="198"/>
    </row>
    <row r="15" spans="1:21" s="12" customFormat="1" x14ac:dyDescent="0.25">
      <c r="A15" s="211" t="s">
        <v>1598</v>
      </c>
      <c r="B15" s="64">
        <v>6.91</v>
      </c>
      <c r="C15" s="64">
        <v>13.67</v>
      </c>
      <c r="D15" s="64">
        <v>12.68</v>
      </c>
      <c r="E15" s="64">
        <v>5.67</v>
      </c>
      <c r="F15" s="64">
        <v>2.42</v>
      </c>
      <c r="G15" s="64">
        <v>50.16</v>
      </c>
      <c r="H15" s="64">
        <v>10.33</v>
      </c>
      <c r="I15" s="64">
        <v>1.97</v>
      </c>
      <c r="J15" s="64">
        <v>0.03</v>
      </c>
      <c r="K15" s="64">
        <v>347.16</v>
      </c>
      <c r="L15" s="64">
        <v>22.94</v>
      </c>
      <c r="M15" s="64">
        <v>98.49</v>
      </c>
      <c r="N15" s="64">
        <v>42.3</v>
      </c>
      <c r="O15" s="64">
        <v>0</v>
      </c>
      <c r="P15" s="64">
        <v>0.53</v>
      </c>
      <c r="Q15" s="64">
        <v>9.0399999999999991</v>
      </c>
      <c r="R15" s="198"/>
      <c r="S15" s="198"/>
      <c r="T15" s="198"/>
      <c r="U15" s="198"/>
    </row>
    <row r="16" spans="1:21" s="12" customFormat="1" x14ac:dyDescent="0.25">
      <c r="A16" s="211" t="s">
        <v>1599</v>
      </c>
      <c r="B16" s="64">
        <v>8.66</v>
      </c>
      <c r="C16" s="64">
        <v>17.399999999999999</v>
      </c>
      <c r="D16" s="64">
        <v>16.04</v>
      </c>
      <c r="E16" s="64">
        <v>5.8</v>
      </c>
      <c r="F16" s="64">
        <v>2.1800000000000002</v>
      </c>
      <c r="G16" s="64">
        <v>50.16</v>
      </c>
      <c r="H16" s="64">
        <v>10.33</v>
      </c>
      <c r="I16" s="64">
        <v>1.95</v>
      </c>
      <c r="J16" s="64">
        <v>0.09</v>
      </c>
      <c r="K16" s="64">
        <v>324.79000000000002</v>
      </c>
      <c r="L16" s="64">
        <v>22.75</v>
      </c>
      <c r="M16" s="64">
        <v>98.54</v>
      </c>
      <c r="N16" s="64">
        <v>42.3</v>
      </c>
      <c r="O16" s="64">
        <v>0</v>
      </c>
      <c r="P16" s="64">
        <v>0.55000000000000004</v>
      </c>
      <c r="Q16" s="64">
        <v>9.0399999999999991</v>
      </c>
      <c r="R16" s="198"/>
      <c r="S16" s="198"/>
      <c r="T16" s="198"/>
      <c r="U16" s="198"/>
    </row>
    <row r="17" spans="1:21" s="12" customFormat="1" x14ac:dyDescent="0.25">
      <c r="A17" s="211" t="s">
        <v>1600</v>
      </c>
      <c r="B17" s="64">
        <v>7.78</v>
      </c>
      <c r="C17" s="64">
        <v>11.76</v>
      </c>
      <c r="D17" s="64">
        <v>12.38</v>
      </c>
      <c r="E17" s="64">
        <v>5.37</v>
      </c>
      <c r="F17" s="64">
        <v>2.1</v>
      </c>
      <c r="G17" s="64">
        <v>52.37</v>
      </c>
      <c r="H17" s="64">
        <v>9.5</v>
      </c>
      <c r="I17" s="64">
        <v>1.95</v>
      </c>
      <c r="J17" s="64">
        <v>0.15</v>
      </c>
      <c r="K17" s="64">
        <v>312.66000000000003</v>
      </c>
      <c r="L17" s="64">
        <v>22.46</v>
      </c>
      <c r="M17" s="64">
        <v>98.55</v>
      </c>
      <c r="N17" s="64">
        <v>42.3</v>
      </c>
      <c r="O17" s="64">
        <v>0</v>
      </c>
      <c r="P17" s="64">
        <v>0.61</v>
      </c>
      <c r="Q17" s="64">
        <v>9.0500000000000007</v>
      </c>
      <c r="R17" s="198"/>
      <c r="S17" s="198"/>
      <c r="T17" s="198"/>
      <c r="U17" s="198"/>
    </row>
    <row r="18" spans="1:21" s="12" customFormat="1" x14ac:dyDescent="0.25">
      <c r="A18" s="211" t="s">
        <v>1601</v>
      </c>
      <c r="B18" s="64">
        <v>8.34</v>
      </c>
      <c r="C18" s="64">
        <v>15.44</v>
      </c>
      <c r="D18" s="64">
        <v>14.76</v>
      </c>
      <c r="E18" s="64">
        <v>5.62</v>
      </c>
      <c r="F18" s="64">
        <v>2.1</v>
      </c>
      <c r="G18" s="64">
        <v>52.53</v>
      </c>
      <c r="H18" s="64">
        <v>9.5</v>
      </c>
      <c r="I18" s="64">
        <v>1.94</v>
      </c>
      <c r="J18" s="64">
        <v>0.11</v>
      </c>
      <c r="K18" s="64">
        <v>307.04000000000002</v>
      </c>
      <c r="L18" s="64">
        <v>22.23</v>
      </c>
      <c r="M18" s="64">
        <v>98.54</v>
      </c>
      <c r="N18" s="64">
        <v>42.3</v>
      </c>
      <c r="O18" s="64">
        <v>0</v>
      </c>
      <c r="P18" s="64">
        <v>0.56000000000000005</v>
      </c>
      <c r="Q18" s="64">
        <v>9.06</v>
      </c>
      <c r="R18" s="198"/>
      <c r="S18" s="198"/>
      <c r="T18" s="198"/>
      <c r="U18" s="198"/>
    </row>
    <row r="19" spans="1:21" s="12" customFormat="1" x14ac:dyDescent="0.25">
      <c r="A19" s="211" t="s">
        <v>1602</v>
      </c>
      <c r="B19" s="64">
        <v>8.01</v>
      </c>
      <c r="C19" s="64">
        <v>13.76</v>
      </c>
      <c r="D19" s="64">
        <v>13.61</v>
      </c>
      <c r="E19" s="64">
        <v>5.43</v>
      </c>
      <c r="F19" s="64">
        <v>2.8</v>
      </c>
      <c r="G19" s="64">
        <v>52.53</v>
      </c>
      <c r="H19" s="64">
        <v>9.5</v>
      </c>
      <c r="I19" s="64">
        <v>1.93</v>
      </c>
      <c r="J19" s="64">
        <v>0.21</v>
      </c>
      <c r="K19" s="64">
        <v>333.1</v>
      </c>
      <c r="L19" s="64">
        <v>22.16</v>
      </c>
      <c r="M19" s="64">
        <v>98.49</v>
      </c>
      <c r="N19" s="64">
        <v>42.3</v>
      </c>
      <c r="O19" s="64">
        <v>0</v>
      </c>
      <c r="P19" s="64">
        <v>0.5</v>
      </c>
      <c r="Q19" s="64">
        <v>9.08</v>
      </c>
      <c r="R19" s="198"/>
      <c r="S19" s="198"/>
      <c r="T19" s="198"/>
      <c r="U19" s="198"/>
    </row>
    <row r="20" spans="1:21" s="12" customFormat="1" x14ac:dyDescent="0.25">
      <c r="A20" s="211" t="s">
        <v>1603</v>
      </c>
      <c r="B20" s="64">
        <v>7.61</v>
      </c>
      <c r="C20" s="64">
        <v>11.23</v>
      </c>
      <c r="D20" s="64">
        <v>11.97</v>
      </c>
      <c r="E20" s="64">
        <v>5.6</v>
      </c>
      <c r="F20" s="64">
        <v>2.1800000000000002</v>
      </c>
      <c r="G20" s="64">
        <v>52.53</v>
      </c>
      <c r="H20" s="64">
        <v>9.5</v>
      </c>
      <c r="I20" s="64">
        <v>1.92</v>
      </c>
      <c r="J20" s="64">
        <v>0.13</v>
      </c>
      <c r="K20" s="64">
        <v>332.18</v>
      </c>
      <c r="L20" s="64">
        <v>21.96</v>
      </c>
      <c r="M20" s="64">
        <v>98.53</v>
      </c>
      <c r="N20" s="64">
        <v>42.3</v>
      </c>
      <c r="O20" s="64">
        <v>0</v>
      </c>
      <c r="P20" s="64">
        <v>0.52</v>
      </c>
      <c r="Q20" s="64">
        <v>9.08</v>
      </c>
      <c r="R20" s="198"/>
      <c r="S20" s="198"/>
      <c r="T20" s="198"/>
      <c r="U20" s="198"/>
    </row>
    <row r="21" spans="1:21" s="12" customFormat="1" x14ac:dyDescent="0.25">
      <c r="A21" s="211" t="s">
        <v>1604</v>
      </c>
      <c r="B21" s="64">
        <v>6.76</v>
      </c>
      <c r="C21" s="64">
        <v>11.94</v>
      </c>
      <c r="D21" s="64">
        <v>11.66</v>
      </c>
      <c r="E21" s="64">
        <v>5.3</v>
      </c>
      <c r="F21" s="64">
        <v>2.16</v>
      </c>
      <c r="G21" s="64">
        <v>58.56</v>
      </c>
      <c r="H21" s="64">
        <v>8.82</v>
      </c>
      <c r="I21" s="64">
        <v>1.9</v>
      </c>
      <c r="J21" s="64">
        <v>0.13</v>
      </c>
      <c r="K21" s="64">
        <v>322.38</v>
      </c>
      <c r="L21" s="64">
        <v>21.76</v>
      </c>
      <c r="M21" s="64">
        <v>98.53</v>
      </c>
      <c r="N21" s="64">
        <v>42.2</v>
      </c>
      <c r="O21" s="64">
        <v>0</v>
      </c>
      <c r="P21" s="64">
        <v>0.49</v>
      </c>
      <c r="Q21" s="64">
        <v>9.07</v>
      </c>
      <c r="R21" s="198"/>
      <c r="S21" s="198"/>
      <c r="T21" s="198"/>
      <c r="U21" s="198"/>
    </row>
    <row r="22" spans="1:21" s="12" customFormat="1" x14ac:dyDescent="0.25">
      <c r="A22" s="211" t="s">
        <v>1605</v>
      </c>
      <c r="B22" s="64">
        <v>10.029999999999999</v>
      </c>
      <c r="C22" s="64">
        <v>13.94</v>
      </c>
      <c r="D22" s="64">
        <v>15.33</v>
      </c>
      <c r="E22" s="64">
        <v>5.45</v>
      </c>
      <c r="F22" s="64">
        <v>2.1</v>
      </c>
      <c r="G22" s="64">
        <v>59</v>
      </c>
      <c r="H22" s="64">
        <v>8.82</v>
      </c>
      <c r="I22" s="64">
        <v>1.89</v>
      </c>
      <c r="J22" s="64">
        <v>0.14000000000000001</v>
      </c>
      <c r="K22" s="64">
        <v>352.61</v>
      </c>
      <c r="L22" s="64">
        <v>21.79</v>
      </c>
      <c r="M22" s="64">
        <v>98.57</v>
      </c>
      <c r="N22" s="64">
        <v>42.3</v>
      </c>
      <c r="O22" s="64">
        <v>0</v>
      </c>
      <c r="P22" s="64">
        <v>0.56999999999999995</v>
      </c>
      <c r="Q22" s="64">
        <v>9.09</v>
      </c>
      <c r="R22" s="198"/>
      <c r="S22" s="198"/>
      <c r="T22" s="198"/>
      <c r="U22" s="198"/>
    </row>
    <row r="23" spans="1:21" s="12" customFormat="1" x14ac:dyDescent="0.25">
      <c r="A23" s="211" t="s">
        <v>1606</v>
      </c>
      <c r="B23" s="64">
        <v>7.75</v>
      </c>
      <c r="C23" s="64">
        <v>12.72</v>
      </c>
      <c r="D23" s="64">
        <v>12.86</v>
      </c>
      <c r="E23" s="64">
        <v>5.25</v>
      </c>
      <c r="F23" s="64">
        <v>2.1800000000000002</v>
      </c>
      <c r="G23" s="64">
        <v>59</v>
      </c>
      <c r="H23" s="64">
        <v>8.82</v>
      </c>
      <c r="I23" s="64">
        <v>1.88</v>
      </c>
      <c r="J23" s="64">
        <v>0.15</v>
      </c>
      <c r="K23" s="64">
        <v>339.41</v>
      </c>
      <c r="L23" s="64">
        <v>21.66</v>
      </c>
      <c r="M23" s="64">
        <v>98.55</v>
      </c>
      <c r="N23" s="64">
        <v>42.1</v>
      </c>
      <c r="O23" s="64">
        <v>0</v>
      </c>
      <c r="P23" s="64">
        <v>0.51</v>
      </c>
      <c r="Q23" s="64">
        <v>9.11</v>
      </c>
      <c r="R23" s="198"/>
      <c r="S23" s="198"/>
      <c r="T23" s="198"/>
      <c r="U23" s="198"/>
    </row>
    <row r="24" spans="1:21" s="12" customFormat="1" x14ac:dyDescent="0.25">
      <c r="A24" s="211" t="s">
        <v>1607</v>
      </c>
      <c r="B24" s="64">
        <v>9.24</v>
      </c>
      <c r="C24" s="64">
        <v>14.26</v>
      </c>
      <c r="D24" s="64">
        <v>14.86</v>
      </c>
      <c r="E24" s="64">
        <v>5.25</v>
      </c>
      <c r="F24" s="64">
        <v>2.35</v>
      </c>
      <c r="G24" s="64">
        <v>59</v>
      </c>
      <c r="H24" s="64">
        <v>8.82</v>
      </c>
      <c r="I24" s="64">
        <v>1.87</v>
      </c>
      <c r="J24" s="64">
        <v>0.12</v>
      </c>
      <c r="K24" s="64">
        <v>310.37</v>
      </c>
      <c r="L24" s="64">
        <v>21.68</v>
      </c>
      <c r="M24" s="64">
        <v>98.48</v>
      </c>
      <c r="N24" s="64">
        <v>42.3</v>
      </c>
      <c r="O24" s="64">
        <v>0</v>
      </c>
      <c r="P24" s="64">
        <v>0.48</v>
      </c>
      <c r="Q24" s="64">
        <v>9.1</v>
      </c>
      <c r="R24" s="198"/>
      <c r="S24" s="198"/>
      <c r="T24" s="198"/>
      <c r="U24" s="198"/>
    </row>
    <row r="25" spans="1:21" s="12" customFormat="1" x14ac:dyDescent="0.25">
      <c r="A25" s="211" t="s">
        <v>1608</v>
      </c>
      <c r="B25" s="64">
        <v>8.82</v>
      </c>
      <c r="C25" s="64">
        <v>14.42</v>
      </c>
      <c r="D25" s="64">
        <v>14.6</v>
      </c>
      <c r="E25" s="64">
        <v>5.65</v>
      </c>
      <c r="F25" s="64">
        <v>2.1</v>
      </c>
      <c r="G25" s="64">
        <v>60.53</v>
      </c>
      <c r="H25" s="64">
        <v>7.99</v>
      </c>
      <c r="I25" s="64">
        <v>1.86</v>
      </c>
      <c r="J25" s="64">
        <v>0.09</v>
      </c>
      <c r="K25" s="64">
        <v>301.41000000000003</v>
      </c>
      <c r="L25" s="64">
        <v>21.65</v>
      </c>
      <c r="M25" s="64">
        <v>98.38</v>
      </c>
      <c r="N25" s="64">
        <v>42.3</v>
      </c>
      <c r="O25" s="64">
        <v>0</v>
      </c>
      <c r="P25" s="64">
        <v>0.57999999999999996</v>
      </c>
      <c r="Q25" s="64">
        <v>9.1</v>
      </c>
      <c r="R25" s="198"/>
      <c r="S25" s="198"/>
      <c r="T25" s="198"/>
      <c r="U25" s="198"/>
    </row>
    <row r="26" spans="1:21" s="12" customFormat="1" x14ac:dyDescent="0.25">
      <c r="A26" s="211" t="s">
        <v>1609</v>
      </c>
      <c r="B26" s="64">
        <v>7.72</v>
      </c>
      <c r="C26" s="64">
        <v>13.01</v>
      </c>
      <c r="D26" s="64">
        <v>12.99</v>
      </c>
      <c r="E26" s="64">
        <v>5.4</v>
      </c>
      <c r="F26" s="64">
        <v>2.1800000000000002</v>
      </c>
      <c r="G26" s="64">
        <v>60.64</v>
      </c>
      <c r="H26" s="64">
        <v>7.99</v>
      </c>
      <c r="I26" s="64">
        <v>1.86</v>
      </c>
      <c r="J26" s="64">
        <v>0.08</v>
      </c>
      <c r="K26" s="64">
        <v>330.39</v>
      </c>
      <c r="L26" s="64">
        <v>21.75</v>
      </c>
      <c r="M26" s="64">
        <v>98.37</v>
      </c>
      <c r="N26" s="64">
        <v>42.3</v>
      </c>
      <c r="O26" s="64">
        <v>0.2</v>
      </c>
      <c r="P26" s="64">
        <v>0.49</v>
      </c>
      <c r="Q26" s="64">
        <v>9.08</v>
      </c>
      <c r="R26" s="198"/>
      <c r="S26" s="198"/>
      <c r="T26" s="198"/>
      <c r="U26" s="198"/>
    </row>
    <row r="27" spans="1:21" s="12" customFormat="1" x14ac:dyDescent="0.25">
      <c r="A27" s="211" t="s">
        <v>1610</v>
      </c>
      <c r="B27" s="64">
        <v>22.5</v>
      </c>
      <c r="C27" s="64">
        <v>15.59</v>
      </c>
      <c r="D27" s="64">
        <v>26.19</v>
      </c>
      <c r="E27" s="64">
        <v>5.42</v>
      </c>
      <c r="F27" s="64">
        <v>2.1</v>
      </c>
      <c r="G27" s="64">
        <v>60.64</v>
      </c>
      <c r="H27" s="64">
        <v>7.99</v>
      </c>
      <c r="I27" s="64">
        <v>1.85</v>
      </c>
      <c r="J27" s="64">
        <v>0.12</v>
      </c>
      <c r="K27" s="64">
        <v>344.04</v>
      </c>
      <c r="L27" s="64">
        <v>21.92</v>
      </c>
      <c r="M27" s="64">
        <v>98.4</v>
      </c>
      <c r="N27" s="64">
        <v>42.4</v>
      </c>
      <c r="O27" s="64">
        <v>0</v>
      </c>
      <c r="P27" s="64">
        <v>0.62</v>
      </c>
      <c r="Q27" s="64">
        <v>9.06</v>
      </c>
      <c r="R27" s="198"/>
      <c r="S27" s="198"/>
      <c r="T27" s="198"/>
      <c r="U27" s="198"/>
    </row>
    <row r="28" spans="1:21" s="12" customFormat="1" x14ac:dyDescent="0.25">
      <c r="A28" s="211" t="s">
        <v>1611</v>
      </c>
      <c r="B28" s="64">
        <v>11.99</v>
      </c>
      <c r="C28" s="64">
        <v>11.5</v>
      </c>
      <c r="D28" s="64">
        <v>15.62</v>
      </c>
      <c r="E28" s="64">
        <v>5.25</v>
      </c>
      <c r="F28" s="64">
        <v>2.1</v>
      </c>
      <c r="G28" s="64">
        <v>60.64</v>
      </c>
      <c r="H28" s="64">
        <v>7.99</v>
      </c>
      <c r="I28" s="64">
        <v>1.85</v>
      </c>
      <c r="J28" s="64">
        <v>0.1</v>
      </c>
      <c r="K28" s="64">
        <v>335.13</v>
      </c>
      <c r="L28" s="64">
        <v>21.88</v>
      </c>
      <c r="M28" s="64">
        <v>98.42</v>
      </c>
      <c r="N28" s="64">
        <v>42.3</v>
      </c>
      <c r="O28" s="64">
        <v>0</v>
      </c>
      <c r="P28" s="64">
        <v>0.61</v>
      </c>
      <c r="Q28" s="64">
        <v>9.07</v>
      </c>
      <c r="R28" s="198"/>
      <c r="S28" s="198"/>
      <c r="T28" s="198"/>
      <c r="U28" s="198"/>
    </row>
    <row r="29" spans="1:21" s="12" customFormat="1" x14ac:dyDescent="0.25">
      <c r="A29" s="211" t="s">
        <v>1612</v>
      </c>
      <c r="B29" s="64">
        <v>9.31</v>
      </c>
      <c r="C29" s="64">
        <v>13.78</v>
      </c>
      <c r="D29" s="64">
        <v>14.67</v>
      </c>
      <c r="E29" s="64">
        <v>5.42</v>
      </c>
      <c r="F29" s="64">
        <v>2.13</v>
      </c>
      <c r="G29" s="64">
        <v>63.98</v>
      </c>
      <c r="H29" s="64">
        <v>7.45</v>
      </c>
      <c r="I29" s="64">
        <v>1.9</v>
      </c>
      <c r="J29" s="64">
        <v>0.05</v>
      </c>
      <c r="K29" s="64">
        <v>88.16</v>
      </c>
      <c r="L29" s="64">
        <v>21.79</v>
      </c>
      <c r="M29" s="64">
        <v>98.48</v>
      </c>
      <c r="N29" s="64">
        <v>42.3</v>
      </c>
      <c r="O29" s="64">
        <v>0</v>
      </c>
      <c r="P29" s="64">
        <v>0.57999999999999996</v>
      </c>
      <c r="Q29" s="64">
        <v>9.09</v>
      </c>
      <c r="R29" s="198"/>
      <c r="S29" s="198"/>
      <c r="T29" s="198"/>
      <c r="U29" s="198"/>
    </row>
    <row r="30" spans="1:21" s="12" customFormat="1" x14ac:dyDescent="0.25">
      <c r="A30" s="211" t="s">
        <v>1613</v>
      </c>
      <c r="B30" s="64">
        <v>13.1</v>
      </c>
      <c r="C30" s="64">
        <v>10.69</v>
      </c>
      <c r="D30" s="64">
        <v>16.09</v>
      </c>
      <c r="E30" s="64">
        <v>5.42</v>
      </c>
      <c r="F30" s="64">
        <v>2.1</v>
      </c>
      <c r="G30" s="64">
        <v>64.22</v>
      </c>
      <c r="H30" s="64">
        <v>7.45</v>
      </c>
      <c r="I30" s="64">
        <v>1.98</v>
      </c>
      <c r="J30" s="64">
        <v>0.41</v>
      </c>
      <c r="K30" s="64">
        <v>338.62</v>
      </c>
      <c r="L30" s="64">
        <v>21.81</v>
      </c>
      <c r="M30" s="64">
        <v>98.5</v>
      </c>
      <c r="N30" s="64">
        <v>42.2</v>
      </c>
      <c r="O30" s="64">
        <v>0</v>
      </c>
      <c r="P30" s="64">
        <v>0.62</v>
      </c>
      <c r="Q30" s="64">
        <v>9.1</v>
      </c>
      <c r="R30" s="198"/>
      <c r="S30" s="198"/>
      <c r="T30" s="198"/>
      <c r="U30" s="198"/>
    </row>
    <row r="31" spans="1:21" s="12" customFormat="1" x14ac:dyDescent="0.25">
      <c r="A31" s="211" t="s">
        <v>1614</v>
      </c>
      <c r="B31" s="64">
        <v>10.88</v>
      </c>
      <c r="C31" s="64">
        <v>8.91</v>
      </c>
      <c r="D31" s="64">
        <v>13.38</v>
      </c>
      <c r="E31" s="64">
        <v>5.54</v>
      </c>
      <c r="F31" s="64">
        <v>2.1</v>
      </c>
      <c r="G31" s="64">
        <v>64.22</v>
      </c>
      <c r="H31" s="64">
        <v>7.45</v>
      </c>
      <c r="I31" s="64">
        <v>2.0299999999999998</v>
      </c>
      <c r="J31" s="64">
        <v>0.08</v>
      </c>
      <c r="K31" s="64">
        <v>117.34</v>
      </c>
      <c r="L31" s="64">
        <v>21.83</v>
      </c>
      <c r="M31" s="64">
        <v>98.49</v>
      </c>
      <c r="N31" s="64">
        <v>42.9</v>
      </c>
      <c r="O31" s="64">
        <v>0</v>
      </c>
      <c r="P31" s="64">
        <v>0.56999999999999995</v>
      </c>
      <c r="Q31" s="64">
        <v>9.1</v>
      </c>
      <c r="R31" s="198"/>
      <c r="S31" s="198"/>
      <c r="T31" s="198"/>
      <c r="U31" s="198"/>
    </row>
    <row r="32" spans="1:21" s="12" customFormat="1" x14ac:dyDescent="0.25">
      <c r="A32" s="211" t="s">
        <v>1615</v>
      </c>
      <c r="B32" s="64">
        <v>12.45</v>
      </c>
      <c r="C32" s="64">
        <v>8.75</v>
      </c>
      <c r="D32" s="64">
        <v>14.56</v>
      </c>
      <c r="E32" s="64">
        <v>5.6</v>
      </c>
      <c r="F32" s="64">
        <v>2.1</v>
      </c>
      <c r="G32" s="64">
        <v>64.22</v>
      </c>
      <c r="H32" s="64">
        <v>7.45</v>
      </c>
      <c r="I32" s="64">
        <v>2.06</v>
      </c>
      <c r="J32" s="64">
        <v>0.39</v>
      </c>
      <c r="K32" s="64">
        <v>345.55</v>
      </c>
      <c r="L32" s="64">
        <v>21.8</v>
      </c>
      <c r="M32" s="64">
        <v>98.5</v>
      </c>
      <c r="N32" s="64">
        <v>45.5</v>
      </c>
      <c r="O32" s="64">
        <v>0</v>
      </c>
      <c r="P32" s="64">
        <v>0.61</v>
      </c>
      <c r="Q32" s="64">
        <v>9.09</v>
      </c>
      <c r="R32" s="198"/>
      <c r="S32" s="198"/>
      <c r="T32" s="198"/>
      <c r="U32" s="198"/>
    </row>
    <row r="33" spans="1:21" s="12" customFormat="1" x14ac:dyDescent="0.25">
      <c r="A33" s="211" t="s">
        <v>1616</v>
      </c>
      <c r="B33" s="64">
        <v>12.13</v>
      </c>
      <c r="C33" s="64">
        <v>14.22</v>
      </c>
      <c r="D33" s="64">
        <v>17.16</v>
      </c>
      <c r="E33" s="64">
        <v>5.2</v>
      </c>
      <c r="F33" s="64">
        <v>2.12</v>
      </c>
      <c r="G33" s="64">
        <v>66.63</v>
      </c>
      <c r="H33" s="64">
        <v>7.08</v>
      </c>
      <c r="I33" s="64">
        <v>2.08</v>
      </c>
      <c r="J33" s="64">
        <v>7.0000000000000007E-2</v>
      </c>
      <c r="K33" s="64">
        <v>324.94</v>
      </c>
      <c r="L33" s="64">
        <v>21.81</v>
      </c>
      <c r="M33" s="64">
        <v>98.49</v>
      </c>
      <c r="N33" s="64">
        <v>54.7</v>
      </c>
      <c r="O33" s="64">
        <v>0</v>
      </c>
      <c r="P33" s="64">
        <v>0.63</v>
      </c>
      <c r="Q33" s="64">
        <v>9.1</v>
      </c>
      <c r="R33" s="198"/>
      <c r="S33" s="198"/>
      <c r="T33" s="198"/>
      <c r="U33" s="198"/>
    </row>
    <row r="34" spans="1:21" s="12" customFormat="1" x14ac:dyDescent="0.25">
      <c r="A34" s="211" t="s">
        <v>1617</v>
      </c>
      <c r="B34" s="64">
        <v>12.49</v>
      </c>
      <c r="C34" s="64">
        <v>13.17</v>
      </c>
      <c r="D34" s="64">
        <v>16.899999999999999</v>
      </c>
      <c r="E34" s="64">
        <v>5.31</v>
      </c>
      <c r="F34" s="64">
        <v>2.14</v>
      </c>
      <c r="G34" s="64">
        <v>66.8</v>
      </c>
      <c r="H34" s="64">
        <v>7.08</v>
      </c>
      <c r="I34" s="64">
        <v>2.1</v>
      </c>
      <c r="J34" s="64">
        <v>0.02</v>
      </c>
      <c r="K34" s="64">
        <v>269.69</v>
      </c>
      <c r="L34" s="64">
        <v>21.97</v>
      </c>
      <c r="M34" s="64">
        <v>98.48</v>
      </c>
      <c r="N34" s="64">
        <v>73.900000000000006</v>
      </c>
      <c r="O34" s="64">
        <v>0</v>
      </c>
      <c r="P34" s="64">
        <v>0.62</v>
      </c>
      <c r="Q34" s="64">
        <v>9.11</v>
      </c>
      <c r="R34" s="198"/>
      <c r="S34" s="198"/>
      <c r="T34" s="198"/>
      <c r="U34" s="198"/>
    </row>
    <row r="35" spans="1:21" s="12" customFormat="1" x14ac:dyDescent="0.25">
      <c r="A35" s="211" t="s">
        <v>1618</v>
      </c>
      <c r="B35" s="64">
        <v>11.77</v>
      </c>
      <c r="C35" s="64">
        <v>14.67</v>
      </c>
      <c r="D35" s="64">
        <v>17.11</v>
      </c>
      <c r="E35" s="64">
        <v>5.12</v>
      </c>
      <c r="F35" s="64">
        <v>2.41</v>
      </c>
      <c r="G35" s="64">
        <v>66.8</v>
      </c>
      <c r="H35" s="64">
        <v>7.08</v>
      </c>
      <c r="I35" s="64">
        <v>2.11</v>
      </c>
      <c r="J35" s="64">
        <v>0.03</v>
      </c>
      <c r="K35" s="64">
        <v>292.20999999999998</v>
      </c>
      <c r="L35" s="64">
        <v>22.66</v>
      </c>
      <c r="M35" s="64">
        <v>98.4</v>
      </c>
      <c r="N35" s="64">
        <v>116.8</v>
      </c>
      <c r="O35" s="64">
        <v>0</v>
      </c>
      <c r="P35" s="64">
        <v>0.68</v>
      </c>
      <c r="Q35" s="64">
        <v>9.1199999999999992</v>
      </c>
      <c r="R35" s="198"/>
      <c r="S35" s="198"/>
      <c r="T35" s="198"/>
      <c r="U35" s="198"/>
    </row>
    <row r="36" spans="1:21" s="12" customFormat="1" x14ac:dyDescent="0.25">
      <c r="A36" s="211" t="s">
        <v>1619</v>
      </c>
      <c r="B36" s="64">
        <v>10.53</v>
      </c>
      <c r="C36" s="64">
        <v>14.83</v>
      </c>
      <c r="D36" s="64">
        <v>16.2</v>
      </c>
      <c r="E36" s="64">
        <v>5.69</v>
      </c>
      <c r="F36" s="64">
        <v>2.79</v>
      </c>
      <c r="G36" s="64">
        <v>66.8</v>
      </c>
      <c r="H36" s="64">
        <v>7.08</v>
      </c>
      <c r="I36" s="64">
        <v>2.13</v>
      </c>
      <c r="J36" s="64">
        <v>0.22</v>
      </c>
      <c r="K36" s="64">
        <v>139.76</v>
      </c>
      <c r="L36" s="64">
        <v>23.73</v>
      </c>
      <c r="M36" s="64">
        <v>98.28</v>
      </c>
      <c r="N36" s="64">
        <v>162.30000000000001</v>
      </c>
      <c r="O36" s="64">
        <v>0</v>
      </c>
      <c r="P36" s="64">
        <v>0.65</v>
      </c>
      <c r="Q36" s="64">
        <v>9.15</v>
      </c>
      <c r="R36" s="198"/>
      <c r="S36" s="198"/>
      <c r="T36" s="198"/>
      <c r="U36" s="198"/>
    </row>
    <row r="37" spans="1:21" s="12" customFormat="1" x14ac:dyDescent="0.25">
      <c r="A37" s="211" t="s">
        <v>1620</v>
      </c>
      <c r="B37" s="64">
        <v>15.31</v>
      </c>
      <c r="C37" s="64">
        <v>17.79</v>
      </c>
      <c r="D37" s="64">
        <v>21.55</v>
      </c>
      <c r="E37" s="64">
        <v>5.63</v>
      </c>
      <c r="F37" s="64">
        <v>2.5299999999999998</v>
      </c>
      <c r="G37" s="64">
        <v>67.08</v>
      </c>
      <c r="H37" s="64">
        <v>9.24</v>
      </c>
      <c r="I37" s="64">
        <v>2.13</v>
      </c>
      <c r="J37" s="64">
        <v>0.05</v>
      </c>
      <c r="K37" s="64">
        <v>268.83999999999997</v>
      </c>
      <c r="L37" s="64">
        <v>24.72</v>
      </c>
      <c r="M37" s="64">
        <v>98.2</v>
      </c>
      <c r="N37" s="64">
        <v>210.1</v>
      </c>
      <c r="O37" s="64">
        <v>0</v>
      </c>
      <c r="P37" s="64">
        <v>0.65</v>
      </c>
      <c r="Q37" s="64">
        <v>9.16</v>
      </c>
      <c r="R37" s="198"/>
      <c r="S37" s="198"/>
      <c r="T37" s="198"/>
      <c r="U37" s="198"/>
    </row>
    <row r="38" spans="1:21" s="12" customFormat="1" x14ac:dyDescent="0.25">
      <c r="A38" s="211" t="s">
        <v>1621</v>
      </c>
      <c r="B38" s="64">
        <v>11.47</v>
      </c>
      <c r="C38" s="64">
        <v>19.059999999999999</v>
      </c>
      <c r="D38" s="64">
        <v>19.16</v>
      </c>
      <c r="E38" s="64">
        <v>5.78</v>
      </c>
      <c r="F38" s="64">
        <v>4.3099999999999996</v>
      </c>
      <c r="G38" s="64">
        <v>67.099999999999994</v>
      </c>
      <c r="H38" s="64">
        <v>9.24</v>
      </c>
      <c r="I38" s="64">
        <v>2.13</v>
      </c>
      <c r="J38" s="64">
        <v>0.09</v>
      </c>
      <c r="K38" s="64">
        <v>177.3</v>
      </c>
      <c r="L38" s="64">
        <v>25.81</v>
      </c>
      <c r="M38" s="64">
        <v>93.35</v>
      </c>
      <c r="N38" s="64">
        <v>261.8</v>
      </c>
      <c r="O38" s="64">
        <v>0</v>
      </c>
      <c r="P38" s="64">
        <v>0.66</v>
      </c>
      <c r="Q38" s="64">
        <v>9.18</v>
      </c>
      <c r="R38" s="198"/>
      <c r="S38" s="198"/>
      <c r="T38" s="198"/>
      <c r="U38" s="198"/>
    </row>
    <row r="39" spans="1:21" s="12" customFormat="1" x14ac:dyDescent="0.25">
      <c r="A39" s="211" t="s">
        <v>1622</v>
      </c>
      <c r="B39" s="64">
        <v>12.03</v>
      </c>
      <c r="C39" s="64">
        <v>15.18</v>
      </c>
      <c r="D39" s="64">
        <v>17.579999999999998</v>
      </c>
      <c r="E39" s="64">
        <v>5.94</v>
      </c>
      <c r="F39" s="64">
        <v>5.18</v>
      </c>
      <c r="G39" s="64">
        <v>67.099999999999994</v>
      </c>
      <c r="H39" s="64">
        <v>9.24</v>
      </c>
      <c r="I39" s="64">
        <v>2.13</v>
      </c>
      <c r="J39" s="64">
        <v>0.21</v>
      </c>
      <c r="K39" s="64">
        <v>136.18</v>
      </c>
      <c r="L39" s="64">
        <v>26.65</v>
      </c>
      <c r="M39" s="64">
        <v>85.01</v>
      </c>
      <c r="N39" s="64">
        <v>316.7</v>
      </c>
      <c r="O39" s="64">
        <v>0</v>
      </c>
      <c r="P39" s="64">
        <v>0.64</v>
      </c>
      <c r="Q39" s="64">
        <v>9.18</v>
      </c>
      <c r="R39" s="198"/>
      <c r="S39" s="198"/>
      <c r="T39" s="198"/>
      <c r="U39" s="198"/>
    </row>
    <row r="40" spans="1:21" s="12" customFormat="1" x14ac:dyDescent="0.25">
      <c r="A40" s="211" t="s">
        <v>1623</v>
      </c>
      <c r="B40" s="64">
        <v>10.75</v>
      </c>
      <c r="C40" s="64">
        <v>14.77</v>
      </c>
      <c r="D40" s="64">
        <v>16.34</v>
      </c>
      <c r="E40" s="64">
        <v>5.69</v>
      </c>
      <c r="F40" s="64">
        <v>7.07</v>
      </c>
      <c r="G40" s="64">
        <v>67.099999999999994</v>
      </c>
      <c r="H40" s="64">
        <v>9.24</v>
      </c>
      <c r="I40" s="64">
        <v>2.14</v>
      </c>
      <c r="J40" s="64">
        <v>0.09</v>
      </c>
      <c r="K40" s="64">
        <v>112.97</v>
      </c>
      <c r="L40" s="64">
        <v>27.44</v>
      </c>
      <c r="M40" s="64">
        <v>81.069999999999993</v>
      </c>
      <c r="N40" s="64">
        <v>379.2</v>
      </c>
      <c r="O40" s="64">
        <v>0</v>
      </c>
      <c r="P40" s="64">
        <v>0.63</v>
      </c>
      <c r="Q40" s="64">
        <v>9.19</v>
      </c>
      <c r="R40" s="198"/>
      <c r="S40" s="198"/>
      <c r="T40" s="198"/>
      <c r="U40" s="198"/>
    </row>
    <row r="41" spans="1:21" s="12" customFormat="1" x14ac:dyDescent="0.25">
      <c r="A41" s="211" t="s">
        <v>1624</v>
      </c>
      <c r="B41" s="64">
        <v>11.4</v>
      </c>
      <c r="C41" s="64">
        <v>14.68</v>
      </c>
      <c r="D41" s="64">
        <v>16.809999999999999</v>
      </c>
      <c r="E41" s="64">
        <v>5.61</v>
      </c>
      <c r="F41" s="64">
        <v>5.56</v>
      </c>
      <c r="G41" s="64">
        <v>75.77</v>
      </c>
      <c r="H41" s="64">
        <v>8.5299999999999994</v>
      </c>
      <c r="I41" s="64">
        <v>2.13</v>
      </c>
      <c r="J41" s="64">
        <v>0.22</v>
      </c>
      <c r="K41" s="64">
        <v>125.75</v>
      </c>
      <c r="L41" s="64">
        <v>28.15</v>
      </c>
      <c r="M41" s="64">
        <v>77.400000000000006</v>
      </c>
      <c r="N41" s="64">
        <v>438.9</v>
      </c>
      <c r="O41" s="64">
        <v>0</v>
      </c>
      <c r="P41" s="64">
        <v>0.66</v>
      </c>
      <c r="Q41" s="64">
        <v>9.19</v>
      </c>
      <c r="R41" s="198"/>
      <c r="S41" s="198"/>
      <c r="T41" s="198"/>
      <c r="U41" s="198"/>
    </row>
    <row r="42" spans="1:21" s="12" customFormat="1" x14ac:dyDescent="0.25">
      <c r="A42" s="211" t="s">
        <v>1625</v>
      </c>
      <c r="B42" s="64">
        <v>10.08</v>
      </c>
      <c r="C42" s="64">
        <v>14.55</v>
      </c>
      <c r="D42" s="64">
        <v>15.69</v>
      </c>
      <c r="E42" s="64">
        <v>5.47</v>
      </c>
      <c r="F42" s="64">
        <v>9.3800000000000008</v>
      </c>
      <c r="G42" s="64">
        <v>76.39</v>
      </c>
      <c r="H42" s="64">
        <v>8.5299999999999994</v>
      </c>
      <c r="I42" s="64">
        <v>2.13</v>
      </c>
      <c r="J42" s="64">
        <v>0.26</v>
      </c>
      <c r="K42" s="64">
        <v>135.57</v>
      </c>
      <c r="L42" s="64">
        <v>28.05</v>
      </c>
      <c r="M42" s="64">
        <v>77.209999999999994</v>
      </c>
      <c r="N42" s="64">
        <v>492.3</v>
      </c>
      <c r="O42" s="64">
        <v>0</v>
      </c>
      <c r="P42" s="64">
        <v>0.61</v>
      </c>
      <c r="Q42" s="64">
        <v>9.18</v>
      </c>
      <c r="R42" s="198"/>
      <c r="S42" s="198"/>
      <c r="T42" s="198"/>
      <c r="U42" s="198"/>
    </row>
    <row r="43" spans="1:21" s="12" customFormat="1" x14ac:dyDescent="0.25">
      <c r="A43" s="211" t="s">
        <v>1626</v>
      </c>
      <c r="B43" s="64">
        <v>10.77</v>
      </c>
      <c r="C43" s="64">
        <v>11.93</v>
      </c>
      <c r="D43" s="64">
        <v>14.87</v>
      </c>
      <c r="E43" s="64">
        <v>5.53</v>
      </c>
      <c r="F43" s="64">
        <v>5.83</v>
      </c>
      <c r="G43" s="64">
        <v>76.39</v>
      </c>
      <c r="H43" s="64">
        <v>8.5299999999999994</v>
      </c>
      <c r="I43" s="64">
        <v>2.15</v>
      </c>
      <c r="J43" s="64">
        <v>0.39</v>
      </c>
      <c r="K43" s="64">
        <v>131.86000000000001</v>
      </c>
      <c r="L43" s="64">
        <v>28.53</v>
      </c>
      <c r="M43" s="64">
        <v>72.63</v>
      </c>
      <c r="N43" s="64">
        <v>543.29999999999995</v>
      </c>
      <c r="O43" s="64">
        <v>0</v>
      </c>
      <c r="P43" s="64">
        <v>0.63</v>
      </c>
      <c r="Q43" s="64">
        <v>9.17</v>
      </c>
      <c r="R43" s="198"/>
      <c r="S43" s="198"/>
      <c r="T43" s="198"/>
      <c r="U43" s="198"/>
    </row>
    <row r="44" spans="1:21" s="12" customFormat="1" x14ac:dyDescent="0.25">
      <c r="A44" s="211" t="s">
        <v>1627</v>
      </c>
      <c r="B44" s="64">
        <v>8.32</v>
      </c>
      <c r="C44" s="64">
        <v>14.71</v>
      </c>
      <c r="D44" s="64">
        <v>14.36</v>
      </c>
      <c r="E44" s="64">
        <v>5.46</v>
      </c>
      <c r="F44" s="64">
        <v>13.63</v>
      </c>
      <c r="G44" s="64">
        <v>76.39</v>
      </c>
      <c r="H44" s="64">
        <v>8.5299999999999994</v>
      </c>
      <c r="I44" s="64">
        <v>2.15</v>
      </c>
      <c r="J44" s="64">
        <v>0.75</v>
      </c>
      <c r="K44" s="64">
        <v>127.97</v>
      </c>
      <c r="L44" s="64">
        <v>28.54</v>
      </c>
      <c r="M44" s="64">
        <v>74.760000000000005</v>
      </c>
      <c r="N44" s="64">
        <v>584.29999999999995</v>
      </c>
      <c r="O44" s="64">
        <v>0</v>
      </c>
      <c r="P44" s="64">
        <v>0.57999999999999996</v>
      </c>
      <c r="Q44" s="64">
        <v>9.14</v>
      </c>
      <c r="R44" s="198"/>
      <c r="S44" s="198"/>
      <c r="T44" s="198"/>
      <c r="U44" s="198"/>
    </row>
    <row r="45" spans="1:21" s="12" customFormat="1" x14ac:dyDescent="0.25">
      <c r="A45" s="211" t="s">
        <v>1628</v>
      </c>
      <c r="B45" s="64">
        <v>9.99</v>
      </c>
      <c r="C45" s="64">
        <v>14.79</v>
      </c>
      <c r="D45" s="64">
        <v>15.74</v>
      </c>
      <c r="E45" s="64">
        <v>6.12</v>
      </c>
      <c r="F45" s="64">
        <v>12.89</v>
      </c>
      <c r="G45" s="64">
        <v>73.05</v>
      </c>
      <c r="H45" s="64">
        <v>8.0399999999999991</v>
      </c>
      <c r="I45" s="64">
        <v>2.15</v>
      </c>
      <c r="J45" s="64">
        <v>0.61</v>
      </c>
      <c r="K45" s="64">
        <v>121.33</v>
      </c>
      <c r="L45" s="64">
        <v>28.46</v>
      </c>
      <c r="M45" s="64">
        <v>75.64</v>
      </c>
      <c r="N45" s="64">
        <v>625.20000000000005</v>
      </c>
      <c r="O45" s="64">
        <v>0</v>
      </c>
      <c r="P45" s="64">
        <v>0.61</v>
      </c>
      <c r="Q45" s="64">
        <v>9.1300000000000008</v>
      </c>
      <c r="R45" s="198"/>
      <c r="S45" s="198"/>
      <c r="T45" s="198"/>
      <c r="U45" s="198"/>
    </row>
    <row r="46" spans="1:21" s="12" customFormat="1" x14ac:dyDescent="0.25">
      <c r="A46" s="211" t="s">
        <v>1629</v>
      </c>
      <c r="B46" s="64">
        <v>8.8800000000000008</v>
      </c>
      <c r="C46" s="64">
        <v>14.01</v>
      </c>
      <c r="D46" s="64">
        <v>14.44</v>
      </c>
      <c r="E46" s="64">
        <v>6.61</v>
      </c>
      <c r="F46" s="64">
        <v>10.23</v>
      </c>
      <c r="G46" s="64">
        <v>72.81</v>
      </c>
      <c r="H46" s="64">
        <v>8.0399999999999991</v>
      </c>
      <c r="I46" s="64">
        <v>2.16</v>
      </c>
      <c r="J46" s="64">
        <v>0.83</v>
      </c>
      <c r="K46" s="64">
        <v>129.06</v>
      </c>
      <c r="L46" s="64">
        <v>28.41</v>
      </c>
      <c r="M46" s="64">
        <v>75.45</v>
      </c>
      <c r="N46" s="64">
        <v>661.3</v>
      </c>
      <c r="O46" s="64">
        <v>0</v>
      </c>
      <c r="P46" s="64">
        <v>0.59</v>
      </c>
      <c r="Q46" s="64">
        <v>9.11</v>
      </c>
      <c r="R46" s="198"/>
      <c r="S46" s="198"/>
      <c r="T46" s="198"/>
      <c r="U46" s="198"/>
    </row>
    <row r="47" spans="1:21" s="12" customFormat="1" x14ac:dyDescent="0.25">
      <c r="A47" s="211" t="s">
        <v>1630</v>
      </c>
      <c r="B47" s="64">
        <v>9.26</v>
      </c>
      <c r="C47" s="64">
        <v>10.61</v>
      </c>
      <c r="D47" s="64">
        <v>12.97</v>
      </c>
      <c r="E47" s="64">
        <v>6.49</v>
      </c>
      <c r="F47" s="64">
        <v>9.48</v>
      </c>
      <c r="G47" s="64">
        <v>72.81</v>
      </c>
      <c r="H47" s="64">
        <v>8.0399999999999991</v>
      </c>
      <c r="I47" s="64">
        <v>2.15</v>
      </c>
      <c r="J47" s="64">
        <v>1.24</v>
      </c>
      <c r="K47" s="64">
        <v>128.88999999999999</v>
      </c>
      <c r="L47" s="64">
        <v>28.54</v>
      </c>
      <c r="M47" s="64">
        <v>72.28</v>
      </c>
      <c r="N47" s="64">
        <v>715.9</v>
      </c>
      <c r="O47" s="64">
        <v>0</v>
      </c>
      <c r="P47" s="64">
        <v>0.57999999999999996</v>
      </c>
      <c r="Q47" s="64">
        <v>9.1</v>
      </c>
      <c r="R47" s="198"/>
      <c r="S47" s="198"/>
      <c r="T47" s="198"/>
      <c r="U47" s="198"/>
    </row>
    <row r="48" spans="1:21" s="12" customFormat="1" x14ac:dyDescent="0.25">
      <c r="A48" s="211" t="s">
        <v>1631</v>
      </c>
      <c r="B48" s="64">
        <v>9.5</v>
      </c>
      <c r="C48" s="64">
        <v>10.75</v>
      </c>
      <c r="D48" s="64">
        <v>13.24</v>
      </c>
      <c r="E48" s="64">
        <v>6.6</v>
      </c>
      <c r="F48" s="64">
        <v>10.18</v>
      </c>
      <c r="G48" s="64">
        <v>72.81</v>
      </c>
      <c r="H48" s="64">
        <v>8.0399999999999991</v>
      </c>
      <c r="I48" s="64">
        <v>2.14</v>
      </c>
      <c r="J48" s="64">
        <v>0.59</v>
      </c>
      <c r="K48" s="64">
        <v>124.85</v>
      </c>
      <c r="L48" s="64">
        <v>28.66</v>
      </c>
      <c r="M48" s="64">
        <v>73.040000000000006</v>
      </c>
      <c r="N48" s="64">
        <v>704.6</v>
      </c>
      <c r="O48" s="64">
        <v>0</v>
      </c>
      <c r="P48" s="64">
        <v>0.57999999999999996</v>
      </c>
      <c r="Q48" s="64">
        <v>9.08</v>
      </c>
      <c r="R48" s="198"/>
      <c r="S48" s="198"/>
      <c r="T48" s="198"/>
      <c r="U48" s="198"/>
    </row>
    <row r="49" spans="1:21" s="12" customFormat="1" x14ac:dyDescent="0.25">
      <c r="A49" s="211" t="s">
        <v>1632</v>
      </c>
      <c r="B49" s="64">
        <v>7.81</v>
      </c>
      <c r="C49" s="64">
        <v>10.11</v>
      </c>
      <c r="D49" s="64">
        <v>11.54</v>
      </c>
      <c r="E49" s="64">
        <v>7.12</v>
      </c>
      <c r="F49" s="64">
        <v>8.1999999999999993</v>
      </c>
      <c r="G49" s="64">
        <v>67.69</v>
      </c>
      <c r="H49" s="64">
        <v>7.68</v>
      </c>
      <c r="I49" s="64">
        <v>2.12</v>
      </c>
      <c r="J49" s="64">
        <v>0.8</v>
      </c>
      <c r="K49" s="64">
        <v>125.05</v>
      </c>
      <c r="L49" s="64">
        <v>28.59</v>
      </c>
      <c r="M49" s="64">
        <v>71.290000000000006</v>
      </c>
      <c r="N49" s="64">
        <v>711.7</v>
      </c>
      <c r="O49" s="64">
        <v>0</v>
      </c>
      <c r="P49" s="64">
        <v>0.56000000000000005</v>
      </c>
      <c r="Q49" s="64">
        <v>9.07</v>
      </c>
      <c r="R49" s="198"/>
      <c r="S49" s="198"/>
      <c r="T49" s="198"/>
      <c r="U49" s="198"/>
    </row>
    <row r="50" spans="1:21" s="12" customFormat="1" x14ac:dyDescent="0.25">
      <c r="A50" s="211" t="s">
        <v>1633</v>
      </c>
      <c r="B50" s="64">
        <v>6.79</v>
      </c>
      <c r="C50" s="64">
        <v>10.69</v>
      </c>
      <c r="D50" s="64">
        <v>11.03</v>
      </c>
      <c r="E50" s="64">
        <v>6.95</v>
      </c>
      <c r="F50" s="64">
        <v>13.81</v>
      </c>
      <c r="G50" s="64">
        <v>67.319999999999993</v>
      </c>
      <c r="H50" s="64">
        <v>7.68</v>
      </c>
      <c r="I50" s="64">
        <v>2.1</v>
      </c>
      <c r="J50" s="64">
        <v>1.01</v>
      </c>
      <c r="K50" s="64">
        <v>129.34</v>
      </c>
      <c r="L50" s="64">
        <v>28.76</v>
      </c>
      <c r="M50" s="64">
        <v>69.94</v>
      </c>
      <c r="N50" s="64">
        <v>758.6</v>
      </c>
      <c r="O50" s="64">
        <v>0</v>
      </c>
      <c r="P50" s="64">
        <v>0.52</v>
      </c>
      <c r="Q50" s="64">
        <v>9.06</v>
      </c>
      <c r="R50" s="198"/>
      <c r="S50" s="198"/>
      <c r="T50" s="198"/>
      <c r="U50" s="198"/>
    </row>
    <row r="51" spans="1:21" s="12" customFormat="1" x14ac:dyDescent="0.25">
      <c r="A51" s="211" t="s">
        <v>1634</v>
      </c>
      <c r="B51" s="64">
        <v>6.7</v>
      </c>
      <c r="C51" s="64">
        <v>9.65</v>
      </c>
      <c r="D51" s="64">
        <v>10.41</v>
      </c>
      <c r="E51" s="64">
        <v>6.93</v>
      </c>
      <c r="F51" s="64">
        <v>15.34</v>
      </c>
      <c r="G51" s="64">
        <v>67.319999999999993</v>
      </c>
      <c r="H51" s="64">
        <v>7.68</v>
      </c>
      <c r="I51" s="64">
        <v>2.08</v>
      </c>
      <c r="J51" s="64">
        <v>0.7</v>
      </c>
      <c r="K51" s="64">
        <v>131.9</v>
      </c>
      <c r="L51" s="64">
        <v>29.02</v>
      </c>
      <c r="M51" s="64">
        <v>68.27</v>
      </c>
      <c r="N51" s="64">
        <v>810.9</v>
      </c>
      <c r="O51" s="64">
        <v>0</v>
      </c>
      <c r="P51" s="64">
        <v>0.5</v>
      </c>
      <c r="Q51" s="64">
        <v>9.0500000000000007</v>
      </c>
      <c r="R51" s="198"/>
      <c r="S51" s="198"/>
      <c r="T51" s="198"/>
      <c r="U51" s="198"/>
    </row>
    <row r="52" spans="1:21" s="12" customFormat="1" x14ac:dyDescent="0.25">
      <c r="A52" s="211" t="s">
        <v>1635</v>
      </c>
      <c r="B52" s="64">
        <v>7</v>
      </c>
      <c r="C52" s="64">
        <v>10.11</v>
      </c>
      <c r="D52" s="64">
        <v>10.9</v>
      </c>
      <c r="E52" s="64">
        <v>6.47</v>
      </c>
      <c r="F52" s="64">
        <v>9.5399999999999991</v>
      </c>
      <c r="G52" s="64">
        <v>67.319999999999993</v>
      </c>
      <c r="H52" s="64">
        <v>7.68</v>
      </c>
      <c r="I52" s="64">
        <v>2.17</v>
      </c>
      <c r="J52" s="64">
        <v>0.74</v>
      </c>
      <c r="K52" s="64">
        <v>134.86000000000001</v>
      </c>
      <c r="L52" s="64">
        <v>29.55</v>
      </c>
      <c r="M52" s="64">
        <v>65.75</v>
      </c>
      <c r="N52" s="64">
        <v>794</v>
      </c>
      <c r="O52" s="64">
        <v>0</v>
      </c>
      <c r="P52" s="64">
        <v>0.52</v>
      </c>
      <c r="Q52" s="64">
        <v>9.0399999999999991</v>
      </c>
      <c r="R52" s="198"/>
      <c r="S52" s="198"/>
      <c r="T52" s="198"/>
      <c r="U52" s="198"/>
    </row>
    <row r="53" spans="1:21" s="12" customFormat="1" x14ac:dyDescent="0.25">
      <c r="A53" s="211" t="s">
        <v>1636</v>
      </c>
      <c r="B53" s="64">
        <v>6.47</v>
      </c>
      <c r="C53" s="64">
        <v>9.48</v>
      </c>
      <c r="D53" s="64">
        <v>10.14</v>
      </c>
      <c r="E53" s="64">
        <v>6.69</v>
      </c>
      <c r="F53" s="64">
        <v>14.25</v>
      </c>
      <c r="G53" s="64">
        <v>58.71</v>
      </c>
      <c r="H53" s="64">
        <v>9.92</v>
      </c>
      <c r="I53" s="64">
        <v>2.23</v>
      </c>
      <c r="J53" s="64">
        <v>1.06</v>
      </c>
      <c r="K53" s="64">
        <v>129.04</v>
      </c>
      <c r="L53" s="64">
        <v>29.21</v>
      </c>
      <c r="M53" s="64">
        <v>64.510000000000005</v>
      </c>
      <c r="N53" s="64">
        <v>650.29999999999995</v>
      </c>
      <c r="O53" s="64">
        <v>0</v>
      </c>
      <c r="P53" s="64">
        <v>0.5</v>
      </c>
      <c r="Q53" s="64">
        <v>9.0399999999999991</v>
      </c>
      <c r="R53" s="198"/>
      <c r="S53" s="198"/>
      <c r="T53" s="198"/>
      <c r="U53" s="198"/>
    </row>
    <row r="54" spans="1:21" s="12" customFormat="1" x14ac:dyDescent="0.25">
      <c r="A54" s="211" t="s">
        <v>1637</v>
      </c>
      <c r="B54" s="64">
        <v>6.12</v>
      </c>
      <c r="C54" s="64">
        <v>8.9600000000000009</v>
      </c>
      <c r="D54" s="64">
        <v>9.59</v>
      </c>
      <c r="E54" s="64">
        <v>6.41</v>
      </c>
      <c r="F54" s="64">
        <v>13.6</v>
      </c>
      <c r="G54" s="64">
        <v>58.1</v>
      </c>
      <c r="H54" s="64">
        <v>9.92</v>
      </c>
      <c r="I54" s="64">
        <v>2.2000000000000002</v>
      </c>
      <c r="J54" s="64">
        <v>0.92</v>
      </c>
      <c r="K54" s="64">
        <v>124</v>
      </c>
      <c r="L54" s="64">
        <v>28.91</v>
      </c>
      <c r="M54" s="64">
        <v>63.12</v>
      </c>
      <c r="N54" s="64">
        <v>751.5</v>
      </c>
      <c r="O54" s="64">
        <v>0</v>
      </c>
      <c r="P54" s="64">
        <v>0.44</v>
      </c>
      <c r="Q54" s="64">
        <v>9.06</v>
      </c>
      <c r="R54" s="198"/>
      <c r="S54" s="198"/>
      <c r="T54" s="198"/>
      <c r="U54" s="198"/>
    </row>
    <row r="55" spans="1:21" s="12" customFormat="1" x14ac:dyDescent="0.25">
      <c r="A55" s="211" t="s">
        <v>1638</v>
      </c>
      <c r="B55" s="64">
        <v>6.89</v>
      </c>
      <c r="C55" s="64">
        <v>11.7</v>
      </c>
      <c r="D55" s="64">
        <v>11.63</v>
      </c>
      <c r="E55" s="64">
        <v>6.21</v>
      </c>
      <c r="F55" s="64">
        <v>11.06</v>
      </c>
      <c r="G55" s="64">
        <v>58.1</v>
      </c>
      <c r="H55" s="64">
        <v>9.92</v>
      </c>
      <c r="I55" s="64">
        <v>2.17</v>
      </c>
      <c r="J55" s="64">
        <v>0.52</v>
      </c>
      <c r="K55" s="64">
        <v>126.24</v>
      </c>
      <c r="L55" s="64">
        <v>29.36</v>
      </c>
      <c r="M55" s="64">
        <v>61.87</v>
      </c>
      <c r="N55" s="64">
        <v>681.4</v>
      </c>
      <c r="O55" s="64">
        <v>0</v>
      </c>
      <c r="P55" s="64">
        <v>0.47</v>
      </c>
      <c r="Q55" s="64">
        <v>9.0500000000000007</v>
      </c>
      <c r="R55" s="198"/>
      <c r="S55" s="198"/>
      <c r="T55" s="198"/>
      <c r="U55" s="198"/>
    </row>
    <row r="56" spans="1:21" s="12" customFormat="1" x14ac:dyDescent="0.25">
      <c r="A56" s="211" t="s">
        <v>1639</v>
      </c>
      <c r="B56" s="64">
        <v>6.61</v>
      </c>
      <c r="C56" s="64">
        <v>11.08</v>
      </c>
      <c r="D56" s="64">
        <v>11.09</v>
      </c>
      <c r="E56" s="64">
        <v>6.45</v>
      </c>
      <c r="F56" s="64">
        <v>11.88</v>
      </c>
      <c r="G56" s="64">
        <v>58.1</v>
      </c>
      <c r="H56" s="64">
        <v>9.92</v>
      </c>
      <c r="I56" s="64">
        <v>2.12</v>
      </c>
      <c r="J56" s="64">
        <v>0.59</v>
      </c>
      <c r="K56" s="64">
        <v>126.84</v>
      </c>
      <c r="L56" s="64">
        <v>29.99</v>
      </c>
      <c r="M56" s="64">
        <v>59.73</v>
      </c>
      <c r="N56" s="64">
        <v>752.3</v>
      </c>
      <c r="O56" s="64">
        <v>0</v>
      </c>
      <c r="P56" s="64">
        <v>0.47</v>
      </c>
      <c r="Q56" s="64">
        <v>9.06</v>
      </c>
      <c r="R56" s="198"/>
      <c r="S56" s="198"/>
      <c r="T56" s="198"/>
      <c r="U56" s="198"/>
    </row>
    <row r="57" spans="1:21" s="12" customFormat="1" x14ac:dyDescent="0.25">
      <c r="A57" s="211" t="s">
        <v>1640</v>
      </c>
      <c r="B57" s="64">
        <v>5.36</v>
      </c>
      <c r="C57" s="64">
        <v>12.89</v>
      </c>
      <c r="D57" s="64">
        <v>11.03</v>
      </c>
      <c r="E57" s="64">
        <v>6.76</v>
      </c>
      <c r="F57" s="64">
        <v>15.32</v>
      </c>
      <c r="G57" s="64">
        <v>35.93</v>
      </c>
      <c r="H57" s="64">
        <v>9.3699999999999992</v>
      </c>
      <c r="I57" s="64">
        <v>2.08</v>
      </c>
      <c r="J57" s="64">
        <v>0.96</v>
      </c>
      <c r="K57" s="64">
        <v>132.04</v>
      </c>
      <c r="L57" s="64">
        <v>29.86</v>
      </c>
      <c r="M57" s="64">
        <v>57.96</v>
      </c>
      <c r="N57" s="64">
        <v>636</v>
      </c>
      <c r="O57" s="64">
        <v>0</v>
      </c>
      <c r="P57" s="64">
        <v>0.35</v>
      </c>
      <c r="Q57" s="64">
        <v>9.0399999999999991</v>
      </c>
      <c r="R57" s="198"/>
      <c r="S57" s="198"/>
      <c r="T57" s="198"/>
      <c r="U57" s="198"/>
    </row>
    <row r="58" spans="1:21" s="12" customFormat="1" x14ac:dyDescent="0.25">
      <c r="A58" s="211" t="s">
        <v>1641</v>
      </c>
      <c r="B58" s="64">
        <v>5.29</v>
      </c>
      <c r="C58" s="64">
        <v>10.94</v>
      </c>
      <c r="D58" s="64">
        <v>9.9600000000000009</v>
      </c>
      <c r="E58" s="64">
        <v>6.84</v>
      </c>
      <c r="F58" s="64">
        <v>16.600000000000001</v>
      </c>
      <c r="G58" s="64">
        <v>34.35</v>
      </c>
      <c r="H58" s="64">
        <v>9.3699999999999992</v>
      </c>
      <c r="I58" s="64">
        <v>1.75</v>
      </c>
      <c r="J58" s="64">
        <v>0.99</v>
      </c>
      <c r="K58" s="64">
        <v>123.2</v>
      </c>
      <c r="L58" s="64">
        <v>28.97</v>
      </c>
      <c r="M58" s="64">
        <v>60.84</v>
      </c>
      <c r="N58" s="64">
        <v>453.3</v>
      </c>
      <c r="O58" s="64">
        <v>0</v>
      </c>
      <c r="P58" s="64">
        <v>0.36</v>
      </c>
      <c r="Q58" s="64">
        <v>9.0299999999999994</v>
      </c>
      <c r="R58" s="198"/>
      <c r="S58" s="198"/>
      <c r="T58" s="198"/>
      <c r="U58" s="198"/>
    </row>
    <row r="59" spans="1:21" s="12" customFormat="1" x14ac:dyDescent="0.25">
      <c r="A59" s="211" t="s">
        <v>1642</v>
      </c>
      <c r="B59" s="64">
        <v>4.5</v>
      </c>
      <c r="C59" s="64">
        <v>10.19</v>
      </c>
      <c r="D59" s="64">
        <v>8.93</v>
      </c>
      <c r="E59" s="64">
        <v>6.87</v>
      </c>
      <c r="F59" s="64">
        <v>14.49</v>
      </c>
      <c r="G59" s="64">
        <v>34.35</v>
      </c>
      <c r="H59" s="64">
        <v>9.3699999999999992</v>
      </c>
      <c r="I59" s="64">
        <v>1.47</v>
      </c>
      <c r="J59" s="64">
        <v>1.1599999999999999</v>
      </c>
      <c r="K59" s="64">
        <v>128.43</v>
      </c>
      <c r="L59" s="64">
        <v>28.88</v>
      </c>
      <c r="M59" s="64">
        <v>60.03</v>
      </c>
      <c r="N59" s="64">
        <v>705.5</v>
      </c>
      <c r="O59" s="64">
        <v>0</v>
      </c>
      <c r="P59" s="64">
        <v>0.3</v>
      </c>
      <c r="Q59" s="64">
        <v>9.02</v>
      </c>
      <c r="R59" s="198"/>
      <c r="S59" s="198"/>
      <c r="T59" s="198"/>
      <c r="U59" s="198"/>
    </row>
    <row r="60" spans="1:21" s="12" customFormat="1" x14ac:dyDescent="0.25">
      <c r="A60" s="211" t="s">
        <v>1643</v>
      </c>
      <c r="B60" s="64">
        <v>4.5199999999999996</v>
      </c>
      <c r="C60" s="64">
        <v>9.64</v>
      </c>
      <c r="D60" s="64">
        <v>8.66</v>
      </c>
      <c r="E60" s="64">
        <v>6.92</v>
      </c>
      <c r="F60" s="64">
        <v>14.09</v>
      </c>
      <c r="G60" s="64">
        <v>34.35</v>
      </c>
      <c r="H60" s="64">
        <v>9.3699999999999992</v>
      </c>
      <c r="I60" s="64">
        <v>1.39</v>
      </c>
      <c r="J60" s="64">
        <v>0.95</v>
      </c>
      <c r="K60" s="64">
        <v>127.29</v>
      </c>
      <c r="L60" s="64">
        <v>29.23</v>
      </c>
      <c r="M60" s="64">
        <v>56.41</v>
      </c>
      <c r="N60" s="64">
        <v>438.2</v>
      </c>
      <c r="O60" s="64">
        <v>0</v>
      </c>
      <c r="P60" s="64">
        <v>0.28999999999999998</v>
      </c>
      <c r="Q60" s="64">
        <v>9.02</v>
      </c>
      <c r="R60" s="198"/>
      <c r="S60" s="198"/>
      <c r="T60" s="198"/>
      <c r="U60" s="198"/>
    </row>
    <row r="61" spans="1:21" s="12" customFormat="1" x14ac:dyDescent="0.25">
      <c r="A61" s="211" t="s">
        <v>1644</v>
      </c>
      <c r="B61" s="64">
        <v>4.97</v>
      </c>
      <c r="C61" s="64">
        <v>11.25</v>
      </c>
      <c r="D61" s="64">
        <v>9.86</v>
      </c>
      <c r="E61" s="64">
        <v>6.95</v>
      </c>
      <c r="F61" s="64">
        <v>13.67</v>
      </c>
      <c r="G61" s="64">
        <v>45.35</v>
      </c>
      <c r="H61" s="64">
        <v>8.74</v>
      </c>
      <c r="I61" s="64">
        <v>1.38</v>
      </c>
      <c r="J61" s="64">
        <v>1.1200000000000001</v>
      </c>
      <c r="K61" s="64">
        <v>126.16</v>
      </c>
      <c r="L61" s="64">
        <v>29.25</v>
      </c>
      <c r="M61" s="64">
        <v>55.25</v>
      </c>
      <c r="N61" s="64">
        <v>301.7</v>
      </c>
      <c r="O61" s="64">
        <v>0</v>
      </c>
      <c r="P61" s="64">
        <v>0.31</v>
      </c>
      <c r="Q61" s="64">
        <v>9.01</v>
      </c>
      <c r="R61" s="198"/>
      <c r="S61" s="198"/>
      <c r="T61" s="198"/>
      <c r="U61" s="198"/>
    </row>
    <row r="62" spans="1:21" s="12" customFormat="1" x14ac:dyDescent="0.25">
      <c r="A62" s="211" t="s">
        <v>1645</v>
      </c>
      <c r="B62" s="64">
        <v>4.54</v>
      </c>
      <c r="C62" s="64">
        <v>8.83</v>
      </c>
      <c r="D62" s="64">
        <v>8.25</v>
      </c>
      <c r="E62" s="64">
        <v>7.07</v>
      </c>
      <c r="F62" s="64">
        <v>15.73</v>
      </c>
      <c r="G62" s="64">
        <v>46.14</v>
      </c>
      <c r="H62" s="64">
        <v>8.74</v>
      </c>
      <c r="I62" s="64">
        <v>1.36</v>
      </c>
      <c r="J62" s="64">
        <v>0.76</v>
      </c>
      <c r="K62" s="64">
        <v>125.35</v>
      </c>
      <c r="L62" s="64">
        <v>29.37</v>
      </c>
      <c r="M62" s="64">
        <v>54.95</v>
      </c>
      <c r="N62" s="64">
        <v>241.1</v>
      </c>
      <c r="O62" s="64">
        <v>0</v>
      </c>
      <c r="P62" s="64">
        <v>0.3</v>
      </c>
      <c r="Q62" s="64">
        <v>8.99</v>
      </c>
      <c r="R62" s="198"/>
      <c r="S62" s="198"/>
      <c r="T62" s="198"/>
      <c r="U62" s="198"/>
    </row>
    <row r="63" spans="1:21" s="12" customFormat="1" x14ac:dyDescent="0.25">
      <c r="A63" s="211" t="s">
        <v>1646</v>
      </c>
      <c r="B63" s="64">
        <v>5.16</v>
      </c>
      <c r="C63" s="64">
        <v>13.79</v>
      </c>
      <c r="D63" s="64">
        <v>11.34</v>
      </c>
      <c r="E63" s="64">
        <v>6.4</v>
      </c>
      <c r="F63" s="64">
        <v>14.46</v>
      </c>
      <c r="G63" s="64">
        <v>46.14</v>
      </c>
      <c r="H63" s="64">
        <v>8.74</v>
      </c>
      <c r="I63" s="64">
        <v>1.17</v>
      </c>
      <c r="J63" s="64">
        <v>0.55000000000000004</v>
      </c>
      <c r="K63" s="64">
        <v>127.43</v>
      </c>
      <c r="L63" s="64">
        <v>29.24</v>
      </c>
      <c r="M63" s="64">
        <v>57.54</v>
      </c>
      <c r="N63" s="64">
        <v>209</v>
      </c>
      <c r="O63" s="64">
        <v>0</v>
      </c>
      <c r="P63" s="64">
        <v>0.33</v>
      </c>
      <c r="Q63" s="64">
        <v>8.9600000000000009</v>
      </c>
      <c r="R63" s="198"/>
      <c r="S63" s="198"/>
      <c r="T63" s="198"/>
      <c r="U63" s="198"/>
    </row>
    <row r="64" spans="1:21" s="12" customFormat="1" x14ac:dyDescent="0.25">
      <c r="A64" s="211" t="s">
        <v>1647</v>
      </c>
      <c r="B64" s="64">
        <v>6.71</v>
      </c>
      <c r="C64" s="64">
        <v>14.16</v>
      </c>
      <c r="D64" s="64">
        <v>12.77</v>
      </c>
      <c r="E64" s="64">
        <v>6.89</v>
      </c>
      <c r="F64" s="64">
        <v>10.29</v>
      </c>
      <c r="G64" s="64">
        <v>46.14</v>
      </c>
      <c r="H64" s="64">
        <v>8.74</v>
      </c>
      <c r="I64" s="64">
        <v>0.94</v>
      </c>
      <c r="J64" s="64">
        <v>0.35</v>
      </c>
      <c r="K64" s="64">
        <v>118.11</v>
      </c>
      <c r="L64" s="64">
        <v>28.79</v>
      </c>
      <c r="M64" s="64">
        <v>58.2</v>
      </c>
      <c r="N64" s="64">
        <v>194.1</v>
      </c>
      <c r="O64" s="64">
        <v>0</v>
      </c>
      <c r="P64" s="64">
        <v>0.4</v>
      </c>
      <c r="Q64" s="64">
        <v>8.9499999999999993</v>
      </c>
      <c r="R64" s="198"/>
      <c r="S64" s="198"/>
      <c r="T64" s="198"/>
      <c r="U64" s="198"/>
    </row>
    <row r="65" spans="1:21" s="12" customFormat="1" x14ac:dyDescent="0.25">
      <c r="A65" s="211" t="s">
        <v>1648</v>
      </c>
      <c r="B65" s="64">
        <v>7.19</v>
      </c>
      <c r="C65" s="64">
        <v>15.56</v>
      </c>
      <c r="D65" s="64">
        <v>13.89</v>
      </c>
      <c r="E65" s="64">
        <v>6.89</v>
      </c>
      <c r="F65" s="64">
        <v>8.5299999999999994</v>
      </c>
      <c r="G65" s="64">
        <v>41.31</v>
      </c>
      <c r="H65" s="64">
        <v>8.1</v>
      </c>
      <c r="I65" s="64">
        <v>0.91</v>
      </c>
      <c r="J65" s="64">
        <v>0.28999999999999998</v>
      </c>
      <c r="K65" s="64">
        <v>119.22</v>
      </c>
      <c r="L65" s="64">
        <v>29.13</v>
      </c>
      <c r="M65" s="64">
        <v>57.67</v>
      </c>
      <c r="N65" s="64">
        <v>174.2</v>
      </c>
      <c r="O65" s="64">
        <v>0</v>
      </c>
      <c r="P65" s="64">
        <v>0.54</v>
      </c>
      <c r="Q65" s="64">
        <v>8.9600000000000009</v>
      </c>
      <c r="R65" s="198"/>
      <c r="S65" s="198"/>
      <c r="T65" s="198"/>
      <c r="U65" s="198"/>
    </row>
    <row r="66" spans="1:21" s="12" customFormat="1" x14ac:dyDescent="0.25">
      <c r="A66" s="211" t="s">
        <v>1649</v>
      </c>
      <c r="B66" s="64">
        <v>12.02</v>
      </c>
      <c r="C66" s="64">
        <v>18.41</v>
      </c>
      <c r="D66" s="64">
        <v>19.07</v>
      </c>
      <c r="E66" s="64">
        <v>7.46</v>
      </c>
      <c r="F66" s="64">
        <v>9.18</v>
      </c>
      <c r="G66" s="64">
        <v>40.97</v>
      </c>
      <c r="H66" s="64">
        <v>8.1</v>
      </c>
      <c r="I66" s="64">
        <v>0.97</v>
      </c>
      <c r="J66" s="64">
        <v>0.17</v>
      </c>
      <c r="K66" s="64">
        <v>94.97</v>
      </c>
      <c r="L66" s="64">
        <v>29.65</v>
      </c>
      <c r="M66" s="64">
        <v>52.57</v>
      </c>
      <c r="N66" s="64">
        <v>174</v>
      </c>
      <c r="O66" s="64">
        <v>0</v>
      </c>
      <c r="P66" s="64">
        <v>0.52</v>
      </c>
      <c r="Q66" s="64">
        <v>8.9700000000000006</v>
      </c>
      <c r="R66" s="198"/>
      <c r="S66" s="198"/>
      <c r="T66" s="198"/>
      <c r="U66" s="198"/>
    </row>
    <row r="67" spans="1:21" s="12" customFormat="1" x14ac:dyDescent="0.25">
      <c r="A67" s="211" t="s">
        <v>1650</v>
      </c>
      <c r="B67" s="64">
        <v>5.16</v>
      </c>
      <c r="C67" s="64">
        <v>11.26</v>
      </c>
      <c r="D67" s="64">
        <v>10.02</v>
      </c>
      <c r="E67" s="64">
        <v>6.71</v>
      </c>
      <c r="F67" s="64">
        <v>12.16</v>
      </c>
      <c r="G67" s="64">
        <v>40.97</v>
      </c>
      <c r="H67" s="64">
        <v>8.1</v>
      </c>
      <c r="I67" s="64">
        <v>1.05</v>
      </c>
      <c r="J67" s="64">
        <v>0.92</v>
      </c>
      <c r="K67" s="64">
        <v>129.88</v>
      </c>
      <c r="L67" s="64">
        <v>29.38</v>
      </c>
      <c r="M67" s="64">
        <v>55.58</v>
      </c>
      <c r="N67" s="64">
        <v>150.80000000000001</v>
      </c>
      <c r="O67" s="64">
        <v>0</v>
      </c>
      <c r="P67" s="64">
        <v>0.34</v>
      </c>
      <c r="Q67" s="64">
        <v>8.98</v>
      </c>
      <c r="R67" s="198"/>
      <c r="S67" s="198"/>
      <c r="T67" s="198"/>
      <c r="U67" s="198"/>
    </row>
    <row r="68" spans="1:21" s="12" customFormat="1" x14ac:dyDescent="0.25">
      <c r="A68" s="211" t="s">
        <v>1651</v>
      </c>
      <c r="B68" s="64">
        <v>6.78</v>
      </c>
      <c r="C68" s="64">
        <v>11.65</v>
      </c>
      <c r="D68" s="64">
        <v>11.52</v>
      </c>
      <c r="E68" s="64">
        <v>6.29</v>
      </c>
      <c r="F68" s="64">
        <v>7.99</v>
      </c>
      <c r="G68" s="64">
        <v>40.97</v>
      </c>
      <c r="H68" s="64">
        <v>8.1</v>
      </c>
      <c r="I68" s="64">
        <v>1.1100000000000001</v>
      </c>
      <c r="J68" s="64">
        <v>0.64</v>
      </c>
      <c r="K68" s="64">
        <v>126.82</v>
      </c>
      <c r="L68" s="64">
        <v>28.93</v>
      </c>
      <c r="M68" s="64">
        <v>55.43</v>
      </c>
      <c r="N68" s="64">
        <v>134.30000000000001</v>
      </c>
      <c r="O68" s="64">
        <v>0</v>
      </c>
      <c r="P68" s="64">
        <v>0.32</v>
      </c>
      <c r="Q68" s="64">
        <v>8.9700000000000006</v>
      </c>
      <c r="R68" s="198"/>
      <c r="S68" s="198"/>
      <c r="T68" s="198"/>
      <c r="U68" s="198"/>
    </row>
    <row r="69" spans="1:21" s="12" customFormat="1" x14ac:dyDescent="0.25">
      <c r="A69" s="211" t="s">
        <v>1652</v>
      </c>
      <c r="B69" s="64">
        <v>6.63</v>
      </c>
      <c r="C69" s="64">
        <v>13.03</v>
      </c>
      <c r="D69" s="64">
        <v>12.12</v>
      </c>
      <c r="E69" s="64">
        <v>6.48</v>
      </c>
      <c r="F69" s="64">
        <v>11.51</v>
      </c>
      <c r="G69" s="64">
        <v>33.28</v>
      </c>
      <c r="H69" s="64">
        <v>9.6</v>
      </c>
      <c r="I69" s="64">
        <v>1.1399999999999999</v>
      </c>
      <c r="J69" s="64">
        <v>0.89</v>
      </c>
      <c r="K69" s="64">
        <v>132.24</v>
      </c>
      <c r="L69" s="64">
        <v>28.86</v>
      </c>
      <c r="M69" s="64">
        <v>59.55</v>
      </c>
      <c r="N69" s="64">
        <v>129.4</v>
      </c>
      <c r="O69" s="64">
        <v>0</v>
      </c>
      <c r="P69" s="64">
        <v>0.36</v>
      </c>
      <c r="Q69" s="64">
        <v>8.99</v>
      </c>
      <c r="R69" s="198"/>
      <c r="S69" s="198"/>
      <c r="T69" s="198"/>
      <c r="U69" s="198"/>
    </row>
    <row r="70" spans="1:21" s="12" customFormat="1" x14ac:dyDescent="0.25">
      <c r="A70" s="211" t="s">
        <v>1653</v>
      </c>
      <c r="B70" s="64">
        <v>4.88</v>
      </c>
      <c r="C70" s="64">
        <v>10.16</v>
      </c>
      <c r="D70" s="64">
        <v>9.2200000000000006</v>
      </c>
      <c r="E70" s="64">
        <v>6.35</v>
      </c>
      <c r="F70" s="64">
        <v>11.84</v>
      </c>
      <c r="G70" s="64">
        <v>32.74</v>
      </c>
      <c r="H70" s="64">
        <v>9.6</v>
      </c>
      <c r="I70" s="64">
        <v>1.1599999999999999</v>
      </c>
      <c r="J70" s="64">
        <v>0.9</v>
      </c>
      <c r="K70" s="64">
        <v>125.79</v>
      </c>
      <c r="L70" s="64">
        <v>28.42</v>
      </c>
      <c r="M70" s="64">
        <v>55.87</v>
      </c>
      <c r="N70" s="64">
        <v>101.1</v>
      </c>
      <c r="O70" s="64">
        <v>0</v>
      </c>
      <c r="P70" s="64">
        <v>0.27</v>
      </c>
      <c r="Q70" s="64">
        <v>8.99</v>
      </c>
      <c r="R70" s="198"/>
      <c r="S70" s="198"/>
      <c r="T70" s="198"/>
      <c r="U70" s="198"/>
    </row>
    <row r="71" spans="1:21" s="12" customFormat="1" x14ac:dyDescent="0.25">
      <c r="A71" s="211" t="s">
        <v>1654</v>
      </c>
      <c r="B71" s="64">
        <v>4.5599999999999996</v>
      </c>
      <c r="C71" s="64">
        <v>8.2799999999999994</v>
      </c>
      <c r="D71" s="64">
        <v>7.98</v>
      </c>
      <c r="E71" s="64">
        <v>6.61</v>
      </c>
      <c r="F71" s="64">
        <v>13.52</v>
      </c>
      <c r="G71" s="64">
        <v>32.74</v>
      </c>
      <c r="H71" s="64">
        <v>9.6</v>
      </c>
      <c r="I71" s="64">
        <v>1.18</v>
      </c>
      <c r="J71" s="64">
        <v>0.49</v>
      </c>
      <c r="K71" s="64">
        <v>117.84</v>
      </c>
      <c r="L71" s="64">
        <v>28.3</v>
      </c>
      <c r="M71" s="64">
        <v>56.42</v>
      </c>
      <c r="N71" s="64">
        <v>100.9</v>
      </c>
      <c r="O71" s="64">
        <v>0</v>
      </c>
      <c r="P71" s="64">
        <v>0.26</v>
      </c>
      <c r="Q71" s="64">
        <v>8.99</v>
      </c>
      <c r="R71" s="198"/>
      <c r="S71" s="198"/>
      <c r="T71" s="198"/>
      <c r="U71" s="198"/>
    </row>
    <row r="72" spans="1:21" s="12" customFormat="1" x14ac:dyDescent="0.25">
      <c r="A72" s="211" t="s">
        <v>1655</v>
      </c>
      <c r="B72" s="64">
        <v>6.49</v>
      </c>
      <c r="C72" s="64">
        <v>16.489999999999998</v>
      </c>
      <c r="D72" s="64">
        <v>13.82</v>
      </c>
      <c r="E72" s="64">
        <v>6.8</v>
      </c>
      <c r="F72" s="64">
        <v>8.7899999999999991</v>
      </c>
      <c r="G72" s="64">
        <v>32.74</v>
      </c>
      <c r="H72" s="64">
        <v>9.6</v>
      </c>
      <c r="I72" s="64">
        <v>1.1399999999999999</v>
      </c>
      <c r="J72" s="64">
        <v>0.4</v>
      </c>
      <c r="K72" s="64">
        <v>118.02</v>
      </c>
      <c r="L72" s="64">
        <v>28.54</v>
      </c>
      <c r="M72" s="64">
        <v>58.18</v>
      </c>
      <c r="N72" s="64">
        <v>99.7</v>
      </c>
      <c r="O72" s="64">
        <v>0</v>
      </c>
      <c r="P72" s="64">
        <v>0.37</v>
      </c>
      <c r="Q72" s="64">
        <v>8.98</v>
      </c>
      <c r="R72" s="198"/>
      <c r="S72" s="198"/>
      <c r="T72" s="198"/>
      <c r="U72" s="198"/>
    </row>
    <row r="73" spans="1:21" s="12" customFormat="1" x14ac:dyDescent="0.25">
      <c r="A73" s="211" t="s">
        <v>1656</v>
      </c>
      <c r="B73" s="64">
        <v>9.08</v>
      </c>
      <c r="C73" s="64">
        <v>18.25</v>
      </c>
      <c r="D73" s="64">
        <v>16.82</v>
      </c>
      <c r="E73" s="64">
        <v>7.58</v>
      </c>
      <c r="F73" s="64">
        <v>7.77</v>
      </c>
      <c r="G73" s="64">
        <v>37.9</v>
      </c>
      <c r="H73" s="64">
        <v>9.26</v>
      </c>
      <c r="I73" s="64">
        <v>0.81</v>
      </c>
      <c r="J73" s="64">
        <v>0.17</v>
      </c>
      <c r="K73" s="64">
        <v>131.63</v>
      </c>
      <c r="L73" s="64">
        <v>28.44</v>
      </c>
      <c r="M73" s="64">
        <v>57.83</v>
      </c>
      <c r="N73" s="64">
        <v>85.7</v>
      </c>
      <c r="O73" s="64">
        <v>0</v>
      </c>
      <c r="P73" s="64">
        <v>0.42</v>
      </c>
      <c r="Q73" s="64">
        <v>8.99</v>
      </c>
      <c r="R73" s="198"/>
      <c r="S73" s="198"/>
      <c r="T73" s="198"/>
      <c r="U73" s="198"/>
    </row>
    <row r="74" spans="1:21" s="12" customFormat="1" x14ac:dyDescent="0.25">
      <c r="A74" s="211" t="s">
        <v>1657</v>
      </c>
      <c r="B74" s="64">
        <v>17.22</v>
      </c>
      <c r="C74" s="64">
        <v>25.98</v>
      </c>
      <c r="D74" s="64">
        <v>27.39</v>
      </c>
      <c r="E74" s="64">
        <v>7.58</v>
      </c>
      <c r="F74" s="64">
        <v>6.4</v>
      </c>
      <c r="G74" s="64">
        <v>38.270000000000003</v>
      </c>
      <c r="H74" s="64">
        <v>9.26</v>
      </c>
      <c r="I74" s="64">
        <v>0.6</v>
      </c>
      <c r="J74" s="64">
        <v>0.36</v>
      </c>
      <c r="K74" s="64">
        <v>113.59</v>
      </c>
      <c r="L74" s="64">
        <v>28.32</v>
      </c>
      <c r="M74" s="64">
        <v>60.86</v>
      </c>
      <c r="N74" s="64">
        <v>73.5</v>
      </c>
      <c r="O74" s="64">
        <v>0</v>
      </c>
      <c r="P74" s="64">
        <v>0.59</v>
      </c>
      <c r="Q74" s="64">
        <v>9.01</v>
      </c>
      <c r="R74" s="198"/>
      <c r="S74" s="198"/>
      <c r="T74" s="198"/>
      <c r="U74" s="198"/>
    </row>
    <row r="75" spans="1:21" s="12" customFormat="1" x14ac:dyDescent="0.25">
      <c r="A75" s="211" t="s">
        <v>1658</v>
      </c>
      <c r="B75" s="64">
        <v>5.07</v>
      </c>
      <c r="C75" s="64">
        <v>19.920000000000002</v>
      </c>
      <c r="D75" s="64">
        <v>14.48</v>
      </c>
      <c r="E75" s="64">
        <v>7.74</v>
      </c>
      <c r="F75" s="64">
        <v>9.3800000000000008</v>
      </c>
      <c r="G75" s="64">
        <v>38.270000000000003</v>
      </c>
      <c r="H75" s="64">
        <v>9.26</v>
      </c>
      <c r="I75" s="64">
        <v>0.74</v>
      </c>
      <c r="J75" s="64">
        <v>0.77</v>
      </c>
      <c r="K75" s="64">
        <v>128</v>
      </c>
      <c r="L75" s="64">
        <v>27.93</v>
      </c>
      <c r="M75" s="64">
        <v>63.27</v>
      </c>
      <c r="N75" s="64">
        <v>64.099999999999994</v>
      </c>
      <c r="O75" s="64">
        <v>0</v>
      </c>
      <c r="P75" s="64">
        <v>0.36</v>
      </c>
      <c r="Q75" s="64">
        <v>9.02</v>
      </c>
      <c r="R75" s="198"/>
      <c r="S75" s="198"/>
      <c r="T75" s="198"/>
      <c r="U75" s="198"/>
    </row>
    <row r="76" spans="1:21" s="12" customFormat="1" x14ac:dyDescent="0.25">
      <c r="A76" s="211" t="s">
        <v>1659</v>
      </c>
      <c r="B76" s="64">
        <v>7.29</v>
      </c>
      <c r="C76" s="64">
        <v>22.45</v>
      </c>
      <c r="D76" s="64">
        <v>17.579999999999998</v>
      </c>
      <c r="E76" s="64">
        <v>7.48</v>
      </c>
      <c r="F76" s="64">
        <v>7.68</v>
      </c>
      <c r="G76" s="64">
        <v>38.270000000000003</v>
      </c>
      <c r="H76" s="64">
        <v>9.26</v>
      </c>
      <c r="I76" s="64">
        <v>0.89</v>
      </c>
      <c r="J76" s="64">
        <v>0.19</v>
      </c>
      <c r="K76" s="64">
        <v>125.1</v>
      </c>
      <c r="L76" s="64">
        <v>27.64</v>
      </c>
      <c r="M76" s="64">
        <v>64.63</v>
      </c>
      <c r="N76" s="64">
        <v>56.4</v>
      </c>
      <c r="O76" s="64">
        <v>0</v>
      </c>
      <c r="P76" s="64">
        <v>0.47</v>
      </c>
      <c r="Q76" s="64">
        <v>9.0399999999999991</v>
      </c>
      <c r="R76" s="198"/>
      <c r="S76" s="198"/>
      <c r="T76" s="198"/>
      <c r="U76" s="198"/>
    </row>
    <row r="77" spans="1:21" s="12" customFormat="1" x14ac:dyDescent="0.25">
      <c r="A77" s="211" t="s">
        <v>1660</v>
      </c>
      <c r="B77" s="64">
        <v>8.57</v>
      </c>
      <c r="C77" s="64">
        <v>25.27</v>
      </c>
      <c r="D77" s="64">
        <v>20.079999999999998</v>
      </c>
      <c r="E77" s="64">
        <v>7.65</v>
      </c>
      <c r="F77" s="64">
        <v>8.3800000000000008</v>
      </c>
      <c r="G77" s="64">
        <v>38.83</v>
      </c>
      <c r="H77" s="64">
        <v>8.68</v>
      </c>
      <c r="I77" s="64">
        <v>0.97</v>
      </c>
      <c r="J77" s="64">
        <v>0.22</v>
      </c>
      <c r="K77" s="64">
        <v>131.24</v>
      </c>
      <c r="L77" s="64">
        <v>27.39</v>
      </c>
      <c r="M77" s="64">
        <v>66.14</v>
      </c>
      <c r="N77" s="64">
        <v>52.9</v>
      </c>
      <c r="O77" s="64">
        <v>0</v>
      </c>
      <c r="P77" s="64">
        <v>0.62</v>
      </c>
      <c r="Q77" s="64">
        <v>9.0399999999999991</v>
      </c>
      <c r="R77" s="198"/>
      <c r="S77" s="198"/>
      <c r="T77" s="198"/>
      <c r="U77" s="198"/>
    </row>
    <row r="78" spans="1:21" s="12" customFormat="1" x14ac:dyDescent="0.25">
      <c r="A78" s="211" t="s">
        <v>1661</v>
      </c>
      <c r="B78" s="64">
        <v>6.33</v>
      </c>
      <c r="C78" s="64">
        <v>25.15</v>
      </c>
      <c r="D78" s="64">
        <v>18.21</v>
      </c>
      <c r="E78" s="64">
        <v>8.24</v>
      </c>
      <c r="F78" s="64">
        <v>6.8</v>
      </c>
      <c r="G78" s="64">
        <v>38.869999999999997</v>
      </c>
      <c r="H78" s="64">
        <v>8.68</v>
      </c>
      <c r="I78" s="64">
        <v>1.03</v>
      </c>
      <c r="J78" s="64">
        <v>0.1</v>
      </c>
      <c r="K78" s="64">
        <v>138.32</v>
      </c>
      <c r="L78" s="64">
        <v>27.21</v>
      </c>
      <c r="M78" s="64">
        <v>65.349999999999994</v>
      </c>
      <c r="N78" s="64">
        <v>48.7</v>
      </c>
      <c r="O78" s="64">
        <v>0</v>
      </c>
      <c r="P78" s="64">
        <v>0.53</v>
      </c>
      <c r="Q78" s="64">
        <v>9.0299999999999994</v>
      </c>
      <c r="R78" s="198"/>
      <c r="S78" s="198"/>
      <c r="T78" s="198"/>
      <c r="U78" s="198"/>
    </row>
    <row r="79" spans="1:21" s="12" customFormat="1" x14ac:dyDescent="0.25">
      <c r="A79" s="211" t="s">
        <v>1662</v>
      </c>
      <c r="B79" s="64">
        <v>4.63</v>
      </c>
      <c r="C79" s="64">
        <v>21.63</v>
      </c>
      <c r="D79" s="64">
        <v>15.01</v>
      </c>
      <c r="E79" s="64">
        <v>7.72</v>
      </c>
      <c r="F79" s="64">
        <v>5.27</v>
      </c>
      <c r="G79" s="64">
        <v>38.869999999999997</v>
      </c>
      <c r="H79" s="64">
        <v>8.68</v>
      </c>
      <c r="I79" s="64">
        <v>1.1299999999999999</v>
      </c>
      <c r="J79" s="64">
        <v>0.42</v>
      </c>
      <c r="K79" s="64">
        <v>126.66</v>
      </c>
      <c r="L79" s="64">
        <v>27.13</v>
      </c>
      <c r="M79" s="64">
        <v>68.87</v>
      </c>
      <c r="N79" s="64">
        <v>45.5</v>
      </c>
      <c r="O79" s="64">
        <v>0</v>
      </c>
      <c r="P79" s="64">
        <v>0.44</v>
      </c>
      <c r="Q79" s="64">
        <v>9.0299999999999994</v>
      </c>
      <c r="R79" s="198"/>
      <c r="S79" s="198"/>
      <c r="T79" s="198"/>
      <c r="U79" s="198"/>
    </row>
    <row r="80" spans="1:21" s="12" customFormat="1" x14ac:dyDescent="0.25">
      <c r="A80" s="211" t="s">
        <v>1663</v>
      </c>
      <c r="B80" s="64">
        <v>13.47</v>
      </c>
      <c r="C80" s="64">
        <v>39.08</v>
      </c>
      <c r="D80" s="64">
        <v>32.869999999999997</v>
      </c>
      <c r="E80" s="64">
        <v>7.68</v>
      </c>
      <c r="F80" s="64">
        <v>2.74</v>
      </c>
      <c r="G80" s="64">
        <v>38.869999999999997</v>
      </c>
      <c r="H80" s="64">
        <v>8.68</v>
      </c>
      <c r="I80" s="64">
        <v>1.23</v>
      </c>
      <c r="J80" s="64">
        <v>0.08</v>
      </c>
      <c r="K80" s="64">
        <v>297.72000000000003</v>
      </c>
      <c r="L80" s="64">
        <v>26.79</v>
      </c>
      <c r="M80" s="64">
        <v>73.13</v>
      </c>
      <c r="N80" s="64">
        <v>44.9</v>
      </c>
      <c r="O80" s="64">
        <v>0</v>
      </c>
      <c r="P80" s="64">
        <v>1.39</v>
      </c>
      <c r="Q80" s="64">
        <v>9.02</v>
      </c>
      <c r="R80" s="198"/>
      <c r="S80" s="198"/>
      <c r="T80" s="198"/>
      <c r="U80" s="198"/>
    </row>
    <row r="81" spans="1:26" s="12" customFormat="1" x14ac:dyDescent="0.25">
      <c r="A81" s="211" t="s">
        <v>1664</v>
      </c>
      <c r="B81" s="64">
        <v>10.81</v>
      </c>
      <c r="C81" s="64">
        <v>36.46</v>
      </c>
      <c r="D81" s="64">
        <v>27.72</v>
      </c>
      <c r="E81" s="64">
        <v>7.32</v>
      </c>
      <c r="F81" s="64">
        <v>2.29</v>
      </c>
      <c r="G81" s="64">
        <v>41.43</v>
      </c>
      <c r="H81" s="64">
        <v>8.77</v>
      </c>
      <c r="I81" s="64">
        <v>1.34</v>
      </c>
      <c r="J81" s="64">
        <v>0.12</v>
      </c>
      <c r="K81" s="64">
        <v>129.97</v>
      </c>
      <c r="L81" s="64">
        <v>26.59</v>
      </c>
      <c r="M81" s="64">
        <v>75.989999999999995</v>
      </c>
      <c r="N81" s="64">
        <v>44.8</v>
      </c>
      <c r="O81" s="64">
        <v>0</v>
      </c>
      <c r="P81" s="64">
        <v>1.04</v>
      </c>
      <c r="Q81" s="64">
        <v>9.01</v>
      </c>
      <c r="R81" s="198"/>
      <c r="S81" s="198"/>
      <c r="T81" s="198"/>
      <c r="U81" s="198"/>
    </row>
    <row r="82" spans="1:26" s="12" customFormat="1" x14ac:dyDescent="0.25">
      <c r="A82" s="211" t="s">
        <v>1665</v>
      </c>
      <c r="B82" s="64">
        <v>9.6300000000000008</v>
      </c>
      <c r="C82" s="64">
        <v>33.83</v>
      </c>
      <c r="D82" s="64">
        <v>25.4</v>
      </c>
      <c r="E82" s="64">
        <v>7.87</v>
      </c>
      <c r="F82" s="64">
        <v>3.39</v>
      </c>
      <c r="G82" s="64">
        <v>41.61</v>
      </c>
      <c r="H82" s="64">
        <v>8.77</v>
      </c>
      <c r="I82" s="64">
        <v>1.41</v>
      </c>
      <c r="J82" s="64">
        <v>0.04</v>
      </c>
      <c r="K82" s="64">
        <v>133.22999999999999</v>
      </c>
      <c r="L82" s="64">
        <v>26.41</v>
      </c>
      <c r="M82" s="64">
        <v>79.88</v>
      </c>
      <c r="N82" s="64">
        <v>44.9</v>
      </c>
      <c r="O82" s="64">
        <v>0</v>
      </c>
      <c r="P82" s="64">
        <v>1.27</v>
      </c>
      <c r="Q82" s="64">
        <v>9.0299999999999994</v>
      </c>
      <c r="R82" s="198"/>
      <c r="S82" s="198"/>
      <c r="T82" s="198"/>
      <c r="U82" s="198"/>
    </row>
    <row r="83" spans="1:26" s="12" customFormat="1" x14ac:dyDescent="0.25">
      <c r="A83" s="211" t="s">
        <v>1666</v>
      </c>
      <c r="B83" s="64">
        <v>5.41</v>
      </c>
      <c r="C83" s="64">
        <v>34.26</v>
      </c>
      <c r="D83" s="64">
        <v>22.24</v>
      </c>
      <c r="E83" s="64">
        <v>9.15</v>
      </c>
      <c r="F83" s="64">
        <v>5.3</v>
      </c>
      <c r="G83" s="64">
        <v>41.61</v>
      </c>
      <c r="H83" s="64">
        <v>8.77</v>
      </c>
      <c r="I83" s="64">
        <v>1.46</v>
      </c>
      <c r="J83" s="64">
        <v>7.0000000000000007E-2</v>
      </c>
      <c r="K83" s="64">
        <v>132.32</v>
      </c>
      <c r="L83" s="64">
        <v>26.28</v>
      </c>
      <c r="M83" s="64">
        <v>82.81</v>
      </c>
      <c r="N83" s="64">
        <v>44.8</v>
      </c>
      <c r="O83" s="64">
        <v>0</v>
      </c>
      <c r="P83" s="64">
        <v>1.06</v>
      </c>
      <c r="Q83" s="64">
        <v>9.0299999999999994</v>
      </c>
      <c r="R83" s="198"/>
      <c r="S83" s="198"/>
      <c r="T83" s="198"/>
      <c r="U83" s="198"/>
    </row>
    <row r="84" spans="1:26" s="12" customFormat="1" x14ac:dyDescent="0.25">
      <c r="A84" s="211" t="s">
        <v>1667</v>
      </c>
      <c r="B84" s="64">
        <v>5.18</v>
      </c>
      <c r="C84" s="64">
        <v>28.23</v>
      </c>
      <c r="D84" s="64">
        <v>18.899999999999999</v>
      </c>
      <c r="E84" s="64">
        <v>9.93</v>
      </c>
      <c r="F84" s="64">
        <v>3.1</v>
      </c>
      <c r="G84" s="64">
        <v>41.61</v>
      </c>
      <c r="H84" s="64">
        <v>8.77</v>
      </c>
      <c r="I84" s="64">
        <v>1.55</v>
      </c>
      <c r="J84" s="64">
        <v>0.1</v>
      </c>
      <c r="K84" s="64">
        <v>136.75</v>
      </c>
      <c r="L84" s="64">
        <v>26.14</v>
      </c>
      <c r="M84" s="64">
        <v>85.29</v>
      </c>
      <c r="N84" s="64">
        <v>44.7</v>
      </c>
      <c r="O84" s="64">
        <v>0</v>
      </c>
      <c r="P84" s="64">
        <v>0.88</v>
      </c>
      <c r="Q84" s="64">
        <v>9.0399999999999991</v>
      </c>
      <c r="R84" s="198"/>
      <c r="S84" s="198"/>
      <c r="T84" s="198"/>
      <c r="U84" s="198"/>
    </row>
    <row r="85" spans="1:26" s="12" customFormat="1" x14ac:dyDescent="0.25">
      <c r="A85" s="211" t="s">
        <v>1668</v>
      </c>
      <c r="B85" s="64">
        <v>5.29</v>
      </c>
      <c r="C85" s="64">
        <v>30.45</v>
      </c>
      <c r="D85" s="64">
        <v>20.149999999999999</v>
      </c>
      <c r="E85" s="64">
        <v>10.1</v>
      </c>
      <c r="F85" s="64">
        <v>12.76</v>
      </c>
      <c r="G85" s="64">
        <v>46.65</v>
      </c>
      <c r="H85" s="64">
        <v>11.12</v>
      </c>
      <c r="I85" s="64">
        <v>1.64</v>
      </c>
      <c r="J85" s="64">
        <v>0.04</v>
      </c>
      <c r="K85" s="64">
        <v>153.79</v>
      </c>
      <c r="L85" s="64">
        <v>26.06</v>
      </c>
      <c r="M85" s="64">
        <v>87.01</v>
      </c>
      <c r="N85" s="64">
        <v>44.7</v>
      </c>
      <c r="O85" s="64">
        <v>0</v>
      </c>
      <c r="P85" s="64">
        <v>0.81</v>
      </c>
      <c r="Q85" s="64">
        <v>9.0399999999999991</v>
      </c>
      <c r="R85" s="198"/>
      <c r="S85" s="198"/>
      <c r="T85" s="198"/>
      <c r="U85" s="198"/>
    </row>
    <row r="86" spans="1:26" s="12" customFormat="1" x14ac:dyDescent="0.25">
      <c r="A86" s="211" t="s">
        <v>1669</v>
      </c>
      <c r="B86" s="64">
        <v>4.6399999999999997</v>
      </c>
      <c r="C86" s="64">
        <v>25.56</v>
      </c>
      <c r="D86" s="64">
        <v>17.07</v>
      </c>
      <c r="E86" s="64">
        <v>8.99</v>
      </c>
      <c r="F86" s="64">
        <v>12.65</v>
      </c>
      <c r="G86" s="64">
        <v>47.01</v>
      </c>
      <c r="H86" s="64">
        <v>11.12</v>
      </c>
      <c r="I86" s="64">
        <v>1.69</v>
      </c>
      <c r="J86" s="64">
        <v>0.41</v>
      </c>
      <c r="K86" s="64">
        <v>130.72</v>
      </c>
      <c r="L86" s="64">
        <v>26</v>
      </c>
      <c r="M86" s="64">
        <v>88.75</v>
      </c>
      <c r="N86" s="64">
        <v>44.5</v>
      </c>
      <c r="O86" s="64">
        <v>0</v>
      </c>
      <c r="P86" s="64">
        <v>0.8</v>
      </c>
      <c r="Q86" s="64">
        <v>9.02</v>
      </c>
      <c r="R86" s="198"/>
      <c r="S86" s="198"/>
      <c r="T86" s="198"/>
      <c r="U86" s="198"/>
    </row>
    <row r="87" spans="1:26" s="12" customFormat="1" x14ac:dyDescent="0.25">
      <c r="A87" s="211" t="s">
        <v>1670</v>
      </c>
      <c r="B87" s="64">
        <v>4.8499999999999996</v>
      </c>
      <c r="C87" s="64">
        <v>21.68</v>
      </c>
      <c r="D87" s="64">
        <v>15.21</v>
      </c>
      <c r="E87" s="64">
        <v>9.01</v>
      </c>
      <c r="F87" s="64">
        <v>10.07</v>
      </c>
      <c r="G87" s="64">
        <v>47.01</v>
      </c>
      <c r="H87" s="64">
        <v>11.12</v>
      </c>
      <c r="I87" s="64">
        <v>1.76</v>
      </c>
      <c r="J87" s="64">
        <v>0.25</v>
      </c>
      <c r="K87" s="64">
        <v>133.74</v>
      </c>
      <c r="L87" s="64">
        <v>26.01</v>
      </c>
      <c r="M87" s="64">
        <v>88.88</v>
      </c>
      <c r="N87" s="64">
        <v>44.6</v>
      </c>
      <c r="O87" s="64">
        <v>0</v>
      </c>
      <c r="P87" s="64">
        <v>0.76</v>
      </c>
      <c r="Q87" s="64">
        <v>9.02</v>
      </c>
      <c r="R87" s="198"/>
      <c r="S87" s="198"/>
      <c r="T87" s="198"/>
      <c r="U87" s="198"/>
    </row>
    <row r="88" spans="1:26" s="12" customFormat="1" x14ac:dyDescent="0.25">
      <c r="A88" s="211" t="s">
        <v>1671</v>
      </c>
      <c r="B88" s="64">
        <v>4.83</v>
      </c>
      <c r="C88" s="64">
        <v>28.48</v>
      </c>
      <c r="D88" s="64">
        <v>18.760000000000002</v>
      </c>
      <c r="E88" s="64">
        <v>9.01</v>
      </c>
      <c r="F88" s="64">
        <v>10.24</v>
      </c>
      <c r="G88" s="64">
        <v>47.01</v>
      </c>
      <c r="H88" s="64">
        <v>11.12</v>
      </c>
      <c r="I88" s="64">
        <v>1.83</v>
      </c>
      <c r="J88" s="64">
        <v>0.19</v>
      </c>
      <c r="K88" s="64">
        <v>134.02000000000001</v>
      </c>
      <c r="L88" s="64">
        <v>25.84</v>
      </c>
      <c r="M88" s="64">
        <v>90.65</v>
      </c>
      <c r="N88" s="64">
        <v>44.8</v>
      </c>
      <c r="O88" s="64">
        <v>0</v>
      </c>
      <c r="P88" s="64">
        <v>0.99</v>
      </c>
      <c r="Q88" s="64">
        <v>9.0299999999999994</v>
      </c>
      <c r="R88" s="198"/>
      <c r="S88" s="198"/>
      <c r="T88" s="198"/>
      <c r="U88" s="198"/>
    </row>
    <row r="89" spans="1:26" s="12" customFormat="1" x14ac:dyDescent="0.25">
      <c r="A89" s="211" t="s">
        <v>1672</v>
      </c>
      <c r="B89" s="64">
        <v>5.28</v>
      </c>
      <c r="C89" s="64">
        <v>28.4</v>
      </c>
      <c r="D89" s="64">
        <v>19.07</v>
      </c>
      <c r="E89" s="64">
        <v>9.58</v>
      </c>
      <c r="F89" s="64">
        <v>8.9</v>
      </c>
      <c r="G89" s="64">
        <v>58.66</v>
      </c>
      <c r="H89" s="64">
        <v>9.8000000000000007</v>
      </c>
      <c r="I89" s="64">
        <v>1.87</v>
      </c>
      <c r="J89" s="64">
        <v>0.2</v>
      </c>
      <c r="K89" s="64">
        <v>143.16</v>
      </c>
      <c r="L89" s="64">
        <v>25.75</v>
      </c>
      <c r="M89" s="64">
        <v>91.18</v>
      </c>
      <c r="N89" s="64">
        <v>44.6</v>
      </c>
      <c r="O89" s="64">
        <v>0</v>
      </c>
      <c r="P89" s="64">
        <v>0.99</v>
      </c>
      <c r="Q89" s="64">
        <v>9.0399999999999991</v>
      </c>
      <c r="R89" s="198"/>
      <c r="S89" s="198"/>
      <c r="T89" s="198"/>
      <c r="U89" s="198"/>
    </row>
    <row r="90" spans="1:26" s="12" customFormat="1" x14ac:dyDescent="0.25">
      <c r="A90" s="211" t="s">
        <v>1673</v>
      </c>
      <c r="B90" s="64">
        <v>5.07</v>
      </c>
      <c r="C90" s="64">
        <v>25.41</v>
      </c>
      <c r="D90" s="64">
        <v>17.34</v>
      </c>
      <c r="E90" s="64">
        <v>9.52</v>
      </c>
      <c r="F90" s="64">
        <v>9.58</v>
      </c>
      <c r="G90" s="64">
        <v>59.5</v>
      </c>
      <c r="H90" s="64">
        <v>9.8000000000000007</v>
      </c>
      <c r="I90" s="64">
        <v>1.92</v>
      </c>
      <c r="J90" s="64">
        <v>0.2</v>
      </c>
      <c r="K90" s="64">
        <v>130.06</v>
      </c>
      <c r="L90" s="64">
        <v>25.69</v>
      </c>
      <c r="M90" s="64">
        <v>91.12</v>
      </c>
      <c r="N90" s="64">
        <v>44.6</v>
      </c>
      <c r="O90" s="64">
        <v>0</v>
      </c>
      <c r="P90" s="64">
        <v>0.92</v>
      </c>
      <c r="Q90" s="64">
        <v>9.0500000000000007</v>
      </c>
      <c r="R90" s="198"/>
      <c r="S90" s="198"/>
      <c r="T90" s="198"/>
      <c r="U90" s="198"/>
    </row>
    <row r="91" spans="1:26" s="12" customFormat="1" x14ac:dyDescent="0.25">
      <c r="A91" s="211" t="s">
        <v>1674</v>
      </c>
      <c r="B91" s="64">
        <v>5.51</v>
      </c>
      <c r="C91" s="64">
        <v>29.01</v>
      </c>
      <c r="D91" s="64">
        <v>19.579999999999998</v>
      </c>
      <c r="E91" s="64">
        <v>9.69</v>
      </c>
      <c r="F91" s="64">
        <v>6.8</v>
      </c>
      <c r="G91" s="64">
        <v>59.5</v>
      </c>
      <c r="H91" s="64">
        <v>9.8000000000000007</v>
      </c>
      <c r="I91" s="64">
        <v>1.97</v>
      </c>
      <c r="J91" s="64">
        <v>0.18</v>
      </c>
      <c r="K91" s="64">
        <v>131.88</v>
      </c>
      <c r="L91" s="64">
        <v>25.64</v>
      </c>
      <c r="M91" s="64">
        <v>89.88</v>
      </c>
      <c r="N91" s="64">
        <v>44.7</v>
      </c>
      <c r="O91" s="64">
        <v>0</v>
      </c>
      <c r="P91" s="64">
        <v>0.93</v>
      </c>
      <c r="Q91" s="64">
        <v>9.0500000000000007</v>
      </c>
      <c r="R91" s="198"/>
      <c r="S91" s="198"/>
      <c r="T91" s="198"/>
      <c r="U91" s="198"/>
    </row>
    <row r="92" spans="1:26" s="12" customFormat="1" x14ac:dyDescent="0.25">
      <c r="A92" s="211" t="s">
        <v>1675</v>
      </c>
      <c r="B92" s="64">
        <v>7.54</v>
      </c>
      <c r="C92" s="64">
        <v>38.44</v>
      </c>
      <c r="D92" s="64">
        <v>26.14</v>
      </c>
      <c r="E92" s="64">
        <v>9.35</v>
      </c>
      <c r="F92" s="64">
        <v>3.5</v>
      </c>
      <c r="G92" s="64">
        <v>59.5</v>
      </c>
      <c r="H92" s="64">
        <v>9.8000000000000007</v>
      </c>
      <c r="I92" s="64">
        <v>2.0299999999999998</v>
      </c>
      <c r="J92" s="64">
        <v>7.0000000000000007E-2</v>
      </c>
      <c r="K92" s="64">
        <v>217.87</v>
      </c>
      <c r="L92" s="64">
        <v>25.43</v>
      </c>
      <c r="M92" s="64">
        <v>91.36</v>
      </c>
      <c r="N92" s="64">
        <v>44.9</v>
      </c>
      <c r="O92" s="64">
        <v>0</v>
      </c>
      <c r="P92" s="64">
        <v>1.22</v>
      </c>
      <c r="Q92" s="64">
        <v>9.0500000000000007</v>
      </c>
      <c r="R92" s="198"/>
      <c r="S92" s="198"/>
      <c r="T92" s="198"/>
      <c r="U92" s="198"/>
    </row>
    <row r="93" spans="1:26" s="12" customFormat="1" x14ac:dyDescent="0.25">
      <c r="A93" s="211" t="s">
        <v>1676</v>
      </c>
      <c r="B93" s="64">
        <v>6.01</v>
      </c>
      <c r="C93" s="64">
        <v>27.61</v>
      </c>
      <c r="D93" s="64">
        <v>19.239999999999998</v>
      </c>
      <c r="E93" s="64">
        <v>8.98</v>
      </c>
      <c r="F93" s="64">
        <v>6.06</v>
      </c>
      <c r="G93" s="64">
        <v>70.77</v>
      </c>
      <c r="H93" s="64">
        <v>8.64</v>
      </c>
      <c r="I93" s="64">
        <v>2.08</v>
      </c>
      <c r="J93" s="64">
        <v>0.11</v>
      </c>
      <c r="K93" s="64">
        <v>134.22999999999999</v>
      </c>
      <c r="L93" s="64">
        <v>25.29</v>
      </c>
      <c r="M93" s="64">
        <v>91.47</v>
      </c>
      <c r="N93" s="64">
        <v>44.7</v>
      </c>
      <c r="O93" s="64">
        <v>0</v>
      </c>
      <c r="P93" s="64">
        <v>0.84</v>
      </c>
      <c r="Q93" s="64">
        <v>9.0500000000000007</v>
      </c>
      <c r="R93" s="198"/>
      <c r="S93" s="198"/>
      <c r="T93" s="198"/>
      <c r="U93" s="198"/>
    </row>
    <row r="94" spans="1:26" s="12" customFormat="1" x14ac:dyDescent="0.25">
      <c r="A94" s="211" t="s">
        <v>1677</v>
      </c>
      <c r="B94" s="64">
        <v>6.23</v>
      </c>
      <c r="C94" s="64">
        <v>25.1</v>
      </c>
      <c r="D94" s="64">
        <v>18.11</v>
      </c>
      <c r="E94" s="64">
        <v>9.08</v>
      </c>
      <c r="F94" s="64">
        <v>6.88</v>
      </c>
      <c r="G94" s="64">
        <v>71.58</v>
      </c>
      <c r="H94" s="64">
        <v>8.64</v>
      </c>
      <c r="I94" s="64">
        <v>2.13</v>
      </c>
      <c r="J94" s="64">
        <v>0.12</v>
      </c>
      <c r="K94" s="64">
        <v>143.46</v>
      </c>
      <c r="L94" s="64">
        <v>25.24</v>
      </c>
      <c r="M94" s="64">
        <v>91.37</v>
      </c>
      <c r="N94" s="64">
        <v>44.7</v>
      </c>
      <c r="O94" s="64">
        <v>0</v>
      </c>
      <c r="P94" s="64">
        <v>0.82</v>
      </c>
      <c r="Q94" s="64">
        <v>9.0399999999999991</v>
      </c>
      <c r="R94" s="198"/>
      <c r="S94" s="198"/>
      <c r="T94" s="198"/>
      <c r="U94" s="198"/>
    </row>
    <row r="95" spans="1:26" s="12" customFormat="1" x14ac:dyDescent="0.25">
      <c r="A95" s="211" t="s">
        <v>1678</v>
      </c>
      <c r="B95" s="64">
        <v>6.47</v>
      </c>
      <c r="C95" s="64">
        <v>27.72</v>
      </c>
      <c r="D95" s="64">
        <v>19.670000000000002</v>
      </c>
      <c r="E95" s="64">
        <v>8.6300000000000008</v>
      </c>
      <c r="F95" s="64">
        <v>5.07</v>
      </c>
      <c r="G95" s="64">
        <v>71.58</v>
      </c>
      <c r="H95" s="64">
        <v>8.64</v>
      </c>
      <c r="I95" s="64">
        <v>2.1800000000000002</v>
      </c>
      <c r="J95" s="64">
        <v>0.03</v>
      </c>
      <c r="K95" s="64">
        <v>121.75</v>
      </c>
      <c r="L95" s="64">
        <v>25.13</v>
      </c>
      <c r="M95" s="64">
        <v>92.94</v>
      </c>
      <c r="N95" s="64">
        <v>44.9</v>
      </c>
      <c r="O95" s="64">
        <v>0</v>
      </c>
      <c r="P95" s="64">
        <v>0.98</v>
      </c>
      <c r="Q95" s="64">
        <v>9.0500000000000007</v>
      </c>
      <c r="R95" s="198"/>
      <c r="S95" s="198"/>
      <c r="T95" s="198"/>
      <c r="U95" s="198"/>
    </row>
    <row r="96" spans="1:26" s="12" customFormat="1" x14ac:dyDescent="0.25">
      <c r="A96" s="211" t="s">
        <v>1679</v>
      </c>
      <c r="B96" s="64">
        <v>6.47</v>
      </c>
      <c r="C96" s="64">
        <v>26.25</v>
      </c>
      <c r="D96" s="64">
        <v>18.91</v>
      </c>
      <c r="E96" s="64">
        <v>8.0299999999999994</v>
      </c>
      <c r="F96" s="64">
        <v>2.12</v>
      </c>
      <c r="G96" s="64">
        <v>71.58</v>
      </c>
      <c r="H96" s="64">
        <v>8.64</v>
      </c>
      <c r="I96" s="64">
        <v>2.2000000000000002</v>
      </c>
      <c r="J96" s="64">
        <v>0.09</v>
      </c>
      <c r="K96" s="64">
        <v>138.29</v>
      </c>
      <c r="L96" s="64">
        <v>24.96</v>
      </c>
      <c r="M96" s="64">
        <v>94.98</v>
      </c>
      <c r="N96" s="64">
        <v>44.8</v>
      </c>
      <c r="O96" s="64">
        <v>0</v>
      </c>
      <c r="P96" s="64">
        <v>0.9</v>
      </c>
      <c r="Q96" s="64">
        <v>9.0500000000000007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1680</v>
      </c>
      <c r="B97" s="64">
        <v>5.18</v>
      </c>
      <c r="C97" s="64">
        <v>22.96</v>
      </c>
      <c r="D97" s="64">
        <v>16.149999999999999</v>
      </c>
      <c r="E97" s="64">
        <v>7.36</v>
      </c>
      <c r="F97" s="64">
        <v>6.4</v>
      </c>
      <c r="G97" s="64">
        <v>74.709999999999994</v>
      </c>
      <c r="H97" s="64">
        <v>7.86</v>
      </c>
      <c r="I97" s="64">
        <v>2.23</v>
      </c>
      <c r="J97" s="64">
        <v>0.1</v>
      </c>
      <c r="K97" s="64">
        <v>132.1</v>
      </c>
      <c r="L97" s="64">
        <v>24.89</v>
      </c>
      <c r="M97" s="64">
        <v>93.75</v>
      </c>
      <c r="N97" s="64">
        <v>44.7</v>
      </c>
      <c r="O97" s="64">
        <v>0</v>
      </c>
      <c r="P97" s="64">
        <v>0.75</v>
      </c>
      <c r="Q97" s="64">
        <v>9.0399999999999991</v>
      </c>
      <c r="R97" s="198"/>
      <c r="S97" s="198"/>
      <c r="T97" s="198"/>
      <c r="U97" s="198"/>
    </row>
    <row r="98" spans="1:33" s="12" customFormat="1" x14ac:dyDescent="0.25">
      <c r="A98" s="211" t="s">
        <v>1681</v>
      </c>
      <c r="B98" s="64">
        <v>5.46</v>
      </c>
      <c r="C98" s="64">
        <v>21.56</v>
      </c>
      <c r="D98" s="64">
        <v>15.64</v>
      </c>
      <c r="E98" s="64">
        <v>7.44</v>
      </c>
      <c r="F98" s="64">
        <v>2.5</v>
      </c>
      <c r="G98" s="64">
        <v>74.94</v>
      </c>
      <c r="H98" s="64">
        <v>7.86</v>
      </c>
      <c r="I98" s="64">
        <v>2.2400000000000002</v>
      </c>
      <c r="J98" s="64">
        <v>0.17</v>
      </c>
      <c r="K98" s="64">
        <v>131.71</v>
      </c>
      <c r="L98" s="64">
        <v>24.83</v>
      </c>
      <c r="M98" s="64">
        <v>94.41</v>
      </c>
      <c r="N98" s="64">
        <v>44.8</v>
      </c>
      <c r="O98" s="64">
        <v>0</v>
      </c>
      <c r="P98" s="64">
        <v>0.72</v>
      </c>
      <c r="Q98" s="64">
        <v>9.0299999999999994</v>
      </c>
      <c r="R98" s="198"/>
      <c r="S98" s="198"/>
      <c r="T98" s="198"/>
      <c r="U98" s="198"/>
    </row>
    <row r="99" spans="1:33" s="12" customFormat="1" x14ac:dyDescent="0.25">
      <c r="A99" s="211" t="s">
        <v>1682</v>
      </c>
      <c r="B99" s="64">
        <v>7.68</v>
      </c>
      <c r="C99" s="64">
        <v>39.15</v>
      </c>
      <c r="D99" s="64">
        <v>26.61</v>
      </c>
      <c r="E99" s="64">
        <v>6.84</v>
      </c>
      <c r="F99" s="64">
        <v>2.1</v>
      </c>
      <c r="G99" s="64">
        <v>74.94</v>
      </c>
      <c r="H99" s="64">
        <v>7.86</v>
      </c>
      <c r="I99" s="64">
        <v>2.2599999999999998</v>
      </c>
      <c r="J99" s="64">
        <v>0.01</v>
      </c>
      <c r="K99" s="64">
        <v>157.94999999999999</v>
      </c>
      <c r="L99" s="64">
        <v>24.71</v>
      </c>
      <c r="M99" s="64">
        <v>95.12</v>
      </c>
      <c r="N99" s="64">
        <v>44.9</v>
      </c>
      <c r="O99" s="64">
        <v>0</v>
      </c>
      <c r="P99" s="64">
        <v>0.9</v>
      </c>
      <c r="Q99" s="64">
        <v>9.0299999999999994</v>
      </c>
      <c r="R99" s="198"/>
      <c r="S99" s="198"/>
      <c r="T99" s="198"/>
      <c r="U99" s="198"/>
    </row>
    <row r="100" spans="1:33" s="12" customFormat="1" x14ac:dyDescent="0.25">
      <c r="A100" s="211" t="s">
        <v>1683</v>
      </c>
      <c r="B100" s="64">
        <v>7.16</v>
      </c>
      <c r="C100" s="64">
        <v>27.79</v>
      </c>
      <c r="D100" s="64">
        <v>20.260000000000002</v>
      </c>
      <c r="E100" s="64">
        <v>7.11</v>
      </c>
      <c r="F100" s="64">
        <v>2.3199999999999998</v>
      </c>
      <c r="G100" s="64">
        <v>74.94</v>
      </c>
      <c r="H100" s="64">
        <v>7.86</v>
      </c>
      <c r="I100" s="64">
        <v>2.2799999999999998</v>
      </c>
      <c r="J100" s="64">
        <v>0.04</v>
      </c>
      <c r="K100" s="64">
        <v>237.51</v>
      </c>
      <c r="L100" s="64">
        <v>24.52</v>
      </c>
      <c r="M100" s="64">
        <v>94.58</v>
      </c>
      <c r="N100" s="64">
        <v>44.9</v>
      </c>
      <c r="O100" s="64">
        <v>0</v>
      </c>
      <c r="P100" s="64">
        <v>0.78</v>
      </c>
      <c r="Q100" s="64">
        <v>9.0299999999999994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1684</v>
      </c>
      <c r="B101" s="64">
        <v>6.41</v>
      </c>
      <c r="C101" s="64">
        <v>21.19</v>
      </c>
      <c r="D101" s="64">
        <v>16.21</v>
      </c>
      <c r="E101" s="64">
        <v>7.09</v>
      </c>
      <c r="F101" s="64">
        <v>3.5</v>
      </c>
      <c r="G101" s="64">
        <v>68.16</v>
      </c>
      <c r="H101" s="64">
        <v>11.84</v>
      </c>
      <c r="I101" s="64">
        <v>2.2999999999999998</v>
      </c>
      <c r="J101" s="64">
        <v>0.05</v>
      </c>
      <c r="K101" s="64">
        <v>169.27</v>
      </c>
      <c r="L101" s="64">
        <v>24.42</v>
      </c>
      <c r="M101" s="64">
        <v>93.5</v>
      </c>
      <c r="N101" s="64">
        <v>44.8</v>
      </c>
      <c r="O101" s="64">
        <v>0</v>
      </c>
      <c r="P101" s="64">
        <v>0.67</v>
      </c>
      <c r="Q101" s="64">
        <v>9.0299999999999994</v>
      </c>
      <c r="R101" s="198"/>
      <c r="S101" s="198"/>
      <c r="T101" s="198"/>
      <c r="U101" s="198"/>
    </row>
    <row r="102" spans="1:33" s="12" customFormat="1" x14ac:dyDescent="0.25">
      <c r="A102" s="211" t="s">
        <v>1685</v>
      </c>
      <c r="B102" s="64">
        <v>5.56</v>
      </c>
      <c r="C102" s="64">
        <v>24.45</v>
      </c>
      <c r="D102" s="64">
        <v>17.23</v>
      </c>
      <c r="E102" s="64">
        <v>6.82</v>
      </c>
      <c r="F102" s="64">
        <v>5.62</v>
      </c>
      <c r="G102" s="64">
        <v>67.680000000000007</v>
      </c>
      <c r="H102" s="64">
        <v>11.84</v>
      </c>
      <c r="I102" s="64">
        <v>2.2999999999999998</v>
      </c>
      <c r="J102" s="64">
        <v>0.08</v>
      </c>
      <c r="K102" s="64">
        <v>125.52</v>
      </c>
      <c r="L102" s="64">
        <v>24.4</v>
      </c>
      <c r="M102" s="64">
        <v>93.02</v>
      </c>
      <c r="N102" s="64">
        <v>44.8</v>
      </c>
      <c r="O102" s="64">
        <v>0</v>
      </c>
      <c r="P102" s="64">
        <v>0.57999999999999996</v>
      </c>
      <c r="Q102" s="64">
        <v>9.0299999999999994</v>
      </c>
      <c r="R102" s="198"/>
      <c r="S102" s="198"/>
      <c r="T102" s="198"/>
      <c r="U102" s="198"/>
    </row>
    <row r="103" spans="1:33" s="12" customFormat="1" x14ac:dyDescent="0.25">
      <c r="A103" s="211" t="s">
        <v>1686</v>
      </c>
      <c r="B103" s="64">
        <v>5.08</v>
      </c>
      <c r="C103" s="64">
        <v>23.35</v>
      </c>
      <c r="D103" s="64">
        <v>16.27</v>
      </c>
      <c r="E103" s="64">
        <v>7.14</v>
      </c>
      <c r="F103" s="64">
        <v>5.76</v>
      </c>
      <c r="G103" s="64">
        <v>67.680000000000007</v>
      </c>
      <c r="H103" s="64">
        <v>11.84</v>
      </c>
      <c r="I103" s="64">
        <v>2.31</v>
      </c>
      <c r="J103" s="64">
        <v>0.17</v>
      </c>
      <c r="K103" s="64">
        <v>127.07</v>
      </c>
      <c r="L103" s="64">
        <v>24.32</v>
      </c>
      <c r="M103" s="64">
        <v>93.41</v>
      </c>
      <c r="N103" s="64">
        <v>44.7</v>
      </c>
      <c r="O103" s="64">
        <v>0</v>
      </c>
      <c r="P103" s="64">
        <v>0.57999999999999996</v>
      </c>
      <c r="Q103" s="64">
        <v>9.0299999999999994</v>
      </c>
      <c r="R103" s="198"/>
      <c r="S103" s="198"/>
      <c r="T103" s="198"/>
      <c r="U103" s="198"/>
    </row>
    <row r="104" spans="1:33" s="12" customFormat="1" x14ac:dyDescent="0.25">
      <c r="A104" s="211" t="s">
        <v>1687</v>
      </c>
      <c r="B104" s="64">
        <v>5.0599999999999996</v>
      </c>
      <c r="C104" s="64">
        <v>22.05</v>
      </c>
      <c r="D104" s="64">
        <v>15.58</v>
      </c>
      <c r="E104" s="64">
        <v>5.74</v>
      </c>
      <c r="F104" s="64">
        <v>8.44</v>
      </c>
      <c r="G104" s="64">
        <v>67.680000000000007</v>
      </c>
      <c r="H104" s="64">
        <v>11.84</v>
      </c>
      <c r="I104" s="64">
        <v>2.2999999999999998</v>
      </c>
      <c r="J104" s="64">
        <v>7.0000000000000007E-2</v>
      </c>
      <c r="K104" s="64">
        <v>151.53</v>
      </c>
      <c r="L104" s="64">
        <v>24.32</v>
      </c>
      <c r="M104" s="64">
        <v>92.36</v>
      </c>
      <c r="N104" s="64">
        <v>44.7</v>
      </c>
      <c r="O104" s="64">
        <v>0</v>
      </c>
      <c r="P104" s="64">
        <v>0.53</v>
      </c>
      <c r="Q104" s="64">
        <v>9.0299999999999994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4.5</v>
      </c>
      <c r="C106" s="67">
        <f>MIN(C9:C104)</f>
        <v>8.2799999999999994</v>
      </c>
      <c r="D106" s="67">
        <f t="shared" ref="D106:Q106" si="0">MIN(D9:D104)</f>
        <v>7.98</v>
      </c>
      <c r="E106" s="67">
        <f t="shared" si="0"/>
        <v>5.12</v>
      </c>
      <c r="F106" s="67">
        <f t="shared" si="0"/>
        <v>2.1</v>
      </c>
      <c r="G106" s="67">
        <f t="shared" si="0"/>
        <v>32.74</v>
      </c>
      <c r="H106" s="67">
        <f t="shared" si="0"/>
        <v>7.08</v>
      </c>
      <c r="I106" s="67">
        <f t="shared" si="0"/>
        <v>0.6</v>
      </c>
      <c r="J106" s="67">
        <f t="shared" si="0"/>
        <v>0.01</v>
      </c>
      <c r="K106" s="67">
        <f t="shared" si="0"/>
        <v>88.16</v>
      </c>
      <c r="L106" s="67">
        <f t="shared" si="0"/>
        <v>21.65</v>
      </c>
      <c r="M106" s="67">
        <f t="shared" si="0"/>
        <v>52.57</v>
      </c>
      <c r="N106" s="67">
        <f t="shared" si="0"/>
        <v>41.9</v>
      </c>
      <c r="O106" s="67">
        <f t="shared" si="0"/>
        <v>0</v>
      </c>
      <c r="P106" s="67">
        <f t="shared" si="0"/>
        <v>0.26</v>
      </c>
      <c r="Q106" s="67">
        <f t="shared" si="0"/>
        <v>8.9499999999999993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22.5</v>
      </c>
      <c r="C107" s="66">
        <f t="shared" ref="C107:Q107" si="1">MAX(C9:C104)</f>
        <v>39.15</v>
      </c>
      <c r="D107" s="66">
        <f t="shared" si="1"/>
        <v>32.869999999999997</v>
      </c>
      <c r="E107" s="66">
        <f t="shared" si="1"/>
        <v>10.1</v>
      </c>
      <c r="F107" s="66">
        <f t="shared" si="1"/>
        <v>16.600000000000001</v>
      </c>
      <c r="G107" s="66">
        <f t="shared" si="1"/>
        <v>76.39</v>
      </c>
      <c r="H107" s="66">
        <f t="shared" si="1"/>
        <v>11.84</v>
      </c>
      <c r="I107" s="66">
        <f t="shared" si="1"/>
        <v>2.31</v>
      </c>
      <c r="J107" s="66">
        <f t="shared" si="1"/>
        <v>1.24</v>
      </c>
      <c r="K107" s="66">
        <f t="shared" si="1"/>
        <v>352.61</v>
      </c>
      <c r="L107" s="66">
        <f t="shared" si="1"/>
        <v>29.99</v>
      </c>
      <c r="M107" s="66">
        <f t="shared" si="1"/>
        <v>98.57</v>
      </c>
      <c r="N107" s="66">
        <f t="shared" si="1"/>
        <v>810.9</v>
      </c>
      <c r="O107" s="66">
        <f t="shared" si="1"/>
        <v>0.2</v>
      </c>
      <c r="P107" s="66">
        <f t="shared" si="1"/>
        <v>1.39</v>
      </c>
      <c r="Q107" s="66">
        <f t="shared" si="1"/>
        <v>9.19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7.8933333333333318</v>
      </c>
      <c r="C108" s="67">
        <f t="shared" ref="C108:Q108" si="2">AVERAGE(C9:C104)</f>
        <v>17.624687500000004</v>
      </c>
      <c r="D108" s="67">
        <f t="shared" si="2"/>
        <v>15.553125000000007</v>
      </c>
      <c r="E108" s="67">
        <f t="shared" si="2"/>
        <v>6.7721875000000038</v>
      </c>
      <c r="F108" s="67">
        <f t="shared" si="2"/>
        <v>7.0146874999999982</v>
      </c>
      <c r="G108" s="67">
        <f t="shared" si="2"/>
        <v>55.902499999999975</v>
      </c>
      <c r="H108" s="67">
        <f t="shared" si="2"/>
        <v>9.0525000000000002</v>
      </c>
      <c r="I108" s="67">
        <f t="shared" si="2"/>
        <v>1.8041666666666671</v>
      </c>
      <c r="J108" s="67">
        <f t="shared" si="2"/>
        <v>0.33812500000000001</v>
      </c>
      <c r="K108" s="67">
        <f t="shared" si="2"/>
        <v>178.0889583333333</v>
      </c>
      <c r="L108" s="67">
        <f t="shared" si="2"/>
        <v>25.904895833333342</v>
      </c>
      <c r="M108" s="67">
        <f t="shared" si="2"/>
        <v>81.600416666666661</v>
      </c>
      <c r="N108" s="67">
        <f t="shared" si="2"/>
        <v>198.52395833333341</v>
      </c>
      <c r="O108" s="67">
        <f t="shared" si="2"/>
        <v>2.0833333333333333E-3</v>
      </c>
      <c r="P108" s="67">
        <f t="shared" si="2"/>
        <v>0.60520833333333324</v>
      </c>
      <c r="Q108" s="67">
        <f t="shared" si="2"/>
        <v>9.0561458333333249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3.0834617137806144</v>
      </c>
      <c r="C109" s="67">
        <f t="shared" ref="C109:Q109" si="3">STDEV(C9:C104)</f>
        <v>7.7505755240464058</v>
      </c>
      <c r="D109" s="67">
        <f t="shared" si="3"/>
        <v>4.7044879608395194</v>
      </c>
      <c r="E109" s="67">
        <f t="shared" si="3"/>
        <v>1.2759881232948145</v>
      </c>
      <c r="F109" s="67">
        <f t="shared" si="3"/>
        <v>4.4096298813834132</v>
      </c>
      <c r="G109" s="67">
        <f t="shared" si="3"/>
        <v>13.259487804666842</v>
      </c>
      <c r="H109" s="67">
        <f t="shared" si="3"/>
        <v>1.1737416554268461</v>
      </c>
      <c r="I109" s="67">
        <f t="shared" si="3"/>
        <v>0.44742459915590654</v>
      </c>
      <c r="J109" s="67">
        <f t="shared" si="3"/>
        <v>0.33027998489320021</v>
      </c>
      <c r="K109" s="67">
        <f t="shared" si="3"/>
        <v>83.592345286410534</v>
      </c>
      <c r="L109" s="67">
        <f t="shared" si="3"/>
        <v>2.7301675270717061</v>
      </c>
      <c r="M109" s="67">
        <f t="shared" si="3"/>
        <v>16.332514224000946</v>
      </c>
      <c r="N109" s="67">
        <f t="shared" si="3"/>
        <v>245.3250530020984</v>
      </c>
      <c r="O109" s="67">
        <f t="shared" si="3"/>
        <v>2.0412414523193152E-2</v>
      </c>
      <c r="P109" s="67">
        <f t="shared" si="3"/>
        <v>0.2192474169165092</v>
      </c>
      <c r="Q109" s="67">
        <f t="shared" si="3"/>
        <v>5.2643184027577596E-2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3" sqref="J1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1688</v>
      </c>
      <c r="B9" s="64">
        <v>4.8600000000000003</v>
      </c>
      <c r="C9" s="64">
        <v>20.13</v>
      </c>
      <c r="D9" s="64">
        <v>14.42</v>
      </c>
      <c r="E9" s="64">
        <v>6.47</v>
      </c>
      <c r="F9" s="64">
        <v>8.11</v>
      </c>
      <c r="G9" s="64">
        <v>67.28</v>
      </c>
      <c r="H9" s="64">
        <v>10.1</v>
      </c>
      <c r="I9" s="64">
        <v>2.2999999999999998</v>
      </c>
      <c r="J9" s="64">
        <v>0.25</v>
      </c>
      <c r="K9" s="64">
        <v>129.04</v>
      </c>
      <c r="L9" s="64">
        <v>24.24</v>
      </c>
      <c r="M9" s="64">
        <v>92.81</v>
      </c>
      <c r="N9" s="64">
        <v>44.7</v>
      </c>
      <c r="O9" s="64">
        <v>0</v>
      </c>
      <c r="P9" s="64">
        <v>0.52</v>
      </c>
      <c r="Q9" s="64">
        <v>9.02</v>
      </c>
      <c r="R9" s="198"/>
      <c r="S9" s="198"/>
      <c r="T9" s="198"/>
      <c r="U9" s="198"/>
    </row>
    <row r="10" spans="1:21" s="12" customFormat="1" x14ac:dyDescent="0.25">
      <c r="A10" s="211" t="s">
        <v>1689</v>
      </c>
      <c r="B10" s="64">
        <v>5.22</v>
      </c>
      <c r="C10" s="64">
        <v>17.52</v>
      </c>
      <c r="D10" s="64">
        <v>13.34</v>
      </c>
      <c r="E10" s="64">
        <v>6.6</v>
      </c>
      <c r="F10" s="64">
        <v>9.32</v>
      </c>
      <c r="G10" s="64">
        <v>67.25</v>
      </c>
      <c r="H10" s="64">
        <v>10.1</v>
      </c>
      <c r="I10" s="64">
        <v>2.29</v>
      </c>
      <c r="J10" s="64">
        <v>0.01</v>
      </c>
      <c r="K10" s="64">
        <v>54.79</v>
      </c>
      <c r="L10" s="64">
        <v>24.1</v>
      </c>
      <c r="M10" s="64">
        <v>95.33</v>
      </c>
      <c r="N10" s="64">
        <v>44.9</v>
      </c>
      <c r="O10" s="64">
        <v>0</v>
      </c>
      <c r="P10" s="64">
        <v>0.56999999999999995</v>
      </c>
      <c r="Q10" s="64">
        <v>9.0299999999999994</v>
      </c>
      <c r="R10" s="198"/>
      <c r="S10" s="198"/>
      <c r="T10" s="198"/>
      <c r="U10" s="198"/>
    </row>
    <row r="11" spans="1:21" s="12" customFormat="1" x14ac:dyDescent="0.25">
      <c r="A11" s="211" t="s">
        <v>1690</v>
      </c>
      <c r="B11" s="64">
        <v>7.96</v>
      </c>
      <c r="C11" s="64">
        <v>20.61</v>
      </c>
      <c r="D11" s="64">
        <v>17.149999999999999</v>
      </c>
      <c r="E11" s="64">
        <v>6.03</v>
      </c>
      <c r="F11" s="64">
        <v>3.69</v>
      </c>
      <c r="G11" s="64">
        <v>67.25</v>
      </c>
      <c r="H11" s="64">
        <v>10.1</v>
      </c>
      <c r="I11" s="64">
        <v>2.27</v>
      </c>
      <c r="J11" s="64">
        <v>0.14000000000000001</v>
      </c>
      <c r="K11" s="64">
        <v>332.73</v>
      </c>
      <c r="L11" s="64">
        <v>23.61</v>
      </c>
      <c r="M11" s="64">
        <v>97.99</v>
      </c>
      <c r="N11" s="64">
        <v>45.2</v>
      </c>
      <c r="O11" s="64">
        <v>0</v>
      </c>
      <c r="P11" s="64">
        <v>0.63</v>
      </c>
      <c r="Q11" s="64">
        <v>9.0399999999999991</v>
      </c>
      <c r="R11" s="198"/>
      <c r="S11" s="198"/>
      <c r="T11" s="198"/>
      <c r="U11" s="198"/>
    </row>
    <row r="12" spans="1:21" s="12" customFormat="1" x14ac:dyDescent="0.25">
      <c r="A12" s="211" t="s">
        <v>1691</v>
      </c>
      <c r="B12" s="64">
        <v>5.99</v>
      </c>
      <c r="C12" s="64">
        <v>23.07</v>
      </c>
      <c r="D12" s="64">
        <v>16.86</v>
      </c>
      <c r="E12" s="64">
        <v>5.57</v>
      </c>
      <c r="F12" s="64">
        <v>2.93</v>
      </c>
      <c r="G12" s="64">
        <v>67.25</v>
      </c>
      <c r="H12" s="64">
        <v>10.1</v>
      </c>
      <c r="I12" s="64">
        <v>2.2599999999999998</v>
      </c>
      <c r="J12" s="64">
        <v>0.12</v>
      </c>
      <c r="K12" s="64">
        <v>322.79000000000002</v>
      </c>
      <c r="L12" s="64">
        <v>23.11</v>
      </c>
      <c r="M12" s="64">
        <v>98.01</v>
      </c>
      <c r="N12" s="64">
        <v>44.9</v>
      </c>
      <c r="O12" s="64">
        <v>0</v>
      </c>
      <c r="P12" s="64">
        <v>0.7</v>
      </c>
      <c r="Q12" s="64">
        <v>9.0500000000000007</v>
      </c>
      <c r="R12" s="198"/>
      <c r="S12" s="198"/>
      <c r="T12" s="198"/>
      <c r="U12" s="198"/>
    </row>
    <row r="13" spans="1:21" s="12" customFormat="1" x14ac:dyDescent="0.25">
      <c r="A13" s="211" t="s">
        <v>1692</v>
      </c>
      <c r="B13" s="64">
        <v>5.78</v>
      </c>
      <c r="C13" s="64">
        <v>20.57</v>
      </c>
      <c r="D13" s="64">
        <v>15.38</v>
      </c>
      <c r="E13" s="64">
        <v>5.76</v>
      </c>
      <c r="F13" s="64">
        <v>3.9</v>
      </c>
      <c r="G13" s="64">
        <v>71.099999999999994</v>
      </c>
      <c r="H13" s="64">
        <v>8.89</v>
      </c>
      <c r="I13" s="64">
        <v>2.25</v>
      </c>
      <c r="J13" s="64">
        <v>0.18</v>
      </c>
      <c r="K13" s="64">
        <v>337.4</v>
      </c>
      <c r="L13" s="64">
        <v>22.89</v>
      </c>
      <c r="M13" s="64">
        <v>98.03</v>
      </c>
      <c r="N13" s="64">
        <v>44.9</v>
      </c>
      <c r="O13" s="64">
        <v>0</v>
      </c>
      <c r="P13" s="64">
        <v>0.62</v>
      </c>
      <c r="Q13" s="64">
        <v>9.07</v>
      </c>
      <c r="R13" s="198"/>
      <c r="S13" s="198"/>
      <c r="T13" s="198"/>
      <c r="U13" s="198"/>
    </row>
    <row r="14" spans="1:21" s="12" customFormat="1" x14ac:dyDescent="0.25">
      <c r="A14" s="211" t="s">
        <v>1693</v>
      </c>
      <c r="B14" s="64">
        <v>5.86</v>
      </c>
      <c r="C14" s="64">
        <v>19.5</v>
      </c>
      <c r="D14" s="64">
        <v>14.89</v>
      </c>
      <c r="E14" s="64">
        <v>5.98</v>
      </c>
      <c r="F14" s="64">
        <v>3.17</v>
      </c>
      <c r="G14" s="64">
        <v>71.38</v>
      </c>
      <c r="H14" s="64">
        <v>8.89</v>
      </c>
      <c r="I14" s="64">
        <v>2.2599999999999998</v>
      </c>
      <c r="J14" s="64">
        <v>0.1</v>
      </c>
      <c r="K14" s="64">
        <v>301.11</v>
      </c>
      <c r="L14" s="64">
        <v>22.74</v>
      </c>
      <c r="M14" s="64">
        <v>98.06</v>
      </c>
      <c r="N14" s="64">
        <v>44.9</v>
      </c>
      <c r="O14" s="64">
        <v>0</v>
      </c>
      <c r="P14" s="64">
        <v>0.65</v>
      </c>
      <c r="Q14" s="64">
        <v>9.07</v>
      </c>
      <c r="R14" s="198"/>
      <c r="S14" s="198"/>
      <c r="T14" s="198"/>
      <c r="U14" s="198"/>
    </row>
    <row r="15" spans="1:21" s="12" customFormat="1" x14ac:dyDescent="0.25">
      <c r="A15" s="211" t="s">
        <v>1694</v>
      </c>
      <c r="B15" s="64">
        <v>6.15</v>
      </c>
      <c r="C15" s="64">
        <v>18.53</v>
      </c>
      <c r="D15" s="64">
        <v>14.61</v>
      </c>
      <c r="E15" s="64">
        <v>5.59</v>
      </c>
      <c r="F15" s="64">
        <v>4.9400000000000004</v>
      </c>
      <c r="G15" s="64">
        <v>71.38</v>
      </c>
      <c r="H15" s="64">
        <v>8.89</v>
      </c>
      <c r="I15" s="64">
        <v>2.2599999999999998</v>
      </c>
      <c r="J15" s="64">
        <v>0.14000000000000001</v>
      </c>
      <c r="K15" s="64">
        <v>315.79000000000002</v>
      </c>
      <c r="L15" s="64">
        <v>22.68</v>
      </c>
      <c r="M15" s="64">
        <v>98.06</v>
      </c>
      <c r="N15" s="64">
        <v>44.7</v>
      </c>
      <c r="O15" s="64">
        <v>0</v>
      </c>
      <c r="P15" s="64">
        <v>0.65</v>
      </c>
      <c r="Q15" s="64">
        <v>9.07</v>
      </c>
      <c r="R15" s="198"/>
      <c r="S15" s="198"/>
      <c r="T15" s="198"/>
      <c r="U15" s="198"/>
    </row>
    <row r="16" spans="1:21" s="12" customFormat="1" x14ac:dyDescent="0.25">
      <c r="A16" s="211" t="s">
        <v>1695</v>
      </c>
      <c r="B16" s="64">
        <v>5.84</v>
      </c>
      <c r="C16" s="64">
        <v>18.28</v>
      </c>
      <c r="D16" s="64">
        <v>14.23</v>
      </c>
      <c r="E16" s="64">
        <v>5.52</v>
      </c>
      <c r="F16" s="64">
        <v>5.34</v>
      </c>
      <c r="G16" s="64">
        <v>71.38</v>
      </c>
      <c r="H16" s="64">
        <v>8.89</v>
      </c>
      <c r="I16" s="64">
        <v>2.27</v>
      </c>
      <c r="J16" s="64">
        <v>0.2</v>
      </c>
      <c r="K16" s="64">
        <v>324.57</v>
      </c>
      <c r="L16" s="64">
        <v>22.73</v>
      </c>
      <c r="M16" s="64">
        <v>98.05</v>
      </c>
      <c r="N16" s="64">
        <v>44.6</v>
      </c>
      <c r="O16" s="64">
        <v>0</v>
      </c>
      <c r="P16" s="64">
        <v>0.61</v>
      </c>
      <c r="Q16" s="64">
        <v>9.06</v>
      </c>
      <c r="R16" s="198"/>
      <c r="S16" s="198"/>
      <c r="T16" s="198"/>
      <c r="U16" s="198"/>
    </row>
    <row r="17" spans="1:21" s="12" customFormat="1" x14ac:dyDescent="0.25">
      <c r="A17" s="211" t="s">
        <v>1696</v>
      </c>
      <c r="B17" s="64">
        <v>5.55</v>
      </c>
      <c r="C17" s="64">
        <v>16.25</v>
      </c>
      <c r="D17" s="64">
        <v>12.94</v>
      </c>
      <c r="E17" s="64">
        <v>5.66</v>
      </c>
      <c r="F17" s="64">
        <v>4.7699999999999996</v>
      </c>
      <c r="G17" s="64">
        <v>73.38</v>
      </c>
      <c r="H17" s="64">
        <v>8.0299999999999994</v>
      </c>
      <c r="I17" s="64">
        <v>2.2799999999999998</v>
      </c>
      <c r="J17" s="64">
        <v>0.13</v>
      </c>
      <c r="K17" s="64">
        <v>314.66000000000003</v>
      </c>
      <c r="L17" s="64">
        <v>22.68</v>
      </c>
      <c r="M17" s="64">
        <v>98.04</v>
      </c>
      <c r="N17" s="64">
        <v>44.8</v>
      </c>
      <c r="O17" s="64">
        <v>0</v>
      </c>
      <c r="P17" s="64">
        <v>0.56999999999999995</v>
      </c>
      <c r="Q17" s="64">
        <v>9.06</v>
      </c>
      <c r="R17" s="198"/>
      <c r="S17" s="198"/>
      <c r="T17" s="198"/>
      <c r="U17" s="198"/>
    </row>
    <row r="18" spans="1:21" s="12" customFormat="1" x14ac:dyDescent="0.25">
      <c r="A18" s="211" t="s">
        <v>1697</v>
      </c>
      <c r="B18" s="64">
        <v>6.38</v>
      </c>
      <c r="C18" s="64">
        <v>11.82</v>
      </c>
      <c r="D18" s="64">
        <v>11.29</v>
      </c>
      <c r="E18" s="64">
        <v>5.45</v>
      </c>
      <c r="F18" s="64">
        <v>2.1</v>
      </c>
      <c r="G18" s="64">
        <v>73.52</v>
      </c>
      <c r="H18" s="64">
        <v>8.0299999999999994</v>
      </c>
      <c r="I18" s="64">
        <v>2.29</v>
      </c>
      <c r="J18" s="64">
        <v>0.18</v>
      </c>
      <c r="K18" s="64">
        <v>335.21</v>
      </c>
      <c r="L18" s="64">
        <v>22.6</v>
      </c>
      <c r="M18" s="64">
        <v>98.07</v>
      </c>
      <c r="N18" s="64">
        <v>44.9</v>
      </c>
      <c r="O18" s="64">
        <v>0</v>
      </c>
      <c r="P18" s="64">
        <v>0.68</v>
      </c>
      <c r="Q18" s="64">
        <v>9.0500000000000007</v>
      </c>
      <c r="R18" s="198"/>
      <c r="S18" s="198"/>
      <c r="T18" s="198"/>
      <c r="U18" s="198"/>
    </row>
    <row r="19" spans="1:21" s="12" customFormat="1" x14ac:dyDescent="0.25">
      <c r="A19" s="211" t="s">
        <v>1698</v>
      </c>
      <c r="B19" s="64">
        <v>6.29</v>
      </c>
      <c r="C19" s="64">
        <v>17.87</v>
      </c>
      <c r="D19" s="64">
        <v>14.38</v>
      </c>
      <c r="E19" s="64">
        <v>5.19</v>
      </c>
      <c r="F19" s="64">
        <v>2.1</v>
      </c>
      <c r="G19" s="64">
        <v>73.52</v>
      </c>
      <c r="H19" s="64">
        <v>8.0299999999999994</v>
      </c>
      <c r="I19" s="64">
        <v>2.27</v>
      </c>
      <c r="J19" s="64">
        <v>0.06</v>
      </c>
      <c r="K19" s="64">
        <v>291.35000000000002</v>
      </c>
      <c r="L19" s="64">
        <v>22.36</v>
      </c>
      <c r="M19" s="64">
        <v>98.1</v>
      </c>
      <c r="N19" s="64">
        <v>44.9</v>
      </c>
      <c r="O19" s="64">
        <v>0</v>
      </c>
      <c r="P19" s="64">
        <v>0.63</v>
      </c>
      <c r="Q19" s="64">
        <v>9.0399999999999991</v>
      </c>
      <c r="R19" s="198"/>
      <c r="S19" s="198"/>
      <c r="T19" s="198"/>
      <c r="U19" s="198"/>
    </row>
    <row r="20" spans="1:21" s="12" customFormat="1" x14ac:dyDescent="0.25">
      <c r="A20" s="211" t="s">
        <v>1699</v>
      </c>
      <c r="B20" s="64">
        <v>6.59</v>
      </c>
      <c r="C20" s="64">
        <v>11.47</v>
      </c>
      <c r="D20" s="64">
        <v>11.28</v>
      </c>
      <c r="E20" s="64">
        <v>5.3</v>
      </c>
      <c r="F20" s="64">
        <v>2.4300000000000002</v>
      </c>
      <c r="G20" s="64">
        <v>73.52</v>
      </c>
      <c r="H20" s="64">
        <v>8.0299999999999994</v>
      </c>
      <c r="I20" s="64">
        <v>2.2599999999999998</v>
      </c>
      <c r="J20" s="64">
        <v>7.0000000000000007E-2</v>
      </c>
      <c r="K20" s="64">
        <v>207.5</v>
      </c>
      <c r="L20" s="64">
        <v>22.36</v>
      </c>
      <c r="M20" s="64">
        <v>98.07</v>
      </c>
      <c r="N20" s="64">
        <v>44.6</v>
      </c>
      <c r="O20" s="64">
        <v>0</v>
      </c>
      <c r="P20" s="64">
        <v>0.66</v>
      </c>
      <c r="Q20" s="64">
        <v>9.0399999999999991</v>
      </c>
      <c r="R20" s="198"/>
      <c r="S20" s="198"/>
      <c r="T20" s="198"/>
      <c r="U20" s="198"/>
    </row>
    <row r="21" spans="1:21" s="12" customFormat="1" x14ac:dyDescent="0.25">
      <c r="A21" s="211" t="s">
        <v>1700</v>
      </c>
      <c r="B21" s="64">
        <v>6.17</v>
      </c>
      <c r="C21" s="64">
        <v>11.72</v>
      </c>
      <c r="D21" s="64">
        <v>11.08</v>
      </c>
      <c r="E21" s="64">
        <v>4.95</v>
      </c>
      <c r="F21" s="64">
        <v>5.47</v>
      </c>
      <c r="G21" s="64">
        <v>75.14</v>
      </c>
      <c r="H21" s="64">
        <v>13.59</v>
      </c>
      <c r="I21" s="64">
        <v>2.2599999999999998</v>
      </c>
      <c r="J21" s="64">
        <v>0.13</v>
      </c>
      <c r="K21" s="64">
        <v>183.09</v>
      </c>
      <c r="L21" s="64">
        <v>22.94</v>
      </c>
      <c r="M21" s="64">
        <v>98</v>
      </c>
      <c r="N21" s="64">
        <v>44.3</v>
      </c>
      <c r="O21" s="64">
        <v>0</v>
      </c>
      <c r="P21" s="64">
        <v>0.55000000000000004</v>
      </c>
      <c r="Q21" s="64">
        <v>9.0299999999999994</v>
      </c>
      <c r="R21" s="198"/>
      <c r="S21" s="198"/>
      <c r="T21" s="198"/>
      <c r="U21" s="198"/>
    </row>
    <row r="22" spans="1:21" s="12" customFormat="1" x14ac:dyDescent="0.25">
      <c r="A22" s="211" t="s">
        <v>1701</v>
      </c>
      <c r="B22" s="64">
        <v>6.51</v>
      </c>
      <c r="C22" s="64">
        <v>9.57</v>
      </c>
      <c r="D22" s="64">
        <v>10.220000000000001</v>
      </c>
      <c r="E22" s="64">
        <v>4.96</v>
      </c>
      <c r="F22" s="64">
        <v>2.21</v>
      </c>
      <c r="G22" s="64">
        <v>75.25</v>
      </c>
      <c r="H22" s="64">
        <v>13.59</v>
      </c>
      <c r="I22" s="64">
        <v>2.2599999999999998</v>
      </c>
      <c r="J22" s="64">
        <v>0.08</v>
      </c>
      <c r="K22" s="64">
        <v>227.23</v>
      </c>
      <c r="L22" s="64">
        <v>22.98</v>
      </c>
      <c r="M22" s="64">
        <v>98.04</v>
      </c>
      <c r="N22" s="64">
        <v>44.8</v>
      </c>
      <c r="O22" s="64">
        <v>0</v>
      </c>
      <c r="P22" s="64">
        <v>0.62</v>
      </c>
      <c r="Q22" s="64">
        <v>9.02</v>
      </c>
      <c r="R22" s="198"/>
      <c r="S22" s="198"/>
      <c r="T22" s="198"/>
      <c r="U22" s="198"/>
    </row>
    <row r="23" spans="1:21" s="12" customFormat="1" x14ac:dyDescent="0.25">
      <c r="A23" s="211" t="s">
        <v>1702</v>
      </c>
      <c r="B23" s="64">
        <v>6.84</v>
      </c>
      <c r="C23" s="64">
        <v>12.89</v>
      </c>
      <c r="D23" s="64">
        <v>12.22</v>
      </c>
      <c r="E23" s="64">
        <v>4.8</v>
      </c>
      <c r="F23" s="64">
        <v>3.06</v>
      </c>
      <c r="G23" s="64">
        <v>75.25</v>
      </c>
      <c r="H23" s="64">
        <v>13.59</v>
      </c>
      <c r="I23" s="64">
        <v>2.25</v>
      </c>
      <c r="J23" s="64">
        <v>0.12</v>
      </c>
      <c r="K23" s="64">
        <v>337.68</v>
      </c>
      <c r="L23" s="64">
        <v>22.79</v>
      </c>
      <c r="M23" s="64">
        <v>98.06</v>
      </c>
      <c r="N23" s="64">
        <v>44.9</v>
      </c>
      <c r="O23" s="64">
        <v>0</v>
      </c>
      <c r="P23" s="64">
        <v>0.52</v>
      </c>
      <c r="Q23" s="64">
        <v>9.02</v>
      </c>
      <c r="R23" s="198"/>
      <c r="S23" s="198"/>
      <c r="T23" s="198"/>
      <c r="U23" s="198"/>
    </row>
    <row r="24" spans="1:21" s="12" customFormat="1" x14ac:dyDescent="0.25">
      <c r="A24" s="211" t="s">
        <v>1703</v>
      </c>
      <c r="B24" s="64">
        <v>6.95</v>
      </c>
      <c r="C24" s="64">
        <v>8.69</v>
      </c>
      <c r="D24" s="64">
        <v>10.11</v>
      </c>
      <c r="E24" s="64">
        <v>5.23</v>
      </c>
      <c r="F24" s="64">
        <v>2.1</v>
      </c>
      <c r="G24" s="64">
        <v>75.25</v>
      </c>
      <c r="H24" s="64">
        <v>13.59</v>
      </c>
      <c r="I24" s="64">
        <v>2.25</v>
      </c>
      <c r="J24" s="64">
        <v>0.21</v>
      </c>
      <c r="K24" s="64">
        <v>357.62</v>
      </c>
      <c r="L24" s="64">
        <v>22.6</v>
      </c>
      <c r="M24" s="64">
        <v>98.08</v>
      </c>
      <c r="N24" s="64">
        <v>44.7</v>
      </c>
      <c r="O24" s="64">
        <v>0</v>
      </c>
      <c r="P24" s="64">
        <v>0.63</v>
      </c>
      <c r="Q24" s="64">
        <v>9.01</v>
      </c>
      <c r="R24" s="198"/>
      <c r="S24" s="198"/>
      <c r="T24" s="198"/>
      <c r="U24" s="198"/>
    </row>
    <row r="25" spans="1:21" s="12" customFormat="1" x14ac:dyDescent="0.25">
      <c r="A25" s="211" t="s">
        <v>1704</v>
      </c>
      <c r="B25" s="64">
        <v>7.96</v>
      </c>
      <c r="C25" s="64">
        <v>13.9</v>
      </c>
      <c r="D25" s="64">
        <v>13.65</v>
      </c>
      <c r="E25" s="64">
        <v>4.9800000000000004</v>
      </c>
      <c r="F25" s="64">
        <v>2.98</v>
      </c>
      <c r="G25" s="64">
        <v>65.53</v>
      </c>
      <c r="H25" s="64">
        <v>11.79</v>
      </c>
      <c r="I25" s="64">
        <v>2.25</v>
      </c>
      <c r="J25" s="64">
        <v>0.19</v>
      </c>
      <c r="K25" s="64">
        <v>345.65</v>
      </c>
      <c r="L25" s="64">
        <v>22.5</v>
      </c>
      <c r="M25" s="64">
        <v>98.1</v>
      </c>
      <c r="N25" s="64">
        <v>44.9</v>
      </c>
      <c r="O25" s="64">
        <v>0</v>
      </c>
      <c r="P25" s="64">
        <v>0.56999999999999995</v>
      </c>
      <c r="Q25" s="64">
        <v>9.01</v>
      </c>
      <c r="R25" s="198"/>
      <c r="S25" s="198"/>
      <c r="T25" s="198"/>
      <c r="U25" s="198"/>
    </row>
    <row r="26" spans="1:21" s="12" customFormat="1" x14ac:dyDescent="0.25">
      <c r="A26" s="211" t="s">
        <v>1705</v>
      </c>
      <c r="B26" s="64">
        <v>7.67</v>
      </c>
      <c r="C26" s="64">
        <v>13.72</v>
      </c>
      <c r="D26" s="64">
        <v>13.32</v>
      </c>
      <c r="E26" s="64">
        <v>5.0999999999999996</v>
      </c>
      <c r="F26" s="64">
        <v>2.48</v>
      </c>
      <c r="G26" s="64">
        <v>64.83</v>
      </c>
      <c r="H26" s="64">
        <v>11.79</v>
      </c>
      <c r="I26" s="64">
        <v>2.25</v>
      </c>
      <c r="J26" s="64">
        <v>0.11</v>
      </c>
      <c r="K26" s="64">
        <v>139.76</v>
      </c>
      <c r="L26" s="64">
        <v>22.32</v>
      </c>
      <c r="M26" s="64">
        <v>98.11</v>
      </c>
      <c r="N26" s="64">
        <v>44.9</v>
      </c>
      <c r="O26" s="64">
        <v>0</v>
      </c>
      <c r="P26" s="64">
        <v>0.6</v>
      </c>
      <c r="Q26" s="64">
        <v>9.01</v>
      </c>
      <c r="R26" s="198"/>
      <c r="S26" s="198"/>
      <c r="T26" s="198"/>
      <c r="U26" s="198"/>
    </row>
    <row r="27" spans="1:21" s="12" customFormat="1" x14ac:dyDescent="0.25">
      <c r="A27" s="211" t="s">
        <v>1706</v>
      </c>
      <c r="B27" s="64">
        <v>6.28</v>
      </c>
      <c r="C27" s="64">
        <v>13.06</v>
      </c>
      <c r="D27" s="64">
        <v>11.86</v>
      </c>
      <c r="E27" s="64">
        <v>4.9800000000000004</v>
      </c>
      <c r="F27" s="64">
        <v>2.4</v>
      </c>
      <c r="G27" s="64">
        <v>64.83</v>
      </c>
      <c r="H27" s="64">
        <v>11.79</v>
      </c>
      <c r="I27" s="64">
        <v>2.2599999999999998</v>
      </c>
      <c r="J27" s="64">
        <v>0</v>
      </c>
      <c r="K27" s="64">
        <v>141.43</v>
      </c>
      <c r="L27" s="64">
        <v>22.18</v>
      </c>
      <c r="M27" s="64">
        <v>98.13</v>
      </c>
      <c r="N27" s="64">
        <v>44.9</v>
      </c>
      <c r="O27" s="64">
        <v>0</v>
      </c>
      <c r="P27" s="64">
        <v>0.57999999999999996</v>
      </c>
      <c r="Q27" s="64">
        <v>9.02</v>
      </c>
      <c r="R27" s="198"/>
      <c r="S27" s="198"/>
      <c r="T27" s="198"/>
      <c r="U27" s="198"/>
    </row>
    <row r="28" spans="1:21" s="12" customFormat="1" x14ac:dyDescent="0.25">
      <c r="A28" s="211" t="s">
        <v>1707</v>
      </c>
      <c r="B28" s="64">
        <v>16.010000000000002</v>
      </c>
      <c r="C28" s="64">
        <v>19.29</v>
      </c>
      <c r="D28" s="64">
        <v>22.91</v>
      </c>
      <c r="E28" s="64">
        <v>5.07</v>
      </c>
      <c r="F28" s="64">
        <v>2.11</v>
      </c>
      <c r="G28" s="64">
        <v>64.83</v>
      </c>
      <c r="H28" s="64">
        <v>11.79</v>
      </c>
      <c r="I28" s="64">
        <v>2.2599999999999998</v>
      </c>
      <c r="J28" s="64">
        <v>0.13</v>
      </c>
      <c r="K28" s="64">
        <v>331.06</v>
      </c>
      <c r="L28" s="64">
        <v>22.09</v>
      </c>
      <c r="M28" s="64">
        <v>98.15</v>
      </c>
      <c r="N28" s="64">
        <v>44.9</v>
      </c>
      <c r="O28" s="64">
        <v>0</v>
      </c>
      <c r="P28" s="64">
        <v>0.65</v>
      </c>
      <c r="Q28" s="64">
        <v>9.0399999999999991</v>
      </c>
      <c r="R28" s="198"/>
      <c r="S28" s="198"/>
      <c r="T28" s="198"/>
      <c r="U28" s="198"/>
    </row>
    <row r="29" spans="1:21" s="12" customFormat="1" x14ac:dyDescent="0.25">
      <c r="A29" s="211" t="s">
        <v>1708</v>
      </c>
      <c r="B29" s="64">
        <v>12.83</v>
      </c>
      <c r="C29" s="64">
        <v>15.35</v>
      </c>
      <c r="D29" s="64">
        <v>18.309999999999999</v>
      </c>
      <c r="E29" s="64">
        <v>5.12</v>
      </c>
      <c r="F29" s="64">
        <v>2.1</v>
      </c>
      <c r="G29" s="64">
        <v>66.05</v>
      </c>
      <c r="H29" s="64">
        <v>10.07</v>
      </c>
      <c r="I29" s="64">
        <v>2.25</v>
      </c>
      <c r="J29" s="64">
        <v>0.11</v>
      </c>
      <c r="K29" s="64">
        <v>309.91000000000003</v>
      </c>
      <c r="L29" s="64">
        <v>21.95</v>
      </c>
      <c r="M29" s="64">
        <v>98.13</v>
      </c>
      <c r="N29" s="64">
        <v>44.9</v>
      </c>
      <c r="O29" s="64">
        <v>0</v>
      </c>
      <c r="P29" s="64">
        <v>0.67</v>
      </c>
      <c r="Q29" s="64">
        <v>9.06</v>
      </c>
      <c r="R29" s="198"/>
      <c r="S29" s="198"/>
      <c r="T29" s="198"/>
      <c r="U29" s="198"/>
    </row>
    <row r="30" spans="1:21" s="12" customFormat="1" x14ac:dyDescent="0.25">
      <c r="A30" s="211" t="s">
        <v>1709</v>
      </c>
      <c r="B30" s="64">
        <v>13.94</v>
      </c>
      <c r="C30" s="64">
        <v>16.02</v>
      </c>
      <c r="D30" s="64">
        <v>19.55</v>
      </c>
      <c r="E30" s="64">
        <v>4.7699999999999996</v>
      </c>
      <c r="F30" s="64">
        <v>2.1</v>
      </c>
      <c r="G30" s="64">
        <v>66.14</v>
      </c>
      <c r="H30" s="64">
        <v>10.07</v>
      </c>
      <c r="I30" s="64">
        <v>2.2400000000000002</v>
      </c>
      <c r="J30" s="64">
        <v>0.14000000000000001</v>
      </c>
      <c r="K30" s="64">
        <v>323.8</v>
      </c>
      <c r="L30" s="64">
        <v>21.81</v>
      </c>
      <c r="M30" s="64">
        <v>98.17</v>
      </c>
      <c r="N30" s="64">
        <v>44.9</v>
      </c>
      <c r="O30" s="64">
        <v>0</v>
      </c>
      <c r="P30" s="64">
        <v>0.69</v>
      </c>
      <c r="Q30" s="64">
        <v>9.09</v>
      </c>
      <c r="R30" s="198"/>
      <c r="S30" s="198"/>
      <c r="T30" s="198"/>
      <c r="U30" s="198"/>
    </row>
    <row r="31" spans="1:21" s="12" customFormat="1" x14ac:dyDescent="0.25">
      <c r="A31" s="211" t="s">
        <v>1710</v>
      </c>
      <c r="B31" s="64">
        <v>14.61</v>
      </c>
      <c r="C31" s="64">
        <v>19.02</v>
      </c>
      <c r="D31" s="64">
        <v>21.65</v>
      </c>
      <c r="E31" s="64">
        <v>4.8499999999999996</v>
      </c>
      <c r="F31" s="64">
        <v>2.1</v>
      </c>
      <c r="G31" s="64">
        <v>66.14</v>
      </c>
      <c r="H31" s="64">
        <v>10.07</v>
      </c>
      <c r="I31" s="64">
        <v>2.25</v>
      </c>
      <c r="J31" s="64">
        <v>7.0000000000000007E-2</v>
      </c>
      <c r="K31" s="64">
        <v>6.17</v>
      </c>
      <c r="L31" s="64">
        <v>21.64</v>
      </c>
      <c r="M31" s="64">
        <v>98.18</v>
      </c>
      <c r="N31" s="64">
        <v>45.2</v>
      </c>
      <c r="O31" s="64">
        <v>0</v>
      </c>
      <c r="P31" s="64">
        <v>0.72</v>
      </c>
      <c r="Q31" s="64">
        <v>9.1</v>
      </c>
      <c r="R31" s="198"/>
      <c r="S31" s="198"/>
      <c r="T31" s="198"/>
      <c r="U31" s="198"/>
    </row>
    <row r="32" spans="1:21" s="12" customFormat="1" x14ac:dyDescent="0.25">
      <c r="A32" s="211" t="s">
        <v>1711</v>
      </c>
      <c r="B32" s="64">
        <v>13.82</v>
      </c>
      <c r="C32" s="64">
        <v>19.170000000000002</v>
      </c>
      <c r="D32" s="64">
        <v>21.1</v>
      </c>
      <c r="E32" s="64">
        <v>4.83</v>
      </c>
      <c r="F32" s="64">
        <v>2.15</v>
      </c>
      <c r="G32" s="64">
        <v>66.14</v>
      </c>
      <c r="H32" s="64">
        <v>10.07</v>
      </c>
      <c r="I32" s="64">
        <v>2.27</v>
      </c>
      <c r="J32" s="64">
        <v>0.04</v>
      </c>
      <c r="K32" s="64">
        <v>317.52999999999997</v>
      </c>
      <c r="L32" s="64">
        <v>21.7</v>
      </c>
      <c r="M32" s="64">
        <v>98.18</v>
      </c>
      <c r="N32" s="64">
        <v>48.1</v>
      </c>
      <c r="O32" s="64">
        <v>0</v>
      </c>
      <c r="P32" s="64">
        <v>0.73</v>
      </c>
      <c r="Q32" s="64">
        <v>9.1199999999999992</v>
      </c>
      <c r="R32" s="198"/>
      <c r="S32" s="198"/>
      <c r="T32" s="198"/>
      <c r="U32" s="198"/>
    </row>
    <row r="33" spans="1:21" s="12" customFormat="1" x14ac:dyDescent="0.25">
      <c r="A33" s="211" t="s">
        <v>1712</v>
      </c>
      <c r="B33" s="64">
        <v>13.26</v>
      </c>
      <c r="C33" s="64">
        <v>22.76</v>
      </c>
      <c r="D33" s="64">
        <v>22.53</v>
      </c>
      <c r="E33" s="64">
        <v>4.5</v>
      </c>
      <c r="F33" s="64">
        <v>2.1</v>
      </c>
      <c r="G33" s="64">
        <v>74.680000000000007</v>
      </c>
      <c r="H33" s="64">
        <v>8.86</v>
      </c>
      <c r="I33" s="64">
        <v>2.29</v>
      </c>
      <c r="J33" s="64">
        <v>0.1</v>
      </c>
      <c r="K33" s="64">
        <v>323.81</v>
      </c>
      <c r="L33" s="64">
        <v>21.91</v>
      </c>
      <c r="M33" s="64">
        <v>98.17</v>
      </c>
      <c r="N33" s="64">
        <v>57.6</v>
      </c>
      <c r="O33" s="64">
        <v>0</v>
      </c>
      <c r="P33" s="64">
        <v>0.72</v>
      </c>
      <c r="Q33" s="64">
        <v>9.1300000000000008</v>
      </c>
      <c r="R33" s="198"/>
      <c r="S33" s="198"/>
      <c r="T33" s="198"/>
      <c r="U33" s="198"/>
    </row>
    <row r="34" spans="1:21" s="12" customFormat="1" x14ac:dyDescent="0.25">
      <c r="A34" s="211" t="s">
        <v>1713</v>
      </c>
      <c r="B34" s="64">
        <v>14.18</v>
      </c>
      <c r="C34" s="64">
        <v>17.71</v>
      </c>
      <c r="D34" s="64">
        <v>20.63</v>
      </c>
      <c r="E34" s="64">
        <v>5.05</v>
      </c>
      <c r="F34" s="64">
        <v>2.17</v>
      </c>
      <c r="G34" s="64">
        <v>75.290000000000006</v>
      </c>
      <c r="H34" s="64">
        <v>8.86</v>
      </c>
      <c r="I34" s="64">
        <v>2.31</v>
      </c>
      <c r="J34" s="64">
        <v>0.06</v>
      </c>
      <c r="K34" s="64">
        <v>7.49</v>
      </c>
      <c r="L34" s="64">
        <v>22.27</v>
      </c>
      <c r="M34" s="64">
        <v>98.16</v>
      </c>
      <c r="N34" s="64">
        <v>75.900000000000006</v>
      </c>
      <c r="O34" s="64">
        <v>0</v>
      </c>
      <c r="P34" s="64">
        <v>0.74</v>
      </c>
      <c r="Q34" s="64">
        <v>9.14</v>
      </c>
      <c r="R34" s="198"/>
      <c r="S34" s="198"/>
      <c r="T34" s="198"/>
      <c r="U34" s="198"/>
    </row>
    <row r="35" spans="1:21" s="12" customFormat="1" x14ac:dyDescent="0.25">
      <c r="A35" s="211" t="s">
        <v>1714</v>
      </c>
      <c r="B35" s="64">
        <v>25.49</v>
      </c>
      <c r="C35" s="64">
        <v>18.440000000000001</v>
      </c>
      <c r="D35" s="64">
        <v>30.08</v>
      </c>
      <c r="E35" s="64">
        <v>5.2</v>
      </c>
      <c r="F35" s="64">
        <v>2.1</v>
      </c>
      <c r="G35" s="64">
        <v>75.290000000000006</v>
      </c>
      <c r="H35" s="64">
        <v>8.86</v>
      </c>
      <c r="I35" s="64">
        <v>2.33</v>
      </c>
      <c r="J35" s="64">
        <v>0.1</v>
      </c>
      <c r="K35" s="64">
        <v>347.45</v>
      </c>
      <c r="L35" s="64">
        <v>23.02</v>
      </c>
      <c r="M35" s="64">
        <v>98.14</v>
      </c>
      <c r="N35" s="64">
        <v>113</v>
      </c>
      <c r="O35" s="64">
        <v>0</v>
      </c>
      <c r="P35" s="64">
        <v>0.86</v>
      </c>
      <c r="Q35" s="64">
        <v>9.14</v>
      </c>
      <c r="R35" s="198"/>
      <c r="S35" s="198"/>
      <c r="T35" s="198"/>
      <c r="U35" s="198"/>
    </row>
    <row r="36" spans="1:21" s="12" customFormat="1" x14ac:dyDescent="0.25">
      <c r="A36" s="211" t="s">
        <v>1715</v>
      </c>
      <c r="B36" s="64">
        <v>11.89</v>
      </c>
      <c r="C36" s="64">
        <v>10.97</v>
      </c>
      <c r="D36" s="64">
        <v>15.26</v>
      </c>
      <c r="E36" s="64">
        <v>4.9800000000000004</v>
      </c>
      <c r="F36" s="64">
        <v>2.41</v>
      </c>
      <c r="G36" s="64">
        <v>75.290000000000006</v>
      </c>
      <c r="H36" s="64">
        <v>8.86</v>
      </c>
      <c r="I36" s="64">
        <v>2.37</v>
      </c>
      <c r="J36" s="64">
        <v>0.32</v>
      </c>
      <c r="K36" s="64">
        <v>129.12</v>
      </c>
      <c r="L36" s="64">
        <v>23.99</v>
      </c>
      <c r="M36" s="64">
        <v>98.03</v>
      </c>
      <c r="N36" s="64">
        <v>155.1</v>
      </c>
      <c r="O36" s="64">
        <v>0</v>
      </c>
      <c r="P36" s="64">
        <v>0.64</v>
      </c>
      <c r="Q36" s="64">
        <v>9.14</v>
      </c>
      <c r="R36" s="198"/>
      <c r="S36" s="198"/>
      <c r="T36" s="198"/>
      <c r="U36" s="198"/>
    </row>
    <row r="37" spans="1:21" s="12" customFormat="1" x14ac:dyDescent="0.25">
      <c r="A37" s="211" t="s">
        <v>1716</v>
      </c>
      <c r="B37" s="64">
        <v>11.31</v>
      </c>
      <c r="C37" s="64">
        <v>14.75</v>
      </c>
      <c r="D37" s="64">
        <v>16.78</v>
      </c>
      <c r="E37" s="64">
        <v>4.7699999999999996</v>
      </c>
      <c r="F37" s="64">
        <v>2.7</v>
      </c>
      <c r="G37" s="64">
        <v>76.06</v>
      </c>
      <c r="H37" s="64">
        <v>11.59</v>
      </c>
      <c r="I37" s="64">
        <v>2.38</v>
      </c>
      <c r="J37" s="64">
        <v>0.43</v>
      </c>
      <c r="K37" s="64">
        <v>129.22999999999999</v>
      </c>
      <c r="L37" s="64">
        <v>24.83</v>
      </c>
      <c r="M37" s="64">
        <v>97.98</v>
      </c>
      <c r="N37" s="64">
        <v>202</v>
      </c>
      <c r="O37" s="64">
        <v>0</v>
      </c>
      <c r="P37" s="64">
        <v>0.63</v>
      </c>
      <c r="Q37" s="64">
        <v>9.15</v>
      </c>
      <c r="R37" s="198"/>
      <c r="S37" s="198"/>
      <c r="T37" s="198"/>
      <c r="U37" s="198"/>
    </row>
    <row r="38" spans="1:21" s="12" customFormat="1" x14ac:dyDescent="0.25">
      <c r="A38" s="211" t="s">
        <v>1717</v>
      </c>
      <c r="B38" s="64">
        <v>10.28</v>
      </c>
      <c r="C38" s="64">
        <v>14.68</v>
      </c>
      <c r="D38" s="64">
        <v>15.92</v>
      </c>
      <c r="E38" s="64">
        <v>4.91</v>
      </c>
      <c r="F38" s="64">
        <v>4.88</v>
      </c>
      <c r="G38" s="64">
        <v>76.12</v>
      </c>
      <c r="H38" s="64">
        <v>11.59</v>
      </c>
      <c r="I38" s="64">
        <v>2.39</v>
      </c>
      <c r="J38" s="64">
        <v>0.38</v>
      </c>
      <c r="K38" s="64">
        <v>127.75</v>
      </c>
      <c r="L38" s="64">
        <v>25.49</v>
      </c>
      <c r="M38" s="64">
        <v>96.1</v>
      </c>
      <c r="N38" s="64">
        <v>253</v>
      </c>
      <c r="O38" s="64">
        <v>0</v>
      </c>
      <c r="P38" s="64">
        <v>0.62</v>
      </c>
      <c r="Q38" s="64">
        <v>9.14</v>
      </c>
      <c r="R38" s="198"/>
      <c r="S38" s="198"/>
      <c r="T38" s="198"/>
      <c r="U38" s="198"/>
    </row>
    <row r="39" spans="1:21" s="12" customFormat="1" x14ac:dyDescent="0.25">
      <c r="A39" s="211" t="s">
        <v>1718</v>
      </c>
      <c r="B39" s="64">
        <v>9.01</v>
      </c>
      <c r="C39" s="64">
        <v>17.739999999999998</v>
      </c>
      <c r="D39" s="64">
        <v>16.489999999999998</v>
      </c>
      <c r="E39" s="64">
        <v>5.26</v>
      </c>
      <c r="F39" s="64">
        <v>3.19</v>
      </c>
      <c r="G39" s="64">
        <v>76.12</v>
      </c>
      <c r="H39" s="64">
        <v>11.59</v>
      </c>
      <c r="I39" s="64">
        <v>2.39</v>
      </c>
      <c r="J39" s="64">
        <v>0.36</v>
      </c>
      <c r="K39" s="64">
        <v>128.68</v>
      </c>
      <c r="L39" s="64">
        <v>26.69</v>
      </c>
      <c r="M39" s="64">
        <v>88.08</v>
      </c>
      <c r="N39" s="64">
        <v>301.39999999999998</v>
      </c>
      <c r="O39" s="64">
        <v>0</v>
      </c>
      <c r="P39" s="64">
        <v>0.68</v>
      </c>
      <c r="Q39" s="64">
        <v>9.1300000000000008</v>
      </c>
      <c r="R39" s="198"/>
      <c r="S39" s="198"/>
      <c r="T39" s="198"/>
      <c r="U39" s="198"/>
    </row>
    <row r="40" spans="1:21" s="12" customFormat="1" x14ac:dyDescent="0.25">
      <c r="A40" s="211" t="s">
        <v>1719</v>
      </c>
      <c r="B40" s="64">
        <v>9.77</v>
      </c>
      <c r="C40" s="64">
        <v>14.2</v>
      </c>
      <c r="D40" s="64">
        <v>15.25</v>
      </c>
      <c r="E40" s="64">
        <v>5.64</v>
      </c>
      <c r="F40" s="64">
        <v>9.16</v>
      </c>
      <c r="G40" s="64">
        <v>76.12</v>
      </c>
      <c r="H40" s="64">
        <v>11.59</v>
      </c>
      <c r="I40" s="64">
        <v>2.39</v>
      </c>
      <c r="J40" s="64">
        <v>0.28000000000000003</v>
      </c>
      <c r="K40" s="64">
        <v>106.13</v>
      </c>
      <c r="L40" s="64">
        <v>26.92</v>
      </c>
      <c r="M40" s="64">
        <v>83.27</v>
      </c>
      <c r="N40" s="64">
        <v>351.4</v>
      </c>
      <c r="O40" s="64">
        <v>0</v>
      </c>
      <c r="P40" s="64">
        <v>0.6</v>
      </c>
      <c r="Q40" s="64">
        <v>9.1300000000000008</v>
      </c>
      <c r="R40" s="198"/>
      <c r="S40" s="198"/>
      <c r="T40" s="198"/>
      <c r="U40" s="198"/>
    </row>
    <row r="41" spans="1:21" s="12" customFormat="1" x14ac:dyDescent="0.25">
      <c r="A41" s="211" t="s">
        <v>1720</v>
      </c>
      <c r="B41" s="64">
        <v>12.44</v>
      </c>
      <c r="C41" s="64">
        <v>16.98</v>
      </c>
      <c r="D41" s="64">
        <v>18.850000000000001</v>
      </c>
      <c r="E41" s="64">
        <v>6.22</v>
      </c>
      <c r="F41" s="64">
        <v>5.61</v>
      </c>
      <c r="G41" s="64">
        <v>78.819999999999993</v>
      </c>
      <c r="H41" s="64">
        <v>9.93</v>
      </c>
      <c r="I41" s="64">
        <v>2.38</v>
      </c>
      <c r="J41" s="64">
        <v>0.34</v>
      </c>
      <c r="K41" s="64">
        <v>118.33</v>
      </c>
      <c r="L41" s="64">
        <v>27.81</v>
      </c>
      <c r="M41" s="64">
        <v>76.680000000000007</v>
      </c>
      <c r="N41" s="64">
        <v>402.6</v>
      </c>
      <c r="O41" s="64">
        <v>0</v>
      </c>
      <c r="P41" s="64">
        <v>0.64</v>
      </c>
      <c r="Q41" s="64">
        <v>9.1300000000000008</v>
      </c>
      <c r="R41" s="198"/>
      <c r="S41" s="198"/>
      <c r="T41" s="198"/>
      <c r="U41" s="198"/>
    </row>
    <row r="42" spans="1:21" s="12" customFormat="1" x14ac:dyDescent="0.25">
      <c r="A42" s="211" t="s">
        <v>1721</v>
      </c>
      <c r="B42" s="64">
        <v>16.149999999999999</v>
      </c>
      <c r="C42" s="64">
        <v>18.64</v>
      </c>
      <c r="D42" s="64">
        <v>22.57</v>
      </c>
      <c r="E42" s="64">
        <v>5.95</v>
      </c>
      <c r="F42" s="64">
        <v>6.73</v>
      </c>
      <c r="G42" s="64">
        <v>79.010000000000005</v>
      </c>
      <c r="H42" s="64">
        <v>9.93</v>
      </c>
      <c r="I42" s="64">
        <v>2.37</v>
      </c>
      <c r="J42" s="64">
        <v>0.23</v>
      </c>
      <c r="K42" s="64">
        <v>3.54</v>
      </c>
      <c r="L42" s="64">
        <v>29.07</v>
      </c>
      <c r="M42" s="64">
        <v>73.739999999999995</v>
      </c>
      <c r="N42" s="64">
        <v>443.7</v>
      </c>
      <c r="O42" s="64">
        <v>0</v>
      </c>
      <c r="P42" s="64">
        <v>0.71</v>
      </c>
      <c r="Q42" s="64">
        <v>9.1300000000000008</v>
      </c>
      <c r="R42" s="198"/>
      <c r="S42" s="198"/>
      <c r="T42" s="198"/>
      <c r="U42" s="198"/>
    </row>
    <row r="43" spans="1:21" s="12" customFormat="1" x14ac:dyDescent="0.25">
      <c r="A43" s="211" t="s">
        <v>1722</v>
      </c>
      <c r="B43" s="64">
        <v>10.050000000000001</v>
      </c>
      <c r="C43" s="64">
        <v>17.399999999999999</v>
      </c>
      <c r="D43" s="64">
        <v>17.149999999999999</v>
      </c>
      <c r="E43" s="64">
        <v>6.03</v>
      </c>
      <c r="F43" s="64">
        <v>9.5</v>
      </c>
      <c r="G43" s="64">
        <v>79.010000000000005</v>
      </c>
      <c r="H43" s="64">
        <v>9.93</v>
      </c>
      <c r="I43" s="64">
        <v>2.36</v>
      </c>
      <c r="J43" s="64">
        <v>0.14000000000000001</v>
      </c>
      <c r="K43" s="64">
        <v>118.93</v>
      </c>
      <c r="L43" s="64">
        <v>28.64</v>
      </c>
      <c r="M43" s="64">
        <v>76.5</v>
      </c>
      <c r="N43" s="64">
        <v>481.9</v>
      </c>
      <c r="O43" s="64">
        <v>0</v>
      </c>
      <c r="P43" s="64">
        <v>0.7</v>
      </c>
      <c r="Q43" s="64">
        <v>9.1300000000000008</v>
      </c>
      <c r="R43" s="198"/>
      <c r="S43" s="198"/>
      <c r="T43" s="198"/>
      <c r="U43" s="198"/>
    </row>
    <row r="44" spans="1:21" s="12" customFormat="1" x14ac:dyDescent="0.25">
      <c r="A44" s="211" t="s">
        <v>1723</v>
      </c>
      <c r="B44" s="64">
        <v>9.7200000000000006</v>
      </c>
      <c r="C44" s="64">
        <v>18.399999999999999</v>
      </c>
      <c r="D44" s="64">
        <v>17.399999999999999</v>
      </c>
      <c r="E44" s="64">
        <v>6.49</v>
      </c>
      <c r="F44" s="64">
        <v>9.9499999999999993</v>
      </c>
      <c r="G44" s="64">
        <v>79.010000000000005</v>
      </c>
      <c r="H44" s="64">
        <v>9.93</v>
      </c>
      <c r="I44" s="64">
        <v>2.36</v>
      </c>
      <c r="J44" s="64">
        <v>0.13</v>
      </c>
      <c r="K44" s="64">
        <v>71.69</v>
      </c>
      <c r="L44" s="64">
        <v>29.72</v>
      </c>
      <c r="M44" s="64">
        <v>69.5</v>
      </c>
      <c r="N44" s="64">
        <v>529.79999999999995</v>
      </c>
      <c r="O44" s="64">
        <v>0</v>
      </c>
      <c r="P44" s="64">
        <v>0.68</v>
      </c>
      <c r="Q44" s="64">
        <v>9.1300000000000008</v>
      </c>
      <c r="R44" s="198"/>
      <c r="S44" s="198"/>
      <c r="T44" s="198"/>
      <c r="U44" s="198"/>
    </row>
    <row r="45" spans="1:21" s="12" customFormat="1" x14ac:dyDescent="0.25">
      <c r="A45" s="211" t="s">
        <v>1724</v>
      </c>
      <c r="B45" s="64">
        <v>9.07</v>
      </c>
      <c r="C45" s="64">
        <v>14.64</v>
      </c>
      <c r="D45" s="64">
        <v>14.92</v>
      </c>
      <c r="E45" s="64">
        <v>6.71</v>
      </c>
      <c r="F45" s="64">
        <v>10.76</v>
      </c>
      <c r="G45" s="64">
        <v>79.180000000000007</v>
      </c>
      <c r="H45" s="64">
        <v>8.76</v>
      </c>
      <c r="I45" s="64">
        <v>2.38</v>
      </c>
      <c r="J45" s="64">
        <v>0.72</v>
      </c>
      <c r="K45" s="64">
        <v>127.23</v>
      </c>
      <c r="L45" s="64">
        <v>29.13</v>
      </c>
      <c r="M45" s="64">
        <v>69.53</v>
      </c>
      <c r="N45" s="64">
        <v>596.20000000000005</v>
      </c>
      <c r="O45" s="64">
        <v>0</v>
      </c>
      <c r="P45" s="64">
        <v>0.6</v>
      </c>
      <c r="Q45" s="64">
        <v>9.1300000000000008</v>
      </c>
      <c r="R45" s="198"/>
      <c r="S45" s="198"/>
      <c r="T45" s="198"/>
      <c r="U45" s="198"/>
    </row>
    <row r="46" spans="1:21" s="12" customFormat="1" x14ac:dyDescent="0.25">
      <c r="A46" s="211" t="s">
        <v>1725</v>
      </c>
      <c r="B46" s="64">
        <v>10.01</v>
      </c>
      <c r="C46" s="64">
        <v>13.59</v>
      </c>
      <c r="D46" s="64">
        <v>15.13</v>
      </c>
      <c r="E46" s="64">
        <v>7.1</v>
      </c>
      <c r="F46" s="64">
        <v>11.47</v>
      </c>
      <c r="G46" s="64">
        <v>79.19</v>
      </c>
      <c r="H46" s="64">
        <v>8.76</v>
      </c>
      <c r="I46" s="64">
        <v>2.38</v>
      </c>
      <c r="J46" s="64">
        <v>0.83</v>
      </c>
      <c r="K46" s="64">
        <v>127.34</v>
      </c>
      <c r="L46" s="64">
        <v>28.54</v>
      </c>
      <c r="M46" s="64">
        <v>71.5</v>
      </c>
      <c r="N46" s="64">
        <v>622.9</v>
      </c>
      <c r="O46" s="64">
        <v>0</v>
      </c>
      <c r="P46" s="64">
        <v>0.6</v>
      </c>
      <c r="Q46" s="64">
        <v>9.1300000000000008</v>
      </c>
      <c r="R46" s="198"/>
      <c r="S46" s="198"/>
      <c r="T46" s="198"/>
      <c r="U46" s="198"/>
    </row>
    <row r="47" spans="1:21" s="12" customFormat="1" x14ac:dyDescent="0.25">
      <c r="A47" s="211" t="s">
        <v>1726</v>
      </c>
      <c r="B47" s="64">
        <v>8.2799999999999994</v>
      </c>
      <c r="C47" s="64">
        <v>10.18</v>
      </c>
      <c r="D47" s="64">
        <v>11.96</v>
      </c>
      <c r="E47" s="64">
        <v>7.36</v>
      </c>
      <c r="F47" s="64">
        <v>11.21</v>
      </c>
      <c r="G47" s="64">
        <v>79.19</v>
      </c>
      <c r="H47" s="64">
        <v>8.76</v>
      </c>
      <c r="I47" s="64">
        <v>2.36</v>
      </c>
      <c r="J47" s="64">
        <v>1.1299999999999999</v>
      </c>
      <c r="K47" s="64">
        <v>125.71</v>
      </c>
      <c r="L47" s="64">
        <v>28.19</v>
      </c>
      <c r="M47" s="64">
        <v>72.39</v>
      </c>
      <c r="N47" s="64">
        <v>643</v>
      </c>
      <c r="O47" s="64">
        <v>0</v>
      </c>
      <c r="P47" s="64">
        <v>0.55000000000000004</v>
      </c>
      <c r="Q47" s="64">
        <v>9.1300000000000008</v>
      </c>
      <c r="R47" s="198"/>
      <c r="S47" s="198"/>
      <c r="T47" s="198"/>
      <c r="U47" s="198"/>
    </row>
    <row r="48" spans="1:21" s="12" customFormat="1" x14ac:dyDescent="0.25">
      <c r="A48" s="211" t="s">
        <v>1727</v>
      </c>
      <c r="B48" s="64">
        <v>7.91</v>
      </c>
      <c r="C48" s="64">
        <v>17.66</v>
      </c>
      <c r="D48" s="64">
        <v>15.57</v>
      </c>
      <c r="E48" s="64">
        <v>7.69</v>
      </c>
      <c r="F48" s="64">
        <v>15.26</v>
      </c>
      <c r="G48" s="64">
        <v>79.19</v>
      </c>
      <c r="H48" s="64">
        <v>8.76</v>
      </c>
      <c r="I48" s="64">
        <v>2.34</v>
      </c>
      <c r="J48" s="64">
        <v>0.4</v>
      </c>
      <c r="K48" s="64">
        <v>123.18</v>
      </c>
      <c r="L48" s="64">
        <v>29.47</v>
      </c>
      <c r="M48" s="64">
        <v>66.23</v>
      </c>
      <c r="N48" s="64">
        <v>665.9</v>
      </c>
      <c r="O48" s="64">
        <v>0</v>
      </c>
      <c r="P48" s="64">
        <v>0.61</v>
      </c>
      <c r="Q48" s="64">
        <v>9.1</v>
      </c>
      <c r="R48" s="198"/>
      <c r="S48" s="198"/>
      <c r="T48" s="198"/>
      <c r="U48" s="198"/>
    </row>
    <row r="49" spans="1:21" s="12" customFormat="1" x14ac:dyDescent="0.25">
      <c r="A49" s="211" t="s">
        <v>1728</v>
      </c>
      <c r="B49" s="64">
        <v>6.6</v>
      </c>
      <c r="C49" s="64">
        <v>16.16</v>
      </c>
      <c r="D49" s="64">
        <v>13.74</v>
      </c>
      <c r="E49" s="64">
        <v>8.07</v>
      </c>
      <c r="F49" s="64">
        <v>11.09</v>
      </c>
      <c r="G49" s="64">
        <v>59.92</v>
      </c>
      <c r="H49" s="64">
        <v>7.95</v>
      </c>
      <c r="I49" s="64">
        <v>2.2799999999999998</v>
      </c>
      <c r="J49" s="64">
        <v>0.73</v>
      </c>
      <c r="K49" s="64">
        <v>128.77000000000001</v>
      </c>
      <c r="L49" s="64">
        <v>28.88</v>
      </c>
      <c r="M49" s="64">
        <v>67.510000000000005</v>
      </c>
      <c r="N49" s="64">
        <v>624.1</v>
      </c>
      <c r="O49" s="64">
        <v>0</v>
      </c>
      <c r="P49" s="64">
        <v>0.52</v>
      </c>
      <c r="Q49" s="64">
        <v>9.0500000000000007</v>
      </c>
      <c r="R49" s="198"/>
      <c r="S49" s="198"/>
      <c r="T49" s="198"/>
      <c r="U49" s="198"/>
    </row>
    <row r="50" spans="1:21" s="12" customFormat="1" x14ac:dyDescent="0.25">
      <c r="A50" s="211" t="s">
        <v>1729</v>
      </c>
      <c r="B50" s="64">
        <v>5.92</v>
      </c>
      <c r="C50" s="64">
        <v>15.38</v>
      </c>
      <c r="D50" s="64">
        <v>12.78</v>
      </c>
      <c r="E50" s="64">
        <v>8.3699999999999992</v>
      </c>
      <c r="F50" s="64">
        <v>12.33</v>
      </c>
      <c r="G50" s="64">
        <v>58.54</v>
      </c>
      <c r="H50" s="64">
        <v>7.95</v>
      </c>
      <c r="I50" s="64">
        <v>2.1800000000000002</v>
      </c>
      <c r="J50" s="64">
        <v>0.75</v>
      </c>
      <c r="K50" s="64">
        <v>124.37</v>
      </c>
      <c r="L50" s="64">
        <v>29.19</v>
      </c>
      <c r="M50" s="64">
        <v>65.819999999999993</v>
      </c>
      <c r="N50" s="64">
        <v>597.5</v>
      </c>
      <c r="O50" s="64">
        <v>0</v>
      </c>
      <c r="P50" s="64">
        <v>0.51</v>
      </c>
      <c r="Q50" s="64">
        <v>9.0299999999999994</v>
      </c>
      <c r="R50" s="198"/>
      <c r="S50" s="198"/>
      <c r="T50" s="198"/>
      <c r="U50" s="198"/>
    </row>
    <row r="51" spans="1:21" s="12" customFormat="1" x14ac:dyDescent="0.25">
      <c r="A51" s="211" t="s">
        <v>1730</v>
      </c>
      <c r="B51" s="64">
        <v>5.24</v>
      </c>
      <c r="C51" s="64">
        <v>12.45</v>
      </c>
      <c r="D51" s="64">
        <v>10.7</v>
      </c>
      <c r="E51" s="64">
        <v>8.7899999999999991</v>
      </c>
      <c r="F51" s="64">
        <v>17.71</v>
      </c>
      <c r="G51" s="64">
        <v>58.54</v>
      </c>
      <c r="H51" s="64">
        <v>7.95</v>
      </c>
      <c r="I51" s="64">
        <v>2.1</v>
      </c>
      <c r="J51" s="64">
        <v>0.73</v>
      </c>
      <c r="K51" s="64">
        <v>127.19</v>
      </c>
      <c r="L51" s="64">
        <v>28.7</v>
      </c>
      <c r="M51" s="64">
        <v>67.3</v>
      </c>
      <c r="N51" s="64">
        <v>652</v>
      </c>
      <c r="O51" s="64">
        <v>0</v>
      </c>
      <c r="P51" s="64">
        <v>0.45</v>
      </c>
      <c r="Q51" s="64">
        <v>9.02</v>
      </c>
      <c r="R51" s="198"/>
      <c r="S51" s="198"/>
      <c r="T51" s="198"/>
      <c r="U51" s="198"/>
    </row>
    <row r="52" spans="1:21" s="12" customFormat="1" x14ac:dyDescent="0.25">
      <c r="A52" s="211" t="s">
        <v>1731</v>
      </c>
      <c r="B52" s="64">
        <v>6.34</v>
      </c>
      <c r="C52" s="64">
        <v>13.95</v>
      </c>
      <c r="D52" s="64">
        <v>12.38</v>
      </c>
      <c r="E52" s="64">
        <v>8.99</v>
      </c>
      <c r="F52" s="64">
        <v>15.34</v>
      </c>
      <c r="G52" s="64">
        <v>58.54</v>
      </c>
      <c r="H52" s="64">
        <v>7.95</v>
      </c>
      <c r="I52" s="64">
        <v>2.08</v>
      </c>
      <c r="J52" s="64">
        <v>0.34</v>
      </c>
      <c r="K52" s="64">
        <v>118.97</v>
      </c>
      <c r="L52" s="64">
        <v>29.52</v>
      </c>
      <c r="M52" s="64">
        <v>63.65</v>
      </c>
      <c r="N52" s="64">
        <v>662.1</v>
      </c>
      <c r="O52" s="64">
        <v>0</v>
      </c>
      <c r="P52" s="64">
        <v>0.48</v>
      </c>
      <c r="Q52" s="64">
        <v>9</v>
      </c>
      <c r="R52" s="198"/>
      <c r="S52" s="198"/>
      <c r="T52" s="198"/>
      <c r="U52" s="198"/>
    </row>
    <row r="53" spans="1:21" s="12" customFormat="1" x14ac:dyDescent="0.25">
      <c r="A53" s="211" t="s">
        <v>1732</v>
      </c>
      <c r="B53" s="64">
        <v>5.2</v>
      </c>
      <c r="C53" s="64">
        <v>14.01</v>
      </c>
      <c r="D53" s="64">
        <v>11.49</v>
      </c>
      <c r="E53" s="64">
        <v>8.5</v>
      </c>
      <c r="F53" s="64">
        <v>9.81</v>
      </c>
      <c r="G53" s="64">
        <v>67.37</v>
      </c>
      <c r="H53" s="64">
        <v>10.82</v>
      </c>
      <c r="I53" s="64">
        <v>2.14</v>
      </c>
      <c r="J53" s="64">
        <v>0.63</v>
      </c>
      <c r="K53" s="64">
        <v>133.03</v>
      </c>
      <c r="L53" s="64">
        <v>29.48</v>
      </c>
      <c r="M53" s="64">
        <v>61.82</v>
      </c>
      <c r="N53" s="64">
        <v>594.6</v>
      </c>
      <c r="O53" s="64">
        <v>0</v>
      </c>
      <c r="P53" s="64">
        <v>0.51</v>
      </c>
      <c r="Q53" s="64">
        <v>9</v>
      </c>
      <c r="R53" s="198"/>
      <c r="S53" s="198"/>
      <c r="T53" s="198"/>
      <c r="U53" s="198"/>
    </row>
    <row r="54" spans="1:21" s="12" customFormat="1" x14ac:dyDescent="0.25">
      <c r="A54" s="211" t="s">
        <v>1733</v>
      </c>
      <c r="B54" s="64">
        <v>5.79</v>
      </c>
      <c r="C54" s="64">
        <v>14.94</v>
      </c>
      <c r="D54" s="64">
        <v>12.45</v>
      </c>
      <c r="E54" s="64">
        <v>9.24</v>
      </c>
      <c r="F54" s="64">
        <v>8.23</v>
      </c>
      <c r="G54" s="64">
        <v>68</v>
      </c>
      <c r="H54" s="64">
        <v>10.82</v>
      </c>
      <c r="I54" s="64">
        <v>2.12</v>
      </c>
      <c r="J54" s="64">
        <v>0.49</v>
      </c>
      <c r="K54" s="64">
        <v>128.47</v>
      </c>
      <c r="L54" s="64">
        <v>29.08</v>
      </c>
      <c r="M54" s="64">
        <v>64.14</v>
      </c>
      <c r="N54" s="64">
        <v>456.2</v>
      </c>
      <c r="O54" s="64">
        <v>0</v>
      </c>
      <c r="P54" s="64">
        <v>0.48</v>
      </c>
      <c r="Q54" s="64">
        <v>8.99</v>
      </c>
      <c r="R54" s="198"/>
      <c r="S54" s="198"/>
      <c r="T54" s="198"/>
      <c r="U54" s="198"/>
    </row>
    <row r="55" spans="1:21" s="12" customFormat="1" x14ac:dyDescent="0.25">
      <c r="A55" s="211" t="s">
        <v>1734</v>
      </c>
      <c r="B55" s="64">
        <v>5.48</v>
      </c>
      <c r="C55" s="64">
        <v>11.86</v>
      </c>
      <c r="D55" s="64">
        <v>10.59</v>
      </c>
      <c r="E55" s="64">
        <v>9.66</v>
      </c>
      <c r="F55" s="64">
        <v>17.690000000000001</v>
      </c>
      <c r="G55" s="64">
        <v>68</v>
      </c>
      <c r="H55" s="64">
        <v>10.82</v>
      </c>
      <c r="I55" s="64">
        <v>2.06</v>
      </c>
      <c r="J55" s="64">
        <v>0.56999999999999995</v>
      </c>
      <c r="K55" s="64">
        <v>126.13</v>
      </c>
      <c r="L55" s="64">
        <v>29.54</v>
      </c>
      <c r="M55" s="64">
        <v>62.15</v>
      </c>
      <c r="N55" s="64">
        <v>608</v>
      </c>
      <c r="O55" s="64">
        <v>0</v>
      </c>
      <c r="P55" s="64">
        <v>0.46</v>
      </c>
      <c r="Q55" s="64">
        <v>8.99</v>
      </c>
      <c r="R55" s="198"/>
      <c r="S55" s="198"/>
      <c r="T55" s="198"/>
      <c r="U55" s="198"/>
    </row>
    <row r="56" spans="1:21" s="12" customFormat="1" x14ac:dyDescent="0.25">
      <c r="A56" s="211" t="s">
        <v>1735</v>
      </c>
      <c r="B56" s="64">
        <v>4.6900000000000004</v>
      </c>
      <c r="C56" s="64">
        <v>11.56</v>
      </c>
      <c r="D56" s="64">
        <v>9.8000000000000007</v>
      </c>
      <c r="E56" s="64">
        <v>10.26</v>
      </c>
      <c r="F56" s="64">
        <v>17.670000000000002</v>
      </c>
      <c r="G56" s="64">
        <v>68</v>
      </c>
      <c r="H56" s="64">
        <v>10.82</v>
      </c>
      <c r="I56" s="64">
        <v>2.02</v>
      </c>
      <c r="J56" s="64">
        <v>1.0900000000000001</v>
      </c>
      <c r="K56" s="64">
        <v>132.97999999999999</v>
      </c>
      <c r="L56" s="64">
        <v>29.07</v>
      </c>
      <c r="M56" s="64">
        <v>63.58</v>
      </c>
      <c r="N56" s="64">
        <v>437.9</v>
      </c>
      <c r="O56" s="64">
        <v>0</v>
      </c>
      <c r="P56" s="64">
        <v>0.38</v>
      </c>
      <c r="Q56" s="64">
        <v>8.98</v>
      </c>
      <c r="R56" s="198"/>
      <c r="S56" s="198"/>
      <c r="T56" s="198"/>
      <c r="U56" s="198"/>
    </row>
    <row r="57" spans="1:21" s="12" customFormat="1" x14ac:dyDescent="0.25">
      <c r="A57" s="211" t="s">
        <v>1736</v>
      </c>
      <c r="B57" s="64">
        <v>5.7</v>
      </c>
      <c r="C57" s="64">
        <v>13.61</v>
      </c>
      <c r="D57" s="64">
        <v>11.68</v>
      </c>
      <c r="E57" s="64">
        <v>10.36</v>
      </c>
      <c r="F57" s="64">
        <v>17.07</v>
      </c>
      <c r="G57" s="64">
        <v>48.75</v>
      </c>
      <c r="H57" s="64">
        <v>10.45</v>
      </c>
      <c r="I57" s="64">
        <v>1.93</v>
      </c>
      <c r="J57" s="64">
        <v>0.17</v>
      </c>
      <c r="K57" s="64">
        <v>111.05</v>
      </c>
      <c r="L57" s="64">
        <v>29.51</v>
      </c>
      <c r="M57" s="64">
        <v>62.56</v>
      </c>
      <c r="N57" s="64">
        <v>730.2</v>
      </c>
      <c r="O57" s="64">
        <v>0</v>
      </c>
      <c r="P57" s="64">
        <v>0.42</v>
      </c>
      <c r="Q57" s="64">
        <v>8.9700000000000006</v>
      </c>
      <c r="R57" s="198"/>
      <c r="S57" s="198"/>
      <c r="T57" s="198"/>
      <c r="U57" s="198"/>
    </row>
    <row r="58" spans="1:21" s="12" customFormat="1" x14ac:dyDescent="0.25">
      <c r="A58" s="211" t="s">
        <v>1737</v>
      </c>
      <c r="B58" s="64">
        <v>5.26</v>
      </c>
      <c r="C58" s="64">
        <v>13.95</v>
      </c>
      <c r="D58" s="64">
        <v>11.51</v>
      </c>
      <c r="E58" s="64">
        <v>10.89</v>
      </c>
      <c r="F58" s="64">
        <v>21.21</v>
      </c>
      <c r="G58" s="64">
        <v>47.37</v>
      </c>
      <c r="H58" s="64">
        <v>10.45</v>
      </c>
      <c r="I58" s="64">
        <v>1.76</v>
      </c>
      <c r="J58" s="64">
        <v>0.87</v>
      </c>
      <c r="K58" s="64">
        <v>132</v>
      </c>
      <c r="L58" s="64">
        <v>29.78</v>
      </c>
      <c r="M58" s="64">
        <v>60.34</v>
      </c>
      <c r="N58" s="64">
        <v>589.4</v>
      </c>
      <c r="O58" s="64">
        <v>0</v>
      </c>
      <c r="P58" s="64">
        <v>0.38</v>
      </c>
      <c r="Q58" s="64">
        <v>8.9600000000000009</v>
      </c>
      <c r="R58" s="198"/>
      <c r="S58" s="198"/>
      <c r="T58" s="198"/>
      <c r="U58" s="198"/>
    </row>
    <row r="59" spans="1:21" s="12" customFormat="1" x14ac:dyDescent="0.25">
      <c r="A59" s="211" t="s">
        <v>1738</v>
      </c>
      <c r="B59" s="64">
        <v>5.29</v>
      </c>
      <c r="C59" s="64">
        <v>13.24</v>
      </c>
      <c r="D59" s="64">
        <v>11.16</v>
      </c>
      <c r="E59" s="64">
        <v>10.73</v>
      </c>
      <c r="F59" s="64">
        <v>16.38</v>
      </c>
      <c r="G59" s="64">
        <v>47.37</v>
      </c>
      <c r="H59" s="64">
        <v>10.45</v>
      </c>
      <c r="I59" s="64">
        <v>1.65</v>
      </c>
      <c r="J59" s="64">
        <v>0.53</v>
      </c>
      <c r="K59" s="64">
        <v>145.27000000000001</v>
      </c>
      <c r="L59" s="64">
        <v>29.81</v>
      </c>
      <c r="M59" s="64">
        <v>57.76</v>
      </c>
      <c r="N59" s="64">
        <v>617.20000000000005</v>
      </c>
      <c r="O59" s="64">
        <v>0</v>
      </c>
      <c r="P59" s="64">
        <v>0.36</v>
      </c>
      <c r="Q59" s="64">
        <v>8.9700000000000006</v>
      </c>
      <c r="R59" s="198"/>
      <c r="S59" s="198"/>
      <c r="T59" s="198"/>
      <c r="U59" s="198"/>
    </row>
    <row r="60" spans="1:21" s="12" customFormat="1" x14ac:dyDescent="0.25">
      <c r="A60" s="211" t="s">
        <v>1739</v>
      </c>
      <c r="B60" s="64">
        <v>5.18</v>
      </c>
      <c r="C60" s="64">
        <v>14.79</v>
      </c>
      <c r="D60" s="64">
        <v>11.88</v>
      </c>
      <c r="E60" s="64">
        <v>10.86</v>
      </c>
      <c r="F60" s="64">
        <v>9.74</v>
      </c>
      <c r="G60" s="64">
        <v>47.37</v>
      </c>
      <c r="H60" s="64">
        <v>10.45</v>
      </c>
      <c r="I60" s="64">
        <v>1.57</v>
      </c>
      <c r="J60" s="64">
        <v>0.44</v>
      </c>
      <c r="K60" s="64">
        <v>153.52000000000001</v>
      </c>
      <c r="L60" s="64">
        <v>29.85</v>
      </c>
      <c r="M60" s="64">
        <v>57.31</v>
      </c>
      <c r="N60" s="64">
        <v>384.8</v>
      </c>
      <c r="O60" s="64">
        <v>0</v>
      </c>
      <c r="P60" s="64">
        <v>0.37</v>
      </c>
      <c r="Q60" s="64">
        <v>8.9600000000000009</v>
      </c>
      <c r="R60" s="198"/>
      <c r="S60" s="198"/>
      <c r="T60" s="198"/>
      <c r="U60" s="198"/>
    </row>
    <row r="61" spans="1:21" s="12" customFormat="1" x14ac:dyDescent="0.25">
      <c r="A61" s="211" t="s">
        <v>1740</v>
      </c>
      <c r="B61" s="64">
        <v>8.5299999999999994</v>
      </c>
      <c r="C61" s="64">
        <v>19.149999999999999</v>
      </c>
      <c r="D61" s="64">
        <v>16.84</v>
      </c>
      <c r="E61" s="64">
        <v>10.99</v>
      </c>
      <c r="F61" s="64">
        <v>16.93</v>
      </c>
      <c r="G61" s="64">
        <v>68.739999999999995</v>
      </c>
      <c r="H61" s="64">
        <v>9.57</v>
      </c>
      <c r="I61" s="64">
        <v>1.48</v>
      </c>
      <c r="J61" s="64">
        <v>0.38</v>
      </c>
      <c r="K61" s="64">
        <v>101.65</v>
      </c>
      <c r="L61" s="64">
        <v>29.97</v>
      </c>
      <c r="M61" s="64">
        <v>56.69</v>
      </c>
      <c r="N61" s="64">
        <v>329.7</v>
      </c>
      <c r="O61" s="64">
        <v>0</v>
      </c>
      <c r="P61" s="64">
        <v>0.4</v>
      </c>
      <c r="Q61" s="64">
        <v>8.9600000000000009</v>
      </c>
      <c r="R61" s="198"/>
      <c r="S61" s="198"/>
      <c r="T61" s="198"/>
      <c r="U61" s="198"/>
    </row>
    <row r="62" spans="1:21" s="12" customFormat="1" x14ac:dyDescent="0.25">
      <c r="A62" s="211" t="s">
        <v>1741</v>
      </c>
      <c r="B62" s="64">
        <v>7.04</v>
      </c>
      <c r="C62" s="64">
        <v>14.2</v>
      </c>
      <c r="D62" s="64">
        <v>13.07</v>
      </c>
      <c r="E62" s="64">
        <v>11.99</v>
      </c>
      <c r="F62" s="64">
        <v>17.88</v>
      </c>
      <c r="G62" s="64">
        <v>70.27</v>
      </c>
      <c r="H62" s="64">
        <v>9.57</v>
      </c>
      <c r="I62" s="64">
        <v>1.45</v>
      </c>
      <c r="J62" s="64">
        <v>0.31</v>
      </c>
      <c r="K62" s="64">
        <v>110.62</v>
      </c>
      <c r="L62" s="64">
        <v>29.54</v>
      </c>
      <c r="M62" s="64">
        <v>58.25</v>
      </c>
      <c r="N62" s="64">
        <v>239.3</v>
      </c>
      <c r="O62" s="64">
        <v>0</v>
      </c>
      <c r="P62" s="64">
        <v>0.33</v>
      </c>
      <c r="Q62" s="64">
        <v>8.9700000000000006</v>
      </c>
      <c r="R62" s="198"/>
      <c r="S62" s="198"/>
      <c r="T62" s="198"/>
      <c r="U62" s="198"/>
    </row>
    <row r="63" spans="1:21" s="12" customFormat="1" x14ac:dyDescent="0.25">
      <c r="A63" s="211" t="s">
        <v>1742</v>
      </c>
      <c r="B63" s="64">
        <v>10.94</v>
      </c>
      <c r="C63" s="64">
        <v>16.86</v>
      </c>
      <c r="D63" s="64">
        <v>17.579999999999998</v>
      </c>
      <c r="E63" s="64">
        <v>9.2899999999999991</v>
      </c>
      <c r="F63" s="64">
        <v>17.579999999999998</v>
      </c>
      <c r="G63" s="64">
        <v>70.27</v>
      </c>
      <c r="H63" s="64">
        <v>9.57</v>
      </c>
      <c r="I63" s="64">
        <v>1.46</v>
      </c>
      <c r="J63" s="64">
        <v>0.15</v>
      </c>
      <c r="K63" s="64">
        <v>77.98</v>
      </c>
      <c r="L63" s="64">
        <v>29.64</v>
      </c>
      <c r="M63" s="64">
        <v>56.35</v>
      </c>
      <c r="N63" s="64">
        <v>230.7</v>
      </c>
      <c r="O63" s="64">
        <v>0</v>
      </c>
      <c r="P63" s="64">
        <v>0.44</v>
      </c>
      <c r="Q63" s="64">
        <v>8.99</v>
      </c>
      <c r="R63" s="198"/>
      <c r="S63" s="198"/>
      <c r="T63" s="198"/>
      <c r="U63" s="198"/>
    </row>
    <row r="64" spans="1:21" s="12" customFormat="1" x14ac:dyDescent="0.25">
      <c r="A64" s="211" t="s">
        <v>1743</v>
      </c>
      <c r="B64" s="64">
        <v>4.7699999999999996</v>
      </c>
      <c r="C64" s="64">
        <v>12.99</v>
      </c>
      <c r="D64" s="64">
        <v>10.62</v>
      </c>
      <c r="E64" s="64">
        <v>11.72</v>
      </c>
      <c r="F64" s="64">
        <v>19.97</v>
      </c>
      <c r="G64" s="64">
        <v>70.27</v>
      </c>
      <c r="H64" s="64">
        <v>9.57</v>
      </c>
      <c r="I64" s="64">
        <v>1.46</v>
      </c>
      <c r="J64" s="64">
        <v>0.6</v>
      </c>
      <c r="K64" s="64">
        <v>125.75</v>
      </c>
      <c r="L64" s="64">
        <v>29.39</v>
      </c>
      <c r="M64" s="64">
        <v>57.59</v>
      </c>
      <c r="N64" s="64">
        <v>230.4</v>
      </c>
      <c r="O64" s="64">
        <v>0</v>
      </c>
      <c r="P64" s="64">
        <v>0.28000000000000003</v>
      </c>
      <c r="Q64" s="64">
        <v>9.02</v>
      </c>
      <c r="R64" s="198"/>
      <c r="S64" s="198"/>
      <c r="T64" s="198"/>
      <c r="U64" s="198"/>
    </row>
    <row r="65" spans="1:21" s="12" customFormat="1" x14ac:dyDescent="0.25">
      <c r="A65" s="211" t="s">
        <v>1744</v>
      </c>
      <c r="B65" s="64">
        <v>5.71</v>
      </c>
      <c r="C65" s="64">
        <v>17.399999999999999</v>
      </c>
      <c r="D65" s="64">
        <v>13.67</v>
      </c>
      <c r="E65" s="64">
        <v>11.7</v>
      </c>
      <c r="F65" s="64">
        <v>15.24</v>
      </c>
      <c r="G65" s="64">
        <v>63.29</v>
      </c>
      <c r="H65" s="64">
        <v>8.51</v>
      </c>
      <c r="I65" s="64">
        <v>1.45</v>
      </c>
      <c r="J65" s="64">
        <v>0.4</v>
      </c>
      <c r="K65" s="64">
        <v>127.67</v>
      </c>
      <c r="L65" s="64">
        <v>29.65</v>
      </c>
      <c r="M65" s="64">
        <v>57.6</v>
      </c>
      <c r="N65" s="64">
        <v>205.5</v>
      </c>
      <c r="O65" s="64">
        <v>0</v>
      </c>
      <c r="P65" s="64">
        <v>0.37</v>
      </c>
      <c r="Q65" s="64">
        <v>9.0299999999999994</v>
      </c>
      <c r="R65" s="198"/>
      <c r="S65" s="198"/>
      <c r="T65" s="198"/>
      <c r="U65" s="198"/>
    </row>
    <row r="66" spans="1:21" s="12" customFormat="1" x14ac:dyDescent="0.25">
      <c r="A66" s="211" t="s">
        <v>1745</v>
      </c>
      <c r="B66" s="64">
        <v>4.6399999999999997</v>
      </c>
      <c r="C66" s="64">
        <v>12.83</v>
      </c>
      <c r="D66" s="64">
        <v>10.42</v>
      </c>
      <c r="E66" s="64">
        <v>11.82</v>
      </c>
      <c r="F66" s="64">
        <v>16.149999999999999</v>
      </c>
      <c r="G66" s="64">
        <v>62.79</v>
      </c>
      <c r="H66" s="64">
        <v>8.51</v>
      </c>
      <c r="I66" s="64">
        <v>1.33</v>
      </c>
      <c r="J66" s="64">
        <v>1</v>
      </c>
      <c r="K66" s="64">
        <v>124.56</v>
      </c>
      <c r="L66" s="64">
        <v>29.01</v>
      </c>
      <c r="M66" s="64">
        <v>57.58</v>
      </c>
      <c r="N66" s="64">
        <v>196.2</v>
      </c>
      <c r="O66" s="64">
        <v>0</v>
      </c>
      <c r="P66" s="64">
        <v>0.28000000000000003</v>
      </c>
      <c r="Q66" s="64">
        <v>9.0399999999999991</v>
      </c>
      <c r="R66" s="198"/>
      <c r="S66" s="198"/>
      <c r="T66" s="198"/>
      <c r="U66" s="198"/>
    </row>
    <row r="67" spans="1:21" s="12" customFormat="1" x14ac:dyDescent="0.25">
      <c r="A67" s="211" t="s">
        <v>1746</v>
      </c>
      <c r="B67" s="64">
        <v>5.34</v>
      </c>
      <c r="C67" s="64">
        <v>12.25</v>
      </c>
      <c r="D67" s="64">
        <v>10.68</v>
      </c>
      <c r="E67" s="64">
        <v>11.29</v>
      </c>
      <c r="F67" s="64">
        <v>16.68</v>
      </c>
      <c r="G67" s="64">
        <v>62.79</v>
      </c>
      <c r="H67" s="64">
        <v>8.51</v>
      </c>
      <c r="I67" s="64">
        <v>1.26</v>
      </c>
      <c r="J67" s="64">
        <v>0.64</v>
      </c>
      <c r="K67" s="64">
        <v>129.91999999999999</v>
      </c>
      <c r="L67" s="64">
        <v>28.9</v>
      </c>
      <c r="M67" s="64">
        <v>58.14</v>
      </c>
      <c r="N67" s="64">
        <v>182.5</v>
      </c>
      <c r="O67" s="64">
        <v>0</v>
      </c>
      <c r="P67" s="64">
        <v>0.33</v>
      </c>
      <c r="Q67" s="64">
        <v>9.0500000000000007</v>
      </c>
      <c r="R67" s="198"/>
      <c r="S67" s="198"/>
      <c r="T67" s="198"/>
      <c r="U67" s="198"/>
    </row>
    <row r="68" spans="1:21" s="12" customFormat="1" x14ac:dyDescent="0.25">
      <c r="A68" s="211" t="s">
        <v>1747</v>
      </c>
      <c r="B68" s="64">
        <v>10.44</v>
      </c>
      <c r="C68" s="64">
        <v>18.7</v>
      </c>
      <c r="D68" s="64">
        <v>18.14</v>
      </c>
      <c r="E68" s="64">
        <v>11.74</v>
      </c>
      <c r="F68" s="64">
        <v>15.44</v>
      </c>
      <c r="G68" s="64">
        <v>62.79</v>
      </c>
      <c r="H68" s="64">
        <v>8.51</v>
      </c>
      <c r="I68" s="64">
        <v>1.26</v>
      </c>
      <c r="J68" s="64">
        <v>0.17</v>
      </c>
      <c r="K68" s="64">
        <v>124.02</v>
      </c>
      <c r="L68" s="64">
        <v>29.34</v>
      </c>
      <c r="M68" s="64">
        <v>55.8</v>
      </c>
      <c r="N68" s="64">
        <v>159.6</v>
      </c>
      <c r="O68" s="64">
        <v>0</v>
      </c>
      <c r="P68" s="64">
        <v>0.47</v>
      </c>
      <c r="Q68" s="64">
        <v>9.0500000000000007</v>
      </c>
      <c r="R68" s="198"/>
      <c r="S68" s="198"/>
      <c r="T68" s="198"/>
      <c r="U68" s="198"/>
    </row>
    <row r="69" spans="1:21" s="12" customFormat="1" x14ac:dyDescent="0.25">
      <c r="A69" s="211" t="s">
        <v>1748</v>
      </c>
      <c r="B69" s="64">
        <v>7.84</v>
      </c>
      <c r="C69" s="64">
        <v>20.02</v>
      </c>
      <c r="D69" s="64">
        <v>16.75</v>
      </c>
      <c r="E69" s="64">
        <v>11.32</v>
      </c>
      <c r="F69" s="64">
        <v>13.53</v>
      </c>
      <c r="G69" s="64">
        <v>56.6</v>
      </c>
      <c r="H69" s="64">
        <v>9.33</v>
      </c>
      <c r="I69" s="64">
        <v>1.28</v>
      </c>
      <c r="J69" s="64">
        <v>0.39</v>
      </c>
      <c r="K69" s="64">
        <v>130.96</v>
      </c>
      <c r="L69" s="64">
        <v>29.11</v>
      </c>
      <c r="M69" s="64">
        <v>58.74</v>
      </c>
      <c r="N69" s="64">
        <v>150.30000000000001</v>
      </c>
      <c r="O69" s="64">
        <v>0</v>
      </c>
      <c r="P69" s="64">
        <v>0.45</v>
      </c>
      <c r="Q69" s="64">
        <v>9.0500000000000007</v>
      </c>
      <c r="R69" s="198"/>
      <c r="S69" s="198"/>
      <c r="T69" s="198"/>
      <c r="U69" s="198"/>
    </row>
    <row r="70" spans="1:21" s="12" customFormat="1" x14ac:dyDescent="0.25">
      <c r="A70" s="211" t="s">
        <v>1749</v>
      </c>
      <c r="B70" s="64">
        <v>6.61</v>
      </c>
      <c r="C70" s="64">
        <v>15.13</v>
      </c>
      <c r="D70" s="64">
        <v>13.21</v>
      </c>
      <c r="E70" s="64">
        <v>10.95</v>
      </c>
      <c r="F70" s="64">
        <v>13.47</v>
      </c>
      <c r="G70" s="64">
        <v>56.16</v>
      </c>
      <c r="H70" s="64">
        <v>9.33</v>
      </c>
      <c r="I70" s="64">
        <v>1.29</v>
      </c>
      <c r="J70" s="64">
        <v>0.6</v>
      </c>
      <c r="K70" s="64">
        <v>126.69</v>
      </c>
      <c r="L70" s="64">
        <v>28.83</v>
      </c>
      <c r="M70" s="64">
        <v>59.17</v>
      </c>
      <c r="N70" s="64">
        <v>139.1</v>
      </c>
      <c r="O70" s="64">
        <v>0</v>
      </c>
      <c r="P70" s="64">
        <v>0.36</v>
      </c>
      <c r="Q70" s="64">
        <v>9.06</v>
      </c>
      <c r="R70" s="198"/>
      <c r="S70" s="198"/>
      <c r="T70" s="198"/>
      <c r="U70" s="198"/>
    </row>
    <row r="71" spans="1:21" s="12" customFormat="1" x14ac:dyDescent="0.25">
      <c r="A71" s="211" t="s">
        <v>1750</v>
      </c>
      <c r="B71" s="64">
        <v>7.41</v>
      </c>
      <c r="C71" s="64">
        <v>22.06</v>
      </c>
      <c r="D71" s="64">
        <v>17.47</v>
      </c>
      <c r="E71" s="64">
        <v>10.27</v>
      </c>
      <c r="F71" s="64">
        <v>7.63</v>
      </c>
      <c r="G71" s="64">
        <v>56.16</v>
      </c>
      <c r="H71" s="64">
        <v>9.33</v>
      </c>
      <c r="I71" s="64">
        <v>1.3</v>
      </c>
      <c r="J71" s="64">
        <v>7.0000000000000007E-2</v>
      </c>
      <c r="K71" s="64">
        <v>3.23</v>
      </c>
      <c r="L71" s="64">
        <v>28.65</v>
      </c>
      <c r="M71" s="64">
        <v>61.15</v>
      </c>
      <c r="N71" s="64">
        <v>122.8</v>
      </c>
      <c r="O71" s="64">
        <v>0</v>
      </c>
      <c r="P71" s="64">
        <v>0.47</v>
      </c>
      <c r="Q71" s="64">
        <v>9.0399999999999991</v>
      </c>
      <c r="R71" s="198"/>
      <c r="S71" s="198"/>
      <c r="T71" s="198"/>
      <c r="U71" s="198"/>
    </row>
    <row r="72" spans="1:21" s="12" customFormat="1" x14ac:dyDescent="0.25">
      <c r="A72" s="211" t="s">
        <v>1751</v>
      </c>
      <c r="B72" s="64">
        <v>8.7799999999999994</v>
      </c>
      <c r="C72" s="64">
        <v>27.82</v>
      </c>
      <c r="D72" s="64">
        <v>21.57</v>
      </c>
      <c r="E72" s="64">
        <v>8.9700000000000006</v>
      </c>
      <c r="F72" s="64">
        <v>11.12</v>
      </c>
      <c r="G72" s="64">
        <v>56.16</v>
      </c>
      <c r="H72" s="64">
        <v>9.33</v>
      </c>
      <c r="I72" s="64">
        <v>1.3</v>
      </c>
      <c r="J72" s="64">
        <v>0.24</v>
      </c>
      <c r="K72" s="64">
        <v>135.69999999999999</v>
      </c>
      <c r="L72" s="64">
        <v>28.55</v>
      </c>
      <c r="M72" s="64">
        <v>63.27</v>
      </c>
      <c r="N72" s="64">
        <v>103.4</v>
      </c>
      <c r="O72" s="64">
        <v>0</v>
      </c>
      <c r="P72" s="64">
        <v>0.55000000000000004</v>
      </c>
      <c r="Q72" s="64">
        <v>9.02</v>
      </c>
      <c r="R72" s="198"/>
      <c r="S72" s="198"/>
      <c r="T72" s="198"/>
      <c r="U72" s="198"/>
    </row>
    <row r="73" spans="1:21" s="12" customFormat="1" x14ac:dyDescent="0.25">
      <c r="A73" s="211" t="s">
        <v>1752</v>
      </c>
      <c r="B73" s="64">
        <v>6.61</v>
      </c>
      <c r="C73" s="64">
        <v>18.87</v>
      </c>
      <c r="D73" s="64">
        <v>15.16</v>
      </c>
      <c r="E73" s="64">
        <v>9.69</v>
      </c>
      <c r="F73" s="64">
        <v>13.03</v>
      </c>
      <c r="G73" s="64">
        <v>60.26</v>
      </c>
      <c r="H73" s="64">
        <v>10.18</v>
      </c>
      <c r="I73" s="64">
        <v>1.3</v>
      </c>
      <c r="J73" s="64">
        <v>0.28999999999999998</v>
      </c>
      <c r="K73" s="64">
        <v>129.38999999999999</v>
      </c>
      <c r="L73" s="64">
        <v>28.06</v>
      </c>
      <c r="M73" s="64">
        <v>66.41</v>
      </c>
      <c r="N73" s="64">
        <v>87.5</v>
      </c>
      <c r="O73" s="64">
        <v>0</v>
      </c>
      <c r="P73" s="64">
        <v>0.46</v>
      </c>
      <c r="Q73" s="64">
        <v>9.02</v>
      </c>
      <c r="R73" s="198"/>
      <c r="S73" s="198"/>
      <c r="T73" s="198"/>
      <c r="U73" s="198"/>
    </row>
    <row r="74" spans="1:21" s="12" customFormat="1" x14ac:dyDescent="0.25">
      <c r="A74" s="211" t="s">
        <v>1753</v>
      </c>
      <c r="B74" s="64">
        <v>5.28</v>
      </c>
      <c r="C74" s="64">
        <v>13.27</v>
      </c>
      <c r="D74" s="64">
        <v>11.17</v>
      </c>
      <c r="E74" s="64">
        <v>9.26</v>
      </c>
      <c r="F74" s="64">
        <v>12.66</v>
      </c>
      <c r="G74" s="64">
        <v>60.56</v>
      </c>
      <c r="H74" s="64">
        <v>10.18</v>
      </c>
      <c r="I74" s="64">
        <v>1.32</v>
      </c>
      <c r="J74" s="64">
        <v>0.61</v>
      </c>
      <c r="K74" s="64">
        <v>124.53</v>
      </c>
      <c r="L74" s="64">
        <v>27.74</v>
      </c>
      <c r="M74" s="64">
        <v>67.739999999999995</v>
      </c>
      <c r="N74" s="64">
        <v>80.5</v>
      </c>
      <c r="O74" s="64">
        <v>0</v>
      </c>
      <c r="P74" s="64">
        <v>0.33</v>
      </c>
      <c r="Q74" s="64">
        <v>9.02</v>
      </c>
      <c r="R74" s="198"/>
      <c r="S74" s="198"/>
      <c r="T74" s="198"/>
      <c r="U74" s="198"/>
    </row>
    <row r="75" spans="1:21" s="12" customFormat="1" x14ac:dyDescent="0.25">
      <c r="A75" s="211" t="s">
        <v>1754</v>
      </c>
      <c r="B75" s="64">
        <v>7.41</v>
      </c>
      <c r="C75" s="64">
        <v>23.93</v>
      </c>
      <c r="D75" s="64">
        <v>18.45</v>
      </c>
      <c r="E75" s="64">
        <v>9.4700000000000006</v>
      </c>
      <c r="F75" s="64">
        <v>11.93</v>
      </c>
      <c r="G75" s="64">
        <v>60.56</v>
      </c>
      <c r="H75" s="64">
        <v>10.18</v>
      </c>
      <c r="I75" s="64">
        <v>1.33</v>
      </c>
      <c r="J75" s="64">
        <v>0.22</v>
      </c>
      <c r="K75" s="64">
        <v>128.33000000000001</v>
      </c>
      <c r="L75" s="64">
        <v>27.5</v>
      </c>
      <c r="M75" s="64">
        <v>70.22</v>
      </c>
      <c r="N75" s="64">
        <v>71.400000000000006</v>
      </c>
      <c r="O75" s="64">
        <v>0</v>
      </c>
      <c r="P75" s="64">
        <v>0.56000000000000005</v>
      </c>
      <c r="Q75" s="64">
        <v>9.02</v>
      </c>
      <c r="R75" s="198"/>
      <c r="S75" s="198"/>
      <c r="T75" s="198"/>
      <c r="U75" s="198"/>
    </row>
    <row r="76" spans="1:21" s="12" customFormat="1" x14ac:dyDescent="0.25">
      <c r="A76" s="211" t="s">
        <v>1755</v>
      </c>
      <c r="B76" s="64">
        <v>9.8800000000000008</v>
      </c>
      <c r="C76" s="64">
        <v>34.14</v>
      </c>
      <c r="D76" s="64">
        <v>25.76</v>
      </c>
      <c r="E76" s="64">
        <v>9.52</v>
      </c>
      <c r="F76" s="64">
        <v>7.22</v>
      </c>
      <c r="G76" s="64">
        <v>60.56</v>
      </c>
      <c r="H76" s="64">
        <v>10.18</v>
      </c>
      <c r="I76" s="64">
        <v>1.3</v>
      </c>
      <c r="J76" s="64">
        <v>0.05</v>
      </c>
      <c r="K76" s="64">
        <v>182.95</v>
      </c>
      <c r="L76" s="64">
        <v>27.32</v>
      </c>
      <c r="M76" s="64">
        <v>70.16</v>
      </c>
      <c r="N76" s="64">
        <v>63.8</v>
      </c>
      <c r="O76" s="64">
        <v>0</v>
      </c>
      <c r="P76" s="64">
        <v>0.8</v>
      </c>
      <c r="Q76" s="64">
        <v>9</v>
      </c>
      <c r="R76" s="198"/>
      <c r="S76" s="198"/>
      <c r="T76" s="198"/>
      <c r="U76" s="198"/>
    </row>
    <row r="77" spans="1:21" s="12" customFormat="1" x14ac:dyDescent="0.25">
      <c r="A77" s="211" t="s">
        <v>1756</v>
      </c>
      <c r="B77" s="64">
        <v>11.99</v>
      </c>
      <c r="C77" s="64">
        <v>37.28</v>
      </c>
      <c r="D77" s="64">
        <v>29.1</v>
      </c>
      <c r="E77" s="64">
        <v>9.4</v>
      </c>
      <c r="F77" s="64">
        <v>4.8099999999999996</v>
      </c>
      <c r="G77" s="64">
        <v>57.55</v>
      </c>
      <c r="H77" s="64">
        <v>9.23</v>
      </c>
      <c r="I77" s="64">
        <v>1.25</v>
      </c>
      <c r="J77" s="64">
        <v>0.03</v>
      </c>
      <c r="K77" s="64">
        <v>159.58000000000001</v>
      </c>
      <c r="L77" s="64">
        <v>27.07</v>
      </c>
      <c r="M77" s="64">
        <v>72.61</v>
      </c>
      <c r="N77" s="64">
        <v>55</v>
      </c>
      <c r="O77" s="64">
        <v>0</v>
      </c>
      <c r="P77" s="64">
        <v>0.89</v>
      </c>
      <c r="Q77" s="64">
        <v>9.01</v>
      </c>
      <c r="R77" s="198"/>
      <c r="S77" s="198"/>
      <c r="T77" s="198"/>
      <c r="U77" s="198"/>
    </row>
    <row r="78" spans="1:21" s="12" customFormat="1" x14ac:dyDescent="0.25">
      <c r="A78" s="211" t="s">
        <v>1757</v>
      </c>
      <c r="B78" s="64">
        <v>4.7</v>
      </c>
      <c r="C78" s="64">
        <v>24.04</v>
      </c>
      <c r="D78" s="64">
        <v>16.329999999999998</v>
      </c>
      <c r="E78" s="64">
        <v>9.33</v>
      </c>
      <c r="F78" s="64">
        <v>10.98</v>
      </c>
      <c r="G78" s="64">
        <v>57.33</v>
      </c>
      <c r="H78" s="64">
        <v>9.23</v>
      </c>
      <c r="I78" s="64">
        <v>1.29</v>
      </c>
      <c r="J78" s="64">
        <v>0.22</v>
      </c>
      <c r="K78" s="64">
        <v>130.83000000000001</v>
      </c>
      <c r="L78" s="64">
        <v>26.88</v>
      </c>
      <c r="M78" s="64">
        <v>74.39</v>
      </c>
      <c r="N78" s="64">
        <v>49.1</v>
      </c>
      <c r="O78" s="64">
        <v>0</v>
      </c>
      <c r="P78" s="64">
        <v>0.52</v>
      </c>
      <c r="Q78" s="64">
        <v>9.0299999999999994</v>
      </c>
      <c r="R78" s="198"/>
      <c r="S78" s="198"/>
      <c r="T78" s="198"/>
      <c r="U78" s="198"/>
    </row>
    <row r="79" spans="1:21" s="12" customFormat="1" x14ac:dyDescent="0.25">
      <c r="A79" s="211" t="s">
        <v>1758</v>
      </c>
      <c r="B79" s="64">
        <v>7.99</v>
      </c>
      <c r="C79" s="64">
        <v>28.75</v>
      </c>
      <c r="D79" s="64">
        <v>21.43</v>
      </c>
      <c r="E79" s="64">
        <v>8.69</v>
      </c>
      <c r="F79" s="64">
        <v>4.8600000000000003</v>
      </c>
      <c r="G79" s="64">
        <v>57.33</v>
      </c>
      <c r="H79" s="64">
        <v>9.23</v>
      </c>
      <c r="I79" s="64">
        <v>1.39</v>
      </c>
      <c r="J79" s="64">
        <v>0.03</v>
      </c>
      <c r="K79" s="64">
        <v>114.28</v>
      </c>
      <c r="L79" s="64">
        <v>26.6</v>
      </c>
      <c r="M79" s="64">
        <v>77.510000000000005</v>
      </c>
      <c r="N79" s="64">
        <v>45.9</v>
      </c>
      <c r="O79" s="64">
        <v>0</v>
      </c>
      <c r="P79" s="64">
        <v>0.66</v>
      </c>
      <c r="Q79" s="64">
        <v>9.0299999999999994</v>
      </c>
      <c r="R79" s="198"/>
      <c r="S79" s="198"/>
      <c r="T79" s="198"/>
      <c r="U79" s="198"/>
    </row>
    <row r="80" spans="1:21" s="12" customFormat="1" x14ac:dyDescent="0.25">
      <c r="A80" s="211" t="s">
        <v>1759</v>
      </c>
      <c r="B80" s="64">
        <v>6.4</v>
      </c>
      <c r="C80" s="64">
        <v>27.76</v>
      </c>
      <c r="D80" s="64">
        <v>19.64</v>
      </c>
      <c r="E80" s="64">
        <v>8.83</v>
      </c>
      <c r="F80" s="64">
        <v>5.67</v>
      </c>
      <c r="G80" s="64">
        <v>57.33</v>
      </c>
      <c r="H80" s="64">
        <v>9.23</v>
      </c>
      <c r="I80" s="64">
        <v>1.44</v>
      </c>
      <c r="J80" s="64">
        <v>0.13</v>
      </c>
      <c r="K80" s="64">
        <v>139.80000000000001</v>
      </c>
      <c r="L80" s="64">
        <v>26.34</v>
      </c>
      <c r="M80" s="64">
        <v>80.86</v>
      </c>
      <c r="N80" s="64">
        <v>45</v>
      </c>
      <c r="O80" s="64">
        <v>0</v>
      </c>
      <c r="P80" s="64">
        <v>0.73</v>
      </c>
      <c r="Q80" s="64">
        <v>9.0399999999999991</v>
      </c>
      <c r="R80" s="198"/>
      <c r="S80" s="198"/>
      <c r="T80" s="198"/>
      <c r="U80" s="198"/>
    </row>
    <row r="81" spans="1:26" s="12" customFormat="1" x14ac:dyDescent="0.25">
      <c r="A81" s="211" t="s">
        <v>1760</v>
      </c>
      <c r="B81" s="64">
        <v>11.08</v>
      </c>
      <c r="C81" s="64">
        <v>34.35</v>
      </c>
      <c r="D81" s="64">
        <v>26.84</v>
      </c>
      <c r="E81" s="64">
        <v>8.41</v>
      </c>
      <c r="F81" s="64">
        <v>5.42</v>
      </c>
      <c r="G81" s="64">
        <v>68.72</v>
      </c>
      <c r="H81" s="64">
        <v>9.81</v>
      </c>
      <c r="I81" s="64">
        <v>1.48</v>
      </c>
      <c r="J81" s="64">
        <v>0.06</v>
      </c>
      <c r="K81" s="64">
        <v>155.91999999999999</v>
      </c>
      <c r="L81" s="64">
        <v>26.17</v>
      </c>
      <c r="M81" s="64">
        <v>82.14</v>
      </c>
      <c r="N81" s="64">
        <v>44.9</v>
      </c>
      <c r="O81" s="64">
        <v>0</v>
      </c>
      <c r="P81" s="64">
        <v>0.92</v>
      </c>
      <c r="Q81" s="64">
        <v>9.0500000000000007</v>
      </c>
      <c r="R81" s="198"/>
      <c r="S81" s="198"/>
      <c r="T81" s="198"/>
      <c r="U81" s="198"/>
    </row>
    <row r="82" spans="1:26" s="12" customFormat="1" x14ac:dyDescent="0.25">
      <c r="A82" s="211" t="s">
        <v>1761</v>
      </c>
      <c r="B82" s="64">
        <v>8.59</v>
      </c>
      <c r="C82" s="64">
        <v>27.67</v>
      </c>
      <c r="D82" s="64">
        <v>21.34</v>
      </c>
      <c r="E82" s="64">
        <v>8.25</v>
      </c>
      <c r="F82" s="64">
        <v>5.93</v>
      </c>
      <c r="G82" s="64">
        <v>69.540000000000006</v>
      </c>
      <c r="H82" s="64">
        <v>9.81</v>
      </c>
      <c r="I82" s="64">
        <v>1.51</v>
      </c>
      <c r="J82" s="64">
        <v>0.14000000000000001</v>
      </c>
      <c r="K82" s="64">
        <v>114.76</v>
      </c>
      <c r="L82" s="64">
        <v>26.13</v>
      </c>
      <c r="M82" s="64">
        <v>82.86</v>
      </c>
      <c r="N82" s="64">
        <v>44.9</v>
      </c>
      <c r="O82" s="64">
        <v>0</v>
      </c>
      <c r="P82" s="64">
        <v>0.75</v>
      </c>
      <c r="Q82" s="64">
        <v>9.07</v>
      </c>
      <c r="R82" s="198"/>
      <c r="S82" s="198"/>
      <c r="T82" s="198"/>
      <c r="U82" s="198"/>
    </row>
    <row r="83" spans="1:26" s="12" customFormat="1" x14ac:dyDescent="0.25">
      <c r="A83" s="211" t="s">
        <v>1762</v>
      </c>
      <c r="B83" s="64">
        <v>5.35</v>
      </c>
      <c r="C83" s="64">
        <v>22.46</v>
      </c>
      <c r="D83" s="64">
        <v>16.03</v>
      </c>
      <c r="E83" s="64">
        <v>8.2799999999999994</v>
      </c>
      <c r="F83" s="64">
        <v>7.2</v>
      </c>
      <c r="G83" s="64">
        <v>69.540000000000006</v>
      </c>
      <c r="H83" s="64">
        <v>9.81</v>
      </c>
      <c r="I83" s="64">
        <v>1.56</v>
      </c>
      <c r="J83" s="64">
        <v>0.18</v>
      </c>
      <c r="K83" s="64">
        <v>124.75</v>
      </c>
      <c r="L83" s="64">
        <v>26.03</v>
      </c>
      <c r="M83" s="64">
        <v>84.5</v>
      </c>
      <c r="N83" s="64">
        <v>44.9</v>
      </c>
      <c r="O83" s="64">
        <v>0</v>
      </c>
      <c r="P83" s="64">
        <v>0.66</v>
      </c>
      <c r="Q83" s="64">
        <v>9.08</v>
      </c>
      <c r="R83" s="198"/>
      <c r="S83" s="198"/>
      <c r="T83" s="198"/>
      <c r="U83" s="198"/>
    </row>
    <row r="84" spans="1:26" s="12" customFormat="1" x14ac:dyDescent="0.25">
      <c r="A84" s="211" t="s">
        <v>1763</v>
      </c>
      <c r="B84" s="64">
        <v>5.26</v>
      </c>
      <c r="C84" s="64">
        <v>25.22</v>
      </c>
      <c r="D84" s="64">
        <v>17.399999999999999</v>
      </c>
      <c r="E84" s="64">
        <v>8.18</v>
      </c>
      <c r="F84" s="64">
        <v>6.86</v>
      </c>
      <c r="G84" s="64">
        <v>69.540000000000006</v>
      </c>
      <c r="H84" s="64">
        <v>9.81</v>
      </c>
      <c r="I84" s="64">
        <v>1.62</v>
      </c>
      <c r="J84" s="64">
        <v>0.31</v>
      </c>
      <c r="K84" s="64">
        <v>135.63</v>
      </c>
      <c r="L84" s="64">
        <v>25.88</v>
      </c>
      <c r="M84" s="64">
        <v>86.84</v>
      </c>
      <c r="N84" s="64">
        <v>44.7</v>
      </c>
      <c r="O84" s="64">
        <v>0</v>
      </c>
      <c r="P84" s="64">
        <v>0.69</v>
      </c>
      <c r="Q84" s="64">
        <v>9.09</v>
      </c>
      <c r="R84" s="198"/>
      <c r="S84" s="198"/>
      <c r="T84" s="198"/>
      <c r="U84" s="198"/>
    </row>
    <row r="85" spans="1:26" s="12" customFormat="1" x14ac:dyDescent="0.25">
      <c r="A85" s="211" t="s">
        <v>1764</v>
      </c>
      <c r="B85" s="64">
        <v>4.95</v>
      </c>
      <c r="C85" s="64">
        <v>23.18</v>
      </c>
      <c r="D85" s="64">
        <v>16.079999999999998</v>
      </c>
      <c r="E85" s="64">
        <v>8.07</v>
      </c>
      <c r="F85" s="64">
        <v>7.73</v>
      </c>
      <c r="G85" s="64">
        <v>68.42</v>
      </c>
      <c r="H85" s="64">
        <v>8.82</v>
      </c>
      <c r="I85" s="64">
        <v>1.66</v>
      </c>
      <c r="J85" s="64">
        <v>0.39</v>
      </c>
      <c r="K85" s="64">
        <v>129.5</v>
      </c>
      <c r="L85" s="64">
        <v>25.86</v>
      </c>
      <c r="M85" s="64">
        <v>87.55</v>
      </c>
      <c r="N85" s="64">
        <v>44.8</v>
      </c>
      <c r="O85" s="64">
        <v>0</v>
      </c>
      <c r="P85" s="64">
        <v>0.62</v>
      </c>
      <c r="Q85" s="64">
        <v>9.09</v>
      </c>
      <c r="R85" s="198"/>
      <c r="S85" s="198"/>
      <c r="T85" s="198"/>
      <c r="U85" s="198"/>
    </row>
    <row r="86" spans="1:26" s="12" customFormat="1" x14ac:dyDescent="0.25">
      <c r="A86" s="211" t="s">
        <v>1765</v>
      </c>
      <c r="B86" s="64">
        <v>5.03</v>
      </c>
      <c r="C86" s="64">
        <v>22.31</v>
      </c>
      <c r="D86" s="64">
        <v>15.69</v>
      </c>
      <c r="E86" s="64">
        <v>7.98</v>
      </c>
      <c r="F86" s="64">
        <v>7.45</v>
      </c>
      <c r="G86" s="64">
        <v>68.34</v>
      </c>
      <c r="H86" s="64">
        <v>8.82</v>
      </c>
      <c r="I86" s="64">
        <v>1.69</v>
      </c>
      <c r="J86" s="64">
        <v>0.26</v>
      </c>
      <c r="K86" s="64">
        <v>124.79</v>
      </c>
      <c r="L86" s="64">
        <v>25.89</v>
      </c>
      <c r="M86" s="64">
        <v>87.87</v>
      </c>
      <c r="N86" s="64">
        <v>44.8</v>
      </c>
      <c r="O86" s="64">
        <v>0</v>
      </c>
      <c r="P86" s="64">
        <v>0.65</v>
      </c>
      <c r="Q86" s="64">
        <v>9.08</v>
      </c>
      <c r="R86" s="198"/>
      <c r="S86" s="198"/>
      <c r="T86" s="198"/>
      <c r="U86" s="198"/>
    </row>
    <row r="87" spans="1:26" s="12" customFormat="1" x14ac:dyDescent="0.25">
      <c r="A87" s="211" t="s">
        <v>1766</v>
      </c>
      <c r="B87" s="64">
        <v>5.48</v>
      </c>
      <c r="C87" s="64">
        <v>21.71</v>
      </c>
      <c r="D87" s="64">
        <v>15.74</v>
      </c>
      <c r="E87" s="64">
        <v>8.1300000000000008</v>
      </c>
      <c r="F87" s="64">
        <v>7.37</v>
      </c>
      <c r="G87" s="64">
        <v>68.34</v>
      </c>
      <c r="H87" s="64">
        <v>8.82</v>
      </c>
      <c r="I87" s="64">
        <v>1.72</v>
      </c>
      <c r="J87" s="64">
        <v>0.02</v>
      </c>
      <c r="K87" s="64">
        <v>186.15</v>
      </c>
      <c r="L87" s="64">
        <v>25.78</v>
      </c>
      <c r="M87" s="64">
        <v>88.09</v>
      </c>
      <c r="N87" s="64">
        <v>44.9</v>
      </c>
      <c r="O87" s="64">
        <v>0</v>
      </c>
      <c r="P87" s="64">
        <v>0.69</v>
      </c>
      <c r="Q87" s="64">
        <v>9.08</v>
      </c>
      <c r="R87" s="198"/>
      <c r="S87" s="198"/>
      <c r="T87" s="198"/>
      <c r="U87" s="198"/>
    </row>
    <row r="88" spans="1:26" s="12" customFormat="1" x14ac:dyDescent="0.25">
      <c r="A88" s="211" t="s">
        <v>1767</v>
      </c>
      <c r="B88" s="64">
        <v>5.74</v>
      </c>
      <c r="C88" s="64">
        <v>18.96</v>
      </c>
      <c r="D88" s="64">
        <v>14.51</v>
      </c>
      <c r="E88" s="64">
        <v>8</v>
      </c>
      <c r="F88" s="64">
        <v>4.8</v>
      </c>
      <c r="G88" s="64">
        <v>68.34</v>
      </c>
      <c r="H88" s="64">
        <v>8.82</v>
      </c>
      <c r="I88" s="64">
        <v>1.75</v>
      </c>
      <c r="J88" s="64">
        <v>0.32</v>
      </c>
      <c r="K88" s="64">
        <v>137.88999999999999</v>
      </c>
      <c r="L88" s="64">
        <v>25.69</v>
      </c>
      <c r="M88" s="64">
        <v>88.05</v>
      </c>
      <c r="N88" s="64">
        <v>44.8</v>
      </c>
      <c r="O88" s="64">
        <v>0</v>
      </c>
      <c r="P88" s="64">
        <v>0.69</v>
      </c>
      <c r="Q88" s="64">
        <v>9.07</v>
      </c>
      <c r="R88" s="198"/>
      <c r="S88" s="198"/>
      <c r="T88" s="198"/>
      <c r="U88" s="198"/>
    </row>
    <row r="89" spans="1:26" s="12" customFormat="1" x14ac:dyDescent="0.25">
      <c r="A89" s="211" t="s">
        <v>1768</v>
      </c>
      <c r="B89" s="64">
        <v>7.45</v>
      </c>
      <c r="C89" s="64">
        <v>33.08</v>
      </c>
      <c r="D89" s="64">
        <v>23.26</v>
      </c>
      <c r="E89" s="64">
        <v>7.66</v>
      </c>
      <c r="F89" s="64">
        <v>2.1</v>
      </c>
      <c r="G89" s="64">
        <v>67.86</v>
      </c>
      <c r="H89" s="64">
        <v>8.0500000000000007</v>
      </c>
      <c r="I89" s="64">
        <v>1.78</v>
      </c>
      <c r="J89" s="64">
        <v>7.0000000000000007E-2</v>
      </c>
      <c r="K89" s="64">
        <v>130.88999999999999</v>
      </c>
      <c r="L89" s="64">
        <v>25.6</v>
      </c>
      <c r="M89" s="64">
        <v>88.07</v>
      </c>
      <c r="N89" s="64">
        <v>44.9</v>
      </c>
      <c r="O89" s="64">
        <v>0</v>
      </c>
      <c r="P89" s="64">
        <v>0.89</v>
      </c>
      <c r="Q89" s="64">
        <v>9.0500000000000007</v>
      </c>
      <c r="R89" s="198"/>
      <c r="S89" s="198"/>
      <c r="T89" s="198"/>
      <c r="U89" s="198"/>
    </row>
    <row r="90" spans="1:26" s="12" customFormat="1" x14ac:dyDescent="0.25">
      <c r="A90" s="211" t="s">
        <v>1769</v>
      </c>
      <c r="B90" s="64">
        <v>6.58</v>
      </c>
      <c r="C90" s="64">
        <v>35.1</v>
      </c>
      <c r="D90" s="64">
        <v>23.61</v>
      </c>
      <c r="E90" s="64">
        <v>7.23</v>
      </c>
      <c r="F90" s="64">
        <v>2.34</v>
      </c>
      <c r="G90" s="64">
        <v>67.819999999999993</v>
      </c>
      <c r="H90" s="64">
        <v>8.0500000000000007</v>
      </c>
      <c r="I90" s="64">
        <v>1.79</v>
      </c>
      <c r="J90" s="64">
        <v>0.27</v>
      </c>
      <c r="K90" s="64">
        <v>134.96</v>
      </c>
      <c r="L90" s="64">
        <v>25.5</v>
      </c>
      <c r="M90" s="64">
        <v>87.13</v>
      </c>
      <c r="N90" s="64">
        <v>44.8</v>
      </c>
      <c r="O90" s="64">
        <v>0</v>
      </c>
      <c r="P90" s="64">
        <v>0.77</v>
      </c>
      <c r="Q90" s="64">
        <v>9.0500000000000007</v>
      </c>
      <c r="R90" s="198"/>
      <c r="S90" s="198"/>
      <c r="T90" s="198"/>
      <c r="U90" s="198"/>
    </row>
    <row r="91" spans="1:26" s="12" customFormat="1" x14ac:dyDescent="0.25">
      <c r="A91" s="211" t="s">
        <v>1770</v>
      </c>
      <c r="B91" s="64">
        <v>6.17</v>
      </c>
      <c r="C91" s="64">
        <v>23.09</v>
      </c>
      <c r="D91" s="64">
        <v>17.010000000000002</v>
      </c>
      <c r="E91" s="64">
        <v>7.43</v>
      </c>
      <c r="F91" s="64">
        <v>2.27</v>
      </c>
      <c r="G91" s="64">
        <v>67.819999999999993</v>
      </c>
      <c r="H91" s="64">
        <v>8.0500000000000007</v>
      </c>
      <c r="I91" s="64">
        <v>1.83</v>
      </c>
      <c r="J91" s="64">
        <v>0.19</v>
      </c>
      <c r="K91" s="64">
        <v>138.44999999999999</v>
      </c>
      <c r="L91" s="64">
        <v>25.46</v>
      </c>
      <c r="M91" s="64">
        <v>87.85</v>
      </c>
      <c r="N91" s="64">
        <v>44.8</v>
      </c>
      <c r="O91" s="64">
        <v>0</v>
      </c>
      <c r="P91" s="64">
        <v>0.72</v>
      </c>
      <c r="Q91" s="64">
        <v>9.0399999999999991</v>
      </c>
      <c r="R91" s="198"/>
      <c r="S91" s="198"/>
      <c r="T91" s="198"/>
      <c r="U91" s="198"/>
    </row>
    <row r="92" spans="1:26" s="12" customFormat="1" x14ac:dyDescent="0.25">
      <c r="A92" s="211" t="s">
        <v>1771</v>
      </c>
      <c r="B92" s="64">
        <v>5.64</v>
      </c>
      <c r="C92" s="64">
        <v>30.78</v>
      </c>
      <c r="D92" s="64">
        <v>20.6</v>
      </c>
      <c r="E92" s="64">
        <v>6.87</v>
      </c>
      <c r="F92" s="64">
        <v>4.28</v>
      </c>
      <c r="G92" s="64">
        <v>67.819999999999993</v>
      </c>
      <c r="H92" s="64">
        <v>8.0500000000000007</v>
      </c>
      <c r="I92" s="64">
        <v>1.87</v>
      </c>
      <c r="J92" s="64">
        <v>0.15</v>
      </c>
      <c r="K92" s="64">
        <v>118.12</v>
      </c>
      <c r="L92" s="64">
        <v>25.31</v>
      </c>
      <c r="M92" s="64">
        <v>89.39</v>
      </c>
      <c r="N92" s="64">
        <v>44.9</v>
      </c>
      <c r="O92" s="64">
        <v>0</v>
      </c>
      <c r="P92" s="64">
        <v>0.78</v>
      </c>
      <c r="Q92" s="64">
        <v>9.0299999999999994</v>
      </c>
      <c r="R92" s="198"/>
      <c r="S92" s="198"/>
      <c r="T92" s="198"/>
      <c r="U92" s="198"/>
    </row>
    <row r="93" spans="1:26" s="12" customFormat="1" x14ac:dyDescent="0.25">
      <c r="A93" s="211" t="s">
        <v>1772</v>
      </c>
      <c r="B93" s="64">
        <v>6.22</v>
      </c>
      <c r="C93" s="64">
        <v>22.02</v>
      </c>
      <c r="D93" s="64">
        <v>16.489999999999998</v>
      </c>
      <c r="E93" s="64">
        <v>6.77</v>
      </c>
      <c r="F93" s="64">
        <v>3.89</v>
      </c>
      <c r="G93" s="64">
        <v>67.98</v>
      </c>
      <c r="H93" s="64">
        <v>7.53</v>
      </c>
      <c r="I93" s="64">
        <v>1.9</v>
      </c>
      <c r="J93" s="64">
        <v>0.23</v>
      </c>
      <c r="K93" s="64">
        <v>126.77</v>
      </c>
      <c r="L93" s="64">
        <v>25.19</v>
      </c>
      <c r="M93" s="64">
        <v>91.1</v>
      </c>
      <c r="N93" s="64">
        <v>44.8</v>
      </c>
      <c r="O93" s="64">
        <v>0</v>
      </c>
      <c r="P93" s="64">
        <v>0.72</v>
      </c>
      <c r="Q93" s="64">
        <v>9.0299999999999994</v>
      </c>
      <c r="R93" s="198"/>
      <c r="S93" s="198"/>
      <c r="T93" s="198"/>
      <c r="U93" s="198"/>
    </row>
    <row r="94" spans="1:26" s="12" customFormat="1" x14ac:dyDescent="0.25">
      <c r="A94" s="211" t="s">
        <v>1773</v>
      </c>
      <c r="B94" s="64">
        <v>5.84</v>
      </c>
      <c r="C94" s="64">
        <v>24.6</v>
      </c>
      <c r="D94" s="64">
        <v>17.53</v>
      </c>
      <c r="E94" s="64">
        <v>6.85</v>
      </c>
      <c r="F94" s="64">
        <v>2.4</v>
      </c>
      <c r="G94" s="64">
        <v>67.989999999999995</v>
      </c>
      <c r="H94" s="64">
        <v>7.53</v>
      </c>
      <c r="I94" s="64">
        <v>1.93</v>
      </c>
      <c r="J94" s="64">
        <v>0.28000000000000003</v>
      </c>
      <c r="K94" s="64">
        <v>135.68</v>
      </c>
      <c r="L94" s="64">
        <v>25.14</v>
      </c>
      <c r="M94" s="64">
        <v>91.8</v>
      </c>
      <c r="N94" s="64">
        <v>44.8</v>
      </c>
      <c r="O94" s="64">
        <v>0</v>
      </c>
      <c r="P94" s="64">
        <v>0.67</v>
      </c>
      <c r="Q94" s="64">
        <v>9.0299999999999994</v>
      </c>
      <c r="R94" s="198"/>
      <c r="S94" s="198"/>
      <c r="T94" s="198"/>
      <c r="U94" s="198"/>
    </row>
    <row r="95" spans="1:26" s="12" customFormat="1" x14ac:dyDescent="0.25">
      <c r="A95" s="211" t="s">
        <v>1774</v>
      </c>
      <c r="B95" s="64">
        <v>7.14</v>
      </c>
      <c r="C95" s="64">
        <v>33.9</v>
      </c>
      <c r="D95" s="64">
        <v>23.44</v>
      </c>
      <c r="E95" s="64">
        <v>6.79</v>
      </c>
      <c r="F95" s="64">
        <v>2.1</v>
      </c>
      <c r="G95" s="64">
        <v>67.989999999999995</v>
      </c>
      <c r="H95" s="64">
        <v>7.53</v>
      </c>
      <c r="I95" s="64">
        <v>2.04</v>
      </c>
      <c r="J95" s="64">
        <v>0.06</v>
      </c>
      <c r="K95" s="64">
        <v>150.04</v>
      </c>
      <c r="L95" s="64">
        <v>25.03</v>
      </c>
      <c r="M95" s="64">
        <v>91.29</v>
      </c>
      <c r="N95" s="64">
        <v>44.9</v>
      </c>
      <c r="O95" s="64">
        <v>0</v>
      </c>
      <c r="P95" s="64">
        <v>0.72</v>
      </c>
      <c r="Q95" s="64">
        <v>9.0299999999999994</v>
      </c>
      <c r="R95" s="198"/>
      <c r="S95" s="198"/>
      <c r="T95" s="198"/>
      <c r="U95" s="198"/>
    </row>
    <row r="96" spans="1:26" s="12" customFormat="1" x14ac:dyDescent="0.25">
      <c r="A96" s="211" t="s">
        <v>1775</v>
      </c>
      <c r="B96" s="64">
        <v>7.74</v>
      </c>
      <c r="C96" s="64">
        <v>21.34</v>
      </c>
      <c r="D96" s="64">
        <v>17.36</v>
      </c>
      <c r="E96" s="64">
        <v>6.88</v>
      </c>
      <c r="F96" s="64">
        <v>2.12</v>
      </c>
      <c r="G96" s="64">
        <v>67.989999999999995</v>
      </c>
      <c r="H96" s="64">
        <v>7.53</v>
      </c>
      <c r="I96" s="64">
        <v>2.0299999999999998</v>
      </c>
      <c r="J96" s="64">
        <v>0.23</v>
      </c>
      <c r="K96" s="64">
        <v>135.15</v>
      </c>
      <c r="L96" s="64">
        <v>24.95</v>
      </c>
      <c r="M96" s="64">
        <v>91.08</v>
      </c>
      <c r="N96" s="64">
        <v>44.9</v>
      </c>
      <c r="O96" s="64">
        <v>0</v>
      </c>
      <c r="P96" s="64">
        <v>0.68</v>
      </c>
      <c r="Q96" s="64">
        <v>9.0399999999999991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1776</v>
      </c>
      <c r="B97" s="64">
        <v>9.69</v>
      </c>
      <c r="C97" s="64">
        <v>43.58</v>
      </c>
      <c r="D97" s="64">
        <v>30.54</v>
      </c>
      <c r="E97" s="64">
        <v>6.84</v>
      </c>
      <c r="F97" s="64">
        <v>2.11</v>
      </c>
      <c r="G97" s="64">
        <v>65.36</v>
      </c>
      <c r="H97" s="64">
        <v>7.17</v>
      </c>
      <c r="I97" s="64">
        <v>1.97</v>
      </c>
      <c r="J97" s="64">
        <v>0.05</v>
      </c>
      <c r="K97" s="64">
        <v>140.24</v>
      </c>
      <c r="L97" s="64">
        <v>24.86</v>
      </c>
      <c r="M97" s="64">
        <v>91.68</v>
      </c>
      <c r="N97" s="64">
        <v>44.9</v>
      </c>
      <c r="O97" s="64">
        <v>0</v>
      </c>
      <c r="P97" s="64">
        <v>0.71</v>
      </c>
      <c r="Q97" s="64">
        <v>9.0399999999999991</v>
      </c>
      <c r="R97" s="198"/>
      <c r="S97" s="198"/>
      <c r="T97" s="198"/>
      <c r="U97" s="198"/>
    </row>
    <row r="98" spans="1:33" s="12" customFormat="1" x14ac:dyDescent="0.25">
      <c r="A98" s="211" t="s">
        <v>1777</v>
      </c>
      <c r="B98" s="64">
        <v>6.66</v>
      </c>
      <c r="C98" s="64">
        <v>25.27</v>
      </c>
      <c r="D98" s="64">
        <v>18.54</v>
      </c>
      <c r="E98" s="64">
        <v>7.38</v>
      </c>
      <c r="F98" s="64">
        <v>3.93</v>
      </c>
      <c r="G98" s="64">
        <v>65.209999999999994</v>
      </c>
      <c r="H98" s="64">
        <v>7.17</v>
      </c>
      <c r="I98" s="64">
        <v>1.98</v>
      </c>
      <c r="J98" s="64">
        <v>0.1</v>
      </c>
      <c r="K98" s="64">
        <v>122.05</v>
      </c>
      <c r="L98" s="64">
        <v>24.75</v>
      </c>
      <c r="M98" s="64">
        <v>91.09</v>
      </c>
      <c r="N98" s="64">
        <v>44.9</v>
      </c>
      <c r="O98" s="64">
        <v>0</v>
      </c>
      <c r="P98" s="64">
        <v>0.64</v>
      </c>
      <c r="Q98" s="64">
        <v>9.0399999999999991</v>
      </c>
      <c r="R98" s="198"/>
      <c r="S98" s="198"/>
      <c r="T98" s="198"/>
      <c r="U98" s="198"/>
    </row>
    <row r="99" spans="1:33" s="12" customFormat="1" x14ac:dyDescent="0.25">
      <c r="A99" s="211" t="s">
        <v>1778</v>
      </c>
      <c r="B99" s="64">
        <v>6.53</v>
      </c>
      <c r="C99" s="64">
        <v>25.93</v>
      </c>
      <c r="D99" s="64">
        <v>18.78</v>
      </c>
      <c r="E99" s="64">
        <v>7.99</v>
      </c>
      <c r="F99" s="64">
        <v>4.7699999999999996</v>
      </c>
      <c r="G99" s="64">
        <v>65.209999999999994</v>
      </c>
      <c r="H99" s="64">
        <v>7.17</v>
      </c>
      <c r="I99" s="64">
        <v>2</v>
      </c>
      <c r="J99" s="64">
        <v>0.24</v>
      </c>
      <c r="K99" s="64">
        <v>136.4</v>
      </c>
      <c r="L99" s="64">
        <v>24.74</v>
      </c>
      <c r="M99" s="64">
        <v>89.64</v>
      </c>
      <c r="N99" s="64">
        <v>44.7</v>
      </c>
      <c r="O99" s="64">
        <v>0</v>
      </c>
      <c r="P99" s="64">
        <v>0.56999999999999995</v>
      </c>
      <c r="Q99" s="64">
        <v>9.06</v>
      </c>
      <c r="R99" s="198"/>
      <c r="S99" s="198"/>
      <c r="T99" s="198"/>
      <c r="U99" s="198"/>
    </row>
    <row r="100" spans="1:33" s="12" customFormat="1" x14ac:dyDescent="0.25">
      <c r="A100" s="211" t="s">
        <v>1779</v>
      </c>
      <c r="B100" s="64">
        <v>6.83</v>
      </c>
      <c r="C100" s="64">
        <v>31.11</v>
      </c>
      <c r="D100" s="64">
        <v>21.73</v>
      </c>
      <c r="E100" s="64">
        <v>8.11</v>
      </c>
      <c r="F100" s="64">
        <v>2.69</v>
      </c>
      <c r="G100" s="64">
        <v>65.209999999999994</v>
      </c>
      <c r="H100" s="64">
        <v>7.17</v>
      </c>
      <c r="I100" s="64">
        <v>2.02</v>
      </c>
      <c r="J100" s="64">
        <v>0.13</v>
      </c>
      <c r="K100" s="64">
        <v>131.94999999999999</v>
      </c>
      <c r="L100" s="64">
        <v>24.69</v>
      </c>
      <c r="M100" s="64">
        <v>90.87</v>
      </c>
      <c r="N100" s="64">
        <v>44.9</v>
      </c>
      <c r="O100" s="64">
        <v>0</v>
      </c>
      <c r="P100" s="64">
        <v>0.56999999999999995</v>
      </c>
      <c r="Q100" s="64">
        <v>9.08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1780</v>
      </c>
      <c r="B101" s="64">
        <v>11.06</v>
      </c>
      <c r="C101" s="64">
        <v>27.05</v>
      </c>
      <c r="D101" s="64">
        <v>23</v>
      </c>
      <c r="E101" s="64">
        <v>8.32</v>
      </c>
      <c r="F101" s="64">
        <v>3.44</v>
      </c>
      <c r="G101" s="64">
        <v>64.55</v>
      </c>
      <c r="H101" s="64">
        <v>9.23</v>
      </c>
      <c r="I101" s="64">
        <v>2.02</v>
      </c>
      <c r="J101" s="64">
        <v>0.02</v>
      </c>
      <c r="K101" s="64">
        <v>4.45</v>
      </c>
      <c r="L101" s="64">
        <v>24.51</v>
      </c>
      <c r="M101" s="64">
        <v>93.18</v>
      </c>
      <c r="N101" s="64">
        <v>44.9</v>
      </c>
      <c r="O101" s="64">
        <v>0</v>
      </c>
      <c r="P101" s="64">
        <v>0.68</v>
      </c>
      <c r="Q101" s="64">
        <v>9.08</v>
      </c>
      <c r="R101" s="198"/>
      <c r="S101" s="198"/>
      <c r="T101" s="198"/>
      <c r="U101" s="198"/>
    </row>
    <row r="102" spans="1:33" s="12" customFormat="1" x14ac:dyDescent="0.25">
      <c r="A102" s="211" t="s">
        <v>1781</v>
      </c>
      <c r="B102" s="64">
        <v>12.28</v>
      </c>
      <c r="C102" s="64">
        <v>30.4</v>
      </c>
      <c r="D102" s="64">
        <v>25.73</v>
      </c>
      <c r="E102" s="64">
        <v>7.81</v>
      </c>
      <c r="F102" s="64">
        <v>2.2999999999999998</v>
      </c>
      <c r="G102" s="64">
        <v>64.5</v>
      </c>
      <c r="H102" s="64">
        <v>9.23</v>
      </c>
      <c r="I102" s="64">
        <v>2.02</v>
      </c>
      <c r="J102" s="64">
        <v>0.14000000000000001</v>
      </c>
      <c r="K102" s="64">
        <v>338.2</v>
      </c>
      <c r="L102" s="64">
        <v>24.3</v>
      </c>
      <c r="M102" s="64">
        <v>97.17</v>
      </c>
      <c r="N102" s="64">
        <v>44.9</v>
      </c>
      <c r="O102" s="64">
        <v>0</v>
      </c>
      <c r="P102" s="64">
        <v>0.95</v>
      </c>
      <c r="Q102" s="64">
        <v>9.08</v>
      </c>
      <c r="R102" s="198"/>
      <c r="S102" s="198"/>
      <c r="T102" s="198"/>
      <c r="U102" s="198"/>
    </row>
    <row r="103" spans="1:33" s="12" customFormat="1" x14ac:dyDescent="0.25">
      <c r="A103" s="211" t="s">
        <v>1782</v>
      </c>
      <c r="B103" s="64">
        <v>20.39</v>
      </c>
      <c r="C103" s="64">
        <v>32.44</v>
      </c>
      <c r="D103" s="64">
        <v>33.299999999999997</v>
      </c>
      <c r="E103" s="64">
        <v>7.69</v>
      </c>
      <c r="F103" s="64">
        <v>2.12</v>
      </c>
      <c r="G103" s="64">
        <v>64.5</v>
      </c>
      <c r="H103" s="64">
        <v>9.23</v>
      </c>
      <c r="I103" s="64">
        <v>2.02</v>
      </c>
      <c r="J103" s="64">
        <v>0.13</v>
      </c>
      <c r="K103" s="64">
        <v>316.48</v>
      </c>
      <c r="L103" s="64">
        <v>24.05</v>
      </c>
      <c r="M103" s="64">
        <v>98.01</v>
      </c>
      <c r="N103" s="64">
        <v>44.9</v>
      </c>
      <c r="O103" s="64">
        <v>0</v>
      </c>
      <c r="P103" s="64">
        <v>1.03</v>
      </c>
      <c r="Q103" s="64">
        <v>9.1</v>
      </c>
      <c r="R103" s="198"/>
      <c r="S103" s="198"/>
      <c r="T103" s="198"/>
      <c r="U103" s="198"/>
    </row>
    <row r="104" spans="1:33" s="12" customFormat="1" x14ac:dyDescent="0.25">
      <c r="A104" s="211" t="s">
        <v>1783</v>
      </c>
      <c r="B104" s="64">
        <v>8.82</v>
      </c>
      <c r="C104" s="64">
        <v>25.05</v>
      </c>
      <c r="D104" s="64">
        <v>20.16</v>
      </c>
      <c r="E104" s="64">
        <v>6.22</v>
      </c>
      <c r="F104" s="64">
        <v>2.99</v>
      </c>
      <c r="G104" s="64">
        <v>64.5</v>
      </c>
      <c r="H104" s="64">
        <v>9.23</v>
      </c>
      <c r="I104" s="64">
        <v>2.0499999999999998</v>
      </c>
      <c r="J104" s="64">
        <v>0.11</v>
      </c>
      <c r="K104" s="64">
        <v>316.62</v>
      </c>
      <c r="L104" s="64">
        <v>23.71</v>
      </c>
      <c r="M104" s="64">
        <v>98.03</v>
      </c>
      <c r="N104" s="64">
        <v>44.9</v>
      </c>
      <c r="O104" s="64">
        <v>0</v>
      </c>
      <c r="P104" s="64">
        <v>0.85</v>
      </c>
      <c r="Q104" s="64">
        <v>9.1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4.6399999999999997</v>
      </c>
      <c r="C106" s="67">
        <f>MIN(C9:C104)</f>
        <v>8.69</v>
      </c>
      <c r="D106" s="67">
        <f t="shared" ref="D106:Q106" si="0">MIN(D9:D104)</f>
        <v>9.8000000000000007</v>
      </c>
      <c r="E106" s="67">
        <f t="shared" si="0"/>
        <v>4.5</v>
      </c>
      <c r="F106" s="67">
        <f t="shared" si="0"/>
        <v>2.1</v>
      </c>
      <c r="G106" s="67">
        <f t="shared" si="0"/>
        <v>47.37</v>
      </c>
      <c r="H106" s="67">
        <f t="shared" si="0"/>
        <v>7.17</v>
      </c>
      <c r="I106" s="67">
        <f t="shared" si="0"/>
        <v>1.25</v>
      </c>
      <c r="J106" s="67">
        <f t="shared" si="0"/>
        <v>0</v>
      </c>
      <c r="K106" s="67">
        <f t="shared" si="0"/>
        <v>3.23</v>
      </c>
      <c r="L106" s="67">
        <f t="shared" si="0"/>
        <v>21.64</v>
      </c>
      <c r="M106" s="67">
        <f t="shared" si="0"/>
        <v>55.8</v>
      </c>
      <c r="N106" s="67">
        <f t="shared" si="0"/>
        <v>44.3</v>
      </c>
      <c r="O106" s="67">
        <f t="shared" si="0"/>
        <v>0</v>
      </c>
      <c r="P106" s="67">
        <f t="shared" si="0"/>
        <v>0.28000000000000003</v>
      </c>
      <c r="Q106" s="67">
        <f t="shared" si="0"/>
        <v>8.9600000000000009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25.49</v>
      </c>
      <c r="C107" s="66">
        <f t="shared" ref="C107:Q107" si="1">MAX(C9:C104)</f>
        <v>43.58</v>
      </c>
      <c r="D107" s="66">
        <f t="shared" si="1"/>
        <v>33.299999999999997</v>
      </c>
      <c r="E107" s="66">
        <f t="shared" si="1"/>
        <v>11.99</v>
      </c>
      <c r="F107" s="66">
        <f t="shared" si="1"/>
        <v>21.21</v>
      </c>
      <c r="G107" s="66">
        <f t="shared" si="1"/>
        <v>79.19</v>
      </c>
      <c r="H107" s="66">
        <f t="shared" si="1"/>
        <v>13.59</v>
      </c>
      <c r="I107" s="66">
        <f t="shared" si="1"/>
        <v>2.39</v>
      </c>
      <c r="J107" s="66">
        <f t="shared" si="1"/>
        <v>1.1299999999999999</v>
      </c>
      <c r="K107" s="66">
        <f t="shared" si="1"/>
        <v>357.62</v>
      </c>
      <c r="L107" s="66">
        <f t="shared" si="1"/>
        <v>29.97</v>
      </c>
      <c r="M107" s="66">
        <f t="shared" si="1"/>
        <v>98.18</v>
      </c>
      <c r="N107" s="66">
        <f t="shared" si="1"/>
        <v>730.2</v>
      </c>
      <c r="O107" s="66">
        <f t="shared" si="1"/>
        <v>0</v>
      </c>
      <c r="P107" s="66">
        <f t="shared" si="1"/>
        <v>1.03</v>
      </c>
      <c r="Q107" s="66">
        <f t="shared" si="1"/>
        <v>9.15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8.15</v>
      </c>
      <c r="C108" s="67">
        <f t="shared" ref="C108:Q108" si="2">AVERAGE(C9:C104)</f>
        <v>19.69489583333333</v>
      </c>
      <c r="D108" s="67">
        <f t="shared" si="2"/>
        <v>16.824687499999996</v>
      </c>
      <c r="E108" s="67">
        <f t="shared" si="2"/>
        <v>7.559583333333336</v>
      </c>
      <c r="F108" s="67">
        <f t="shared" si="2"/>
        <v>7.4887499999999987</v>
      </c>
      <c r="G108" s="67">
        <f t="shared" si="2"/>
        <v>67.185312499999995</v>
      </c>
      <c r="H108" s="67">
        <f t="shared" si="2"/>
        <v>9.5108333333333288</v>
      </c>
      <c r="I108" s="67">
        <f t="shared" si="2"/>
        <v>1.9495833333333339</v>
      </c>
      <c r="J108" s="67">
        <f t="shared" si="2"/>
        <v>0.2792708333333333</v>
      </c>
      <c r="K108" s="67">
        <f t="shared" si="2"/>
        <v>167.49489583333335</v>
      </c>
      <c r="L108" s="67">
        <f t="shared" si="2"/>
        <v>25.989687500000006</v>
      </c>
      <c r="M108" s="67">
        <f t="shared" si="2"/>
        <v>81.972916666666706</v>
      </c>
      <c r="N108" s="67">
        <f t="shared" si="2"/>
        <v>185.3437500000002</v>
      </c>
      <c r="O108" s="67">
        <f t="shared" si="2"/>
        <v>0</v>
      </c>
      <c r="P108" s="67">
        <f t="shared" si="2"/>
        <v>0.60645833333333321</v>
      </c>
      <c r="Q108" s="67">
        <f t="shared" si="2"/>
        <v>9.0531249999999943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3.5567465914497549</v>
      </c>
      <c r="C109" s="67">
        <f t="shared" ref="C109:Q109" si="3">STDEV(C9:C104)</f>
        <v>7.0433304016587188</v>
      </c>
      <c r="D109" s="67">
        <f t="shared" si="3"/>
        <v>5.022554802430844</v>
      </c>
      <c r="E109" s="67">
        <f t="shared" si="3"/>
        <v>2.1249623732478753</v>
      </c>
      <c r="F109" s="67">
        <f t="shared" si="3"/>
        <v>5.4542760144775659</v>
      </c>
      <c r="G109" s="67">
        <f t="shared" si="3"/>
        <v>7.4166495419180185</v>
      </c>
      <c r="H109" s="67">
        <f t="shared" si="3"/>
        <v>1.4413120241215462</v>
      </c>
      <c r="I109" s="67">
        <f t="shared" si="3"/>
        <v>0.38480867882396141</v>
      </c>
      <c r="J109" s="67">
        <f t="shared" si="3"/>
        <v>0.24975037976544195</v>
      </c>
      <c r="K109" s="67">
        <f t="shared" si="3"/>
        <v>91.546605536481778</v>
      </c>
      <c r="L109" s="67">
        <f t="shared" si="3"/>
        <v>2.7050045055414578</v>
      </c>
      <c r="M109" s="67">
        <f t="shared" si="3"/>
        <v>15.366707548371853</v>
      </c>
      <c r="N109" s="67">
        <f t="shared" si="3"/>
        <v>212.53582772273802</v>
      </c>
      <c r="O109" s="67">
        <f t="shared" si="3"/>
        <v>0</v>
      </c>
      <c r="P109" s="67">
        <f t="shared" si="3"/>
        <v>0.1502487703192813</v>
      </c>
      <c r="Q109" s="67">
        <f t="shared" si="3"/>
        <v>4.8151351295461699E-2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21" sqref="H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1784</v>
      </c>
      <c r="B9" s="64">
        <v>11.86</v>
      </c>
      <c r="C9" s="64">
        <v>26.56</v>
      </c>
      <c r="D9" s="64">
        <v>23.38</v>
      </c>
      <c r="E9" s="64">
        <v>6.18</v>
      </c>
      <c r="F9" s="64">
        <v>2.1</v>
      </c>
      <c r="G9" s="64">
        <v>72.849999999999994</v>
      </c>
      <c r="H9" s="64">
        <v>8.94</v>
      </c>
      <c r="I9" s="64">
        <v>2.09</v>
      </c>
      <c r="J9" s="64">
        <v>0.16</v>
      </c>
      <c r="K9" s="64">
        <v>327.68</v>
      </c>
      <c r="L9" s="64">
        <v>23.51</v>
      </c>
      <c r="M9" s="64">
        <v>97.97</v>
      </c>
      <c r="N9" s="64">
        <v>44.9</v>
      </c>
      <c r="O9" s="64">
        <v>0</v>
      </c>
      <c r="P9" s="64">
        <v>0.92</v>
      </c>
      <c r="Q9" s="64">
        <v>9.11</v>
      </c>
      <c r="R9" s="198"/>
      <c r="S9" s="198"/>
      <c r="T9" s="198"/>
      <c r="U9" s="198"/>
    </row>
    <row r="10" spans="1:21" s="12" customFormat="1" x14ac:dyDescent="0.25">
      <c r="A10" s="211" t="s">
        <v>1785</v>
      </c>
      <c r="B10" s="64">
        <v>14.19</v>
      </c>
      <c r="C10" s="64">
        <v>19.2</v>
      </c>
      <c r="D10" s="64">
        <v>21.41</v>
      </c>
      <c r="E10" s="64">
        <v>5.83</v>
      </c>
      <c r="F10" s="64">
        <v>2.1</v>
      </c>
      <c r="G10" s="64">
        <v>73.45</v>
      </c>
      <c r="H10" s="64">
        <v>8.94</v>
      </c>
      <c r="I10" s="64">
        <v>2.12</v>
      </c>
      <c r="J10" s="64">
        <v>0.19</v>
      </c>
      <c r="K10" s="64">
        <v>337.07</v>
      </c>
      <c r="L10" s="64">
        <v>23.33</v>
      </c>
      <c r="M10" s="64">
        <v>97.99</v>
      </c>
      <c r="N10" s="64">
        <v>44.9</v>
      </c>
      <c r="O10" s="64">
        <v>0</v>
      </c>
      <c r="P10" s="64">
        <v>0.89</v>
      </c>
      <c r="Q10" s="64">
        <v>9.1199999999999992</v>
      </c>
      <c r="R10" s="198"/>
      <c r="S10" s="198"/>
      <c r="T10" s="198"/>
      <c r="U10" s="198"/>
    </row>
    <row r="11" spans="1:21" s="12" customFormat="1" x14ac:dyDescent="0.25">
      <c r="A11" s="211" t="s">
        <v>1786</v>
      </c>
      <c r="B11" s="64">
        <v>7.35</v>
      </c>
      <c r="C11" s="64">
        <v>25.84</v>
      </c>
      <c r="D11" s="64">
        <v>19.399999999999999</v>
      </c>
      <c r="E11" s="64">
        <v>5.34</v>
      </c>
      <c r="F11" s="64">
        <v>2.15</v>
      </c>
      <c r="G11" s="64">
        <v>73.45</v>
      </c>
      <c r="H11" s="64">
        <v>8.94</v>
      </c>
      <c r="I11" s="64">
        <v>2.14</v>
      </c>
      <c r="J11" s="64">
        <v>0.09</v>
      </c>
      <c r="K11" s="64">
        <v>313.5</v>
      </c>
      <c r="L11" s="64">
        <v>23.14</v>
      </c>
      <c r="M11" s="64">
        <v>97.94</v>
      </c>
      <c r="N11" s="64">
        <v>44.9</v>
      </c>
      <c r="O11" s="64">
        <v>0</v>
      </c>
      <c r="P11" s="64">
        <v>0.67</v>
      </c>
      <c r="Q11" s="64">
        <v>9.11</v>
      </c>
      <c r="R11" s="198"/>
      <c r="S11" s="198"/>
      <c r="T11" s="198"/>
      <c r="U11" s="198"/>
    </row>
    <row r="12" spans="1:21" s="12" customFormat="1" x14ac:dyDescent="0.25">
      <c r="A12" s="211" t="s">
        <v>1787</v>
      </c>
      <c r="B12" s="64">
        <v>7.5</v>
      </c>
      <c r="C12" s="64">
        <v>19.760000000000002</v>
      </c>
      <c r="D12" s="64">
        <v>16.34</v>
      </c>
      <c r="E12" s="64">
        <v>5.64</v>
      </c>
      <c r="F12" s="64">
        <v>2.1</v>
      </c>
      <c r="G12" s="64">
        <v>73.45</v>
      </c>
      <c r="H12" s="64">
        <v>8.94</v>
      </c>
      <c r="I12" s="64">
        <v>2.15</v>
      </c>
      <c r="J12" s="64">
        <v>0.08</v>
      </c>
      <c r="K12" s="64">
        <v>316.24</v>
      </c>
      <c r="L12" s="64">
        <v>23.2</v>
      </c>
      <c r="M12" s="64">
        <v>97.92</v>
      </c>
      <c r="N12" s="64">
        <v>44.9</v>
      </c>
      <c r="O12" s="64">
        <v>0</v>
      </c>
      <c r="P12" s="64">
        <v>0.7</v>
      </c>
      <c r="Q12" s="64">
        <v>9.1</v>
      </c>
      <c r="R12" s="198"/>
      <c r="S12" s="198"/>
      <c r="T12" s="198"/>
      <c r="U12" s="198"/>
    </row>
    <row r="13" spans="1:21" s="12" customFormat="1" x14ac:dyDescent="0.25">
      <c r="A13" s="211" t="s">
        <v>1788</v>
      </c>
      <c r="B13" s="64">
        <v>6.6</v>
      </c>
      <c r="C13" s="64">
        <v>20.87</v>
      </c>
      <c r="D13" s="64">
        <v>16.190000000000001</v>
      </c>
      <c r="E13" s="64">
        <v>5.26</v>
      </c>
      <c r="F13" s="64">
        <v>2.25</v>
      </c>
      <c r="G13" s="64">
        <v>84.74</v>
      </c>
      <c r="H13" s="64">
        <v>9.07</v>
      </c>
      <c r="I13" s="64">
        <v>2.16</v>
      </c>
      <c r="J13" s="64">
        <v>0.08</v>
      </c>
      <c r="K13" s="64">
        <v>324.14</v>
      </c>
      <c r="L13" s="64">
        <v>23.05</v>
      </c>
      <c r="M13" s="64">
        <v>97.93</v>
      </c>
      <c r="N13" s="64">
        <v>44.8</v>
      </c>
      <c r="O13" s="64">
        <v>0</v>
      </c>
      <c r="P13" s="64">
        <v>0.59</v>
      </c>
      <c r="Q13" s="64">
        <v>9.11</v>
      </c>
      <c r="R13" s="198"/>
      <c r="S13" s="198"/>
      <c r="T13" s="198"/>
      <c r="U13" s="198"/>
    </row>
    <row r="14" spans="1:21" s="12" customFormat="1" x14ac:dyDescent="0.25">
      <c r="A14" s="211" t="s">
        <v>1789</v>
      </c>
      <c r="B14" s="64">
        <v>9.24</v>
      </c>
      <c r="C14" s="64">
        <v>21.26</v>
      </c>
      <c r="D14" s="64">
        <v>18.52</v>
      </c>
      <c r="E14" s="64">
        <v>5.53</v>
      </c>
      <c r="F14" s="64">
        <v>3.72</v>
      </c>
      <c r="G14" s="64">
        <v>85.55</v>
      </c>
      <c r="H14" s="64">
        <v>9.07</v>
      </c>
      <c r="I14" s="64">
        <v>2.1800000000000002</v>
      </c>
      <c r="J14" s="64">
        <v>0.11</v>
      </c>
      <c r="K14" s="64">
        <v>279.13</v>
      </c>
      <c r="L14" s="64">
        <v>23.32</v>
      </c>
      <c r="M14" s="64">
        <v>97.89</v>
      </c>
      <c r="N14" s="64">
        <v>44.3</v>
      </c>
      <c r="O14" s="64">
        <v>0</v>
      </c>
      <c r="P14" s="64">
        <v>0.61</v>
      </c>
      <c r="Q14" s="64">
        <v>9.1</v>
      </c>
      <c r="R14" s="198"/>
      <c r="S14" s="198"/>
      <c r="T14" s="198"/>
      <c r="U14" s="198"/>
    </row>
    <row r="15" spans="1:21" s="12" customFormat="1" x14ac:dyDescent="0.25">
      <c r="A15" s="211" t="s">
        <v>1790</v>
      </c>
      <c r="B15" s="64">
        <v>10.56</v>
      </c>
      <c r="C15" s="64">
        <v>14.49</v>
      </c>
      <c r="D15" s="64">
        <v>16.04</v>
      </c>
      <c r="E15" s="64">
        <v>5.2</v>
      </c>
      <c r="F15" s="64">
        <v>2.1</v>
      </c>
      <c r="G15" s="64">
        <v>85.55</v>
      </c>
      <c r="H15" s="64">
        <v>9.07</v>
      </c>
      <c r="I15" s="64">
        <v>2.2000000000000002</v>
      </c>
      <c r="J15" s="64">
        <v>0.06</v>
      </c>
      <c r="K15" s="64">
        <v>352.46</v>
      </c>
      <c r="L15" s="64">
        <v>23.18</v>
      </c>
      <c r="M15" s="64">
        <v>97.85</v>
      </c>
      <c r="N15" s="64">
        <v>44.6</v>
      </c>
      <c r="O15" s="64">
        <v>0</v>
      </c>
      <c r="P15" s="64">
        <v>0.69</v>
      </c>
      <c r="Q15" s="64">
        <v>9.1</v>
      </c>
      <c r="R15" s="198"/>
      <c r="S15" s="198"/>
      <c r="T15" s="198"/>
      <c r="U15" s="198"/>
    </row>
    <row r="16" spans="1:21" s="12" customFormat="1" x14ac:dyDescent="0.25">
      <c r="A16" s="211" t="s">
        <v>1791</v>
      </c>
      <c r="B16" s="64">
        <v>7.07</v>
      </c>
      <c r="C16" s="64">
        <v>16.32</v>
      </c>
      <c r="D16" s="64">
        <v>14.2</v>
      </c>
      <c r="E16" s="64">
        <v>5.59</v>
      </c>
      <c r="F16" s="64">
        <v>4.07</v>
      </c>
      <c r="G16" s="64">
        <v>85.55</v>
      </c>
      <c r="H16" s="64">
        <v>9.07</v>
      </c>
      <c r="I16" s="64">
        <v>2.2000000000000002</v>
      </c>
      <c r="J16" s="64">
        <v>0.06</v>
      </c>
      <c r="K16" s="64">
        <v>320.51</v>
      </c>
      <c r="L16" s="64">
        <v>23.25</v>
      </c>
      <c r="M16" s="64">
        <v>97.8</v>
      </c>
      <c r="N16" s="64">
        <v>44.7</v>
      </c>
      <c r="O16" s="64">
        <v>0</v>
      </c>
      <c r="P16" s="64">
        <v>0.48</v>
      </c>
      <c r="Q16" s="64">
        <v>9.1</v>
      </c>
      <c r="R16" s="198"/>
      <c r="S16" s="198"/>
      <c r="T16" s="198"/>
      <c r="U16" s="198"/>
    </row>
    <row r="17" spans="1:21" s="12" customFormat="1" x14ac:dyDescent="0.25">
      <c r="A17" s="211" t="s">
        <v>1792</v>
      </c>
      <c r="B17" s="64">
        <v>7.37</v>
      </c>
      <c r="C17" s="64">
        <v>14.55</v>
      </c>
      <c r="D17" s="64">
        <v>13.51</v>
      </c>
      <c r="E17" s="64">
        <v>5.03</v>
      </c>
      <c r="F17" s="64">
        <v>2.1</v>
      </c>
      <c r="G17" s="64">
        <v>78.430000000000007</v>
      </c>
      <c r="H17" s="64">
        <v>8.58</v>
      </c>
      <c r="I17" s="64">
        <v>2.2000000000000002</v>
      </c>
      <c r="J17" s="64">
        <v>7.0000000000000007E-2</v>
      </c>
      <c r="K17" s="64">
        <v>309.10000000000002</v>
      </c>
      <c r="L17" s="64">
        <v>23.04</v>
      </c>
      <c r="M17" s="64">
        <v>97.82</v>
      </c>
      <c r="N17" s="64">
        <v>44.9</v>
      </c>
      <c r="O17" s="64">
        <v>0</v>
      </c>
      <c r="P17" s="64">
        <v>0.64</v>
      </c>
      <c r="Q17" s="64">
        <v>9.1</v>
      </c>
      <c r="R17" s="198"/>
      <c r="S17" s="198"/>
      <c r="T17" s="198"/>
      <c r="U17" s="198"/>
    </row>
    <row r="18" spans="1:21" s="12" customFormat="1" x14ac:dyDescent="0.25">
      <c r="A18" s="211" t="s">
        <v>1793</v>
      </c>
      <c r="B18" s="64">
        <v>7.62</v>
      </c>
      <c r="C18" s="64">
        <v>13.21</v>
      </c>
      <c r="D18" s="64">
        <v>13.01</v>
      </c>
      <c r="E18" s="64">
        <v>4.9800000000000004</v>
      </c>
      <c r="F18" s="64">
        <v>2.85</v>
      </c>
      <c r="G18" s="64">
        <v>77.92</v>
      </c>
      <c r="H18" s="64">
        <v>8.58</v>
      </c>
      <c r="I18" s="64">
        <v>2.19</v>
      </c>
      <c r="J18" s="64">
        <v>0.16</v>
      </c>
      <c r="K18" s="64">
        <v>231.87</v>
      </c>
      <c r="L18" s="64">
        <v>23.03</v>
      </c>
      <c r="M18" s="64">
        <v>97.81</v>
      </c>
      <c r="N18" s="64">
        <v>44.6</v>
      </c>
      <c r="O18" s="64">
        <v>0</v>
      </c>
      <c r="P18" s="64">
        <v>0.5</v>
      </c>
      <c r="Q18" s="64">
        <v>9.1</v>
      </c>
      <c r="R18" s="198"/>
      <c r="S18" s="198"/>
      <c r="T18" s="198"/>
      <c r="U18" s="198"/>
    </row>
    <row r="19" spans="1:21" s="12" customFormat="1" x14ac:dyDescent="0.25">
      <c r="A19" s="211" t="s">
        <v>1794</v>
      </c>
      <c r="B19" s="64">
        <v>6.98</v>
      </c>
      <c r="C19" s="64">
        <v>15.57</v>
      </c>
      <c r="D19" s="64">
        <v>13.73</v>
      </c>
      <c r="E19" s="64">
        <v>5.07</v>
      </c>
      <c r="F19" s="64">
        <v>2.12</v>
      </c>
      <c r="G19" s="64">
        <v>77.92</v>
      </c>
      <c r="H19" s="64">
        <v>8.58</v>
      </c>
      <c r="I19" s="64">
        <v>2.1800000000000002</v>
      </c>
      <c r="J19" s="64">
        <v>0.08</v>
      </c>
      <c r="K19" s="64">
        <v>207.05</v>
      </c>
      <c r="L19" s="64">
        <v>23.22</v>
      </c>
      <c r="M19" s="64">
        <v>97.83</v>
      </c>
      <c r="N19" s="64">
        <v>44.7</v>
      </c>
      <c r="O19" s="64">
        <v>0</v>
      </c>
      <c r="P19" s="64">
        <v>0.54</v>
      </c>
      <c r="Q19" s="64">
        <v>9.09</v>
      </c>
      <c r="R19" s="198"/>
      <c r="S19" s="198"/>
      <c r="T19" s="198"/>
      <c r="U19" s="198"/>
    </row>
    <row r="20" spans="1:21" s="12" customFormat="1" x14ac:dyDescent="0.25">
      <c r="A20" s="211" t="s">
        <v>1795</v>
      </c>
      <c r="B20" s="64">
        <v>7.23</v>
      </c>
      <c r="C20" s="64">
        <v>19.82</v>
      </c>
      <c r="D20" s="64">
        <v>16.149999999999999</v>
      </c>
      <c r="E20" s="64">
        <v>4.93</v>
      </c>
      <c r="F20" s="64">
        <v>2.69</v>
      </c>
      <c r="G20" s="64">
        <v>77.92</v>
      </c>
      <c r="H20" s="64">
        <v>8.58</v>
      </c>
      <c r="I20" s="64">
        <v>2.17</v>
      </c>
      <c r="J20" s="64">
        <v>0.13</v>
      </c>
      <c r="K20" s="64">
        <v>329.31</v>
      </c>
      <c r="L20" s="64">
        <v>22.91</v>
      </c>
      <c r="M20" s="64">
        <v>97.91</v>
      </c>
      <c r="N20" s="64">
        <v>45</v>
      </c>
      <c r="O20" s="64">
        <v>0</v>
      </c>
      <c r="P20" s="64">
        <v>0.54</v>
      </c>
      <c r="Q20" s="64">
        <v>9.11</v>
      </c>
      <c r="R20" s="198"/>
      <c r="S20" s="198"/>
      <c r="T20" s="198"/>
      <c r="U20" s="198"/>
    </row>
    <row r="21" spans="1:21" s="12" customFormat="1" x14ac:dyDescent="0.25">
      <c r="A21" s="211" t="s">
        <v>1796</v>
      </c>
      <c r="B21" s="64">
        <v>8.7899999999999991</v>
      </c>
      <c r="C21" s="64">
        <v>17.34</v>
      </c>
      <c r="D21" s="64">
        <v>16.11</v>
      </c>
      <c r="E21" s="64">
        <v>5.07</v>
      </c>
      <c r="F21" s="64">
        <v>2.3199999999999998</v>
      </c>
      <c r="G21" s="64">
        <v>72.75</v>
      </c>
      <c r="H21" s="64">
        <v>11.42</v>
      </c>
      <c r="I21" s="64">
        <v>2.16</v>
      </c>
      <c r="J21" s="64">
        <v>0.16</v>
      </c>
      <c r="K21" s="64">
        <v>327.64</v>
      </c>
      <c r="L21" s="64">
        <v>22.56</v>
      </c>
      <c r="M21" s="64">
        <v>97.98</v>
      </c>
      <c r="N21" s="64">
        <v>44.9</v>
      </c>
      <c r="O21" s="64">
        <v>0</v>
      </c>
      <c r="P21" s="64">
        <v>0.57999999999999996</v>
      </c>
      <c r="Q21" s="64">
        <v>9.1199999999999992</v>
      </c>
      <c r="R21" s="198"/>
      <c r="S21" s="198"/>
      <c r="T21" s="198"/>
      <c r="U21" s="198"/>
    </row>
    <row r="22" spans="1:21" s="12" customFormat="1" x14ac:dyDescent="0.25">
      <c r="A22" s="211" t="s">
        <v>1797</v>
      </c>
      <c r="B22" s="64">
        <v>8.73</v>
      </c>
      <c r="C22" s="64">
        <v>16.71</v>
      </c>
      <c r="D22" s="64">
        <v>15.73</v>
      </c>
      <c r="E22" s="64">
        <v>4.9000000000000004</v>
      </c>
      <c r="F22" s="64">
        <v>2.12</v>
      </c>
      <c r="G22" s="64">
        <v>72.38</v>
      </c>
      <c r="H22" s="64">
        <v>11.42</v>
      </c>
      <c r="I22" s="64">
        <v>2.16</v>
      </c>
      <c r="J22" s="64">
        <v>0.14000000000000001</v>
      </c>
      <c r="K22" s="64">
        <v>321.16000000000003</v>
      </c>
      <c r="L22" s="64">
        <v>22.27</v>
      </c>
      <c r="M22" s="64">
        <v>98</v>
      </c>
      <c r="N22" s="64">
        <v>44.9</v>
      </c>
      <c r="O22" s="64">
        <v>0</v>
      </c>
      <c r="P22" s="64">
        <v>0.56000000000000005</v>
      </c>
      <c r="Q22" s="64">
        <v>9.1300000000000008</v>
      </c>
      <c r="R22" s="198"/>
      <c r="S22" s="198"/>
      <c r="T22" s="198"/>
      <c r="U22" s="198"/>
    </row>
    <row r="23" spans="1:21" s="12" customFormat="1" x14ac:dyDescent="0.25">
      <c r="A23" s="211" t="s">
        <v>1798</v>
      </c>
      <c r="B23" s="64">
        <v>10.67</v>
      </c>
      <c r="C23" s="64">
        <v>13.68</v>
      </c>
      <c r="D23" s="64">
        <v>15.7</v>
      </c>
      <c r="E23" s="64">
        <v>4.53</v>
      </c>
      <c r="F23" s="64">
        <v>2.1</v>
      </c>
      <c r="G23" s="64">
        <v>72.38</v>
      </c>
      <c r="H23" s="64">
        <v>11.42</v>
      </c>
      <c r="I23" s="64">
        <v>2.17</v>
      </c>
      <c r="J23" s="64">
        <v>0.23</v>
      </c>
      <c r="K23" s="64">
        <v>334.88</v>
      </c>
      <c r="L23" s="64">
        <v>22.15</v>
      </c>
      <c r="M23" s="64">
        <v>98</v>
      </c>
      <c r="N23" s="64">
        <v>44.9</v>
      </c>
      <c r="O23" s="64">
        <v>0</v>
      </c>
      <c r="P23" s="64">
        <v>0.59</v>
      </c>
      <c r="Q23" s="64">
        <v>9.15</v>
      </c>
      <c r="R23" s="198"/>
      <c r="S23" s="198"/>
      <c r="T23" s="198"/>
      <c r="U23" s="198"/>
    </row>
    <row r="24" spans="1:21" s="12" customFormat="1" x14ac:dyDescent="0.25">
      <c r="A24" s="211" t="s">
        <v>1799</v>
      </c>
      <c r="B24" s="64">
        <v>9.07</v>
      </c>
      <c r="C24" s="64">
        <v>12.88</v>
      </c>
      <c r="D24" s="64">
        <v>14</v>
      </c>
      <c r="E24" s="64">
        <v>4.71</v>
      </c>
      <c r="F24" s="64">
        <v>2.1</v>
      </c>
      <c r="G24" s="64">
        <v>72.38</v>
      </c>
      <c r="H24" s="64">
        <v>11.42</v>
      </c>
      <c r="I24" s="64">
        <v>2.1800000000000002</v>
      </c>
      <c r="J24" s="64">
        <v>0.1</v>
      </c>
      <c r="K24" s="64">
        <v>327.02999999999997</v>
      </c>
      <c r="L24" s="64">
        <v>21.87</v>
      </c>
      <c r="M24" s="64">
        <v>97.95</v>
      </c>
      <c r="N24" s="64">
        <v>44.9</v>
      </c>
      <c r="O24" s="64">
        <v>0</v>
      </c>
      <c r="P24" s="64">
        <v>0.56999999999999995</v>
      </c>
      <c r="Q24" s="64">
        <v>9.14</v>
      </c>
      <c r="R24" s="198"/>
      <c r="S24" s="198"/>
      <c r="T24" s="198"/>
      <c r="U24" s="198"/>
    </row>
    <row r="25" spans="1:21" s="12" customFormat="1" x14ac:dyDescent="0.25">
      <c r="A25" s="211" t="s">
        <v>1800</v>
      </c>
      <c r="B25" s="64">
        <v>16.62</v>
      </c>
      <c r="C25" s="64">
        <v>17.11</v>
      </c>
      <c r="D25" s="64">
        <v>22.26</v>
      </c>
      <c r="E25" s="64">
        <v>4.78</v>
      </c>
      <c r="F25" s="64">
        <v>2.1</v>
      </c>
      <c r="G25" s="64">
        <v>71.25</v>
      </c>
      <c r="H25" s="64">
        <v>10.37</v>
      </c>
      <c r="I25" s="64">
        <v>2.19</v>
      </c>
      <c r="J25" s="64">
        <v>0.15</v>
      </c>
      <c r="K25" s="64">
        <v>333.2</v>
      </c>
      <c r="L25" s="64">
        <v>21.68</v>
      </c>
      <c r="M25" s="64">
        <v>97.95</v>
      </c>
      <c r="N25" s="64">
        <v>44.6</v>
      </c>
      <c r="O25" s="64">
        <v>0</v>
      </c>
      <c r="P25" s="64">
        <v>0.6</v>
      </c>
      <c r="Q25" s="64">
        <v>9.14</v>
      </c>
      <c r="R25" s="198"/>
      <c r="S25" s="198"/>
      <c r="T25" s="198"/>
      <c r="U25" s="198"/>
    </row>
    <row r="26" spans="1:21" s="12" customFormat="1" x14ac:dyDescent="0.25">
      <c r="A26" s="211" t="s">
        <v>1801</v>
      </c>
      <c r="B26" s="64">
        <v>9.86</v>
      </c>
      <c r="C26" s="64">
        <v>12.39</v>
      </c>
      <c r="D26" s="64">
        <v>14.38</v>
      </c>
      <c r="E26" s="64">
        <v>4.82</v>
      </c>
      <c r="F26" s="64">
        <v>2.31</v>
      </c>
      <c r="G26" s="64">
        <v>71.17</v>
      </c>
      <c r="H26" s="64">
        <v>10.37</v>
      </c>
      <c r="I26" s="64">
        <v>2.2000000000000002</v>
      </c>
      <c r="J26" s="64">
        <v>0.32</v>
      </c>
      <c r="K26" s="64">
        <v>336.15</v>
      </c>
      <c r="L26" s="64">
        <v>21.76</v>
      </c>
      <c r="M26" s="64">
        <v>97.95</v>
      </c>
      <c r="N26" s="64">
        <v>44.3</v>
      </c>
      <c r="O26" s="64">
        <v>0</v>
      </c>
      <c r="P26" s="64">
        <v>0.56000000000000005</v>
      </c>
      <c r="Q26" s="64">
        <v>9.16</v>
      </c>
      <c r="R26" s="198"/>
      <c r="S26" s="198"/>
      <c r="T26" s="198"/>
      <c r="U26" s="198"/>
    </row>
    <row r="27" spans="1:21" s="12" customFormat="1" x14ac:dyDescent="0.25">
      <c r="A27" s="211" t="s">
        <v>1802</v>
      </c>
      <c r="B27" s="64">
        <v>10.74</v>
      </c>
      <c r="C27" s="64">
        <v>15.11</v>
      </c>
      <c r="D27" s="64">
        <v>16.510000000000002</v>
      </c>
      <c r="E27" s="64">
        <v>4.5599999999999996</v>
      </c>
      <c r="F27" s="64">
        <v>2.1</v>
      </c>
      <c r="G27" s="64">
        <v>71.17</v>
      </c>
      <c r="H27" s="64">
        <v>10.37</v>
      </c>
      <c r="I27" s="64">
        <v>2.2000000000000002</v>
      </c>
      <c r="J27" s="64">
        <v>0.27</v>
      </c>
      <c r="K27" s="64">
        <v>332.04</v>
      </c>
      <c r="L27" s="64">
        <v>21.89</v>
      </c>
      <c r="M27" s="64">
        <v>97.95</v>
      </c>
      <c r="N27" s="64">
        <v>44.5</v>
      </c>
      <c r="O27" s="64">
        <v>0</v>
      </c>
      <c r="P27" s="64">
        <v>0.66</v>
      </c>
      <c r="Q27" s="64">
        <v>9.16</v>
      </c>
      <c r="R27" s="198"/>
      <c r="S27" s="198"/>
      <c r="T27" s="198"/>
      <c r="U27" s="198"/>
    </row>
    <row r="28" spans="1:21" s="12" customFormat="1" x14ac:dyDescent="0.25">
      <c r="A28" s="211" t="s">
        <v>1803</v>
      </c>
      <c r="B28" s="64">
        <v>11.52</v>
      </c>
      <c r="C28" s="64">
        <v>9.4600000000000009</v>
      </c>
      <c r="D28" s="64">
        <v>14.18</v>
      </c>
      <c r="E28" s="64">
        <v>4.57</v>
      </c>
      <c r="F28" s="64">
        <v>2.1</v>
      </c>
      <c r="G28" s="64">
        <v>71.17</v>
      </c>
      <c r="H28" s="64">
        <v>10.37</v>
      </c>
      <c r="I28" s="64">
        <v>2.21</v>
      </c>
      <c r="J28" s="64">
        <v>0.28000000000000003</v>
      </c>
      <c r="K28" s="64">
        <v>336.98</v>
      </c>
      <c r="L28" s="64">
        <v>21.88</v>
      </c>
      <c r="M28" s="64">
        <v>97.95</v>
      </c>
      <c r="N28" s="64">
        <v>44.6</v>
      </c>
      <c r="O28" s="64">
        <v>0</v>
      </c>
      <c r="P28" s="64">
        <v>0.66</v>
      </c>
      <c r="Q28" s="64">
        <v>9.1300000000000008</v>
      </c>
      <c r="R28" s="198"/>
      <c r="S28" s="198"/>
      <c r="T28" s="198"/>
      <c r="U28" s="198"/>
    </row>
    <row r="29" spans="1:21" s="12" customFormat="1" x14ac:dyDescent="0.25">
      <c r="A29" s="211" t="s">
        <v>1804</v>
      </c>
      <c r="B29" s="64">
        <v>12.06</v>
      </c>
      <c r="C29" s="64">
        <v>11.36</v>
      </c>
      <c r="D29" s="64">
        <v>15.61</v>
      </c>
      <c r="E29" s="64">
        <v>4.74</v>
      </c>
      <c r="F29" s="64">
        <v>2.1</v>
      </c>
      <c r="G29" s="64">
        <v>72.66</v>
      </c>
      <c r="H29" s="64">
        <v>9.0299999999999994</v>
      </c>
      <c r="I29" s="64">
        <v>2.2000000000000002</v>
      </c>
      <c r="J29" s="64">
        <v>0.26</v>
      </c>
      <c r="K29" s="64">
        <v>343.46</v>
      </c>
      <c r="L29" s="64">
        <v>21.94</v>
      </c>
      <c r="M29" s="64">
        <v>97.94</v>
      </c>
      <c r="N29" s="64">
        <v>44.6</v>
      </c>
      <c r="O29" s="64">
        <v>0</v>
      </c>
      <c r="P29" s="64">
        <v>0.6</v>
      </c>
      <c r="Q29" s="64">
        <v>9.1199999999999992</v>
      </c>
      <c r="R29" s="198"/>
      <c r="S29" s="198"/>
      <c r="T29" s="198"/>
      <c r="U29" s="198"/>
    </row>
    <row r="30" spans="1:21" s="12" customFormat="1" x14ac:dyDescent="0.25">
      <c r="A30" s="211" t="s">
        <v>1805</v>
      </c>
      <c r="B30" s="64">
        <v>13.41</v>
      </c>
      <c r="C30" s="64">
        <v>12.66</v>
      </c>
      <c r="D30" s="64">
        <v>17.36</v>
      </c>
      <c r="E30" s="64">
        <v>4.38</v>
      </c>
      <c r="F30" s="64">
        <v>2.1</v>
      </c>
      <c r="G30" s="64">
        <v>72.77</v>
      </c>
      <c r="H30" s="64">
        <v>9.0299999999999994</v>
      </c>
      <c r="I30" s="64">
        <v>2.19</v>
      </c>
      <c r="J30" s="64">
        <v>0.02</v>
      </c>
      <c r="K30" s="64">
        <v>52.34</v>
      </c>
      <c r="L30" s="64">
        <v>21.86</v>
      </c>
      <c r="M30" s="64">
        <v>97.93</v>
      </c>
      <c r="N30" s="64">
        <v>44.8</v>
      </c>
      <c r="O30" s="64">
        <v>0</v>
      </c>
      <c r="P30" s="64">
        <v>0.63</v>
      </c>
      <c r="Q30" s="64">
        <v>9.1300000000000008</v>
      </c>
      <c r="R30" s="198"/>
      <c r="S30" s="198"/>
      <c r="T30" s="198"/>
      <c r="U30" s="198"/>
    </row>
    <row r="31" spans="1:21" s="12" customFormat="1" x14ac:dyDescent="0.25">
      <c r="A31" s="211" t="s">
        <v>1806</v>
      </c>
      <c r="B31" s="64">
        <v>8.49</v>
      </c>
      <c r="C31" s="64">
        <v>16.8</v>
      </c>
      <c r="D31" s="64">
        <v>15.58</v>
      </c>
      <c r="E31" s="64">
        <v>4.5199999999999996</v>
      </c>
      <c r="F31" s="64">
        <v>2.1</v>
      </c>
      <c r="G31" s="64">
        <v>72.77</v>
      </c>
      <c r="H31" s="64">
        <v>9.0299999999999994</v>
      </c>
      <c r="I31" s="64">
        <v>2.19</v>
      </c>
      <c r="J31" s="64">
        <v>7.0000000000000007E-2</v>
      </c>
      <c r="K31" s="64">
        <v>136.61000000000001</v>
      </c>
      <c r="L31" s="64">
        <v>21.89</v>
      </c>
      <c r="M31" s="64">
        <v>97.93</v>
      </c>
      <c r="N31" s="64">
        <v>45</v>
      </c>
      <c r="O31" s="64">
        <v>0</v>
      </c>
      <c r="P31" s="64">
        <v>0.57999999999999996</v>
      </c>
      <c r="Q31" s="64">
        <v>9.14</v>
      </c>
      <c r="R31" s="198"/>
      <c r="S31" s="198"/>
      <c r="T31" s="198"/>
      <c r="U31" s="198"/>
    </row>
    <row r="32" spans="1:21" s="12" customFormat="1" x14ac:dyDescent="0.25">
      <c r="A32" s="211" t="s">
        <v>1807</v>
      </c>
      <c r="B32" s="64">
        <v>10.34</v>
      </c>
      <c r="C32" s="64">
        <v>11.18</v>
      </c>
      <c r="D32" s="64">
        <v>14.14</v>
      </c>
      <c r="E32" s="64">
        <v>4.28</v>
      </c>
      <c r="F32" s="64">
        <v>2.1</v>
      </c>
      <c r="G32" s="64">
        <v>72.77</v>
      </c>
      <c r="H32" s="64">
        <v>9.0299999999999994</v>
      </c>
      <c r="I32" s="64">
        <v>2.2000000000000002</v>
      </c>
      <c r="J32" s="64">
        <v>0.1</v>
      </c>
      <c r="K32" s="64">
        <v>127.45</v>
      </c>
      <c r="L32" s="64">
        <v>21.84</v>
      </c>
      <c r="M32" s="64">
        <v>97.92</v>
      </c>
      <c r="N32" s="64">
        <v>47.7</v>
      </c>
      <c r="O32" s="64">
        <v>0</v>
      </c>
      <c r="P32" s="64">
        <v>0.64</v>
      </c>
      <c r="Q32" s="64">
        <v>9.1300000000000008</v>
      </c>
      <c r="R32" s="198"/>
      <c r="S32" s="198"/>
      <c r="T32" s="198"/>
      <c r="U32" s="198"/>
    </row>
    <row r="33" spans="1:21" s="12" customFormat="1" x14ac:dyDescent="0.25">
      <c r="A33" s="211" t="s">
        <v>1808</v>
      </c>
      <c r="B33" s="64">
        <v>9.8000000000000007</v>
      </c>
      <c r="C33" s="64">
        <v>13.75</v>
      </c>
      <c r="D33" s="64">
        <v>15.04</v>
      </c>
      <c r="E33" s="64">
        <v>4.58</v>
      </c>
      <c r="F33" s="64">
        <v>2.1</v>
      </c>
      <c r="G33" s="64">
        <v>72.040000000000006</v>
      </c>
      <c r="H33" s="64">
        <v>8.14</v>
      </c>
      <c r="I33" s="64">
        <v>2.21</v>
      </c>
      <c r="J33" s="64">
        <v>0.16</v>
      </c>
      <c r="K33" s="64">
        <v>131.59</v>
      </c>
      <c r="L33" s="64">
        <v>21.89</v>
      </c>
      <c r="M33" s="64">
        <v>97.9</v>
      </c>
      <c r="N33" s="64">
        <v>56.6</v>
      </c>
      <c r="O33" s="64">
        <v>0</v>
      </c>
      <c r="P33" s="64">
        <v>0.64</v>
      </c>
      <c r="Q33" s="64">
        <v>9.14</v>
      </c>
      <c r="R33" s="198"/>
      <c r="S33" s="198"/>
      <c r="T33" s="198"/>
      <c r="U33" s="198"/>
    </row>
    <row r="34" spans="1:21" s="12" customFormat="1" x14ac:dyDescent="0.25">
      <c r="A34" s="211" t="s">
        <v>1809</v>
      </c>
      <c r="B34" s="64">
        <v>10.65</v>
      </c>
      <c r="C34" s="64">
        <v>10.9</v>
      </c>
      <c r="D34" s="64">
        <v>14.23</v>
      </c>
      <c r="E34" s="64">
        <v>4.3</v>
      </c>
      <c r="F34" s="64">
        <v>2.1</v>
      </c>
      <c r="G34" s="64">
        <v>71.989999999999995</v>
      </c>
      <c r="H34" s="64">
        <v>8.14</v>
      </c>
      <c r="I34" s="64">
        <v>2.23</v>
      </c>
      <c r="J34" s="64">
        <v>0.13</v>
      </c>
      <c r="K34" s="64">
        <v>134.71</v>
      </c>
      <c r="L34" s="64">
        <v>22.05</v>
      </c>
      <c r="M34" s="64">
        <v>97.9</v>
      </c>
      <c r="N34" s="64">
        <v>72.599999999999994</v>
      </c>
      <c r="O34" s="64">
        <v>0</v>
      </c>
      <c r="P34" s="64">
        <v>0.63</v>
      </c>
      <c r="Q34" s="64">
        <v>9.14</v>
      </c>
      <c r="R34" s="198"/>
      <c r="S34" s="198"/>
      <c r="T34" s="198"/>
      <c r="U34" s="198"/>
    </row>
    <row r="35" spans="1:21" s="12" customFormat="1" x14ac:dyDescent="0.25">
      <c r="A35" s="211" t="s">
        <v>1810</v>
      </c>
      <c r="B35" s="64">
        <v>11.87</v>
      </c>
      <c r="C35" s="64">
        <v>12.21</v>
      </c>
      <c r="D35" s="64">
        <v>15.89</v>
      </c>
      <c r="E35" s="64">
        <v>4.46</v>
      </c>
      <c r="F35" s="64">
        <v>2.1</v>
      </c>
      <c r="G35" s="64">
        <v>71.989999999999995</v>
      </c>
      <c r="H35" s="64">
        <v>8.14</v>
      </c>
      <c r="I35" s="64">
        <v>2.25</v>
      </c>
      <c r="J35" s="64">
        <v>0.08</v>
      </c>
      <c r="K35" s="64">
        <v>148.88</v>
      </c>
      <c r="L35" s="64">
        <v>22.51</v>
      </c>
      <c r="M35" s="64">
        <v>97.88</v>
      </c>
      <c r="N35" s="64">
        <v>100.2</v>
      </c>
      <c r="O35" s="64">
        <v>0</v>
      </c>
      <c r="P35" s="64">
        <v>0.64</v>
      </c>
      <c r="Q35" s="64">
        <v>9.14</v>
      </c>
      <c r="R35" s="198"/>
      <c r="S35" s="198"/>
      <c r="T35" s="198"/>
      <c r="U35" s="198"/>
    </row>
    <row r="36" spans="1:21" s="12" customFormat="1" x14ac:dyDescent="0.25">
      <c r="A36" s="211" t="s">
        <v>1811</v>
      </c>
      <c r="B36" s="64">
        <v>18.190000000000001</v>
      </c>
      <c r="C36" s="64">
        <v>17.350000000000001</v>
      </c>
      <c r="D36" s="64">
        <v>23.65</v>
      </c>
      <c r="E36" s="64">
        <v>4.66</v>
      </c>
      <c r="F36" s="64">
        <v>2.1</v>
      </c>
      <c r="G36" s="64">
        <v>71.989999999999995</v>
      </c>
      <c r="H36" s="64">
        <v>8.14</v>
      </c>
      <c r="I36" s="64">
        <v>2.2799999999999998</v>
      </c>
      <c r="J36" s="64">
        <v>0.04</v>
      </c>
      <c r="K36" s="64">
        <v>352.88</v>
      </c>
      <c r="L36" s="64">
        <v>23.41</v>
      </c>
      <c r="M36" s="64">
        <v>97.81</v>
      </c>
      <c r="N36" s="64">
        <v>135.19999999999999</v>
      </c>
      <c r="O36" s="64">
        <v>0</v>
      </c>
      <c r="P36" s="64">
        <v>0.86</v>
      </c>
      <c r="Q36" s="64">
        <v>9.14</v>
      </c>
      <c r="R36" s="198"/>
      <c r="S36" s="198"/>
      <c r="T36" s="198"/>
      <c r="U36" s="198"/>
    </row>
    <row r="37" spans="1:21" s="12" customFormat="1" x14ac:dyDescent="0.25">
      <c r="A37" s="211" t="s">
        <v>1812</v>
      </c>
      <c r="B37" s="64">
        <v>24.34</v>
      </c>
      <c r="C37" s="64">
        <v>17.82</v>
      </c>
      <c r="D37" s="64">
        <v>28.78</v>
      </c>
      <c r="E37" s="64">
        <v>4.7699999999999996</v>
      </c>
      <c r="F37" s="64">
        <v>2.1800000000000002</v>
      </c>
      <c r="G37" s="64">
        <v>80.540000000000006</v>
      </c>
      <c r="H37" s="64">
        <v>9.82</v>
      </c>
      <c r="I37" s="64">
        <v>2.29</v>
      </c>
      <c r="J37" s="64">
        <v>7.0000000000000007E-2</v>
      </c>
      <c r="K37" s="64">
        <v>104.42</v>
      </c>
      <c r="L37" s="64">
        <v>24.44</v>
      </c>
      <c r="M37" s="64">
        <v>97.74</v>
      </c>
      <c r="N37" s="64">
        <v>173.9</v>
      </c>
      <c r="O37" s="64">
        <v>0</v>
      </c>
      <c r="P37" s="64">
        <v>0.74</v>
      </c>
      <c r="Q37" s="64">
        <v>9.15</v>
      </c>
      <c r="R37" s="198"/>
      <c r="S37" s="198"/>
      <c r="T37" s="198"/>
      <c r="U37" s="198"/>
    </row>
    <row r="38" spans="1:21" s="12" customFormat="1" x14ac:dyDescent="0.25">
      <c r="A38" s="211" t="s">
        <v>1813</v>
      </c>
      <c r="B38" s="64">
        <v>11.17</v>
      </c>
      <c r="C38" s="64">
        <v>13.15</v>
      </c>
      <c r="D38" s="64">
        <v>15.83</v>
      </c>
      <c r="E38" s="64">
        <v>4.72</v>
      </c>
      <c r="F38" s="64">
        <v>4.17</v>
      </c>
      <c r="G38" s="64">
        <v>81.150000000000006</v>
      </c>
      <c r="H38" s="64">
        <v>9.82</v>
      </c>
      <c r="I38" s="64">
        <v>2.33</v>
      </c>
      <c r="J38" s="64">
        <v>0.55000000000000004</v>
      </c>
      <c r="K38" s="64">
        <v>132.71</v>
      </c>
      <c r="L38" s="64">
        <v>24.91</v>
      </c>
      <c r="M38" s="64">
        <v>97.11</v>
      </c>
      <c r="N38" s="64">
        <v>216.9</v>
      </c>
      <c r="O38" s="64">
        <v>0</v>
      </c>
      <c r="P38" s="64">
        <v>0.62</v>
      </c>
      <c r="Q38" s="64">
        <v>9.19</v>
      </c>
      <c r="R38" s="198"/>
      <c r="S38" s="198"/>
      <c r="T38" s="198"/>
      <c r="U38" s="198"/>
    </row>
    <row r="39" spans="1:21" s="12" customFormat="1" x14ac:dyDescent="0.25">
      <c r="A39" s="211" t="s">
        <v>1814</v>
      </c>
      <c r="B39" s="64">
        <v>10.31</v>
      </c>
      <c r="C39" s="64">
        <v>11.14</v>
      </c>
      <c r="D39" s="64">
        <v>14.09</v>
      </c>
      <c r="E39" s="64">
        <v>5.38</v>
      </c>
      <c r="F39" s="64">
        <v>6.24</v>
      </c>
      <c r="G39" s="64">
        <v>81.150000000000006</v>
      </c>
      <c r="H39" s="64">
        <v>9.82</v>
      </c>
      <c r="I39" s="64">
        <v>2.38</v>
      </c>
      <c r="J39" s="64">
        <v>0.69</v>
      </c>
      <c r="K39" s="64">
        <v>129.49</v>
      </c>
      <c r="L39" s="64">
        <v>24.87</v>
      </c>
      <c r="M39" s="64">
        <v>95.92</v>
      </c>
      <c r="N39" s="64">
        <v>264.3</v>
      </c>
      <c r="O39" s="64">
        <v>0</v>
      </c>
      <c r="P39" s="64">
        <v>0.57999999999999996</v>
      </c>
      <c r="Q39" s="64">
        <v>9.1999999999999993</v>
      </c>
      <c r="R39" s="198"/>
      <c r="S39" s="198"/>
      <c r="T39" s="198"/>
      <c r="U39" s="198"/>
    </row>
    <row r="40" spans="1:21" s="12" customFormat="1" x14ac:dyDescent="0.25">
      <c r="A40" s="211" t="s">
        <v>1815</v>
      </c>
      <c r="B40" s="64">
        <v>12.58</v>
      </c>
      <c r="C40" s="64">
        <v>15.26</v>
      </c>
      <c r="D40" s="64">
        <v>18.059999999999999</v>
      </c>
      <c r="E40" s="64">
        <v>5.08</v>
      </c>
      <c r="F40" s="64">
        <v>4.92</v>
      </c>
      <c r="G40" s="64">
        <v>81.150000000000006</v>
      </c>
      <c r="H40" s="64">
        <v>9.82</v>
      </c>
      <c r="I40" s="64">
        <v>2.39</v>
      </c>
      <c r="J40" s="64">
        <v>0.6</v>
      </c>
      <c r="K40" s="64">
        <v>128.28</v>
      </c>
      <c r="L40" s="64">
        <v>25.49</v>
      </c>
      <c r="M40" s="64">
        <v>90.84</v>
      </c>
      <c r="N40" s="64">
        <v>310.5</v>
      </c>
      <c r="O40" s="64">
        <v>0</v>
      </c>
      <c r="P40" s="64">
        <v>0.62</v>
      </c>
      <c r="Q40" s="64">
        <v>9.1999999999999993</v>
      </c>
      <c r="R40" s="198"/>
      <c r="S40" s="198"/>
      <c r="T40" s="198"/>
      <c r="U40" s="198"/>
    </row>
    <row r="41" spans="1:21" s="12" customFormat="1" x14ac:dyDescent="0.25">
      <c r="A41" s="211" t="s">
        <v>1816</v>
      </c>
      <c r="B41" s="64">
        <v>14.19</v>
      </c>
      <c r="C41" s="64">
        <v>14.43</v>
      </c>
      <c r="D41" s="64">
        <v>18.920000000000002</v>
      </c>
      <c r="E41" s="64">
        <v>5.93</v>
      </c>
      <c r="F41" s="64">
        <v>3.86</v>
      </c>
      <c r="G41" s="64">
        <v>78.14</v>
      </c>
      <c r="H41" s="64">
        <v>8.77</v>
      </c>
      <c r="I41" s="64">
        <v>2.37</v>
      </c>
      <c r="J41" s="64">
        <v>0.04</v>
      </c>
      <c r="K41" s="64">
        <v>134.83000000000001</v>
      </c>
      <c r="L41" s="64">
        <v>27.11</v>
      </c>
      <c r="M41" s="64">
        <v>79.239999999999995</v>
      </c>
      <c r="N41" s="64">
        <v>358</v>
      </c>
      <c r="O41" s="64">
        <v>0</v>
      </c>
      <c r="P41" s="64">
        <v>0.63</v>
      </c>
      <c r="Q41" s="64">
        <v>9.1999999999999993</v>
      </c>
      <c r="R41" s="198"/>
      <c r="S41" s="198"/>
      <c r="T41" s="198"/>
      <c r="U41" s="198"/>
    </row>
    <row r="42" spans="1:21" s="12" customFormat="1" x14ac:dyDescent="0.25">
      <c r="A42" s="211" t="s">
        <v>1817</v>
      </c>
      <c r="B42" s="64">
        <v>10.7</v>
      </c>
      <c r="C42" s="64">
        <v>15.55</v>
      </c>
      <c r="D42" s="64">
        <v>16.71</v>
      </c>
      <c r="E42" s="64">
        <v>6.55</v>
      </c>
      <c r="F42" s="64">
        <v>6.22</v>
      </c>
      <c r="G42" s="64">
        <v>77.930000000000007</v>
      </c>
      <c r="H42" s="64">
        <v>8.77</v>
      </c>
      <c r="I42" s="64">
        <v>2.36</v>
      </c>
      <c r="J42" s="64">
        <v>0.24</v>
      </c>
      <c r="K42" s="64">
        <v>131.36000000000001</v>
      </c>
      <c r="L42" s="64">
        <v>27.55</v>
      </c>
      <c r="M42" s="64">
        <v>76.63</v>
      </c>
      <c r="N42" s="64">
        <v>406.4</v>
      </c>
      <c r="O42" s="64">
        <v>0</v>
      </c>
      <c r="P42" s="64">
        <v>0.6</v>
      </c>
      <c r="Q42" s="64">
        <v>9.1999999999999993</v>
      </c>
      <c r="R42" s="198"/>
      <c r="S42" s="198"/>
      <c r="T42" s="198"/>
      <c r="U42" s="198"/>
    </row>
    <row r="43" spans="1:21" s="12" customFormat="1" x14ac:dyDescent="0.25">
      <c r="A43" s="211" t="s">
        <v>1818</v>
      </c>
      <c r="B43" s="64">
        <v>10.81</v>
      </c>
      <c r="C43" s="64">
        <v>18.649999999999999</v>
      </c>
      <c r="D43" s="64">
        <v>18.41</v>
      </c>
      <c r="E43" s="64">
        <v>7.08</v>
      </c>
      <c r="F43" s="64">
        <v>4.63</v>
      </c>
      <c r="G43" s="64">
        <v>77.930000000000007</v>
      </c>
      <c r="H43" s="64">
        <v>8.77</v>
      </c>
      <c r="I43" s="64">
        <v>2.35</v>
      </c>
      <c r="J43" s="64">
        <v>0.17</v>
      </c>
      <c r="K43" s="64">
        <v>132.51</v>
      </c>
      <c r="L43" s="64">
        <v>28.21</v>
      </c>
      <c r="M43" s="64">
        <v>72.55</v>
      </c>
      <c r="N43" s="64">
        <v>449.8</v>
      </c>
      <c r="O43" s="64">
        <v>0</v>
      </c>
      <c r="P43" s="64">
        <v>0.62</v>
      </c>
      <c r="Q43" s="64">
        <v>9.2100000000000009</v>
      </c>
      <c r="R43" s="198"/>
      <c r="S43" s="198"/>
      <c r="T43" s="198"/>
      <c r="U43" s="198"/>
    </row>
    <row r="44" spans="1:21" s="12" customFormat="1" x14ac:dyDescent="0.25">
      <c r="A44" s="211" t="s">
        <v>1819</v>
      </c>
      <c r="B44" s="64">
        <v>10.87</v>
      </c>
      <c r="C44" s="64">
        <v>18.39</v>
      </c>
      <c r="D44" s="64">
        <v>18.329999999999998</v>
      </c>
      <c r="E44" s="64">
        <v>7.76</v>
      </c>
      <c r="F44" s="64">
        <v>8.1999999999999993</v>
      </c>
      <c r="G44" s="64">
        <v>77.930000000000007</v>
      </c>
      <c r="H44" s="64">
        <v>8.77</v>
      </c>
      <c r="I44" s="64">
        <v>2.34</v>
      </c>
      <c r="J44" s="64">
        <v>0.36</v>
      </c>
      <c r="K44" s="64">
        <v>115.39</v>
      </c>
      <c r="L44" s="64">
        <v>29.36</v>
      </c>
      <c r="M44" s="64">
        <v>66.55</v>
      </c>
      <c r="N44" s="64">
        <v>490.9</v>
      </c>
      <c r="O44" s="64">
        <v>0</v>
      </c>
      <c r="P44" s="64">
        <v>0.63</v>
      </c>
      <c r="Q44" s="64">
        <v>9.1999999999999993</v>
      </c>
      <c r="R44" s="198"/>
      <c r="S44" s="198"/>
      <c r="T44" s="198"/>
      <c r="U44" s="198"/>
    </row>
    <row r="45" spans="1:21" s="12" customFormat="1" x14ac:dyDescent="0.25">
      <c r="A45" s="211" t="s">
        <v>1820</v>
      </c>
      <c r="B45" s="64">
        <v>9.74</v>
      </c>
      <c r="C45" s="64">
        <v>12.67</v>
      </c>
      <c r="D45" s="64">
        <v>14.43</v>
      </c>
      <c r="E45" s="64">
        <v>7.44</v>
      </c>
      <c r="F45" s="64">
        <v>3.39</v>
      </c>
      <c r="G45" s="64">
        <v>76.239999999999995</v>
      </c>
      <c r="H45" s="64">
        <v>8.06</v>
      </c>
      <c r="I45" s="64">
        <v>2.33</v>
      </c>
      <c r="J45" s="64">
        <v>0.69</v>
      </c>
      <c r="K45" s="64">
        <v>124.29</v>
      </c>
      <c r="L45" s="64">
        <v>27.72</v>
      </c>
      <c r="M45" s="64">
        <v>75.989999999999995</v>
      </c>
      <c r="N45" s="64">
        <v>532.5</v>
      </c>
      <c r="O45" s="64">
        <v>0</v>
      </c>
      <c r="P45" s="64">
        <v>0.59</v>
      </c>
      <c r="Q45" s="64">
        <v>9.19</v>
      </c>
      <c r="R45" s="198"/>
      <c r="S45" s="198"/>
      <c r="T45" s="198"/>
      <c r="U45" s="198"/>
    </row>
    <row r="46" spans="1:21" s="12" customFormat="1" x14ac:dyDescent="0.25">
      <c r="A46" s="211" t="s">
        <v>1821</v>
      </c>
      <c r="B46" s="64">
        <v>14.26</v>
      </c>
      <c r="C46" s="64">
        <v>25.43</v>
      </c>
      <c r="D46" s="64">
        <v>24.72</v>
      </c>
      <c r="E46" s="64">
        <v>7</v>
      </c>
      <c r="F46" s="64">
        <v>3.35</v>
      </c>
      <c r="G46" s="64">
        <v>76.12</v>
      </c>
      <c r="H46" s="64">
        <v>8.06</v>
      </c>
      <c r="I46" s="64">
        <v>2.31</v>
      </c>
      <c r="J46" s="64">
        <v>0.18</v>
      </c>
      <c r="K46" s="64">
        <v>104.6</v>
      </c>
      <c r="L46" s="64">
        <v>29.45</v>
      </c>
      <c r="M46" s="64">
        <v>67.040000000000006</v>
      </c>
      <c r="N46" s="64">
        <v>558.70000000000005</v>
      </c>
      <c r="O46" s="64">
        <v>0</v>
      </c>
      <c r="P46" s="64">
        <v>0.64</v>
      </c>
      <c r="Q46" s="64">
        <v>9.17</v>
      </c>
      <c r="R46" s="198"/>
      <c r="S46" s="198"/>
      <c r="T46" s="198"/>
      <c r="U46" s="198"/>
    </row>
    <row r="47" spans="1:21" s="12" customFormat="1" x14ac:dyDescent="0.25">
      <c r="A47" s="211" t="s">
        <v>1822</v>
      </c>
      <c r="B47" s="64">
        <v>13.05</v>
      </c>
      <c r="C47" s="64">
        <v>19.91</v>
      </c>
      <c r="D47" s="64">
        <v>20.86</v>
      </c>
      <c r="E47" s="64">
        <v>8.3000000000000007</v>
      </c>
      <c r="F47" s="64">
        <v>4.4400000000000004</v>
      </c>
      <c r="G47" s="64">
        <v>76.12</v>
      </c>
      <c r="H47" s="64">
        <v>8.06</v>
      </c>
      <c r="I47" s="64">
        <v>2.27</v>
      </c>
      <c r="J47" s="64">
        <v>0.19</v>
      </c>
      <c r="K47" s="64">
        <v>123.85</v>
      </c>
      <c r="L47" s="64">
        <v>29.81</v>
      </c>
      <c r="M47" s="64">
        <v>65.11</v>
      </c>
      <c r="N47" s="64">
        <v>592.5</v>
      </c>
      <c r="O47" s="64">
        <v>0</v>
      </c>
      <c r="P47" s="64">
        <v>0.61</v>
      </c>
      <c r="Q47" s="64">
        <v>9.16</v>
      </c>
      <c r="R47" s="198"/>
      <c r="S47" s="198"/>
      <c r="T47" s="198"/>
      <c r="U47" s="198"/>
    </row>
    <row r="48" spans="1:21" s="12" customFormat="1" x14ac:dyDescent="0.25">
      <c r="A48" s="211" t="s">
        <v>1823</v>
      </c>
      <c r="B48" s="64">
        <v>13.03</v>
      </c>
      <c r="C48" s="64">
        <v>20.52</v>
      </c>
      <c r="D48" s="64">
        <v>21.17</v>
      </c>
      <c r="E48" s="64">
        <v>9.4600000000000009</v>
      </c>
      <c r="F48" s="64">
        <v>6.76</v>
      </c>
      <c r="G48" s="64">
        <v>76.12</v>
      </c>
      <c r="H48" s="64">
        <v>8.06</v>
      </c>
      <c r="I48" s="64">
        <v>2.2400000000000002</v>
      </c>
      <c r="J48" s="64">
        <v>0.25</v>
      </c>
      <c r="K48" s="64">
        <v>352.25</v>
      </c>
      <c r="L48" s="64">
        <v>30.46</v>
      </c>
      <c r="M48" s="64">
        <v>61.06</v>
      </c>
      <c r="N48" s="64">
        <v>646.1</v>
      </c>
      <c r="O48" s="64">
        <v>0</v>
      </c>
      <c r="P48" s="64">
        <v>0.66</v>
      </c>
      <c r="Q48" s="64">
        <v>9.16</v>
      </c>
      <c r="R48" s="198"/>
      <c r="S48" s="198"/>
      <c r="T48" s="198"/>
      <c r="U48" s="198"/>
    </row>
    <row r="49" spans="1:21" s="12" customFormat="1" x14ac:dyDescent="0.25">
      <c r="A49" s="211" t="s">
        <v>1824</v>
      </c>
      <c r="B49" s="64">
        <v>12.32</v>
      </c>
      <c r="C49" s="64">
        <v>16.5</v>
      </c>
      <c r="D49" s="64">
        <v>18.5</v>
      </c>
      <c r="E49" s="64">
        <v>9.7799999999999994</v>
      </c>
      <c r="F49" s="64">
        <v>5.92</v>
      </c>
      <c r="G49" s="64">
        <v>78.3</v>
      </c>
      <c r="H49" s="64">
        <v>7.58</v>
      </c>
      <c r="I49" s="64">
        <v>2.2200000000000002</v>
      </c>
      <c r="J49" s="64">
        <v>0.46</v>
      </c>
      <c r="K49" s="64">
        <v>115.6</v>
      </c>
      <c r="L49" s="64">
        <v>30.63</v>
      </c>
      <c r="M49" s="64">
        <v>57.54</v>
      </c>
      <c r="N49" s="64">
        <v>688</v>
      </c>
      <c r="O49" s="64">
        <v>0</v>
      </c>
      <c r="P49" s="64">
        <v>0.6</v>
      </c>
      <c r="Q49" s="64">
        <v>9.16</v>
      </c>
      <c r="R49" s="198"/>
      <c r="S49" s="198"/>
      <c r="T49" s="198"/>
      <c r="U49" s="198"/>
    </row>
    <row r="50" spans="1:21" s="12" customFormat="1" x14ac:dyDescent="0.25">
      <c r="A50" s="211" t="s">
        <v>1825</v>
      </c>
      <c r="B50" s="64">
        <v>9.98</v>
      </c>
      <c r="C50" s="64">
        <v>13.44</v>
      </c>
      <c r="D50" s="64">
        <v>15.02</v>
      </c>
      <c r="E50" s="64">
        <v>10.41</v>
      </c>
      <c r="F50" s="64">
        <v>5.82</v>
      </c>
      <c r="G50" s="64">
        <v>78.459999999999994</v>
      </c>
      <c r="H50" s="64">
        <v>7.58</v>
      </c>
      <c r="I50" s="64">
        <v>2.2000000000000002</v>
      </c>
      <c r="J50" s="64">
        <v>0.42</v>
      </c>
      <c r="K50" s="64">
        <v>105.97</v>
      </c>
      <c r="L50" s="64">
        <v>29.12</v>
      </c>
      <c r="M50" s="64">
        <v>61.76</v>
      </c>
      <c r="N50" s="64">
        <v>694.8</v>
      </c>
      <c r="O50" s="64">
        <v>0</v>
      </c>
      <c r="P50" s="64">
        <v>0.54</v>
      </c>
      <c r="Q50" s="64">
        <v>9.15</v>
      </c>
      <c r="R50" s="198"/>
      <c r="S50" s="198"/>
      <c r="T50" s="198"/>
      <c r="U50" s="198"/>
    </row>
    <row r="51" spans="1:21" s="12" customFormat="1" x14ac:dyDescent="0.25">
      <c r="A51" s="211" t="s">
        <v>1826</v>
      </c>
      <c r="B51" s="64">
        <v>9.77</v>
      </c>
      <c r="C51" s="64">
        <v>11.55</v>
      </c>
      <c r="D51" s="64">
        <v>13.87</v>
      </c>
      <c r="E51" s="64">
        <v>10.02</v>
      </c>
      <c r="F51" s="64">
        <v>9.14</v>
      </c>
      <c r="G51" s="64">
        <v>78.459999999999994</v>
      </c>
      <c r="H51" s="64">
        <v>7.58</v>
      </c>
      <c r="I51" s="64">
        <v>2.1800000000000002</v>
      </c>
      <c r="J51" s="64">
        <v>0.96</v>
      </c>
      <c r="K51" s="64">
        <v>132.04</v>
      </c>
      <c r="L51" s="64">
        <v>29.39</v>
      </c>
      <c r="M51" s="64">
        <v>57.88</v>
      </c>
      <c r="N51" s="64">
        <v>648.1</v>
      </c>
      <c r="O51" s="64">
        <v>0</v>
      </c>
      <c r="P51" s="64">
        <v>0.51</v>
      </c>
      <c r="Q51" s="64">
        <v>9.14</v>
      </c>
      <c r="R51" s="198"/>
      <c r="S51" s="198"/>
      <c r="T51" s="198"/>
      <c r="U51" s="198"/>
    </row>
    <row r="52" spans="1:21" s="12" customFormat="1" x14ac:dyDescent="0.25">
      <c r="A52" s="211" t="s">
        <v>1827</v>
      </c>
      <c r="B52" s="64">
        <v>8.58</v>
      </c>
      <c r="C52" s="64">
        <v>13.15</v>
      </c>
      <c r="D52" s="64">
        <v>13.75</v>
      </c>
      <c r="E52" s="64">
        <v>12.27</v>
      </c>
      <c r="F52" s="64">
        <v>12.44</v>
      </c>
      <c r="G52" s="64">
        <v>78.459999999999994</v>
      </c>
      <c r="H52" s="64">
        <v>7.58</v>
      </c>
      <c r="I52" s="64">
        <v>2.15</v>
      </c>
      <c r="J52" s="64">
        <v>0.81</v>
      </c>
      <c r="K52" s="64">
        <v>124.63</v>
      </c>
      <c r="L52" s="64">
        <v>29.16</v>
      </c>
      <c r="M52" s="64">
        <v>58.09</v>
      </c>
      <c r="N52" s="64">
        <v>703</v>
      </c>
      <c r="O52" s="64">
        <v>0</v>
      </c>
      <c r="P52" s="64">
        <v>0.47</v>
      </c>
      <c r="Q52" s="64">
        <v>9.1300000000000008</v>
      </c>
      <c r="R52" s="198"/>
      <c r="S52" s="198"/>
      <c r="T52" s="198"/>
      <c r="U52" s="198"/>
    </row>
    <row r="53" spans="1:21" s="12" customFormat="1" x14ac:dyDescent="0.25">
      <c r="A53" s="211" t="s">
        <v>1828</v>
      </c>
      <c r="B53" s="64">
        <v>10.18</v>
      </c>
      <c r="C53" s="64">
        <v>13.39</v>
      </c>
      <c r="D53" s="64">
        <v>15.16</v>
      </c>
      <c r="E53" s="64">
        <v>13.82</v>
      </c>
      <c r="F53" s="64">
        <v>11.65</v>
      </c>
      <c r="G53" s="64">
        <v>69.38</v>
      </c>
      <c r="H53" s="64">
        <v>10.46</v>
      </c>
      <c r="I53" s="64">
        <v>2.11</v>
      </c>
      <c r="J53" s="64">
        <v>0.6</v>
      </c>
      <c r="K53" s="64">
        <v>119</v>
      </c>
      <c r="L53" s="64">
        <v>29.12</v>
      </c>
      <c r="M53" s="64">
        <v>55.03</v>
      </c>
      <c r="N53" s="64">
        <v>694.5</v>
      </c>
      <c r="O53" s="64">
        <v>0</v>
      </c>
      <c r="P53" s="64">
        <v>0.49</v>
      </c>
      <c r="Q53" s="64">
        <v>9.11</v>
      </c>
      <c r="R53" s="198"/>
      <c r="S53" s="198"/>
      <c r="T53" s="198"/>
      <c r="U53" s="198"/>
    </row>
    <row r="54" spans="1:21" s="12" customFormat="1" x14ac:dyDescent="0.25">
      <c r="A54" s="211" t="s">
        <v>1829</v>
      </c>
      <c r="B54" s="64">
        <v>12.25</v>
      </c>
      <c r="C54" s="64">
        <v>17.100000000000001</v>
      </c>
      <c r="D54" s="64">
        <v>18.760000000000002</v>
      </c>
      <c r="E54" s="64">
        <v>14.74</v>
      </c>
      <c r="F54" s="64">
        <v>6.97</v>
      </c>
      <c r="G54" s="64">
        <v>68.739999999999995</v>
      </c>
      <c r="H54" s="64">
        <v>10.46</v>
      </c>
      <c r="I54" s="64">
        <v>2.0699999999999998</v>
      </c>
      <c r="J54" s="64">
        <v>0.15</v>
      </c>
      <c r="K54" s="64">
        <v>114.15</v>
      </c>
      <c r="L54" s="64">
        <v>30.59</v>
      </c>
      <c r="M54" s="64">
        <v>49.89</v>
      </c>
      <c r="N54" s="64">
        <v>664.2</v>
      </c>
      <c r="O54" s="64">
        <v>0</v>
      </c>
      <c r="P54" s="64">
        <v>0.55000000000000004</v>
      </c>
      <c r="Q54" s="64">
        <v>9.1</v>
      </c>
      <c r="R54" s="198"/>
      <c r="S54" s="198"/>
      <c r="T54" s="198"/>
      <c r="U54" s="198"/>
    </row>
    <row r="55" spans="1:21" s="12" customFormat="1" x14ac:dyDescent="0.25">
      <c r="A55" s="211" t="s">
        <v>1830</v>
      </c>
      <c r="B55" s="64">
        <v>9.11</v>
      </c>
      <c r="C55" s="64">
        <v>14.21</v>
      </c>
      <c r="D55" s="64">
        <v>14.73</v>
      </c>
      <c r="E55" s="64">
        <v>15.67</v>
      </c>
      <c r="F55" s="64">
        <v>13.66</v>
      </c>
      <c r="G55" s="64">
        <v>68.739999999999995</v>
      </c>
      <c r="H55" s="64">
        <v>10.46</v>
      </c>
      <c r="I55" s="64">
        <v>2.02</v>
      </c>
      <c r="J55" s="64">
        <v>0.66</v>
      </c>
      <c r="K55" s="64">
        <v>125.75</v>
      </c>
      <c r="L55" s="64">
        <v>30.1</v>
      </c>
      <c r="M55" s="64">
        <v>50.42</v>
      </c>
      <c r="N55" s="64">
        <v>584.6</v>
      </c>
      <c r="O55" s="64">
        <v>0</v>
      </c>
      <c r="P55" s="64">
        <v>0.51</v>
      </c>
      <c r="Q55" s="64">
        <v>9.1</v>
      </c>
      <c r="R55" s="198"/>
      <c r="S55" s="198"/>
      <c r="T55" s="198"/>
      <c r="U55" s="198"/>
    </row>
    <row r="56" spans="1:21" s="12" customFormat="1" x14ac:dyDescent="0.25">
      <c r="A56" s="211" t="s">
        <v>1831</v>
      </c>
      <c r="B56" s="64">
        <v>11.41</v>
      </c>
      <c r="C56" s="64">
        <v>16.239999999999998</v>
      </c>
      <c r="D56" s="64">
        <v>19.149999999999999</v>
      </c>
      <c r="E56" s="64">
        <v>15.9</v>
      </c>
      <c r="F56" s="64">
        <v>11.04</v>
      </c>
      <c r="G56" s="64">
        <v>68.739999999999995</v>
      </c>
      <c r="H56" s="64">
        <v>10.46</v>
      </c>
      <c r="I56" s="64">
        <v>1.98</v>
      </c>
      <c r="J56" s="64">
        <v>0.24</v>
      </c>
      <c r="K56" s="64">
        <v>351.94</v>
      </c>
      <c r="L56" s="64">
        <v>30.29</v>
      </c>
      <c r="M56" s="64">
        <v>51.17</v>
      </c>
      <c r="N56" s="64">
        <v>582.29999999999995</v>
      </c>
      <c r="O56" s="64">
        <v>0</v>
      </c>
      <c r="P56" s="64">
        <v>0.53</v>
      </c>
      <c r="Q56" s="64">
        <v>9.11</v>
      </c>
      <c r="R56" s="198"/>
      <c r="S56" s="198"/>
      <c r="T56" s="198"/>
      <c r="U56" s="198"/>
    </row>
    <row r="57" spans="1:21" s="12" customFormat="1" x14ac:dyDescent="0.25">
      <c r="A57" s="211" t="s">
        <v>1832</v>
      </c>
      <c r="B57" s="64">
        <v>9</v>
      </c>
      <c r="C57" s="64">
        <v>13.32</v>
      </c>
      <c r="D57" s="64">
        <v>14.17</v>
      </c>
      <c r="E57" s="64">
        <v>13.66</v>
      </c>
      <c r="F57" s="64">
        <v>12.25</v>
      </c>
      <c r="G57" s="64">
        <v>70.02</v>
      </c>
      <c r="H57" s="64">
        <v>9.58</v>
      </c>
      <c r="I57" s="64">
        <v>1.97</v>
      </c>
      <c r="J57" s="64">
        <v>0.37</v>
      </c>
      <c r="K57" s="64">
        <v>116.12</v>
      </c>
      <c r="L57" s="64">
        <v>30.86</v>
      </c>
      <c r="M57" s="64">
        <v>47.54</v>
      </c>
      <c r="N57" s="64">
        <v>703.8</v>
      </c>
      <c r="O57" s="64">
        <v>0</v>
      </c>
      <c r="P57" s="64">
        <v>0.56000000000000005</v>
      </c>
      <c r="Q57" s="64">
        <v>9.1</v>
      </c>
      <c r="R57" s="198"/>
      <c r="S57" s="198"/>
      <c r="T57" s="198"/>
      <c r="U57" s="198"/>
    </row>
    <row r="58" spans="1:21" s="12" customFormat="1" x14ac:dyDescent="0.25">
      <c r="A58" s="211" t="s">
        <v>1833</v>
      </c>
      <c r="B58" s="64">
        <v>7.81</v>
      </c>
      <c r="C58" s="64">
        <v>15.47</v>
      </c>
      <c r="D58" s="64">
        <v>14.35</v>
      </c>
      <c r="E58" s="64">
        <v>12.73</v>
      </c>
      <c r="F58" s="64">
        <v>9.99</v>
      </c>
      <c r="G58" s="64">
        <v>70.11</v>
      </c>
      <c r="H58" s="64">
        <v>9.58</v>
      </c>
      <c r="I58" s="64">
        <v>1.95</v>
      </c>
      <c r="J58" s="64">
        <v>0.21</v>
      </c>
      <c r="K58" s="64">
        <v>12.16</v>
      </c>
      <c r="L58" s="64">
        <v>31.51</v>
      </c>
      <c r="M58" s="64">
        <v>46.86</v>
      </c>
      <c r="N58" s="64">
        <v>607.29999999999995</v>
      </c>
      <c r="O58" s="64">
        <v>0</v>
      </c>
      <c r="P58" s="64">
        <v>0.59</v>
      </c>
      <c r="Q58" s="64">
        <v>9.11</v>
      </c>
      <c r="R58" s="198"/>
      <c r="S58" s="198"/>
      <c r="T58" s="198"/>
      <c r="U58" s="198"/>
    </row>
    <row r="59" spans="1:21" s="12" customFormat="1" x14ac:dyDescent="0.25">
      <c r="A59" s="211" t="s">
        <v>1834</v>
      </c>
      <c r="B59" s="64">
        <v>7.22</v>
      </c>
      <c r="C59" s="64">
        <v>14.22</v>
      </c>
      <c r="D59" s="64">
        <v>13.22</v>
      </c>
      <c r="E59" s="64">
        <v>11.71</v>
      </c>
      <c r="F59" s="64">
        <v>13.61</v>
      </c>
      <c r="G59" s="64">
        <v>70.11</v>
      </c>
      <c r="H59" s="64">
        <v>9.58</v>
      </c>
      <c r="I59" s="64">
        <v>1.93</v>
      </c>
      <c r="J59" s="64">
        <v>0.2</v>
      </c>
      <c r="K59" s="64">
        <v>131.83000000000001</v>
      </c>
      <c r="L59" s="64">
        <v>30.44</v>
      </c>
      <c r="M59" s="64">
        <v>49.97</v>
      </c>
      <c r="N59" s="64">
        <v>538.20000000000005</v>
      </c>
      <c r="O59" s="64">
        <v>0</v>
      </c>
      <c r="P59" s="64">
        <v>0.48</v>
      </c>
      <c r="Q59" s="64">
        <v>9.1</v>
      </c>
      <c r="R59" s="198"/>
      <c r="S59" s="198"/>
      <c r="T59" s="198"/>
      <c r="U59" s="198"/>
    </row>
    <row r="60" spans="1:21" s="12" customFormat="1" x14ac:dyDescent="0.25">
      <c r="A60" s="211" t="s">
        <v>1835</v>
      </c>
      <c r="B60" s="64">
        <v>7.6</v>
      </c>
      <c r="C60" s="64">
        <v>16.47</v>
      </c>
      <c r="D60" s="64">
        <v>14.7</v>
      </c>
      <c r="E60" s="64">
        <v>12.49</v>
      </c>
      <c r="F60" s="64">
        <v>13.25</v>
      </c>
      <c r="G60" s="64">
        <v>70.11</v>
      </c>
      <c r="H60" s="64">
        <v>9.58</v>
      </c>
      <c r="I60" s="64">
        <v>1.93</v>
      </c>
      <c r="J60" s="64">
        <v>0.19</v>
      </c>
      <c r="K60" s="64">
        <v>114.8</v>
      </c>
      <c r="L60" s="64">
        <v>30.31</v>
      </c>
      <c r="M60" s="64">
        <v>51.24</v>
      </c>
      <c r="N60" s="64">
        <v>394.8</v>
      </c>
      <c r="O60" s="64">
        <v>0</v>
      </c>
      <c r="P60" s="64">
        <v>0.53</v>
      </c>
      <c r="Q60" s="64">
        <v>9.1</v>
      </c>
      <c r="R60" s="198"/>
      <c r="S60" s="198"/>
      <c r="T60" s="198"/>
      <c r="U60" s="198"/>
    </row>
    <row r="61" spans="1:21" s="12" customFormat="1" x14ac:dyDescent="0.25">
      <c r="A61" s="211" t="s">
        <v>1836</v>
      </c>
      <c r="B61" s="64">
        <v>6.9</v>
      </c>
      <c r="C61" s="64">
        <v>15.32</v>
      </c>
      <c r="D61" s="64">
        <v>13.54</v>
      </c>
      <c r="E61" s="64">
        <v>13.13</v>
      </c>
      <c r="F61" s="64">
        <v>14.52</v>
      </c>
      <c r="G61" s="64">
        <v>69.55</v>
      </c>
      <c r="H61" s="64">
        <v>8.94</v>
      </c>
      <c r="I61" s="64">
        <v>1.9</v>
      </c>
      <c r="J61" s="64">
        <v>0.38</v>
      </c>
      <c r="K61" s="64">
        <v>123.97</v>
      </c>
      <c r="L61" s="64">
        <v>30.22</v>
      </c>
      <c r="M61" s="64">
        <v>50.26</v>
      </c>
      <c r="N61" s="64">
        <v>281.8</v>
      </c>
      <c r="O61" s="64">
        <v>0</v>
      </c>
      <c r="P61" s="64">
        <v>0.44</v>
      </c>
      <c r="Q61" s="64">
        <v>9.09</v>
      </c>
      <c r="R61" s="198"/>
      <c r="S61" s="198"/>
      <c r="T61" s="198"/>
      <c r="U61" s="198"/>
    </row>
    <row r="62" spans="1:21" s="12" customFormat="1" x14ac:dyDescent="0.25">
      <c r="A62" s="211" t="s">
        <v>1837</v>
      </c>
      <c r="B62" s="64">
        <v>7.35</v>
      </c>
      <c r="C62" s="64">
        <v>16.91</v>
      </c>
      <c r="D62" s="64">
        <v>14.73</v>
      </c>
      <c r="E62" s="64">
        <v>13.8</v>
      </c>
      <c r="F62" s="64">
        <v>10.82</v>
      </c>
      <c r="G62" s="64">
        <v>69.510000000000005</v>
      </c>
      <c r="H62" s="64">
        <v>8.94</v>
      </c>
      <c r="I62" s="64">
        <v>1.88</v>
      </c>
      <c r="J62" s="64">
        <v>0.21</v>
      </c>
      <c r="K62" s="64">
        <v>126.28</v>
      </c>
      <c r="L62" s="64">
        <v>29.86</v>
      </c>
      <c r="M62" s="64">
        <v>51.68</v>
      </c>
      <c r="N62" s="64">
        <v>288</v>
      </c>
      <c r="O62" s="64">
        <v>0</v>
      </c>
      <c r="P62" s="64">
        <v>0.48</v>
      </c>
      <c r="Q62" s="64">
        <v>9.08</v>
      </c>
      <c r="R62" s="198"/>
      <c r="S62" s="198"/>
      <c r="T62" s="198"/>
      <c r="U62" s="198"/>
    </row>
    <row r="63" spans="1:21" s="12" customFormat="1" x14ac:dyDescent="0.25">
      <c r="A63" s="211" t="s">
        <v>1838</v>
      </c>
      <c r="B63" s="64">
        <v>7.55</v>
      </c>
      <c r="C63" s="64">
        <v>17.97</v>
      </c>
      <c r="D63" s="64">
        <v>15.44</v>
      </c>
      <c r="E63" s="64">
        <v>9.32</v>
      </c>
      <c r="F63" s="64">
        <v>11.1</v>
      </c>
      <c r="G63" s="64">
        <v>69.510000000000005</v>
      </c>
      <c r="H63" s="64">
        <v>8.94</v>
      </c>
      <c r="I63" s="64">
        <v>1.86</v>
      </c>
      <c r="J63" s="64">
        <v>0.24</v>
      </c>
      <c r="K63" s="64">
        <v>129.54</v>
      </c>
      <c r="L63" s="64">
        <v>29.62</v>
      </c>
      <c r="M63" s="64">
        <v>51.31</v>
      </c>
      <c r="N63" s="64">
        <v>225.9</v>
      </c>
      <c r="O63" s="64">
        <v>0</v>
      </c>
      <c r="P63" s="64">
        <v>0.54</v>
      </c>
      <c r="Q63" s="64">
        <v>9.07</v>
      </c>
      <c r="R63" s="198"/>
      <c r="S63" s="198"/>
      <c r="T63" s="198"/>
      <c r="U63" s="198"/>
    </row>
    <row r="64" spans="1:21" s="12" customFormat="1" x14ac:dyDescent="0.25">
      <c r="A64" s="211" t="s">
        <v>1839</v>
      </c>
      <c r="B64" s="64">
        <v>7.95</v>
      </c>
      <c r="C64" s="64">
        <v>21.87</v>
      </c>
      <c r="D64" s="64">
        <v>17.8</v>
      </c>
      <c r="E64" s="64">
        <v>15.35</v>
      </c>
      <c r="F64" s="64">
        <v>17.27</v>
      </c>
      <c r="G64" s="64">
        <v>69.510000000000005</v>
      </c>
      <c r="H64" s="64">
        <v>8.94</v>
      </c>
      <c r="I64" s="64">
        <v>1.83</v>
      </c>
      <c r="J64" s="64">
        <v>0.17</v>
      </c>
      <c r="K64" s="64">
        <v>11.01</v>
      </c>
      <c r="L64" s="64">
        <v>29.37</v>
      </c>
      <c r="M64" s="64">
        <v>53.96</v>
      </c>
      <c r="N64" s="64">
        <v>204.9</v>
      </c>
      <c r="O64" s="64">
        <v>0</v>
      </c>
      <c r="P64" s="64">
        <v>0.54</v>
      </c>
      <c r="Q64" s="64">
        <v>9.0500000000000007</v>
      </c>
      <c r="R64" s="198"/>
      <c r="S64" s="198"/>
      <c r="T64" s="198"/>
      <c r="U64" s="198"/>
    </row>
    <row r="65" spans="1:21" s="12" customFormat="1" x14ac:dyDescent="0.25">
      <c r="A65" s="211" t="s">
        <v>1840</v>
      </c>
      <c r="B65" s="64">
        <v>8.26</v>
      </c>
      <c r="C65" s="64">
        <v>18.87</v>
      </c>
      <c r="D65" s="64">
        <v>16.48</v>
      </c>
      <c r="E65" s="64">
        <v>16.16</v>
      </c>
      <c r="F65" s="64">
        <v>11.55</v>
      </c>
      <c r="G65" s="64">
        <v>71.459999999999994</v>
      </c>
      <c r="H65" s="64">
        <v>8.64</v>
      </c>
      <c r="I65" s="64">
        <v>1.79</v>
      </c>
      <c r="J65" s="64">
        <v>0.19</v>
      </c>
      <c r="K65" s="64">
        <v>6.56</v>
      </c>
      <c r="L65" s="64">
        <v>29.99</v>
      </c>
      <c r="M65" s="64">
        <v>51.49</v>
      </c>
      <c r="N65" s="64">
        <v>191.5</v>
      </c>
      <c r="O65" s="64">
        <v>0</v>
      </c>
      <c r="P65" s="64">
        <v>0.59</v>
      </c>
      <c r="Q65" s="64">
        <v>9.0299999999999994</v>
      </c>
      <c r="R65" s="198"/>
      <c r="S65" s="198"/>
      <c r="T65" s="198"/>
      <c r="U65" s="198"/>
    </row>
    <row r="66" spans="1:21" s="12" customFormat="1" x14ac:dyDescent="0.25">
      <c r="A66" s="211" t="s">
        <v>1841</v>
      </c>
      <c r="B66" s="64">
        <v>12.17</v>
      </c>
      <c r="C66" s="64">
        <v>26.5</v>
      </c>
      <c r="D66" s="64">
        <v>23.6</v>
      </c>
      <c r="E66" s="64">
        <v>14.34</v>
      </c>
      <c r="F66" s="64">
        <v>13.48</v>
      </c>
      <c r="G66" s="64">
        <v>71.59</v>
      </c>
      <c r="H66" s="64">
        <v>8.64</v>
      </c>
      <c r="I66" s="64">
        <v>1.76</v>
      </c>
      <c r="J66" s="64">
        <v>0.45</v>
      </c>
      <c r="K66" s="64">
        <v>342.24</v>
      </c>
      <c r="L66" s="64">
        <v>29.55</v>
      </c>
      <c r="M66" s="64">
        <v>52.34</v>
      </c>
      <c r="N66" s="64">
        <v>176.6</v>
      </c>
      <c r="O66" s="64">
        <v>0</v>
      </c>
      <c r="P66" s="64">
        <v>0.61</v>
      </c>
      <c r="Q66" s="64">
        <v>9.0299999999999994</v>
      </c>
      <c r="R66" s="198"/>
      <c r="S66" s="198"/>
      <c r="T66" s="198"/>
      <c r="U66" s="198"/>
    </row>
    <row r="67" spans="1:21" s="12" customFormat="1" x14ac:dyDescent="0.25">
      <c r="A67" s="211" t="s">
        <v>1842</v>
      </c>
      <c r="B67" s="64">
        <v>10.28</v>
      </c>
      <c r="C67" s="64">
        <v>22.94</v>
      </c>
      <c r="D67" s="64">
        <v>20.23</v>
      </c>
      <c r="E67" s="64">
        <v>20.2</v>
      </c>
      <c r="F67" s="64">
        <v>17.36</v>
      </c>
      <c r="G67" s="64">
        <v>71.59</v>
      </c>
      <c r="H67" s="64">
        <v>8.64</v>
      </c>
      <c r="I67" s="64">
        <v>1.74</v>
      </c>
      <c r="J67" s="64">
        <v>0.14000000000000001</v>
      </c>
      <c r="K67" s="64">
        <v>60.97</v>
      </c>
      <c r="L67" s="64">
        <v>29.5</v>
      </c>
      <c r="M67" s="64">
        <v>51.14</v>
      </c>
      <c r="N67" s="64">
        <v>161.80000000000001</v>
      </c>
      <c r="O67" s="64">
        <v>0</v>
      </c>
      <c r="P67" s="64">
        <v>0.55000000000000004</v>
      </c>
      <c r="Q67" s="64">
        <v>9.0399999999999991</v>
      </c>
      <c r="R67" s="198"/>
      <c r="S67" s="198"/>
      <c r="T67" s="198"/>
      <c r="U67" s="198"/>
    </row>
    <row r="68" spans="1:21" s="12" customFormat="1" x14ac:dyDescent="0.25">
      <c r="A68" s="211" t="s">
        <v>1843</v>
      </c>
      <c r="B68" s="64">
        <v>10.38</v>
      </c>
      <c r="C68" s="64">
        <v>24.18</v>
      </c>
      <c r="D68" s="64">
        <v>20.95</v>
      </c>
      <c r="E68" s="64">
        <v>16.809999999999999</v>
      </c>
      <c r="F68" s="64">
        <v>10.039999999999999</v>
      </c>
      <c r="G68" s="64">
        <v>71.59</v>
      </c>
      <c r="H68" s="64">
        <v>8.64</v>
      </c>
      <c r="I68" s="64">
        <v>1.73</v>
      </c>
      <c r="J68" s="64">
        <v>0.88</v>
      </c>
      <c r="K68" s="64">
        <v>333.98</v>
      </c>
      <c r="L68" s="64">
        <v>29.8</v>
      </c>
      <c r="M68" s="64">
        <v>50.78</v>
      </c>
      <c r="N68" s="64">
        <v>171.1</v>
      </c>
      <c r="O68" s="64">
        <v>0</v>
      </c>
      <c r="P68" s="64">
        <v>0.63</v>
      </c>
      <c r="Q68" s="64">
        <v>9.0399999999999991</v>
      </c>
      <c r="R68" s="198"/>
      <c r="S68" s="198"/>
      <c r="T68" s="198"/>
      <c r="U68" s="198"/>
    </row>
    <row r="69" spans="1:21" s="12" customFormat="1" x14ac:dyDescent="0.25">
      <c r="A69" s="211" t="s">
        <v>1844</v>
      </c>
      <c r="B69" s="64">
        <v>9.66</v>
      </c>
      <c r="C69" s="64">
        <v>25.78</v>
      </c>
      <c r="D69" s="64">
        <v>21.22</v>
      </c>
      <c r="E69" s="64">
        <v>21.43</v>
      </c>
      <c r="F69" s="64">
        <v>17.489999999999998</v>
      </c>
      <c r="G69" s="64">
        <v>77.83</v>
      </c>
      <c r="H69" s="64">
        <v>9.07</v>
      </c>
      <c r="I69" s="64">
        <v>1.72</v>
      </c>
      <c r="J69" s="64">
        <v>0.17</v>
      </c>
      <c r="K69" s="64">
        <v>88.89</v>
      </c>
      <c r="L69" s="64">
        <v>29.69</v>
      </c>
      <c r="M69" s="64">
        <v>49</v>
      </c>
      <c r="N69" s="64">
        <v>144.4</v>
      </c>
      <c r="O69" s="64">
        <v>0</v>
      </c>
      <c r="P69" s="64">
        <v>0.55000000000000004</v>
      </c>
      <c r="Q69" s="64">
        <v>9.0500000000000007</v>
      </c>
      <c r="R69" s="198"/>
      <c r="S69" s="198"/>
      <c r="T69" s="198"/>
      <c r="U69" s="198"/>
    </row>
    <row r="70" spans="1:21" s="12" customFormat="1" x14ac:dyDescent="0.25">
      <c r="A70" s="211" t="s">
        <v>1845</v>
      </c>
      <c r="B70" s="64">
        <v>6.95</v>
      </c>
      <c r="C70" s="64">
        <v>18.82</v>
      </c>
      <c r="D70" s="64">
        <v>15.41</v>
      </c>
      <c r="E70" s="64">
        <v>18.04</v>
      </c>
      <c r="F70" s="64">
        <v>16.78</v>
      </c>
      <c r="G70" s="64">
        <v>78.27</v>
      </c>
      <c r="H70" s="64">
        <v>9.07</v>
      </c>
      <c r="I70" s="64">
        <v>1.71</v>
      </c>
      <c r="J70" s="64">
        <v>0.23</v>
      </c>
      <c r="K70" s="64">
        <v>99.55</v>
      </c>
      <c r="L70" s="64">
        <v>28.85</v>
      </c>
      <c r="M70" s="64">
        <v>52.11</v>
      </c>
      <c r="N70" s="64">
        <v>127.8</v>
      </c>
      <c r="O70" s="64">
        <v>0</v>
      </c>
      <c r="P70" s="64">
        <v>0.48</v>
      </c>
      <c r="Q70" s="64">
        <v>9.0500000000000007</v>
      </c>
      <c r="R70" s="198"/>
      <c r="S70" s="198"/>
      <c r="T70" s="198"/>
      <c r="U70" s="198"/>
    </row>
    <row r="71" spans="1:21" s="12" customFormat="1" x14ac:dyDescent="0.25">
      <c r="A71" s="211" t="s">
        <v>1846</v>
      </c>
      <c r="B71" s="64">
        <v>7.14</v>
      </c>
      <c r="C71" s="64">
        <v>25.65</v>
      </c>
      <c r="D71" s="64">
        <v>19.13</v>
      </c>
      <c r="E71" s="64">
        <v>18.14</v>
      </c>
      <c r="F71" s="64">
        <v>17.12</v>
      </c>
      <c r="G71" s="64">
        <v>78.27</v>
      </c>
      <c r="H71" s="64">
        <v>9.07</v>
      </c>
      <c r="I71" s="64">
        <v>1.7</v>
      </c>
      <c r="J71" s="64">
        <v>0.24</v>
      </c>
      <c r="K71" s="64">
        <v>113.47</v>
      </c>
      <c r="L71" s="64">
        <v>28.51</v>
      </c>
      <c r="M71" s="64">
        <v>52.08</v>
      </c>
      <c r="N71" s="64">
        <v>114</v>
      </c>
      <c r="O71" s="64">
        <v>0</v>
      </c>
      <c r="P71" s="64">
        <v>0.62</v>
      </c>
      <c r="Q71" s="64">
        <v>9.0399999999999991</v>
      </c>
      <c r="R71" s="198"/>
      <c r="S71" s="198"/>
      <c r="T71" s="198"/>
      <c r="U71" s="198"/>
    </row>
    <row r="72" spans="1:21" s="12" customFormat="1" x14ac:dyDescent="0.25">
      <c r="A72" s="211" t="s">
        <v>1847</v>
      </c>
      <c r="B72" s="64">
        <v>6.28</v>
      </c>
      <c r="C72" s="64">
        <v>25.94</v>
      </c>
      <c r="D72" s="64">
        <v>18.59</v>
      </c>
      <c r="E72" s="64">
        <v>17.399999999999999</v>
      </c>
      <c r="F72" s="64">
        <v>15.14</v>
      </c>
      <c r="G72" s="64">
        <v>78.27</v>
      </c>
      <c r="H72" s="64">
        <v>9.07</v>
      </c>
      <c r="I72" s="64">
        <v>1.68</v>
      </c>
      <c r="J72" s="64">
        <v>0.28000000000000003</v>
      </c>
      <c r="K72" s="64">
        <v>134.09</v>
      </c>
      <c r="L72" s="64">
        <v>28.4</v>
      </c>
      <c r="M72" s="64">
        <v>51.31</v>
      </c>
      <c r="N72" s="64">
        <v>101.3</v>
      </c>
      <c r="O72" s="64">
        <v>0</v>
      </c>
      <c r="P72" s="64">
        <v>0.56000000000000005</v>
      </c>
      <c r="Q72" s="64">
        <v>9.0399999999999991</v>
      </c>
      <c r="R72" s="198"/>
      <c r="S72" s="198"/>
      <c r="T72" s="198"/>
      <c r="U72" s="198"/>
    </row>
    <row r="73" spans="1:21" s="12" customFormat="1" x14ac:dyDescent="0.25">
      <c r="A73" s="211" t="s">
        <v>1848</v>
      </c>
      <c r="B73" s="64">
        <v>9.0399999999999991</v>
      </c>
      <c r="C73" s="64">
        <v>32.33</v>
      </c>
      <c r="D73" s="64">
        <v>24.14</v>
      </c>
      <c r="E73" s="64">
        <v>20.63</v>
      </c>
      <c r="F73" s="64">
        <v>15.1</v>
      </c>
      <c r="G73" s="64">
        <v>75.13</v>
      </c>
      <c r="H73" s="64">
        <v>8.5</v>
      </c>
      <c r="I73" s="64">
        <v>1.67</v>
      </c>
      <c r="J73" s="64">
        <v>0.09</v>
      </c>
      <c r="K73" s="64">
        <v>145.37</v>
      </c>
      <c r="L73" s="64">
        <v>28.24</v>
      </c>
      <c r="M73" s="64">
        <v>51.41</v>
      </c>
      <c r="N73" s="64">
        <v>90</v>
      </c>
      <c r="O73" s="64">
        <v>0</v>
      </c>
      <c r="P73" s="64">
        <v>0.72</v>
      </c>
      <c r="Q73" s="64">
        <v>9.0399999999999991</v>
      </c>
      <c r="R73" s="198"/>
      <c r="S73" s="198"/>
      <c r="T73" s="198"/>
      <c r="U73" s="198"/>
    </row>
    <row r="74" spans="1:21" s="12" customFormat="1" x14ac:dyDescent="0.25">
      <c r="A74" s="211" t="s">
        <v>1849</v>
      </c>
      <c r="B74" s="64">
        <v>5.36</v>
      </c>
      <c r="C74" s="64">
        <v>21.45</v>
      </c>
      <c r="D74" s="64">
        <v>15.51</v>
      </c>
      <c r="E74" s="64">
        <v>18.54</v>
      </c>
      <c r="F74" s="64">
        <v>20.94</v>
      </c>
      <c r="G74" s="64">
        <v>74.900000000000006</v>
      </c>
      <c r="H74" s="64">
        <v>8.5</v>
      </c>
      <c r="I74" s="64">
        <v>1.67</v>
      </c>
      <c r="J74" s="64">
        <v>0.66</v>
      </c>
      <c r="K74" s="64">
        <v>131.54</v>
      </c>
      <c r="L74" s="64">
        <v>27.96</v>
      </c>
      <c r="M74" s="64">
        <v>56.46</v>
      </c>
      <c r="N74" s="64">
        <v>80.099999999999994</v>
      </c>
      <c r="O74" s="64">
        <v>0</v>
      </c>
      <c r="P74" s="64">
        <v>0.41</v>
      </c>
      <c r="Q74" s="64">
        <v>9.06</v>
      </c>
      <c r="R74" s="198"/>
      <c r="S74" s="198"/>
      <c r="T74" s="198"/>
      <c r="U74" s="198"/>
    </row>
    <row r="75" spans="1:21" s="12" customFormat="1" x14ac:dyDescent="0.25">
      <c r="A75" s="211" t="s">
        <v>1850</v>
      </c>
      <c r="B75" s="64">
        <v>6.13</v>
      </c>
      <c r="C75" s="64">
        <v>19.43</v>
      </c>
      <c r="D75" s="64">
        <v>15.06</v>
      </c>
      <c r="E75" s="64">
        <v>17.350000000000001</v>
      </c>
      <c r="F75" s="64">
        <v>20.89</v>
      </c>
      <c r="G75" s="64">
        <v>74.900000000000006</v>
      </c>
      <c r="H75" s="64">
        <v>8.5</v>
      </c>
      <c r="I75" s="64">
        <v>1.67</v>
      </c>
      <c r="J75" s="64">
        <v>0.56000000000000005</v>
      </c>
      <c r="K75" s="64">
        <v>126.07</v>
      </c>
      <c r="L75" s="64">
        <v>27.65</v>
      </c>
      <c r="M75" s="64">
        <v>59.78</v>
      </c>
      <c r="N75" s="64">
        <v>70.599999999999994</v>
      </c>
      <c r="O75" s="64">
        <v>0</v>
      </c>
      <c r="P75" s="64">
        <v>0.47</v>
      </c>
      <c r="Q75" s="64">
        <v>9.06</v>
      </c>
      <c r="R75" s="198"/>
      <c r="S75" s="198"/>
      <c r="T75" s="198"/>
      <c r="U75" s="198"/>
    </row>
    <row r="76" spans="1:21" s="12" customFormat="1" x14ac:dyDescent="0.25">
      <c r="A76" s="211" t="s">
        <v>1851</v>
      </c>
      <c r="B76" s="64">
        <v>6.71</v>
      </c>
      <c r="C76" s="64">
        <v>23.05</v>
      </c>
      <c r="D76" s="64">
        <v>17.420000000000002</v>
      </c>
      <c r="E76" s="64">
        <v>16.239999999999998</v>
      </c>
      <c r="F76" s="64">
        <v>18.8</v>
      </c>
      <c r="G76" s="64">
        <v>74.900000000000006</v>
      </c>
      <c r="H76" s="64">
        <v>8.5</v>
      </c>
      <c r="I76" s="64">
        <v>1.68</v>
      </c>
      <c r="J76" s="64">
        <v>0.43</v>
      </c>
      <c r="K76" s="64">
        <v>126.74</v>
      </c>
      <c r="L76" s="64">
        <v>27.4</v>
      </c>
      <c r="M76" s="64">
        <v>60.9</v>
      </c>
      <c r="N76" s="64">
        <v>61.1</v>
      </c>
      <c r="O76" s="64">
        <v>0</v>
      </c>
      <c r="P76" s="64">
        <v>0.44</v>
      </c>
      <c r="Q76" s="64">
        <v>9.07</v>
      </c>
      <c r="R76" s="198"/>
      <c r="S76" s="198"/>
      <c r="T76" s="198"/>
      <c r="U76" s="198"/>
    </row>
    <row r="77" spans="1:21" s="12" customFormat="1" x14ac:dyDescent="0.25">
      <c r="A77" s="211" t="s">
        <v>1852</v>
      </c>
      <c r="B77" s="64">
        <v>5.99</v>
      </c>
      <c r="C77" s="64">
        <v>26.88</v>
      </c>
      <c r="D77" s="64">
        <v>18.84</v>
      </c>
      <c r="E77" s="64">
        <v>16.62</v>
      </c>
      <c r="F77" s="64">
        <v>17.149999999999999</v>
      </c>
      <c r="G77" s="64">
        <v>70.91</v>
      </c>
      <c r="H77" s="64">
        <v>8.08</v>
      </c>
      <c r="I77" s="64">
        <v>1.68</v>
      </c>
      <c r="J77" s="64">
        <v>0.31</v>
      </c>
      <c r="K77" s="64">
        <v>131.85</v>
      </c>
      <c r="L77" s="64">
        <v>27.18</v>
      </c>
      <c r="M77" s="64">
        <v>61.67</v>
      </c>
      <c r="N77" s="64">
        <v>52.8</v>
      </c>
      <c r="O77" s="64">
        <v>0</v>
      </c>
      <c r="P77" s="64">
        <v>0.4</v>
      </c>
      <c r="Q77" s="64">
        <v>9.07</v>
      </c>
      <c r="R77" s="198"/>
      <c r="S77" s="198"/>
      <c r="T77" s="198"/>
      <c r="U77" s="198"/>
    </row>
    <row r="78" spans="1:21" s="12" customFormat="1" x14ac:dyDescent="0.25">
      <c r="A78" s="211" t="s">
        <v>1853</v>
      </c>
      <c r="B78" s="64">
        <v>6.96</v>
      </c>
      <c r="C78" s="64">
        <v>27.74</v>
      </c>
      <c r="D78" s="64">
        <v>20.07</v>
      </c>
      <c r="E78" s="64">
        <v>16.399999999999999</v>
      </c>
      <c r="F78" s="64">
        <v>15.36</v>
      </c>
      <c r="G78" s="64">
        <v>70.63</v>
      </c>
      <c r="H78" s="64">
        <v>8.08</v>
      </c>
      <c r="I78" s="64">
        <v>1.67</v>
      </c>
      <c r="J78" s="64">
        <v>0.39</v>
      </c>
      <c r="K78" s="64">
        <v>126.43</v>
      </c>
      <c r="L78" s="64">
        <v>26.98</v>
      </c>
      <c r="M78" s="64">
        <v>63.4</v>
      </c>
      <c r="N78" s="64">
        <v>46.2</v>
      </c>
      <c r="O78" s="64">
        <v>0</v>
      </c>
      <c r="P78" s="64">
        <v>0.51</v>
      </c>
      <c r="Q78" s="64">
        <v>9.07</v>
      </c>
      <c r="R78" s="198"/>
      <c r="S78" s="198"/>
      <c r="T78" s="198"/>
      <c r="U78" s="198"/>
    </row>
    <row r="79" spans="1:21" s="12" customFormat="1" x14ac:dyDescent="0.25">
      <c r="A79" s="211" t="s">
        <v>1854</v>
      </c>
      <c r="B79" s="64">
        <v>5.05</v>
      </c>
      <c r="C79" s="64">
        <v>23.98</v>
      </c>
      <c r="D79" s="64">
        <v>16.579999999999998</v>
      </c>
      <c r="E79" s="64">
        <v>14.63</v>
      </c>
      <c r="F79" s="64">
        <v>14.97</v>
      </c>
      <c r="G79" s="64">
        <v>70.63</v>
      </c>
      <c r="H79" s="64">
        <v>8.08</v>
      </c>
      <c r="I79" s="64">
        <v>1.69</v>
      </c>
      <c r="J79" s="64">
        <v>0.35</v>
      </c>
      <c r="K79" s="64">
        <v>120.1</v>
      </c>
      <c r="L79" s="64">
        <v>26.77</v>
      </c>
      <c r="M79" s="64">
        <v>65.53</v>
      </c>
      <c r="N79" s="64">
        <v>43.1</v>
      </c>
      <c r="O79" s="64">
        <v>0</v>
      </c>
      <c r="P79" s="64">
        <v>0.48</v>
      </c>
      <c r="Q79" s="64">
        <v>9.06</v>
      </c>
      <c r="R79" s="198"/>
      <c r="S79" s="198"/>
      <c r="T79" s="198"/>
      <c r="U79" s="198"/>
    </row>
    <row r="80" spans="1:21" s="12" customFormat="1" x14ac:dyDescent="0.25">
      <c r="A80" s="211" t="s">
        <v>1855</v>
      </c>
      <c r="B80" s="64">
        <v>5.05</v>
      </c>
      <c r="C80" s="64">
        <v>25.71</v>
      </c>
      <c r="D80" s="64">
        <v>17.489999999999998</v>
      </c>
      <c r="E80" s="64">
        <v>13.45</v>
      </c>
      <c r="F80" s="64">
        <v>10.92</v>
      </c>
      <c r="G80" s="64">
        <v>70.63</v>
      </c>
      <c r="H80" s="64">
        <v>8.08</v>
      </c>
      <c r="I80" s="64">
        <v>1.69</v>
      </c>
      <c r="J80" s="64">
        <v>0.49</v>
      </c>
      <c r="K80" s="64">
        <v>113.06</v>
      </c>
      <c r="L80" s="64">
        <v>26.77</v>
      </c>
      <c r="M80" s="64">
        <v>65.13</v>
      </c>
      <c r="N80" s="64">
        <v>42.3</v>
      </c>
      <c r="O80" s="64">
        <v>0</v>
      </c>
      <c r="P80" s="64">
        <v>0.5</v>
      </c>
      <c r="Q80" s="64">
        <v>9.06</v>
      </c>
      <c r="R80" s="198"/>
      <c r="S80" s="198"/>
      <c r="T80" s="198"/>
      <c r="U80" s="198"/>
    </row>
    <row r="81" spans="1:26" s="12" customFormat="1" x14ac:dyDescent="0.25">
      <c r="A81" s="211" t="s">
        <v>1856</v>
      </c>
      <c r="B81" s="64">
        <v>5.27</v>
      </c>
      <c r="C81" s="64">
        <v>28.76</v>
      </c>
      <c r="D81" s="64">
        <v>19.25</v>
      </c>
      <c r="E81" s="64">
        <v>11.89</v>
      </c>
      <c r="F81" s="64">
        <v>8.5299999999999994</v>
      </c>
      <c r="G81" s="64">
        <v>72.010000000000005</v>
      </c>
      <c r="H81" s="64">
        <v>7.78</v>
      </c>
      <c r="I81" s="64">
        <v>1.69</v>
      </c>
      <c r="J81" s="64">
        <v>0.43</v>
      </c>
      <c r="K81" s="64">
        <v>120.59</v>
      </c>
      <c r="L81" s="64">
        <v>26.61</v>
      </c>
      <c r="M81" s="64">
        <v>67.28</v>
      </c>
      <c r="N81" s="64">
        <v>42.4</v>
      </c>
      <c r="O81" s="64">
        <v>0</v>
      </c>
      <c r="P81" s="64">
        <v>0.5</v>
      </c>
      <c r="Q81" s="64">
        <v>9.0500000000000007</v>
      </c>
      <c r="R81" s="198"/>
      <c r="S81" s="198"/>
      <c r="T81" s="198"/>
      <c r="U81" s="198"/>
    </row>
    <row r="82" spans="1:26" s="12" customFormat="1" x14ac:dyDescent="0.25">
      <c r="A82" s="211" t="s">
        <v>1857</v>
      </c>
      <c r="B82" s="64">
        <v>5.89</v>
      </c>
      <c r="C82" s="64">
        <v>29.78</v>
      </c>
      <c r="D82" s="64">
        <v>20.29</v>
      </c>
      <c r="E82" s="64">
        <v>11.46</v>
      </c>
      <c r="F82" s="64">
        <v>4.5599999999999996</v>
      </c>
      <c r="G82" s="64">
        <v>72.11</v>
      </c>
      <c r="H82" s="64">
        <v>7.78</v>
      </c>
      <c r="I82" s="64">
        <v>1.69</v>
      </c>
      <c r="J82" s="64">
        <v>0.34</v>
      </c>
      <c r="K82" s="64">
        <v>118.13</v>
      </c>
      <c r="L82" s="64">
        <v>26.4</v>
      </c>
      <c r="M82" s="64">
        <v>68.84</v>
      </c>
      <c r="N82" s="64">
        <v>42.3</v>
      </c>
      <c r="O82" s="64">
        <v>0</v>
      </c>
      <c r="P82" s="64">
        <v>0.52</v>
      </c>
      <c r="Q82" s="64">
        <v>9.0299999999999994</v>
      </c>
      <c r="R82" s="198"/>
      <c r="S82" s="198"/>
      <c r="T82" s="198"/>
      <c r="U82" s="198"/>
    </row>
    <row r="83" spans="1:26" s="12" customFormat="1" x14ac:dyDescent="0.25">
      <c r="A83" s="211" t="s">
        <v>1858</v>
      </c>
      <c r="B83" s="64">
        <v>5.0199999999999996</v>
      </c>
      <c r="C83" s="64">
        <v>35.83</v>
      </c>
      <c r="D83" s="64">
        <v>22.74</v>
      </c>
      <c r="E83" s="64">
        <v>10.71</v>
      </c>
      <c r="F83" s="64">
        <v>6.98</v>
      </c>
      <c r="G83" s="64">
        <v>72.11</v>
      </c>
      <c r="H83" s="64">
        <v>7.78</v>
      </c>
      <c r="I83" s="64">
        <v>1.68</v>
      </c>
      <c r="J83" s="64">
        <v>0.32</v>
      </c>
      <c r="K83" s="64">
        <v>109.05</v>
      </c>
      <c r="L83" s="64">
        <v>26.28</v>
      </c>
      <c r="M83" s="64">
        <v>69.16</v>
      </c>
      <c r="N83" s="64">
        <v>42.3</v>
      </c>
      <c r="O83" s="64">
        <v>0</v>
      </c>
      <c r="P83" s="64">
        <v>0.55000000000000004</v>
      </c>
      <c r="Q83" s="64">
        <v>9.0299999999999994</v>
      </c>
      <c r="R83" s="198"/>
      <c r="S83" s="198"/>
      <c r="T83" s="198"/>
      <c r="U83" s="198"/>
    </row>
    <row r="84" spans="1:26" s="12" customFormat="1" x14ac:dyDescent="0.25">
      <c r="A84" s="211" t="s">
        <v>1859</v>
      </c>
      <c r="B84" s="64">
        <v>5.18</v>
      </c>
      <c r="C84" s="64">
        <v>30.5</v>
      </c>
      <c r="D84" s="64">
        <v>20.09</v>
      </c>
      <c r="E84" s="64">
        <v>10.63</v>
      </c>
      <c r="F84" s="64">
        <v>6.62</v>
      </c>
      <c r="G84" s="64">
        <v>72.11</v>
      </c>
      <c r="H84" s="64">
        <v>7.78</v>
      </c>
      <c r="I84" s="64">
        <v>1.68</v>
      </c>
      <c r="J84" s="64">
        <v>0.34</v>
      </c>
      <c r="K84" s="64">
        <v>118.44</v>
      </c>
      <c r="L84" s="64">
        <v>26.18</v>
      </c>
      <c r="M84" s="64">
        <v>70.63</v>
      </c>
      <c r="N84" s="64">
        <v>42.3</v>
      </c>
      <c r="O84" s="64">
        <v>0</v>
      </c>
      <c r="P84" s="64">
        <v>0.56000000000000005</v>
      </c>
      <c r="Q84" s="64">
        <v>9.0299999999999994</v>
      </c>
      <c r="R84" s="198"/>
      <c r="S84" s="198"/>
      <c r="T84" s="198"/>
      <c r="U84" s="198"/>
    </row>
    <row r="85" spans="1:26" s="12" customFormat="1" x14ac:dyDescent="0.25">
      <c r="A85" s="211" t="s">
        <v>1860</v>
      </c>
      <c r="B85" s="64">
        <v>4.96</v>
      </c>
      <c r="C85" s="64">
        <v>28.47</v>
      </c>
      <c r="D85" s="64">
        <v>18.850000000000001</v>
      </c>
      <c r="E85" s="64">
        <v>9.94</v>
      </c>
      <c r="F85" s="64">
        <v>7.1</v>
      </c>
      <c r="G85" s="64">
        <v>69.8</v>
      </c>
      <c r="H85" s="64">
        <v>9.82</v>
      </c>
      <c r="I85" s="64">
        <v>1.68</v>
      </c>
      <c r="J85" s="64">
        <v>0.21</v>
      </c>
      <c r="K85" s="64">
        <v>130.01</v>
      </c>
      <c r="L85" s="64">
        <v>25.91</v>
      </c>
      <c r="M85" s="64">
        <v>73.28</v>
      </c>
      <c r="N85" s="64">
        <v>42.5</v>
      </c>
      <c r="O85" s="64">
        <v>0</v>
      </c>
      <c r="P85" s="64">
        <v>0.61</v>
      </c>
      <c r="Q85" s="64">
        <v>9.02</v>
      </c>
      <c r="R85" s="198"/>
      <c r="S85" s="198"/>
      <c r="T85" s="198"/>
      <c r="U85" s="198"/>
    </row>
    <row r="86" spans="1:26" s="12" customFormat="1" x14ac:dyDescent="0.25">
      <c r="A86" s="211" t="s">
        <v>1861</v>
      </c>
      <c r="B86" s="64">
        <v>4.96</v>
      </c>
      <c r="C86" s="64">
        <v>36</v>
      </c>
      <c r="D86" s="64">
        <v>22.78</v>
      </c>
      <c r="E86" s="64">
        <v>9.85</v>
      </c>
      <c r="F86" s="64">
        <v>5.91</v>
      </c>
      <c r="G86" s="64">
        <v>69.64</v>
      </c>
      <c r="H86" s="64">
        <v>9.82</v>
      </c>
      <c r="I86" s="64">
        <v>1.69</v>
      </c>
      <c r="J86" s="64">
        <v>0.11</v>
      </c>
      <c r="K86" s="64">
        <v>140.5</v>
      </c>
      <c r="L86" s="64">
        <v>25.7</v>
      </c>
      <c r="M86" s="64">
        <v>74.599999999999994</v>
      </c>
      <c r="N86" s="64">
        <v>42.4</v>
      </c>
      <c r="O86" s="64">
        <v>0</v>
      </c>
      <c r="P86" s="64">
        <v>0.68</v>
      </c>
      <c r="Q86" s="64">
        <v>9.02</v>
      </c>
      <c r="R86" s="198"/>
      <c r="S86" s="198"/>
      <c r="T86" s="198"/>
      <c r="U86" s="198"/>
    </row>
    <row r="87" spans="1:26" s="12" customFormat="1" x14ac:dyDescent="0.25">
      <c r="A87" s="211" t="s">
        <v>1862</v>
      </c>
      <c r="B87" s="64">
        <v>6.11</v>
      </c>
      <c r="C87" s="64">
        <v>30.82</v>
      </c>
      <c r="D87" s="64">
        <v>21</v>
      </c>
      <c r="E87" s="64">
        <v>9.36</v>
      </c>
      <c r="F87" s="64">
        <v>4.46</v>
      </c>
      <c r="G87" s="64">
        <v>69.64</v>
      </c>
      <c r="H87" s="64">
        <v>9.82</v>
      </c>
      <c r="I87" s="64">
        <v>1.7</v>
      </c>
      <c r="J87" s="64">
        <v>0.08</v>
      </c>
      <c r="K87" s="64">
        <v>82.85</v>
      </c>
      <c r="L87" s="64">
        <v>25.57</v>
      </c>
      <c r="M87" s="64">
        <v>75.099999999999994</v>
      </c>
      <c r="N87" s="64">
        <v>42.3</v>
      </c>
      <c r="O87" s="64">
        <v>0</v>
      </c>
      <c r="P87" s="64">
        <v>0.64</v>
      </c>
      <c r="Q87" s="64">
        <v>9.02</v>
      </c>
      <c r="R87" s="198"/>
      <c r="S87" s="198"/>
      <c r="T87" s="198"/>
      <c r="U87" s="198"/>
    </row>
    <row r="88" spans="1:26" s="12" customFormat="1" x14ac:dyDescent="0.25">
      <c r="A88" s="211" t="s">
        <v>1863</v>
      </c>
      <c r="B88" s="64">
        <v>5.45</v>
      </c>
      <c r="C88" s="64">
        <v>39.28</v>
      </c>
      <c r="D88" s="64">
        <v>24.9</v>
      </c>
      <c r="E88" s="64">
        <v>9.23</v>
      </c>
      <c r="F88" s="64">
        <v>5.88</v>
      </c>
      <c r="G88" s="64">
        <v>69.64</v>
      </c>
      <c r="H88" s="64">
        <v>9.82</v>
      </c>
      <c r="I88" s="64">
        <v>1.73</v>
      </c>
      <c r="J88" s="64">
        <v>0.02</v>
      </c>
      <c r="K88" s="64">
        <v>18.54</v>
      </c>
      <c r="L88" s="64">
        <v>25.47</v>
      </c>
      <c r="M88" s="64">
        <v>76.650000000000006</v>
      </c>
      <c r="N88" s="64">
        <v>42.4</v>
      </c>
      <c r="O88" s="64">
        <v>0</v>
      </c>
      <c r="P88" s="64">
        <v>0.97</v>
      </c>
      <c r="Q88" s="64">
        <v>9.02</v>
      </c>
      <c r="R88" s="198"/>
      <c r="S88" s="198"/>
      <c r="T88" s="198"/>
      <c r="U88" s="198"/>
    </row>
    <row r="89" spans="1:26" s="12" customFormat="1" x14ac:dyDescent="0.25">
      <c r="A89" s="211" t="s">
        <v>1864</v>
      </c>
      <c r="B89" s="64">
        <v>5.67</v>
      </c>
      <c r="C89" s="64">
        <v>37.11</v>
      </c>
      <c r="D89" s="64">
        <v>23.93</v>
      </c>
      <c r="E89" s="64">
        <v>8.67</v>
      </c>
      <c r="F89" s="64">
        <v>2.1</v>
      </c>
      <c r="G89" s="64">
        <v>70.77</v>
      </c>
      <c r="H89" s="64">
        <v>9.58</v>
      </c>
      <c r="I89" s="64">
        <v>1.75</v>
      </c>
      <c r="J89" s="64">
        <v>0.13</v>
      </c>
      <c r="K89" s="64">
        <v>121.5</v>
      </c>
      <c r="L89" s="64">
        <v>25.36</v>
      </c>
      <c r="M89" s="64">
        <v>75.69</v>
      </c>
      <c r="N89" s="64">
        <v>42.3</v>
      </c>
      <c r="O89" s="64">
        <v>0</v>
      </c>
      <c r="P89" s="64">
        <v>0.86</v>
      </c>
      <c r="Q89" s="64">
        <v>9.0299999999999994</v>
      </c>
      <c r="R89" s="198"/>
      <c r="S89" s="198"/>
      <c r="T89" s="198"/>
      <c r="U89" s="198"/>
    </row>
    <row r="90" spans="1:26" s="12" customFormat="1" x14ac:dyDescent="0.25">
      <c r="A90" s="211" t="s">
        <v>1865</v>
      </c>
      <c r="B90" s="64">
        <v>5.46</v>
      </c>
      <c r="C90" s="64">
        <v>34.5</v>
      </c>
      <c r="D90" s="64">
        <v>22.4</v>
      </c>
      <c r="E90" s="64">
        <v>9.25</v>
      </c>
      <c r="F90" s="64">
        <v>4.62</v>
      </c>
      <c r="G90" s="64">
        <v>70.849999999999994</v>
      </c>
      <c r="H90" s="64">
        <v>9.58</v>
      </c>
      <c r="I90" s="64">
        <v>1.79</v>
      </c>
      <c r="J90" s="64">
        <v>0.09</v>
      </c>
      <c r="K90" s="64">
        <v>136.75</v>
      </c>
      <c r="L90" s="64">
        <v>25.28</v>
      </c>
      <c r="M90" s="64">
        <v>73.75</v>
      </c>
      <c r="N90" s="64">
        <v>42.3</v>
      </c>
      <c r="O90" s="64">
        <v>0</v>
      </c>
      <c r="P90" s="64">
        <v>0.85</v>
      </c>
      <c r="Q90" s="64">
        <v>9.0399999999999991</v>
      </c>
      <c r="R90" s="198"/>
      <c r="S90" s="198"/>
      <c r="T90" s="198"/>
      <c r="U90" s="198"/>
    </row>
    <row r="91" spans="1:26" s="12" customFormat="1" x14ac:dyDescent="0.25">
      <c r="A91" s="211" t="s">
        <v>1866</v>
      </c>
      <c r="B91" s="64">
        <v>24.67</v>
      </c>
      <c r="C91" s="64">
        <v>40.880000000000003</v>
      </c>
      <c r="D91" s="64">
        <v>41.14</v>
      </c>
      <c r="E91" s="64">
        <v>9.0299999999999994</v>
      </c>
      <c r="F91" s="64">
        <v>2.1</v>
      </c>
      <c r="G91" s="64">
        <v>70.849999999999994</v>
      </c>
      <c r="H91" s="64">
        <v>9.58</v>
      </c>
      <c r="I91" s="64">
        <v>1.84</v>
      </c>
      <c r="J91" s="64">
        <v>0.09</v>
      </c>
      <c r="K91" s="64">
        <v>324.55</v>
      </c>
      <c r="L91" s="64">
        <v>25.15</v>
      </c>
      <c r="M91" s="64">
        <v>78.05</v>
      </c>
      <c r="N91" s="64">
        <v>42.5</v>
      </c>
      <c r="O91" s="64">
        <v>0</v>
      </c>
      <c r="P91" s="64">
        <v>1.31</v>
      </c>
      <c r="Q91" s="64">
        <v>9.0399999999999991</v>
      </c>
      <c r="R91" s="198"/>
      <c r="S91" s="198"/>
      <c r="T91" s="198"/>
      <c r="U91" s="198"/>
    </row>
    <row r="92" spans="1:26" s="12" customFormat="1" x14ac:dyDescent="0.25">
      <c r="A92" s="211" t="s">
        <v>1867</v>
      </c>
      <c r="B92" s="64">
        <v>7.11</v>
      </c>
      <c r="C92" s="64">
        <v>30.36</v>
      </c>
      <c r="D92" s="64">
        <v>21.56</v>
      </c>
      <c r="E92" s="64">
        <v>8.6300000000000008</v>
      </c>
      <c r="F92" s="64">
        <v>5.61</v>
      </c>
      <c r="G92" s="64">
        <v>70.849999999999994</v>
      </c>
      <c r="H92" s="64">
        <v>9.58</v>
      </c>
      <c r="I92" s="64">
        <v>1.89</v>
      </c>
      <c r="J92" s="64">
        <v>0.31</v>
      </c>
      <c r="K92" s="64">
        <v>115.8</v>
      </c>
      <c r="L92" s="64">
        <v>24.99</v>
      </c>
      <c r="M92" s="64">
        <v>76.34</v>
      </c>
      <c r="N92" s="64">
        <v>42.2</v>
      </c>
      <c r="O92" s="64">
        <v>0</v>
      </c>
      <c r="P92" s="64">
        <v>0.85</v>
      </c>
      <c r="Q92" s="64">
        <v>9.07</v>
      </c>
      <c r="R92" s="198"/>
      <c r="S92" s="198"/>
      <c r="T92" s="198"/>
      <c r="U92" s="198"/>
    </row>
    <row r="93" spans="1:26" s="12" customFormat="1" x14ac:dyDescent="0.25">
      <c r="A93" s="211" t="s">
        <v>1868</v>
      </c>
      <c r="B93" s="64">
        <v>7.09</v>
      </c>
      <c r="C93" s="64">
        <v>37.39</v>
      </c>
      <c r="D93" s="64">
        <v>25.22</v>
      </c>
      <c r="E93" s="64">
        <v>8.8800000000000008</v>
      </c>
      <c r="F93" s="64">
        <v>2.1</v>
      </c>
      <c r="G93" s="64">
        <v>73.78</v>
      </c>
      <c r="H93" s="64">
        <v>9.01</v>
      </c>
      <c r="I93" s="64">
        <v>1.99</v>
      </c>
      <c r="J93" s="64">
        <v>0.1</v>
      </c>
      <c r="K93" s="64">
        <v>150.57</v>
      </c>
      <c r="L93" s="64">
        <v>25.08</v>
      </c>
      <c r="M93" s="64">
        <v>75.099999999999994</v>
      </c>
      <c r="N93" s="64">
        <v>42.2</v>
      </c>
      <c r="O93" s="64">
        <v>0</v>
      </c>
      <c r="P93" s="64">
        <v>0.73</v>
      </c>
      <c r="Q93" s="64">
        <v>9.09</v>
      </c>
      <c r="R93" s="198"/>
      <c r="S93" s="198"/>
      <c r="T93" s="198"/>
      <c r="U93" s="198"/>
    </row>
    <row r="94" spans="1:26" s="12" customFormat="1" x14ac:dyDescent="0.25">
      <c r="A94" s="211" t="s">
        <v>1869</v>
      </c>
      <c r="B94" s="64">
        <v>17.899999999999999</v>
      </c>
      <c r="C94" s="64">
        <v>48.19</v>
      </c>
      <c r="D94" s="64">
        <v>39.54</v>
      </c>
      <c r="E94" s="64">
        <v>8.6300000000000008</v>
      </c>
      <c r="F94" s="64">
        <v>2.1</v>
      </c>
      <c r="G94" s="64">
        <v>73.989999999999995</v>
      </c>
      <c r="H94" s="64">
        <v>9.01</v>
      </c>
      <c r="I94" s="64">
        <v>2.0699999999999998</v>
      </c>
      <c r="J94" s="64">
        <v>0.09</v>
      </c>
      <c r="K94" s="64">
        <v>339.97</v>
      </c>
      <c r="L94" s="64">
        <v>24.79</v>
      </c>
      <c r="M94" s="64">
        <v>78.900000000000006</v>
      </c>
      <c r="N94" s="64">
        <v>42.6</v>
      </c>
      <c r="O94" s="64">
        <v>0</v>
      </c>
      <c r="P94" s="64">
        <v>0.91</v>
      </c>
      <c r="Q94" s="64">
        <v>9.1</v>
      </c>
      <c r="R94" s="198"/>
      <c r="S94" s="198"/>
      <c r="T94" s="198"/>
      <c r="U94" s="198"/>
    </row>
    <row r="95" spans="1:26" s="12" customFormat="1" x14ac:dyDescent="0.25">
      <c r="A95" s="211" t="s">
        <v>1870</v>
      </c>
      <c r="B95" s="64">
        <v>8.44</v>
      </c>
      <c r="C95" s="64">
        <v>34.659999999999997</v>
      </c>
      <c r="D95" s="64">
        <v>24.88</v>
      </c>
      <c r="E95" s="64">
        <v>8.4700000000000006</v>
      </c>
      <c r="F95" s="64">
        <v>2.12</v>
      </c>
      <c r="G95" s="64">
        <v>73.989999999999995</v>
      </c>
      <c r="H95" s="64">
        <v>9.01</v>
      </c>
      <c r="I95" s="64">
        <v>2.11</v>
      </c>
      <c r="J95" s="64">
        <v>0.04</v>
      </c>
      <c r="K95" s="64">
        <v>136.94999999999999</v>
      </c>
      <c r="L95" s="64">
        <v>24.6</v>
      </c>
      <c r="M95" s="64">
        <v>79.41</v>
      </c>
      <c r="N95" s="64">
        <v>42.4</v>
      </c>
      <c r="O95" s="64">
        <v>0</v>
      </c>
      <c r="P95" s="64">
        <v>0.7</v>
      </c>
      <c r="Q95" s="64">
        <v>9.11</v>
      </c>
      <c r="R95" s="198"/>
      <c r="S95" s="198"/>
      <c r="T95" s="198"/>
      <c r="U95" s="198"/>
    </row>
    <row r="96" spans="1:26" s="12" customFormat="1" x14ac:dyDescent="0.25">
      <c r="A96" s="211" t="s">
        <v>1871</v>
      </c>
      <c r="B96" s="64">
        <v>14.68</v>
      </c>
      <c r="C96" s="64">
        <v>43.35</v>
      </c>
      <c r="D96" s="64">
        <v>34.42</v>
      </c>
      <c r="E96" s="64">
        <v>8.19</v>
      </c>
      <c r="F96" s="64">
        <v>2.1</v>
      </c>
      <c r="G96" s="64">
        <v>73.989999999999995</v>
      </c>
      <c r="H96" s="64">
        <v>9.01</v>
      </c>
      <c r="I96" s="64">
        <v>2.16</v>
      </c>
      <c r="J96" s="64">
        <v>0.1</v>
      </c>
      <c r="K96" s="64">
        <v>302.2</v>
      </c>
      <c r="L96" s="64">
        <v>24.36</v>
      </c>
      <c r="M96" s="64">
        <v>82.48</v>
      </c>
      <c r="N96" s="64">
        <v>42.4</v>
      </c>
      <c r="O96" s="64">
        <v>0</v>
      </c>
      <c r="P96" s="64">
        <v>0.82</v>
      </c>
      <c r="Q96" s="64">
        <v>9.14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1872</v>
      </c>
      <c r="B97" s="64">
        <v>64.099999999999994</v>
      </c>
      <c r="C97" s="64">
        <v>38.89</v>
      </c>
      <c r="D97" s="64">
        <v>71.72</v>
      </c>
      <c r="E97" s="64">
        <v>8.2100000000000009</v>
      </c>
      <c r="F97" s="64">
        <v>2.1</v>
      </c>
      <c r="G97" s="64">
        <v>80.34</v>
      </c>
      <c r="H97" s="64">
        <v>8.39</v>
      </c>
      <c r="I97" s="64">
        <v>2.2000000000000002</v>
      </c>
      <c r="J97" s="64">
        <v>0.16</v>
      </c>
      <c r="K97" s="64">
        <v>329.99</v>
      </c>
      <c r="L97" s="64">
        <v>24.14</v>
      </c>
      <c r="M97" s="64">
        <v>87.61</v>
      </c>
      <c r="N97" s="64">
        <v>42.6</v>
      </c>
      <c r="O97" s="64">
        <v>0</v>
      </c>
      <c r="P97" s="64">
        <v>1.71</v>
      </c>
      <c r="Q97" s="64">
        <v>9.16</v>
      </c>
      <c r="R97" s="198"/>
      <c r="S97" s="198"/>
      <c r="T97" s="198"/>
      <c r="U97" s="198"/>
    </row>
    <row r="98" spans="1:33" s="12" customFormat="1" x14ac:dyDescent="0.25">
      <c r="A98" s="211" t="s">
        <v>1873</v>
      </c>
      <c r="B98" s="64">
        <v>27.77</v>
      </c>
      <c r="C98" s="64">
        <v>24.93</v>
      </c>
      <c r="D98" s="64">
        <v>35.29</v>
      </c>
      <c r="E98" s="64">
        <v>7.23</v>
      </c>
      <c r="F98" s="64">
        <v>2.1</v>
      </c>
      <c r="G98" s="64">
        <v>80.790000000000006</v>
      </c>
      <c r="H98" s="64">
        <v>8.39</v>
      </c>
      <c r="I98" s="64">
        <v>2.23</v>
      </c>
      <c r="J98" s="64">
        <v>0.15</v>
      </c>
      <c r="K98" s="64">
        <v>325.89999999999998</v>
      </c>
      <c r="L98" s="64">
        <v>23.71</v>
      </c>
      <c r="M98" s="64">
        <v>91.74</v>
      </c>
      <c r="N98" s="64">
        <v>42.6</v>
      </c>
      <c r="O98" s="64">
        <v>0</v>
      </c>
      <c r="P98" s="64">
        <v>1.19</v>
      </c>
      <c r="Q98" s="64">
        <v>9.19</v>
      </c>
      <c r="R98" s="198"/>
      <c r="S98" s="198"/>
      <c r="T98" s="198"/>
      <c r="U98" s="198"/>
    </row>
    <row r="99" spans="1:33" s="12" customFormat="1" x14ac:dyDescent="0.25">
      <c r="A99" s="211" t="s">
        <v>1874</v>
      </c>
      <c r="B99" s="64">
        <v>91.7</v>
      </c>
      <c r="C99" s="64">
        <v>24.03</v>
      </c>
      <c r="D99" s="64">
        <v>85.94</v>
      </c>
      <c r="E99" s="64">
        <v>7.01</v>
      </c>
      <c r="F99" s="64">
        <v>2.1</v>
      </c>
      <c r="G99" s="64">
        <v>80.790000000000006</v>
      </c>
      <c r="H99" s="64">
        <v>8.39</v>
      </c>
      <c r="I99" s="64">
        <v>2.2999999999999998</v>
      </c>
      <c r="J99" s="64">
        <v>0.18</v>
      </c>
      <c r="K99" s="64">
        <v>341.22</v>
      </c>
      <c r="L99" s="64">
        <v>23.48</v>
      </c>
      <c r="M99" s="64">
        <v>96.02</v>
      </c>
      <c r="N99" s="64">
        <v>42.5</v>
      </c>
      <c r="O99" s="64">
        <v>0</v>
      </c>
      <c r="P99" s="64">
        <v>1.69</v>
      </c>
      <c r="Q99" s="64">
        <v>9.2200000000000006</v>
      </c>
      <c r="R99" s="198"/>
      <c r="S99" s="198"/>
      <c r="T99" s="198"/>
      <c r="U99" s="198"/>
    </row>
    <row r="100" spans="1:33" s="12" customFormat="1" x14ac:dyDescent="0.25">
      <c r="A100" s="211" t="s">
        <v>1875</v>
      </c>
      <c r="B100" s="64">
        <v>68.400000000000006</v>
      </c>
      <c r="C100" s="64">
        <v>33.67</v>
      </c>
      <c r="D100" s="64">
        <v>72.45</v>
      </c>
      <c r="E100" s="64">
        <v>6.6</v>
      </c>
      <c r="F100" s="64">
        <v>2.1</v>
      </c>
      <c r="G100" s="64">
        <v>80.790000000000006</v>
      </c>
      <c r="H100" s="64">
        <v>8.39</v>
      </c>
      <c r="I100" s="64">
        <v>2.37</v>
      </c>
      <c r="J100" s="64">
        <v>0.11</v>
      </c>
      <c r="K100" s="64">
        <v>333.38</v>
      </c>
      <c r="L100" s="64">
        <v>23.17</v>
      </c>
      <c r="M100" s="64">
        <v>96.93</v>
      </c>
      <c r="N100" s="64">
        <v>42.5</v>
      </c>
      <c r="O100" s="64">
        <v>0</v>
      </c>
      <c r="P100" s="64">
        <v>1.5</v>
      </c>
      <c r="Q100" s="64">
        <v>9.2899999999999991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1876</v>
      </c>
      <c r="B101" s="64">
        <v>84.72</v>
      </c>
      <c r="C101" s="64">
        <v>18.37</v>
      </c>
      <c r="D101" s="64">
        <v>77.33</v>
      </c>
      <c r="E101" s="64">
        <v>7.03</v>
      </c>
      <c r="F101" s="64">
        <v>2.1</v>
      </c>
      <c r="G101" s="64">
        <v>99.67</v>
      </c>
      <c r="H101" s="64">
        <v>10.96</v>
      </c>
      <c r="I101" s="64">
        <v>2.6</v>
      </c>
      <c r="J101" s="64">
        <v>0.14000000000000001</v>
      </c>
      <c r="K101" s="64">
        <v>352.3</v>
      </c>
      <c r="L101" s="64">
        <v>23.02</v>
      </c>
      <c r="M101" s="64">
        <v>97.7</v>
      </c>
      <c r="N101" s="64">
        <v>42.4</v>
      </c>
      <c r="O101" s="64">
        <v>0</v>
      </c>
      <c r="P101" s="64">
        <v>1.43</v>
      </c>
      <c r="Q101" s="64">
        <v>9.3699999999999992</v>
      </c>
      <c r="R101" s="198"/>
      <c r="S101" s="198"/>
      <c r="T101" s="198"/>
      <c r="U101" s="198"/>
    </row>
    <row r="102" spans="1:33" s="12" customFormat="1" x14ac:dyDescent="0.25">
      <c r="A102" s="211" t="s">
        <v>1877</v>
      </c>
      <c r="B102" s="64">
        <v>46.47</v>
      </c>
      <c r="C102" s="64">
        <v>32.9</v>
      </c>
      <c r="D102" s="64">
        <v>54.46</v>
      </c>
      <c r="E102" s="64">
        <v>6.27</v>
      </c>
      <c r="F102" s="64">
        <v>2.1</v>
      </c>
      <c r="G102" s="64">
        <v>101.02</v>
      </c>
      <c r="H102" s="64">
        <v>10.96</v>
      </c>
      <c r="I102" s="64">
        <v>2.63</v>
      </c>
      <c r="J102" s="64">
        <v>0.02</v>
      </c>
      <c r="K102" s="64">
        <v>291.08999999999997</v>
      </c>
      <c r="L102" s="64">
        <v>22.79</v>
      </c>
      <c r="M102" s="64">
        <v>97.73</v>
      </c>
      <c r="N102" s="64">
        <v>42.3</v>
      </c>
      <c r="O102" s="64">
        <v>0</v>
      </c>
      <c r="P102" s="64">
        <v>1.21</v>
      </c>
      <c r="Q102" s="64">
        <v>9.44</v>
      </c>
      <c r="R102" s="198"/>
      <c r="S102" s="198"/>
      <c r="T102" s="198"/>
      <c r="U102" s="198"/>
    </row>
    <row r="103" spans="1:33" s="12" customFormat="1" x14ac:dyDescent="0.25">
      <c r="A103" s="211" t="s">
        <v>1878</v>
      </c>
      <c r="B103" s="64">
        <v>36.200000000000003</v>
      </c>
      <c r="C103" s="64">
        <v>20.32</v>
      </c>
      <c r="D103" s="64">
        <v>39.64</v>
      </c>
      <c r="E103" s="64">
        <v>6.28</v>
      </c>
      <c r="F103" s="64">
        <v>2.1</v>
      </c>
      <c r="G103" s="64">
        <v>101.02</v>
      </c>
      <c r="H103" s="64">
        <v>10.96</v>
      </c>
      <c r="I103" s="64">
        <v>2.58</v>
      </c>
      <c r="J103" s="64">
        <v>0.1</v>
      </c>
      <c r="K103" s="64">
        <v>331.21</v>
      </c>
      <c r="L103" s="64">
        <v>22.69</v>
      </c>
      <c r="M103" s="64">
        <v>97.73</v>
      </c>
      <c r="N103" s="64">
        <v>42.3</v>
      </c>
      <c r="O103" s="64">
        <v>0</v>
      </c>
      <c r="P103" s="64">
        <v>1.18</v>
      </c>
      <c r="Q103" s="64">
        <v>9.5</v>
      </c>
      <c r="R103" s="198"/>
      <c r="S103" s="198"/>
      <c r="T103" s="198"/>
      <c r="U103" s="198"/>
    </row>
    <row r="104" spans="1:33" s="12" customFormat="1" x14ac:dyDescent="0.25">
      <c r="A104" s="211" t="s">
        <v>1879</v>
      </c>
      <c r="B104" s="64">
        <v>43.32</v>
      </c>
      <c r="C104" s="64">
        <v>27.4</v>
      </c>
      <c r="D104" s="64">
        <v>49.06</v>
      </c>
      <c r="E104" s="64">
        <v>6.48</v>
      </c>
      <c r="F104" s="64">
        <v>2.1</v>
      </c>
      <c r="G104" s="64">
        <v>101.02</v>
      </c>
      <c r="H104" s="64">
        <v>10.96</v>
      </c>
      <c r="I104" s="64">
        <v>2.63</v>
      </c>
      <c r="J104" s="64">
        <v>0.16</v>
      </c>
      <c r="K104" s="64">
        <v>340.13</v>
      </c>
      <c r="L104" s="64">
        <v>22.65</v>
      </c>
      <c r="M104" s="64">
        <v>97.71</v>
      </c>
      <c r="N104" s="64">
        <v>42.3</v>
      </c>
      <c r="O104" s="64">
        <v>0</v>
      </c>
      <c r="P104" s="64">
        <v>1.27</v>
      </c>
      <c r="Q104" s="64">
        <v>9.5299999999999994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4.96</v>
      </c>
      <c r="C106" s="67">
        <f>MIN(C9:C104)</f>
        <v>9.4600000000000009</v>
      </c>
      <c r="D106" s="67">
        <f t="shared" ref="D106:Q106" si="0">MIN(D9:D104)</f>
        <v>13.01</v>
      </c>
      <c r="E106" s="67">
        <f t="shared" si="0"/>
        <v>4.28</v>
      </c>
      <c r="F106" s="67">
        <f t="shared" si="0"/>
        <v>2.1</v>
      </c>
      <c r="G106" s="67">
        <f t="shared" si="0"/>
        <v>68.739999999999995</v>
      </c>
      <c r="H106" s="67">
        <f t="shared" si="0"/>
        <v>7.58</v>
      </c>
      <c r="I106" s="67">
        <f t="shared" si="0"/>
        <v>1.67</v>
      </c>
      <c r="J106" s="67">
        <f t="shared" si="0"/>
        <v>0.02</v>
      </c>
      <c r="K106" s="67">
        <f t="shared" si="0"/>
        <v>6.56</v>
      </c>
      <c r="L106" s="67">
        <f t="shared" si="0"/>
        <v>21.68</v>
      </c>
      <c r="M106" s="67">
        <f t="shared" si="0"/>
        <v>46.86</v>
      </c>
      <c r="N106" s="67">
        <f t="shared" si="0"/>
        <v>42.2</v>
      </c>
      <c r="O106" s="67">
        <f t="shared" si="0"/>
        <v>0</v>
      </c>
      <c r="P106" s="67">
        <f t="shared" si="0"/>
        <v>0.4</v>
      </c>
      <c r="Q106" s="67">
        <f t="shared" si="0"/>
        <v>9.02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91.7</v>
      </c>
      <c r="C107" s="66">
        <f t="shared" ref="C107:Q107" si="1">MAX(C9:C104)</f>
        <v>48.19</v>
      </c>
      <c r="D107" s="66">
        <f t="shared" si="1"/>
        <v>85.94</v>
      </c>
      <c r="E107" s="66">
        <f t="shared" si="1"/>
        <v>21.43</v>
      </c>
      <c r="F107" s="66">
        <f t="shared" si="1"/>
        <v>20.94</v>
      </c>
      <c r="G107" s="66">
        <f t="shared" si="1"/>
        <v>101.02</v>
      </c>
      <c r="H107" s="66">
        <f t="shared" si="1"/>
        <v>11.42</v>
      </c>
      <c r="I107" s="66">
        <f t="shared" si="1"/>
        <v>2.63</v>
      </c>
      <c r="J107" s="66">
        <f t="shared" si="1"/>
        <v>0.96</v>
      </c>
      <c r="K107" s="66">
        <f t="shared" si="1"/>
        <v>352.88</v>
      </c>
      <c r="L107" s="66">
        <f t="shared" si="1"/>
        <v>31.51</v>
      </c>
      <c r="M107" s="66">
        <f t="shared" si="1"/>
        <v>98</v>
      </c>
      <c r="N107" s="66">
        <f t="shared" si="1"/>
        <v>703.8</v>
      </c>
      <c r="O107" s="66">
        <f t="shared" si="1"/>
        <v>0</v>
      </c>
      <c r="P107" s="66">
        <f t="shared" si="1"/>
        <v>1.71</v>
      </c>
      <c r="Q107" s="66">
        <f t="shared" si="1"/>
        <v>9.5299999999999994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13.566249999999998</v>
      </c>
      <c r="C108" s="67">
        <f t="shared" ref="C108:Q108" si="2">AVERAGE(C9:C104)</f>
        <v>21.604479166666668</v>
      </c>
      <c r="D108" s="67">
        <f t="shared" si="2"/>
        <v>22.177604166666669</v>
      </c>
      <c r="E108" s="67">
        <f t="shared" si="2"/>
        <v>9.4481250000000028</v>
      </c>
      <c r="F108" s="67">
        <f t="shared" si="2"/>
        <v>6.718645833333337</v>
      </c>
      <c r="G108" s="67">
        <f t="shared" si="2"/>
        <v>75.434479166666705</v>
      </c>
      <c r="H108" s="67">
        <f t="shared" si="2"/>
        <v>9.1079166666666698</v>
      </c>
      <c r="I108" s="67">
        <f t="shared" si="2"/>
        <v>2.0548958333333327</v>
      </c>
      <c r="J108" s="67">
        <f t="shared" si="2"/>
        <v>0.24749999999999994</v>
      </c>
      <c r="K108" s="67">
        <f t="shared" si="2"/>
        <v>194.85791666666671</v>
      </c>
      <c r="L108" s="67">
        <f t="shared" si="2"/>
        <v>25.918958333333332</v>
      </c>
      <c r="M108" s="67">
        <f t="shared" si="2"/>
        <v>76.926458333333315</v>
      </c>
      <c r="N108" s="67">
        <f t="shared" si="2"/>
        <v>183.73124999999993</v>
      </c>
      <c r="O108" s="67">
        <f t="shared" si="2"/>
        <v>0</v>
      </c>
      <c r="P108" s="67">
        <f t="shared" si="2"/>
        <v>0.68156249999999974</v>
      </c>
      <c r="Q108" s="67">
        <f t="shared" si="2"/>
        <v>9.1222916666666602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15.241010206192474</v>
      </c>
      <c r="C109" s="67">
        <f t="shared" ref="C109:Q109" si="3">STDEV(C9:C104)</f>
        <v>8.556770648813929</v>
      </c>
      <c r="D109" s="67">
        <f t="shared" si="3"/>
        <v>13.65946864534801</v>
      </c>
      <c r="E109" s="67">
        <f t="shared" si="3"/>
        <v>4.667206605668957</v>
      </c>
      <c r="F109" s="67">
        <f t="shared" si="3"/>
        <v>5.5194415468446651</v>
      </c>
      <c r="G109" s="67">
        <f t="shared" si="3"/>
        <v>6.7662439039678777</v>
      </c>
      <c r="H109" s="67">
        <f t="shared" si="3"/>
        <v>0.97155319670875695</v>
      </c>
      <c r="I109" s="67">
        <f t="shared" si="3"/>
        <v>0.26107871284011164</v>
      </c>
      <c r="J109" s="67">
        <f t="shared" si="3"/>
        <v>0.20069877926883392</v>
      </c>
      <c r="K109" s="67">
        <f t="shared" si="3"/>
        <v>107.52719233968739</v>
      </c>
      <c r="L109" s="67">
        <f t="shared" si="3"/>
        <v>3.0192506840244842</v>
      </c>
      <c r="M109" s="67">
        <f t="shared" si="3"/>
        <v>19.105594825609451</v>
      </c>
      <c r="N109" s="67">
        <f t="shared" si="3"/>
        <v>217.33307947528496</v>
      </c>
      <c r="O109" s="67">
        <f t="shared" si="3"/>
        <v>0</v>
      </c>
      <c r="P109" s="67">
        <f t="shared" si="3"/>
        <v>0.26136616027489545</v>
      </c>
      <c r="Q109" s="67">
        <f t="shared" si="3"/>
        <v>9.0571044131597153E-2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3" sqref="H1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1880</v>
      </c>
      <c r="B9" s="64">
        <v>27.91</v>
      </c>
      <c r="C9" s="64">
        <v>16.13</v>
      </c>
      <c r="D9" s="64">
        <v>30.81</v>
      </c>
      <c r="E9" s="64">
        <v>6.46</v>
      </c>
      <c r="F9" s="64">
        <v>2.1</v>
      </c>
      <c r="G9" s="64">
        <v>106.18</v>
      </c>
      <c r="H9" s="64">
        <v>9.7799999999999994</v>
      </c>
      <c r="I9" s="64">
        <v>2.66</v>
      </c>
      <c r="J9" s="64">
        <v>0.05</v>
      </c>
      <c r="K9" s="64">
        <v>337.21</v>
      </c>
      <c r="L9" s="64">
        <v>22.53</v>
      </c>
      <c r="M9" s="64">
        <v>96.23</v>
      </c>
      <c r="N9" s="64">
        <v>42.2</v>
      </c>
      <c r="O9" s="64">
        <v>0</v>
      </c>
      <c r="P9" s="64">
        <v>0.99</v>
      </c>
      <c r="Q9" s="64">
        <v>9.5500000000000007</v>
      </c>
      <c r="R9" s="198"/>
      <c r="S9" s="198"/>
      <c r="T9" s="198"/>
      <c r="U9" s="198"/>
    </row>
    <row r="10" spans="1:21" s="12" customFormat="1" x14ac:dyDescent="0.25">
      <c r="A10" s="211" t="s">
        <v>1881</v>
      </c>
      <c r="B10" s="64">
        <v>32.35</v>
      </c>
      <c r="C10" s="64">
        <v>23.08</v>
      </c>
      <c r="D10" s="64">
        <v>38</v>
      </c>
      <c r="E10" s="64">
        <v>6.39</v>
      </c>
      <c r="F10" s="64">
        <v>2.1</v>
      </c>
      <c r="G10" s="64">
        <v>106.55</v>
      </c>
      <c r="H10" s="64">
        <v>9.7799999999999994</v>
      </c>
      <c r="I10" s="64">
        <v>2.7</v>
      </c>
      <c r="J10" s="64">
        <v>0.11</v>
      </c>
      <c r="K10" s="64">
        <v>321.75</v>
      </c>
      <c r="L10" s="64">
        <v>22.58</v>
      </c>
      <c r="M10" s="64">
        <v>97.21</v>
      </c>
      <c r="N10" s="64">
        <v>42.4</v>
      </c>
      <c r="O10" s="64">
        <v>0</v>
      </c>
      <c r="P10" s="64">
        <v>1.18</v>
      </c>
      <c r="Q10" s="64">
        <v>9.58</v>
      </c>
      <c r="R10" s="198"/>
      <c r="S10" s="198"/>
      <c r="T10" s="198"/>
      <c r="U10" s="198"/>
    </row>
    <row r="11" spans="1:21" s="12" customFormat="1" x14ac:dyDescent="0.25">
      <c r="A11" s="211" t="s">
        <v>1882</v>
      </c>
      <c r="B11" s="64">
        <v>22.79</v>
      </c>
      <c r="C11" s="64">
        <v>11.28</v>
      </c>
      <c r="D11" s="64">
        <v>24.17</v>
      </c>
      <c r="E11" s="64">
        <v>6.19</v>
      </c>
      <c r="F11" s="64">
        <v>2.1</v>
      </c>
      <c r="G11" s="64">
        <v>106.55</v>
      </c>
      <c r="H11" s="64">
        <v>9.7799999999999994</v>
      </c>
      <c r="I11" s="64">
        <v>2.73</v>
      </c>
      <c r="J11" s="64">
        <v>0.12</v>
      </c>
      <c r="K11" s="64">
        <v>118.23</v>
      </c>
      <c r="L11" s="64">
        <v>22.84</v>
      </c>
      <c r="M11" s="64">
        <v>91.04</v>
      </c>
      <c r="N11" s="64">
        <v>41.6</v>
      </c>
      <c r="O11" s="64">
        <v>0</v>
      </c>
      <c r="P11" s="64">
        <v>0.86</v>
      </c>
      <c r="Q11" s="64">
        <v>9.59</v>
      </c>
      <c r="R11" s="198"/>
      <c r="S11" s="198"/>
      <c r="T11" s="198"/>
      <c r="U11" s="198"/>
    </row>
    <row r="12" spans="1:21" s="12" customFormat="1" x14ac:dyDescent="0.25">
      <c r="A12" s="211" t="s">
        <v>1883</v>
      </c>
      <c r="B12" s="64">
        <v>13.48</v>
      </c>
      <c r="C12" s="64">
        <v>17.100000000000001</v>
      </c>
      <c r="D12" s="64">
        <v>19.739999999999998</v>
      </c>
      <c r="E12" s="64">
        <v>6.83</v>
      </c>
      <c r="F12" s="64">
        <v>8.0299999999999994</v>
      </c>
      <c r="G12" s="64">
        <v>106.55</v>
      </c>
      <c r="H12" s="64">
        <v>9.7799999999999994</v>
      </c>
      <c r="I12" s="64">
        <v>2.75</v>
      </c>
      <c r="J12" s="64">
        <v>0.18</v>
      </c>
      <c r="K12" s="64">
        <v>113.57</v>
      </c>
      <c r="L12" s="64">
        <v>23.43</v>
      </c>
      <c r="M12" s="64">
        <v>85.49</v>
      </c>
      <c r="N12" s="64">
        <v>41.9</v>
      </c>
      <c r="O12" s="64">
        <v>0</v>
      </c>
      <c r="P12" s="64">
        <v>0.59</v>
      </c>
      <c r="Q12" s="64">
        <v>9.59</v>
      </c>
      <c r="R12" s="198"/>
      <c r="S12" s="198"/>
      <c r="T12" s="198"/>
      <c r="U12" s="198"/>
    </row>
    <row r="13" spans="1:21" s="12" customFormat="1" x14ac:dyDescent="0.25">
      <c r="A13" s="211" t="s">
        <v>1884</v>
      </c>
      <c r="B13" s="64">
        <v>13.19</v>
      </c>
      <c r="C13" s="64">
        <v>13.91</v>
      </c>
      <c r="D13" s="64">
        <v>17.84</v>
      </c>
      <c r="E13" s="64">
        <v>6.94</v>
      </c>
      <c r="F13" s="64">
        <v>6.94</v>
      </c>
      <c r="G13" s="64">
        <v>101.95</v>
      </c>
      <c r="H13" s="64">
        <v>8.66</v>
      </c>
      <c r="I13" s="64">
        <v>2.75</v>
      </c>
      <c r="J13" s="64">
        <v>0.05</v>
      </c>
      <c r="K13" s="64">
        <v>155.15</v>
      </c>
      <c r="L13" s="64">
        <v>23.38</v>
      </c>
      <c r="M13" s="64">
        <v>86.82</v>
      </c>
      <c r="N13" s="64">
        <v>42.1</v>
      </c>
      <c r="O13" s="64">
        <v>0</v>
      </c>
      <c r="P13" s="64">
        <v>0.45</v>
      </c>
      <c r="Q13" s="64">
        <v>9.58</v>
      </c>
      <c r="R13" s="198"/>
      <c r="S13" s="198"/>
      <c r="T13" s="198"/>
      <c r="U13" s="198"/>
    </row>
    <row r="14" spans="1:21" s="12" customFormat="1" x14ac:dyDescent="0.25">
      <c r="A14" s="211" t="s">
        <v>1885</v>
      </c>
      <c r="B14" s="64">
        <v>15.02</v>
      </c>
      <c r="C14" s="64">
        <v>14.98</v>
      </c>
      <c r="D14" s="64">
        <v>19.87</v>
      </c>
      <c r="E14" s="64">
        <v>7.14</v>
      </c>
      <c r="F14" s="64">
        <v>4.57</v>
      </c>
      <c r="G14" s="64">
        <v>101.63</v>
      </c>
      <c r="H14" s="64">
        <v>8.66</v>
      </c>
      <c r="I14" s="64">
        <v>2.74</v>
      </c>
      <c r="J14" s="64">
        <v>0.08</v>
      </c>
      <c r="K14" s="64">
        <v>110.76</v>
      </c>
      <c r="L14" s="64">
        <v>23.29</v>
      </c>
      <c r="M14" s="64">
        <v>86.9</v>
      </c>
      <c r="N14" s="64">
        <v>42.2</v>
      </c>
      <c r="O14" s="64">
        <v>0</v>
      </c>
      <c r="P14" s="64">
        <v>0.54</v>
      </c>
      <c r="Q14" s="64">
        <v>9.57</v>
      </c>
      <c r="R14" s="198"/>
      <c r="S14" s="198"/>
      <c r="T14" s="198"/>
      <c r="U14" s="198"/>
    </row>
    <row r="15" spans="1:21" s="12" customFormat="1" x14ac:dyDescent="0.25">
      <c r="A15" s="211" t="s">
        <v>1886</v>
      </c>
      <c r="B15" s="64">
        <v>15.83</v>
      </c>
      <c r="C15" s="64">
        <v>11.27</v>
      </c>
      <c r="D15" s="64">
        <v>18.59</v>
      </c>
      <c r="E15" s="64">
        <v>7.47</v>
      </c>
      <c r="F15" s="64">
        <v>5.79</v>
      </c>
      <c r="G15" s="64">
        <v>101.63</v>
      </c>
      <c r="H15" s="64">
        <v>8.66</v>
      </c>
      <c r="I15" s="64">
        <v>2.72</v>
      </c>
      <c r="J15" s="64">
        <v>0.05</v>
      </c>
      <c r="K15" s="64">
        <v>126.36</v>
      </c>
      <c r="L15" s="64">
        <v>23.15</v>
      </c>
      <c r="M15" s="64">
        <v>87.57</v>
      </c>
      <c r="N15" s="64">
        <v>42.3</v>
      </c>
      <c r="O15" s="64">
        <v>0</v>
      </c>
      <c r="P15" s="64">
        <v>0.53</v>
      </c>
      <c r="Q15" s="64">
        <v>9.5500000000000007</v>
      </c>
      <c r="R15" s="198"/>
      <c r="S15" s="198"/>
      <c r="T15" s="198"/>
      <c r="U15" s="198"/>
    </row>
    <row r="16" spans="1:21" s="12" customFormat="1" x14ac:dyDescent="0.25">
      <c r="A16" s="211" t="s">
        <v>1887</v>
      </c>
      <c r="B16" s="64">
        <v>15.27</v>
      </c>
      <c r="C16" s="64">
        <v>11.32</v>
      </c>
      <c r="D16" s="64">
        <v>18.16</v>
      </c>
      <c r="E16" s="64">
        <v>7.1</v>
      </c>
      <c r="F16" s="64">
        <v>5.71</v>
      </c>
      <c r="G16" s="64">
        <v>101.63</v>
      </c>
      <c r="H16" s="64">
        <v>8.66</v>
      </c>
      <c r="I16" s="64">
        <v>2.69</v>
      </c>
      <c r="J16" s="64">
        <v>0.15</v>
      </c>
      <c r="K16" s="64">
        <v>311.64999999999998</v>
      </c>
      <c r="L16" s="64">
        <v>22.95</v>
      </c>
      <c r="M16" s="64">
        <v>90.48</v>
      </c>
      <c r="N16" s="64">
        <v>42.6</v>
      </c>
      <c r="O16" s="64">
        <v>0</v>
      </c>
      <c r="P16" s="64">
        <v>0.52</v>
      </c>
      <c r="Q16" s="64">
        <v>9.5399999999999991</v>
      </c>
      <c r="R16" s="198"/>
      <c r="S16" s="198"/>
      <c r="T16" s="198"/>
      <c r="U16" s="198"/>
    </row>
    <row r="17" spans="1:21" s="12" customFormat="1" x14ac:dyDescent="0.25">
      <c r="A17" s="211" t="s">
        <v>1888</v>
      </c>
      <c r="B17" s="64">
        <v>14.7</v>
      </c>
      <c r="C17" s="64">
        <v>12.47</v>
      </c>
      <c r="D17" s="64">
        <v>18.309999999999999</v>
      </c>
      <c r="E17" s="64">
        <v>6.99</v>
      </c>
      <c r="F17" s="64">
        <v>2.82</v>
      </c>
      <c r="G17" s="64">
        <v>84.32</v>
      </c>
      <c r="H17" s="64">
        <v>7.88</v>
      </c>
      <c r="I17" s="64">
        <v>2.66</v>
      </c>
      <c r="J17" s="64">
        <v>0.17</v>
      </c>
      <c r="K17" s="64">
        <v>329.58</v>
      </c>
      <c r="L17" s="64">
        <v>22.36</v>
      </c>
      <c r="M17" s="64">
        <v>97.34</v>
      </c>
      <c r="N17" s="64">
        <v>42.5</v>
      </c>
      <c r="O17" s="64">
        <v>0</v>
      </c>
      <c r="P17" s="64">
        <v>0.56000000000000005</v>
      </c>
      <c r="Q17" s="64">
        <v>9.52</v>
      </c>
      <c r="R17" s="198"/>
      <c r="S17" s="198"/>
      <c r="T17" s="198"/>
      <c r="U17" s="198"/>
    </row>
    <row r="18" spans="1:21" s="12" customFormat="1" x14ac:dyDescent="0.25">
      <c r="A18" s="211" t="s">
        <v>1889</v>
      </c>
      <c r="B18" s="64">
        <v>15.95</v>
      </c>
      <c r="C18" s="64">
        <v>11.17</v>
      </c>
      <c r="D18" s="64">
        <v>18.63</v>
      </c>
      <c r="E18" s="64">
        <v>6.75</v>
      </c>
      <c r="F18" s="64">
        <v>3.08</v>
      </c>
      <c r="G18" s="64">
        <v>83.08</v>
      </c>
      <c r="H18" s="64">
        <v>7.88</v>
      </c>
      <c r="I18" s="64">
        <v>2.64</v>
      </c>
      <c r="J18" s="64">
        <v>0.18</v>
      </c>
      <c r="K18" s="64">
        <v>324</v>
      </c>
      <c r="L18" s="64">
        <v>22.05</v>
      </c>
      <c r="M18" s="64">
        <v>97.75</v>
      </c>
      <c r="N18" s="64">
        <v>42.6</v>
      </c>
      <c r="O18" s="64">
        <v>0</v>
      </c>
      <c r="P18" s="64">
        <v>0.56999999999999995</v>
      </c>
      <c r="Q18" s="64">
        <v>9.5</v>
      </c>
      <c r="R18" s="198"/>
      <c r="S18" s="198"/>
      <c r="T18" s="198"/>
      <c r="U18" s="198"/>
    </row>
    <row r="19" spans="1:21" s="12" customFormat="1" x14ac:dyDescent="0.25">
      <c r="A19" s="211" t="s">
        <v>1890</v>
      </c>
      <c r="B19" s="64">
        <v>18.43</v>
      </c>
      <c r="C19" s="64">
        <v>8.81</v>
      </c>
      <c r="D19" s="64">
        <v>19.38</v>
      </c>
      <c r="E19" s="64">
        <v>6.17</v>
      </c>
      <c r="F19" s="64">
        <v>2.4500000000000002</v>
      </c>
      <c r="G19" s="64">
        <v>83.08</v>
      </c>
      <c r="H19" s="64">
        <v>7.88</v>
      </c>
      <c r="I19" s="64">
        <v>2.62</v>
      </c>
      <c r="J19" s="64">
        <v>0.2</v>
      </c>
      <c r="K19" s="64">
        <v>328.78</v>
      </c>
      <c r="L19" s="64">
        <v>21.93</v>
      </c>
      <c r="M19" s="64">
        <v>97.77</v>
      </c>
      <c r="N19" s="64">
        <v>42.5</v>
      </c>
      <c r="O19" s="64">
        <v>0</v>
      </c>
      <c r="P19" s="64">
        <v>0.65</v>
      </c>
      <c r="Q19" s="64">
        <v>9.48</v>
      </c>
      <c r="R19" s="198"/>
      <c r="S19" s="198"/>
      <c r="T19" s="198"/>
      <c r="U19" s="198"/>
    </row>
    <row r="20" spans="1:21" s="12" customFormat="1" x14ac:dyDescent="0.25">
      <c r="A20" s="211" t="s">
        <v>1891</v>
      </c>
      <c r="B20" s="64">
        <v>19.93</v>
      </c>
      <c r="C20" s="64">
        <v>7.43</v>
      </c>
      <c r="D20" s="64">
        <v>19.87</v>
      </c>
      <c r="E20" s="64">
        <v>6.35</v>
      </c>
      <c r="F20" s="64">
        <v>2.1</v>
      </c>
      <c r="G20" s="64">
        <v>83.08</v>
      </c>
      <c r="H20" s="64">
        <v>7.88</v>
      </c>
      <c r="I20" s="64">
        <v>2.6</v>
      </c>
      <c r="J20" s="64">
        <v>0.09</v>
      </c>
      <c r="K20" s="64">
        <v>343.04</v>
      </c>
      <c r="L20" s="64">
        <v>21.76</v>
      </c>
      <c r="M20" s="64">
        <v>97.76</v>
      </c>
      <c r="N20" s="64">
        <v>42.1</v>
      </c>
      <c r="O20" s="64">
        <v>0</v>
      </c>
      <c r="P20" s="64">
        <v>0.72</v>
      </c>
      <c r="Q20" s="64">
        <v>9.4499999999999993</v>
      </c>
      <c r="R20" s="198"/>
      <c r="S20" s="198"/>
      <c r="T20" s="198"/>
      <c r="U20" s="198"/>
    </row>
    <row r="21" spans="1:21" s="12" customFormat="1" x14ac:dyDescent="0.25">
      <c r="A21" s="211" t="s">
        <v>1892</v>
      </c>
      <c r="B21" s="64">
        <v>16.350000000000001</v>
      </c>
      <c r="C21" s="64">
        <v>11.61</v>
      </c>
      <c r="D21" s="64">
        <v>19.170000000000002</v>
      </c>
      <c r="E21" s="64">
        <v>6.09</v>
      </c>
      <c r="F21" s="64">
        <v>2.1</v>
      </c>
      <c r="G21" s="64">
        <v>70.45</v>
      </c>
      <c r="H21" s="64">
        <v>11.42</v>
      </c>
      <c r="I21" s="64">
        <v>2.56</v>
      </c>
      <c r="J21" s="64">
        <v>7.0000000000000007E-2</v>
      </c>
      <c r="K21" s="64">
        <v>12.96</v>
      </c>
      <c r="L21" s="64">
        <v>21.92</v>
      </c>
      <c r="M21" s="64">
        <v>97.77</v>
      </c>
      <c r="N21" s="64">
        <v>42.3</v>
      </c>
      <c r="O21" s="64">
        <v>0</v>
      </c>
      <c r="P21" s="64">
        <v>0.65</v>
      </c>
      <c r="Q21" s="64">
        <v>9.44</v>
      </c>
      <c r="R21" s="198"/>
      <c r="S21" s="198"/>
      <c r="T21" s="198"/>
      <c r="U21" s="198"/>
    </row>
    <row r="22" spans="1:21" s="12" customFormat="1" x14ac:dyDescent="0.25">
      <c r="A22" s="211" t="s">
        <v>1893</v>
      </c>
      <c r="B22" s="64">
        <v>17.66</v>
      </c>
      <c r="C22" s="64">
        <v>8.57</v>
      </c>
      <c r="D22" s="64">
        <v>18.64</v>
      </c>
      <c r="E22" s="64">
        <v>6.08</v>
      </c>
      <c r="F22" s="64">
        <v>2.1</v>
      </c>
      <c r="G22" s="64">
        <v>69.55</v>
      </c>
      <c r="H22" s="64">
        <v>11.42</v>
      </c>
      <c r="I22" s="64">
        <v>2.5099999999999998</v>
      </c>
      <c r="J22" s="64">
        <v>0.06</v>
      </c>
      <c r="K22" s="64">
        <v>180.1</v>
      </c>
      <c r="L22" s="64">
        <v>21.81</v>
      </c>
      <c r="M22" s="64">
        <v>97.79</v>
      </c>
      <c r="N22" s="64">
        <v>42.3</v>
      </c>
      <c r="O22" s="64">
        <v>0</v>
      </c>
      <c r="P22" s="64">
        <v>0.65</v>
      </c>
      <c r="Q22" s="64">
        <v>9.42</v>
      </c>
      <c r="R22" s="198"/>
      <c r="S22" s="198"/>
      <c r="T22" s="198"/>
      <c r="U22" s="198"/>
    </row>
    <row r="23" spans="1:21" s="12" customFormat="1" x14ac:dyDescent="0.25">
      <c r="A23" s="211" t="s">
        <v>1894</v>
      </c>
      <c r="B23" s="64">
        <v>19.18</v>
      </c>
      <c r="C23" s="64">
        <v>7.01</v>
      </c>
      <c r="D23" s="64">
        <v>19.05</v>
      </c>
      <c r="E23" s="64">
        <v>5.54</v>
      </c>
      <c r="F23" s="64">
        <v>2.1</v>
      </c>
      <c r="G23" s="64">
        <v>69.55</v>
      </c>
      <c r="H23" s="64">
        <v>11.42</v>
      </c>
      <c r="I23" s="64">
        <v>2.4900000000000002</v>
      </c>
      <c r="J23" s="64">
        <v>0.04</v>
      </c>
      <c r="K23" s="64">
        <v>193.63</v>
      </c>
      <c r="L23" s="64">
        <v>21.81</v>
      </c>
      <c r="M23" s="64">
        <v>97.8</v>
      </c>
      <c r="N23" s="64">
        <v>42.3</v>
      </c>
      <c r="O23" s="64">
        <v>0</v>
      </c>
      <c r="P23" s="64">
        <v>0.71</v>
      </c>
      <c r="Q23" s="64">
        <v>9.39</v>
      </c>
      <c r="R23" s="198"/>
      <c r="S23" s="198"/>
      <c r="T23" s="198"/>
      <c r="U23" s="198"/>
    </row>
    <row r="24" spans="1:21" s="12" customFormat="1" x14ac:dyDescent="0.25">
      <c r="A24" s="211" t="s">
        <v>1895</v>
      </c>
      <c r="B24" s="64">
        <v>15.51</v>
      </c>
      <c r="C24" s="64">
        <v>12.93</v>
      </c>
      <c r="D24" s="64">
        <v>19.2</v>
      </c>
      <c r="E24" s="64">
        <v>5.65</v>
      </c>
      <c r="F24" s="64">
        <v>2.1</v>
      </c>
      <c r="G24" s="64">
        <v>69.55</v>
      </c>
      <c r="H24" s="64">
        <v>11.42</v>
      </c>
      <c r="I24" s="64">
        <v>2.48</v>
      </c>
      <c r="J24" s="64">
        <v>7.0000000000000007E-2</v>
      </c>
      <c r="K24" s="64">
        <v>285.16000000000003</v>
      </c>
      <c r="L24" s="64">
        <v>21.69</v>
      </c>
      <c r="M24" s="64">
        <v>97.83</v>
      </c>
      <c r="N24" s="64">
        <v>42.3</v>
      </c>
      <c r="O24" s="64">
        <v>0</v>
      </c>
      <c r="P24" s="64">
        <v>0.62</v>
      </c>
      <c r="Q24" s="64">
        <v>9.3800000000000008</v>
      </c>
      <c r="R24" s="198"/>
      <c r="S24" s="198"/>
      <c r="T24" s="198"/>
      <c r="U24" s="198"/>
    </row>
    <row r="25" spans="1:21" s="12" customFormat="1" x14ac:dyDescent="0.25">
      <c r="A25" s="211" t="s">
        <v>1896</v>
      </c>
      <c r="B25" s="64">
        <v>19.27</v>
      </c>
      <c r="C25" s="64">
        <v>7.36</v>
      </c>
      <c r="D25" s="64">
        <v>19.3</v>
      </c>
      <c r="E25" s="64">
        <v>5.65</v>
      </c>
      <c r="F25" s="64">
        <v>2.1</v>
      </c>
      <c r="G25" s="64">
        <v>73.95</v>
      </c>
      <c r="H25" s="64">
        <v>11.85</v>
      </c>
      <c r="I25" s="64">
        <v>2.4700000000000002</v>
      </c>
      <c r="J25" s="64">
        <v>0.1</v>
      </c>
      <c r="K25" s="64">
        <v>322.24</v>
      </c>
      <c r="L25" s="64">
        <v>21.52</v>
      </c>
      <c r="M25" s="64">
        <v>97.82</v>
      </c>
      <c r="N25" s="64">
        <v>42.3</v>
      </c>
      <c r="O25" s="64">
        <v>0</v>
      </c>
      <c r="P25" s="64">
        <v>0.72</v>
      </c>
      <c r="Q25" s="64">
        <v>9.36</v>
      </c>
      <c r="R25" s="198"/>
      <c r="S25" s="198"/>
      <c r="T25" s="198"/>
      <c r="U25" s="198"/>
    </row>
    <row r="26" spans="1:21" s="12" customFormat="1" x14ac:dyDescent="0.25">
      <c r="A26" s="211" t="s">
        <v>1897</v>
      </c>
      <c r="B26" s="64">
        <v>18.55</v>
      </c>
      <c r="C26" s="64">
        <v>7.95</v>
      </c>
      <c r="D26" s="64">
        <v>19.03</v>
      </c>
      <c r="E26" s="64">
        <v>5.86</v>
      </c>
      <c r="F26" s="64">
        <v>2.1</v>
      </c>
      <c r="G26" s="64">
        <v>74.260000000000005</v>
      </c>
      <c r="H26" s="64">
        <v>11.85</v>
      </c>
      <c r="I26" s="64">
        <v>2.46</v>
      </c>
      <c r="J26" s="64">
        <v>0.08</v>
      </c>
      <c r="K26" s="64">
        <v>3.64</v>
      </c>
      <c r="L26" s="64">
        <v>21.3</v>
      </c>
      <c r="M26" s="64">
        <v>97.85</v>
      </c>
      <c r="N26" s="64">
        <v>42.3</v>
      </c>
      <c r="O26" s="64">
        <v>0</v>
      </c>
      <c r="P26" s="64">
        <v>0.7</v>
      </c>
      <c r="Q26" s="64">
        <v>9.35</v>
      </c>
      <c r="R26" s="198"/>
      <c r="S26" s="198"/>
      <c r="T26" s="198"/>
      <c r="U26" s="198"/>
    </row>
    <row r="27" spans="1:21" s="12" customFormat="1" x14ac:dyDescent="0.25">
      <c r="A27" s="211" t="s">
        <v>1898</v>
      </c>
      <c r="B27" s="64">
        <v>18.690000000000001</v>
      </c>
      <c r="C27" s="64">
        <v>7.73</v>
      </c>
      <c r="D27" s="64">
        <v>19.03</v>
      </c>
      <c r="E27" s="64">
        <v>5.54</v>
      </c>
      <c r="F27" s="64">
        <v>2.1</v>
      </c>
      <c r="G27" s="64">
        <v>74.260000000000005</v>
      </c>
      <c r="H27" s="64">
        <v>11.85</v>
      </c>
      <c r="I27" s="64">
        <v>2.4500000000000002</v>
      </c>
      <c r="J27" s="64">
        <v>0.1</v>
      </c>
      <c r="K27" s="64">
        <v>1.55</v>
      </c>
      <c r="L27" s="64">
        <v>21.1</v>
      </c>
      <c r="M27" s="64">
        <v>97.84</v>
      </c>
      <c r="N27" s="64">
        <v>42.2</v>
      </c>
      <c r="O27" s="64">
        <v>0</v>
      </c>
      <c r="P27" s="64">
        <v>0.7</v>
      </c>
      <c r="Q27" s="64">
        <v>9.35</v>
      </c>
      <c r="R27" s="198"/>
      <c r="S27" s="198"/>
      <c r="T27" s="198"/>
      <c r="U27" s="198"/>
    </row>
    <row r="28" spans="1:21" s="12" customFormat="1" x14ac:dyDescent="0.25">
      <c r="A28" s="211" t="s">
        <v>1899</v>
      </c>
      <c r="B28" s="64">
        <v>15.62</v>
      </c>
      <c r="C28" s="64">
        <v>10.86</v>
      </c>
      <c r="D28" s="64">
        <v>18.2</v>
      </c>
      <c r="E28" s="64">
        <v>5.92</v>
      </c>
      <c r="F28" s="64">
        <v>2.1</v>
      </c>
      <c r="G28" s="64">
        <v>74.260000000000005</v>
      </c>
      <c r="H28" s="64">
        <v>11.85</v>
      </c>
      <c r="I28" s="64">
        <v>2.4500000000000002</v>
      </c>
      <c r="J28" s="64">
        <v>0.06</v>
      </c>
      <c r="K28" s="64">
        <v>97.95</v>
      </c>
      <c r="L28" s="64">
        <v>21.24</v>
      </c>
      <c r="M28" s="64">
        <v>97.79</v>
      </c>
      <c r="N28" s="64">
        <v>42.2</v>
      </c>
      <c r="O28" s="64">
        <v>0</v>
      </c>
      <c r="P28" s="64">
        <v>0.61</v>
      </c>
      <c r="Q28" s="64">
        <v>9.34</v>
      </c>
      <c r="R28" s="198"/>
      <c r="S28" s="198"/>
      <c r="T28" s="198"/>
      <c r="U28" s="198"/>
    </row>
    <row r="29" spans="1:21" s="12" customFormat="1" x14ac:dyDescent="0.25">
      <c r="A29" s="211" t="s">
        <v>1900</v>
      </c>
      <c r="B29" s="64">
        <v>20.52</v>
      </c>
      <c r="C29" s="64">
        <v>9.9700000000000006</v>
      </c>
      <c r="D29" s="64">
        <v>21.66</v>
      </c>
      <c r="E29" s="64">
        <v>5.84</v>
      </c>
      <c r="F29" s="64">
        <v>2.1</v>
      </c>
      <c r="G29" s="64">
        <v>93.91</v>
      </c>
      <c r="H29" s="64">
        <v>10.11</v>
      </c>
      <c r="I29" s="64">
        <v>2.4500000000000002</v>
      </c>
      <c r="J29" s="64">
        <v>0.18</v>
      </c>
      <c r="K29" s="64">
        <v>340.46</v>
      </c>
      <c r="L29" s="64">
        <v>21.39</v>
      </c>
      <c r="M29" s="64">
        <v>97.78</v>
      </c>
      <c r="N29" s="64">
        <v>42.1</v>
      </c>
      <c r="O29" s="64">
        <v>0</v>
      </c>
      <c r="P29" s="64">
        <v>0.71</v>
      </c>
      <c r="Q29" s="64">
        <v>9.33</v>
      </c>
      <c r="R29" s="198"/>
      <c r="S29" s="198"/>
      <c r="T29" s="198"/>
      <c r="U29" s="198"/>
    </row>
    <row r="30" spans="1:21" s="12" customFormat="1" x14ac:dyDescent="0.25">
      <c r="A30" s="211" t="s">
        <v>1901</v>
      </c>
      <c r="B30" s="64">
        <v>15.91</v>
      </c>
      <c r="C30" s="64">
        <v>13.51</v>
      </c>
      <c r="D30" s="64">
        <v>19.82</v>
      </c>
      <c r="E30" s="64">
        <v>5.82</v>
      </c>
      <c r="F30" s="64">
        <v>2.1</v>
      </c>
      <c r="G30" s="64">
        <v>95.31</v>
      </c>
      <c r="H30" s="64">
        <v>10.11</v>
      </c>
      <c r="I30" s="64">
        <v>2.44</v>
      </c>
      <c r="J30" s="64">
        <v>0.16</v>
      </c>
      <c r="K30" s="64">
        <v>350</v>
      </c>
      <c r="L30" s="64">
        <v>21.41</v>
      </c>
      <c r="M30" s="64">
        <v>97.78</v>
      </c>
      <c r="N30" s="64">
        <v>42.1</v>
      </c>
      <c r="O30" s="64">
        <v>0</v>
      </c>
      <c r="P30" s="64">
        <v>0.65</v>
      </c>
      <c r="Q30" s="64">
        <v>9.34</v>
      </c>
      <c r="R30" s="198"/>
      <c r="S30" s="198"/>
      <c r="T30" s="198"/>
      <c r="U30" s="198"/>
    </row>
    <row r="31" spans="1:21" s="12" customFormat="1" x14ac:dyDescent="0.25">
      <c r="A31" s="211" t="s">
        <v>1902</v>
      </c>
      <c r="B31" s="64">
        <v>14.74</v>
      </c>
      <c r="C31" s="64">
        <v>10.46</v>
      </c>
      <c r="D31" s="64">
        <v>17.29</v>
      </c>
      <c r="E31" s="64">
        <v>6.07</v>
      </c>
      <c r="F31" s="64">
        <v>2.25</v>
      </c>
      <c r="G31" s="64">
        <v>95.31</v>
      </c>
      <c r="H31" s="64">
        <v>10.11</v>
      </c>
      <c r="I31" s="64">
        <v>2.4500000000000002</v>
      </c>
      <c r="J31" s="64">
        <v>0.1</v>
      </c>
      <c r="K31" s="64">
        <v>131.53</v>
      </c>
      <c r="L31" s="64">
        <v>21.4</v>
      </c>
      <c r="M31" s="64">
        <v>97.75</v>
      </c>
      <c r="N31" s="64">
        <v>42.6</v>
      </c>
      <c r="O31" s="64">
        <v>0</v>
      </c>
      <c r="P31" s="64">
        <v>0.6</v>
      </c>
      <c r="Q31" s="64">
        <v>9.36</v>
      </c>
      <c r="R31" s="198"/>
      <c r="S31" s="198"/>
      <c r="T31" s="198"/>
      <c r="U31" s="198"/>
    </row>
    <row r="32" spans="1:21" s="12" customFormat="1" x14ac:dyDescent="0.25">
      <c r="A32" s="211" t="s">
        <v>1903</v>
      </c>
      <c r="B32" s="64">
        <v>14.99</v>
      </c>
      <c r="C32" s="64">
        <v>14.57</v>
      </c>
      <c r="D32" s="64">
        <v>19.63</v>
      </c>
      <c r="E32" s="64">
        <v>6.02</v>
      </c>
      <c r="F32" s="64">
        <v>2.2400000000000002</v>
      </c>
      <c r="G32" s="64">
        <v>95.31</v>
      </c>
      <c r="H32" s="64">
        <v>10.11</v>
      </c>
      <c r="I32" s="64">
        <v>2.48</v>
      </c>
      <c r="J32" s="64">
        <v>7.0000000000000007E-2</v>
      </c>
      <c r="K32" s="64">
        <v>355.19</v>
      </c>
      <c r="L32" s="64">
        <v>21.32</v>
      </c>
      <c r="M32" s="64">
        <v>97.78</v>
      </c>
      <c r="N32" s="64">
        <v>45</v>
      </c>
      <c r="O32" s="64">
        <v>0</v>
      </c>
      <c r="P32" s="64">
        <v>0.63</v>
      </c>
      <c r="Q32" s="64">
        <v>9.36</v>
      </c>
      <c r="R32" s="198"/>
      <c r="S32" s="198"/>
      <c r="T32" s="198"/>
      <c r="U32" s="198"/>
    </row>
    <row r="33" spans="1:21" s="12" customFormat="1" x14ac:dyDescent="0.25">
      <c r="A33" s="211" t="s">
        <v>1904</v>
      </c>
      <c r="B33" s="64">
        <v>17.649999999999999</v>
      </c>
      <c r="C33" s="64">
        <v>17.59</v>
      </c>
      <c r="D33" s="64">
        <v>23.34</v>
      </c>
      <c r="E33" s="64">
        <v>5.97</v>
      </c>
      <c r="F33" s="64">
        <v>2.1</v>
      </c>
      <c r="G33" s="64">
        <v>92.19</v>
      </c>
      <c r="H33" s="64">
        <v>8.89</v>
      </c>
      <c r="I33" s="64">
        <v>2.48</v>
      </c>
      <c r="J33" s="64">
        <v>0.11</v>
      </c>
      <c r="K33" s="64">
        <v>344.33</v>
      </c>
      <c r="L33" s="64">
        <v>21.29</v>
      </c>
      <c r="M33" s="64">
        <v>97.81</v>
      </c>
      <c r="N33" s="64">
        <v>53.7</v>
      </c>
      <c r="O33" s="64">
        <v>0</v>
      </c>
      <c r="P33" s="64">
        <v>0.7</v>
      </c>
      <c r="Q33" s="64">
        <v>9.36</v>
      </c>
      <c r="R33" s="198"/>
      <c r="S33" s="198"/>
      <c r="T33" s="198"/>
      <c r="U33" s="198"/>
    </row>
    <row r="34" spans="1:21" s="12" customFormat="1" x14ac:dyDescent="0.25">
      <c r="A34" s="211" t="s">
        <v>1905</v>
      </c>
      <c r="B34" s="64">
        <v>23.06</v>
      </c>
      <c r="C34" s="64">
        <v>14.5</v>
      </c>
      <c r="D34" s="64">
        <v>26.07</v>
      </c>
      <c r="E34" s="64">
        <v>5.84</v>
      </c>
      <c r="F34" s="64">
        <v>2.1</v>
      </c>
      <c r="G34" s="64">
        <v>91.97</v>
      </c>
      <c r="H34" s="64">
        <v>8.89</v>
      </c>
      <c r="I34" s="64">
        <v>2.62</v>
      </c>
      <c r="J34" s="64">
        <v>0.09</v>
      </c>
      <c r="K34" s="64">
        <v>303.66000000000003</v>
      </c>
      <c r="L34" s="64">
        <v>21.42</v>
      </c>
      <c r="M34" s="64">
        <v>97.82</v>
      </c>
      <c r="N34" s="64">
        <v>69.900000000000006</v>
      </c>
      <c r="O34" s="64">
        <v>0</v>
      </c>
      <c r="P34" s="64">
        <v>0.72</v>
      </c>
      <c r="Q34" s="64">
        <v>9.35</v>
      </c>
      <c r="R34" s="198"/>
      <c r="S34" s="198"/>
      <c r="T34" s="198"/>
      <c r="U34" s="198"/>
    </row>
    <row r="35" spans="1:21" s="12" customFormat="1" x14ac:dyDescent="0.25">
      <c r="A35" s="211" t="s">
        <v>1906</v>
      </c>
      <c r="B35" s="64">
        <v>28.25</v>
      </c>
      <c r="C35" s="64">
        <v>14.13</v>
      </c>
      <c r="D35" s="64">
        <v>30.02</v>
      </c>
      <c r="E35" s="64">
        <v>6.06</v>
      </c>
      <c r="F35" s="64">
        <v>2.1</v>
      </c>
      <c r="G35" s="64">
        <v>91.97</v>
      </c>
      <c r="H35" s="64">
        <v>8.89</v>
      </c>
      <c r="I35" s="64">
        <v>2.59</v>
      </c>
      <c r="J35" s="64">
        <v>0.18</v>
      </c>
      <c r="K35" s="64">
        <v>334.83</v>
      </c>
      <c r="L35" s="64">
        <v>21.97</v>
      </c>
      <c r="M35" s="64">
        <v>97.79</v>
      </c>
      <c r="N35" s="64">
        <v>100.4</v>
      </c>
      <c r="O35" s="64">
        <v>0</v>
      </c>
      <c r="P35" s="64">
        <v>0.78</v>
      </c>
      <c r="Q35" s="64">
        <v>9.3699999999999992</v>
      </c>
      <c r="R35" s="198"/>
      <c r="S35" s="198"/>
      <c r="T35" s="198"/>
      <c r="U35" s="198"/>
    </row>
    <row r="36" spans="1:21" s="12" customFormat="1" x14ac:dyDescent="0.25">
      <c r="A36" s="211" t="s">
        <v>1907</v>
      </c>
      <c r="B36" s="64">
        <v>24.48</v>
      </c>
      <c r="C36" s="64">
        <v>16.45</v>
      </c>
      <c r="D36" s="64">
        <v>28.23</v>
      </c>
      <c r="E36" s="64">
        <v>6.41</v>
      </c>
      <c r="F36" s="64">
        <v>2.1</v>
      </c>
      <c r="G36" s="64">
        <v>91.97</v>
      </c>
      <c r="H36" s="64">
        <v>8.89</v>
      </c>
      <c r="I36" s="64">
        <v>2.4900000000000002</v>
      </c>
      <c r="J36" s="64">
        <v>0.24</v>
      </c>
      <c r="K36" s="64">
        <v>334.02</v>
      </c>
      <c r="L36" s="64">
        <v>23.12</v>
      </c>
      <c r="M36" s="64">
        <v>97.4</v>
      </c>
      <c r="N36" s="64">
        <v>131.9</v>
      </c>
      <c r="O36" s="64">
        <v>0</v>
      </c>
      <c r="P36" s="64">
        <v>0.78</v>
      </c>
      <c r="Q36" s="64">
        <v>9.39</v>
      </c>
      <c r="R36" s="198"/>
      <c r="S36" s="198"/>
      <c r="T36" s="198"/>
      <c r="U36" s="198"/>
    </row>
    <row r="37" spans="1:21" s="12" customFormat="1" x14ac:dyDescent="0.25">
      <c r="A37" s="211" t="s">
        <v>1908</v>
      </c>
      <c r="B37" s="64">
        <v>18.84</v>
      </c>
      <c r="C37" s="64">
        <v>10.23</v>
      </c>
      <c r="D37" s="64">
        <v>20.46</v>
      </c>
      <c r="E37" s="64">
        <v>6.13</v>
      </c>
      <c r="F37" s="64">
        <v>2.1</v>
      </c>
      <c r="G37" s="64">
        <v>104.09</v>
      </c>
      <c r="H37" s="64">
        <v>9.52</v>
      </c>
      <c r="I37" s="64">
        <v>2.5099999999999998</v>
      </c>
      <c r="J37" s="64">
        <v>0.31</v>
      </c>
      <c r="K37" s="64">
        <v>128.12</v>
      </c>
      <c r="L37" s="64">
        <v>23.66</v>
      </c>
      <c r="M37" s="64">
        <v>93.02</v>
      </c>
      <c r="N37" s="64">
        <v>168.5</v>
      </c>
      <c r="O37" s="64">
        <v>0</v>
      </c>
      <c r="P37" s="64">
        <v>0.66</v>
      </c>
      <c r="Q37" s="64">
        <v>9.4</v>
      </c>
      <c r="R37" s="198"/>
      <c r="S37" s="198"/>
      <c r="T37" s="198"/>
      <c r="U37" s="198"/>
    </row>
    <row r="38" spans="1:21" s="12" customFormat="1" x14ac:dyDescent="0.25">
      <c r="A38" s="211" t="s">
        <v>1909</v>
      </c>
      <c r="B38" s="64">
        <v>16.48</v>
      </c>
      <c r="C38" s="64">
        <v>9.5</v>
      </c>
      <c r="D38" s="64">
        <v>18.18</v>
      </c>
      <c r="E38" s="64">
        <v>5.96</v>
      </c>
      <c r="F38" s="64">
        <v>2.1</v>
      </c>
      <c r="G38" s="64">
        <v>104.96</v>
      </c>
      <c r="H38" s="64">
        <v>9.52</v>
      </c>
      <c r="I38" s="64">
        <v>2.5299999999999998</v>
      </c>
      <c r="J38" s="64">
        <v>0.54</v>
      </c>
      <c r="K38" s="64">
        <v>135.22999999999999</v>
      </c>
      <c r="L38" s="64">
        <v>24.07</v>
      </c>
      <c r="M38" s="64">
        <v>85.66</v>
      </c>
      <c r="N38" s="64">
        <v>216.3</v>
      </c>
      <c r="O38" s="64">
        <v>0</v>
      </c>
      <c r="P38" s="64">
        <v>0.65</v>
      </c>
      <c r="Q38" s="64">
        <v>9.3800000000000008</v>
      </c>
      <c r="R38" s="198"/>
      <c r="S38" s="198"/>
      <c r="T38" s="198"/>
      <c r="U38" s="198"/>
    </row>
    <row r="39" spans="1:21" s="12" customFormat="1" x14ac:dyDescent="0.25">
      <c r="A39" s="211" t="s">
        <v>1910</v>
      </c>
      <c r="B39" s="64">
        <v>15.36</v>
      </c>
      <c r="C39" s="64">
        <v>9.91</v>
      </c>
      <c r="D39" s="64">
        <v>17.489999999999998</v>
      </c>
      <c r="E39" s="64">
        <v>5.8</v>
      </c>
      <c r="F39" s="64">
        <v>2.2000000000000002</v>
      </c>
      <c r="G39" s="64">
        <v>104.96</v>
      </c>
      <c r="H39" s="64">
        <v>9.52</v>
      </c>
      <c r="I39" s="64">
        <v>2.5299999999999998</v>
      </c>
      <c r="J39" s="64">
        <v>0.59</v>
      </c>
      <c r="K39" s="64">
        <v>124.15</v>
      </c>
      <c r="L39" s="64">
        <v>24.38</v>
      </c>
      <c r="M39" s="64">
        <v>84.72</v>
      </c>
      <c r="N39" s="64">
        <v>261.89999999999998</v>
      </c>
      <c r="O39" s="64">
        <v>0</v>
      </c>
      <c r="P39" s="64">
        <v>0.6</v>
      </c>
      <c r="Q39" s="64">
        <v>9.35</v>
      </c>
      <c r="R39" s="198"/>
      <c r="S39" s="198"/>
      <c r="T39" s="198"/>
      <c r="U39" s="198"/>
    </row>
    <row r="40" spans="1:21" s="12" customFormat="1" x14ac:dyDescent="0.25">
      <c r="A40" s="211" t="s">
        <v>1911</v>
      </c>
      <c r="B40" s="64">
        <v>15.47</v>
      </c>
      <c r="C40" s="64">
        <v>9.4499999999999993</v>
      </c>
      <c r="D40" s="64">
        <v>17.34</v>
      </c>
      <c r="E40" s="64">
        <v>5.87</v>
      </c>
      <c r="F40" s="64">
        <v>2.19</v>
      </c>
      <c r="G40" s="64">
        <v>104.96</v>
      </c>
      <c r="H40" s="64">
        <v>9.52</v>
      </c>
      <c r="I40" s="64">
        <v>2.5099999999999998</v>
      </c>
      <c r="J40" s="64">
        <v>0.34</v>
      </c>
      <c r="K40" s="64">
        <v>118.57</v>
      </c>
      <c r="L40" s="64">
        <v>24.84</v>
      </c>
      <c r="M40" s="64">
        <v>81.89</v>
      </c>
      <c r="N40" s="64">
        <v>315.60000000000002</v>
      </c>
      <c r="O40" s="64">
        <v>0</v>
      </c>
      <c r="P40" s="64">
        <v>0.63</v>
      </c>
      <c r="Q40" s="64">
        <v>9.33</v>
      </c>
      <c r="R40" s="198"/>
      <c r="S40" s="198"/>
      <c r="T40" s="198"/>
      <c r="U40" s="198"/>
    </row>
    <row r="41" spans="1:21" s="12" customFormat="1" x14ac:dyDescent="0.25">
      <c r="A41" s="211" t="s">
        <v>1912</v>
      </c>
      <c r="B41" s="64">
        <v>13.99</v>
      </c>
      <c r="C41" s="64">
        <v>14.78</v>
      </c>
      <c r="D41" s="64">
        <v>18.95</v>
      </c>
      <c r="E41" s="64">
        <v>7.01</v>
      </c>
      <c r="F41" s="64">
        <v>2.2400000000000002</v>
      </c>
      <c r="G41" s="64">
        <v>90.03</v>
      </c>
      <c r="H41" s="64">
        <v>8.5500000000000007</v>
      </c>
      <c r="I41" s="64">
        <v>2.5099999999999998</v>
      </c>
      <c r="J41" s="64">
        <v>0.4</v>
      </c>
      <c r="K41" s="64">
        <v>126.33</v>
      </c>
      <c r="L41" s="64">
        <v>25.68</v>
      </c>
      <c r="M41" s="64">
        <v>72.930000000000007</v>
      </c>
      <c r="N41" s="64">
        <v>361.8</v>
      </c>
      <c r="O41" s="64">
        <v>0</v>
      </c>
      <c r="P41" s="64">
        <v>0.56000000000000005</v>
      </c>
      <c r="Q41" s="64">
        <v>9.31</v>
      </c>
      <c r="R41" s="198"/>
      <c r="S41" s="198"/>
      <c r="T41" s="198"/>
      <c r="U41" s="198"/>
    </row>
    <row r="42" spans="1:21" s="12" customFormat="1" x14ac:dyDescent="0.25">
      <c r="A42" s="211" t="s">
        <v>1913</v>
      </c>
      <c r="B42" s="64">
        <v>13.52</v>
      </c>
      <c r="C42" s="64">
        <v>12.79</v>
      </c>
      <c r="D42" s="64">
        <v>17.53</v>
      </c>
      <c r="E42" s="64">
        <v>7.11</v>
      </c>
      <c r="F42" s="64">
        <v>2.6</v>
      </c>
      <c r="G42" s="64">
        <v>88.96</v>
      </c>
      <c r="H42" s="64">
        <v>8.5500000000000007</v>
      </c>
      <c r="I42" s="64">
        <v>2.5</v>
      </c>
      <c r="J42" s="64">
        <v>0.54</v>
      </c>
      <c r="K42" s="64">
        <v>127.64</v>
      </c>
      <c r="L42" s="64">
        <v>26.3</v>
      </c>
      <c r="M42" s="64">
        <v>67.790000000000006</v>
      </c>
      <c r="N42" s="64">
        <v>416.2</v>
      </c>
      <c r="O42" s="64">
        <v>0</v>
      </c>
      <c r="P42" s="64">
        <v>0.56000000000000005</v>
      </c>
      <c r="Q42" s="64">
        <v>9.3000000000000007</v>
      </c>
      <c r="R42" s="198"/>
      <c r="S42" s="198"/>
      <c r="T42" s="198"/>
      <c r="U42" s="198"/>
    </row>
    <row r="43" spans="1:21" s="12" customFormat="1" x14ac:dyDescent="0.25">
      <c r="A43" s="211" t="s">
        <v>1914</v>
      </c>
      <c r="B43" s="64">
        <v>14.42</v>
      </c>
      <c r="C43" s="64">
        <v>9.1300000000000008</v>
      </c>
      <c r="D43" s="64">
        <v>16.34</v>
      </c>
      <c r="E43" s="64">
        <v>6.5</v>
      </c>
      <c r="F43" s="64">
        <v>2.19</v>
      </c>
      <c r="G43" s="64">
        <v>88.96</v>
      </c>
      <c r="H43" s="64">
        <v>8.5500000000000007</v>
      </c>
      <c r="I43" s="64">
        <v>2.48</v>
      </c>
      <c r="J43" s="64">
        <v>0.61</v>
      </c>
      <c r="K43" s="64">
        <v>130.33000000000001</v>
      </c>
      <c r="L43" s="64">
        <v>26.79</v>
      </c>
      <c r="M43" s="64">
        <v>64.19</v>
      </c>
      <c r="N43" s="64">
        <v>472.1</v>
      </c>
      <c r="O43" s="64">
        <v>0</v>
      </c>
      <c r="P43" s="64">
        <v>0.61</v>
      </c>
      <c r="Q43" s="64">
        <v>9.2899999999999991</v>
      </c>
      <c r="R43" s="198"/>
      <c r="S43" s="198"/>
      <c r="T43" s="198"/>
      <c r="U43" s="198"/>
    </row>
    <row r="44" spans="1:21" s="12" customFormat="1" x14ac:dyDescent="0.25">
      <c r="A44" s="211" t="s">
        <v>1915</v>
      </c>
      <c r="B44" s="64">
        <v>11.45</v>
      </c>
      <c r="C44" s="64">
        <v>12.15</v>
      </c>
      <c r="D44" s="64">
        <v>15.53</v>
      </c>
      <c r="E44" s="64">
        <v>7.77</v>
      </c>
      <c r="F44" s="64">
        <v>4.0999999999999996</v>
      </c>
      <c r="G44" s="64">
        <v>88.96</v>
      </c>
      <c r="H44" s="64">
        <v>8.5500000000000007</v>
      </c>
      <c r="I44" s="64">
        <v>2.4500000000000002</v>
      </c>
      <c r="J44" s="64">
        <v>0.71</v>
      </c>
      <c r="K44" s="64">
        <v>128.19</v>
      </c>
      <c r="L44" s="64">
        <v>27.01</v>
      </c>
      <c r="M44" s="64">
        <v>64.64</v>
      </c>
      <c r="N44" s="64">
        <v>518.6</v>
      </c>
      <c r="O44" s="64">
        <v>0</v>
      </c>
      <c r="P44" s="64">
        <v>0.5</v>
      </c>
      <c r="Q44" s="64">
        <v>9.27</v>
      </c>
      <c r="R44" s="198"/>
      <c r="S44" s="198"/>
      <c r="T44" s="198"/>
      <c r="U44" s="198"/>
    </row>
    <row r="45" spans="1:21" s="12" customFormat="1" x14ac:dyDescent="0.25">
      <c r="A45" s="211" t="s">
        <v>1916</v>
      </c>
      <c r="B45" s="64">
        <v>15.84</v>
      </c>
      <c r="C45" s="64">
        <v>13.76</v>
      </c>
      <c r="D45" s="64">
        <v>19.89</v>
      </c>
      <c r="E45" s="64">
        <v>7.99</v>
      </c>
      <c r="F45" s="64">
        <v>3.04</v>
      </c>
      <c r="G45" s="64">
        <v>81.680000000000007</v>
      </c>
      <c r="H45" s="64">
        <v>7.9</v>
      </c>
      <c r="I45" s="64">
        <v>2.4300000000000002</v>
      </c>
      <c r="J45" s="64">
        <v>0.25</v>
      </c>
      <c r="K45" s="64">
        <v>117.38</v>
      </c>
      <c r="L45" s="64">
        <v>28.3</v>
      </c>
      <c r="M45" s="64">
        <v>60.23</v>
      </c>
      <c r="N45" s="64">
        <v>562.5</v>
      </c>
      <c r="O45" s="64">
        <v>0</v>
      </c>
      <c r="P45" s="64">
        <v>0.6</v>
      </c>
      <c r="Q45" s="64">
        <v>9.24</v>
      </c>
      <c r="R45" s="198"/>
      <c r="S45" s="198"/>
      <c r="T45" s="198"/>
      <c r="U45" s="198"/>
    </row>
    <row r="46" spans="1:21" s="12" customFormat="1" x14ac:dyDescent="0.25">
      <c r="A46" s="211" t="s">
        <v>1917</v>
      </c>
      <c r="B46" s="64">
        <v>13.59</v>
      </c>
      <c r="C46" s="64">
        <v>10.89</v>
      </c>
      <c r="D46" s="64">
        <v>16.59</v>
      </c>
      <c r="E46" s="64">
        <v>7.29</v>
      </c>
      <c r="F46" s="64">
        <v>2.23</v>
      </c>
      <c r="G46" s="64">
        <v>81.16</v>
      </c>
      <c r="H46" s="64">
        <v>7.9</v>
      </c>
      <c r="I46" s="64">
        <v>2.42</v>
      </c>
      <c r="J46" s="64">
        <v>0.42</v>
      </c>
      <c r="K46" s="64">
        <v>117.87</v>
      </c>
      <c r="L46" s="64">
        <v>28.77</v>
      </c>
      <c r="M46" s="64">
        <v>56.8</v>
      </c>
      <c r="N46" s="64">
        <v>602.79999999999995</v>
      </c>
      <c r="O46" s="64">
        <v>0</v>
      </c>
      <c r="P46" s="64">
        <v>0.57999999999999996</v>
      </c>
      <c r="Q46" s="64">
        <v>9.23</v>
      </c>
      <c r="R46" s="198"/>
      <c r="S46" s="198"/>
      <c r="T46" s="198"/>
      <c r="U46" s="198"/>
    </row>
    <row r="47" spans="1:21" s="12" customFormat="1" x14ac:dyDescent="0.25">
      <c r="A47" s="211" t="s">
        <v>1918</v>
      </c>
      <c r="B47" s="64">
        <v>11.56</v>
      </c>
      <c r="C47" s="64">
        <v>16.05</v>
      </c>
      <c r="D47" s="64">
        <v>17.66</v>
      </c>
      <c r="E47" s="64">
        <v>10.53</v>
      </c>
      <c r="F47" s="64">
        <v>3.18</v>
      </c>
      <c r="G47" s="64">
        <v>81.16</v>
      </c>
      <c r="H47" s="64">
        <v>7.9</v>
      </c>
      <c r="I47" s="64">
        <v>2.41</v>
      </c>
      <c r="J47" s="64">
        <v>0.19</v>
      </c>
      <c r="K47" s="64">
        <v>102.04</v>
      </c>
      <c r="L47" s="64">
        <v>29.39</v>
      </c>
      <c r="M47" s="64">
        <v>52.67</v>
      </c>
      <c r="N47" s="64">
        <v>643.29999999999995</v>
      </c>
      <c r="O47" s="64">
        <v>0</v>
      </c>
      <c r="P47" s="64">
        <v>0.57999999999999996</v>
      </c>
      <c r="Q47" s="64">
        <v>9.23</v>
      </c>
      <c r="R47" s="198"/>
      <c r="S47" s="198"/>
      <c r="T47" s="198"/>
      <c r="U47" s="198"/>
    </row>
    <row r="48" spans="1:21" s="12" customFormat="1" x14ac:dyDescent="0.25">
      <c r="A48" s="211" t="s">
        <v>1919</v>
      </c>
      <c r="B48" s="64">
        <v>12.63</v>
      </c>
      <c r="C48" s="64">
        <v>16.25</v>
      </c>
      <c r="D48" s="64">
        <v>18.61</v>
      </c>
      <c r="E48" s="64">
        <v>11.96</v>
      </c>
      <c r="F48" s="64">
        <v>4.3600000000000003</v>
      </c>
      <c r="G48" s="64">
        <v>81.16</v>
      </c>
      <c r="H48" s="64">
        <v>7.9</v>
      </c>
      <c r="I48" s="64">
        <v>2.4</v>
      </c>
      <c r="J48" s="64">
        <v>0.34</v>
      </c>
      <c r="K48" s="64">
        <v>137.07</v>
      </c>
      <c r="L48" s="64">
        <v>29.51</v>
      </c>
      <c r="M48" s="64">
        <v>50.42</v>
      </c>
      <c r="N48" s="64">
        <v>689.6</v>
      </c>
      <c r="O48" s="64">
        <v>0</v>
      </c>
      <c r="P48" s="64">
        <v>0.56999999999999995</v>
      </c>
      <c r="Q48" s="64">
        <v>9.23</v>
      </c>
      <c r="R48" s="198"/>
      <c r="S48" s="198"/>
      <c r="T48" s="198"/>
      <c r="U48" s="198"/>
    </row>
    <row r="49" spans="1:21" s="12" customFormat="1" x14ac:dyDescent="0.25">
      <c r="A49" s="211" t="s">
        <v>1920</v>
      </c>
      <c r="B49" s="64">
        <v>10.07</v>
      </c>
      <c r="C49" s="64">
        <v>15.86</v>
      </c>
      <c r="D49" s="64">
        <v>16.36</v>
      </c>
      <c r="E49" s="64">
        <v>15.56</v>
      </c>
      <c r="F49" s="64">
        <v>8</v>
      </c>
      <c r="G49" s="64">
        <v>77.13</v>
      </c>
      <c r="H49" s="64">
        <v>7.46</v>
      </c>
      <c r="I49" s="64">
        <v>2.4</v>
      </c>
      <c r="J49" s="64">
        <v>0.76</v>
      </c>
      <c r="K49" s="64">
        <v>126.81</v>
      </c>
      <c r="L49" s="64">
        <v>29.19</v>
      </c>
      <c r="M49" s="64">
        <v>44.11</v>
      </c>
      <c r="N49" s="64">
        <v>741</v>
      </c>
      <c r="O49" s="64">
        <v>0</v>
      </c>
      <c r="P49" s="64">
        <v>0.47</v>
      </c>
      <c r="Q49" s="64">
        <v>9.23</v>
      </c>
      <c r="R49" s="198"/>
      <c r="S49" s="198"/>
      <c r="T49" s="198"/>
      <c r="U49" s="198"/>
    </row>
    <row r="50" spans="1:21" s="12" customFormat="1" x14ac:dyDescent="0.25">
      <c r="A50" s="211" t="s">
        <v>1921</v>
      </c>
      <c r="B50" s="64">
        <v>10.36</v>
      </c>
      <c r="C50" s="64">
        <v>13.94</v>
      </c>
      <c r="D50" s="64">
        <v>15.59</v>
      </c>
      <c r="E50" s="64">
        <v>14.39</v>
      </c>
      <c r="F50" s="64">
        <v>6.15</v>
      </c>
      <c r="G50" s="64">
        <v>76.84</v>
      </c>
      <c r="H50" s="64">
        <v>7.46</v>
      </c>
      <c r="I50" s="64">
        <v>2.39</v>
      </c>
      <c r="J50" s="64">
        <v>0.22</v>
      </c>
      <c r="K50" s="64">
        <v>128.51</v>
      </c>
      <c r="L50" s="64">
        <v>29.66</v>
      </c>
      <c r="M50" s="64">
        <v>43.14</v>
      </c>
      <c r="N50" s="64">
        <v>738.6</v>
      </c>
      <c r="O50" s="64">
        <v>0</v>
      </c>
      <c r="P50" s="64">
        <v>0.5</v>
      </c>
      <c r="Q50" s="64">
        <v>9.2100000000000009</v>
      </c>
      <c r="R50" s="198"/>
      <c r="S50" s="198"/>
      <c r="T50" s="198"/>
      <c r="U50" s="198"/>
    </row>
    <row r="51" spans="1:21" s="12" customFormat="1" x14ac:dyDescent="0.25">
      <c r="A51" s="211" t="s">
        <v>1922</v>
      </c>
      <c r="B51" s="64">
        <v>10.46</v>
      </c>
      <c r="C51" s="64">
        <v>15.64</v>
      </c>
      <c r="D51" s="64">
        <v>16.559999999999999</v>
      </c>
      <c r="E51" s="64">
        <v>15.48</v>
      </c>
      <c r="F51" s="64">
        <v>3.69</v>
      </c>
      <c r="G51" s="64">
        <v>76.84</v>
      </c>
      <c r="H51" s="64">
        <v>7.46</v>
      </c>
      <c r="I51" s="64">
        <v>2.38</v>
      </c>
      <c r="J51" s="64">
        <v>0.11</v>
      </c>
      <c r="K51" s="64">
        <v>140.44</v>
      </c>
      <c r="L51" s="64">
        <v>30.02</v>
      </c>
      <c r="M51" s="64">
        <v>40.89</v>
      </c>
      <c r="N51" s="64">
        <v>741.3</v>
      </c>
      <c r="O51" s="64">
        <v>0</v>
      </c>
      <c r="P51" s="64">
        <v>0.53</v>
      </c>
      <c r="Q51" s="64">
        <v>9.2100000000000009</v>
      </c>
      <c r="R51" s="198"/>
      <c r="S51" s="198"/>
      <c r="T51" s="198"/>
      <c r="U51" s="198"/>
    </row>
    <row r="52" spans="1:21" s="12" customFormat="1" x14ac:dyDescent="0.25">
      <c r="A52" s="211" t="s">
        <v>1923</v>
      </c>
      <c r="B52" s="64">
        <v>10.29</v>
      </c>
      <c r="C52" s="64">
        <v>14.3</v>
      </c>
      <c r="D52" s="64">
        <v>15.72</v>
      </c>
      <c r="E52" s="64">
        <v>14.41</v>
      </c>
      <c r="F52" s="64">
        <v>4.13</v>
      </c>
      <c r="G52" s="64">
        <v>76.84</v>
      </c>
      <c r="H52" s="64">
        <v>7.46</v>
      </c>
      <c r="I52" s="64">
        <v>2.36</v>
      </c>
      <c r="J52" s="64">
        <v>0.62</v>
      </c>
      <c r="K52" s="64">
        <v>140.08000000000001</v>
      </c>
      <c r="L52" s="64">
        <v>30.07</v>
      </c>
      <c r="M52" s="64">
        <v>40.08</v>
      </c>
      <c r="N52" s="64">
        <v>753.7</v>
      </c>
      <c r="O52" s="64">
        <v>0</v>
      </c>
      <c r="P52" s="64">
        <v>0.5</v>
      </c>
      <c r="Q52" s="64">
        <v>9.18</v>
      </c>
      <c r="R52" s="198"/>
      <c r="S52" s="198"/>
      <c r="T52" s="198"/>
      <c r="U52" s="198"/>
    </row>
    <row r="53" spans="1:21" s="12" customFormat="1" x14ac:dyDescent="0.25">
      <c r="A53" s="211" t="s">
        <v>1924</v>
      </c>
      <c r="B53" s="64">
        <v>9.77</v>
      </c>
      <c r="C53" s="64">
        <v>13.68</v>
      </c>
      <c r="D53" s="64">
        <v>14.98</v>
      </c>
      <c r="E53" s="64">
        <v>10.97</v>
      </c>
      <c r="F53" s="64">
        <v>7.48</v>
      </c>
      <c r="G53" s="64">
        <v>64.28</v>
      </c>
      <c r="H53" s="64">
        <v>7.15</v>
      </c>
      <c r="I53" s="64">
        <v>2.34</v>
      </c>
      <c r="J53" s="64">
        <v>0.65</v>
      </c>
      <c r="K53" s="64">
        <v>141.77000000000001</v>
      </c>
      <c r="L53" s="64">
        <v>29.67</v>
      </c>
      <c r="M53" s="64">
        <v>41</v>
      </c>
      <c r="N53" s="64">
        <v>755.7</v>
      </c>
      <c r="O53" s="64">
        <v>0</v>
      </c>
      <c r="P53" s="64">
        <v>0.5</v>
      </c>
      <c r="Q53" s="64">
        <v>9.18</v>
      </c>
      <c r="R53" s="198"/>
      <c r="S53" s="198"/>
      <c r="T53" s="198"/>
      <c r="U53" s="198"/>
    </row>
    <row r="54" spans="1:21" s="12" customFormat="1" x14ac:dyDescent="0.25">
      <c r="A54" s="211" t="s">
        <v>1925</v>
      </c>
      <c r="B54" s="64">
        <v>10.57</v>
      </c>
      <c r="C54" s="64">
        <v>17.309999999999999</v>
      </c>
      <c r="D54" s="64">
        <v>17.52</v>
      </c>
      <c r="E54" s="64">
        <v>12.52</v>
      </c>
      <c r="F54" s="64">
        <v>6.12</v>
      </c>
      <c r="G54" s="64">
        <v>63.38</v>
      </c>
      <c r="H54" s="64">
        <v>7.15</v>
      </c>
      <c r="I54" s="64">
        <v>2.3199999999999998</v>
      </c>
      <c r="J54" s="64">
        <v>0.31</v>
      </c>
      <c r="K54" s="64">
        <v>4.04</v>
      </c>
      <c r="L54" s="64">
        <v>31.19</v>
      </c>
      <c r="M54" s="64">
        <v>36.76</v>
      </c>
      <c r="N54" s="64">
        <v>765.9</v>
      </c>
      <c r="O54" s="64">
        <v>0</v>
      </c>
      <c r="P54" s="64">
        <v>0.53</v>
      </c>
      <c r="Q54" s="64">
        <v>9.17</v>
      </c>
      <c r="R54" s="198"/>
      <c r="S54" s="198"/>
      <c r="T54" s="198"/>
      <c r="U54" s="198"/>
    </row>
    <row r="55" spans="1:21" s="12" customFormat="1" x14ac:dyDescent="0.25">
      <c r="A55" s="211" t="s">
        <v>1926</v>
      </c>
      <c r="B55" s="64">
        <v>10.130000000000001</v>
      </c>
      <c r="C55" s="64">
        <v>16.100000000000001</v>
      </c>
      <c r="D55" s="64">
        <v>16.54</v>
      </c>
      <c r="E55" s="64">
        <v>10.98</v>
      </c>
      <c r="F55" s="64">
        <v>4.6500000000000004</v>
      </c>
      <c r="G55" s="64">
        <v>63.38</v>
      </c>
      <c r="H55" s="64">
        <v>7.15</v>
      </c>
      <c r="I55" s="64">
        <v>2.29</v>
      </c>
      <c r="J55" s="64">
        <v>0.27</v>
      </c>
      <c r="K55" s="64">
        <v>125.99</v>
      </c>
      <c r="L55" s="64">
        <v>31.23</v>
      </c>
      <c r="M55" s="64">
        <v>36.28</v>
      </c>
      <c r="N55" s="64">
        <v>751</v>
      </c>
      <c r="O55" s="64">
        <v>0</v>
      </c>
      <c r="P55" s="64">
        <v>0.5</v>
      </c>
      <c r="Q55" s="64">
        <v>9.1300000000000008</v>
      </c>
      <c r="R55" s="198"/>
      <c r="S55" s="198"/>
      <c r="T55" s="198"/>
      <c r="U55" s="198"/>
    </row>
    <row r="56" spans="1:21" s="12" customFormat="1" x14ac:dyDescent="0.25">
      <c r="A56" s="211" t="s">
        <v>1927</v>
      </c>
      <c r="B56" s="64">
        <v>9.41</v>
      </c>
      <c r="C56" s="64">
        <v>21.83</v>
      </c>
      <c r="D56" s="64">
        <v>18.91</v>
      </c>
      <c r="E56" s="64">
        <v>14.16</v>
      </c>
      <c r="F56" s="64">
        <v>10.02</v>
      </c>
      <c r="G56" s="64">
        <v>63.38</v>
      </c>
      <c r="H56" s="64">
        <v>7.15</v>
      </c>
      <c r="I56" s="64">
        <v>2.2599999999999998</v>
      </c>
      <c r="J56" s="64">
        <v>0.21</v>
      </c>
      <c r="K56" s="64">
        <v>350.79</v>
      </c>
      <c r="L56" s="64">
        <v>32.119999999999997</v>
      </c>
      <c r="M56" s="64">
        <v>35.590000000000003</v>
      </c>
      <c r="N56" s="64">
        <v>722.3</v>
      </c>
      <c r="O56" s="64">
        <v>0</v>
      </c>
      <c r="P56" s="64">
        <v>0.53</v>
      </c>
      <c r="Q56" s="64">
        <v>9.1199999999999992</v>
      </c>
      <c r="R56" s="198"/>
      <c r="S56" s="198"/>
      <c r="T56" s="198"/>
      <c r="U56" s="198"/>
    </row>
    <row r="57" spans="1:21" s="12" customFormat="1" x14ac:dyDescent="0.25">
      <c r="A57" s="211" t="s">
        <v>1928</v>
      </c>
      <c r="B57" s="64">
        <v>10.47</v>
      </c>
      <c r="C57" s="64">
        <v>21.21</v>
      </c>
      <c r="D57" s="64">
        <v>19.48</v>
      </c>
      <c r="E57" s="64">
        <v>13.9</v>
      </c>
      <c r="F57" s="64">
        <v>5.74</v>
      </c>
      <c r="G57" s="64">
        <v>61.4</v>
      </c>
      <c r="H57" s="64">
        <v>7.02</v>
      </c>
      <c r="I57" s="64">
        <v>2.2200000000000002</v>
      </c>
      <c r="J57" s="64">
        <v>0.53</v>
      </c>
      <c r="K57" s="64">
        <v>336.03</v>
      </c>
      <c r="L57" s="64">
        <v>32.97</v>
      </c>
      <c r="M57" s="64">
        <v>33.67</v>
      </c>
      <c r="N57" s="64">
        <v>693.3</v>
      </c>
      <c r="O57" s="64">
        <v>0</v>
      </c>
      <c r="P57" s="64">
        <v>0.54</v>
      </c>
      <c r="Q57" s="64">
        <v>9.09</v>
      </c>
      <c r="R57" s="198"/>
      <c r="S57" s="198"/>
      <c r="T57" s="198"/>
      <c r="U57" s="198"/>
    </row>
    <row r="58" spans="1:21" s="12" customFormat="1" x14ac:dyDescent="0.25">
      <c r="A58" s="211" t="s">
        <v>1929</v>
      </c>
      <c r="B58" s="64">
        <v>8.67</v>
      </c>
      <c r="C58" s="64">
        <v>24.25</v>
      </c>
      <c r="D58" s="64">
        <v>19.62</v>
      </c>
      <c r="E58" s="64">
        <v>16.14</v>
      </c>
      <c r="F58" s="64">
        <v>11.29</v>
      </c>
      <c r="G58" s="64">
        <v>61.26</v>
      </c>
      <c r="H58" s="64">
        <v>7.02</v>
      </c>
      <c r="I58" s="64">
        <v>2.1800000000000002</v>
      </c>
      <c r="J58" s="64">
        <v>0.12</v>
      </c>
      <c r="K58" s="64">
        <v>108.12</v>
      </c>
      <c r="L58" s="64">
        <v>32.46</v>
      </c>
      <c r="M58" s="64">
        <v>32.93</v>
      </c>
      <c r="N58" s="64">
        <v>645.4</v>
      </c>
      <c r="O58" s="64">
        <v>0</v>
      </c>
      <c r="P58" s="64">
        <v>0.47</v>
      </c>
      <c r="Q58" s="64">
        <v>9.09</v>
      </c>
      <c r="R58" s="198"/>
      <c r="S58" s="198"/>
      <c r="T58" s="198"/>
      <c r="U58" s="198"/>
    </row>
    <row r="59" spans="1:21" s="12" customFormat="1" x14ac:dyDescent="0.25">
      <c r="A59" s="211" t="s">
        <v>1930</v>
      </c>
      <c r="B59" s="64">
        <v>7.15</v>
      </c>
      <c r="C59" s="64">
        <v>20.36</v>
      </c>
      <c r="D59" s="64">
        <v>16.37</v>
      </c>
      <c r="E59" s="64">
        <v>14.43</v>
      </c>
      <c r="F59" s="64">
        <v>13.97</v>
      </c>
      <c r="G59" s="64">
        <v>61.26</v>
      </c>
      <c r="H59" s="64">
        <v>7.02</v>
      </c>
      <c r="I59" s="64">
        <v>2.15</v>
      </c>
      <c r="J59" s="64">
        <v>0.61</v>
      </c>
      <c r="K59" s="64">
        <v>139.19</v>
      </c>
      <c r="L59" s="64">
        <v>30.71</v>
      </c>
      <c r="M59" s="64">
        <v>41.06</v>
      </c>
      <c r="N59" s="64">
        <v>602.79999999999995</v>
      </c>
      <c r="O59" s="64">
        <v>0</v>
      </c>
      <c r="P59" s="64">
        <v>0.44</v>
      </c>
      <c r="Q59" s="64">
        <v>9.07</v>
      </c>
      <c r="R59" s="198"/>
      <c r="S59" s="198"/>
      <c r="T59" s="198"/>
      <c r="U59" s="198"/>
    </row>
    <row r="60" spans="1:21" s="12" customFormat="1" x14ac:dyDescent="0.25">
      <c r="A60" s="211" t="s">
        <v>1931</v>
      </c>
      <c r="B60" s="64">
        <v>5.95</v>
      </c>
      <c r="C60" s="64">
        <v>20.49</v>
      </c>
      <c r="D60" s="64">
        <v>15.48</v>
      </c>
      <c r="E60" s="64">
        <v>15.01</v>
      </c>
      <c r="F60" s="64">
        <v>21.12</v>
      </c>
      <c r="G60" s="64">
        <v>61.26</v>
      </c>
      <c r="H60" s="64">
        <v>7.02</v>
      </c>
      <c r="I60" s="64">
        <v>2.13</v>
      </c>
      <c r="J60" s="64">
        <v>0.49</v>
      </c>
      <c r="K60" s="64">
        <v>142.07</v>
      </c>
      <c r="L60" s="64">
        <v>29.95</v>
      </c>
      <c r="M60" s="64">
        <v>42.09</v>
      </c>
      <c r="N60" s="64">
        <v>417.7</v>
      </c>
      <c r="O60" s="64">
        <v>0</v>
      </c>
      <c r="P60" s="64">
        <v>0.4</v>
      </c>
      <c r="Q60" s="64">
        <v>9.06</v>
      </c>
      <c r="R60" s="198"/>
      <c r="S60" s="198"/>
      <c r="T60" s="198"/>
      <c r="U60" s="198"/>
    </row>
    <row r="61" spans="1:21" s="12" customFormat="1" x14ac:dyDescent="0.25">
      <c r="A61" s="211" t="s">
        <v>1932</v>
      </c>
      <c r="B61" s="64">
        <v>7.6</v>
      </c>
      <c r="C61" s="64">
        <v>19.149999999999999</v>
      </c>
      <c r="D61" s="64">
        <v>16.100000000000001</v>
      </c>
      <c r="E61" s="64">
        <v>14.02</v>
      </c>
      <c r="F61" s="64">
        <v>8.65</v>
      </c>
      <c r="G61" s="64">
        <v>65.48</v>
      </c>
      <c r="H61" s="64">
        <v>8.67</v>
      </c>
      <c r="I61" s="64">
        <v>2.11</v>
      </c>
      <c r="J61" s="64">
        <v>0.76</v>
      </c>
      <c r="K61" s="64">
        <v>335.9</v>
      </c>
      <c r="L61" s="64">
        <v>31.18</v>
      </c>
      <c r="M61" s="64">
        <v>38.909999999999997</v>
      </c>
      <c r="N61" s="64">
        <v>286.5</v>
      </c>
      <c r="O61" s="64">
        <v>0</v>
      </c>
      <c r="P61" s="64">
        <v>0.5</v>
      </c>
      <c r="Q61" s="64">
        <v>9.0399999999999991</v>
      </c>
      <c r="R61" s="198"/>
      <c r="S61" s="198"/>
      <c r="T61" s="198"/>
      <c r="U61" s="198"/>
    </row>
    <row r="62" spans="1:21" s="12" customFormat="1" x14ac:dyDescent="0.25">
      <c r="A62" s="211" t="s">
        <v>1933</v>
      </c>
      <c r="B62" s="64">
        <v>11.06</v>
      </c>
      <c r="C62" s="64">
        <v>29.6</v>
      </c>
      <c r="D62" s="64">
        <v>24.34</v>
      </c>
      <c r="E62" s="64">
        <v>21.63</v>
      </c>
      <c r="F62" s="64">
        <v>12.01</v>
      </c>
      <c r="G62" s="64">
        <v>65.78</v>
      </c>
      <c r="H62" s="64">
        <v>8.67</v>
      </c>
      <c r="I62" s="64">
        <v>2.0699999999999998</v>
      </c>
      <c r="J62" s="64">
        <v>0.72</v>
      </c>
      <c r="K62" s="64">
        <v>337.75</v>
      </c>
      <c r="L62" s="64">
        <v>31.13</v>
      </c>
      <c r="M62" s="64">
        <v>40.99</v>
      </c>
      <c r="N62" s="64">
        <v>250.8</v>
      </c>
      <c r="O62" s="64">
        <v>0</v>
      </c>
      <c r="P62" s="64">
        <v>0.66</v>
      </c>
      <c r="Q62" s="64">
        <v>9.0500000000000007</v>
      </c>
      <c r="R62" s="198"/>
      <c r="S62" s="198"/>
      <c r="T62" s="198"/>
      <c r="U62" s="198"/>
    </row>
    <row r="63" spans="1:21" s="12" customFormat="1" x14ac:dyDescent="0.25">
      <c r="A63" s="211" t="s">
        <v>1934</v>
      </c>
      <c r="B63" s="64">
        <v>8.81</v>
      </c>
      <c r="C63" s="64">
        <v>21.36</v>
      </c>
      <c r="D63" s="64">
        <v>18.23</v>
      </c>
      <c r="E63" s="64">
        <v>10.72</v>
      </c>
      <c r="F63" s="64">
        <v>9.4700000000000006</v>
      </c>
      <c r="G63" s="64">
        <v>65.78</v>
      </c>
      <c r="H63" s="64">
        <v>8.67</v>
      </c>
      <c r="I63" s="64">
        <v>2.06</v>
      </c>
      <c r="J63" s="64">
        <v>0.74</v>
      </c>
      <c r="K63" s="64">
        <v>336.54</v>
      </c>
      <c r="L63" s="64">
        <v>31.06</v>
      </c>
      <c r="M63" s="64">
        <v>38.159999999999997</v>
      </c>
      <c r="N63" s="64">
        <v>204</v>
      </c>
      <c r="O63" s="64">
        <v>0</v>
      </c>
      <c r="P63" s="64">
        <v>0.59</v>
      </c>
      <c r="Q63" s="64">
        <v>9.0399999999999991</v>
      </c>
      <c r="R63" s="198"/>
      <c r="S63" s="198"/>
      <c r="T63" s="198"/>
      <c r="U63" s="198"/>
    </row>
    <row r="64" spans="1:21" s="12" customFormat="1" x14ac:dyDescent="0.25">
      <c r="A64" s="211" t="s">
        <v>1935</v>
      </c>
      <c r="B64" s="64">
        <v>8.23</v>
      </c>
      <c r="C64" s="64">
        <v>17.55</v>
      </c>
      <c r="D64" s="64">
        <v>15.78</v>
      </c>
      <c r="E64" s="64">
        <v>17.3</v>
      </c>
      <c r="F64" s="64">
        <v>9.0399999999999991</v>
      </c>
      <c r="G64" s="64">
        <v>65.78</v>
      </c>
      <c r="H64" s="64">
        <v>8.67</v>
      </c>
      <c r="I64" s="64">
        <v>2.0699999999999998</v>
      </c>
      <c r="J64" s="64">
        <v>1.02</v>
      </c>
      <c r="K64" s="64">
        <v>340.28</v>
      </c>
      <c r="L64" s="64">
        <v>30.71</v>
      </c>
      <c r="M64" s="64">
        <v>36.450000000000003</v>
      </c>
      <c r="N64" s="64">
        <v>184.9</v>
      </c>
      <c r="O64" s="64">
        <v>0</v>
      </c>
      <c r="P64" s="64">
        <v>0.51</v>
      </c>
      <c r="Q64" s="64">
        <v>9.0500000000000007</v>
      </c>
      <c r="R64" s="198"/>
      <c r="S64" s="198"/>
      <c r="T64" s="198"/>
      <c r="U64" s="198"/>
    </row>
    <row r="65" spans="1:21" s="12" customFormat="1" x14ac:dyDescent="0.25">
      <c r="A65" s="211" t="s">
        <v>1936</v>
      </c>
      <c r="B65" s="64">
        <v>9.02</v>
      </c>
      <c r="C65" s="64">
        <v>20.71</v>
      </c>
      <c r="D65" s="64">
        <v>18.05</v>
      </c>
      <c r="E65" s="64">
        <v>17.16</v>
      </c>
      <c r="F65" s="64">
        <v>11.03</v>
      </c>
      <c r="G65" s="64">
        <v>72.180000000000007</v>
      </c>
      <c r="H65" s="64">
        <v>8.3800000000000008</v>
      </c>
      <c r="I65" s="64">
        <v>2.06</v>
      </c>
      <c r="J65" s="64">
        <v>1.26</v>
      </c>
      <c r="K65" s="64">
        <v>335.63</v>
      </c>
      <c r="L65" s="64">
        <v>30.84</v>
      </c>
      <c r="M65" s="64">
        <v>35.340000000000003</v>
      </c>
      <c r="N65" s="64">
        <v>158.69999999999999</v>
      </c>
      <c r="O65" s="64">
        <v>0</v>
      </c>
      <c r="P65" s="64">
        <v>0.52</v>
      </c>
      <c r="Q65" s="64">
        <v>9.0500000000000007</v>
      </c>
      <c r="R65" s="198"/>
      <c r="S65" s="198"/>
      <c r="T65" s="198"/>
      <c r="U65" s="198"/>
    </row>
    <row r="66" spans="1:21" s="12" customFormat="1" x14ac:dyDescent="0.25">
      <c r="A66" s="211" t="s">
        <v>1937</v>
      </c>
      <c r="B66" s="64">
        <v>9.17</v>
      </c>
      <c r="C66" s="64">
        <v>19.809999999999999</v>
      </c>
      <c r="D66" s="64">
        <v>17.7</v>
      </c>
      <c r="E66" s="64">
        <v>12.62</v>
      </c>
      <c r="F66" s="64">
        <v>5.88</v>
      </c>
      <c r="G66" s="64">
        <v>72.64</v>
      </c>
      <c r="H66" s="64">
        <v>8.3800000000000008</v>
      </c>
      <c r="I66" s="64">
        <v>2.06</v>
      </c>
      <c r="J66" s="64">
        <v>1.23</v>
      </c>
      <c r="K66" s="64">
        <v>331.67</v>
      </c>
      <c r="L66" s="64">
        <v>30.59</v>
      </c>
      <c r="M66" s="64">
        <v>36.159999999999997</v>
      </c>
      <c r="N66" s="64">
        <v>143.1</v>
      </c>
      <c r="O66" s="64">
        <v>0</v>
      </c>
      <c r="P66" s="64">
        <v>0.54</v>
      </c>
      <c r="Q66" s="64">
        <v>9.07</v>
      </c>
      <c r="R66" s="198"/>
      <c r="S66" s="198"/>
      <c r="T66" s="198"/>
      <c r="U66" s="198"/>
    </row>
    <row r="67" spans="1:21" s="12" customFormat="1" x14ac:dyDescent="0.25">
      <c r="A67" s="211" t="s">
        <v>1938</v>
      </c>
      <c r="B67" s="64">
        <v>10.1</v>
      </c>
      <c r="C67" s="64">
        <v>21.2</v>
      </c>
      <c r="D67" s="64">
        <v>19.18</v>
      </c>
      <c r="E67" s="64">
        <v>12.3</v>
      </c>
      <c r="F67" s="64">
        <v>6.88</v>
      </c>
      <c r="G67" s="64">
        <v>72.64</v>
      </c>
      <c r="H67" s="64">
        <v>8.3800000000000008</v>
      </c>
      <c r="I67" s="64">
        <v>2.06</v>
      </c>
      <c r="J67" s="64">
        <v>1.4</v>
      </c>
      <c r="K67" s="64">
        <v>335.53</v>
      </c>
      <c r="L67" s="64">
        <v>30.43</v>
      </c>
      <c r="M67" s="64">
        <v>34.24</v>
      </c>
      <c r="N67" s="64">
        <v>133.9</v>
      </c>
      <c r="O67" s="64">
        <v>0</v>
      </c>
      <c r="P67" s="64">
        <v>0.54</v>
      </c>
      <c r="Q67" s="64">
        <v>9.08</v>
      </c>
      <c r="R67" s="198"/>
      <c r="S67" s="198"/>
      <c r="T67" s="198"/>
      <c r="U67" s="198"/>
    </row>
    <row r="68" spans="1:21" s="12" customFormat="1" x14ac:dyDescent="0.25">
      <c r="A68" s="211" t="s">
        <v>1939</v>
      </c>
      <c r="B68" s="64">
        <v>14.01</v>
      </c>
      <c r="C68" s="64">
        <v>18.829999999999998</v>
      </c>
      <c r="D68" s="64">
        <v>21.01</v>
      </c>
      <c r="E68" s="64">
        <v>11.36</v>
      </c>
      <c r="F68" s="64">
        <v>8.49</v>
      </c>
      <c r="G68" s="64">
        <v>72.64</v>
      </c>
      <c r="H68" s="64">
        <v>8.3800000000000008</v>
      </c>
      <c r="I68" s="64">
        <v>2.0499999999999998</v>
      </c>
      <c r="J68" s="64">
        <v>1.49</v>
      </c>
      <c r="K68" s="64">
        <v>335.03</v>
      </c>
      <c r="L68" s="64">
        <v>29.86</v>
      </c>
      <c r="M68" s="64">
        <v>33.6</v>
      </c>
      <c r="N68" s="64">
        <v>121.9</v>
      </c>
      <c r="O68" s="64">
        <v>0</v>
      </c>
      <c r="P68" s="64">
        <v>0.54</v>
      </c>
      <c r="Q68" s="64">
        <v>9.1</v>
      </c>
      <c r="R68" s="198"/>
      <c r="S68" s="198"/>
      <c r="T68" s="198"/>
      <c r="U68" s="198"/>
    </row>
    <row r="69" spans="1:21" s="12" customFormat="1" x14ac:dyDescent="0.25">
      <c r="A69" s="211" t="s">
        <v>1940</v>
      </c>
      <c r="B69" s="64">
        <v>11.15</v>
      </c>
      <c r="C69" s="64">
        <v>23.94</v>
      </c>
      <c r="D69" s="64">
        <v>21.45</v>
      </c>
      <c r="E69" s="64">
        <v>12.77</v>
      </c>
      <c r="F69" s="64">
        <v>10.52</v>
      </c>
      <c r="G69" s="64">
        <v>65.16</v>
      </c>
      <c r="H69" s="64">
        <v>8.06</v>
      </c>
      <c r="I69" s="64">
        <v>2.0299999999999998</v>
      </c>
      <c r="J69" s="64">
        <v>0.88</v>
      </c>
      <c r="K69" s="64">
        <v>333.9</v>
      </c>
      <c r="L69" s="64">
        <v>29.36</v>
      </c>
      <c r="M69" s="64">
        <v>31.64</v>
      </c>
      <c r="N69" s="64">
        <v>112.2</v>
      </c>
      <c r="O69" s="64">
        <v>0</v>
      </c>
      <c r="P69" s="64">
        <v>0.49</v>
      </c>
      <c r="Q69" s="64">
        <v>9.11</v>
      </c>
      <c r="R69" s="198"/>
      <c r="S69" s="198"/>
      <c r="T69" s="198"/>
      <c r="U69" s="198"/>
    </row>
    <row r="70" spans="1:21" s="12" customFormat="1" x14ac:dyDescent="0.25">
      <c r="A70" s="211" t="s">
        <v>1941</v>
      </c>
      <c r="B70" s="64">
        <v>10.4</v>
      </c>
      <c r="C70" s="64">
        <v>19.29</v>
      </c>
      <c r="D70" s="64">
        <v>18.420000000000002</v>
      </c>
      <c r="E70" s="64">
        <v>12.65</v>
      </c>
      <c r="F70" s="64">
        <v>9.94</v>
      </c>
      <c r="G70" s="64">
        <v>64.63</v>
      </c>
      <c r="H70" s="64">
        <v>8.06</v>
      </c>
      <c r="I70" s="64">
        <v>2.02</v>
      </c>
      <c r="J70" s="64">
        <v>1.19</v>
      </c>
      <c r="K70" s="64">
        <v>336.04</v>
      </c>
      <c r="L70" s="64">
        <v>29.11</v>
      </c>
      <c r="M70" s="64">
        <v>32.56</v>
      </c>
      <c r="N70" s="64">
        <v>103</v>
      </c>
      <c r="O70" s="64">
        <v>0</v>
      </c>
      <c r="P70" s="64">
        <v>0.51</v>
      </c>
      <c r="Q70" s="64">
        <v>9.1300000000000008</v>
      </c>
      <c r="R70" s="198"/>
      <c r="S70" s="198"/>
      <c r="T70" s="198"/>
      <c r="U70" s="198"/>
    </row>
    <row r="71" spans="1:21" s="12" customFormat="1" x14ac:dyDescent="0.25">
      <c r="A71" s="211" t="s">
        <v>1942</v>
      </c>
      <c r="B71" s="64">
        <v>10.42</v>
      </c>
      <c r="C71" s="64">
        <v>20.47</v>
      </c>
      <c r="D71" s="64">
        <v>19.05</v>
      </c>
      <c r="E71" s="64">
        <v>12.47</v>
      </c>
      <c r="F71" s="64">
        <v>9.9700000000000006</v>
      </c>
      <c r="G71" s="64">
        <v>64.63</v>
      </c>
      <c r="H71" s="64">
        <v>8.06</v>
      </c>
      <c r="I71" s="64">
        <v>2.0099999999999998</v>
      </c>
      <c r="J71" s="64">
        <v>1.06</v>
      </c>
      <c r="K71" s="64">
        <v>337.04</v>
      </c>
      <c r="L71" s="64">
        <v>28.84</v>
      </c>
      <c r="M71" s="64">
        <v>33.54</v>
      </c>
      <c r="N71" s="64">
        <v>96.3</v>
      </c>
      <c r="O71" s="64">
        <v>0</v>
      </c>
      <c r="P71" s="64">
        <v>0.57999999999999996</v>
      </c>
      <c r="Q71" s="64">
        <v>9.1199999999999992</v>
      </c>
      <c r="R71" s="198"/>
      <c r="S71" s="198"/>
      <c r="T71" s="198"/>
      <c r="U71" s="198"/>
    </row>
    <row r="72" spans="1:21" s="12" customFormat="1" x14ac:dyDescent="0.25">
      <c r="A72" s="211" t="s">
        <v>1943</v>
      </c>
      <c r="B72" s="64">
        <v>8.09</v>
      </c>
      <c r="C72" s="64">
        <v>17.71</v>
      </c>
      <c r="D72" s="64">
        <v>15.74</v>
      </c>
      <c r="E72" s="64">
        <v>10.43</v>
      </c>
      <c r="F72" s="64">
        <v>8.74</v>
      </c>
      <c r="G72" s="64">
        <v>64.63</v>
      </c>
      <c r="H72" s="64">
        <v>8.06</v>
      </c>
      <c r="I72" s="64">
        <v>2.0099999999999998</v>
      </c>
      <c r="J72" s="64">
        <v>1.5</v>
      </c>
      <c r="K72" s="64">
        <v>336.44</v>
      </c>
      <c r="L72" s="64">
        <v>28.55</v>
      </c>
      <c r="M72" s="64">
        <v>35.06</v>
      </c>
      <c r="N72" s="64">
        <v>90.5</v>
      </c>
      <c r="O72" s="64">
        <v>0</v>
      </c>
      <c r="P72" s="64">
        <v>0.51</v>
      </c>
      <c r="Q72" s="64">
        <v>9.14</v>
      </c>
      <c r="R72" s="198"/>
      <c r="S72" s="198"/>
      <c r="T72" s="198"/>
      <c r="U72" s="198"/>
    </row>
    <row r="73" spans="1:21" s="12" customFormat="1" x14ac:dyDescent="0.25">
      <c r="A73" s="211" t="s">
        <v>1944</v>
      </c>
      <c r="B73" s="64">
        <v>12.13</v>
      </c>
      <c r="C73" s="64">
        <v>25.87</v>
      </c>
      <c r="D73" s="64">
        <v>23.24</v>
      </c>
      <c r="E73" s="64">
        <v>11.27</v>
      </c>
      <c r="F73" s="64">
        <v>6.32</v>
      </c>
      <c r="G73" s="64">
        <v>59.97</v>
      </c>
      <c r="H73" s="64">
        <v>7.82</v>
      </c>
      <c r="I73" s="64">
        <v>2</v>
      </c>
      <c r="J73" s="64">
        <v>0.94</v>
      </c>
      <c r="K73" s="64">
        <v>337.38</v>
      </c>
      <c r="L73" s="64">
        <v>28.21</v>
      </c>
      <c r="M73" s="64">
        <v>39.450000000000003</v>
      </c>
      <c r="N73" s="64">
        <v>83.6</v>
      </c>
      <c r="O73" s="64">
        <v>0</v>
      </c>
      <c r="P73" s="64">
        <v>0.59</v>
      </c>
      <c r="Q73" s="64">
        <v>9.1300000000000008</v>
      </c>
      <c r="R73" s="198"/>
      <c r="S73" s="198"/>
      <c r="T73" s="198"/>
      <c r="U73" s="198"/>
    </row>
    <row r="74" spans="1:21" s="12" customFormat="1" x14ac:dyDescent="0.25">
      <c r="A74" s="211" t="s">
        <v>1945</v>
      </c>
      <c r="B74" s="64">
        <v>11.14</v>
      </c>
      <c r="C74" s="64">
        <v>25.27</v>
      </c>
      <c r="D74" s="64">
        <v>22.14</v>
      </c>
      <c r="E74" s="64">
        <v>13.38</v>
      </c>
      <c r="F74" s="64">
        <v>5.09</v>
      </c>
      <c r="G74" s="64">
        <v>59.63</v>
      </c>
      <c r="H74" s="64">
        <v>7.82</v>
      </c>
      <c r="I74" s="64">
        <v>1.97</v>
      </c>
      <c r="J74" s="64">
        <v>0.87</v>
      </c>
      <c r="K74" s="64">
        <v>334.57</v>
      </c>
      <c r="L74" s="64">
        <v>28.01</v>
      </c>
      <c r="M74" s="64">
        <v>40.090000000000003</v>
      </c>
      <c r="N74" s="64">
        <v>76.2</v>
      </c>
      <c r="O74" s="64">
        <v>0</v>
      </c>
      <c r="P74" s="64">
        <v>0.62</v>
      </c>
      <c r="Q74" s="64">
        <v>9.11</v>
      </c>
      <c r="R74" s="198"/>
      <c r="S74" s="198"/>
      <c r="T74" s="198"/>
      <c r="U74" s="198"/>
    </row>
    <row r="75" spans="1:21" s="12" customFormat="1" x14ac:dyDescent="0.25">
      <c r="A75" s="211" t="s">
        <v>1946</v>
      </c>
      <c r="B75" s="64">
        <v>10.67</v>
      </c>
      <c r="C75" s="64">
        <v>28.79</v>
      </c>
      <c r="D75" s="64">
        <v>23.6</v>
      </c>
      <c r="E75" s="64">
        <v>14.59</v>
      </c>
      <c r="F75" s="64">
        <v>9.2899999999999991</v>
      </c>
      <c r="G75" s="64">
        <v>59.63</v>
      </c>
      <c r="H75" s="64">
        <v>7.82</v>
      </c>
      <c r="I75" s="64">
        <v>1.94</v>
      </c>
      <c r="J75" s="64">
        <v>0.35</v>
      </c>
      <c r="K75" s="64">
        <v>337.1</v>
      </c>
      <c r="L75" s="64">
        <v>27.61</v>
      </c>
      <c r="M75" s="64">
        <v>38.71</v>
      </c>
      <c r="N75" s="64">
        <v>69.599999999999994</v>
      </c>
      <c r="O75" s="64">
        <v>0</v>
      </c>
      <c r="P75" s="64">
        <v>0.69</v>
      </c>
      <c r="Q75" s="64">
        <v>9.1199999999999992</v>
      </c>
      <c r="R75" s="198"/>
      <c r="S75" s="198"/>
      <c r="T75" s="198"/>
      <c r="U75" s="198"/>
    </row>
    <row r="76" spans="1:21" s="12" customFormat="1" x14ac:dyDescent="0.25">
      <c r="A76" s="211" t="s">
        <v>1947</v>
      </c>
      <c r="B76" s="64">
        <v>15.62</v>
      </c>
      <c r="C76" s="64">
        <v>26.04</v>
      </c>
      <c r="D76" s="64">
        <v>26.13</v>
      </c>
      <c r="E76" s="64">
        <v>12.87</v>
      </c>
      <c r="F76" s="64">
        <v>4.1100000000000003</v>
      </c>
      <c r="G76" s="64">
        <v>59.63</v>
      </c>
      <c r="H76" s="64">
        <v>7.82</v>
      </c>
      <c r="I76" s="64">
        <v>1.93</v>
      </c>
      <c r="J76" s="64">
        <v>0.56000000000000005</v>
      </c>
      <c r="K76" s="64">
        <v>333.2</v>
      </c>
      <c r="L76" s="64">
        <v>27.36</v>
      </c>
      <c r="M76" s="64">
        <v>38.14</v>
      </c>
      <c r="N76" s="64">
        <v>62.3</v>
      </c>
      <c r="O76" s="64">
        <v>0</v>
      </c>
      <c r="P76" s="64">
        <v>0.66</v>
      </c>
      <c r="Q76" s="64">
        <v>9.11</v>
      </c>
      <c r="R76" s="198"/>
      <c r="S76" s="198"/>
      <c r="T76" s="198"/>
      <c r="U76" s="198"/>
    </row>
    <row r="77" spans="1:21" s="12" customFormat="1" x14ac:dyDescent="0.25">
      <c r="A77" s="211" t="s">
        <v>1948</v>
      </c>
      <c r="B77" s="64">
        <v>18.989999999999998</v>
      </c>
      <c r="C77" s="64">
        <v>36.619999999999997</v>
      </c>
      <c r="D77" s="64">
        <v>34.36</v>
      </c>
      <c r="E77" s="64">
        <v>13.49</v>
      </c>
      <c r="F77" s="64">
        <v>5.71</v>
      </c>
      <c r="G77" s="64">
        <v>59.59</v>
      </c>
      <c r="H77" s="64">
        <v>7.64</v>
      </c>
      <c r="I77" s="64">
        <v>1.94</v>
      </c>
      <c r="J77" s="64">
        <v>0.4</v>
      </c>
      <c r="K77" s="64">
        <v>332.98</v>
      </c>
      <c r="L77" s="64">
        <v>27.01</v>
      </c>
      <c r="M77" s="64">
        <v>39.729999999999997</v>
      </c>
      <c r="N77" s="64">
        <v>55</v>
      </c>
      <c r="O77" s="64">
        <v>0</v>
      </c>
      <c r="P77" s="64">
        <v>0.93</v>
      </c>
      <c r="Q77" s="64">
        <v>9.1300000000000008</v>
      </c>
      <c r="R77" s="198"/>
      <c r="S77" s="198"/>
      <c r="T77" s="198"/>
      <c r="U77" s="198"/>
    </row>
    <row r="78" spans="1:21" s="12" customFormat="1" x14ac:dyDescent="0.25">
      <c r="A78" s="211" t="s">
        <v>1949</v>
      </c>
      <c r="B78" s="64">
        <v>9.23</v>
      </c>
      <c r="C78" s="64">
        <v>33.57</v>
      </c>
      <c r="D78" s="64">
        <v>24.94</v>
      </c>
      <c r="E78" s="64">
        <v>13.22</v>
      </c>
      <c r="F78" s="64">
        <v>2.83</v>
      </c>
      <c r="G78" s="64">
        <v>59.59</v>
      </c>
      <c r="H78" s="64">
        <v>7.64</v>
      </c>
      <c r="I78" s="64">
        <v>1.96</v>
      </c>
      <c r="J78" s="64">
        <v>0.11</v>
      </c>
      <c r="K78" s="64">
        <v>122.05</v>
      </c>
      <c r="L78" s="64">
        <v>26.36</v>
      </c>
      <c r="M78" s="64">
        <v>43.16</v>
      </c>
      <c r="N78" s="64">
        <v>49.2</v>
      </c>
      <c r="O78" s="64">
        <v>0</v>
      </c>
      <c r="P78" s="64">
        <v>0.72</v>
      </c>
      <c r="Q78" s="64">
        <v>9.1300000000000008</v>
      </c>
      <c r="R78" s="198"/>
      <c r="S78" s="198"/>
      <c r="T78" s="198"/>
      <c r="U78" s="198"/>
    </row>
    <row r="79" spans="1:21" s="12" customFormat="1" x14ac:dyDescent="0.25">
      <c r="A79" s="211" t="s">
        <v>1950</v>
      </c>
      <c r="B79" s="64">
        <v>7.15</v>
      </c>
      <c r="C79" s="64">
        <v>33.19</v>
      </c>
      <c r="D79" s="64">
        <v>23.08</v>
      </c>
      <c r="E79" s="64">
        <v>20.399999999999999</v>
      </c>
      <c r="F79" s="64">
        <v>3.89</v>
      </c>
      <c r="G79" s="64">
        <v>59.59</v>
      </c>
      <c r="H79" s="64">
        <v>7.64</v>
      </c>
      <c r="I79" s="64">
        <v>2.0099999999999998</v>
      </c>
      <c r="J79" s="64">
        <v>0.18</v>
      </c>
      <c r="K79" s="64">
        <v>128.61000000000001</v>
      </c>
      <c r="L79" s="64">
        <v>25.83</v>
      </c>
      <c r="M79" s="64">
        <v>46.5</v>
      </c>
      <c r="N79" s="64">
        <v>46</v>
      </c>
      <c r="O79" s="64">
        <v>0</v>
      </c>
      <c r="P79" s="64">
        <v>0.6</v>
      </c>
      <c r="Q79" s="64">
        <v>9.1300000000000008</v>
      </c>
      <c r="R79" s="198"/>
      <c r="S79" s="198"/>
      <c r="T79" s="198"/>
      <c r="U79" s="198"/>
    </row>
    <row r="80" spans="1:21" s="12" customFormat="1" x14ac:dyDescent="0.25">
      <c r="A80" s="211" t="s">
        <v>1951</v>
      </c>
      <c r="B80" s="64">
        <v>6.54</v>
      </c>
      <c r="C80" s="64">
        <v>29.51</v>
      </c>
      <c r="D80" s="64">
        <v>20.66</v>
      </c>
      <c r="E80" s="64">
        <v>17.48</v>
      </c>
      <c r="F80" s="64">
        <v>5.95</v>
      </c>
      <c r="G80" s="64">
        <v>59.59</v>
      </c>
      <c r="H80" s="64">
        <v>7.64</v>
      </c>
      <c r="I80" s="64">
        <v>2.0499999999999998</v>
      </c>
      <c r="J80" s="64">
        <v>0.05</v>
      </c>
      <c r="K80" s="64">
        <v>147.94</v>
      </c>
      <c r="L80" s="64">
        <v>25.52</v>
      </c>
      <c r="M80" s="64">
        <v>49.61</v>
      </c>
      <c r="N80" s="64">
        <v>45.3</v>
      </c>
      <c r="O80" s="64">
        <v>0</v>
      </c>
      <c r="P80" s="64">
        <v>0.62</v>
      </c>
      <c r="Q80" s="64">
        <v>9.1199999999999992</v>
      </c>
      <c r="R80" s="198"/>
      <c r="S80" s="198"/>
      <c r="T80" s="198"/>
      <c r="U80" s="198"/>
    </row>
    <row r="81" spans="1:26" s="12" customFormat="1" x14ac:dyDescent="0.25">
      <c r="A81" s="211" t="s">
        <v>1952</v>
      </c>
      <c r="B81" s="64">
        <v>7.31</v>
      </c>
      <c r="C81" s="64">
        <v>30.56</v>
      </c>
      <c r="D81" s="64">
        <v>21.83</v>
      </c>
      <c r="E81" s="64">
        <v>19.559999999999999</v>
      </c>
      <c r="F81" s="64">
        <v>5.14</v>
      </c>
      <c r="G81" s="64">
        <v>60.14</v>
      </c>
      <c r="H81" s="64">
        <v>7.51</v>
      </c>
      <c r="I81" s="64">
        <v>2.19</v>
      </c>
      <c r="J81" s="64">
        <v>7.0000000000000007E-2</v>
      </c>
      <c r="K81" s="64">
        <v>158.61000000000001</v>
      </c>
      <c r="L81" s="64">
        <v>25.32</v>
      </c>
      <c r="M81" s="64">
        <v>51.64</v>
      </c>
      <c r="N81" s="64">
        <v>45</v>
      </c>
      <c r="O81" s="64">
        <v>0</v>
      </c>
      <c r="P81" s="64">
        <v>0.7</v>
      </c>
      <c r="Q81" s="64">
        <v>9.1300000000000008</v>
      </c>
      <c r="R81" s="198"/>
      <c r="S81" s="198"/>
      <c r="T81" s="198"/>
      <c r="U81" s="198"/>
    </row>
    <row r="82" spans="1:26" s="12" customFormat="1" x14ac:dyDescent="0.25">
      <c r="A82" s="211" t="s">
        <v>1953</v>
      </c>
      <c r="B82" s="64">
        <v>9.6999999999999993</v>
      </c>
      <c r="C82" s="64">
        <v>27.04</v>
      </c>
      <c r="D82" s="64">
        <v>21.91</v>
      </c>
      <c r="E82" s="64">
        <v>11.54</v>
      </c>
      <c r="F82" s="64">
        <v>4.08</v>
      </c>
      <c r="G82" s="64">
        <v>60.17</v>
      </c>
      <c r="H82" s="64">
        <v>7.51</v>
      </c>
      <c r="I82" s="64">
        <v>2.1800000000000002</v>
      </c>
      <c r="J82" s="64">
        <v>0.04</v>
      </c>
      <c r="K82" s="64">
        <v>178.64</v>
      </c>
      <c r="L82" s="64">
        <v>25.12</v>
      </c>
      <c r="M82" s="64">
        <v>54.25</v>
      </c>
      <c r="N82" s="64">
        <v>45</v>
      </c>
      <c r="O82" s="64">
        <v>0</v>
      </c>
      <c r="P82" s="64">
        <v>0.75</v>
      </c>
      <c r="Q82" s="64">
        <v>9.1199999999999992</v>
      </c>
      <c r="R82" s="198"/>
      <c r="S82" s="198"/>
      <c r="T82" s="198"/>
      <c r="U82" s="198"/>
    </row>
    <row r="83" spans="1:26" s="12" customFormat="1" x14ac:dyDescent="0.25">
      <c r="A83" s="211" t="s">
        <v>1954</v>
      </c>
      <c r="B83" s="64">
        <v>7.61</v>
      </c>
      <c r="C83" s="64">
        <v>28.58</v>
      </c>
      <c r="D83" s="64">
        <v>21.03</v>
      </c>
      <c r="E83" s="64">
        <v>11.41</v>
      </c>
      <c r="F83" s="64">
        <v>4.51</v>
      </c>
      <c r="G83" s="64">
        <v>60.17</v>
      </c>
      <c r="H83" s="64">
        <v>7.51</v>
      </c>
      <c r="I83" s="64">
        <v>2.11</v>
      </c>
      <c r="J83" s="64">
        <v>0.04</v>
      </c>
      <c r="K83" s="64">
        <v>150.9</v>
      </c>
      <c r="L83" s="64">
        <v>25.07</v>
      </c>
      <c r="M83" s="64">
        <v>54.52</v>
      </c>
      <c r="N83" s="64">
        <v>44.9</v>
      </c>
      <c r="O83" s="64">
        <v>0</v>
      </c>
      <c r="P83" s="64">
        <v>0.85</v>
      </c>
      <c r="Q83" s="64">
        <v>9.1300000000000008</v>
      </c>
      <c r="R83" s="198"/>
      <c r="S83" s="198"/>
      <c r="T83" s="198"/>
      <c r="U83" s="198"/>
    </row>
    <row r="84" spans="1:26" s="12" customFormat="1" x14ac:dyDescent="0.25">
      <c r="A84" s="211" t="s">
        <v>1955</v>
      </c>
      <c r="B84" s="64">
        <v>6.52</v>
      </c>
      <c r="C84" s="64">
        <v>21.29</v>
      </c>
      <c r="D84" s="64">
        <v>16.350000000000001</v>
      </c>
      <c r="E84" s="64">
        <v>10.85</v>
      </c>
      <c r="F84" s="64">
        <v>8.32</v>
      </c>
      <c r="G84" s="64">
        <v>60.17</v>
      </c>
      <c r="H84" s="64">
        <v>7.51</v>
      </c>
      <c r="I84" s="64">
        <v>2.15</v>
      </c>
      <c r="J84" s="64">
        <v>0.15</v>
      </c>
      <c r="K84" s="64">
        <v>143.4</v>
      </c>
      <c r="L84" s="64">
        <v>24.94</v>
      </c>
      <c r="M84" s="64">
        <v>56.09</v>
      </c>
      <c r="N84" s="64">
        <v>44.9</v>
      </c>
      <c r="O84" s="64">
        <v>0</v>
      </c>
      <c r="P84" s="64">
        <v>0.62</v>
      </c>
      <c r="Q84" s="64">
        <v>9.1300000000000008</v>
      </c>
      <c r="R84" s="198"/>
      <c r="S84" s="198"/>
      <c r="T84" s="198"/>
      <c r="U84" s="198"/>
    </row>
    <row r="85" spans="1:26" s="12" customFormat="1" x14ac:dyDescent="0.25">
      <c r="A85" s="211" t="s">
        <v>1956</v>
      </c>
      <c r="B85" s="64">
        <v>5.97</v>
      </c>
      <c r="C85" s="64">
        <v>22.55</v>
      </c>
      <c r="D85" s="64">
        <v>16.57</v>
      </c>
      <c r="E85" s="64">
        <v>10.75</v>
      </c>
      <c r="F85" s="64">
        <v>5.51</v>
      </c>
      <c r="G85" s="64">
        <v>58.26</v>
      </c>
      <c r="H85" s="64">
        <v>7.99</v>
      </c>
      <c r="I85" s="64">
        <v>2.19</v>
      </c>
      <c r="J85" s="64">
        <v>0.32</v>
      </c>
      <c r="K85" s="64">
        <v>126.3</v>
      </c>
      <c r="L85" s="64">
        <v>24.93</v>
      </c>
      <c r="M85" s="64">
        <v>57.47</v>
      </c>
      <c r="N85" s="64">
        <v>44.8</v>
      </c>
      <c r="O85" s="64">
        <v>0</v>
      </c>
      <c r="P85" s="64">
        <v>0.59</v>
      </c>
      <c r="Q85" s="64">
        <v>9.1300000000000008</v>
      </c>
      <c r="R85" s="198"/>
      <c r="S85" s="198"/>
      <c r="T85" s="198"/>
      <c r="U85" s="198"/>
    </row>
    <row r="86" spans="1:26" s="12" customFormat="1" x14ac:dyDescent="0.25">
      <c r="A86" s="211" t="s">
        <v>1957</v>
      </c>
      <c r="B86" s="64">
        <v>6.57</v>
      </c>
      <c r="C86" s="64">
        <v>23.34</v>
      </c>
      <c r="D86" s="64">
        <v>17.46</v>
      </c>
      <c r="E86" s="64">
        <v>10.029999999999999</v>
      </c>
      <c r="F86" s="64">
        <v>5.34</v>
      </c>
      <c r="G86" s="64">
        <v>58.12</v>
      </c>
      <c r="H86" s="64">
        <v>7.99</v>
      </c>
      <c r="I86" s="64">
        <v>2.23</v>
      </c>
      <c r="J86" s="64">
        <v>0.31</v>
      </c>
      <c r="K86" s="64">
        <v>129.08000000000001</v>
      </c>
      <c r="L86" s="64">
        <v>24.82</v>
      </c>
      <c r="M86" s="64">
        <v>60.11</v>
      </c>
      <c r="N86" s="64">
        <v>44.9</v>
      </c>
      <c r="O86" s="64">
        <v>0</v>
      </c>
      <c r="P86" s="64">
        <v>0.59</v>
      </c>
      <c r="Q86" s="64">
        <v>9.1300000000000008</v>
      </c>
      <c r="R86" s="198"/>
      <c r="S86" s="198"/>
      <c r="T86" s="198"/>
      <c r="U86" s="198"/>
    </row>
    <row r="87" spans="1:26" s="12" customFormat="1" x14ac:dyDescent="0.25">
      <c r="A87" s="211" t="s">
        <v>1958</v>
      </c>
      <c r="B87" s="64">
        <v>6.24</v>
      </c>
      <c r="C87" s="64">
        <v>22.04</v>
      </c>
      <c r="D87" s="64">
        <v>16.52</v>
      </c>
      <c r="E87" s="64">
        <v>10.09</v>
      </c>
      <c r="F87" s="64">
        <v>7.3</v>
      </c>
      <c r="G87" s="64">
        <v>58.12</v>
      </c>
      <c r="H87" s="64">
        <v>7.99</v>
      </c>
      <c r="I87" s="64">
        <v>2.2599999999999998</v>
      </c>
      <c r="J87" s="64">
        <v>0.44</v>
      </c>
      <c r="K87" s="64">
        <v>128.36000000000001</v>
      </c>
      <c r="L87" s="64">
        <v>24.7</v>
      </c>
      <c r="M87" s="64">
        <v>63.45</v>
      </c>
      <c r="N87" s="64">
        <v>44.8</v>
      </c>
      <c r="O87" s="64">
        <v>0</v>
      </c>
      <c r="P87" s="64">
        <v>0.56999999999999995</v>
      </c>
      <c r="Q87" s="64">
        <v>9.14</v>
      </c>
      <c r="R87" s="198"/>
      <c r="S87" s="198"/>
      <c r="T87" s="198"/>
      <c r="U87" s="198"/>
    </row>
    <row r="88" spans="1:26" s="12" customFormat="1" x14ac:dyDescent="0.25">
      <c r="A88" s="211" t="s">
        <v>1959</v>
      </c>
      <c r="B88" s="64">
        <v>6.4</v>
      </c>
      <c r="C88" s="64">
        <v>22.41</v>
      </c>
      <c r="D88" s="64">
        <v>16.84</v>
      </c>
      <c r="E88" s="64">
        <v>10.06</v>
      </c>
      <c r="F88" s="64">
        <v>7.64</v>
      </c>
      <c r="G88" s="64">
        <v>58.12</v>
      </c>
      <c r="H88" s="64">
        <v>7.99</v>
      </c>
      <c r="I88" s="64">
        <v>2.27</v>
      </c>
      <c r="J88" s="64">
        <v>0.12</v>
      </c>
      <c r="K88" s="64">
        <v>136.27000000000001</v>
      </c>
      <c r="L88" s="64">
        <v>24.48</v>
      </c>
      <c r="M88" s="64">
        <v>66.489999999999995</v>
      </c>
      <c r="N88" s="64">
        <v>45.1</v>
      </c>
      <c r="O88" s="64">
        <v>0</v>
      </c>
      <c r="P88" s="64">
        <v>0.63</v>
      </c>
      <c r="Q88" s="64">
        <v>9.1300000000000008</v>
      </c>
      <c r="R88" s="198"/>
      <c r="S88" s="198"/>
      <c r="T88" s="198"/>
      <c r="U88" s="198"/>
    </row>
    <row r="89" spans="1:26" s="12" customFormat="1" x14ac:dyDescent="0.25">
      <c r="A89" s="211" t="s">
        <v>1960</v>
      </c>
      <c r="B89" s="64">
        <v>7.4</v>
      </c>
      <c r="C89" s="64">
        <v>31.02</v>
      </c>
      <c r="D89" s="64">
        <v>22.14</v>
      </c>
      <c r="E89" s="64">
        <v>10.49</v>
      </c>
      <c r="F89" s="64">
        <v>4.7300000000000004</v>
      </c>
      <c r="G89" s="64">
        <v>60.62</v>
      </c>
      <c r="H89" s="64">
        <v>8.06</v>
      </c>
      <c r="I89" s="64">
        <v>2.29</v>
      </c>
      <c r="J89" s="64">
        <v>0.03</v>
      </c>
      <c r="K89" s="64">
        <v>308.41000000000003</v>
      </c>
      <c r="L89" s="64">
        <v>24.24</v>
      </c>
      <c r="M89" s="64">
        <v>68.319999999999993</v>
      </c>
      <c r="N89" s="64">
        <v>45.1</v>
      </c>
      <c r="O89" s="64">
        <v>0</v>
      </c>
      <c r="P89" s="64">
        <v>0.74</v>
      </c>
      <c r="Q89" s="64">
        <v>9.1199999999999992</v>
      </c>
      <c r="R89" s="198"/>
      <c r="S89" s="198"/>
      <c r="T89" s="198"/>
      <c r="U89" s="198"/>
    </row>
    <row r="90" spans="1:26" s="12" customFormat="1" x14ac:dyDescent="0.25">
      <c r="A90" s="211" t="s">
        <v>1961</v>
      </c>
      <c r="B90" s="64">
        <v>8.02</v>
      </c>
      <c r="C90" s="64">
        <v>26.22</v>
      </c>
      <c r="D90" s="64">
        <v>20.13</v>
      </c>
      <c r="E90" s="64">
        <v>9.9</v>
      </c>
      <c r="F90" s="64">
        <v>2.1</v>
      </c>
      <c r="G90" s="64">
        <v>60.8</v>
      </c>
      <c r="H90" s="64">
        <v>8.06</v>
      </c>
      <c r="I90" s="64">
        <v>2.33</v>
      </c>
      <c r="J90" s="64">
        <v>0.04</v>
      </c>
      <c r="K90" s="64">
        <v>91.28</v>
      </c>
      <c r="L90" s="64">
        <v>23.97</v>
      </c>
      <c r="M90" s="64">
        <v>70.540000000000006</v>
      </c>
      <c r="N90" s="64">
        <v>45.1</v>
      </c>
      <c r="O90" s="64">
        <v>0</v>
      </c>
      <c r="P90" s="64">
        <v>0.8</v>
      </c>
      <c r="Q90" s="64">
        <v>9.1199999999999992</v>
      </c>
      <c r="R90" s="198"/>
      <c r="S90" s="198"/>
      <c r="T90" s="198"/>
      <c r="U90" s="198"/>
    </row>
    <row r="91" spans="1:26" s="12" customFormat="1" x14ac:dyDescent="0.25">
      <c r="A91" s="211" t="s">
        <v>1962</v>
      </c>
      <c r="B91" s="64">
        <v>7.26</v>
      </c>
      <c r="C91" s="64">
        <v>33.57</v>
      </c>
      <c r="D91" s="64">
        <v>23.36</v>
      </c>
      <c r="E91" s="64">
        <v>9.51</v>
      </c>
      <c r="F91" s="64">
        <v>2.1</v>
      </c>
      <c r="G91" s="64">
        <v>60.8</v>
      </c>
      <c r="H91" s="64">
        <v>8.06</v>
      </c>
      <c r="I91" s="64">
        <v>2.36</v>
      </c>
      <c r="J91" s="64">
        <v>0.08</v>
      </c>
      <c r="K91" s="64">
        <v>127.17</v>
      </c>
      <c r="L91" s="64">
        <v>23.86</v>
      </c>
      <c r="M91" s="64">
        <v>70.14</v>
      </c>
      <c r="N91" s="64">
        <v>44.9</v>
      </c>
      <c r="O91" s="64">
        <v>0</v>
      </c>
      <c r="P91" s="64">
        <v>0.78</v>
      </c>
      <c r="Q91" s="64">
        <v>9.1</v>
      </c>
      <c r="R91" s="198"/>
      <c r="S91" s="198"/>
      <c r="T91" s="198"/>
      <c r="U91" s="198"/>
    </row>
    <row r="92" spans="1:26" s="12" customFormat="1" x14ac:dyDescent="0.25">
      <c r="A92" s="211" t="s">
        <v>1963</v>
      </c>
      <c r="B92" s="64">
        <v>8.2200000000000006</v>
      </c>
      <c r="C92" s="64">
        <v>35.729999999999997</v>
      </c>
      <c r="D92" s="64">
        <v>25.26</v>
      </c>
      <c r="E92" s="64">
        <v>10.46</v>
      </c>
      <c r="F92" s="64">
        <v>2.1</v>
      </c>
      <c r="G92" s="64">
        <v>60.8</v>
      </c>
      <c r="H92" s="64">
        <v>8.06</v>
      </c>
      <c r="I92" s="64">
        <v>2.38</v>
      </c>
      <c r="J92" s="64">
        <v>0.06</v>
      </c>
      <c r="K92" s="64">
        <v>250.48</v>
      </c>
      <c r="L92" s="64">
        <v>23.77</v>
      </c>
      <c r="M92" s="64">
        <v>71.010000000000005</v>
      </c>
      <c r="N92" s="64">
        <v>45</v>
      </c>
      <c r="O92" s="64">
        <v>0</v>
      </c>
      <c r="P92" s="64">
        <v>0.9</v>
      </c>
      <c r="Q92" s="64">
        <v>9.08</v>
      </c>
      <c r="R92" s="198"/>
      <c r="S92" s="198"/>
      <c r="T92" s="198"/>
      <c r="U92" s="198"/>
    </row>
    <row r="93" spans="1:26" s="12" customFormat="1" x14ac:dyDescent="0.25">
      <c r="A93" s="211" t="s">
        <v>1964</v>
      </c>
      <c r="B93" s="64">
        <v>7.63</v>
      </c>
      <c r="C93" s="64">
        <v>24.56</v>
      </c>
      <c r="D93" s="64">
        <v>18.95</v>
      </c>
      <c r="E93" s="64">
        <v>10.02</v>
      </c>
      <c r="F93" s="64">
        <v>2.1800000000000002</v>
      </c>
      <c r="G93" s="64">
        <v>66.2</v>
      </c>
      <c r="H93" s="64">
        <v>8.0500000000000007</v>
      </c>
      <c r="I93" s="64">
        <v>2.4</v>
      </c>
      <c r="J93" s="64">
        <v>7.0000000000000007E-2</v>
      </c>
      <c r="K93" s="64">
        <v>164.6</v>
      </c>
      <c r="L93" s="64">
        <v>23.62</v>
      </c>
      <c r="M93" s="64">
        <v>70.34</v>
      </c>
      <c r="N93" s="64">
        <v>44.9</v>
      </c>
      <c r="O93" s="64">
        <v>0</v>
      </c>
      <c r="P93" s="64">
        <v>0.84</v>
      </c>
      <c r="Q93" s="64">
        <v>9.08</v>
      </c>
      <c r="R93" s="198"/>
      <c r="S93" s="198"/>
      <c r="T93" s="198"/>
      <c r="U93" s="198"/>
    </row>
    <row r="94" spans="1:26" s="12" customFormat="1" x14ac:dyDescent="0.25">
      <c r="A94" s="211" t="s">
        <v>1965</v>
      </c>
      <c r="B94" s="64">
        <v>8.67</v>
      </c>
      <c r="C94" s="64">
        <v>37.299999999999997</v>
      </c>
      <c r="D94" s="64">
        <v>26.44</v>
      </c>
      <c r="E94" s="64">
        <v>9.0299999999999994</v>
      </c>
      <c r="F94" s="64">
        <v>2.21</v>
      </c>
      <c r="G94" s="64">
        <v>66.58</v>
      </c>
      <c r="H94" s="64">
        <v>8.0500000000000007</v>
      </c>
      <c r="I94" s="64">
        <v>2.4300000000000002</v>
      </c>
      <c r="J94" s="64">
        <v>0.04</v>
      </c>
      <c r="K94" s="64">
        <v>112.17</v>
      </c>
      <c r="L94" s="64">
        <v>23.54</v>
      </c>
      <c r="M94" s="64">
        <v>69.62</v>
      </c>
      <c r="N94" s="64">
        <v>45</v>
      </c>
      <c r="O94" s="64">
        <v>0</v>
      </c>
      <c r="P94" s="64">
        <v>0.8</v>
      </c>
      <c r="Q94" s="64">
        <v>9.08</v>
      </c>
      <c r="R94" s="198"/>
      <c r="S94" s="198"/>
      <c r="T94" s="198"/>
      <c r="U94" s="198"/>
    </row>
    <row r="95" spans="1:26" s="12" customFormat="1" x14ac:dyDescent="0.25">
      <c r="A95" s="211" t="s">
        <v>1966</v>
      </c>
      <c r="B95" s="64">
        <v>7.53</v>
      </c>
      <c r="C95" s="64">
        <v>22.72</v>
      </c>
      <c r="D95" s="64">
        <v>17.91</v>
      </c>
      <c r="E95" s="64">
        <v>9</v>
      </c>
      <c r="F95" s="64">
        <v>2.19</v>
      </c>
      <c r="G95" s="64">
        <v>66.58</v>
      </c>
      <c r="H95" s="64">
        <v>8.0500000000000007</v>
      </c>
      <c r="I95" s="64">
        <v>2.46</v>
      </c>
      <c r="J95" s="64">
        <v>0.11</v>
      </c>
      <c r="K95" s="64">
        <v>139.21</v>
      </c>
      <c r="L95" s="64">
        <v>23.43</v>
      </c>
      <c r="M95" s="64">
        <v>69.930000000000007</v>
      </c>
      <c r="N95" s="64">
        <v>44.9</v>
      </c>
      <c r="O95" s="64">
        <v>0</v>
      </c>
      <c r="P95" s="64">
        <v>0.72</v>
      </c>
      <c r="Q95" s="64">
        <v>9.08</v>
      </c>
      <c r="R95" s="198"/>
      <c r="S95" s="198"/>
      <c r="T95" s="198"/>
      <c r="U95" s="198"/>
    </row>
    <row r="96" spans="1:26" s="12" customFormat="1" x14ac:dyDescent="0.25">
      <c r="A96" s="211" t="s">
        <v>1967</v>
      </c>
      <c r="B96" s="64">
        <v>6.7</v>
      </c>
      <c r="C96" s="64">
        <v>30.18</v>
      </c>
      <c r="D96" s="64">
        <v>21.14</v>
      </c>
      <c r="E96" s="64">
        <v>9.23</v>
      </c>
      <c r="F96" s="64">
        <v>2.29</v>
      </c>
      <c r="G96" s="64">
        <v>66.58</v>
      </c>
      <c r="H96" s="64">
        <v>8.0500000000000007</v>
      </c>
      <c r="I96" s="64">
        <v>2.48</v>
      </c>
      <c r="J96" s="64">
        <v>0.1</v>
      </c>
      <c r="K96" s="64">
        <v>122.48</v>
      </c>
      <c r="L96" s="64">
        <v>23.32</v>
      </c>
      <c r="M96" s="64">
        <v>70.510000000000005</v>
      </c>
      <c r="N96" s="64">
        <v>44.9</v>
      </c>
      <c r="O96" s="64">
        <v>0</v>
      </c>
      <c r="P96" s="64">
        <v>0.68</v>
      </c>
      <c r="Q96" s="64">
        <v>9.09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1968</v>
      </c>
      <c r="B97" s="64">
        <v>7.26</v>
      </c>
      <c r="C97" s="64">
        <v>18.25</v>
      </c>
      <c r="D97" s="64">
        <v>15.35</v>
      </c>
      <c r="E97" s="64">
        <v>8.31</v>
      </c>
      <c r="F97" s="64">
        <v>2.4</v>
      </c>
      <c r="G97" s="64">
        <v>70.55</v>
      </c>
      <c r="H97" s="64">
        <v>7.99</v>
      </c>
      <c r="I97" s="64">
        <v>2.5</v>
      </c>
      <c r="J97" s="64">
        <v>0.21</v>
      </c>
      <c r="K97" s="64">
        <v>144.05000000000001</v>
      </c>
      <c r="L97" s="64">
        <v>23.23</v>
      </c>
      <c r="M97" s="64">
        <v>71.09</v>
      </c>
      <c r="N97" s="64">
        <v>44.9</v>
      </c>
      <c r="O97" s="64">
        <v>0</v>
      </c>
      <c r="P97" s="64">
        <v>0.7</v>
      </c>
      <c r="Q97" s="64">
        <v>9.08</v>
      </c>
      <c r="R97" s="198"/>
      <c r="S97" s="198"/>
      <c r="T97" s="198"/>
      <c r="U97" s="198"/>
    </row>
    <row r="98" spans="1:33" s="12" customFormat="1" x14ac:dyDescent="0.25">
      <c r="A98" s="211" t="s">
        <v>1969</v>
      </c>
      <c r="B98" s="64">
        <v>6.77</v>
      </c>
      <c r="C98" s="64">
        <v>20.83</v>
      </c>
      <c r="D98" s="64">
        <v>16.309999999999999</v>
      </c>
      <c r="E98" s="64">
        <v>8.66</v>
      </c>
      <c r="F98" s="64">
        <v>4.12</v>
      </c>
      <c r="G98" s="64">
        <v>70.83</v>
      </c>
      <c r="H98" s="64">
        <v>7.99</v>
      </c>
      <c r="I98" s="64">
        <v>2.5099999999999998</v>
      </c>
      <c r="J98" s="64">
        <v>0.18</v>
      </c>
      <c r="K98" s="64">
        <v>124.13</v>
      </c>
      <c r="L98" s="64">
        <v>23.18</v>
      </c>
      <c r="M98" s="64">
        <v>70.739999999999995</v>
      </c>
      <c r="N98" s="64">
        <v>44.9</v>
      </c>
      <c r="O98" s="64">
        <v>0</v>
      </c>
      <c r="P98" s="64">
        <v>0.66</v>
      </c>
      <c r="Q98" s="64">
        <v>9.07</v>
      </c>
      <c r="R98" s="198"/>
      <c r="S98" s="198"/>
      <c r="T98" s="198"/>
      <c r="U98" s="198"/>
    </row>
    <row r="99" spans="1:33" s="12" customFormat="1" x14ac:dyDescent="0.25">
      <c r="A99" s="211" t="s">
        <v>1970</v>
      </c>
      <c r="B99" s="64">
        <v>6.97</v>
      </c>
      <c r="C99" s="64">
        <v>20.67</v>
      </c>
      <c r="D99" s="64">
        <v>16.39</v>
      </c>
      <c r="E99" s="64">
        <v>8.5</v>
      </c>
      <c r="F99" s="64">
        <v>2.98</v>
      </c>
      <c r="G99" s="64">
        <v>70.83</v>
      </c>
      <c r="H99" s="64">
        <v>7.99</v>
      </c>
      <c r="I99" s="64">
        <v>2.52</v>
      </c>
      <c r="J99" s="64">
        <v>0.01</v>
      </c>
      <c r="K99" s="64">
        <v>307</v>
      </c>
      <c r="L99" s="64">
        <v>22.99</v>
      </c>
      <c r="M99" s="64">
        <v>71.92</v>
      </c>
      <c r="N99" s="64">
        <v>44.9</v>
      </c>
      <c r="O99" s="64">
        <v>0</v>
      </c>
      <c r="P99" s="64">
        <v>0.68</v>
      </c>
      <c r="Q99" s="64">
        <v>9.08</v>
      </c>
      <c r="R99" s="198"/>
      <c r="S99" s="198"/>
      <c r="T99" s="198"/>
      <c r="U99" s="198"/>
    </row>
    <row r="100" spans="1:33" s="12" customFormat="1" x14ac:dyDescent="0.25">
      <c r="A100" s="211" t="s">
        <v>1971</v>
      </c>
      <c r="B100" s="64">
        <v>6.59</v>
      </c>
      <c r="C100" s="64">
        <v>19.43</v>
      </c>
      <c r="D100" s="64">
        <v>15.44</v>
      </c>
      <c r="E100" s="64">
        <v>8.0299999999999994</v>
      </c>
      <c r="F100" s="64">
        <v>5.62</v>
      </c>
      <c r="G100" s="64">
        <v>70.83</v>
      </c>
      <c r="H100" s="64">
        <v>7.99</v>
      </c>
      <c r="I100" s="64">
        <v>2.52</v>
      </c>
      <c r="J100" s="64">
        <v>0.12</v>
      </c>
      <c r="K100" s="64">
        <v>123.57</v>
      </c>
      <c r="L100" s="64">
        <v>22.85</v>
      </c>
      <c r="M100" s="64">
        <v>74.150000000000006</v>
      </c>
      <c r="N100" s="64">
        <v>45</v>
      </c>
      <c r="O100" s="64">
        <v>0</v>
      </c>
      <c r="P100" s="64">
        <v>0.66</v>
      </c>
      <c r="Q100" s="64">
        <v>9.08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1972</v>
      </c>
      <c r="B101" s="64">
        <v>6.38</v>
      </c>
      <c r="C101" s="64">
        <v>23.17</v>
      </c>
      <c r="D101" s="64">
        <v>17.22</v>
      </c>
      <c r="E101" s="64">
        <v>8.19</v>
      </c>
      <c r="F101" s="64">
        <v>3.8</v>
      </c>
      <c r="G101" s="64">
        <v>52.05</v>
      </c>
      <c r="H101" s="64">
        <v>8.84</v>
      </c>
      <c r="I101" s="64">
        <v>2.5299999999999998</v>
      </c>
      <c r="J101" s="64">
        <v>0.19</v>
      </c>
      <c r="K101" s="64">
        <v>138.04</v>
      </c>
      <c r="L101" s="64">
        <v>22.77</v>
      </c>
      <c r="M101" s="64">
        <v>75.22</v>
      </c>
      <c r="N101" s="64">
        <v>44.9</v>
      </c>
      <c r="O101" s="64">
        <v>0</v>
      </c>
      <c r="P101" s="64">
        <v>0.62</v>
      </c>
      <c r="Q101" s="64">
        <v>9.09</v>
      </c>
      <c r="R101" s="198"/>
      <c r="S101" s="198"/>
      <c r="T101" s="198"/>
      <c r="U101" s="198"/>
    </row>
    <row r="102" spans="1:33" s="12" customFormat="1" x14ac:dyDescent="0.25">
      <c r="A102" s="211" t="s">
        <v>1973</v>
      </c>
      <c r="B102" s="64">
        <v>7.83</v>
      </c>
      <c r="C102" s="64">
        <v>28.58</v>
      </c>
      <c r="D102" s="64">
        <v>21.21</v>
      </c>
      <c r="E102" s="64">
        <v>8.2100000000000009</v>
      </c>
      <c r="F102" s="64">
        <v>3.42</v>
      </c>
      <c r="G102" s="64">
        <v>50.71</v>
      </c>
      <c r="H102" s="64">
        <v>8.84</v>
      </c>
      <c r="I102" s="64">
        <v>2.56</v>
      </c>
      <c r="J102" s="64">
        <v>0.05</v>
      </c>
      <c r="K102" s="64">
        <v>350.08</v>
      </c>
      <c r="L102" s="64">
        <v>22.68</v>
      </c>
      <c r="M102" s="64">
        <v>74.930000000000007</v>
      </c>
      <c r="N102" s="64">
        <v>45.1</v>
      </c>
      <c r="O102" s="64">
        <v>0</v>
      </c>
      <c r="P102" s="64">
        <v>0.72</v>
      </c>
      <c r="Q102" s="64">
        <v>9.09</v>
      </c>
      <c r="R102" s="198"/>
      <c r="S102" s="198"/>
      <c r="T102" s="198"/>
      <c r="U102" s="198"/>
    </row>
    <row r="103" spans="1:33" s="12" customFormat="1" x14ac:dyDescent="0.25">
      <c r="A103" s="211" t="s">
        <v>1974</v>
      </c>
      <c r="B103" s="64">
        <v>8.44</v>
      </c>
      <c r="C103" s="64">
        <v>25.92</v>
      </c>
      <c r="D103" s="64">
        <v>20.32</v>
      </c>
      <c r="E103" s="64">
        <v>8.1300000000000008</v>
      </c>
      <c r="F103" s="64">
        <v>2.61</v>
      </c>
      <c r="G103" s="64">
        <v>50.71</v>
      </c>
      <c r="H103" s="64">
        <v>8.84</v>
      </c>
      <c r="I103" s="64">
        <v>2.59</v>
      </c>
      <c r="J103" s="64">
        <v>0.14000000000000001</v>
      </c>
      <c r="K103" s="64">
        <v>308.5</v>
      </c>
      <c r="L103" s="64">
        <v>22.4</v>
      </c>
      <c r="M103" s="64">
        <v>79.040000000000006</v>
      </c>
      <c r="N103" s="64">
        <v>45.2</v>
      </c>
      <c r="O103" s="64">
        <v>0</v>
      </c>
      <c r="P103" s="64">
        <v>0.81</v>
      </c>
      <c r="Q103" s="64">
        <v>9.09</v>
      </c>
      <c r="R103" s="198"/>
      <c r="S103" s="198"/>
      <c r="T103" s="198"/>
      <c r="U103" s="198"/>
    </row>
    <row r="104" spans="1:33" s="12" customFormat="1" x14ac:dyDescent="0.25">
      <c r="A104" s="211" t="s">
        <v>1975</v>
      </c>
      <c r="B104" s="64">
        <v>6.82</v>
      </c>
      <c r="C104" s="64">
        <v>21.94</v>
      </c>
      <c r="D104" s="64">
        <v>16.93</v>
      </c>
      <c r="E104" s="64">
        <v>7.26</v>
      </c>
      <c r="F104" s="64">
        <v>3.68</v>
      </c>
      <c r="G104" s="64">
        <v>50.71</v>
      </c>
      <c r="H104" s="64">
        <v>8.84</v>
      </c>
      <c r="I104" s="64">
        <v>2.64</v>
      </c>
      <c r="J104" s="64">
        <v>0.05</v>
      </c>
      <c r="K104" s="64">
        <v>354.52</v>
      </c>
      <c r="L104" s="64">
        <v>22.16</v>
      </c>
      <c r="M104" s="64">
        <v>79.540000000000006</v>
      </c>
      <c r="N104" s="64">
        <v>45.2</v>
      </c>
      <c r="O104" s="64">
        <v>0</v>
      </c>
      <c r="P104" s="64">
        <v>0.7</v>
      </c>
      <c r="Q104" s="64">
        <v>9.1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5.95</v>
      </c>
      <c r="C106" s="67">
        <f>MIN(C9:C104)</f>
        <v>7.01</v>
      </c>
      <c r="D106" s="67">
        <f t="shared" ref="D106:Q106" si="0">MIN(D9:D104)</f>
        <v>14.98</v>
      </c>
      <c r="E106" s="67">
        <f t="shared" si="0"/>
        <v>5.54</v>
      </c>
      <c r="F106" s="67">
        <f t="shared" si="0"/>
        <v>2.1</v>
      </c>
      <c r="G106" s="67">
        <f t="shared" si="0"/>
        <v>50.71</v>
      </c>
      <c r="H106" s="67">
        <f t="shared" si="0"/>
        <v>7.02</v>
      </c>
      <c r="I106" s="67">
        <f t="shared" si="0"/>
        <v>1.93</v>
      </c>
      <c r="J106" s="67">
        <f t="shared" si="0"/>
        <v>0.01</v>
      </c>
      <c r="K106" s="67">
        <f t="shared" si="0"/>
        <v>1.55</v>
      </c>
      <c r="L106" s="67">
        <f t="shared" si="0"/>
        <v>21.1</v>
      </c>
      <c r="M106" s="67">
        <f t="shared" si="0"/>
        <v>31.64</v>
      </c>
      <c r="N106" s="67">
        <f t="shared" si="0"/>
        <v>41.6</v>
      </c>
      <c r="O106" s="67">
        <f t="shared" si="0"/>
        <v>0</v>
      </c>
      <c r="P106" s="67">
        <f t="shared" si="0"/>
        <v>0.4</v>
      </c>
      <c r="Q106" s="67">
        <f t="shared" si="0"/>
        <v>9.0399999999999991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32.35</v>
      </c>
      <c r="C107" s="66">
        <f t="shared" ref="C107:Q107" si="1">MAX(C9:C104)</f>
        <v>37.299999999999997</v>
      </c>
      <c r="D107" s="66">
        <f t="shared" si="1"/>
        <v>38</v>
      </c>
      <c r="E107" s="66">
        <f t="shared" si="1"/>
        <v>21.63</v>
      </c>
      <c r="F107" s="66">
        <f t="shared" si="1"/>
        <v>21.12</v>
      </c>
      <c r="G107" s="66">
        <f t="shared" si="1"/>
        <v>106.55</v>
      </c>
      <c r="H107" s="66">
        <f t="shared" si="1"/>
        <v>11.85</v>
      </c>
      <c r="I107" s="66">
        <f t="shared" si="1"/>
        <v>2.75</v>
      </c>
      <c r="J107" s="66">
        <f t="shared" si="1"/>
        <v>1.5</v>
      </c>
      <c r="K107" s="66">
        <f t="shared" si="1"/>
        <v>355.19</v>
      </c>
      <c r="L107" s="66">
        <f t="shared" si="1"/>
        <v>32.97</v>
      </c>
      <c r="M107" s="66">
        <f t="shared" si="1"/>
        <v>97.85</v>
      </c>
      <c r="N107" s="66">
        <f t="shared" si="1"/>
        <v>765.9</v>
      </c>
      <c r="O107" s="66">
        <f t="shared" si="1"/>
        <v>0</v>
      </c>
      <c r="P107" s="66">
        <f t="shared" si="1"/>
        <v>1.18</v>
      </c>
      <c r="Q107" s="66">
        <f t="shared" si="1"/>
        <v>9.59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12.459062500000002</v>
      </c>
      <c r="C108" s="67">
        <f t="shared" ref="C108:Q108" si="2">AVERAGE(C9:C104)</f>
        <v>18.858229166666664</v>
      </c>
      <c r="D108" s="67">
        <f t="shared" si="2"/>
        <v>19.843333333333337</v>
      </c>
      <c r="E108" s="67">
        <f t="shared" si="2"/>
        <v>9.9204166666666662</v>
      </c>
      <c r="F108" s="67">
        <f t="shared" si="2"/>
        <v>4.8619791666666661</v>
      </c>
      <c r="G108" s="67">
        <f t="shared" si="2"/>
        <v>74.551354166666698</v>
      </c>
      <c r="H108" s="67">
        <f t="shared" si="2"/>
        <v>8.5499999999999918</v>
      </c>
      <c r="I108" s="67">
        <f t="shared" si="2"/>
        <v>2.3616666666666681</v>
      </c>
      <c r="J108" s="67">
        <f t="shared" si="2"/>
        <v>0.3433333333333331</v>
      </c>
      <c r="K108" s="67">
        <f t="shared" si="2"/>
        <v>211.57208333333335</v>
      </c>
      <c r="L108" s="67">
        <f t="shared" si="2"/>
        <v>25.571458333333311</v>
      </c>
      <c r="M108" s="67">
        <f t="shared" si="2"/>
        <v>66.275208333333353</v>
      </c>
      <c r="N108" s="67">
        <f t="shared" si="2"/>
        <v>191.49062500000011</v>
      </c>
      <c r="O108" s="67">
        <f t="shared" si="2"/>
        <v>0</v>
      </c>
      <c r="P108" s="67">
        <f t="shared" si="2"/>
        <v>0.63677083333333317</v>
      </c>
      <c r="Q108" s="67">
        <f t="shared" si="2"/>
        <v>9.230416666666672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5.4926210938187836</v>
      </c>
      <c r="C109" s="67">
        <f t="shared" ref="C109:Q109" si="3">STDEV(C9:C104)</f>
        <v>7.5262469846029898</v>
      </c>
      <c r="D109" s="67">
        <f t="shared" si="3"/>
        <v>4.0548826101942934</v>
      </c>
      <c r="E109" s="67">
        <f t="shared" si="3"/>
        <v>3.8216615060293724</v>
      </c>
      <c r="F109" s="67">
        <f t="shared" si="3"/>
        <v>3.3523941546277745</v>
      </c>
      <c r="G109" s="67">
        <f t="shared" si="3"/>
        <v>15.8602713602451</v>
      </c>
      <c r="H109" s="67">
        <f t="shared" si="3"/>
        <v>1.2040248292596731</v>
      </c>
      <c r="I109" s="67">
        <f t="shared" si="3"/>
        <v>0.2273261819114907</v>
      </c>
      <c r="J109" s="67">
        <f t="shared" si="3"/>
        <v>0.36554405499248799</v>
      </c>
      <c r="K109" s="67">
        <f t="shared" si="3"/>
        <v>107.63566604074644</v>
      </c>
      <c r="L109" s="67">
        <f t="shared" si="3"/>
        <v>3.4601846556041429</v>
      </c>
      <c r="M109" s="67">
        <f t="shared" si="3"/>
        <v>23.770979298258649</v>
      </c>
      <c r="N109" s="67">
        <f t="shared" si="3"/>
        <v>240.10655094336957</v>
      </c>
      <c r="O109" s="67">
        <f t="shared" si="3"/>
        <v>0</v>
      </c>
      <c r="P109" s="67">
        <f t="shared" si="3"/>
        <v>0.12622031525256275</v>
      </c>
      <c r="Q109" s="67">
        <f t="shared" si="3"/>
        <v>0.1621040385007283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4" sqref="F1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1976</v>
      </c>
      <c r="B9" s="64">
        <v>7.1</v>
      </c>
      <c r="C9" s="64">
        <v>27.15</v>
      </c>
      <c r="D9" s="64">
        <v>19.88</v>
      </c>
      <c r="E9" s="64">
        <v>6.79</v>
      </c>
      <c r="F9" s="64">
        <v>2.1</v>
      </c>
      <c r="G9" s="64">
        <v>51.53</v>
      </c>
      <c r="H9" s="64">
        <v>8.77</v>
      </c>
      <c r="I9" s="64">
        <v>2.67</v>
      </c>
      <c r="J9" s="64">
        <v>0.12</v>
      </c>
      <c r="K9" s="64">
        <v>314.85000000000002</v>
      </c>
      <c r="L9" s="64">
        <v>21.92</v>
      </c>
      <c r="M9" s="64">
        <v>84.12</v>
      </c>
      <c r="N9" s="64">
        <v>45.3</v>
      </c>
      <c r="O9" s="64">
        <v>0</v>
      </c>
      <c r="P9" s="64">
        <v>0.78</v>
      </c>
      <c r="Q9" s="64">
        <v>9.1</v>
      </c>
      <c r="R9" s="198"/>
      <c r="S9" s="198"/>
      <c r="T9" s="198"/>
      <c r="U9" s="198"/>
    </row>
    <row r="10" spans="1:21" s="12" customFormat="1" x14ac:dyDescent="0.25">
      <c r="A10" s="211" t="s">
        <v>1977</v>
      </c>
      <c r="B10" s="64">
        <v>7</v>
      </c>
      <c r="C10" s="64">
        <v>18.98</v>
      </c>
      <c r="D10" s="64">
        <v>15.53</v>
      </c>
      <c r="E10" s="64">
        <v>6.4</v>
      </c>
      <c r="F10" s="64">
        <v>2.1</v>
      </c>
      <c r="G10" s="64">
        <v>51.57</v>
      </c>
      <c r="H10" s="64">
        <v>8.77</v>
      </c>
      <c r="I10" s="64">
        <v>2.7</v>
      </c>
      <c r="J10" s="64">
        <v>0.12</v>
      </c>
      <c r="K10" s="64">
        <v>313.3</v>
      </c>
      <c r="L10" s="64">
        <v>21.55</v>
      </c>
      <c r="M10" s="64">
        <v>88.41</v>
      </c>
      <c r="N10" s="64">
        <v>45</v>
      </c>
      <c r="O10" s="64">
        <v>0</v>
      </c>
      <c r="P10" s="64">
        <v>0.74</v>
      </c>
      <c r="Q10" s="64">
        <v>9.11</v>
      </c>
      <c r="R10" s="198"/>
      <c r="S10" s="198"/>
      <c r="T10" s="198"/>
      <c r="U10" s="198"/>
    </row>
    <row r="11" spans="1:21" s="12" customFormat="1" x14ac:dyDescent="0.25">
      <c r="A11" s="211" t="s">
        <v>1978</v>
      </c>
      <c r="B11" s="64">
        <v>7.05</v>
      </c>
      <c r="C11" s="64">
        <v>18.420000000000002</v>
      </c>
      <c r="D11" s="64">
        <v>15.28</v>
      </c>
      <c r="E11" s="64">
        <v>6.35</v>
      </c>
      <c r="F11" s="64">
        <v>2.85</v>
      </c>
      <c r="G11" s="64">
        <v>51.57</v>
      </c>
      <c r="H11" s="64">
        <v>8.77</v>
      </c>
      <c r="I11" s="64">
        <v>2.73</v>
      </c>
      <c r="J11" s="64">
        <v>0.1</v>
      </c>
      <c r="K11" s="64">
        <v>283.27</v>
      </c>
      <c r="L11" s="64">
        <v>21.57</v>
      </c>
      <c r="M11" s="64">
        <v>86.13</v>
      </c>
      <c r="N11" s="64">
        <v>44.9</v>
      </c>
      <c r="O11" s="64">
        <v>0</v>
      </c>
      <c r="P11" s="64">
        <v>0.73</v>
      </c>
      <c r="Q11" s="64">
        <v>9.1</v>
      </c>
      <c r="R11" s="198"/>
      <c r="S11" s="198"/>
      <c r="T11" s="198"/>
      <c r="U11" s="198"/>
    </row>
    <row r="12" spans="1:21" s="12" customFormat="1" x14ac:dyDescent="0.25">
      <c r="A12" s="211" t="s">
        <v>1979</v>
      </c>
      <c r="B12" s="64">
        <v>7.37</v>
      </c>
      <c r="C12" s="64">
        <v>12.89</v>
      </c>
      <c r="D12" s="64">
        <v>12.64</v>
      </c>
      <c r="E12" s="64">
        <v>5.78</v>
      </c>
      <c r="F12" s="64">
        <v>2.13</v>
      </c>
      <c r="G12" s="64">
        <v>51.57</v>
      </c>
      <c r="H12" s="64">
        <v>8.77</v>
      </c>
      <c r="I12" s="64">
        <v>2.77</v>
      </c>
      <c r="J12" s="64">
        <v>0.05</v>
      </c>
      <c r="K12" s="64">
        <v>290.10000000000002</v>
      </c>
      <c r="L12" s="64">
        <v>21.74</v>
      </c>
      <c r="M12" s="64">
        <v>81.53</v>
      </c>
      <c r="N12" s="64">
        <v>44.8</v>
      </c>
      <c r="O12" s="64">
        <v>0</v>
      </c>
      <c r="P12" s="64">
        <v>0.71</v>
      </c>
      <c r="Q12" s="64">
        <v>9.08</v>
      </c>
      <c r="R12" s="198"/>
      <c r="S12" s="198"/>
      <c r="T12" s="198"/>
      <c r="U12" s="198"/>
    </row>
    <row r="13" spans="1:21" s="12" customFormat="1" x14ac:dyDescent="0.25">
      <c r="A13" s="211" t="s">
        <v>1980</v>
      </c>
      <c r="B13" s="64">
        <v>7.01</v>
      </c>
      <c r="C13" s="64">
        <v>13.93</v>
      </c>
      <c r="D13" s="64">
        <v>12.9</v>
      </c>
      <c r="E13" s="64">
        <v>6.2</v>
      </c>
      <c r="F13" s="64">
        <v>2.17</v>
      </c>
      <c r="G13" s="64">
        <v>53.25</v>
      </c>
      <c r="H13" s="64">
        <v>8.7100000000000009</v>
      </c>
      <c r="I13" s="64">
        <v>2.81</v>
      </c>
      <c r="J13" s="64">
        <v>0.11</v>
      </c>
      <c r="K13" s="64">
        <v>321.66000000000003</v>
      </c>
      <c r="L13" s="64">
        <v>21.77</v>
      </c>
      <c r="M13" s="64">
        <v>80.760000000000005</v>
      </c>
      <c r="N13" s="64">
        <v>44.9</v>
      </c>
      <c r="O13" s="64">
        <v>0</v>
      </c>
      <c r="P13" s="64">
        <v>0.64</v>
      </c>
      <c r="Q13" s="64">
        <v>9.07</v>
      </c>
      <c r="R13" s="198"/>
      <c r="S13" s="198"/>
      <c r="T13" s="198"/>
      <c r="U13" s="198"/>
    </row>
    <row r="14" spans="1:21" s="12" customFormat="1" x14ac:dyDescent="0.25">
      <c r="A14" s="211" t="s">
        <v>1981</v>
      </c>
      <c r="B14" s="64">
        <v>7.13</v>
      </c>
      <c r="C14" s="64">
        <v>13.62</v>
      </c>
      <c r="D14" s="64">
        <v>12.83</v>
      </c>
      <c r="E14" s="64">
        <v>5.48</v>
      </c>
      <c r="F14" s="64">
        <v>2.1</v>
      </c>
      <c r="G14" s="64">
        <v>53.37</v>
      </c>
      <c r="H14" s="64">
        <v>8.7100000000000009</v>
      </c>
      <c r="I14" s="64">
        <v>2.82</v>
      </c>
      <c r="J14" s="64">
        <v>0.14000000000000001</v>
      </c>
      <c r="K14" s="64">
        <v>311.37</v>
      </c>
      <c r="L14" s="64">
        <v>21.54</v>
      </c>
      <c r="M14" s="64">
        <v>86.58</v>
      </c>
      <c r="N14" s="64">
        <v>45.1</v>
      </c>
      <c r="O14" s="64">
        <v>0</v>
      </c>
      <c r="P14" s="64">
        <v>0.73</v>
      </c>
      <c r="Q14" s="64">
        <v>9.06</v>
      </c>
      <c r="R14" s="198"/>
      <c r="S14" s="198"/>
      <c r="T14" s="198"/>
      <c r="U14" s="198"/>
    </row>
    <row r="15" spans="1:21" s="12" customFormat="1" x14ac:dyDescent="0.25">
      <c r="A15" s="211" t="s">
        <v>1982</v>
      </c>
      <c r="B15" s="64">
        <v>7.26</v>
      </c>
      <c r="C15" s="64">
        <v>12.4</v>
      </c>
      <c r="D15" s="64">
        <v>12.3</v>
      </c>
      <c r="E15" s="64">
        <v>5.25</v>
      </c>
      <c r="F15" s="64">
        <v>2.1</v>
      </c>
      <c r="G15" s="64">
        <v>53.37</v>
      </c>
      <c r="H15" s="64">
        <v>8.7100000000000009</v>
      </c>
      <c r="I15" s="64">
        <v>2.85</v>
      </c>
      <c r="J15" s="64">
        <v>0.13</v>
      </c>
      <c r="K15" s="64">
        <v>318.73</v>
      </c>
      <c r="L15" s="64">
        <v>21.35</v>
      </c>
      <c r="M15" s="64">
        <v>87.17</v>
      </c>
      <c r="N15" s="64">
        <v>45.1</v>
      </c>
      <c r="O15" s="64">
        <v>0</v>
      </c>
      <c r="P15" s="64">
        <v>0.69</v>
      </c>
      <c r="Q15" s="64">
        <v>9.0500000000000007</v>
      </c>
      <c r="R15" s="198"/>
      <c r="S15" s="198"/>
      <c r="T15" s="198"/>
      <c r="U15" s="198"/>
    </row>
    <row r="16" spans="1:21" s="12" customFormat="1" x14ac:dyDescent="0.25">
      <c r="A16" s="211" t="s">
        <v>1983</v>
      </c>
      <c r="B16" s="64">
        <v>7.23</v>
      </c>
      <c r="C16" s="64">
        <v>12.12</v>
      </c>
      <c r="D16" s="64">
        <v>12.13</v>
      </c>
      <c r="E16" s="64">
        <v>5.22</v>
      </c>
      <c r="F16" s="64">
        <v>2.1</v>
      </c>
      <c r="G16" s="64">
        <v>53.37</v>
      </c>
      <c r="H16" s="64">
        <v>8.7100000000000009</v>
      </c>
      <c r="I16" s="64">
        <v>2.89</v>
      </c>
      <c r="J16" s="64">
        <v>0.1</v>
      </c>
      <c r="K16" s="64">
        <v>294.85000000000002</v>
      </c>
      <c r="L16" s="64">
        <v>21.06</v>
      </c>
      <c r="M16" s="64">
        <v>91.2</v>
      </c>
      <c r="N16" s="64">
        <v>45.3</v>
      </c>
      <c r="O16" s="64">
        <v>0</v>
      </c>
      <c r="P16" s="64">
        <v>0.71</v>
      </c>
      <c r="Q16" s="64">
        <v>9.06</v>
      </c>
      <c r="R16" s="198"/>
      <c r="S16" s="198"/>
      <c r="T16" s="198"/>
      <c r="U16" s="198"/>
    </row>
    <row r="17" spans="1:21" s="12" customFormat="1" x14ac:dyDescent="0.25">
      <c r="A17" s="211" t="s">
        <v>1984</v>
      </c>
      <c r="B17" s="64">
        <v>7.46</v>
      </c>
      <c r="C17" s="64">
        <v>12.31</v>
      </c>
      <c r="D17" s="64">
        <v>12.42</v>
      </c>
      <c r="E17" s="64">
        <v>5.24</v>
      </c>
      <c r="F17" s="64">
        <v>2.1</v>
      </c>
      <c r="G17" s="64">
        <v>54.54</v>
      </c>
      <c r="H17" s="64">
        <v>8.7100000000000009</v>
      </c>
      <c r="I17" s="64">
        <v>2.9</v>
      </c>
      <c r="J17" s="64">
        <v>0.05</v>
      </c>
      <c r="K17" s="64">
        <v>339.49</v>
      </c>
      <c r="L17" s="64">
        <v>20.66</v>
      </c>
      <c r="M17" s="64">
        <v>96.63</v>
      </c>
      <c r="N17" s="64">
        <v>45.3</v>
      </c>
      <c r="O17" s="64">
        <v>0</v>
      </c>
      <c r="P17" s="64">
        <v>0.71</v>
      </c>
      <c r="Q17" s="64">
        <v>9.06</v>
      </c>
      <c r="R17" s="198"/>
      <c r="S17" s="198"/>
      <c r="T17" s="198"/>
      <c r="U17" s="198"/>
    </row>
    <row r="18" spans="1:21" s="12" customFormat="1" x14ac:dyDescent="0.25">
      <c r="A18" s="211" t="s">
        <v>1985</v>
      </c>
      <c r="B18" s="64">
        <v>7.53</v>
      </c>
      <c r="C18" s="64">
        <v>10.84</v>
      </c>
      <c r="D18" s="64">
        <v>11.71</v>
      </c>
      <c r="E18" s="64">
        <v>5.2</v>
      </c>
      <c r="F18" s="64">
        <v>2.1</v>
      </c>
      <c r="G18" s="64">
        <v>54.62</v>
      </c>
      <c r="H18" s="64">
        <v>8.7100000000000009</v>
      </c>
      <c r="I18" s="64">
        <v>2.91</v>
      </c>
      <c r="J18" s="64">
        <v>0.04</v>
      </c>
      <c r="K18" s="64">
        <v>101.33</v>
      </c>
      <c r="L18" s="64">
        <v>20.39</v>
      </c>
      <c r="M18" s="64">
        <v>96.36</v>
      </c>
      <c r="N18" s="64">
        <v>44.9</v>
      </c>
      <c r="O18" s="64">
        <v>0</v>
      </c>
      <c r="P18" s="64">
        <v>0.69</v>
      </c>
      <c r="Q18" s="64">
        <v>9.06</v>
      </c>
      <c r="R18" s="198"/>
      <c r="S18" s="198"/>
      <c r="T18" s="198"/>
      <c r="U18" s="198"/>
    </row>
    <row r="19" spans="1:21" s="12" customFormat="1" x14ac:dyDescent="0.25">
      <c r="A19" s="211" t="s">
        <v>1986</v>
      </c>
      <c r="B19" s="64">
        <v>7.49</v>
      </c>
      <c r="C19" s="64">
        <v>10.32</v>
      </c>
      <c r="D19" s="64">
        <v>11.4</v>
      </c>
      <c r="E19" s="64">
        <v>4.88</v>
      </c>
      <c r="F19" s="64">
        <v>2.1</v>
      </c>
      <c r="G19" s="64">
        <v>54.62</v>
      </c>
      <c r="H19" s="64">
        <v>8.7100000000000009</v>
      </c>
      <c r="I19" s="64">
        <v>2.91</v>
      </c>
      <c r="J19" s="64">
        <v>0.03</v>
      </c>
      <c r="K19" s="64">
        <v>45.38</v>
      </c>
      <c r="L19" s="64">
        <v>20.34</v>
      </c>
      <c r="M19" s="64">
        <v>96.05</v>
      </c>
      <c r="N19" s="64">
        <v>44.9</v>
      </c>
      <c r="O19" s="64">
        <v>0</v>
      </c>
      <c r="P19" s="64">
        <v>0.7</v>
      </c>
      <c r="Q19" s="64">
        <v>9.0500000000000007</v>
      </c>
      <c r="R19" s="198"/>
      <c r="S19" s="198"/>
      <c r="T19" s="198"/>
      <c r="U19" s="198"/>
    </row>
    <row r="20" spans="1:21" s="12" customFormat="1" x14ac:dyDescent="0.25">
      <c r="A20" s="211" t="s">
        <v>1987</v>
      </c>
      <c r="B20" s="64">
        <v>7.6</v>
      </c>
      <c r="C20" s="64">
        <v>11.54</v>
      </c>
      <c r="D20" s="64">
        <v>12.13</v>
      </c>
      <c r="E20" s="64">
        <v>4.58</v>
      </c>
      <c r="F20" s="64">
        <v>2.1</v>
      </c>
      <c r="G20" s="64">
        <v>54.62</v>
      </c>
      <c r="H20" s="64">
        <v>8.7100000000000009</v>
      </c>
      <c r="I20" s="64">
        <v>2.89</v>
      </c>
      <c r="J20" s="64">
        <v>0.06</v>
      </c>
      <c r="K20" s="64">
        <v>52.14</v>
      </c>
      <c r="L20" s="64">
        <v>20.309999999999999</v>
      </c>
      <c r="M20" s="64">
        <v>97.59</v>
      </c>
      <c r="N20" s="64">
        <v>44.9</v>
      </c>
      <c r="O20" s="64">
        <v>0</v>
      </c>
      <c r="P20" s="64">
        <v>0.69</v>
      </c>
      <c r="Q20" s="64">
        <v>9.06</v>
      </c>
      <c r="R20" s="198"/>
      <c r="S20" s="198"/>
      <c r="T20" s="198"/>
      <c r="U20" s="198"/>
    </row>
    <row r="21" spans="1:21" s="12" customFormat="1" x14ac:dyDescent="0.25">
      <c r="A21" s="211" t="s">
        <v>1988</v>
      </c>
      <c r="B21" s="64">
        <v>7.55</v>
      </c>
      <c r="C21" s="64">
        <v>10.9</v>
      </c>
      <c r="D21" s="64">
        <v>11.75</v>
      </c>
      <c r="E21" s="64">
        <v>5</v>
      </c>
      <c r="F21" s="64">
        <v>2.1</v>
      </c>
      <c r="G21" s="64">
        <v>50.74</v>
      </c>
      <c r="H21" s="64">
        <v>9.02</v>
      </c>
      <c r="I21" s="64">
        <v>2.89</v>
      </c>
      <c r="J21" s="64">
        <v>0.04</v>
      </c>
      <c r="K21" s="64">
        <v>64.650000000000006</v>
      </c>
      <c r="L21" s="64">
        <v>20.37</v>
      </c>
      <c r="M21" s="64">
        <v>97.74</v>
      </c>
      <c r="N21" s="64">
        <v>44.9</v>
      </c>
      <c r="O21" s="64">
        <v>0</v>
      </c>
      <c r="P21" s="64">
        <v>0.69</v>
      </c>
      <c r="Q21" s="64">
        <v>9.06</v>
      </c>
      <c r="R21" s="198"/>
      <c r="S21" s="198"/>
      <c r="T21" s="198"/>
      <c r="U21" s="198"/>
    </row>
    <row r="22" spans="1:21" s="12" customFormat="1" x14ac:dyDescent="0.25">
      <c r="A22" s="211" t="s">
        <v>1989</v>
      </c>
      <c r="B22" s="64">
        <v>8.1199999999999992</v>
      </c>
      <c r="C22" s="64">
        <v>15.5</v>
      </c>
      <c r="D22" s="64">
        <v>14.61</v>
      </c>
      <c r="E22" s="64">
        <v>4.53</v>
      </c>
      <c r="F22" s="64">
        <v>2.1</v>
      </c>
      <c r="G22" s="64">
        <v>50.46</v>
      </c>
      <c r="H22" s="64">
        <v>9.02</v>
      </c>
      <c r="I22" s="64">
        <v>2.89</v>
      </c>
      <c r="J22" s="64">
        <v>0.18</v>
      </c>
      <c r="K22" s="64">
        <v>332.74</v>
      </c>
      <c r="L22" s="64">
        <v>20.25</v>
      </c>
      <c r="M22" s="64">
        <v>97.78</v>
      </c>
      <c r="N22" s="64">
        <v>44.9</v>
      </c>
      <c r="O22" s="64">
        <v>0</v>
      </c>
      <c r="P22" s="64">
        <v>0.69</v>
      </c>
      <c r="Q22" s="64">
        <v>9.06</v>
      </c>
      <c r="R22" s="198"/>
      <c r="S22" s="198"/>
      <c r="T22" s="198"/>
      <c r="U22" s="198"/>
    </row>
    <row r="23" spans="1:21" s="12" customFormat="1" x14ac:dyDescent="0.25">
      <c r="A23" s="211" t="s">
        <v>1990</v>
      </c>
      <c r="B23" s="64">
        <v>7.69</v>
      </c>
      <c r="C23" s="64">
        <v>13.82</v>
      </c>
      <c r="D23" s="64">
        <v>13.38</v>
      </c>
      <c r="E23" s="64">
        <v>4.7</v>
      </c>
      <c r="F23" s="64">
        <v>2.58</v>
      </c>
      <c r="G23" s="64">
        <v>50.46</v>
      </c>
      <c r="H23" s="64">
        <v>9.02</v>
      </c>
      <c r="I23" s="64">
        <v>2.91</v>
      </c>
      <c r="J23" s="64">
        <v>0.08</v>
      </c>
      <c r="K23" s="64">
        <v>129.16999999999999</v>
      </c>
      <c r="L23" s="64">
        <v>19.98</v>
      </c>
      <c r="M23" s="64">
        <v>97.75</v>
      </c>
      <c r="N23" s="64">
        <v>44.9</v>
      </c>
      <c r="O23" s="64">
        <v>0</v>
      </c>
      <c r="P23" s="64">
        <v>0.62</v>
      </c>
      <c r="Q23" s="64">
        <v>9.08</v>
      </c>
      <c r="R23" s="198"/>
      <c r="S23" s="198"/>
      <c r="T23" s="198"/>
      <c r="U23" s="198"/>
    </row>
    <row r="24" spans="1:21" s="12" customFormat="1" x14ac:dyDescent="0.25">
      <c r="A24" s="211" t="s">
        <v>1991</v>
      </c>
      <c r="B24" s="64">
        <v>8.17</v>
      </c>
      <c r="C24" s="64">
        <v>15.1</v>
      </c>
      <c r="D24" s="64">
        <v>14.44</v>
      </c>
      <c r="E24" s="64">
        <v>5.07</v>
      </c>
      <c r="F24" s="64">
        <v>2.2400000000000002</v>
      </c>
      <c r="G24" s="64">
        <v>50.46</v>
      </c>
      <c r="H24" s="64">
        <v>9.02</v>
      </c>
      <c r="I24" s="64">
        <v>2.92</v>
      </c>
      <c r="J24" s="64">
        <v>0.09</v>
      </c>
      <c r="K24" s="64">
        <v>337.47</v>
      </c>
      <c r="L24" s="64">
        <v>19.88</v>
      </c>
      <c r="M24" s="64">
        <v>97.77</v>
      </c>
      <c r="N24" s="64">
        <v>44.9</v>
      </c>
      <c r="O24" s="64">
        <v>0</v>
      </c>
      <c r="P24" s="64">
        <v>0.69</v>
      </c>
      <c r="Q24" s="64">
        <v>9.08</v>
      </c>
      <c r="R24" s="198"/>
      <c r="S24" s="198"/>
      <c r="T24" s="198"/>
      <c r="U24" s="198"/>
    </row>
    <row r="25" spans="1:21" s="12" customFormat="1" x14ac:dyDescent="0.25">
      <c r="A25" s="211" t="s">
        <v>1992</v>
      </c>
      <c r="B25" s="64">
        <v>7.57</v>
      </c>
      <c r="C25" s="64">
        <v>17.04</v>
      </c>
      <c r="D25" s="64">
        <v>14.97</v>
      </c>
      <c r="E25" s="64">
        <v>5.03</v>
      </c>
      <c r="F25" s="64">
        <v>2.1</v>
      </c>
      <c r="G25" s="64">
        <v>52.85</v>
      </c>
      <c r="H25" s="64">
        <v>8.9499999999999993</v>
      </c>
      <c r="I25" s="64">
        <v>2.92</v>
      </c>
      <c r="J25" s="64">
        <v>0.06</v>
      </c>
      <c r="K25" s="64">
        <v>119.08</v>
      </c>
      <c r="L25" s="64">
        <v>19.940000000000001</v>
      </c>
      <c r="M25" s="64">
        <v>97.75</v>
      </c>
      <c r="N25" s="64">
        <v>44.9</v>
      </c>
      <c r="O25" s="64">
        <v>0</v>
      </c>
      <c r="P25" s="64">
        <v>0.66</v>
      </c>
      <c r="Q25" s="64">
        <v>9.08</v>
      </c>
      <c r="R25" s="198"/>
      <c r="S25" s="198"/>
      <c r="T25" s="198"/>
      <c r="U25" s="198"/>
    </row>
    <row r="26" spans="1:21" s="12" customFormat="1" x14ac:dyDescent="0.25">
      <c r="A26" s="211" t="s">
        <v>1993</v>
      </c>
      <c r="B26" s="64">
        <v>7.31</v>
      </c>
      <c r="C26" s="64">
        <v>19.899999999999999</v>
      </c>
      <c r="D26" s="64">
        <v>16.25</v>
      </c>
      <c r="E26" s="64">
        <v>5.23</v>
      </c>
      <c r="F26" s="64">
        <v>2.1</v>
      </c>
      <c r="G26" s="64">
        <v>53.02</v>
      </c>
      <c r="H26" s="64">
        <v>8.9499999999999993</v>
      </c>
      <c r="I26" s="64">
        <v>2.92</v>
      </c>
      <c r="J26" s="64">
        <v>0.01</v>
      </c>
      <c r="K26" s="64">
        <v>145.34</v>
      </c>
      <c r="L26" s="64">
        <v>20.059999999999999</v>
      </c>
      <c r="M26" s="64">
        <v>97.79</v>
      </c>
      <c r="N26" s="64">
        <v>44.8</v>
      </c>
      <c r="O26" s="64">
        <v>0</v>
      </c>
      <c r="P26" s="64">
        <v>0.76</v>
      </c>
      <c r="Q26" s="64">
        <v>9.09</v>
      </c>
      <c r="R26" s="198"/>
      <c r="S26" s="198"/>
      <c r="T26" s="198"/>
      <c r="U26" s="198"/>
    </row>
    <row r="27" spans="1:21" s="12" customFormat="1" x14ac:dyDescent="0.25">
      <c r="A27" s="211" t="s">
        <v>1994</v>
      </c>
      <c r="B27" s="64">
        <v>10.38</v>
      </c>
      <c r="C27" s="64">
        <v>17.420000000000002</v>
      </c>
      <c r="D27" s="64">
        <v>17.43</v>
      </c>
      <c r="E27" s="64">
        <v>5.29</v>
      </c>
      <c r="F27" s="64">
        <v>2.1</v>
      </c>
      <c r="G27" s="64">
        <v>53.02</v>
      </c>
      <c r="H27" s="64">
        <v>8.9499999999999993</v>
      </c>
      <c r="I27" s="64">
        <v>2.94</v>
      </c>
      <c r="J27" s="64">
        <v>7.0000000000000007E-2</v>
      </c>
      <c r="K27" s="64">
        <v>102.75</v>
      </c>
      <c r="L27" s="64">
        <v>19.98</v>
      </c>
      <c r="M27" s="64">
        <v>97.82</v>
      </c>
      <c r="N27" s="64">
        <v>44.9</v>
      </c>
      <c r="O27" s="64">
        <v>0</v>
      </c>
      <c r="P27" s="64">
        <v>0.78</v>
      </c>
      <c r="Q27" s="64">
        <v>9.1</v>
      </c>
      <c r="R27" s="198"/>
      <c r="S27" s="198"/>
      <c r="T27" s="198"/>
      <c r="U27" s="198"/>
    </row>
    <row r="28" spans="1:21" s="12" customFormat="1" x14ac:dyDescent="0.25">
      <c r="A28" s="211" t="s">
        <v>1995</v>
      </c>
      <c r="B28" s="64">
        <v>10.91</v>
      </c>
      <c r="C28" s="64">
        <v>15.42</v>
      </c>
      <c r="D28" s="64">
        <v>16.8</v>
      </c>
      <c r="E28" s="64">
        <v>5.53</v>
      </c>
      <c r="F28" s="64">
        <v>2.1</v>
      </c>
      <c r="G28" s="64">
        <v>53.02</v>
      </c>
      <c r="H28" s="64">
        <v>8.9499999999999993</v>
      </c>
      <c r="I28" s="64">
        <v>2.98</v>
      </c>
      <c r="J28" s="64">
        <v>0.01</v>
      </c>
      <c r="K28" s="64">
        <v>103.27</v>
      </c>
      <c r="L28" s="64">
        <v>19.829999999999998</v>
      </c>
      <c r="M28" s="64">
        <v>97.83</v>
      </c>
      <c r="N28" s="64">
        <v>44.9</v>
      </c>
      <c r="O28" s="64">
        <v>0</v>
      </c>
      <c r="P28" s="64">
        <v>0.82</v>
      </c>
      <c r="Q28" s="64">
        <v>9.1</v>
      </c>
      <c r="R28" s="198"/>
      <c r="S28" s="198"/>
      <c r="T28" s="198"/>
      <c r="U28" s="198"/>
    </row>
    <row r="29" spans="1:21" s="12" customFormat="1" x14ac:dyDescent="0.25">
      <c r="A29" s="211" t="s">
        <v>1996</v>
      </c>
      <c r="B29" s="64">
        <v>8.8000000000000007</v>
      </c>
      <c r="C29" s="64">
        <v>11.98</v>
      </c>
      <c r="D29" s="64">
        <v>13.31</v>
      </c>
      <c r="E29" s="64">
        <v>5.07</v>
      </c>
      <c r="F29" s="64">
        <v>2.1</v>
      </c>
      <c r="G29" s="64">
        <v>67.78</v>
      </c>
      <c r="H29" s="64">
        <v>8.8800000000000008</v>
      </c>
      <c r="I29" s="64">
        <v>3.02</v>
      </c>
      <c r="J29" s="64">
        <v>0.15</v>
      </c>
      <c r="K29" s="64">
        <v>330.96</v>
      </c>
      <c r="L29" s="64">
        <v>19.809999999999999</v>
      </c>
      <c r="M29" s="64">
        <v>97.81</v>
      </c>
      <c r="N29" s="64">
        <v>44.8</v>
      </c>
      <c r="O29" s="64">
        <v>0</v>
      </c>
      <c r="P29" s="64">
        <v>0.77</v>
      </c>
      <c r="Q29" s="64">
        <v>9.11</v>
      </c>
      <c r="R29" s="198"/>
      <c r="S29" s="198"/>
      <c r="T29" s="198"/>
      <c r="U29" s="198"/>
    </row>
    <row r="30" spans="1:21" s="12" customFormat="1" x14ac:dyDescent="0.25">
      <c r="A30" s="211" t="s">
        <v>1997</v>
      </c>
      <c r="B30" s="64">
        <v>9.36</v>
      </c>
      <c r="C30" s="64">
        <v>9.6999999999999993</v>
      </c>
      <c r="D30" s="64">
        <v>12.57</v>
      </c>
      <c r="E30" s="64">
        <v>4.9000000000000004</v>
      </c>
      <c r="F30" s="64">
        <v>2.1</v>
      </c>
      <c r="G30" s="64">
        <v>68.83</v>
      </c>
      <c r="H30" s="64">
        <v>8.8800000000000008</v>
      </c>
      <c r="I30" s="64">
        <v>3.07</v>
      </c>
      <c r="J30" s="64">
        <v>0.27</v>
      </c>
      <c r="K30" s="64">
        <v>342.03</v>
      </c>
      <c r="L30" s="64">
        <v>19.8</v>
      </c>
      <c r="M30" s="64">
        <v>97.81</v>
      </c>
      <c r="N30" s="64">
        <v>44.5</v>
      </c>
      <c r="O30" s="64">
        <v>0</v>
      </c>
      <c r="P30" s="64">
        <v>0.75</v>
      </c>
      <c r="Q30" s="64">
        <v>9.1</v>
      </c>
      <c r="R30" s="198"/>
      <c r="S30" s="198"/>
      <c r="T30" s="198"/>
      <c r="U30" s="198"/>
    </row>
    <row r="31" spans="1:21" s="12" customFormat="1" x14ac:dyDescent="0.25">
      <c r="A31" s="211" t="s">
        <v>1998</v>
      </c>
      <c r="B31" s="64">
        <v>10.45</v>
      </c>
      <c r="C31" s="64">
        <v>10.35</v>
      </c>
      <c r="D31" s="64">
        <v>13.79</v>
      </c>
      <c r="E31" s="64">
        <v>5.05</v>
      </c>
      <c r="F31" s="64">
        <v>2.1</v>
      </c>
      <c r="G31" s="64">
        <v>68.83</v>
      </c>
      <c r="H31" s="64">
        <v>8.8800000000000008</v>
      </c>
      <c r="I31" s="64">
        <v>3.06</v>
      </c>
      <c r="J31" s="64">
        <v>0.53</v>
      </c>
      <c r="K31" s="64">
        <v>339.19</v>
      </c>
      <c r="L31" s="64">
        <v>20.04</v>
      </c>
      <c r="M31" s="64">
        <v>97.78</v>
      </c>
      <c r="N31" s="64">
        <v>44.8</v>
      </c>
      <c r="O31" s="64">
        <v>0</v>
      </c>
      <c r="P31" s="64">
        <v>0.75</v>
      </c>
      <c r="Q31" s="64">
        <v>9.11</v>
      </c>
      <c r="R31" s="198"/>
      <c r="S31" s="198"/>
      <c r="T31" s="198"/>
      <c r="U31" s="198"/>
    </row>
    <row r="32" spans="1:21" s="12" customFormat="1" x14ac:dyDescent="0.25">
      <c r="A32" s="211" t="s">
        <v>1999</v>
      </c>
      <c r="B32" s="64">
        <v>10.78</v>
      </c>
      <c r="C32" s="64">
        <v>9.18</v>
      </c>
      <c r="D32" s="64">
        <v>13.44</v>
      </c>
      <c r="E32" s="64">
        <v>4.97</v>
      </c>
      <c r="F32" s="64">
        <v>2.1</v>
      </c>
      <c r="G32" s="64">
        <v>68.83</v>
      </c>
      <c r="H32" s="64">
        <v>8.8800000000000008</v>
      </c>
      <c r="I32" s="64">
        <v>3.04</v>
      </c>
      <c r="J32" s="64">
        <v>0.56999999999999995</v>
      </c>
      <c r="K32" s="64">
        <v>340.47</v>
      </c>
      <c r="L32" s="64">
        <v>20</v>
      </c>
      <c r="M32" s="64">
        <v>97.8</v>
      </c>
      <c r="N32" s="64">
        <v>47.8</v>
      </c>
      <c r="O32" s="64">
        <v>0</v>
      </c>
      <c r="P32" s="64">
        <v>0.75</v>
      </c>
      <c r="Q32" s="64">
        <v>9.11</v>
      </c>
      <c r="R32" s="198"/>
      <c r="S32" s="198"/>
      <c r="T32" s="198"/>
      <c r="U32" s="198"/>
    </row>
    <row r="33" spans="1:21" s="12" customFormat="1" x14ac:dyDescent="0.25">
      <c r="A33" s="211" t="s">
        <v>2000</v>
      </c>
      <c r="B33" s="64">
        <v>11.31</v>
      </c>
      <c r="C33" s="64">
        <v>8.34</v>
      </c>
      <c r="D33" s="64">
        <v>13.43</v>
      </c>
      <c r="E33" s="64">
        <v>4.9800000000000004</v>
      </c>
      <c r="F33" s="64">
        <v>2.1</v>
      </c>
      <c r="G33" s="64">
        <v>71.28</v>
      </c>
      <c r="H33" s="64">
        <v>8.81</v>
      </c>
      <c r="I33" s="64">
        <v>3.01</v>
      </c>
      <c r="J33" s="64">
        <v>0.21</v>
      </c>
      <c r="K33" s="64">
        <v>344.44</v>
      </c>
      <c r="L33" s="64">
        <v>20.010000000000002</v>
      </c>
      <c r="M33" s="64">
        <v>97.8</v>
      </c>
      <c r="N33" s="64">
        <v>57.2</v>
      </c>
      <c r="O33" s="64">
        <v>0</v>
      </c>
      <c r="P33" s="64">
        <v>0.76</v>
      </c>
      <c r="Q33" s="64">
        <v>9.1199999999999992</v>
      </c>
      <c r="R33" s="198"/>
      <c r="S33" s="198"/>
      <c r="T33" s="198"/>
      <c r="U33" s="198"/>
    </row>
    <row r="34" spans="1:21" s="12" customFormat="1" x14ac:dyDescent="0.25">
      <c r="A34" s="211" t="s">
        <v>2001</v>
      </c>
      <c r="B34" s="64">
        <v>12.4</v>
      </c>
      <c r="C34" s="64">
        <v>8.7100000000000009</v>
      </c>
      <c r="D34" s="64">
        <v>14.5</v>
      </c>
      <c r="E34" s="64">
        <v>4.59</v>
      </c>
      <c r="F34" s="64">
        <v>2.1</v>
      </c>
      <c r="G34" s="64">
        <v>71.45</v>
      </c>
      <c r="H34" s="64">
        <v>8.81</v>
      </c>
      <c r="I34" s="64">
        <v>2.99</v>
      </c>
      <c r="J34" s="64">
        <v>0.34</v>
      </c>
      <c r="K34" s="64">
        <v>338.04</v>
      </c>
      <c r="L34" s="64">
        <v>20.079999999999998</v>
      </c>
      <c r="M34" s="64">
        <v>97.79</v>
      </c>
      <c r="N34" s="64">
        <v>72.8</v>
      </c>
      <c r="O34" s="64">
        <v>0</v>
      </c>
      <c r="P34" s="64">
        <v>0.76</v>
      </c>
      <c r="Q34" s="64">
        <v>9.14</v>
      </c>
      <c r="R34" s="198"/>
      <c r="S34" s="198"/>
      <c r="T34" s="198"/>
      <c r="U34" s="198"/>
    </row>
    <row r="35" spans="1:21" s="12" customFormat="1" x14ac:dyDescent="0.25">
      <c r="A35" s="211" t="s">
        <v>2002</v>
      </c>
      <c r="B35" s="64">
        <v>13.57</v>
      </c>
      <c r="C35" s="64">
        <v>9.4499999999999993</v>
      </c>
      <c r="D35" s="64">
        <v>15.82</v>
      </c>
      <c r="E35" s="64">
        <v>4.7699999999999996</v>
      </c>
      <c r="F35" s="64">
        <v>2.1</v>
      </c>
      <c r="G35" s="64">
        <v>71.45</v>
      </c>
      <c r="H35" s="64">
        <v>8.81</v>
      </c>
      <c r="I35" s="64">
        <v>2.98</v>
      </c>
      <c r="J35" s="64">
        <v>0.28999999999999998</v>
      </c>
      <c r="K35" s="64">
        <v>334.38</v>
      </c>
      <c r="L35" s="64">
        <v>20.77</v>
      </c>
      <c r="M35" s="64">
        <v>96.29</v>
      </c>
      <c r="N35" s="64">
        <v>115.7</v>
      </c>
      <c r="O35" s="64">
        <v>0</v>
      </c>
      <c r="P35" s="64">
        <v>0.78</v>
      </c>
      <c r="Q35" s="64">
        <v>9.17</v>
      </c>
      <c r="R35" s="198"/>
      <c r="S35" s="198"/>
      <c r="T35" s="198"/>
      <c r="U35" s="198"/>
    </row>
    <row r="36" spans="1:21" s="12" customFormat="1" x14ac:dyDescent="0.25">
      <c r="A36" s="211" t="s">
        <v>2003</v>
      </c>
      <c r="B36" s="64">
        <v>14.49</v>
      </c>
      <c r="C36" s="64">
        <v>8.7899999999999991</v>
      </c>
      <c r="D36" s="64">
        <v>16.21</v>
      </c>
      <c r="E36" s="64">
        <v>4.59</v>
      </c>
      <c r="F36" s="64">
        <v>2.1</v>
      </c>
      <c r="G36" s="64">
        <v>71.45</v>
      </c>
      <c r="H36" s="64">
        <v>8.81</v>
      </c>
      <c r="I36" s="64">
        <v>2.98</v>
      </c>
      <c r="J36" s="64">
        <v>0.03</v>
      </c>
      <c r="K36" s="64">
        <v>86.65</v>
      </c>
      <c r="L36" s="64">
        <v>22.01</v>
      </c>
      <c r="M36" s="64">
        <v>88.99</v>
      </c>
      <c r="N36" s="64">
        <v>163.4</v>
      </c>
      <c r="O36" s="64">
        <v>0</v>
      </c>
      <c r="P36" s="64">
        <v>0.8</v>
      </c>
      <c r="Q36" s="64">
        <v>9.18</v>
      </c>
      <c r="R36" s="198"/>
      <c r="S36" s="198"/>
      <c r="T36" s="198"/>
      <c r="U36" s="198"/>
    </row>
    <row r="37" spans="1:21" s="12" customFormat="1" x14ac:dyDescent="0.25">
      <c r="A37" s="211" t="s">
        <v>2004</v>
      </c>
      <c r="B37" s="64">
        <v>14.81</v>
      </c>
      <c r="C37" s="64">
        <v>11.58</v>
      </c>
      <c r="D37" s="64">
        <v>17.93</v>
      </c>
      <c r="E37" s="64">
        <v>4.71</v>
      </c>
      <c r="F37" s="64">
        <v>2.1</v>
      </c>
      <c r="G37" s="64">
        <v>72.849999999999994</v>
      </c>
      <c r="H37" s="64">
        <v>9.0299999999999994</v>
      </c>
      <c r="I37" s="64">
        <v>2.99</v>
      </c>
      <c r="J37" s="64">
        <v>0.31</v>
      </c>
      <c r="K37" s="64">
        <v>339.01</v>
      </c>
      <c r="L37" s="64">
        <v>23.75</v>
      </c>
      <c r="M37" s="64">
        <v>74.89</v>
      </c>
      <c r="N37" s="64">
        <v>213.3</v>
      </c>
      <c r="O37" s="64">
        <v>0</v>
      </c>
      <c r="P37" s="64">
        <v>0.78</v>
      </c>
      <c r="Q37" s="64">
        <v>9.1999999999999993</v>
      </c>
      <c r="R37" s="198"/>
      <c r="S37" s="198"/>
      <c r="T37" s="198"/>
      <c r="U37" s="198"/>
    </row>
    <row r="38" spans="1:21" s="12" customFormat="1" x14ac:dyDescent="0.25">
      <c r="A38" s="211" t="s">
        <v>2005</v>
      </c>
      <c r="B38" s="64">
        <v>15.8</v>
      </c>
      <c r="C38" s="64">
        <v>11.91</v>
      </c>
      <c r="D38" s="64">
        <v>18.89</v>
      </c>
      <c r="E38" s="64">
        <v>5.05</v>
      </c>
      <c r="F38" s="64">
        <v>2.1</v>
      </c>
      <c r="G38" s="64">
        <v>72.95</v>
      </c>
      <c r="H38" s="64">
        <v>9.0299999999999994</v>
      </c>
      <c r="I38" s="64">
        <v>2.99</v>
      </c>
      <c r="J38" s="64">
        <v>0.5</v>
      </c>
      <c r="K38" s="64">
        <v>337.77</v>
      </c>
      <c r="L38" s="64">
        <v>25.66</v>
      </c>
      <c r="M38" s="64">
        <v>62.15</v>
      </c>
      <c r="N38" s="64">
        <v>267.2</v>
      </c>
      <c r="O38" s="64">
        <v>0</v>
      </c>
      <c r="P38" s="64">
        <v>0.78</v>
      </c>
      <c r="Q38" s="64">
        <v>9.2200000000000006</v>
      </c>
      <c r="R38" s="198"/>
      <c r="S38" s="198"/>
      <c r="T38" s="198"/>
      <c r="U38" s="198"/>
    </row>
    <row r="39" spans="1:21" s="12" customFormat="1" x14ac:dyDescent="0.25">
      <c r="A39" s="211" t="s">
        <v>2006</v>
      </c>
      <c r="B39" s="64">
        <v>14.62</v>
      </c>
      <c r="C39" s="64">
        <v>11.91</v>
      </c>
      <c r="D39" s="64">
        <v>17.940000000000001</v>
      </c>
      <c r="E39" s="64">
        <v>4.8499999999999996</v>
      </c>
      <c r="F39" s="64">
        <v>2.1</v>
      </c>
      <c r="G39" s="64">
        <v>72.95</v>
      </c>
      <c r="H39" s="64">
        <v>9.0299999999999994</v>
      </c>
      <c r="I39" s="64">
        <v>2.98</v>
      </c>
      <c r="J39" s="64">
        <v>0.08</v>
      </c>
      <c r="K39" s="64">
        <v>17.510000000000002</v>
      </c>
      <c r="L39" s="64">
        <v>26.54</v>
      </c>
      <c r="M39" s="64">
        <v>58.81</v>
      </c>
      <c r="N39" s="64">
        <v>321.89999999999998</v>
      </c>
      <c r="O39" s="64">
        <v>0</v>
      </c>
      <c r="P39" s="64">
        <v>0.76</v>
      </c>
      <c r="Q39" s="64">
        <v>9.23</v>
      </c>
      <c r="R39" s="198"/>
      <c r="S39" s="198"/>
      <c r="T39" s="198"/>
      <c r="U39" s="198"/>
    </row>
    <row r="40" spans="1:21" s="12" customFormat="1" x14ac:dyDescent="0.25">
      <c r="A40" s="211" t="s">
        <v>2007</v>
      </c>
      <c r="B40" s="64">
        <v>19.34</v>
      </c>
      <c r="C40" s="64">
        <v>13.1</v>
      </c>
      <c r="D40" s="64">
        <v>22.35</v>
      </c>
      <c r="E40" s="64">
        <v>5.88</v>
      </c>
      <c r="F40" s="64">
        <v>2.1</v>
      </c>
      <c r="G40" s="64">
        <v>72.95</v>
      </c>
      <c r="H40" s="64">
        <v>9.0299999999999994</v>
      </c>
      <c r="I40" s="64">
        <v>2.96</v>
      </c>
      <c r="J40" s="64">
        <v>0.08</v>
      </c>
      <c r="K40" s="64">
        <v>83.69</v>
      </c>
      <c r="L40" s="64">
        <v>26.45</v>
      </c>
      <c r="M40" s="64">
        <v>57.68</v>
      </c>
      <c r="N40" s="64">
        <v>379.8</v>
      </c>
      <c r="O40" s="64">
        <v>0</v>
      </c>
      <c r="P40" s="64">
        <v>0.75</v>
      </c>
      <c r="Q40" s="64">
        <v>9.26</v>
      </c>
      <c r="R40" s="198"/>
      <c r="S40" s="198"/>
      <c r="T40" s="198"/>
      <c r="U40" s="198"/>
    </row>
    <row r="41" spans="1:21" s="12" customFormat="1" x14ac:dyDescent="0.25">
      <c r="A41" s="211" t="s">
        <v>2008</v>
      </c>
      <c r="B41" s="64">
        <v>15.9</v>
      </c>
      <c r="C41" s="64">
        <v>11.48</v>
      </c>
      <c r="D41" s="64">
        <v>18.75</v>
      </c>
      <c r="E41" s="64">
        <v>7.35</v>
      </c>
      <c r="F41" s="64">
        <v>2.1</v>
      </c>
      <c r="G41" s="64">
        <v>72.45</v>
      </c>
      <c r="H41" s="64">
        <v>8.9499999999999993</v>
      </c>
      <c r="I41" s="64">
        <v>2.95</v>
      </c>
      <c r="J41" s="64">
        <v>0.64</v>
      </c>
      <c r="K41" s="64">
        <v>339.97</v>
      </c>
      <c r="L41" s="64">
        <v>28.89</v>
      </c>
      <c r="M41" s="64">
        <v>47.68</v>
      </c>
      <c r="N41" s="64">
        <v>433.5</v>
      </c>
      <c r="O41" s="64">
        <v>0</v>
      </c>
      <c r="P41" s="64">
        <v>0.77</v>
      </c>
      <c r="Q41" s="64">
        <v>9.27</v>
      </c>
      <c r="R41" s="198"/>
      <c r="S41" s="198"/>
      <c r="T41" s="198"/>
      <c r="U41" s="198"/>
    </row>
    <row r="42" spans="1:21" s="12" customFormat="1" x14ac:dyDescent="0.25">
      <c r="A42" s="211" t="s">
        <v>2009</v>
      </c>
      <c r="B42" s="64">
        <v>17.420000000000002</v>
      </c>
      <c r="C42" s="64">
        <v>12.35</v>
      </c>
      <c r="D42" s="64">
        <v>20.420000000000002</v>
      </c>
      <c r="E42" s="64">
        <v>7.03</v>
      </c>
      <c r="F42" s="64">
        <v>2.11</v>
      </c>
      <c r="G42" s="64">
        <v>72.41</v>
      </c>
      <c r="H42" s="64">
        <v>8.9499999999999993</v>
      </c>
      <c r="I42" s="64">
        <v>2.95</v>
      </c>
      <c r="J42" s="64">
        <v>0.17</v>
      </c>
      <c r="K42" s="64">
        <v>358.08</v>
      </c>
      <c r="L42" s="64">
        <v>29.52</v>
      </c>
      <c r="M42" s="64">
        <v>46.85</v>
      </c>
      <c r="N42" s="64">
        <v>487.4</v>
      </c>
      <c r="O42" s="64">
        <v>0</v>
      </c>
      <c r="P42" s="64">
        <v>0.75</v>
      </c>
      <c r="Q42" s="64">
        <v>9.2899999999999991</v>
      </c>
      <c r="R42" s="198"/>
      <c r="S42" s="198"/>
      <c r="T42" s="198"/>
      <c r="U42" s="198"/>
    </row>
    <row r="43" spans="1:21" s="12" customFormat="1" x14ac:dyDescent="0.25">
      <c r="A43" s="211" t="s">
        <v>2010</v>
      </c>
      <c r="B43" s="64">
        <v>15.77</v>
      </c>
      <c r="C43" s="64">
        <v>14.6</v>
      </c>
      <c r="D43" s="64">
        <v>20.27</v>
      </c>
      <c r="E43" s="64">
        <v>7.3</v>
      </c>
      <c r="F43" s="64">
        <v>2.2000000000000002</v>
      </c>
      <c r="G43" s="64">
        <v>72.41</v>
      </c>
      <c r="H43" s="64">
        <v>8.9499999999999993</v>
      </c>
      <c r="I43" s="64">
        <v>2.93</v>
      </c>
      <c r="J43" s="64">
        <v>0.71</v>
      </c>
      <c r="K43" s="64">
        <v>337.06</v>
      </c>
      <c r="L43" s="64">
        <v>30.28</v>
      </c>
      <c r="M43" s="64">
        <v>44.52</v>
      </c>
      <c r="N43" s="64">
        <v>532.6</v>
      </c>
      <c r="O43" s="64">
        <v>0</v>
      </c>
      <c r="P43" s="64">
        <v>0.75</v>
      </c>
      <c r="Q43" s="64">
        <v>9.31</v>
      </c>
      <c r="R43" s="198"/>
      <c r="S43" s="198"/>
      <c r="T43" s="198"/>
      <c r="U43" s="198"/>
    </row>
    <row r="44" spans="1:21" s="12" customFormat="1" x14ac:dyDescent="0.25">
      <c r="A44" s="211" t="s">
        <v>2011</v>
      </c>
      <c r="B44" s="64">
        <v>15.89</v>
      </c>
      <c r="C44" s="64">
        <v>16.54</v>
      </c>
      <c r="D44" s="64">
        <v>21.39</v>
      </c>
      <c r="E44" s="64">
        <v>8.25</v>
      </c>
      <c r="F44" s="64">
        <v>2.2000000000000002</v>
      </c>
      <c r="G44" s="64">
        <v>72.41</v>
      </c>
      <c r="H44" s="64">
        <v>8.9499999999999993</v>
      </c>
      <c r="I44" s="64">
        <v>2.91</v>
      </c>
      <c r="J44" s="64">
        <v>0.3</v>
      </c>
      <c r="K44" s="64">
        <v>330.64</v>
      </c>
      <c r="L44" s="64">
        <v>31.09</v>
      </c>
      <c r="M44" s="64">
        <v>40.6</v>
      </c>
      <c r="N44" s="64">
        <v>572</v>
      </c>
      <c r="O44" s="64">
        <v>0</v>
      </c>
      <c r="P44" s="64">
        <v>0.72</v>
      </c>
      <c r="Q44" s="64">
        <v>9.3000000000000007</v>
      </c>
      <c r="R44" s="198"/>
      <c r="S44" s="198"/>
      <c r="T44" s="198"/>
      <c r="U44" s="198"/>
    </row>
    <row r="45" spans="1:21" s="12" customFormat="1" x14ac:dyDescent="0.25">
      <c r="A45" s="211" t="s">
        <v>2012</v>
      </c>
      <c r="B45" s="64">
        <v>15.86</v>
      </c>
      <c r="C45" s="64">
        <v>16.649999999999999</v>
      </c>
      <c r="D45" s="64">
        <v>21.42</v>
      </c>
      <c r="E45" s="64">
        <v>9.07</v>
      </c>
      <c r="F45" s="64">
        <v>2.1</v>
      </c>
      <c r="G45" s="64">
        <v>62.96</v>
      </c>
      <c r="H45" s="64">
        <v>8.8800000000000008</v>
      </c>
      <c r="I45" s="64">
        <v>2.89</v>
      </c>
      <c r="J45" s="64">
        <v>0.14000000000000001</v>
      </c>
      <c r="K45" s="64">
        <v>116.79</v>
      </c>
      <c r="L45" s="64">
        <v>29.81</v>
      </c>
      <c r="M45" s="64">
        <v>45.3</v>
      </c>
      <c r="N45" s="64">
        <v>625</v>
      </c>
      <c r="O45" s="64">
        <v>0</v>
      </c>
      <c r="P45" s="64">
        <v>0.71</v>
      </c>
      <c r="Q45" s="64">
        <v>9.3000000000000007</v>
      </c>
      <c r="R45" s="198"/>
      <c r="S45" s="198"/>
      <c r="T45" s="198"/>
      <c r="U45" s="198"/>
    </row>
    <row r="46" spans="1:21" s="12" customFormat="1" x14ac:dyDescent="0.25">
      <c r="A46" s="211" t="s">
        <v>2013</v>
      </c>
      <c r="B46" s="64">
        <v>15.02</v>
      </c>
      <c r="C46" s="64">
        <v>14.91</v>
      </c>
      <c r="D46" s="64">
        <v>19.84</v>
      </c>
      <c r="E46" s="64">
        <v>9.0500000000000007</v>
      </c>
      <c r="F46" s="64">
        <v>2.14</v>
      </c>
      <c r="G46" s="64">
        <v>62.28</v>
      </c>
      <c r="H46" s="64">
        <v>8.8800000000000008</v>
      </c>
      <c r="I46" s="64">
        <v>2.87</v>
      </c>
      <c r="J46" s="64">
        <v>0.52</v>
      </c>
      <c r="K46" s="64">
        <v>336.24</v>
      </c>
      <c r="L46" s="64">
        <v>31.28</v>
      </c>
      <c r="M46" s="64">
        <v>40.770000000000003</v>
      </c>
      <c r="N46" s="64">
        <v>660.5</v>
      </c>
      <c r="O46" s="64">
        <v>0</v>
      </c>
      <c r="P46" s="64">
        <v>0.73</v>
      </c>
      <c r="Q46" s="64">
        <v>9.3000000000000007</v>
      </c>
      <c r="R46" s="198"/>
      <c r="S46" s="198"/>
      <c r="T46" s="198"/>
      <c r="U46" s="198"/>
    </row>
    <row r="47" spans="1:21" s="12" customFormat="1" x14ac:dyDescent="0.25">
      <c r="A47" s="211" t="s">
        <v>2014</v>
      </c>
      <c r="B47" s="64">
        <v>15.48</v>
      </c>
      <c r="C47" s="64">
        <v>12.04</v>
      </c>
      <c r="D47" s="64">
        <v>18.7</v>
      </c>
      <c r="E47" s="64">
        <v>7.83</v>
      </c>
      <c r="F47" s="64">
        <v>2.1</v>
      </c>
      <c r="G47" s="64">
        <v>62.28</v>
      </c>
      <c r="H47" s="64">
        <v>8.8800000000000008</v>
      </c>
      <c r="I47" s="64">
        <v>2.86</v>
      </c>
      <c r="J47" s="64">
        <v>0.16</v>
      </c>
      <c r="K47" s="64">
        <v>24.53</v>
      </c>
      <c r="L47" s="64">
        <v>31.02</v>
      </c>
      <c r="M47" s="64">
        <v>42.87</v>
      </c>
      <c r="N47" s="64">
        <v>698.4</v>
      </c>
      <c r="O47" s="64">
        <v>0</v>
      </c>
      <c r="P47" s="64">
        <v>0.74</v>
      </c>
      <c r="Q47" s="64">
        <v>9.2899999999999991</v>
      </c>
      <c r="R47" s="198"/>
      <c r="S47" s="198"/>
      <c r="T47" s="198"/>
      <c r="U47" s="198"/>
    </row>
    <row r="48" spans="1:21" s="12" customFormat="1" x14ac:dyDescent="0.25">
      <c r="A48" s="211" t="s">
        <v>2015</v>
      </c>
      <c r="B48" s="64">
        <v>16.14</v>
      </c>
      <c r="C48" s="64">
        <v>14.34</v>
      </c>
      <c r="D48" s="64">
        <v>20.440000000000001</v>
      </c>
      <c r="E48" s="64">
        <v>8.44</v>
      </c>
      <c r="F48" s="64">
        <v>2.1</v>
      </c>
      <c r="G48" s="64">
        <v>62.28</v>
      </c>
      <c r="H48" s="64">
        <v>8.8800000000000008</v>
      </c>
      <c r="I48" s="64">
        <v>2.84</v>
      </c>
      <c r="J48" s="64">
        <v>0.79</v>
      </c>
      <c r="K48" s="64">
        <v>340.88</v>
      </c>
      <c r="L48" s="64">
        <v>31.94</v>
      </c>
      <c r="M48" s="64">
        <v>39.54</v>
      </c>
      <c r="N48" s="64">
        <v>731.7</v>
      </c>
      <c r="O48" s="64">
        <v>0</v>
      </c>
      <c r="P48" s="64">
        <v>0.72</v>
      </c>
      <c r="Q48" s="64">
        <v>9.27</v>
      </c>
      <c r="R48" s="198"/>
      <c r="S48" s="198"/>
      <c r="T48" s="198"/>
      <c r="U48" s="198"/>
    </row>
    <row r="49" spans="1:21" s="12" customFormat="1" x14ac:dyDescent="0.25">
      <c r="A49" s="211" t="s">
        <v>2016</v>
      </c>
      <c r="B49" s="64">
        <v>15.98</v>
      </c>
      <c r="C49" s="64">
        <v>14.39</v>
      </c>
      <c r="D49" s="64">
        <v>20.329999999999998</v>
      </c>
      <c r="E49" s="64">
        <v>8.5500000000000007</v>
      </c>
      <c r="F49" s="64">
        <v>2.1</v>
      </c>
      <c r="G49" s="64">
        <v>58.7</v>
      </c>
      <c r="H49" s="64">
        <v>8.82</v>
      </c>
      <c r="I49" s="64">
        <v>2.81</v>
      </c>
      <c r="J49" s="64">
        <v>1.02</v>
      </c>
      <c r="K49" s="64">
        <v>337.87</v>
      </c>
      <c r="L49" s="64">
        <v>32.83</v>
      </c>
      <c r="M49" s="64">
        <v>36.26</v>
      </c>
      <c r="N49" s="64">
        <v>765</v>
      </c>
      <c r="O49" s="64">
        <v>0</v>
      </c>
      <c r="P49" s="64">
        <v>0.71</v>
      </c>
      <c r="Q49" s="64">
        <v>9.27</v>
      </c>
      <c r="R49" s="198"/>
      <c r="S49" s="198"/>
      <c r="T49" s="198"/>
      <c r="U49" s="198"/>
    </row>
    <row r="50" spans="1:21" s="12" customFormat="1" x14ac:dyDescent="0.25">
      <c r="A50" s="211" t="s">
        <v>2017</v>
      </c>
      <c r="B50" s="64">
        <v>14.18</v>
      </c>
      <c r="C50" s="64">
        <v>15.32</v>
      </c>
      <c r="D50" s="64">
        <v>19.38</v>
      </c>
      <c r="E50" s="64">
        <v>8.09</v>
      </c>
      <c r="F50" s="64">
        <v>2.23</v>
      </c>
      <c r="G50" s="64">
        <v>58.45</v>
      </c>
      <c r="H50" s="64">
        <v>8.82</v>
      </c>
      <c r="I50" s="64">
        <v>2.78</v>
      </c>
      <c r="J50" s="64">
        <v>0.75</v>
      </c>
      <c r="K50" s="64">
        <v>333.94</v>
      </c>
      <c r="L50" s="64">
        <v>32.97</v>
      </c>
      <c r="M50" s="64">
        <v>36.61</v>
      </c>
      <c r="N50" s="64">
        <v>784.7</v>
      </c>
      <c r="O50" s="64">
        <v>0</v>
      </c>
      <c r="P50" s="64">
        <v>0.68</v>
      </c>
      <c r="Q50" s="64">
        <v>9.25</v>
      </c>
      <c r="R50" s="198"/>
      <c r="S50" s="198"/>
      <c r="T50" s="198"/>
      <c r="U50" s="198"/>
    </row>
    <row r="51" spans="1:21" s="12" customFormat="1" x14ac:dyDescent="0.25">
      <c r="A51" s="211" t="s">
        <v>2018</v>
      </c>
      <c r="B51" s="64">
        <v>13.43</v>
      </c>
      <c r="C51" s="64">
        <v>14.57</v>
      </c>
      <c r="D51" s="64">
        <v>18.38</v>
      </c>
      <c r="E51" s="64">
        <v>8.07</v>
      </c>
      <c r="F51" s="64">
        <v>2.96</v>
      </c>
      <c r="G51" s="64">
        <v>58.45</v>
      </c>
      <c r="H51" s="64">
        <v>8.82</v>
      </c>
      <c r="I51" s="64">
        <v>2.73</v>
      </c>
      <c r="J51" s="64">
        <v>0.78</v>
      </c>
      <c r="K51" s="64">
        <v>330.86</v>
      </c>
      <c r="L51" s="64">
        <v>33.22</v>
      </c>
      <c r="M51" s="64">
        <v>36.770000000000003</v>
      </c>
      <c r="N51" s="64">
        <v>792.1</v>
      </c>
      <c r="O51" s="64">
        <v>0</v>
      </c>
      <c r="P51" s="64">
        <v>0.71</v>
      </c>
      <c r="Q51" s="64">
        <v>9.24</v>
      </c>
      <c r="R51" s="198"/>
      <c r="S51" s="198"/>
      <c r="T51" s="198"/>
      <c r="U51" s="198"/>
    </row>
    <row r="52" spans="1:21" s="12" customFormat="1" x14ac:dyDescent="0.25">
      <c r="A52" s="211" t="s">
        <v>2019</v>
      </c>
      <c r="B52" s="64">
        <v>14.53</v>
      </c>
      <c r="C52" s="64">
        <v>16.03</v>
      </c>
      <c r="D52" s="64">
        <v>20.03</v>
      </c>
      <c r="E52" s="64">
        <v>8.2200000000000006</v>
      </c>
      <c r="F52" s="64">
        <v>3.05</v>
      </c>
      <c r="G52" s="64">
        <v>58.45</v>
      </c>
      <c r="H52" s="64">
        <v>8.82</v>
      </c>
      <c r="I52" s="64">
        <v>2.69</v>
      </c>
      <c r="J52" s="64">
        <v>0.56999999999999995</v>
      </c>
      <c r="K52" s="64">
        <v>332.91</v>
      </c>
      <c r="L52" s="64">
        <v>32.799999999999997</v>
      </c>
      <c r="M52" s="64">
        <v>37.94</v>
      </c>
      <c r="N52" s="64">
        <v>785.1</v>
      </c>
      <c r="O52" s="64">
        <v>0</v>
      </c>
      <c r="P52" s="64">
        <v>0.68</v>
      </c>
      <c r="Q52" s="64">
        <v>9.23</v>
      </c>
      <c r="R52" s="198"/>
      <c r="S52" s="198"/>
      <c r="T52" s="198"/>
      <c r="U52" s="198"/>
    </row>
    <row r="53" spans="1:21" s="12" customFormat="1" x14ac:dyDescent="0.25">
      <c r="A53" s="211" t="s">
        <v>2020</v>
      </c>
      <c r="B53" s="64">
        <v>12.13</v>
      </c>
      <c r="C53" s="64">
        <v>13.98</v>
      </c>
      <c r="D53" s="64">
        <v>17.03</v>
      </c>
      <c r="E53" s="64">
        <v>7.7</v>
      </c>
      <c r="F53" s="64">
        <v>3.47</v>
      </c>
      <c r="G53" s="64">
        <v>51.72</v>
      </c>
      <c r="H53" s="64">
        <v>9.27</v>
      </c>
      <c r="I53" s="64">
        <v>2.66</v>
      </c>
      <c r="J53" s="64">
        <v>0.79</v>
      </c>
      <c r="K53" s="64">
        <v>129.82</v>
      </c>
      <c r="L53" s="64">
        <v>31.11</v>
      </c>
      <c r="M53" s="64">
        <v>40.909999999999997</v>
      </c>
      <c r="N53" s="64">
        <v>783.6</v>
      </c>
      <c r="O53" s="64">
        <v>0</v>
      </c>
      <c r="P53" s="64">
        <v>0.62</v>
      </c>
      <c r="Q53" s="64">
        <v>9.2200000000000006</v>
      </c>
      <c r="R53" s="198"/>
      <c r="S53" s="198"/>
      <c r="T53" s="198"/>
      <c r="U53" s="198"/>
    </row>
    <row r="54" spans="1:21" s="12" customFormat="1" x14ac:dyDescent="0.25">
      <c r="A54" s="211" t="s">
        <v>2021</v>
      </c>
      <c r="B54" s="64">
        <v>10.11</v>
      </c>
      <c r="C54" s="64">
        <v>16.579999999999998</v>
      </c>
      <c r="D54" s="64">
        <v>16.77</v>
      </c>
      <c r="E54" s="64">
        <v>10.029999999999999</v>
      </c>
      <c r="F54" s="64">
        <v>10.57</v>
      </c>
      <c r="G54" s="64">
        <v>51.24</v>
      </c>
      <c r="H54" s="64">
        <v>9.27</v>
      </c>
      <c r="I54" s="64">
        <v>2.63</v>
      </c>
      <c r="J54" s="64">
        <v>0.84</v>
      </c>
      <c r="K54" s="64">
        <v>124.01</v>
      </c>
      <c r="L54" s="64">
        <v>29.06</v>
      </c>
      <c r="M54" s="64">
        <v>43.65</v>
      </c>
      <c r="N54" s="64">
        <v>824.6</v>
      </c>
      <c r="O54" s="64">
        <v>0</v>
      </c>
      <c r="P54" s="64">
        <v>0.46</v>
      </c>
      <c r="Q54" s="64">
        <v>9.2100000000000009</v>
      </c>
      <c r="R54" s="198"/>
      <c r="S54" s="198"/>
      <c r="T54" s="198"/>
      <c r="U54" s="198"/>
    </row>
    <row r="55" spans="1:21" s="12" customFormat="1" x14ac:dyDescent="0.25">
      <c r="A55" s="211" t="s">
        <v>2022</v>
      </c>
      <c r="B55" s="64">
        <v>9.77</v>
      </c>
      <c r="C55" s="64">
        <v>13.92</v>
      </c>
      <c r="D55" s="64">
        <v>15.11</v>
      </c>
      <c r="E55" s="64">
        <v>9.4700000000000006</v>
      </c>
      <c r="F55" s="64">
        <v>6.18</v>
      </c>
      <c r="G55" s="64">
        <v>51.24</v>
      </c>
      <c r="H55" s="64">
        <v>9.27</v>
      </c>
      <c r="I55" s="64">
        <v>2.59</v>
      </c>
      <c r="J55" s="64">
        <v>0.16</v>
      </c>
      <c r="K55" s="64">
        <v>40.020000000000003</v>
      </c>
      <c r="L55" s="64">
        <v>30.76</v>
      </c>
      <c r="M55" s="64">
        <v>39.32</v>
      </c>
      <c r="N55" s="64">
        <v>774.1</v>
      </c>
      <c r="O55" s="64">
        <v>0</v>
      </c>
      <c r="P55" s="64">
        <v>0.57999999999999996</v>
      </c>
      <c r="Q55" s="64">
        <v>9.17</v>
      </c>
      <c r="R55" s="198"/>
      <c r="S55" s="198"/>
      <c r="T55" s="198"/>
      <c r="U55" s="198"/>
    </row>
    <row r="56" spans="1:21" s="12" customFormat="1" x14ac:dyDescent="0.25">
      <c r="A56" s="211" t="s">
        <v>2023</v>
      </c>
      <c r="B56" s="64">
        <v>9.15</v>
      </c>
      <c r="C56" s="64">
        <v>14.77</v>
      </c>
      <c r="D56" s="64">
        <v>15.06</v>
      </c>
      <c r="E56" s="64">
        <v>10.39</v>
      </c>
      <c r="F56" s="64">
        <v>12.08</v>
      </c>
      <c r="G56" s="64">
        <v>51.24</v>
      </c>
      <c r="H56" s="64">
        <v>9.27</v>
      </c>
      <c r="I56" s="64">
        <v>2.54</v>
      </c>
      <c r="J56" s="64">
        <v>0.5</v>
      </c>
      <c r="K56" s="64">
        <v>130.74</v>
      </c>
      <c r="L56" s="64">
        <v>29.71</v>
      </c>
      <c r="M56" s="64">
        <v>42.53</v>
      </c>
      <c r="N56" s="64">
        <v>755.3</v>
      </c>
      <c r="O56" s="64">
        <v>0</v>
      </c>
      <c r="P56" s="64">
        <v>0.45</v>
      </c>
      <c r="Q56" s="64">
        <v>9.17</v>
      </c>
      <c r="R56" s="198"/>
      <c r="S56" s="198"/>
      <c r="T56" s="198"/>
      <c r="U56" s="198"/>
    </row>
    <row r="57" spans="1:21" s="12" customFormat="1" x14ac:dyDescent="0.25">
      <c r="A57" s="211" t="s">
        <v>2024</v>
      </c>
      <c r="B57" s="64">
        <v>8.56</v>
      </c>
      <c r="C57" s="64">
        <v>15.88</v>
      </c>
      <c r="D57" s="64">
        <v>15.16</v>
      </c>
      <c r="E57" s="64">
        <v>11.7</v>
      </c>
      <c r="F57" s="64">
        <v>14.7</v>
      </c>
      <c r="G57" s="64">
        <v>44.82</v>
      </c>
      <c r="H57" s="64">
        <v>9.1999999999999993</v>
      </c>
      <c r="I57" s="64">
        <v>2.4900000000000002</v>
      </c>
      <c r="J57" s="64">
        <v>0.48</v>
      </c>
      <c r="K57" s="64">
        <v>138.82</v>
      </c>
      <c r="L57" s="64">
        <v>30.13</v>
      </c>
      <c r="M57" s="64">
        <v>40.590000000000003</v>
      </c>
      <c r="N57" s="64">
        <v>753.7</v>
      </c>
      <c r="O57" s="64">
        <v>0</v>
      </c>
      <c r="P57" s="64">
        <v>0.48</v>
      </c>
      <c r="Q57" s="64">
        <v>9.16</v>
      </c>
      <c r="R57" s="198"/>
      <c r="S57" s="198"/>
      <c r="T57" s="198"/>
      <c r="U57" s="198"/>
    </row>
    <row r="58" spans="1:21" s="12" customFormat="1" x14ac:dyDescent="0.25">
      <c r="A58" s="211" t="s">
        <v>2025</v>
      </c>
      <c r="B58" s="64">
        <v>10.220000000000001</v>
      </c>
      <c r="C58" s="64">
        <v>19.95</v>
      </c>
      <c r="D58" s="64">
        <v>18.62</v>
      </c>
      <c r="E58" s="64">
        <v>12.5</v>
      </c>
      <c r="F58" s="64">
        <v>11.74</v>
      </c>
      <c r="G58" s="64">
        <v>44.36</v>
      </c>
      <c r="H58" s="64">
        <v>9.1999999999999993</v>
      </c>
      <c r="I58" s="64">
        <v>2.4500000000000002</v>
      </c>
      <c r="J58" s="64">
        <v>0.04</v>
      </c>
      <c r="K58" s="64">
        <v>140.18</v>
      </c>
      <c r="L58" s="64">
        <v>30.67</v>
      </c>
      <c r="M58" s="64">
        <v>39</v>
      </c>
      <c r="N58" s="64">
        <v>751.3</v>
      </c>
      <c r="O58" s="64">
        <v>0</v>
      </c>
      <c r="P58" s="64">
        <v>0.49</v>
      </c>
      <c r="Q58" s="64">
        <v>9.14</v>
      </c>
      <c r="R58" s="198"/>
      <c r="S58" s="198"/>
      <c r="T58" s="198"/>
      <c r="U58" s="198"/>
    </row>
    <row r="59" spans="1:21" s="12" customFormat="1" x14ac:dyDescent="0.25">
      <c r="A59" s="211" t="s">
        <v>2026</v>
      </c>
      <c r="B59" s="64">
        <v>8.0399999999999991</v>
      </c>
      <c r="C59" s="64">
        <v>20.27</v>
      </c>
      <c r="D59" s="64">
        <v>17.04</v>
      </c>
      <c r="E59" s="64">
        <v>11.54</v>
      </c>
      <c r="F59" s="64">
        <v>13.66</v>
      </c>
      <c r="G59" s="64">
        <v>44.36</v>
      </c>
      <c r="H59" s="64">
        <v>9.1999999999999993</v>
      </c>
      <c r="I59" s="64">
        <v>2.4</v>
      </c>
      <c r="J59" s="64">
        <v>0.19</v>
      </c>
      <c r="K59" s="64">
        <v>11.18</v>
      </c>
      <c r="L59" s="64">
        <v>31.12</v>
      </c>
      <c r="M59" s="64">
        <v>37.869999999999997</v>
      </c>
      <c r="N59" s="64">
        <v>677.6</v>
      </c>
      <c r="O59" s="64">
        <v>0</v>
      </c>
      <c r="P59" s="64">
        <v>0.51</v>
      </c>
      <c r="Q59" s="64">
        <v>9.1300000000000008</v>
      </c>
      <c r="R59" s="198"/>
      <c r="S59" s="198"/>
      <c r="T59" s="198"/>
      <c r="U59" s="198"/>
    </row>
    <row r="60" spans="1:21" s="12" customFormat="1" x14ac:dyDescent="0.25">
      <c r="A60" s="211" t="s">
        <v>2027</v>
      </c>
      <c r="B60" s="64">
        <v>7.26</v>
      </c>
      <c r="C60" s="64">
        <v>19.13</v>
      </c>
      <c r="D60" s="64">
        <v>15.82</v>
      </c>
      <c r="E60" s="64">
        <v>11.32</v>
      </c>
      <c r="F60" s="64">
        <v>16.72</v>
      </c>
      <c r="G60" s="64">
        <v>44.36</v>
      </c>
      <c r="H60" s="64">
        <v>9.1999999999999993</v>
      </c>
      <c r="I60" s="64">
        <v>2.38</v>
      </c>
      <c r="J60" s="64">
        <v>0.63</v>
      </c>
      <c r="K60" s="64">
        <v>120.85</v>
      </c>
      <c r="L60" s="64">
        <v>30.4</v>
      </c>
      <c r="M60" s="64">
        <v>39.549999999999997</v>
      </c>
      <c r="N60" s="64">
        <v>446.9</v>
      </c>
      <c r="O60" s="64">
        <v>0</v>
      </c>
      <c r="P60" s="64">
        <v>0.5</v>
      </c>
      <c r="Q60" s="64">
        <v>9.14</v>
      </c>
      <c r="R60" s="198"/>
      <c r="S60" s="198"/>
      <c r="T60" s="198"/>
      <c r="U60" s="198"/>
    </row>
    <row r="61" spans="1:21" s="12" customFormat="1" x14ac:dyDescent="0.25">
      <c r="A61" s="211" t="s">
        <v>2028</v>
      </c>
      <c r="B61" s="64">
        <v>6.82</v>
      </c>
      <c r="C61" s="64">
        <v>17.8</v>
      </c>
      <c r="D61" s="64">
        <v>14.77</v>
      </c>
      <c r="E61" s="64">
        <v>11.55</v>
      </c>
      <c r="F61" s="64">
        <v>16.93</v>
      </c>
      <c r="G61" s="64">
        <v>40.54</v>
      </c>
      <c r="H61" s="64">
        <v>9</v>
      </c>
      <c r="I61" s="64">
        <v>2.36</v>
      </c>
      <c r="J61" s="64">
        <v>0.14000000000000001</v>
      </c>
      <c r="K61" s="64">
        <v>59.51</v>
      </c>
      <c r="L61" s="64">
        <v>30.23</v>
      </c>
      <c r="M61" s="64">
        <v>40.159999999999997</v>
      </c>
      <c r="N61" s="64">
        <v>375</v>
      </c>
      <c r="O61" s="64">
        <v>0</v>
      </c>
      <c r="P61" s="64">
        <v>0.53</v>
      </c>
      <c r="Q61" s="64">
        <v>9.1300000000000008</v>
      </c>
      <c r="R61" s="198"/>
      <c r="S61" s="198"/>
      <c r="T61" s="198"/>
      <c r="U61" s="198"/>
    </row>
    <row r="62" spans="1:21" s="12" customFormat="1" x14ac:dyDescent="0.25">
      <c r="A62" s="211" t="s">
        <v>2029</v>
      </c>
      <c r="B62" s="64">
        <v>8.31</v>
      </c>
      <c r="C62" s="64">
        <v>21.76</v>
      </c>
      <c r="D62" s="64">
        <v>18.03</v>
      </c>
      <c r="E62" s="64">
        <v>12.68</v>
      </c>
      <c r="F62" s="64">
        <v>19.13</v>
      </c>
      <c r="G62" s="64">
        <v>40.270000000000003</v>
      </c>
      <c r="H62" s="64">
        <v>9</v>
      </c>
      <c r="I62" s="64">
        <v>2.34</v>
      </c>
      <c r="J62" s="64">
        <v>0.56999999999999995</v>
      </c>
      <c r="K62" s="64">
        <v>123.82</v>
      </c>
      <c r="L62" s="64">
        <v>29.78</v>
      </c>
      <c r="M62" s="64">
        <v>41.79</v>
      </c>
      <c r="N62" s="64">
        <v>240.7</v>
      </c>
      <c r="O62" s="64">
        <v>0</v>
      </c>
      <c r="P62" s="64">
        <v>0.54</v>
      </c>
      <c r="Q62" s="64">
        <v>9.1199999999999992</v>
      </c>
      <c r="R62" s="198"/>
      <c r="S62" s="198"/>
      <c r="T62" s="198"/>
      <c r="U62" s="198"/>
    </row>
    <row r="63" spans="1:21" s="12" customFormat="1" x14ac:dyDescent="0.25">
      <c r="A63" s="211" t="s">
        <v>2030</v>
      </c>
      <c r="B63" s="64">
        <v>6.36</v>
      </c>
      <c r="C63" s="64">
        <v>13.93</v>
      </c>
      <c r="D63" s="64">
        <v>12.38</v>
      </c>
      <c r="E63" s="64">
        <v>8.7200000000000006</v>
      </c>
      <c r="F63" s="64">
        <v>19.09</v>
      </c>
      <c r="G63" s="64">
        <v>40.270000000000003</v>
      </c>
      <c r="H63" s="64">
        <v>9</v>
      </c>
      <c r="I63" s="64">
        <v>2.4700000000000002</v>
      </c>
      <c r="J63" s="64">
        <v>0.47</v>
      </c>
      <c r="K63" s="64">
        <v>127.85</v>
      </c>
      <c r="L63" s="64">
        <v>29.22</v>
      </c>
      <c r="M63" s="64">
        <v>43.03</v>
      </c>
      <c r="N63" s="64">
        <v>190.1</v>
      </c>
      <c r="O63" s="64">
        <v>0</v>
      </c>
      <c r="P63" s="64">
        <v>0.41</v>
      </c>
      <c r="Q63" s="64">
        <v>9.1199999999999992</v>
      </c>
      <c r="R63" s="198"/>
      <c r="S63" s="198"/>
      <c r="T63" s="198"/>
      <c r="U63" s="198"/>
    </row>
    <row r="64" spans="1:21" s="12" customFormat="1" x14ac:dyDescent="0.25">
      <c r="A64" s="211" t="s">
        <v>2031</v>
      </c>
      <c r="B64" s="64">
        <v>7.01</v>
      </c>
      <c r="C64" s="64">
        <v>22.94</v>
      </c>
      <c r="D64" s="64">
        <v>17.61</v>
      </c>
      <c r="E64" s="64">
        <v>11.45</v>
      </c>
      <c r="F64" s="64">
        <v>18.3</v>
      </c>
      <c r="G64" s="64">
        <v>40.270000000000003</v>
      </c>
      <c r="H64" s="64">
        <v>9</v>
      </c>
      <c r="I64" s="64">
        <v>2.39</v>
      </c>
      <c r="J64" s="64">
        <v>0.18</v>
      </c>
      <c r="K64" s="64">
        <v>98.94</v>
      </c>
      <c r="L64" s="64">
        <v>29.65</v>
      </c>
      <c r="M64" s="64">
        <v>43.43</v>
      </c>
      <c r="N64" s="64">
        <v>174.6</v>
      </c>
      <c r="O64" s="64">
        <v>0</v>
      </c>
      <c r="P64" s="64">
        <v>0.54</v>
      </c>
      <c r="Q64" s="64">
        <v>9.1</v>
      </c>
      <c r="R64" s="198"/>
      <c r="S64" s="198"/>
      <c r="T64" s="198"/>
      <c r="U64" s="198"/>
    </row>
    <row r="65" spans="1:21" s="12" customFormat="1" x14ac:dyDescent="0.25">
      <c r="A65" s="211" t="s">
        <v>2032</v>
      </c>
      <c r="B65" s="64">
        <v>6.73</v>
      </c>
      <c r="C65" s="64">
        <v>18.84</v>
      </c>
      <c r="D65" s="64">
        <v>15.24</v>
      </c>
      <c r="E65" s="64">
        <v>10.82</v>
      </c>
      <c r="F65" s="64">
        <v>13.34</v>
      </c>
      <c r="G65" s="64">
        <v>41.06</v>
      </c>
      <c r="H65" s="64">
        <v>9.4600000000000009</v>
      </c>
      <c r="I65" s="64">
        <v>2.41</v>
      </c>
      <c r="J65" s="64">
        <v>0.28999999999999998</v>
      </c>
      <c r="K65" s="64">
        <v>357.94</v>
      </c>
      <c r="L65" s="64">
        <v>29.61</v>
      </c>
      <c r="M65" s="64">
        <v>43.39</v>
      </c>
      <c r="N65" s="64">
        <v>166.8</v>
      </c>
      <c r="O65" s="64">
        <v>0</v>
      </c>
      <c r="P65" s="64">
        <v>0.57999999999999996</v>
      </c>
      <c r="Q65" s="64">
        <v>9.08</v>
      </c>
      <c r="R65" s="198"/>
      <c r="S65" s="198"/>
      <c r="T65" s="198"/>
      <c r="U65" s="198"/>
    </row>
    <row r="66" spans="1:21" s="12" customFormat="1" x14ac:dyDescent="0.25">
      <c r="A66" s="211" t="s">
        <v>2033</v>
      </c>
      <c r="B66" s="64">
        <v>7.62</v>
      </c>
      <c r="C66" s="64">
        <v>20.420000000000002</v>
      </c>
      <c r="D66" s="64">
        <v>16.77</v>
      </c>
      <c r="E66" s="64">
        <v>12.3</v>
      </c>
      <c r="F66" s="64">
        <v>20.96</v>
      </c>
      <c r="G66" s="64">
        <v>41.11</v>
      </c>
      <c r="H66" s="64">
        <v>9.4600000000000009</v>
      </c>
      <c r="I66" s="64">
        <v>2.48</v>
      </c>
      <c r="J66" s="64">
        <v>0.17</v>
      </c>
      <c r="K66" s="64">
        <v>47.99</v>
      </c>
      <c r="L66" s="64">
        <v>29.3</v>
      </c>
      <c r="M66" s="64">
        <v>44.77</v>
      </c>
      <c r="N66" s="64">
        <v>150.5</v>
      </c>
      <c r="O66" s="64">
        <v>0</v>
      </c>
      <c r="P66" s="64">
        <v>0.49</v>
      </c>
      <c r="Q66" s="64">
        <v>9.06</v>
      </c>
      <c r="R66" s="198"/>
      <c r="S66" s="198"/>
      <c r="T66" s="198"/>
      <c r="U66" s="198"/>
    </row>
    <row r="67" spans="1:21" s="12" customFormat="1" x14ac:dyDescent="0.25">
      <c r="A67" s="211" t="s">
        <v>2034</v>
      </c>
      <c r="B67" s="64">
        <v>8.4</v>
      </c>
      <c r="C67" s="64">
        <v>22.55</v>
      </c>
      <c r="D67" s="64">
        <v>18.52</v>
      </c>
      <c r="E67" s="64">
        <v>13.22</v>
      </c>
      <c r="F67" s="64">
        <v>17.309999999999999</v>
      </c>
      <c r="G67" s="64">
        <v>41.11</v>
      </c>
      <c r="H67" s="64">
        <v>9.4600000000000009</v>
      </c>
      <c r="I67" s="64">
        <v>2.2799999999999998</v>
      </c>
      <c r="J67" s="64">
        <v>0.65</v>
      </c>
      <c r="K67" s="64">
        <v>334.54</v>
      </c>
      <c r="L67" s="64">
        <v>29.37</v>
      </c>
      <c r="M67" s="64">
        <v>44.28</v>
      </c>
      <c r="N67" s="64">
        <v>134.30000000000001</v>
      </c>
      <c r="O67" s="64">
        <v>0</v>
      </c>
      <c r="P67" s="64">
        <v>0.54</v>
      </c>
      <c r="Q67" s="64">
        <v>9.06</v>
      </c>
      <c r="R67" s="198"/>
      <c r="S67" s="198"/>
      <c r="T67" s="198"/>
      <c r="U67" s="198"/>
    </row>
    <row r="68" spans="1:21" s="12" customFormat="1" x14ac:dyDescent="0.25">
      <c r="A68" s="211" t="s">
        <v>2035</v>
      </c>
      <c r="B68" s="64">
        <v>7.24</v>
      </c>
      <c r="C68" s="64">
        <v>23.82</v>
      </c>
      <c r="D68" s="64">
        <v>18.260000000000002</v>
      </c>
      <c r="E68" s="64">
        <v>13.87</v>
      </c>
      <c r="F68" s="64">
        <v>21.03</v>
      </c>
      <c r="G68" s="64">
        <v>41.11</v>
      </c>
      <c r="H68" s="64">
        <v>9.4600000000000009</v>
      </c>
      <c r="I68" s="64">
        <v>2.12</v>
      </c>
      <c r="J68" s="64">
        <v>0.12</v>
      </c>
      <c r="K68" s="64">
        <v>35.29</v>
      </c>
      <c r="L68" s="64">
        <v>29.42</v>
      </c>
      <c r="M68" s="64">
        <v>44.44</v>
      </c>
      <c r="N68" s="64">
        <v>127.9</v>
      </c>
      <c r="O68" s="64">
        <v>0</v>
      </c>
      <c r="P68" s="64">
        <v>0.51</v>
      </c>
      <c r="Q68" s="64">
        <v>9.0500000000000007</v>
      </c>
      <c r="R68" s="198"/>
      <c r="S68" s="198"/>
      <c r="T68" s="198"/>
      <c r="U68" s="198"/>
    </row>
    <row r="69" spans="1:21" s="12" customFormat="1" x14ac:dyDescent="0.25">
      <c r="A69" s="211" t="s">
        <v>2036</v>
      </c>
      <c r="B69" s="64">
        <v>7.97</v>
      </c>
      <c r="C69" s="64">
        <v>22.73</v>
      </c>
      <c r="D69" s="64">
        <v>18.260000000000002</v>
      </c>
      <c r="E69" s="64">
        <v>13.54</v>
      </c>
      <c r="F69" s="64">
        <v>17.420000000000002</v>
      </c>
      <c r="G69" s="64">
        <v>42.27</v>
      </c>
      <c r="H69" s="64">
        <v>10.69</v>
      </c>
      <c r="I69" s="64">
        <v>2.06</v>
      </c>
      <c r="J69" s="64">
        <v>0.12</v>
      </c>
      <c r="K69" s="64">
        <v>113.89</v>
      </c>
      <c r="L69" s="64">
        <v>28.86</v>
      </c>
      <c r="M69" s="64">
        <v>45.54</v>
      </c>
      <c r="N69" s="64">
        <v>117.7</v>
      </c>
      <c r="O69" s="64">
        <v>0</v>
      </c>
      <c r="P69" s="64">
        <v>0.52</v>
      </c>
      <c r="Q69" s="64">
        <v>9.0399999999999991</v>
      </c>
      <c r="R69" s="198"/>
      <c r="S69" s="198"/>
      <c r="T69" s="198"/>
      <c r="U69" s="198"/>
    </row>
    <row r="70" spans="1:21" s="12" customFormat="1" x14ac:dyDescent="0.25">
      <c r="A70" s="211" t="s">
        <v>2037</v>
      </c>
      <c r="B70" s="64">
        <v>7.95</v>
      </c>
      <c r="C70" s="64">
        <v>19.53</v>
      </c>
      <c r="D70" s="64">
        <v>16.579999999999998</v>
      </c>
      <c r="E70" s="64">
        <v>11.48</v>
      </c>
      <c r="F70" s="64">
        <v>11.82</v>
      </c>
      <c r="G70" s="64">
        <v>42.35</v>
      </c>
      <c r="H70" s="64">
        <v>10.69</v>
      </c>
      <c r="I70" s="64">
        <v>2.02</v>
      </c>
      <c r="J70" s="64">
        <v>0.8</v>
      </c>
      <c r="K70" s="64">
        <v>334.84</v>
      </c>
      <c r="L70" s="64">
        <v>28.86</v>
      </c>
      <c r="M70" s="64">
        <v>46.79</v>
      </c>
      <c r="N70" s="64">
        <v>108.1</v>
      </c>
      <c r="O70" s="64">
        <v>0</v>
      </c>
      <c r="P70" s="64">
        <v>0.62</v>
      </c>
      <c r="Q70" s="64">
        <v>9.0399999999999991</v>
      </c>
      <c r="R70" s="198"/>
      <c r="S70" s="198"/>
      <c r="T70" s="198"/>
      <c r="U70" s="198"/>
    </row>
    <row r="71" spans="1:21" s="12" customFormat="1" x14ac:dyDescent="0.25">
      <c r="A71" s="211" t="s">
        <v>2038</v>
      </c>
      <c r="B71" s="64">
        <v>8.69</v>
      </c>
      <c r="C71" s="64">
        <v>24.2</v>
      </c>
      <c r="D71" s="64">
        <v>18.68</v>
      </c>
      <c r="E71" s="64">
        <v>12.75</v>
      </c>
      <c r="F71" s="64">
        <v>9.89</v>
      </c>
      <c r="G71" s="64">
        <v>42.35</v>
      </c>
      <c r="H71" s="64">
        <v>10.69</v>
      </c>
      <c r="I71" s="64">
        <v>1.98</v>
      </c>
      <c r="J71" s="64">
        <v>0.63</v>
      </c>
      <c r="K71" s="64">
        <v>338.53</v>
      </c>
      <c r="L71" s="64">
        <v>29.01</v>
      </c>
      <c r="M71" s="64">
        <v>46.09</v>
      </c>
      <c r="N71" s="64">
        <v>98.5</v>
      </c>
      <c r="O71" s="64">
        <v>0</v>
      </c>
      <c r="P71" s="64">
        <v>0.62</v>
      </c>
      <c r="Q71" s="64">
        <v>9.0500000000000007</v>
      </c>
      <c r="R71" s="198"/>
      <c r="S71" s="198"/>
      <c r="T71" s="198"/>
      <c r="U71" s="198"/>
    </row>
    <row r="72" spans="1:21" s="12" customFormat="1" x14ac:dyDescent="0.25">
      <c r="A72" s="211" t="s">
        <v>2039</v>
      </c>
      <c r="B72" s="64">
        <v>6.97</v>
      </c>
      <c r="C72" s="64">
        <v>25.47</v>
      </c>
      <c r="D72" s="64">
        <v>18.89</v>
      </c>
      <c r="E72" s="64">
        <v>12.55</v>
      </c>
      <c r="F72" s="64">
        <v>21.26</v>
      </c>
      <c r="G72" s="64">
        <v>42.35</v>
      </c>
      <c r="H72" s="64">
        <v>10.69</v>
      </c>
      <c r="I72" s="64">
        <v>1.97</v>
      </c>
      <c r="J72" s="64">
        <v>0.09</v>
      </c>
      <c r="K72" s="64">
        <v>64.510000000000005</v>
      </c>
      <c r="L72" s="64">
        <v>28.52</v>
      </c>
      <c r="M72" s="64">
        <v>47.3</v>
      </c>
      <c r="N72" s="64">
        <v>89.6</v>
      </c>
      <c r="O72" s="64">
        <v>0</v>
      </c>
      <c r="P72" s="64">
        <v>0.53</v>
      </c>
      <c r="Q72" s="64">
        <v>9.0500000000000007</v>
      </c>
      <c r="R72" s="198"/>
      <c r="S72" s="198"/>
      <c r="T72" s="198"/>
      <c r="U72" s="198"/>
    </row>
    <row r="73" spans="1:21" s="12" customFormat="1" x14ac:dyDescent="0.25">
      <c r="A73" s="211" t="s">
        <v>2040</v>
      </c>
      <c r="B73" s="64">
        <v>8.4</v>
      </c>
      <c r="C73" s="64">
        <v>21.1</v>
      </c>
      <c r="D73" s="64">
        <v>17.760000000000002</v>
      </c>
      <c r="E73" s="64">
        <v>12.41</v>
      </c>
      <c r="F73" s="64">
        <v>11.61</v>
      </c>
      <c r="G73" s="64">
        <v>41.52</v>
      </c>
      <c r="H73" s="64">
        <v>10.57</v>
      </c>
      <c r="I73" s="64">
        <v>1.96</v>
      </c>
      <c r="J73" s="64">
        <v>0.28999999999999998</v>
      </c>
      <c r="K73" s="64">
        <v>341.79</v>
      </c>
      <c r="L73" s="64">
        <v>28.19</v>
      </c>
      <c r="M73" s="64">
        <v>48.31</v>
      </c>
      <c r="N73" s="64">
        <v>81.2</v>
      </c>
      <c r="O73" s="64">
        <v>0</v>
      </c>
      <c r="P73" s="64">
        <v>0.62</v>
      </c>
      <c r="Q73" s="64">
        <v>9.0399999999999991</v>
      </c>
      <c r="R73" s="198"/>
      <c r="S73" s="198"/>
      <c r="T73" s="198"/>
      <c r="U73" s="198"/>
    </row>
    <row r="74" spans="1:21" s="12" customFormat="1" x14ac:dyDescent="0.25">
      <c r="A74" s="211" t="s">
        <v>2041</v>
      </c>
      <c r="B74" s="64">
        <v>6.37</v>
      </c>
      <c r="C74" s="64">
        <v>22.96</v>
      </c>
      <c r="D74" s="64">
        <v>17.11</v>
      </c>
      <c r="E74" s="64">
        <v>14.03</v>
      </c>
      <c r="F74" s="64">
        <v>17.96</v>
      </c>
      <c r="G74" s="64">
        <v>41.46</v>
      </c>
      <c r="H74" s="64">
        <v>10.57</v>
      </c>
      <c r="I74" s="64">
        <v>1.95</v>
      </c>
      <c r="J74" s="64">
        <v>0.26</v>
      </c>
      <c r="K74" s="64">
        <v>131.19999999999999</v>
      </c>
      <c r="L74" s="64">
        <v>27.78</v>
      </c>
      <c r="M74" s="64">
        <v>48.46</v>
      </c>
      <c r="N74" s="64">
        <v>73.400000000000006</v>
      </c>
      <c r="O74" s="64">
        <v>0</v>
      </c>
      <c r="P74" s="64">
        <v>0.54</v>
      </c>
      <c r="Q74" s="64">
        <v>9.0500000000000007</v>
      </c>
      <c r="R74" s="198"/>
      <c r="S74" s="198"/>
      <c r="T74" s="198"/>
      <c r="U74" s="198"/>
    </row>
    <row r="75" spans="1:21" s="12" customFormat="1" x14ac:dyDescent="0.25">
      <c r="A75" s="211" t="s">
        <v>2042</v>
      </c>
      <c r="B75" s="64">
        <v>8.4</v>
      </c>
      <c r="C75" s="64">
        <v>33.479999999999997</v>
      </c>
      <c r="D75" s="64">
        <v>24.23</v>
      </c>
      <c r="E75" s="64">
        <v>14.63</v>
      </c>
      <c r="F75" s="64">
        <v>16.14</v>
      </c>
      <c r="G75" s="64">
        <v>41.46</v>
      </c>
      <c r="H75" s="64">
        <v>10.57</v>
      </c>
      <c r="I75" s="64">
        <v>1.93</v>
      </c>
      <c r="J75" s="64">
        <v>7.0000000000000007E-2</v>
      </c>
      <c r="K75" s="64">
        <v>172.46</v>
      </c>
      <c r="L75" s="64">
        <v>27.52</v>
      </c>
      <c r="M75" s="64">
        <v>51.35</v>
      </c>
      <c r="N75" s="64">
        <v>66.099999999999994</v>
      </c>
      <c r="O75" s="64">
        <v>0</v>
      </c>
      <c r="P75" s="64">
        <v>0.68</v>
      </c>
      <c r="Q75" s="64">
        <v>9.0500000000000007</v>
      </c>
      <c r="R75" s="198"/>
      <c r="S75" s="198"/>
      <c r="T75" s="198"/>
      <c r="U75" s="198"/>
    </row>
    <row r="76" spans="1:21" s="12" customFormat="1" x14ac:dyDescent="0.25">
      <c r="A76" s="211" t="s">
        <v>2043</v>
      </c>
      <c r="B76" s="64">
        <v>7.36</v>
      </c>
      <c r="C76" s="64">
        <v>34.24</v>
      </c>
      <c r="D76" s="64">
        <v>23.79</v>
      </c>
      <c r="E76" s="64">
        <v>14.45</v>
      </c>
      <c r="F76" s="64">
        <v>13.74</v>
      </c>
      <c r="G76" s="64">
        <v>41.46</v>
      </c>
      <c r="H76" s="64">
        <v>10.57</v>
      </c>
      <c r="I76" s="64">
        <v>1.92</v>
      </c>
      <c r="J76" s="64">
        <v>0.09</v>
      </c>
      <c r="K76" s="64">
        <v>152.88</v>
      </c>
      <c r="L76" s="64">
        <v>27.26</v>
      </c>
      <c r="M76" s="64">
        <v>53.98</v>
      </c>
      <c r="N76" s="64">
        <v>57.6</v>
      </c>
      <c r="O76" s="64">
        <v>0</v>
      </c>
      <c r="P76" s="64">
        <v>0.66</v>
      </c>
      <c r="Q76" s="64">
        <v>9.07</v>
      </c>
      <c r="R76" s="198"/>
      <c r="S76" s="198"/>
      <c r="T76" s="198"/>
      <c r="U76" s="198"/>
    </row>
    <row r="77" spans="1:21" s="12" customFormat="1" x14ac:dyDescent="0.25">
      <c r="A77" s="211" t="s">
        <v>2044</v>
      </c>
      <c r="B77" s="64">
        <v>5.91</v>
      </c>
      <c r="C77" s="64">
        <v>27.77</v>
      </c>
      <c r="D77" s="64">
        <v>19.25</v>
      </c>
      <c r="E77" s="64">
        <v>14.41</v>
      </c>
      <c r="F77" s="64">
        <v>14.78</v>
      </c>
      <c r="G77" s="64">
        <v>42.3</v>
      </c>
      <c r="H77" s="64">
        <v>9.4600000000000009</v>
      </c>
      <c r="I77" s="64">
        <v>1.93</v>
      </c>
      <c r="J77" s="64">
        <v>0.14000000000000001</v>
      </c>
      <c r="K77" s="64">
        <v>132.38999999999999</v>
      </c>
      <c r="L77" s="64">
        <v>26.83</v>
      </c>
      <c r="M77" s="64">
        <v>57.11</v>
      </c>
      <c r="N77" s="64">
        <v>49.7</v>
      </c>
      <c r="O77" s="64">
        <v>0</v>
      </c>
      <c r="P77" s="64">
        <v>0.54</v>
      </c>
      <c r="Q77" s="64">
        <v>9.07</v>
      </c>
      <c r="R77" s="198"/>
      <c r="S77" s="198"/>
      <c r="T77" s="198"/>
      <c r="U77" s="198"/>
    </row>
    <row r="78" spans="1:21" s="12" customFormat="1" x14ac:dyDescent="0.25">
      <c r="A78" s="211" t="s">
        <v>2045</v>
      </c>
      <c r="B78" s="64">
        <v>9.52</v>
      </c>
      <c r="C78" s="64">
        <v>41.3</v>
      </c>
      <c r="D78" s="64">
        <v>29.21</v>
      </c>
      <c r="E78" s="64">
        <v>15.46</v>
      </c>
      <c r="F78" s="64">
        <v>7.31</v>
      </c>
      <c r="G78" s="64">
        <v>42.36</v>
      </c>
      <c r="H78" s="64">
        <v>9.4600000000000009</v>
      </c>
      <c r="I78" s="64">
        <v>1.94</v>
      </c>
      <c r="J78" s="64">
        <v>0.05</v>
      </c>
      <c r="K78" s="64">
        <v>172.97</v>
      </c>
      <c r="L78" s="64">
        <v>26.52</v>
      </c>
      <c r="M78" s="64">
        <v>58.39</v>
      </c>
      <c r="N78" s="64">
        <v>43.6</v>
      </c>
      <c r="O78" s="64">
        <v>0</v>
      </c>
      <c r="P78" s="64">
        <v>0.73</v>
      </c>
      <c r="Q78" s="64">
        <v>9.07</v>
      </c>
      <c r="R78" s="198"/>
      <c r="S78" s="198"/>
      <c r="T78" s="198"/>
      <c r="U78" s="198"/>
    </row>
    <row r="79" spans="1:21" s="12" customFormat="1" x14ac:dyDescent="0.25">
      <c r="A79" s="211" t="s">
        <v>2046</v>
      </c>
      <c r="B79" s="64">
        <v>10.73</v>
      </c>
      <c r="C79" s="64">
        <v>37.4</v>
      </c>
      <c r="D79" s="64">
        <v>28.14</v>
      </c>
      <c r="E79" s="64">
        <v>16.39</v>
      </c>
      <c r="F79" s="64">
        <v>7.62</v>
      </c>
      <c r="G79" s="64">
        <v>42.36</v>
      </c>
      <c r="H79" s="64">
        <v>9.4600000000000009</v>
      </c>
      <c r="I79" s="64">
        <v>1.95</v>
      </c>
      <c r="J79" s="64">
        <v>0.02</v>
      </c>
      <c r="K79" s="64">
        <v>340.33</v>
      </c>
      <c r="L79" s="64">
        <v>26.19</v>
      </c>
      <c r="M79" s="64">
        <v>60.24</v>
      </c>
      <c r="N79" s="64">
        <v>41</v>
      </c>
      <c r="O79" s="64">
        <v>0</v>
      </c>
      <c r="P79" s="64">
        <v>0.77</v>
      </c>
      <c r="Q79" s="64">
        <v>9.09</v>
      </c>
      <c r="R79" s="198"/>
      <c r="S79" s="198"/>
      <c r="T79" s="198"/>
      <c r="U79" s="198"/>
    </row>
    <row r="80" spans="1:21" s="12" customFormat="1" x14ac:dyDescent="0.25">
      <c r="A80" s="211" t="s">
        <v>2047</v>
      </c>
      <c r="B80" s="64">
        <v>28.42</v>
      </c>
      <c r="C80" s="64">
        <v>47.29</v>
      </c>
      <c r="D80" s="64">
        <v>47.5</v>
      </c>
      <c r="E80" s="64">
        <v>17.489999999999998</v>
      </c>
      <c r="F80" s="64">
        <v>3.84</v>
      </c>
      <c r="G80" s="64">
        <v>42.36</v>
      </c>
      <c r="H80" s="64">
        <v>9.4600000000000009</v>
      </c>
      <c r="I80" s="64">
        <v>1.95</v>
      </c>
      <c r="J80" s="64">
        <v>0.33</v>
      </c>
      <c r="K80" s="64">
        <v>330.41</v>
      </c>
      <c r="L80" s="64">
        <v>25.88</v>
      </c>
      <c r="M80" s="64">
        <v>64.7</v>
      </c>
      <c r="N80" s="64">
        <v>40.1</v>
      </c>
      <c r="O80" s="64">
        <v>0</v>
      </c>
      <c r="P80" s="64">
        <v>1.41</v>
      </c>
      <c r="Q80" s="64">
        <v>9.1</v>
      </c>
      <c r="R80" s="198"/>
      <c r="S80" s="198"/>
      <c r="T80" s="198"/>
      <c r="U80" s="198"/>
    </row>
    <row r="81" spans="1:26" s="12" customFormat="1" x14ac:dyDescent="0.25">
      <c r="A81" s="211" t="s">
        <v>2048</v>
      </c>
      <c r="B81" s="64">
        <v>13.31</v>
      </c>
      <c r="C81" s="64">
        <v>37.619999999999997</v>
      </c>
      <c r="D81" s="64">
        <v>30.33</v>
      </c>
      <c r="E81" s="64">
        <v>17.7</v>
      </c>
      <c r="F81" s="64">
        <v>4.57</v>
      </c>
      <c r="G81" s="64">
        <v>45.6</v>
      </c>
      <c r="H81" s="64">
        <v>8.6</v>
      </c>
      <c r="I81" s="64">
        <v>1.99</v>
      </c>
      <c r="J81" s="64">
        <v>0.53</v>
      </c>
      <c r="K81" s="64">
        <v>337.1</v>
      </c>
      <c r="L81" s="64">
        <v>25.76</v>
      </c>
      <c r="M81" s="64">
        <v>66.849999999999994</v>
      </c>
      <c r="N81" s="64">
        <v>40</v>
      </c>
      <c r="O81" s="64">
        <v>0</v>
      </c>
      <c r="P81" s="64">
        <v>1.24</v>
      </c>
      <c r="Q81" s="64">
        <v>9.1199999999999992</v>
      </c>
      <c r="R81" s="198"/>
      <c r="S81" s="198"/>
      <c r="T81" s="198"/>
      <c r="U81" s="198"/>
    </row>
    <row r="82" spans="1:26" s="12" customFormat="1" x14ac:dyDescent="0.25">
      <c r="A82" s="211" t="s">
        <v>2049</v>
      </c>
      <c r="B82" s="64">
        <v>11.88</v>
      </c>
      <c r="C82" s="64">
        <v>28.66</v>
      </c>
      <c r="D82" s="64">
        <v>24.5</v>
      </c>
      <c r="E82" s="64">
        <v>15.7</v>
      </c>
      <c r="F82" s="64">
        <v>2.77</v>
      </c>
      <c r="G82" s="64">
        <v>45.83</v>
      </c>
      <c r="H82" s="64">
        <v>8.6</v>
      </c>
      <c r="I82" s="64">
        <v>2.0499999999999998</v>
      </c>
      <c r="J82" s="64">
        <v>0.56000000000000005</v>
      </c>
      <c r="K82" s="64">
        <v>336.43</v>
      </c>
      <c r="L82" s="64">
        <v>25.63</v>
      </c>
      <c r="M82" s="64">
        <v>67.55</v>
      </c>
      <c r="N82" s="64">
        <v>40.1</v>
      </c>
      <c r="O82" s="64">
        <v>0</v>
      </c>
      <c r="P82" s="64">
        <v>1.1399999999999999</v>
      </c>
      <c r="Q82" s="64">
        <v>9.1300000000000008</v>
      </c>
      <c r="R82" s="198"/>
      <c r="S82" s="198"/>
      <c r="T82" s="198"/>
      <c r="U82" s="198"/>
    </row>
    <row r="83" spans="1:26" s="12" customFormat="1" x14ac:dyDescent="0.25">
      <c r="A83" s="211" t="s">
        <v>2050</v>
      </c>
      <c r="B83" s="64">
        <v>17.05</v>
      </c>
      <c r="C83" s="64">
        <v>43.81</v>
      </c>
      <c r="D83" s="64">
        <v>36.56</v>
      </c>
      <c r="E83" s="64">
        <v>14.06</v>
      </c>
      <c r="F83" s="64">
        <v>2.1</v>
      </c>
      <c r="G83" s="64">
        <v>45.83</v>
      </c>
      <c r="H83" s="64">
        <v>8.6</v>
      </c>
      <c r="I83" s="64">
        <v>2.15</v>
      </c>
      <c r="J83" s="64">
        <v>0.22</v>
      </c>
      <c r="K83" s="64">
        <v>338.05</v>
      </c>
      <c r="L83" s="64">
        <v>25.42</v>
      </c>
      <c r="M83" s="64">
        <v>69.22</v>
      </c>
      <c r="N83" s="64">
        <v>40.5</v>
      </c>
      <c r="O83" s="64">
        <v>0</v>
      </c>
      <c r="P83" s="64">
        <v>1.61</v>
      </c>
      <c r="Q83" s="64">
        <v>9.14</v>
      </c>
      <c r="R83" s="198"/>
      <c r="S83" s="198"/>
      <c r="T83" s="198"/>
      <c r="U83" s="198"/>
    </row>
    <row r="84" spans="1:26" s="12" customFormat="1" x14ac:dyDescent="0.25">
      <c r="A84" s="211" t="s">
        <v>2051</v>
      </c>
      <c r="B84" s="64">
        <v>15.57</v>
      </c>
      <c r="C84" s="64">
        <v>42.06</v>
      </c>
      <c r="D84" s="64">
        <v>34.46</v>
      </c>
      <c r="E84" s="64">
        <v>16.690000000000001</v>
      </c>
      <c r="F84" s="64">
        <v>2.1</v>
      </c>
      <c r="G84" s="64">
        <v>45.83</v>
      </c>
      <c r="H84" s="64">
        <v>8.6</v>
      </c>
      <c r="I84" s="64">
        <v>2.2599999999999998</v>
      </c>
      <c r="J84" s="64">
        <v>0.12</v>
      </c>
      <c r="K84" s="64">
        <v>325.7</v>
      </c>
      <c r="L84" s="64">
        <v>25.06</v>
      </c>
      <c r="M84" s="64">
        <v>69.709999999999994</v>
      </c>
      <c r="N84" s="64">
        <v>40.5</v>
      </c>
      <c r="O84" s="64">
        <v>0</v>
      </c>
      <c r="P84" s="64">
        <v>1.4</v>
      </c>
      <c r="Q84" s="64">
        <v>9.14</v>
      </c>
      <c r="R84" s="198"/>
      <c r="S84" s="198"/>
      <c r="T84" s="198"/>
      <c r="U84" s="198"/>
    </row>
    <row r="85" spans="1:26" s="12" customFormat="1" x14ac:dyDescent="0.25">
      <c r="A85" s="211" t="s">
        <v>2052</v>
      </c>
      <c r="B85" s="64">
        <v>19.05</v>
      </c>
      <c r="C85" s="64">
        <v>48.78</v>
      </c>
      <c r="D85" s="64">
        <v>40.770000000000003</v>
      </c>
      <c r="E85" s="64">
        <v>21.46</v>
      </c>
      <c r="F85" s="64">
        <v>2.1</v>
      </c>
      <c r="G85" s="64">
        <v>52.67</v>
      </c>
      <c r="H85" s="64">
        <v>11.15</v>
      </c>
      <c r="I85" s="64">
        <v>2.37</v>
      </c>
      <c r="J85" s="64">
        <v>0.16</v>
      </c>
      <c r="K85" s="64">
        <v>332.97</v>
      </c>
      <c r="L85" s="64">
        <v>25.01</v>
      </c>
      <c r="M85" s="64">
        <v>68.7</v>
      </c>
      <c r="N85" s="64">
        <v>40.299999999999997</v>
      </c>
      <c r="O85" s="64">
        <v>0</v>
      </c>
      <c r="P85" s="64">
        <v>1.58</v>
      </c>
      <c r="Q85" s="64">
        <v>9.14</v>
      </c>
      <c r="R85" s="198"/>
      <c r="S85" s="198"/>
      <c r="T85" s="198"/>
      <c r="U85" s="198"/>
    </row>
    <row r="86" spans="1:26" s="12" customFormat="1" x14ac:dyDescent="0.25">
      <c r="A86" s="211" t="s">
        <v>2053</v>
      </c>
      <c r="B86" s="64">
        <v>17.149999999999999</v>
      </c>
      <c r="C86" s="64">
        <v>35.53</v>
      </c>
      <c r="D86" s="64">
        <v>32.32</v>
      </c>
      <c r="E86" s="64">
        <v>23.31</v>
      </c>
      <c r="F86" s="64">
        <v>2.1</v>
      </c>
      <c r="G86" s="64">
        <v>53.16</v>
      </c>
      <c r="H86" s="64">
        <v>11.15</v>
      </c>
      <c r="I86" s="64">
        <v>2.48</v>
      </c>
      <c r="J86" s="64">
        <v>0.27</v>
      </c>
      <c r="K86" s="64">
        <v>330.52</v>
      </c>
      <c r="L86" s="64">
        <v>24.95</v>
      </c>
      <c r="M86" s="64">
        <v>68.97</v>
      </c>
      <c r="N86" s="64">
        <v>40.1</v>
      </c>
      <c r="O86" s="64">
        <v>0</v>
      </c>
      <c r="P86" s="64">
        <v>1.53</v>
      </c>
      <c r="Q86" s="64">
        <v>9.14</v>
      </c>
      <c r="R86" s="198"/>
      <c r="S86" s="198"/>
      <c r="T86" s="198"/>
      <c r="U86" s="198"/>
    </row>
    <row r="87" spans="1:26" s="12" customFormat="1" x14ac:dyDescent="0.25">
      <c r="A87" s="211" t="s">
        <v>2054</v>
      </c>
      <c r="B87" s="64">
        <v>16.899999999999999</v>
      </c>
      <c r="C87" s="64">
        <v>41.52</v>
      </c>
      <c r="D87" s="64">
        <v>35.25</v>
      </c>
      <c r="E87" s="64">
        <v>31.6</v>
      </c>
      <c r="F87" s="64">
        <v>2.1</v>
      </c>
      <c r="G87" s="64">
        <v>53.16</v>
      </c>
      <c r="H87" s="64">
        <v>11.15</v>
      </c>
      <c r="I87" s="64">
        <v>2.61</v>
      </c>
      <c r="J87" s="64">
        <v>0.35</v>
      </c>
      <c r="K87" s="64">
        <v>334.36</v>
      </c>
      <c r="L87" s="64">
        <v>24.94</v>
      </c>
      <c r="M87" s="64">
        <v>67.510000000000005</v>
      </c>
      <c r="N87" s="64">
        <v>40.1</v>
      </c>
      <c r="O87" s="64">
        <v>0</v>
      </c>
      <c r="P87" s="64">
        <v>1.69</v>
      </c>
      <c r="Q87" s="64">
        <v>9.16</v>
      </c>
      <c r="R87" s="198"/>
      <c r="S87" s="198"/>
      <c r="T87" s="198"/>
      <c r="U87" s="198"/>
    </row>
    <row r="88" spans="1:26" s="12" customFormat="1" x14ac:dyDescent="0.25">
      <c r="A88" s="211" t="s">
        <v>2055</v>
      </c>
      <c r="B88" s="64">
        <v>15.35</v>
      </c>
      <c r="C88" s="64">
        <v>39.69</v>
      </c>
      <c r="D88" s="64">
        <v>33.04</v>
      </c>
      <c r="E88" s="64">
        <v>27.23</v>
      </c>
      <c r="F88" s="64">
        <v>2.11</v>
      </c>
      <c r="G88" s="64">
        <v>53.16</v>
      </c>
      <c r="H88" s="64">
        <v>11.15</v>
      </c>
      <c r="I88" s="64">
        <v>2.81</v>
      </c>
      <c r="J88" s="64">
        <v>0.28999999999999998</v>
      </c>
      <c r="K88" s="64">
        <v>334.93</v>
      </c>
      <c r="L88" s="64">
        <v>24.94</v>
      </c>
      <c r="M88" s="64">
        <v>64.67</v>
      </c>
      <c r="N88" s="64">
        <v>40.200000000000003</v>
      </c>
      <c r="O88" s="64">
        <v>0</v>
      </c>
      <c r="P88" s="64">
        <v>1.9</v>
      </c>
      <c r="Q88" s="64">
        <v>9.17</v>
      </c>
      <c r="R88" s="198"/>
      <c r="S88" s="198"/>
      <c r="T88" s="198"/>
      <c r="U88" s="198"/>
    </row>
    <row r="89" spans="1:26" s="12" customFormat="1" x14ac:dyDescent="0.25">
      <c r="A89" s="211" t="s">
        <v>2056</v>
      </c>
      <c r="B89" s="64">
        <v>28.21</v>
      </c>
      <c r="C89" s="64">
        <v>35.61</v>
      </c>
      <c r="D89" s="64">
        <v>41.17</v>
      </c>
      <c r="E89" s="64">
        <v>20.32</v>
      </c>
      <c r="F89" s="64">
        <v>2.1</v>
      </c>
      <c r="G89" s="64">
        <v>74.540000000000006</v>
      </c>
      <c r="H89" s="64">
        <v>9.8800000000000008</v>
      </c>
      <c r="I89" s="64">
        <v>3</v>
      </c>
      <c r="J89" s="64">
        <v>0.21</v>
      </c>
      <c r="K89" s="64">
        <v>339.33</v>
      </c>
      <c r="L89" s="64">
        <v>24.81</v>
      </c>
      <c r="M89" s="64">
        <v>66.09</v>
      </c>
      <c r="N89" s="64">
        <v>40.4</v>
      </c>
      <c r="O89" s="64">
        <v>0</v>
      </c>
      <c r="P89" s="64">
        <v>1.93</v>
      </c>
      <c r="Q89" s="64">
        <v>9.16</v>
      </c>
      <c r="R89" s="198"/>
      <c r="S89" s="198"/>
      <c r="T89" s="198"/>
      <c r="U89" s="198"/>
    </row>
    <row r="90" spans="1:26" s="12" customFormat="1" x14ac:dyDescent="0.25">
      <c r="A90" s="211" t="s">
        <v>2057</v>
      </c>
      <c r="B90" s="64">
        <v>24.57</v>
      </c>
      <c r="C90" s="64">
        <v>32.19</v>
      </c>
      <c r="D90" s="64">
        <v>36.31</v>
      </c>
      <c r="E90" s="64">
        <v>24.16</v>
      </c>
      <c r="F90" s="64">
        <v>2.1</v>
      </c>
      <c r="G90" s="64">
        <v>76.06</v>
      </c>
      <c r="H90" s="64">
        <v>9.8800000000000008</v>
      </c>
      <c r="I90" s="64">
        <v>3.12</v>
      </c>
      <c r="J90" s="64">
        <v>0.38</v>
      </c>
      <c r="K90" s="64">
        <v>337.71</v>
      </c>
      <c r="L90" s="64">
        <v>24.76</v>
      </c>
      <c r="M90" s="64">
        <v>67.45</v>
      </c>
      <c r="N90" s="64">
        <v>40.1</v>
      </c>
      <c r="O90" s="64">
        <v>0</v>
      </c>
      <c r="P90" s="64">
        <v>1.79</v>
      </c>
      <c r="Q90" s="64">
        <v>9.1999999999999993</v>
      </c>
      <c r="R90" s="198"/>
      <c r="S90" s="198"/>
      <c r="T90" s="198"/>
      <c r="U90" s="198"/>
    </row>
    <row r="91" spans="1:26" s="12" customFormat="1" x14ac:dyDescent="0.25">
      <c r="A91" s="211" t="s">
        <v>2058</v>
      </c>
      <c r="B91" s="64">
        <v>25.3</v>
      </c>
      <c r="C91" s="64">
        <v>37.28</v>
      </c>
      <c r="D91" s="64">
        <v>39.770000000000003</v>
      </c>
      <c r="E91" s="64">
        <v>19.239999999999998</v>
      </c>
      <c r="F91" s="64">
        <v>2.1</v>
      </c>
      <c r="G91" s="64">
        <v>76.06</v>
      </c>
      <c r="H91" s="64">
        <v>9.8800000000000008</v>
      </c>
      <c r="I91" s="64">
        <v>3.22</v>
      </c>
      <c r="J91" s="64">
        <v>0.2</v>
      </c>
      <c r="K91" s="64">
        <v>327.54000000000002</v>
      </c>
      <c r="L91" s="64">
        <v>24.75</v>
      </c>
      <c r="M91" s="64">
        <v>68.959999999999994</v>
      </c>
      <c r="N91" s="64">
        <v>40.4</v>
      </c>
      <c r="O91" s="64">
        <v>0</v>
      </c>
      <c r="P91" s="64">
        <v>1.75</v>
      </c>
      <c r="Q91" s="64">
        <v>9.2200000000000006</v>
      </c>
      <c r="R91" s="198"/>
      <c r="S91" s="198"/>
      <c r="T91" s="198"/>
      <c r="U91" s="198"/>
    </row>
    <row r="92" spans="1:26" s="12" customFormat="1" x14ac:dyDescent="0.25">
      <c r="A92" s="211" t="s">
        <v>2059</v>
      </c>
      <c r="B92" s="64">
        <v>14.78</v>
      </c>
      <c r="C92" s="64">
        <v>29.24</v>
      </c>
      <c r="D92" s="64">
        <v>27.13</v>
      </c>
      <c r="E92" s="64">
        <v>17.920000000000002</v>
      </c>
      <c r="F92" s="64">
        <v>3.07</v>
      </c>
      <c r="G92" s="64">
        <v>76.06</v>
      </c>
      <c r="H92" s="64">
        <v>9.8800000000000008</v>
      </c>
      <c r="I92" s="64">
        <v>3.31</v>
      </c>
      <c r="J92" s="64">
        <v>0.37</v>
      </c>
      <c r="K92" s="64">
        <v>331.3</v>
      </c>
      <c r="L92" s="64">
        <v>24.71</v>
      </c>
      <c r="M92" s="64">
        <v>70.319999999999993</v>
      </c>
      <c r="N92" s="64">
        <v>40.299999999999997</v>
      </c>
      <c r="O92" s="64">
        <v>0</v>
      </c>
      <c r="P92" s="64">
        <v>1.46</v>
      </c>
      <c r="Q92" s="64">
        <v>9.23</v>
      </c>
      <c r="R92" s="198"/>
      <c r="S92" s="198"/>
      <c r="T92" s="198"/>
      <c r="U92" s="198"/>
    </row>
    <row r="93" spans="1:26" s="12" customFormat="1" x14ac:dyDescent="0.25">
      <c r="A93" s="211" t="s">
        <v>2060</v>
      </c>
      <c r="B93" s="64">
        <v>29.59</v>
      </c>
      <c r="C93" s="64">
        <v>31.01</v>
      </c>
      <c r="D93" s="64">
        <v>39.93</v>
      </c>
      <c r="E93" s="64">
        <v>17.440000000000001</v>
      </c>
      <c r="F93" s="64">
        <v>2.91</v>
      </c>
      <c r="G93" s="64">
        <v>90.95</v>
      </c>
      <c r="H93" s="64">
        <v>9.0299999999999994</v>
      </c>
      <c r="I93" s="64">
        <v>3.4</v>
      </c>
      <c r="J93" s="64">
        <v>0.31</v>
      </c>
      <c r="K93" s="64">
        <v>328.22</v>
      </c>
      <c r="L93" s="64">
        <v>24.63</v>
      </c>
      <c r="M93" s="64">
        <v>72.55</v>
      </c>
      <c r="N93" s="64">
        <v>40.4</v>
      </c>
      <c r="O93" s="64">
        <v>0</v>
      </c>
      <c r="P93" s="64">
        <v>1.43</v>
      </c>
      <c r="Q93" s="64">
        <v>9.27</v>
      </c>
      <c r="R93" s="198"/>
      <c r="S93" s="198"/>
      <c r="T93" s="198"/>
      <c r="U93" s="198"/>
    </row>
    <row r="94" spans="1:26" s="12" customFormat="1" x14ac:dyDescent="0.25">
      <c r="A94" s="211" t="s">
        <v>2061</v>
      </c>
      <c r="B94" s="64">
        <v>12.54</v>
      </c>
      <c r="C94" s="64">
        <v>33.42</v>
      </c>
      <c r="D94" s="64">
        <v>27.52</v>
      </c>
      <c r="E94" s="64">
        <v>15.95</v>
      </c>
      <c r="F94" s="64">
        <v>2.1</v>
      </c>
      <c r="G94" s="64">
        <v>92.01</v>
      </c>
      <c r="H94" s="64">
        <v>9.0299999999999994</v>
      </c>
      <c r="I94" s="64">
        <v>3.48</v>
      </c>
      <c r="J94" s="64">
        <v>0.14000000000000001</v>
      </c>
      <c r="K94" s="64">
        <v>311.26</v>
      </c>
      <c r="L94" s="64">
        <v>24.39</v>
      </c>
      <c r="M94" s="64">
        <v>76.209999999999994</v>
      </c>
      <c r="N94" s="64">
        <v>40.6</v>
      </c>
      <c r="O94" s="64">
        <v>0</v>
      </c>
      <c r="P94" s="64">
        <v>1.41</v>
      </c>
      <c r="Q94" s="64">
        <v>9.2899999999999991</v>
      </c>
      <c r="R94" s="198"/>
      <c r="S94" s="198"/>
      <c r="T94" s="198"/>
      <c r="U94" s="198"/>
    </row>
    <row r="95" spans="1:26" s="12" customFormat="1" x14ac:dyDescent="0.25">
      <c r="A95" s="211" t="s">
        <v>2062</v>
      </c>
      <c r="B95" s="64">
        <v>11.65</v>
      </c>
      <c r="C95" s="64">
        <v>24.69</v>
      </c>
      <c r="D95" s="64">
        <v>22.24</v>
      </c>
      <c r="E95" s="64">
        <v>14.34</v>
      </c>
      <c r="F95" s="64">
        <v>3</v>
      </c>
      <c r="G95" s="64">
        <v>92.01</v>
      </c>
      <c r="H95" s="64">
        <v>18.2</v>
      </c>
      <c r="I95" s="64">
        <v>3.55</v>
      </c>
      <c r="J95" s="64">
        <v>0.12</v>
      </c>
      <c r="K95" s="64">
        <v>156.79</v>
      </c>
      <c r="L95" s="64">
        <v>24.16</v>
      </c>
      <c r="M95" s="64">
        <v>78.52</v>
      </c>
      <c r="N95" s="64">
        <v>40.4</v>
      </c>
      <c r="O95" s="64">
        <v>0</v>
      </c>
      <c r="P95" s="64">
        <v>1.1499999999999999</v>
      </c>
      <c r="Q95" s="64">
        <v>9.3000000000000007</v>
      </c>
      <c r="R95" s="198"/>
      <c r="S95" s="198"/>
      <c r="T95" s="198"/>
      <c r="U95" s="198"/>
    </row>
    <row r="96" spans="1:26" s="12" customFormat="1" x14ac:dyDescent="0.25">
      <c r="A96" s="211" t="s">
        <v>2063</v>
      </c>
      <c r="B96" s="64">
        <v>20.59</v>
      </c>
      <c r="C96" s="64">
        <v>32.479999999999997</v>
      </c>
      <c r="D96" s="64">
        <v>33.49</v>
      </c>
      <c r="E96" s="64">
        <v>13.23</v>
      </c>
      <c r="F96" s="64">
        <v>2.61</v>
      </c>
      <c r="G96" s="64">
        <v>92.01</v>
      </c>
      <c r="H96" s="64">
        <v>23.03</v>
      </c>
      <c r="I96" s="64">
        <v>3.62</v>
      </c>
      <c r="J96" s="64">
        <v>0.09</v>
      </c>
      <c r="K96" s="64">
        <v>121.74</v>
      </c>
      <c r="L96" s="64">
        <v>24.04</v>
      </c>
      <c r="M96" s="64">
        <v>81.3</v>
      </c>
      <c r="N96" s="64">
        <v>40.4</v>
      </c>
      <c r="O96" s="64">
        <v>0</v>
      </c>
      <c r="P96" s="64">
        <v>1.26</v>
      </c>
      <c r="Q96" s="64">
        <v>9.31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2064</v>
      </c>
      <c r="B97" s="64">
        <v>11.83</v>
      </c>
      <c r="C97" s="64">
        <v>27.19</v>
      </c>
      <c r="D97" s="64">
        <v>23.69</v>
      </c>
      <c r="E97" s="64">
        <v>12.51</v>
      </c>
      <c r="F97" s="64">
        <v>2.8</v>
      </c>
      <c r="G97" s="64">
        <v>97.62</v>
      </c>
      <c r="H97" s="64">
        <v>16.84</v>
      </c>
      <c r="I97" s="64">
        <v>3.65</v>
      </c>
      <c r="J97" s="64">
        <v>0.05</v>
      </c>
      <c r="K97" s="64">
        <v>240.49</v>
      </c>
      <c r="L97" s="64">
        <v>23.98</v>
      </c>
      <c r="M97" s="64">
        <v>82.77</v>
      </c>
      <c r="N97" s="64">
        <v>40.4</v>
      </c>
      <c r="O97" s="64">
        <v>0</v>
      </c>
      <c r="P97" s="64">
        <v>1.06</v>
      </c>
      <c r="Q97" s="64">
        <v>9.32</v>
      </c>
      <c r="R97" s="198"/>
      <c r="S97" s="198"/>
      <c r="T97" s="198"/>
      <c r="U97" s="198"/>
    </row>
    <row r="98" spans="1:33" s="12" customFormat="1" x14ac:dyDescent="0.25">
      <c r="A98" s="211" t="s">
        <v>2065</v>
      </c>
      <c r="B98" s="64">
        <v>24.86</v>
      </c>
      <c r="C98" s="64">
        <v>28.55</v>
      </c>
      <c r="D98" s="64">
        <v>34.85</v>
      </c>
      <c r="E98" s="64">
        <v>12.44</v>
      </c>
      <c r="F98" s="64">
        <v>2.1</v>
      </c>
      <c r="G98" s="64">
        <v>98.02</v>
      </c>
      <c r="H98" s="64">
        <v>16.84</v>
      </c>
      <c r="I98" s="64">
        <v>3.68</v>
      </c>
      <c r="J98" s="64">
        <v>0.39</v>
      </c>
      <c r="K98" s="64">
        <v>337.35</v>
      </c>
      <c r="L98" s="64">
        <v>23.88</v>
      </c>
      <c r="M98" s="64">
        <v>85.98</v>
      </c>
      <c r="N98" s="64">
        <v>40.1</v>
      </c>
      <c r="O98" s="64">
        <v>0</v>
      </c>
      <c r="P98" s="64">
        <v>1.34</v>
      </c>
      <c r="Q98" s="64">
        <v>9.32</v>
      </c>
      <c r="R98" s="198"/>
      <c r="S98" s="198"/>
      <c r="T98" s="198"/>
      <c r="U98" s="198"/>
    </row>
    <row r="99" spans="1:33" s="12" customFormat="1" x14ac:dyDescent="0.25">
      <c r="A99" s="211" t="s">
        <v>2066</v>
      </c>
      <c r="B99" s="64">
        <v>15.22</v>
      </c>
      <c r="C99" s="64">
        <v>29.47</v>
      </c>
      <c r="D99" s="64">
        <v>27.6</v>
      </c>
      <c r="E99" s="64">
        <v>11.76</v>
      </c>
      <c r="F99" s="64">
        <v>2.1</v>
      </c>
      <c r="G99" s="64">
        <v>98.02</v>
      </c>
      <c r="H99" s="64">
        <v>16.84</v>
      </c>
      <c r="I99" s="64">
        <v>3.7</v>
      </c>
      <c r="J99" s="64">
        <v>0.14000000000000001</v>
      </c>
      <c r="K99" s="64">
        <v>322.05</v>
      </c>
      <c r="L99" s="64">
        <v>23.89</v>
      </c>
      <c r="M99" s="64">
        <v>86.67</v>
      </c>
      <c r="N99" s="64">
        <v>40.4</v>
      </c>
      <c r="O99" s="64">
        <v>0</v>
      </c>
      <c r="P99" s="64">
        <v>1.31</v>
      </c>
      <c r="Q99" s="64">
        <v>9.32</v>
      </c>
      <c r="R99" s="198"/>
      <c r="S99" s="198"/>
      <c r="T99" s="198"/>
      <c r="U99" s="198"/>
    </row>
    <row r="100" spans="1:33" s="12" customFormat="1" x14ac:dyDescent="0.25">
      <c r="A100" s="211" t="s">
        <v>2067</v>
      </c>
      <c r="B100" s="64">
        <v>13.78</v>
      </c>
      <c r="C100" s="64">
        <v>21.6</v>
      </c>
      <c r="D100" s="64">
        <v>22.33</v>
      </c>
      <c r="E100" s="64">
        <v>10.42</v>
      </c>
      <c r="F100" s="64">
        <v>2.11</v>
      </c>
      <c r="G100" s="64">
        <v>98.02</v>
      </c>
      <c r="H100" s="64">
        <v>16.84</v>
      </c>
      <c r="I100" s="64">
        <v>3.73</v>
      </c>
      <c r="J100" s="64">
        <v>0.06</v>
      </c>
      <c r="K100" s="64">
        <v>191.4</v>
      </c>
      <c r="L100" s="64">
        <v>23.74</v>
      </c>
      <c r="M100" s="64">
        <v>87.11</v>
      </c>
      <c r="N100" s="64">
        <v>40.4</v>
      </c>
      <c r="O100" s="64">
        <v>0</v>
      </c>
      <c r="P100" s="64">
        <v>1.1499999999999999</v>
      </c>
      <c r="Q100" s="64">
        <v>9.31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2068</v>
      </c>
      <c r="B101" s="64">
        <v>10.54</v>
      </c>
      <c r="C101" s="64">
        <v>26.09</v>
      </c>
      <c r="D101" s="64">
        <v>22.08</v>
      </c>
      <c r="E101" s="64">
        <v>10.45</v>
      </c>
      <c r="F101" s="64">
        <v>2.1</v>
      </c>
      <c r="G101" s="64">
        <v>95.99</v>
      </c>
      <c r="H101" s="64">
        <v>20.25</v>
      </c>
      <c r="I101" s="64">
        <v>3.74</v>
      </c>
      <c r="J101" s="64">
        <v>0.03</v>
      </c>
      <c r="K101" s="64">
        <v>164.04</v>
      </c>
      <c r="L101" s="64">
        <v>23.62</v>
      </c>
      <c r="M101" s="64">
        <v>88.46</v>
      </c>
      <c r="N101" s="64">
        <v>40.5</v>
      </c>
      <c r="O101" s="64">
        <v>0</v>
      </c>
      <c r="P101" s="64">
        <v>1.02</v>
      </c>
      <c r="Q101" s="64">
        <v>9.2899999999999991</v>
      </c>
      <c r="R101" s="198"/>
      <c r="S101" s="198"/>
      <c r="T101" s="198"/>
      <c r="U101" s="198"/>
    </row>
    <row r="102" spans="1:33" s="12" customFormat="1" x14ac:dyDescent="0.25">
      <c r="A102" s="211" t="s">
        <v>2069</v>
      </c>
      <c r="B102" s="64">
        <v>10.52</v>
      </c>
      <c r="C102" s="64">
        <v>24.55</v>
      </c>
      <c r="D102" s="64">
        <v>21.26</v>
      </c>
      <c r="E102" s="64">
        <v>9.7100000000000009</v>
      </c>
      <c r="F102" s="64">
        <v>2.1</v>
      </c>
      <c r="G102" s="64">
        <v>95.85</v>
      </c>
      <c r="H102" s="64">
        <v>20.25</v>
      </c>
      <c r="I102" s="64">
        <v>3.72</v>
      </c>
      <c r="J102" s="64">
        <v>0.11</v>
      </c>
      <c r="K102" s="64">
        <v>8.1999999999999993</v>
      </c>
      <c r="L102" s="64">
        <v>23.54</v>
      </c>
      <c r="M102" s="64">
        <v>89.78</v>
      </c>
      <c r="N102" s="64">
        <v>40.299999999999997</v>
      </c>
      <c r="O102" s="64">
        <v>0</v>
      </c>
      <c r="P102" s="64">
        <v>1.1000000000000001</v>
      </c>
      <c r="Q102" s="64">
        <v>9.2799999999999994</v>
      </c>
      <c r="R102" s="198"/>
      <c r="S102" s="198"/>
      <c r="T102" s="198"/>
      <c r="U102" s="198"/>
    </row>
    <row r="103" spans="1:33" s="12" customFormat="1" x14ac:dyDescent="0.25">
      <c r="A103" s="211" t="s">
        <v>2070</v>
      </c>
      <c r="B103" s="64">
        <v>13.94</v>
      </c>
      <c r="C103" s="64">
        <v>16.510000000000002</v>
      </c>
      <c r="D103" s="64">
        <v>19.8</v>
      </c>
      <c r="E103" s="64">
        <v>9.66</v>
      </c>
      <c r="F103" s="64">
        <v>2.1</v>
      </c>
      <c r="G103" s="64">
        <v>95.85</v>
      </c>
      <c r="H103" s="64">
        <v>20.25</v>
      </c>
      <c r="I103" s="64">
        <v>3.7</v>
      </c>
      <c r="J103" s="64">
        <v>0.36</v>
      </c>
      <c r="K103" s="64">
        <v>336.68</v>
      </c>
      <c r="L103" s="64">
        <v>23.59</v>
      </c>
      <c r="M103" s="64">
        <v>91.44</v>
      </c>
      <c r="N103" s="64">
        <v>40.200000000000003</v>
      </c>
      <c r="O103" s="64">
        <v>0</v>
      </c>
      <c r="P103" s="64">
        <v>1.1399999999999999</v>
      </c>
      <c r="Q103" s="64">
        <v>9.27</v>
      </c>
      <c r="R103" s="198"/>
      <c r="S103" s="198"/>
      <c r="T103" s="198"/>
      <c r="U103" s="198"/>
    </row>
    <row r="104" spans="1:33" s="12" customFormat="1" x14ac:dyDescent="0.25">
      <c r="A104" s="211" t="s">
        <v>2071</v>
      </c>
      <c r="B104" s="64">
        <v>10.3</v>
      </c>
      <c r="C104" s="64">
        <v>23.91</v>
      </c>
      <c r="D104" s="64">
        <v>20.76</v>
      </c>
      <c r="E104" s="64">
        <v>7.08</v>
      </c>
      <c r="F104" s="64">
        <v>3.11</v>
      </c>
      <c r="G104" s="64">
        <v>95.85</v>
      </c>
      <c r="H104" s="64">
        <v>20.25</v>
      </c>
      <c r="I104" s="64">
        <v>3.68</v>
      </c>
      <c r="J104" s="64">
        <v>0.52</v>
      </c>
      <c r="K104" s="64">
        <v>337.83</v>
      </c>
      <c r="L104" s="64">
        <v>23.68</v>
      </c>
      <c r="M104" s="64">
        <v>90.75</v>
      </c>
      <c r="N104" s="64">
        <v>40.1</v>
      </c>
      <c r="O104" s="64">
        <v>0</v>
      </c>
      <c r="P104" s="64">
        <v>1.06</v>
      </c>
      <c r="Q104" s="64">
        <v>9.25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5.91</v>
      </c>
      <c r="C106" s="67">
        <f>MIN(C9:C104)</f>
        <v>8.34</v>
      </c>
      <c r="D106" s="67">
        <f t="shared" ref="D106:Q106" si="0">MIN(D9:D104)</f>
        <v>11.4</v>
      </c>
      <c r="E106" s="67">
        <f t="shared" si="0"/>
        <v>4.53</v>
      </c>
      <c r="F106" s="67">
        <f t="shared" si="0"/>
        <v>2.1</v>
      </c>
      <c r="G106" s="67">
        <f t="shared" si="0"/>
        <v>40.270000000000003</v>
      </c>
      <c r="H106" s="67">
        <f t="shared" si="0"/>
        <v>8.6</v>
      </c>
      <c r="I106" s="67">
        <f t="shared" si="0"/>
        <v>1.92</v>
      </c>
      <c r="J106" s="67">
        <f t="shared" si="0"/>
        <v>0.01</v>
      </c>
      <c r="K106" s="67">
        <f t="shared" si="0"/>
        <v>8.1999999999999993</v>
      </c>
      <c r="L106" s="67">
        <f t="shared" si="0"/>
        <v>19.8</v>
      </c>
      <c r="M106" s="67">
        <f t="shared" si="0"/>
        <v>36.26</v>
      </c>
      <c r="N106" s="67">
        <f t="shared" si="0"/>
        <v>40</v>
      </c>
      <c r="O106" s="67">
        <f t="shared" si="0"/>
        <v>0</v>
      </c>
      <c r="P106" s="67">
        <f t="shared" si="0"/>
        <v>0.41</v>
      </c>
      <c r="Q106" s="67">
        <f t="shared" si="0"/>
        <v>9.0399999999999991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29.59</v>
      </c>
      <c r="C107" s="66">
        <f t="shared" ref="C107:Q107" si="1">MAX(C9:C104)</f>
        <v>48.78</v>
      </c>
      <c r="D107" s="66">
        <f t="shared" si="1"/>
        <v>47.5</v>
      </c>
      <c r="E107" s="66">
        <f t="shared" si="1"/>
        <v>31.6</v>
      </c>
      <c r="F107" s="66">
        <f t="shared" si="1"/>
        <v>21.26</v>
      </c>
      <c r="G107" s="66">
        <f t="shared" si="1"/>
        <v>98.02</v>
      </c>
      <c r="H107" s="66">
        <f t="shared" si="1"/>
        <v>23.03</v>
      </c>
      <c r="I107" s="66">
        <f t="shared" si="1"/>
        <v>3.74</v>
      </c>
      <c r="J107" s="66">
        <f t="shared" si="1"/>
        <v>1.02</v>
      </c>
      <c r="K107" s="66">
        <f t="shared" si="1"/>
        <v>358.08</v>
      </c>
      <c r="L107" s="66">
        <f t="shared" si="1"/>
        <v>33.22</v>
      </c>
      <c r="M107" s="66">
        <f t="shared" si="1"/>
        <v>97.83</v>
      </c>
      <c r="N107" s="66">
        <f t="shared" si="1"/>
        <v>824.6</v>
      </c>
      <c r="O107" s="66">
        <f t="shared" si="1"/>
        <v>0</v>
      </c>
      <c r="P107" s="66">
        <f t="shared" si="1"/>
        <v>1.93</v>
      </c>
      <c r="Q107" s="66">
        <f t="shared" si="1"/>
        <v>9.32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11.991249999999994</v>
      </c>
      <c r="C108" s="67">
        <f t="shared" ref="C108:Q108" si="2">AVERAGE(C9:C104)</f>
        <v>21.076145833333335</v>
      </c>
      <c r="D108" s="67">
        <f t="shared" si="2"/>
        <v>20.615208333333332</v>
      </c>
      <c r="E108" s="67">
        <f t="shared" si="2"/>
        <v>10.496250000000007</v>
      </c>
      <c r="F108" s="67">
        <f t="shared" si="2"/>
        <v>5.6575000000000024</v>
      </c>
      <c r="G108" s="67">
        <f t="shared" si="2"/>
        <v>59.697916666666693</v>
      </c>
      <c r="H108" s="67">
        <f t="shared" si="2"/>
        <v>10.280104166666669</v>
      </c>
      <c r="I108" s="67">
        <f t="shared" si="2"/>
        <v>2.7611458333333339</v>
      </c>
      <c r="J108" s="67">
        <f t="shared" si="2"/>
        <v>0.27697916666666667</v>
      </c>
      <c r="K108" s="67">
        <f t="shared" si="2"/>
        <v>235.25562500000012</v>
      </c>
      <c r="L108" s="67">
        <f t="shared" si="2"/>
        <v>25.561458333333331</v>
      </c>
      <c r="M108" s="67">
        <f t="shared" si="2"/>
        <v>67.714375000000018</v>
      </c>
      <c r="N108" s="67">
        <f t="shared" si="2"/>
        <v>205.22395833333329</v>
      </c>
      <c r="O108" s="67">
        <f t="shared" si="2"/>
        <v>0</v>
      </c>
      <c r="P108" s="67">
        <f t="shared" si="2"/>
        <v>0.8542708333333332</v>
      </c>
      <c r="Q108" s="67">
        <f t="shared" si="2"/>
        <v>9.1566666666666645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5.325966825993107</v>
      </c>
      <c r="C109" s="67">
        <f t="shared" ref="C109:Q109" si="3">STDEV(C9:C104)</f>
        <v>9.931065493245935</v>
      </c>
      <c r="D109" s="67">
        <f t="shared" si="3"/>
        <v>7.9514305868311039</v>
      </c>
      <c r="E109" s="67">
        <f t="shared" si="3"/>
        <v>5.5161111873836228</v>
      </c>
      <c r="F109" s="67">
        <f t="shared" si="3"/>
        <v>5.9585966203637657</v>
      </c>
      <c r="G109" s="67">
        <f t="shared" si="3"/>
        <v>17.256757389904759</v>
      </c>
      <c r="H109" s="67">
        <f t="shared" si="3"/>
        <v>3.1174177893323156</v>
      </c>
      <c r="I109" s="67">
        <f t="shared" si="3"/>
        <v>0.49073064707887953</v>
      </c>
      <c r="J109" s="67">
        <f t="shared" si="3"/>
        <v>0.2393944984271632</v>
      </c>
      <c r="K109" s="67">
        <f t="shared" si="3"/>
        <v>117.72428124815482</v>
      </c>
      <c r="L109" s="67">
        <f t="shared" si="3"/>
        <v>4.03513985387755</v>
      </c>
      <c r="M109" s="67">
        <f t="shared" si="3"/>
        <v>22.151595442719007</v>
      </c>
      <c r="N109" s="67">
        <f t="shared" si="3"/>
        <v>260.86465324894618</v>
      </c>
      <c r="O109" s="67">
        <f t="shared" si="3"/>
        <v>0</v>
      </c>
      <c r="P109" s="67">
        <f t="shared" si="3"/>
        <v>0.36112323247762368</v>
      </c>
      <c r="Q109" s="67">
        <f t="shared" si="3"/>
        <v>8.9908335386268939E-2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6" sqref="H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2072</v>
      </c>
      <c r="B9" s="64">
        <v>10.98</v>
      </c>
      <c r="C9" s="64">
        <v>16.04</v>
      </c>
      <c r="D9" s="64">
        <v>17.190000000000001</v>
      </c>
      <c r="E9" s="64">
        <v>8.8699999999999992</v>
      </c>
      <c r="F9" s="64">
        <v>2.2200000000000002</v>
      </c>
      <c r="G9" s="64">
        <v>90.25</v>
      </c>
      <c r="H9" s="64">
        <v>19.91</v>
      </c>
      <c r="I9" s="64">
        <v>3.66</v>
      </c>
      <c r="J9" s="64">
        <v>0.3</v>
      </c>
      <c r="K9" s="64">
        <v>336.74</v>
      </c>
      <c r="L9" s="64">
        <v>23.63</v>
      </c>
      <c r="M9" s="64">
        <v>90.39</v>
      </c>
      <c r="N9" s="64">
        <v>40.4</v>
      </c>
      <c r="O9" s="64">
        <v>0</v>
      </c>
      <c r="P9" s="64">
        <v>1.05</v>
      </c>
      <c r="Q9" s="64">
        <v>9.24</v>
      </c>
      <c r="R9" s="198"/>
      <c r="S9" s="198"/>
      <c r="T9" s="198"/>
      <c r="U9" s="198"/>
    </row>
    <row r="10" spans="1:21" s="12" customFormat="1" x14ac:dyDescent="0.25">
      <c r="A10" s="211" t="s">
        <v>2073</v>
      </c>
      <c r="B10" s="64">
        <v>11.14</v>
      </c>
      <c r="C10" s="64">
        <v>14.63</v>
      </c>
      <c r="D10" s="64">
        <v>16.579999999999998</v>
      </c>
      <c r="E10" s="64">
        <v>8.9499999999999993</v>
      </c>
      <c r="F10" s="64">
        <v>2.59</v>
      </c>
      <c r="G10" s="64">
        <v>89.85</v>
      </c>
      <c r="H10" s="64">
        <v>19.91</v>
      </c>
      <c r="I10" s="64">
        <v>3.63</v>
      </c>
      <c r="J10" s="64">
        <v>0.52</v>
      </c>
      <c r="K10" s="64">
        <v>339.98</v>
      </c>
      <c r="L10" s="64">
        <v>23.58</v>
      </c>
      <c r="M10" s="64">
        <v>89.88</v>
      </c>
      <c r="N10" s="64">
        <v>40.4</v>
      </c>
      <c r="O10" s="64">
        <v>0</v>
      </c>
      <c r="P10" s="64">
        <v>1.1200000000000001</v>
      </c>
      <c r="Q10" s="64">
        <v>9.23</v>
      </c>
      <c r="R10" s="198"/>
      <c r="S10" s="198"/>
      <c r="T10" s="198"/>
      <c r="U10" s="198"/>
    </row>
    <row r="11" spans="1:21" s="12" customFormat="1" x14ac:dyDescent="0.25">
      <c r="A11" s="211" t="s">
        <v>2074</v>
      </c>
      <c r="B11" s="64">
        <v>10.050000000000001</v>
      </c>
      <c r="C11" s="64">
        <v>16.55</v>
      </c>
      <c r="D11" s="64">
        <v>16.71</v>
      </c>
      <c r="E11" s="64">
        <v>8.41</v>
      </c>
      <c r="F11" s="64">
        <v>2.37</v>
      </c>
      <c r="G11" s="64">
        <v>89.85</v>
      </c>
      <c r="H11" s="64">
        <v>19.91</v>
      </c>
      <c r="I11" s="64">
        <v>3.6</v>
      </c>
      <c r="J11" s="64">
        <v>0.02</v>
      </c>
      <c r="K11" s="64">
        <v>296.81</v>
      </c>
      <c r="L11" s="64">
        <v>23.41</v>
      </c>
      <c r="M11" s="64">
        <v>90.56</v>
      </c>
      <c r="N11" s="64">
        <v>40.6</v>
      </c>
      <c r="O11" s="64">
        <v>0</v>
      </c>
      <c r="P11" s="64">
        <v>0.95</v>
      </c>
      <c r="Q11" s="64">
        <v>9.23</v>
      </c>
      <c r="R11" s="198"/>
      <c r="S11" s="198"/>
      <c r="T11" s="198"/>
      <c r="U11" s="198"/>
    </row>
    <row r="12" spans="1:21" s="12" customFormat="1" x14ac:dyDescent="0.25">
      <c r="A12" s="211" t="s">
        <v>2075</v>
      </c>
      <c r="B12" s="64">
        <v>9.42</v>
      </c>
      <c r="C12" s="64">
        <v>18.04</v>
      </c>
      <c r="D12" s="64">
        <v>16.98</v>
      </c>
      <c r="E12" s="64">
        <v>8.9499999999999993</v>
      </c>
      <c r="F12" s="64">
        <v>3.2</v>
      </c>
      <c r="G12" s="64">
        <v>89.85</v>
      </c>
      <c r="H12" s="64">
        <v>19.91</v>
      </c>
      <c r="I12" s="64">
        <v>3.57</v>
      </c>
      <c r="J12" s="64">
        <v>0.1</v>
      </c>
      <c r="K12" s="64">
        <v>340.99</v>
      </c>
      <c r="L12" s="64">
        <v>23.07</v>
      </c>
      <c r="M12" s="64">
        <v>92.49</v>
      </c>
      <c r="N12" s="64">
        <v>40.6</v>
      </c>
      <c r="O12" s="64">
        <v>0</v>
      </c>
      <c r="P12" s="64">
        <v>0.98</v>
      </c>
      <c r="Q12" s="64">
        <v>9.2100000000000009</v>
      </c>
      <c r="R12" s="198"/>
      <c r="S12" s="198"/>
      <c r="T12" s="198"/>
      <c r="U12" s="198"/>
    </row>
    <row r="13" spans="1:21" s="12" customFormat="1" x14ac:dyDescent="0.25">
      <c r="A13" s="211" t="s">
        <v>2076</v>
      </c>
      <c r="B13" s="64">
        <v>8.81</v>
      </c>
      <c r="C13" s="64">
        <v>18.25</v>
      </c>
      <c r="D13" s="64">
        <v>16.600000000000001</v>
      </c>
      <c r="E13" s="64">
        <v>9.11</v>
      </c>
      <c r="F13" s="64">
        <v>3.04</v>
      </c>
      <c r="G13" s="64">
        <v>86.13</v>
      </c>
      <c r="H13" s="64">
        <v>18.57</v>
      </c>
      <c r="I13" s="64">
        <v>3.54</v>
      </c>
      <c r="J13" s="64">
        <v>0.18</v>
      </c>
      <c r="K13" s="64">
        <v>339.53</v>
      </c>
      <c r="L13" s="64">
        <v>22.93</v>
      </c>
      <c r="M13" s="64">
        <v>94.34</v>
      </c>
      <c r="N13" s="64">
        <v>40.4</v>
      </c>
      <c r="O13" s="64">
        <v>0</v>
      </c>
      <c r="P13" s="64">
        <v>0.79</v>
      </c>
      <c r="Q13" s="64">
        <v>9.19</v>
      </c>
      <c r="R13" s="198"/>
      <c r="S13" s="198"/>
      <c r="T13" s="198"/>
      <c r="U13" s="198"/>
    </row>
    <row r="14" spans="1:21" s="12" customFormat="1" x14ac:dyDescent="0.25">
      <c r="A14" s="211" t="s">
        <v>2077</v>
      </c>
      <c r="B14" s="64">
        <v>8.08</v>
      </c>
      <c r="C14" s="64">
        <v>18.43</v>
      </c>
      <c r="D14" s="64">
        <v>16.11</v>
      </c>
      <c r="E14" s="64">
        <v>9.5399999999999991</v>
      </c>
      <c r="F14" s="64">
        <v>6.76</v>
      </c>
      <c r="G14" s="64">
        <v>85.87</v>
      </c>
      <c r="H14" s="64">
        <v>18.57</v>
      </c>
      <c r="I14" s="64">
        <v>3.52</v>
      </c>
      <c r="J14" s="64">
        <v>0.14000000000000001</v>
      </c>
      <c r="K14" s="64">
        <v>322.01</v>
      </c>
      <c r="L14" s="64">
        <v>22.92</v>
      </c>
      <c r="M14" s="64">
        <v>93.8</v>
      </c>
      <c r="N14" s="64">
        <v>40.4</v>
      </c>
      <c r="O14" s="64">
        <v>0</v>
      </c>
      <c r="P14" s="64">
        <v>0.83</v>
      </c>
      <c r="Q14" s="64">
        <v>9.18</v>
      </c>
      <c r="R14" s="198"/>
      <c r="S14" s="198"/>
      <c r="T14" s="198"/>
      <c r="U14" s="198"/>
    </row>
    <row r="15" spans="1:21" s="12" customFormat="1" x14ac:dyDescent="0.25">
      <c r="A15" s="211" t="s">
        <v>2078</v>
      </c>
      <c r="B15" s="64">
        <v>7.86</v>
      </c>
      <c r="C15" s="64">
        <v>18.34</v>
      </c>
      <c r="D15" s="64">
        <v>15.89</v>
      </c>
      <c r="E15" s="64">
        <v>9.99</v>
      </c>
      <c r="F15" s="64">
        <v>7.36</v>
      </c>
      <c r="G15" s="64">
        <v>85.87</v>
      </c>
      <c r="H15" s="64">
        <v>18.57</v>
      </c>
      <c r="I15" s="64">
        <v>3.5</v>
      </c>
      <c r="J15" s="64">
        <v>0.31</v>
      </c>
      <c r="K15" s="64">
        <v>327.19</v>
      </c>
      <c r="L15" s="64">
        <v>23.05</v>
      </c>
      <c r="M15" s="64">
        <v>91.55</v>
      </c>
      <c r="N15" s="64">
        <v>40.200000000000003</v>
      </c>
      <c r="O15" s="64">
        <v>0</v>
      </c>
      <c r="P15" s="64">
        <v>0.83</v>
      </c>
      <c r="Q15" s="64">
        <v>9.18</v>
      </c>
      <c r="R15" s="198"/>
      <c r="S15" s="198"/>
      <c r="T15" s="198"/>
      <c r="U15" s="198"/>
    </row>
    <row r="16" spans="1:21" s="12" customFormat="1" x14ac:dyDescent="0.25">
      <c r="A16" s="211" t="s">
        <v>2079</v>
      </c>
      <c r="B16" s="64">
        <v>7.67</v>
      </c>
      <c r="C16" s="64">
        <v>16.350000000000001</v>
      </c>
      <c r="D16" s="64">
        <v>14.69</v>
      </c>
      <c r="E16" s="64">
        <v>9.9700000000000006</v>
      </c>
      <c r="F16" s="64">
        <v>7.38</v>
      </c>
      <c r="G16" s="64">
        <v>85.87</v>
      </c>
      <c r="H16" s="64">
        <v>18.57</v>
      </c>
      <c r="I16" s="64">
        <v>3.49</v>
      </c>
      <c r="J16" s="64">
        <v>0.12</v>
      </c>
      <c r="K16" s="64">
        <v>313.64999999999998</v>
      </c>
      <c r="L16" s="64">
        <v>23.11</v>
      </c>
      <c r="M16" s="64">
        <v>88.69</v>
      </c>
      <c r="N16" s="64">
        <v>40.4</v>
      </c>
      <c r="O16" s="64">
        <v>0</v>
      </c>
      <c r="P16" s="64">
        <v>0.75</v>
      </c>
      <c r="Q16" s="64">
        <v>9.18</v>
      </c>
      <c r="R16" s="198"/>
      <c r="S16" s="198"/>
      <c r="T16" s="198"/>
      <c r="U16" s="198"/>
    </row>
    <row r="17" spans="1:21" s="12" customFormat="1" x14ac:dyDescent="0.25">
      <c r="A17" s="211" t="s">
        <v>2080</v>
      </c>
      <c r="B17" s="64">
        <v>7.06</v>
      </c>
      <c r="C17" s="64">
        <v>18.96</v>
      </c>
      <c r="D17" s="64">
        <v>15.57</v>
      </c>
      <c r="E17" s="64">
        <v>9.93</v>
      </c>
      <c r="F17" s="64">
        <v>6.27</v>
      </c>
      <c r="G17" s="64">
        <v>79.91</v>
      </c>
      <c r="H17" s="64">
        <v>17.5</v>
      </c>
      <c r="I17" s="64">
        <v>3.47</v>
      </c>
      <c r="J17" s="64">
        <v>0.03</v>
      </c>
      <c r="K17" s="64">
        <v>325.38</v>
      </c>
      <c r="L17" s="64">
        <v>22.97</v>
      </c>
      <c r="M17" s="64">
        <v>90.12</v>
      </c>
      <c r="N17" s="64">
        <v>40.5</v>
      </c>
      <c r="O17" s="64">
        <v>0</v>
      </c>
      <c r="P17" s="64">
        <v>0.75</v>
      </c>
      <c r="Q17" s="64">
        <v>9.17</v>
      </c>
      <c r="R17" s="198"/>
      <c r="S17" s="198"/>
      <c r="T17" s="198"/>
      <c r="U17" s="198"/>
    </row>
    <row r="18" spans="1:21" s="12" customFormat="1" x14ac:dyDescent="0.25">
      <c r="A18" s="211" t="s">
        <v>2081</v>
      </c>
      <c r="B18" s="64">
        <v>7.61</v>
      </c>
      <c r="C18" s="64">
        <v>19.95</v>
      </c>
      <c r="D18" s="64">
        <v>16.53</v>
      </c>
      <c r="E18" s="64">
        <v>9.6300000000000008</v>
      </c>
      <c r="F18" s="64">
        <v>2.85</v>
      </c>
      <c r="G18" s="64">
        <v>79.489999999999995</v>
      </c>
      <c r="H18" s="64">
        <v>17.5</v>
      </c>
      <c r="I18" s="64">
        <v>3.46</v>
      </c>
      <c r="J18" s="64">
        <v>0.15</v>
      </c>
      <c r="K18" s="64">
        <v>318.74</v>
      </c>
      <c r="L18" s="64">
        <v>22.8</v>
      </c>
      <c r="M18" s="64">
        <v>93.64</v>
      </c>
      <c r="N18" s="64">
        <v>40.5</v>
      </c>
      <c r="O18" s="64">
        <v>0</v>
      </c>
      <c r="P18" s="64">
        <v>0.83</v>
      </c>
      <c r="Q18" s="64">
        <v>9.17</v>
      </c>
      <c r="R18" s="198"/>
      <c r="S18" s="198"/>
      <c r="T18" s="198"/>
      <c r="U18" s="198"/>
    </row>
    <row r="19" spans="1:21" s="12" customFormat="1" x14ac:dyDescent="0.25">
      <c r="A19" s="211" t="s">
        <v>2082</v>
      </c>
      <c r="B19" s="64">
        <v>7.58</v>
      </c>
      <c r="C19" s="64">
        <v>20.190000000000001</v>
      </c>
      <c r="D19" s="64">
        <v>16.62</v>
      </c>
      <c r="E19" s="64">
        <v>9.85</v>
      </c>
      <c r="F19" s="64">
        <v>2.5</v>
      </c>
      <c r="G19" s="64">
        <v>79.489999999999995</v>
      </c>
      <c r="H19" s="64">
        <v>17.5</v>
      </c>
      <c r="I19" s="64">
        <v>3.43</v>
      </c>
      <c r="J19" s="64">
        <v>0.03</v>
      </c>
      <c r="K19" s="64">
        <v>9.25</v>
      </c>
      <c r="L19" s="64">
        <v>22.7</v>
      </c>
      <c r="M19" s="64">
        <v>95.99</v>
      </c>
      <c r="N19" s="64">
        <v>40.6</v>
      </c>
      <c r="O19" s="64">
        <v>0</v>
      </c>
      <c r="P19" s="64">
        <v>0.87</v>
      </c>
      <c r="Q19" s="64">
        <v>9.16</v>
      </c>
      <c r="R19" s="198"/>
      <c r="S19" s="198"/>
      <c r="T19" s="198"/>
      <c r="U19" s="198"/>
    </row>
    <row r="20" spans="1:21" s="12" customFormat="1" x14ac:dyDescent="0.25">
      <c r="A20" s="211" t="s">
        <v>2083</v>
      </c>
      <c r="B20" s="64">
        <v>7.46</v>
      </c>
      <c r="C20" s="64">
        <v>19.48</v>
      </c>
      <c r="D20" s="64">
        <v>16.16</v>
      </c>
      <c r="E20" s="64">
        <v>9.66</v>
      </c>
      <c r="F20" s="64">
        <v>2.1</v>
      </c>
      <c r="G20" s="64">
        <v>79.489999999999995</v>
      </c>
      <c r="H20" s="64">
        <v>17.5</v>
      </c>
      <c r="I20" s="64">
        <v>3.42</v>
      </c>
      <c r="J20" s="64">
        <v>0.05</v>
      </c>
      <c r="K20" s="64">
        <v>107.09</v>
      </c>
      <c r="L20" s="64">
        <v>22.67</v>
      </c>
      <c r="M20" s="64">
        <v>97.53</v>
      </c>
      <c r="N20" s="64">
        <v>40.5</v>
      </c>
      <c r="O20" s="64">
        <v>0</v>
      </c>
      <c r="P20" s="64">
        <v>0.96</v>
      </c>
      <c r="Q20" s="64">
        <v>9.17</v>
      </c>
      <c r="R20" s="198"/>
      <c r="S20" s="198"/>
      <c r="T20" s="198"/>
      <c r="U20" s="198"/>
    </row>
    <row r="21" spans="1:21" s="12" customFormat="1" x14ac:dyDescent="0.25">
      <c r="A21" s="211" t="s">
        <v>2084</v>
      </c>
      <c r="B21" s="64">
        <v>7.38</v>
      </c>
      <c r="C21" s="64">
        <v>19.649999999999999</v>
      </c>
      <c r="D21" s="64">
        <v>16.18</v>
      </c>
      <c r="E21" s="64">
        <v>10.85</v>
      </c>
      <c r="F21" s="64">
        <v>2.1</v>
      </c>
      <c r="G21" s="64">
        <v>91.6</v>
      </c>
      <c r="H21" s="64">
        <v>21.69</v>
      </c>
      <c r="I21" s="64">
        <v>3.42</v>
      </c>
      <c r="J21" s="64">
        <v>0.43</v>
      </c>
      <c r="K21" s="64">
        <v>131.88</v>
      </c>
      <c r="L21" s="64">
        <v>22.71</v>
      </c>
      <c r="M21" s="64">
        <v>96.91</v>
      </c>
      <c r="N21" s="64">
        <v>40.700000000000003</v>
      </c>
      <c r="O21" s="64">
        <v>0</v>
      </c>
      <c r="P21" s="64">
        <v>0.95</v>
      </c>
      <c r="Q21" s="64">
        <v>9.17</v>
      </c>
      <c r="R21" s="198"/>
      <c r="S21" s="198"/>
      <c r="T21" s="198"/>
      <c r="U21" s="198"/>
    </row>
    <row r="22" spans="1:21" s="12" customFormat="1" x14ac:dyDescent="0.25">
      <c r="A22" s="211" t="s">
        <v>2085</v>
      </c>
      <c r="B22" s="64">
        <v>8.99</v>
      </c>
      <c r="C22" s="64">
        <v>13.22</v>
      </c>
      <c r="D22" s="64">
        <v>14.12</v>
      </c>
      <c r="E22" s="64">
        <v>9.26</v>
      </c>
      <c r="F22" s="64">
        <v>2.1</v>
      </c>
      <c r="G22" s="64">
        <v>92.46</v>
      </c>
      <c r="H22" s="64">
        <v>21.69</v>
      </c>
      <c r="I22" s="64">
        <v>3.45</v>
      </c>
      <c r="J22" s="64">
        <v>0.12</v>
      </c>
      <c r="K22" s="64">
        <v>344.38</v>
      </c>
      <c r="L22" s="64">
        <v>22.77</v>
      </c>
      <c r="M22" s="64">
        <v>96.46</v>
      </c>
      <c r="N22" s="64">
        <v>40.799999999999997</v>
      </c>
      <c r="O22" s="64">
        <v>0</v>
      </c>
      <c r="P22" s="64">
        <v>0.96</v>
      </c>
      <c r="Q22" s="64">
        <v>9.14</v>
      </c>
      <c r="R22" s="198"/>
      <c r="S22" s="198"/>
      <c r="T22" s="198"/>
      <c r="U22" s="198"/>
    </row>
    <row r="23" spans="1:21" s="12" customFormat="1" x14ac:dyDescent="0.25">
      <c r="A23" s="211" t="s">
        <v>2086</v>
      </c>
      <c r="B23" s="64">
        <v>8.0299999999999994</v>
      </c>
      <c r="C23" s="64">
        <v>13.81</v>
      </c>
      <c r="D23" s="64">
        <v>13.66</v>
      </c>
      <c r="E23" s="64">
        <v>9.52</v>
      </c>
      <c r="F23" s="64">
        <v>2.1</v>
      </c>
      <c r="G23" s="64">
        <v>92.46</v>
      </c>
      <c r="H23" s="64">
        <v>21.69</v>
      </c>
      <c r="I23" s="64">
        <v>3.45</v>
      </c>
      <c r="J23" s="64">
        <v>0.08</v>
      </c>
      <c r="K23" s="64">
        <v>341.54</v>
      </c>
      <c r="L23" s="64">
        <v>22.77</v>
      </c>
      <c r="M23" s="64">
        <v>96.92</v>
      </c>
      <c r="N23" s="64">
        <v>40.799999999999997</v>
      </c>
      <c r="O23" s="64">
        <v>0</v>
      </c>
      <c r="P23" s="64">
        <v>0.84</v>
      </c>
      <c r="Q23" s="64">
        <v>9.1300000000000008</v>
      </c>
      <c r="R23" s="198"/>
      <c r="S23" s="198"/>
      <c r="T23" s="198"/>
      <c r="U23" s="198"/>
    </row>
    <row r="24" spans="1:21" s="12" customFormat="1" x14ac:dyDescent="0.25">
      <c r="A24" s="211" t="s">
        <v>2087</v>
      </c>
      <c r="B24" s="64">
        <v>8.92</v>
      </c>
      <c r="C24" s="64">
        <v>11.58</v>
      </c>
      <c r="D24" s="64">
        <v>13.2</v>
      </c>
      <c r="E24" s="64">
        <v>8.52</v>
      </c>
      <c r="F24" s="64">
        <v>2.1</v>
      </c>
      <c r="G24" s="64">
        <v>92.46</v>
      </c>
      <c r="H24" s="64">
        <v>21.69</v>
      </c>
      <c r="I24" s="64">
        <v>3.43</v>
      </c>
      <c r="J24" s="64">
        <v>0</v>
      </c>
      <c r="K24" s="64">
        <v>170.92</v>
      </c>
      <c r="L24" s="64">
        <v>22.58</v>
      </c>
      <c r="M24" s="64">
        <v>96.75</v>
      </c>
      <c r="N24" s="64">
        <v>40.799999999999997</v>
      </c>
      <c r="O24" s="64">
        <v>0</v>
      </c>
      <c r="P24" s="64">
        <v>0.86</v>
      </c>
      <c r="Q24" s="64">
        <v>9.1199999999999992</v>
      </c>
      <c r="R24" s="198"/>
      <c r="S24" s="198"/>
      <c r="T24" s="198"/>
      <c r="U24" s="198"/>
    </row>
    <row r="25" spans="1:21" s="12" customFormat="1" x14ac:dyDescent="0.25">
      <c r="A25" s="211" t="s">
        <v>2088</v>
      </c>
      <c r="B25" s="64">
        <v>8.57</v>
      </c>
      <c r="C25" s="64">
        <v>12.44</v>
      </c>
      <c r="D25" s="64">
        <v>13.37</v>
      </c>
      <c r="E25" s="64">
        <v>8.2100000000000009</v>
      </c>
      <c r="F25" s="64">
        <v>2.1</v>
      </c>
      <c r="G25" s="64">
        <v>89.93</v>
      </c>
      <c r="H25" s="64">
        <v>19.690000000000001</v>
      </c>
      <c r="I25" s="64">
        <v>3.39</v>
      </c>
      <c r="J25" s="64">
        <v>0.17</v>
      </c>
      <c r="K25" s="64">
        <v>335.89</v>
      </c>
      <c r="L25" s="64">
        <v>22.53</v>
      </c>
      <c r="M25" s="64">
        <v>97.74</v>
      </c>
      <c r="N25" s="64">
        <v>40.700000000000003</v>
      </c>
      <c r="O25" s="64">
        <v>0</v>
      </c>
      <c r="P25" s="64">
        <v>0.86</v>
      </c>
      <c r="Q25" s="64">
        <v>9.1199999999999992</v>
      </c>
      <c r="R25" s="198"/>
      <c r="S25" s="198"/>
      <c r="T25" s="198"/>
      <c r="U25" s="198"/>
    </row>
    <row r="26" spans="1:21" s="12" customFormat="1" x14ac:dyDescent="0.25">
      <c r="A26" s="211" t="s">
        <v>2089</v>
      </c>
      <c r="B26" s="64">
        <v>9.5299999999999994</v>
      </c>
      <c r="C26" s="64">
        <v>14.12</v>
      </c>
      <c r="D26" s="64">
        <v>15.02</v>
      </c>
      <c r="E26" s="64">
        <v>7.74</v>
      </c>
      <c r="F26" s="64">
        <v>2.1</v>
      </c>
      <c r="G26" s="64">
        <v>89.75</v>
      </c>
      <c r="H26" s="64">
        <v>19.690000000000001</v>
      </c>
      <c r="I26" s="64">
        <v>3.34</v>
      </c>
      <c r="J26" s="64">
        <v>0.04</v>
      </c>
      <c r="K26" s="64">
        <v>17.8</v>
      </c>
      <c r="L26" s="64">
        <v>22.5</v>
      </c>
      <c r="M26" s="64">
        <v>97.74</v>
      </c>
      <c r="N26" s="64">
        <v>40.799999999999997</v>
      </c>
      <c r="O26" s="64">
        <v>0</v>
      </c>
      <c r="P26" s="64">
        <v>0.73</v>
      </c>
      <c r="Q26" s="64">
        <v>9.1199999999999992</v>
      </c>
      <c r="R26" s="198"/>
      <c r="S26" s="198"/>
      <c r="T26" s="198"/>
      <c r="U26" s="198"/>
    </row>
    <row r="27" spans="1:21" s="12" customFormat="1" x14ac:dyDescent="0.25">
      <c r="A27" s="211" t="s">
        <v>2090</v>
      </c>
      <c r="B27" s="64">
        <v>9.9499999999999993</v>
      </c>
      <c r="C27" s="64">
        <v>10.32</v>
      </c>
      <c r="D27" s="64">
        <v>13.38</v>
      </c>
      <c r="E27" s="64">
        <v>7.54</v>
      </c>
      <c r="F27" s="64">
        <v>2.1</v>
      </c>
      <c r="G27" s="64">
        <v>89.75</v>
      </c>
      <c r="H27" s="64">
        <v>19.690000000000001</v>
      </c>
      <c r="I27" s="64">
        <v>3.3</v>
      </c>
      <c r="J27" s="64">
        <v>0.42</v>
      </c>
      <c r="K27" s="64">
        <v>337.85</v>
      </c>
      <c r="L27" s="64">
        <v>22.58</v>
      </c>
      <c r="M27" s="64">
        <v>97.7</v>
      </c>
      <c r="N27" s="64">
        <v>40.700000000000003</v>
      </c>
      <c r="O27" s="64">
        <v>0</v>
      </c>
      <c r="P27" s="64">
        <v>0.86</v>
      </c>
      <c r="Q27" s="64">
        <v>9.11</v>
      </c>
      <c r="R27" s="198"/>
      <c r="S27" s="198"/>
      <c r="T27" s="198"/>
      <c r="U27" s="198"/>
    </row>
    <row r="28" spans="1:21" s="12" customFormat="1" x14ac:dyDescent="0.25">
      <c r="A28" s="211" t="s">
        <v>2091</v>
      </c>
      <c r="B28" s="64">
        <v>9.6</v>
      </c>
      <c r="C28" s="64">
        <v>13.46</v>
      </c>
      <c r="D28" s="64">
        <v>14.73</v>
      </c>
      <c r="E28" s="64">
        <v>7.82</v>
      </c>
      <c r="F28" s="64">
        <v>2.12</v>
      </c>
      <c r="G28" s="64">
        <v>89.75</v>
      </c>
      <c r="H28" s="64">
        <v>19.690000000000001</v>
      </c>
      <c r="I28" s="64">
        <v>3.25</v>
      </c>
      <c r="J28" s="64">
        <v>0.22</v>
      </c>
      <c r="K28" s="64">
        <v>343.98</v>
      </c>
      <c r="L28" s="64">
        <v>22.69</v>
      </c>
      <c r="M28" s="64">
        <v>97.69</v>
      </c>
      <c r="N28" s="64">
        <v>40.799999999999997</v>
      </c>
      <c r="O28" s="64">
        <v>0</v>
      </c>
      <c r="P28" s="64">
        <v>0.76</v>
      </c>
      <c r="Q28" s="64">
        <v>9.11</v>
      </c>
      <c r="R28" s="198"/>
      <c r="S28" s="198"/>
      <c r="T28" s="198"/>
      <c r="U28" s="198"/>
    </row>
    <row r="29" spans="1:21" s="12" customFormat="1" x14ac:dyDescent="0.25">
      <c r="A29" s="211" t="s">
        <v>2092</v>
      </c>
      <c r="B29" s="64">
        <v>9.93</v>
      </c>
      <c r="C29" s="64">
        <v>14.62</v>
      </c>
      <c r="D29" s="64">
        <v>15.6</v>
      </c>
      <c r="E29" s="64">
        <v>7.49</v>
      </c>
      <c r="F29" s="64">
        <v>2.1</v>
      </c>
      <c r="G29" s="64">
        <v>82.48</v>
      </c>
      <c r="H29" s="64">
        <v>18.43</v>
      </c>
      <c r="I29" s="64">
        <v>3.21</v>
      </c>
      <c r="J29" s="64">
        <v>0.31</v>
      </c>
      <c r="K29" s="64">
        <v>332.64</v>
      </c>
      <c r="L29" s="64">
        <v>22.67</v>
      </c>
      <c r="M29" s="64">
        <v>97.68</v>
      </c>
      <c r="N29" s="64">
        <v>40.799999999999997</v>
      </c>
      <c r="O29" s="64">
        <v>0</v>
      </c>
      <c r="P29" s="64">
        <v>0.82</v>
      </c>
      <c r="Q29" s="64">
        <v>9.1</v>
      </c>
      <c r="R29" s="198"/>
      <c r="S29" s="198"/>
      <c r="T29" s="198"/>
      <c r="U29" s="198"/>
    </row>
    <row r="30" spans="1:21" s="12" customFormat="1" x14ac:dyDescent="0.25">
      <c r="A30" s="211" t="s">
        <v>2093</v>
      </c>
      <c r="B30" s="64">
        <v>9.9600000000000009</v>
      </c>
      <c r="C30" s="64">
        <v>12.43</v>
      </c>
      <c r="D30" s="64">
        <v>14.49</v>
      </c>
      <c r="E30" s="64">
        <v>7.26</v>
      </c>
      <c r="F30" s="64">
        <v>2.1</v>
      </c>
      <c r="G30" s="64">
        <v>81.96</v>
      </c>
      <c r="H30" s="64">
        <v>18.43</v>
      </c>
      <c r="I30" s="64">
        <v>3.18</v>
      </c>
      <c r="J30" s="64">
        <v>0.53</v>
      </c>
      <c r="K30" s="64">
        <v>340.92</v>
      </c>
      <c r="L30" s="64">
        <v>22.77</v>
      </c>
      <c r="M30" s="64">
        <v>97.71</v>
      </c>
      <c r="N30" s="64">
        <v>40.799999999999997</v>
      </c>
      <c r="O30" s="64">
        <v>0</v>
      </c>
      <c r="P30" s="64">
        <v>0.83</v>
      </c>
      <c r="Q30" s="64">
        <v>9.11</v>
      </c>
      <c r="R30" s="198"/>
      <c r="S30" s="198"/>
      <c r="T30" s="198"/>
      <c r="U30" s="198"/>
    </row>
    <row r="31" spans="1:21" s="12" customFormat="1" x14ac:dyDescent="0.25">
      <c r="A31" s="211" t="s">
        <v>2094</v>
      </c>
      <c r="B31" s="64">
        <v>12.18</v>
      </c>
      <c r="C31" s="64">
        <v>17.12</v>
      </c>
      <c r="D31" s="64">
        <v>18.72</v>
      </c>
      <c r="E31" s="64">
        <v>7.42</v>
      </c>
      <c r="F31" s="64">
        <v>2.68</v>
      </c>
      <c r="G31" s="64">
        <v>81.96</v>
      </c>
      <c r="H31" s="64">
        <v>18.43</v>
      </c>
      <c r="I31" s="64">
        <v>3.16</v>
      </c>
      <c r="J31" s="64">
        <v>0.36</v>
      </c>
      <c r="K31" s="64">
        <v>337.35</v>
      </c>
      <c r="L31" s="64">
        <v>22.81</v>
      </c>
      <c r="M31" s="64">
        <v>97.75</v>
      </c>
      <c r="N31" s="64">
        <v>40.799999999999997</v>
      </c>
      <c r="O31" s="64">
        <v>0</v>
      </c>
      <c r="P31" s="64">
        <v>0.74</v>
      </c>
      <c r="Q31" s="64">
        <v>9.1</v>
      </c>
      <c r="R31" s="198"/>
      <c r="S31" s="198"/>
      <c r="T31" s="198"/>
      <c r="U31" s="198"/>
    </row>
    <row r="32" spans="1:21" s="12" customFormat="1" x14ac:dyDescent="0.25">
      <c r="A32" s="211" t="s">
        <v>2095</v>
      </c>
      <c r="B32" s="64">
        <v>13.41</v>
      </c>
      <c r="C32" s="64">
        <v>14.96</v>
      </c>
      <c r="D32" s="64">
        <v>18.57</v>
      </c>
      <c r="E32" s="64">
        <v>8.18</v>
      </c>
      <c r="F32" s="64">
        <v>3.43</v>
      </c>
      <c r="G32" s="64">
        <v>81.96</v>
      </c>
      <c r="H32" s="64">
        <v>18.43</v>
      </c>
      <c r="I32" s="64">
        <v>3.16</v>
      </c>
      <c r="J32" s="64">
        <v>0.55000000000000004</v>
      </c>
      <c r="K32" s="64">
        <v>342.36</v>
      </c>
      <c r="L32" s="64">
        <v>22.81</v>
      </c>
      <c r="M32" s="64">
        <v>97.72</v>
      </c>
      <c r="N32" s="64">
        <v>41.5</v>
      </c>
      <c r="O32" s="64">
        <v>0</v>
      </c>
      <c r="P32" s="64">
        <v>0.69</v>
      </c>
      <c r="Q32" s="64">
        <v>9.1199999999999992</v>
      </c>
      <c r="R32" s="198"/>
      <c r="S32" s="198"/>
      <c r="T32" s="198"/>
      <c r="U32" s="198"/>
    </row>
    <row r="33" spans="1:21" s="12" customFormat="1" x14ac:dyDescent="0.25">
      <c r="A33" s="211" t="s">
        <v>2096</v>
      </c>
      <c r="B33" s="64">
        <v>12.91</v>
      </c>
      <c r="C33" s="64">
        <v>15.07</v>
      </c>
      <c r="D33" s="64">
        <v>18.23</v>
      </c>
      <c r="E33" s="64">
        <v>9.08</v>
      </c>
      <c r="F33" s="64">
        <v>3.18</v>
      </c>
      <c r="G33" s="64">
        <v>82.07</v>
      </c>
      <c r="H33" s="64">
        <v>17.399999999999999</v>
      </c>
      <c r="I33" s="64">
        <v>3.17</v>
      </c>
      <c r="J33" s="64">
        <v>0.75</v>
      </c>
      <c r="K33" s="64">
        <v>340.25</v>
      </c>
      <c r="L33" s="64">
        <v>22.82</v>
      </c>
      <c r="M33" s="64">
        <v>97.69</v>
      </c>
      <c r="N33" s="64">
        <v>44.6</v>
      </c>
      <c r="O33" s="64">
        <v>0</v>
      </c>
      <c r="P33" s="64">
        <v>0.76</v>
      </c>
      <c r="Q33" s="64">
        <v>9.14</v>
      </c>
      <c r="R33" s="198"/>
      <c r="S33" s="198"/>
      <c r="T33" s="198"/>
      <c r="U33" s="198"/>
    </row>
    <row r="34" spans="1:21" s="12" customFormat="1" x14ac:dyDescent="0.25">
      <c r="A34" s="211" t="s">
        <v>2097</v>
      </c>
      <c r="B34" s="64">
        <v>9.81</v>
      </c>
      <c r="C34" s="64">
        <v>18.899999999999999</v>
      </c>
      <c r="D34" s="64">
        <v>17.739999999999998</v>
      </c>
      <c r="E34" s="64">
        <v>10.039999999999999</v>
      </c>
      <c r="F34" s="64">
        <v>2.64</v>
      </c>
      <c r="G34" s="64">
        <v>82.07</v>
      </c>
      <c r="H34" s="64">
        <v>17.399999999999999</v>
      </c>
      <c r="I34" s="64">
        <v>3.18</v>
      </c>
      <c r="J34" s="64">
        <v>0.4</v>
      </c>
      <c r="K34" s="64">
        <v>338.6</v>
      </c>
      <c r="L34" s="64">
        <v>22.91</v>
      </c>
      <c r="M34" s="64">
        <v>97.71</v>
      </c>
      <c r="N34" s="64">
        <v>53.4</v>
      </c>
      <c r="O34" s="64">
        <v>0</v>
      </c>
      <c r="P34" s="64">
        <v>0.72</v>
      </c>
      <c r="Q34" s="64">
        <v>9.15</v>
      </c>
      <c r="R34" s="198"/>
      <c r="S34" s="198"/>
      <c r="T34" s="198"/>
      <c r="U34" s="198"/>
    </row>
    <row r="35" spans="1:21" s="12" customFormat="1" x14ac:dyDescent="0.25">
      <c r="A35" s="211" t="s">
        <v>2098</v>
      </c>
      <c r="B35" s="64">
        <v>17.04</v>
      </c>
      <c r="C35" s="64">
        <v>19.579999999999998</v>
      </c>
      <c r="D35" s="64">
        <v>23.9</v>
      </c>
      <c r="E35" s="64">
        <v>11.15</v>
      </c>
      <c r="F35" s="64">
        <v>2.33</v>
      </c>
      <c r="G35" s="64">
        <v>82.07</v>
      </c>
      <c r="H35" s="64">
        <v>17.399999999999999</v>
      </c>
      <c r="I35" s="64">
        <v>3.18</v>
      </c>
      <c r="J35" s="64">
        <v>0.25</v>
      </c>
      <c r="K35" s="64">
        <v>336.49</v>
      </c>
      <c r="L35" s="64">
        <v>23.05</v>
      </c>
      <c r="M35" s="64">
        <v>97.39</v>
      </c>
      <c r="N35" s="64">
        <v>64.099999999999994</v>
      </c>
      <c r="O35" s="64">
        <v>0</v>
      </c>
      <c r="P35" s="64">
        <v>0.78</v>
      </c>
      <c r="Q35" s="64">
        <v>9.16</v>
      </c>
      <c r="R35" s="198"/>
      <c r="S35" s="198"/>
      <c r="T35" s="198"/>
      <c r="U35" s="198"/>
    </row>
    <row r="36" spans="1:21" s="12" customFormat="1" x14ac:dyDescent="0.25">
      <c r="A36" s="211" t="s">
        <v>2099</v>
      </c>
      <c r="B36" s="64">
        <v>15.59</v>
      </c>
      <c r="C36" s="64">
        <v>18.05</v>
      </c>
      <c r="D36" s="64">
        <v>21.94</v>
      </c>
      <c r="E36" s="64">
        <v>11.46</v>
      </c>
      <c r="F36" s="64">
        <v>2.11</v>
      </c>
      <c r="G36" s="64">
        <v>82.07</v>
      </c>
      <c r="H36" s="64">
        <v>17.399999999999999</v>
      </c>
      <c r="I36" s="64">
        <v>3.2</v>
      </c>
      <c r="J36" s="64">
        <v>0.44</v>
      </c>
      <c r="K36" s="64">
        <v>340.67</v>
      </c>
      <c r="L36" s="64">
        <v>23.25</v>
      </c>
      <c r="M36" s="64">
        <v>96.69</v>
      </c>
      <c r="N36" s="64">
        <v>70</v>
      </c>
      <c r="O36" s="64">
        <v>0</v>
      </c>
      <c r="P36" s="64">
        <v>0.86</v>
      </c>
      <c r="Q36" s="64">
        <v>9.18</v>
      </c>
      <c r="R36" s="198"/>
      <c r="S36" s="198"/>
      <c r="T36" s="198"/>
      <c r="U36" s="198"/>
    </row>
    <row r="37" spans="1:21" s="12" customFormat="1" x14ac:dyDescent="0.25">
      <c r="A37" s="211" t="s">
        <v>2100</v>
      </c>
      <c r="B37" s="64">
        <v>13.2</v>
      </c>
      <c r="C37" s="64">
        <v>16.260000000000002</v>
      </c>
      <c r="D37" s="64">
        <v>19.079999999999998</v>
      </c>
      <c r="E37" s="64">
        <v>12</v>
      </c>
      <c r="F37" s="64">
        <v>2.13</v>
      </c>
      <c r="G37" s="64">
        <v>84.31</v>
      </c>
      <c r="H37" s="64">
        <v>18.809999999999999</v>
      </c>
      <c r="I37" s="64">
        <v>3.23</v>
      </c>
      <c r="J37" s="64">
        <v>0.52</v>
      </c>
      <c r="K37" s="64">
        <v>336.76</v>
      </c>
      <c r="L37" s="64">
        <v>23.38</v>
      </c>
      <c r="M37" s="64">
        <v>96.47</v>
      </c>
      <c r="N37" s="64">
        <v>77.3</v>
      </c>
      <c r="O37" s="64">
        <v>0</v>
      </c>
      <c r="P37" s="64">
        <v>0.89</v>
      </c>
      <c r="Q37" s="64">
        <v>9.1999999999999993</v>
      </c>
      <c r="R37" s="198"/>
      <c r="S37" s="198"/>
      <c r="T37" s="198"/>
      <c r="U37" s="198"/>
    </row>
    <row r="38" spans="1:21" s="12" customFormat="1" x14ac:dyDescent="0.25">
      <c r="A38" s="211" t="s">
        <v>2101</v>
      </c>
      <c r="B38" s="64">
        <v>13.73</v>
      </c>
      <c r="C38" s="64">
        <v>21.25</v>
      </c>
      <c r="D38" s="64">
        <v>22.11</v>
      </c>
      <c r="E38" s="64">
        <v>12</v>
      </c>
      <c r="F38" s="64">
        <v>2.1</v>
      </c>
      <c r="G38" s="64">
        <v>84.47</v>
      </c>
      <c r="H38" s="64">
        <v>18.809999999999999</v>
      </c>
      <c r="I38" s="64">
        <v>3.26</v>
      </c>
      <c r="J38" s="64">
        <v>0.15</v>
      </c>
      <c r="K38" s="64">
        <v>335.48</v>
      </c>
      <c r="L38" s="64">
        <v>23.57</v>
      </c>
      <c r="M38" s="64">
        <v>95.44</v>
      </c>
      <c r="N38" s="64">
        <v>96.7</v>
      </c>
      <c r="O38" s="64">
        <v>0</v>
      </c>
      <c r="P38" s="64">
        <v>0.91</v>
      </c>
      <c r="Q38" s="64">
        <v>9.2100000000000009</v>
      </c>
      <c r="R38" s="198"/>
      <c r="S38" s="198"/>
      <c r="T38" s="198"/>
      <c r="U38" s="198"/>
    </row>
    <row r="39" spans="1:21" s="12" customFormat="1" x14ac:dyDescent="0.25">
      <c r="A39" s="211" t="s">
        <v>2102</v>
      </c>
      <c r="B39" s="64">
        <v>12.81</v>
      </c>
      <c r="C39" s="64">
        <v>17.16</v>
      </c>
      <c r="D39" s="64">
        <v>19.239999999999998</v>
      </c>
      <c r="E39" s="64">
        <v>11.17</v>
      </c>
      <c r="F39" s="64">
        <v>2.11</v>
      </c>
      <c r="G39" s="64">
        <v>84.47</v>
      </c>
      <c r="H39" s="64">
        <v>18.809999999999999</v>
      </c>
      <c r="I39" s="64">
        <v>3.29</v>
      </c>
      <c r="J39" s="64">
        <v>0.04</v>
      </c>
      <c r="K39" s="64">
        <v>187.38</v>
      </c>
      <c r="L39" s="64">
        <v>23.71</v>
      </c>
      <c r="M39" s="64">
        <v>95.49</v>
      </c>
      <c r="N39" s="64">
        <v>116.6</v>
      </c>
      <c r="O39" s="64">
        <v>0</v>
      </c>
      <c r="P39" s="64">
        <v>0.91</v>
      </c>
      <c r="Q39" s="64">
        <v>9.2100000000000009</v>
      </c>
      <c r="R39" s="198"/>
      <c r="S39" s="198"/>
      <c r="T39" s="198"/>
      <c r="U39" s="198"/>
    </row>
    <row r="40" spans="1:21" s="12" customFormat="1" x14ac:dyDescent="0.25">
      <c r="A40" s="211" t="s">
        <v>2103</v>
      </c>
      <c r="B40" s="64">
        <v>11.78</v>
      </c>
      <c r="C40" s="64">
        <v>11.78</v>
      </c>
      <c r="D40" s="64">
        <v>15.6</v>
      </c>
      <c r="E40" s="64">
        <v>8.19</v>
      </c>
      <c r="F40" s="64">
        <v>2.27</v>
      </c>
      <c r="G40" s="64">
        <v>84.47</v>
      </c>
      <c r="H40" s="64">
        <v>18.809999999999999</v>
      </c>
      <c r="I40" s="64">
        <v>3.32</v>
      </c>
      <c r="J40" s="64">
        <v>0.32</v>
      </c>
      <c r="K40" s="64">
        <v>127.52</v>
      </c>
      <c r="L40" s="64">
        <v>23.74</v>
      </c>
      <c r="M40" s="64">
        <v>96.66</v>
      </c>
      <c r="N40" s="64">
        <v>129.80000000000001</v>
      </c>
      <c r="O40" s="64">
        <v>0</v>
      </c>
      <c r="P40" s="64">
        <v>0.8</v>
      </c>
      <c r="Q40" s="64">
        <v>9.1999999999999993</v>
      </c>
      <c r="R40" s="198"/>
      <c r="S40" s="198"/>
      <c r="T40" s="198"/>
      <c r="U40" s="198"/>
    </row>
    <row r="41" spans="1:21" s="12" customFormat="1" x14ac:dyDescent="0.25">
      <c r="A41" s="211" t="s">
        <v>2104</v>
      </c>
      <c r="B41" s="64">
        <v>12.59</v>
      </c>
      <c r="C41" s="64">
        <v>12.4</v>
      </c>
      <c r="D41" s="64">
        <v>16.57</v>
      </c>
      <c r="E41" s="64">
        <v>8.68</v>
      </c>
      <c r="F41" s="64">
        <v>2.1</v>
      </c>
      <c r="G41" s="64">
        <v>93.83</v>
      </c>
      <c r="H41" s="64">
        <v>18.600000000000001</v>
      </c>
      <c r="I41" s="64">
        <v>3.31</v>
      </c>
      <c r="J41" s="64">
        <v>0.2</v>
      </c>
      <c r="K41" s="64">
        <v>309.2</v>
      </c>
      <c r="L41" s="64">
        <v>23.84</v>
      </c>
      <c r="M41" s="64">
        <v>97.31</v>
      </c>
      <c r="N41" s="64">
        <v>147.4</v>
      </c>
      <c r="O41" s="64">
        <v>0</v>
      </c>
      <c r="P41" s="64">
        <v>0.81</v>
      </c>
      <c r="Q41" s="64">
        <v>9.19</v>
      </c>
      <c r="R41" s="198"/>
      <c r="S41" s="198"/>
      <c r="T41" s="198"/>
      <c r="U41" s="198"/>
    </row>
    <row r="42" spans="1:21" s="12" customFormat="1" x14ac:dyDescent="0.25">
      <c r="A42" s="211" t="s">
        <v>2105</v>
      </c>
      <c r="B42" s="64">
        <v>14.03</v>
      </c>
      <c r="C42" s="64">
        <v>11.11</v>
      </c>
      <c r="D42" s="64">
        <v>17.059999999999999</v>
      </c>
      <c r="E42" s="64">
        <v>8.3699999999999992</v>
      </c>
      <c r="F42" s="64">
        <v>2.1</v>
      </c>
      <c r="G42" s="64">
        <v>94.5</v>
      </c>
      <c r="H42" s="64">
        <v>18.600000000000001</v>
      </c>
      <c r="I42" s="64">
        <v>3.27</v>
      </c>
      <c r="J42" s="64">
        <v>0</v>
      </c>
      <c r="K42" s="64">
        <v>314.13</v>
      </c>
      <c r="L42" s="64">
        <v>24.18</v>
      </c>
      <c r="M42" s="64">
        <v>97.33</v>
      </c>
      <c r="N42" s="64">
        <v>196.2</v>
      </c>
      <c r="O42" s="64">
        <v>0</v>
      </c>
      <c r="P42" s="64">
        <v>0.8</v>
      </c>
      <c r="Q42" s="64">
        <v>9.19</v>
      </c>
      <c r="R42" s="198"/>
      <c r="S42" s="198"/>
      <c r="T42" s="198"/>
      <c r="U42" s="198"/>
    </row>
    <row r="43" spans="1:21" s="12" customFormat="1" x14ac:dyDescent="0.25">
      <c r="A43" s="211" t="s">
        <v>2106</v>
      </c>
      <c r="B43" s="64">
        <v>12.61</v>
      </c>
      <c r="C43" s="64">
        <v>12.58</v>
      </c>
      <c r="D43" s="64">
        <v>16.68</v>
      </c>
      <c r="E43" s="64">
        <v>7.75</v>
      </c>
      <c r="F43" s="64">
        <v>4.26</v>
      </c>
      <c r="G43" s="64">
        <v>94.5</v>
      </c>
      <c r="H43" s="64">
        <v>18.600000000000001</v>
      </c>
      <c r="I43" s="64">
        <v>3.24</v>
      </c>
      <c r="J43" s="64">
        <v>0.05</v>
      </c>
      <c r="K43" s="64">
        <v>262.75</v>
      </c>
      <c r="L43" s="64">
        <v>24.83</v>
      </c>
      <c r="M43" s="64">
        <v>96.05</v>
      </c>
      <c r="N43" s="64">
        <v>252.6</v>
      </c>
      <c r="O43" s="64">
        <v>0</v>
      </c>
      <c r="P43" s="64">
        <v>0.78</v>
      </c>
      <c r="Q43" s="64">
        <v>9.19</v>
      </c>
      <c r="R43" s="198"/>
      <c r="S43" s="198"/>
      <c r="T43" s="198"/>
      <c r="U43" s="198"/>
    </row>
    <row r="44" spans="1:21" s="12" customFormat="1" x14ac:dyDescent="0.25">
      <c r="A44" s="211" t="s">
        <v>2107</v>
      </c>
      <c r="B44" s="64">
        <v>12.97</v>
      </c>
      <c r="C44" s="64">
        <v>11.77</v>
      </c>
      <c r="D44" s="64">
        <v>16.55</v>
      </c>
      <c r="E44" s="64">
        <v>8.02</v>
      </c>
      <c r="F44" s="64">
        <v>3.14</v>
      </c>
      <c r="G44" s="64">
        <v>94.5</v>
      </c>
      <c r="H44" s="64">
        <v>18.600000000000001</v>
      </c>
      <c r="I44" s="64">
        <v>3.19</v>
      </c>
      <c r="J44" s="64">
        <v>0.69</v>
      </c>
      <c r="K44" s="64">
        <v>133.21</v>
      </c>
      <c r="L44" s="64">
        <v>25.03</v>
      </c>
      <c r="M44" s="64">
        <v>96.39</v>
      </c>
      <c r="N44" s="64">
        <v>241.4</v>
      </c>
      <c r="O44" s="64">
        <v>0</v>
      </c>
      <c r="P44" s="64">
        <v>0.78</v>
      </c>
      <c r="Q44" s="64">
        <v>9.19</v>
      </c>
      <c r="R44" s="198"/>
      <c r="S44" s="198"/>
      <c r="T44" s="198"/>
      <c r="U44" s="198"/>
    </row>
    <row r="45" spans="1:21" s="12" customFormat="1" x14ac:dyDescent="0.25">
      <c r="A45" s="211" t="s">
        <v>2108</v>
      </c>
      <c r="B45" s="64">
        <v>10.38</v>
      </c>
      <c r="C45" s="64">
        <v>12.32</v>
      </c>
      <c r="D45" s="64">
        <v>14.76</v>
      </c>
      <c r="E45" s="64">
        <v>7.77</v>
      </c>
      <c r="F45" s="64">
        <v>4.93</v>
      </c>
      <c r="G45" s="64">
        <v>87.37</v>
      </c>
      <c r="H45" s="64">
        <v>20.25</v>
      </c>
      <c r="I45" s="64">
        <v>3.15</v>
      </c>
      <c r="J45" s="64">
        <v>0.61</v>
      </c>
      <c r="K45" s="64">
        <v>130.22999999999999</v>
      </c>
      <c r="L45" s="64">
        <v>25.21</v>
      </c>
      <c r="M45" s="64">
        <v>96.58</v>
      </c>
      <c r="N45" s="64">
        <v>315.5</v>
      </c>
      <c r="O45" s="64">
        <v>0</v>
      </c>
      <c r="P45" s="64">
        <v>0.68</v>
      </c>
      <c r="Q45" s="64">
        <v>9.18</v>
      </c>
      <c r="R45" s="198"/>
      <c r="S45" s="198"/>
      <c r="T45" s="198"/>
      <c r="U45" s="198"/>
    </row>
    <row r="46" spans="1:21" s="12" customFormat="1" x14ac:dyDescent="0.25">
      <c r="A46" s="211" t="s">
        <v>2109</v>
      </c>
      <c r="B46" s="64">
        <v>10.62</v>
      </c>
      <c r="C46" s="64">
        <v>10.43</v>
      </c>
      <c r="D46" s="64">
        <v>13.97</v>
      </c>
      <c r="E46" s="64">
        <v>7.81</v>
      </c>
      <c r="F46" s="64">
        <v>7.06</v>
      </c>
      <c r="G46" s="64">
        <v>86.86</v>
      </c>
      <c r="H46" s="64">
        <v>20.25</v>
      </c>
      <c r="I46" s="64">
        <v>3.11</v>
      </c>
      <c r="J46" s="64">
        <v>0.5</v>
      </c>
      <c r="K46" s="64">
        <v>128.04</v>
      </c>
      <c r="L46" s="64">
        <v>26.29</v>
      </c>
      <c r="M46" s="64">
        <v>90.19</v>
      </c>
      <c r="N46" s="64">
        <v>386.4</v>
      </c>
      <c r="O46" s="64">
        <v>0</v>
      </c>
      <c r="P46" s="64">
        <v>0.63</v>
      </c>
      <c r="Q46" s="64">
        <v>9.18</v>
      </c>
      <c r="R46" s="198"/>
      <c r="S46" s="198"/>
      <c r="T46" s="198"/>
      <c r="U46" s="198"/>
    </row>
    <row r="47" spans="1:21" s="12" customFormat="1" x14ac:dyDescent="0.25">
      <c r="A47" s="211" t="s">
        <v>2110</v>
      </c>
      <c r="B47" s="64">
        <v>8.08</v>
      </c>
      <c r="C47" s="64">
        <v>10.56</v>
      </c>
      <c r="D47" s="64">
        <v>12</v>
      </c>
      <c r="E47" s="64">
        <v>8.09</v>
      </c>
      <c r="F47" s="64">
        <v>7.86</v>
      </c>
      <c r="G47" s="64">
        <v>86.86</v>
      </c>
      <c r="H47" s="64">
        <v>20.25</v>
      </c>
      <c r="I47" s="64">
        <v>3.07</v>
      </c>
      <c r="J47" s="64">
        <v>0.59</v>
      </c>
      <c r="K47" s="64">
        <v>132.47999999999999</v>
      </c>
      <c r="L47" s="64">
        <v>26.72</v>
      </c>
      <c r="M47" s="64">
        <v>86.21</v>
      </c>
      <c r="N47" s="64">
        <v>377.9</v>
      </c>
      <c r="O47" s="64">
        <v>0</v>
      </c>
      <c r="P47" s="64">
        <v>0.47</v>
      </c>
      <c r="Q47" s="64">
        <v>9.14</v>
      </c>
      <c r="R47" s="198"/>
      <c r="S47" s="198"/>
      <c r="T47" s="198"/>
      <c r="U47" s="198"/>
    </row>
    <row r="48" spans="1:21" s="12" customFormat="1" x14ac:dyDescent="0.25">
      <c r="A48" s="211" t="s">
        <v>2111</v>
      </c>
      <c r="B48" s="64">
        <v>7.02</v>
      </c>
      <c r="C48" s="64">
        <v>18.79</v>
      </c>
      <c r="D48" s="64">
        <v>15.45</v>
      </c>
      <c r="E48" s="64">
        <v>7.88</v>
      </c>
      <c r="F48" s="64">
        <v>8.98</v>
      </c>
      <c r="G48" s="64">
        <v>86.86</v>
      </c>
      <c r="H48" s="64">
        <v>20.25</v>
      </c>
      <c r="I48" s="64">
        <v>2.96</v>
      </c>
      <c r="J48" s="64">
        <v>0.06</v>
      </c>
      <c r="K48" s="64">
        <v>83.43</v>
      </c>
      <c r="L48" s="64">
        <v>28.09</v>
      </c>
      <c r="M48" s="64">
        <v>79.77</v>
      </c>
      <c r="N48" s="64">
        <v>630.1</v>
      </c>
      <c r="O48" s="64">
        <v>0</v>
      </c>
      <c r="P48" s="64">
        <v>0.44</v>
      </c>
      <c r="Q48" s="64">
        <v>9.07</v>
      </c>
      <c r="R48" s="198"/>
      <c r="S48" s="198"/>
      <c r="T48" s="198"/>
      <c r="U48" s="198"/>
    </row>
    <row r="49" spans="1:21" s="12" customFormat="1" x14ac:dyDescent="0.25">
      <c r="A49" s="211" t="s">
        <v>2112</v>
      </c>
      <c r="B49" s="64">
        <v>6.28</v>
      </c>
      <c r="C49" s="64">
        <v>16.14</v>
      </c>
      <c r="D49" s="64">
        <v>13.47</v>
      </c>
      <c r="E49" s="64">
        <v>8.1</v>
      </c>
      <c r="F49" s="64">
        <v>10.6</v>
      </c>
      <c r="G49" s="64">
        <v>15.08</v>
      </c>
      <c r="H49" s="64">
        <v>20.21</v>
      </c>
      <c r="I49" s="64">
        <v>2.29</v>
      </c>
      <c r="J49" s="64">
        <v>0.9</v>
      </c>
      <c r="K49" s="64">
        <v>129.9</v>
      </c>
      <c r="L49" s="64">
        <v>28.99</v>
      </c>
      <c r="M49" s="64">
        <v>72.62</v>
      </c>
      <c r="N49" s="64">
        <v>671.8</v>
      </c>
      <c r="O49" s="64">
        <v>0</v>
      </c>
      <c r="P49" s="64">
        <v>0.38</v>
      </c>
      <c r="Q49" s="64">
        <v>9.0500000000000007</v>
      </c>
      <c r="R49" s="198"/>
      <c r="S49" s="198"/>
      <c r="T49" s="198"/>
      <c r="U49" s="198"/>
    </row>
    <row r="50" spans="1:21" s="12" customFormat="1" x14ac:dyDescent="0.25">
      <c r="A50" s="211" t="s">
        <v>2113</v>
      </c>
      <c r="B50" s="64">
        <v>8.67</v>
      </c>
      <c r="C50" s="64">
        <v>15.57</v>
      </c>
      <c r="D50" s="64">
        <v>15.08</v>
      </c>
      <c r="E50" s="64">
        <v>8.06</v>
      </c>
      <c r="F50" s="64">
        <v>7.5</v>
      </c>
      <c r="G50" s="64">
        <v>9.9499999999999993</v>
      </c>
      <c r="H50" s="64">
        <v>13.88</v>
      </c>
      <c r="I50" s="64">
        <v>1.9</v>
      </c>
      <c r="J50" s="64">
        <v>0.08</v>
      </c>
      <c r="K50" s="64">
        <v>320.93</v>
      </c>
      <c r="L50" s="64">
        <v>29.31</v>
      </c>
      <c r="M50" s="64">
        <v>71.91</v>
      </c>
      <c r="N50" s="64">
        <v>440.5</v>
      </c>
      <c r="O50" s="64">
        <v>0</v>
      </c>
      <c r="P50" s="64">
        <v>0.43</v>
      </c>
      <c r="Q50" s="64">
        <v>9.0500000000000007</v>
      </c>
      <c r="R50" s="198"/>
      <c r="S50" s="198"/>
      <c r="T50" s="198"/>
      <c r="U50" s="198"/>
    </row>
    <row r="51" spans="1:21" s="12" customFormat="1" x14ac:dyDescent="0.25">
      <c r="A51" s="211" t="s">
        <v>2114</v>
      </c>
      <c r="B51" s="64">
        <v>7.17</v>
      </c>
      <c r="C51" s="64">
        <v>13.68</v>
      </c>
      <c r="D51" s="64">
        <v>12.9</v>
      </c>
      <c r="E51" s="64">
        <v>7.78</v>
      </c>
      <c r="F51" s="64">
        <v>8.18</v>
      </c>
      <c r="G51" s="64">
        <v>9.9499999999999993</v>
      </c>
      <c r="H51" s="64">
        <v>5.21</v>
      </c>
      <c r="I51" s="64">
        <v>1.97</v>
      </c>
      <c r="J51" s="64">
        <v>1.02</v>
      </c>
      <c r="K51" s="64">
        <v>130.93</v>
      </c>
      <c r="L51" s="64">
        <v>28.54</v>
      </c>
      <c r="M51" s="64">
        <v>74.069999999999993</v>
      </c>
      <c r="N51" s="64">
        <v>593.4</v>
      </c>
      <c r="O51" s="64">
        <v>0</v>
      </c>
      <c r="P51" s="64">
        <v>0.31</v>
      </c>
      <c r="Q51" s="64">
        <v>9.07</v>
      </c>
      <c r="R51" s="198"/>
      <c r="S51" s="198"/>
      <c r="T51" s="198"/>
      <c r="U51" s="198"/>
    </row>
    <row r="52" spans="1:21" s="12" customFormat="1" x14ac:dyDescent="0.25">
      <c r="A52" s="211" t="s">
        <v>2115</v>
      </c>
      <c r="B52" s="64">
        <v>5.81</v>
      </c>
      <c r="C52" s="64">
        <v>12.35</v>
      </c>
      <c r="D52" s="64">
        <v>11.11</v>
      </c>
      <c r="E52" s="64">
        <v>8.27</v>
      </c>
      <c r="F52" s="64">
        <v>9.34</v>
      </c>
      <c r="G52" s="64">
        <v>9.9499999999999993</v>
      </c>
      <c r="H52" s="64">
        <v>5.21</v>
      </c>
      <c r="I52" s="64">
        <v>2.04</v>
      </c>
      <c r="J52" s="64">
        <v>1.38</v>
      </c>
      <c r="K52" s="64">
        <v>131.16</v>
      </c>
      <c r="L52" s="64">
        <v>28.26</v>
      </c>
      <c r="M52" s="64">
        <v>74.19</v>
      </c>
      <c r="N52" s="64">
        <v>518.20000000000005</v>
      </c>
      <c r="O52" s="64">
        <v>0</v>
      </c>
      <c r="P52" s="64">
        <v>0.23</v>
      </c>
      <c r="Q52" s="64">
        <v>9.07</v>
      </c>
      <c r="R52" s="198"/>
      <c r="S52" s="198"/>
      <c r="T52" s="198"/>
      <c r="U52" s="198"/>
    </row>
    <row r="53" spans="1:21" s="12" customFormat="1" x14ac:dyDescent="0.25">
      <c r="A53" s="211" t="s">
        <v>2116</v>
      </c>
      <c r="B53" s="64">
        <v>6.14</v>
      </c>
      <c r="C53" s="64">
        <v>11.53</v>
      </c>
      <c r="D53" s="64">
        <v>10.95</v>
      </c>
      <c r="E53" s="64">
        <v>7.59</v>
      </c>
      <c r="F53" s="64">
        <v>6</v>
      </c>
      <c r="G53" s="64">
        <v>19.23</v>
      </c>
      <c r="H53" s="64">
        <v>13.38</v>
      </c>
      <c r="I53" s="64">
        <v>2.06</v>
      </c>
      <c r="J53" s="64">
        <v>1.19</v>
      </c>
      <c r="K53" s="64">
        <v>128.11000000000001</v>
      </c>
      <c r="L53" s="64">
        <v>28.13</v>
      </c>
      <c r="M53" s="64">
        <v>73.37</v>
      </c>
      <c r="N53" s="64">
        <v>556.29999999999995</v>
      </c>
      <c r="O53" s="64">
        <v>0</v>
      </c>
      <c r="P53" s="64">
        <v>0.21</v>
      </c>
      <c r="Q53" s="64">
        <v>9.06</v>
      </c>
      <c r="R53" s="198"/>
      <c r="S53" s="198"/>
      <c r="T53" s="198"/>
      <c r="U53" s="198"/>
    </row>
    <row r="54" spans="1:21" s="12" customFormat="1" x14ac:dyDescent="0.25">
      <c r="A54" s="211" t="s">
        <v>2117</v>
      </c>
      <c r="B54" s="64">
        <v>5.47</v>
      </c>
      <c r="C54" s="64">
        <v>10.92</v>
      </c>
      <c r="D54" s="64">
        <v>10.1</v>
      </c>
      <c r="E54" s="64">
        <v>7.39</v>
      </c>
      <c r="F54" s="64">
        <v>7.95</v>
      </c>
      <c r="G54" s="64">
        <v>19.89</v>
      </c>
      <c r="H54" s="64">
        <v>13.38</v>
      </c>
      <c r="I54" s="64">
        <v>2.0099999999999998</v>
      </c>
      <c r="J54" s="64">
        <v>1.05</v>
      </c>
      <c r="K54" s="64">
        <v>131.9</v>
      </c>
      <c r="L54" s="64">
        <v>28.83</v>
      </c>
      <c r="M54" s="64">
        <v>71.81</v>
      </c>
      <c r="N54" s="64">
        <v>654.5</v>
      </c>
      <c r="O54" s="64">
        <v>0</v>
      </c>
      <c r="P54" s="64">
        <v>0.23</v>
      </c>
      <c r="Q54" s="64">
        <v>9.0500000000000007</v>
      </c>
      <c r="R54" s="198"/>
      <c r="S54" s="198"/>
      <c r="T54" s="198"/>
      <c r="U54" s="198"/>
    </row>
    <row r="55" spans="1:21" s="12" customFormat="1" x14ac:dyDescent="0.25">
      <c r="A55" s="211" t="s">
        <v>2118</v>
      </c>
      <c r="B55" s="64">
        <v>5.03</v>
      </c>
      <c r="C55" s="64">
        <v>9.65</v>
      </c>
      <c r="D55" s="64">
        <v>9.08</v>
      </c>
      <c r="E55" s="64">
        <v>7.15</v>
      </c>
      <c r="F55" s="64">
        <v>10.01</v>
      </c>
      <c r="G55" s="64">
        <v>19.89</v>
      </c>
      <c r="H55" s="64">
        <v>13.38</v>
      </c>
      <c r="I55" s="64">
        <v>1.87</v>
      </c>
      <c r="J55" s="64">
        <v>1.92</v>
      </c>
      <c r="K55" s="64">
        <v>126.2</v>
      </c>
      <c r="L55" s="64">
        <v>28.36</v>
      </c>
      <c r="M55" s="64">
        <v>71.98</v>
      </c>
      <c r="N55" s="64">
        <v>562.9</v>
      </c>
      <c r="O55" s="64">
        <v>0</v>
      </c>
      <c r="P55" s="64">
        <v>0.22</v>
      </c>
      <c r="Q55" s="64">
        <v>9.0500000000000007</v>
      </c>
      <c r="R55" s="198"/>
      <c r="S55" s="198"/>
      <c r="T55" s="198"/>
      <c r="U55" s="198"/>
    </row>
    <row r="56" spans="1:21" s="12" customFormat="1" x14ac:dyDescent="0.25">
      <c r="A56" s="211" t="s">
        <v>2119</v>
      </c>
      <c r="B56" s="64">
        <v>4.93</v>
      </c>
      <c r="C56" s="64">
        <v>9.0500000000000007</v>
      </c>
      <c r="D56" s="64">
        <v>8.69</v>
      </c>
      <c r="E56" s="64">
        <v>6.97</v>
      </c>
      <c r="F56" s="64">
        <v>9.9</v>
      </c>
      <c r="G56" s="64">
        <v>19.89</v>
      </c>
      <c r="H56" s="64">
        <v>13.38</v>
      </c>
      <c r="I56" s="64">
        <v>1.79</v>
      </c>
      <c r="J56" s="64">
        <v>2.12</v>
      </c>
      <c r="K56" s="64">
        <v>126.44</v>
      </c>
      <c r="L56" s="64">
        <v>28.49</v>
      </c>
      <c r="M56" s="64">
        <v>70.23</v>
      </c>
      <c r="N56" s="64">
        <v>764</v>
      </c>
      <c r="O56" s="64">
        <v>0</v>
      </c>
      <c r="P56" s="64">
        <v>0.21</v>
      </c>
      <c r="Q56" s="64">
        <v>9.0500000000000007</v>
      </c>
      <c r="R56" s="198"/>
      <c r="S56" s="198"/>
      <c r="T56" s="198"/>
      <c r="U56" s="198"/>
    </row>
    <row r="57" spans="1:21" s="12" customFormat="1" x14ac:dyDescent="0.25">
      <c r="A57" s="211" t="s">
        <v>2120</v>
      </c>
      <c r="B57" s="64">
        <v>4.93</v>
      </c>
      <c r="C57" s="64">
        <v>9.19</v>
      </c>
      <c r="D57" s="64">
        <v>8.75</v>
      </c>
      <c r="E57" s="64">
        <v>6.62</v>
      </c>
      <c r="F57" s="64">
        <v>6.14</v>
      </c>
      <c r="G57" s="64">
        <v>2.02</v>
      </c>
      <c r="H57" s="64">
        <v>10.25</v>
      </c>
      <c r="I57" s="64">
        <v>1.73</v>
      </c>
      <c r="J57" s="64">
        <v>1.51</v>
      </c>
      <c r="K57" s="64">
        <v>125.09</v>
      </c>
      <c r="L57" s="64">
        <v>28.93</v>
      </c>
      <c r="M57" s="64">
        <v>67.41</v>
      </c>
      <c r="N57" s="64">
        <v>741.1</v>
      </c>
      <c r="O57" s="64">
        <v>0</v>
      </c>
      <c r="P57" s="64">
        <v>0.21</v>
      </c>
      <c r="Q57" s="64">
        <v>9.0299999999999994</v>
      </c>
      <c r="R57" s="198"/>
      <c r="S57" s="198"/>
      <c r="T57" s="198"/>
      <c r="U57" s="198"/>
    </row>
    <row r="58" spans="1:21" s="12" customFormat="1" x14ac:dyDescent="0.25">
      <c r="A58" s="211" t="s">
        <v>2121</v>
      </c>
      <c r="B58" s="64">
        <v>5.04</v>
      </c>
      <c r="C58" s="64">
        <v>9.1999999999999993</v>
      </c>
      <c r="D58" s="64">
        <v>8.85</v>
      </c>
      <c r="E58" s="64">
        <v>7.19</v>
      </c>
      <c r="F58" s="64">
        <v>8.1999999999999993</v>
      </c>
      <c r="G58" s="64">
        <v>0</v>
      </c>
      <c r="H58" s="64">
        <v>0.89</v>
      </c>
      <c r="I58" s="64">
        <v>1.65</v>
      </c>
      <c r="J58" s="64">
        <v>1.59</v>
      </c>
      <c r="K58" s="64">
        <v>125.54</v>
      </c>
      <c r="L58" s="64">
        <v>28.54</v>
      </c>
      <c r="M58" s="64">
        <v>71.209999999999994</v>
      </c>
      <c r="N58" s="64">
        <v>491.8</v>
      </c>
      <c r="O58" s="64">
        <v>0</v>
      </c>
      <c r="P58" s="64">
        <v>0.18</v>
      </c>
      <c r="Q58" s="64">
        <v>9.01</v>
      </c>
      <c r="R58" s="198"/>
      <c r="S58" s="198"/>
      <c r="T58" s="198"/>
      <c r="U58" s="198"/>
    </row>
    <row r="59" spans="1:21" s="12" customFormat="1" x14ac:dyDescent="0.25">
      <c r="A59" s="211" t="s">
        <v>2122</v>
      </c>
      <c r="B59" s="64">
        <v>4.97</v>
      </c>
      <c r="C59" s="64">
        <v>8.94</v>
      </c>
      <c r="D59" s="64">
        <v>8.66</v>
      </c>
      <c r="E59" s="64">
        <v>7.05</v>
      </c>
      <c r="F59" s="64">
        <v>9.59</v>
      </c>
      <c r="G59" s="64">
        <v>0</v>
      </c>
      <c r="H59" s="64">
        <v>0</v>
      </c>
      <c r="I59" s="64">
        <v>1.58</v>
      </c>
      <c r="J59" s="64">
        <v>1.43</v>
      </c>
      <c r="K59" s="64">
        <v>122.71</v>
      </c>
      <c r="L59" s="64">
        <v>28.16</v>
      </c>
      <c r="M59" s="64">
        <v>71.92</v>
      </c>
      <c r="N59" s="64">
        <v>565.6</v>
      </c>
      <c r="O59" s="64">
        <v>0</v>
      </c>
      <c r="P59" s="64">
        <v>0.18</v>
      </c>
      <c r="Q59" s="64">
        <v>8.99</v>
      </c>
      <c r="R59" s="198"/>
      <c r="S59" s="198"/>
      <c r="T59" s="198"/>
      <c r="U59" s="198"/>
    </row>
    <row r="60" spans="1:21" s="12" customFormat="1" x14ac:dyDescent="0.25">
      <c r="A60" s="211" t="s">
        <v>2123</v>
      </c>
      <c r="B60" s="64">
        <v>5.67</v>
      </c>
      <c r="C60" s="64">
        <v>9.32</v>
      </c>
      <c r="D60" s="64">
        <v>9.41</v>
      </c>
      <c r="E60" s="64">
        <v>6.75</v>
      </c>
      <c r="F60" s="64">
        <v>9.94</v>
      </c>
      <c r="G60" s="64">
        <v>0</v>
      </c>
      <c r="H60" s="64">
        <v>0</v>
      </c>
      <c r="I60" s="64">
        <v>1.49</v>
      </c>
      <c r="J60" s="64">
        <v>0.97</v>
      </c>
      <c r="K60" s="64">
        <v>127.58</v>
      </c>
      <c r="L60" s="64">
        <v>28.93</v>
      </c>
      <c r="M60" s="64">
        <v>67.430000000000007</v>
      </c>
      <c r="N60" s="64">
        <v>579.70000000000005</v>
      </c>
      <c r="O60" s="64">
        <v>0</v>
      </c>
      <c r="P60" s="64">
        <v>0.19</v>
      </c>
      <c r="Q60" s="64">
        <v>8.98</v>
      </c>
      <c r="R60" s="198"/>
      <c r="S60" s="198"/>
      <c r="T60" s="198"/>
      <c r="U60" s="198"/>
    </row>
    <row r="61" spans="1:21" s="12" customFormat="1" x14ac:dyDescent="0.25">
      <c r="A61" s="211" t="s">
        <v>2124</v>
      </c>
      <c r="B61" s="64">
        <v>5.41</v>
      </c>
      <c r="C61" s="64">
        <v>8.74</v>
      </c>
      <c r="D61" s="64">
        <v>8.9</v>
      </c>
      <c r="E61" s="64">
        <v>6.73</v>
      </c>
      <c r="F61" s="64">
        <v>12.29</v>
      </c>
      <c r="G61" s="64">
        <v>40.75</v>
      </c>
      <c r="H61" s="64">
        <v>10.66</v>
      </c>
      <c r="I61" s="64">
        <v>1.44</v>
      </c>
      <c r="J61" s="64">
        <v>1.1200000000000001</v>
      </c>
      <c r="K61" s="64">
        <v>125.06</v>
      </c>
      <c r="L61" s="64">
        <v>29.33</v>
      </c>
      <c r="M61" s="64">
        <v>64.19</v>
      </c>
      <c r="N61" s="64">
        <v>612.6</v>
      </c>
      <c r="O61" s="64">
        <v>0</v>
      </c>
      <c r="P61" s="64">
        <v>0.23</v>
      </c>
      <c r="Q61" s="64">
        <v>8.98</v>
      </c>
      <c r="R61" s="198"/>
      <c r="S61" s="198"/>
      <c r="T61" s="198"/>
      <c r="U61" s="198"/>
    </row>
    <row r="62" spans="1:21" s="12" customFormat="1" x14ac:dyDescent="0.25">
      <c r="A62" s="211" t="s">
        <v>2125</v>
      </c>
      <c r="B62" s="64">
        <v>5.58</v>
      </c>
      <c r="C62" s="64">
        <v>8.74</v>
      </c>
      <c r="D62" s="64">
        <v>9.0399999999999991</v>
      </c>
      <c r="E62" s="64">
        <v>6.68</v>
      </c>
      <c r="F62" s="64">
        <v>13.57</v>
      </c>
      <c r="G62" s="64">
        <v>51.66</v>
      </c>
      <c r="H62" s="64">
        <v>10.66</v>
      </c>
      <c r="I62" s="64">
        <v>1.4</v>
      </c>
      <c r="J62" s="64">
        <v>0.68</v>
      </c>
      <c r="K62" s="64">
        <v>122.79</v>
      </c>
      <c r="L62" s="64">
        <v>29.21</v>
      </c>
      <c r="M62" s="64">
        <v>65.42</v>
      </c>
      <c r="N62" s="64">
        <v>352.7</v>
      </c>
      <c r="O62" s="64">
        <v>0</v>
      </c>
      <c r="P62" s="64">
        <v>0.23</v>
      </c>
      <c r="Q62" s="64">
        <v>8.98</v>
      </c>
      <c r="R62" s="198"/>
      <c r="S62" s="198"/>
      <c r="T62" s="198"/>
      <c r="U62" s="198"/>
    </row>
    <row r="63" spans="1:21" s="12" customFormat="1" x14ac:dyDescent="0.25">
      <c r="A63" s="211" t="s">
        <v>2126</v>
      </c>
      <c r="B63" s="64">
        <v>6.93</v>
      </c>
      <c r="C63" s="64">
        <v>10.82</v>
      </c>
      <c r="D63" s="64">
        <v>11.22</v>
      </c>
      <c r="E63" s="64">
        <v>6.75</v>
      </c>
      <c r="F63" s="64">
        <v>10.88</v>
      </c>
      <c r="G63" s="64">
        <v>51.66</v>
      </c>
      <c r="H63" s="64">
        <v>10.66</v>
      </c>
      <c r="I63" s="64">
        <v>1.36</v>
      </c>
      <c r="J63" s="64">
        <v>0.7</v>
      </c>
      <c r="K63" s="64">
        <v>127.01</v>
      </c>
      <c r="L63" s="64">
        <v>28.84</v>
      </c>
      <c r="M63" s="64">
        <v>69.45</v>
      </c>
      <c r="N63" s="64">
        <v>206</v>
      </c>
      <c r="O63" s="64">
        <v>0</v>
      </c>
      <c r="P63" s="64">
        <v>0.28999999999999998</v>
      </c>
      <c r="Q63" s="64">
        <v>8.98</v>
      </c>
      <c r="R63" s="198"/>
      <c r="S63" s="198"/>
      <c r="T63" s="198"/>
      <c r="U63" s="198"/>
    </row>
    <row r="64" spans="1:21" s="12" customFormat="1" x14ac:dyDescent="0.25">
      <c r="A64" s="211" t="s">
        <v>2127</v>
      </c>
      <c r="B64" s="64">
        <v>6.38</v>
      </c>
      <c r="C64" s="64">
        <v>11.2</v>
      </c>
      <c r="D64" s="64">
        <v>10.97</v>
      </c>
      <c r="E64" s="64">
        <v>6.48</v>
      </c>
      <c r="F64" s="64">
        <v>12.22</v>
      </c>
      <c r="G64" s="64">
        <v>51.66</v>
      </c>
      <c r="H64" s="64">
        <v>10.66</v>
      </c>
      <c r="I64" s="64">
        <v>1.31</v>
      </c>
      <c r="J64" s="64">
        <v>0.8</v>
      </c>
      <c r="K64" s="64">
        <v>125.95</v>
      </c>
      <c r="L64" s="64">
        <v>28.53</v>
      </c>
      <c r="M64" s="64">
        <v>66.12</v>
      </c>
      <c r="N64" s="64">
        <v>163.9</v>
      </c>
      <c r="O64" s="64">
        <v>0</v>
      </c>
      <c r="P64" s="64">
        <v>0.24</v>
      </c>
      <c r="Q64" s="64">
        <v>8.98</v>
      </c>
      <c r="R64" s="198"/>
      <c r="S64" s="198"/>
      <c r="T64" s="198"/>
      <c r="U64" s="198"/>
    </row>
    <row r="65" spans="1:21" s="12" customFormat="1" x14ac:dyDescent="0.25">
      <c r="A65" s="211" t="s">
        <v>2128</v>
      </c>
      <c r="B65" s="64">
        <v>5.65</v>
      </c>
      <c r="C65" s="64">
        <v>9.4</v>
      </c>
      <c r="D65" s="64">
        <v>9.44</v>
      </c>
      <c r="E65" s="64">
        <v>6.7</v>
      </c>
      <c r="F65" s="64">
        <v>9.24</v>
      </c>
      <c r="G65" s="64">
        <v>40.090000000000003</v>
      </c>
      <c r="H65" s="64">
        <v>7.46</v>
      </c>
      <c r="I65" s="64">
        <v>1.26</v>
      </c>
      <c r="J65" s="64">
        <v>0.96</v>
      </c>
      <c r="K65" s="64">
        <v>128.41999999999999</v>
      </c>
      <c r="L65" s="64">
        <v>28.74</v>
      </c>
      <c r="M65" s="64">
        <v>64.150000000000006</v>
      </c>
      <c r="N65" s="64">
        <v>142</v>
      </c>
      <c r="O65" s="64">
        <v>0</v>
      </c>
      <c r="P65" s="64">
        <v>0.2</v>
      </c>
      <c r="Q65" s="64">
        <v>8.98</v>
      </c>
      <c r="R65" s="198"/>
      <c r="S65" s="198"/>
      <c r="T65" s="198"/>
      <c r="U65" s="198"/>
    </row>
    <row r="66" spans="1:21" s="12" customFormat="1" x14ac:dyDescent="0.25">
      <c r="A66" s="211" t="s">
        <v>2129</v>
      </c>
      <c r="B66" s="64">
        <v>5.94</v>
      </c>
      <c r="C66" s="64">
        <v>9.2799999999999994</v>
      </c>
      <c r="D66" s="64">
        <v>9.6199999999999992</v>
      </c>
      <c r="E66" s="64">
        <v>6.42</v>
      </c>
      <c r="F66" s="64">
        <v>5.56</v>
      </c>
      <c r="G66" s="64">
        <v>37</v>
      </c>
      <c r="H66" s="64">
        <v>7.46</v>
      </c>
      <c r="I66" s="64">
        <v>1.22</v>
      </c>
      <c r="J66" s="64">
        <v>1.3</v>
      </c>
      <c r="K66" s="64">
        <v>127.01</v>
      </c>
      <c r="L66" s="64">
        <v>28.77</v>
      </c>
      <c r="M66" s="64">
        <v>62.46</v>
      </c>
      <c r="N66" s="64">
        <v>158.6</v>
      </c>
      <c r="O66" s="64">
        <v>0</v>
      </c>
      <c r="P66" s="64">
        <v>0.22</v>
      </c>
      <c r="Q66" s="64">
        <v>8.98</v>
      </c>
      <c r="R66" s="198"/>
      <c r="S66" s="198"/>
      <c r="T66" s="198"/>
      <c r="U66" s="198"/>
    </row>
    <row r="67" spans="1:21" s="12" customFormat="1" x14ac:dyDescent="0.25">
      <c r="A67" s="211" t="s">
        <v>2130</v>
      </c>
      <c r="B67" s="64">
        <v>5.55</v>
      </c>
      <c r="C67" s="64">
        <v>8.69</v>
      </c>
      <c r="D67" s="64">
        <v>8.99</v>
      </c>
      <c r="E67" s="64">
        <v>6.32</v>
      </c>
      <c r="F67" s="64">
        <v>9.74</v>
      </c>
      <c r="G67" s="64">
        <v>37</v>
      </c>
      <c r="H67" s="64">
        <v>7.46</v>
      </c>
      <c r="I67" s="64">
        <v>1.21</v>
      </c>
      <c r="J67" s="64">
        <v>0.65</v>
      </c>
      <c r="K67" s="64">
        <v>128.74</v>
      </c>
      <c r="L67" s="64">
        <v>28.73</v>
      </c>
      <c r="M67" s="64">
        <v>66.650000000000006</v>
      </c>
      <c r="N67" s="64">
        <v>155.6</v>
      </c>
      <c r="O67" s="64">
        <v>0</v>
      </c>
      <c r="P67" s="64">
        <v>0.21</v>
      </c>
      <c r="Q67" s="64">
        <v>9</v>
      </c>
      <c r="R67" s="198"/>
      <c r="S67" s="198"/>
      <c r="T67" s="198"/>
      <c r="U67" s="198"/>
    </row>
    <row r="68" spans="1:21" s="12" customFormat="1" x14ac:dyDescent="0.25">
      <c r="A68" s="211" t="s">
        <v>2131</v>
      </c>
      <c r="B68" s="64">
        <v>9.08</v>
      </c>
      <c r="C68" s="64">
        <v>11.87</v>
      </c>
      <c r="D68" s="64">
        <v>13.48</v>
      </c>
      <c r="E68" s="64">
        <v>6.22</v>
      </c>
      <c r="F68" s="64">
        <v>6.46</v>
      </c>
      <c r="G68" s="64">
        <v>37</v>
      </c>
      <c r="H68" s="64">
        <v>7.46</v>
      </c>
      <c r="I68" s="64">
        <v>1.2</v>
      </c>
      <c r="J68" s="64">
        <v>0.08</v>
      </c>
      <c r="K68" s="64">
        <v>191.13</v>
      </c>
      <c r="L68" s="64">
        <v>28.9</v>
      </c>
      <c r="M68" s="64">
        <v>68.05</v>
      </c>
      <c r="N68" s="64">
        <v>129.1</v>
      </c>
      <c r="O68" s="64">
        <v>0</v>
      </c>
      <c r="P68" s="64">
        <v>0.41</v>
      </c>
      <c r="Q68" s="64">
        <v>9</v>
      </c>
      <c r="R68" s="198"/>
      <c r="S68" s="198"/>
      <c r="T68" s="198"/>
      <c r="U68" s="198"/>
    </row>
    <row r="69" spans="1:21" s="12" customFormat="1" x14ac:dyDescent="0.25">
      <c r="A69" s="211" t="s">
        <v>2132</v>
      </c>
      <c r="B69" s="64">
        <v>7.54</v>
      </c>
      <c r="C69" s="64">
        <v>12.96</v>
      </c>
      <c r="D69" s="64">
        <v>12.82</v>
      </c>
      <c r="E69" s="64">
        <v>6.68</v>
      </c>
      <c r="F69" s="64">
        <v>7.33</v>
      </c>
      <c r="G69" s="64">
        <v>34.53</v>
      </c>
      <c r="H69" s="64">
        <v>6.13</v>
      </c>
      <c r="I69" s="64">
        <v>1.18</v>
      </c>
      <c r="J69" s="64">
        <v>0.48</v>
      </c>
      <c r="K69" s="64">
        <v>128.15</v>
      </c>
      <c r="L69" s="64">
        <v>28.87</v>
      </c>
      <c r="M69" s="64">
        <v>67.22</v>
      </c>
      <c r="N69" s="64">
        <v>131</v>
      </c>
      <c r="O69" s="64">
        <v>0</v>
      </c>
      <c r="P69" s="64">
        <v>0.26</v>
      </c>
      <c r="Q69" s="64">
        <v>9.01</v>
      </c>
      <c r="R69" s="198"/>
      <c r="S69" s="198"/>
      <c r="T69" s="198"/>
      <c r="U69" s="198"/>
    </row>
    <row r="70" spans="1:21" s="12" customFormat="1" x14ac:dyDescent="0.25">
      <c r="A70" s="211" t="s">
        <v>2133</v>
      </c>
      <c r="B70" s="64">
        <v>6.66</v>
      </c>
      <c r="C70" s="64">
        <v>12.84</v>
      </c>
      <c r="D70" s="64">
        <v>12.05</v>
      </c>
      <c r="E70" s="64">
        <v>6.73</v>
      </c>
      <c r="F70" s="64">
        <v>7.73</v>
      </c>
      <c r="G70" s="64">
        <v>33.869999999999997</v>
      </c>
      <c r="H70" s="64">
        <v>6.13</v>
      </c>
      <c r="I70" s="64">
        <v>1.18</v>
      </c>
      <c r="J70" s="64">
        <v>0.74</v>
      </c>
      <c r="K70" s="64">
        <v>128.49</v>
      </c>
      <c r="L70" s="64">
        <v>28.23</v>
      </c>
      <c r="M70" s="64">
        <v>69.069999999999993</v>
      </c>
      <c r="N70" s="64">
        <v>92.7</v>
      </c>
      <c r="O70" s="64">
        <v>0</v>
      </c>
      <c r="P70" s="64">
        <v>0.28000000000000003</v>
      </c>
      <c r="Q70" s="64">
        <v>9.01</v>
      </c>
      <c r="R70" s="198"/>
      <c r="S70" s="198"/>
      <c r="T70" s="198"/>
      <c r="U70" s="198"/>
    </row>
    <row r="71" spans="1:21" s="12" customFormat="1" x14ac:dyDescent="0.25">
      <c r="A71" s="211" t="s">
        <v>2134</v>
      </c>
      <c r="B71" s="64">
        <v>6.53</v>
      </c>
      <c r="C71" s="64">
        <v>11.29</v>
      </c>
      <c r="D71" s="64">
        <v>11.13</v>
      </c>
      <c r="E71" s="64">
        <v>6.52</v>
      </c>
      <c r="F71" s="64">
        <v>8</v>
      </c>
      <c r="G71" s="64">
        <v>33.869999999999997</v>
      </c>
      <c r="H71" s="64">
        <v>6.13</v>
      </c>
      <c r="I71" s="64">
        <v>1.2</v>
      </c>
      <c r="J71" s="64">
        <v>0.43</v>
      </c>
      <c r="K71" s="64">
        <v>121.61</v>
      </c>
      <c r="L71" s="64">
        <v>27.84</v>
      </c>
      <c r="M71" s="64">
        <v>71.78</v>
      </c>
      <c r="N71" s="64">
        <v>78.3</v>
      </c>
      <c r="O71" s="64">
        <v>0</v>
      </c>
      <c r="P71" s="64">
        <v>0.3</v>
      </c>
      <c r="Q71" s="64">
        <v>9.01</v>
      </c>
      <c r="R71" s="198"/>
      <c r="S71" s="198"/>
      <c r="T71" s="198"/>
      <c r="U71" s="198"/>
    </row>
    <row r="72" spans="1:21" s="12" customFormat="1" x14ac:dyDescent="0.25">
      <c r="A72" s="211" t="s">
        <v>2135</v>
      </c>
      <c r="B72" s="64">
        <v>5.95</v>
      </c>
      <c r="C72" s="64">
        <v>11.61</v>
      </c>
      <c r="D72" s="64">
        <v>10.84</v>
      </c>
      <c r="E72" s="64">
        <v>5.15</v>
      </c>
      <c r="F72" s="64">
        <v>8.07</v>
      </c>
      <c r="G72" s="64">
        <v>33.869999999999997</v>
      </c>
      <c r="H72" s="64">
        <v>6.13</v>
      </c>
      <c r="I72" s="64">
        <v>1.22</v>
      </c>
      <c r="J72" s="64">
        <v>1.18</v>
      </c>
      <c r="K72" s="64">
        <v>124.83</v>
      </c>
      <c r="L72" s="64">
        <v>27.73</v>
      </c>
      <c r="M72" s="64">
        <v>72.67</v>
      </c>
      <c r="N72" s="64">
        <v>86.8</v>
      </c>
      <c r="O72" s="64">
        <v>0</v>
      </c>
      <c r="P72" s="64">
        <v>0.23</v>
      </c>
      <c r="Q72" s="64">
        <v>9.01</v>
      </c>
      <c r="R72" s="198"/>
      <c r="S72" s="198"/>
      <c r="T72" s="198"/>
      <c r="U72" s="198"/>
    </row>
    <row r="73" spans="1:21" s="12" customFormat="1" x14ac:dyDescent="0.25">
      <c r="A73" s="211" t="s">
        <v>2136</v>
      </c>
      <c r="B73" s="64">
        <v>5.49</v>
      </c>
      <c r="C73" s="64">
        <v>11.07</v>
      </c>
      <c r="D73" s="64">
        <v>10.19</v>
      </c>
      <c r="E73" s="64">
        <v>5.73</v>
      </c>
      <c r="F73" s="64">
        <v>7.95</v>
      </c>
      <c r="G73" s="64">
        <v>28.36</v>
      </c>
      <c r="H73" s="64">
        <v>13.59</v>
      </c>
      <c r="I73" s="64">
        <v>1.23</v>
      </c>
      <c r="J73" s="64">
        <v>0.59</v>
      </c>
      <c r="K73" s="64">
        <v>126.63</v>
      </c>
      <c r="L73" s="64">
        <v>27.73</v>
      </c>
      <c r="M73" s="64">
        <v>73.819999999999993</v>
      </c>
      <c r="N73" s="64">
        <v>83.2</v>
      </c>
      <c r="O73" s="64">
        <v>0</v>
      </c>
      <c r="P73" s="64">
        <v>0.26</v>
      </c>
      <c r="Q73" s="64">
        <v>9.02</v>
      </c>
      <c r="R73" s="198"/>
      <c r="S73" s="198"/>
      <c r="T73" s="198"/>
      <c r="U73" s="198"/>
    </row>
    <row r="74" spans="1:21" s="12" customFormat="1" x14ac:dyDescent="0.25">
      <c r="A74" s="211" t="s">
        <v>2137</v>
      </c>
      <c r="B74" s="64">
        <v>4.88</v>
      </c>
      <c r="C74" s="64">
        <v>10.29</v>
      </c>
      <c r="D74" s="64">
        <v>9.2799999999999994</v>
      </c>
      <c r="E74" s="64">
        <v>5.53</v>
      </c>
      <c r="F74" s="64">
        <v>8.73</v>
      </c>
      <c r="G74" s="64">
        <v>26.78</v>
      </c>
      <c r="H74" s="64">
        <v>14.29</v>
      </c>
      <c r="I74" s="64">
        <v>1.24</v>
      </c>
      <c r="J74" s="64">
        <v>0.94</v>
      </c>
      <c r="K74" s="64">
        <v>129.12</v>
      </c>
      <c r="L74" s="64">
        <v>27.7</v>
      </c>
      <c r="M74" s="64">
        <v>71.87</v>
      </c>
      <c r="N74" s="64">
        <v>83.2</v>
      </c>
      <c r="O74" s="64">
        <v>0</v>
      </c>
      <c r="P74" s="64">
        <v>0.24</v>
      </c>
      <c r="Q74" s="64">
        <v>9.01</v>
      </c>
      <c r="R74" s="198"/>
      <c r="S74" s="198"/>
      <c r="T74" s="198"/>
      <c r="U74" s="198"/>
    </row>
    <row r="75" spans="1:21" s="12" customFormat="1" x14ac:dyDescent="0.25">
      <c r="A75" s="211" t="s">
        <v>2138</v>
      </c>
      <c r="B75" s="64">
        <v>4.78</v>
      </c>
      <c r="C75" s="64">
        <v>9.61</v>
      </c>
      <c r="D75" s="64">
        <v>8.86</v>
      </c>
      <c r="E75" s="64">
        <v>5.96</v>
      </c>
      <c r="F75" s="64">
        <v>8.68</v>
      </c>
      <c r="G75" s="64">
        <v>26.78</v>
      </c>
      <c r="H75" s="64">
        <v>14.29</v>
      </c>
      <c r="I75" s="64">
        <v>1.22</v>
      </c>
      <c r="J75" s="64">
        <v>1.05</v>
      </c>
      <c r="K75" s="64">
        <v>124.66</v>
      </c>
      <c r="L75" s="64">
        <v>27.61</v>
      </c>
      <c r="M75" s="64">
        <v>68.849999999999994</v>
      </c>
      <c r="N75" s="64">
        <v>74.099999999999994</v>
      </c>
      <c r="O75" s="64">
        <v>0</v>
      </c>
      <c r="P75" s="64">
        <v>0.22</v>
      </c>
      <c r="Q75" s="64">
        <v>8.99</v>
      </c>
      <c r="R75" s="198"/>
      <c r="S75" s="198"/>
      <c r="T75" s="198"/>
      <c r="U75" s="198"/>
    </row>
    <row r="76" spans="1:21" s="12" customFormat="1" x14ac:dyDescent="0.25">
      <c r="A76" s="211" t="s">
        <v>2139</v>
      </c>
      <c r="B76" s="64">
        <v>4.74</v>
      </c>
      <c r="C76" s="64">
        <v>9.1999999999999993</v>
      </c>
      <c r="D76" s="64">
        <v>8.61</v>
      </c>
      <c r="E76" s="64">
        <v>5.53</v>
      </c>
      <c r="F76" s="64">
        <v>10.42</v>
      </c>
      <c r="G76" s="64">
        <v>26.78</v>
      </c>
      <c r="H76" s="64">
        <v>14.29</v>
      </c>
      <c r="I76" s="64">
        <v>1.19</v>
      </c>
      <c r="J76" s="64">
        <v>0.86</v>
      </c>
      <c r="K76" s="64">
        <v>128.99</v>
      </c>
      <c r="L76" s="64">
        <v>27.42</v>
      </c>
      <c r="M76" s="64">
        <v>72.44</v>
      </c>
      <c r="N76" s="64">
        <v>61.1</v>
      </c>
      <c r="O76" s="64">
        <v>0</v>
      </c>
      <c r="P76" s="64">
        <v>0.24</v>
      </c>
      <c r="Q76" s="64">
        <v>8.9700000000000006</v>
      </c>
      <c r="R76" s="198"/>
      <c r="S76" s="198"/>
      <c r="T76" s="198"/>
      <c r="U76" s="198"/>
    </row>
    <row r="77" spans="1:21" s="12" customFormat="1" x14ac:dyDescent="0.25">
      <c r="A77" s="211" t="s">
        <v>2140</v>
      </c>
      <c r="B77" s="64">
        <v>5.0199999999999996</v>
      </c>
      <c r="C77" s="64">
        <v>10.51</v>
      </c>
      <c r="D77" s="64">
        <v>9.52</v>
      </c>
      <c r="E77" s="64">
        <v>5.45</v>
      </c>
      <c r="F77" s="64">
        <v>10.27</v>
      </c>
      <c r="G77" s="64">
        <v>28.85</v>
      </c>
      <c r="H77" s="64">
        <v>12.71</v>
      </c>
      <c r="I77" s="64">
        <v>1.1299999999999999</v>
      </c>
      <c r="J77" s="64">
        <v>0.72</v>
      </c>
      <c r="K77" s="64">
        <v>134.35</v>
      </c>
      <c r="L77" s="64">
        <v>27.09</v>
      </c>
      <c r="M77" s="64">
        <v>78.150000000000006</v>
      </c>
      <c r="N77" s="64">
        <v>51.5</v>
      </c>
      <c r="O77" s="64">
        <v>0</v>
      </c>
      <c r="P77" s="64">
        <v>0.27</v>
      </c>
      <c r="Q77" s="64">
        <v>8.9700000000000006</v>
      </c>
      <c r="R77" s="198"/>
      <c r="S77" s="198"/>
      <c r="T77" s="198"/>
      <c r="U77" s="198"/>
    </row>
    <row r="78" spans="1:21" s="12" customFormat="1" x14ac:dyDescent="0.25">
      <c r="A78" s="211" t="s">
        <v>2141</v>
      </c>
      <c r="B78" s="64">
        <v>4.9000000000000004</v>
      </c>
      <c r="C78" s="64">
        <v>11.48</v>
      </c>
      <c r="D78" s="64">
        <v>9.93</v>
      </c>
      <c r="E78" s="64">
        <v>5.53</v>
      </c>
      <c r="F78" s="64">
        <v>9.73</v>
      </c>
      <c r="G78" s="64">
        <v>29.4</v>
      </c>
      <c r="H78" s="64">
        <v>12.71</v>
      </c>
      <c r="I78" s="64">
        <v>1.0900000000000001</v>
      </c>
      <c r="J78" s="64">
        <v>0.55000000000000004</v>
      </c>
      <c r="K78" s="64">
        <v>128.41999999999999</v>
      </c>
      <c r="L78" s="64">
        <v>26.58</v>
      </c>
      <c r="M78" s="64">
        <v>83.98</v>
      </c>
      <c r="N78" s="64">
        <v>45.2</v>
      </c>
      <c r="O78" s="64">
        <v>0</v>
      </c>
      <c r="P78" s="64">
        <v>0.31</v>
      </c>
      <c r="Q78" s="64">
        <v>8.98</v>
      </c>
      <c r="R78" s="198"/>
      <c r="S78" s="198"/>
      <c r="T78" s="198"/>
      <c r="U78" s="198"/>
    </row>
    <row r="79" spans="1:21" s="12" customFormat="1" x14ac:dyDescent="0.25">
      <c r="A79" s="211" t="s">
        <v>2142</v>
      </c>
      <c r="B79" s="64">
        <v>5.72</v>
      </c>
      <c r="C79" s="64">
        <v>16.100000000000001</v>
      </c>
      <c r="D79" s="64">
        <v>13</v>
      </c>
      <c r="E79" s="64">
        <v>6.03</v>
      </c>
      <c r="F79" s="64">
        <v>11.55</v>
      </c>
      <c r="G79" s="64">
        <v>29.4</v>
      </c>
      <c r="H79" s="64">
        <v>12.71</v>
      </c>
      <c r="I79" s="64">
        <v>1.08</v>
      </c>
      <c r="J79" s="64">
        <v>0.17</v>
      </c>
      <c r="K79" s="64">
        <v>139.91</v>
      </c>
      <c r="L79" s="64">
        <v>26.36</v>
      </c>
      <c r="M79" s="64">
        <v>86.36</v>
      </c>
      <c r="N79" s="64">
        <v>42.8</v>
      </c>
      <c r="O79" s="64">
        <v>0</v>
      </c>
      <c r="P79" s="64">
        <v>0.5</v>
      </c>
      <c r="Q79" s="64">
        <v>8.98</v>
      </c>
      <c r="R79" s="198"/>
      <c r="S79" s="198"/>
      <c r="T79" s="198"/>
      <c r="U79" s="198"/>
    </row>
    <row r="80" spans="1:21" s="12" customFormat="1" x14ac:dyDescent="0.25">
      <c r="A80" s="211" t="s">
        <v>2143</v>
      </c>
      <c r="B80" s="64">
        <v>5.42</v>
      </c>
      <c r="C80" s="64">
        <v>13.16</v>
      </c>
      <c r="D80" s="64">
        <v>11.22</v>
      </c>
      <c r="E80" s="64">
        <v>6.11</v>
      </c>
      <c r="F80" s="64">
        <v>9.43</v>
      </c>
      <c r="G80" s="64">
        <v>29.4</v>
      </c>
      <c r="H80" s="64">
        <v>12.71</v>
      </c>
      <c r="I80" s="64">
        <v>1.1200000000000001</v>
      </c>
      <c r="J80" s="64">
        <v>0.48</v>
      </c>
      <c r="K80" s="64">
        <v>130.57</v>
      </c>
      <c r="L80" s="64">
        <v>26.1</v>
      </c>
      <c r="M80" s="64">
        <v>87.33</v>
      </c>
      <c r="N80" s="64">
        <v>42.3</v>
      </c>
      <c r="O80" s="64">
        <v>0</v>
      </c>
      <c r="P80" s="64">
        <v>0.33</v>
      </c>
      <c r="Q80" s="64">
        <v>8.9700000000000006</v>
      </c>
      <c r="R80" s="198"/>
      <c r="S80" s="198"/>
      <c r="T80" s="198"/>
      <c r="U80" s="198"/>
    </row>
    <row r="81" spans="1:26" s="12" customFormat="1" x14ac:dyDescent="0.25">
      <c r="A81" s="211" t="s">
        <v>2144</v>
      </c>
      <c r="B81" s="64">
        <v>5.52</v>
      </c>
      <c r="C81" s="64">
        <v>13.81</v>
      </c>
      <c r="D81" s="64">
        <v>11.65</v>
      </c>
      <c r="E81" s="64">
        <v>6.15</v>
      </c>
      <c r="F81" s="64">
        <v>7.74</v>
      </c>
      <c r="G81" s="64">
        <v>32.26</v>
      </c>
      <c r="H81" s="64">
        <v>12</v>
      </c>
      <c r="I81" s="64">
        <v>1.1599999999999999</v>
      </c>
      <c r="J81" s="64">
        <v>0.43</v>
      </c>
      <c r="K81" s="64">
        <v>130.03</v>
      </c>
      <c r="L81" s="64">
        <v>25.98</v>
      </c>
      <c r="M81" s="64">
        <v>88.41</v>
      </c>
      <c r="N81" s="64">
        <v>42.3</v>
      </c>
      <c r="O81" s="64">
        <v>0</v>
      </c>
      <c r="P81" s="64">
        <v>0.4</v>
      </c>
      <c r="Q81" s="64">
        <v>8.98</v>
      </c>
      <c r="R81" s="198"/>
      <c r="S81" s="198"/>
      <c r="T81" s="198"/>
      <c r="U81" s="198"/>
    </row>
    <row r="82" spans="1:26" s="12" customFormat="1" x14ac:dyDescent="0.25">
      <c r="A82" s="211" t="s">
        <v>2145</v>
      </c>
      <c r="B82" s="64">
        <v>5.66</v>
      </c>
      <c r="C82" s="64">
        <v>12.63</v>
      </c>
      <c r="D82" s="64">
        <v>11.13</v>
      </c>
      <c r="E82" s="64">
        <v>6.47</v>
      </c>
      <c r="F82" s="64">
        <v>10.57</v>
      </c>
      <c r="G82" s="64">
        <v>33.020000000000003</v>
      </c>
      <c r="H82" s="64">
        <v>12</v>
      </c>
      <c r="I82" s="64">
        <v>1.18</v>
      </c>
      <c r="J82" s="64">
        <v>0.45</v>
      </c>
      <c r="K82" s="64">
        <v>135.72</v>
      </c>
      <c r="L82" s="64">
        <v>25.85</v>
      </c>
      <c r="M82" s="64">
        <v>89.54</v>
      </c>
      <c r="N82" s="64">
        <v>42.3</v>
      </c>
      <c r="O82" s="64">
        <v>0</v>
      </c>
      <c r="P82" s="64">
        <v>0.37</v>
      </c>
      <c r="Q82" s="64">
        <v>8.98</v>
      </c>
      <c r="R82" s="198"/>
      <c r="S82" s="198"/>
      <c r="T82" s="198"/>
      <c r="U82" s="198"/>
    </row>
    <row r="83" spans="1:26" s="12" customFormat="1" x14ac:dyDescent="0.25">
      <c r="A83" s="211" t="s">
        <v>2146</v>
      </c>
      <c r="B83" s="64">
        <v>5.17</v>
      </c>
      <c r="C83" s="64">
        <v>13.34</v>
      </c>
      <c r="D83" s="64">
        <v>11.11</v>
      </c>
      <c r="E83" s="64">
        <v>6.83</v>
      </c>
      <c r="F83" s="64">
        <v>8.7799999999999994</v>
      </c>
      <c r="G83" s="64">
        <v>33.020000000000003</v>
      </c>
      <c r="H83" s="64">
        <v>12</v>
      </c>
      <c r="I83" s="64">
        <v>1.22</v>
      </c>
      <c r="J83" s="64">
        <v>0.56999999999999995</v>
      </c>
      <c r="K83" s="64">
        <v>121.99</v>
      </c>
      <c r="L83" s="64">
        <v>25.8</v>
      </c>
      <c r="M83" s="64">
        <v>90.02</v>
      </c>
      <c r="N83" s="64">
        <v>42</v>
      </c>
      <c r="O83" s="64">
        <v>0</v>
      </c>
      <c r="P83" s="64">
        <v>0.36</v>
      </c>
      <c r="Q83" s="64">
        <v>8.98</v>
      </c>
      <c r="R83" s="198"/>
      <c r="S83" s="198"/>
      <c r="T83" s="198"/>
      <c r="U83" s="198"/>
    </row>
    <row r="84" spans="1:26" s="12" customFormat="1" x14ac:dyDescent="0.25">
      <c r="A84" s="211" t="s">
        <v>2147</v>
      </c>
      <c r="B84" s="64">
        <v>5.0999999999999996</v>
      </c>
      <c r="C84" s="64">
        <v>12.15</v>
      </c>
      <c r="D84" s="64">
        <v>10.44</v>
      </c>
      <c r="E84" s="64">
        <v>7.39</v>
      </c>
      <c r="F84" s="64">
        <v>9.56</v>
      </c>
      <c r="G84" s="64">
        <v>33.020000000000003</v>
      </c>
      <c r="H84" s="64">
        <v>12</v>
      </c>
      <c r="I84" s="64">
        <v>1.26</v>
      </c>
      <c r="J84" s="64">
        <v>0.68</v>
      </c>
      <c r="K84" s="64">
        <v>128.47</v>
      </c>
      <c r="L84" s="64">
        <v>25.75</v>
      </c>
      <c r="M84" s="64">
        <v>90.56</v>
      </c>
      <c r="N84" s="64">
        <v>42.1</v>
      </c>
      <c r="O84" s="64">
        <v>0</v>
      </c>
      <c r="P84" s="64">
        <v>0.34</v>
      </c>
      <c r="Q84" s="64">
        <v>8.98</v>
      </c>
      <c r="R84" s="198"/>
      <c r="S84" s="198"/>
      <c r="T84" s="198"/>
      <c r="U84" s="198"/>
    </row>
    <row r="85" spans="1:26" s="12" customFormat="1" x14ac:dyDescent="0.25">
      <c r="A85" s="211" t="s">
        <v>2148</v>
      </c>
      <c r="B85" s="64">
        <v>5.03</v>
      </c>
      <c r="C85" s="64">
        <v>11.14</v>
      </c>
      <c r="D85" s="64">
        <v>9.85</v>
      </c>
      <c r="E85" s="64">
        <v>7.37</v>
      </c>
      <c r="F85" s="64">
        <v>10.45</v>
      </c>
      <c r="G85" s="64">
        <v>33.08</v>
      </c>
      <c r="H85" s="64">
        <v>10.199999999999999</v>
      </c>
      <c r="I85" s="64">
        <v>1.29</v>
      </c>
      <c r="J85" s="64">
        <v>0.78</v>
      </c>
      <c r="K85" s="64">
        <v>133.4</v>
      </c>
      <c r="L85" s="64">
        <v>25.63</v>
      </c>
      <c r="M85" s="64">
        <v>92.19</v>
      </c>
      <c r="N85" s="64">
        <v>42</v>
      </c>
      <c r="O85" s="64">
        <v>0</v>
      </c>
      <c r="P85" s="64">
        <v>0.35</v>
      </c>
      <c r="Q85" s="64">
        <v>9</v>
      </c>
      <c r="R85" s="198"/>
      <c r="S85" s="198"/>
      <c r="T85" s="198"/>
      <c r="U85" s="198"/>
    </row>
    <row r="86" spans="1:26" s="12" customFormat="1" x14ac:dyDescent="0.25">
      <c r="A86" s="211" t="s">
        <v>2149</v>
      </c>
      <c r="B86" s="64">
        <v>5.12</v>
      </c>
      <c r="C86" s="64">
        <v>11.87</v>
      </c>
      <c r="D86" s="64">
        <v>10.3</v>
      </c>
      <c r="E86" s="64">
        <v>7.02</v>
      </c>
      <c r="F86" s="64">
        <v>9.35</v>
      </c>
      <c r="G86" s="64">
        <v>33.1</v>
      </c>
      <c r="H86" s="64">
        <v>10.199999999999999</v>
      </c>
      <c r="I86" s="64">
        <v>1.31</v>
      </c>
      <c r="J86" s="64">
        <v>0.84</v>
      </c>
      <c r="K86" s="64">
        <v>132.19999999999999</v>
      </c>
      <c r="L86" s="64">
        <v>25.6</v>
      </c>
      <c r="M86" s="64">
        <v>93.47</v>
      </c>
      <c r="N86" s="64">
        <v>41.9</v>
      </c>
      <c r="O86" s="64">
        <v>0</v>
      </c>
      <c r="P86" s="64">
        <v>0.41</v>
      </c>
      <c r="Q86" s="64">
        <v>9.01</v>
      </c>
      <c r="R86" s="198"/>
      <c r="S86" s="198"/>
      <c r="T86" s="198"/>
      <c r="U86" s="198"/>
    </row>
    <row r="87" spans="1:26" s="12" customFormat="1" x14ac:dyDescent="0.25">
      <c r="A87" s="211" t="s">
        <v>2150</v>
      </c>
      <c r="B87" s="64">
        <v>5.18</v>
      </c>
      <c r="C87" s="64">
        <v>13.33</v>
      </c>
      <c r="D87" s="64">
        <v>11.12</v>
      </c>
      <c r="E87" s="64">
        <v>6.82</v>
      </c>
      <c r="F87" s="64">
        <v>9.4499999999999993</v>
      </c>
      <c r="G87" s="64">
        <v>33.1</v>
      </c>
      <c r="H87" s="64">
        <v>10.199999999999999</v>
      </c>
      <c r="I87" s="64">
        <v>1.34</v>
      </c>
      <c r="J87" s="64">
        <v>0.73</v>
      </c>
      <c r="K87" s="64">
        <v>136.97999999999999</v>
      </c>
      <c r="L87" s="64">
        <v>25.59</v>
      </c>
      <c r="M87" s="64">
        <v>93.93</v>
      </c>
      <c r="N87" s="64">
        <v>41.9</v>
      </c>
      <c r="O87" s="64">
        <v>0</v>
      </c>
      <c r="P87" s="64">
        <v>0.42</v>
      </c>
      <c r="Q87" s="64">
        <v>9.02</v>
      </c>
      <c r="R87" s="198"/>
      <c r="S87" s="198"/>
      <c r="T87" s="198"/>
      <c r="U87" s="198"/>
    </row>
    <row r="88" spans="1:26" s="12" customFormat="1" x14ac:dyDescent="0.25">
      <c r="A88" s="211" t="s">
        <v>2151</v>
      </c>
      <c r="B88" s="64">
        <v>5.12</v>
      </c>
      <c r="C88" s="64">
        <v>12.44</v>
      </c>
      <c r="D88" s="64">
        <v>10.61</v>
      </c>
      <c r="E88" s="64">
        <v>6.59</v>
      </c>
      <c r="F88" s="64">
        <v>9.34</v>
      </c>
      <c r="G88" s="64">
        <v>33.1</v>
      </c>
      <c r="H88" s="64">
        <v>10.199999999999999</v>
      </c>
      <c r="I88" s="64">
        <v>1.37</v>
      </c>
      <c r="J88" s="64">
        <v>0.77</v>
      </c>
      <c r="K88" s="64">
        <v>131.84</v>
      </c>
      <c r="L88" s="64">
        <v>25.59</v>
      </c>
      <c r="M88" s="64">
        <v>94.52</v>
      </c>
      <c r="N88" s="64">
        <v>41.9</v>
      </c>
      <c r="O88" s="64">
        <v>0</v>
      </c>
      <c r="P88" s="64">
        <v>0.42</v>
      </c>
      <c r="Q88" s="64">
        <v>9.0299999999999994</v>
      </c>
      <c r="R88" s="198"/>
      <c r="S88" s="198"/>
      <c r="T88" s="198"/>
      <c r="U88" s="198"/>
    </row>
    <row r="89" spans="1:26" s="12" customFormat="1" x14ac:dyDescent="0.25">
      <c r="A89" s="211" t="s">
        <v>2152</v>
      </c>
      <c r="B89" s="64">
        <v>5.14</v>
      </c>
      <c r="C89" s="64">
        <v>13.05</v>
      </c>
      <c r="D89" s="64">
        <v>10.94</v>
      </c>
      <c r="E89" s="64">
        <v>6.67</v>
      </c>
      <c r="F89" s="64">
        <v>7.19</v>
      </c>
      <c r="G89" s="64">
        <v>34.46</v>
      </c>
      <c r="H89" s="64">
        <v>8.94</v>
      </c>
      <c r="I89" s="64">
        <v>1.39</v>
      </c>
      <c r="J89" s="64">
        <v>0.56999999999999995</v>
      </c>
      <c r="K89" s="64">
        <v>126.75</v>
      </c>
      <c r="L89" s="64">
        <v>25.58</v>
      </c>
      <c r="M89" s="64">
        <v>95.01</v>
      </c>
      <c r="N89" s="64">
        <v>41.9</v>
      </c>
      <c r="O89" s="64">
        <v>0</v>
      </c>
      <c r="P89" s="64">
        <v>0.43</v>
      </c>
      <c r="Q89" s="64">
        <v>9.0299999999999994</v>
      </c>
      <c r="R89" s="198"/>
      <c r="S89" s="198"/>
      <c r="T89" s="198"/>
      <c r="U89" s="198"/>
    </row>
    <row r="90" spans="1:26" s="12" customFormat="1" x14ac:dyDescent="0.25">
      <c r="A90" s="211" t="s">
        <v>2153</v>
      </c>
      <c r="B90" s="64">
        <v>5.25</v>
      </c>
      <c r="C90" s="64">
        <v>12.74</v>
      </c>
      <c r="D90" s="64">
        <v>10.87</v>
      </c>
      <c r="E90" s="64">
        <v>6.6</v>
      </c>
      <c r="F90" s="64">
        <v>8.42</v>
      </c>
      <c r="G90" s="64">
        <v>34.82</v>
      </c>
      <c r="H90" s="64">
        <v>8.94</v>
      </c>
      <c r="I90" s="64">
        <v>1.42</v>
      </c>
      <c r="J90" s="64">
        <v>0.72</v>
      </c>
      <c r="K90" s="64">
        <v>125.61</v>
      </c>
      <c r="L90" s="64">
        <v>25.5</v>
      </c>
      <c r="M90" s="64">
        <v>95.56</v>
      </c>
      <c r="N90" s="64">
        <v>41.9</v>
      </c>
      <c r="O90" s="64">
        <v>0</v>
      </c>
      <c r="P90" s="64">
        <v>0.42</v>
      </c>
      <c r="Q90" s="64">
        <v>9.0299999999999994</v>
      </c>
      <c r="R90" s="198"/>
      <c r="S90" s="198"/>
      <c r="T90" s="198"/>
      <c r="U90" s="198"/>
    </row>
    <row r="91" spans="1:26" s="12" customFormat="1" x14ac:dyDescent="0.25">
      <c r="A91" s="211" t="s">
        <v>2154</v>
      </c>
      <c r="B91" s="64">
        <v>5.33</v>
      </c>
      <c r="C91" s="64">
        <v>11.85</v>
      </c>
      <c r="D91" s="64">
        <v>10.47</v>
      </c>
      <c r="E91" s="64">
        <v>7.04</v>
      </c>
      <c r="F91" s="64">
        <v>8.4600000000000009</v>
      </c>
      <c r="G91" s="64">
        <v>34.82</v>
      </c>
      <c r="H91" s="64">
        <v>8.94</v>
      </c>
      <c r="I91" s="64">
        <v>1.45</v>
      </c>
      <c r="J91" s="64">
        <v>0.98</v>
      </c>
      <c r="K91" s="64">
        <v>113.91</v>
      </c>
      <c r="L91" s="64">
        <v>25.48</v>
      </c>
      <c r="M91" s="64">
        <v>94.97</v>
      </c>
      <c r="N91" s="64">
        <v>41.9</v>
      </c>
      <c r="O91" s="64">
        <v>0</v>
      </c>
      <c r="P91" s="64">
        <v>0.39</v>
      </c>
      <c r="Q91" s="64">
        <v>9.0500000000000007</v>
      </c>
      <c r="R91" s="198"/>
      <c r="S91" s="198"/>
      <c r="T91" s="198"/>
      <c r="U91" s="198"/>
    </row>
    <row r="92" spans="1:26" s="12" customFormat="1" x14ac:dyDescent="0.25">
      <c r="A92" s="211" t="s">
        <v>2155</v>
      </c>
      <c r="B92" s="64">
        <v>5.44</v>
      </c>
      <c r="C92" s="64">
        <v>11.03</v>
      </c>
      <c r="D92" s="64">
        <v>10.119999999999999</v>
      </c>
      <c r="E92" s="64">
        <v>6.93</v>
      </c>
      <c r="F92" s="64">
        <v>6.83</v>
      </c>
      <c r="G92" s="64">
        <v>34.82</v>
      </c>
      <c r="H92" s="64">
        <v>8.94</v>
      </c>
      <c r="I92" s="64">
        <v>1.48</v>
      </c>
      <c r="J92" s="64">
        <v>0.89</v>
      </c>
      <c r="K92" s="64">
        <v>113.65</v>
      </c>
      <c r="L92" s="64">
        <v>25.34</v>
      </c>
      <c r="M92" s="64">
        <v>95.26</v>
      </c>
      <c r="N92" s="64">
        <v>42</v>
      </c>
      <c r="O92" s="64">
        <v>0</v>
      </c>
      <c r="P92" s="64">
        <v>0.38</v>
      </c>
      <c r="Q92" s="64">
        <v>9.0399999999999991</v>
      </c>
      <c r="R92" s="198"/>
      <c r="S92" s="198"/>
      <c r="T92" s="198"/>
      <c r="U92" s="198"/>
    </row>
    <row r="93" spans="1:26" s="12" customFormat="1" x14ac:dyDescent="0.25">
      <c r="A93" s="211" t="s">
        <v>2156</v>
      </c>
      <c r="B93" s="64">
        <v>5.7</v>
      </c>
      <c r="C93" s="64">
        <v>10.53</v>
      </c>
      <c r="D93" s="64">
        <v>10.07</v>
      </c>
      <c r="E93" s="64">
        <v>6.79</v>
      </c>
      <c r="F93" s="64">
        <v>6.5</v>
      </c>
      <c r="G93" s="64">
        <v>52.39</v>
      </c>
      <c r="H93" s="64">
        <v>9.69</v>
      </c>
      <c r="I93" s="64">
        <v>1.5</v>
      </c>
      <c r="J93" s="64">
        <v>0.38</v>
      </c>
      <c r="K93" s="64">
        <v>135.72999999999999</v>
      </c>
      <c r="L93" s="64">
        <v>25.14</v>
      </c>
      <c r="M93" s="64">
        <v>96.07</v>
      </c>
      <c r="N93" s="64">
        <v>42.2</v>
      </c>
      <c r="O93" s="64">
        <v>0</v>
      </c>
      <c r="P93" s="64">
        <v>0.38</v>
      </c>
      <c r="Q93" s="64">
        <v>9.01</v>
      </c>
      <c r="R93" s="198"/>
      <c r="S93" s="198"/>
      <c r="T93" s="198"/>
      <c r="U93" s="198"/>
    </row>
    <row r="94" spans="1:26" s="12" customFormat="1" x14ac:dyDescent="0.25">
      <c r="A94" s="211" t="s">
        <v>2157</v>
      </c>
      <c r="B94" s="64">
        <v>5.63</v>
      </c>
      <c r="C94" s="64">
        <v>10.54</v>
      </c>
      <c r="D94" s="64">
        <v>10.02</v>
      </c>
      <c r="E94" s="64">
        <v>6.36</v>
      </c>
      <c r="F94" s="64">
        <v>6.98</v>
      </c>
      <c r="G94" s="64">
        <v>57.09</v>
      </c>
      <c r="H94" s="64">
        <v>9.69</v>
      </c>
      <c r="I94" s="64">
        <v>1.49</v>
      </c>
      <c r="J94" s="64">
        <v>0.56000000000000005</v>
      </c>
      <c r="K94" s="64">
        <v>152.62</v>
      </c>
      <c r="L94" s="64">
        <v>24.79</v>
      </c>
      <c r="M94" s="64">
        <v>97.68</v>
      </c>
      <c r="N94" s="64">
        <v>42.3</v>
      </c>
      <c r="O94" s="64">
        <v>0</v>
      </c>
      <c r="P94" s="64">
        <v>0.36</v>
      </c>
      <c r="Q94" s="64">
        <v>9.01</v>
      </c>
      <c r="R94" s="198"/>
      <c r="S94" s="198"/>
      <c r="T94" s="198"/>
      <c r="U94" s="198"/>
    </row>
    <row r="95" spans="1:26" s="12" customFormat="1" x14ac:dyDescent="0.25">
      <c r="A95" s="211" t="s">
        <v>2158</v>
      </c>
      <c r="B95" s="64">
        <v>5.66</v>
      </c>
      <c r="C95" s="64">
        <v>10.199999999999999</v>
      </c>
      <c r="D95" s="64">
        <v>9.8699999999999992</v>
      </c>
      <c r="E95" s="64">
        <v>6.47</v>
      </c>
      <c r="F95" s="64">
        <v>8.5399999999999991</v>
      </c>
      <c r="G95" s="64">
        <v>57.09</v>
      </c>
      <c r="H95" s="64">
        <v>9.69</v>
      </c>
      <c r="I95" s="64">
        <v>1.48</v>
      </c>
      <c r="J95" s="64">
        <v>0.31</v>
      </c>
      <c r="K95" s="64">
        <v>124.1</v>
      </c>
      <c r="L95" s="64">
        <v>24.47</v>
      </c>
      <c r="M95" s="64">
        <v>97.7</v>
      </c>
      <c r="N95" s="64">
        <v>42.3</v>
      </c>
      <c r="O95" s="64">
        <v>0</v>
      </c>
      <c r="P95" s="64">
        <v>0.36</v>
      </c>
      <c r="Q95" s="64">
        <v>9.01</v>
      </c>
      <c r="R95" s="198"/>
      <c r="S95" s="198"/>
      <c r="T95" s="198"/>
      <c r="U95" s="198"/>
    </row>
    <row r="96" spans="1:26" s="12" customFormat="1" x14ac:dyDescent="0.25">
      <c r="A96" s="211" t="s">
        <v>2159</v>
      </c>
      <c r="B96" s="64">
        <v>5.79</v>
      </c>
      <c r="C96" s="64">
        <v>9.8800000000000008</v>
      </c>
      <c r="D96" s="64">
        <v>9.8000000000000007</v>
      </c>
      <c r="E96" s="64">
        <v>6.73</v>
      </c>
      <c r="F96" s="64">
        <v>2.64</v>
      </c>
      <c r="G96" s="64">
        <v>57.09</v>
      </c>
      <c r="H96" s="64">
        <v>9.69</v>
      </c>
      <c r="I96" s="64">
        <v>1.48</v>
      </c>
      <c r="J96" s="64">
        <v>0.27</v>
      </c>
      <c r="K96" s="64">
        <v>126.15</v>
      </c>
      <c r="L96" s="64">
        <v>24.19</v>
      </c>
      <c r="M96" s="64">
        <v>97.7</v>
      </c>
      <c r="N96" s="64">
        <v>42.3</v>
      </c>
      <c r="O96" s="64">
        <v>0</v>
      </c>
      <c r="P96" s="64">
        <v>0.37</v>
      </c>
      <c r="Q96" s="64">
        <v>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2160</v>
      </c>
      <c r="B97" s="64">
        <v>5.84</v>
      </c>
      <c r="C97" s="64">
        <v>10.14</v>
      </c>
      <c r="D97" s="64">
        <v>9.98</v>
      </c>
      <c r="E97" s="64">
        <v>6.32</v>
      </c>
      <c r="F97" s="64">
        <v>4.46</v>
      </c>
      <c r="G97" s="64">
        <v>66.12</v>
      </c>
      <c r="H97" s="64">
        <v>8.2799999999999994</v>
      </c>
      <c r="I97" s="64">
        <v>1.47</v>
      </c>
      <c r="J97" s="64">
        <v>0.52</v>
      </c>
      <c r="K97" s="64">
        <v>164.36</v>
      </c>
      <c r="L97" s="64">
        <v>23.96</v>
      </c>
      <c r="M97" s="64">
        <v>97.7</v>
      </c>
      <c r="N97" s="64">
        <v>42</v>
      </c>
      <c r="O97" s="64">
        <v>0</v>
      </c>
      <c r="P97" s="64">
        <v>0.34</v>
      </c>
      <c r="Q97" s="64">
        <v>8.99</v>
      </c>
      <c r="R97" s="198"/>
      <c r="S97" s="198"/>
      <c r="T97" s="198"/>
      <c r="U97" s="198"/>
    </row>
    <row r="98" spans="1:33" s="12" customFormat="1" x14ac:dyDescent="0.25">
      <c r="A98" s="211" t="s">
        <v>2161</v>
      </c>
      <c r="B98" s="64">
        <v>6.19</v>
      </c>
      <c r="C98" s="64">
        <v>9.14</v>
      </c>
      <c r="D98" s="64">
        <v>9.74</v>
      </c>
      <c r="E98" s="64">
        <v>6.13</v>
      </c>
      <c r="F98" s="64">
        <v>2.16</v>
      </c>
      <c r="G98" s="64">
        <v>68.53</v>
      </c>
      <c r="H98" s="64">
        <v>8.2799999999999994</v>
      </c>
      <c r="I98" s="64">
        <v>1.46</v>
      </c>
      <c r="J98" s="64">
        <v>0.54</v>
      </c>
      <c r="K98" s="64">
        <v>176.84</v>
      </c>
      <c r="L98" s="64">
        <v>23.75</v>
      </c>
      <c r="M98" s="64">
        <v>97.7</v>
      </c>
      <c r="N98" s="64">
        <v>42</v>
      </c>
      <c r="O98" s="64">
        <v>0</v>
      </c>
      <c r="P98" s="64">
        <v>0.37</v>
      </c>
      <c r="Q98" s="64">
        <v>8.99</v>
      </c>
      <c r="R98" s="198"/>
      <c r="S98" s="198"/>
      <c r="T98" s="198"/>
      <c r="U98" s="198"/>
    </row>
    <row r="99" spans="1:33" s="12" customFormat="1" x14ac:dyDescent="0.25">
      <c r="A99" s="211" t="s">
        <v>2162</v>
      </c>
      <c r="B99" s="64">
        <v>6.26</v>
      </c>
      <c r="C99" s="64">
        <v>8.9700000000000006</v>
      </c>
      <c r="D99" s="64">
        <v>9.6999999999999993</v>
      </c>
      <c r="E99" s="64">
        <v>6.07</v>
      </c>
      <c r="F99" s="64">
        <v>3.24</v>
      </c>
      <c r="G99" s="64">
        <v>68.53</v>
      </c>
      <c r="H99" s="64">
        <v>8.2799999999999994</v>
      </c>
      <c r="I99" s="64">
        <v>1.46</v>
      </c>
      <c r="J99" s="64">
        <v>0.43</v>
      </c>
      <c r="K99" s="64">
        <v>168.23</v>
      </c>
      <c r="L99" s="64">
        <v>23.5</v>
      </c>
      <c r="M99" s="64">
        <v>97.73</v>
      </c>
      <c r="N99" s="64">
        <v>42.1</v>
      </c>
      <c r="O99" s="64">
        <v>0</v>
      </c>
      <c r="P99" s="64">
        <v>0.35</v>
      </c>
      <c r="Q99" s="64">
        <v>9</v>
      </c>
      <c r="R99" s="198"/>
      <c r="S99" s="198"/>
      <c r="T99" s="198"/>
      <c r="U99" s="198"/>
    </row>
    <row r="100" spans="1:33" s="12" customFormat="1" x14ac:dyDescent="0.25">
      <c r="A100" s="211" t="s">
        <v>2163</v>
      </c>
      <c r="B100" s="64">
        <v>6.54</v>
      </c>
      <c r="C100" s="64">
        <v>8.74</v>
      </c>
      <c r="D100" s="64">
        <v>9.81</v>
      </c>
      <c r="E100" s="64">
        <v>6.05</v>
      </c>
      <c r="F100" s="64">
        <v>2.1</v>
      </c>
      <c r="G100" s="64">
        <v>68.53</v>
      </c>
      <c r="H100" s="64">
        <v>8.2799999999999994</v>
      </c>
      <c r="I100" s="64">
        <v>1.46</v>
      </c>
      <c r="J100" s="64">
        <v>0.35</v>
      </c>
      <c r="K100" s="64">
        <v>162.78</v>
      </c>
      <c r="L100" s="64">
        <v>23.28</v>
      </c>
      <c r="M100" s="64">
        <v>97.75</v>
      </c>
      <c r="N100" s="64">
        <v>41.9</v>
      </c>
      <c r="O100" s="64">
        <v>0</v>
      </c>
      <c r="P100" s="64">
        <v>0.35</v>
      </c>
      <c r="Q100" s="64">
        <v>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2164</v>
      </c>
      <c r="B101" s="64">
        <v>6.44</v>
      </c>
      <c r="C101" s="64">
        <v>10.08</v>
      </c>
      <c r="D101" s="64">
        <v>10.43</v>
      </c>
      <c r="E101" s="64">
        <v>5.54</v>
      </c>
      <c r="F101" s="64">
        <v>3.43</v>
      </c>
      <c r="G101" s="64">
        <v>71.17</v>
      </c>
      <c r="H101" s="64">
        <v>7.3</v>
      </c>
      <c r="I101" s="64">
        <v>1.45</v>
      </c>
      <c r="J101" s="64">
        <v>0.26</v>
      </c>
      <c r="K101" s="64">
        <v>116.65</v>
      </c>
      <c r="L101" s="64">
        <v>23.18</v>
      </c>
      <c r="M101" s="64">
        <v>97.73</v>
      </c>
      <c r="N101" s="64">
        <v>41.9</v>
      </c>
      <c r="O101" s="64">
        <v>0</v>
      </c>
      <c r="P101" s="64">
        <v>0.3</v>
      </c>
      <c r="Q101" s="64">
        <v>9.01</v>
      </c>
      <c r="R101" s="198"/>
      <c r="S101" s="198"/>
      <c r="T101" s="198"/>
      <c r="U101" s="198"/>
    </row>
    <row r="102" spans="1:33" s="12" customFormat="1" x14ac:dyDescent="0.25">
      <c r="A102" s="211" t="s">
        <v>2165</v>
      </c>
      <c r="B102" s="64">
        <v>6.36</v>
      </c>
      <c r="C102" s="64">
        <v>9.1300000000000008</v>
      </c>
      <c r="D102" s="64">
        <v>9.8699999999999992</v>
      </c>
      <c r="E102" s="64">
        <v>5.85</v>
      </c>
      <c r="F102" s="64">
        <v>2.2999999999999998</v>
      </c>
      <c r="G102" s="64">
        <v>71.88</v>
      </c>
      <c r="H102" s="64">
        <v>7.3</v>
      </c>
      <c r="I102" s="64">
        <v>1.44</v>
      </c>
      <c r="J102" s="64">
        <v>0.2</v>
      </c>
      <c r="K102" s="64">
        <v>147.11000000000001</v>
      </c>
      <c r="L102" s="64">
        <v>23.15</v>
      </c>
      <c r="M102" s="64">
        <v>97.72</v>
      </c>
      <c r="N102" s="64">
        <v>41.9</v>
      </c>
      <c r="O102" s="64">
        <v>0</v>
      </c>
      <c r="P102" s="64">
        <v>0.31</v>
      </c>
      <c r="Q102" s="64">
        <v>9.01</v>
      </c>
      <c r="R102" s="198"/>
      <c r="S102" s="198"/>
      <c r="T102" s="198"/>
      <c r="U102" s="198"/>
    </row>
    <row r="103" spans="1:33" s="12" customFormat="1" x14ac:dyDescent="0.25">
      <c r="A103" s="211" t="s">
        <v>2166</v>
      </c>
      <c r="B103" s="64">
        <v>6.36</v>
      </c>
      <c r="C103" s="64">
        <v>9.4</v>
      </c>
      <c r="D103" s="64">
        <v>10.02</v>
      </c>
      <c r="E103" s="64">
        <v>6.23</v>
      </c>
      <c r="F103" s="64">
        <v>2.34</v>
      </c>
      <c r="G103" s="64">
        <v>71.88</v>
      </c>
      <c r="H103" s="64">
        <v>7.3</v>
      </c>
      <c r="I103" s="64">
        <v>1.42</v>
      </c>
      <c r="J103" s="64">
        <v>0.4</v>
      </c>
      <c r="K103" s="64">
        <v>127.66</v>
      </c>
      <c r="L103" s="64">
        <v>23.17</v>
      </c>
      <c r="M103" s="64">
        <v>97.7</v>
      </c>
      <c r="N103" s="64">
        <v>41.8</v>
      </c>
      <c r="O103" s="64">
        <v>0</v>
      </c>
      <c r="P103" s="64">
        <v>0.3</v>
      </c>
      <c r="Q103" s="64">
        <v>9.01</v>
      </c>
      <c r="R103" s="198"/>
      <c r="S103" s="198"/>
      <c r="T103" s="198"/>
      <c r="U103" s="198"/>
    </row>
    <row r="104" spans="1:33" s="12" customFormat="1" x14ac:dyDescent="0.25">
      <c r="A104" s="211" t="s">
        <v>2167</v>
      </c>
      <c r="B104" s="64">
        <v>6.35</v>
      </c>
      <c r="C104" s="64">
        <v>8.81</v>
      </c>
      <c r="D104" s="64">
        <v>9.6999999999999993</v>
      </c>
      <c r="E104" s="64">
        <v>6.31</v>
      </c>
      <c r="F104" s="64">
        <v>2.1</v>
      </c>
      <c r="G104" s="64">
        <v>71.88</v>
      </c>
      <c r="H104" s="64">
        <v>7.3</v>
      </c>
      <c r="I104" s="64">
        <v>1.4</v>
      </c>
      <c r="J104" s="64">
        <v>0.28000000000000003</v>
      </c>
      <c r="K104" s="64">
        <v>177.89</v>
      </c>
      <c r="L104" s="64">
        <v>23.14</v>
      </c>
      <c r="M104" s="64">
        <v>97.7</v>
      </c>
      <c r="N104" s="64">
        <v>41.9</v>
      </c>
      <c r="O104" s="64">
        <v>0</v>
      </c>
      <c r="P104" s="64">
        <v>0.3</v>
      </c>
      <c r="Q104" s="64">
        <v>9.0299999999999994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4.74</v>
      </c>
      <c r="C106" s="67">
        <f>MIN(C9:C104)</f>
        <v>8.69</v>
      </c>
      <c r="D106" s="67">
        <f t="shared" ref="D106:Q106" si="0">MIN(D9:D104)</f>
        <v>8.61</v>
      </c>
      <c r="E106" s="67">
        <f t="shared" si="0"/>
        <v>5.15</v>
      </c>
      <c r="F106" s="67">
        <f t="shared" si="0"/>
        <v>2.1</v>
      </c>
      <c r="G106" s="67">
        <f t="shared" si="0"/>
        <v>0</v>
      </c>
      <c r="H106" s="67">
        <f t="shared" si="0"/>
        <v>0</v>
      </c>
      <c r="I106" s="67">
        <f t="shared" si="0"/>
        <v>1.08</v>
      </c>
      <c r="J106" s="67">
        <f t="shared" si="0"/>
        <v>0</v>
      </c>
      <c r="K106" s="67">
        <f t="shared" si="0"/>
        <v>9.25</v>
      </c>
      <c r="L106" s="67">
        <f t="shared" si="0"/>
        <v>22.5</v>
      </c>
      <c r="M106" s="67">
        <f t="shared" si="0"/>
        <v>62.46</v>
      </c>
      <c r="N106" s="67">
        <f t="shared" si="0"/>
        <v>40.200000000000003</v>
      </c>
      <c r="O106" s="67">
        <f t="shared" si="0"/>
        <v>0</v>
      </c>
      <c r="P106" s="67">
        <f t="shared" si="0"/>
        <v>0.18</v>
      </c>
      <c r="Q106" s="67">
        <f t="shared" si="0"/>
        <v>8.9700000000000006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17.04</v>
      </c>
      <c r="C107" s="66">
        <f t="shared" ref="C107:Q107" si="1">MAX(C9:C104)</f>
        <v>21.25</v>
      </c>
      <c r="D107" s="66">
        <f t="shared" si="1"/>
        <v>23.9</v>
      </c>
      <c r="E107" s="66">
        <f t="shared" si="1"/>
        <v>12</v>
      </c>
      <c r="F107" s="66">
        <f t="shared" si="1"/>
        <v>13.57</v>
      </c>
      <c r="G107" s="66">
        <f t="shared" si="1"/>
        <v>94.5</v>
      </c>
      <c r="H107" s="66">
        <f t="shared" si="1"/>
        <v>21.69</v>
      </c>
      <c r="I107" s="66">
        <f t="shared" si="1"/>
        <v>3.66</v>
      </c>
      <c r="J107" s="66">
        <f t="shared" si="1"/>
        <v>2.12</v>
      </c>
      <c r="K107" s="66">
        <f t="shared" si="1"/>
        <v>344.38</v>
      </c>
      <c r="L107" s="66">
        <f t="shared" si="1"/>
        <v>29.33</v>
      </c>
      <c r="M107" s="66">
        <f t="shared" si="1"/>
        <v>97.75</v>
      </c>
      <c r="N107" s="66">
        <f t="shared" si="1"/>
        <v>764</v>
      </c>
      <c r="O107" s="66">
        <f t="shared" si="1"/>
        <v>0</v>
      </c>
      <c r="P107" s="66">
        <f t="shared" si="1"/>
        <v>1.1200000000000001</v>
      </c>
      <c r="Q107" s="66">
        <f t="shared" si="1"/>
        <v>9.24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7.7060416666666667</v>
      </c>
      <c r="C108" s="67">
        <f t="shared" ref="C108:Q108" si="2">AVERAGE(C9:C104)</f>
        <v>12.919687500000004</v>
      </c>
      <c r="D108" s="67">
        <f t="shared" si="2"/>
        <v>12.930520833333327</v>
      </c>
      <c r="E108" s="67">
        <f t="shared" si="2"/>
        <v>7.6148958333333328</v>
      </c>
      <c r="F108" s="67">
        <f t="shared" si="2"/>
        <v>6.0333333333333341</v>
      </c>
      <c r="G108" s="67">
        <f t="shared" si="2"/>
        <v>57.177916666666654</v>
      </c>
      <c r="H108" s="67">
        <f t="shared" si="2"/>
        <v>13.567812500000004</v>
      </c>
      <c r="I108" s="67">
        <f t="shared" si="2"/>
        <v>2.2229166666666664</v>
      </c>
      <c r="J108" s="67">
        <f t="shared" si="2"/>
        <v>0.55520833333333341</v>
      </c>
      <c r="K108" s="67">
        <f t="shared" si="2"/>
        <v>190.10927083333334</v>
      </c>
      <c r="L108" s="67">
        <f t="shared" si="2"/>
        <v>25.383749999999992</v>
      </c>
      <c r="M108" s="67">
        <f t="shared" si="2"/>
        <v>87.121041666666656</v>
      </c>
      <c r="N108" s="67">
        <f t="shared" si="2"/>
        <v>157.46562499999996</v>
      </c>
      <c r="O108" s="67">
        <f t="shared" si="2"/>
        <v>0</v>
      </c>
      <c r="P108" s="67">
        <f t="shared" si="2"/>
        <v>0.51937499999999992</v>
      </c>
      <c r="Q108" s="67">
        <f t="shared" si="2"/>
        <v>9.0730208333333326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2.8652886248175364</v>
      </c>
      <c r="C109" s="67">
        <f t="shared" ref="C109:Q109" si="3">STDEV(C9:C104)</f>
        <v>3.3634028674370859</v>
      </c>
      <c r="D109" s="67">
        <f t="shared" si="3"/>
        <v>3.5269680940438906</v>
      </c>
      <c r="E109" s="67">
        <f t="shared" si="3"/>
        <v>1.566714292155917</v>
      </c>
      <c r="F109" s="67">
        <f t="shared" si="3"/>
        <v>3.3531498676748264</v>
      </c>
      <c r="G109" s="67">
        <f t="shared" si="3"/>
        <v>29.290104666994836</v>
      </c>
      <c r="H109" s="67">
        <f t="shared" si="3"/>
        <v>5.5084316620068918</v>
      </c>
      <c r="I109" s="67">
        <f t="shared" si="3"/>
        <v>0.9685875953286609</v>
      </c>
      <c r="J109" s="67">
        <f t="shared" si="3"/>
        <v>0.43297496990172929</v>
      </c>
      <c r="K109" s="67">
        <f t="shared" si="3"/>
        <v>95.374069235933192</v>
      </c>
      <c r="L109" s="67">
        <f t="shared" si="3"/>
        <v>2.344892433847614</v>
      </c>
      <c r="M109" s="67">
        <f t="shared" si="3"/>
        <v>11.957824699128643</v>
      </c>
      <c r="N109" s="67">
        <f t="shared" si="3"/>
        <v>200.25555979041818</v>
      </c>
      <c r="O109" s="67">
        <f t="shared" si="3"/>
        <v>0</v>
      </c>
      <c r="P109" s="67">
        <f t="shared" si="3"/>
        <v>0.2721718207309497</v>
      </c>
      <c r="Q109" s="67">
        <f t="shared" si="3"/>
        <v>8.3818347340407426E-2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N15" sqref="N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2168</v>
      </c>
      <c r="B9" s="64">
        <v>6.2</v>
      </c>
      <c r="C9" s="64">
        <v>8.93</v>
      </c>
      <c r="D9" s="64">
        <v>9.64</v>
      </c>
      <c r="E9" s="64">
        <v>6.99</v>
      </c>
      <c r="F9" s="64">
        <v>2.1</v>
      </c>
      <c r="G9" s="64">
        <v>67.56</v>
      </c>
      <c r="H9" s="64">
        <v>6.66</v>
      </c>
      <c r="I9" s="64">
        <v>1.37</v>
      </c>
      <c r="J9" s="64">
        <v>0.26</v>
      </c>
      <c r="K9" s="64">
        <v>138.01</v>
      </c>
      <c r="L9" s="64">
        <v>23.03</v>
      </c>
      <c r="M9" s="64">
        <v>97.72</v>
      </c>
      <c r="N9" s="64">
        <v>41.8</v>
      </c>
      <c r="O9" s="64">
        <v>0</v>
      </c>
      <c r="P9" s="64">
        <v>0.27</v>
      </c>
      <c r="Q9" s="64">
        <v>9.0500000000000007</v>
      </c>
      <c r="R9" s="198"/>
      <c r="S9" s="198"/>
      <c r="T9" s="198"/>
      <c r="U9" s="198"/>
    </row>
    <row r="10" spans="1:21" s="12" customFormat="1" x14ac:dyDescent="0.25">
      <c r="A10" s="211" t="s">
        <v>2169</v>
      </c>
      <c r="B10" s="64">
        <v>6.31</v>
      </c>
      <c r="C10" s="64">
        <v>8.3000000000000007</v>
      </c>
      <c r="D10" s="64">
        <v>9.39</v>
      </c>
      <c r="E10" s="64">
        <v>6.67</v>
      </c>
      <c r="F10" s="64">
        <v>2.1</v>
      </c>
      <c r="G10" s="64">
        <v>66.400000000000006</v>
      </c>
      <c r="H10" s="64">
        <v>6.66</v>
      </c>
      <c r="I10" s="64">
        <v>1.36</v>
      </c>
      <c r="J10" s="64">
        <v>0.31</v>
      </c>
      <c r="K10" s="64">
        <v>153.52000000000001</v>
      </c>
      <c r="L10" s="64">
        <v>22.99</v>
      </c>
      <c r="M10" s="64">
        <v>97.68</v>
      </c>
      <c r="N10" s="64">
        <v>41.7</v>
      </c>
      <c r="O10" s="64">
        <v>0</v>
      </c>
      <c r="P10" s="64">
        <v>0.28999999999999998</v>
      </c>
      <c r="Q10" s="64">
        <v>9.0500000000000007</v>
      </c>
      <c r="R10" s="198"/>
      <c r="S10" s="198"/>
      <c r="T10" s="198"/>
      <c r="U10" s="198"/>
    </row>
    <row r="11" spans="1:21" s="12" customFormat="1" x14ac:dyDescent="0.25">
      <c r="A11" s="211" t="s">
        <v>2170</v>
      </c>
      <c r="B11" s="64">
        <v>6.5</v>
      </c>
      <c r="C11" s="64">
        <v>7.59</v>
      </c>
      <c r="D11" s="64">
        <v>9.18</v>
      </c>
      <c r="E11" s="64">
        <v>6.34</v>
      </c>
      <c r="F11" s="64">
        <v>2.1</v>
      </c>
      <c r="G11" s="64">
        <v>66.400000000000006</v>
      </c>
      <c r="H11" s="64">
        <v>17.72</v>
      </c>
      <c r="I11" s="64">
        <v>1.36</v>
      </c>
      <c r="J11" s="64">
        <v>0.3</v>
      </c>
      <c r="K11" s="64">
        <v>147.66</v>
      </c>
      <c r="L11" s="64">
        <v>22.92</v>
      </c>
      <c r="M11" s="64">
        <v>97.7</v>
      </c>
      <c r="N11" s="64">
        <v>41.7</v>
      </c>
      <c r="O11" s="64">
        <v>0</v>
      </c>
      <c r="P11" s="64">
        <v>0.28000000000000003</v>
      </c>
      <c r="Q11" s="64">
        <v>9.0399999999999991</v>
      </c>
      <c r="R11" s="198"/>
      <c r="S11" s="198"/>
      <c r="T11" s="198"/>
      <c r="U11" s="198"/>
    </row>
    <row r="12" spans="1:21" s="12" customFormat="1" x14ac:dyDescent="0.25">
      <c r="A12" s="211" t="s">
        <v>2171</v>
      </c>
      <c r="B12" s="64">
        <v>6.41</v>
      </c>
      <c r="C12" s="64">
        <v>7.57</v>
      </c>
      <c r="D12" s="64">
        <v>9.1</v>
      </c>
      <c r="E12" s="64">
        <v>6.24</v>
      </c>
      <c r="F12" s="64">
        <v>2.1</v>
      </c>
      <c r="G12" s="64">
        <v>66.400000000000006</v>
      </c>
      <c r="H12" s="64">
        <v>18.66</v>
      </c>
      <c r="I12" s="64">
        <v>1.35</v>
      </c>
      <c r="J12" s="64">
        <v>0.37</v>
      </c>
      <c r="K12" s="64">
        <v>124.18</v>
      </c>
      <c r="L12" s="64">
        <v>22.87</v>
      </c>
      <c r="M12" s="64">
        <v>97.73</v>
      </c>
      <c r="N12" s="64">
        <v>41.8</v>
      </c>
      <c r="O12" s="64">
        <v>0</v>
      </c>
      <c r="P12" s="64">
        <v>0.26</v>
      </c>
      <c r="Q12" s="64">
        <v>9.0500000000000007</v>
      </c>
      <c r="R12" s="198"/>
      <c r="S12" s="198"/>
      <c r="T12" s="198"/>
      <c r="U12" s="198"/>
    </row>
    <row r="13" spans="1:21" s="12" customFormat="1" x14ac:dyDescent="0.25">
      <c r="A13" s="211" t="s">
        <v>2172</v>
      </c>
      <c r="B13" s="64">
        <v>6.22</v>
      </c>
      <c r="C13" s="64">
        <v>7.65</v>
      </c>
      <c r="D13" s="64">
        <v>8.98</v>
      </c>
      <c r="E13" s="64">
        <v>6.36</v>
      </c>
      <c r="F13" s="64">
        <v>2.1</v>
      </c>
      <c r="G13" s="64">
        <v>49.28</v>
      </c>
      <c r="H13" s="64">
        <v>15.2</v>
      </c>
      <c r="I13" s="64">
        <v>1.33</v>
      </c>
      <c r="J13" s="64">
        <v>0.65</v>
      </c>
      <c r="K13" s="64">
        <v>125.53</v>
      </c>
      <c r="L13" s="64">
        <v>22.76</v>
      </c>
      <c r="M13" s="64">
        <v>97.73</v>
      </c>
      <c r="N13" s="64">
        <v>41.8</v>
      </c>
      <c r="O13" s="64">
        <v>0</v>
      </c>
      <c r="P13" s="64">
        <v>0.24</v>
      </c>
      <c r="Q13" s="64">
        <v>9.0399999999999991</v>
      </c>
      <c r="R13" s="198"/>
      <c r="S13" s="198"/>
      <c r="T13" s="198"/>
      <c r="U13" s="198"/>
    </row>
    <row r="14" spans="1:21" s="12" customFormat="1" x14ac:dyDescent="0.25">
      <c r="A14" s="211" t="s">
        <v>2173</v>
      </c>
      <c r="B14" s="64">
        <v>6.9</v>
      </c>
      <c r="C14" s="64">
        <v>7.7</v>
      </c>
      <c r="D14" s="64">
        <v>9.56</v>
      </c>
      <c r="E14" s="64">
        <v>6.14</v>
      </c>
      <c r="F14" s="64">
        <v>2.1</v>
      </c>
      <c r="G14" s="64">
        <v>44.7</v>
      </c>
      <c r="H14" s="64">
        <v>15.2</v>
      </c>
      <c r="I14" s="64">
        <v>1.33</v>
      </c>
      <c r="J14" s="64">
        <v>0.82</v>
      </c>
      <c r="K14" s="64">
        <v>123.7</v>
      </c>
      <c r="L14" s="64">
        <v>22.63</v>
      </c>
      <c r="M14" s="64">
        <v>97.73</v>
      </c>
      <c r="N14" s="64">
        <v>41.8</v>
      </c>
      <c r="O14" s="64">
        <v>0</v>
      </c>
      <c r="P14" s="64">
        <v>0.31</v>
      </c>
      <c r="Q14" s="64">
        <v>9.0399999999999991</v>
      </c>
      <c r="R14" s="198"/>
      <c r="S14" s="198"/>
      <c r="T14" s="198"/>
      <c r="U14" s="198"/>
    </row>
    <row r="15" spans="1:21" s="12" customFormat="1" x14ac:dyDescent="0.25">
      <c r="A15" s="211" t="s">
        <v>2174</v>
      </c>
      <c r="B15" s="64">
        <v>6.74</v>
      </c>
      <c r="C15" s="64">
        <v>7.43</v>
      </c>
      <c r="D15" s="64">
        <v>9.2899999999999991</v>
      </c>
      <c r="E15" s="64">
        <v>6.37</v>
      </c>
      <c r="F15" s="64">
        <v>2.1</v>
      </c>
      <c r="G15" s="64">
        <v>44.7</v>
      </c>
      <c r="H15" s="64">
        <v>15.2</v>
      </c>
      <c r="I15" s="64">
        <v>1.31</v>
      </c>
      <c r="J15" s="64">
        <v>0.66</v>
      </c>
      <c r="K15" s="64">
        <v>122.5</v>
      </c>
      <c r="L15" s="64">
        <v>22.43</v>
      </c>
      <c r="M15" s="64">
        <v>97.73</v>
      </c>
      <c r="N15" s="64">
        <v>41.8</v>
      </c>
      <c r="O15" s="64">
        <v>0</v>
      </c>
      <c r="P15" s="64">
        <v>0.24</v>
      </c>
      <c r="Q15" s="64">
        <v>9.0299999999999994</v>
      </c>
      <c r="R15" s="198"/>
      <c r="S15" s="198"/>
      <c r="T15" s="198"/>
      <c r="U15" s="198"/>
    </row>
    <row r="16" spans="1:21" s="12" customFormat="1" x14ac:dyDescent="0.25">
      <c r="A16" s="211" t="s">
        <v>2175</v>
      </c>
      <c r="B16" s="64">
        <v>7.06</v>
      </c>
      <c r="C16" s="64">
        <v>6.92</v>
      </c>
      <c r="D16" s="64">
        <v>9.2799999999999994</v>
      </c>
      <c r="E16" s="64">
        <v>5.97</v>
      </c>
      <c r="F16" s="64">
        <v>2.1</v>
      </c>
      <c r="G16" s="64">
        <v>44.7</v>
      </c>
      <c r="H16" s="64">
        <v>15.2</v>
      </c>
      <c r="I16" s="64">
        <v>1.27</v>
      </c>
      <c r="J16" s="64">
        <v>0.55000000000000004</v>
      </c>
      <c r="K16" s="64">
        <v>115.48</v>
      </c>
      <c r="L16" s="64">
        <v>22.4</v>
      </c>
      <c r="M16" s="64">
        <v>97.73</v>
      </c>
      <c r="N16" s="64">
        <v>41.8</v>
      </c>
      <c r="O16" s="64">
        <v>0</v>
      </c>
      <c r="P16" s="64">
        <v>0.28999999999999998</v>
      </c>
      <c r="Q16" s="64">
        <v>9.02</v>
      </c>
      <c r="R16" s="198"/>
      <c r="S16" s="198"/>
      <c r="T16" s="198"/>
      <c r="U16" s="198"/>
    </row>
    <row r="17" spans="1:21" s="12" customFormat="1" x14ac:dyDescent="0.25">
      <c r="A17" s="211" t="s">
        <v>2176</v>
      </c>
      <c r="B17" s="64">
        <v>6.64</v>
      </c>
      <c r="C17" s="64">
        <v>6.83</v>
      </c>
      <c r="D17" s="64">
        <v>8.89</v>
      </c>
      <c r="E17" s="64">
        <v>6.07</v>
      </c>
      <c r="F17" s="64">
        <v>2.1</v>
      </c>
      <c r="G17" s="64">
        <v>40.97</v>
      </c>
      <c r="H17" s="64">
        <v>14.69</v>
      </c>
      <c r="I17" s="64">
        <v>1.24</v>
      </c>
      <c r="J17" s="64">
        <v>0.87</v>
      </c>
      <c r="K17" s="64">
        <v>119.98</v>
      </c>
      <c r="L17" s="64">
        <v>22.38</v>
      </c>
      <c r="M17" s="64">
        <v>97.73</v>
      </c>
      <c r="N17" s="64">
        <v>41.6</v>
      </c>
      <c r="O17" s="64">
        <v>0</v>
      </c>
      <c r="P17" s="64">
        <v>0.24</v>
      </c>
      <c r="Q17" s="64">
        <v>9.0299999999999994</v>
      </c>
      <c r="R17" s="198"/>
      <c r="S17" s="198"/>
      <c r="T17" s="198"/>
      <c r="U17" s="198"/>
    </row>
    <row r="18" spans="1:21" s="12" customFormat="1" x14ac:dyDescent="0.25">
      <c r="A18" s="211" t="s">
        <v>2177</v>
      </c>
      <c r="B18" s="64">
        <v>6.91</v>
      </c>
      <c r="C18" s="64">
        <v>6.61</v>
      </c>
      <c r="D18" s="64">
        <v>8.99</v>
      </c>
      <c r="E18" s="64">
        <v>6.08</v>
      </c>
      <c r="F18" s="64">
        <v>2.1</v>
      </c>
      <c r="G18" s="64">
        <v>39.979999999999997</v>
      </c>
      <c r="H18" s="64">
        <v>14.69</v>
      </c>
      <c r="I18" s="64">
        <v>1.23</v>
      </c>
      <c r="J18" s="64">
        <v>0.65</v>
      </c>
      <c r="K18" s="64">
        <v>120.98</v>
      </c>
      <c r="L18" s="64">
        <v>22.39</v>
      </c>
      <c r="M18" s="64">
        <v>97.74</v>
      </c>
      <c r="N18" s="64">
        <v>41.6</v>
      </c>
      <c r="O18" s="64">
        <v>0</v>
      </c>
      <c r="P18" s="64">
        <v>0.25</v>
      </c>
      <c r="Q18" s="64">
        <v>9.02</v>
      </c>
      <c r="R18" s="198"/>
      <c r="S18" s="198"/>
      <c r="T18" s="198"/>
      <c r="U18" s="198"/>
    </row>
    <row r="19" spans="1:21" s="12" customFormat="1" x14ac:dyDescent="0.25">
      <c r="A19" s="211" t="s">
        <v>2178</v>
      </c>
      <c r="B19" s="64">
        <v>6.65</v>
      </c>
      <c r="C19" s="64">
        <v>6.74</v>
      </c>
      <c r="D19" s="64">
        <v>8.85</v>
      </c>
      <c r="E19" s="64">
        <v>5.87</v>
      </c>
      <c r="F19" s="64">
        <v>2.4500000000000002</v>
      </c>
      <c r="G19" s="64">
        <v>39.979999999999997</v>
      </c>
      <c r="H19" s="64">
        <v>14.69</v>
      </c>
      <c r="I19" s="64">
        <v>1.23</v>
      </c>
      <c r="J19" s="64">
        <v>0.79</v>
      </c>
      <c r="K19" s="64">
        <v>120.68</v>
      </c>
      <c r="L19" s="64">
        <v>22.3</v>
      </c>
      <c r="M19" s="64">
        <v>97.75</v>
      </c>
      <c r="N19" s="64">
        <v>41.7</v>
      </c>
      <c r="O19" s="64">
        <v>0</v>
      </c>
      <c r="P19" s="64">
        <v>0.24</v>
      </c>
      <c r="Q19" s="64">
        <v>9.01</v>
      </c>
      <c r="R19" s="198"/>
      <c r="S19" s="198"/>
      <c r="T19" s="198"/>
      <c r="U19" s="198"/>
    </row>
    <row r="20" spans="1:21" s="12" customFormat="1" x14ac:dyDescent="0.25">
      <c r="A20" s="211" t="s">
        <v>2179</v>
      </c>
      <c r="B20" s="64">
        <v>6.98</v>
      </c>
      <c r="C20" s="64">
        <v>6.72</v>
      </c>
      <c r="D20" s="64">
        <v>9.11</v>
      </c>
      <c r="E20" s="64">
        <v>5.8</v>
      </c>
      <c r="F20" s="64">
        <v>2.11</v>
      </c>
      <c r="G20" s="64">
        <v>39.979999999999997</v>
      </c>
      <c r="H20" s="64">
        <v>14.69</v>
      </c>
      <c r="I20" s="64">
        <v>1.21</v>
      </c>
      <c r="J20" s="64">
        <v>0.78</v>
      </c>
      <c r="K20" s="64">
        <v>125.17</v>
      </c>
      <c r="L20" s="64">
        <v>22.23</v>
      </c>
      <c r="M20" s="64">
        <v>97.75</v>
      </c>
      <c r="N20" s="64">
        <v>41.7</v>
      </c>
      <c r="O20" s="64">
        <v>0</v>
      </c>
      <c r="P20" s="64">
        <v>0.26</v>
      </c>
      <c r="Q20" s="64">
        <v>9.01</v>
      </c>
      <c r="R20" s="198"/>
      <c r="S20" s="198"/>
      <c r="T20" s="198"/>
      <c r="U20" s="198"/>
    </row>
    <row r="21" spans="1:21" s="12" customFormat="1" x14ac:dyDescent="0.25">
      <c r="A21" s="211" t="s">
        <v>2180</v>
      </c>
      <c r="B21" s="64">
        <v>7.14</v>
      </c>
      <c r="C21" s="64">
        <v>7.01</v>
      </c>
      <c r="D21" s="64">
        <v>9.39</v>
      </c>
      <c r="E21" s="64">
        <v>5.81</v>
      </c>
      <c r="F21" s="64">
        <v>2.1</v>
      </c>
      <c r="G21" s="64">
        <v>32.630000000000003</v>
      </c>
      <c r="H21" s="64">
        <v>13.96</v>
      </c>
      <c r="I21" s="64">
        <v>1.18</v>
      </c>
      <c r="J21" s="64">
        <v>0.69</v>
      </c>
      <c r="K21" s="64">
        <v>127.24</v>
      </c>
      <c r="L21" s="64">
        <v>22.2</v>
      </c>
      <c r="M21" s="64">
        <v>97.17</v>
      </c>
      <c r="N21" s="64">
        <v>41.6</v>
      </c>
      <c r="O21" s="64">
        <v>0</v>
      </c>
      <c r="P21" s="64">
        <v>0.24</v>
      </c>
      <c r="Q21" s="64">
        <v>9.02</v>
      </c>
      <c r="R21" s="198"/>
      <c r="S21" s="198"/>
      <c r="T21" s="198"/>
      <c r="U21" s="198"/>
    </row>
    <row r="22" spans="1:21" s="12" customFormat="1" x14ac:dyDescent="0.25">
      <c r="A22" s="211" t="s">
        <v>2181</v>
      </c>
      <c r="B22" s="64">
        <v>7.21</v>
      </c>
      <c r="C22" s="64">
        <v>6.9</v>
      </c>
      <c r="D22" s="64">
        <v>9.39</v>
      </c>
      <c r="E22" s="64">
        <v>5.82</v>
      </c>
      <c r="F22" s="64">
        <v>2.1</v>
      </c>
      <c r="G22" s="64">
        <v>30.67</v>
      </c>
      <c r="H22" s="64">
        <v>13.96</v>
      </c>
      <c r="I22" s="64">
        <v>1.17</v>
      </c>
      <c r="J22" s="64">
        <v>0.37</v>
      </c>
      <c r="K22" s="64">
        <v>124.86</v>
      </c>
      <c r="L22" s="64">
        <v>22.28</v>
      </c>
      <c r="M22" s="64">
        <v>97.15</v>
      </c>
      <c r="N22" s="64">
        <v>41.8</v>
      </c>
      <c r="O22" s="64">
        <v>0</v>
      </c>
      <c r="P22" s="64">
        <v>0.27</v>
      </c>
      <c r="Q22" s="64">
        <v>9.02</v>
      </c>
      <c r="R22" s="198"/>
      <c r="S22" s="198"/>
      <c r="T22" s="198"/>
      <c r="U22" s="198"/>
    </row>
    <row r="23" spans="1:21" s="12" customFormat="1" x14ac:dyDescent="0.25">
      <c r="A23" s="211" t="s">
        <v>2182</v>
      </c>
      <c r="B23" s="64">
        <v>7.09</v>
      </c>
      <c r="C23" s="64">
        <v>6.79</v>
      </c>
      <c r="D23" s="64">
        <v>9.24</v>
      </c>
      <c r="E23" s="64">
        <v>5.48</v>
      </c>
      <c r="F23" s="64">
        <v>2.1</v>
      </c>
      <c r="G23" s="64">
        <v>30.67</v>
      </c>
      <c r="H23" s="64">
        <v>13.96</v>
      </c>
      <c r="I23" s="64">
        <v>1.17</v>
      </c>
      <c r="J23" s="64">
        <v>0.56999999999999995</v>
      </c>
      <c r="K23" s="64">
        <v>118.21</v>
      </c>
      <c r="L23" s="64">
        <v>22.14</v>
      </c>
      <c r="M23" s="64">
        <v>97.15</v>
      </c>
      <c r="N23" s="64">
        <v>41.7</v>
      </c>
      <c r="O23" s="64">
        <v>0</v>
      </c>
      <c r="P23" s="64">
        <v>0.22</v>
      </c>
      <c r="Q23" s="64">
        <v>9.02</v>
      </c>
      <c r="R23" s="198"/>
      <c r="S23" s="198"/>
      <c r="T23" s="198"/>
      <c r="U23" s="198"/>
    </row>
    <row r="24" spans="1:21" s="12" customFormat="1" x14ac:dyDescent="0.25">
      <c r="A24" s="211" t="s">
        <v>2183</v>
      </c>
      <c r="B24" s="64">
        <v>6.82</v>
      </c>
      <c r="C24" s="64">
        <v>7.01</v>
      </c>
      <c r="D24" s="64">
        <v>9.1300000000000008</v>
      </c>
      <c r="E24" s="64">
        <v>5.55</v>
      </c>
      <c r="F24" s="64">
        <v>2.1</v>
      </c>
      <c r="G24" s="64">
        <v>30.67</v>
      </c>
      <c r="H24" s="64">
        <v>13.96</v>
      </c>
      <c r="I24" s="64">
        <v>1.1599999999999999</v>
      </c>
      <c r="J24" s="64">
        <v>0.47</v>
      </c>
      <c r="K24" s="64">
        <v>113.4</v>
      </c>
      <c r="L24" s="64">
        <v>22.07</v>
      </c>
      <c r="M24" s="64">
        <v>97.73</v>
      </c>
      <c r="N24" s="64">
        <v>41.8</v>
      </c>
      <c r="O24" s="64">
        <v>0</v>
      </c>
      <c r="P24" s="64">
        <v>0.22</v>
      </c>
      <c r="Q24" s="64">
        <v>9.0299999999999994</v>
      </c>
      <c r="R24" s="198"/>
      <c r="S24" s="198"/>
      <c r="T24" s="198"/>
      <c r="U24" s="198"/>
    </row>
    <row r="25" spans="1:21" s="12" customFormat="1" x14ac:dyDescent="0.25">
      <c r="A25" s="211" t="s">
        <v>2184</v>
      </c>
      <c r="B25" s="64">
        <v>6.63</v>
      </c>
      <c r="C25" s="64">
        <v>7.58</v>
      </c>
      <c r="D25" s="64">
        <v>9.2799999999999994</v>
      </c>
      <c r="E25" s="64">
        <v>5.42</v>
      </c>
      <c r="F25" s="64">
        <v>2.1</v>
      </c>
      <c r="G25" s="64">
        <v>29.6</v>
      </c>
      <c r="H25" s="64">
        <v>13.07</v>
      </c>
      <c r="I25" s="64">
        <v>1.1499999999999999</v>
      </c>
      <c r="J25" s="64">
        <v>7.0000000000000007E-2</v>
      </c>
      <c r="K25" s="64">
        <v>129.22</v>
      </c>
      <c r="L25" s="64">
        <v>21.88</v>
      </c>
      <c r="M25" s="64">
        <v>97.17</v>
      </c>
      <c r="N25" s="64">
        <v>41.9</v>
      </c>
      <c r="O25" s="64">
        <v>0</v>
      </c>
      <c r="P25" s="64">
        <v>0.22</v>
      </c>
      <c r="Q25" s="64">
        <v>9.0399999999999991</v>
      </c>
      <c r="R25" s="198"/>
      <c r="S25" s="198"/>
      <c r="T25" s="198"/>
      <c r="U25" s="198"/>
    </row>
    <row r="26" spans="1:21" s="12" customFormat="1" x14ac:dyDescent="0.25">
      <c r="A26" s="211" t="s">
        <v>2185</v>
      </c>
      <c r="B26" s="64">
        <v>6.85</v>
      </c>
      <c r="C26" s="64">
        <v>7.85</v>
      </c>
      <c r="D26" s="64">
        <v>9.6</v>
      </c>
      <c r="E26" s="64">
        <v>5.8</v>
      </c>
      <c r="F26" s="64">
        <v>2.1</v>
      </c>
      <c r="G26" s="64">
        <v>29.31</v>
      </c>
      <c r="H26" s="64">
        <v>13.07</v>
      </c>
      <c r="I26" s="64">
        <v>1.1399999999999999</v>
      </c>
      <c r="J26" s="64">
        <v>0.15</v>
      </c>
      <c r="K26" s="64">
        <v>131.16999999999999</v>
      </c>
      <c r="L26" s="64">
        <v>21.75</v>
      </c>
      <c r="M26" s="64">
        <v>97.21</v>
      </c>
      <c r="N26" s="64">
        <v>41.9</v>
      </c>
      <c r="O26" s="64">
        <v>0</v>
      </c>
      <c r="P26" s="64">
        <v>0.22</v>
      </c>
      <c r="Q26" s="64">
        <v>9.06</v>
      </c>
      <c r="R26" s="198"/>
      <c r="S26" s="198"/>
      <c r="T26" s="198"/>
      <c r="U26" s="198"/>
    </row>
    <row r="27" spans="1:21" s="12" customFormat="1" x14ac:dyDescent="0.25">
      <c r="A27" s="211" t="s">
        <v>2186</v>
      </c>
      <c r="B27" s="64">
        <v>7.14</v>
      </c>
      <c r="C27" s="64">
        <v>7.37</v>
      </c>
      <c r="D27" s="64">
        <v>9.57</v>
      </c>
      <c r="E27" s="64">
        <v>5.51</v>
      </c>
      <c r="F27" s="64">
        <v>2.1</v>
      </c>
      <c r="G27" s="64">
        <v>29.31</v>
      </c>
      <c r="H27" s="64">
        <v>13.07</v>
      </c>
      <c r="I27" s="64">
        <v>1.1299999999999999</v>
      </c>
      <c r="J27" s="64">
        <v>0.34</v>
      </c>
      <c r="K27" s="64">
        <v>130.06</v>
      </c>
      <c r="L27" s="64">
        <v>21.53</v>
      </c>
      <c r="M27" s="64">
        <v>97.21</v>
      </c>
      <c r="N27" s="64">
        <v>41.8</v>
      </c>
      <c r="O27" s="64">
        <v>0</v>
      </c>
      <c r="P27" s="64">
        <v>0.23</v>
      </c>
      <c r="Q27" s="64">
        <v>9.06</v>
      </c>
      <c r="R27" s="198"/>
      <c r="S27" s="198"/>
      <c r="T27" s="198"/>
      <c r="U27" s="198"/>
    </row>
    <row r="28" spans="1:21" s="12" customFormat="1" x14ac:dyDescent="0.25">
      <c r="A28" s="211" t="s">
        <v>2187</v>
      </c>
      <c r="B28" s="64">
        <v>7.27</v>
      </c>
      <c r="C28" s="64">
        <v>7.46</v>
      </c>
      <c r="D28" s="64">
        <v>9.73</v>
      </c>
      <c r="E28" s="64">
        <v>5.81</v>
      </c>
      <c r="F28" s="64">
        <v>2.1</v>
      </c>
      <c r="G28" s="64">
        <v>29.31</v>
      </c>
      <c r="H28" s="64">
        <v>13.07</v>
      </c>
      <c r="I28" s="64">
        <v>1.1299999999999999</v>
      </c>
      <c r="J28" s="64">
        <v>0.12</v>
      </c>
      <c r="K28" s="64">
        <v>136.07</v>
      </c>
      <c r="L28" s="64">
        <v>21.47</v>
      </c>
      <c r="M28" s="64">
        <v>97.8</v>
      </c>
      <c r="N28" s="64">
        <v>41.8</v>
      </c>
      <c r="O28" s="64">
        <v>0</v>
      </c>
      <c r="P28" s="64">
        <v>0.24</v>
      </c>
      <c r="Q28" s="64">
        <v>9.0500000000000007</v>
      </c>
      <c r="R28" s="198"/>
      <c r="S28" s="198"/>
      <c r="T28" s="198"/>
      <c r="U28" s="198"/>
    </row>
    <row r="29" spans="1:21" s="12" customFormat="1" x14ac:dyDescent="0.25">
      <c r="A29" s="211" t="s">
        <v>2188</v>
      </c>
      <c r="B29" s="64">
        <v>7.56</v>
      </c>
      <c r="C29" s="64">
        <v>7.53</v>
      </c>
      <c r="D29" s="64">
        <v>9.99</v>
      </c>
      <c r="E29" s="64">
        <v>5.91</v>
      </c>
      <c r="F29" s="64">
        <v>2.1</v>
      </c>
      <c r="G29" s="64">
        <v>23.36</v>
      </c>
      <c r="H29" s="64">
        <v>14.88</v>
      </c>
      <c r="I29" s="64">
        <v>1.1399999999999999</v>
      </c>
      <c r="J29" s="64">
        <v>0.17</v>
      </c>
      <c r="K29" s="64">
        <v>134.15</v>
      </c>
      <c r="L29" s="64">
        <v>21.45</v>
      </c>
      <c r="M29" s="64">
        <v>97.25</v>
      </c>
      <c r="N29" s="64">
        <v>41.7</v>
      </c>
      <c r="O29" s="64">
        <v>0</v>
      </c>
      <c r="P29" s="64">
        <v>0.25</v>
      </c>
      <c r="Q29" s="64">
        <v>9.06</v>
      </c>
      <c r="R29" s="198"/>
      <c r="S29" s="198"/>
      <c r="T29" s="198"/>
      <c r="U29" s="198"/>
    </row>
    <row r="30" spans="1:21" s="12" customFormat="1" x14ac:dyDescent="0.25">
      <c r="A30" s="211" t="s">
        <v>2189</v>
      </c>
      <c r="B30" s="64">
        <v>7.81</v>
      </c>
      <c r="C30" s="64">
        <v>6.94</v>
      </c>
      <c r="D30" s="64">
        <v>9.89</v>
      </c>
      <c r="E30" s="64">
        <v>5.54</v>
      </c>
      <c r="F30" s="64">
        <v>2.1</v>
      </c>
      <c r="G30" s="64">
        <v>21.77</v>
      </c>
      <c r="H30" s="64">
        <v>14.88</v>
      </c>
      <c r="I30" s="64">
        <v>1.1299999999999999</v>
      </c>
      <c r="J30" s="64">
        <v>0.03</v>
      </c>
      <c r="K30" s="64">
        <v>102.81</v>
      </c>
      <c r="L30" s="64">
        <v>21.45</v>
      </c>
      <c r="M30" s="64">
        <v>97.28</v>
      </c>
      <c r="N30" s="64">
        <v>41.7</v>
      </c>
      <c r="O30" s="64">
        <v>0</v>
      </c>
      <c r="P30" s="64">
        <v>0.24</v>
      </c>
      <c r="Q30" s="64">
        <v>9.07</v>
      </c>
      <c r="R30" s="198"/>
      <c r="S30" s="198"/>
      <c r="T30" s="198"/>
      <c r="U30" s="198"/>
    </row>
    <row r="31" spans="1:21" s="12" customFormat="1" x14ac:dyDescent="0.25">
      <c r="A31" s="211" t="s">
        <v>2190</v>
      </c>
      <c r="B31" s="64">
        <v>8.8000000000000007</v>
      </c>
      <c r="C31" s="64">
        <v>7.37</v>
      </c>
      <c r="D31" s="64">
        <v>10.9</v>
      </c>
      <c r="E31" s="64">
        <v>5.61</v>
      </c>
      <c r="F31" s="64">
        <v>2.1</v>
      </c>
      <c r="G31" s="64">
        <v>21.77</v>
      </c>
      <c r="H31" s="64">
        <v>14.88</v>
      </c>
      <c r="I31" s="64">
        <v>1.1399999999999999</v>
      </c>
      <c r="J31" s="64">
        <v>0.09</v>
      </c>
      <c r="K31" s="64">
        <v>278.14</v>
      </c>
      <c r="L31" s="64">
        <v>21.28</v>
      </c>
      <c r="M31" s="64">
        <v>97.28</v>
      </c>
      <c r="N31" s="64">
        <v>42</v>
      </c>
      <c r="O31" s="64">
        <v>0</v>
      </c>
      <c r="P31" s="64">
        <v>0.26</v>
      </c>
      <c r="Q31" s="64">
        <v>9.07</v>
      </c>
      <c r="R31" s="198"/>
      <c r="S31" s="198"/>
      <c r="T31" s="198"/>
      <c r="U31" s="198"/>
    </row>
    <row r="32" spans="1:21" s="12" customFormat="1" x14ac:dyDescent="0.25">
      <c r="A32" s="211" t="s">
        <v>2191</v>
      </c>
      <c r="B32" s="64">
        <v>8.8800000000000008</v>
      </c>
      <c r="C32" s="64">
        <v>6.6</v>
      </c>
      <c r="D32" s="64">
        <v>10.56</v>
      </c>
      <c r="E32" s="64">
        <v>5.47</v>
      </c>
      <c r="F32" s="64">
        <v>2.1</v>
      </c>
      <c r="G32" s="64">
        <v>21.77</v>
      </c>
      <c r="H32" s="64">
        <v>14.88</v>
      </c>
      <c r="I32" s="64">
        <v>1.1399999999999999</v>
      </c>
      <c r="J32" s="64">
        <v>0.13</v>
      </c>
      <c r="K32" s="64">
        <v>172.04</v>
      </c>
      <c r="L32" s="64">
        <v>21.24</v>
      </c>
      <c r="M32" s="64">
        <v>97.85</v>
      </c>
      <c r="N32" s="64">
        <v>44.3</v>
      </c>
      <c r="O32" s="64">
        <v>0</v>
      </c>
      <c r="P32" s="64">
        <v>0.26</v>
      </c>
      <c r="Q32" s="64">
        <v>9.06</v>
      </c>
      <c r="R32" s="198"/>
      <c r="S32" s="198"/>
      <c r="T32" s="198"/>
      <c r="U32" s="198"/>
    </row>
    <row r="33" spans="1:21" s="12" customFormat="1" x14ac:dyDescent="0.25">
      <c r="A33" s="211" t="s">
        <v>2192</v>
      </c>
      <c r="B33" s="64">
        <v>8.94</v>
      </c>
      <c r="C33" s="64">
        <v>6.92</v>
      </c>
      <c r="D33" s="64">
        <v>10.78</v>
      </c>
      <c r="E33" s="64">
        <v>5.56</v>
      </c>
      <c r="F33" s="64">
        <v>2.1</v>
      </c>
      <c r="G33" s="64">
        <v>20.91</v>
      </c>
      <c r="H33" s="64">
        <v>13.71</v>
      </c>
      <c r="I33" s="64">
        <v>1.1200000000000001</v>
      </c>
      <c r="J33" s="64">
        <v>0.04</v>
      </c>
      <c r="K33" s="64">
        <v>222.89</v>
      </c>
      <c r="L33" s="64">
        <v>21.28</v>
      </c>
      <c r="M33" s="64">
        <v>97.28</v>
      </c>
      <c r="N33" s="64">
        <v>52.4</v>
      </c>
      <c r="O33" s="64">
        <v>0</v>
      </c>
      <c r="P33" s="64">
        <v>0.26</v>
      </c>
      <c r="Q33" s="64">
        <v>9.0399999999999991</v>
      </c>
      <c r="R33" s="198"/>
      <c r="S33" s="198"/>
      <c r="T33" s="198"/>
      <c r="U33" s="198"/>
    </row>
    <row r="34" spans="1:21" s="12" customFormat="1" x14ac:dyDescent="0.25">
      <c r="A34" s="211" t="s">
        <v>2193</v>
      </c>
      <c r="B34" s="64">
        <v>9.09</v>
      </c>
      <c r="C34" s="64">
        <v>6.41</v>
      </c>
      <c r="D34" s="64">
        <v>10.63</v>
      </c>
      <c r="E34" s="64">
        <v>5.66</v>
      </c>
      <c r="F34" s="64">
        <v>2.1</v>
      </c>
      <c r="G34" s="64">
        <v>20.68</v>
      </c>
      <c r="H34" s="64">
        <v>13.71</v>
      </c>
      <c r="I34" s="64">
        <v>1.1100000000000001</v>
      </c>
      <c r="J34" s="64">
        <v>0.22</v>
      </c>
      <c r="K34" s="64">
        <v>136.69999999999999</v>
      </c>
      <c r="L34" s="64">
        <v>21.52</v>
      </c>
      <c r="M34" s="64">
        <v>97.29</v>
      </c>
      <c r="N34" s="64">
        <v>66.2</v>
      </c>
      <c r="O34" s="64">
        <v>0</v>
      </c>
      <c r="P34" s="64">
        <v>0.27</v>
      </c>
      <c r="Q34" s="64">
        <v>9.0399999999999991</v>
      </c>
      <c r="R34" s="198"/>
      <c r="S34" s="198"/>
      <c r="T34" s="198"/>
      <c r="U34" s="198"/>
    </row>
    <row r="35" spans="1:21" s="12" customFormat="1" x14ac:dyDescent="0.25">
      <c r="A35" s="211" t="s">
        <v>2194</v>
      </c>
      <c r="B35" s="64">
        <v>9.07</v>
      </c>
      <c r="C35" s="64">
        <v>6.35</v>
      </c>
      <c r="D35" s="64">
        <v>10.59</v>
      </c>
      <c r="E35" s="64">
        <v>5.48</v>
      </c>
      <c r="F35" s="64">
        <v>2.1</v>
      </c>
      <c r="G35" s="64">
        <v>20.68</v>
      </c>
      <c r="H35" s="64">
        <v>13.71</v>
      </c>
      <c r="I35" s="64">
        <v>1.1200000000000001</v>
      </c>
      <c r="J35" s="64">
        <v>0.08</v>
      </c>
      <c r="K35" s="64">
        <v>240.16</v>
      </c>
      <c r="L35" s="64">
        <v>22</v>
      </c>
      <c r="M35" s="64">
        <v>97.27</v>
      </c>
      <c r="N35" s="64">
        <v>132.9</v>
      </c>
      <c r="O35" s="64">
        <v>0</v>
      </c>
      <c r="P35" s="64">
        <v>0.27</v>
      </c>
      <c r="Q35" s="64">
        <v>9.0500000000000007</v>
      </c>
      <c r="R35" s="198"/>
      <c r="S35" s="198"/>
      <c r="T35" s="198"/>
      <c r="U35" s="198"/>
    </row>
    <row r="36" spans="1:21" s="12" customFormat="1" x14ac:dyDescent="0.25">
      <c r="A36" s="211" t="s">
        <v>2195</v>
      </c>
      <c r="B36" s="64">
        <v>9.36</v>
      </c>
      <c r="C36" s="64">
        <v>6.56</v>
      </c>
      <c r="D36" s="64">
        <v>10.93</v>
      </c>
      <c r="E36" s="64">
        <v>5.67</v>
      </c>
      <c r="F36" s="64">
        <v>2.12</v>
      </c>
      <c r="G36" s="64">
        <v>20.68</v>
      </c>
      <c r="H36" s="64">
        <v>13.71</v>
      </c>
      <c r="I36" s="64">
        <v>1.1200000000000001</v>
      </c>
      <c r="J36" s="64">
        <v>0.12</v>
      </c>
      <c r="K36" s="64">
        <v>147.26</v>
      </c>
      <c r="L36" s="64">
        <v>23.56</v>
      </c>
      <c r="M36" s="64">
        <v>97.72</v>
      </c>
      <c r="N36" s="64">
        <v>199.5</v>
      </c>
      <c r="O36" s="64">
        <v>0</v>
      </c>
      <c r="P36" s="64">
        <v>0.28999999999999998</v>
      </c>
      <c r="Q36" s="64">
        <v>9.0500000000000007</v>
      </c>
      <c r="R36" s="198"/>
      <c r="S36" s="198"/>
      <c r="T36" s="198"/>
      <c r="U36" s="198"/>
    </row>
    <row r="37" spans="1:21" s="12" customFormat="1" x14ac:dyDescent="0.25">
      <c r="A37" s="211" t="s">
        <v>2196</v>
      </c>
      <c r="B37" s="64">
        <v>9.4</v>
      </c>
      <c r="C37" s="64">
        <v>6.44</v>
      </c>
      <c r="D37" s="64">
        <v>10.9</v>
      </c>
      <c r="E37" s="64">
        <v>5.76</v>
      </c>
      <c r="F37" s="64">
        <v>2.1</v>
      </c>
      <c r="G37" s="64">
        <v>23.86</v>
      </c>
      <c r="H37" s="64">
        <v>13.26</v>
      </c>
      <c r="I37" s="64">
        <v>1.1299999999999999</v>
      </c>
      <c r="J37" s="64">
        <v>0.41</v>
      </c>
      <c r="K37" s="64">
        <v>137.38999999999999</v>
      </c>
      <c r="L37" s="64">
        <v>24.62</v>
      </c>
      <c r="M37" s="64">
        <v>96.86</v>
      </c>
      <c r="N37" s="64">
        <v>255.5</v>
      </c>
      <c r="O37" s="64">
        <v>0</v>
      </c>
      <c r="P37" s="64">
        <v>0.26</v>
      </c>
      <c r="Q37" s="64">
        <v>9.0500000000000007</v>
      </c>
      <c r="R37" s="198"/>
      <c r="S37" s="198"/>
      <c r="T37" s="198"/>
      <c r="U37" s="198"/>
    </row>
    <row r="38" spans="1:21" s="12" customFormat="1" x14ac:dyDescent="0.25">
      <c r="A38" s="211" t="s">
        <v>2197</v>
      </c>
      <c r="B38" s="64">
        <v>9.08</v>
      </c>
      <c r="C38" s="64">
        <v>6.65</v>
      </c>
      <c r="D38" s="64">
        <v>10.75</v>
      </c>
      <c r="E38" s="64">
        <v>5.8</v>
      </c>
      <c r="F38" s="64">
        <v>2.52</v>
      </c>
      <c r="G38" s="64">
        <v>24.71</v>
      </c>
      <c r="H38" s="64">
        <v>13.26</v>
      </c>
      <c r="I38" s="64">
        <v>1.1399999999999999</v>
      </c>
      <c r="J38" s="64">
        <v>0.68</v>
      </c>
      <c r="K38" s="64">
        <v>130.66</v>
      </c>
      <c r="L38" s="64">
        <v>25.45</v>
      </c>
      <c r="M38" s="64">
        <v>95.16</v>
      </c>
      <c r="N38" s="64">
        <v>313.7</v>
      </c>
      <c r="O38" s="64">
        <v>0</v>
      </c>
      <c r="P38" s="64">
        <v>0.28000000000000003</v>
      </c>
      <c r="Q38" s="64">
        <v>9.06</v>
      </c>
      <c r="R38" s="198"/>
      <c r="S38" s="198"/>
      <c r="T38" s="198"/>
      <c r="U38" s="198"/>
    </row>
    <row r="39" spans="1:21" s="12" customFormat="1" x14ac:dyDescent="0.25">
      <c r="A39" s="211" t="s">
        <v>2198</v>
      </c>
      <c r="B39" s="64">
        <v>8.8000000000000007</v>
      </c>
      <c r="C39" s="64">
        <v>6.38</v>
      </c>
      <c r="D39" s="64">
        <v>10.39</v>
      </c>
      <c r="E39" s="64">
        <v>5.57</v>
      </c>
      <c r="F39" s="64">
        <v>3.39</v>
      </c>
      <c r="G39" s="64">
        <v>24.71</v>
      </c>
      <c r="H39" s="64">
        <v>13.26</v>
      </c>
      <c r="I39" s="64">
        <v>1.1399999999999999</v>
      </c>
      <c r="J39" s="64">
        <v>1.03</v>
      </c>
      <c r="K39" s="64">
        <v>129.85</v>
      </c>
      <c r="L39" s="64">
        <v>25.57</v>
      </c>
      <c r="M39" s="64">
        <v>94.16</v>
      </c>
      <c r="N39" s="64">
        <v>363.1</v>
      </c>
      <c r="O39" s="64">
        <v>0</v>
      </c>
      <c r="P39" s="64">
        <v>0.27</v>
      </c>
      <c r="Q39" s="64">
        <v>9.07</v>
      </c>
      <c r="R39" s="198"/>
      <c r="S39" s="198"/>
      <c r="T39" s="198"/>
      <c r="U39" s="198"/>
    </row>
    <row r="40" spans="1:21" s="12" customFormat="1" x14ac:dyDescent="0.25">
      <c r="A40" s="211" t="s">
        <v>2199</v>
      </c>
      <c r="B40" s="64">
        <v>8.76</v>
      </c>
      <c r="C40" s="64">
        <v>6.42</v>
      </c>
      <c r="D40" s="64">
        <v>10.38</v>
      </c>
      <c r="E40" s="64">
        <v>5.87</v>
      </c>
      <c r="F40" s="64">
        <v>2.44</v>
      </c>
      <c r="G40" s="64">
        <v>24.71</v>
      </c>
      <c r="H40" s="64">
        <v>13.26</v>
      </c>
      <c r="I40" s="64">
        <v>1.1499999999999999</v>
      </c>
      <c r="J40" s="64">
        <v>1.06</v>
      </c>
      <c r="K40" s="64">
        <v>129.94</v>
      </c>
      <c r="L40" s="64">
        <v>25.73</v>
      </c>
      <c r="M40" s="64">
        <v>92.75</v>
      </c>
      <c r="N40" s="64">
        <v>405.8</v>
      </c>
      <c r="O40" s="64">
        <v>0</v>
      </c>
      <c r="P40" s="64">
        <v>0.27</v>
      </c>
      <c r="Q40" s="64">
        <v>9.06</v>
      </c>
      <c r="R40" s="198"/>
      <c r="S40" s="198"/>
      <c r="T40" s="198"/>
      <c r="U40" s="198"/>
    </row>
    <row r="41" spans="1:21" s="12" customFormat="1" x14ac:dyDescent="0.25">
      <c r="A41" s="211" t="s">
        <v>2200</v>
      </c>
      <c r="B41" s="64">
        <v>10.35</v>
      </c>
      <c r="C41" s="64">
        <v>7.01</v>
      </c>
      <c r="D41" s="64">
        <v>11.96</v>
      </c>
      <c r="E41" s="64">
        <v>6.11</v>
      </c>
      <c r="F41" s="64">
        <v>3.82</v>
      </c>
      <c r="G41" s="64">
        <v>22.42</v>
      </c>
      <c r="H41" s="64">
        <v>12.67</v>
      </c>
      <c r="I41" s="64">
        <v>1.1499999999999999</v>
      </c>
      <c r="J41" s="64">
        <v>0.36</v>
      </c>
      <c r="K41" s="64">
        <v>144.12</v>
      </c>
      <c r="L41" s="64">
        <v>26.9</v>
      </c>
      <c r="M41" s="64">
        <v>86.36</v>
      </c>
      <c r="N41" s="64">
        <v>445.4</v>
      </c>
      <c r="O41" s="64">
        <v>0</v>
      </c>
      <c r="P41" s="64">
        <v>0.28999999999999998</v>
      </c>
      <c r="Q41" s="64">
        <v>9.06</v>
      </c>
      <c r="R41" s="198"/>
      <c r="S41" s="198"/>
      <c r="T41" s="198"/>
      <c r="U41" s="198"/>
    </row>
    <row r="42" spans="1:21" s="12" customFormat="1" x14ac:dyDescent="0.25">
      <c r="A42" s="211" t="s">
        <v>2201</v>
      </c>
      <c r="B42" s="64">
        <v>9.58</v>
      </c>
      <c r="C42" s="64">
        <v>6.94</v>
      </c>
      <c r="D42" s="64">
        <v>11.31</v>
      </c>
      <c r="E42" s="64">
        <v>6.92</v>
      </c>
      <c r="F42" s="64">
        <v>4.92</v>
      </c>
      <c r="G42" s="64">
        <v>21.81</v>
      </c>
      <c r="H42" s="64">
        <v>12.67</v>
      </c>
      <c r="I42" s="64">
        <v>1.1499999999999999</v>
      </c>
      <c r="J42" s="64">
        <v>0.96</v>
      </c>
      <c r="K42" s="64">
        <v>130.81</v>
      </c>
      <c r="L42" s="64">
        <v>26.82</v>
      </c>
      <c r="M42" s="64">
        <v>86.22</v>
      </c>
      <c r="N42" s="64">
        <v>492.3</v>
      </c>
      <c r="O42" s="64">
        <v>0</v>
      </c>
      <c r="P42" s="64">
        <v>0.27</v>
      </c>
      <c r="Q42" s="64">
        <v>9.08</v>
      </c>
      <c r="R42" s="198"/>
      <c r="S42" s="198"/>
      <c r="T42" s="198"/>
      <c r="U42" s="198"/>
    </row>
    <row r="43" spans="1:21" s="12" customFormat="1" x14ac:dyDescent="0.25">
      <c r="A43" s="211" t="s">
        <v>2202</v>
      </c>
      <c r="B43" s="64">
        <v>9.2899999999999991</v>
      </c>
      <c r="C43" s="64">
        <v>7.58</v>
      </c>
      <c r="D43" s="64">
        <v>11.41</v>
      </c>
      <c r="E43" s="64">
        <v>7.74</v>
      </c>
      <c r="F43" s="64">
        <v>4.09</v>
      </c>
      <c r="G43" s="64">
        <v>21.81</v>
      </c>
      <c r="H43" s="64">
        <v>12.67</v>
      </c>
      <c r="I43" s="64">
        <v>1.1499999999999999</v>
      </c>
      <c r="J43" s="64">
        <v>0.59</v>
      </c>
      <c r="K43" s="64">
        <v>126.74</v>
      </c>
      <c r="L43" s="64">
        <v>27.32</v>
      </c>
      <c r="M43" s="64">
        <v>82.93</v>
      </c>
      <c r="N43" s="64">
        <v>531.1</v>
      </c>
      <c r="O43" s="64">
        <v>0</v>
      </c>
      <c r="P43" s="64">
        <v>0.28000000000000003</v>
      </c>
      <c r="Q43" s="64">
        <v>9.1</v>
      </c>
      <c r="R43" s="198"/>
      <c r="S43" s="198"/>
      <c r="T43" s="198"/>
      <c r="U43" s="198"/>
    </row>
    <row r="44" spans="1:21" s="12" customFormat="1" x14ac:dyDescent="0.25">
      <c r="A44" s="211" t="s">
        <v>2203</v>
      </c>
      <c r="B44" s="64">
        <v>8.48</v>
      </c>
      <c r="C44" s="64">
        <v>8.19</v>
      </c>
      <c r="D44" s="64">
        <v>11.08</v>
      </c>
      <c r="E44" s="64">
        <v>7.87</v>
      </c>
      <c r="F44" s="64">
        <v>3.63</v>
      </c>
      <c r="G44" s="64">
        <v>21.81</v>
      </c>
      <c r="H44" s="64">
        <v>12.67</v>
      </c>
      <c r="I44" s="64">
        <v>1.1599999999999999</v>
      </c>
      <c r="J44" s="64">
        <v>0.32</v>
      </c>
      <c r="K44" s="64">
        <v>130.4</v>
      </c>
      <c r="L44" s="64">
        <v>28.02</v>
      </c>
      <c r="M44" s="64">
        <v>80.290000000000006</v>
      </c>
      <c r="N44" s="64">
        <v>562.5</v>
      </c>
      <c r="O44" s="64">
        <v>0</v>
      </c>
      <c r="P44" s="64">
        <v>0.3</v>
      </c>
      <c r="Q44" s="64">
        <v>9.1</v>
      </c>
      <c r="R44" s="198"/>
      <c r="S44" s="198"/>
      <c r="T44" s="198"/>
      <c r="U44" s="198"/>
    </row>
    <row r="45" spans="1:21" s="12" customFormat="1" x14ac:dyDescent="0.25">
      <c r="A45" s="211" t="s">
        <v>2204</v>
      </c>
      <c r="B45" s="64">
        <v>8.41</v>
      </c>
      <c r="C45" s="64">
        <v>7.62</v>
      </c>
      <c r="D45" s="64">
        <v>10.73</v>
      </c>
      <c r="E45" s="64">
        <v>8.23</v>
      </c>
      <c r="F45" s="64">
        <v>4.1399999999999997</v>
      </c>
      <c r="G45" s="64">
        <v>18.04</v>
      </c>
      <c r="H45" s="64">
        <v>12.84</v>
      </c>
      <c r="I45" s="64">
        <v>1.17</v>
      </c>
      <c r="J45" s="64">
        <v>1.26</v>
      </c>
      <c r="K45" s="64">
        <v>126.54</v>
      </c>
      <c r="L45" s="64">
        <v>27.61</v>
      </c>
      <c r="M45" s="64">
        <v>80.25</v>
      </c>
      <c r="N45" s="64">
        <v>597.29999999999995</v>
      </c>
      <c r="O45" s="64">
        <v>0</v>
      </c>
      <c r="P45" s="64">
        <v>0.27</v>
      </c>
      <c r="Q45" s="64">
        <v>9.11</v>
      </c>
      <c r="R45" s="198"/>
      <c r="S45" s="198"/>
      <c r="T45" s="198"/>
      <c r="U45" s="198"/>
    </row>
    <row r="46" spans="1:21" s="12" customFormat="1" x14ac:dyDescent="0.25">
      <c r="A46" s="211" t="s">
        <v>2205</v>
      </c>
      <c r="B46" s="64">
        <v>7.87</v>
      </c>
      <c r="C46" s="64">
        <v>6.89</v>
      </c>
      <c r="D46" s="64">
        <v>9.92</v>
      </c>
      <c r="E46" s="64">
        <v>7.49</v>
      </c>
      <c r="F46" s="64">
        <v>4.68</v>
      </c>
      <c r="G46" s="64">
        <v>17.03</v>
      </c>
      <c r="H46" s="64">
        <v>12.84</v>
      </c>
      <c r="I46" s="64">
        <v>1.18</v>
      </c>
      <c r="J46" s="64">
        <v>1.1599999999999999</v>
      </c>
      <c r="K46" s="64">
        <v>120.57</v>
      </c>
      <c r="L46" s="64">
        <v>27.29</v>
      </c>
      <c r="M46" s="64">
        <v>81.58</v>
      </c>
      <c r="N46" s="64">
        <v>637.70000000000005</v>
      </c>
      <c r="O46" s="64">
        <v>0</v>
      </c>
      <c r="P46" s="64">
        <v>0.26</v>
      </c>
      <c r="Q46" s="64">
        <v>9.1</v>
      </c>
      <c r="R46" s="198"/>
      <c r="S46" s="198"/>
      <c r="T46" s="198"/>
      <c r="U46" s="198"/>
    </row>
    <row r="47" spans="1:21" s="12" customFormat="1" x14ac:dyDescent="0.25">
      <c r="A47" s="211" t="s">
        <v>2206</v>
      </c>
      <c r="B47" s="64">
        <v>7.66</v>
      </c>
      <c r="C47" s="64">
        <v>6.71</v>
      </c>
      <c r="D47" s="64">
        <v>9.65</v>
      </c>
      <c r="E47" s="64">
        <v>7.31</v>
      </c>
      <c r="F47" s="64">
        <v>4.88</v>
      </c>
      <c r="G47" s="64">
        <v>17.03</v>
      </c>
      <c r="H47" s="64">
        <v>12.84</v>
      </c>
      <c r="I47" s="64">
        <v>1.19</v>
      </c>
      <c r="J47" s="64">
        <v>0.96</v>
      </c>
      <c r="K47" s="64">
        <v>125.99</v>
      </c>
      <c r="L47" s="64">
        <v>28</v>
      </c>
      <c r="M47" s="64">
        <v>77.489999999999995</v>
      </c>
      <c r="N47" s="64">
        <v>681.7</v>
      </c>
      <c r="O47" s="64">
        <v>0</v>
      </c>
      <c r="P47" s="64">
        <v>0.25</v>
      </c>
      <c r="Q47" s="64">
        <v>9.1</v>
      </c>
      <c r="R47" s="198"/>
      <c r="S47" s="198"/>
      <c r="T47" s="198"/>
      <c r="U47" s="198"/>
    </row>
    <row r="48" spans="1:21" s="12" customFormat="1" x14ac:dyDescent="0.25">
      <c r="A48" s="211" t="s">
        <v>2207</v>
      </c>
      <c r="B48" s="64">
        <v>7.51</v>
      </c>
      <c r="C48" s="64">
        <v>6.7</v>
      </c>
      <c r="D48" s="64">
        <v>9.52</v>
      </c>
      <c r="E48" s="64">
        <v>7.12</v>
      </c>
      <c r="F48" s="64">
        <v>6.72</v>
      </c>
      <c r="G48" s="64">
        <v>17.03</v>
      </c>
      <c r="H48" s="64">
        <v>12.84</v>
      </c>
      <c r="I48" s="64">
        <v>1.19</v>
      </c>
      <c r="J48" s="64">
        <v>1.1399999999999999</v>
      </c>
      <c r="K48" s="64">
        <v>121.94</v>
      </c>
      <c r="L48" s="64">
        <v>28.32</v>
      </c>
      <c r="M48" s="64">
        <v>74.53</v>
      </c>
      <c r="N48" s="64">
        <v>726</v>
      </c>
      <c r="O48" s="64">
        <v>0</v>
      </c>
      <c r="P48" s="64">
        <v>0.26</v>
      </c>
      <c r="Q48" s="64">
        <v>9.1</v>
      </c>
      <c r="R48" s="198"/>
      <c r="S48" s="198"/>
      <c r="T48" s="198"/>
      <c r="U48" s="198"/>
    </row>
    <row r="49" spans="1:21" s="12" customFormat="1" x14ac:dyDescent="0.25">
      <c r="A49" s="211" t="s">
        <v>2208</v>
      </c>
      <c r="B49" s="64">
        <v>7.64</v>
      </c>
      <c r="C49" s="64">
        <v>6.73</v>
      </c>
      <c r="D49" s="64">
        <v>9.64</v>
      </c>
      <c r="E49" s="64">
        <v>7</v>
      </c>
      <c r="F49" s="64">
        <v>3.78</v>
      </c>
      <c r="G49" s="64">
        <v>15.54</v>
      </c>
      <c r="H49" s="64">
        <v>12.43</v>
      </c>
      <c r="I49" s="64">
        <v>1.18</v>
      </c>
      <c r="J49" s="64">
        <v>1.49</v>
      </c>
      <c r="K49" s="64">
        <v>123.89</v>
      </c>
      <c r="L49" s="64">
        <v>28.16</v>
      </c>
      <c r="M49" s="64">
        <v>76.099999999999994</v>
      </c>
      <c r="N49" s="64">
        <v>775.5</v>
      </c>
      <c r="O49" s="64">
        <v>0</v>
      </c>
      <c r="P49" s="64">
        <v>0.26</v>
      </c>
      <c r="Q49" s="64">
        <v>9.09</v>
      </c>
      <c r="R49" s="198"/>
      <c r="S49" s="198"/>
      <c r="T49" s="198"/>
      <c r="U49" s="198"/>
    </row>
    <row r="50" spans="1:21" s="12" customFormat="1" x14ac:dyDescent="0.25">
      <c r="A50" s="211" t="s">
        <v>2209</v>
      </c>
      <c r="B50" s="64">
        <v>7.71</v>
      </c>
      <c r="C50" s="64">
        <v>6.91</v>
      </c>
      <c r="D50" s="64">
        <v>9.7899999999999991</v>
      </c>
      <c r="E50" s="64">
        <v>6.82</v>
      </c>
      <c r="F50" s="64">
        <v>7.87</v>
      </c>
      <c r="G50" s="64">
        <v>15.14</v>
      </c>
      <c r="H50" s="64">
        <v>12.43</v>
      </c>
      <c r="I50" s="64">
        <v>1.18</v>
      </c>
      <c r="J50" s="64">
        <v>1.25</v>
      </c>
      <c r="K50" s="64">
        <v>127.63</v>
      </c>
      <c r="L50" s="64">
        <v>28.02</v>
      </c>
      <c r="M50" s="64">
        <v>77.14</v>
      </c>
      <c r="N50" s="64">
        <v>606.5</v>
      </c>
      <c r="O50" s="64">
        <v>0</v>
      </c>
      <c r="P50" s="64">
        <v>0.27</v>
      </c>
      <c r="Q50" s="64">
        <v>9.06</v>
      </c>
      <c r="R50" s="198"/>
      <c r="S50" s="198"/>
      <c r="T50" s="198"/>
      <c r="U50" s="198"/>
    </row>
    <row r="51" spans="1:21" s="12" customFormat="1" x14ac:dyDescent="0.25">
      <c r="A51" s="211" t="s">
        <v>2210</v>
      </c>
      <c r="B51" s="64">
        <v>7.16</v>
      </c>
      <c r="C51" s="64">
        <v>6.77</v>
      </c>
      <c r="D51" s="64">
        <v>9.27</v>
      </c>
      <c r="E51" s="64">
        <v>7.07</v>
      </c>
      <c r="F51" s="64">
        <v>8.27</v>
      </c>
      <c r="G51" s="64">
        <v>15.14</v>
      </c>
      <c r="H51" s="64">
        <v>12.43</v>
      </c>
      <c r="I51" s="64">
        <v>1.1499999999999999</v>
      </c>
      <c r="J51" s="64">
        <v>1.24</v>
      </c>
      <c r="K51" s="64">
        <v>126.04</v>
      </c>
      <c r="L51" s="64">
        <v>27.85</v>
      </c>
      <c r="M51" s="64">
        <v>78.150000000000006</v>
      </c>
      <c r="N51" s="64">
        <v>518.1</v>
      </c>
      <c r="O51" s="64">
        <v>0</v>
      </c>
      <c r="P51" s="64">
        <v>0.25</v>
      </c>
      <c r="Q51" s="64">
        <v>9.0399999999999991</v>
      </c>
      <c r="R51" s="198"/>
      <c r="S51" s="198"/>
      <c r="T51" s="198"/>
      <c r="U51" s="198"/>
    </row>
    <row r="52" spans="1:21" s="12" customFormat="1" x14ac:dyDescent="0.25">
      <c r="A52" s="211" t="s">
        <v>2211</v>
      </c>
      <c r="B52" s="64">
        <v>7</v>
      </c>
      <c r="C52" s="64">
        <v>6.82</v>
      </c>
      <c r="D52" s="64">
        <v>9.18</v>
      </c>
      <c r="E52" s="64">
        <v>6.72</v>
      </c>
      <c r="F52" s="64">
        <v>7.68</v>
      </c>
      <c r="G52" s="64">
        <v>15.14</v>
      </c>
      <c r="H52" s="64">
        <v>12.43</v>
      </c>
      <c r="I52" s="64">
        <v>1.1299999999999999</v>
      </c>
      <c r="J52" s="64">
        <v>1.24</v>
      </c>
      <c r="K52" s="64">
        <v>123.08</v>
      </c>
      <c r="L52" s="64">
        <v>27.29</v>
      </c>
      <c r="M52" s="64">
        <v>80.87</v>
      </c>
      <c r="N52" s="64">
        <v>482.4</v>
      </c>
      <c r="O52" s="64">
        <v>0</v>
      </c>
      <c r="P52" s="64">
        <v>0.25</v>
      </c>
      <c r="Q52" s="64">
        <v>9.0299999999999994</v>
      </c>
      <c r="R52" s="198"/>
      <c r="S52" s="198"/>
      <c r="T52" s="198"/>
      <c r="U52" s="198"/>
    </row>
    <row r="53" spans="1:21" s="12" customFormat="1" x14ac:dyDescent="0.25">
      <c r="A53" s="211" t="s">
        <v>2212</v>
      </c>
      <c r="B53" s="64">
        <v>6.69</v>
      </c>
      <c r="C53" s="64">
        <v>7.06</v>
      </c>
      <c r="D53" s="64">
        <v>9.06</v>
      </c>
      <c r="E53" s="64">
        <v>6.45</v>
      </c>
      <c r="F53" s="64">
        <v>8.9700000000000006</v>
      </c>
      <c r="G53" s="64">
        <v>17.05</v>
      </c>
      <c r="H53" s="64">
        <v>12.51</v>
      </c>
      <c r="I53" s="64">
        <v>1.1200000000000001</v>
      </c>
      <c r="J53" s="64">
        <v>1.19</v>
      </c>
      <c r="K53" s="64">
        <v>125.07</v>
      </c>
      <c r="L53" s="64">
        <v>27.51</v>
      </c>
      <c r="M53" s="64">
        <v>80.739999999999995</v>
      </c>
      <c r="N53" s="64">
        <v>455.9</v>
      </c>
      <c r="O53" s="64">
        <v>0</v>
      </c>
      <c r="P53" s="64">
        <v>0.26</v>
      </c>
      <c r="Q53" s="64">
        <v>9.02</v>
      </c>
      <c r="R53" s="198"/>
      <c r="S53" s="198"/>
      <c r="T53" s="198"/>
      <c r="U53" s="198"/>
    </row>
    <row r="54" spans="1:21" s="12" customFormat="1" x14ac:dyDescent="0.25">
      <c r="A54" s="211" t="s">
        <v>2213</v>
      </c>
      <c r="B54" s="64">
        <v>6.64</v>
      </c>
      <c r="C54" s="64">
        <v>7.64</v>
      </c>
      <c r="D54" s="64">
        <v>9.32</v>
      </c>
      <c r="E54" s="64">
        <v>6.65</v>
      </c>
      <c r="F54" s="64">
        <v>8.49</v>
      </c>
      <c r="G54" s="64">
        <v>17.600000000000001</v>
      </c>
      <c r="H54" s="64">
        <v>12.51</v>
      </c>
      <c r="I54" s="64">
        <v>1.1000000000000001</v>
      </c>
      <c r="J54" s="64">
        <v>0.95</v>
      </c>
      <c r="K54" s="64">
        <v>118.42</v>
      </c>
      <c r="L54" s="64">
        <v>27.38</v>
      </c>
      <c r="M54" s="64">
        <v>81.34</v>
      </c>
      <c r="N54" s="64">
        <v>405.3</v>
      </c>
      <c r="O54" s="64">
        <v>0</v>
      </c>
      <c r="P54" s="64">
        <v>0.26</v>
      </c>
      <c r="Q54" s="64">
        <v>9.01</v>
      </c>
      <c r="R54" s="198"/>
      <c r="S54" s="198"/>
      <c r="T54" s="198"/>
      <c r="U54" s="198"/>
    </row>
    <row r="55" spans="1:21" s="12" customFormat="1" x14ac:dyDescent="0.25">
      <c r="A55" s="211" t="s">
        <v>2214</v>
      </c>
      <c r="B55" s="64">
        <v>6.21</v>
      </c>
      <c r="C55" s="64">
        <v>7.7</v>
      </c>
      <c r="D55" s="64">
        <v>9</v>
      </c>
      <c r="E55" s="64">
        <v>6.61</v>
      </c>
      <c r="F55" s="64">
        <v>13.45</v>
      </c>
      <c r="G55" s="64">
        <v>17.600000000000001</v>
      </c>
      <c r="H55" s="64">
        <v>12.51</v>
      </c>
      <c r="I55" s="64">
        <v>1.08</v>
      </c>
      <c r="J55" s="64">
        <v>1.17</v>
      </c>
      <c r="K55" s="64">
        <v>124.91</v>
      </c>
      <c r="L55" s="64">
        <v>27.51</v>
      </c>
      <c r="M55" s="64">
        <v>82.69</v>
      </c>
      <c r="N55" s="64">
        <v>371.9</v>
      </c>
      <c r="O55" s="64">
        <v>0</v>
      </c>
      <c r="P55" s="64">
        <v>0.27</v>
      </c>
      <c r="Q55" s="64">
        <v>9</v>
      </c>
      <c r="R55" s="198"/>
      <c r="S55" s="198"/>
      <c r="T55" s="198"/>
      <c r="U55" s="198"/>
    </row>
    <row r="56" spans="1:21" s="12" customFormat="1" x14ac:dyDescent="0.25">
      <c r="A56" s="211" t="s">
        <v>2215</v>
      </c>
      <c r="B56" s="64">
        <v>6.03</v>
      </c>
      <c r="C56" s="64">
        <v>7.4</v>
      </c>
      <c r="D56" s="64">
        <v>8.6999999999999993</v>
      </c>
      <c r="E56" s="64">
        <v>6.28</v>
      </c>
      <c r="F56" s="64">
        <v>8.7200000000000006</v>
      </c>
      <c r="G56" s="64">
        <v>17.600000000000001</v>
      </c>
      <c r="H56" s="64">
        <v>12.51</v>
      </c>
      <c r="I56" s="64">
        <v>1.08</v>
      </c>
      <c r="J56" s="64">
        <v>1.26</v>
      </c>
      <c r="K56" s="64">
        <v>124.79</v>
      </c>
      <c r="L56" s="64">
        <v>27.41</v>
      </c>
      <c r="M56" s="64">
        <v>81.36</v>
      </c>
      <c r="N56" s="64">
        <v>410.2</v>
      </c>
      <c r="O56" s="64">
        <v>0</v>
      </c>
      <c r="P56" s="64">
        <v>0.26</v>
      </c>
      <c r="Q56" s="64">
        <v>8.98</v>
      </c>
      <c r="R56" s="198"/>
      <c r="S56" s="198"/>
      <c r="T56" s="198"/>
      <c r="U56" s="198"/>
    </row>
    <row r="57" spans="1:21" s="12" customFormat="1" x14ac:dyDescent="0.25">
      <c r="A57" s="211" t="s">
        <v>2216</v>
      </c>
      <c r="B57" s="64">
        <v>6</v>
      </c>
      <c r="C57" s="64">
        <v>7.37</v>
      </c>
      <c r="D57" s="64">
        <v>8.66</v>
      </c>
      <c r="E57" s="64">
        <v>6.35</v>
      </c>
      <c r="F57" s="64">
        <v>9.84</v>
      </c>
      <c r="G57" s="64">
        <v>21.73</v>
      </c>
      <c r="H57" s="64">
        <v>13.17</v>
      </c>
      <c r="I57" s="64">
        <v>1.08</v>
      </c>
      <c r="J57" s="64">
        <v>1.55</v>
      </c>
      <c r="K57" s="64">
        <v>125.6</v>
      </c>
      <c r="L57" s="64">
        <v>27.46</v>
      </c>
      <c r="M57" s="64">
        <v>81.010000000000005</v>
      </c>
      <c r="N57" s="64">
        <v>403.1</v>
      </c>
      <c r="O57" s="64">
        <v>0</v>
      </c>
      <c r="P57" s="64">
        <v>0.27</v>
      </c>
      <c r="Q57" s="64">
        <v>8.99</v>
      </c>
      <c r="R57" s="198"/>
      <c r="S57" s="198"/>
      <c r="T57" s="198"/>
      <c r="U57" s="198"/>
    </row>
    <row r="58" spans="1:21" s="12" customFormat="1" x14ac:dyDescent="0.25">
      <c r="A58" s="211" t="s">
        <v>2217</v>
      </c>
      <c r="B58" s="64">
        <v>5.85</v>
      </c>
      <c r="C58" s="64">
        <v>7.2</v>
      </c>
      <c r="D58" s="64">
        <v>8.4499999999999993</v>
      </c>
      <c r="E58" s="64">
        <v>6.7</v>
      </c>
      <c r="F58" s="64">
        <v>7.18</v>
      </c>
      <c r="G58" s="64">
        <v>22.83</v>
      </c>
      <c r="H58" s="64">
        <v>13.17</v>
      </c>
      <c r="I58" s="64">
        <v>1.07</v>
      </c>
      <c r="J58" s="64">
        <v>1.1399999999999999</v>
      </c>
      <c r="K58" s="64">
        <v>125.93</v>
      </c>
      <c r="L58" s="64">
        <v>27.6</v>
      </c>
      <c r="M58" s="64">
        <v>81.239999999999995</v>
      </c>
      <c r="N58" s="64">
        <v>333.1</v>
      </c>
      <c r="O58" s="64">
        <v>0</v>
      </c>
      <c r="P58" s="64">
        <v>0.27</v>
      </c>
      <c r="Q58" s="64">
        <v>8.99</v>
      </c>
      <c r="R58" s="198"/>
      <c r="S58" s="198"/>
      <c r="T58" s="198"/>
      <c r="U58" s="198"/>
    </row>
    <row r="59" spans="1:21" s="12" customFormat="1" x14ac:dyDescent="0.25">
      <c r="A59" s="211" t="s">
        <v>2218</v>
      </c>
      <c r="B59" s="64">
        <v>5.8</v>
      </c>
      <c r="C59" s="64">
        <v>7.26</v>
      </c>
      <c r="D59" s="64">
        <v>8.44</v>
      </c>
      <c r="E59" s="64">
        <v>6.57</v>
      </c>
      <c r="F59" s="64">
        <v>9.9499999999999993</v>
      </c>
      <c r="G59" s="64">
        <v>22.83</v>
      </c>
      <c r="H59" s="64">
        <v>13.17</v>
      </c>
      <c r="I59" s="64">
        <v>1.08</v>
      </c>
      <c r="J59" s="64">
        <v>0.87</v>
      </c>
      <c r="K59" s="64">
        <v>125.94</v>
      </c>
      <c r="L59" s="64">
        <v>27.82</v>
      </c>
      <c r="M59" s="64">
        <v>79.12</v>
      </c>
      <c r="N59" s="64">
        <v>361.2</v>
      </c>
      <c r="O59" s="64">
        <v>0</v>
      </c>
      <c r="P59" s="64">
        <v>0.28999999999999998</v>
      </c>
      <c r="Q59" s="64">
        <v>8.99</v>
      </c>
      <c r="R59" s="198"/>
      <c r="S59" s="198"/>
      <c r="T59" s="198"/>
      <c r="U59" s="198"/>
    </row>
    <row r="60" spans="1:21" s="12" customFormat="1" x14ac:dyDescent="0.25">
      <c r="A60" s="211" t="s">
        <v>2219</v>
      </c>
      <c r="B60" s="64">
        <v>5.57</v>
      </c>
      <c r="C60" s="64">
        <v>7.18</v>
      </c>
      <c r="D60" s="64">
        <v>8.2200000000000006</v>
      </c>
      <c r="E60" s="64">
        <v>6.8</v>
      </c>
      <c r="F60" s="64">
        <v>10.199999999999999</v>
      </c>
      <c r="G60" s="64">
        <v>22.83</v>
      </c>
      <c r="H60" s="64">
        <v>13.17</v>
      </c>
      <c r="I60" s="64">
        <v>1.08</v>
      </c>
      <c r="J60" s="64">
        <v>0.63</v>
      </c>
      <c r="K60" s="64">
        <v>118.93</v>
      </c>
      <c r="L60" s="64">
        <v>28.27</v>
      </c>
      <c r="M60" s="64">
        <v>77.28</v>
      </c>
      <c r="N60" s="64">
        <v>496.9</v>
      </c>
      <c r="O60" s="64">
        <v>0</v>
      </c>
      <c r="P60" s="64">
        <v>0.28000000000000003</v>
      </c>
      <c r="Q60" s="64">
        <v>9</v>
      </c>
      <c r="R60" s="198"/>
      <c r="S60" s="198"/>
      <c r="T60" s="198"/>
      <c r="U60" s="198"/>
    </row>
    <row r="61" spans="1:21" s="12" customFormat="1" x14ac:dyDescent="0.25">
      <c r="A61" s="211" t="s">
        <v>2220</v>
      </c>
      <c r="B61" s="64">
        <v>5.5</v>
      </c>
      <c r="C61" s="64">
        <v>7.1</v>
      </c>
      <c r="D61" s="64">
        <v>8.1199999999999992</v>
      </c>
      <c r="E61" s="64">
        <v>6.74</v>
      </c>
      <c r="F61" s="64">
        <v>9.8699999999999992</v>
      </c>
      <c r="G61" s="64">
        <v>23.46</v>
      </c>
      <c r="H61" s="64">
        <v>16.670000000000002</v>
      </c>
      <c r="I61" s="64">
        <v>1.0900000000000001</v>
      </c>
      <c r="J61" s="64">
        <v>1.29</v>
      </c>
      <c r="K61" s="64">
        <v>123.52</v>
      </c>
      <c r="L61" s="64">
        <v>27.84</v>
      </c>
      <c r="M61" s="64">
        <v>78.52</v>
      </c>
      <c r="N61" s="64">
        <v>291.7</v>
      </c>
      <c r="O61" s="64">
        <v>0</v>
      </c>
      <c r="P61" s="64">
        <v>0.27</v>
      </c>
      <c r="Q61" s="64">
        <v>9.01</v>
      </c>
      <c r="R61" s="198"/>
      <c r="S61" s="198"/>
      <c r="T61" s="198"/>
      <c r="U61" s="198"/>
    </row>
    <row r="62" spans="1:21" s="12" customFormat="1" x14ac:dyDescent="0.25">
      <c r="A62" s="211" t="s">
        <v>2221</v>
      </c>
      <c r="B62" s="64">
        <v>5.4</v>
      </c>
      <c r="C62" s="64">
        <v>7.13</v>
      </c>
      <c r="D62" s="64">
        <v>8.06</v>
      </c>
      <c r="E62" s="64">
        <v>7</v>
      </c>
      <c r="F62" s="64">
        <v>10.28</v>
      </c>
      <c r="G62" s="64">
        <v>23.62</v>
      </c>
      <c r="H62" s="64">
        <v>16.670000000000002</v>
      </c>
      <c r="I62" s="64">
        <v>1.1000000000000001</v>
      </c>
      <c r="J62" s="64">
        <v>0.98</v>
      </c>
      <c r="K62" s="64">
        <v>121.92</v>
      </c>
      <c r="L62" s="64">
        <v>27.63</v>
      </c>
      <c r="M62" s="64">
        <v>79.680000000000007</v>
      </c>
      <c r="N62" s="64">
        <v>294.8</v>
      </c>
      <c r="O62" s="64">
        <v>0</v>
      </c>
      <c r="P62" s="64">
        <v>0.28000000000000003</v>
      </c>
      <c r="Q62" s="64">
        <v>9.01</v>
      </c>
      <c r="R62" s="198"/>
      <c r="S62" s="198"/>
      <c r="T62" s="198"/>
      <c r="U62" s="198"/>
    </row>
    <row r="63" spans="1:21" s="12" customFormat="1" x14ac:dyDescent="0.25">
      <c r="A63" s="211" t="s">
        <v>2222</v>
      </c>
      <c r="B63" s="64">
        <v>5.67</v>
      </c>
      <c r="C63" s="64">
        <v>7.9</v>
      </c>
      <c r="D63" s="64">
        <v>8.67</v>
      </c>
      <c r="E63" s="64">
        <v>6.71</v>
      </c>
      <c r="F63" s="64">
        <v>11.91</v>
      </c>
      <c r="G63" s="64">
        <v>23.62</v>
      </c>
      <c r="H63" s="64">
        <v>16.670000000000002</v>
      </c>
      <c r="I63" s="64">
        <v>1.1000000000000001</v>
      </c>
      <c r="J63" s="64">
        <v>0.59</v>
      </c>
      <c r="K63" s="64">
        <v>126.68</v>
      </c>
      <c r="L63" s="64">
        <v>28.07</v>
      </c>
      <c r="M63" s="64">
        <v>78.67</v>
      </c>
      <c r="N63" s="64">
        <v>250</v>
      </c>
      <c r="O63" s="64">
        <v>0</v>
      </c>
      <c r="P63" s="64">
        <v>0.3</v>
      </c>
      <c r="Q63" s="64">
        <v>9</v>
      </c>
      <c r="R63" s="198"/>
      <c r="S63" s="198"/>
      <c r="T63" s="198"/>
      <c r="U63" s="198"/>
    </row>
    <row r="64" spans="1:21" s="12" customFormat="1" x14ac:dyDescent="0.25">
      <c r="A64" s="211" t="s">
        <v>2223</v>
      </c>
      <c r="B64" s="64">
        <v>6.49</v>
      </c>
      <c r="C64" s="64">
        <v>8.6</v>
      </c>
      <c r="D64" s="64">
        <v>9.6999999999999993</v>
      </c>
      <c r="E64" s="64">
        <v>6.9</v>
      </c>
      <c r="F64" s="64">
        <v>10.07</v>
      </c>
      <c r="G64" s="64">
        <v>23.62</v>
      </c>
      <c r="H64" s="64">
        <v>16.670000000000002</v>
      </c>
      <c r="I64" s="64">
        <v>1.1000000000000001</v>
      </c>
      <c r="J64" s="64">
        <v>0.93</v>
      </c>
      <c r="K64" s="64">
        <v>132.22</v>
      </c>
      <c r="L64" s="64">
        <v>28.16</v>
      </c>
      <c r="M64" s="64">
        <v>76.67</v>
      </c>
      <c r="N64" s="64">
        <v>260.39999999999998</v>
      </c>
      <c r="O64" s="64">
        <v>0</v>
      </c>
      <c r="P64" s="64">
        <v>0.28999999999999998</v>
      </c>
      <c r="Q64" s="64">
        <v>9</v>
      </c>
      <c r="R64" s="198"/>
      <c r="S64" s="198"/>
      <c r="T64" s="198"/>
      <c r="U64" s="198"/>
    </row>
    <row r="65" spans="1:21" s="12" customFormat="1" x14ac:dyDescent="0.25">
      <c r="A65" s="211" t="s">
        <v>2224</v>
      </c>
      <c r="B65" s="64">
        <v>5.73</v>
      </c>
      <c r="C65" s="64">
        <v>8.9700000000000006</v>
      </c>
      <c r="D65" s="64">
        <v>9.2799999999999994</v>
      </c>
      <c r="E65" s="64">
        <v>6.87</v>
      </c>
      <c r="F65" s="64">
        <v>12.83</v>
      </c>
      <c r="G65" s="64">
        <v>23.42</v>
      </c>
      <c r="H65" s="64">
        <v>15.08</v>
      </c>
      <c r="I65" s="64">
        <v>1.1000000000000001</v>
      </c>
      <c r="J65" s="64">
        <v>0.99</v>
      </c>
      <c r="K65" s="64">
        <v>125.47</v>
      </c>
      <c r="L65" s="64">
        <v>28.1</v>
      </c>
      <c r="M65" s="64">
        <v>76.709999999999994</v>
      </c>
      <c r="N65" s="64">
        <v>239.6</v>
      </c>
      <c r="O65" s="64">
        <v>0</v>
      </c>
      <c r="P65" s="64">
        <v>0.28000000000000003</v>
      </c>
      <c r="Q65" s="64">
        <v>8.99</v>
      </c>
      <c r="R65" s="198"/>
      <c r="S65" s="198"/>
      <c r="T65" s="198"/>
      <c r="U65" s="198"/>
    </row>
    <row r="66" spans="1:21" s="12" customFormat="1" x14ac:dyDescent="0.25">
      <c r="A66" s="211" t="s">
        <v>2225</v>
      </c>
      <c r="B66" s="64">
        <v>5.93</v>
      </c>
      <c r="C66" s="64">
        <v>9.5</v>
      </c>
      <c r="D66" s="64">
        <v>9.7100000000000009</v>
      </c>
      <c r="E66" s="64">
        <v>7.66</v>
      </c>
      <c r="F66" s="64">
        <v>10.11</v>
      </c>
      <c r="G66" s="64">
        <v>23.36</v>
      </c>
      <c r="H66" s="64">
        <v>15.08</v>
      </c>
      <c r="I66" s="64">
        <v>1.1100000000000001</v>
      </c>
      <c r="J66" s="64">
        <v>0.82</v>
      </c>
      <c r="K66" s="64">
        <v>133.76</v>
      </c>
      <c r="L66" s="64">
        <v>28.44</v>
      </c>
      <c r="M66" s="64">
        <v>75.959999999999994</v>
      </c>
      <c r="N66" s="64">
        <v>219.5</v>
      </c>
      <c r="O66" s="64">
        <v>0</v>
      </c>
      <c r="P66" s="64">
        <v>0.28000000000000003</v>
      </c>
      <c r="Q66" s="64">
        <v>9</v>
      </c>
      <c r="R66" s="198"/>
      <c r="S66" s="198"/>
      <c r="T66" s="198"/>
      <c r="U66" s="198"/>
    </row>
    <row r="67" spans="1:21" s="12" customFormat="1" x14ac:dyDescent="0.25">
      <c r="A67" s="211" t="s">
        <v>2226</v>
      </c>
      <c r="B67" s="64">
        <v>5.66</v>
      </c>
      <c r="C67" s="64">
        <v>8.93</v>
      </c>
      <c r="D67" s="64">
        <v>9.1999999999999993</v>
      </c>
      <c r="E67" s="64">
        <v>8.02</v>
      </c>
      <c r="F67" s="64">
        <v>9.25</v>
      </c>
      <c r="G67" s="64">
        <v>23.36</v>
      </c>
      <c r="H67" s="64">
        <v>15.08</v>
      </c>
      <c r="I67" s="64">
        <v>1.1200000000000001</v>
      </c>
      <c r="J67" s="64">
        <v>0.2</v>
      </c>
      <c r="K67" s="64">
        <v>105.7</v>
      </c>
      <c r="L67" s="64">
        <v>28.47</v>
      </c>
      <c r="M67" s="64">
        <v>76.2</v>
      </c>
      <c r="N67" s="64">
        <v>180.4</v>
      </c>
      <c r="O67" s="64">
        <v>0</v>
      </c>
      <c r="P67" s="64">
        <v>0.33</v>
      </c>
      <c r="Q67" s="64">
        <v>8.99</v>
      </c>
      <c r="R67" s="198"/>
      <c r="S67" s="198"/>
      <c r="T67" s="198"/>
      <c r="U67" s="198"/>
    </row>
    <row r="68" spans="1:21" s="12" customFormat="1" x14ac:dyDescent="0.25">
      <c r="A68" s="211" t="s">
        <v>2227</v>
      </c>
      <c r="B68" s="64">
        <v>5.67</v>
      </c>
      <c r="C68" s="64">
        <v>9.74</v>
      </c>
      <c r="D68" s="64">
        <v>9.64</v>
      </c>
      <c r="E68" s="64">
        <v>7.84</v>
      </c>
      <c r="F68" s="64">
        <v>10.45</v>
      </c>
      <c r="G68" s="64">
        <v>23.36</v>
      </c>
      <c r="H68" s="64">
        <v>15.08</v>
      </c>
      <c r="I68" s="64">
        <v>1.1100000000000001</v>
      </c>
      <c r="J68" s="64">
        <v>0.28000000000000003</v>
      </c>
      <c r="K68" s="64">
        <v>137.27000000000001</v>
      </c>
      <c r="L68" s="64">
        <v>28.19</v>
      </c>
      <c r="M68" s="64">
        <v>77.69</v>
      </c>
      <c r="N68" s="64">
        <v>175.1</v>
      </c>
      <c r="O68" s="64">
        <v>0</v>
      </c>
      <c r="P68" s="64">
        <v>0.36</v>
      </c>
      <c r="Q68" s="64">
        <v>8.98</v>
      </c>
      <c r="R68" s="198"/>
      <c r="S68" s="198"/>
      <c r="T68" s="198"/>
      <c r="U68" s="198"/>
    </row>
    <row r="69" spans="1:21" s="12" customFormat="1" x14ac:dyDescent="0.25">
      <c r="A69" s="211" t="s">
        <v>2228</v>
      </c>
      <c r="B69" s="64">
        <v>5.95</v>
      </c>
      <c r="C69" s="64">
        <v>10.88</v>
      </c>
      <c r="D69" s="64">
        <v>10.46</v>
      </c>
      <c r="E69" s="64">
        <v>8.1300000000000008</v>
      </c>
      <c r="F69" s="64">
        <v>12.66</v>
      </c>
      <c r="G69" s="64">
        <v>26.3</v>
      </c>
      <c r="H69" s="64">
        <v>14.48</v>
      </c>
      <c r="I69" s="64">
        <v>1.1100000000000001</v>
      </c>
      <c r="J69" s="64">
        <v>0.6</v>
      </c>
      <c r="K69" s="64">
        <v>130.5</v>
      </c>
      <c r="L69" s="64">
        <v>28.07</v>
      </c>
      <c r="M69" s="64">
        <v>77.55</v>
      </c>
      <c r="N69" s="64">
        <v>135.19999999999999</v>
      </c>
      <c r="O69" s="64">
        <v>0</v>
      </c>
      <c r="P69" s="64">
        <v>0.32</v>
      </c>
      <c r="Q69" s="64">
        <v>8.9700000000000006</v>
      </c>
      <c r="R69" s="198"/>
      <c r="S69" s="198"/>
      <c r="T69" s="198"/>
      <c r="U69" s="198"/>
    </row>
    <row r="70" spans="1:21" s="12" customFormat="1" x14ac:dyDescent="0.25">
      <c r="A70" s="211" t="s">
        <v>2229</v>
      </c>
      <c r="B70" s="64">
        <v>5.29</v>
      </c>
      <c r="C70" s="64">
        <v>8.19</v>
      </c>
      <c r="D70" s="64">
        <v>8.52</v>
      </c>
      <c r="E70" s="64">
        <v>7.93</v>
      </c>
      <c r="F70" s="64">
        <v>12.5</v>
      </c>
      <c r="G70" s="64">
        <v>27.09</v>
      </c>
      <c r="H70" s="64">
        <v>14.48</v>
      </c>
      <c r="I70" s="64">
        <v>1.1000000000000001</v>
      </c>
      <c r="J70" s="64">
        <v>0.47</v>
      </c>
      <c r="K70" s="64">
        <v>126.28</v>
      </c>
      <c r="L70" s="64">
        <v>27.72</v>
      </c>
      <c r="M70" s="64">
        <v>79.16</v>
      </c>
      <c r="N70" s="64">
        <v>100</v>
      </c>
      <c r="O70" s="64">
        <v>0</v>
      </c>
      <c r="P70" s="64">
        <v>0.34</v>
      </c>
      <c r="Q70" s="64">
        <v>8.9600000000000009</v>
      </c>
      <c r="R70" s="198"/>
      <c r="S70" s="198"/>
      <c r="T70" s="198"/>
      <c r="U70" s="198"/>
    </row>
    <row r="71" spans="1:21" s="12" customFormat="1" x14ac:dyDescent="0.25">
      <c r="A71" s="211" t="s">
        <v>2230</v>
      </c>
      <c r="B71" s="64">
        <v>5.01</v>
      </c>
      <c r="C71" s="64">
        <v>7.91</v>
      </c>
      <c r="D71" s="64">
        <v>8.15</v>
      </c>
      <c r="E71" s="64">
        <v>7.57</v>
      </c>
      <c r="F71" s="64">
        <v>14.75</v>
      </c>
      <c r="G71" s="64">
        <v>27.09</v>
      </c>
      <c r="H71" s="64">
        <v>14.48</v>
      </c>
      <c r="I71" s="64">
        <v>1.1000000000000001</v>
      </c>
      <c r="J71" s="64">
        <v>0.65</v>
      </c>
      <c r="K71" s="64">
        <v>126.88</v>
      </c>
      <c r="L71" s="64">
        <v>27.54</v>
      </c>
      <c r="M71" s="64">
        <v>79.06</v>
      </c>
      <c r="N71" s="64">
        <v>103.5</v>
      </c>
      <c r="O71" s="64">
        <v>0</v>
      </c>
      <c r="P71" s="64">
        <v>0.31</v>
      </c>
      <c r="Q71" s="64">
        <v>8.9600000000000009</v>
      </c>
      <c r="R71" s="198"/>
      <c r="S71" s="198"/>
      <c r="T71" s="198"/>
      <c r="U71" s="198"/>
    </row>
    <row r="72" spans="1:21" s="12" customFormat="1" x14ac:dyDescent="0.25">
      <c r="A72" s="211" t="s">
        <v>2231</v>
      </c>
      <c r="B72" s="64">
        <v>6.84</v>
      </c>
      <c r="C72" s="64">
        <v>11.85</v>
      </c>
      <c r="D72" s="64">
        <v>11.68</v>
      </c>
      <c r="E72" s="64">
        <v>5.14</v>
      </c>
      <c r="F72" s="64">
        <v>12.3</v>
      </c>
      <c r="G72" s="64">
        <v>27.09</v>
      </c>
      <c r="H72" s="64">
        <v>14.48</v>
      </c>
      <c r="I72" s="64">
        <v>1.1000000000000001</v>
      </c>
      <c r="J72" s="64">
        <v>7.0000000000000007E-2</v>
      </c>
      <c r="K72" s="64">
        <v>137.34</v>
      </c>
      <c r="L72" s="64">
        <v>27.7</v>
      </c>
      <c r="M72" s="64">
        <v>78.849999999999994</v>
      </c>
      <c r="N72" s="64">
        <v>99.8</v>
      </c>
      <c r="O72" s="64">
        <v>0</v>
      </c>
      <c r="P72" s="64">
        <v>0.41</v>
      </c>
      <c r="Q72" s="64">
        <v>8.9499999999999993</v>
      </c>
      <c r="R72" s="198"/>
      <c r="S72" s="198"/>
      <c r="T72" s="198"/>
      <c r="U72" s="198"/>
    </row>
    <row r="73" spans="1:21" s="12" customFormat="1" x14ac:dyDescent="0.25">
      <c r="A73" s="211" t="s">
        <v>2232</v>
      </c>
      <c r="B73" s="64">
        <v>5.76</v>
      </c>
      <c r="C73" s="64">
        <v>11.65</v>
      </c>
      <c r="D73" s="64">
        <v>10.7</v>
      </c>
      <c r="E73" s="64">
        <v>5.65</v>
      </c>
      <c r="F73" s="64">
        <v>10.220000000000001</v>
      </c>
      <c r="G73" s="64">
        <v>28.67</v>
      </c>
      <c r="H73" s="64">
        <v>13.44</v>
      </c>
      <c r="I73" s="64">
        <v>1.1000000000000001</v>
      </c>
      <c r="J73" s="64">
        <v>0.42</v>
      </c>
      <c r="K73" s="64">
        <v>133.74</v>
      </c>
      <c r="L73" s="64">
        <v>27.54</v>
      </c>
      <c r="M73" s="64">
        <v>79.53</v>
      </c>
      <c r="N73" s="64">
        <v>77.7</v>
      </c>
      <c r="O73" s="64">
        <v>0</v>
      </c>
      <c r="P73" s="64">
        <v>0.41</v>
      </c>
      <c r="Q73" s="64">
        <v>8.9700000000000006</v>
      </c>
      <c r="R73" s="198"/>
      <c r="S73" s="198"/>
      <c r="T73" s="198"/>
      <c r="U73" s="198"/>
    </row>
    <row r="74" spans="1:21" s="12" customFormat="1" x14ac:dyDescent="0.25">
      <c r="A74" s="211" t="s">
        <v>2233</v>
      </c>
      <c r="B74" s="64">
        <v>5.76</v>
      </c>
      <c r="C74" s="64">
        <v>11.24</v>
      </c>
      <c r="D74" s="64">
        <v>10.49</v>
      </c>
      <c r="E74" s="64">
        <v>5.9</v>
      </c>
      <c r="F74" s="64">
        <v>8.85</v>
      </c>
      <c r="G74" s="64">
        <v>29.1</v>
      </c>
      <c r="H74" s="64">
        <v>13.44</v>
      </c>
      <c r="I74" s="64">
        <v>1.1200000000000001</v>
      </c>
      <c r="J74" s="64">
        <v>0.12</v>
      </c>
      <c r="K74" s="64">
        <v>137.93</v>
      </c>
      <c r="L74" s="64">
        <v>27.36</v>
      </c>
      <c r="M74" s="64">
        <v>78.849999999999994</v>
      </c>
      <c r="N74" s="64">
        <v>72.3</v>
      </c>
      <c r="O74" s="64">
        <v>0</v>
      </c>
      <c r="P74" s="64">
        <v>0.41</v>
      </c>
      <c r="Q74" s="64">
        <v>8.9700000000000006</v>
      </c>
      <c r="R74" s="198"/>
      <c r="S74" s="198"/>
      <c r="T74" s="198"/>
      <c r="U74" s="198"/>
    </row>
    <row r="75" spans="1:21" s="12" customFormat="1" x14ac:dyDescent="0.25">
      <c r="A75" s="211" t="s">
        <v>2234</v>
      </c>
      <c r="B75" s="64">
        <v>5.74</v>
      </c>
      <c r="C75" s="64">
        <v>12.1</v>
      </c>
      <c r="D75" s="64">
        <v>10.93</v>
      </c>
      <c r="E75" s="64">
        <v>5.46</v>
      </c>
      <c r="F75" s="64">
        <v>11.5</v>
      </c>
      <c r="G75" s="64">
        <v>29.1</v>
      </c>
      <c r="H75" s="64">
        <v>13.44</v>
      </c>
      <c r="I75" s="64">
        <v>1.1299999999999999</v>
      </c>
      <c r="J75" s="64">
        <v>0.15</v>
      </c>
      <c r="K75" s="64">
        <v>153.46</v>
      </c>
      <c r="L75" s="64">
        <v>27.18</v>
      </c>
      <c r="M75" s="64">
        <v>81.569999999999993</v>
      </c>
      <c r="N75" s="64">
        <v>65.2</v>
      </c>
      <c r="O75" s="64">
        <v>0</v>
      </c>
      <c r="P75" s="64">
        <v>0.41</v>
      </c>
      <c r="Q75" s="64">
        <v>8.9700000000000006</v>
      </c>
      <c r="R75" s="198"/>
      <c r="S75" s="198"/>
      <c r="T75" s="198"/>
      <c r="U75" s="198"/>
    </row>
    <row r="76" spans="1:21" s="12" customFormat="1" x14ac:dyDescent="0.25">
      <c r="A76" s="211" t="s">
        <v>2235</v>
      </c>
      <c r="B76" s="64">
        <v>5.79</v>
      </c>
      <c r="C76" s="64">
        <v>10.81</v>
      </c>
      <c r="D76" s="64">
        <v>10.3</v>
      </c>
      <c r="E76" s="64">
        <v>6.01</v>
      </c>
      <c r="F76" s="64">
        <v>8.48</v>
      </c>
      <c r="G76" s="64">
        <v>29.1</v>
      </c>
      <c r="H76" s="64">
        <v>13.44</v>
      </c>
      <c r="I76" s="64">
        <v>1.1499999999999999</v>
      </c>
      <c r="J76" s="64">
        <v>0.24</v>
      </c>
      <c r="K76" s="64">
        <v>319.68</v>
      </c>
      <c r="L76" s="64">
        <v>26.98</v>
      </c>
      <c r="M76" s="64">
        <v>83.52</v>
      </c>
      <c r="N76" s="64">
        <v>57.8</v>
      </c>
      <c r="O76" s="64">
        <v>0</v>
      </c>
      <c r="P76" s="64">
        <v>0.42</v>
      </c>
      <c r="Q76" s="64">
        <v>8.9700000000000006</v>
      </c>
      <c r="R76" s="198"/>
      <c r="S76" s="198"/>
      <c r="T76" s="198"/>
      <c r="U76" s="198"/>
    </row>
    <row r="77" spans="1:21" s="12" customFormat="1" x14ac:dyDescent="0.25">
      <c r="A77" s="211" t="s">
        <v>2236</v>
      </c>
      <c r="B77" s="64">
        <v>6.7</v>
      </c>
      <c r="C77" s="64">
        <v>13.75</v>
      </c>
      <c r="D77" s="64">
        <v>12.56</v>
      </c>
      <c r="E77" s="64">
        <v>5.88</v>
      </c>
      <c r="F77" s="64">
        <v>9.7899999999999991</v>
      </c>
      <c r="G77" s="64">
        <v>29.51</v>
      </c>
      <c r="H77" s="64">
        <v>16.12</v>
      </c>
      <c r="I77" s="64">
        <v>1.17</v>
      </c>
      <c r="J77" s="64">
        <v>0.16</v>
      </c>
      <c r="K77" s="64">
        <v>317.7</v>
      </c>
      <c r="L77" s="64">
        <v>26.77</v>
      </c>
      <c r="M77" s="64">
        <v>86.39</v>
      </c>
      <c r="N77" s="64">
        <v>50.1</v>
      </c>
      <c r="O77" s="64">
        <v>0</v>
      </c>
      <c r="P77" s="64">
        <v>0.57999999999999996</v>
      </c>
      <c r="Q77" s="64">
        <v>8.99</v>
      </c>
      <c r="R77" s="198"/>
      <c r="S77" s="198"/>
      <c r="T77" s="198"/>
      <c r="U77" s="198"/>
    </row>
    <row r="78" spans="1:21" s="12" customFormat="1" x14ac:dyDescent="0.25">
      <c r="A78" s="211" t="s">
        <v>2237</v>
      </c>
      <c r="B78" s="64">
        <v>6.78</v>
      </c>
      <c r="C78" s="64">
        <v>15.55</v>
      </c>
      <c r="D78" s="64">
        <v>13.56</v>
      </c>
      <c r="E78" s="64">
        <v>5.85</v>
      </c>
      <c r="F78" s="64">
        <v>10.85</v>
      </c>
      <c r="G78" s="64">
        <v>29.62</v>
      </c>
      <c r="H78" s="64">
        <v>16.12</v>
      </c>
      <c r="I78" s="64">
        <v>1.2</v>
      </c>
      <c r="J78" s="64">
        <v>0.02</v>
      </c>
      <c r="K78" s="64">
        <v>190.24</v>
      </c>
      <c r="L78" s="64">
        <v>26.43</v>
      </c>
      <c r="M78" s="64">
        <v>91.13</v>
      </c>
      <c r="N78" s="64">
        <v>43.1</v>
      </c>
      <c r="O78" s="64">
        <v>0</v>
      </c>
      <c r="P78" s="64">
        <v>0.53</v>
      </c>
      <c r="Q78" s="64">
        <v>8.98</v>
      </c>
      <c r="R78" s="198"/>
      <c r="S78" s="198"/>
      <c r="T78" s="198"/>
      <c r="U78" s="198"/>
    </row>
    <row r="79" spans="1:21" s="12" customFormat="1" x14ac:dyDescent="0.25">
      <c r="A79" s="211" t="s">
        <v>2238</v>
      </c>
      <c r="B79" s="64">
        <v>5.89</v>
      </c>
      <c r="C79" s="64">
        <v>15.37</v>
      </c>
      <c r="D79" s="64">
        <v>12.75</v>
      </c>
      <c r="E79" s="64">
        <v>6.25</v>
      </c>
      <c r="F79" s="64">
        <v>11.71</v>
      </c>
      <c r="G79" s="64">
        <v>29.62</v>
      </c>
      <c r="H79" s="64">
        <v>16.12</v>
      </c>
      <c r="I79" s="64">
        <v>1.25</v>
      </c>
      <c r="J79" s="64">
        <v>0.06</v>
      </c>
      <c r="K79" s="64">
        <v>167.38</v>
      </c>
      <c r="L79" s="64">
        <v>26.19</v>
      </c>
      <c r="M79" s="64">
        <v>93.19</v>
      </c>
      <c r="N79" s="64">
        <v>39.299999999999997</v>
      </c>
      <c r="O79" s="64">
        <v>0</v>
      </c>
      <c r="P79" s="64">
        <v>0.56999999999999995</v>
      </c>
      <c r="Q79" s="64">
        <v>8.99</v>
      </c>
      <c r="R79" s="198"/>
      <c r="S79" s="198"/>
      <c r="T79" s="198"/>
      <c r="U79" s="198"/>
    </row>
    <row r="80" spans="1:21" s="12" customFormat="1" x14ac:dyDescent="0.25">
      <c r="A80" s="211" t="s">
        <v>2239</v>
      </c>
      <c r="B80" s="64">
        <v>5.53</v>
      </c>
      <c r="C80" s="64">
        <v>12.52</v>
      </c>
      <c r="D80" s="64">
        <v>10.98</v>
      </c>
      <c r="E80" s="64">
        <v>6.35</v>
      </c>
      <c r="F80" s="64">
        <v>9.5</v>
      </c>
      <c r="G80" s="64">
        <v>29.62</v>
      </c>
      <c r="H80" s="64">
        <v>16.12</v>
      </c>
      <c r="I80" s="64">
        <v>1.29</v>
      </c>
      <c r="J80" s="64">
        <v>0.82</v>
      </c>
      <c r="K80" s="64">
        <v>129.68</v>
      </c>
      <c r="L80" s="64">
        <v>25.76</v>
      </c>
      <c r="M80" s="64">
        <v>90.62</v>
      </c>
      <c r="N80" s="64">
        <v>39.799999999999997</v>
      </c>
      <c r="O80" s="64">
        <v>0</v>
      </c>
      <c r="P80" s="64">
        <v>0.43</v>
      </c>
      <c r="Q80" s="64">
        <v>9</v>
      </c>
      <c r="R80" s="198"/>
      <c r="S80" s="198"/>
      <c r="T80" s="198"/>
      <c r="U80" s="198"/>
    </row>
    <row r="81" spans="1:26" s="12" customFormat="1" x14ac:dyDescent="0.25">
      <c r="A81" s="211" t="s">
        <v>2240</v>
      </c>
      <c r="B81" s="64">
        <v>5.54</v>
      </c>
      <c r="C81" s="64">
        <v>9.39</v>
      </c>
      <c r="D81" s="64">
        <v>9.35</v>
      </c>
      <c r="E81" s="64">
        <v>5.73</v>
      </c>
      <c r="F81" s="64">
        <v>3.78</v>
      </c>
      <c r="G81" s="64">
        <v>35.56</v>
      </c>
      <c r="H81" s="64">
        <v>14.58</v>
      </c>
      <c r="I81" s="64">
        <v>1.32</v>
      </c>
      <c r="J81" s="64">
        <v>0.34</v>
      </c>
      <c r="K81" s="64">
        <v>132.03</v>
      </c>
      <c r="L81" s="64">
        <v>24.17</v>
      </c>
      <c r="M81" s="64">
        <v>89.08</v>
      </c>
      <c r="N81" s="64">
        <v>40.9</v>
      </c>
      <c r="O81" s="64">
        <v>0</v>
      </c>
      <c r="P81" s="64">
        <v>0.35</v>
      </c>
      <c r="Q81" s="64">
        <v>9</v>
      </c>
      <c r="R81" s="198"/>
      <c r="S81" s="198"/>
      <c r="T81" s="198"/>
      <c r="U81" s="198"/>
    </row>
    <row r="82" spans="1:26" s="12" customFormat="1" x14ac:dyDescent="0.25">
      <c r="A82" s="211" t="s">
        <v>2241</v>
      </c>
      <c r="B82" s="64">
        <v>5.55</v>
      </c>
      <c r="C82" s="64">
        <v>8.83</v>
      </c>
      <c r="D82" s="64">
        <v>9.06</v>
      </c>
      <c r="E82" s="64">
        <v>5.46</v>
      </c>
      <c r="F82" s="64">
        <v>2.35</v>
      </c>
      <c r="G82" s="64">
        <v>37.14</v>
      </c>
      <c r="H82" s="64">
        <v>14.58</v>
      </c>
      <c r="I82" s="64">
        <v>1.35</v>
      </c>
      <c r="J82" s="64">
        <v>0.52</v>
      </c>
      <c r="K82" s="64">
        <v>168.41</v>
      </c>
      <c r="L82" s="64">
        <v>23.76</v>
      </c>
      <c r="M82" s="64">
        <v>92.33</v>
      </c>
      <c r="N82" s="64">
        <v>39.6</v>
      </c>
      <c r="O82" s="64">
        <v>0</v>
      </c>
      <c r="P82" s="64">
        <v>0.37</v>
      </c>
      <c r="Q82" s="64">
        <v>9.02</v>
      </c>
      <c r="R82" s="198"/>
      <c r="S82" s="198"/>
      <c r="T82" s="198"/>
      <c r="U82" s="198"/>
    </row>
    <row r="83" spans="1:26" s="12" customFormat="1" x14ac:dyDescent="0.25">
      <c r="A83" s="211" t="s">
        <v>2242</v>
      </c>
      <c r="B83" s="64">
        <v>5.5</v>
      </c>
      <c r="C83" s="64">
        <v>9.4700000000000006</v>
      </c>
      <c r="D83" s="64">
        <v>9.36</v>
      </c>
      <c r="E83" s="64">
        <v>5.22</v>
      </c>
      <c r="F83" s="64">
        <v>4.29</v>
      </c>
      <c r="G83" s="64">
        <v>37.14</v>
      </c>
      <c r="H83" s="64">
        <v>14.58</v>
      </c>
      <c r="I83" s="64">
        <v>1.35</v>
      </c>
      <c r="J83" s="64">
        <v>0.35</v>
      </c>
      <c r="K83" s="64">
        <v>115.97</v>
      </c>
      <c r="L83" s="64">
        <v>23.94</v>
      </c>
      <c r="M83" s="64">
        <v>93.55</v>
      </c>
      <c r="N83" s="64">
        <v>38.9</v>
      </c>
      <c r="O83" s="64">
        <v>0</v>
      </c>
      <c r="P83" s="64">
        <v>0.38</v>
      </c>
      <c r="Q83" s="64">
        <v>9.02</v>
      </c>
      <c r="R83" s="198"/>
      <c r="S83" s="198"/>
      <c r="T83" s="198"/>
      <c r="U83" s="198"/>
    </row>
    <row r="84" spans="1:26" s="12" customFormat="1" x14ac:dyDescent="0.25">
      <c r="A84" s="211" t="s">
        <v>2243</v>
      </c>
      <c r="B84" s="64">
        <v>6.46</v>
      </c>
      <c r="C84" s="64">
        <v>16.05</v>
      </c>
      <c r="D84" s="64">
        <v>13.57</v>
      </c>
      <c r="E84" s="64">
        <v>5.48</v>
      </c>
      <c r="F84" s="64">
        <v>3.35</v>
      </c>
      <c r="G84" s="64">
        <v>37.14</v>
      </c>
      <c r="H84" s="64">
        <v>14.58</v>
      </c>
      <c r="I84" s="64">
        <v>1.35</v>
      </c>
      <c r="J84" s="64">
        <v>0.02</v>
      </c>
      <c r="K84" s="64">
        <v>311.39</v>
      </c>
      <c r="L84" s="64">
        <v>24.1</v>
      </c>
      <c r="M84" s="64">
        <v>97.55</v>
      </c>
      <c r="N84" s="64">
        <v>37.4</v>
      </c>
      <c r="O84" s="64">
        <v>0</v>
      </c>
      <c r="P84" s="64">
        <v>0.46</v>
      </c>
      <c r="Q84" s="64">
        <v>9.01</v>
      </c>
      <c r="R84" s="198"/>
      <c r="S84" s="198"/>
      <c r="T84" s="198"/>
      <c r="U84" s="198"/>
    </row>
    <row r="85" spans="1:26" s="12" customFormat="1" x14ac:dyDescent="0.25">
      <c r="A85" s="211" t="s">
        <v>2244</v>
      </c>
      <c r="B85" s="64">
        <v>7.98</v>
      </c>
      <c r="C85" s="64">
        <v>26.07</v>
      </c>
      <c r="D85" s="64">
        <v>20.02</v>
      </c>
      <c r="E85" s="64">
        <v>5.45</v>
      </c>
      <c r="F85" s="64">
        <v>2.1</v>
      </c>
      <c r="G85" s="64">
        <v>37.07</v>
      </c>
      <c r="H85" s="64">
        <v>13.51</v>
      </c>
      <c r="I85" s="64">
        <v>1.35</v>
      </c>
      <c r="J85" s="64">
        <v>0.06</v>
      </c>
      <c r="K85" s="64">
        <v>6.7</v>
      </c>
      <c r="L85" s="64">
        <v>24.14</v>
      </c>
      <c r="M85" s="64">
        <v>97.7</v>
      </c>
      <c r="N85" s="64">
        <v>37.5</v>
      </c>
      <c r="O85" s="64">
        <v>0</v>
      </c>
      <c r="P85" s="64">
        <v>0.96</v>
      </c>
      <c r="Q85" s="64">
        <v>8.99</v>
      </c>
      <c r="R85" s="198"/>
      <c r="S85" s="198"/>
      <c r="T85" s="198"/>
      <c r="U85" s="198"/>
    </row>
    <row r="86" spans="1:26" s="12" customFormat="1" x14ac:dyDescent="0.25">
      <c r="A86" s="211" t="s">
        <v>2245</v>
      </c>
      <c r="B86" s="64">
        <v>5.76</v>
      </c>
      <c r="C86" s="64">
        <v>19.3</v>
      </c>
      <c r="D86" s="64">
        <v>14.7</v>
      </c>
      <c r="E86" s="64">
        <v>5.79</v>
      </c>
      <c r="F86" s="64">
        <v>2.65</v>
      </c>
      <c r="G86" s="64">
        <v>37.049999999999997</v>
      </c>
      <c r="H86" s="64">
        <v>13.51</v>
      </c>
      <c r="I86" s="64">
        <v>1.36</v>
      </c>
      <c r="J86" s="64">
        <v>0.11</v>
      </c>
      <c r="K86" s="64">
        <v>151.76</v>
      </c>
      <c r="L86" s="64">
        <v>24.37</v>
      </c>
      <c r="M86" s="64">
        <v>97.01</v>
      </c>
      <c r="N86" s="64">
        <v>38.4</v>
      </c>
      <c r="O86" s="64">
        <v>0</v>
      </c>
      <c r="P86" s="64">
        <v>0.62</v>
      </c>
      <c r="Q86" s="64">
        <v>8.98</v>
      </c>
      <c r="R86" s="198"/>
      <c r="S86" s="198"/>
      <c r="T86" s="198"/>
      <c r="U86" s="198"/>
    </row>
    <row r="87" spans="1:26" s="12" customFormat="1" x14ac:dyDescent="0.25">
      <c r="A87" s="211" t="s">
        <v>2246</v>
      </c>
      <c r="B87" s="64">
        <v>5.32</v>
      </c>
      <c r="C87" s="64">
        <v>21.08</v>
      </c>
      <c r="D87" s="64">
        <v>15.27</v>
      </c>
      <c r="E87" s="64">
        <v>6.19</v>
      </c>
      <c r="F87" s="64">
        <v>4.7</v>
      </c>
      <c r="G87" s="64">
        <v>37.049999999999997</v>
      </c>
      <c r="H87" s="64">
        <v>13.51</v>
      </c>
      <c r="I87" s="64">
        <v>1.41</v>
      </c>
      <c r="J87" s="64">
        <v>0.15</v>
      </c>
      <c r="K87" s="64">
        <v>143.28</v>
      </c>
      <c r="L87" s="64">
        <v>24.68</v>
      </c>
      <c r="M87" s="64">
        <v>94.96</v>
      </c>
      <c r="N87" s="64">
        <v>38.5</v>
      </c>
      <c r="O87" s="64">
        <v>0</v>
      </c>
      <c r="P87" s="64">
        <v>0.65</v>
      </c>
      <c r="Q87" s="64">
        <v>8.99</v>
      </c>
      <c r="R87" s="198"/>
      <c r="S87" s="198"/>
      <c r="T87" s="198"/>
      <c r="U87" s="198"/>
    </row>
    <row r="88" spans="1:26" s="12" customFormat="1" x14ac:dyDescent="0.25">
      <c r="A88" s="211" t="s">
        <v>2247</v>
      </c>
      <c r="B88" s="64">
        <v>5.58</v>
      </c>
      <c r="C88" s="64">
        <v>18.329999999999998</v>
      </c>
      <c r="D88" s="64">
        <v>14.05</v>
      </c>
      <c r="E88" s="64">
        <v>6.6</v>
      </c>
      <c r="F88" s="64">
        <v>4.79</v>
      </c>
      <c r="G88" s="64">
        <v>37.049999999999997</v>
      </c>
      <c r="H88" s="64">
        <v>13.51</v>
      </c>
      <c r="I88" s="64">
        <v>1.46</v>
      </c>
      <c r="J88" s="64">
        <v>0.15</v>
      </c>
      <c r="K88" s="64">
        <v>154.71</v>
      </c>
      <c r="L88" s="64">
        <v>24.93</v>
      </c>
      <c r="M88" s="64">
        <v>92.81</v>
      </c>
      <c r="N88" s="64">
        <v>38.5</v>
      </c>
      <c r="O88" s="64">
        <v>0</v>
      </c>
      <c r="P88" s="64">
        <v>0.6</v>
      </c>
      <c r="Q88" s="64">
        <v>8.98</v>
      </c>
      <c r="R88" s="198"/>
      <c r="S88" s="198"/>
      <c r="T88" s="198"/>
      <c r="U88" s="198"/>
    </row>
    <row r="89" spans="1:26" s="12" customFormat="1" x14ac:dyDescent="0.25">
      <c r="A89" s="211" t="s">
        <v>2248</v>
      </c>
      <c r="B89" s="64">
        <v>5.29</v>
      </c>
      <c r="C89" s="64">
        <v>20.69</v>
      </c>
      <c r="D89" s="64">
        <v>15.05</v>
      </c>
      <c r="E89" s="64">
        <v>7.26</v>
      </c>
      <c r="F89" s="64">
        <v>5.27</v>
      </c>
      <c r="G89" s="64">
        <v>61.87</v>
      </c>
      <c r="H89" s="64">
        <v>12.76</v>
      </c>
      <c r="I89" s="64">
        <v>1.48</v>
      </c>
      <c r="J89" s="64">
        <v>0.19</v>
      </c>
      <c r="K89" s="64">
        <v>139.33000000000001</v>
      </c>
      <c r="L89" s="64">
        <v>25.12</v>
      </c>
      <c r="M89" s="64">
        <v>91.38</v>
      </c>
      <c r="N89" s="64">
        <v>38.6</v>
      </c>
      <c r="O89" s="64">
        <v>0</v>
      </c>
      <c r="P89" s="64">
        <v>0.64</v>
      </c>
      <c r="Q89" s="64">
        <v>8.99</v>
      </c>
      <c r="R89" s="198"/>
      <c r="S89" s="198"/>
      <c r="T89" s="198"/>
      <c r="U89" s="198"/>
    </row>
    <row r="90" spans="1:26" s="12" customFormat="1" x14ac:dyDescent="0.25">
      <c r="A90" s="211" t="s">
        <v>2249</v>
      </c>
      <c r="B90" s="64">
        <v>5.04</v>
      </c>
      <c r="C90" s="64">
        <v>20.25</v>
      </c>
      <c r="D90" s="64">
        <v>14.62</v>
      </c>
      <c r="E90" s="64">
        <v>8.1199999999999992</v>
      </c>
      <c r="F90" s="64">
        <v>7.69</v>
      </c>
      <c r="G90" s="64">
        <v>68.510000000000005</v>
      </c>
      <c r="H90" s="64">
        <v>12.76</v>
      </c>
      <c r="I90" s="64">
        <v>1.51</v>
      </c>
      <c r="J90" s="64">
        <v>0.33</v>
      </c>
      <c r="K90" s="64">
        <v>127.02</v>
      </c>
      <c r="L90" s="64">
        <v>25.27</v>
      </c>
      <c r="M90" s="64">
        <v>90.87</v>
      </c>
      <c r="N90" s="64">
        <v>38.700000000000003</v>
      </c>
      <c r="O90" s="64">
        <v>0</v>
      </c>
      <c r="P90" s="64">
        <v>0.61</v>
      </c>
      <c r="Q90" s="64">
        <v>8.99</v>
      </c>
      <c r="R90" s="198"/>
      <c r="S90" s="198"/>
      <c r="T90" s="198"/>
      <c r="U90" s="198"/>
    </row>
    <row r="91" spans="1:26" s="12" customFormat="1" x14ac:dyDescent="0.25">
      <c r="A91" s="211" t="s">
        <v>2250</v>
      </c>
      <c r="B91" s="64">
        <v>5.85</v>
      </c>
      <c r="C91" s="64">
        <v>20.38</v>
      </c>
      <c r="D91" s="64">
        <v>15.34</v>
      </c>
      <c r="E91" s="64">
        <v>8.74</v>
      </c>
      <c r="F91" s="64">
        <v>8.0299999999999994</v>
      </c>
      <c r="G91" s="64">
        <v>68.510000000000005</v>
      </c>
      <c r="H91" s="64">
        <v>12.76</v>
      </c>
      <c r="I91" s="64">
        <v>1.56</v>
      </c>
      <c r="J91" s="64">
        <v>0.26</v>
      </c>
      <c r="K91" s="64">
        <v>136.54</v>
      </c>
      <c r="L91" s="64">
        <v>25.29</v>
      </c>
      <c r="M91" s="64">
        <v>90.01</v>
      </c>
      <c r="N91" s="64">
        <v>38.9</v>
      </c>
      <c r="O91" s="64">
        <v>0</v>
      </c>
      <c r="P91" s="64">
        <v>0.57999999999999996</v>
      </c>
      <c r="Q91" s="64">
        <v>9</v>
      </c>
      <c r="R91" s="198"/>
      <c r="S91" s="198"/>
      <c r="T91" s="198"/>
      <c r="U91" s="198"/>
    </row>
    <row r="92" spans="1:26" s="12" customFormat="1" x14ac:dyDescent="0.25">
      <c r="A92" s="211" t="s">
        <v>2251</v>
      </c>
      <c r="B92" s="64">
        <v>5.41</v>
      </c>
      <c r="C92" s="64">
        <v>16.940000000000001</v>
      </c>
      <c r="D92" s="64">
        <v>13.19</v>
      </c>
      <c r="E92" s="64">
        <v>8.8800000000000008</v>
      </c>
      <c r="F92" s="64">
        <v>10.46</v>
      </c>
      <c r="G92" s="64">
        <v>68.510000000000005</v>
      </c>
      <c r="H92" s="64">
        <v>12.76</v>
      </c>
      <c r="I92" s="64">
        <v>1.61</v>
      </c>
      <c r="J92" s="64">
        <v>0.2</v>
      </c>
      <c r="K92" s="64">
        <v>141.46</v>
      </c>
      <c r="L92" s="64">
        <v>25.26</v>
      </c>
      <c r="M92" s="64">
        <v>90.25</v>
      </c>
      <c r="N92" s="64">
        <v>38.9</v>
      </c>
      <c r="O92" s="64">
        <v>0</v>
      </c>
      <c r="P92" s="64">
        <v>0.56000000000000005</v>
      </c>
      <c r="Q92" s="64">
        <v>8.99</v>
      </c>
      <c r="R92" s="198"/>
      <c r="S92" s="198"/>
      <c r="T92" s="198"/>
      <c r="U92" s="198"/>
    </row>
    <row r="93" spans="1:26" s="12" customFormat="1" x14ac:dyDescent="0.25">
      <c r="A93" s="211" t="s">
        <v>2252</v>
      </c>
      <c r="B93" s="64">
        <v>5.38</v>
      </c>
      <c r="C93" s="64">
        <v>14.95</v>
      </c>
      <c r="D93" s="64">
        <v>12.13</v>
      </c>
      <c r="E93" s="64">
        <v>8.9</v>
      </c>
      <c r="F93" s="64">
        <v>8.48</v>
      </c>
      <c r="G93" s="64">
        <v>82.49</v>
      </c>
      <c r="H93" s="64">
        <v>14.73</v>
      </c>
      <c r="I93" s="64">
        <v>1.64</v>
      </c>
      <c r="J93" s="64">
        <v>0.42</v>
      </c>
      <c r="K93" s="64">
        <v>135.69999999999999</v>
      </c>
      <c r="L93" s="64">
        <v>25.24</v>
      </c>
      <c r="M93" s="64">
        <v>89.89</v>
      </c>
      <c r="N93" s="64">
        <v>38.9</v>
      </c>
      <c r="O93" s="64">
        <v>0</v>
      </c>
      <c r="P93" s="64">
        <v>0.56000000000000005</v>
      </c>
      <c r="Q93" s="64">
        <v>8.99</v>
      </c>
      <c r="R93" s="198"/>
      <c r="S93" s="198"/>
      <c r="T93" s="198"/>
      <c r="U93" s="198"/>
    </row>
    <row r="94" spans="1:26" s="12" customFormat="1" x14ac:dyDescent="0.25">
      <c r="A94" s="211" t="s">
        <v>2253</v>
      </c>
      <c r="B94" s="64">
        <v>5.41</v>
      </c>
      <c r="C94" s="64">
        <v>15.54</v>
      </c>
      <c r="D94" s="64">
        <v>12.45</v>
      </c>
      <c r="E94" s="64">
        <v>8.52</v>
      </c>
      <c r="F94" s="64">
        <v>8.7200000000000006</v>
      </c>
      <c r="G94" s="64">
        <v>86.23</v>
      </c>
      <c r="H94" s="64">
        <v>14.73</v>
      </c>
      <c r="I94" s="64">
        <v>1.65</v>
      </c>
      <c r="J94" s="64">
        <v>0.54</v>
      </c>
      <c r="K94" s="64">
        <v>127.55</v>
      </c>
      <c r="L94" s="64">
        <v>25.23</v>
      </c>
      <c r="M94" s="64">
        <v>88.9</v>
      </c>
      <c r="N94" s="64">
        <v>38.9</v>
      </c>
      <c r="O94" s="64">
        <v>0</v>
      </c>
      <c r="P94" s="64">
        <v>0.54</v>
      </c>
      <c r="Q94" s="64">
        <v>8.99</v>
      </c>
      <c r="R94" s="198"/>
      <c r="S94" s="198"/>
      <c r="T94" s="198"/>
      <c r="U94" s="198"/>
    </row>
    <row r="95" spans="1:26" s="12" customFormat="1" x14ac:dyDescent="0.25">
      <c r="A95" s="211" t="s">
        <v>2254</v>
      </c>
      <c r="B95" s="64">
        <v>5.7</v>
      </c>
      <c r="C95" s="64">
        <v>17.510000000000002</v>
      </c>
      <c r="D95" s="64">
        <v>13.72</v>
      </c>
      <c r="E95" s="64">
        <v>8.86</v>
      </c>
      <c r="F95" s="64">
        <v>10.91</v>
      </c>
      <c r="G95" s="64">
        <v>86.23</v>
      </c>
      <c r="H95" s="64">
        <v>14.73</v>
      </c>
      <c r="I95" s="64">
        <v>1.68</v>
      </c>
      <c r="J95" s="64">
        <v>0.38</v>
      </c>
      <c r="K95" s="64">
        <v>129.72</v>
      </c>
      <c r="L95" s="64">
        <v>25.22</v>
      </c>
      <c r="M95" s="64">
        <v>89.12</v>
      </c>
      <c r="N95" s="64">
        <v>38.9</v>
      </c>
      <c r="O95" s="64">
        <v>0</v>
      </c>
      <c r="P95" s="64">
        <v>0.54</v>
      </c>
      <c r="Q95" s="64">
        <v>9.02</v>
      </c>
      <c r="R95" s="198"/>
      <c r="S95" s="198"/>
      <c r="T95" s="198"/>
      <c r="U95" s="198"/>
    </row>
    <row r="96" spans="1:26" s="12" customFormat="1" x14ac:dyDescent="0.25">
      <c r="A96" s="211" t="s">
        <v>2255</v>
      </c>
      <c r="B96" s="64">
        <v>5.28</v>
      </c>
      <c r="C96" s="64">
        <v>17.600000000000001</v>
      </c>
      <c r="D96" s="64">
        <v>13.43</v>
      </c>
      <c r="E96" s="64">
        <v>8.4</v>
      </c>
      <c r="F96" s="64">
        <v>9.25</v>
      </c>
      <c r="G96" s="64">
        <v>86.23</v>
      </c>
      <c r="H96" s="64">
        <v>14.73</v>
      </c>
      <c r="I96" s="64">
        <v>1.7</v>
      </c>
      <c r="J96" s="64">
        <v>0.31</v>
      </c>
      <c r="K96" s="64">
        <v>142.30000000000001</v>
      </c>
      <c r="L96" s="64">
        <v>25.17</v>
      </c>
      <c r="M96" s="64">
        <v>89.85</v>
      </c>
      <c r="N96" s="64">
        <v>38.9</v>
      </c>
      <c r="O96" s="64">
        <v>0</v>
      </c>
      <c r="P96" s="64">
        <v>0.56000000000000005</v>
      </c>
      <c r="Q96" s="64">
        <v>9.0299999999999994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2256</v>
      </c>
      <c r="B97" s="64">
        <v>5.18</v>
      </c>
      <c r="C97" s="64">
        <v>16.89</v>
      </c>
      <c r="D97" s="64">
        <v>12.98</v>
      </c>
      <c r="E97" s="64">
        <v>8.5299999999999994</v>
      </c>
      <c r="F97" s="64">
        <v>9.9600000000000009</v>
      </c>
      <c r="G97" s="64">
        <v>89.12</v>
      </c>
      <c r="H97" s="64">
        <v>13.68</v>
      </c>
      <c r="I97" s="64">
        <v>1.71</v>
      </c>
      <c r="J97" s="64">
        <v>0.34</v>
      </c>
      <c r="K97" s="64">
        <v>132.36000000000001</v>
      </c>
      <c r="L97" s="64">
        <v>25.11</v>
      </c>
      <c r="M97" s="64">
        <v>89.91</v>
      </c>
      <c r="N97" s="64">
        <v>38.9</v>
      </c>
      <c r="O97" s="64">
        <v>0</v>
      </c>
      <c r="P97" s="64">
        <v>0.55000000000000004</v>
      </c>
      <c r="Q97" s="64">
        <v>9.0299999999999994</v>
      </c>
      <c r="R97" s="198"/>
      <c r="S97" s="198"/>
      <c r="T97" s="198"/>
      <c r="U97" s="198"/>
    </row>
    <row r="98" spans="1:33" s="12" customFormat="1" x14ac:dyDescent="0.25">
      <c r="A98" s="211" t="s">
        <v>2257</v>
      </c>
      <c r="B98" s="64">
        <v>5.63</v>
      </c>
      <c r="C98" s="64">
        <v>14.76</v>
      </c>
      <c r="D98" s="64">
        <v>12.23</v>
      </c>
      <c r="E98" s="64">
        <v>8.3000000000000007</v>
      </c>
      <c r="F98" s="64">
        <v>10.65</v>
      </c>
      <c r="G98" s="64">
        <v>89.89</v>
      </c>
      <c r="H98" s="64">
        <v>13.68</v>
      </c>
      <c r="I98" s="64">
        <v>1.73</v>
      </c>
      <c r="J98" s="64">
        <v>0.56999999999999995</v>
      </c>
      <c r="K98" s="64">
        <v>126.97</v>
      </c>
      <c r="L98" s="64">
        <v>25.07</v>
      </c>
      <c r="M98" s="64">
        <v>89.93</v>
      </c>
      <c r="N98" s="64">
        <v>38.9</v>
      </c>
      <c r="O98" s="64">
        <v>0</v>
      </c>
      <c r="P98" s="64">
        <v>0.51</v>
      </c>
      <c r="Q98" s="64">
        <v>9.0399999999999991</v>
      </c>
      <c r="R98" s="198"/>
      <c r="S98" s="198"/>
      <c r="T98" s="198"/>
      <c r="U98" s="198"/>
    </row>
    <row r="99" spans="1:33" s="12" customFormat="1" x14ac:dyDescent="0.25">
      <c r="A99" s="211" t="s">
        <v>2258</v>
      </c>
      <c r="B99" s="64">
        <v>5.25</v>
      </c>
      <c r="C99" s="64">
        <v>13.99</v>
      </c>
      <c r="D99" s="64">
        <v>11.52</v>
      </c>
      <c r="E99" s="64">
        <v>8.3000000000000007</v>
      </c>
      <c r="F99" s="64">
        <v>9.7899999999999991</v>
      </c>
      <c r="G99" s="64">
        <v>89.89</v>
      </c>
      <c r="H99" s="64">
        <v>13.68</v>
      </c>
      <c r="I99" s="64">
        <v>1.75</v>
      </c>
      <c r="J99" s="64">
        <v>0.39</v>
      </c>
      <c r="K99" s="64">
        <v>132.86000000000001</v>
      </c>
      <c r="L99" s="64">
        <v>25.01</v>
      </c>
      <c r="M99" s="64">
        <v>91.08</v>
      </c>
      <c r="N99" s="64">
        <v>39</v>
      </c>
      <c r="O99" s="64">
        <v>0</v>
      </c>
      <c r="P99" s="64">
        <v>0.51</v>
      </c>
      <c r="Q99" s="64">
        <v>9.0299999999999994</v>
      </c>
      <c r="R99" s="198"/>
      <c r="S99" s="198"/>
      <c r="T99" s="198"/>
      <c r="U99" s="198"/>
    </row>
    <row r="100" spans="1:33" s="12" customFormat="1" x14ac:dyDescent="0.25">
      <c r="A100" s="211" t="s">
        <v>2259</v>
      </c>
      <c r="B100" s="64">
        <v>5.19</v>
      </c>
      <c r="C100" s="64">
        <v>13.8</v>
      </c>
      <c r="D100" s="64">
        <v>11.38</v>
      </c>
      <c r="E100" s="64">
        <v>8.0500000000000007</v>
      </c>
      <c r="F100" s="64">
        <v>10.89</v>
      </c>
      <c r="G100" s="64">
        <v>89.89</v>
      </c>
      <c r="H100" s="64">
        <v>13.68</v>
      </c>
      <c r="I100" s="64">
        <v>1.77</v>
      </c>
      <c r="J100" s="64">
        <v>0.44</v>
      </c>
      <c r="K100" s="64">
        <v>128.62</v>
      </c>
      <c r="L100" s="64">
        <v>24.93</v>
      </c>
      <c r="M100" s="64">
        <v>91.16</v>
      </c>
      <c r="N100" s="64">
        <v>38.9</v>
      </c>
      <c r="O100" s="64">
        <v>0</v>
      </c>
      <c r="P100" s="64">
        <v>0.52</v>
      </c>
      <c r="Q100" s="64">
        <v>9.0399999999999991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2260</v>
      </c>
      <c r="B101" s="64">
        <v>6.28</v>
      </c>
      <c r="C101" s="64">
        <v>15.62</v>
      </c>
      <c r="D101" s="64">
        <v>13.2</v>
      </c>
      <c r="E101" s="64">
        <v>8.4499999999999993</v>
      </c>
      <c r="F101" s="64">
        <v>8.9</v>
      </c>
      <c r="G101" s="64">
        <v>90.36</v>
      </c>
      <c r="H101" s="64">
        <v>12.99</v>
      </c>
      <c r="I101" s="64">
        <v>1.79</v>
      </c>
      <c r="J101" s="64">
        <v>0.34</v>
      </c>
      <c r="K101" s="64">
        <v>133.9</v>
      </c>
      <c r="L101" s="64">
        <v>24.91</v>
      </c>
      <c r="M101" s="64">
        <v>91.37</v>
      </c>
      <c r="N101" s="64">
        <v>38.9</v>
      </c>
      <c r="O101" s="64">
        <v>0</v>
      </c>
      <c r="P101" s="64">
        <v>0.54</v>
      </c>
      <c r="Q101" s="64">
        <v>9.0500000000000007</v>
      </c>
      <c r="R101" s="198"/>
      <c r="S101" s="198"/>
      <c r="T101" s="198"/>
      <c r="U101" s="198"/>
    </row>
    <row r="102" spans="1:33" s="12" customFormat="1" x14ac:dyDescent="0.25">
      <c r="A102" s="211" t="s">
        <v>2261</v>
      </c>
      <c r="B102" s="64">
        <v>5.57</v>
      </c>
      <c r="C102" s="64">
        <v>12.71</v>
      </c>
      <c r="D102" s="64">
        <v>11.11</v>
      </c>
      <c r="E102" s="64">
        <v>8.44</v>
      </c>
      <c r="F102" s="64">
        <v>6.21</v>
      </c>
      <c r="G102" s="64">
        <v>90.49</v>
      </c>
      <c r="H102" s="64">
        <v>12.99</v>
      </c>
      <c r="I102" s="64">
        <v>1.79</v>
      </c>
      <c r="J102" s="64">
        <v>0.43</v>
      </c>
      <c r="K102" s="64">
        <v>145.68</v>
      </c>
      <c r="L102" s="64">
        <v>24.84</v>
      </c>
      <c r="M102" s="64">
        <v>92.58</v>
      </c>
      <c r="N102" s="64">
        <v>38.9</v>
      </c>
      <c r="O102" s="64">
        <v>0</v>
      </c>
      <c r="P102" s="64">
        <v>0.53</v>
      </c>
      <c r="Q102" s="64">
        <v>9.0299999999999994</v>
      </c>
      <c r="R102" s="198"/>
      <c r="S102" s="198"/>
      <c r="T102" s="198"/>
      <c r="U102" s="198"/>
    </row>
    <row r="103" spans="1:33" s="12" customFormat="1" x14ac:dyDescent="0.25">
      <c r="A103" s="211" t="s">
        <v>2262</v>
      </c>
      <c r="B103" s="64">
        <v>5.34</v>
      </c>
      <c r="C103" s="64">
        <v>14.71</v>
      </c>
      <c r="D103" s="64">
        <v>11.97</v>
      </c>
      <c r="E103" s="64">
        <v>8.02</v>
      </c>
      <c r="F103" s="64">
        <v>6.83</v>
      </c>
      <c r="G103" s="64">
        <v>90.49</v>
      </c>
      <c r="H103" s="64">
        <v>12.99</v>
      </c>
      <c r="I103" s="64">
        <v>1.81</v>
      </c>
      <c r="J103" s="64">
        <v>0.39</v>
      </c>
      <c r="K103" s="64">
        <v>125.61</v>
      </c>
      <c r="L103" s="64">
        <v>24.67</v>
      </c>
      <c r="M103" s="64">
        <v>94.58</v>
      </c>
      <c r="N103" s="64">
        <v>38.9</v>
      </c>
      <c r="O103" s="64">
        <v>0</v>
      </c>
      <c r="P103" s="64">
        <v>0.56999999999999995</v>
      </c>
      <c r="Q103" s="64">
        <v>9</v>
      </c>
      <c r="R103" s="198"/>
      <c r="S103" s="198"/>
      <c r="T103" s="198"/>
      <c r="U103" s="198"/>
    </row>
    <row r="104" spans="1:33" s="12" customFormat="1" x14ac:dyDescent="0.25">
      <c r="A104" s="211" t="s">
        <v>2263</v>
      </c>
      <c r="B104" s="64">
        <v>5.27</v>
      </c>
      <c r="C104" s="64">
        <v>18.13</v>
      </c>
      <c r="D104" s="64">
        <v>14.48</v>
      </c>
      <c r="E104" s="64">
        <v>10.49</v>
      </c>
      <c r="F104" s="64">
        <v>5.0199999999999996</v>
      </c>
      <c r="G104" s="64">
        <v>90.49</v>
      </c>
      <c r="H104" s="64">
        <v>12.99</v>
      </c>
      <c r="I104" s="64">
        <v>1.81</v>
      </c>
      <c r="J104" s="64">
        <v>0.33</v>
      </c>
      <c r="K104" s="64">
        <v>123.71</v>
      </c>
      <c r="L104" s="64">
        <v>24.57</v>
      </c>
      <c r="M104" s="64">
        <v>95.34</v>
      </c>
      <c r="N104" s="64">
        <v>38.799999999999997</v>
      </c>
      <c r="O104" s="64">
        <v>0</v>
      </c>
      <c r="P104" s="64">
        <v>0.56999999999999995</v>
      </c>
      <c r="Q104" s="64">
        <v>8.99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5.01</v>
      </c>
      <c r="C106" s="67">
        <f>MIN(C9:C104)</f>
        <v>6.35</v>
      </c>
      <c r="D106" s="67">
        <f t="shared" ref="D106:Q106" si="0">MIN(D9:D104)</f>
        <v>8.06</v>
      </c>
      <c r="E106" s="67">
        <f t="shared" si="0"/>
        <v>5.14</v>
      </c>
      <c r="F106" s="67">
        <f t="shared" si="0"/>
        <v>2.1</v>
      </c>
      <c r="G106" s="67">
        <f t="shared" si="0"/>
        <v>15.14</v>
      </c>
      <c r="H106" s="67">
        <f t="shared" si="0"/>
        <v>6.66</v>
      </c>
      <c r="I106" s="67">
        <f t="shared" si="0"/>
        <v>1.07</v>
      </c>
      <c r="J106" s="67">
        <f t="shared" si="0"/>
        <v>0.02</v>
      </c>
      <c r="K106" s="67">
        <f t="shared" si="0"/>
        <v>6.7</v>
      </c>
      <c r="L106" s="67">
        <f t="shared" si="0"/>
        <v>21.24</v>
      </c>
      <c r="M106" s="67">
        <f t="shared" si="0"/>
        <v>74.53</v>
      </c>
      <c r="N106" s="67">
        <f t="shared" si="0"/>
        <v>37.4</v>
      </c>
      <c r="O106" s="67">
        <f t="shared" si="0"/>
        <v>0</v>
      </c>
      <c r="P106" s="67">
        <f t="shared" si="0"/>
        <v>0.22</v>
      </c>
      <c r="Q106" s="67">
        <f t="shared" si="0"/>
        <v>8.9499999999999993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10.35</v>
      </c>
      <c r="C107" s="66">
        <f t="shared" ref="C107:Q107" si="1">MAX(C9:C104)</f>
        <v>26.07</v>
      </c>
      <c r="D107" s="66">
        <f t="shared" si="1"/>
        <v>20.02</v>
      </c>
      <c r="E107" s="66">
        <f t="shared" si="1"/>
        <v>10.49</v>
      </c>
      <c r="F107" s="66">
        <f t="shared" si="1"/>
        <v>14.75</v>
      </c>
      <c r="G107" s="66">
        <f t="shared" si="1"/>
        <v>90.49</v>
      </c>
      <c r="H107" s="66">
        <f t="shared" si="1"/>
        <v>18.66</v>
      </c>
      <c r="I107" s="66">
        <f t="shared" si="1"/>
        <v>1.81</v>
      </c>
      <c r="J107" s="66">
        <f t="shared" si="1"/>
        <v>1.55</v>
      </c>
      <c r="K107" s="66">
        <f t="shared" si="1"/>
        <v>319.68</v>
      </c>
      <c r="L107" s="66">
        <f t="shared" si="1"/>
        <v>28.47</v>
      </c>
      <c r="M107" s="66">
        <f t="shared" si="1"/>
        <v>97.85</v>
      </c>
      <c r="N107" s="66">
        <f t="shared" si="1"/>
        <v>775.5</v>
      </c>
      <c r="O107" s="66">
        <f t="shared" si="1"/>
        <v>0</v>
      </c>
      <c r="P107" s="66">
        <f t="shared" si="1"/>
        <v>0.96</v>
      </c>
      <c r="Q107" s="66">
        <f t="shared" si="1"/>
        <v>9.11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6.672083333333334</v>
      </c>
      <c r="C108" s="67">
        <f t="shared" ref="C108:Q108" si="2">AVERAGE(C9:C104)</f>
        <v>10.144687500000002</v>
      </c>
      <c r="D108" s="67">
        <f t="shared" si="2"/>
        <v>10.658645833333333</v>
      </c>
      <c r="E108" s="67">
        <f t="shared" si="2"/>
        <v>6.6963541666666657</v>
      </c>
      <c r="F108" s="67">
        <f t="shared" si="2"/>
        <v>6.186041666666668</v>
      </c>
      <c r="G108" s="67">
        <f t="shared" si="2"/>
        <v>38.072604166666643</v>
      </c>
      <c r="H108" s="67">
        <f t="shared" si="2"/>
        <v>13.868958333333333</v>
      </c>
      <c r="I108" s="67">
        <f t="shared" si="2"/>
        <v>1.2672916666666663</v>
      </c>
      <c r="J108" s="67">
        <f t="shared" si="2"/>
        <v>0.54166666666666685</v>
      </c>
      <c r="K108" s="67">
        <f t="shared" si="2"/>
        <v>139.76958333333332</v>
      </c>
      <c r="L108" s="67">
        <f t="shared" si="2"/>
        <v>25.203125000000011</v>
      </c>
      <c r="M108" s="67">
        <f t="shared" si="2"/>
        <v>89.030000000000015</v>
      </c>
      <c r="N108" s="67">
        <f t="shared" si="2"/>
        <v>175.15520833333346</v>
      </c>
      <c r="O108" s="67">
        <f t="shared" si="2"/>
        <v>0</v>
      </c>
      <c r="P108" s="67">
        <f t="shared" si="2"/>
        <v>0.3582291666666666</v>
      </c>
      <c r="Q108" s="67">
        <f t="shared" si="2"/>
        <v>9.0227083333333358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1.286957993561938</v>
      </c>
      <c r="C109" s="67">
        <f t="shared" ref="C109:Q109" si="3">STDEV(C9:C104)</f>
        <v>4.4872068332620527</v>
      </c>
      <c r="D109" s="67">
        <f t="shared" si="3"/>
        <v>2.0640504990719912</v>
      </c>
      <c r="E109" s="67">
        <f t="shared" si="3"/>
        <v>1.1129781005001802</v>
      </c>
      <c r="F109" s="67">
        <f t="shared" si="3"/>
        <v>3.8087117532439008</v>
      </c>
      <c r="G109" s="67">
        <f t="shared" si="3"/>
        <v>23.230901572771003</v>
      </c>
      <c r="H109" s="67">
        <f t="shared" si="3"/>
        <v>1.6568133517255523</v>
      </c>
      <c r="I109" s="67">
        <f t="shared" si="3"/>
        <v>0.21203018239301349</v>
      </c>
      <c r="J109" s="67">
        <f t="shared" si="3"/>
        <v>0.39521524226590504</v>
      </c>
      <c r="K109" s="67">
        <f t="shared" si="3"/>
        <v>42.179064423171312</v>
      </c>
      <c r="L109" s="67">
        <f t="shared" si="3"/>
        <v>2.3347310506667291</v>
      </c>
      <c r="M109" s="67">
        <f t="shared" si="3"/>
        <v>7.9908622813811538</v>
      </c>
      <c r="N109" s="67">
        <f t="shared" si="3"/>
        <v>199.96163572560957</v>
      </c>
      <c r="O109" s="67">
        <f t="shared" si="3"/>
        <v>0</v>
      </c>
      <c r="P109" s="67">
        <f t="shared" si="3"/>
        <v>0.14220070909340321</v>
      </c>
      <c r="Q109" s="67">
        <f t="shared" si="3"/>
        <v>3.7005807984171822E-2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5" sqref="I1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2264</v>
      </c>
      <c r="B9" s="64">
        <v>5.15</v>
      </c>
      <c r="C9" s="64">
        <v>17.84</v>
      </c>
      <c r="D9" s="64">
        <v>13.45</v>
      </c>
      <c r="E9" s="64">
        <v>10.69</v>
      </c>
      <c r="F9" s="64">
        <v>5.51</v>
      </c>
      <c r="G9" s="64">
        <v>96.78</v>
      </c>
      <c r="H9" s="64">
        <v>12.54</v>
      </c>
      <c r="I9" s="64">
        <v>1.82</v>
      </c>
      <c r="J9" s="64">
        <v>0.59</v>
      </c>
      <c r="K9" s="64">
        <v>117.51</v>
      </c>
      <c r="L9" s="64">
        <v>24.66</v>
      </c>
      <c r="M9" s="64">
        <v>92.87</v>
      </c>
      <c r="N9" s="64">
        <v>38.6</v>
      </c>
      <c r="O9" s="64">
        <v>0</v>
      </c>
      <c r="P9" s="64">
        <v>0.52</v>
      </c>
      <c r="Q9" s="64">
        <v>8.99</v>
      </c>
      <c r="R9" s="198"/>
      <c r="S9" s="198"/>
      <c r="T9" s="198"/>
      <c r="U9" s="198"/>
    </row>
    <row r="10" spans="1:21" s="12" customFormat="1" x14ac:dyDescent="0.25">
      <c r="A10" s="211" t="s">
        <v>2265</v>
      </c>
      <c r="B10" s="64">
        <v>5.33</v>
      </c>
      <c r="C10" s="64">
        <v>12.65</v>
      </c>
      <c r="D10" s="64">
        <v>10.88</v>
      </c>
      <c r="E10" s="64">
        <v>8.92</v>
      </c>
      <c r="F10" s="64">
        <v>9.01</v>
      </c>
      <c r="G10" s="64">
        <v>98.47</v>
      </c>
      <c r="H10" s="64">
        <v>12.54</v>
      </c>
      <c r="I10" s="64">
        <v>1.86</v>
      </c>
      <c r="J10" s="64">
        <v>0.56000000000000005</v>
      </c>
      <c r="K10" s="64">
        <v>140.22</v>
      </c>
      <c r="L10" s="64">
        <v>24.66</v>
      </c>
      <c r="M10" s="64">
        <v>92.36</v>
      </c>
      <c r="N10" s="64">
        <v>38.799999999999997</v>
      </c>
      <c r="O10" s="64">
        <v>0</v>
      </c>
      <c r="P10" s="64">
        <v>0.47</v>
      </c>
      <c r="Q10" s="64">
        <v>8.99</v>
      </c>
      <c r="R10" s="198"/>
      <c r="S10" s="198"/>
      <c r="T10" s="198"/>
      <c r="U10" s="198"/>
    </row>
    <row r="11" spans="1:21" s="12" customFormat="1" x14ac:dyDescent="0.25">
      <c r="A11" s="211" t="s">
        <v>2266</v>
      </c>
      <c r="B11" s="64">
        <v>5.39</v>
      </c>
      <c r="C11" s="64">
        <v>10.83</v>
      </c>
      <c r="D11" s="64">
        <v>9.98</v>
      </c>
      <c r="E11" s="64">
        <v>8.26</v>
      </c>
      <c r="F11" s="64">
        <v>6.76</v>
      </c>
      <c r="G11" s="64">
        <v>98.47</v>
      </c>
      <c r="H11" s="64">
        <v>12.54</v>
      </c>
      <c r="I11" s="64">
        <v>1.87</v>
      </c>
      <c r="J11" s="64">
        <v>0.31</v>
      </c>
      <c r="K11" s="64">
        <v>131.01</v>
      </c>
      <c r="L11" s="64">
        <v>24.57</v>
      </c>
      <c r="M11" s="64">
        <v>92.76</v>
      </c>
      <c r="N11" s="64">
        <v>38.9</v>
      </c>
      <c r="O11" s="64">
        <v>0</v>
      </c>
      <c r="P11" s="64">
        <v>0.48</v>
      </c>
      <c r="Q11" s="64">
        <v>8.99</v>
      </c>
      <c r="R11" s="198"/>
      <c r="S11" s="198"/>
      <c r="T11" s="198"/>
      <c r="U11" s="198"/>
    </row>
    <row r="12" spans="1:21" s="12" customFormat="1" x14ac:dyDescent="0.25">
      <c r="A12" s="211" t="s">
        <v>2267</v>
      </c>
      <c r="B12" s="64">
        <v>5.26</v>
      </c>
      <c r="C12" s="64">
        <v>10.37</v>
      </c>
      <c r="D12" s="64">
        <v>9.6300000000000008</v>
      </c>
      <c r="E12" s="64">
        <v>7.86</v>
      </c>
      <c r="F12" s="64">
        <v>6.08</v>
      </c>
      <c r="G12" s="64">
        <v>98.47</v>
      </c>
      <c r="H12" s="64">
        <v>12.54</v>
      </c>
      <c r="I12" s="64">
        <v>1.86</v>
      </c>
      <c r="J12" s="64">
        <v>0.34</v>
      </c>
      <c r="K12" s="64">
        <v>127.32</v>
      </c>
      <c r="L12" s="64">
        <v>24.53</v>
      </c>
      <c r="M12" s="64">
        <v>92.64</v>
      </c>
      <c r="N12" s="64">
        <v>38.9</v>
      </c>
      <c r="O12" s="64">
        <v>0</v>
      </c>
      <c r="P12" s="64">
        <v>0.46</v>
      </c>
      <c r="Q12" s="64">
        <v>8.98</v>
      </c>
      <c r="R12" s="198"/>
      <c r="S12" s="198"/>
      <c r="T12" s="198"/>
      <c r="U12" s="198"/>
    </row>
    <row r="13" spans="1:21" s="12" customFormat="1" x14ac:dyDescent="0.25">
      <c r="A13" s="211" t="s">
        <v>2268</v>
      </c>
      <c r="B13" s="64">
        <v>5.21</v>
      </c>
      <c r="C13" s="64">
        <v>11.32</v>
      </c>
      <c r="D13" s="64">
        <v>10.09</v>
      </c>
      <c r="E13" s="64">
        <v>7.51</v>
      </c>
      <c r="F13" s="64">
        <v>6.35</v>
      </c>
      <c r="G13" s="64">
        <v>86.13</v>
      </c>
      <c r="H13" s="64">
        <v>15</v>
      </c>
      <c r="I13" s="64">
        <v>1.86</v>
      </c>
      <c r="J13" s="64">
        <v>0.02</v>
      </c>
      <c r="K13" s="64">
        <v>204.12</v>
      </c>
      <c r="L13" s="64">
        <v>24.45</v>
      </c>
      <c r="M13" s="64">
        <v>93.73</v>
      </c>
      <c r="N13" s="64">
        <v>39.200000000000003</v>
      </c>
      <c r="O13" s="64">
        <v>0</v>
      </c>
      <c r="P13" s="64">
        <v>0.41</v>
      </c>
      <c r="Q13" s="64">
        <v>8.98</v>
      </c>
      <c r="R13" s="198"/>
      <c r="S13" s="198"/>
      <c r="T13" s="198"/>
      <c r="U13" s="198"/>
    </row>
    <row r="14" spans="1:21" s="12" customFormat="1" x14ac:dyDescent="0.25">
      <c r="A14" s="211" t="s">
        <v>2269</v>
      </c>
      <c r="B14" s="64">
        <v>5.34</v>
      </c>
      <c r="C14" s="64">
        <v>11.03</v>
      </c>
      <c r="D14" s="64">
        <v>10.050000000000001</v>
      </c>
      <c r="E14" s="64">
        <v>7.28</v>
      </c>
      <c r="F14" s="64">
        <v>3.78</v>
      </c>
      <c r="G14" s="64">
        <v>82.83</v>
      </c>
      <c r="H14" s="64">
        <v>15</v>
      </c>
      <c r="I14" s="64">
        <v>1.86</v>
      </c>
      <c r="J14" s="64">
        <v>0.09</v>
      </c>
      <c r="K14" s="64">
        <v>138.34</v>
      </c>
      <c r="L14" s="64">
        <v>24.29</v>
      </c>
      <c r="M14" s="64">
        <v>94.68</v>
      </c>
      <c r="N14" s="64">
        <v>39</v>
      </c>
      <c r="O14" s="64">
        <v>0</v>
      </c>
      <c r="P14" s="64">
        <v>0.43</v>
      </c>
      <c r="Q14" s="64">
        <v>8.99</v>
      </c>
      <c r="R14" s="198"/>
      <c r="S14" s="198"/>
      <c r="T14" s="198"/>
      <c r="U14" s="198"/>
    </row>
    <row r="15" spans="1:21" s="12" customFormat="1" x14ac:dyDescent="0.25">
      <c r="A15" s="211" t="s">
        <v>2270</v>
      </c>
      <c r="B15" s="64">
        <v>5.17</v>
      </c>
      <c r="C15" s="64">
        <v>11.5</v>
      </c>
      <c r="D15" s="64">
        <v>10.16</v>
      </c>
      <c r="E15" s="64">
        <v>7.32</v>
      </c>
      <c r="F15" s="64">
        <v>5.19</v>
      </c>
      <c r="G15" s="64">
        <v>82.83</v>
      </c>
      <c r="H15" s="64">
        <v>15</v>
      </c>
      <c r="I15" s="64">
        <v>1.87</v>
      </c>
      <c r="J15" s="64">
        <v>0.16</v>
      </c>
      <c r="K15" s="64">
        <v>129.63</v>
      </c>
      <c r="L15" s="64">
        <v>24.23</v>
      </c>
      <c r="M15" s="64">
        <v>94.91</v>
      </c>
      <c r="N15" s="64">
        <v>38.9</v>
      </c>
      <c r="O15" s="64">
        <v>0</v>
      </c>
      <c r="P15" s="64">
        <v>0.4</v>
      </c>
      <c r="Q15" s="64">
        <v>8.98</v>
      </c>
      <c r="R15" s="198"/>
      <c r="S15" s="198"/>
      <c r="T15" s="198"/>
      <c r="U15" s="198"/>
    </row>
    <row r="16" spans="1:21" s="12" customFormat="1" x14ac:dyDescent="0.25">
      <c r="A16" s="211" t="s">
        <v>2271</v>
      </c>
      <c r="B16" s="64">
        <v>5.31</v>
      </c>
      <c r="C16" s="64">
        <v>11.32</v>
      </c>
      <c r="D16" s="64">
        <v>10.18</v>
      </c>
      <c r="E16" s="64">
        <v>7.41</v>
      </c>
      <c r="F16" s="64">
        <v>4.79</v>
      </c>
      <c r="G16" s="64">
        <v>82.83</v>
      </c>
      <c r="H16" s="64">
        <v>15</v>
      </c>
      <c r="I16" s="64">
        <v>1.87</v>
      </c>
      <c r="J16" s="64">
        <v>0.04</v>
      </c>
      <c r="K16" s="64">
        <v>177.22</v>
      </c>
      <c r="L16" s="64">
        <v>24.13</v>
      </c>
      <c r="M16" s="64">
        <v>96.58</v>
      </c>
      <c r="N16" s="64">
        <v>38.9</v>
      </c>
      <c r="O16" s="64">
        <v>0</v>
      </c>
      <c r="P16" s="64">
        <v>0.44</v>
      </c>
      <c r="Q16" s="64">
        <v>9</v>
      </c>
      <c r="R16" s="198"/>
      <c r="S16" s="198"/>
      <c r="T16" s="198"/>
      <c r="U16" s="198"/>
    </row>
    <row r="17" spans="1:21" s="12" customFormat="1" x14ac:dyDescent="0.25">
      <c r="A17" s="211" t="s">
        <v>2272</v>
      </c>
      <c r="B17" s="64">
        <v>5.17</v>
      </c>
      <c r="C17" s="64">
        <v>11.64</v>
      </c>
      <c r="D17" s="64">
        <v>10.23</v>
      </c>
      <c r="E17" s="64">
        <v>7.39</v>
      </c>
      <c r="F17" s="64">
        <v>5.62</v>
      </c>
      <c r="G17" s="64">
        <v>76.86</v>
      </c>
      <c r="H17" s="64">
        <v>14.2</v>
      </c>
      <c r="I17" s="64">
        <v>1.86</v>
      </c>
      <c r="J17" s="64">
        <v>0.12</v>
      </c>
      <c r="K17" s="64">
        <v>287.61</v>
      </c>
      <c r="L17" s="64">
        <v>23.95</v>
      </c>
      <c r="M17" s="64">
        <v>97.59</v>
      </c>
      <c r="N17" s="64">
        <v>39.200000000000003</v>
      </c>
      <c r="O17" s="64">
        <v>0</v>
      </c>
      <c r="P17" s="64">
        <v>0.45</v>
      </c>
      <c r="Q17" s="64">
        <v>9.01</v>
      </c>
      <c r="R17" s="198"/>
      <c r="S17" s="198"/>
      <c r="T17" s="198"/>
      <c r="U17" s="198"/>
    </row>
    <row r="18" spans="1:21" s="12" customFormat="1" x14ac:dyDescent="0.25">
      <c r="A18" s="211" t="s">
        <v>2273</v>
      </c>
      <c r="B18" s="64">
        <v>5.16</v>
      </c>
      <c r="C18" s="64">
        <v>11.37</v>
      </c>
      <c r="D18" s="64">
        <v>10.08</v>
      </c>
      <c r="E18" s="64">
        <v>6.89</v>
      </c>
      <c r="F18" s="64">
        <v>5.55</v>
      </c>
      <c r="G18" s="64">
        <v>75.260000000000005</v>
      </c>
      <c r="H18" s="64">
        <v>14.2</v>
      </c>
      <c r="I18" s="64">
        <v>1.85</v>
      </c>
      <c r="J18" s="64">
        <v>0.02</v>
      </c>
      <c r="K18" s="64">
        <v>321.7</v>
      </c>
      <c r="L18" s="64">
        <v>23.69</v>
      </c>
      <c r="M18" s="64">
        <v>97.72</v>
      </c>
      <c r="N18" s="64">
        <v>38.9</v>
      </c>
      <c r="O18" s="64">
        <v>0</v>
      </c>
      <c r="P18" s="64">
        <v>0.44</v>
      </c>
      <c r="Q18" s="64">
        <v>9.01</v>
      </c>
      <c r="R18" s="198"/>
      <c r="S18" s="198"/>
      <c r="T18" s="198"/>
      <c r="U18" s="198"/>
    </row>
    <row r="19" spans="1:21" s="12" customFormat="1" x14ac:dyDescent="0.25">
      <c r="A19" s="211" t="s">
        <v>2274</v>
      </c>
      <c r="B19" s="64">
        <v>5.23</v>
      </c>
      <c r="C19" s="64">
        <v>10.58</v>
      </c>
      <c r="D19" s="64">
        <v>9.7200000000000006</v>
      </c>
      <c r="E19" s="64">
        <v>6.72</v>
      </c>
      <c r="F19" s="64">
        <v>5.99</v>
      </c>
      <c r="G19" s="64">
        <v>75.260000000000005</v>
      </c>
      <c r="H19" s="64">
        <v>14.2</v>
      </c>
      <c r="I19" s="64">
        <v>1.86</v>
      </c>
      <c r="J19" s="64">
        <v>0.16</v>
      </c>
      <c r="K19" s="64">
        <v>137.63999999999999</v>
      </c>
      <c r="L19" s="64">
        <v>23.54</v>
      </c>
      <c r="M19" s="64">
        <v>97.74</v>
      </c>
      <c r="N19" s="64">
        <v>38.9</v>
      </c>
      <c r="O19" s="64">
        <v>0</v>
      </c>
      <c r="P19" s="64">
        <v>0.43</v>
      </c>
      <c r="Q19" s="64">
        <v>9.01</v>
      </c>
      <c r="R19" s="198"/>
      <c r="S19" s="198"/>
      <c r="T19" s="198"/>
      <c r="U19" s="198"/>
    </row>
    <row r="20" spans="1:21" s="12" customFormat="1" x14ac:dyDescent="0.25">
      <c r="A20" s="211" t="s">
        <v>2275</v>
      </c>
      <c r="B20" s="64">
        <v>5.28</v>
      </c>
      <c r="C20" s="64">
        <v>9.91</v>
      </c>
      <c r="D20" s="64">
        <v>9.41</v>
      </c>
      <c r="E20" s="64">
        <v>6.67</v>
      </c>
      <c r="F20" s="64">
        <v>7.8</v>
      </c>
      <c r="G20" s="64">
        <v>75.260000000000005</v>
      </c>
      <c r="H20" s="64">
        <v>14.2</v>
      </c>
      <c r="I20" s="64">
        <v>1.86</v>
      </c>
      <c r="J20" s="64">
        <v>0.28000000000000003</v>
      </c>
      <c r="K20" s="64">
        <v>128.09</v>
      </c>
      <c r="L20" s="64">
        <v>23.48</v>
      </c>
      <c r="M20" s="64">
        <v>97.75</v>
      </c>
      <c r="N20" s="64">
        <v>38.700000000000003</v>
      </c>
      <c r="O20" s="64">
        <v>0</v>
      </c>
      <c r="P20" s="64">
        <v>0.42</v>
      </c>
      <c r="Q20" s="64">
        <v>9.01</v>
      </c>
      <c r="R20" s="198"/>
      <c r="S20" s="198"/>
      <c r="T20" s="198"/>
      <c r="U20" s="198"/>
    </row>
    <row r="21" spans="1:21" s="12" customFormat="1" x14ac:dyDescent="0.25">
      <c r="A21" s="211" t="s">
        <v>2276</v>
      </c>
      <c r="B21" s="64">
        <v>5.28</v>
      </c>
      <c r="C21" s="64">
        <v>9.3699999999999992</v>
      </c>
      <c r="D21" s="64">
        <v>9.1300000000000008</v>
      </c>
      <c r="E21" s="64">
        <v>6.58</v>
      </c>
      <c r="F21" s="64">
        <v>6.04</v>
      </c>
      <c r="G21" s="64">
        <v>72.83</v>
      </c>
      <c r="H21" s="64">
        <v>13.62</v>
      </c>
      <c r="I21" s="64">
        <v>1.87</v>
      </c>
      <c r="J21" s="64">
        <v>0.09</v>
      </c>
      <c r="K21" s="64">
        <v>136.84</v>
      </c>
      <c r="L21" s="64">
        <v>23.4</v>
      </c>
      <c r="M21" s="64">
        <v>97.75</v>
      </c>
      <c r="N21" s="64">
        <v>38.9</v>
      </c>
      <c r="O21" s="64">
        <v>0</v>
      </c>
      <c r="P21" s="64">
        <v>0.42</v>
      </c>
      <c r="Q21" s="64">
        <v>9.01</v>
      </c>
      <c r="R21" s="198"/>
      <c r="S21" s="198"/>
      <c r="T21" s="198"/>
      <c r="U21" s="198"/>
    </row>
    <row r="22" spans="1:21" s="12" customFormat="1" x14ac:dyDescent="0.25">
      <c r="A22" s="211" t="s">
        <v>2277</v>
      </c>
      <c r="B22" s="64">
        <v>5.3</v>
      </c>
      <c r="C22" s="64">
        <v>9.33</v>
      </c>
      <c r="D22" s="64">
        <v>9.1300000000000008</v>
      </c>
      <c r="E22" s="64">
        <v>6.58</v>
      </c>
      <c r="F22" s="64">
        <v>5.01</v>
      </c>
      <c r="G22" s="64">
        <v>72.180000000000007</v>
      </c>
      <c r="H22" s="64">
        <v>13.62</v>
      </c>
      <c r="I22" s="64">
        <v>1.88</v>
      </c>
      <c r="J22" s="64">
        <v>0.02</v>
      </c>
      <c r="K22" s="64">
        <v>50.75</v>
      </c>
      <c r="L22" s="64">
        <v>23.28</v>
      </c>
      <c r="M22" s="64">
        <v>97.75</v>
      </c>
      <c r="N22" s="64">
        <v>38.9</v>
      </c>
      <c r="O22" s="64">
        <v>0</v>
      </c>
      <c r="P22" s="64">
        <v>0.44</v>
      </c>
      <c r="Q22" s="64">
        <v>9.02</v>
      </c>
      <c r="R22" s="198"/>
      <c r="S22" s="198"/>
      <c r="T22" s="198"/>
      <c r="U22" s="198"/>
    </row>
    <row r="23" spans="1:21" s="12" customFormat="1" x14ac:dyDescent="0.25">
      <c r="A23" s="211" t="s">
        <v>2278</v>
      </c>
      <c r="B23" s="64">
        <v>5.41</v>
      </c>
      <c r="C23" s="64">
        <v>9.86</v>
      </c>
      <c r="D23" s="64">
        <v>9.49</v>
      </c>
      <c r="E23" s="64">
        <v>6.58</v>
      </c>
      <c r="F23" s="64">
        <v>4.49</v>
      </c>
      <c r="G23" s="64">
        <v>72.180000000000007</v>
      </c>
      <c r="H23" s="64">
        <v>13.62</v>
      </c>
      <c r="I23" s="64">
        <v>1.88</v>
      </c>
      <c r="J23" s="64">
        <v>0.1</v>
      </c>
      <c r="K23" s="64">
        <v>292.27999999999997</v>
      </c>
      <c r="L23" s="64">
        <v>23.13</v>
      </c>
      <c r="M23" s="64">
        <v>97.75</v>
      </c>
      <c r="N23" s="64">
        <v>38.9</v>
      </c>
      <c r="O23" s="64">
        <v>0</v>
      </c>
      <c r="P23" s="64">
        <v>0.44</v>
      </c>
      <c r="Q23" s="64">
        <v>9.02</v>
      </c>
      <c r="R23" s="198"/>
      <c r="S23" s="198"/>
      <c r="T23" s="198"/>
      <c r="U23" s="198"/>
    </row>
    <row r="24" spans="1:21" s="12" customFormat="1" x14ac:dyDescent="0.25">
      <c r="A24" s="211" t="s">
        <v>2279</v>
      </c>
      <c r="B24" s="64">
        <v>5.82</v>
      </c>
      <c r="C24" s="64">
        <v>8.69</v>
      </c>
      <c r="D24" s="64">
        <v>9.2100000000000009</v>
      </c>
      <c r="E24" s="64">
        <v>6.3</v>
      </c>
      <c r="F24" s="64">
        <v>2.63</v>
      </c>
      <c r="G24" s="64">
        <v>72.180000000000007</v>
      </c>
      <c r="H24" s="64">
        <v>13.62</v>
      </c>
      <c r="I24" s="64">
        <v>1.89</v>
      </c>
      <c r="J24" s="64">
        <v>0.11</v>
      </c>
      <c r="K24" s="64">
        <v>173.41</v>
      </c>
      <c r="L24" s="64">
        <v>22.96</v>
      </c>
      <c r="M24" s="64">
        <v>97.75</v>
      </c>
      <c r="N24" s="64">
        <v>38.799999999999997</v>
      </c>
      <c r="O24" s="64">
        <v>0</v>
      </c>
      <c r="P24" s="64">
        <v>0.45</v>
      </c>
      <c r="Q24" s="64">
        <v>9</v>
      </c>
      <c r="R24" s="198"/>
      <c r="S24" s="198"/>
      <c r="T24" s="198"/>
      <c r="U24" s="198"/>
    </row>
    <row r="25" spans="1:21" s="12" customFormat="1" x14ac:dyDescent="0.25">
      <c r="A25" s="211" t="s">
        <v>2280</v>
      </c>
      <c r="B25" s="64">
        <v>5.61</v>
      </c>
      <c r="C25" s="64">
        <v>8.89</v>
      </c>
      <c r="D25" s="64">
        <v>9.15</v>
      </c>
      <c r="E25" s="64">
        <v>6.04</v>
      </c>
      <c r="F25" s="64">
        <v>3.67</v>
      </c>
      <c r="G25" s="64">
        <v>68.84</v>
      </c>
      <c r="H25" s="64">
        <v>13.02</v>
      </c>
      <c r="I25" s="64">
        <v>1.9</v>
      </c>
      <c r="J25" s="64">
        <v>0.19</v>
      </c>
      <c r="K25" s="64">
        <v>136.5</v>
      </c>
      <c r="L25" s="64">
        <v>22.84</v>
      </c>
      <c r="M25" s="64">
        <v>97.75</v>
      </c>
      <c r="N25" s="64">
        <v>38.700000000000003</v>
      </c>
      <c r="O25" s="64">
        <v>0</v>
      </c>
      <c r="P25" s="64">
        <v>0.44</v>
      </c>
      <c r="Q25" s="64">
        <v>8.98</v>
      </c>
      <c r="R25" s="198"/>
      <c r="S25" s="198"/>
      <c r="T25" s="198"/>
      <c r="U25" s="198"/>
    </row>
    <row r="26" spans="1:21" s="12" customFormat="1" x14ac:dyDescent="0.25">
      <c r="A26" s="211" t="s">
        <v>2281</v>
      </c>
      <c r="B26" s="64">
        <v>5.86</v>
      </c>
      <c r="C26" s="64">
        <v>9.23</v>
      </c>
      <c r="D26" s="64">
        <v>9.52</v>
      </c>
      <c r="E26" s="64">
        <v>5.94</v>
      </c>
      <c r="F26" s="64">
        <v>2.73</v>
      </c>
      <c r="G26" s="64">
        <v>67.88</v>
      </c>
      <c r="H26" s="64">
        <v>13.02</v>
      </c>
      <c r="I26" s="64">
        <v>1.91</v>
      </c>
      <c r="J26" s="64">
        <v>0.14000000000000001</v>
      </c>
      <c r="K26" s="64">
        <v>145.11000000000001</v>
      </c>
      <c r="L26" s="64">
        <v>22.77</v>
      </c>
      <c r="M26" s="64">
        <v>97.78</v>
      </c>
      <c r="N26" s="64">
        <v>38.700000000000003</v>
      </c>
      <c r="O26" s="64">
        <v>0</v>
      </c>
      <c r="P26" s="64">
        <v>0.44</v>
      </c>
      <c r="Q26" s="64">
        <v>8.9700000000000006</v>
      </c>
      <c r="R26" s="198"/>
      <c r="S26" s="198"/>
      <c r="T26" s="198"/>
      <c r="U26" s="198"/>
    </row>
    <row r="27" spans="1:21" s="12" customFormat="1" x14ac:dyDescent="0.25">
      <c r="A27" s="211" t="s">
        <v>2282</v>
      </c>
      <c r="B27" s="64">
        <v>6</v>
      </c>
      <c r="C27" s="64">
        <v>8.66</v>
      </c>
      <c r="D27" s="64">
        <v>9.33</v>
      </c>
      <c r="E27" s="64">
        <v>6.16</v>
      </c>
      <c r="F27" s="64">
        <v>2.94</v>
      </c>
      <c r="G27" s="64">
        <v>67.88</v>
      </c>
      <c r="H27" s="64">
        <v>13.02</v>
      </c>
      <c r="I27" s="64">
        <v>1.92</v>
      </c>
      <c r="J27" s="64">
        <v>0.1</v>
      </c>
      <c r="K27" s="64">
        <v>145.52000000000001</v>
      </c>
      <c r="L27" s="64">
        <v>22.66</v>
      </c>
      <c r="M27" s="64">
        <v>97.79</v>
      </c>
      <c r="N27" s="64">
        <v>38.700000000000003</v>
      </c>
      <c r="O27" s="64">
        <v>0</v>
      </c>
      <c r="P27" s="64">
        <v>0.45</v>
      </c>
      <c r="Q27" s="64">
        <v>8.9700000000000006</v>
      </c>
      <c r="R27" s="198"/>
      <c r="S27" s="198"/>
      <c r="T27" s="198"/>
      <c r="U27" s="198"/>
    </row>
    <row r="28" spans="1:21" s="12" customFormat="1" x14ac:dyDescent="0.25">
      <c r="A28" s="211" t="s">
        <v>2283</v>
      </c>
      <c r="B28" s="64">
        <v>6.13</v>
      </c>
      <c r="C28" s="64">
        <v>8.82</v>
      </c>
      <c r="D28" s="64">
        <v>9.5299999999999994</v>
      </c>
      <c r="E28" s="64">
        <v>5.86</v>
      </c>
      <c r="F28" s="64">
        <v>2.12</v>
      </c>
      <c r="G28" s="64">
        <v>67.88</v>
      </c>
      <c r="H28" s="64">
        <v>13.02</v>
      </c>
      <c r="I28" s="64">
        <v>1.92</v>
      </c>
      <c r="J28" s="64">
        <v>0.05</v>
      </c>
      <c r="K28" s="64">
        <v>282.06</v>
      </c>
      <c r="L28" s="64">
        <v>22.54</v>
      </c>
      <c r="M28" s="64">
        <v>97.81</v>
      </c>
      <c r="N28" s="64">
        <v>38.799999999999997</v>
      </c>
      <c r="O28" s="64">
        <v>0</v>
      </c>
      <c r="P28" s="64">
        <v>0.46</v>
      </c>
      <c r="Q28" s="64">
        <v>8.98</v>
      </c>
      <c r="R28" s="198"/>
      <c r="S28" s="198"/>
      <c r="T28" s="198"/>
      <c r="U28" s="198"/>
    </row>
    <row r="29" spans="1:21" s="12" customFormat="1" x14ac:dyDescent="0.25">
      <c r="A29" s="211" t="s">
        <v>2284</v>
      </c>
      <c r="B29" s="64">
        <v>6.09</v>
      </c>
      <c r="C29" s="64">
        <v>9.3000000000000007</v>
      </c>
      <c r="D29" s="64">
        <v>9.75</v>
      </c>
      <c r="E29" s="64">
        <v>5.49</v>
      </c>
      <c r="F29" s="64">
        <v>2.1</v>
      </c>
      <c r="G29" s="64">
        <v>66.25</v>
      </c>
      <c r="H29" s="64">
        <v>15.04</v>
      </c>
      <c r="I29" s="64">
        <v>1.93</v>
      </c>
      <c r="J29" s="64">
        <v>0.24</v>
      </c>
      <c r="K29" s="64">
        <v>339.07</v>
      </c>
      <c r="L29" s="64">
        <v>22.46</v>
      </c>
      <c r="M29" s="64">
        <v>97.83</v>
      </c>
      <c r="N29" s="64">
        <v>38.6</v>
      </c>
      <c r="O29" s="64">
        <v>0</v>
      </c>
      <c r="P29" s="64">
        <v>0.47</v>
      </c>
      <c r="Q29" s="64">
        <v>8.98</v>
      </c>
      <c r="R29" s="198"/>
      <c r="S29" s="198"/>
      <c r="T29" s="198"/>
      <c r="U29" s="198"/>
    </row>
    <row r="30" spans="1:21" s="12" customFormat="1" x14ac:dyDescent="0.25">
      <c r="A30" s="211" t="s">
        <v>2285</v>
      </c>
      <c r="B30" s="64">
        <v>6.11</v>
      </c>
      <c r="C30" s="64">
        <v>9.16</v>
      </c>
      <c r="D30" s="64">
        <v>9.68</v>
      </c>
      <c r="E30" s="64">
        <v>5.69</v>
      </c>
      <c r="F30" s="64">
        <v>2.1</v>
      </c>
      <c r="G30" s="64">
        <v>65.819999999999993</v>
      </c>
      <c r="H30" s="64">
        <v>15.04</v>
      </c>
      <c r="I30" s="64">
        <v>1.94</v>
      </c>
      <c r="J30" s="64">
        <v>0.12</v>
      </c>
      <c r="K30" s="64">
        <v>116.32</v>
      </c>
      <c r="L30" s="64">
        <v>22.36</v>
      </c>
      <c r="M30" s="64">
        <v>97.85</v>
      </c>
      <c r="N30" s="64">
        <v>38.799999999999997</v>
      </c>
      <c r="O30" s="64">
        <v>0</v>
      </c>
      <c r="P30" s="64">
        <v>0.5</v>
      </c>
      <c r="Q30" s="64">
        <v>8.99</v>
      </c>
      <c r="R30" s="198"/>
      <c r="S30" s="198"/>
      <c r="T30" s="198"/>
      <c r="U30" s="198"/>
    </row>
    <row r="31" spans="1:21" s="12" customFormat="1" x14ac:dyDescent="0.25">
      <c r="A31" s="211" t="s">
        <v>2286</v>
      </c>
      <c r="B31" s="64">
        <v>7.45</v>
      </c>
      <c r="C31" s="64">
        <v>10.1</v>
      </c>
      <c r="D31" s="64">
        <v>11.25</v>
      </c>
      <c r="E31" s="64">
        <v>5.6</v>
      </c>
      <c r="F31" s="64">
        <v>2.1</v>
      </c>
      <c r="G31" s="64">
        <v>65.819999999999993</v>
      </c>
      <c r="H31" s="64">
        <v>15.04</v>
      </c>
      <c r="I31" s="64">
        <v>1.95</v>
      </c>
      <c r="J31" s="64">
        <v>0.06</v>
      </c>
      <c r="K31" s="64">
        <v>191.81</v>
      </c>
      <c r="L31" s="64">
        <v>22.16</v>
      </c>
      <c r="M31" s="64">
        <v>97.89</v>
      </c>
      <c r="N31" s="64">
        <v>39</v>
      </c>
      <c r="O31" s="64">
        <v>0</v>
      </c>
      <c r="P31" s="64">
        <v>0.48</v>
      </c>
      <c r="Q31" s="64">
        <v>8.98</v>
      </c>
      <c r="R31" s="198"/>
      <c r="S31" s="198"/>
      <c r="T31" s="198"/>
      <c r="U31" s="198"/>
    </row>
    <row r="32" spans="1:21" s="12" customFormat="1" x14ac:dyDescent="0.25">
      <c r="A32" s="211" t="s">
        <v>2287</v>
      </c>
      <c r="B32" s="64">
        <v>7.58</v>
      </c>
      <c r="C32" s="64">
        <v>10.37</v>
      </c>
      <c r="D32" s="64">
        <v>11.5</v>
      </c>
      <c r="E32" s="64">
        <v>5.39</v>
      </c>
      <c r="F32" s="64">
        <v>2.11</v>
      </c>
      <c r="G32" s="64">
        <v>65.819999999999993</v>
      </c>
      <c r="H32" s="64">
        <v>15.04</v>
      </c>
      <c r="I32" s="64">
        <v>1.97</v>
      </c>
      <c r="J32" s="64">
        <v>0.05</v>
      </c>
      <c r="K32" s="64">
        <v>334.67</v>
      </c>
      <c r="L32" s="64">
        <v>22.17</v>
      </c>
      <c r="M32" s="64">
        <v>97.89</v>
      </c>
      <c r="N32" s="64">
        <v>40.9</v>
      </c>
      <c r="O32" s="64">
        <v>0</v>
      </c>
      <c r="P32" s="64">
        <v>0.51</v>
      </c>
      <c r="Q32" s="64">
        <v>8.99</v>
      </c>
      <c r="R32" s="198"/>
      <c r="S32" s="198"/>
      <c r="T32" s="198"/>
      <c r="U32" s="198"/>
    </row>
    <row r="33" spans="1:21" s="12" customFormat="1" x14ac:dyDescent="0.25">
      <c r="A33" s="211" t="s">
        <v>2288</v>
      </c>
      <c r="B33" s="64">
        <v>7.01</v>
      </c>
      <c r="C33" s="64">
        <v>8.89</v>
      </c>
      <c r="D33" s="64">
        <v>10.27</v>
      </c>
      <c r="E33" s="64">
        <v>5.3</v>
      </c>
      <c r="F33" s="64">
        <v>2.1</v>
      </c>
      <c r="G33" s="64">
        <v>67.849999999999994</v>
      </c>
      <c r="H33" s="64">
        <v>14.21</v>
      </c>
      <c r="I33" s="64">
        <v>1.98</v>
      </c>
      <c r="J33" s="64">
        <v>0.14000000000000001</v>
      </c>
      <c r="K33" s="64">
        <v>293.60000000000002</v>
      </c>
      <c r="L33" s="64">
        <v>22.13</v>
      </c>
      <c r="M33" s="64">
        <v>97.86</v>
      </c>
      <c r="N33" s="64">
        <v>48.1</v>
      </c>
      <c r="O33" s="64">
        <v>0</v>
      </c>
      <c r="P33" s="64">
        <v>0.51</v>
      </c>
      <c r="Q33" s="64">
        <v>9</v>
      </c>
      <c r="R33" s="198"/>
      <c r="S33" s="198"/>
      <c r="T33" s="198"/>
      <c r="U33" s="198"/>
    </row>
    <row r="34" spans="1:21" s="12" customFormat="1" x14ac:dyDescent="0.25">
      <c r="A34" s="211" t="s">
        <v>2289</v>
      </c>
      <c r="B34" s="64">
        <v>10.28</v>
      </c>
      <c r="C34" s="64">
        <v>11.02</v>
      </c>
      <c r="D34" s="64">
        <v>14</v>
      </c>
      <c r="E34" s="64">
        <v>5.58</v>
      </c>
      <c r="F34" s="64">
        <v>2.1</v>
      </c>
      <c r="G34" s="64">
        <v>68.39</v>
      </c>
      <c r="H34" s="64">
        <v>14.21</v>
      </c>
      <c r="I34" s="64">
        <v>2</v>
      </c>
      <c r="J34" s="64">
        <v>0.09</v>
      </c>
      <c r="K34" s="64">
        <v>278.52</v>
      </c>
      <c r="L34" s="64">
        <v>22.2</v>
      </c>
      <c r="M34" s="64">
        <v>97.88</v>
      </c>
      <c r="N34" s="64">
        <v>61.7</v>
      </c>
      <c r="O34" s="64">
        <v>0</v>
      </c>
      <c r="P34" s="64">
        <v>0.6</v>
      </c>
      <c r="Q34" s="64">
        <v>9.01</v>
      </c>
      <c r="R34" s="198"/>
      <c r="S34" s="198"/>
      <c r="T34" s="198"/>
      <c r="U34" s="198"/>
    </row>
    <row r="35" spans="1:21" s="12" customFormat="1" x14ac:dyDescent="0.25">
      <c r="A35" s="211" t="s">
        <v>2290</v>
      </c>
      <c r="B35" s="64">
        <v>7.75</v>
      </c>
      <c r="C35" s="64">
        <v>10.119999999999999</v>
      </c>
      <c r="D35" s="64">
        <v>11.5</v>
      </c>
      <c r="E35" s="64">
        <v>5.66</v>
      </c>
      <c r="F35" s="64">
        <v>2.1</v>
      </c>
      <c r="G35" s="64">
        <v>68.39</v>
      </c>
      <c r="H35" s="64">
        <v>14.21</v>
      </c>
      <c r="I35" s="64">
        <v>2.02</v>
      </c>
      <c r="J35" s="64">
        <v>0.08</v>
      </c>
      <c r="K35" s="64">
        <v>296.98</v>
      </c>
      <c r="L35" s="64">
        <v>22.45</v>
      </c>
      <c r="M35" s="64">
        <v>97.87</v>
      </c>
      <c r="N35" s="64">
        <v>96.4</v>
      </c>
      <c r="O35" s="64">
        <v>0</v>
      </c>
      <c r="P35" s="64">
        <v>0.55000000000000004</v>
      </c>
      <c r="Q35" s="64">
        <v>9.0299999999999994</v>
      </c>
      <c r="R35" s="198"/>
      <c r="S35" s="198"/>
      <c r="T35" s="198"/>
      <c r="U35" s="198"/>
    </row>
    <row r="36" spans="1:21" s="12" customFormat="1" x14ac:dyDescent="0.25">
      <c r="A36" s="211" t="s">
        <v>2291</v>
      </c>
      <c r="B36" s="64">
        <v>8.1999999999999993</v>
      </c>
      <c r="C36" s="64">
        <v>10.56</v>
      </c>
      <c r="D36" s="64">
        <v>12.09</v>
      </c>
      <c r="E36" s="64">
        <v>5.45</v>
      </c>
      <c r="F36" s="64">
        <v>2.16</v>
      </c>
      <c r="G36" s="64">
        <v>68.39</v>
      </c>
      <c r="H36" s="64">
        <v>14.21</v>
      </c>
      <c r="I36" s="64">
        <v>2.02</v>
      </c>
      <c r="J36" s="64">
        <v>0.22</v>
      </c>
      <c r="K36" s="64">
        <v>124.83</v>
      </c>
      <c r="L36" s="64">
        <v>23.17</v>
      </c>
      <c r="M36" s="64">
        <v>97.8</v>
      </c>
      <c r="N36" s="64">
        <v>138.30000000000001</v>
      </c>
      <c r="O36" s="64">
        <v>0</v>
      </c>
      <c r="P36" s="64">
        <v>0.56999999999999995</v>
      </c>
      <c r="Q36" s="64">
        <v>9.0399999999999991</v>
      </c>
      <c r="R36" s="198"/>
      <c r="S36" s="198"/>
      <c r="T36" s="198"/>
      <c r="U36" s="198"/>
    </row>
    <row r="37" spans="1:21" s="12" customFormat="1" x14ac:dyDescent="0.25">
      <c r="A37" s="211" t="s">
        <v>2292</v>
      </c>
      <c r="B37" s="64">
        <v>9.69</v>
      </c>
      <c r="C37" s="64">
        <v>11</v>
      </c>
      <c r="D37" s="64">
        <v>13.51</v>
      </c>
      <c r="E37" s="64">
        <v>5.46</v>
      </c>
      <c r="F37" s="64">
        <v>2.2599999999999998</v>
      </c>
      <c r="G37" s="64">
        <v>72.62</v>
      </c>
      <c r="H37" s="64">
        <v>13.22</v>
      </c>
      <c r="I37" s="64">
        <v>2.0299999999999998</v>
      </c>
      <c r="J37" s="64">
        <v>0.21</v>
      </c>
      <c r="K37" s="64">
        <v>135.35</v>
      </c>
      <c r="L37" s="64">
        <v>24.11</v>
      </c>
      <c r="M37" s="64">
        <v>97.74</v>
      </c>
      <c r="N37" s="64">
        <v>184.7</v>
      </c>
      <c r="O37" s="64">
        <v>0</v>
      </c>
      <c r="P37" s="64">
        <v>0.53</v>
      </c>
      <c r="Q37" s="64">
        <v>9.0500000000000007</v>
      </c>
      <c r="R37" s="198"/>
      <c r="S37" s="198"/>
      <c r="T37" s="198"/>
      <c r="U37" s="198"/>
    </row>
    <row r="38" spans="1:21" s="12" customFormat="1" x14ac:dyDescent="0.25">
      <c r="A38" s="211" t="s">
        <v>2293</v>
      </c>
      <c r="B38" s="64">
        <v>7.9</v>
      </c>
      <c r="C38" s="64">
        <v>9.3800000000000008</v>
      </c>
      <c r="D38" s="64">
        <v>11.23</v>
      </c>
      <c r="E38" s="64">
        <v>5.39</v>
      </c>
      <c r="F38" s="64">
        <v>2.69</v>
      </c>
      <c r="G38" s="64">
        <v>73.75</v>
      </c>
      <c r="H38" s="64">
        <v>13.22</v>
      </c>
      <c r="I38" s="64">
        <v>2.0299999999999998</v>
      </c>
      <c r="J38" s="64">
        <v>0.43</v>
      </c>
      <c r="K38" s="64">
        <v>138.01</v>
      </c>
      <c r="L38" s="64">
        <v>24.97</v>
      </c>
      <c r="M38" s="64">
        <v>95.62</v>
      </c>
      <c r="N38" s="64">
        <v>235.7</v>
      </c>
      <c r="O38" s="64">
        <v>0</v>
      </c>
      <c r="P38" s="64">
        <v>0.53</v>
      </c>
      <c r="Q38" s="64">
        <v>9.0500000000000007</v>
      </c>
      <c r="R38" s="198"/>
      <c r="S38" s="198"/>
      <c r="T38" s="198"/>
      <c r="U38" s="198"/>
    </row>
    <row r="39" spans="1:21" s="12" customFormat="1" x14ac:dyDescent="0.25">
      <c r="A39" s="211" t="s">
        <v>2294</v>
      </c>
      <c r="B39" s="64">
        <v>7.07</v>
      </c>
      <c r="C39" s="64">
        <v>8.74</v>
      </c>
      <c r="D39" s="64">
        <v>10.24</v>
      </c>
      <c r="E39" s="64">
        <v>5.4</v>
      </c>
      <c r="F39" s="64">
        <v>4.8600000000000003</v>
      </c>
      <c r="G39" s="64">
        <v>73.75</v>
      </c>
      <c r="H39" s="64">
        <v>13.22</v>
      </c>
      <c r="I39" s="64">
        <v>2.04</v>
      </c>
      <c r="J39" s="64">
        <v>0.64</v>
      </c>
      <c r="K39" s="64">
        <v>130.79</v>
      </c>
      <c r="L39" s="64">
        <v>25.39</v>
      </c>
      <c r="M39" s="64">
        <v>93.1</v>
      </c>
      <c r="N39" s="64">
        <v>293.7</v>
      </c>
      <c r="O39" s="64">
        <v>0</v>
      </c>
      <c r="P39" s="64">
        <v>0.51</v>
      </c>
      <c r="Q39" s="64">
        <v>9.06</v>
      </c>
      <c r="R39" s="198"/>
      <c r="S39" s="198"/>
      <c r="T39" s="198"/>
      <c r="U39" s="198"/>
    </row>
    <row r="40" spans="1:21" s="12" customFormat="1" x14ac:dyDescent="0.25">
      <c r="A40" s="211" t="s">
        <v>2295</v>
      </c>
      <c r="B40" s="64">
        <v>7.62</v>
      </c>
      <c r="C40" s="64">
        <v>8.65</v>
      </c>
      <c r="D40" s="64">
        <v>10.63</v>
      </c>
      <c r="E40" s="64">
        <v>5.12</v>
      </c>
      <c r="F40" s="64">
        <v>5.21</v>
      </c>
      <c r="G40" s="64">
        <v>73.75</v>
      </c>
      <c r="H40" s="64">
        <v>13.22</v>
      </c>
      <c r="I40" s="64">
        <v>2.0499999999999998</v>
      </c>
      <c r="J40" s="64">
        <v>0.37</v>
      </c>
      <c r="K40" s="64">
        <v>128.82</v>
      </c>
      <c r="L40" s="64">
        <v>26.23</v>
      </c>
      <c r="M40" s="64">
        <v>89.8</v>
      </c>
      <c r="N40" s="64">
        <v>340.9</v>
      </c>
      <c r="O40" s="64">
        <v>0</v>
      </c>
      <c r="P40" s="64">
        <v>0.52</v>
      </c>
      <c r="Q40" s="64">
        <v>9.0500000000000007</v>
      </c>
      <c r="R40" s="198"/>
      <c r="S40" s="198"/>
      <c r="T40" s="198"/>
      <c r="U40" s="198"/>
    </row>
    <row r="41" spans="1:21" s="12" customFormat="1" x14ac:dyDescent="0.25">
      <c r="A41" s="211" t="s">
        <v>2296</v>
      </c>
      <c r="B41" s="64">
        <v>7.71</v>
      </c>
      <c r="C41" s="64">
        <v>8.7100000000000009</v>
      </c>
      <c r="D41" s="64">
        <v>10.73</v>
      </c>
      <c r="E41" s="64">
        <v>6.03</v>
      </c>
      <c r="F41" s="64">
        <v>3.79</v>
      </c>
      <c r="G41" s="64">
        <v>70.37</v>
      </c>
      <c r="H41" s="64">
        <v>12.55</v>
      </c>
      <c r="I41" s="64">
        <v>2.0699999999999998</v>
      </c>
      <c r="J41" s="64">
        <v>0.11</v>
      </c>
      <c r="K41" s="64">
        <v>128.43</v>
      </c>
      <c r="L41" s="64">
        <v>27.57</v>
      </c>
      <c r="M41" s="64">
        <v>83.07</v>
      </c>
      <c r="N41" s="64">
        <v>390.5</v>
      </c>
      <c r="O41" s="64">
        <v>0</v>
      </c>
      <c r="P41" s="64">
        <v>0.53</v>
      </c>
      <c r="Q41" s="64">
        <v>9.0500000000000007</v>
      </c>
      <c r="R41" s="198"/>
      <c r="S41" s="198"/>
      <c r="T41" s="198"/>
      <c r="U41" s="198"/>
    </row>
    <row r="42" spans="1:21" s="12" customFormat="1" x14ac:dyDescent="0.25">
      <c r="A42" s="211" t="s">
        <v>2297</v>
      </c>
      <c r="B42" s="64">
        <v>7.58</v>
      </c>
      <c r="C42" s="64">
        <v>10.55</v>
      </c>
      <c r="D42" s="64">
        <v>11.59</v>
      </c>
      <c r="E42" s="64">
        <v>5.78</v>
      </c>
      <c r="F42" s="64">
        <v>5.04</v>
      </c>
      <c r="G42" s="64">
        <v>69.459999999999994</v>
      </c>
      <c r="H42" s="64">
        <v>12.55</v>
      </c>
      <c r="I42" s="64">
        <v>2.08</v>
      </c>
      <c r="J42" s="64">
        <v>0.22</v>
      </c>
      <c r="K42" s="64">
        <v>125.99</v>
      </c>
      <c r="L42" s="64">
        <v>28.23</v>
      </c>
      <c r="M42" s="64">
        <v>79.75</v>
      </c>
      <c r="N42" s="64">
        <v>438.5</v>
      </c>
      <c r="O42" s="64">
        <v>0</v>
      </c>
      <c r="P42" s="64">
        <v>0.51</v>
      </c>
      <c r="Q42" s="64">
        <v>9.0299999999999994</v>
      </c>
      <c r="R42" s="198"/>
      <c r="S42" s="198"/>
      <c r="T42" s="198"/>
      <c r="U42" s="198"/>
    </row>
    <row r="43" spans="1:21" s="12" customFormat="1" x14ac:dyDescent="0.25">
      <c r="A43" s="211" t="s">
        <v>2298</v>
      </c>
      <c r="B43" s="64">
        <v>8.33</v>
      </c>
      <c r="C43" s="64">
        <v>10.050000000000001</v>
      </c>
      <c r="D43" s="64">
        <v>11.93</v>
      </c>
      <c r="E43" s="64">
        <v>5.95</v>
      </c>
      <c r="F43" s="64">
        <v>5.41</v>
      </c>
      <c r="G43" s="64">
        <v>69.459999999999994</v>
      </c>
      <c r="H43" s="64">
        <v>12.55</v>
      </c>
      <c r="I43" s="64">
        <v>2.0699999999999998</v>
      </c>
      <c r="J43" s="64">
        <v>0.62</v>
      </c>
      <c r="K43" s="64">
        <v>126.34</v>
      </c>
      <c r="L43" s="64">
        <v>28.16</v>
      </c>
      <c r="M43" s="64">
        <v>79.58</v>
      </c>
      <c r="N43" s="64">
        <v>486.2</v>
      </c>
      <c r="O43" s="64">
        <v>0</v>
      </c>
      <c r="P43" s="64">
        <v>0.53</v>
      </c>
      <c r="Q43" s="64">
        <v>9.0299999999999994</v>
      </c>
      <c r="R43" s="198"/>
      <c r="S43" s="198"/>
      <c r="T43" s="198"/>
      <c r="U43" s="198"/>
    </row>
    <row r="44" spans="1:21" s="12" customFormat="1" x14ac:dyDescent="0.25">
      <c r="A44" s="211" t="s">
        <v>2299</v>
      </c>
      <c r="B44" s="64">
        <v>7.54</v>
      </c>
      <c r="C44" s="64">
        <v>10.25</v>
      </c>
      <c r="D44" s="64">
        <v>11.4</v>
      </c>
      <c r="E44" s="64">
        <v>6.34</v>
      </c>
      <c r="F44" s="64">
        <v>5.5</v>
      </c>
      <c r="G44" s="64">
        <v>69.459999999999994</v>
      </c>
      <c r="H44" s="64">
        <v>12.55</v>
      </c>
      <c r="I44" s="64">
        <v>2.09</v>
      </c>
      <c r="J44" s="64">
        <v>0.27</v>
      </c>
      <c r="K44" s="64">
        <v>121.8</v>
      </c>
      <c r="L44" s="64">
        <v>28.27</v>
      </c>
      <c r="M44" s="64">
        <v>78.48</v>
      </c>
      <c r="N44" s="64">
        <v>535.5</v>
      </c>
      <c r="O44" s="64">
        <v>0</v>
      </c>
      <c r="P44" s="64">
        <v>0.51</v>
      </c>
      <c r="Q44" s="64">
        <v>9.02</v>
      </c>
      <c r="R44" s="198"/>
      <c r="S44" s="198"/>
      <c r="T44" s="198"/>
      <c r="U44" s="198"/>
    </row>
    <row r="45" spans="1:21" s="12" customFormat="1" x14ac:dyDescent="0.25">
      <c r="A45" s="211" t="s">
        <v>2300</v>
      </c>
      <c r="B45" s="64">
        <v>7.84</v>
      </c>
      <c r="C45" s="64">
        <v>10.07</v>
      </c>
      <c r="D45" s="64">
        <v>11.55</v>
      </c>
      <c r="E45" s="64">
        <v>5.92</v>
      </c>
      <c r="F45" s="64">
        <v>6.2</v>
      </c>
      <c r="G45" s="64">
        <v>65.77</v>
      </c>
      <c r="H45" s="64">
        <v>16.53</v>
      </c>
      <c r="I45" s="64">
        <v>2.1</v>
      </c>
      <c r="J45" s="64">
        <v>0.39</v>
      </c>
      <c r="K45" s="64">
        <v>129.22</v>
      </c>
      <c r="L45" s="64">
        <v>28.87</v>
      </c>
      <c r="M45" s="64">
        <v>75.900000000000006</v>
      </c>
      <c r="N45" s="64">
        <v>578.4</v>
      </c>
      <c r="O45" s="64">
        <v>0</v>
      </c>
      <c r="P45" s="64">
        <v>0.5</v>
      </c>
      <c r="Q45" s="64">
        <v>9.02</v>
      </c>
      <c r="R45" s="198"/>
      <c r="S45" s="198"/>
      <c r="T45" s="198"/>
      <c r="U45" s="198"/>
    </row>
    <row r="46" spans="1:21" s="12" customFormat="1" x14ac:dyDescent="0.25">
      <c r="A46" s="211" t="s">
        <v>2301</v>
      </c>
      <c r="B46" s="64">
        <v>7.51</v>
      </c>
      <c r="C46" s="64">
        <v>9.1199999999999992</v>
      </c>
      <c r="D46" s="64">
        <v>10.79</v>
      </c>
      <c r="E46" s="64">
        <v>6.1</v>
      </c>
      <c r="F46" s="64">
        <v>6.03</v>
      </c>
      <c r="G46" s="64">
        <v>64.78</v>
      </c>
      <c r="H46" s="64">
        <v>16.53</v>
      </c>
      <c r="I46" s="64">
        <v>2.1</v>
      </c>
      <c r="J46" s="64">
        <v>0.35</v>
      </c>
      <c r="K46" s="64">
        <v>134.72999999999999</v>
      </c>
      <c r="L46" s="64">
        <v>29.4</v>
      </c>
      <c r="M46" s="64">
        <v>72.55</v>
      </c>
      <c r="N46" s="64">
        <v>609.9</v>
      </c>
      <c r="O46" s="64">
        <v>0</v>
      </c>
      <c r="P46" s="64">
        <v>0.5</v>
      </c>
      <c r="Q46" s="64">
        <v>9.02</v>
      </c>
      <c r="R46" s="198"/>
      <c r="S46" s="198"/>
      <c r="T46" s="198"/>
      <c r="U46" s="198"/>
    </row>
    <row r="47" spans="1:21" s="12" customFormat="1" x14ac:dyDescent="0.25">
      <c r="A47" s="211" t="s">
        <v>2302</v>
      </c>
      <c r="B47" s="64">
        <v>7.16</v>
      </c>
      <c r="C47" s="64">
        <v>8.5</v>
      </c>
      <c r="D47" s="64">
        <v>10.18</v>
      </c>
      <c r="E47" s="64">
        <v>6.1</v>
      </c>
      <c r="F47" s="64">
        <v>5.99</v>
      </c>
      <c r="G47" s="64">
        <v>64.78</v>
      </c>
      <c r="H47" s="64">
        <v>16.53</v>
      </c>
      <c r="I47" s="64">
        <v>2.1</v>
      </c>
      <c r="J47" s="64">
        <v>0.73</v>
      </c>
      <c r="K47" s="64">
        <v>129.54</v>
      </c>
      <c r="L47" s="64">
        <v>29.15</v>
      </c>
      <c r="M47" s="64">
        <v>71.760000000000005</v>
      </c>
      <c r="N47" s="64">
        <v>649.9</v>
      </c>
      <c r="O47" s="64">
        <v>0</v>
      </c>
      <c r="P47" s="64">
        <v>0.48</v>
      </c>
      <c r="Q47" s="64">
        <v>9.01</v>
      </c>
      <c r="R47" s="198"/>
      <c r="S47" s="198"/>
      <c r="T47" s="198"/>
      <c r="U47" s="198"/>
    </row>
    <row r="48" spans="1:21" s="12" customFormat="1" x14ac:dyDescent="0.25">
      <c r="A48" s="211" t="s">
        <v>2303</v>
      </c>
      <c r="B48" s="64">
        <v>7</v>
      </c>
      <c r="C48" s="64">
        <v>8.19</v>
      </c>
      <c r="D48" s="64">
        <v>9.89</v>
      </c>
      <c r="E48" s="64">
        <v>6.06</v>
      </c>
      <c r="F48" s="64">
        <v>5.16</v>
      </c>
      <c r="G48" s="64">
        <v>64.78</v>
      </c>
      <c r="H48" s="64">
        <v>16.53</v>
      </c>
      <c r="I48" s="64">
        <v>2.1</v>
      </c>
      <c r="J48" s="64">
        <v>0.74</v>
      </c>
      <c r="K48" s="64">
        <v>128.84</v>
      </c>
      <c r="L48" s="64">
        <v>29.28</v>
      </c>
      <c r="M48" s="64">
        <v>68.77</v>
      </c>
      <c r="N48" s="64">
        <v>691.3</v>
      </c>
      <c r="O48" s="64">
        <v>0</v>
      </c>
      <c r="P48" s="64">
        <v>0.48</v>
      </c>
      <c r="Q48" s="64">
        <v>9.01</v>
      </c>
      <c r="R48" s="198"/>
      <c r="S48" s="198"/>
      <c r="T48" s="198"/>
      <c r="U48" s="198"/>
    </row>
    <row r="49" spans="1:21" s="12" customFormat="1" x14ac:dyDescent="0.25">
      <c r="A49" s="211" t="s">
        <v>2304</v>
      </c>
      <c r="B49" s="64">
        <v>6.58</v>
      </c>
      <c r="C49" s="64">
        <v>8.0500000000000007</v>
      </c>
      <c r="D49" s="64">
        <v>9.48</v>
      </c>
      <c r="E49" s="64">
        <v>6.56</v>
      </c>
      <c r="F49" s="64">
        <v>8.69</v>
      </c>
      <c r="G49" s="64">
        <v>59.87</v>
      </c>
      <c r="H49" s="64">
        <v>14.87</v>
      </c>
      <c r="I49" s="64">
        <v>2.09</v>
      </c>
      <c r="J49" s="64">
        <v>1.1200000000000001</v>
      </c>
      <c r="K49" s="64">
        <v>128.01</v>
      </c>
      <c r="L49" s="64">
        <v>29.04</v>
      </c>
      <c r="M49" s="64">
        <v>64.989999999999995</v>
      </c>
      <c r="N49" s="64">
        <v>713.6</v>
      </c>
      <c r="O49" s="64">
        <v>0</v>
      </c>
      <c r="P49" s="64">
        <v>0.44</v>
      </c>
      <c r="Q49" s="64">
        <v>9.02</v>
      </c>
      <c r="R49" s="198"/>
      <c r="S49" s="198"/>
      <c r="T49" s="198"/>
      <c r="U49" s="198"/>
    </row>
    <row r="50" spans="1:21" s="12" customFormat="1" x14ac:dyDescent="0.25">
      <c r="A50" s="211" t="s">
        <v>2305</v>
      </c>
      <c r="B50" s="64">
        <v>6.67</v>
      </c>
      <c r="C50" s="64">
        <v>8.27</v>
      </c>
      <c r="D50" s="64">
        <v>9.67</v>
      </c>
      <c r="E50" s="64">
        <v>6.25</v>
      </c>
      <c r="F50" s="64">
        <v>5.92</v>
      </c>
      <c r="G50" s="64">
        <v>58.56</v>
      </c>
      <c r="H50" s="64">
        <v>14.87</v>
      </c>
      <c r="I50" s="64">
        <v>2.09</v>
      </c>
      <c r="J50" s="64">
        <v>0.42</v>
      </c>
      <c r="K50" s="64">
        <v>125.26</v>
      </c>
      <c r="L50" s="64">
        <v>29.49</v>
      </c>
      <c r="M50" s="64">
        <v>62.54</v>
      </c>
      <c r="N50" s="64">
        <v>737.8</v>
      </c>
      <c r="O50" s="64">
        <v>0</v>
      </c>
      <c r="P50" s="64">
        <v>0.45</v>
      </c>
      <c r="Q50" s="64">
        <v>9.01</v>
      </c>
      <c r="R50" s="198"/>
      <c r="S50" s="198"/>
      <c r="T50" s="198"/>
      <c r="U50" s="198"/>
    </row>
    <row r="51" spans="1:21" s="12" customFormat="1" x14ac:dyDescent="0.25">
      <c r="A51" s="211" t="s">
        <v>2306</v>
      </c>
      <c r="B51" s="64">
        <v>6.92</v>
      </c>
      <c r="C51" s="64">
        <v>9.7799999999999994</v>
      </c>
      <c r="D51" s="64">
        <v>10.66</v>
      </c>
      <c r="E51" s="64">
        <v>6.51</v>
      </c>
      <c r="F51" s="64">
        <v>7.17</v>
      </c>
      <c r="G51" s="64">
        <v>58.56</v>
      </c>
      <c r="H51" s="64">
        <v>14.87</v>
      </c>
      <c r="I51" s="64">
        <v>2.06</v>
      </c>
      <c r="J51" s="64">
        <v>0.74</v>
      </c>
      <c r="K51" s="64">
        <v>119.14</v>
      </c>
      <c r="L51" s="64">
        <v>29.78</v>
      </c>
      <c r="M51" s="64">
        <v>62.11</v>
      </c>
      <c r="N51" s="64">
        <v>759.7</v>
      </c>
      <c r="O51" s="64">
        <v>0</v>
      </c>
      <c r="P51" s="64">
        <v>0.43</v>
      </c>
      <c r="Q51" s="64">
        <v>9.01</v>
      </c>
      <c r="R51" s="198"/>
      <c r="S51" s="198"/>
      <c r="T51" s="198"/>
      <c r="U51" s="198"/>
    </row>
    <row r="52" spans="1:21" s="12" customFormat="1" x14ac:dyDescent="0.25">
      <c r="A52" s="211" t="s">
        <v>2307</v>
      </c>
      <c r="B52" s="64">
        <v>6.72</v>
      </c>
      <c r="C52" s="64">
        <v>9.4700000000000006</v>
      </c>
      <c r="D52" s="64">
        <v>10.34</v>
      </c>
      <c r="E52" s="64">
        <v>6.91</v>
      </c>
      <c r="F52" s="64">
        <v>8.4499999999999993</v>
      </c>
      <c r="G52" s="64">
        <v>58.56</v>
      </c>
      <c r="H52" s="64">
        <v>14.87</v>
      </c>
      <c r="I52" s="64">
        <v>2.04</v>
      </c>
      <c r="J52" s="64">
        <v>0.86</v>
      </c>
      <c r="K52" s="64">
        <v>132.97</v>
      </c>
      <c r="L52" s="64">
        <v>29.86</v>
      </c>
      <c r="M52" s="64">
        <v>62.61</v>
      </c>
      <c r="N52" s="64">
        <v>758</v>
      </c>
      <c r="O52" s="64">
        <v>0</v>
      </c>
      <c r="P52" s="64">
        <v>0.43</v>
      </c>
      <c r="Q52" s="64">
        <v>9.02</v>
      </c>
      <c r="R52" s="198"/>
      <c r="S52" s="198"/>
      <c r="T52" s="198"/>
      <c r="U52" s="198"/>
    </row>
    <row r="53" spans="1:21" s="12" customFormat="1" x14ac:dyDescent="0.25">
      <c r="A53" s="211" t="s">
        <v>2308</v>
      </c>
      <c r="B53" s="64">
        <v>6.44</v>
      </c>
      <c r="C53" s="64">
        <v>8.32</v>
      </c>
      <c r="D53" s="64">
        <v>9.51</v>
      </c>
      <c r="E53" s="64">
        <v>6.74</v>
      </c>
      <c r="F53" s="64">
        <v>6.84</v>
      </c>
      <c r="G53" s="64">
        <v>48.09</v>
      </c>
      <c r="H53" s="64">
        <v>13.71</v>
      </c>
      <c r="I53" s="64">
        <v>2.02</v>
      </c>
      <c r="J53" s="64">
        <v>1.03</v>
      </c>
      <c r="K53" s="64">
        <v>121.87</v>
      </c>
      <c r="L53" s="64">
        <v>29.13</v>
      </c>
      <c r="M53" s="64">
        <v>65.209999999999994</v>
      </c>
      <c r="N53" s="64">
        <v>747</v>
      </c>
      <c r="O53" s="64">
        <v>0</v>
      </c>
      <c r="P53" s="64">
        <v>0.42</v>
      </c>
      <c r="Q53" s="64">
        <v>9.0299999999999994</v>
      </c>
      <c r="R53" s="198"/>
      <c r="S53" s="198"/>
      <c r="T53" s="198"/>
      <c r="U53" s="198"/>
    </row>
    <row r="54" spans="1:21" s="12" customFormat="1" x14ac:dyDescent="0.25">
      <c r="A54" s="211" t="s">
        <v>2309</v>
      </c>
      <c r="B54" s="64">
        <v>6.28</v>
      </c>
      <c r="C54" s="64">
        <v>8.3000000000000007</v>
      </c>
      <c r="D54" s="64">
        <v>9.3800000000000008</v>
      </c>
      <c r="E54" s="64">
        <v>6.79</v>
      </c>
      <c r="F54" s="64">
        <v>9.1300000000000008</v>
      </c>
      <c r="G54" s="64">
        <v>45.29</v>
      </c>
      <c r="H54" s="64">
        <v>13.71</v>
      </c>
      <c r="I54" s="64">
        <v>1.99</v>
      </c>
      <c r="J54" s="64">
        <v>0.93</v>
      </c>
      <c r="K54" s="64">
        <v>120.04</v>
      </c>
      <c r="L54" s="64">
        <v>29.43</v>
      </c>
      <c r="M54" s="64">
        <v>63.71</v>
      </c>
      <c r="N54" s="64">
        <v>751.9</v>
      </c>
      <c r="O54" s="64">
        <v>0</v>
      </c>
      <c r="P54" s="64">
        <v>0.4</v>
      </c>
      <c r="Q54" s="64">
        <v>9.0399999999999991</v>
      </c>
      <c r="R54" s="198"/>
      <c r="S54" s="198"/>
      <c r="T54" s="198"/>
      <c r="U54" s="198"/>
    </row>
    <row r="55" spans="1:21" s="12" customFormat="1" x14ac:dyDescent="0.25">
      <c r="A55" s="211" t="s">
        <v>2310</v>
      </c>
      <c r="B55" s="64">
        <v>6.16</v>
      </c>
      <c r="C55" s="64">
        <v>8.52</v>
      </c>
      <c r="D55" s="64">
        <v>9.39</v>
      </c>
      <c r="E55" s="64">
        <v>6.71</v>
      </c>
      <c r="F55" s="64">
        <v>10.17</v>
      </c>
      <c r="G55" s="64">
        <v>45.29</v>
      </c>
      <c r="H55" s="64">
        <v>13.71</v>
      </c>
      <c r="I55" s="64">
        <v>1.96</v>
      </c>
      <c r="J55" s="64">
        <v>0.97</v>
      </c>
      <c r="K55" s="64">
        <v>129.82</v>
      </c>
      <c r="L55" s="64">
        <v>29.8</v>
      </c>
      <c r="M55" s="64">
        <v>63.29</v>
      </c>
      <c r="N55" s="64">
        <v>655</v>
      </c>
      <c r="O55" s="64">
        <v>0</v>
      </c>
      <c r="P55" s="64">
        <v>0.38</v>
      </c>
      <c r="Q55" s="64">
        <v>9.0399999999999991</v>
      </c>
      <c r="R55" s="198"/>
      <c r="S55" s="198"/>
      <c r="T55" s="198"/>
      <c r="U55" s="198"/>
    </row>
    <row r="56" spans="1:21" s="12" customFormat="1" x14ac:dyDescent="0.25">
      <c r="A56" s="211" t="s">
        <v>2311</v>
      </c>
      <c r="B56" s="64">
        <v>5.85</v>
      </c>
      <c r="C56" s="64">
        <v>8.5500000000000007</v>
      </c>
      <c r="D56" s="64">
        <v>9.16</v>
      </c>
      <c r="E56" s="64">
        <v>6.67</v>
      </c>
      <c r="F56" s="64">
        <v>9.44</v>
      </c>
      <c r="G56" s="64">
        <v>45.29</v>
      </c>
      <c r="H56" s="64">
        <v>13.71</v>
      </c>
      <c r="I56" s="64">
        <v>1.94</v>
      </c>
      <c r="J56" s="64">
        <v>1.22</v>
      </c>
      <c r="K56" s="64">
        <v>127.48</v>
      </c>
      <c r="L56" s="64">
        <v>29.23</v>
      </c>
      <c r="M56" s="64">
        <v>64.58</v>
      </c>
      <c r="N56" s="64">
        <v>590.29999999999995</v>
      </c>
      <c r="O56" s="64">
        <v>0</v>
      </c>
      <c r="P56" s="64">
        <v>0.37</v>
      </c>
      <c r="Q56" s="64">
        <v>9.0299999999999994</v>
      </c>
      <c r="R56" s="198"/>
      <c r="S56" s="198"/>
      <c r="T56" s="198"/>
      <c r="U56" s="198"/>
    </row>
    <row r="57" spans="1:21" s="12" customFormat="1" x14ac:dyDescent="0.25">
      <c r="A57" s="211" t="s">
        <v>2312</v>
      </c>
      <c r="B57" s="64">
        <v>5.67</v>
      </c>
      <c r="C57" s="64">
        <v>7.85</v>
      </c>
      <c r="D57" s="64">
        <v>8.65</v>
      </c>
      <c r="E57" s="64">
        <v>6.35</v>
      </c>
      <c r="F57" s="64">
        <v>7.99</v>
      </c>
      <c r="G57" s="64">
        <v>40.57</v>
      </c>
      <c r="H57" s="64">
        <v>12.9</v>
      </c>
      <c r="I57" s="64">
        <v>1.91</v>
      </c>
      <c r="J57" s="64">
        <v>0.88</v>
      </c>
      <c r="K57" s="64">
        <v>125.01</v>
      </c>
      <c r="L57" s="64">
        <v>29.57</v>
      </c>
      <c r="M57" s="64">
        <v>62.11</v>
      </c>
      <c r="N57" s="64">
        <v>748.2</v>
      </c>
      <c r="O57" s="64">
        <v>0</v>
      </c>
      <c r="P57" s="64">
        <v>0.33</v>
      </c>
      <c r="Q57" s="64">
        <v>9.0299999999999994</v>
      </c>
      <c r="R57" s="198"/>
      <c r="S57" s="198"/>
      <c r="T57" s="198"/>
      <c r="U57" s="198"/>
    </row>
    <row r="58" spans="1:21" s="12" customFormat="1" x14ac:dyDescent="0.25">
      <c r="A58" s="211" t="s">
        <v>2313</v>
      </c>
      <c r="B58" s="64">
        <v>6.76</v>
      </c>
      <c r="C58" s="64">
        <v>9.14</v>
      </c>
      <c r="D58" s="64">
        <v>10.199999999999999</v>
      </c>
      <c r="E58" s="64">
        <v>6.59</v>
      </c>
      <c r="F58" s="64">
        <v>7.99</v>
      </c>
      <c r="G58" s="64">
        <v>39.31</v>
      </c>
      <c r="H58" s="64">
        <v>12.9</v>
      </c>
      <c r="I58" s="64">
        <v>1.89</v>
      </c>
      <c r="J58" s="64">
        <v>0.16</v>
      </c>
      <c r="K58" s="64">
        <v>161.44999999999999</v>
      </c>
      <c r="L58" s="64">
        <v>30.06</v>
      </c>
      <c r="M58" s="64">
        <v>59.94</v>
      </c>
      <c r="N58" s="64">
        <v>524.29999999999995</v>
      </c>
      <c r="O58" s="64">
        <v>0</v>
      </c>
      <c r="P58" s="64">
        <v>0.42</v>
      </c>
      <c r="Q58" s="64">
        <v>9.02</v>
      </c>
      <c r="R58" s="198"/>
      <c r="S58" s="198"/>
      <c r="T58" s="198"/>
      <c r="U58" s="198"/>
    </row>
    <row r="59" spans="1:21" s="12" customFormat="1" x14ac:dyDescent="0.25">
      <c r="A59" s="211" t="s">
        <v>2314</v>
      </c>
      <c r="B59" s="64">
        <v>5.18</v>
      </c>
      <c r="C59" s="64">
        <v>8.81</v>
      </c>
      <c r="D59" s="64">
        <v>8.76</v>
      </c>
      <c r="E59" s="64">
        <v>6.37</v>
      </c>
      <c r="F59" s="64">
        <v>5.96</v>
      </c>
      <c r="G59" s="64">
        <v>39.31</v>
      </c>
      <c r="H59" s="64">
        <v>12.9</v>
      </c>
      <c r="I59" s="64">
        <v>1.87</v>
      </c>
      <c r="J59" s="64">
        <v>0.98</v>
      </c>
      <c r="K59" s="64">
        <v>130.06</v>
      </c>
      <c r="L59" s="64">
        <v>29.71</v>
      </c>
      <c r="M59" s="64">
        <v>59.33</v>
      </c>
      <c r="N59" s="64">
        <v>525.70000000000005</v>
      </c>
      <c r="O59" s="64">
        <v>0</v>
      </c>
      <c r="P59" s="64">
        <v>0.34</v>
      </c>
      <c r="Q59" s="64">
        <v>9</v>
      </c>
      <c r="R59" s="198"/>
      <c r="S59" s="198"/>
      <c r="T59" s="198"/>
      <c r="U59" s="198"/>
    </row>
    <row r="60" spans="1:21" s="12" customFormat="1" x14ac:dyDescent="0.25">
      <c r="A60" s="211" t="s">
        <v>2315</v>
      </c>
      <c r="B60" s="64">
        <v>5.89</v>
      </c>
      <c r="C60" s="64">
        <v>11.19</v>
      </c>
      <c r="D60" s="64">
        <v>10.57</v>
      </c>
      <c r="E60" s="64">
        <v>6.58</v>
      </c>
      <c r="F60" s="64">
        <v>9.2200000000000006</v>
      </c>
      <c r="G60" s="64">
        <v>39.31</v>
      </c>
      <c r="H60" s="64">
        <v>12.9</v>
      </c>
      <c r="I60" s="64">
        <v>1.82</v>
      </c>
      <c r="J60" s="64">
        <v>0.47</v>
      </c>
      <c r="K60" s="64">
        <v>130.66999999999999</v>
      </c>
      <c r="L60" s="64">
        <v>30</v>
      </c>
      <c r="M60" s="64">
        <v>57.4</v>
      </c>
      <c r="N60" s="64">
        <v>476.5</v>
      </c>
      <c r="O60" s="64">
        <v>0</v>
      </c>
      <c r="P60" s="64">
        <v>0.36</v>
      </c>
      <c r="Q60" s="64">
        <v>8.98</v>
      </c>
      <c r="R60" s="198"/>
      <c r="S60" s="198"/>
      <c r="T60" s="198"/>
      <c r="U60" s="198"/>
    </row>
    <row r="61" spans="1:21" s="12" customFormat="1" x14ac:dyDescent="0.25">
      <c r="A61" s="211" t="s">
        <v>2316</v>
      </c>
      <c r="B61" s="64">
        <v>7.35</v>
      </c>
      <c r="C61" s="64">
        <v>10.95</v>
      </c>
      <c r="D61" s="64">
        <v>11.61</v>
      </c>
      <c r="E61" s="64">
        <v>6.74</v>
      </c>
      <c r="F61" s="64">
        <v>10.38</v>
      </c>
      <c r="G61" s="64">
        <v>29.88</v>
      </c>
      <c r="H61" s="64">
        <v>15.15</v>
      </c>
      <c r="I61" s="64">
        <v>1.76</v>
      </c>
      <c r="J61" s="64">
        <v>0.21</v>
      </c>
      <c r="K61" s="64">
        <v>116.96</v>
      </c>
      <c r="L61" s="64">
        <v>29.78</v>
      </c>
      <c r="M61" s="64">
        <v>56.75</v>
      </c>
      <c r="N61" s="64">
        <v>285</v>
      </c>
      <c r="O61" s="64">
        <v>0</v>
      </c>
      <c r="P61" s="64">
        <v>0.37</v>
      </c>
      <c r="Q61" s="64">
        <v>8.9700000000000006</v>
      </c>
      <c r="R61" s="198"/>
      <c r="S61" s="198"/>
      <c r="T61" s="198"/>
      <c r="U61" s="198"/>
    </row>
    <row r="62" spans="1:21" s="12" customFormat="1" x14ac:dyDescent="0.25">
      <c r="A62" s="211" t="s">
        <v>2317</v>
      </c>
      <c r="B62" s="64">
        <v>5.52</v>
      </c>
      <c r="C62" s="64">
        <v>8.5</v>
      </c>
      <c r="D62" s="64">
        <v>8.8699999999999992</v>
      </c>
      <c r="E62" s="64">
        <v>6.61</v>
      </c>
      <c r="F62" s="64">
        <v>9.75</v>
      </c>
      <c r="G62" s="64">
        <v>27.36</v>
      </c>
      <c r="H62" s="64">
        <v>15.15</v>
      </c>
      <c r="I62" s="64">
        <v>1.72</v>
      </c>
      <c r="J62" s="64">
        <v>1.01</v>
      </c>
      <c r="K62" s="64">
        <v>134.01</v>
      </c>
      <c r="L62" s="64">
        <v>29.08</v>
      </c>
      <c r="M62" s="64">
        <v>59.76</v>
      </c>
      <c r="N62" s="64">
        <v>226.8</v>
      </c>
      <c r="O62" s="64">
        <v>0</v>
      </c>
      <c r="P62" s="64">
        <v>0.31</v>
      </c>
      <c r="Q62" s="64">
        <v>8.9700000000000006</v>
      </c>
      <c r="R62" s="198"/>
      <c r="S62" s="198"/>
      <c r="T62" s="198"/>
      <c r="U62" s="198"/>
    </row>
    <row r="63" spans="1:21" s="12" customFormat="1" x14ac:dyDescent="0.25">
      <c r="A63" s="211" t="s">
        <v>2318</v>
      </c>
      <c r="B63" s="64">
        <v>6.47</v>
      </c>
      <c r="C63" s="64">
        <v>9.8000000000000007</v>
      </c>
      <c r="D63" s="64">
        <v>10.31</v>
      </c>
      <c r="E63" s="64">
        <v>6.09</v>
      </c>
      <c r="F63" s="64">
        <v>8.73</v>
      </c>
      <c r="G63" s="64">
        <v>27.36</v>
      </c>
      <c r="H63" s="64">
        <v>15.15</v>
      </c>
      <c r="I63" s="64">
        <v>1.7</v>
      </c>
      <c r="J63" s="64">
        <v>1</v>
      </c>
      <c r="K63" s="64">
        <v>123.21</v>
      </c>
      <c r="L63" s="64">
        <v>29.47</v>
      </c>
      <c r="M63" s="64">
        <v>56.73</v>
      </c>
      <c r="N63" s="64">
        <v>194.9</v>
      </c>
      <c r="O63" s="64">
        <v>0</v>
      </c>
      <c r="P63" s="64">
        <v>0.31</v>
      </c>
      <c r="Q63" s="64">
        <v>8.98</v>
      </c>
      <c r="R63" s="198"/>
      <c r="S63" s="198"/>
      <c r="T63" s="198"/>
      <c r="U63" s="198"/>
    </row>
    <row r="64" spans="1:21" s="12" customFormat="1" x14ac:dyDescent="0.25">
      <c r="A64" s="211" t="s">
        <v>2319</v>
      </c>
      <c r="B64" s="64">
        <v>5.67</v>
      </c>
      <c r="C64" s="64">
        <v>8.67</v>
      </c>
      <c r="D64" s="64">
        <v>9.08</v>
      </c>
      <c r="E64" s="64">
        <v>6.5</v>
      </c>
      <c r="F64" s="64">
        <v>10.72</v>
      </c>
      <c r="G64" s="64">
        <v>27.36</v>
      </c>
      <c r="H64" s="64">
        <v>15.15</v>
      </c>
      <c r="I64" s="64">
        <v>1.67</v>
      </c>
      <c r="J64" s="64">
        <v>1.29</v>
      </c>
      <c r="K64" s="64">
        <v>127.13</v>
      </c>
      <c r="L64" s="64">
        <v>29.43</v>
      </c>
      <c r="M64" s="64">
        <v>53.94</v>
      </c>
      <c r="N64" s="64">
        <v>162.4</v>
      </c>
      <c r="O64" s="64">
        <v>0</v>
      </c>
      <c r="P64" s="64">
        <v>0.25</v>
      </c>
      <c r="Q64" s="64">
        <v>8.99</v>
      </c>
      <c r="R64" s="198"/>
      <c r="S64" s="198"/>
      <c r="T64" s="198"/>
      <c r="U64" s="198"/>
    </row>
    <row r="65" spans="1:21" s="12" customFormat="1" x14ac:dyDescent="0.25">
      <c r="A65" s="211" t="s">
        <v>2320</v>
      </c>
      <c r="B65" s="64">
        <v>5.34</v>
      </c>
      <c r="C65" s="64">
        <v>7.75</v>
      </c>
      <c r="D65" s="64">
        <v>8.33</v>
      </c>
      <c r="E65" s="64">
        <v>6.22</v>
      </c>
      <c r="F65" s="64">
        <v>7.43</v>
      </c>
      <c r="G65" s="64">
        <v>20.239999999999998</v>
      </c>
      <c r="H65" s="64">
        <v>13.99</v>
      </c>
      <c r="I65" s="64">
        <v>1.66</v>
      </c>
      <c r="J65" s="64">
        <v>1.1100000000000001</v>
      </c>
      <c r="K65" s="64">
        <v>125.42</v>
      </c>
      <c r="L65" s="64">
        <v>29.41</v>
      </c>
      <c r="M65" s="64">
        <v>54.42</v>
      </c>
      <c r="N65" s="64">
        <v>166.3</v>
      </c>
      <c r="O65" s="64">
        <v>0</v>
      </c>
      <c r="P65" s="64">
        <v>0.27</v>
      </c>
      <c r="Q65" s="64">
        <v>8.98</v>
      </c>
      <c r="R65" s="198"/>
      <c r="S65" s="198"/>
      <c r="T65" s="198"/>
      <c r="U65" s="198"/>
    </row>
    <row r="66" spans="1:21" s="12" customFormat="1" x14ac:dyDescent="0.25">
      <c r="A66" s="211" t="s">
        <v>2321</v>
      </c>
      <c r="B66" s="64">
        <v>6.66</v>
      </c>
      <c r="C66" s="64">
        <v>8.66</v>
      </c>
      <c r="D66" s="64">
        <v>9.86</v>
      </c>
      <c r="E66" s="64">
        <v>5.99</v>
      </c>
      <c r="F66" s="64">
        <v>9.31</v>
      </c>
      <c r="G66" s="64">
        <v>18.329999999999998</v>
      </c>
      <c r="H66" s="64">
        <v>13.99</v>
      </c>
      <c r="I66" s="64">
        <v>1.63</v>
      </c>
      <c r="J66" s="64">
        <v>0.83</v>
      </c>
      <c r="K66" s="64">
        <v>125.72</v>
      </c>
      <c r="L66" s="64">
        <v>29.34</v>
      </c>
      <c r="M66" s="64">
        <v>54.31</v>
      </c>
      <c r="N66" s="64">
        <v>138.30000000000001</v>
      </c>
      <c r="O66" s="64">
        <v>0</v>
      </c>
      <c r="P66" s="64">
        <v>0.28999999999999998</v>
      </c>
      <c r="Q66" s="64">
        <v>8.98</v>
      </c>
      <c r="R66" s="198"/>
      <c r="S66" s="198"/>
      <c r="T66" s="198"/>
      <c r="U66" s="198"/>
    </row>
    <row r="67" spans="1:21" s="12" customFormat="1" x14ac:dyDescent="0.25">
      <c r="A67" s="211" t="s">
        <v>2322</v>
      </c>
      <c r="B67" s="64">
        <v>5.3</v>
      </c>
      <c r="C67" s="64">
        <v>8.8800000000000008</v>
      </c>
      <c r="D67" s="64">
        <v>8.89</v>
      </c>
      <c r="E67" s="64">
        <v>5.86</v>
      </c>
      <c r="F67" s="64">
        <v>10.41</v>
      </c>
      <c r="G67" s="64">
        <v>18.329999999999998</v>
      </c>
      <c r="H67" s="64">
        <v>13.99</v>
      </c>
      <c r="I67" s="64">
        <v>1.6</v>
      </c>
      <c r="J67" s="64">
        <v>0.94</v>
      </c>
      <c r="K67" s="64">
        <v>129.78</v>
      </c>
      <c r="L67" s="64">
        <v>29.35</v>
      </c>
      <c r="M67" s="64">
        <v>54.5</v>
      </c>
      <c r="N67" s="64">
        <v>120</v>
      </c>
      <c r="O67" s="64">
        <v>0</v>
      </c>
      <c r="P67" s="64">
        <v>0.25</v>
      </c>
      <c r="Q67" s="64">
        <v>8.98</v>
      </c>
      <c r="R67" s="198"/>
      <c r="S67" s="198"/>
      <c r="T67" s="198"/>
      <c r="U67" s="198"/>
    </row>
    <row r="68" spans="1:21" s="12" customFormat="1" x14ac:dyDescent="0.25">
      <c r="A68" s="211" t="s">
        <v>2323</v>
      </c>
      <c r="B68" s="64">
        <v>5.94</v>
      </c>
      <c r="C68" s="64">
        <v>10.15</v>
      </c>
      <c r="D68" s="64">
        <v>10.07</v>
      </c>
      <c r="E68" s="64">
        <v>5.79</v>
      </c>
      <c r="F68" s="64">
        <v>6.19</v>
      </c>
      <c r="G68" s="64">
        <v>18.329999999999998</v>
      </c>
      <c r="H68" s="64">
        <v>13.99</v>
      </c>
      <c r="I68" s="64">
        <v>1.58</v>
      </c>
      <c r="J68" s="64">
        <v>0.91</v>
      </c>
      <c r="K68" s="64">
        <v>124.87</v>
      </c>
      <c r="L68" s="64">
        <v>29.27</v>
      </c>
      <c r="M68" s="64">
        <v>53.28</v>
      </c>
      <c r="N68" s="64">
        <v>108.4</v>
      </c>
      <c r="O68" s="64">
        <v>0</v>
      </c>
      <c r="P68" s="64">
        <v>0.3</v>
      </c>
      <c r="Q68" s="64">
        <v>8.98</v>
      </c>
      <c r="R68" s="198"/>
      <c r="S68" s="198"/>
      <c r="T68" s="198"/>
      <c r="U68" s="198"/>
    </row>
    <row r="69" spans="1:21" s="12" customFormat="1" x14ac:dyDescent="0.25">
      <c r="A69" s="211" t="s">
        <v>2324</v>
      </c>
      <c r="B69" s="64">
        <v>5.7</v>
      </c>
      <c r="C69" s="64">
        <v>8.15</v>
      </c>
      <c r="D69" s="64">
        <v>8.83</v>
      </c>
      <c r="E69" s="64">
        <v>6.36</v>
      </c>
      <c r="F69" s="64">
        <v>8.92</v>
      </c>
      <c r="G69" s="64">
        <v>28.4</v>
      </c>
      <c r="H69" s="64">
        <v>13.21</v>
      </c>
      <c r="I69" s="64">
        <v>1.56</v>
      </c>
      <c r="J69" s="64">
        <v>1.19</v>
      </c>
      <c r="K69" s="64">
        <v>129.07</v>
      </c>
      <c r="L69" s="64">
        <v>29.04</v>
      </c>
      <c r="M69" s="64">
        <v>51.14</v>
      </c>
      <c r="N69" s="64">
        <v>101.5</v>
      </c>
      <c r="O69" s="64">
        <v>0</v>
      </c>
      <c r="P69" s="64">
        <v>0.24</v>
      </c>
      <c r="Q69" s="64">
        <v>8.99</v>
      </c>
      <c r="R69" s="198"/>
      <c r="S69" s="198"/>
      <c r="T69" s="198"/>
      <c r="U69" s="198"/>
    </row>
    <row r="70" spans="1:21" s="12" customFormat="1" x14ac:dyDescent="0.25">
      <c r="A70" s="211" t="s">
        <v>2325</v>
      </c>
      <c r="B70" s="64">
        <v>5.26</v>
      </c>
      <c r="C70" s="64">
        <v>9.42</v>
      </c>
      <c r="D70" s="64">
        <v>9.14</v>
      </c>
      <c r="E70" s="64">
        <v>6.8</v>
      </c>
      <c r="F70" s="64">
        <v>8.23</v>
      </c>
      <c r="G70" s="64">
        <v>31.1</v>
      </c>
      <c r="H70" s="64">
        <v>13.21</v>
      </c>
      <c r="I70" s="64">
        <v>1.53</v>
      </c>
      <c r="J70" s="64">
        <v>1.03</v>
      </c>
      <c r="K70" s="64">
        <v>117.58</v>
      </c>
      <c r="L70" s="64">
        <v>28.96</v>
      </c>
      <c r="M70" s="64">
        <v>50.82</v>
      </c>
      <c r="N70" s="64">
        <v>93.5</v>
      </c>
      <c r="O70" s="64">
        <v>0</v>
      </c>
      <c r="P70" s="64">
        <v>0.23</v>
      </c>
      <c r="Q70" s="64">
        <v>8.99</v>
      </c>
      <c r="R70" s="198"/>
      <c r="S70" s="198"/>
      <c r="T70" s="198"/>
      <c r="U70" s="198"/>
    </row>
    <row r="71" spans="1:21" s="12" customFormat="1" x14ac:dyDescent="0.25">
      <c r="A71" s="211" t="s">
        <v>2326</v>
      </c>
      <c r="B71" s="64">
        <v>5.19</v>
      </c>
      <c r="C71" s="64">
        <v>10.18</v>
      </c>
      <c r="D71" s="64">
        <v>9.49</v>
      </c>
      <c r="E71" s="64">
        <v>6.45</v>
      </c>
      <c r="F71" s="64">
        <v>6.51</v>
      </c>
      <c r="G71" s="64">
        <v>31.1</v>
      </c>
      <c r="H71" s="64">
        <v>13.21</v>
      </c>
      <c r="I71" s="64">
        <v>1.5</v>
      </c>
      <c r="J71" s="64">
        <v>0.89</v>
      </c>
      <c r="K71" s="64">
        <v>121.41</v>
      </c>
      <c r="L71" s="64">
        <v>28.86</v>
      </c>
      <c r="M71" s="64">
        <v>47.14</v>
      </c>
      <c r="N71" s="64">
        <v>82.4</v>
      </c>
      <c r="O71" s="64">
        <v>0</v>
      </c>
      <c r="P71" s="64">
        <v>0.22</v>
      </c>
      <c r="Q71" s="64">
        <v>8.99</v>
      </c>
      <c r="R71" s="198"/>
      <c r="S71" s="198"/>
      <c r="T71" s="198"/>
      <c r="U71" s="198"/>
    </row>
    <row r="72" spans="1:21" s="12" customFormat="1" x14ac:dyDescent="0.25">
      <c r="A72" s="211" t="s">
        <v>2327</v>
      </c>
      <c r="B72" s="64">
        <v>5.35</v>
      </c>
      <c r="C72" s="64">
        <v>11.07</v>
      </c>
      <c r="D72" s="64">
        <v>10.07</v>
      </c>
      <c r="E72" s="64">
        <v>6</v>
      </c>
      <c r="F72" s="64">
        <v>6.5</v>
      </c>
      <c r="G72" s="64">
        <v>31.1</v>
      </c>
      <c r="H72" s="64">
        <v>13.21</v>
      </c>
      <c r="I72" s="64">
        <v>1.48</v>
      </c>
      <c r="J72" s="64">
        <v>1.26</v>
      </c>
      <c r="K72" s="64">
        <v>128.37</v>
      </c>
      <c r="L72" s="64">
        <v>28.76</v>
      </c>
      <c r="M72" s="64">
        <v>45.29</v>
      </c>
      <c r="N72" s="64">
        <v>77.099999999999994</v>
      </c>
      <c r="O72" s="64">
        <v>0</v>
      </c>
      <c r="P72" s="64">
        <v>0.22</v>
      </c>
      <c r="Q72" s="64">
        <v>8.99</v>
      </c>
      <c r="R72" s="198"/>
      <c r="S72" s="198"/>
      <c r="T72" s="198"/>
      <c r="U72" s="198"/>
    </row>
    <row r="73" spans="1:21" s="12" customFormat="1" x14ac:dyDescent="0.25">
      <c r="A73" s="211" t="s">
        <v>2328</v>
      </c>
      <c r="B73" s="64">
        <v>5.82</v>
      </c>
      <c r="C73" s="64">
        <v>15.53</v>
      </c>
      <c r="D73" s="64">
        <v>12.78</v>
      </c>
      <c r="E73" s="64">
        <v>6.36</v>
      </c>
      <c r="F73" s="64">
        <v>5.55</v>
      </c>
      <c r="G73" s="64">
        <v>27.47</v>
      </c>
      <c r="H73" s="64">
        <v>12.68</v>
      </c>
      <c r="I73" s="64">
        <v>1.46</v>
      </c>
      <c r="J73" s="64">
        <v>0.85</v>
      </c>
      <c r="K73" s="64">
        <v>121.48</v>
      </c>
      <c r="L73" s="64">
        <v>28.62</v>
      </c>
      <c r="M73" s="64">
        <v>52.31</v>
      </c>
      <c r="N73" s="64">
        <v>74</v>
      </c>
      <c r="O73" s="64">
        <v>0</v>
      </c>
      <c r="P73" s="64">
        <v>0.23</v>
      </c>
      <c r="Q73" s="64">
        <v>8.99</v>
      </c>
      <c r="R73" s="198"/>
      <c r="S73" s="198"/>
      <c r="T73" s="198"/>
      <c r="U73" s="198"/>
    </row>
    <row r="74" spans="1:21" s="12" customFormat="1" x14ac:dyDescent="0.25">
      <c r="A74" s="211" t="s">
        <v>2329</v>
      </c>
      <c r="B74" s="64">
        <v>5.33</v>
      </c>
      <c r="C74" s="64">
        <v>11.57</v>
      </c>
      <c r="D74" s="64">
        <v>10.32</v>
      </c>
      <c r="E74" s="64">
        <v>6.54</v>
      </c>
      <c r="F74" s="64">
        <v>9.11</v>
      </c>
      <c r="G74" s="64">
        <v>26.5</v>
      </c>
      <c r="H74" s="64">
        <v>12.68</v>
      </c>
      <c r="I74" s="64">
        <v>1.46</v>
      </c>
      <c r="J74" s="64">
        <v>1.01</v>
      </c>
      <c r="K74" s="64">
        <v>113.28</v>
      </c>
      <c r="L74" s="64">
        <v>28.36</v>
      </c>
      <c r="M74" s="64">
        <v>53.82</v>
      </c>
      <c r="N74" s="64">
        <v>67.900000000000006</v>
      </c>
      <c r="O74" s="64">
        <v>0</v>
      </c>
      <c r="P74" s="64">
        <v>0.23</v>
      </c>
      <c r="Q74" s="64">
        <v>9</v>
      </c>
      <c r="R74" s="198"/>
      <c r="S74" s="198"/>
      <c r="T74" s="198"/>
      <c r="U74" s="198"/>
    </row>
    <row r="75" spans="1:21" s="12" customFormat="1" x14ac:dyDescent="0.25">
      <c r="A75" s="211" t="s">
        <v>2330</v>
      </c>
      <c r="B75" s="64">
        <v>5.32</v>
      </c>
      <c r="C75" s="64">
        <v>11.51</v>
      </c>
      <c r="D75" s="64">
        <v>10.28</v>
      </c>
      <c r="E75" s="64">
        <v>6.55</v>
      </c>
      <c r="F75" s="64">
        <v>9.3699999999999992</v>
      </c>
      <c r="G75" s="64">
        <v>26.5</v>
      </c>
      <c r="H75" s="64">
        <v>12.68</v>
      </c>
      <c r="I75" s="64">
        <v>1.46</v>
      </c>
      <c r="J75" s="64">
        <v>1.1599999999999999</v>
      </c>
      <c r="K75" s="64">
        <v>124.61</v>
      </c>
      <c r="L75" s="64">
        <v>28.19</v>
      </c>
      <c r="M75" s="64">
        <v>54.2</v>
      </c>
      <c r="N75" s="64">
        <v>59.3</v>
      </c>
      <c r="O75" s="64">
        <v>0</v>
      </c>
      <c r="P75" s="64">
        <v>0.22</v>
      </c>
      <c r="Q75" s="64">
        <v>9</v>
      </c>
      <c r="R75" s="198"/>
      <c r="S75" s="198"/>
      <c r="T75" s="198"/>
      <c r="U75" s="198"/>
    </row>
    <row r="76" spans="1:21" s="12" customFormat="1" x14ac:dyDescent="0.25">
      <c r="A76" s="211" t="s">
        <v>2331</v>
      </c>
      <c r="B76" s="64">
        <v>5.13</v>
      </c>
      <c r="C76" s="64">
        <v>11.46</v>
      </c>
      <c r="D76" s="64">
        <v>10.1</v>
      </c>
      <c r="E76" s="64">
        <v>6.79</v>
      </c>
      <c r="F76" s="64">
        <v>8.11</v>
      </c>
      <c r="G76" s="64">
        <v>26.5</v>
      </c>
      <c r="H76" s="64">
        <v>12.68</v>
      </c>
      <c r="I76" s="64">
        <v>1.46</v>
      </c>
      <c r="J76" s="64">
        <v>1.03</v>
      </c>
      <c r="K76" s="64">
        <v>123.83</v>
      </c>
      <c r="L76" s="64">
        <v>27.99</v>
      </c>
      <c r="M76" s="64">
        <v>55.55</v>
      </c>
      <c r="N76" s="64">
        <v>53.7</v>
      </c>
      <c r="O76" s="64">
        <v>0</v>
      </c>
      <c r="P76" s="64">
        <v>0.27</v>
      </c>
      <c r="Q76" s="64">
        <v>9</v>
      </c>
      <c r="R76" s="198"/>
      <c r="S76" s="198"/>
      <c r="T76" s="198"/>
      <c r="U76" s="198"/>
    </row>
    <row r="77" spans="1:21" s="12" customFormat="1" x14ac:dyDescent="0.25">
      <c r="A77" s="211" t="s">
        <v>2332</v>
      </c>
      <c r="B77" s="64">
        <v>5.35</v>
      </c>
      <c r="C77" s="64">
        <v>11.72</v>
      </c>
      <c r="D77" s="64">
        <v>10.41</v>
      </c>
      <c r="E77" s="64">
        <v>6.74</v>
      </c>
      <c r="F77" s="64">
        <v>5.63</v>
      </c>
      <c r="G77" s="64">
        <v>26.63</v>
      </c>
      <c r="H77" s="64">
        <v>14.51</v>
      </c>
      <c r="I77" s="64">
        <v>1.46</v>
      </c>
      <c r="J77" s="64">
        <v>1.07</v>
      </c>
      <c r="K77" s="64">
        <v>128.63999999999999</v>
      </c>
      <c r="L77" s="64">
        <v>27.79</v>
      </c>
      <c r="M77" s="64">
        <v>57.48</v>
      </c>
      <c r="N77" s="64">
        <v>47</v>
      </c>
      <c r="O77" s="64">
        <v>0</v>
      </c>
      <c r="P77" s="64">
        <v>0.28000000000000003</v>
      </c>
      <c r="Q77" s="64">
        <v>8.99</v>
      </c>
      <c r="R77" s="198"/>
      <c r="S77" s="198"/>
      <c r="T77" s="198"/>
      <c r="U77" s="198"/>
    </row>
    <row r="78" spans="1:21" s="12" customFormat="1" x14ac:dyDescent="0.25">
      <c r="A78" s="211" t="s">
        <v>2333</v>
      </c>
      <c r="B78" s="64">
        <v>5.17</v>
      </c>
      <c r="C78" s="64">
        <v>14.1</v>
      </c>
      <c r="D78" s="64">
        <v>11.51</v>
      </c>
      <c r="E78" s="64">
        <v>6.79</v>
      </c>
      <c r="F78" s="64">
        <v>8.91</v>
      </c>
      <c r="G78" s="64">
        <v>26.67</v>
      </c>
      <c r="H78" s="64">
        <v>14.51</v>
      </c>
      <c r="I78" s="64">
        <v>1.46</v>
      </c>
      <c r="J78" s="64">
        <v>0.84</v>
      </c>
      <c r="K78" s="64">
        <v>128.46</v>
      </c>
      <c r="L78" s="64">
        <v>27.56</v>
      </c>
      <c r="M78" s="64">
        <v>59.95</v>
      </c>
      <c r="N78" s="64">
        <v>41.7</v>
      </c>
      <c r="O78" s="64">
        <v>0</v>
      </c>
      <c r="P78" s="64">
        <v>0.3</v>
      </c>
      <c r="Q78" s="64">
        <v>8.98</v>
      </c>
      <c r="R78" s="198"/>
      <c r="S78" s="198"/>
      <c r="T78" s="198"/>
      <c r="U78" s="198"/>
    </row>
    <row r="79" spans="1:21" s="12" customFormat="1" x14ac:dyDescent="0.25">
      <c r="A79" s="211" t="s">
        <v>2334</v>
      </c>
      <c r="B79" s="64">
        <v>4.7300000000000004</v>
      </c>
      <c r="C79" s="64">
        <v>14.26</v>
      </c>
      <c r="D79" s="64">
        <v>11.24</v>
      </c>
      <c r="E79" s="64">
        <v>7.03</v>
      </c>
      <c r="F79" s="64">
        <v>9.7799999999999994</v>
      </c>
      <c r="G79" s="64">
        <v>26.67</v>
      </c>
      <c r="H79" s="64">
        <v>14.51</v>
      </c>
      <c r="I79" s="64">
        <v>1.46</v>
      </c>
      <c r="J79" s="64">
        <v>0.66</v>
      </c>
      <c r="K79" s="64">
        <v>136.22</v>
      </c>
      <c r="L79" s="64">
        <v>27.27</v>
      </c>
      <c r="M79" s="64">
        <v>62.12</v>
      </c>
      <c r="N79" s="64">
        <v>39.4</v>
      </c>
      <c r="O79" s="64">
        <v>0</v>
      </c>
      <c r="P79" s="64">
        <v>0.31</v>
      </c>
      <c r="Q79" s="64">
        <v>8.9700000000000006</v>
      </c>
      <c r="R79" s="198"/>
      <c r="S79" s="198"/>
      <c r="T79" s="198"/>
      <c r="U79" s="198"/>
    </row>
    <row r="80" spans="1:21" s="12" customFormat="1" x14ac:dyDescent="0.25">
      <c r="A80" s="211" t="s">
        <v>2335</v>
      </c>
      <c r="B80" s="64">
        <v>4.59</v>
      </c>
      <c r="C80" s="64">
        <v>13.09</v>
      </c>
      <c r="D80" s="64">
        <v>10.51</v>
      </c>
      <c r="E80" s="64">
        <v>7.28</v>
      </c>
      <c r="F80" s="64">
        <v>10.039999999999999</v>
      </c>
      <c r="G80" s="64">
        <v>26.67</v>
      </c>
      <c r="H80" s="64">
        <v>14.51</v>
      </c>
      <c r="I80" s="64">
        <v>1.47</v>
      </c>
      <c r="J80" s="64">
        <v>0.37</v>
      </c>
      <c r="K80" s="64">
        <v>130.43</v>
      </c>
      <c r="L80" s="64">
        <v>27.01</v>
      </c>
      <c r="M80" s="64">
        <v>64.489999999999995</v>
      </c>
      <c r="N80" s="64">
        <v>39.1</v>
      </c>
      <c r="O80" s="64">
        <v>0</v>
      </c>
      <c r="P80" s="64">
        <v>0.35</v>
      </c>
      <c r="Q80" s="64">
        <v>8.9700000000000006</v>
      </c>
      <c r="R80" s="198"/>
      <c r="S80" s="198"/>
      <c r="T80" s="198"/>
      <c r="U80" s="198"/>
    </row>
    <row r="81" spans="1:26" s="12" customFormat="1" x14ac:dyDescent="0.25">
      <c r="A81" s="211" t="s">
        <v>2336</v>
      </c>
      <c r="B81" s="64">
        <v>4.7300000000000004</v>
      </c>
      <c r="C81" s="64">
        <v>14.08</v>
      </c>
      <c r="D81" s="64">
        <v>11.15</v>
      </c>
      <c r="E81" s="64">
        <v>7.15</v>
      </c>
      <c r="F81" s="64">
        <v>8.1300000000000008</v>
      </c>
      <c r="G81" s="64">
        <v>28.12</v>
      </c>
      <c r="H81" s="64">
        <v>14.4</v>
      </c>
      <c r="I81" s="64">
        <v>1.48</v>
      </c>
      <c r="J81" s="64">
        <v>0.44</v>
      </c>
      <c r="K81" s="64">
        <v>124.08</v>
      </c>
      <c r="L81" s="64">
        <v>26.81</v>
      </c>
      <c r="M81" s="64">
        <v>65.98</v>
      </c>
      <c r="N81" s="64">
        <v>38.9</v>
      </c>
      <c r="O81" s="64">
        <v>0</v>
      </c>
      <c r="P81" s="64">
        <v>0.41</v>
      </c>
      <c r="Q81" s="64">
        <v>8.9700000000000006</v>
      </c>
      <c r="R81" s="198"/>
      <c r="S81" s="198"/>
      <c r="T81" s="198"/>
      <c r="U81" s="198"/>
    </row>
    <row r="82" spans="1:26" s="12" customFormat="1" x14ac:dyDescent="0.25">
      <c r="A82" s="211" t="s">
        <v>2337</v>
      </c>
      <c r="B82" s="64">
        <v>4.8600000000000003</v>
      </c>
      <c r="C82" s="64">
        <v>13.54</v>
      </c>
      <c r="D82" s="64">
        <v>10.97</v>
      </c>
      <c r="E82" s="64">
        <v>7.38</v>
      </c>
      <c r="F82" s="64">
        <v>5.33</v>
      </c>
      <c r="G82" s="64">
        <v>28.51</v>
      </c>
      <c r="H82" s="64">
        <v>14.4</v>
      </c>
      <c r="I82" s="64">
        <v>1.48</v>
      </c>
      <c r="J82" s="64">
        <v>0.2</v>
      </c>
      <c r="K82" s="64">
        <v>128.33000000000001</v>
      </c>
      <c r="L82" s="64">
        <v>26.59</v>
      </c>
      <c r="M82" s="64">
        <v>68.84</v>
      </c>
      <c r="N82" s="64">
        <v>39.1</v>
      </c>
      <c r="O82" s="64">
        <v>0</v>
      </c>
      <c r="P82" s="64">
        <v>0.46</v>
      </c>
      <c r="Q82" s="64">
        <v>8.9700000000000006</v>
      </c>
      <c r="R82" s="198"/>
      <c r="S82" s="198"/>
      <c r="T82" s="198"/>
      <c r="U82" s="198"/>
    </row>
    <row r="83" spans="1:26" s="12" customFormat="1" x14ac:dyDescent="0.25">
      <c r="A83" s="211" t="s">
        <v>2338</v>
      </c>
      <c r="B83" s="64">
        <v>5.19</v>
      </c>
      <c r="C83" s="64">
        <v>21.62</v>
      </c>
      <c r="D83" s="64">
        <v>15.46</v>
      </c>
      <c r="E83" s="64">
        <v>7.62</v>
      </c>
      <c r="F83" s="64">
        <v>4.5999999999999996</v>
      </c>
      <c r="G83" s="64">
        <v>28.51</v>
      </c>
      <c r="H83" s="64">
        <v>14.4</v>
      </c>
      <c r="I83" s="64">
        <v>1.48</v>
      </c>
      <c r="J83" s="64">
        <v>0.12</v>
      </c>
      <c r="K83" s="64">
        <v>147.06</v>
      </c>
      <c r="L83" s="64">
        <v>26.41</v>
      </c>
      <c r="M83" s="64">
        <v>70.290000000000006</v>
      </c>
      <c r="N83" s="64">
        <v>39</v>
      </c>
      <c r="O83" s="64">
        <v>0</v>
      </c>
      <c r="P83" s="64">
        <v>0.56999999999999995</v>
      </c>
      <c r="Q83" s="64">
        <v>8.98</v>
      </c>
      <c r="R83" s="198"/>
      <c r="S83" s="198"/>
      <c r="T83" s="198"/>
      <c r="U83" s="198"/>
    </row>
    <row r="84" spans="1:26" s="12" customFormat="1" x14ac:dyDescent="0.25">
      <c r="A84" s="211" t="s">
        <v>2339</v>
      </c>
      <c r="B84" s="64">
        <v>5.22</v>
      </c>
      <c r="C84" s="64">
        <v>16.77</v>
      </c>
      <c r="D84" s="64">
        <v>12.95</v>
      </c>
      <c r="E84" s="64">
        <v>8.4</v>
      </c>
      <c r="F84" s="64">
        <v>3.79</v>
      </c>
      <c r="G84" s="64">
        <v>28.51</v>
      </c>
      <c r="H84" s="64">
        <v>14.4</v>
      </c>
      <c r="I84" s="64">
        <v>1.51</v>
      </c>
      <c r="J84" s="64">
        <v>0.27</v>
      </c>
      <c r="K84" s="64">
        <v>133.88999999999999</v>
      </c>
      <c r="L84" s="64">
        <v>26.25</v>
      </c>
      <c r="M84" s="64">
        <v>71.290000000000006</v>
      </c>
      <c r="N84" s="64">
        <v>38.799999999999997</v>
      </c>
      <c r="O84" s="64">
        <v>0</v>
      </c>
      <c r="P84" s="64">
        <v>0.47</v>
      </c>
      <c r="Q84" s="64">
        <v>8.98</v>
      </c>
      <c r="R84" s="198"/>
      <c r="S84" s="198"/>
      <c r="T84" s="198"/>
      <c r="U84" s="198"/>
    </row>
    <row r="85" spans="1:26" s="12" customFormat="1" x14ac:dyDescent="0.25">
      <c r="A85" s="211" t="s">
        <v>2340</v>
      </c>
      <c r="B85" s="64">
        <v>4.92</v>
      </c>
      <c r="C85" s="64">
        <v>21.7</v>
      </c>
      <c r="D85" s="64">
        <v>15.29</v>
      </c>
      <c r="E85" s="64">
        <v>10.15</v>
      </c>
      <c r="F85" s="64">
        <v>2.98</v>
      </c>
      <c r="G85" s="64">
        <v>37.46</v>
      </c>
      <c r="H85" s="64">
        <v>13.91</v>
      </c>
      <c r="I85" s="64">
        <v>1.54</v>
      </c>
      <c r="J85" s="64">
        <v>0.17</v>
      </c>
      <c r="K85" s="64">
        <v>143.66</v>
      </c>
      <c r="L85" s="64">
        <v>26.12</v>
      </c>
      <c r="M85" s="64">
        <v>74.36</v>
      </c>
      <c r="N85" s="64">
        <v>38.9</v>
      </c>
      <c r="O85" s="64">
        <v>0</v>
      </c>
      <c r="P85" s="64">
        <v>0.61</v>
      </c>
      <c r="Q85" s="64">
        <v>8.98</v>
      </c>
      <c r="R85" s="198"/>
      <c r="S85" s="198"/>
      <c r="T85" s="198"/>
      <c r="U85" s="198"/>
    </row>
    <row r="86" spans="1:26" s="12" customFormat="1" x14ac:dyDescent="0.25">
      <c r="A86" s="211" t="s">
        <v>2341</v>
      </c>
      <c r="B86" s="64">
        <v>5.58</v>
      </c>
      <c r="C86" s="64">
        <v>21.8</v>
      </c>
      <c r="D86" s="64">
        <v>15.86</v>
      </c>
      <c r="E86" s="64">
        <v>10.02</v>
      </c>
      <c r="F86" s="64">
        <v>2.4300000000000002</v>
      </c>
      <c r="G86" s="64">
        <v>39.85</v>
      </c>
      <c r="H86" s="64">
        <v>13.91</v>
      </c>
      <c r="I86" s="64">
        <v>1.56</v>
      </c>
      <c r="J86" s="64">
        <v>0.12</v>
      </c>
      <c r="K86" s="64">
        <v>138.37</v>
      </c>
      <c r="L86" s="64">
        <v>25.9</v>
      </c>
      <c r="M86" s="64">
        <v>76.430000000000007</v>
      </c>
      <c r="N86" s="64">
        <v>38.9</v>
      </c>
      <c r="O86" s="64">
        <v>0</v>
      </c>
      <c r="P86" s="64">
        <v>0.62</v>
      </c>
      <c r="Q86" s="64">
        <v>8.98</v>
      </c>
      <c r="R86" s="198"/>
      <c r="S86" s="198"/>
      <c r="T86" s="198"/>
      <c r="U86" s="198"/>
    </row>
    <row r="87" spans="1:26" s="12" customFormat="1" x14ac:dyDescent="0.25">
      <c r="A87" s="211" t="s">
        <v>2342</v>
      </c>
      <c r="B87" s="64">
        <v>5.52</v>
      </c>
      <c r="C87" s="64">
        <v>20.41</v>
      </c>
      <c r="D87" s="64">
        <v>15.09</v>
      </c>
      <c r="E87" s="64">
        <v>9.68</v>
      </c>
      <c r="F87" s="64">
        <v>4.22</v>
      </c>
      <c r="G87" s="64">
        <v>39.85</v>
      </c>
      <c r="H87" s="64">
        <v>13.91</v>
      </c>
      <c r="I87" s="64">
        <v>1.6</v>
      </c>
      <c r="J87" s="64">
        <v>0.01</v>
      </c>
      <c r="K87" s="64">
        <v>130.34</v>
      </c>
      <c r="L87" s="64">
        <v>25.73</v>
      </c>
      <c r="M87" s="64">
        <v>77.53</v>
      </c>
      <c r="N87" s="64">
        <v>39</v>
      </c>
      <c r="O87" s="64">
        <v>0</v>
      </c>
      <c r="P87" s="64">
        <v>0.69</v>
      </c>
      <c r="Q87" s="64">
        <v>9</v>
      </c>
      <c r="R87" s="198"/>
      <c r="S87" s="198"/>
      <c r="T87" s="198"/>
      <c r="U87" s="198"/>
    </row>
    <row r="88" spans="1:26" s="12" customFormat="1" x14ac:dyDescent="0.25">
      <c r="A88" s="211" t="s">
        <v>2343</v>
      </c>
      <c r="B88" s="64">
        <v>8</v>
      </c>
      <c r="C88" s="64">
        <v>26.93</v>
      </c>
      <c r="D88" s="64">
        <v>20.49</v>
      </c>
      <c r="E88" s="64">
        <v>8.99</v>
      </c>
      <c r="F88" s="64">
        <v>2.23</v>
      </c>
      <c r="G88" s="64">
        <v>39.85</v>
      </c>
      <c r="H88" s="64">
        <v>13.91</v>
      </c>
      <c r="I88" s="64">
        <v>1.64</v>
      </c>
      <c r="J88" s="64">
        <v>7.0000000000000007E-2</v>
      </c>
      <c r="K88" s="64">
        <v>308.5</v>
      </c>
      <c r="L88" s="64">
        <v>25.44</v>
      </c>
      <c r="M88" s="64">
        <v>81.349999999999994</v>
      </c>
      <c r="N88" s="64">
        <v>39</v>
      </c>
      <c r="O88" s="64">
        <v>0</v>
      </c>
      <c r="P88" s="64">
        <v>0.91</v>
      </c>
      <c r="Q88" s="64">
        <v>9.01</v>
      </c>
      <c r="R88" s="198"/>
      <c r="S88" s="198"/>
      <c r="T88" s="198"/>
      <c r="U88" s="198"/>
    </row>
    <row r="89" spans="1:26" s="12" customFormat="1" x14ac:dyDescent="0.25">
      <c r="A89" s="211" t="s">
        <v>2344</v>
      </c>
      <c r="B89" s="64">
        <v>7.52</v>
      </c>
      <c r="C89" s="64">
        <v>23.39</v>
      </c>
      <c r="D89" s="64">
        <v>18.25</v>
      </c>
      <c r="E89" s="64">
        <v>8.85</v>
      </c>
      <c r="F89" s="64">
        <v>2.34</v>
      </c>
      <c r="G89" s="64">
        <v>58.51</v>
      </c>
      <c r="H89" s="64">
        <v>13.04</v>
      </c>
      <c r="I89" s="64">
        <v>1.67</v>
      </c>
      <c r="J89" s="64">
        <v>0.03</v>
      </c>
      <c r="K89" s="64">
        <v>78.53</v>
      </c>
      <c r="L89" s="64">
        <v>25.32</v>
      </c>
      <c r="M89" s="64">
        <v>82.3</v>
      </c>
      <c r="N89" s="64">
        <v>38.9</v>
      </c>
      <c r="O89" s="64">
        <v>0</v>
      </c>
      <c r="P89" s="64">
        <v>0.72</v>
      </c>
      <c r="Q89" s="64">
        <v>9.02</v>
      </c>
      <c r="R89" s="198"/>
      <c r="S89" s="198"/>
      <c r="T89" s="198"/>
      <c r="U89" s="198"/>
    </row>
    <row r="90" spans="1:26" s="12" customFormat="1" x14ac:dyDescent="0.25">
      <c r="A90" s="211" t="s">
        <v>2345</v>
      </c>
      <c r="B90" s="64">
        <v>12.69</v>
      </c>
      <c r="C90" s="64">
        <v>30.53</v>
      </c>
      <c r="D90" s="64">
        <v>26.13</v>
      </c>
      <c r="E90" s="64">
        <v>9.4</v>
      </c>
      <c r="F90" s="64">
        <v>2.1</v>
      </c>
      <c r="G90" s="64">
        <v>63.84</v>
      </c>
      <c r="H90" s="64">
        <v>13.04</v>
      </c>
      <c r="I90" s="64">
        <v>1.72</v>
      </c>
      <c r="J90" s="64">
        <v>0.04</v>
      </c>
      <c r="K90" s="64">
        <v>340.41</v>
      </c>
      <c r="L90" s="64">
        <v>25.18</v>
      </c>
      <c r="M90" s="64">
        <v>83.89</v>
      </c>
      <c r="N90" s="64">
        <v>38.9</v>
      </c>
      <c r="O90" s="64">
        <v>0</v>
      </c>
      <c r="P90" s="64">
        <v>0.98</v>
      </c>
      <c r="Q90" s="64">
        <v>9.0299999999999994</v>
      </c>
      <c r="R90" s="198"/>
      <c r="S90" s="198"/>
      <c r="T90" s="198"/>
      <c r="U90" s="198"/>
    </row>
    <row r="91" spans="1:26" s="12" customFormat="1" x14ac:dyDescent="0.25">
      <c r="A91" s="211" t="s">
        <v>2346</v>
      </c>
      <c r="B91" s="64">
        <v>6.92</v>
      </c>
      <c r="C91" s="64">
        <v>23.83</v>
      </c>
      <c r="D91" s="64">
        <v>18</v>
      </c>
      <c r="E91" s="64">
        <v>9.34</v>
      </c>
      <c r="F91" s="64">
        <v>2.2200000000000002</v>
      </c>
      <c r="G91" s="64">
        <v>63.84</v>
      </c>
      <c r="H91" s="64">
        <v>13.04</v>
      </c>
      <c r="I91" s="64">
        <v>1.77</v>
      </c>
      <c r="J91" s="64">
        <v>0.08</v>
      </c>
      <c r="K91" s="64">
        <v>138.41999999999999</v>
      </c>
      <c r="L91" s="64">
        <v>25.1</v>
      </c>
      <c r="M91" s="64">
        <v>83.54</v>
      </c>
      <c r="N91" s="64">
        <v>38.6</v>
      </c>
      <c r="O91" s="64">
        <v>0</v>
      </c>
      <c r="P91" s="64">
        <v>0.65</v>
      </c>
      <c r="Q91" s="64">
        <v>9.0399999999999991</v>
      </c>
      <c r="R91" s="198"/>
      <c r="S91" s="198"/>
      <c r="T91" s="198"/>
      <c r="U91" s="198"/>
    </row>
    <row r="92" spans="1:26" s="12" customFormat="1" x14ac:dyDescent="0.25">
      <c r="A92" s="211" t="s">
        <v>2347</v>
      </c>
      <c r="B92" s="64">
        <v>5.85</v>
      </c>
      <c r="C92" s="64">
        <v>18.8</v>
      </c>
      <c r="D92" s="64">
        <v>14.51</v>
      </c>
      <c r="E92" s="64">
        <v>9.52</v>
      </c>
      <c r="F92" s="64">
        <v>3.04</v>
      </c>
      <c r="G92" s="64">
        <v>63.84</v>
      </c>
      <c r="H92" s="64">
        <v>13.04</v>
      </c>
      <c r="I92" s="64">
        <v>1.83</v>
      </c>
      <c r="J92" s="64">
        <v>0.24</v>
      </c>
      <c r="K92" s="64">
        <v>135.51</v>
      </c>
      <c r="L92" s="64">
        <v>25.09</v>
      </c>
      <c r="M92" s="64">
        <v>82.5</v>
      </c>
      <c r="N92" s="64">
        <v>38.700000000000003</v>
      </c>
      <c r="O92" s="64">
        <v>0</v>
      </c>
      <c r="P92" s="64">
        <v>0.54</v>
      </c>
      <c r="Q92" s="64">
        <v>9.0399999999999991</v>
      </c>
      <c r="R92" s="198"/>
      <c r="S92" s="198"/>
      <c r="T92" s="198"/>
      <c r="U92" s="198"/>
    </row>
    <row r="93" spans="1:26" s="12" customFormat="1" x14ac:dyDescent="0.25">
      <c r="A93" s="211" t="s">
        <v>2348</v>
      </c>
      <c r="B93" s="64">
        <v>5.48</v>
      </c>
      <c r="C93" s="64">
        <v>19.43</v>
      </c>
      <c r="D93" s="64">
        <v>14.55</v>
      </c>
      <c r="E93" s="64">
        <v>9.61</v>
      </c>
      <c r="F93" s="64">
        <v>4.83</v>
      </c>
      <c r="G93" s="64">
        <v>77</v>
      </c>
      <c r="H93" s="64">
        <v>14.95</v>
      </c>
      <c r="I93" s="64">
        <v>1.87</v>
      </c>
      <c r="J93" s="64">
        <v>0.27</v>
      </c>
      <c r="K93" s="64">
        <v>132.33000000000001</v>
      </c>
      <c r="L93" s="64">
        <v>25.06</v>
      </c>
      <c r="M93" s="64">
        <v>81.83</v>
      </c>
      <c r="N93" s="64">
        <v>38.6</v>
      </c>
      <c r="O93" s="64">
        <v>0</v>
      </c>
      <c r="P93" s="64">
        <v>0.52</v>
      </c>
      <c r="Q93" s="64">
        <v>9.0500000000000007</v>
      </c>
      <c r="R93" s="198"/>
      <c r="S93" s="198"/>
      <c r="T93" s="198"/>
      <c r="U93" s="198"/>
    </row>
    <row r="94" spans="1:26" s="12" customFormat="1" x14ac:dyDescent="0.25">
      <c r="A94" s="211" t="s">
        <v>2349</v>
      </c>
      <c r="B94" s="64">
        <v>5.69</v>
      </c>
      <c r="C94" s="64">
        <v>18.73</v>
      </c>
      <c r="D94" s="64">
        <v>14.35</v>
      </c>
      <c r="E94" s="64">
        <v>10.07</v>
      </c>
      <c r="F94" s="64">
        <v>4.72</v>
      </c>
      <c r="G94" s="64">
        <v>80.52</v>
      </c>
      <c r="H94" s="64">
        <v>14.95</v>
      </c>
      <c r="I94" s="64">
        <v>1.89</v>
      </c>
      <c r="J94" s="64">
        <v>0.59</v>
      </c>
      <c r="K94" s="64">
        <v>132.84</v>
      </c>
      <c r="L94" s="64">
        <v>25.17</v>
      </c>
      <c r="M94" s="64">
        <v>79.25</v>
      </c>
      <c r="N94" s="64">
        <v>38.299999999999997</v>
      </c>
      <c r="O94" s="64">
        <v>0</v>
      </c>
      <c r="P94" s="64">
        <v>0.51</v>
      </c>
      <c r="Q94" s="64">
        <v>9.0500000000000007</v>
      </c>
      <c r="R94" s="198"/>
      <c r="S94" s="198"/>
      <c r="T94" s="198"/>
      <c r="U94" s="198"/>
    </row>
    <row r="95" spans="1:26" s="12" customFormat="1" x14ac:dyDescent="0.25">
      <c r="A95" s="211" t="s">
        <v>2350</v>
      </c>
      <c r="B95" s="64">
        <v>5.95</v>
      </c>
      <c r="C95" s="64">
        <v>20.09</v>
      </c>
      <c r="D95" s="64">
        <v>15.26</v>
      </c>
      <c r="E95" s="64">
        <v>9.9</v>
      </c>
      <c r="F95" s="64">
        <v>5.35</v>
      </c>
      <c r="G95" s="64">
        <v>80.52</v>
      </c>
      <c r="H95" s="64">
        <v>14.95</v>
      </c>
      <c r="I95" s="64">
        <v>1.91</v>
      </c>
      <c r="J95" s="64">
        <v>0.64</v>
      </c>
      <c r="K95" s="64">
        <v>124.33</v>
      </c>
      <c r="L95" s="64">
        <v>25.34</v>
      </c>
      <c r="M95" s="64">
        <v>77.7</v>
      </c>
      <c r="N95" s="64">
        <v>38.5</v>
      </c>
      <c r="O95" s="64">
        <v>0</v>
      </c>
      <c r="P95" s="64">
        <v>0.51</v>
      </c>
      <c r="Q95" s="64">
        <v>9.0299999999999994</v>
      </c>
      <c r="R95" s="198"/>
      <c r="S95" s="198"/>
      <c r="T95" s="198"/>
      <c r="U95" s="198"/>
    </row>
    <row r="96" spans="1:26" s="12" customFormat="1" x14ac:dyDescent="0.25">
      <c r="A96" s="211" t="s">
        <v>2351</v>
      </c>
      <c r="B96" s="64">
        <v>6.52</v>
      </c>
      <c r="C96" s="64">
        <v>24.18</v>
      </c>
      <c r="D96" s="64">
        <v>17.86</v>
      </c>
      <c r="E96" s="64">
        <v>10</v>
      </c>
      <c r="F96" s="64">
        <v>2.62</v>
      </c>
      <c r="G96" s="64">
        <v>80.52</v>
      </c>
      <c r="H96" s="64">
        <v>14.95</v>
      </c>
      <c r="I96" s="64">
        <v>1.91</v>
      </c>
      <c r="J96" s="64">
        <v>0.41</v>
      </c>
      <c r="K96" s="64">
        <v>120.54</v>
      </c>
      <c r="L96" s="64">
        <v>25.22</v>
      </c>
      <c r="M96" s="64">
        <v>78.67</v>
      </c>
      <c r="N96" s="64">
        <v>38.799999999999997</v>
      </c>
      <c r="O96" s="64">
        <v>0</v>
      </c>
      <c r="P96" s="64">
        <v>0.51</v>
      </c>
      <c r="Q96" s="64">
        <v>9.02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2352</v>
      </c>
      <c r="B97" s="64">
        <v>5.93</v>
      </c>
      <c r="C97" s="64">
        <v>19.28</v>
      </c>
      <c r="D97" s="64">
        <v>14.83</v>
      </c>
      <c r="E97" s="64">
        <v>9.35</v>
      </c>
      <c r="F97" s="64">
        <v>2.42</v>
      </c>
      <c r="G97" s="64">
        <v>84.29</v>
      </c>
      <c r="H97" s="64">
        <v>13.84</v>
      </c>
      <c r="I97" s="64">
        <v>1.92</v>
      </c>
      <c r="J97" s="64">
        <v>0.3</v>
      </c>
      <c r="K97" s="64">
        <v>125.26</v>
      </c>
      <c r="L97" s="64">
        <v>25.05</v>
      </c>
      <c r="M97" s="64">
        <v>79.17</v>
      </c>
      <c r="N97" s="64">
        <v>38.9</v>
      </c>
      <c r="O97" s="64">
        <v>0</v>
      </c>
      <c r="P97" s="64">
        <v>0.51</v>
      </c>
      <c r="Q97" s="64">
        <v>9.02</v>
      </c>
      <c r="R97" s="198"/>
      <c r="S97" s="198"/>
      <c r="T97" s="198"/>
      <c r="U97" s="198"/>
    </row>
    <row r="98" spans="1:33" s="12" customFormat="1" x14ac:dyDescent="0.25">
      <c r="A98" s="211" t="s">
        <v>2353</v>
      </c>
      <c r="B98" s="64">
        <v>5.43</v>
      </c>
      <c r="C98" s="64">
        <v>22.41</v>
      </c>
      <c r="D98" s="64">
        <v>16.059999999999999</v>
      </c>
      <c r="E98" s="64">
        <v>9.9700000000000006</v>
      </c>
      <c r="F98" s="64">
        <v>4.49</v>
      </c>
      <c r="G98" s="64">
        <v>85.3</v>
      </c>
      <c r="H98" s="64">
        <v>13.84</v>
      </c>
      <c r="I98" s="64">
        <v>1.95</v>
      </c>
      <c r="J98" s="64">
        <v>0.53</v>
      </c>
      <c r="K98" s="64">
        <v>126.01</v>
      </c>
      <c r="L98" s="64">
        <v>25.04</v>
      </c>
      <c r="M98" s="64">
        <v>77.7</v>
      </c>
      <c r="N98" s="64">
        <v>38.6</v>
      </c>
      <c r="O98" s="64">
        <v>0</v>
      </c>
      <c r="P98" s="64">
        <v>0.51</v>
      </c>
      <c r="Q98" s="64">
        <v>9.01</v>
      </c>
      <c r="R98" s="198"/>
      <c r="S98" s="198"/>
      <c r="T98" s="198"/>
      <c r="U98" s="198"/>
    </row>
    <row r="99" spans="1:33" s="12" customFormat="1" x14ac:dyDescent="0.25">
      <c r="A99" s="211" t="s">
        <v>2354</v>
      </c>
      <c r="B99" s="64">
        <v>6.15</v>
      </c>
      <c r="C99" s="64">
        <v>14.52</v>
      </c>
      <c r="D99" s="64">
        <v>12.52</v>
      </c>
      <c r="E99" s="64">
        <v>9.25</v>
      </c>
      <c r="F99" s="64">
        <v>4.09</v>
      </c>
      <c r="G99" s="64">
        <v>85.3</v>
      </c>
      <c r="H99" s="64">
        <v>13.84</v>
      </c>
      <c r="I99" s="64">
        <v>1.96</v>
      </c>
      <c r="J99" s="64">
        <v>0.97</v>
      </c>
      <c r="K99" s="64">
        <v>127.74</v>
      </c>
      <c r="L99" s="64">
        <v>25.11</v>
      </c>
      <c r="M99" s="64">
        <v>73.47</v>
      </c>
      <c r="N99" s="64">
        <v>38.4</v>
      </c>
      <c r="O99" s="64">
        <v>0</v>
      </c>
      <c r="P99" s="64">
        <v>0.49</v>
      </c>
      <c r="Q99" s="64">
        <v>9.01</v>
      </c>
      <c r="R99" s="198"/>
      <c r="S99" s="198"/>
      <c r="T99" s="198"/>
      <c r="U99" s="198"/>
    </row>
    <row r="100" spans="1:33" s="12" customFormat="1" x14ac:dyDescent="0.25">
      <c r="A100" s="211" t="s">
        <v>2355</v>
      </c>
      <c r="B100" s="64">
        <v>5.75</v>
      </c>
      <c r="C100" s="64">
        <v>13.66</v>
      </c>
      <c r="D100" s="64">
        <v>11.75</v>
      </c>
      <c r="E100" s="64">
        <v>8.9</v>
      </c>
      <c r="F100" s="64">
        <v>8.8800000000000008</v>
      </c>
      <c r="G100" s="64">
        <v>85.3</v>
      </c>
      <c r="H100" s="64">
        <v>13.84</v>
      </c>
      <c r="I100" s="64">
        <v>1.99</v>
      </c>
      <c r="J100" s="64">
        <v>0.75</v>
      </c>
      <c r="K100" s="64">
        <v>120.03</v>
      </c>
      <c r="L100" s="64">
        <v>25.04</v>
      </c>
      <c r="M100" s="64">
        <v>73.83</v>
      </c>
      <c r="N100" s="64">
        <v>38.799999999999997</v>
      </c>
      <c r="O100" s="64">
        <v>0</v>
      </c>
      <c r="P100" s="64">
        <v>0.46</v>
      </c>
      <c r="Q100" s="64">
        <v>9.01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2356</v>
      </c>
      <c r="B101" s="64">
        <v>5.83</v>
      </c>
      <c r="C101" s="64">
        <v>13.84</v>
      </c>
      <c r="D101" s="64">
        <v>11.91</v>
      </c>
      <c r="E101" s="64">
        <v>8.59</v>
      </c>
      <c r="F101" s="64">
        <v>3.67</v>
      </c>
      <c r="G101" s="64">
        <v>78.459999999999994</v>
      </c>
      <c r="H101" s="64">
        <v>13.1</v>
      </c>
      <c r="I101" s="64">
        <v>2</v>
      </c>
      <c r="J101" s="64">
        <v>0.53</v>
      </c>
      <c r="K101" s="64">
        <v>114.17</v>
      </c>
      <c r="L101" s="64">
        <v>24.83</v>
      </c>
      <c r="M101" s="64">
        <v>76.209999999999994</v>
      </c>
      <c r="N101" s="64">
        <v>38.9</v>
      </c>
      <c r="O101" s="64">
        <v>0</v>
      </c>
      <c r="P101" s="64">
        <v>0.47</v>
      </c>
      <c r="Q101" s="64">
        <v>9</v>
      </c>
      <c r="R101" s="198"/>
      <c r="S101" s="198"/>
      <c r="T101" s="198"/>
      <c r="U101" s="198"/>
    </row>
    <row r="102" spans="1:33" s="12" customFormat="1" x14ac:dyDescent="0.25">
      <c r="A102" s="211" t="s">
        <v>2357</v>
      </c>
      <c r="B102" s="64">
        <v>5.88</v>
      </c>
      <c r="C102" s="64">
        <v>12.12</v>
      </c>
      <c r="D102" s="64">
        <v>11.05</v>
      </c>
      <c r="E102" s="64">
        <v>7.91</v>
      </c>
      <c r="F102" s="64">
        <v>6.82</v>
      </c>
      <c r="G102" s="64">
        <v>76.63</v>
      </c>
      <c r="H102" s="64">
        <v>13.1</v>
      </c>
      <c r="I102" s="64">
        <v>2.02</v>
      </c>
      <c r="J102" s="64">
        <v>0.78</v>
      </c>
      <c r="K102" s="64">
        <v>119.32</v>
      </c>
      <c r="L102" s="64">
        <v>24.63</v>
      </c>
      <c r="M102" s="64">
        <v>76.88</v>
      </c>
      <c r="N102" s="64">
        <v>38.9</v>
      </c>
      <c r="O102" s="64">
        <v>0</v>
      </c>
      <c r="P102" s="64">
        <v>0.44</v>
      </c>
      <c r="Q102" s="64">
        <v>9.01</v>
      </c>
      <c r="R102" s="198"/>
      <c r="S102" s="198"/>
      <c r="T102" s="198"/>
      <c r="U102" s="198"/>
    </row>
    <row r="103" spans="1:33" s="12" customFormat="1" x14ac:dyDescent="0.25">
      <c r="A103" s="211" t="s">
        <v>2358</v>
      </c>
      <c r="B103" s="64">
        <v>5.48</v>
      </c>
      <c r="C103" s="64">
        <v>13.71</v>
      </c>
      <c r="D103" s="64">
        <v>11.56</v>
      </c>
      <c r="E103" s="64">
        <v>8.67</v>
      </c>
      <c r="F103" s="64">
        <v>4.51</v>
      </c>
      <c r="G103" s="64">
        <v>76.63</v>
      </c>
      <c r="H103" s="64">
        <v>13.1</v>
      </c>
      <c r="I103" s="64">
        <v>2.02</v>
      </c>
      <c r="J103" s="64">
        <v>0.47</v>
      </c>
      <c r="K103" s="64">
        <v>114.5</v>
      </c>
      <c r="L103" s="64">
        <v>24.55</v>
      </c>
      <c r="M103" s="64">
        <v>75.98</v>
      </c>
      <c r="N103" s="64">
        <v>38.9</v>
      </c>
      <c r="O103" s="64">
        <v>0</v>
      </c>
      <c r="P103" s="64">
        <v>0.42</v>
      </c>
      <c r="Q103" s="64">
        <v>9</v>
      </c>
      <c r="R103" s="198"/>
      <c r="S103" s="198"/>
      <c r="T103" s="198"/>
      <c r="U103" s="198"/>
    </row>
    <row r="104" spans="1:33" s="12" customFormat="1" x14ac:dyDescent="0.25">
      <c r="A104" s="211" t="s">
        <v>2359</v>
      </c>
      <c r="B104" s="64">
        <v>5.98</v>
      </c>
      <c r="C104" s="64">
        <v>12.1</v>
      </c>
      <c r="D104" s="64">
        <v>11.12</v>
      </c>
      <c r="E104" s="64">
        <v>7.02</v>
      </c>
      <c r="F104" s="64">
        <v>3.08</v>
      </c>
      <c r="G104" s="64">
        <v>76.63</v>
      </c>
      <c r="H104" s="64">
        <v>13.1</v>
      </c>
      <c r="I104" s="64">
        <v>2.0099999999999998</v>
      </c>
      <c r="J104" s="64">
        <v>0.49</v>
      </c>
      <c r="K104" s="64">
        <v>115.59</v>
      </c>
      <c r="L104" s="64">
        <v>24.5</v>
      </c>
      <c r="M104" s="64">
        <v>74.8</v>
      </c>
      <c r="N104" s="64">
        <v>38.9</v>
      </c>
      <c r="O104" s="64">
        <v>0</v>
      </c>
      <c r="P104" s="64">
        <v>0.46</v>
      </c>
      <c r="Q104" s="64">
        <v>9.01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4.59</v>
      </c>
      <c r="C106" s="67">
        <f>MIN(C9:C104)</f>
        <v>7.75</v>
      </c>
      <c r="D106" s="67">
        <f t="shared" ref="D106:Q106" si="0">MIN(D9:D104)</f>
        <v>8.33</v>
      </c>
      <c r="E106" s="67">
        <f t="shared" si="0"/>
        <v>5.12</v>
      </c>
      <c r="F106" s="67">
        <f t="shared" si="0"/>
        <v>2.1</v>
      </c>
      <c r="G106" s="67">
        <f t="shared" si="0"/>
        <v>18.329999999999998</v>
      </c>
      <c r="H106" s="67">
        <f t="shared" si="0"/>
        <v>12.54</v>
      </c>
      <c r="I106" s="67">
        <f t="shared" si="0"/>
        <v>1.46</v>
      </c>
      <c r="J106" s="67">
        <f t="shared" si="0"/>
        <v>0.01</v>
      </c>
      <c r="K106" s="67">
        <f t="shared" si="0"/>
        <v>50.75</v>
      </c>
      <c r="L106" s="67">
        <f t="shared" si="0"/>
        <v>22.13</v>
      </c>
      <c r="M106" s="67">
        <f t="shared" si="0"/>
        <v>45.29</v>
      </c>
      <c r="N106" s="67">
        <f t="shared" si="0"/>
        <v>38.299999999999997</v>
      </c>
      <c r="O106" s="67">
        <f t="shared" si="0"/>
        <v>0</v>
      </c>
      <c r="P106" s="67">
        <f t="shared" si="0"/>
        <v>0.22</v>
      </c>
      <c r="Q106" s="67">
        <f t="shared" si="0"/>
        <v>8.9700000000000006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12.69</v>
      </c>
      <c r="C107" s="66">
        <f t="shared" ref="C107:Q107" si="1">MAX(C9:C104)</f>
        <v>30.53</v>
      </c>
      <c r="D107" s="66">
        <f t="shared" si="1"/>
        <v>26.13</v>
      </c>
      <c r="E107" s="66">
        <f t="shared" si="1"/>
        <v>10.69</v>
      </c>
      <c r="F107" s="66">
        <f t="shared" si="1"/>
        <v>10.72</v>
      </c>
      <c r="G107" s="66">
        <f t="shared" si="1"/>
        <v>98.47</v>
      </c>
      <c r="H107" s="66">
        <f t="shared" si="1"/>
        <v>16.53</v>
      </c>
      <c r="I107" s="66">
        <f t="shared" si="1"/>
        <v>2.1</v>
      </c>
      <c r="J107" s="66">
        <f t="shared" si="1"/>
        <v>1.29</v>
      </c>
      <c r="K107" s="66">
        <f t="shared" si="1"/>
        <v>340.41</v>
      </c>
      <c r="L107" s="66">
        <f t="shared" si="1"/>
        <v>30.06</v>
      </c>
      <c r="M107" s="66">
        <f t="shared" si="1"/>
        <v>97.89</v>
      </c>
      <c r="N107" s="66">
        <f t="shared" si="1"/>
        <v>759.7</v>
      </c>
      <c r="O107" s="66">
        <f t="shared" si="1"/>
        <v>0</v>
      </c>
      <c r="P107" s="66">
        <f t="shared" si="1"/>
        <v>0.98</v>
      </c>
      <c r="Q107" s="66">
        <f t="shared" si="1"/>
        <v>9.06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6.2001041666666694</v>
      </c>
      <c r="C108" s="67">
        <f t="shared" ref="C108:Q108" si="2">AVERAGE(C9:C104)</f>
        <v>12.344583333333331</v>
      </c>
      <c r="D108" s="67">
        <f t="shared" si="2"/>
        <v>11.421875000000002</v>
      </c>
      <c r="E108" s="67">
        <f t="shared" si="2"/>
        <v>7.0940625000000006</v>
      </c>
      <c r="F108" s="67">
        <f t="shared" si="2"/>
        <v>5.6511458333333371</v>
      </c>
      <c r="G108" s="67">
        <f t="shared" si="2"/>
        <v>57.802708333333385</v>
      </c>
      <c r="H108" s="67">
        <f t="shared" si="2"/>
        <v>13.924583333333331</v>
      </c>
      <c r="I108" s="67">
        <f t="shared" si="2"/>
        <v>1.8294791666666654</v>
      </c>
      <c r="J108" s="67">
        <f t="shared" si="2"/>
        <v>0.48468749999999999</v>
      </c>
      <c r="K108" s="67">
        <f t="shared" si="2"/>
        <v>150.19333333333336</v>
      </c>
      <c r="L108" s="67">
        <f t="shared" si="2"/>
        <v>26.256354166666664</v>
      </c>
      <c r="M108" s="67">
        <f t="shared" si="2"/>
        <v>76.896458333333314</v>
      </c>
      <c r="N108" s="67">
        <f t="shared" si="2"/>
        <v>185.54375000000005</v>
      </c>
      <c r="O108" s="67">
        <f t="shared" si="2"/>
        <v>0</v>
      </c>
      <c r="P108" s="67">
        <f t="shared" si="2"/>
        <v>0.44656249999999981</v>
      </c>
      <c r="Q108" s="67">
        <f t="shared" si="2"/>
        <v>9.0046874999999975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1.2707838399910609</v>
      </c>
      <c r="C109" s="67">
        <f t="shared" ref="C109:Q109" si="3">STDEV(C9:C104)</f>
        <v>4.8517759996600569</v>
      </c>
      <c r="D109" s="67">
        <f t="shared" si="3"/>
        <v>2.836667174325306</v>
      </c>
      <c r="E109" s="67">
        <f t="shared" si="3"/>
        <v>1.4091659183809031</v>
      </c>
      <c r="F109" s="67">
        <f t="shared" si="3"/>
        <v>2.5705759624077871</v>
      </c>
      <c r="G109" s="67">
        <f t="shared" si="3"/>
        <v>22.425229470358587</v>
      </c>
      <c r="H109" s="67">
        <f t="shared" si="3"/>
        <v>0.98846815742623462</v>
      </c>
      <c r="I109" s="67">
        <f t="shared" si="3"/>
        <v>0.20449357108241412</v>
      </c>
      <c r="J109" s="67">
        <f t="shared" si="3"/>
        <v>0.38232516644178305</v>
      </c>
      <c r="K109" s="67">
        <f t="shared" si="3"/>
        <v>59.667686038533269</v>
      </c>
      <c r="L109" s="67">
        <f t="shared" si="3"/>
        <v>2.5305148715925134</v>
      </c>
      <c r="M109" s="67">
        <f t="shared" si="3"/>
        <v>16.421206506040857</v>
      </c>
      <c r="N109" s="67">
        <f t="shared" si="3"/>
        <v>237.05349066025298</v>
      </c>
      <c r="O109" s="67">
        <f t="shared" si="3"/>
        <v>0</v>
      </c>
      <c r="P109" s="67">
        <f t="shared" si="3"/>
        <v>0.12999455960276193</v>
      </c>
      <c r="Q109" s="67">
        <f t="shared" si="3"/>
        <v>2.3706677939925629E-2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116" sqref="L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2360</v>
      </c>
      <c r="B9" s="64">
        <v>5.65</v>
      </c>
      <c r="C9" s="64">
        <v>11.04</v>
      </c>
      <c r="D9" s="64">
        <v>10.3</v>
      </c>
      <c r="E9" s="64">
        <v>8.14</v>
      </c>
      <c r="F9" s="64">
        <v>5.42</v>
      </c>
      <c r="G9" s="64">
        <v>66.36</v>
      </c>
      <c r="H9" s="64">
        <v>12.6</v>
      </c>
      <c r="I9" s="64">
        <v>1.99</v>
      </c>
      <c r="J9" s="64">
        <v>0.22</v>
      </c>
      <c r="K9" s="64">
        <v>148.52000000000001</v>
      </c>
      <c r="L9" s="64">
        <v>24.34</v>
      </c>
      <c r="M9" s="64">
        <v>76.39</v>
      </c>
      <c r="N9" s="64">
        <v>39</v>
      </c>
      <c r="O9" s="64">
        <v>0</v>
      </c>
      <c r="P9" s="64">
        <v>0.42</v>
      </c>
      <c r="Q9" s="64">
        <v>9.02</v>
      </c>
      <c r="S9" s="198"/>
      <c r="T9" s="198"/>
      <c r="U9" s="198"/>
    </row>
    <row r="10" spans="1:21" s="12" customFormat="1" x14ac:dyDescent="0.25">
      <c r="A10" s="211" t="s">
        <v>2361</v>
      </c>
      <c r="B10" s="64">
        <v>5.57</v>
      </c>
      <c r="C10" s="64">
        <v>11.46</v>
      </c>
      <c r="D10" s="64">
        <v>10.46</v>
      </c>
      <c r="E10" s="64">
        <v>7.78</v>
      </c>
      <c r="F10" s="64">
        <v>3.72</v>
      </c>
      <c r="G10" s="64">
        <v>63.61</v>
      </c>
      <c r="H10" s="64">
        <v>12.6</v>
      </c>
      <c r="I10" s="64">
        <v>1.96</v>
      </c>
      <c r="J10" s="64">
        <v>0.11</v>
      </c>
      <c r="K10" s="64">
        <v>115.75</v>
      </c>
      <c r="L10" s="64">
        <v>24.06</v>
      </c>
      <c r="M10" s="64">
        <v>79</v>
      </c>
      <c r="N10" s="64">
        <v>38.9</v>
      </c>
      <c r="O10" s="64">
        <v>0</v>
      </c>
      <c r="P10" s="64">
        <v>0.42</v>
      </c>
      <c r="Q10" s="64">
        <v>9.0299999999999994</v>
      </c>
      <c r="S10" s="198"/>
      <c r="T10" s="198"/>
      <c r="U10" s="198"/>
    </row>
    <row r="11" spans="1:21" s="12" customFormat="1" x14ac:dyDescent="0.25">
      <c r="A11" s="211" t="s">
        <v>2362</v>
      </c>
      <c r="B11" s="64">
        <v>5.54</v>
      </c>
      <c r="C11" s="64">
        <v>12.68</v>
      </c>
      <c r="D11" s="64">
        <v>11.07</v>
      </c>
      <c r="E11" s="64">
        <v>7.61</v>
      </c>
      <c r="F11" s="64">
        <v>3.1</v>
      </c>
      <c r="G11" s="64">
        <v>63.61</v>
      </c>
      <c r="H11" s="64">
        <v>12.6</v>
      </c>
      <c r="I11" s="64">
        <v>1.94</v>
      </c>
      <c r="J11" s="64">
        <v>0.09</v>
      </c>
      <c r="K11" s="64">
        <v>125.33</v>
      </c>
      <c r="L11" s="64">
        <v>24.01</v>
      </c>
      <c r="M11" s="64">
        <v>80.430000000000007</v>
      </c>
      <c r="N11" s="64">
        <v>38.9</v>
      </c>
      <c r="O11" s="64">
        <v>0</v>
      </c>
      <c r="P11" s="64">
        <v>0.43</v>
      </c>
      <c r="Q11" s="64">
        <v>9.0299999999999994</v>
      </c>
      <c r="S11" s="198"/>
      <c r="T11" s="198"/>
      <c r="U11" s="198"/>
    </row>
    <row r="12" spans="1:21" s="12" customFormat="1" x14ac:dyDescent="0.25">
      <c r="A12" s="211" t="s">
        <v>2363</v>
      </c>
      <c r="B12" s="64">
        <v>6.37</v>
      </c>
      <c r="C12" s="64">
        <v>15.17</v>
      </c>
      <c r="D12" s="64">
        <v>13.03</v>
      </c>
      <c r="E12" s="64">
        <v>7.58</v>
      </c>
      <c r="F12" s="64">
        <v>2.68</v>
      </c>
      <c r="G12" s="64">
        <v>63.61</v>
      </c>
      <c r="H12" s="64">
        <v>12.6</v>
      </c>
      <c r="I12" s="64">
        <v>1.93</v>
      </c>
      <c r="J12" s="64">
        <v>0.04</v>
      </c>
      <c r="K12" s="64">
        <v>255.04</v>
      </c>
      <c r="L12" s="64">
        <v>23.71</v>
      </c>
      <c r="M12" s="64">
        <v>84.48</v>
      </c>
      <c r="N12" s="64">
        <v>39.1</v>
      </c>
      <c r="O12" s="64">
        <v>0</v>
      </c>
      <c r="P12" s="64">
        <v>0.45</v>
      </c>
      <c r="Q12" s="64">
        <v>9.0399999999999991</v>
      </c>
      <c r="S12" s="198"/>
      <c r="T12" s="198"/>
      <c r="U12" s="198"/>
    </row>
    <row r="13" spans="1:21" s="12" customFormat="1" x14ac:dyDescent="0.25">
      <c r="A13" s="211" t="s">
        <v>2364</v>
      </c>
      <c r="B13" s="64">
        <v>6.03</v>
      </c>
      <c r="C13" s="64">
        <v>9.9600000000000009</v>
      </c>
      <c r="D13" s="64">
        <v>10.039999999999999</v>
      </c>
      <c r="E13" s="64">
        <v>7.8</v>
      </c>
      <c r="F13" s="64">
        <v>4.22</v>
      </c>
      <c r="G13" s="64">
        <v>57.97</v>
      </c>
      <c r="H13" s="64">
        <v>15.07</v>
      </c>
      <c r="I13" s="64">
        <v>1.91</v>
      </c>
      <c r="J13" s="64">
        <v>0.09</v>
      </c>
      <c r="K13" s="64">
        <v>105.38</v>
      </c>
      <c r="L13" s="64">
        <v>23.61</v>
      </c>
      <c r="M13" s="64">
        <v>83.26</v>
      </c>
      <c r="N13" s="64">
        <v>38.700000000000003</v>
      </c>
      <c r="O13" s="64">
        <v>0</v>
      </c>
      <c r="P13" s="64">
        <v>0.4</v>
      </c>
      <c r="Q13" s="64">
        <v>9.0500000000000007</v>
      </c>
      <c r="S13" s="198"/>
      <c r="T13" s="198"/>
      <c r="U13" s="198"/>
    </row>
    <row r="14" spans="1:21" s="12" customFormat="1" x14ac:dyDescent="0.25">
      <c r="A14" s="211" t="s">
        <v>2365</v>
      </c>
      <c r="B14" s="64">
        <v>5.59</v>
      </c>
      <c r="C14" s="64">
        <v>9.4</v>
      </c>
      <c r="D14" s="64">
        <v>9.39</v>
      </c>
      <c r="E14" s="64">
        <v>7.48</v>
      </c>
      <c r="F14" s="64">
        <v>4.46</v>
      </c>
      <c r="G14" s="64">
        <v>56.46</v>
      </c>
      <c r="H14" s="64">
        <v>15.07</v>
      </c>
      <c r="I14" s="64">
        <v>1.9</v>
      </c>
      <c r="J14" s="64">
        <v>0.31</v>
      </c>
      <c r="K14" s="64">
        <v>105.64</v>
      </c>
      <c r="L14" s="64">
        <v>23.78</v>
      </c>
      <c r="M14" s="64">
        <v>82.31</v>
      </c>
      <c r="N14" s="64">
        <v>38.6</v>
      </c>
      <c r="O14" s="64">
        <v>0</v>
      </c>
      <c r="P14" s="64">
        <v>0.42</v>
      </c>
      <c r="Q14" s="64">
        <v>9.0399999999999991</v>
      </c>
      <c r="S14" s="198"/>
      <c r="T14" s="198"/>
      <c r="U14" s="198"/>
    </row>
    <row r="15" spans="1:21" s="12" customFormat="1" x14ac:dyDescent="0.25">
      <c r="A15" s="211" t="s">
        <v>2366</v>
      </c>
      <c r="B15" s="64">
        <v>5.48</v>
      </c>
      <c r="C15" s="64">
        <v>9.06</v>
      </c>
      <c r="D15" s="64">
        <v>9.1199999999999992</v>
      </c>
      <c r="E15" s="64">
        <v>7.54</v>
      </c>
      <c r="F15" s="64">
        <v>4.6500000000000004</v>
      </c>
      <c r="G15" s="64">
        <v>56.46</v>
      </c>
      <c r="H15" s="64">
        <v>15.07</v>
      </c>
      <c r="I15" s="64">
        <v>1.89</v>
      </c>
      <c r="J15" s="64">
        <v>0.4</v>
      </c>
      <c r="K15" s="64">
        <v>118.43</v>
      </c>
      <c r="L15" s="64">
        <v>23.72</v>
      </c>
      <c r="M15" s="64">
        <v>84.02</v>
      </c>
      <c r="N15" s="64">
        <v>38.700000000000003</v>
      </c>
      <c r="O15" s="64">
        <v>0</v>
      </c>
      <c r="P15" s="64">
        <v>0.41</v>
      </c>
      <c r="Q15" s="64">
        <v>9.0399999999999991</v>
      </c>
      <c r="S15" s="198"/>
      <c r="T15" s="198"/>
      <c r="U15" s="198"/>
    </row>
    <row r="16" spans="1:21" s="12" customFormat="1" x14ac:dyDescent="0.25">
      <c r="A16" s="211" t="s">
        <v>2367</v>
      </c>
      <c r="B16" s="64">
        <v>5.86</v>
      </c>
      <c r="C16" s="64">
        <v>8.5</v>
      </c>
      <c r="D16" s="64">
        <v>9.14</v>
      </c>
      <c r="E16" s="64">
        <v>7.2</v>
      </c>
      <c r="F16" s="64">
        <v>2.5499999999999998</v>
      </c>
      <c r="G16" s="64">
        <v>56.46</v>
      </c>
      <c r="H16" s="64">
        <v>15.07</v>
      </c>
      <c r="I16" s="64">
        <v>1.88</v>
      </c>
      <c r="J16" s="64">
        <v>0.2</v>
      </c>
      <c r="K16" s="64">
        <v>145.27000000000001</v>
      </c>
      <c r="L16" s="64">
        <v>23.65</v>
      </c>
      <c r="M16" s="64">
        <v>85.57</v>
      </c>
      <c r="N16" s="64">
        <v>38.9</v>
      </c>
      <c r="O16" s="64">
        <v>0</v>
      </c>
      <c r="P16" s="64">
        <v>0.45</v>
      </c>
      <c r="Q16" s="64">
        <v>9.02</v>
      </c>
      <c r="S16" s="198"/>
      <c r="T16" s="198"/>
      <c r="U16" s="198"/>
    </row>
    <row r="17" spans="1:21" s="12" customFormat="1" x14ac:dyDescent="0.25">
      <c r="A17" s="211" t="s">
        <v>2368</v>
      </c>
      <c r="B17" s="64">
        <v>5.46</v>
      </c>
      <c r="C17" s="64">
        <v>8.2899999999999991</v>
      </c>
      <c r="D17" s="64">
        <v>8.7100000000000009</v>
      </c>
      <c r="E17" s="64">
        <v>7.28</v>
      </c>
      <c r="F17" s="64">
        <v>4.99</v>
      </c>
      <c r="G17" s="64">
        <v>56.27</v>
      </c>
      <c r="H17" s="64">
        <v>14.45</v>
      </c>
      <c r="I17" s="64">
        <v>1.87</v>
      </c>
      <c r="J17" s="64">
        <v>0.04</v>
      </c>
      <c r="K17" s="64">
        <v>141.06</v>
      </c>
      <c r="L17" s="64">
        <v>23.48</v>
      </c>
      <c r="M17" s="64">
        <v>86.9</v>
      </c>
      <c r="N17" s="64">
        <v>39</v>
      </c>
      <c r="O17" s="64">
        <v>0</v>
      </c>
      <c r="P17" s="64">
        <v>0.39</v>
      </c>
      <c r="Q17" s="64">
        <v>9.01</v>
      </c>
      <c r="S17" s="198"/>
      <c r="T17" s="198"/>
      <c r="U17" s="198"/>
    </row>
    <row r="18" spans="1:21" s="12" customFormat="1" x14ac:dyDescent="0.25">
      <c r="A18" s="211" t="s">
        <v>2369</v>
      </c>
      <c r="B18" s="64">
        <v>5.78</v>
      </c>
      <c r="C18" s="64">
        <v>8.07</v>
      </c>
      <c r="D18" s="64">
        <v>8.86</v>
      </c>
      <c r="E18" s="64">
        <v>6.79</v>
      </c>
      <c r="F18" s="64">
        <v>2.75</v>
      </c>
      <c r="G18" s="64">
        <v>56.22</v>
      </c>
      <c r="H18" s="64">
        <v>14.45</v>
      </c>
      <c r="I18" s="64">
        <v>1.86</v>
      </c>
      <c r="J18" s="64">
        <v>0.09</v>
      </c>
      <c r="K18" s="64">
        <v>143.69</v>
      </c>
      <c r="L18" s="64">
        <v>23.3</v>
      </c>
      <c r="M18" s="64">
        <v>88.44</v>
      </c>
      <c r="N18" s="64">
        <v>38.9</v>
      </c>
      <c r="O18" s="64">
        <v>0</v>
      </c>
      <c r="P18" s="64">
        <v>0.43</v>
      </c>
      <c r="Q18" s="64">
        <v>8.99</v>
      </c>
      <c r="S18" s="198"/>
      <c r="T18" s="198"/>
      <c r="U18" s="198"/>
    </row>
    <row r="19" spans="1:21" s="12" customFormat="1" x14ac:dyDescent="0.25">
      <c r="A19" s="211" t="s">
        <v>2370</v>
      </c>
      <c r="B19" s="64">
        <v>5.29</v>
      </c>
      <c r="C19" s="64">
        <v>9.1999999999999993</v>
      </c>
      <c r="D19" s="64">
        <v>9.0399999999999991</v>
      </c>
      <c r="E19" s="64">
        <v>6.62</v>
      </c>
      <c r="F19" s="64">
        <v>4.82</v>
      </c>
      <c r="G19" s="64">
        <v>56.22</v>
      </c>
      <c r="H19" s="64">
        <v>14.45</v>
      </c>
      <c r="I19" s="64">
        <v>1.85</v>
      </c>
      <c r="J19" s="64">
        <v>0.03</v>
      </c>
      <c r="K19" s="64">
        <v>165.31</v>
      </c>
      <c r="L19" s="64">
        <v>23.24</v>
      </c>
      <c r="M19" s="64">
        <v>88.6</v>
      </c>
      <c r="N19" s="64">
        <v>38.799999999999997</v>
      </c>
      <c r="O19" s="64">
        <v>0</v>
      </c>
      <c r="P19" s="64">
        <v>0.39</v>
      </c>
      <c r="Q19" s="64">
        <v>8.99</v>
      </c>
      <c r="S19" s="198"/>
      <c r="T19" s="198"/>
      <c r="U19" s="198"/>
    </row>
    <row r="20" spans="1:21" s="12" customFormat="1" x14ac:dyDescent="0.25">
      <c r="A20" s="211" t="s">
        <v>2371</v>
      </c>
      <c r="B20" s="64">
        <v>5.89</v>
      </c>
      <c r="C20" s="64">
        <v>8.58</v>
      </c>
      <c r="D20" s="64">
        <v>9.2100000000000009</v>
      </c>
      <c r="E20" s="64">
        <v>6.57</v>
      </c>
      <c r="F20" s="64">
        <v>2.1</v>
      </c>
      <c r="G20" s="64">
        <v>56.22</v>
      </c>
      <c r="H20" s="64">
        <v>14.45</v>
      </c>
      <c r="I20" s="64">
        <v>1.84</v>
      </c>
      <c r="J20" s="64">
        <v>0.13</v>
      </c>
      <c r="K20" s="64">
        <v>312.11</v>
      </c>
      <c r="L20" s="64">
        <v>23.08</v>
      </c>
      <c r="M20" s="64">
        <v>91.53</v>
      </c>
      <c r="N20" s="64">
        <v>39.1</v>
      </c>
      <c r="O20" s="64">
        <v>0</v>
      </c>
      <c r="P20" s="64">
        <v>0.45</v>
      </c>
      <c r="Q20" s="64">
        <v>8.99</v>
      </c>
      <c r="S20" s="198"/>
      <c r="T20" s="198"/>
      <c r="U20" s="198"/>
    </row>
    <row r="21" spans="1:21" s="12" customFormat="1" x14ac:dyDescent="0.25">
      <c r="A21" s="211" t="s">
        <v>2372</v>
      </c>
      <c r="B21" s="64">
        <v>5.78</v>
      </c>
      <c r="C21" s="64">
        <v>9.68</v>
      </c>
      <c r="D21" s="64">
        <v>9.69</v>
      </c>
      <c r="E21" s="64">
        <v>6.56</v>
      </c>
      <c r="F21" s="64">
        <v>2.11</v>
      </c>
      <c r="G21" s="64">
        <v>52.98</v>
      </c>
      <c r="H21" s="64">
        <v>14.95</v>
      </c>
      <c r="I21" s="64">
        <v>1.83</v>
      </c>
      <c r="J21" s="64">
        <v>0.43</v>
      </c>
      <c r="K21" s="64">
        <v>340.11</v>
      </c>
      <c r="L21" s="64">
        <v>22.77</v>
      </c>
      <c r="M21" s="64">
        <v>96.18</v>
      </c>
      <c r="N21" s="64">
        <v>38.9</v>
      </c>
      <c r="O21" s="64">
        <v>0</v>
      </c>
      <c r="P21" s="64">
        <v>0.41</v>
      </c>
      <c r="Q21" s="64">
        <v>8.98</v>
      </c>
      <c r="S21" s="198"/>
      <c r="T21" s="198"/>
      <c r="U21" s="198"/>
    </row>
    <row r="22" spans="1:21" s="12" customFormat="1" x14ac:dyDescent="0.25">
      <c r="A22" s="211" t="s">
        <v>2373</v>
      </c>
      <c r="B22" s="64">
        <v>7.57</v>
      </c>
      <c r="C22" s="64">
        <v>9.56</v>
      </c>
      <c r="D22" s="64">
        <v>11.07</v>
      </c>
      <c r="E22" s="64">
        <v>6.08</v>
      </c>
      <c r="F22" s="64">
        <v>2.1</v>
      </c>
      <c r="G22" s="64">
        <v>52.11</v>
      </c>
      <c r="H22" s="64">
        <v>14.95</v>
      </c>
      <c r="I22" s="64">
        <v>1.82</v>
      </c>
      <c r="J22" s="64">
        <v>0.49</v>
      </c>
      <c r="K22" s="64">
        <v>340.76</v>
      </c>
      <c r="L22" s="64">
        <v>22.64</v>
      </c>
      <c r="M22" s="64">
        <v>97.65</v>
      </c>
      <c r="N22" s="64">
        <v>38.799999999999997</v>
      </c>
      <c r="O22" s="64">
        <v>0</v>
      </c>
      <c r="P22" s="64">
        <v>0.47</v>
      </c>
      <c r="Q22" s="64">
        <v>8.99</v>
      </c>
      <c r="S22" s="198"/>
      <c r="T22" s="198"/>
      <c r="U22" s="198"/>
    </row>
    <row r="23" spans="1:21" s="12" customFormat="1" x14ac:dyDescent="0.25">
      <c r="A23" s="211" t="s">
        <v>2374</v>
      </c>
      <c r="B23" s="64">
        <v>7.89</v>
      </c>
      <c r="C23" s="64">
        <v>11.07</v>
      </c>
      <c r="D23" s="64">
        <v>12.11</v>
      </c>
      <c r="E23" s="64">
        <v>6.4</v>
      </c>
      <c r="F23" s="64">
        <v>2.5099999999999998</v>
      </c>
      <c r="G23" s="64">
        <v>52.11</v>
      </c>
      <c r="H23" s="64">
        <v>14.95</v>
      </c>
      <c r="I23" s="64">
        <v>1.81</v>
      </c>
      <c r="J23" s="64">
        <v>0.38</v>
      </c>
      <c r="K23" s="64">
        <v>331.7</v>
      </c>
      <c r="L23" s="64">
        <v>22.54</v>
      </c>
      <c r="M23" s="64">
        <v>97.76</v>
      </c>
      <c r="N23" s="64">
        <v>38.9</v>
      </c>
      <c r="O23" s="64">
        <v>0</v>
      </c>
      <c r="P23" s="64">
        <v>0.46</v>
      </c>
      <c r="Q23" s="64">
        <v>9.01</v>
      </c>
      <c r="S23" s="198"/>
      <c r="T23" s="198"/>
      <c r="U23" s="198"/>
    </row>
    <row r="24" spans="1:21" s="12" customFormat="1" x14ac:dyDescent="0.25">
      <c r="A24" s="211" t="s">
        <v>2375</v>
      </c>
      <c r="B24" s="64">
        <v>7.75</v>
      </c>
      <c r="C24" s="64">
        <v>8.69</v>
      </c>
      <c r="D24" s="64">
        <v>10.76</v>
      </c>
      <c r="E24" s="64">
        <v>6.03</v>
      </c>
      <c r="F24" s="64">
        <v>2.33</v>
      </c>
      <c r="G24" s="64">
        <v>52.11</v>
      </c>
      <c r="H24" s="64">
        <v>14.95</v>
      </c>
      <c r="I24" s="64">
        <v>1.81</v>
      </c>
      <c r="J24" s="64">
        <v>0.53</v>
      </c>
      <c r="K24" s="64">
        <v>337.34</v>
      </c>
      <c r="L24" s="64">
        <v>22.32</v>
      </c>
      <c r="M24" s="64">
        <v>97.77</v>
      </c>
      <c r="N24" s="64">
        <v>38.700000000000003</v>
      </c>
      <c r="O24" s="64">
        <v>0</v>
      </c>
      <c r="P24" s="64">
        <v>0.47</v>
      </c>
      <c r="Q24" s="64">
        <v>8.99</v>
      </c>
      <c r="S24" s="198"/>
      <c r="T24" s="198"/>
      <c r="U24" s="198"/>
    </row>
    <row r="25" spans="1:21" s="12" customFormat="1" x14ac:dyDescent="0.25">
      <c r="A25" s="211" t="s">
        <v>2376</v>
      </c>
      <c r="B25" s="64">
        <v>7.27</v>
      </c>
      <c r="C25" s="64">
        <v>11.19</v>
      </c>
      <c r="D25" s="64">
        <v>11.67</v>
      </c>
      <c r="E25" s="64">
        <v>6.45</v>
      </c>
      <c r="F25" s="64">
        <v>3.74</v>
      </c>
      <c r="G25" s="64">
        <v>41.95</v>
      </c>
      <c r="H25" s="64">
        <v>14.28</v>
      </c>
      <c r="I25" s="64">
        <v>1.81</v>
      </c>
      <c r="J25" s="64">
        <v>0.33</v>
      </c>
      <c r="K25" s="64">
        <v>331.96</v>
      </c>
      <c r="L25" s="64">
        <v>22.33</v>
      </c>
      <c r="M25" s="64">
        <v>97.74</v>
      </c>
      <c r="N25" s="64">
        <v>38.799999999999997</v>
      </c>
      <c r="O25" s="64">
        <v>0</v>
      </c>
      <c r="P25" s="64">
        <v>0.48</v>
      </c>
      <c r="Q25" s="64">
        <v>8.99</v>
      </c>
      <c r="S25" s="198"/>
      <c r="T25" s="198"/>
      <c r="U25" s="198"/>
    </row>
    <row r="26" spans="1:21" s="12" customFormat="1" x14ac:dyDescent="0.25">
      <c r="A26" s="211" t="s">
        <v>2377</v>
      </c>
      <c r="B26" s="64">
        <v>6.64</v>
      </c>
      <c r="C26" s="64">
        <v>9.84</v>
      </c>
      <c r="D26" s="64">
        <v>10.47</v>
      </c>
      <c r="E26" s="64">
        <v>6.25</v>
      </c>
      <c r="F26" s="64">
        <v>2.14</v>
      </c>
      <c r="G26" s="64">
        <v>39.229999999999997</v>
      </c>
      <c r="H26" s="64">
        <v>14.28</v>
      </c>
      <c r="I26" s="64">
        <v>1.79</v>
      </c>
      <c r="J26" s="64">
        <v>0.09</v>
      </c>
      <c r="K26" s="64">
        <v>123.29</v>
      </c>
      <c r="L26" s="64">
        <v>22.09</v>
      </c>
      <c r="M26" s="64">
        <v>97.75</v>
      </c>
      <c r="N26" s="64">
        <v>38.9</v>
      </c>
      <c r="O26" s="64">
        <v>0</v>
      </c>
      <c r="P26" s="64">
        <v>0.52</v>
      </c>
      <c r="Q26" s="64">
        <v>9.02</v>
      </c>
      <c r="S26" s="198"/>
      <c r="T26" s="198"/>
      <c r="U26" s="198"/>
    </row>
    <row r="27" spans="1:21" s="12" customFormat="1" x14ac:dyDescent="0.25">
      <c r="A27" s="211" t="s">
        <v>2378</v>
      </c>
      <c r="B27" s="64">
        <v>7.84</v>
      </c>
      <c r="C27" s="64">
        <v>10.72</v>
      </c>
      <c r="D27" s="64">
        <v>11.89</v>
      </c>
      <c r="E27" s="64">
        <v>6.36</v>
      </c>
      <c r="F27" s="64">
        <v>2.11</v>
      </c>
      <c r="G27" s="64">
        <v>39.229999999999997</v>
      </c>
      <c r="H27" s="64">
        <v>14.28</v>
      </c>
      <c r="I27" s="64">
        <v>1.79</v>
      </c>
      <c r="J27" s="64">
        <v>0.05</v>
      </c>
      <c r="K27" s="64">
        <v>182.91</v>
      </c>
      <c r="L27" s="64">
        <v>21.91</v>
      </c>
      <c r="M27" s="64">
        <v>97.78</v>
      </c>
      <c r="N27" s="64">
        <v>38.9</v>
      </c>
      <c r="O27" s="64">
        <v>0</v>
      </c>
      <c r="P27" s="64">
        <v>0.52</v>
      </c>
      <c r="Q27" s="64">
        <v>9.0299999999999994</v>
      </c>
      <c r="S27" s="198"/>
      <c r="T27" s="198"/>
      <c r="U27" s="198"/>
    </row>
    <row r="28" spans="1:21" s="12" customFormat="1" x14ac:dyDescent="0.25">
      <c r="A28" s="211" t="s">
        <v>2379</v>
      </c>
      <c r="B28" s="64">
        <v>7.33</v>
      </c>
      <c r="C28" s="64">
        <v>10.3</v>
      </c>
      <c r="D28" s="64">
        <v>11.26</v>
      </c>
      <c r="E28" s="64">
        <v>6.38</v>
      </c>
      <c r="F28" s="64">
        <v>2.1</v>
      </c>
      <c r="G28" s="64">
        <v>39.229999999999997</v>
      </c>
      <c r="H28" s="64">
        <v>14.28</v>
      </c>
      <c r="I28" s="64">
        <v>1.79</v>
      </c>
      <c r="J28" s="64">
        <v>0.06</v>
      </c>
      <c r="K28" s="64">
        <v>257.66000000000003</v>
      </c>
      <c r="L28" s="64">
        <v>21.91</v>
      </c>
      <c r="M28" s="64">
        <v>97.78</v>
      </c>
      <c r="N28" s="64">
        <v>38.799999999999997</v>
      </c>
      <c r="O28" s="64">
        <v>0</v>
      </c>
      <c r="P28" s="64">
        <v>0.5</v>
      </c>
      <c r="Q28" s="64">
        <v>9.0299999999999994</v>
      </c>
      <c r="S28" s="198"/>
      <c r="T28" s="198"/>
      <c r="U28" s="198"/>
    </row>
    <row r="29" spans="1:21" s="12" customFormat="1" x14ac:dyDescent="0.25">
      <c r="A29" s="211" t="s">
        <v>2380</v>
      </c>
      <c r="B29" s="64">
        <v>8.7899999999999991</v>
      </c>
      <c r="C29" s="64">
        <v>10.62</v>
      </c>
      <c r="D29" s="64">
        <v>12.6</v>
      </c>
      <c r="E29" s="64">
        <v>6.39</v>
      </c>
      <c r="F29" s="64">
        <v>2.2400000000000002</v>
      </c>
      <c r="G29" s="64">
        <v>44.74</v>
      </c>
      <c r="H29" s="64">
        <v>13.76</v>
      </c>
      <c r="I29" s="64">
        <v>1.78</v>
      </c>
      <c r="J29" s="64">
        <v>0.22</v>
      </c>
      <c r="K29" s="64">
        <v>327.56</v>
      </c>
      <c r="L29" s="64">
        <v>21.9</v>
      </c>
      <c r="M29" s="64">
        <v>97.78</v>
      </c>
      <c r="N29" s="64">
        <v>38.700000000000003</v>
      </c>
      <c r="O29" s="64">
        <v>0</v>
      </c>
      <c r="P29" s="64">
        <v>0.51</v>
      </c>
      <c r="Q29" s="64">
        <v>9.0299999999999994</v>
      </c>
      <c r="S29" s="198"/>
      <c r="T29" s="198"/>
      <c r="U29" s="198"/>
    </row>
    <row r="30" spans="1:21" s="12" customFormat="1" x14ac:dyDescent="0.25">
      <c r="A30" s="211" t="s">
        <v>2381</v>
      </c>
      <c r="B30" s="64">
        <v>7.08</v>
      </c>
      <c r="C30" s="64">
        <v>8.6300000000000008</v>
      </c>
      <c r="D30" s="64">
        <v>10.19</v>
      </c>
      <c r="E30" s="64">
        <v>6.52</v>
      </c>
      <c r="F30" s="64">
        <v>2.13</v>
      </c>
      <c r="G30" s="64">
        <v>46.21</v>
      </c>
      <c r="H30" s="64">
        <v>13.76</v>
      </c>
      <c r="I30" s="64">
        <v>1.77</v>
      </c>
      <c r="J30" s="64">
        <v>0.14000000000000001</v>
      </c>
      <c r="K30" s="64">
        <v>161.54</v>
      </c>
      <c r="L30" s="64">
        <v>21.85</v>
      </c>
      <c r="M30" s="64">
        <v>97.8</v>
      </c>
      <c r="N30" s="64">
        <v>38.9</v>
      </c>
      <c r="O30" s="64">
        <v>0</v>
      </c>
      <c r="P30" s="64">
        <v>0.5</v>
      </c>
      <c r="Q30" s="64">
        <v>9.0399999999999991</v>
      </c>
      <c r="S30" s="198"/>
      <c r="T30" s="198"/>
      <c r="U30" s="198"/>
    </row>
    <row r="31" spans="1:21" s="12" customFormat="1" x14ac:dyDescent="0.25">
      <c r="A31" s="211" t="s">
        <v>2382</v>
      </c>
      <c r="B31" s="64">
        <v>7.93</v>
      </c>
      <c r="C31" s="64">
        <v>10.81</v>
      </c>
      <c r="D31" s="64">
        <v>12.01</v>
      </c>
      <c r="E31" s="64">
        <v>6.14</v>
      </c>
      <c r="F31" s="64">
        <v>2.1</v>
      </c>
      <c r="G31" s="64">
        <v>46.21</v>
      </c>
      <c r="H31" s="64">
        <v>13.76</v>
      </c>
      <c r="I31" s="64">
        <v>1.77</v>
      </c>
      <c r="J31" s="64">
        <v>0.08</v>
      </c>
      <c r="K31" s="64">
        <v>232</v>
      </c>
      <c r="L31" s="64">
        <v>21.83</v>
      </c>
      <c r="M31" s="64">
        <v>97.82</v>
      </c>
      <c r="N31" s="64">
        <v>39.200000000000003</v>
      </c>
      <c r="O31" s="64">
        <v>0</v>
      </c>
      <c r="P31" s="64">
        <v>0.51</v>
      </c>
      <c r="Q31" s="64">
        <v>9.0399999999999991</v>
      </c>
      <c r="S31" s="198"/>
      <c r="T31" s="198"/>
      <c r="U31" s="198"/>
    </row>
    <row r="32" spans="1:21" s="12" customFormat="1" x14ac:dyDescent="0.25">
      <c r="A32" s="211" t="s">
        <v>2383</v>
      </c>
      <c r="B32" s="64">
        <v>7.48</v>
      </c>
      <c r="C32" s="64">
        <v>10.37</v>
      </c>
      <c r="D32" s="64">
        <v>11.42</v>
      </c>
      <c r="E32" s="64">
        <v>6.49</v>
      </c>
      <c r="F32" s="64">
        <v>2.1</v>
      </c>
      <c r="G32" s="64">
        <v>46.21</v>
      </c>
      <c r="H32" s="64">
        <v>13.76</v>
      </c>
      <c r="I32" s="64">
        <v>1.78</v>
      </c>
      <c r="J32" s="64">
        <v>0.18</v>
      </c>
      <c r="K32" s="64">
        <v>137.71</v>
      </c>
      <c r="L32" s="64">
        <v>21.92</v>
      </c>
      <c r="M32" s="64">
        <v>97.83</v>
      </c>
      <c r="N32" s="64">
        <v>41.4</v>
      </c>
      <c r="O32" s="64">
        <v>0</v>
      </c>
      <c r="P32" s="64">
        <v>0.51</v>
      </c>
      <c r="Q32" s="64">
        <v>9.0500000000000007</v>
      </c>
      <c r="S32" s="198"/>
      <c r="T32" s="198"/>
      <c r="U32" s="198"/>
    </row>
    <row r="33" spans="1:21" s="12" customFormat="1" x14ac:dyDescent="0.25">
      <c r="A33" s="211" t="s">
        <v>2384</v>
      </c>
      <c r="B33" s="64">
        <v>7.47</v>
      </c>
      <c r="C33" s="64">
        <v>14.38</v>
      </c>
      <c r="D33" s="64">
        <v>13.5</v>
      </c>
      <c r="E33" s="64">
        <v>6.07</v>
      </c>
      <c r="F33" s="64">
        <v>2.1</v>
      </c>
      <c r="G33" s="64">
        <v>51.48</v>
      </c>
      <c r="H33" s="64">
        <v>12.93</v>
      </c>
      <c r="I33" s="64">
        <v>1.79</v>
      </c>
      <c r="J33" s="64">
        <v>0.15</v>
      </c>
      <c r="K33" s="64">
        <v>149.96</v>
      </c>
      <c r="L33" s="64">
        <v>21.99</v>
      </c>
      <c r="M33" s="64">
        <v>97.8</v>
      </c>
      <c r="N33" s="64">
        <v>48.2</v>
      </c>
      <c r="O33" s="64">
        <v>0</v>
      </c>
      <c r="P33" s="64">
        <v>0.52</v>
      </c>
      <c r="Q33" s="64">
        <v>9.06</v>
      </c>
      <c r="S33" s="198"/>
      <c r="T33" s="198"/>
      <c r="U33" s="198"/>
    </row>
    <row r="34" spans="1:21" s="12" customFormat="1" x14ac:dyDescent="0.25">
      <c r="A34" s="211" t="s">
        <v>2385</v>
      </c>
      <c r="B34" s="64">
        <v>7.89</v>
      </c>
      <c r="C34" s="64">
        <v>10.56</v>
      </c>
      <c r="D34" s="64">
        <v>11.85</v>
      </c>
      <c r="E34" s="64">
        <v>6.4</v>
      </c>
      <c r="F34" s="64">
        <v>2.1</v>
      </c>
      <c r="G34" s="64">
        <v>52.89</v>
      </c>
      <c r="H34" s="64">
        <v>12.93</v>
      </c>
      <c r="I34" s="64">
        <v>1.81</v>
      </c>
      <c r="J34" s="64">
        <v>0.05</v>
      </c>
      <c r="K34" s="64">
        <v>274.66000000000003</v>
      </c>
      <c r="L34" s="64">
        <v>22.18</v>
      </c>
      <c r="M34" s="64">
        <v>97.78</v>
      </c>
      <c r="N34" s="64">
        <v>62.5</v>
      </c>
      <c r="O34" s="64">
        <v>0</v>
      </c>
      <c r="P34" s="64">
        <v>0.51</v>
      </c>
      <c r="Q34" s="64">
        <v>9.0299999999999994</v>
      </c>
      <c r="S34" s="198"/>
      <c r="T34" s="198"/>
      <c r="U34" s="198"/>
    </row>
    <row r="35" spans="1:21" s="12" customFormat="1" x14ac:dyDescent="0.25">
      <c r="A35" s="211" t="s">
        <v>2386</v>
      </c>
      <c r="B35" s="64">
        <v>8.8000000000000007</v>
      </c>
      <c r="C35" s="64">
        <v>12.14</v>
      </c>
      <c r="D35" s="64">
        <v>13.4</v>
      </c>
      <c r="E35" s="64">
        <v>5.87</v>
      </c>
      <c r="F35" s="64">
        <v>2.38</v>
      </c>
      <c r="G35" s="64">
        <v>52.89</v>
      </c>
      <c r="H35" s="64">
        <v>12.93</v>
      </c>
      <c r="I35" s="64">
        <v>1.82</v>
      </c>
      <c r="J35" s="64">
        <v>0.11</v>
      </c>
      <c r="K35" s="64">
        <v>166.35</v>
      </c>
      <c r="L35" s="64">
        <v>22.56</v>
      </c>
      <c r="M35" s="64">
        <v>97.72</v>
      </c>
      <c r="N35" s="64">
        <v>102.9</v>
      </c>
      <c r="O35" s="64">
        <v>0</v>
      </c>
      <c r="P35" s="64">
        <v>0.52</v>
      </c>
      <c r="Q35" s="64">
        <v>9.02</v>
      </c>
      <c r="S35" s="198"/>
      <c r="T35" s="198"/>
      <c r="U35" s="198"/>
    </row>
    <row r="36" spans="1:21" s="12" customFormat="1" x14ac:dyDescent="0.25">
      <c r="A36" s="211" t="s">
        <v>2387</v>
      </c>
      <c r="B36" s="64">
        <v>8.48</v>
      </c>
      <c r="C36" s="64">
        <v>11.45</v>
      </c>
      <c r="D36" s="64">
        <v>12.78</v>
      </c>
      <c r="E36" s="64">
        <v>6.02</v>
      </c>
      <c r="F36" s="64">
        <v>3.86</v>
      </c>
      <c r="G36" s="64">
        <v>52.89</v>
      </c>
      <c r="H36" s="64">
        <v>12.93</v>
      </c>
      <c r="I36" s="64">
        <v>1.83</v>
      </c>
      <c r="J36" s="64">
        <v>0.11</v>
      </c>
      <c r="K36" s="64">
        <v>157.09</v>
      </c>
      <c r="L36" s="64">
        <v>23.5</v>
      </c>
      <c r="M36" s="64">
        <v>92.84</v>
      </c>
      <c r="N36" s="64">
        <v>151.69999999999999</v>
      </c>
      <c r="O36" s="64">
        <v>0</v>
      </c>
      <c r="P36" s="64">
        <v>0.53</v>
      </c>
      <c r="Q36" s="64">
        <v>9.0299999999999994</v>
      </c>
      <c r="S36" s="198"/>
      <c r="T36" s="198"/>
      <c r="U36" s="198"/>
    </row>
    <row r="37" spans="1:21" s="12" customFormat="1" x14ac:dyDescent="0.25">
      <c r="A37" s="211" t="s">
        <v>2388</v>
      </c>
      <c r="B37" s="64">
        <v>8.75</v>
      </c>
      <c r="C37" s="64">
        <v>11.57</v>
      </c>
      <c r="D37" s="64">
        <v>13.06</v>
      </c>
      <c r="E37" s="64">
        <v>6.06</v>
      </c>
      <c r="F37" s="64">
        <v>2.11</v>
      </c>
      <c r="G37" s="64">
        <v>66.349999999999994</v>
      </c>
      <c r="H37" s="64">
        <v>12.39</v>
      </c>
      <c r="I37" s="64">
        <v>1.85</v>
      </c>
      <c r="J37" s="64">
        <v>0.06</v>
      </c>
      <c r="K37" s="64">
        <v>249.29</v>
      </c>
      <c r="L37" s="64">
        <v>24.63</v>
      </c>
      <c r="M37" s="64">
        <v>85.71</v>
      </c>
      <c r="N37" s="64">
        <v>191.5</v>
      </c>
      <c r="O37" s="64">
        <v>0</v>
      </c>
      <c r="P37" s="64">
        <v>0.5</v>
      </c>
      <c r="Q37" s="64">
        <v>9.02</v>
      </c>
      <c r="S37" s="198"/>
      <c r="T37" s="198"/>
      <c r="U37" s="198"/>
    </row>
    <row r="38" spans="1:21" s="12" customFormat="1" x14ac:dyDescent="0.25">
      <c r="A38" s="211" t="s">
        <v>2389</v>
      </c>
      <c r="B38" s="64">
        <v>9.49</v>
      </c>
      <c r="C38" s="64">
        <v>13.3</v>
      </c>
      <c r="D38" s="64">
        <v>14.56</v>
      </c>
      <c r="E38" s="64">
        <v>6.1</v>
      </c>
      <c r="F38" s="64">
        <v>3.97</v>
      </c>
      <c r="G38" s="64">
        <v>69.95</v>
      </c>
      <c r="H38" s="64">
        <v>12.39</v>
      </c>
      <c r="I38" s="64">
        <v>1.87</v>
      </c>
      <c r="J38" s="64">
        <v>0.08</v>
      </c>
      <c r="K38" s="64">
        <v>224.93</v>
      </c>
      <c r="L38" s="64">
        <v>25.61</v>
      </c>
      <c r="M38" s="64">
        <v>79.3</v>
      </c>
      <c r="N38" s="64">
        <v>249</v>
      </c>
      <c r="O38" s="64">
        <v>0</v>
      </c>
      <c r="P38" s="64">
        <v>0.55000000000000004</v>
      </c>
      <c r="Q38" s="64">
        <v>9.02</v>
      </c>
      <c r="S38" s="198"/>
      <c r="T38" s="198"/>
      <c r="U38" s="198"/>
    </row>
    <row r="39" spans="1:21" s="12" customFormat="1" x14ac:dyDescent="0.25">
      <c r="A39" s="211" t="s">
        <v>2390</v>
      </c>
      <c r="B39" s="64">
        <v>8.34</v>
      </c>
      <c r="C39" s="64">
        <v>9.0399999999999991</v>
      </c>
      <c r="D39" s="64">
        <v>11.41</v>
      </c>
      <c r="E39" s="64">
        <v>5.98</v>
      </c>
      <c r="F39" s="64">
        <v>2.1</v>
      </c>
      <c r="G39" s="64">
        <v>69.95</v>
      </c>
      <c r="H39" s="64">
        <v>12.39</v>
      </c>
      <c r="I39" s="64">
        <v>1.89</v>
      </c>
      <c r="J39" s="64">
        <v>0.24</v>
      </c>
      <c r="K39" s="64">
        <v>141</v>
      </c>
      <c r="L39" s="64">
        <v>26.52</v>
      </c>
      <c r="M39" s="64">
        <v>74.12</v>
      </c>
      <c r="N39" s="64">
        <v>317.2</v>
      </c>
      <c r="O39" s="64">
        <v>0</v>
      </c>
      <c r="P39" s="64">
        <v>0.52</v>
      </c>
      <c r="Q39" s="64">
        <v>9.0299999999999994</v>
      </c>
      <c r="S39" s="198"/>
      <c r="T39" s="198"/>
      <c r="U39" s="198"/>
    </row>
    <row r="40" spans="1:21" s="12" customFormat="1" x14ac:dyDescent="0.25">
      <c r="A40" s="211" t="s">
        <v>2391</v>
      </c>
      <c r="B40" s="64">
        <v>8.91</v>
      </c>
      <c r="C40" s="64">
        <v>9.39</v>
      </c>
      <c r="D40" s="64">
        <v>12.05</v>
      </c>
      <c r="E40" s="64">
        <v>6.1</v>
      </c>
      <c r="F40" s="64">
        <v>8.2100000000000009</v>
      </c>
      <c r="G40" s="64">
        <v>69.95</v>
      </c>
      <c r="H40" s="64">
        <v>12.39</v>
      </c>
      <c r="I40" s="64">
        <v>1.92</v>
      </c>
      <c r="J40" s="64">
        <v>0.98</v>
      </c>
      <c r="K40" s="64">
        <v>126.63</v>
      </c>
      <c r="L40" s="64">
        <v>26.27</v>
      </c>
      <c r="M40" s="64">
        <v>74.83</v>
      </c>
      <c r="N40" s="64">
        <v>378.7</v>
      </c>
      <c r="O40" s="64">
        <v>0</v>
      </c>
      <c r="P40" s="64">
        <v>0.5</v>
      </c>
      <c r="Q40" s="64">
        <v>9.0299999999999994</v>
      </c>
      <c r="S40" s="198"/>
      <c r="T40" s="198"/>
      <c r="U40" s="198"/>
    </row>
    <row r="41" spans="1:21" s="12" customFormat="1" x14ac:dyDescent="0.25">
      <c r="A41" s="211" t="s">
        <v>2392</v>
      </c>
      <c r="B41" s="64">
        <v>7.97</v>
      </c>
      <c r="C41" s="64">
        <v>9.52</v>
      </c>
      <c r="D41" s="64">
        <v>11.37</v>
      </c>
      <c r="E41" s="64">
        <v>6.08</v>
      </c>
      <c r="F41" s="64">
        <v>4.22</v>
      </c>
      <c r="G41" s="64">
        <v>74.78</v>
      </c>
      <c r="H41" s="64">
        <v>12.03</v>
      </c>
      <c r="I41" s="64">
        <v>1.93</v>
      </c>
      <c r="J41" s="64">
        <v>0.94</v>
      </c>
      <c r="K41" s="64">
        <v>127.8</v>
      </c>
      <c r="L41" s="64">
        <v>26.88</v>
      </c>
      <c r="M41" s="64">
        <v>71.099999999999994</v>
      </c>
      <c r="N41" s="64">
        <v>426.3</v>
      </c>
      <c r="O41" s="64">
        <v>0</v>
      </c>
      <c r="P41" s="64">
        <v>0.51</v>
      </c>
      <c r="Q41" s="64">
        <v>9.0299999999999994</v>
      </c>
      <c r="S41" s="198"/>
      <c r="T41" s="198"/>
      <c r="U41" s="198"/>
    </row>
    <row r="42" spans="1:21" s="12" customFormat="1" x14ac:dyDescent="0.25">
      <c r="A42" s="211" t="s">
        <v>2393</v>
      </c>
      <c r="B42" s="64">
        <v>7.33</v>
      </c>
      <c r="C42" s="64">
        <v>9.66</v>
      </c>
      <c r="D42" s="64">
        <v>10.92</v>
      </c>
      <c r="E42" s="64">
        <v>6.62</v>
      </c>
      <c r="F42" s="64">
        <v>7.77</v>
      </c>
      <c r="G42" s="64">
        <v>76.069999999999993</v>
      </c>
      <c r="H42" s="64">
        <v>12.03</v>
      </c>
      <c r="I42" s="64">
        <v>1.92</v>
      </c>
      <c r="J42" s="64">
        <v>0.48</v>
      </c>
      <c r="K42" s="64">
        <v>132.32</v>
      </c>
      <c r="L42" s="64">
        <v>27.58</v>
      </c>
      <c r="M42" s="64">
        <v>68.010000000000005</v>
      </c>
      <c r="N42" s="64">
        <v>476.5</v>
      </c>
      <c r="O42" s="64">
        <v>0</v>
      </c>
      <c r="P42" s="64">
        <v>0.49</v>
      </c>
      <c r="Q42" s="64">
        <v>9.0399999999999991</v>
      </c>
      <c r="S42" s="198"/>
      <c r="T42" s="198"/>
      <c r="U42" s="198"/>
    </row>
    <row r="43" spans="1:21" s="12" customFormat="1" x14ac:dyDescent="0.25">
      <c r="A43" s="211" t="s">
        <v>2394</v>
      </c>
      <c r="B43" s="64">
        <v>8.26</v>
      </c>
      <c r="C43" s="64">
        <v>11.6</v>
      </c>
      <c r="D43" s="64">
        <v>12.68</v>
      </c>
      <c r="E43" s="64">
        <v>6.76</v>
      </c>
      <c r="F43" s="64">
        <v>6.76</v>
      </c>
      <c r="G43" s="64">
        <v>76.069999999999993</v>
      </c>
      <c r="H43" s="64">
        <v>12.03</v>
      </c>
      <c r="I43" s="64">
        <v>1.91</v>
      </c>
      <c r="J43" s="64">
        <v>0.41</v>
      </c>
      <c r="K43" s="64">
        <v>134.83000000000001</v>
      </c>
      <c r="L43" s="64">
        <v>28.62</v>
      </c>
      <c r="M43" s="64">
        <v>62.23</v>
      </c>
      <c r="N43" s="64">
        <v>529.29999999999995</v>
      </c>
      <c r="O43" s="64">
        <v>0</v>
      </c>
      <c r="P43" s="64">
        <v>0.5</v>
      </c>
      <c r="Q43" s="64">
        <v>9.0299999999999994</v>
      </c>
      <c r="S43" s="198"/>
      <c r="T43" s="198"/>
      <c r="U43" s="198"/>
    </row>
    <row r="44" spans="1:21" s="12" customFormat="1" x14ac:dyDescent="0.25">
      <c r="A44" s="211" t="s">
        <v>2395</v>
      </c>
      <c r="B44" s="64">
        <v>7.6</v>
      </c>
      <c r="C44" s="64">
        <v>12.34</v>
      </c>
      <c r="D44" s="64">
        <v>12.54</v>
      </c>
      <c r="E44" s="64">
        <v>7.46</v>
      </c>
      <c r="F44" s="64">
        <v>7.71</v>
      </c>
      <c r="G44" s="64">
        <v>76.069999999999993</v>
      </c>
      <c r="H44" s="64">
        <v>12.03</v>
      </c>
      <c r="I44" s="64">
        <v>1.91</v>
      </c>
      <c r="J44" s="64">
        <v>0.74</v>
      </c>
      <c r="K44" s="64">
        <v>131.88</v>
      </c>
      <c r="L44" s="64">
        <v>29.31</v>
      </c>
      <c r="M44" s="64">
        <v>60.16</v>
      </c>
      <c r="N44" s="64">
        <v>575.20000000000005</v>
      </c>
      <c r="O44" s="64">
        <v>0</v>
      </c>
      <c r="P44" s="64">
        <v>0.5</v>
      </c>
      <c r="Q44" s="64">
        <v>9.0399999999999991</v>
      </c>
      <c r="S44" s="198"/>
      <c r="T44" s="198"/>
      <c r="U44" s="198"/>
    </row>
    <row r="45" spans="1:21" s="12" customFormat="1" x14ac:dyDescent="0.25">
      <c r="A45" s="211" t="s">
        <v>2396</v>
      </c>
      <c r="B45" s="64">
        <v>7.11</v>
      </c>
      <c r="C45" s="64">
        <v>10.82</v>
      </c>
      <c r="D45" s="64">
        <v>11.36</v>
      </c>
      <c r="E45" s="64">
        <v>7.3</v>
      </c>
      <c r="F45" s="64">
        <v>6.68</v>
      </c>
      <c r="G45" s="64">
        <v>71.739999999999995</v>
      </c>
      <c r="H45" s="64">
        <v>14.4</v>
      </c>
      <c r="I45" s="64">
        <v>1.89</v>
      </c>
      <c r="J45" s="64">
        <v>0.65</v>
      </c>
      <c r="K45" s="64">
        <v>130.81</v>
      </c>
      <c r="L45" s="64">
        <v>29</v>
      </c>
      <c r="M45" s="64">
        <v>63.06</v>
      </c>
      <c r="N45" s="64">
        <v>615.6</v>
      </c>
      <c r="O45" s="64">
        <v>0</v>
      </c>
      <c r="P45" s="64">
        <v>0.45</v>
      </c>
      <c r="Q45" s="64">
        <v>9.0500000000000007</v>
      </c>
      <c r="S45" s="198"/>
      <c r="T45" s="198"/>
      <c r="U45" s="198"/>
    </row>
    <row r="46" spans="1:21" s="12" customFormat="1" x14ac:dyDescent="0.25">
      <c r="A46" s="211" t="s">
        <v>2397</v>
      </c>
      <c r="B46" s="64">
        <v>7.48</v>
      </c>
      <c r="C46" s="64">
        <v>8.94</v>
      </c>
      <c r="D46" s="64">
        <v>10.67</v>
      </c>
      <c r="E46" s="64">
        <v>7.95</v>
      </c>
      <c r="F46" s="64">
        <v>6.36</v>
      </c>
      <c r="G46" s="64">
        <v>70.58</v>
      </c>
      <c r="H46" s="64">
        <v>14.4</v>
      </c>
      <c r="I46" s="64">
        <v>1.86</v>
      </c>
      <c r="J46" s="64">
        <v>0.91</v>
      </c>
      <c r="K46" s="64">
        <v>127.22</v>
      </c>
      <c r="L46" s="64">
        <v>28.74</v>
      </c>
      <c r="M46" s="64">
        <v>64.81</v>
      </c>
      <c r="N46" s="64">
        <v>653.79999999999995</v>
      </c>
      <c r="O46" s="64">
        <v>0</v>
      </c>
      <c r="P46" s="64">
        <v>0.46</v>
      </c>
      <c r="Q46" s="64">
        <v>9.07</v>
      </c>
      <c r="S46" s="198"/>
      <c r="T46" s="198"/>
      <c r="U46" s="198"/>
    </row>
    <row r="47" spans="1:21" s="12" customFormat="1" x14ac:dyDescent="0.25">
      <c r="A47" s="211" t="s">
        <v>2398</v>
      </c>
      <c r="B47" s="64">
        <v>6.9</v>
      </c>
      <c r="C47" s="64">
        <v>10.45</v>
      </c>
      <c r="D47" s="64">
        <v>10.99</v>
      </c>
      <c r="E47" s="64">
        <v>8.19</v>
      </c>
      <c r="F47" s="64">
        <v>6.32</v>
      </c>
      <c r="G47" s="64">
        <v>70.58</v>
      </c>
      <c r="H47" s="64">
        <v>14.4</v>
      </c>
      <c r="I47" s="64">
        <v>1.85</v>
      </c>
      <c r="J47" s="64">
        <v>0.69</v>
      </c>
      <c r="K47" s="64">
        <v>127.92</v>
      </c>
      <c r="L47" s="64">
        <v>29.49</v>
      </c>
      <c r="M47" s="64">
        <v>63.21</v>
      </c>
      <c r="N47" s="64">
        <v>695.7</v>
      </c>
      <c r="O47" s="64">
        <v>0</v>
      </c>
      <c r="P47" s="64">
        <v>0.47</v>
      </c>
      <c r="Q47" s="64">
        <v>9.07</v>
      </c>
      <c r="S47" s="198"/>
      <c r="T47" s="198"/>
      <c r="U47" s="198"/>
    </row>
    <row r="48" spans="1:21" s="12" customFormat="1" x14ac:dyDescent="0.25">
      <c r="A48" s="211" t="s">
        <v>2399</v>
      </c>
      <c r="B48" s="64">
        <v>6.72</v>
      </c>
      <c r="C48" s="64">
        <v>9.86</v>
      </c>
      <c r="D48" s="64">
        <v>10.54</v>
      </c>
      <c r="E48" s="64">
        <v>8.43</v>
      </c>
      <c r="F48" s="64">
        <v>7.16</v>
      </c>
      <c r="G48" s="64">
        <v>70.58</v>
      </c>
      <c r="H48" s="64">
        <v>14.4</v>
      </c>
      <c r="I48" s="64">
        <v>1.83</v>
      </c>
      <c r="J48" s="64">
        <v>0.88</v>
      </c>
      <c r="K48" s="64">
        <v>128.96</v>
      </c>
      <c r="L48" s="64">
        <v>29.21</v>
      </c>
      <c r="M48" s="64">
        <v>64.56</v>
      </c>
      <c r="N48" s="64">
        <v>731.7</v>
      </c>
      <c r="O48" s="64">
        <v>0</v>
      </c>
      <c r="P48" s="64">
        <v>0.45</v>
      </c>
      <c r="Q48" s="64">
        <v>9.06</v>
      </c>
      <c r="S48" s="198"/>
      <c r="T48" s="198"/>
      <c r="U48" s="198"/>
    </row>
    <row r="49" spans="1:21" s="12" customFormat="1" x14ac:dyDescent="0.25">
      <c r="A49" s="211" t="s">
        <v>2400</v>
      </c>
      <c r="B49" s="64">
        <v>8.06</v>
      </c>
      <c r="C49" s="64">
        <v>12.25</v>
      </c>
      <c r="D49" s="64">
        <v>12.86</v>
      </c>
      <c r="E49" s="64">
        <v>9.2899999999999991</v>
      </c>
      <c r="F49" s="64">
        <v>8.6300000000000008</v>
      </c>
      <c r="G49" s="64">
        <v>64.02</v>
      </c>
      <c r="H49" s="64">
        <v>13.74</v>
      </c>
      <c r="I49" s="64">
        <v>1.83</v>
      </c>
      <c r="J49" s="64">
        <v>0.72</v>
      </c>
      <c r="K49" s="64">
        <v>129</v>
      </c>
      <c r="L49" s="64">
        <v>29.86</v>
      </c>
      <c r="M49" s="64">
        <v>61.12</v>
      </c>
      <c r="N49" s="64">
        <v>757.6</v>
      </c>
      <c r="O49" s="64">
        <v>0</v>
      </c>
      <c r="P49" s="64">
        <v>0.47</v>
      </c>
      <c r="Q49" s="64">
        <v>9.06</v>
      </c>
      <c r="S49" s="198"/>
      <c r="T49" s="198"/>
      <c r="U49" s="198"/>
    </row>
    <row r="50" spans="1:21" s="12" customFormat="1" x14ac:dyDescent="0.25">
      <c r="A50" s="211" t="s">
        <v>2401</v>
      </c>
      <c r="B50" s="64">
        <v>6.45</v>
      </c>
      <c r="C50" s="64">
        <v>9.84</v>
      </c>
      <c r="D50" s="64">
        <v>10.32</v>
      </c>
      <c r="E50" s="64">
        <v>8.7799999999999994</v>
      </c>
      <c r="F50" s="64">
        <v>8.5</v>
      </c>
      <c r="G50" s="64">
        <v>62.26</v>
      </c>
      <c r="H50" s="64">
        <v>13.74</v>
      </c>
      <c r="I50" s="64">
        <v>1.82</v>
      </c>
      <c r="J50" s="64">
        <v>0.72</v>
      </c>
      <c r="K50" s="64">
        <v>128.97</v>
      </c>
      <c r="L50" s="64">
        <v>29.9</v>
      </c>
      <c r="M50" s="64">
        <v>59.28</v>
      </c>
      <c r="N50" s="64">
        <v>761.9</v>
      </c>
      <c r="O50" s="64">
        <v>0</v>
      </c>
      <c r="P50" s="64">
        <v>0.43</v>
      </c>
      <c r="Q50" s="64">
        <v>9.0500000000000007</v>
      </c>
      <c r="S50" s="198"/>
      <c r="T50" s="198"/>
      <c r="U50" s="198"/>
    </row>
    <row r="51" spans="1:21" s="12" customFormat="1" x14ac:dyDescent="0.25">
      <c r="A51" s="211" t="s">
        <v>2402</v>
      </c>
      <c r="B51" s="64">
        <v>6.71</v>
      </c>
      <c r="C51" s="64">
        <v>9.57</v>
      </c>
      <c r="D51" s="64">
        <v>10.38</v>
      </c>
      <c r="E51" s="64">
        <v>8.26</v>
      </c>
      <c r="F51" s="64">
        <v>5.04</v>
      </c>
      <c r="G51" s="64">
        <v>62.26</v>
      </c>
      <c r="H51" s="64">
        <v>13.74</v>
      </c>
      <c r="I51" s="64">
        <v>1.8</v>
      </c>
      <c r="J51" s="64">
        <v>0.9</v>
      </c>
      <c r="K51" s="64">
        <v>125.43</v>
      </c>
      <c r="L51" s="64">
        <v>29.79</v>
      </c>
      <c r="M51" s="64">
        <v>55.61</v>
      </c>
      <c r="N51" s="64">
        <v>759.6</v>
      </c>
      <c r="O51" s="64">
        <v>0</v>
      </c>
      <c r="P51" s="64">
        <v>0.47</v>
      </c>
      <c r="Q51" s="64">
        <v>9.0399999999999991</v>
      </c>
      <c r="S51" s="198"/>
      <c r="T51" s="198"/>
      <c r="U51" s="198"/>
    </row>
    <row r="52" spans="1:21" s="12" customFormat="1" x14ac:dyDescent="0.25">
      <c r="A52" s="211" t="s">
        <v>2403</v>
      </c>
      <c r="B52" s="64">
        <v>7.67</v>
      </c>
      <c r="C52" s="64">
        <v>12.99</v>
      </c>
      <c r="D52" s="64">
        <v>12.94</v>
      </c>
      <c r="E52" s="64">
        <v>8.4600000000000009</v>
      </c>
      <c r="F52" s="64">
        <v>6.36</v>
      </c>
      <c r="G52" s="64">
        <v>62.26</v>
      </c>
      <c r="H52" s="64">
        <v>13.74</v>
      </c>
      <c r="I52" s="64">
        <v>1.8</v>
      </c>
      <c r="J52" s="64">
        <v>0.18</v>
      </c>
      <c r="K52" s="64">
        <v>326.52</v>
      </c>
      <c r="L52" s="64">
        <v>30.39</v>
      </c>
      <c r="M52" s="64">
        <v>52.07</v>
      </c>
      <c r="N52" s="64">
        <v>788.6</v>
      </c>
      <c r="O52" s="64">
        <v>0</v>
      </c>
      <c r="P52" s="64">
        <v>0.47</v>
      </c>
      <c r="Q52" s="64">
        <v>9.0299999999999994</v>
      </c>
      <c r="S52" s="198"/>
      <c r="T52" s="198"/>
      <c r="U52" s="198"/>
    </row>
    <row r="53" spans="1:21" s="12" customFormat="1" x14ac:dyDescent="0.25">
      <c r="A53" s="211" t="s">
        <v>2404</v>
      </c>
      <c r="B53" s="64">
        <v>7.28</v>
      </c>
      <c r="C53" s="64">
        <v>9.2799999999999994</v>
      </c>
      <c r="D53" s="64">
        <v>10.69</v>
      </c>
      <c r="E53" s="64">
        <v>10.210000000000001</v>
      </c>
      <c r="F53" s="64">
        <v>10.97</v>
      </c>
      <c r="G53" s="64">
        <v>55.62</v>
      </c>
      <c r="H53" s="64">
        <v>13.19</v>
      </c>
      <c r="I53" s="64">
        <v>1.77</v>
      </c>
      <c r="J53" s="64">
        <v>0.82</v>
      </c>
      <c r="K53" s="64">
        <v>128.29</v>
      </c>
      <c r="L53" s="64">
        <v>30.35</v>
      </c>
      <c r="M53" s="64">
        <v>53.63</v>
      </c>
      <c r="N53" s="64">
        <v>809.9</v>
      </c>
      <c r="O53" s="64">
        <v>0</v>
      </c>
      <c r="P53" s="64">
        <v>0.42</v>
      </c>
      <c r="Q53" s="64">
        <v>9.01</v>
      </c>
      <c r="S53" s="198"/>
      <c r="T53" s="198"/>
      <c r="U53" s="198"/>
    </row>
    <row r="54" spans="1:21" s="12" customFormat="1" x14ac:dyDescent="0.25">
      <c r="A54" s="211" t="s">
        <v>2405</v>
      </c>
      <c r="B54" s="64">
        <v>7.1</v>
      </c>
      <c r="C54" s="64">
        <v>10.029999999999999</v>
      </c>
      <c r="D54" s="64">
        <v>10.94</v>
      </c>
      <c r="E54" s="64">
        <v>8.4</v>
      </c>
      <c r="F54" s="64">
        <v>6.2</v>
      </c>
      <c r="G54" s="64">
        <v>53.85</v>
      </c>
      <c r="H54" s="64">
        <v>13.19</v>
      </c>
      <c r="I54" s="64">
        <v>1.74</v>
      </c>
      <c r="J54" s="64">
        <v>0.55000000000000004</v>
      </c>
      <c r="K54" s="64">
        <v>122.94</v>
      </c>
      <c r="L54" s="64">
        <v>30.37</v>
      </c>
      <c r="M54" s="64">
        <v>53.82</v>
      </c>
      <c r="N54" s="64">
        <v>677</v>
      </c>
      <c r="O54" s="64">
        <v>0</v>
      </c>
      <c r="P54" s="64">
        <v>0.47</v>
      </c>
      <c r="Q54" s="64">
        <v>9.01</v>
      </c>
      <c r="S54" s="198"/>
      <c r="T54" s="198"/>
      <c r="U54" s="198"/>
    </row>
    <row r="55" spans="1:21" s="12" customFormat="1" x14ac:dyDescent="0.25">
      <c r="A55" s="211" t="s">
        <v>2406</v>
      </c>
      <c r="B55" s="64">
        <v>6.49</v>
      </c>
      <c r="C55" s="64">
        <v>9.98</v>
      </c>
      <c r="D55" s="64">
        <v>10.42</v>
      </c>
      <c r="E55" s="64">
        <v>9.4700000000000006</v>
      </c>
      <c r="F55" s="64">
        <v>6.86</v>
      </c>
      <c r="G55" s="64">
        <v>53.85</v>
      </c>
      <c r="H55" s="64">
        <v>13.19</v>
      </c>
      <c r="I55" s="64">
        <v>1.71</v>
      </c>
      <c r="J55" s="64">
        <v>1.1299999999999999</v>
      </c>
      <c r="K55" s="64">
        <v>128.72</v>
      </c>
      <c r="L55" s="64">
        <v>29.7</v>
      </c>
      <c r="M55" s="64">
        <v>51.74</v>
      </c>
      <c r="N55" s="64">
        <v>744.2</v>
      </c>
      <c r="O55" s="64">
        <v>0</v>
      </c>
      <c r="P55" s="64">
        <v>0.41</v>
      </c>
      <c r="Q55" s="64">
        <v>9</v>
      </c>
      <c r="S55" s="198"/>
      <c r="T55" s="198"/>
      <c r="U55" s="198"/>
    </row>
    <row r="56" spans="1:21" s="12" customFormat="1" x14ac:dyDescent="0.25">
      <c r="A56" s="211" t="s">
        <v>2407</v>
      </c>
      <c r="B56" s="64">
        <v>6.73</v>
      </c>
      <c r="C56" s="64">
        <v>10.72</v>
      </c>
      <c r="D56" s="64">
        <v>11</v>
      </c>
      <c r="E56" s="64">
        <v>8.7899999999999991</v>
      </c>
      <c r="F56" s="64">
        <v>6.1</v>
      </c>
      <c r="G56" s="64">
        <v>53.85</v>
      </c>
      <c r="H56" s="64">
        <v>13.19</v>
      </c>
      <c r="I56" s="64">
        <v>1.69</v>
      </c>
      <c r="J56" s="64">
        <v>0.61</v>
      </c>
      <c r="K56" s="64">
        <v>127.68</v>
      </c>
      <c r="L56" s="64">
        <v>30.17</v>
      </c>
      <c r="M56" s="64">
        <v>50.4</v>
      </c>
      <c r="N56" s="64">
        <v>808</v>
      </c>
      <c r="O56" s="64">
        <v>0</v>
      </c>
      <c r="P56" s="64">
        <v>0.44</v>
      </c>
      <c r="Q56" s="64">
        <v>8.99</v>
      </c>
      <c r="S56" s="198"/>
      <c r="T56" s="198"/>
      <c r="U56" s="198"/>
    </row>
    <row r="57" spans="1:21" s="12" customFormat="1" x14ac:dyDescent="0.25">
      <c r="A57" s="211" t="s">
        <v>2408</v>
      </c>
      <c r="B57" s="64">
        <v>6.28</v>
      </c>
      <c r="C57" s="64">
        <v>9.48</v>
      </c>
      <c r="D57" s="64">
        <v>9.99</v>
      </c>
      <c r="E57" s="64">
        <v>9.36</v>
      </c>
      <c r="F57" s="64">
        <v>10.74</v>
      </c>
      <c r="G57" s="64">
        <v>50.58</v>
      </c>
      <c r="H57" s="64">
        <v>12.8</v>
      </c>
      <c r="I57" s="64">
        <v>1.67</v>
      </c>
      <c r="J57" s="64">
        <v>1.29</v>
      </c>
      <c r="K57" s="64">
        <v>124.42</v>
      </c>
      <c r="L57" s="64">
        <v>29.8</v>
      </c>
      <c r="M57" s="64">
        <v>49.23</v>
      </c>
      <c r="N57" s="64">
        <v>722.2</v>
      </c>
      <c r="O57" s="64">
        <v>0</v>
      </c>
      <c r="P57" s="64">
        <v>0.37</v>
      </c>
      <c r="Q57" s="64">
        <v>9</v>
      </c>
      <c r="S57" s="198"/>
      <c r="T57" s="198"/>
      <c r="U57" s="198"/>
    </row>
    <row r="58" spans="1:21" s="12" customFormat="1" x14ac:dyDescent="0.25">
      <c r="A58" s="211" t="s">
        <v>2409</v>
      </c>
      <c r="B58" s="64">
        <v>6.38</v>
      </c>
      <c r="C58" s="64">
        <v>11.95</v>
      </c>
      <c r="D58" s="64">
        <v>11.36</v>
      </c>
      <c r="E58" s="64">
        <v>10.01</v>
      </c>
      <c r="F58" s="64">
        <v>11.06</v>
      </c>
      <c r="G58" s="64">
        <v>49.7</v>
      </c>
      <c r="H58" s="64">
        <v>12.8</v>
      </c>
      <c r="I58" s="64">
        <v>1.65</v>
      </c>
      <c r="J58" s="64">
        <v>0.48</v>
      </c>
      <c r="K58" s="64">
        <v>129.93</v>
      </c>
      <c r="L58" s="64">
        <v>30.42</v>
      </c>
      <c r="M58" s="64">
        <v>49.88</v>
      </c>
      <c r="N58" s="64">
        <v>766.7</v>
      </c>
      <c r="O58" s="64">
        <v>0</v>
      </c>
      <c r="P58" s="64">
        <v>0.38</v>
      </c>
      <c r="Q58" s="64">
        <v>9</v>
      </c>
      <c r="S58" s="198"/>
      <c r="T58" s="198"/>
      <c r="U58" s="198"/>
    </row>
    <row r="59" spans="1:21" s="12" customFormat="1" x14ac:dyDescent="0.25">
      <c r="A59" s="211" t="s">
        <v>2410</v>
      </c>
      <c r="B59" s="64">
        <v>6.01</v>
      </c>
      <c r="C59" s="64">
        <v>9.9499999999999993</v>
      </c>
      <c r="D59" s="64">
        <v>10.02</v>
      </c>
      <c r="E59" s="64">
        <v>10.210000000000001</v>
      </c>
      <c r="F59" s="64">
        <v>12.92</v>
      </c>
      <c r="G59" s="64">
        <v>49.7</v>
      </c>
      <c r="H59" s="64">
        <v>12.8</v>
      </c>
      <c r="I59" s="64">
        <v>1.63</v>
      </c>
      <c r="J59" s="64">
        <v>1.01</v>
      </c>
      <c r="K59" s="64">
        <v>129.37</v>
      </c>
      <c r="L59" s="64">
        <v>30.25</v>
      </c>
      <c r="M59" s="64">
        <v>49.51</v>
      </c>
      <c r="N59" s="64">
        <v>757</v>
      </c>
      <c r="O59" s="64">
        <v>0</v>
      </c>
      <c r="P59" s="64">
        <v>0.35</v>
      </c>
      <c r="Q59" s="64">
        <v>8.99</v>
      </c>
      <c r="S59" s="198"/>
      <c r="T59" s="198"/>
      <c r="U59" s="198"/>
    </row>
    <row r="60" spans="1:21" s="12" customFormat="1" x14ac:dyDescent="0.25">
      <c r="A60" s="211" t="s">
        <v>2411</v>
      </c>
      <c r="B60" s="64">
        <v>5.99</v>
      </c>
      <c r="C60" s="64">
        <v>10.210000000000001</v>
      </c>
      <c r="D60" s="64">
        <v>10.130000000000001</v>
      </c>
      <c r="E60" s="64">
        <v>8.58</v>
      </c>
      <c r="F60" s="64">
        <v>10.07</v>
      </c>
      <c r="G60" s="64">
        <v>49.7</v>
      </c>
      <c r="H60" s="64">
        <v>12.8</v>
      </c>
      <c r="I60" s="64">
        <v>1.6</v>
      </c>
      <c r="J60" s="64">
        <v>0.84</v>
      </c>
      <c r="K60" s="64">
        <v>141.25</v>
      </c>
      <c r="L60" s="64">
        <v>29.84</v>
      </c>
      <c r="M60" s="64">
        <v>51.79</v>
      </c>
      <c r="N60" s="64">
        <v>649.29999999999995</v>
      </c>
      <c r="O60" s="64">
        <v>0</v>
      </c>
      <c r="P60" s="64">
        <v>0.37</v>
      </c>
      <c r="Q60" s="64">
        <v>8.99</v>
      </c>
      <c r="S60" s="198"/>
      <c r="T60" s="198"/>
      <c r="U60" s="198"/>
    </row>
    <row r="61" spans="1:21" s="12" customFormat="1" x14ac:dyDescent="0.25">
      <c r="A61" s="211" t="s">
        <v>2412</v>
      </c>
      <c r="B61" s="64">
        <v>5.85</v>
      </c>
      <c r="C61" s="64">
        <v>10.01</v>
      </c>
      <c r="D61" s="64">
        <v>9.92</v>
      </c>
      <c r="E61" s="64">
        <v>9.06</v>
      </c>
      <c r="F61" s="64">
        <v>9.35</v>
      </c>
      <c r="G61" s="64">
        <v>43.8</v>
      </c>
      <c r="H61" s="64">
        <v>14.61</v>
      </c>
      <c r="I61" s="64">
        <v>1.57</v>
      </c>
      <c r="J61" s="64">
        <v>0.69</v>
      </c>
      <c r="K61" s="64">
        <v>123.56</v>
      </c>
      <c r="L61" s="64">
        <v>29.57</v>
      </c>
      <c r="M61" s="64">
        <v>51.33</v>
      </c>
      <c r="N61" s="64">
        <v>395.8</v>
      </c>
      <c r="O61" s="64">
        <v>0</v>
      </c>
      <c r="P61" s="64">
        <v>0.34</v>
      </c>
      <c r="Q61" s="64">
        <v>8.99</v>
      </c>
      <c r="S61" s="198"/>
      <c r="T61" s="198"/>
      <c r="U61" s="198"/>
    </row>
    <row r="62" spans="1:21" s="12" customFormat="1" x14ac:dyDescent="0.25">
      <c r="A62" s="211" t="s">
        <v>2413</v>
      </c>
      <c r="B62" s="64">
        <v>5.84</v>
      </c>
      <c r="C62" s="64">
        <v>10.95</v>
      </c>
      <c r="D62" s="64">
        <v>10.41</v>
      </c>
      <c r="E62" s="64">
        <v>8.75</v>
      </c>
      <c r="F62" s="64">
        <v>10.95</v>
      </c>
      <c r="G62" s="64">
        <v>42.23</v>
      </c>
      <c r="H62" s="64">
        <v>14.61</v>
      </c>
      <c r="I62" s="64">
        <v>1.53</v>
      </c>
      <c r="J62" s="64">
        <v>0.67</v>
      </c>
      <c r="K62" s="64">
        <v>124.14</v>
      </c>
      <c r="L62" s="64">
        <v>29.92</v>
      </c>
      <c r="M62" s="64">
        <v>48.64</v>
      </c>
      <c r="N62" s="64">
        <v>332.7</v>
      </c>
      <c r="O62" s="64">
        <v>0</v>
      </c>
      <c r="P62" s="64">
        <v>0.32</v>
      </c>
      <c r="Q62" s="64">
        <v>9</v>
      </c>
      <c r="S62" s="198"/>
      <c r="T62" s="198"/>
      <c r="U62" s="198"/>
    </row>
    <row r="63" spans="1:21" s="12" customFormat="1" x14ac:dyDescent="0.25">
      <c r="A63" s="211" t="s">
        <v>2414</v>
      </c>
      <c r="B63" s="64">
        <v>5.72</v>
      </c>
      <c r="C63" s="64">
        <v>10.59</v>
      </c>
      <c r="D63" s="64">
        <v>10.130000000000001</v>
      </c>
      <c r="E63" s="64">
        <v>7</v>
      </c>
      <c r="F63" s="64">
        <v>9.77</v>
      </c>
      <c r="G63" s="64">
        <v>42.23</v>
      </c>
      <c r="H63" s="64">
        <v>14.61</v>
      </c>
      <c r="I63" s="64">
        <v>1.49</v>
      </c>
      <c r="J63" s="64">
        <v>0.6</v>
      </c>
      <c r="K63" s="64">
        <v>135.22999999999999</v>
      </c>
      <c r="L63" s="64">
        <v>30.29</v>
      </c>
      <c r="M63" s="64">
        <v>47.29</v>
      </c>
      <c r="N63" s="64">
        <v>224.6</v>
      </c>
      <c r="O63" s="64">
        <v>0</v>
      </c>
      <c r="P63" s="64">
        <v>0.33</v>
      </c>
      <c r="Q63" s="64">
        <v>9.01</v>
      </c>
      <c r="S63" s="198"/>
      <c r="T63" s="198"/>
      <c r="U63" s="198"/>
    </row>
    <row r="64" spans="1:21" s="12" customFormat="1" x14ac:dyDescent="0.25">
      <c r="A64" s="211" t="s">
        <v>2415</v>
      </c>
      <c r="B64" s="64">
        <v>6.27</v>
      </c>
      <c r="C64" s="64">
        <v>13.2</v>
      </c>
      <c r="D64" s="64">
        <v>11.92</v>
      </c>
      <c r="E64" s="64">
        <v>9</v>
      </c>
      <c r="F64" s="64">
        <v>11.46</v>
      </c>
      <c r="G64" s="64">
        <v>42.23</v>
      </c>
      <c r="H64" s="64">
        <v>14.61</v>
      </c>
      <c r="I64" s="64">
        <v>1.48</v>
      </c>
      <c r="J64" s="64">
        <v>0.65</v>
      </c>
      <c r="K64" s="64">
        <v>128.13999999999999</v>
      </c>
      <c r="L64" s="64">
        <v>29.95</v>
      </c>
      <c r="M64" s="64">
        <v>48.99</v>
      </c>
      <c r="N64" s="64">
        <v>159.6</v>
      </c>
      <c r="O64" s="64">
        <v>0</v>
      </c>
      <c r="P64" s="64">
        <v>0.36</v>
      </c>
      <c r="Q64" s="64">
        <v>9.01</v>
      </c>
      <c r="S64" s="198"/>
      <c r="T64" s="198"/>
      <c r="U64" s="198"/>
    </row>
    <row r="65" spans="1:21" s="12" customFormat="1" x14ac:dyDescent="0.25">
      <c r="A65" s="211" t="s">
        <v>2416</v>
      </c>
      <c r="B65" s="64">
        <v>6.7</v>
      </c>
      <c r="C65" s="64">
        <v>11.73</v>
      </c>
      <c r="D65" s="64">
        <v>11.5</v>
      </c>
      <c r="E65" s="64">
        <v>9.48</v>
      </c>
      <c r="F65" s="64">
        <v>11.06</v>
      </c>
      <c r="G65" s="64">
        <v>38.64</v>
      </c>
      <c r="H65" s="64">
        <v>14.1</v>
      </c>
      <c r="I65" s="64">
        <v>1.45</v>
      </c>
      <c r="J65" s="64">
        <v>0.72</v>
      </c>
      <c r="K65" s="64">
        <v>124.59</v>
      </c>
      <c r="L65" s="64">
        <v>29.14</v>
      </c>
      <c r="M65" s="64">
        <v>51.38</v>
      </c>
      <c r="N65" s="64">
        <v>152.4</v>
      </c>
      <c r="O65" s="64">
        <v>0</v>
      </c>
      <c r="P65" s="64">
        <v>0.33</v>
      </c>
      <c r="Q65" s="64">
        <v>9</v>
      </c>
      <c r="S65" s="198"/>
      <c r="T65" s="198"/>
      <c r="U65" s="198"/>
    </row>
    <row r="66" spans="1:21" s="12" customFormat="1" x14ac:dyDescent="0.25">
      <c r="A66" s="211" t="s">
        <v>2417</v>
      </c>
      <c r="B66" s="64">
        <v>5.52</v>
      </c>
      <c r="C66" s="64">
        <v>10.41</v>
      </c>
      <c r="D66" s="64">
        <v>9.8699999999999992</v>
      </c>
      <c r="E66" s="64">
        <v>9.23</v>
      </c>
      <c r="F66" s="64">
        <v>10.66</v>
      </c>
      <c r="G66" s="64">
        <v>37.68</v>
      </c>
      <c r="H66" s="64">
        <v>14.1</v>
      </c>
      <c r="I66" s="64">
        <v>1.43</v>
      </c>
      <c r="J66" s="64">
        <v>0.7</v>
      </c>
      <c r="K66" s="64">
        <v>123.39</v>
      </c>
      <c r="L66" s="64">
        <v>29.45</v>
      </c>
      <c r="M66" s="64">
        <v>50.03</v>
      </c>
      <c r="N66" s="64">
        <v>142</v>
      </c>
      <c r="O66" s="64">
        <v>0</v>
      </c>
      <c r="P66" s="64">
        <v>0.31</v>
      </c>
      <c r="Q66" s="64">
        <v>9.01</v>
      </c>
      <c r="S66" s="198"/>
      <c r="T66" s="198"/>
      <c r="U66" s="198"/>
    </row>
    <row r="67" spans="1:21" s="12" customFormat="1" x14ac:dyDescent="0.25">
      <c r="A67" s="211" t="s">
        <v>2418</v>
      </c>
      <c r="B67" s="64">
        <v>8.9499999999999993</v>
      </c>
      <c r="C67" s="64">
        <v>13.73</v>
      </c>
      <c r="D67" s="64">
        <v>14.35</v>
      </c>
      <c r="E67" s="64">
        <v>9.92</v>
      </c>
      <c r="F67" s="64">
        <v>10.37</v>
      </c>
      <c r="G67" s="64">
        <v>37.68</v>
      </c>
      <c r="H67" s="64">
        <v>14.1</v>
      </c>
      <c r="I67" s="64">
        <v>1.42</v>
      </c>
      <c r="J67" s="64">
        <v>0.47</v>
      </c>
      <c r="K67" s="64">
        <v>129.13999999999999</v>
      </c>
      <c r="L67" s="64">
        <v>29.56</v>
      </c>
      <c r="M67" s="64">
        <v>49.97</v>
      </c>
      <c r="N67" s="64">
        <v>115</v>
      </c>
      <c r="O67" s="64">
        <v>0</v>
      </c>
      <c r="P67" s="64">
        <v>0.36</v>
      </c>
      <c r="Q67" s="64">
        <v>9.01</v>
      </c>
      <c r="S67" s="198"/>
      <c r="T67" s="198"/>
      <c r="U67" s="198"/>
    </row>
    <row r="68" spans="1:21" s="12" customFormat="1" x14ac:dyDescent="0.25">
      <c r="A68" s="211" t="s">
        <v>2419</v>
      </c>
      <c r="B68" s="64">
        <v>5.47</v>
      </c>
      <c r="C68" s="64">
        <v>8.91</v>
      </c>
      <c r="D68" s="64">
        <v>9.0399999999999991</v>
      </c>
      <c r="E68" s="64">
        <v>9.41</v>
      </c>
      <c r="F68" s="64">
        <v>11.92</v>
      </c>
      <c r="G68" s="64">
        <v>37.68</v>
      </c>
      <c r="H68" s="64">
        <v>14.1</v>
      </c>
      <c r="I68" s="64">
        <v>1.4</v>
      </c>
      <c r="J68" s="64">
        <v>1.04</v>
      </c>
      <c r="K68" s="64">
        <v>113.92</v>
      </c>
      <c r="L68" s="64">
        <v>29.14</v>
      </c>
      <c r="M68" s="64">
        <v>49.74</v>
      </c>
      <c r="N68" s="64">
        <v>110.7</v>
      </c>
      <c r="O68" s="64">
        <v>0</v>
      </c>
      <c r="P68" s="64">
        <v>0.31</v>
      </c>
      <c r="Q68" s="64">
        <v>9.02</v>
      </c>
      <c r="S68" s="198"/>
      <c r="T68" s="198"/>
      <c r="U68" s="198"/>
    </row>
    <row r="69" spans="1:21" s="12" customFormat="1" x14ac:dyDescent="0.25">
      <c r="A69" s="211" t="s">
        <v>2420</v>
      </c>
      <c r="B69" s="64">
        <v>7.85</v>
      </c>
      <c r="C69" s="64">
        <v>10.48</v>
      </c>
      <c r="D69" s="64">
        <v>11.77</v>
      </c>
      <c r="E69" s="64">
        <v>9.2200000000000006</v>
      </c>
      <c r="F69" s="64">
        <v>10.17</v>
      </c>
      <c r="G69" s="64">
        <v>31.74</v>
      </c>
      <c r="H69" s="64">
        <v>13.51</v>
      </c>
      <c r="I69" s="64">
        <v>1.4</v>
      </c>
      <c r="J69" s="64">
        <v>0.57999999999999996</v>
      </c>
      <c r="K69" s="64">
        <v>121.09</v>
      </c>
      <c r="L69" s="64">
        <v>28.94</v>
      </c>
      <c r="M69" s="64">
        <v>50.65</v>
      </c>
      <c r="N69" s="64">
        <v>101.4</v>
      </c>
      <c r="O69" s="64">
        <v>0</v>
      </c>
      <c r="P69" s="64">
        <v>0.3</v>
      </c>
      <c r="Q69" s="64">
        <v>9.01</v>
      </c>
      <c r="S69" s="198"/>
      <c r="T69" s="198"/>
      <c r="U69" s="198"/>
    </row>
    <row r="70" spans="1:21" s="12" customFormat="1" x14ac:dyDescent="0.25">
      <c r="A70" s="211" t="s">
        <v>2421</v>
      </c>
      <c r="B70" s="64">
        <v>5.64</v>
      </c>
      <c r="C70" s="64">
        <v>12.1</v>
      </c>
      <c r="D70" s="64">
        <v>10.84</v>
      </c>
      <c r="E70" s="64">
        <v>9.44</v>
      </c>
      <c r="F70" s="64">
        <v>11.12</v>
      </c>
      <c r="G70" s="64">
        <v>30.15</v>
      </c>
      <c r="H70" s="64">
        <v>13.51</v>
      </c>
      <c r="I70" s="64">
        <v>1.39</v>
      </c>
      <c r="J70" s="64">
        <v>0.78</v>
      </c>
      <c r="K70" s="64">
        <v>123.8</v>
      </c>
      <c r="L70" s="64">
        <v>29.03</v>
      </c>
      <c r="M70" s="64">
        <v>48.77</v>
      </c>
      <c r="N70" s="64">
        <v>93.4</v>
      </c>
      <c r="O70" s="64">
        <v>0</v>
      </c>
      <c r="P70" s="64">
        <v>0.3</v>
      </c>
      <c r="Q70" s="64">
        <v>8.99</v>
      </c>
      <c r="S70" s="198"/>
      <c r="T70" s="198"/>
      <c r="U70" s="198"/>
    </row>
    <row r="71" spans="1:21" s="12" customFormat="1" x14ac:dyDescent="0.25">
      <c r="A71" s="211" t="s">
        <v>2422</v>
      </c>
      <c r="B71" s="64">
        <v>5.32</v>
      </c>
      <c r="C71" s="64">
        <v>11.38</v>
      </c>
      <c r="D71" s="64">
        <v>10.210000000000001</v>
      </c>
      <c r="E71" s="64">
        <v>9.6999999999999993</v>
      </c>
      <c r="F71" s="64">
        <v>9.3699999999999992</v>
      </c>
      <c r="G71" s="64">
        <v>30.15</v>
      </c>
      <c r="H71" s="64">
        <v>13.51</v>
      </c>
      <c r="I71" s="64">
        <v>1.35</v>
      </c>
      <c r="J71" s="64">
        <v>0.6</v>
      </c>
      <c r="K71" s="64">
        <v>137.57</v>
      </c>
      <c r="L71" s="64">
        <v>28.83</v>
      </c>
      <c r="M71" s="64">
        <v>49.25</v>
      </c>
      <c r="N71" s="64">
        <v>82.6</v>
      </c>
      <c r="O71" s="64">
        <v>0</v>
      </c>
      <c r="P71" s="64">
        <v>0.27</v>
      </c>
      <c r="Q71" s="64">
        <v>8.98</v>
      </c>
      <c r="S71" s="198"/>
      <c r="T71" s="198"/>
      <c r="U71" s="198"/>
    </row>
    <row r="72" spans="1:21" s="12" customFormat="1" x14ac:dyDescent="0.25">
      <c r="A72" s="211" t="s">
        <v>2423</v>
      </c>
      <c r="B72" s="64">
        <v>5.58</v>
      </c>
      <c r="C72" s="64">
        <v>11.87</v>
      </c>
      <c r="D72" s="64">
        <v>10.68</v>
      </c>
      <c r="E72" s="64">
        <v>7.84</v>
      </c>
      <c r="F72" s="64">
        <v>9.11</v>
      </c>
      <c r="G72" s="64">
        <v>30.15</v>
      </c>
      <c r="H72" s="64">
        <v>13.51</v>
      </c>
      <c r="I72" s="64">
        <v>1.32</v>
      </c>
      <c r="J72" s="64">
        <v>0.72</v>
      </c>
      <c r="K72" s="64">
        <v>122.53</v>
      </c>
      <c r="L72" s="64">
        <v>28.85</v>
      </c>
      <c r="M72" s="64">
        <v>50.95</v>
      </c>
      <c r="N72" s="64">
        <v>78.3</v>
      </c>
      <c r="O72" s="64">
        <v>0</v>
      </c>
      <c r="P72" s="64">
        <v>0.3</v>
      </c>
      <c r="Q72" s="64">
        <v>8.98</v>
      </c>
      <c r="S72" s="198"/>
      <c r="T72" s="198"/>
      <c r="U72" s="198"/>
    </row>
    <row r="73" spans="1:21" s="12" customFormat="1" x14ac:dyDescent="0.25">
      <c r="A73" s="211" t="s">
        <v>2424</v>
      </c>
      <c r="B73" s="64">
        <v>5.23</v>
      </c>
      <c r="C73" s="64">
        <v>11.67</v>
      </c>
      <c r="D73" s="64">
        <v>10.29</v>
      </c>
      <c r="E73" s="64">
        <v>7.93</v>
      </c>
      <c r="F73" s="64">
        <v>9.5299999999999994</v>
      </c>
      <c r="G73" s="64">
        <v>23.21</v>
      </c>
      <c r="H73" s="64">
        <v>12.91</v>
      </c>
      <c r="I73" s="64">
        <v>1.29</v>
      </c>
      <c r="J73" s="64">
        <v>0.68</v>
      </c>
      <c r="K73" s="64">
        <v>124.73</v>
      </c>
      <c r="L73" s="64">
        <v>28.65</v>
      </c>
      <c r="M73" s="64">
        <v>50.78</v>
      </c>
      <c r="N73" s="64">
        <v>72.5</v>
      </c>
      <c r="O73" s="64">
        <v>0</v>
      </c>
      <c r="P73" s="64">
        <v>0.27</v>
      </c>
      <c r="Q73" s="64">
        <v>8.98</v>
      </c>
      <c r="S73" s="198"/>
      <c r="T73" s="198"/>
      <c r="U73" s="198"/>
    </row>
    <row r="74" spans="1:21" s="12" customFormat="1" x14ac:dyDescent="0.25">
      <c r="A74" s="211" t="s">
        <v>2425</v>
      </c>
      <c r="B74" s="64">
        <v>6.33</v>
      </c>
      <c r="C74" s="64">
        <v>16.510000000000002</v>
      </c>
      <c r="D74" s="64">
        <v>13.7</v>
      </c>
      <c r="E74" s="64">
        <v>8.15</v>
      </c>
      <c r="F74" s="64">
        <v>7.01</v>
      </c>
      <c r="G74" s="64">
        <v>21.35</v>
      </c>
      <c r="H74" s="64">
        <v>12.91</v>
      </c>
      <c r="I74" s="64">
        <v>1.27</v>
      </c>
      <c r="J74" s="64">
        <v>0.67</v>
      </c>
      <c r="K74" s="64">
        <v>127.46</v>
      </c>
      <c r="L74" s="64">
        <v>28.47</v>
      </c>
      <c r="M74" s="64">
        <v>54.66</v>
      </c>
      <c r="N74" s="64">
        <v>66.7</v>
      </c>
      <c r="O74" s="64">
        <v>0</v>
      </c>
      <c r="P74" s="64">
        <v>0.34</v>
      </c>
      <c r="Q74" s="64">
        <v>8.98</v>
      </c>
      <c r="S74" s="198"/>
      <c r="T74" s="198"/>
      <c r="U74" s="198"/>
    </row>
    <row r="75" spans="1:21" s="12" customFormat="1" x14ac:dyDescent="0.25">
      <c r="A75" s="211" t="s">
        <v>2426</v>
      </c>
      <c r="B75" s="64">
        <v>5.45</v>
      </c>
      <c r="C75" s="64">
        <v>12.89</v>
      </c>
      <c r="D75" s="64">
        <v>11.11</v>
      </c>
      <c r="E75" s="64">
        <v>8.06</v>
      </c>
      <c r="F75" s="64">
        <v>9.57</v>
      </c>
      <c r="G75" s="64">
        <v>21.35</v>
      </c>
      <c r="H75" s="64">
        <v>12.91</v>
      </c>
      <c r="I75" s="64">
        <v>1.25</v>
      </c>
      <c r="J75" s="64">
        <v>0.63</v>
      </c>
      <c r="K75" s="64">
        <v>123.44</v>
      </c>
      <c r="L75" s="64">
        <v>28.26</v>
      </c>
      <c r="M75" s="64">
        <v>56.78</v>
      </c>
      <c r="N75" s="64">
        <v>60.8</v>
      </c>
      <c r="O75" s="64">
        <v>0</v>
      </c>
      <c r="P75" s="64">
        <v>0.34</v>
      </c>
      <c r="Q75" s="64">
        <v>8.99</v>
      </c>
      <c r="S75" s="198"/>
      <c r="T75" s="198"/>
      <c r="U75" s="198"/>
    </row>
    <row r="76" spans="1:21" s="12" customFormat="1" x14ac:dyDescent="0.25">
      <c r="A76" s="211" t="s">
        <v>2427</v>
      </c>
      <c r="B76" s="64">
        <v>5.36</v>
      </c>
      <c r="C76" s="64">
        <v>13</v>
      </c>
      <c r="D76" s="64">
        <v>11.09</v>
      </c>
      <c r="E76" s="64">
        <v>7.92</v>
      </c>
      <c r="F76" s="64">
        <v>10.52</v>
      </c>
      <c r="G76" s="64">
        <v>21.35</v>
      </c>
      <c r="H76" s="64">
        <v>12.91</v>
      </c>
      <c r="I76" s="64">
        <v>1.24</v>
      </c>
      <c r="J76" s="64">
        <v>0.57999999999999996</v>
      </c>
      <c r="K76" s="64">
        <v>131.04</v>
      </c>
      <c r="L76" s="64">
        <v>28.03</v>
      </c>
      <c r="M76" s="64">
        <v>58.75</v>
      </c>
      <c r="N76" s="64">
        <v>54.5</v>
      </c>
      <c r="O76" s="64">
        <v>0</v>
      </c>
      <c r="P76" s="64">
        <v>0.34</v>
      </c>
      <c r="Q76" s="64">
        <v>8.98</v>
      </c>
      <c r="S76" s="198"/>
      <c r="T76" s="198"/>
      <c r="U76" s="198"/>
    </row>
    <row r="77" spans="1:21" s="12" customFormat="1" x14ac:dyDescent="0.25">
      <c r="A77" s="211" t="s">
        <v>2428</v>
      </c>
      <c r="B77" s="64">
        <v>5.21</v>
      </c>
      <c r="C77" s="64">
        <v>13.13</v>
      </c>
      <c r="D77" s="64">
        <v>11.04</v>
      </c>
      <c r="E77" s="64">
        <v>8.25</v>
      </c>
      <c r="F77" s="64">
        <v>6.34</v>
      </c>
      <c r="G77" s="64">
        <v>160.19</v>
      </c>
      <c r="H77" s="64">
        <v>13.55</v>
      </c>
      <c r="I77" s="64">
        <v>1.24</v>
      </c>
      <c r="J77" s="64">
        <v>0.65</v>
      </c>
      <c r="K77" s="64">
        <v>126.05</v>
      </c>
      <c r="L77" s="64">
        <v>27.81</v>
      </c>
      <c r="M77" s="64">
        <v>60.18</v>
      </c>
      <c r="N77" s="64">
        <v>47.8</v>
      </c>
      <c r="O77" s="64">
        <v>0</v>
      </c>
      <c r="P77" s="64">
        <v>0.33</v>
      </c>
      <c r="Q77" s="64">
        <v>8.9700000000000006</v>
      </c>
      <c r="S77" s="198"/>
      <c r="T77" s="198"/>
      <c r="U77" s="198"/>
    </row>
    <row r="78" spans="1:21" s="12" customFormat="1" x14ac:dyDescent="0.25">
      <c r="A78" s="211" t="s">
        <v>2429</v>
      </c>
      <c r="B78" s="64">
        <v>5.76</v>
      </c>
      <c r="C78" s="64">
        <v>17.13</v>
      </c>
      <c r="D78" s="64">
        <v>13.57</v>
      </c>
      <c r="E78" s="64">
        <v>7.61</v>
      </c>
      <c r="F78" s="64">
        <v>7.39</v>
      </c>
      <c r="G78" s="64">
        <v>197.35</v>
      </c>
      <c r="H78" s="64">
        <v>13.55</v>
      </c>
      <c r="I78" s="64">
        <v>1.23</v>
      </c>
      <c r="J78" s="64">
        <v>0.32</v>
      </c>
      <c r="K78" s="64">
        <v>128.37</v>
      </c>
      <c r="L78" s="64">
        <v>27.52</v>
      </c>
      <c r="M78" s="64">
        <v>62.48</v>
      </c>
      <c r="N78" s="64">
        <v>42.6</v>
      </c>
      <c r="O78" s="64">
        <v>0</v>
      </c>
      <c r="P78" s="64">
        <v>0.39</v>
      </c>
      <c r="Q78" s="64">
        <v>8.9700000000000006</v>
      </c>
      <c r="S78" s="198"/>
      <c r="T78" s="198"/>
      <c r="U78" s="198"/>
    </row>
    <row r="79" spans="1:21" s="12" customFormat="1" x14ac:dyDescent="0.25">
      <c r="A79" s="211" t="s">
        <v>2430</v>
      </c>
      <c r="B79" s="64">
        <v>5.2</v>
      </c>
      <c r="C79" s="64">
        <v>15.52</v>
      </c>
      <c r="D79" s="64">
        <v>12.28</v>
      </c>
      <c r="E79" s="64">
        <v>7.75</v>
      </c>
      <c r="F79" s="64">
        <v>6.91</v>
      </c>
      <c r="G79" s="64">
        <v>197.35</v>
      </c>
      <c r="H79" s="64">
        <v>13.55</v>
      </c>
      <c r="I79" s="64">
        <v>1.23</v>
      </c>
      <c r="J79" s="64">
        <v>0.28000000000000003</v>
      </c>
      <c r="K79" s="64">
        <v>125.77</v>
      </c>
      <c r="L79" s="64">
        <v>27.26</v>
      </c>
      <c r="M79" s="64">
        <v>64.819999999999993</v>
      </c>
      <c r="N79" s="64">
        <v>40.299999999999997</v>
      </c>
      <c r="O79" s="64">
        <v>0</v>
      </c>
      <c r="P79" s="64">
        <v>0.42</v>
      </c>
      <c r="Q79" s="64">
        <v>8.98</v>
      </c>
      <c r="S79" s="198"/>
      <c r="T79" s="198"/>
      <c r="U79" s="198"/>
    </row>
    <row r="80" spans="1:21" s="12" customFormat="1" x14ac:dyDescent="0.25">
      <c r="A80" s="211" t="s">
        <v>2431</v>
      </c>
      <c r="B80" s="64">
        <v>5</v>
      </c>
      <c r="C80" s="64">
        <v>15.45</v>
      </c>
      <c r="D80" s="64">
        <v>12.08</v>
      </c>
      <c r="E80" s="64">
        <v>7.39</v>
      </c>
      <c r="F80" s="64">
        <v>5.46</v>
      </c>
      <c r="G80" s="64">
        <v>197.35</v>
      </c>
      <c r="H80" s="64">
        <v>13.55</v>
      </c>
      <c r="I80" s="64">
        <v>1.25</v>
      </c>
      <c r="J80" s="64">
        <v>0.19</v>
      </c>
      <c r="K80" s="64">
        <v>121.05</v>
      </c>
      <c r="L80" s="64">
        <v>27.05</v>
      </c>
      <c r="M80" s="64">
        <v>66.010000000000005</v>
      </c>
      <c r="N80" s="64">
        <v>40</v>
      </c>
      <c r="O80" s="64">
        <v>0</v>
      </c>
      <c r="P80" s="64">
        <v>0.45</v>
      </c>
      <c r="Q80" s="64">
        <v>8.99</v>
      </c>
      <c r="S80" s="198"/>
      <c r="T80" s="198"/>
      <c r="U80" s="198"/>
    </row>
    <row r="81" spans="1:26" s="12" customFormat="1" x14ac:dyDescent="0.25">
      <c r="A81" s="211" t="s">
        <v>2432</v>
      </c>
      <c r="B81" s="64">
        <v>5.0199999999999996</v>
      </c>
      <c r="C81" s="64">
        <v>16.86</v>
      </c>
      <c r="D81" s="64">
        <v>12.83</v>
      </c>
      <c r="E81" s="64">
        <v>7.72</v>
      </c>
      <c r="F81" s="64">
        <v>4.54</v>
      </c>
      <c r="G81" s="64">
        <v>77.7</v>
      </c>
      <c r="H81" s="64">
        <v>13.24</v>
      </c>
      <c r="I81" s="64">
        <v>1.26</v>
      </c>
      <c r="J81" s="64">
        <v>0.17</v>
      </c>
      <c r="K81" s="64">
        <v>135.26</v>
      </c>
      <c r="L81" s="64">
        <v>26.87</v>
      </c>
      <c r="M81" s="64">
        <v>67.34</v>
      </c>
      <c r="N81" s="64">
        <v>39.799999999999997</v>
      </c>
      <c r="O81" s="64">
        <v>0</v>
      </c>
      <c r="P81" s="64">
        <v>0.47</v>
      </c>
      <c r="Q81" s="64">
        <v>9</v>
      </c>
      <c r="S81" s="198"/>
      <c r="T81" s="198"/>
      <c r="U81" s="198"/>
    </row>
    <row r="82" spans="1:26" s="12" customFormat="1" x14ac:dyDescent="0.25">
      <c r="A82" s="211" t="s">
        <v>2433</v>
      </c>
      <c r="B82" s="64">
        <v>5.0599999999999996</v>
      </c>
      <c r="C82" s="64">
        <v>17.52</v>
      </c>
      <c r="D82" s="64">
        <v>13.21</v>
      </c>
      <c r="E82" s="64">
        <v>7.76</v>
      </c>
      <c r="F82" s="64">
        <v>3.27</v>
      </c>
      <c r="G82" s="64">
        <v>45.69</v>
      </c>
      <c r="H82" s="64">
        <v>13.24</v>
      </c>
      <c r="I82" s="64">
        <v>1.28</v>
      </c>
      <c r="J82" s="64">
        <v>0.15</v>
      </c>
      <c r="K82" s="64">
        <v>138.72999999999999</v>
      </c>
      <c r="L82" s="64">
        <v>26.71</v>
      </c>
      <c r="M82" s="64">
        <v>68.58</v>
      </c>
      <c r="N82" s="64">
        <v>39.799999999999997</v>
      </c>
      <c r="O82" s="64">
        <v>0</v>
      </c>
      <c r="P82" s="64">
        <v>0.53</v>
      </c>
      <c r="Q82" s="64">
        <v>9.01</v>
      </c>
      <c r="S82" s="198"/>
      <c r="T82" s="198"/>
      <c r="U82" s="198"/>
    </row>
    <row r="83" spans="1:26" s="12" customFormat="1" x14ac:dyDescent="0.25">
      <c r="A83" s="211" t="s">
        <v>2434</v>
      </c>
      <c r="B83" s="64">
        <v>5.28</v>
      </c>
      <c r="C83" s="64">
        <v>19.05</v>
      </c>
      <c r="D83" s="64">
        <v>14.19</v>
      </c>
      <c r="E83" s="64">
        <v>7.34</v>
      </c>
      <c r="F83" s="64">
        <v>3.74</v>
      </c>
      <c r="G83" s="64">
        <v>45.69</v>
      </c>
      <c r="H83" s="64">
        <v>13.24</v>
      </c>
      <c r="I83" s="64">
        <v>1.31</v>
      </c>
      <c r="J83" s="64">
        <v>0.21</v>
      </c>
      <c r="K83" s="64">
        <v>120.22</v>
      </c>
      <c r="L83" s="64">
        <v>26.63</v>
      </c>
      <c r="M83" s="64">
        <v>69.430000000000007</v>
      </c>
      <c r="N83" s="64">
        <v>39.700000000000003</v>
      </c>
      <c r="O83" s="64">
        <v>0</v>
      </c>
      <c r="P83" s="64">
        <v>0.48</v>
      </c>
      <c r="Q83" s="64">
        <v>9.01</v>
      </c>
      <c r="S83" s="198"/>
      <c r="T83" s="198"/>
      <c r="U83" s="198"/>
    </row>
    <row r="84" spans="1:26" s="12" customFormat="1" x14ac:dyDescent="0.25">
      <c r="A84" s="211" t="s">
        <v>2435</v>
      </c>
      <c r="B84" s="64">
        <v>5.31</v>
      </c>
      <c r="C84" s="64">
        <v>19.66</v>
      </c>
      <c r="D84" s="64">
        <v>13.8</v>
      </c>
      <c r="E84" s="64">
        <v>7.36</v>
      </c>
      <c r="F84" s="64">
        <v>3.1</v>
      </c>
      <c r="G84" s="64">
        <v>45.69</v>
      </c>
      <c r="H84" s="64">
        <v>13.24</v>
      </c>
      <c r="I84" s="64">
        <v>1.35</v>
      </c>
      <c r="J84" s="64">
        <v>0.14000000000000001</v>
      </c>
      <c r="K84" s="64">
        <v>129.61000000000001</v>
      </c>
      <c r="L84" s="64">
        <v>26.45</v>
      </c>
      <c r="M84" s="64">
        <v>70.86</v>
      </c>
      <c r="N84" s="64">
        <v>39.799999999999997</v>
      </c>
      <c r="O84" s="64">
        <v>0</v>
      </c>
      <c r="P84" s="64">
        <v>0.55000000000000004</v>
      </c>
      <c r="Q84" s="64">
        <v>9.01</v>
      </c>
      <c r="S84" s="198"/>
      <c r="T84" s="198"/>
      <c r="U84" s="198"/>
    </row>
    <row r="85" spans="1:26" s="12" customFormat="1" x14ac:dyDescent="0.25">
      <c r="A85" s="211" t="s">
        <v>2436</v>
      </c>
      <c r="B85" s="64">
        <v>5.15</v>
      </c>
      <c r="C85" s="64">
        <v>18.89</v>
      </c>
      <c r="D85" s="64">
        <v>14</v>
      </c>
      <c r="E85" s="64">
        <v>8.11</v>
      </c>
      <c r="F85" s="64">
        <v>3.2</v>
      </c>
      <c r="G85" s="64">
        <v>65.34</v>
      </c>
      <c r="H85" s="64">
        <v>12.84</v>
      </c>
      <c r="I85" s="64">
        <v>1.37</v>
      </c>
      <c r="J85" s="64">
        <v>0.35</v>
      </c>
      <c r="K85" s="64">
        <v>140.13999999999999</v>
      </c>
      <c r="L85" s="64">
        <v>26.47</v>
      </c>
      <c r="M85" s="64">
        <v>70.03</v>
      </c>
      <c r="N85" s="64">
        <v>39.5</v>
      </c>
      <c r="O85" s="64">
        <v>0</v>
      </c>
      <c r="P85" s="64">
        <v>0.44</v>
      </c>
      <c r="Q85" s="64">
        <v>9.02</v>
      </c>
      <c r="S85" s="198"/>
      <c r="T85" s="198"/>
      <c r="U85" s="198"/>
    </row>
    <row r="86" spans="1:26" s="12" customFormat="1" x14ac:dyDescent="0.25">
      <c r="A86" s="211" t="s">
        <v>2437</v>
      </c>
      <c r="B86" s="64">
        <v>5.36</v>
      </c>
      <c r="C86" s="64">
        <v>17.3</v>
      </c>
      <c r="D86" s="64">
        <v>13.33</v>
      </c>
      <c r="E86" s="64">
        <v>7.81</v>
      </c>
      <c r="F86" s="64">
        <v>3.59</v>
      </c>
      <c r="G86" s="64">
        <v>70.599999999999994</v>
      </c>
      <c r="H86" s="64">
        <v>12.84</v>
      </c>
      <c r="I86" s="64">
        <v>1.4</v>
      </c>
      <c r="J86" s="64">
        <v>0.56000000000000005</v>
      </c>
      <c r="K86" s="64">
        <v>126.64</v>
      </c>
      <c r="L86" s="64">
        <v>26.51</v>
      </c>
      <c r="M86" s="64">
        <v>68.8</v>
      </c>
      <c r="N86" s="64">
        <v>39.5</v>
      </c>
      <c r="O86" s="64">
        <v>0</v>
      </c>
      <c r="P86" s="64">
        <v>0.44</v>
      </c>
      <c r="Q86" s="64">
        <v>9.01</v>
      </c>
      <c r="S86" s="198"/>
      <c r="T86" s="198"/>
      <c r="U86" s="198"/>
    </row>
    <row r="87" spans="1:26" s="12" customFormat="1" x14ac:dyDescent="0.25">
      <c r="A87" s="211" t="s">
        <v>2438</v>
      </c>
      <c r="B87" s="64">
        <v>5.77</v>
      </c>
      <c r="C87" s="64">
        <v>18.399999999999999</v>
      </c>
      <c r="D87" s="64">
        <v>14.24</v>
      </c>
      <c r="E87" s="64">
        <v>7.81</v>
      </c>
      <c r="F87" s="64">
        <v>2.72</v>
      </c>
      <c r="G87" s="64">
        <v>70.599999999999994</v>
      </c>
      <c r="H87" s="64">
        <v>12.84</v>
      </c>
      <c r="I87" s="64">
        <v>1.43</v>
      </c>
      <c r="J87" s="64">
        <v>0.37</v>
      </c>
      <c r="K87" s="64">
        <v>133</v>
      </c>
      <c r="L87" s="64">
        <v>26.49</v>
      </c>
      <c r="M87" s="64">
        <v>69.89</v>
      </c>
      <c r="N87" s="64">
        <v>39.799999999999997</v>
      </c>
      <c r="O87" s="64">
        <v>0</v>
      </c>
      <c r="P87" s="64">
        <v>0.46</v>
      </c>
      <c r="Q87" s="64">
        <v>9.01</v>
      </c>
      <c r="S87" s="198"/>
      <c r="T87" s="198"/>
      <c r="U87" s="198"/>
    </row>
    <row r="88" spans="1:26" s="12" customFormat="1" x14ac:dyDescent="0.25">
      <c r="A88" s="211" t="s">
        <v>2439</v>
      </c>
      <c r="B88" s="64">
        <v>5.71</v>
      </c>
      <c r="C88" s="64">
        <v>19.82</v>
      </c>
      <c r="D88" s="64">
        <v>14.93</v>
      </c>
      <c r="E88" s="64">
        <v>7.72</v>
      </c>
      <c r="F88" s="64">
        <v>2.72</v>
      </c>
      <c r="G88" s="64">
        <v>70.599999999999994</v>
      </c>
      <c r="H88" s="64">
        <v>12.84</v>
      </c>
      <c r="I88" s="64">
        <v>1.44</v>
      </c>
      <c r="J88" s="64">
        <v>0.25</v>
      </c>
      <c r="K88" s="64">
        <v>136.26</v>
      </c>
      <c r="L88" s="64">
        <v>26.21</v>
      </c>
      <c r="M88" s="64">
        <v>72.02</v>
      </c>
      <c r="N88" s="64">
        <v>39.9</v>
      </c>
      <c r="O88" s="64">
        <v>0</v>
      </c>
      <c r="P88" s="64">
        <v>0.5</v>
      </c>
      <c r="Q88" s="64">
        <v>9</v>
      </c>
      <c r="S88" s="198"/>
      <c r="T88" s="198"/>
      <c r="U88" s="198"/>
    </row>
    <row r="89" spans="1:26" s="12" customFormat="1" x14ac:dyDescent="0.25">
      <c r="A89" s="211" t="s">
        <v>2440</v>
      </c>
      <c r="B89" s="64">
        <v>11.86</v>
      </c>
      <c r="C89" s="64">
        <v>27.54</v>
      </c>
      <c r="D89" s="64">
        <v>23.89</v>
      </c>
      <c r="E89" s="64">
        <v>8.07</v>
      </c>
      <c r="F89" s="64">
        <v>2.11</v>
      </c>
      <c r="G89" s="64">
        <v>48.89</v>
      </c>
      <c r="H89" s="64">
        <v>12.54</v>
      </c>
      <c r="I89" s="64">
        <v>1.44</v>
      </c>
      <c r="J89" s="64">
        <v>0.13</v>
      </c>
      <c r="K89" s="64">
        <v>124</v>
      </c>
      <c r="L89" s="64">
        <v>25.96</v>
      </c>
      <c r="M89" s="64">
        <v>74.319999999999993</v>
      </c>
      <c r="N89" s="64">
        <v>39.799999999999997</v>
      </c>
      <c r="O89" s="64">
        <v>0</v>
      </c>
      <c r="P89" s="64">
        <v>0.74</v>
      </c>
      <c r="Q89" s="64">
        <v>8.99</v>
      </c>
      <c r="S89" s="198"/>
      <c r="T89" s="198"/>
      <c r="U89" s="198"/>
    </row>
    <row r="90" spans="1:26" s="12" customFormat="1" x14ac:dyDescent="0.25">
      <c r="A90" s="211" t="s">
        <v>2441</v>
      </c>
      <c r="B90" s="64">
        <v>6.07</v>
      </c>
      <c r="C90" s="64">
        <v>28.11</v>
      </c>
      <c r="D90" s="64">
        <v>19.55</v>
      </c>
      <c r="E90" s="64">
        <v>9.82</v>
      </c>
      <c r="F90" s="64">
        <v>2.13</v>
      </c>
      <c r="G90" s="64">
        <v>43.08</v>
      </c>
      <c r="H90" s="64">
        <v>12.54</v>
      </c>
      <c r="I90" s="64">
        <v>1.45</v>
      </c>
      <c r="J90" s="64">
        <v>0.31</v>
      </c>
      <c r="K90" s="64">
        <v>130.24</v>
      </c>
      <c r="L90" s="64">
        <v>25.86</v>
      </c>
      <c r="M90" s="64">
        <v>76.349999999999994</v>
      </c>
      <c r="N90" s="64">
        <v>39.700000000000003</v>
      </c>
      <c r="O90" s="64">
        <v>0</v>
      </c>
      <c r="P90" s="64">
        <v>0.62</v>
      </c>
      <c r="Q90" s="64">
        <v>9</v>
      </c>
      <c r="S90" s="198"/>
      <c r="T90" s="198"/>
      <c r="U90" s="198"/>
    </row>
    <row r="91" spans="1:26" s="12" customFormat="1" x14ac:dyDescent="0.25">
      <c r="A91" s="211" t="s">
        <v>2442</v>
      </c>
      <c r="B91" s="64">
        <v>6.06</v>
      </c>
      <c r="C91" s="64">
        <v>22.42</v>
      </c>
      <c r="D91" s="64">
        <v>16.57</v>
      </c>
      <c r="E91" s="64">
        <v>9.6300000000000008</v>
      </c>
      <c r="F91" s="64">
        <v>2.1</v>
      </c>
      <c r="G91" s="64">
        <v>43.08</v>
      </c>
      <c r="H91" s="64">
        <v>12.54</v>
      </c>
      <c r="I91" s="64">
        <v>1.49</v>
      </c>
      <c r="J91" s="64">
        <v>0.28000000000000003</v>
      </c>
      <c r="K91" s="64">
        <v>141.69</v>
      </c>
      <c r="L91" s="64">
        <v>25.69</v>
      </c>
      <c r="M91" s="64">
        <v>78.900000000000006</v>
      </c>
      <c r="N91" s="64">
        <v>39.700000000000003</v>
      </c>
      <c r="O91" s="64">
        <v>0</v>
      </c>
      <c r="P91" s="64">
        <v>0.54</v>
      </c>
      <c r="Q91" s="64">
        <v>9.01</v>
      </c>
      <c r="S91" s="198"/>
      <c r="T91" s="198"/>
      <c r="U91" s="198"/>
    </row>
    <row r="92" spans="1:26" s="12" customFormat="1" x14ac:dyDescent="0.25">
      <c r="A92" s="211" t="s">
        <v>2443</v>
      </c>
      <c r="B92" s="64">
        <v>5.62</v>
      </c>
      <c r="C92" s="64">
        <v>20.21</v>
      </c>
      <c r="D92" s="64">
        <v>15.06</v>
      </c>
      <c r="E92" s="64">
        <v>8.7799999999999994</v>
      </c>
      <c r="F92" s="64">
        <v>2.1</v>
      </c>
      <c r="G92" s="64">
        <v>43.08</v>
      </c>
      <c r="H92" s="64">
        <v>12.54</v>
      </c>
      <c r="I92" s="64">
        <v>1.53</v>
      </c>
      <c r="J92" s="64">
        <v>0.25</v>
      </c>
      <c r="K92" s="64">
        <v>127.3</v>
      </c>
      <c r="L92" s="64">
        <v>25.57</v>
      </c>
      <c r="M92" s="64">
        <v>80.31</v>
      </c>
      <c r="N92" s="64">
        <v>39.700000000000003</v>
      </c>
      <c r="O92" s="64">
        <v>0</v>
      </c>
      <c r="P92" s="64">
        <v>0.57999999999999996</v>
      </c>
      <c r="Q92" s="64">
        <v>9.01</v>
      </c>
      <c r="S92" s="198"/>
      <c r="T92" s="198"/>
      <c r="U92" s="198"/>
    </row>
    <row r="93" spans="1:26" s="12" customFormat="1" x14ac:dyDescent="0.25">
      <c r="A93" s="211" t="s">
        <v>2444</v>
      </c>
      <c r="B93" s="64">
        <v>6.84</v>
      </c>
      <c r="C93" s="64">
        <v>23.47</v>
      </c>
      <c r="D93" s="64">
        <v>17.75</v>
      </c>
      <c r="E93" s="64">
        <v>8.6</v>
      </c>
      <c r="F93" s="64">
        <v>2.1</v>
      </c>
      <c r="G93" s="64">
        <v>73.92</v>
      </c>
      <c r="H93" s="64">
        <v>14.92</v>
      </c>
      <c r="I93" s="64">
        <v>1.56</v>
      </c>
      <c r="J93" s="64">
        <v>0.46</v>
      </c>
      <c r="K93" s="64">
        <v>128.33000000000001</v>
      </c>
      <c r="L93" s="64">
        <v>25.52</v>
      </c>
      <c r="M93" s="64">
        <v>80.86</v>
      </c>
      <c r="N93" s="64">
        <v>39.6</v>
      </c>
      <c r="O93" s="64">
        <v>0</v>
      </c>
      <c r="P93" s="64">
        <v>0.53</v>
      </c>
      <c r="Q93" s="64">
        <v>9.01</v>
      </c>
      <c r="S93" s="198"/>
      <c r="T93" s="198"/>
      <c r="U93" s="198"/>
    </row>
    <row r="94" spans="1:26" s="12" customFormat="1" x14ac:dyDescent="0.25">
      <c r="A94" s="211" t="s">
        <v>2445</v>
      </c>
      <c r="B94" s="64">
        <v>6.29</v>
      </c>
      <c r="C94" s="64">
        <v>19.14</v>
      </c>
      <c r="D94" s="64">
        <v>15.05</v>
      </c>
      <c r="E94" s="64">
        <v>7.82</v>
      </c>
      <c r="F94" s="64">
        <v>2.1</v>
      </c>
      <c r="G94" s="64">
        <v>82.17</v>
      </c>
      <c r="H94" s="64">
        <v>14.92</v>
      </c>
      <c r="I94" s="64">
        <v>1.59</v>
      </c>
      <c r="J94" s="64">
        <v>0.31</v>
      </c>
      <c r="K94" s="64">
        <v>137.5</v>
      </c>
      <c r="L94" s="64">
        <v>25.39</v>
      </c>
      <c r="M94" s="64">
        <v>82.29</v>
      </c>
      <c r="N94" s="64">
        <v>39.799999999999997</v>
      </c>
      <c r="O94" s="64">
        <v>0</v>
      </c>
      <c r="P94" s="64">
        <v>0.54</v>
      </c>
      <c r="Q94" s="64">
        <v>9.02</v>
      </c>
      <c r="S94" s="198"/>
      <c r="T94" s="198"/>
      <c r="U94" s="198"/>
    </row>
    <row r="95" spans="1:26" s="12" customFormat="1" x14ac:dyDescent="0.25">
      <c r="A95" s="211" t="s">
        <v>2446</v>
      </c>
      <c r="B95" s="64">
        <v>6.18</v>
      </c>
      <c r="C95" s="64">
        <v>24.65</v>
      </c>
      <c r="D95" s="64">
        <v>17.829999999999998</v>
      </c>
      <c r="E95" s="64">
        <v>7.31</v>
      </c>
      <c r="F95" s="64">
        <v>2.46</v>
      </c>
      <c r="G95" s="64">
        <v>82.17</v>
      </c>
      <c r="H95" s="64">
        <v>14.92</v>
      </c>
      <c r="I95" s="64">
        <v>1.61</v>
      </c>
      <c r="J95" s="64">
        <v>0.56000000000000005</v>
      </c>
      <c r="K95" s="64">
        <v>120.63</v>
      </c>
      <c r="L95" s="64">
        <v>25.29</v>
      </c>
      <c r="M95" s="64">
        <v>82.38</v>
      </c>
      <c r="N95" s="64">
        <v>39.5</v>
      </c>
      <c r="O95" s="64">
        <v>0</v>
      </c>
      <c r="P95" s="64">
        <v>0.51</v>
      </c>
      <c r="Q95" s="64">
        <v>9.01</v>
      </c>
      <c r="S95" s="198"/>
      <c r="T95" s="198"/>
      <c r="U95" s="198"/>
    </row>
    <row r="96" spans="1:26" s="12" customFormat="1" x14ac:dyDescent="0.25">
      <c r="A96" s="211" t="s">
        <v>2447</v>
      </c>
      <c r="B96" s="64">
        <v>6.4</v>
      </c>
      <c r="C96" s="64">
        <v>17.05</v>
      </c>
      <c r="D96" s="64">
        <v>14.03</v>
      </c>
      <c r="E96" s="64">
        <v>7.38</v>
      </c>
      <c r="F96" s="64">
        <v>2.1</v>
      </c>
      <c r="G96" s="64">
        <v>82.17</v>
      </c>
      <c r="H96" s="64">
        <v>14.92</v>
      </c>
      <c r="I96" s="64">
        <v>1.63</v>
      </c>
      <c r="J96" s="64">
        <v>0.53</v>
      </c>
      <c r="K96" s="64">
        <v>123.91</v>
      </c>
      <c r="L96" s="64">
        <v>25.27</v>
      </c>
      <c r="M96" s="64">
        <v>82.64</v>
      </c>
      <c r="N96" s="64">
        <v>39.6</v>
      </c>
      <c r="O96" s="64">
        <v>0</v>
      </c>
      <c r="P96" s="64">
        <v>0.46</v>
      </c>
      <c r="Q96" s="64">
        <v>9.02</v>
      </c>
      <c r="S96" s="198"/>
      <c r="T96" s="198"/>
      <c r="U96" s="198"/>
      <c r="Z96" s="109"/>
    </row>
    <row r="97" spans="1:33" s="12" customFormat="1" x14ac:dyDescent="0.25">
      <c r="A97" s="211" t="s">
        <v>2448</v>
      </c>
      <c r="B97" s="64">
        <v>6.21</v>
      </c>
      <c r="C97" s="64">
        <v>18.05</v>
      </c>
      <c r="D97" s="64">
        <v>14.41</v>
      </c>
      <c r="E97" s="64">
        <v>7.22</v>
      </c>
      <c r="F97" s="64">
        <v>4.09</v>
      </c>
      <c r="G97" s="64">
        <v>68.94</v>
      </c>
      <c r="H97" s="64">
        <v>14.59</v>
      </c>
      <c r="I97" s="64">
        <v>1.64</v>
      </c>
      <c r="J97" s="64">
        <v>0.69</v>
      </c>
      <c r="K97" s="64">
        <v>124.93</v>
      </c>
      <c r="L97" s="64">
        <v>25.09</v>
      </c>
      <c r="M97" s="64">
        <v>83.96</v>
      </c>
      <c r="N97" s="64">
        <v>39.700000000000003</v>
      </c>
      <c r="O97" s="64">
        <v>0</v>
      </c>
      <c r="P97" s="64">
        <v>0.43</v>
      </c>
      <c r="Q97" s="64">
        <v>9.0299999999999994</v>
      </c>
      <c r="S97" s="198"/>
      <c r="T97" s="198"/>
      <c r="U97" s="198"/>
    </row>
    <row r="98" spans="1:33" s="12" customFormat="1" x14ac:dyDescent="0.25">
      <c r="A98" s="211" t="s">
        <v>2449</v>
      </c>
      <c r="B98" s="64">
        <v>6.68</v>
      </c>
      <c r="C98" s="64">
        <v>19.690000000000001</v>
      </c>
      <c r="D98" s="64">
        <v>15.65</v>
      </c>
      <c r="E98" s="64">
        <v>6.92</v>
      </c>
      <c r="F98" s="64">
        <v>2.5</v>
      </c>
      <c r="G98" s="64">
        <v>65.16</v>
      </c>
      <c r="H98" s="64">
        <v>14.59</v>
      </c>
      <c r="I98" s="64">
        <v>1.65</v>
      </c>
      <c r="J98" s="64">
        <v>0.62</v>
      </c>
      <c r="K98" s="64">
        <v>119.15</v>
      </c>
      <c r="L98" s="64">
        <v>25.01</v>
      </c>
      <c r="M98" s="64">
        <v>84.21</v>
      </c>
      <c r="N98" s="64">
        <v>39.6</v>
      </c>
      <c r="O98" s="64">
        <v>0</v>
      </c>
      <c r="P98" s="64">
        <v>0.42</v>
      </c>
      <c r="Q98" s="64">
        <v>9.0500000000000007</v>
      </c>
      <c r="S98" s="198"/>
      <c r="T98" s="198"/>
      <c r="U98" s="198"/>
    </row>
    <row r="99" spans="1:33" s="12" customFormat="1" x14ac:dyDescent="0.25">
      <c r="A99" s="211" t="s">
        <v>2450</v>
      </c>
      <c r="B99" s="64">
        <v>6.82</v>
      </c>
      <c r="C99" s="64">
        <v>19.02</v>
      </c>
      <c r="D99" s="64">
        <v>15.41</v>
      </c>
      <c r="E99" s="64">
        <v>6.69</v>
      </c>
      <c r="F99" s="64">
        <v>2.5299999999999998</v>
      </c>
      <c r="G99" s="64">
        <v>65.16</v>
      </c>
      <c r="H99" s="64">
        <v>14.59</v>
      </c>
      <c r="I99" s="64">
        <v>1.66</v>
      </c>
      <c r="J99" s="64">
        <v>0.7</v>
      </c>
      <c r="K99" s="64">
        <v>127.17</v>
      </c>
      <c r="L99" s="64">
        <v>24.92</v>
      </c>
      <c r="M99" s="64">
        <v>84.98</v>
      </c>
      <c r="N99" s="64">
        <v>39.6</v>
      </c>
      <c r="O99" s="64">
        <v>0</v>
      </c>
      <c r="P99" s="64">
        <v>0.41</v>
      </c>
      <c r="Q99" s="64">
        <v>9.06</v>
      </c>
      <c r="S99" s="198"/>
      <c r="T99" s="198"/>
      <c r="U99" s="198"/>
    </row>
    <row r="100" spans="1:33" s="12" customFormat="1" x14ac:dyDescent="0.25">
      <c r="A100" s="211" t="s">
        <v>2451</v>
      </c>
      <c r="B100" s="64">
        <v>6.77</v>
      </c>
      <c r="C100" s="64">
        <v>17.600000000000001</v>
      </c>
      <c r="D100" s="64">
        <v>14.63</v>
      </c>
      <c r="E100" s="64">
        <v>6.75</v>
      </c>
      <c r="F100" s="64">
        <v>2.59</v>
      </c>
      <c r="G100" s="64">
        <v>65.16</v>
      </c>
      <c r="H100" s="64">
        <v>14.59</v>
      </c>
      <c r="I100" s="64">
        <v>1.67</v>
      </c>
      <c r="J100" s="64">
        <v>0.72</v>
      </c>
      <c r="K100" s="64">
        <v>120.42</v>
      </c>
      <c r="L100" s="64">
        <v>24.84</v>
      </c>
      <c r="M100" s="64">
        <v>85.32</v>
      </c>
      <c r="N100" s="64">
        <v>39.6</v>
      </c>
      <c r="O100" s="64">
        <v>0</v>
      </c>
      <c r="P100" s="64">
        <v>0.4</v>
      </c>
      <c r="Q100" s="64">
        <v>9.07</v>
      </c>
      <c r="S100" s="198"/>
      <c r="T100" s="198"/>
      <c r="U100" s="198"/>
      <c r="AB100" s="110"/>
      <c r="AG100" s="109"/>
    </row>
    <row r="101" spans="1:33" s="12" customFormat="1" x14ac:dyDescent="0.25">
      <c r="A101" s="211" t="s">
        <v>2452</v>
      </c>
      <c r="B101" s="64">
        <v>6.23</v>
      </c>
      <c r="C101" s="64">
        <v>19.22</v>
      </c>
      <c r="D101" s="64">
        <v>15.04</v>
      </c>
      <c r="E101" s="64">
        <v>6.83</v>
      </c>
      <c r="F101" s="64">
        <v>2.99</v>
      </c>
      <c r="G101" s="64">
        <v>63.71</v>
      </c>
      <c r="H101" s="64">
        <v>13.73</v>
      </c>
      <c r="I101" s="64">
        <v>1.68</v>
      </c>
      <c r="J101" s="64">
        <v>0.32</v>
      </c>
      <c r="K101" s="64">
        <v>105.17</v>
      </c>
      <c r="L101" s="64">
        <v>24.75</v>
      </c>
      <c r="M101" s="64">
        <v>85.68</v>
      </c>
      <c r="N101" s="64">
        <v>39.700000000000003</v>
      </c>
      <c r="O101" s="64">
        <v>0</v>
      </c>
      <c r="P101" s="64">
        <v>0.41</v>
      </c>
      <c r="Q101" s="64">
        <v>9.07</v>
      </c>
      <c r="S101" s="198"/>
      <c r="T101" s="198"/>
      <c r="U101" s="198"/>
    </row>
    <row r="102" spans="1:33" s="12" customFormat="1" x14ac:dyDescent="0.25">
      <c r="A102" s="211" t="s">
        <v>2453</v>
      </c>
      <c r="B102" s="64">
        <v>5.92</v>
      </c>
      <c r="C102" s="64">
        <v>16.37</v>
      </c>
      <c r="D102" s="64">
        <v>13.3</v>
      </c>
      <c r="E102" s="64">
        <v>6.43</v>
      </c>
      <c r="F102" s="64">
        <v>3.25</v>
      </c>
      <c r="G102" s="64">
        <v>63.32</v>
      </c>
      <c r="H102" s="64">
        <v>13.73</v>
      </c>
      <c r="I102" s="64">
        <v>1.68</v>
      </c>
      <c r="J102" s="64">
        <v>0.36</v>
      </c>
      <c r="K102" s="64">
        <v>102.21</v>
      </c>
      <c r="L102" s="64">
        <v>24.69</v>
      </c>
      <c r="M102" s="64">
        <v>85.44</v>
      </c>
      <c r="N102" s="64">
        <v>39.6</v>
      </c>
      <c r="O102" s="64">
        <v>0</v>
      </c>
      <c r="P102" s="64">
        <v>0.38</v>
      </c>
      <c r="Q102" s="64">
        <v>9.07</v>
      </c>
      <c r="S102" s="198"/>
      <c r="T102" s="198"/>
      <c r="U102" s="198"/>
    </row>
    <row r="103" spans="1:33" s="12" customFormat="1" x14ac:dyDescent="0.25">
      <c r="A103" s="211" t="s">
        <v>2454</v>
      </c>
      <c r="B103" s="64">
        <v>5.7</v>
      </c>
      <c r="C103" s="64">
        <v>14.07</v>
      </c>
      <c r="D103" s="64">
        <v>11.92</v>
      </c>
      <c r="E103" s="64">
        <v>6.45</v>
      </c>
      <c r="F103" s="64">
        <v>3.15</v>
      </c>
      <c r="G103" s="64">
        <v>63.32</v>
      </c>
      <c r="H103" s="64">
        <v>13.73</v>
      </c>
      <c r="I103" s="64">
        <v>1.69</v>
      </c>
      <c r="J103" s="64">
        <v>0.22</v>
      </c>
      <c r="K103" s="64">
        <v>113.56</v>
      </c>
      <c r="L103" s="64">
        <v>24.57</v>
      </c>
      <c r="M103" s="64">
        <v>86.06</v>
      </c>
      <c r="N103" s="64">
        <v>39.799999999999997</v>
      </c>
      <c r="O103" s="64">
        <v>0</v>
      </c>
      <c r="P103" s="64">
        <v>0.37</v>
      </c>
      <c r="Q103" s="64">
        <v>9.06</v>
      </c>
      <c r="S103" s="198"/>
      <c r="T103" s="198"/>
      <c r="U103" s="198"/>
    </row>
    <row r="104" spans="1:33" s="12" customFormat="1" x14ac:dyDescent="0.25">
      <c r="A104" s="211" t="s">
        <v>2455</v>
      </c>
      <c r="B104" s="64">
        <v>5.89</v>
      </c>
      <c r="C104" s="64">
        <v>12.81</v>
      </c>
      <c r="D104" s="64">
        <v>11.42</v>
      </c>
      <c r="E104" s="64">
        <v>5.91</v>
      </c>
      <c r="F104" s="64">
        <v>2.1</v>
      </c>
      <c r="G104" s="64">
        <v>63.32</v>
      </c>
      <c r="H104" s="64">
        <v>13.73</v>
      </c>
      <c r="I104" s="64">
        <v>1.7</v>
      </c>
      <c r="J104" s="64">
        <v>0.05</v>
      </c>
      <c r="K104" s="64">
        <v>344.05</v>
      </c>
      <c r="L104" s="64">
        <v>24.23</v>
      </c>
      <c r="M104" s="64">
        <v>89.89</v>
      </c>
      <c r="N104" s="64">
        <v>40</v>
      </c>
      <c r="O104" s="64">
        <v>0</v>
      </c>
      <c r="P104" s="64">
        <v>0.41</v>
      </c>
      <c r="Q104" s="64">
        <v>9.0500000000000007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</v>
      </c>
      <c r="C106" s="67">
        <f>MIN(C9:C104)</f>
        <v>8.07</v>
      </c>
      <c r="D106" s="67">
        <f t="shared" ref="D106:Q106" si="0">MIN(D9:D104)</f>
        <v>8.7100000000000009</v>
      </c>
      <c r="E106" s="67">
        <f t="shared" si="0"/>
        <v>5.87</v>
      </c>
      <c r="F106" s="67">
        <f t="shared" si="0"/>
        <v>2.1</v>
      </c>
      <c r="G106" s="67">
        <f t="shared" si="0"/>
        <v>21.35</v>
      </c>
      <c r="H106" s="67">
        <f t="shared" si="0"/>
        <v>12.03</v>
      </c>
      <c r="I106" s="67">
        <f t="shared" si="0"/>
        <v>1.23</v>
      </c>
      <c r="J106" s="67">
        <f t="shared" si="0"/>
        <v>0.03</v>
      </c>
      <c r="K106" s="67">
        <f t="shared" si="0"/>
        <v>102.21</v>
      </c>
      <c r="L106" s="67">
        <f t="shared" si="0"/>
        <v>21.83</v>
      </c>
      <c r="M106" s="67">
        <f t="shared" si="0"/>
        <v>47.29</v>
      </c>
      <c r="N106" s="67">
        <f t="shared" si="0"/>
        <v>38.6</v>
      </c>
      <c r="O106" s="67">
        <f t="shared" si="0"/>
        <v>0</v>
      </c>
      <c r="P106" s="67">
        <f t="shared" si="0"/>
        <v>0.27</v>
      </c>
      <c r="Q106" s="67">
        <f t="shared" si="0"/>
        <v>8.9700000000000006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11.86</v>
      </c>
      <c r="C107" s="66">
        <f t="shared" ref="C107:Q107" si="1">MAX(C9:C104)</f>
        <v>28.11</v>
      </c>
      <c r="D107" s="66">
        <f t="shared" si="1"/>
        <v>23.89</v>
      </c>
      <c r="E107" s="66">
        <f t="shared" si="1"/>
        <v>10.210000000000001</v>
      </c>
      <c r="F107" s="66">
        <f t="shared" si="1"/>
        <v>12.92</v>
      </c>
      <c r="G107" s="66">
        <f t="shared" si="1"/>
        <v>197.35</v>
      </c>
      <c r="H107" s="66">
        <f t="shared" si="1"/>
        <v>15.07</v>
      </c>
      <c r="I107" s="66">
        <f t="shared" si="1"/>
        <v>1.99</v>
      </c>
      <c r="J107" s="66">
        <f t="shared" si="1"/>
        <v>1.29</v>
      </c>
      <c r="K107" s="66">
        <f t="shared" si="1"/>
        <v>344.05</v>
      </c>
      <c r="L107" s="66">
        <f t="shared" si="1"/>
        <v>30.42</v>
      </c>
      <c r="M107" s="66">
        <f t="shared" si="1"/>
        <v>97.83</v>
      </c>
      <c r="N107" s="66">
        <f t="shared" si="1"/>
        <v>809.9</v>
      </c>
      <c r="O107" s="66">
        <f t="shared" si="1"/>
        <v>0</v>
      </c>
      <c r="P107" s="66">
        <f t="shared" si="1"/>
        <v>0.74</v>
      </c>
      <c r="Q107" s="66">
        <f t="shared" si="1"/>
        <v>9.07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6.5933333333333328</v>
      </c>
      <c r="C108" s="67">
        <f t="shared" ref="C108:Q108" si="2">AVERAGE(C9:C104)</f>
        <v>13.143124999999998</v>
      </c>
      <c r="D108" s="67">
        <f t="shared" si="2"/>
        <v>12.14666666666667</v>
      </c>
      <c r="E108" s="67">
        <f t="shared" si="2"/>
        <v>7.6562500000000009</v>
      </c>
      <c r="F108" s="67">
        <f t="shared" si="2"/>
        <v>5.330729166666667</v>
      </c>
      <c r="G108" s="67">
        <f t="shared" si="2"/>
        <v>60.361249999999977</v>
      </c>
      <c r="H108" s="67">
        <f t="shared" si="2"/>
        <v>13.630416666666656</v>
      </c>
      <c r="I108" s="67">
        <f t="shared" si="2"/>
        <v>1.6531249999999995</v>
      </c>
      <c r="J108" s="67">
        <f t="shared" si="2"/>
        <v>0.44156250000000008</v>
      </c>
      <c r="K108" s="67">
        <f t="shared" si="2"/>
        <v>156.51427083333328</v>
      </c>
      <c r="L108" s="67">
        <f t="shared" si="2"/>
        <v>26.287812500000012</v>
      </c>
      <c r="M108" s="67">
        <f t="shared" si="2"/>
        <v>72.811250000000001</v>
      </c>
      <c r="N108" s="67">
        <f t="shared" si="2"/>
        <v>203.22708333333324</v>
      </c>
      <c r="O108" s="67">
        <f t="shared" si="2"/>
        <v>0</v>
      </c>
      <c r="P108" s="67">
        <f t="shared" si="2"/>
        <v>0.44041666666666629</v>
      </c>
      <c r="Q108" s="67">
        <f t="shared" si="2"/>
        <v>9.0177083333333332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1.2216129688301651</v>
      </c>
      <c r="C109" s="67">
        <f t="shared" ref="C109:Q109" si="3">STDEV(C9:C104)</f>
        <v>4.4164034694831891</v>
      </c>
      <c r="D109" s="67">
        <f t="shared" si="3"/>
        <v>2.4371884866169298</v>
      </c>
      <c r="E109" s="67">
        <f t="shared" si="3"/>
        <v>1.1874104952418525</v>
      </c>
      <c r="F109" s="67">
        <f t="shared" si="3"/>
        <v>3.2427481018717699</v>
      </c>
      <c r="G109" s="67">
        <f t="shared" si="3"/>
        <v>30.551971811635138</v>
      </c>
      <c r="H109" s="67">
        <f t="shared" si="3"/>
        <v>0.87885801100562977</v>
      </c>
      <c r="I109" s="67">
        <f t="shared" si="3"/>
        <v>0.22310399982260634</v>
      </c>
      <c r="J109" s="67">
        <f t="shared" si="3"/>
        <v>0.29876351543971136</v>
      </c>
      <c r="K109" s="67">
        <f t="shared" si="3"/>
        <v>65.101853183175933</v>
      </c>
      <c r="L109" s="67">
        <f t="shared" si="3"/>
        <v>2.7826833710324599</v>
      </c>
      <c r="M109" s="67">
        <f t="shared" si="3"/>
        <v>16.860112583129137</v>
      </c>
      <c r="N109" s="67">
        <f t="shared" si="3"/>
        <v>263.25165765626616</v>
      </c>
      <c r="O109" s="67">
        <f t="shared" si="3"/>
        <v>0</v>
      </c>
      <c r="P109" s="67">
        <f t="shared" si="3"/>
        <v>8.0458118123221192E-2</v>
      </c>
      <c r="Q109" s="67">
        <f t="shared" si="3"/>
        <v>2.5893675987397915E-2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05" sqref="G10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2456</v>
      </c>
      <c r="B9" s="64">
        <v>5.61</v>
      </c>
      <c r="C9" s="64">
        <v>12.94</v>
      </c>
      <c r="D9" s="64">
        <v>11.26</v>
      </c>
      <c r="E9" s="64">
        <v>4.8</v>
      </c>
      <c r="F9" s="64">
        <v>2.2599999999999998</v>
      </c>
      <c r="G9" s="64">
        <v>55.9</v>
      </c>
      <c r="H9" s="64">
        <v>12.94</v>
      </c>
      <c r="I9" s="64">
        <v>1.7</v>
      </c>
      <c r="J9" s="64">
        <v>7.0000000000000007E-2</v>
      </c>
      <c r="K9" s="64">
        <v>121.8</v>
      </c>
      <c r="L9" s="64">
        <v>23.96</v>
      </c>
      <c r="M9" s="64">
        <v>92.27</v>
      </c>
      <c r="N9" s="64">
        <v>39.700000000000003</v>
      </c>
      <c r="O9" s="64">
        <v>0</v>
      </c>
      <c r="P9" s="64">
        <v>0.37</v>
      </c>
      <c r="Q9" s="64">
        <v>9.0500000000000007</v>
      </c>
      <c r="R9" s="198"/>
      <c r="S9" s="198"/>
      <c r="T9" s="198"/>
      <c r="U9" s="198"/>
    </row>
    <row r="10" spans="1:21" s="12" customFormat="1" x14ac:dyDescent="0.25">
      <c r="A10" s="211" t="s">
        <v>2457</v>
      </c>
      <c r="B10" s="64">
        <v>6</v>
      </c>
      <c r="C10" s="64">
        <v>12.33</v>
      </c>
      <c r="D10" s="64">
        <v>11.26</v>
      </c>
      <c r="E10" s="64">
        <v>5.25</v>
      </c>
      <c r="F10" s="64">
        <v>2.1</v>
      </c>
      <c r="G10" s="64">
        <v>53.92</v>
      </c>
      <c r="H10" s="64">
        <v>12.94</v>
      </c>
      <c r="I10" s="64">
        <v>1.68</v>
      </c>
      <c r="J10" s="64">
        <v>0</v>
      </c>
      <c r="K10" s="64">
        <v>132.38</v>
      </c>
      <c r="L10" s="64">
        <v>23.88</v>
      </c>
      <c r="M10" s="64">
        <v>93.13</v>
      </c>
      <c r="N10" s="64">
        <v>39.700000000000003</v>
      </c>
      <c r="O10" s="64">
        <v>0</v>
      </c>
      <c r="P10" s="64">
        <v>0.4</v>
      </c>
      <c r="Q10" s="64">
        <v>9.0399999999999991</v>
      </c>
      <c r="R10" s="198"/>
      <c r="S10" s="198"/>
      <c r="T10" s="198"/>
      <c r="U10" s="198"/>
    </row>
    <row r="11" spans="1:21" s="12" customFormat="1" x14ac:dyDescent="0.25">
      <c r="A11" s="211" t="s">
        <v>2458</v>
      </c>
      <c r="B11" s="64">
        <v>5.76</v>
      </c>
      <c r="C11" s="64">
        <v>13.31</v>
      </c>
      <c r="D11" s="64">
        <v>11.57</v>
      </c>
      <c r="E11" s="64">
        <v>4.82</v>
      </c>
      <c r="F11" s="64">
        <v>2.14</v>
      </c>
      <c r="G11" s="64">
        <v>53.92</v>
      </c>
      <c r="H11" s="64">
        <v>12.94</v>
      </c>
      <c r="I11" s="64">
        <v>1.67</v>
      </c>
      <c r="J11" s="64">
        <v>0.13</v>
      </c>
      <c r="K11" s="64">
        <v>186.74</v>
      </c>
      <c r="L11" s="64">
        <v>23.79</v>
      </c>
      <c r="M11" s="64">
        <v>91.66</v>
      </c>
      <c r="N11" s="64">
        <v>39.6</v>
      </c>
      <c r="O11" s="64">
        <v>0</v>
      </c>
      <c r="P11" s="64">
        <v>0.38</v>
      </c>
      <c r="Q11" s="64">
        <v>9.02</v>
      </c>
      <c r="R11" s="198"/>
      <c r="S11" s="198"/>
      <c r="T11" s="198"/>
      <c r="U11" s="198"/>
    </row>
    <row r="12" spans="1:21" s="12" customFormat="1" x14ac:dyDescent="0.25">
      <c r="A12" s="211" t="s">
        <v>2459</v>
      </c>
      <c r="B12" s="64">
        <v>6.07</v>
      </c>
      <c r="C12" s="64">
        <v>10.41</v>
      </c>
      <c r="D12" s="64">
        <v>10.3</v>
      </c>
      <c r="E12" s="64">
        <v>4.55</v>
      </c>
      <c r="F12" s="64">
        <v>2.1</v>
      </c>
      <c r="G12" s="64">
        <v>53.92</v>
      </c>
      <c r="H12" s="64">
        <v>12.94</v>
      </c>
      <c r="I12" s="64">
        <v>1.67</v>
      </c>
      <c r="J12" s="64">
        <v>0.04</v>
      </c>
      <c r="K12" s="64">
        <v>279.52999999999997</v>
      </c>
      <c r="L12" s="64">
        <v>23.76</v>
      </c>
      <c r="M12" s="64">
        <v>91.24</v>
      </c>
      <c r="N12" s="64">
        <v>39.799999999999997</v>
      </c>
      <c r="O12" s="64">
        <v>0</v>
      </c>
      <c r="P12" s="64">
        <v>0.37</v>
      </c>
      <c r="Q12" s="64">
        <v>9.02</v>
      </c>
      <c r="R12" s="198"/>
      <c r="S12" s="198"/>
      <c r="T12" s="198"/>
      <c r="U12" s="198"/>
    </row>
    <row r="13" spans="1:21" s="12" customFormat="1" x14ac:dyDescent="0.25">
      <c r="A13" s="211" t="s">
        <v>2460</v>
      </c>
      <c r="B13" s="64">
        <v>5.58</v>
      </c>
      <c r="C13" s="64">
        <v>10.75</v>
      </c>
      <c r="D13" s="64">
        <v>10.09</v>
      </c>
      <c r="E13" s="64">
        <v>4.68</v>
      </c>
      <c r="F13" s="64">
        <v>2.17</v>
      </c>
      <c r="G13" s="64">
        <v>46.13</v>
      </c>
      <c r="H13" s="64">
        <v>15.72</v>
      </c>
      <c r="I13" s="64">
        <v>1.67</v>
      </c>
      <c r="J13" s="64">
        <v>0.15</v>
      </c>
      <c r="K13" s="64">
        <v>323.43</v>
      </c>
      <c r="L13" s="64">
        <v>23.56</v>
      </c>
      <c r="M13" s="64">
        <v>94.72</v>
      </c>
      <c r="N13" s="64">
        <v>39.799999999999997</v>
      </c>
      <c r="O13" s="64">
        <v>0</v>
      </c>
      <c r="P13" s="64">
        <v>0.34</v>
      </c>
      <c r="Q13" s="64">
        <v>9.01</v>
      </c>
      <c r="R13" s="198"/>
      <c r="S13" s="198"/>
      <c r="T13" s="198"/>
      <c r="U13" s="198"/>
    </row>
    <row r="14" spans="1:21" s="12" customFormat="1" x14ac:dyDescent="0.25">
      <c r="A14" s="211" t="s">
        <v>2461</v>
      </c>
      <c r="B14" s="64">
        <v>5.37</v>
      </c>
      <c r="C14" s="64">
        <v>10.25</v>
      </c>
      <c r="D14" s="64">
        <v>9.66</v>
      </c>
      <c r="E14" s="64">
        <v>4.7300000000000004</v>
      </c>
      <c r="F14" s="64">
        <v>2.2799999999999998</v>
      </c>
      <c r="G14" s="64">
        <v>44.04</v>
      </c>
      <c r="H14" s="64">
        <v>15.72</v>
      </c>
      <c r="I14" s="64">
        <v>1.67</v>
      </c>
      <c r="J14" s="64">
        <v>0.14000000000000001</v>
      </c>
      <c r="K14" s="64">
        <v>311.63</v>
      </c>
      <c r="L14" s="64">
        <v>23.3</v>
      </c>
      <c r="M14" s="64">
        <v>97.39</v>
      </c>
      <c r="N14" s="64">
        <v>39.799999999999997</v>
      </c>
      <c r="O14" s="64">
        <v>0</v>
      </c>
      <c r="P14" s="64">
        <v>0.35</v>
      </c>
      <c r="Q14" s="64">
        <v>9.01</v>
      </c>
      <c r="R14" s="198"/>
      <c r="S14" s="198"/>
      <c r="T14" s="198"/>
      <c r="U14" s="198"/>
    </row>
    <row r="15" spans="1:21" s="12" customFormat="1" x14ac:dyDescent="0.25">
      <c r="A15" s="211" t="s">
        <v>2462</v>
      </c>
      <c r="B15" s="64">
        <v>6.59</v>
      </c>
      <c r="C15" s="64">
        <v>10.220000000000001</v>
      </c>
      <c r="D15" s="64">
        <v>10.62</v>
      </c>
      <c r="E15" s="64">
        <v>4.4000000000000004</v>
      </c>
      <c r="F15" s="64">
        <v>2.1</v>
      </c>
      <c r="G15" s="64">
        <v>44.04</v>
      </c>
      <c r="H15" s="64">
        <v>15.72</v>
      </c>
      <c r="I15" s="64">
        <v>1.67</v>
      </c>
      <c r="J15" s="64">
        <v>0.17</v>
      </c>
      <c r="K15" s="64">
        <v>335.2</v>
      </c>
      <c r="L15" s="64">
        <v>23.08</v>
      </c>
      <c r="M15" s="64">
        <v>97.77</v>
      </c>
      <c r="N15" s="64">
        <v>39.799999999999997</v>
      </c>
      <c r="O15" s="64">
        <v>0</v>
      </c>
      <c r="P15" s="64">
        <v>0.41</v>
      </c>
      <c r="Q15" s="64">
        <v>9.01</v>
      </c>
      <c r="R15" s="198"/>
      <c r="S15" s="198"/>
      <c r="T15" s="198"/>
      <c r="U15" s="198"/>
    </row>
    <row r="16" spans="1:21" s="12" customFormat="1" x14ac:dyDescent="0.25">
      <c r="A16" s="211" t="s">
        <v>2463</v>
      </c>
      <c r="B16" s="64">
        <v>6.57</v>
      </c>
      <c r="C16" s="64">
        <v>11.9</v>
      </c>
      <c r="D16" s="64">
        <v>11.49</v>
      </c>
      <c r="E16" s="64">
        <v>4.5599999999999996</v>
      </c>
      <c r="F16" s="64">
        <v>2.11</v>
      </c>
      <c r="G16" s="64">
        <v>44.04</v>
      </c>
      <c r="H16" s="64">
        <v>15.72</v>
      </c>
      <c r="I16" s="64">
        <v>1.65</v>
      </c>
      <c r="J16" s="64">
        <v>0.15</v>
      </c>
      <c r="K16" s="64">
        <v>315.85000000000002</v>
      </c>
      <c r="L16" s="64">
        <v>22.88</v>
      </c>
      <c r="M16" s="64">
        <v>97.82</v>
      </c>
      <c r="N16" s="64">
        <v>39.799999999999997</v>
      </c>
      <c r="O16" s="64">
        <v>0</v>
      </c>
      <c r="P16" s="64">
        <v>0.37</v>
      </c>
      <c r="Q16" s="64">
        <v>9.02</v>
      </c>
      <c r="R16" s="198"/>
      <c r="S16" s="198"/>
      <c r="T16" s="198"/>
      <c r="U16" s="198"/>
    </row>
    <row r="17" spans="1:21" s="12" customFormat="1" x14ac:dyDescent="0.25">
      <c r="A17" s="211" t="s">
        <v>2464</v>
      </c>
      <c r="B17" s="64">
        <v>6.39</v>
      </c>
      <c r="C17" s="64">
        <v>9.91</v>
      </c>
      <c r="D17" s="64">
        <v>10.31</v>
      </c>
      <c r="E17" s="64">
        <v>4.51</v>
      </c>
      <c r="F17" s="64">
        <v>2.1</v>
      </c>
      <c r="G17" s="64">
        <v>36.53</v>
      </c>
      <c r="H17" s="64">
        <v>15.39</v>
      </c>
      <c r="I17" s="64">
        <v>1.63</v>
      </c>
      <c r="J17" s="64">
        <v>0.15</v>
      </c>
      <c r="K17" s="64">
        <v>315.61</v>
      </c>
      <c r="L17" s="64">
        <v>22.77</v>
      </c>
      <c r="M17" s="64">
        <v>97.8</v>
      </c>
      <c r="N17" s="64">
        <v>39.6</v>
      </c>
      <c r="O17" s="64">
        <v>0</v>
      </c>
      <c r="P17" s="64">
        <v>0.4</v>
      </c>
      <c r="Q17" s="64">
        <v>9.01</v>
      </c>
      <c r="R17" s="198"/>
      <c r="S17" s="198"/>
      <c r="T17" s="198"/>
      <c r="U17" s="198"/>
    </row>
    <row r="18" spans="1:21" s="12" customFormat="1" x14ac:dyDescent="0.25">
      <c r="A18" s="211" t="s">
        <v>2465</v>
      </c>
      <c r="B18" s="64">
        <v>7.43</v>
      </c>
      <c r="C18" s="64">
        <v>10.32</v>
      </c>
      <c r="D18" s="64">
        <v>11.35</v>
      </c>
      <c r="E18" s="64">
        <v>4.62</v>
      </c>
      <c r="F18" s="64">
        <v>2.12</v>
      </c>
      <c r="G18" s="64">
        <v>34.520000000000003</v>
      </c>
      <c r="H18" s="64">
        <v>15.39</v>
      </c>
      <c r="I18" s="64">
        <v>1.63</v>
      </c>
      <c r="J18" s="64">
        <v>0.16</v>
      </c>
      <c r="K18" s="64">
        <v>320.77</v>
      </c>
      <c r="L18" s="64">
        <v>22.78</v>
      </c>
      <c r="M18" s="64">
        <v>97.81</v>
      </c>
      <c r="N18" s="64">
        <v>39.6</v>
      </c>
      <c r="O18" s="64">
        <v>0</v>
      </c>
      <c r="P18" s="64">
        <v>0.37</v>
      </c>
      <c r="Q18" s="64">
        <v>9.01</v>
      </c>
      <c r="R18" s="198"/>
      <c r="S18" s="198"/>
      <c r="T18" s="198"/>
      <c r="U18" s="198"/>
    </row>
    <row r="19" spans="1:21" s="12" customFormat="1" x14ac:dyDescent="0.25">
      <c r="A19" s="211" t="s">
        <v>2466</v>
      </c>
      <c r="B19" s="64">
        <v>6.6</v>
      </c>
      <c r="C19" s="64">
        <v>9.39</v>
      </c>
      <c r="D19" s="64">
        <v>10.199999999999999</v>
      </c>
      <c r="E19" s="64">
        <v>4.4400000000000004</v>
      </c>
      <c r="F19" s="64">
        <v>2.14</v>
      </c>
      <c r="G19" s="64">
        <v>34.520000000000003</v>
      </c>
      <c r="H19" s="64">
        <v>15.39</v>
      </c>
      <c r="I19" s="64">
        <v>1.63</v>
      </c>
      <c r="J19" s="64">
        <v>0.16</v>
      </c>
      <c r="K19" s="64">
        <v>318.51</v>
      </c>
      <c r="L19" s="64">
        <v>22.76</v>
      </c>
      <c r="M19" s="64">
        <v>97.83</v>
      </c>
      <c r="N19" s="64">
        <v>39.6</v>
      </c>
      <c r="O19" s="64">
        <v>0</v>
      </c>
      <c r="P19" s="64">
        <v>0.37</v>
      </c>
      <c r="Q19" s="64">
        <v>9.0299999999999994</v>
      </c>
      <c r="R19" s="198"/>
      <c r="S19" s="198"/>
      <c r="T19" s="198"/>
      <c r="U19" s="198"/>
    </row>
    <row r="20" spans="1:21" s="12" customFormat="1" x14ac:dyDescent="0.25">
      <c r="A20" s="211" t="s">
        <v>2467</v>
      </c>
      <c r="B20" s="64">
        <v>6.34</v>
      </c>
      <c r="C20" s="64">
        <v>10</v>
      </c>
      <c r="D20" s="64">
        <v>10.31</v>
      </c>
      <c r="E20" s="64">
        <v>4.2699999999999996</v>
      </c>
      <c r="F20" s="64">
        <v>2.12</v>
      </c>
      <c r="G20" s="64">
        <v>34.520000000000003</v>
      </c>
      <c r="H20" s="64">
        <v>15.39</v>
      </c>
      <c r="I20" s="64">
        <v>1.63</v>
      </c>
      <c r="J20" s="64">
        <v>0.12</v>
      </c>
      <c r="K20" s="64">
        <v>330.47</v>
      </c>
      <c r="L20" s="64">
        <v>22.59</v>
      </c>
      <c r="M20" s="64">
        <v>97.83</v>
      </c>
      <c r="N20" s="64">
        <v>39.799999999999997</v>
      </c>
      <c r="O20" s="64">
        <v>0</v>
      </c>
      <c r="P20" s="64">
        <v>0.36</v>
      </c>
      <c r="Q20" s="64">
        <v>9.0399999999999991</v>
      </c>
      <c r="R20" s="198"/>
      <c r="S20" s="198"/>
      <c r="T20" s="198"/>
      <c r="U20" s="198"/>
    </row>
    <row r="21" spans="1:21" s="12" customFormat="1" x14ac:dyDescent="0.25">
      <c r="A21" s="211" t="s">
        <v>2468</v>
      </c>
      <c r="B21" s="64">
        <v>7.27</v>
      </c>
      <c r="C21" s="64">
        <v>11.88</v>
      </c>
      <c r="D21" s="64">
        <v>12.04</v>
      </c>
      <c r="E21" s="64">
        <v>4.43</v>
      </c>
      <c r="F21" s="64">
        <v>2.1</v>
      </c>
      <c r="G21" s="64">
        <v>33.5</v>
      </c>
      <c r="H21" s="64">
        <v>14.07</v>
      </c>
      <c r="I21" s="64">
        <v>1.62</v>
      </c>
      <c r="J21" s="64">
        <v>0.17</v>
      </c>
      <c r="K21" s="64">
        <v>342.05</v>
      </c>
      <c r="L21" s="64">
        <v>22.38</v>
      </c>
      <c r="M21" s="64">
        <v>97.84</v>
      </c>
      <c r="N21" s="64">
        <v>39.9</v>
      </c>
      <c r="O21" s="64">
        <v>0</v>
      </c>
      <c r="P21" s="64">
        <v>0.38</v>
      </c>
      <c r="Q21" s="64">
        <v>9.0500000000000007</v>
      </c>
      <c r="R21" s="198"/>
      <c r="S21" s="198"/>
      <c r="T21" s="198"/>
      <c r="U21" s="198"/>
    </row>
    <row r="22" spans="1:21" s="12" customFormat="1" x14ac:dyDescent="0.25">
      <c r="A22" s="211" t="s">
        <v>2469</v>
      </c>
      <c r="B22" s="64">
        <v>6.82</v>
      </c>
      <c r="C22" s="64">
        <v>12.14</v>
      </c>
      <c r="D22" s="64">
        <v>11.81</v>
      </c>
      <c r="E22" s="64">
        <v>4.1399999999999997</v>
      </c>
      <c r="F22" s="64">
        <v>2.1</v>
      </c>
      <c r="G22" s="64">
        <v>33.22</v>
      </c>
      <c r="H22" s="64">
        <v>14.07</v>
      </c>
      <c r="I22" s="64">
        <v>1.62</v>
      </c>
      <c r="J22" s="64">
        <v>0.17</v>
      </c>
      <c r="K22" s="64">
        <v>339.08</v>
      </c>
      <c r="L22" s="64">
        <v>22.09</v>
      </c>
      <c r="M22" s="64">
        <v>97.88</v>
      </c>
      <c r="N22" s="64">
        <v>39.799999999999997</v>
      </c>
      <c r="O22" s="64">
        <v>0</v>
      </c>
      <c r="P22" s="64">
        <v>0.38</v>
      </c>
      <c r="Q22" s="64">
        <v>9.0500000000000007</v>
      </c>
      <c r="R22" s="198"/>
      <c r="S22" s="198"/>
      <c r="T22" s="198"/>
      <c r="U22" s="198"/>
    </row>
    <row r="23" spans="1:21" s="12" customFormat="1" x14ac:dyDescent="0.25">
      <c r="A23" s="211" t="s">
        <v>2470</v>
      </c>
      <c r="B23" s="64">
        <v>6.48</v>
      </c>
      <c r="C23" s="64">
        <v>10.58</v>
      </c>
      <c r="D23" s="64">
        <v>10.72</v>
      </c>
      <c r="E23" s="64">
        <v>4.2300000000000004</v>
      </c>
      <c r="F23" s="64">
        <v>2.1</v>
      </c>
      <c r="G23" s="64">
        <v>33.22</v>
      </c>
      <c r="H23" s="64">
        <v>14.07</v>
      </c>
      <c r="I23" s="64">
        <v>1.62</v>
      </c>
      <c r="J23" s="64">
        <v>7.0000000000000007E-2</v>
      </c>
      <c r="K23" s="64">
        <v>315.14</v>
      </c>
      <c r="L23" s="64">
        <v>21.98</v>
      </c>
      <c r="M23" s="64">
        <v>97.88</v>
      </c>
      <c r="N23" s="64">
        <v>39.6</v>
      </c>
      <c r="O23" s="64">
        <v>0</v>
      </c>
      <c r="P23" s="64">
        <v>0.38</v>
      </c>
      <c r="Q23" s="64">
        <v>9.06</v>
      </c>
      <c r="R23" s="198"/>
      <c r="S23" s="198"/>
      <c r="T23" s="198"/>
      <c r="U23" s="198"/>
    </row>
    <row r="24" spans="1:21" s="12" customFormat="1" x14ac:dyDescent="0.25">
      <c r="A24" s="211" t="s">
        <v>2471</v>
      </c>
      <c r="B24" s="64">
        <v>7.19</v>
      </c>
      <c r="C24" s="64">
        <v>10.85</v>
      </c>
      <c r="D24" s="64">
        <v>11.44</v>
      </c>
      <c r="E24" s="64">
        <v>4.16</v>
      </c>
      <c r="F24" s="64">
        <v>2.1</v>
      </c>
      <c r="G24" s="64">
        <v>33.22</v>
      </c>
      <c r="H24" s="64">
        <v>14.07</v>
      </c>
      <c r="I24" s="64">
        <v>1.62</v>
      </c>
      <c r="J24" s="64">
        <v>0.09</v>
      </c>
      <c r="K24" s="64">
        <v>345.09</v>
      </c>
      <c r="L24" s="64">
        <v>22.09</v>
      </c>
      <c r="M24" s="64">
        <v>97.88</v>
      </c>
      <c r="N24" s="64">
        <v>39.700000000000003</v>
      </c>
      <c r="O24" s="64">
        <v>0</v>
      </c>
      <c r="P24" s="64">
        <v>0.37</v>
      </c>
      <c r="Q24" s="64">
        <v>9.06</v>
      </c>
      <c r="R24" s="198"/>
      <c r="S24" s="198"/>
      <c r="T24" s="198"/>
      <c r="U24" s="198"/>
    </row>
    <row r="25" spans="1:21" s="12" customFormat="1" x14ac:dyDescent="0.25">
      <c r="A25" s="211" t="s">
        <v>2472</v>
      </c>
      <c r="B25" s="64">
        <v>9.0299999999999994</v>
      </c>
      <c r="C25" s="64">
        <v>12.94</v>
      </c>
      <c r="D25" s="64">
        <v>14</v>
      </c>
      <c r="E25" s="64">
        <v>4.29</v>
      </c>
      <c r="F25" s="64">
        <v>2.1</v>
      </c>
      <c r="G25" s="64">
        <v>41.16</v>
      </c>
      <c r="H25" s="64">
        <v>13.15</v>
      </c>
      <c r="I25" s="64">
        <v>1.62</v>
      </c>
      <c r="J25" s="64">
        <v>0.18</v>
      </c>
      <c r="K25" s="64">
        <v>334.77</v>
      </c>
      <c r="L25" s="64">
        <v>21.95</v>
      </c>
      <c r="M25" s="64">
        <v>97.9</v>
      </c>
      <c r="N25" s="64">
        <v>39.9</v>
      </c>
      <c r="O25" s="64">
        <v>0</v>
      </c>
      <c r="P25" s="64">
        <v>0.4</v>
      </c>
      <c r="Q25" s="64">
        <v>9.06</v>
      </c>
      <c r="R25" s="198"/>
      <c r="S25" s="198"/>
      <c r="T25" s="198"/>
      <c r="U25" s="198"/>
    </row>
    <row r="26" spans="1:21" s="12" customFormat="1" x14ac:dyDescent="0.25">
      <c r="A26" s="211" t="s">
        <v>2473</v>
      </c>
      <c r="B26" s="64">
        <v>11.7</v>
      </c>
      <c r="C26" s="64">
        <v>9.75</v>
      </c>
      <c r="D26" s="64">
        <v>14.47</v>
      </c>
      <c r="E26" s="64">
        <v>4.2</v>
      </c>
      <c r="F26" s="64">
        <v>2.1</v>
      </c>
      <c r="G26" s="64">
        <v>43.42</v>
      </c>
      <c r="H26" s="64">
        <v>13.15</v>
      </c>
      <c r="I26" s="64">
        <v>1.63</v>
      </c>
      <c r="J26" s="64">
        <v>0.14000000000000001</v>
      </c>
      <c r="K26" s="64">
        <v>345.76</v>
      </c>
      <c r="L26" s="64">
        <v>21.85</v>
      </c>
      <c r="M26" s="64">
        <v>97.9</v>
      </c>
      <c r="N26" s="64">
        <v>39.6</v>
      </c>
      <c r="O26" s="64">
        <v>0</v>
      </c>
      <c r="P26" s="64">
        <v>0.42</v>
      </c>
      <c r="Q26" s="64">
        <v>9.0500000000000007</v>
      </c>
      <c r="R26" s="198"/>
      <c r="S26" s="198"/>
      <c r="T26" s="198"/>
      <c r="U26" s="198"/>
    </row>
    <row r="27" spans="1:21" s="12" customFormat="1" x14ac:dyDescent="0.25">
      <c r="A27" s="211" t="s">
        <v>2474</v>
      </c>
      <c r="B27" s="64">
        <v>9.01</v>
      </c>
      <c r="C27" s="64">
        <v>14.36</v>
      </c>
      <c r="D27" s="64">
        <v>14.73</v>
      </c>
      <c r="E27" s="64">
        <v>4.41</v>
      </c>
      <c r="F27" s="64">
        <v>2.1</v>
      </c>
      <c r="G27" s="64">
        <v>43.42</v>
      </c>
      <c r="H27" s="64">
        <v>13.15</v>
      </c>
      <c r="I27" s="64">
        <v>1.64</v>
      </c>
      <c r="J27" s="64">
        <v>0.13</v>
      </c>
      <c r="K27" s="64">
        <v>114.89</v>
      </c>
      <c r="L27" s="64">
        <v>21.99</v>
      </c>
      <c r="M27" s="64">
        <v>97.88</v>
      </c>
      <c r="N27" s="64">
        <v>39.6</v>
      </c>
      <c r="O27" s="64">
        <v>0</v>
      </c>
      <c r="P27" s="64">
        <v>0.41</v>
      </c>
      <c r="Q27" s="64">
        <v>9.0500000000000007</v>
      </c>
      <c r="R27" s="198"/>
      <c r="S27" s="198"/>
      <c r="T27" s="198"/>
      <c r="U27" s="198"/>
    </row>
    <row r="28" spans="1:21" s="12" customFormat="1" x14ac:dyDescent="0.25">
      <c r="A28" s="211" t="s">
        <v>2475</v>
      </c>
      <c r="B28" s="64">
        <v>8.1</v>
      </c>
      <c r="C28" s="64">
        <v>9.7799999999999994</v>
      </c>
      <c r="D28" s="64">
        <v>11.61</v>
      </c>
      <c r="E28" s="64">
        <v>4.2699999999999996</v>
      </c>
      <c r="F28" s="64">
        <v>2.1</v>
      </c>
      <c r="G28" s="64">
        <v>43.42</v>
      </c>
      <c r="H28" s="64">
        <v>13.15</v>
      </c>
      <c r="I28" s="64">
        <v>1.65</v>
      </c>
      <c r="J28" s="64">
        <v>0.16</v>
      </c>
      <c r="K28" s="64">
        <v>345.31</v>
      </c>
      <c r="L28" s="64">
        <v>22.2</v>
      </c>
      <c r="M28" s="64">
        <v>97.88</v>
      </c>
      <c r="N28" s="64">
        <v>39.6</v>
      </c>
      <c r="O28" s="64">
        <v>0</v>
      </c>
      <c r="P28" s="64">
        <v>0.45</v>
      </c>
      <c r="Q28" s="64">
        <v>9.0500000000000007</v>
      </c>
      <c r="R28" s="198"/>
      <c r="S28" s="198"/>
      <c r="T28" s="198"/>
      <c r="U28" s="198"/>
    </row>
    <row r="29" spans="1:21" s="12" customFormat="1" x14ac:dyDescent="0.25">
      <c r="A29" s="211" t="s">
        <v>2476</v>
      </c>
      <c r="B29" s="64">
        <v>8.68</v>
      </c>
      <c r="C29" s="64">
        <v>10.52</v>
      </c>
      <c r="D29" s="64">
        <v>12.46</v>
      </c>
      <c r="E29" s="64">
        <v>3.95</v>
      </c>
      <c r="F29" s="64">
        <v>2.1</v>
      </c>
      <c r="G29" s="64">
        <v>52.86</v>
      </c>
      <c r="H29" s="64">
        <v>14.37</v>
      </c>
      <c r="I29" s="64">
        <v>1.65</v>
      </c>
      <c r="J29" s="64">
        <v>0.05</v>
      </c>
      <c r="K29" s="64">
        <v>319.55</v>
      </c>
      <c r="L29" s="64">
        <v>22.08</v>
      </c>
      <c r="M29" s="64">
        <v>97.86</v>
      </c>
      <c r="N29" s="64">
        <v>39.700000000000003</v>
      </c>
      <c r="O29" s="64">
        <v>0</v>
      </c>
      <c r="P29" s="64">
        <v>0.42</v>
      </c>
      <c r="Q29" s="64">
        <v>9.0399999999999991</v>
      </c>
      <c r="R29" s="198"/>
      <c r="S29" s="198"/>
      <c r="T29" s="198"/>
      <c r="U29" s="198"/>
    </row>
    <row r="30" spans="1:21" s="12" customFormat="1" x14ac:dyDescent="0.25">
      <c r="A30" s="211" t="s">
        <v>2477</v>
      </c>
      <c r="B30" s="64">
        <v>11.12</v>
      </c>
      <c r="C30" s="64">
        <v>9.86</v>
      </c>
      <c r="D30" s="64">
        <v>14.07</v>
      </c>
      <c r="E30" s="64">
        <v>4.16</v>
      </c>
      <c r="F30" s="64">
        <v>2.1</v>
      </c>
      <c r="G30" s="64">
        <v>55.38</v>
      </c>
      <c r="H30" s="64">
        <v>14.37</v>
      </c>
      <c r="I30" s="64">
        <v>1.66</v>
      </c>
      <c r="J30" s="64">
        <v>0.33</v>
      </c>
      <c r="K30" s="64">
        <v>339.09</v>
      </c>
      <c r="L30" s="64">
        <v>22</v>
      </c>
      <c r="M30" s="64">
        <v>97.9</v>
      </c>
      <c r="N30" s="64">
        <v>39.6</v>
      </c>
      <c r="O30" s="64">
        <v>0</v>
      </c>
      <c r="P30" s="64">
        <v>0.45</v>
      </c>
      <c r="Q30" s="64">
        <v>9.0500000000000007</v>
      </c>
      <c r="R30" s="198"/>
      <c r="S30" s="198"/>
      <c r="T30" s="198"/>
      <c r="U30" s="198"/>
    </row>
    <row r="31" spans="1:21" s="12" customFormat="1" x14ac:dyDescent="0.25">
      <c r="A31" s="211" t="s">
        <v>2478</v>
      </c>
      <c r="B31" s="64">
        <v>14.96</v>
      </c>
      <c r="C31" s="64">
        <v>9.16</v>
      </c>
      <c r="D31" s="64">
        <v>16.78</v>
      </c>
      <c r="E31" s="64">
        <v>3.81</v>
      </c>
      <c r="F31" s="64">
        <v>2.1</v>
      </c>
      <c r="G31" s="64">
        <v>55.38</v>
      </c>
      <c r="H31" s="64">
        <v>14.37</v>
      </c>
      <c r="I31" s="64">
        <v>1.67</v>
      </c>
      <c r="J31" s="64">
        <v>0.46</v>
      </c>
      <c r="K31" s="64">
        <v>337.93</v>
      </c>
      <c r="L31" s="64">
        <v>22.06</v>
      </c>
      <c r="M31" s="64">
        <v>97.9</v>
      </c>
      <c r="N31" s="64">
        <v>39.799999999999997</v>
      </c>
      <c r="O31" s="64">
        <v>0</v>
      </c>
      <c r="P31" s="64">
        <v>0.45</v>
      </c>
      <c r="Q31" s="64">
        <v>9.06</v>
      </c>
      <c r="R31" s="198"/>
      <c r="S31" s="198"/>
      <c r="T31" s="198"/>
      <c r="U31" s="198"/>
    </row>
    <row r="32" spans="1:21" s="12" customFormat="1" x14ac:dyDescent="0.25">
      <c r="A32" s="211" t="s">
        <v>2479</v>
      </c>
      <c r="B32" s="64">
        <v>12.44</v>
      </c>
      <c r="C32" s="64">
        <v>11.58</v>
      </c>
      <c r="D32" s="64">
        <v>16.02</v>
      </c>
      <c r="E32" s="64">
        <v>3.9</v>
      </c>
      <c r="F32" s="64">
        <v>2.1</v>
      </c>
      <c r="G32" s="64">
        <v>55.38</v>
      </c>
      <c r="H32" s="64">
        <v>14.37</v>
      </c>
      <c r="I32" s="64">
        <v>1.68</v>
      </c>
      <c r="J32" s="64">
        <v>0.3</v>
      </c>
      <c r="K32" s="64">
        <v>339.35</v>
      </c>
      <c r="L32" s="64">
        <v>21.87</v>
      </c>
      <c r="M32" s="64">
        <v>97.92</v>
      </c>
      <c r="N32" s="64">
        <v>41.9</v>
      </c>
      <c r="O32" s="64">
        <v>0</v>
      </c>
      <c r="P32" s="64">
        <v>0.47</v>
      </c>
      <c r="Q32" s="64">
        <v>9.06</v>
      </c>
      <c r="R32" s="198"/>
      <c r="S32" s="198"/>
      <c r="T32" s="198"/>
      <c r="U32" s="198"/>
    </row>
    <row r="33" spans="1:21" s="12" customFormat="1" x14ac:dyDescent="0.25">
      <c r="A33" s="211" t="s">
        <v>2480</v>
      </c>
      <c r="B33" s="64">
        <v>11.58</v>
      </c>
      <c r="C33" s="64">
        <v>10.02</v>
      </c>
      <c r="D33" s="64">
        <v>14.52</v>
      </c>
      <c r="E33" s="64">
        <v>3.82</v>
      </c>
      <c r="F33" s="64">
        <v>2.1</v>
      </c>
      <c r="G33" s="64">
        <v>60.25</v>
      </c>
      <c r="H33" s="64">
        <v>13.53</v>
      </c>
      <c r="I33" s="64">
        <v>1.69</v>
      </c>
      <c r="J33" s="64">
        <v>0.24</v>
      </c>
      <c r="K33" s="64">
        <v>339.38</v>
      </c>
      <c r="L33" s="64">
        <v>21.79</v>
      </c>
      <c r="M33" s="64">
        <v>97.9</v>
      </c>
      <c r="N33" s="64">
        <v>48.7</v>
      </c>
      <c r="O33" s="64">
        <v>0</v>
      </c>
      <c r="P33" s="64">
        <v>0.45</v>
      </c>
      <c r="Q33" s="64">
        <v>9.06</v>
      </c>
      <c r="R33" s="198"/>
      <c r="S33" s="198"/>
      <c r="T33" s="198"/>
      <c r="U33" s="198"/>
    </row>
    <row r="34" spans="1:21" s="12" customFormat="1" x14ac:dyDescent="0.25">
      <c r="A34" s="211" t="s">
        <v>2481</v>
      </c>
      <c r="B34" s="64">
        <v>11.44</v>
      </c>
      <c r="C34" s="64">
        <v>10.25</v>
      </c>
      <c r="D34" s="64">
        <v>14.53</v>
      </c>
      <c r="E34" s="64">
        <v>4.05</v>
      </c>
      <c r="F34" s="64">
        <v>2.8</v>
      </c>
      <c r="G34" s="64">
        <v>61.55</v>
      </c>
      <c r="H34" s="64">
        <v>13.53</v>
      </c>
      <c r="I34" s="64">
        <v>1.69</v>
      </c>
      <c r="J34" s="64">
        <v>0.21</v>
      </c>
      <c r="K34" s="64">
        <v>337.52</v>
      </c>
      <c r="L34" s="64">
        <v>22</v>
      </c>
      <c r="M34" s="64">
        <v>97.88</v>
      </c>
      <c r="N34" s="64">
        <v>62.6</v>
      </c>
      <c r="O34" s="64">
        <v>0</v>
      </c>
      <c r="P34" s="64">
        <v>0.45</v>
      </c>
      <c r="Q34" s="64">
        <v>9.07</v>
      </c>
      <c r="R34" s="198"/>
      <c r="S34" s="198"/>
      <c r="T34" s="198"/>
      <c r="U34" s="198"/>
    </row>
    <row r="35" spans="1:21" s="12" customFormat="1" x14ac:dyDescent="0.25">
      <c r="A35" s="211" t="s">
        <v>2482</v>
      </c>
      <c r="B35" s="64">
        <v>10.59</v>
      </c>
      <c r="C35" s="64">
        <v>7.49</v>
      </c>
      <c r="D35" s="64">
        <v>12.4</v>
      </c>
      <c r="E35" s="64">
        <v>3.83</v>
      </c>
      <c r="F35" s="64">
        <v>2.1</v>
      </c>
      <c r="G35" s="64">
        <v>61.55</v>
      </c>
      <c r="H35" s="64">
        <v>13.53</v>
      </c>
      <c r="I35" s="64">
        <v>1.71</v>
      </c>
      <c r="J35" s="64">
        <v>7.0000000000000007E-2</v>
      </c>
      <c r="K35" s="64">
        <v>316.68</v>
      </c>
      <c r="L35" s="64">
        <v>22.26</v>
      </c>
      <c r="M35" s="64">
        <v>97.87</v>
      </c>
      <c r="N35" s="64">
        <v>91.4</v>
      </c>
      <c r="O35" s="64">
        <v>0</v>
      </c>
      <c r="P35" s="64">
        <v>0.45</v>
      </c>
      <c r="Q35" s="64">
        <v>9.08</v>
      </c>
      <c r="R35" s="198"/>
      <c r="S35" s="198"/>
      <c r="T35" s="198"/>
      <c r="U35" s="198"/>
    </row>
    <row r="36" spans="1:21" s="12" customFormat="1" x14ac:dyDescent="0.25">
      <c r="A36" s="211" t="s">
        <v>2483</v>
      </c>
      <c r="B36" s="64">
        <v>11.03</v>
      </c>
      <c r="C36" s="64">
        <v>12.36</v>
      </c>
      <c r="D36" s="64">
        <v>15.3</v>
      </c>
      <c r="E36" s="64">
        <v>4.18</v>
      </c>
      <c r="F36" s="64">
        <v>2.19</v>
      </c>
      <c r="G36" s="64">
        <v>61.55</v>
      </c>
      <c r="H36" s="64">
        <v>13.53</v>
      </c>
      <c r="I36" s="64">
        <v>1.73</v>
      </c>
      <c r="J36" s="64">
        <v>0.11</v>
      </c>
      <c r="K36" s="64">
        <v>142.9</v>
      </c>
      <c r="L36" s="64">
        <v>23.22</v>
      </c>
      <c r="M36" s="64">
        <v>97.62</v>
      </c>
      <c r="N36" s="64">
        <v>159.9</v>
      </c>
      <c r="O36" s="64">
        <v>0</v>
      </c>
      <c r="P36" s="64">
        <v>0.48</v>
      </c>
      <c r="Q36" s="64">
        <v>9.1</v>
      </c>
      <c r="R36" s="198"/>
      <c r="S36" s="198"/>
      <c r="T36" s="198"/>
      <c r="U36" s="198"/>
    </row>
    <row r="37" spans="1:21" s="12" customFormat="1" x14ac:dyDescent="0.25">
      <c r="A37" s="211" t="s">
        <v>2484</v>
      </c>
      <c r="B37" s="64">
        <v>11.13</v>
      </c>
      <c r="C37" s="64">
        <v>13.32</v>
      </c>
      <c r="D37" s="64">
        <v>15.89</v>
      </c>
      <c r="E37" s="64">
        <v>4.42</v>
      </c>
      <c r="F37" s="64">
        <v>2.63</v>
      </c>
      <c r="G37" s="64">
        <v>65.5</v>
      </c>
      <c r="H37" s="64">
        <v>12.88</v>
      </c>
      <c r="I37" s="64">
        <v>1.76</v>
      </c>
      <c r="J37" s="64">
        <v>0.15</v>
      </c>
      <c r="K37" s="64">
        <v>153.74</v>
      </c>
      <c r="L37" s="64">
        <v>24.35</v>
      </c>
      <c r="M37" s="64">
        <v>94.63</v>
      </c>
      <c r="N37" s="64">
        <v>213.9</v>
      </c>
      <c r="O37" s="64">
        <v>0</v>
      </c>
      <c r="P37" s="64">
        <v>0.45</v>
      </c>
      <c r="Q37" s="64">
        <v>9.1199999999999992</v>
      </c>
      <c r="R37" s="198"/>
      <c r="S37" s="198"/>
      <c r="T37" s="198"/>
      <c r="U37" s="198"/>
    </row>
    <row r="38" spans="1:21" s="12" customFormat="1" x14ac:dyDescent="0.25">
      <c r="A38" s="211" t="s">
        <v>2485</v>
      </c>
      <c r="B38" s="64">
        <v>9.42</v>
      </c>
      <c r="C38" s="64">
        <v>11.75</v>
      </c>
      <c r="D38" s="64">
        <v>13.7</v>
      </c>
      <c r="E38" s="64">
        <v>4.17</v>
      </c>
      <c r="F38" s="64">
        <v>2.19</v>
      </c>
      <c r="G38" s="64">
        <v>66.56</v>
      </c>
      <c r="H38" s="64">
        <v>12.88</v>
      </c>
      <c r="I38" s="64">
        <v>1.79</v>
      </c>
      <c r="J38" s="64">
        <v>7.0000000000000007E-2</v>
      </c>
      <c r="K38" s="64">
        <v>332.12</v>
      </c>
      <c r="L38" s="64">
        <v>25.74</v>
      </c>
      <c r="M38" s="64">
        <v>87.66</v>
      </c>
      <c r="N38" s="64">
        <v>269.3</v>
      </c>
      <c r="O38" s="64">
        <v>0</v>
      </c>
      <c r="P38" s="64">
        <v>0.49</v>
      </c>
      <c r="Q38" s="64">
        <v>9.1300000000000008</v>
      </c>
      <c r="R38" s="198"/>
      <c r="S38" s="198"/>
      <c r="T38" s="198"/>
      <c r="U38" s="198"/>
    </row>
    <row r="39" spans="1:21" s="12" customFormat="1" x14ac:dyDescent="0.25">
      <c r="A39" s="211" t="s">
        <v>2486</v>
      </c>
      <c r="B39" s="64">
        <v>11.57</v>
      </c>
      <c r="C39" s="64">
        <v>12.79</v>
      </c>
      <c r="D39" s="64">
        <v>15.96</v>
      </c>
      <c r="E39" s="64">
        <v>4.33</v>
      </c>
      <c r="F39" s="64">
        <v>2.88</v>
      </c>
      <c r="G39" s="64">
        <v>66.56</v>
      </c>
      <c r="H39" s="64">
        <v>12.88</v>
      </c>
      <c r="I39" s="64">
        <v>1.8</v>
      </c>
      <c r="J39" s="64">
        <v>0.02</v>
      </c>
      <c r="K39" s="64">
        <v>329.13</v>
      </c>
      <c r="L39" s="64">
        <v>27.35</v>
      </c>
      <c r="M39" s="64">
        <v>77.599999999999994</v>
      </c>
      <c r="N39" s="64">
        <v>323.7</v>
      </c>
      <c r="O39" s="64">
        <v>0</v>
      </c>
      <c r="P39" s="64">
        <v>0.49</v>
      </c>
      <c r="Q39" s="64">
        <v>9.1300000000000008</v>
      </c>
      <c r="R39" s="198"/>
      <c r="S39" s="198"/>
      <c r="T39" s="198"/>
      <c r="U39" s="198"/>
    </row>
    <row r="40" spans="1:21" s="12" customFormat="1" x14ac:dyDescent="0.25">
      <c r="A40" s="211" t="s">
        <v>2487</v>
      </c>
      <c r="B40" s="64">
        <v>9.61</v>
      </c>
      <c r="C40" s="64">
        <v>13.3</v>
      </c>
      <c r="D40" s="64">
        <v>14.66</v>
      </c>
      <c r="E40" s="64">
        <v>5.41</v>
      </c>
      <c r="F40" s="64">
        <v>4.55</v>
      </c>
      <c r="G40" s="64">
        <v>66.56</v>
      </c>
      <c r="H40" s="64">
        <v>12.88</v>
      </c>
      <c r="I40" s="64">
        <v>1.81</v>
      </c>
      <c r="J40" s="64">
        <v>0.11</v>
      </c>
      <c r="K40" s="64">
        <v>108.44</v>
      </c>
      <c r="L40" s="64">
        <v>27.67</v>
      </c>
      <c r="M40" s="64">
        <v>75.989999999999995</v>
      </c>
      <c r="N40" s="64">
        <v>374.9</v>
      </c>
      <c r="O40" s="64">
        <v>0</v>
      </c>
      <c r="P40" s="64">
        <v>0.47</v>
      </c>
      <c r="Q40" s="64">
        <v>9.1300000000000008</v>
      </c>
      <c r="R40" s="198"/>
      <c r="S40" s="198"/>
      <c r="T40" s="198"/>
      <c r="U40" s="198"/>
    </row>
    <row r="41" spans="1:21" s="12" customFormat="1" x14ac:dyDescent="0.25">
      <c r="A41" s="211" t="s">
        <v>2488</v>
      </c>
      <c r="B41" s="64">
        <v>10.5</v>
      </c>
      <c r="C41" s="64">
        <v>12.01</v>
      </c>
      <c r="D41" s="64">
        <v>14.7</v>
      </c>
      <c r="E41" s="64">
        <v>5.35</v>
      </c>
      <c r="F41" s="64">
        <v>6.31</v>
      </c>
      <c r="G41" s="64">
        <v>77.790000000000006</v>
      </c>
      <c r="H41" s="64">
        <v>12.43</v>
      </c>
      <c r="I41" s="64">
        <v>1.82</v>
      </c>
      <c r="J41" s="64">
        <v>0.3</v>
      </c>
      <c r="K41" s="64">
        <v>128</v>
      </c>
      <c r="L41" s="64">
        <v>27.86</v>
      </c>
      <c r="M41" s="64">
        <v>74.260000000000005</v>
      </c>
      <c r="N41" s="64">
        <v>426.7</v>
      </c>
      <c r="O41" s="64">
        <v>0</v>
      </c>
      <c r="P41" s="64">
        <v>0.45</v>
      </c>
      <c r="Q41" s="64">
        <v>9.1300000000000008</v>
      </c>
      <c r="R41" s="198"/>
      <c r="S41" s="198"/>
      <c r="T41" s="198"/>
      <c r="U41" s="198"/>
    </row>
    <row r="42" spans="1:21" s="12" customFormat="1" x14ac:dyDescent="0.25">
      <c r="A42" s="211" t="s">
        <v>2489</v>
      </c>
      <c r="B42" s="64">
        <v>10.08</v>
      </c>
      <c r="C42" s="64">
        <v>10.59</v>
      </c>
      <c r="D42" s="64">
        <v>13.62</v>
      </c>
      <c r="E42" s="64">
        <v>5.7</v>
      </c>
      <c r="F42" s="64">
        <v>8.33</v>
      </c>
      <c r="G42" s="64">
        <v>80.790000000000006</v>
      </c>
      <c r="H42" s="64">
        <v>12.43</v>
      </c>
      <c r="I42" s="64">
        <v>1.82</v>
      </c>
      <c r="J42" s="64">
        <v>0.74</v>
      </c>
      <c r="K42" s="64">
        <v>128.82</v>
      </c>
      <c r="L42" s="64">
        <v>27.81</v>
      </c>
      <c r="M42" s="64">
        <v>75.209999999999994</v>
      </c>
      <c r="N42" s="64">
        <v>483.9</v>
      </c>
      <c r="O42" s="64">
        <v>0</v>
      </c>
      <c r="P42" s="64">
        <v>0.45</v>
      </c>
      <c r="Q42" s="64">
        <v>9.1300000000000008</v>
      </c>
      <c r="R42" s="198"/>
      <c r="S42" s="198"/>
      <c r="T42" s="198"/>
      <c r="U42" s="198"/>
    </row>
    <row r="43" spans="1:21" s="12" customFormat="1" x14ac:dyDescent="0.25">
      <c r="A43" s="211" t="s">
        <v>2490</v>
      </c>
      <c r="B43" s="64">
        <v>8.27</v>
      </c>
      <c r="C43" s="64">
        <v>9.69</v>
      </c>
      <c r="D43" s="64">
        <v>11.69</v>
      </c>
      <c r="E43" s="64">
        <v>5.97</v>
      </c>
      <c r="F43" s="64">
        <v>7.6</v>
      </c>
      <c r="G43" s="64">
        <v>80.790000000000006</v>
      </c>
      <c r="H43" s="64">
        <v>12.43</v>
      </c>
      <c r="I43" s="64">
        <v>1.82</v>
      </c>
      <c r="J43" s="64">
        <v>1.01</v>
      </c>
      <c r="K43" s="64">
        <v>130.27000000000001</v>
      </c>
      <c r="L43" s="64">
        <v>27.47</v>
      </c>
      <c r="M43" s="64">
        <v>78.11</v>
      </c>
      <c r="N43" s="64">
        <v>539.79999999999995</v>
      </c>
      <c r="O43" s="64">
        <v>0</v>
      </c>
      <c r="P43" s="64">
        <v>0.44</v>
      </c>
      <c r="Q43" s="64">
        <v>9.1199999999999992</v>
      </c>
      <c r="R43" s="198"/>
      <c r="S43" s="198"/>
      <c r="T43" s="198"/>
      <c r="U43" s="198"/>
    </row>
    <row r="44" spans="1:21" s="12" customFormat="1" x14ac:dyDescent="0.25">
      <c r="A44" s="211" t="s">
        <v>2491</v>
      </c>
      <c r="B44" s="64">
        <v>8.1199999999999992</v>
      </c>
      <c r="C44" s="64">
        <v>9.83</v>
      </c>
      <c r="D44" s="64">
        <v>11.64</v>
      </c>
      <c r="E44" s="64">
        <v>6.18</v>
      </c>
      <c r="F44" s="64">
        <v>10.98</v>
      </c>
      <c r="G44" s="64">
        <v>80.790000000000006</v>
      </c>
      <c r="H44" s="64">
        <v>12.43</v>
      </c>
      <c r="I44" s="64">
        <v>1.82</v>
      </c>
      <c r="J44" s="64">
        <v>0.81</v>
      </c>
      <c r="K44" s="64">
        <v>130.08000000000001</v>
      </c>
      <c r="L44" s="64">
        <v>28.21</v>
      </c>
      <c r="M44" s="64">
        <v>74.64</v>
      </c>
      <c r="N44" s="64">
        <v>579.9</v>
      </c>
      <c r="O44" s="64">
        <v>0</v>
      </c>
      <c r="P44" s="64">
        <v>0.43</v>
      </c>
      <c r="Q44" s="64">
        <v>9.1</v>
      </c>
      <c r="R44" s="198"/>
      <c r="S44" s="198"/>
      <c r="T44" s="198"/>
      <c r="U44" s="198"/>
    </row>
    <row r="45" spans="1:21" s="12" customFormat="1" x14ac:dyDescent="0.25">
      <c r="A45" s="211" t="s">
        <v>2492</v>
      </c>
      <c r="B45" s="64">
        <v>7.5</v>
      </c>
      <c r="C45" s="64">
        <v>10.25</v>
      </c>
      <c r="D45" s="64">
        <v>11.37</v>
      </c>
      <c r="E45" s="64">
        <v>7.25</v>
      </c>
      <c r="F45" s="64">
        <v>7.51</v>
      </c>
      <c r="G45" s="64">
        <v>61.74</v>
      </c>
      <c r="H45" s="64">
        <v>14.82</v>
      </c>
      <c r="I45" s="64">
        <v>1.81</v>
      </c>
      <c r="J45" s="64">
        <v>0.8</v>
      </c>
      <c r="K45" s="64">
        <v>127.47</v>
      </c>
      <c r="L45" s="64">
        <v>28.18</v>
      </c>
      <c r="M45" s="64">
        <v>75.010000000000005</v>
      </c>
      <c r="N45" s="64">
        <v>629.70000000000005</v>
      </c>
      <c r="O45" s="64">
        <v>0</v>
      </c>
      <c r="P45" s="64">
        <v>0.42</v>
      </c>
      <c r="Q45" s="64">
        <v>9.08</v>
      </c>
      <c r="R45" s="198"/>
      <c r="S45" s="198"/>
      <c r="T45" s="198"/>
      <c r="U45" s="198"/>
    </row>
    <row r="46" spans="1:21" s="12" customFormat="1" x14ac:dyDescent="0.25">
      <c r="A46" s="211" t="s">
        <v>2493</v>
      </c>
      <c r="B46" s="64">
        <v>7.7</v>
      </c>
      <c r="C46" s="64">
        <v>9.14</v>
      </c>
      <c r="D46" s="64">
        <v>10.95</v>
      </c>
      <c r="E46" s="64">
        <v>6.81</v>
      </c>
      <c r="F46" s="64">
        <v>7.43</v>
      </c>
      <c r="G46" s="64">
        <v>56.64</v>
      </c>
      <c r="H46" s="64">
        <v>14.82</v>
      </c>
      <c r="I46" s="64">
        <v>1.78</v>
      </c>
      <c r="J46" s="64">
        <v>0.9</v>
      </c>
      <c r="K46" s="64">
        <v>127.48</v>
      </c>
      <c r="L46" s="64">
        <v>28.82</v>
      </c>
      <c r="M46" s="64">
        <v>71.3</v>
      </c>
      <c r="N46" s="64">
        <v>662.1</v>
      </c>
      <c r="O46" s="64">
        <v>0</v>
      </c>
      <c r="P46" s="64">
        <v>0.4</v>
      </c>
      <c r="Q46" s="64">
        <v>9.07</v>
      </c>
      <c r="R46" s="198"/>
      <c r="S46" s="198"/>
      <c r="T46" s="198"/>
      <c r="U46" s="198"/>
    </row>
    <row r="47" spans="1:21" s="12" customFormat="1" x14ac:dyDescent="0.25">
      <c r="A47" s="211" t="s">
        <v>2494</v>
      </c>
      <c r="B47" s="64">
        <v>7.03</v>
      </c>
      <c r="C47" s="64">
        <v>9.27</v>
      </c>
      <c r="D47" s="64">
        <v>10.48</v>
      </c>
      <c r="E47" s="64">
        <v>6.7</v>
      </c>
      <c r="F47" s="64">
        <v>7.91</v>
      </c>
      <c r="G47" s="64">
        <v>56.64</v>
      </c>
      <c r="H47" s="64">
        <v>14.82</v>
      </c>
      <c r="I47" s="64">
        <v>1.75</v>
      </c>
      <c r="J47" s="64">
        <v>0.86</v>
      </c>
      <c r="K47" s="64">
        <v>124.79</v>
      </c>
      <c r="L47" s="64">
        <v>28.97</v>
      </c>
      <c r="M47" s="64">
        <v>69.88</v>
      </c>
      <c r="N47" s="64">
        <v>678</v>
      </c>
      <c r="O47" s="64">
        <v>0</v>
      </c>
      <c r="P47" s="64">
        <v>0.35</v>
      </c>
      <c r="Q47" s="64">
        <v>9.06</v>
      </c>
      <c r="R47" s="198"/>
      <c r="S47" s="198"/>
      <c r="T47" s="198"/>
      <c r="U47" s="198"/>
    </row>
    <row r="48" spans="1:21" s="12" customFormat="1" x14ac:dyDescent="0.25">
      <c r="A48" s="211" t="s">
        <v>2495</v>
      </c>
      <c r="B48" s="64">
        <v>7.01</v>
      </c>
      <c r="C48" s="64">
        <v>8.9600000000000009</v>
      </c>
      <c r="D48" s="64">
        <v>10.31</v>
      </c>
      <c r="E48" s="64">
        <v>6.69</v>
      </c>
      <c r="F48" s="64">
        <v>7.51</v>
      </c>
      <c r="G48" s="64">
        <v>56.64</v>
      </c>
      <c r="H48" s="64">
        <v>14.82</v>
      </c>
      <c r="I48" s="64">
        <v>1.73</v>
      </c>
      <c r="J48" s="64">
        <v>0.67</v>
      </c>
      <c r="K48" s="64">
        <v>135.44</v>
      </c>
      <c r="L48" s="64">
        <v>29.02</v>
      </c>
      <c r="M48" s="64">
        <v>68.75</v>
      </c>
      <c r="N48" s="64">
        <v>662.9</v>
      </c>
      <c r="O48" s="64">
        <v>0</v>
      </c>
      <c r="P48" s="64">
        <v>0.34</v>
      </c>
      <c r="Q48" s="64">
        <v>9.0500000000000007</v>
      </c>
      <c r="R48" s="198"/>
      <c r="S48" s="198"/>
      <c r="T48" s="198"/>
      <c r="U48" s="198"/>
    </row>
    <row r="49" spans="1:21" s="12" customFormat="1" x14ac:dyDescent="0.25">
      <c r="A49" s="211" t="s">
        <v>2496</v>
      </c>
      <c r="B49" s="64">
        <v>5.84</v>
      </c>
      <c r="C49" s="64">
        <v>11.81</v>
      </c>
      <c r="D49" s="64">
        <v>10.86</v>
      </c>
      <c r="E49" s="64">
        <v>6.18</v>
      </c>
      <c r="F49" s="64">
        <v>4</v>
      </c>
      <c r="G49" s="64">
        <v>26.44</v>
      </c>
      <c r="H49" s="64">
        <v>14.55</v>
      </c>
      <c r="I49" s="64">
        <v>1.7</v>
      </c>
      <c r="J49" s="64">
        <v>0.45</v>
      </c>
      <c r="K49" s="64">
        <v>127.48</v>
      </c>
      <c r="L49" s="64">
        <v>29.56</v>
      </c>
      <c r="M49" s="64">
        <v>63.06</v>
      </c>
      <c r="N49" s="64">
        <v>756.2</v>
      </c>
      <c r="O49" s="64">
        <v>0</v>
      </c>
      <c r="P49" s="64">
        <v>0.25</v>
      </c>
      <c r="Q49" s="64">
        <v>9.01</v>
      </c>
      <c r="R49" s="198"/>
      <c r="S49" s="198"/>
      <c r="T49" s="198"/>
      <c r="U49" s="198"/>
    </row>
    <row r="50" spans="1:21" s="12" customFormat="1" x14ac:dyDescent="0.25">
      <c r="A50" s="211" t="s">
        <v>2497</v>
      </c>
      <c r="B50" s="64">
        <v>5.94</v>
      </c>
      <c r="C50" s="64">
        <v>12.6</v>
      </c>
      <c r="D50" s="64">
        <v>11.34</v>
      </c>
      <c r="E50" s="64">
        <v>6.04</v>
      </c>
      <c r="F50" s="64">
        <v>6.77</v>
      </c>
      <c r="G50" s="64">
        <v>18.36</v>
      </c>
      <c r="H50" s="64">
        <v>14.55</v>
      </c>
      <c r="I50" s="64">
        <v>1.24</v>
      </c>
      <c r="J50" s="64">
        <v>0.69</v>
      </c>
      <c r="K50" s="64">
        <v>138.63999999999999</v>
      </c>
      <c r="L50" s="64">
        <v>29.23</v>
      </c>
      <c r="M50" s="64">
        <v>62.69</v>
      </c>
      <c r="N50" s="64">
        <v>595.6</v>
      </c>
      <c r="O50" s="64">
        <v>0</v>
      </c>
      <c r="P50" s="64">
        <v>0.25</v>
      </c>
      <c r="Q50" s="64">
        <v>8.9700000000000006</v>
      </c>
      <c r="R50" s="198"/>
      <c r="S50" s="198"/>
      <c r="T50" s="198"/>
      <c r="U50" s="198"/>
    </row>
    <row r="51" spans="1:21" s="12" customFormat="1" x14ac:dyDescent="0.25">
      <c r="A51" s="211" t="s">
        <v>2498</v>
      </c>
      <c r="B51" s="64">
        <v>5.48</v>
      </c>
      <c r="C51" s="64">
        <v>10.98</v>
      </c>
      <c r="D51" s="64">
        <v>10.130000000000001</v>
      </c>
      <c r="E51" s="64">
        <v>5.51</v>
      </c>
      <c r="F51" s="64">
        <v>6.53</v>
      </c>
      <c r="G51" s="64">
        <v>18.36</v>
      </c>
      <c r="H51" s="64">
        <v>14.55</v>
      </c>
      <c r="I51" s="64">
        <v>0.79</v>
      </c>
      <c r="J51" s="64">
        <v>0.65</v>
      </c>
      <c r="K51" s="64">
        <v>140.02000000000001</v>
      </c>
      <c r="L51" s="64">
        <v>29.67</v>
      </c>
      <c r="M51" s="64">
        <v>59.81</v>
      </c>
      <c r="N51" s="64">
        <v>821.6</v>
      </c>
      <c r="O51" s="64">
        <v>0</v>
      </c>
      <c r="P51" s="64">
        <v>0.23</v>
      </c>
      <c r="Q51" s="64">
        <v>8.9600000000000009</v>
      </c>
      <c r="R51" s="198"/>
      <c r="S51" s="198"/>
      <c r="T51" s="198"/>
      <c r="U51" s="198"/>
    </row>
    <row r="52" spans="1:21" s="12" customFormat="1" x14ac:dyDescent="0.25">
      <c r="A52" s="211" t="s">
        <v>2499</v>
      </c>
      <c r="B52" s="64">
        <v>5.37</v>
      </c>
      <c r="C52" s="64">
        <v>10.46</v>
      </c>
      <c r="D52" s="64">
        <v>9.77</v>
      </c>
      <c r="E52" s="64">
        <v>5.5</v>
      </c>
      <c r="F52" s="64">
        <v>6.48</v>
      </c>
      <c r="G52" s="64">
        <v>18.36</v>
      </c>
      <c r="H52" s="64">
        <v>14.55</v>
      </c>
      <c r="I52" s="64">
        <v>0.74</v>
      </c>
      <c r="J52" s="64">
        <v>0.67</v>
      </c>
      <c r="K52" s="64">
        <v>136.04</v>
      </c>
      <c r="L52" s="64">
        <v>30.18</v>
      </c>
      <c r="M52" s="64">
        <v>56.97</v>
      </c>
      <c r="N52" s="64">
        <v>826.3</v>
      </c>
      <c r="O52" s="64">
        <v>0</v>
      </c>
      <c r="P52" s="64">
        <v>0.21</v>
      </c>
      <c r="Q52" s="64">
        <v>8.9600000000000009</v>
      </c>
      <c r="R52" s="198"/>
      <c r="S52" s="198"/>
      <c r="T52" s="198"/>
      <c r="U52" s="198"/>
    </row>
    <row r="53" spans="1:21" s="12" customFormat="1" x14ac:dyDescent="0.25">
      <c r="A53" s="211" t="s">
        <v>2500</v>
      </c>
      <c r="B53" s="64">
        <v>5.26</v>
      </c>
      <c r="C53" s="64">
        <v>10.49</v>
      </c>
      <c r="D53" s="64">
        <v>9.6999999999999993</v>
      </c>
      <c r="E53" s="64">
        <v>4.9000000000000004</v>
      </c>
      <c r="F53" s="64">
        <v>3.7</v>
      </c>
      <c r="G53" s="64">
        <v>45.52</v>
      </c>
      <c r="H53" s="64">
        <v>14.01</v>
      </c>
      <c r="I53" s="64">
        <v>0.75</v>
      </c>
      <c r="J53" s="64">
        <v>0.94</v>
      </c>
      <c r="K53" s="64">
        <v>148.77000000000001</v>
      </c>
      <c r="L53" s="64">
        <v>29.63</v>
      </c>
      <c r="M53" s="64">
        <v>58.17</v>
      </c>
      <c r="N53" s="64">
        <v>766</v>
      </c>
      <c r="O53" s="64">
        <v>0</v>
      </c>
      <c r="P53" s="64">
        <v>0.21</v>
      </c>
      <c r="Q53" s="64">
        <v>8.9700000000000006</v>
      </c>
      <c r="R53" s="198"/>
      <c r="S53" s="198"/>
      <c r="T53" s="198"/>
      <c r="U53" s="198"/>
    </row>
    <row r="54" spans="1:21" s="12" customFormat="1" x14ac:dyDescent="0.25">
      <c r="A54" s="211" t="s">
        <v>2501</v>
      </c>
      <c r="B54" s="64">
        <v>6.87</v>
      </c>
      <c r="C54" s="64">
        <v>11.99</v>
      </c>
      <c r="D54" s="64">
        <v>11.78</v>
      </c>
      <c r="E54" s="64">
        <v>4.7300000000000004</v>
      </c>
      <c r="F54" s="64">
        <v>5.42</v>
      </c>
      <c r="G54" s="64">
        <v>52.78</v>
      </c>
      <c r="H54" s="64">
        <v>14.01</v>
      </c>
      <c r="I54" s="64">
        <v>0.75</v>
      </c>
      <c r="J54" s="64">
        <v>0.62</v>
      </c>
      <c r="K54" s="64">
        <v>130.83000000000001</v>
      </c>
      <c r="L54" s="64">
        <v>30.61</v>
      </c>
      <c r="M54" s="64">
        <v>56.53</v>
      </c>
      <c r="N54" s="64">
        <v>891.3</v>
      </c>
      <c r="O54" s="64">
        <v>0</v>
      </c>
      <c r="P54" s="64">
        <v>0.21</v>
      </c>
      <c r="Q54" s="64">
        <v>8.9700000000000006</v>
      </c>
      <c r="R54" s="198"/>
      <c r="S54" s="198"/>
      <c r="T54" s="198"/>
      <c r="U54" s="198"/>
    </row>
    <row r="55" spans="1:21" s="12" customFormat="1" x14ac:dyDescent="0.25">
      <c r="A55" s="211" t="s">
        <v>2502</v>
      </c>
      <c r="B55" s="64">
        <v>7.81</v>
      </c>
      <c r="C55" s="64">
        <v>11</v>
      </c>
      <c r="D55" s="64">
        <v>12.02</v>
      </c>
      <c r="E55" s="64">
        <v>4.8</v>
      </c>
      <c r="F55" s="64">
        <v>6.12</v>
      </c>
      <c r="G55" s="64">
        <v>52.78</v>
      </c>
      <c r="H55" s="64">
        <v>14.01</v>
      </c>
      <c r="I55" s="64">
        <v>0.77</v>
      </c>
      <c r="J55" s="64">
        <v>0.56000000000000005</v>
      </c>
      <c r="K55" s="64">
        <v>132.79</v>
      </c>
      <c r="L55" s="64">
        <v>30.63</v>
      </c>
      <c r="M55" s="64">
        <v>56.78</v>
      </c>
      <c r="N55" s="64">
        <v>778.7</v>
      </c>
      <c r="O55" s="64">
        <v>0</v>
      </c>
      <c r="P55" s="64">
        <v>0.23</v>
      </c>
      <c r="Q55" s="64">
        <v>8.99</v>
      </c>
      <c r="R55" s="198"/>
      <c r="S55" s="198"/>
      <c r="T55" s="198"/>
      <c r="U55" s="198"/>
    </row>
    <row r="56" spans="1:21" s="12" customFormat="1" x14ac:dyDescent="0.25">
      <c r="A56" s="211" t="s">
        <v>2503</v>
      </c>
      <c r="B56" s="64">
        <v>6.81</v>
      </c>
      <c r="C56" s="64">
        <v>10.62</v>
      </c>
      <c r="D56" s="64">
        <v>11.01</v>
      </c>
      <c r="E56" s="64">
        <v>5.15</v>
      </c>
      <c r="F56" s="64">
        <v>6.7</v>
      </c>
      <c r="G56" s="64">
        <v>52.78</v>
      </c>
      <c r="H56" s="64">
        <v>14.01</v>
      </c>
      <c r="I56" s="64">
        <v>0.81</v>
      </c>
      <c r="J56" s="64">
        <v>0.43</v>
      </c>
      <c r="K56" s="64">
        <v>139.6</v>
      </c>
      <c r="L56" s="64">
        <v>31.02</v>
      </c>
      <c r="M56" s="64">
        <v>55.05</v>
      </c>
      <c r="N56" s="64">
        <v>863.6</v>
      </c>
      <c r="O56" s="64">
        <v>0</v>
      </c>
      <c r="P56" s="64">
        <v>0.22</v>
      </c>
      <c r="Q56" s="64">
        <v>9</v>
      </c>
      <c r="R56" s="198"/>
      <c r="S56" s="198"/>
      <c r="T56" s="198"/>
      <c r="U56" s="198"/>
    </row>
    <row r="57" spans="1:21" s="12" customFormat="1" x14ac:dyDescent="0.25">
      <c r="A57" s="211" t="s">
        <v>2504</v>
      </c>
      <c r="B57" s="64">
        <v>6.21</v>
      </c>
      <c r="C57" s="64">
        <v>9.15</v>
      </c>
      <c r="D57" s="64">
        <v>9.76</v>
      </c>
      <c r="E57" s="64">
        <v>5.24</v>
      </c>
      <c r="F57" s="64">
        <v>7.74</v>
      </c>
      <c r="G57" s="64">
        <v>26.13</v>
      </c>
      <c r="H57" s="64">
        <v>13.11</v>
      </c>
      <c r="I57" s="64">
        <v>0.85</v>
      </c>
      <c r="J57" s="64">
        <v>0.82</v>
      </c>
      <c r="K57" s="64">
        <v>133.32</v>
      </c>
      <c r="L57" s="64">
        <v>30.75</v>
      </c>
      <c r="M57" s="64">
        <v>56.54</v>
      </c>
      <c r="N57" s="64">
        <v>603.6</v>
      </c>
      <c r="O57" s="64">
        <v>0</v>
      </c>
      <c r="P57" s="64">
        <v>0.24</v>
      </c>
      <c r="Q57" s="64">
        <v>9</v>
      </c>
      <c r="R57" s="198"/>
      <c r="S57" s="198"/>
      <c r="T57" s="198"/>
      <c r="U57" s="198"/>
    </row>
    <row r="58" spans="1:21" s="12" customFormat="1" x14ac:dyDescent="0.25">
      <c r="A58" s="211" t="s">
        <v>2505</v>
      </c>
      <c r="B58" s="64">
        <v>5.96</v>
      </c>
      <c r="C58" s="64">
        <v>10.119999999999999</v>
      </c>
      <c r="D58" s="64">
        <v>10.07</v>
      </c>
      <c r="E58" s="64">
        <v>5.09</v>
      </c>
      <c r="F58" s="64">
        <v>4.33</v>
      </c>
      <c r="G58" s="64">
        <v>19</v>
      </c>
      <c r="H58" s="64">
        <v>13.11</v>
      </c>
      <c r="I58" s="64">
        <v>0.85</v>
      </c>
      <c r="J58" s="64">
        <v>0.51</v>
      </c>
      <c r="K58" s="64">
        <v>142.19999999999999</v>
      </c>
      <c r="L58" s="64">
        <v>29.93</v>
      </c>
      <c r="M58" s="64">
        <v>58.91</v>
      </c>
      <c r="N58" s="64">
        <v>581.1</v>
      </c>
      <c r="O58" s="64">
        <v>0</v>
      </c>
      <c r="P58" s="64">
        <v>0.23</v>
      </c>
      <c r="Q58" s="64">
        <v>9</v>
      </c>
      <c r="R58" s="198"/>
      <c r="S58" s="198"/>
      <c r="T58" s="198"/>
      <c r="U58" s="198"/>
    </row>
    <row r="59" spans="1:21" s="12" customFormat="1" x14ac:dyDescent="0.25">
      <c r="A59" s="211" t="s">
        <v>2506</v>
      </c>
      <c r="B59" s="64">
        <v>7.9</v>
      </c>
      <c r="C59" s="64">
        <v>11.84</v>
      </c>
      <c r="D59" s="64">
        <v>12.52</v>
      </c>
      <c r="E59" s="64">
        <v>5.05</v>
      </c>
      <c r="F59" s="64">
        <v>4.9400000000000004</v>
      </c>
      <c r="G59" s="64">
        <v>19</v>
      </c>
      <c r="H59" s="64">
        <v>13.11</v>
      </c>
      <c r="I59" s="64">
        <v>0.86</v>
      </c>
      <c r="J59" s="64">
        <v>0.25</v>
      </c>
      <c r="K59" s="64">
        <v>129.51</v>
      </c>
      <c r="L59" s="64">
        <v>30.38</v>
      </c>
      <c r="M59" s="64">
        <v>55.64</v>
      </c>
      <c r="N59" s="64">
        <v>638.9</v>
      </c>
      <c r="O59" s="64">
        <v>0</v>
      </c>
      <c r="P59" s="64">
        <v>0.23</v>
      </c>
      <c r="Q59" s="64">
        <v>9</v>
      </c>
      <c r="R59" s="198"/>
      <c r="S59" s="198"/>
      <c r="T59" s="198"/>
      <c r="U59" s="198"/>
    </row>
    <row r="60" spans="1:21" s="12" customFormat="1" x14ac:dyDescent="0.25">
      <c r="A60" s="211" t="s">
        <v>2507</v>
      </c>
      <c r="B60" s="64">
        <v>6.71</v>
      </c>
      <c r="C60" s="64">
        <v>12.78</v>
      </c>
      <c r="D60" s="64">
        <v>12.06</v>
      </c>
      <c r="E60" s="64">
        <v>5.1100000000000003</v>
      </c>
      <c r="F60" s="64">
        <v>5.49</v>
      </c>
      <c r="G60" s="64">
        <v>19</v>
      </c>
      <c r="H60" s="64">
        <v>13.11</v>
      </c>
      <c r="I60" s="64">
        <v>0.88</v>
      </c>
      <c r="J60" s="64">
        <v>0.48</v>
      </c>
      <c r="K60" s="64">
        <v>141.34</v>
      </c>
      <c r="L60" s="64">
        <v>30.52</v>
      </c>
      <c r="M60" s="64">
        <v>54.76</v>
      </c>
      <c r="N60" s="64">
        <v>741.7</v>
      </c>
      <c r="O60" s="64">
        <v>0</v>
      </c>
      <c r="P60" s="64">
        <v>0.19</v>
      </c>
      <c r="Q60" s="64">
        <v>9</v>
      </c>
      <c r="R60" s="198"/>
      <c r="S60" s="198"/>
      <c r="T60" s="198"/>
      <c r="U60" s="198"/>
    </row>
    <row r="61" spans="1:21" s="12" customFormat="1" x14ac:dyDescent="0.25">
      <c r="A61" s="211" t="s">
        <v>2508</v>
      </c>
      <c r="B61" s="64">
        <v>5.93</v>
      </c>
      <c r="C61" s="64">
        <v>10.49</v>
      </c>
      <c r="D61" s="64">
        <v>10.23</v>
      </c>
      <c r="E61" s="64">
        <v>4.8600000000000003</v>
      </c>
      <c r="F61" s="64">
        <v>4.17</v>
      </c>
      <c r="G61" s="64">
        <v>33.270000000000003</v>
      </c>
      <c r="H61" s="64">
        <v>17.7</v>
      </c>
      <c r="I61" s="64">
        <v>0.89</v>
      </c>
      <c r="J61" s="64">
        <v>0.62</v>
      </c>
      <c r="K61" s="64">
        <v>142.21</v>
      </c>
      <c r="L61" s="64">
        <v>30.58</v>
      </c>
      <c r="M61" s="64">
        <v>55.69</v>
      </c>
      <c r="N61" s="64">
        <v>557.70000000000005</v>
      </c>
      <c r="O61" s="64">
        <v>0</v>
      </c>
      <c r="P61" s="64">
        <v>0.21</v>
      </c>
      <c r="Q61" s="64">
        <v>9</v>
      </c>
      <c r="R61" s="198"/>
      <c r="S61" s="198"/>
      <c r="T61" s="198"/>
      <c r="U61" s="198"/>
    </row>
    <row r="62" spans="1:21" s="12" customFormat="1" x14ac:dyDescent="0.25">
      <c r="A62" s="211" t="s">
        <v>2509</v>
      </c>
      <c r="B62" s="64">
        <v>6.31</v>
      </c>
      <c r="C62" s="64">
        <v>9.4499999999999993</v>
      </c>
      <c r="D62" s="64">
        <v>9.99</v>
      </c>
      <c r="E62" s="64">
        <v>4.9000000000000004</v>
      </c>
      <c r="F62" s="64">
        <v>4.74</v>
      </c>
      <c r="G62" s="64">
        <v>37.090000000000003</v>
      </c>
      <c r="H62" s="64">
        <v>17.7</v>
      </c>
      <c r="I62" s="64">
        <v>0.91</v>
      </c>
      <c r="J62" s="64">
        <v>0.35</v>
      </c>
      <c r="K62" s="64">
        <v>147.6</v>
      </c>
      <c r="L62" s="64">
        <v>30.89</v>
      </c>
      <c r="M62" s="64">
        <v>53.25</v>
      </c>
      <c r="N62" s="64">
        <v>323.89999999999998</v>
      </c>
      <c r="O62" s="64">
        <v>0</v>
      </c>
      <c r="P62" s="64">
        <v>0.21</v>
      </c>
      <c r="Q62" s="64">
        <v>8.99</v>
      </c>
      <c r="R62" s="198"/>
      <c r="S62" s="198"/>
      <c r="T62" s="198"/>
      <c r="U62" s="198"/>
    </row>
    <row r="63" spans="1:21" s="12" customFormat="1" x14ac:dyDescent="0.25">
      <c r="A63" s="211" t="s">
        <v>2510</v>
      </c>
      <c r="B63" s="64">
        <v>6.07</v>
      </c>
      <c r="C63" s="64">
        <v>9.77</v>
      </c>
      <c r="D63" s="64">
        <v>9.9700000000000006</v>
      </c>
      <c r="E63" s="64">
        <v>4.8099999999999996</v>
      </c>
      <c r="F63" s="64">
        <v>8.27</v>
      </c>
      <c r="G63" s="64">
        <v>37.090000000000003</v>
      </c>
      <c r="H63" s="64">
        <v>17.7</v>
      </c>
      <c r="I63" s="64">
        <v>0.91</v>
      </c>
      <c r="J63" s="64">
        <v>0.38</v>
      </c>
      <c r="K63" s="64">
        <v>128.81</v>
      </c>
      <c r="L63" s="64">
        <v>30.54</v>
      </c>
      <c r="M63" s="64">
        <v>53.33</v>
      </c>
      <c r="N63" s="64">
        <v>201.8</v>
      </c>
      <c r="O63" s="64">
        <v>0</v>
      </c>
      <c r="P63" s="64">
        <v>0.2</v>
      </c>
      <c r="Q63" s="64">
        <v>8.98</v>
      </c>
      <c r="R63" s="198"/>
      <c r="S63" s="198"/>
      <c r="T63" s="198"/>
      <c r="U63" s="198"/>
    </row>
    <row r="64" spans="1:21" s="12" customFormat="1" x14ac:dyDescent="0.25">
      <c r="A64" s="211" t="s">
        <v>2511</v>
      </c>
      <c r="B64" s="64">
        <v>10.06</v>
      </c>
      <c r="C64" s="64">
        <v>13.58</v>
      </c>
      <c r="D64" s="64">
        <v>15.16</v>
      </c>
      <c r="E64" s="64">
        <v>5</v>
      </c>
      <c r="F64" s="64">
        <v>5.74</v>
      </c>
      <c r="G64" s="64">
        <v>37.090000000000003</v>
      </c>
      <c r="H64" s="64">
        <v>17.7</v>
      </c>
      <c r="I64" s="64">
        <v>0.88</v>
      </c>
      <c r="J64" s="64">
        <v>0.44</v>
      </c>
      <c r="K64" s="64">
        <v>340.77</v>
      </c>
      <c r="L64" s="64">
        <v>31.23</v>
      </c>
      <c r="M64" s="64">
        <v>51.18</v>
      </c>
      <c r="N64" s="64">
        <v>186.9</v>
      </c>
      <c r="O64" s="64">
        <v>0</v>
      </c>
      <c r="P64" s="64">
        <v>0.39</v>
      </c>
      <c r="Q64" s="64">
        <v>8.9700000000000006</v>
      </c>
      <c r="R64" s="198"/>
      <c r="S64" s="198"/>
      <c r="T64" s="198"/>
      <c r="U64" s="198"/>
    </row>
    <row r="65" spans="1:21" s="12" customFormat="1" x14ac:dyDescent="0.25">
      <c r="A65" s="211" t="s">
        <v>2512</v>
      </c>
      <c r="B65" s="64">
        <v>8.75</v>
      </c>
      <c r="C65" s="64">
        <v>14.5</v>
      </c>
      <c r="D65" s="64">
        <v>14.59</v>
      </c>
      <c r="E65" s="64">
        <v>5.32</v>
      </c>
      <c r="F65" s="64">
        <v>6.72</v>
      </c>
      <c r="G65" s="64">
        <v>38.01</v>
      </c>
      <c r="H65" s="64">
        <v>16.29</v>
      </c>
      <c r="I65" s="64">
        <v>0.85</v>
      </c>
      <c r="J65" s="64">
        <v>0.16</v>
      </c>
      <c r="K65" s="64">
        <v>137.76</v>
      </c>
      <c r="L65" s="64">
        <v>30.05</v>
      </c>
      <c r="M65" s="64">
        <v>55.74</v>
      </c>
      <c r="N65" s="64">
        <v>113.8</v>
      </c>
      <c r="O65" s="64">
        <v>0</v>
      </c>
      <c r="P65" s="64">
        <v>0.33</v>
      </c>
      <c r="Q65" s="64">
        <v>8.9600000000000009</v>
      </c>
      <c r="R65" s="198"/>
      <c r="S65" s="198"/>
      <c r="T65" s="198"/>
      <c r="U65" s="198"/>
    </row>
    <row r="66" spans="1:21" s="12" customFormat="1" x14ac:dyDescent="0.25">
      <c r="A66" s="211" t="s">
        <v>2513</v>
      </c>
      <c r="B66" s="64">
        <v>16.190000000000001</v>
      </c>
      <c r="C66" s="64">
        <v>17.03</v>
      </c>
      <c r="D66" s="64">
        <v>21.74</v>
      </c>
      <c r="E66" s="64">
        <v>5.93</v>
      </c>
      <c r="F66" s="64">
        <v>2.42</v>
      </c>
      <c r="G66" s="64">
        <v>38.26</v>
      </c>
      <c r="H66" s="64">
        <v>16.29</v>
      </c>
      <c r="I66" s="64">
        <v>0.84</v>
      </c>
      <c r="J66" s="64">
        <v>0.33</v>
      </c>
      <c r="K66" s="64">
        <v>330.39</v>
      </c>
      <c r="L66" s="64">
        <v>29.53</v>
      </c>
      <c r="M66" s="64">
        <v>57.1</v>
      </c>
      <c r="N66" s="64">
        <v>106</v>
      </c>
      <c r="O66" s="64">
        <v>0</v>
      </c>
      <c r="P66" s="64">
        <v>0.43</v>
      </c>
      <c r="Q66" s="64">
        <v>8.9700000000000006</v>
      </c>
      <c r="R66" s="198"/>
      <c r="S66" s="198"/>
      <c r="T66" s="198"/>
      <c r="U66" s="198"/>
    </row>
    <row r="67" spans="1:21" s="12" customFormat="1" x14ac:dyDescent="0.25">
      <c r="A67" s="211" t="s">
        <v>2514</v>
      </c>
      <c r="B67" s="64">
        <v>10.220000000000001</v>
      </c>
      <c r="C67" s="64">
        <v>17.37</v>
      </c>
      <c r="D67" s="64">
        <v>17.27</v>
      </c>
      <c r="E67" s="64">
        <v>5.94</v>
      </c>
      <c r="F67" s="64">
        <v>2.74</v>
      </c>
      <c r="G67" s="64">
        <v>38.26</v>
      </c>
      <c r="H67" s="64">
        <v>16.29</v>
      </c>
      <c r="I67" s="64">
        <v>0.85</v>
      </c>
      <c r="J67" s="64">
        <v>0.11</v>
      </c>
      <c r="K67" s="64">
        <v>107.62</v>
      </c>
      <c r="L67" s="64">
        <v>29.74</v>
      </c>
      <c r="M67" s="64">
        <v>54.92</v>
      </c>
      <c r="N67" s="64">
        <v>121</v>
      </c>
      <c r="O67" s="64">
        <v>0</v>
      </c>
      <c r="P67" s="64">
        <v>0.45</v>
      </c>
      <c r="Q67" s="64">
        <v>8.99</v>
      </c>
      <c r="R67" s="198"/>
      <c r="S67" s="198"/>
      <c r="T67" s="198"/>
      <c r="U67" s="198"/>
    </row>
    <row r="68" spans="1:21" s="12" customFormat="1" x14ac:dyDescent="0.25">
      <c r="A68" s="211" t="s">
        <v>2515</v>
      </c>
      <c r="B68" s="64">
        <v>6.97</v>
      </c>
      <c r="C68" s="64">
        <v>15.76</v>
      </c>
      <c r="D68" s="64">
        <v>13.83</v>
      </c>
      <c r="E68" s="64">
        <v>6.34</v>
      </c>
      <c r="F68" s="64">
        <v>6.8</v>
      </c>
      <c r="G68" s="64">
        <v>38.26</v>
      </c>
      <c r="H68" s="64">
        <v>16.29</v>
      </c>
      <c r="I68" s="64">
        <v>0.91</v>
      </c>
      <c r="J68" s="64">
        <v>0.78</v>
      </c>
      <c r="K68" s="64">
        <v>126.46</v>
      </c>
      <c r="L68" s="64">
        <v>29.15</v>
      </c>
      <c r="M68" s="64">
        <v>55.91</v>
      </c>
      <c r="N68" s="64">
        <v>123.1</v>
      </c>
      <c r="O68" s="64">
        <v>0</v>
      </c>
      <c r="P68" s="64">
        <v>0.24</v>
      </c>
      <c r="Q68" s="64">
        <v>9.01</v>
      </c>
      <c r="R68" s="198"/>
      <c r="S68" s="198"/>
      <c r="T68" s="198"/>
      <c r="U68" s="198"/>
    </row>
    <row r="69" spans="1:21" s="12" customFormat="1" x14ac:dyDescent="0.25">
      <c r="A69" s="211" t="s">
        <v>2516</v>
      </c>
      <c r="B69" s="64">
        <v>10.050000000000001</v>
      </c>
      <c r="C69" s="64">
        <v>15.74</v>
      </c>
      <c r="D69" s="64">
        <v>16.28</v>
      </c>
      <c r="E69" s="64">
        <v>6.58</v>
      </c>
      <c r="F69" s="64">
        <v>6.75</v>
      </c>
      <c r="G69" s="64">
        <v>20.75</v>
      </c>
      <c r="H69" s="64">
        <v>15.25</v>
      </c>
      <c r="I69" s="64">
        <v>0.99</v>
      </c>
      <c r="J69" s="64">
        <v>0.39</v>
      </c>
      <c r="K69" s="64">
        <v>131.6</v>
      </c>
      <c r="L69" s="64">
        <v>29.54</v>
      </c>
      <c r="M69" s="64">
        <v>53.8</v>
      </c>
      <c r="N69" s="64">
        <v>113.3</v>
      </c>
      <c r="O69" s="64">
        <v>0</v>
      </c>
      <c r="P69" s="64">
        <v>0.37</v>
      </c>
      <c r="Q69" s="64">
        <v>9</v>
      </c>
      <c r="R69" s="198"/>
      <c r="S69" s="198"/>
      <c r="T69" s="198"/>
      <c r="U69" s="198"/>
    </row>
    <row r="70" spans="1:21" s="12" customFormat="1" x14ac:dyDescent="0.25">
      <c r="A70" s="211" t="s">
        <v>2517</v>
      </c>
      <c r="B70" s="64">
        <v>10.74</v>
      </c>
      <c r="C70" s="64">
        <v>15.06</v>
      </c>
      <c r="D70" s="64">
        <v>16.48</v>
      </c>
      <c r="E70" s="64">
        <v>6.97</v>
      </c>
      <c r="F70" s="64">
        <v>5.21</v>
      </c>
      <c r="G70" s="64">
        <v>16.07</v>
      </c>
      <c r="H70" s="64">
        <v>15.25</v>
      </c>
      <c r="I70" s="64">
        <v>0.99</v>
      </c>
      <c r="J70" s="64">
        <v>0.37</v>
      </c>
      <c r="K70" s="64">
        <v>119.21</v>
      </c>
      <c r="L70" s="64">
        <v>29.13</v>
      </c>
      <c r="M70" s="64">
        <v>52.62</v>
      </c>
      <c r="N70" s="64">
        <v>93.9</v>
      </c>
      <c r="O70" s="64">
        <v>0</v>
      </c>
      <c r="P70" s="64">
        <v>0.37</v>
      </c>
      <c r="Q70" s="64">
        <v>9</v>
      </c>
      <c r="R70" s="198"/>
      <c r="S70" s="198"/>
      <c r="T70" s="198"/>
      <c r="U70" s="198"/>
    </row>
    <row r="71" spans="1:21" s="12" customFormat="1" x14ac:dyDescent="0.25">
      <c r="A71" s="211" t="s">
        <v>2518</v>
      </c>
      <c r="B71" s="64">
        <v>10.050000000000001</v>
      </c>
      <c r="C71" s="64">
        <v>14.44</v>
      </c>
      <c r="D71" s="64">
        <v>15.61</v>
      </c>
      <c r="E71" s="64">
        <v>7.38</v>
      </c>
      <c r="F71" s="64">
        <v>5.8</v>
      </c>
      <c r="G71" s="64">
        <v>16.07</v>
      </c>
      <c r="H71" s="64">
        <v>15.25</v>
      </c>
      <c r="I71" s="64">
        <v>0.97</v>
      </c>
      <c r="J71" s="64">
        <v>0.36</v>
      </c>
      <c r="K71" s="64">
        <v>113.9</v>
      </c>
      <c r="L71" s="64">
        <v>29.21</v>
      </c>
      <c r="M71" s="64">
        <v>51.31</v>
      </c>
      <c r="N71" s="64">
        <v>88.9</v>
      </c>
      <c r="O71" s="64">
        <v>0</v>
      </c>
      <c r="P71" s="64">
        <v>0.34</v>
      </c>
      <c r="Q71" s="64">
        <v>9</v>
      </c>
      <c r="R71" s="198"/>
      <c r="S71" s="198"/>
      <c r="T71" s="198"/>
      <c r="U71" s="198"/>
    </row>
    <row r="72" spans="1:21" s="12" customFormat="1" x14ac:dyDescent="0.25">
      <c r="A72" s="211" t="s">
        <v>2519</v>
      </c>
      <c r="B72" s="64">
        <v>7.44</v>
      </c>
      <c r="C72" s="64">
        <v>14.65</v>
      </c>
      <c r="D72" s="64">
        <v>13.62</v>
      </c>
      <c r="E72" s="64">
        <v>6.9</v>
      </c>
      <c r="F72" s="64">
        <v>4.4800000000000004</v>
      </c>
      <c r="G72" s="64">
        <v>16.07</v>
      </c>
      <c r="H72" s="64">
        <v>15.25</v>
      </c>
      <c r="I72" s="64">
        <v>0.98</v>
      </c>
      <c r="J72" s="64">
        <v>0.14000000000000001</v>
      </c>
      <c r="K72" s="64">
        <v>142.04</v>
      </c>
      <c r="L72" s="64">
        <v>28.95</v>
      </c>
      <c r="M72" s="64">
        <v>54.5</v>
      </c>
      <c r="N72" s="64">
        <v>80.2</v>
      </c>
      <c r="O72" s="64">
        <v>0</v>
      </c>
      <c r="P72" s="64">
        <v>0.39</v>
      </c>
      <c r="Q72" s="64">
        <v>9.02</v>
      </c>
      <c r="R72" s="198"/>
      <c r="S72" s="198"/>
      <c r="T72" s="198"/>
      <c r="U72" s="198"/>
    </row>
    <row r="73" spans="1:21" s="12" customFormat="1" x14ac:dyDescent="0.25">
      <c r="A73" s="211" t="s">
        <v>2520</v>
      </c>
      <c r="B73" s="64">
        <v>14.39</v>
      </c>
      <c r="C73" s="64">
        <v>21.59</v>
      </c>
      <c r="D73" s="64">
        <v>22.82</v>
      </c>
      <c r="E73" s="64">
        <v>7.54</v>
      </c>
      <c r="F73" s="64">
        <v>3.19</v>
      </c>
      <c r="G73" s="64">
        <v>38.21</v>
      </c>
      <c r="H73" s="64">
        <v>13.98</v>
      </c>
      <c r="I73" s="64">
        <v>0.99</v>
      </c>
      <c r="J73" s="64">
        <v>0.24</v>
      </c>
      <c r="K73" s="64">
        <v>331.83</v>
      </c>
      <c r="L73" s="64">
        <v>28.76</v>
      </c>
      <c r="M73" s="64">
        <v>56.76</v>
      </c>
      <c r="N73" s="64">
        <v>66.8</v>
      </c>
      <c r="O73" s="64">
        <v>0</v>
      </c>
      <c r="P73" s="64">
        <v>0.48</v>
      </c>
      <c r="Q73" s="64">
        <v>9.0299999999999994</v>
      </c>
      <c r="R73" s="198"/>
      <c r="S73" s="198"/>
      <c r="T73" s="198"/>
      <c r="U73" s="198"/>
    </row>
    <row r="74" spans="1:21" s="12" customFormat="1" x14ac:dyDescent="0.25">
      <c r="A74" s="211" t="s">
        <v>2521</v>
      </c>
      <c r="B74" s="64">
        <v>10.32</v>
      </c>
      <c r="C74" s="64">
        <v>21.14</v>
      </c>
      <c r="D74" s="64">
        <v>19.32</v>
      </c>
      <c r="E74" s="64">
        <v>7.6</v>
      </c>
      <c r="F74" s="64">
        <v>3.77</v>
      </c>
      <c r="G74" s="64">
        <v>44.13</v>
      </c>
      <c r="H74" s="64">
        <v>13.98</v>
      </c>
      <c r="I74" s="64">
        <v>1.02</v>
      </c>
      <c r="J74" s="64">
        <v>0.12</v>
      </c>
      <c r="K74" s="64">
        <v>131.25</v>
      </c>
      <c r="L74" s="64">
        <v>28.49</v>
      </c>
      <c r="M74" s="64">
        <v>53.3</v>
      </c>
      <c r="N74" s="64">
        <v>61.8</v>
      </c>
      <c r="O74" s="64">
        <v>0</v>
      </c>
      <c r="P74" s="64">
        <v>0.45</v>
      </c>
      <c r="Q74" s="64">
        <v>9.0399999999999991</v>
      </c>
      <c r="R74" s="198"/>
      <c r="S74" s="198"/>
      <c r="T74" s="198"/>
      <c r="U74" s="198"/>
    </row>
    <row r="75" spans="1:21" s="12" customFormat="1" x14ac:dyDescent="0.25">
      <c r="A75" s="211" t="s">
        <v>2522</v>
      </c>
      <c r="B75" s="64">
        <v>6.08</v>
      </c>
      <c r="C75" s="64">
        <v>16.73</v>
      </c>
      <c r="D75" s="64">
        <v>13.62</v>
      </c>
      <c r="E75" s="64">
        <v>8.19</v>
      </c>
      <c r="F75" s="64">
        <v>7.25</v>
      </c>
      <c r="G75" s="64">
        <v>44.13</v>
      </c>
      <c r="H75" s="64">
        <v>13.98</v>
      </c>
      <c r="I75" s="64">
        <v>1.08</v>
      </c>
      <c r="J75" s="64">
        <v>0.27</v>
      </c>
      <c r="K75" s="64">
        <v>140.27000000000001</v>
      </c>
      <c r="L75" s="64">
        <v>28.17</v>
      </c>
      <c r="M75" s="64">
        <v>55.44</v>
      </c>
      <c r="N75" s="64">
        <v>61.2</v>
      </c>
      <c r="O75" s="64">
        <v>0</v>
      </c>
      <c r="P75" s="64">
        <v>0.41</v>
      </c>
      <c r="Q75" s="64">
        <v>9.0500000000000007</v>
      </c>
      <c r="R75" s="198"/>
      <c r="S75" s="198"/>
      <c r="T75" s="198"/>
      <c r="U75" s="198"/>
    </row>
    <row r="76" spans="1:21" s="12" customFormat="1" x14ac:dyDescent="0.25">
      <c r="A76" s="211" t="s">
        <v>2523</v>
      </c>
      <c r="B76" s="64">
        <v>5.81</v>
      </c>
      <c r="C76" s="64">
        <v>15.69</v>
      </c>
      <c r="D76" s="64">
        <v>12.86</v>
      </c>
      <c r="E76" s="64">
        <v>8.94</v>
      </c>
      <c r="F76" s="64">
        <v>8.8800000000000008</v>
      </c>
      <c r="G76" s="64">
        <v>44.13</v>
      </c>
      <c r="H76" s="64">
        <v>13.98</v>
      </c>
      <c r="I76" s="64">
        <v>1.1599999999999999</v>
      </c>
      <c r="J76" s="64">
        <v>0.52</v>
      </c>
      <c r="K76" s="64">
        <v>127.52</v>
      </c>
      <c r="L76" s="64">
        <v>28.11</v>
      </c>
      <c r="M76" s="64">
        <v>53.26</v>
      </c>
      <c r="N76" s="64">
        <v>56.9</v>
      </c>
      <c r="O76" s="64">
        <v>0</v>
      </c>
      <c r="P76" s="64">
        <v>0.35</v>
      </c>
      <c r="Q76" s="64">
        <v>9.0500000000000007</v>
      </c>
      <c r="R76" s="198"/>
      <c r="S76" s="198"/>
      <c r="T76" s="198"/>
      <c r="U76" s="198"/>
    </row>
    <row r="77" spans="1:21" s="12" customFormat="1" x14ac:dyDescent="0.25">
      <c r="A77" s="211" t="s">
        <v>2524</v>
      </c>
      <c r="B77" s="64">
        <v>7.62</v>
      </c>
      <c r="C77" s="64">
        <v>23.77</v>
      </c>
      <c r="D77" s="64">
        <v>18.53</v>
      </c>
      <c r="E77" s="64">
        <v>9.51</v>
      </c>
      <c r="F77" s="64">
        <v>4.2699999999999996</v>
      </c>
      <c r="G77" s="64">
        <v>30.43</v>
      </c>
      <c r="H77" s="64">
        <v>13.08</v>
      </c>
      <c r="I77" s="64">
        <v>1.21</v>
      </c>
      <c r="J77" s="64">
        <v>0.08</v>
      </c>
      <c r="K77" s="64">
        <v>155</v>
      </c>
      <c r="L77" s="64">
        <v>27.92</v>
      </c>
      <c r="M77" s="64">
        <v>55.82</v>
      </c>
      <c r="N77" s="64">
        <v>46.8</v>
      </c>
      <c r="O77" s="64">
        <v>0</v>
      </c>
      <c r="P77" s="64">
        <v>0.51</v>
      </c>
      <c r="Q77" s="64">
        <v>9.0299999999999994</v>
      </c>
      <c r="R77" s="198"/>
      <c r="S77" s="198"/>
      <c r="T77" s="198"/>
      <c r="U77" s="198"/>
    </row>
    <row r="78" spans="1:21" s="12" customFormat="1" x14ac:dyDescent="0.25">
      <c r="A78" s="211" t="s">
        <v>2525</v>
      </c>
      <c r="B78" s="64">
        <v>5.72</v>
      </c>
      <c r="C78" s="64">
        <v>20.78</v>
      </c>
      <c r="D78" s="64">
        <v>15.44</v>
      </c>
      <c r="E78" s="64">
        <v>9.7200000000000006</v>
      </c>
      <c r="F78" s="64">
        <v>5.69</v>
      </c>
      <c r="G78" s="64">
        <v>26.76</v>
      </c>
      <c r="H78" s="64">
        <v>13.08</v>
      </c>
      <c r="I78" s="64">
        <v>1.23</v>
      </c>
      <c r="J78" s="64">
        <v>0.51</v>
      </c>
      <c r="K78" s="64">
        <v>131.97</v>
      </c>
      <c r="L78" s="64">
        <v>27.65</v>
      </c>
      <c r="M78" s="64">
        <v>58.37</v>
      </c>
      <c r="N78" s="64">
        <v>41.7</v>
      </c>
      <c r="O78" s="64">
        <v>0</v>
      </c>
      <c r="P78" s="64">
        <v>0.39</v>
      </c>
      <c r="Q78" s="64">
        <v>9.0299999999999994</v>
      </c>
      <c r="R78" s="198"/>
      <c r="S78" s="198"/>
      <c r="T78" s="198"/>
      <c r="U78" s="198"/>
    </row>
    <row r="79" spans="1:21" s="12" customFormat="1" x14ac:dyDescent="0.25">
      <c r="A79" s="211" t="s">
        <v>2526</v>
      </c>
      <c r="B79" s="64">
        <v>5.05</v>
      </c>
      <c r="C79" s="64">
        <v>18.739999999999998</v>
      </c>
      <c r="D79" s="64">
        <v>13.84</v>
      </c>
      <c r="E79" s="64">
        <v>8.66</v>
      </c>
      <c r="F79" s="64">
        <v>2.78</v>
      </c>
      <c r="G79" s="64">
        <v>26.76</v>
      </c>
      <c r="H79" s="64">
        <v>13.08</v>
      </c>
      <c r="I79" s="64">
        <v>1.27</v>
      </c>
      <c r="J79" s="64">
        <v>0.32</v>
      </c>
      <c r="K79" s="64">
        <v>132.32</v>
      </c>
      <c r="L79" s="64">
        <v>27.38</v>
      </c>
      <c r="M79" s="64">
        <v>61.32</v>
      </c>
      <c r="N79" s="64">
        <v>40.299999999999997</v>
      </c>
      <c r="O79" s="64">
        <v>0</v>
      </c>
      <c r="P79" s="64">
        <v>0.44</v>
      </c>
      <c r="Q79" s="64">
        <v>9.0299999999999994</v>
      </c>
      <c r="R79" s="198"/>
      <c r="S79" s="198"/>
      <c r="T79" s="198"/>
      <c r="U79" s="198"/>
    </row>
    <row r="80" spans="1:21" s="12" customFormat="1" x14ac:dyDescent="0.25">
      <c r="A80" s="211" t="s">
        <v>2527</v>
      </c>
      <c r="B80" s="64">
        <v>4.83</v>
      </c>
      <c r="C80" s="64">
        <v>18.68</v>
      </c>
      <c r="D80" s="64">
        <v>13.63</v>
      </c>
      <c r="E80" s="64">
        <v>8.69</v>
      </c>
      <c r="F80" s="64">
        <v>4.8499999999999996</v>
      </c>
      <c r="G80" s="64">
        <v>26.76</v>
      </c>
      <c r="H80" s="64">
        <v>13.08</v>
      </c>
      <c r="I80" s="64">
        <v>1.31</v>
      </c>
      <c r="J80" s="64">
        <v>0.17</v>
      </c>
      <c r="K80" s="64">
        <v>127.99</v>
      </c>
      <c r="L80" s="64">
        <v>27.24</v>
      </c>
      <c r="M80" s="64">
        <v>63.05</v>
      </c>
      <c r="N80" s="64">
        <v>40</v>
      </c>
      <c r="O80" s="64">
        <v>0</v>
      </c>
      <c r="P80" s="64">
        <v>0.47</v>
      </c>
      <c r="Q80" s="64">
        <v>9.02</v>
      </c>
      <c r="R80" s="198"/>
      <c r="S80" s="198"/>
      <c r="T80" s="198"/>
      <c r="U80" s="198"/>
    </row>
    <row r="81" spans="1:26" s="12" customFormat="1" x14ac:dyDescent="0.25">
      <c r="A81" s="211" t="s">
        <v>2528</v>
      </c>
      <c r="B81" s="64">
        <v>4.8499999999999996</v>
      </c>
      <c r="C81" s="64">
        <v>19.72</v>
      </c>
      <c r="D81" s="64">
        <v>14.19</v>
      </c>
      <c r="E81" s="64">
        <v>8.5</v>
      </c>
      <c r="F81" s="64">
        <v>3.88</v>
      </c>
      <c r="G81" s="64">
        <v>38.14</v>
      </c>
      <c r="H81" s="64">
        <v>12.5</v>
      </c>
      <c r="I81" s="64">
        <v>1.35</v>
      </c>
      <c r="J81" s="64">
        <v>0.45</v>
      </c>
      <c r="K81" s="64">
        <v>131.13</v>
      </c>
      <c r="L81" s="64">
        <v>27.15</v>
      </c>
      <c r="M81" s="64">
        <v>64.55</v>
      </c>
      <c r="N81" s="64">
        <v>39.9</v>
      </c>
      <c r="O81" s="64">
        <v>0</v>
      </c>
      <c r="P81" s="64">
        <v>0.5</v>
      </c>
      <c r="Q81" s="64">
        <v>9.01</v>
      </c>
      <c r="R81" s="198"/>
      <c r="S81" s="198"/>
      <c r="T81" s="198"/>
      <c r="U81" s="198"/>
    </row>
    <row r="82" spans="1:26" s="12" customFormat="1" x14ac:dyDescent="0.25">
      <c r="A82" s="211" t="s">
        <v>2529</v>
      </c>
      <c r="B82" s="64">
        <v>5.01</v>
      </c>
      <c r="C82" s="64">
        <v>20.07</v>
      </c>
      <c r="D82" s="64">
        <v>14.51</v>
      </c>
      <c r="E82" s="64">
        <v>7.96</v>
      </c>
      <c r="F82" s="64">
        <v>2.21</v>
      </c>
      <c r="G82" s="64">
        <v>41.19</v>
      </c>
      <c r="H82" s="64">
        <v>12.5</v>
      </c>
      <c r="I82" s="64">
        <v>1.39</v>
      </c>
      <c r="J82" s="64">
        <v>0.21</v>
      </c>
      <c r="K82" s="64">
        <v>111.07</v>
      </c>
      <c r="L82" s="64">
        <v>27.02</v>
      </c>
      <c r="M82" s="64">
        <v>66.45</v>
      </c>
      <c r="N82" s="64">
        <v>40</v>
      </c>
      <c r="O82" s="64">
        <v>0</v>
      </c>
      <c r="P82" s="64">
        <v>0.48</v>
      </c>
      <c r="Q82" s="64">
        <v>9.01</v>
      </c>
      <c r="R82" s="198"/>
      <c r="S82" s="198"/>
      <c r="T82" s="198"/>
      <c r="U82" s="198"/>
    </row>
    <row r="83" spans="1:26" s="12" customFormat="1" x14ac:dyDescent="0.25">
      <c r="A83" s="211" t="s">
        <v>2530</v>
      </c>
      <c r="B83" s="64">
        <v>5.7</v>
      </c>
      <c r="C83" s="64">
        <v>23.62</v>
      </c>
      <c r="D83" s="64">
        <v>16.91</v>
      </c>
      <c r="E83" s="64">
        <v>7.65</v>
      </c>
      <c r="F83" s="64">
        <v>2.14</v>
      </c>
      <c r="G83" s="64">
        <v>41.19</v>
      </c>
      <c r="H83" s="64">
        <v>12.5</v>
      </c>
      <c r="I83" s="64">
        <v>1.43</v>
      </c>
      <c r="J83" s="64">
        <v>0.18</v>
      </c>
      <c r="K83" s="64">
        <v>134.63</v>
      </c>
      <c r="L83" s="64">
        <v>26.83</v>
      </c>
      <c r="M83" s="64">
        <v>68.56</v>
      </c>
      <c r="N83" s="64">
        <v>39.9</v>
      </c>
      <c r="O83" s="64">
        <v>0</v>
      </c>
      <c r="P83" s="64">
        <v>0.56999999999999995</v>
      </c>
      <c r="Q83" s="64">
        <v>9.02</v>
      </c>
      <c r="R83" s="198"/>
      <c r="S83" s="198"/>
      <c r="T83" s="198"/>
      <c r="U83" s="198"/>
    </row>
    <row r="84" spans="1:26" s="12" customFormat="1" x14ac:dyDescent="0.25">
      <c r="A84" s="211" t="s">
        <v>2531</v>
      </c>
      <c r="B84" s="64">
        <v>5.97</v>
      </c>
      <c r="C84" s="64">
        <v>26.74</v>
      </c>
      <c r="D84" s="64">
        <v>18.760000000000002</v>
      </c>
      <c r="E84" s="64">
        <v>7.72</v>
      </c>
      <c r="F84" s="64">
        <v>2.1</v>
      </c>
      <c r="G84" s="64">
        <v>41.19</v>
      </c>
      <c r="H84" s="64">
        <v>12.5</v>
      </c>
      <c r="I84" s="64">
        <v>1.47</v>
      </c>
      <c r="J84" s="64">
        <v>0.02</v>
      </c>
      <c r="K84" s="64">
        <v>349.95</v>
      </c>
      <c r="L84" s="64">
        <v>26.73</v>
      </c>
      <c r="M84" s="64">
        <v>69.89</v>
      </c>
      <c r="N84" s="64">
        <v>40</v>
      </c>
      <c r="O84" s="64">
        <v>0</v>
      </c>
      <c r="P84" s="64">
        <v>0.62</v>
      </c>
      <c r="Q84" s="64">
        <v>9.01</v>
      </c>
      <c r="R84" s="198"/>
      <c r="S84" s="198"/>
      <c r="T84" s="198"/>
      <c r="U84" s="198"/>
    </row>
    <row r="85" spans="1:26" s="12" customFormat="1" x14ac:dyDescent="0.25">
      <c r="A85" s="211" t="s">
        <v>2532</v>
      </c>
      <c r="B85" s="64">
        <v>21.4</v>
      </c>
      <c r="C85" s="64">
        <v>32.83</v>
      </c>
      <c r="D85" s="64">
        <v>34.31</v>
      </c>
      <c r="E85" s="64">
        <v>7.82</v>
      </c>
      <c r="F85" s="64">
        <v>2.1</v>
      </c>
      <c r="G85" s="64">
        <v>46</v>
      </c>
      <c r="H85" s="64">
        <v>12.27</v>
      </c>
      <c r="I85" s="64">
        <v>1.52</v>
      </c>
      <c r="J85" s="64">
        <v>0.09</v>
      </c>
      <c r="K85" s="64">
        <v>329.62</v>
      </c>
      <c r="L85" s="64">
        <v>26.54</v>
      </c>
      <c r="M85" s="64">
        <v>72.38</v>
      </c>
      <c r="N85" s="64">
        <v>40</v>
      </c>
      <c r="O85" s="64">
        <v>0</v>
      </c>
      <c r="P85" s="64">
        <v>1.33</v>
      </c>
      <c r="Q85" s="64">
        <v>9.02</v>
      </c>
      <c r="R85" s="198"/>
      <c r="S85" s="198"/>
      <c r="T85" s="198"/>
      <c r="U85" s="198"/>
    </row>
    <row r="86" spans="1:26" s="12" customFormat="1" x14ac:dyDescent="0.25">
      <c r="A86" s="211" t="s">
        <v>2533</v>
      </c>
      <c r="B86" s="64">
        <v>8.33</v>
      </c>
      <c r="C86" s="64">
        <v>31.38</v>
      </c>
      <c r="D86" s="64">
        <v>23.07</v>
      </c>
      <c r="E86" s="64">
        <v>7.58</v>
      </c>
      <c r="F86" s="64">
        <v>2.1</v>
      </c>
      <c r="G86" s="64">
        <v>47.28</v>
      </c>
      <c r="H86" s="64">
        <v>12.27</v>
      </c>
      <c r="I86" s="64">
        <v>1.56</v>
      </c>
      <c r="J86" s="64">
        <v>0.03</v>
      </c>
      <c r="K86" s="64">
        <v>351.6</v>
      </c>
      <c r="L86" s="64">
        <v>26.28</v>
      </c>
      <c r="M86" s="64">
        <v>73.150000000000006</v>
      </c>
      <c r="N86" s="64">
        <v>40</v>
      </c>
      <c r="O86" s="64">
        <v>0</v>
      </c>
      <c r="P86" s="64">
        <v>0.98</v>
      </c>
      <c r="Q86" s="64">
        <v>9.0299999999999994</v>
      </c>
      <c r="R86" s="198"/>
      <c r="S86" s="198"/>
      <c r="T86" s="198"/>
      <c r="U86" s="198"/>
    </row>
    <row r="87" spans="1:26" s="12" customFormat="1" x14ac:dyDescent="0.25">
      <c r="A87" s="211" t="s">
        <v>2534</v>
      </c>
      <c r="B87" s="64">
        <v>6.61</v>
      </c>
      <c r="C87" s="64">
        <v>22.12</v>
      </c>
      <c r="D87" s="64">
        <v>16.86</v>
      </c>
      <c r="E87" s="64">
        <v>7.55</v>
      </c>
      <c r="F87" s="64">
        <v>2.1</v>
      </c>
      <c r="G87" s="64">
        <v>47.28</v>
      </c>
      <c r="H87" s="64">
        <v>12.27</v>
      </c>
      <c r="I87" s="64">
        <v>1.56</v>
      </c>
      <c r="J87" s="64">
        <v>0.04</v>
      </c>
      <c r="K87" s="64">
        <v>204.22</v>
      </c>
      <c r="L87" s="64">
        <v>26.17</v>
      </c>
      <c r="M87" s="64">
        <v>73.430000000000007</v>
      </c>
      <c r="N87" s="64">
        <v>39.9</v>
      </c>
      <c r="O87" s="64">
        <v>0</v>
      </c>
      <c r="P87" s="64">
        <v>0.69</v>
      </c>
      <c r="Q87" s="64">
        <v>9.0399999999999991</v>
      </c>
      <c r="R87" s="198"/>
      <c r="S87" s="198"/>
      <c r="T87" s="198"/>
      <c r="U87" s="198"/>
    </row>
    <row r="88" spans="1:26" s="12" customFormat="1" x14ac:dyDescent="0.25">
      <c r="A88" s="211" t="s">
        <v>2535</v>
      </c>
      <c r="B88" s="64">
        <v>5.91</v>
      </c>
      <c r="C88" s="64">
        <v>23.65</v>
      </c>
      <c r="D88" s="64">
        <v>17.09</v>
      </c>
      <c r="E88" s="64">
        <v>7.62</v>
      </c>
      <c r="F88" s="64">
        <v>2.2999999999999998</v>
      </c>
      <c r="G88" s="64">
        <v>47.28</v>
      </c>
      <c r="H88" s="64">
        <v>12.27</v>
      </c>
      <c r="I88" s="64">
        <v>1.58</v>
      </c>
      <c r="J88" s="64">
        <v>0.25</v>
      </c>
      <c r="K88" s="64">
        <v>130.58000000000001</v>
      </c>
      <c r="L88" s="64">
        <v>26.15</v>
      </c>
      <c r="M88" s="64">
        <v>73.75</v>
      </c>
      <c r="N88" s="64">
        <v>39.700000000000003</v>
      </c>
      <c r="O88" s="64">
        <v>0</v>
      </c>
      <c r="P88" s="64">
        <v>0.68</v>
      </c>
      <c r="Q88" s="64">
        <v>9.0500000000000007</v>
      </c>
      <c r="R88" s="198"/>
      <c r="S88" s="198"/>
      <c r="T88" s="198"/>
      <c r="U88" s="198"/>
    </row>
    <row r="89" spans="1:26" s="12" customFormat="1" x14ac:dyDescent="0.25">
      <c r="A89" s="211" t="s">
        <v>2536</v>
      </c>
      <c r="B89" s="64">
        <v>7.01</v>
      </c>
      <c r="C89" s="64">
        <v>26.38</v>
      </c>
      <c r="D89" s="64">
        <v>19.41</v>
      </c>
      <c r="E89" s="64">
        <v>7.64</v>
      </c>
      <c r="F89" s="64">
        <v>2.13</v>
      </c>
      <c r="G89" s="64">
        <v>55.62</v>
      </c>
      <c r="H89" s="64">
        <v>11.96</v>
      </c>
      <c r="I89" s="64">
        <v>1.63</v>
      </c>
      <c r="J89" s="64">
        <v>0.13</v>
      </c>
      <c r="K89" s="64">
        <v>144.41999999999999</v>
      </c>
      <c r="L89" s="64">
        <v>26.1</v>
      </c>
      <c r="M89" s="64">
        <v>74.47</v>
      </c>
      <c r="N89" s="64">
        <v>39.799999999999997</v>
      </c>
      <c r="O89" s="64">
        <v>0</v>
      </c>
      <c r="P89" s="64">
        <v>0.72</v>
      </c>
      <c r="Q89" s="64">
        <v>9.0500000000000007</v>
      </c>
      <c r="R89" s="198"/>
      <c r="S89" s="198"/>
      <c r="T89" s="198"/>
      <c r="U89" s="198"/>
    </row>
    <row r="90" spans="1:26" s="12" customFormat="1" x14ac:dyDescent="0.25">
      <c r="A90" s="211" t="s">
        <v>2537</v>
      </c>
      <c r="B90" s="64">
        <v>6.03</v>
      </c>
      <c r="C90" s="64">
        <v>22.39</v>
      </c>
      <c r="D90" s="64">
        <v>16.53</v>
      </c>
      <c r="E90" s="64">
        <v>7.48</v>
      </c>
      <c r="F90" s="64">
        <v>2.2000000000000002</v>
      </c>
      <c r="G90" s="64">
        <v>57.85</v>
      </c>
      <c r="H90" s="64">
        <v>11.96</v>
      </c>
      <c r="I90" s="64">
        <v>1.66</v>
      </c>
      <c r="J90" s="64">
        <v>0.24</v>
      </c>
      <c r="K90" s="64">
        <v>129.27000000000001</v>
      </c>
      <c r="L90" s="64">
        <v>26.01</v>
      </c>
      <c r="M90" s="64">
        <v>76.349999999999994</v>
      </c>
      <c r="N90" s="64">
        <v>39.9</v>
      </c>
      <c r="O90" s="64">
        <v>0</v>
      </c>
      <c r="P90" s="64">
        <v>0.7</v>
      </c>
      <c r="Q90" s="64">
        <v>9.06</v>
      </c>
      <c r="R90" s="198"/>
      <c r="S90" s="198"/>
      <c r="T90" s="198"/>
      <c r="U90" s="198"/>
    </row>
    <row r="91" spans="1:26" s="12" customFormat="1" x14ac:dyDescent="0.25">
      <c r="A91" s="211" t="s">
        <v>2538</v>
      </c>
      <c r="B91" s="64">
        <v>5.93</v>
      </c>
      <c r="C91" s="64">
        <v>21.29</v>
      </c>
      <c r="D91" s="64">
        <v>15.88</v>
      </c>
      <c r="E91" s="64">
        <v>7.33</v>
      </c>
      <c r="F91" s="64">
        <v>2.12</v>
      </c>
      <c r="G91" s="64">
        <v>57.85</v>
      </c>
      <c r="H91" s="64">
        <v>11.96</v>
      </c>
      <c r="I91" s="64">
        <v>1.7</v>
      </c>
      <c r="J91" s="64">
        <v>0.41</v>
      </c>
      <c r="K91" s="64">
        <v>134.18</v>
      </c>
      <c r="L91" s="64">
        <v>25.97</v>
      </c>
      <c r="M91" s="64">
        <v>77.12</v>
      </c>
      <c r="N91" s="64">
        <v>39.799999999999997</v>
      </c>
      <c r="O91" s="64">
        <v>0</v>
      </c>
      <c r="P91" s="64">
        <v>0.66</v>
      </c>
      <c r="Q91" s="64">
        <v>9.06</v>
      </c>
      <c r="R91" s="198"/>
      <c r="S91" s="198"/>
      <c r="T91" s="198"/>
      <c r="U91" s="198"/>
    </row>
    <row r="92" spans="1:26" s="12" customFormat="1" x14ac:dyDescent="0.25">
      <c r="A92" s="211" t="s">
        <v>2539</v>
      </c>
      <c r="B92" s="64">
        <v>7.71</v>
      </c>
      <c r="C92" s="64">
        <v>25.09</v>
      </c>
      <c r="D92" s="64">
        <v>19.29</v>
      </c>
      <c r="E92" s="64">
        <v>7.51</v>
      </c>
      <c r="F92" s="64">
        <v>2.12</v>
      </c>
      <c r="G92" s="64">
        <v>57.85</v>
      </c>
      <c r="H92" s="64">
        <v>11.96</v>
      </c>
      <c r="I92" s="64">
        <v>1.73</v>
      </c>
      <c r="J92" s="64">
        <v>0.22</v>
      </c>
      <c r="K92" s="64">
        <v>137.36000000000001</v>
      </c>
      <c r="L92" s="64">
        <v>25.95</v>
      </c>
      <c r="M92" s="64">
        <v>77.510000000000005</v>
      </c>
      <c r="N92" s="64">
        <v>39.799999999999997</v>
      </c>
      <c r="O92" s="64">
        <v>0</v>
      </c>
      <c r="P92" s="64">
        <v>0.64</v>
      </c>
      <c r="Q92" s="64">
        <v>9.07</v>
      </c>
      <c r="R92" s="198"/>
      <c r="S92" s="198"/>
      <c r="T92" s="198"/>
      <c r="U92" s="198"/>
    </row>
    <row r="93" spans="1:26" s="12" customFormat="1" x14ac:dyDescent="0.25">
      <c r="A93" s="211" t="s">
        <v>2540</v>
      </c>
      <c r="B93" s="64">
        <v>15.57</v>
      </c>
      <c r="C93" s="64">
        <v>26.45</v>
      </c>
      <c r="D93" s="64">
        <v>26.31</v>
      </c>
      <c r="E93" s="64">
        <v>8.7899999999999991</v>
      </c>
      <c r="F93" s="64">
        <v>2.1</v>
      </c>
      <c r="G93" s="64">
        <v>54.75</v>
      </c>
      <c r="H93" s="64">
        <v>14.26</v>
      </c>
      <c r="I93" s="64">
        <v>1.76</v>
      </c>
      <c r="J93" s="64">
        <v>7.0000000000000007E-2</v>
      </c>
      <c r="K93" s="64">
        <v>180.42</v>
      </c>
      <c r="L93" s="64">
        <v>25.76</v>
      </c>
      <c r="M93" s="64">
        <v>78.73</v>
      </c>
      <c r="N93" s="64">
        <v>40.1</v>
      </c>
      <c r="O93" s="64">
        <v>0</v>
      </c>
      <c r="P93" s="64">
        <v>0.88</v>
      </c>
      <c r="Q93" s="64">
        <v>9.08</v>
      </c>
      <c r="R93" s="198"/>
      <c r="S93" s="198"/>
      <c r="T93" s="198"/>
      <c r="U93" s="198"/>
    </row>
    <row r="94" spans="1:26" s="12" customFormat="1" x14ac:dyDescent="0.25">
      <c r="A94" s="211" t="s">
        <v>2541</v>
      </c>
      <c r="B94" s="64">
        <v>12.59</v>
      </c>
      <c r="C94" s="64">
        <v>24.68</v>
      </c>
      <c r="D94" s="64">
        <v>22.99</v>
      </c>
      <c r="E94" s="64">
        <v>8.1</v>
      </c>
      <c r="F94" s="64">
        <v>2.1</v>
      </c>
      <c r="G94" s="64">
        <v>53.92</v>
      </c>
      <c r="H94" s="64">
        <v>14.26</v>
      </c>
      <c r="I94" s="64">
        <v>1.78</v>
      </c>
      <c r="J94" s="64">
        <v>0.04</v>
      </c>
      <c r="K94" s="64">
        <v>151</v>
      </c>
      <c r="L94" s="64">
        <v>25.54</v>
      </c>
      <c r="M94" s="64">
        <v>79.61</v>
      </c>
      <c r="N94" s="64">
        <v>40</v>
      </c>
      <c r="O94" s="64">
        <v>0</v>
      </c>
      <c r="P94" s="64">
        <v>0.69</v>
      </c>
      <c r="Q94" s="64">
        <v>9.09</v>
      </c>
      <c r="R94" s="198"/>
      <c r="S94" s="198"/>
      <c r="T94" s="198"/>
      <c r="U94" s="198"/>
    </row>
    <row r="95" spans="1:26" s="12" customFormat="1" x14ac:dyDescent="0.25">
      <c r="A95" s="211" t="s">
        <v>2542</v>
      </c>
      <c r="B95" s="64">
        <v>9.77</v>
      </c>
      <c r="C95" s="64">
        <v>23.56</v>
      </c>
      <c r="D95" s="64">
        <v>20.149999999999999</v>
      </c>
      <c r="E95" s="64">
        <v>7.41</v>
      </c>
      <c r="F95" s="64">
        <v>2.1</v>
      </c>
      <c r="G95" s="64">
        <v>53.92</v>
      </c>
      <c r="H95" s="64">
        <v>14.26</v>
      </c>
      <c r="I95" s="64">
        <v>1.81</v>
      </c>
      <c r="J95" s="64">
        <v>0.15</v>
      </c>
      <c r="K95" s="64">
        <v>145.03</v>
      </c>
      <c r="L95" s="64">
        <v>25.39</v>
      </c>
      <c r="M95" s="64">
        <v>82.36</v>
      </c>
      <c r="N95" s="64">
        <v>39.9</v>
      </c>
      <c r="O95" s="64">
        <v>0</v>
      </c>
      <c r="P95" s="64">
        <v>0.74</v>
      </c>
      <c r="Q95" s="64">
        <v>9.09</v>
      </c>
      <c r="R95" s="198"/>
      <c r="S95" s="198"/>
      <c r="T95" s="198"/>
      <c r="U95" s="198"/>
    </row>
    <row r="96" spans="1:26" s="12" customFormat="1" x14ac:dyDescent="0.25">
      <c r="A96" s="211" t="s">
        <v>2543</v>
      </c>
      <c r="B96" s="64">
        <v>6.99</v>
      </c>
      <c r="C96" s="64">
        <v>19.53</v>
      </c>
      <c r="D96" s="64">
        <v>15.8</v>
      </c>
      <c r="E96" s="64">
        <v>7.45</v>
      </c>
      <c r="F96" s="64">
        <v>2.2799999999999998</v>
      </c>
      <c r="G96" s="64">
        <v>53.92</v>
      </c>
      <c r="H96" s="64">
        <v>14.26</v>
      </c>
      <c r="I96" s="64">
        <v>1.84</v>
      </c>
      <c r="J96" s="64">
        <v>0.33</v>
      </c>
      <c r="K96" s="64">
        <v>129.56</v>
      </c>
      <c r="L96" s="64">
        <v>25.52</v>
      </c>
      <c r="M96" s="64">
        <v>81.58</v>
      </c>
      <c r="N96" s="64">
        <v>39.799999999999997</v>
      </c>
      <c r="O96" s="64">
        <v>0</v>
      </c>
      <c r="P96" s="64">
        <v>0.6</v>
      </c>
      <c r="Q96" s="64">
        <v>9.1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2544</v>
      </c>
      <c r="B97" s="64">
        <v>7.56</v>
      </c>
      <c r="C97" s="64">
        <v>21.46</v>
      </c>
      <c r="D97" s="64">
        <v>17.28</v>
      </c>
      <c r="E97" s="64">
        <v>7.52</v>
      </c>
      <c r="F97" s="64">
        <v>2.1</v>
      </c>
      <c r="G97" s="64">
        <v>58.63</v>
      </c>
      <c r="H97" s="64">
        <v>13.61</v>
      </c>
      <c r="I97" s="64">
        <v>1.86</v>
      </c>
      <c r="J97" s="64">
        <v>0.25</v>
      </c>
      <c r="K97" s="64">
        <v>136.59</v>
      </c>
      <c r="L97" s="64">
        <v>25.48</v>
      </c>
      <c r="M97" s="64">
        <v>82.34</v>
      </c>
      <c r="N97" s="64">
        <v>40</v>
      </c>
      <c r="O97" s="64">
        <v>0</v>
      </c>
      <c r="P97" s="64">
        <v>0.61</v>
      </c>
      <c r="Q97" s="64">
        <v>9.08</v>
      </c>
      <c r="R97" s="198"/>
      <c r="S97" s="198"/>
      <c r="T97" s="198"/>
      <c r="U97" s="198"/>
    </row>
    <row r="98" spans="1:33" s="12" customFormat="1" x14ac:dyDescent="0.25">
      <c r="A98" s="211" t="s">
        <v>2545</v>
      </c>
      <c r="B98" s="64">
        <v>6.87</v>
      </c>
      <c r="C98" s="64">
        <v>21.27</v>
      </c>
      <c r="D98" s="64">
        <v>16.62</v>
      </c>
      <c r="E98" s="64">
        <v>7.6</v>
      </c>
      <c r="F98" s="64">
        <v>2.11</v>
      </c>
      <c r="G98" s="64">
        <v>59.88</v>
      </c>
      <c r="H98" s="64">
        <v>13.61</v>
      </c>
      <c r="I98" s="64">
        <v>1.84</v>
      </c>
      <c r="J98" s="64">
        <v>0.28000000000000003</v>
      </c>
      <c r="K98" s="64">
        <v>139.27000000000001</v>
      </c>
      <c r="L98" s="64">
        <v>25.41</v>
      </c>
      <c r="M98" s="64">
        <v>83.28</v>
      </c>
      <c r="N98" s="64">
        <v>40.1</v>
      </c>
      <c r="O98" s="64">
        <v>0</v>
      </c>
      <c r="P98" s="64">
        <v>0.57999999999999996</v>
      </c>
      <c r="Q98" s="64">
        <v>9.08</v>
      </c>
      <c r="R98" s="198"/>
      <c r="S98" s="198"/>
      <c r="T98" s="198"/>
      <c r="U98" s="198"/>
    </row>
    <row r="99" spans="1:33" s="12" customFormat="1" x14ac:dyDescent="0.25">
      <c r="A99" s="211" t="s">
        <v>2546</v>
      </c>
      <c r="B99" s="64">
        <v>6.79</v>
      </c>
      <c r="C99" s="64">
        <v>17.48</v>
      </c>
      <c r="D99" s="64">
        <v>14.58</v>
      </c>
      <c r="E99" s="64">
        <v>7.31</v>
      </c>
      <c r="F99" s="64">
        <v>3.4</v>
      </c>
      <c r="G99" s="64">
        <v>59.88</v>
      </c>
      <c r="H99" s="64">
        <v>13.61</v>
      </c>
      <c r="I99" s="64">
        <v>1.83</v>
      </c>
      <c r="J99" s="64">
        <v>0.28000000000000003</v>
      </c>
      <c r="K99" s="64">
        <v>138.82</v>
      </c>
      <c r="L99" s="64">
        <v>25.22</v>
      </c>
      <c r="M99" s="64">
        <v>85.82</v>
      </c>
      <c r="N99" s="64">
        <v>40.200000000000003</v>
      </c>
      <c r="O99" s="64">
        <v>0</v>
      </c>
      <c r="P99" s="64">
        <v>0.53</v>
      </c>
      <c r="Q99" s="64">
        <v>9.08</v>
      </c>
      <c r="R99" s="198"/>
      <c r="S99" s="198"/>
      <c r="T99" s="198"/>
      <c r="U99" s="198"/>
    </row>
    <row r="100" spans="1:33" s="12" customFormat="1" x14ac:dyDescent="0.25">
      <c r="A100" s="211" t="s">
        <v>2547</v>
      </c>
      <c r="B100" s="64">
        <v>9.58</v>
      </c>
      <c r="C100" s="64">
        <v>20.62</v>
      </c>
      <c r="D100" s="64">
        <v>18.46</v>
      </c>
      <c r="E100" s="64">
        <v>7.04</v>
      </c>
      <c r="F100" s="64">
        <v>2.58</v>
      </c>
      <c r="G100" s="64">
        <v>59.88</v>
      </c>
      <c r="H100" s="64">
        <v>13.61</v>
      </c>
      <c r="I100" s="64">
        <v>1.85</v>
      </c>
      <c r="J100" s="64">
        <v>0.18</v>
      </c>
      <c r="K100" s="64">
        <v>122.85</v>
      </c>
      <c r="L100" s="64">
        <v>25.09</v>
      </c>
      <c r="M100" s="64">
        <v>86.88</v>
      </c>
      <c r="N100" s="64">
        <v>40.1</v>
      </c>
      <c r="O100" s="64">
        <v>0</v>
      </c>
      <c r="P100" s="64">
        <v>0.53</v>
      </c>
      <c r="Q100" s="64">
        <v>9.07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2548</v>
      </c>
      <c r="B101" s="64">
        <v>7.96</v>
      </c>
      <c r="C101" s="64">
        <v>20.84</v>
      </c>
      <c r="D101" s="64">
        <v>17.27</v>
      </c>
      <c r="E101" s="64">
        <v>7.01</v>
      </c>
      <c r="F101" s="64">
        <v>2.27</v>
      </c>
      <c r="G101" s="64">
        <v>61.13</v>
      </c>
      <c r="H101" s="64">
        <v>13.55</v>
      </c>
      <c r="I101" s="64">
        <v>1.84</v>
      </c>
      <c r="J101" s="64">
        <v>0.24</v>
      </c>
      <c r="K101" s="64">
        <v>139.91999999999999</v>
      </c>
      <c r="L101" s="64">
        <v>24.99</v>
      </c>
      <c r="M101" s="64">
        <v>87.97</v>
      </c>
      <c r="N101" s="64">
        <v>40</v>
      </c>
      <c r="O101" s="64">
        <v>0</v>
      </c>
      <c r="P101" s="64">
        <v>0.51</v>
      </c>
      <c r="Q101" s="64">
        <v>9.07</v>
      </c>
      <c r="R101" s="198"/>
      <c r="S101" s="198"/>
      <c r="T101" s="198"/>
      <c r="U101" s="198"/>
    </row>
    <row r="102" spans="1:33" s="12" customFormat="1" x14ac:dyDescent="0.25">
      <c r="A102" s="211" t="s">
        <v>2549</v>
      </c>
      <c r="B102" s="64">
        <v>7.69</v>
      </c>
      <c r="C102" s="64">
        <v>15.3</v>
      </c>
      <c r="D102" s="64">
        <v>14.16</v>
      </c>
      <c r="E102" s="64">
        <v>7.16</v>
      </c>
      <c r="F102" s="64">
        <v>2.1</v>
      </c>
      <c r="G102" s="64">
        <v>61.46</v>
      </c>
      <c r="H102" s="64">
        <v>13.55</v>
      </c>
      <c r="I102" s="64">
        <v>1.84</v>
      </c>
      <c r="J102" s="64">
        <v>0.53</v>
      </c>
      <c r="K102" s="64">
        <v>128.87</v>
      </c>
      <c r="L102" s="64">
        <v>24.94</v>
      </c>
      <c r="M102" s="64">
        <v>89.08</v>
      </c>
      <c r="N102" s="64">
        <v>39.9</v>
      </c>
      <c r="O102" s="64">
        <v>0</v>
      </c>
      <c r="P102" s="64">
        <v>0.51</v>
      </c>
      <c r="Q102" s="64">
        <v>9.07</v>
      </c>
      <c r="R102" s="198"/>
      <c r="S102" s="198"/>
      <c r="T102" s="198"/>
      <c r="U102" s="198"/>
    </row>
    <row r="103" spans="1:33" s="12" customFormat="1" x14ac:dyDescent="0.25">
      <c r="A103" s="211" t="s">
        <v>2550</v>
      </c>
      <c r="B103" s="64">
        <v>6.25</v>
      </c>
      <c r="C103" s="64">
        <v>13.75</v>
      </c>
      <c r="D103" s="64">
        <v>12.2</v>
      </c>
      <c r="E103" s="64">
        <v>7.29</v>
      </c>
      <c r="F103" s="64">
        <v>2.58</v>
      </c>
      <c r="G103" s="64">
        <v>61.46</v>
      </c>
      <c r="H103" s="64">
        <v>13.55</v>
      </c>
      <c r="I103" s="64">
        <v>1.82</v>
      </c>
      <c r="J103" s="64">
        <v>0.27</v>
      </c>
      <c r="K103" s="64">
        <v>118.97</v>
      </c>
      <c r="L103" s="64">
        <v>25.03</v>
      </c>
      <c r="M103" s="64">
        <v>88.37</v>
      </c>
      <c r="N103" s="64">
        <v>39.9</v>
      </c>
      <c r="O103" s="64">
        <v>0</v>
      </c>
      <c r="P103" s="64">
        <v>0.41</v>
      </c>
      <c r="Q103" s="64">
        <v>9.07</v>
      </c>
      <c r="R103" s="198"/>
      <c r="S103" s="198"/>
      <c r="T103" s="198"/>
      <c r="U103" s="198"/>
    </row>
    <row r="104" spans="1:33" s="12" customFormat="1" x14ac:dyDescent="0.25">
      <c r="A104" s="211" t="s">
        <v>2551</v>
      </c>
      <c r="B104" s="64">
        <v>5.89</v>
      </c>
      <c r="C104" s="64">
        <v>13.2</v>
      </c>
      <c r="D104" s="64">
        <v>11.62</v>
      </c>
      <c r="E104" s="64">
        <v>6.18</v>
      </c>
      <c r="F104" s="64">
        <v>2.1</v>
      </c>
      <c r="G104" s="64">
        <v>61.46</v>
      </c>
      <c r="H104" s="64">
        <v>13.55</v>
      </c>
      <c r="I104" s="64">
        <v>1.82</v>
      </c>
      <c r="J104" s="64">
        <v>0.36</v>
      </c>
      <c r="K104" s="64">
        <v>113.77</v>
      </c>
      <c r="L104" s="64">
        <v>25.02</v>
      </c>
      <c r="M104" s="64">
        <v>88.31</v>
      </c>
      <c r="N104" s="64">
        <v>40</v>
      </c>
      <c r="O104" s="64">
        <v>0</v>
      </c>
      <c r="P104" s="64">
        <v>0.43</v>
      </c>
      <c r="Q104" s="64">
        <v>9.06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4.83</v>
      </c>
      <c r="C106" s="67">
        <f>MIN(C9:C104)</f>
        <v>7.49</v>
      </c>
      <c r="D106" s="67">
        <f t="shared" ref="D106:Q106" si="0">MIN(D9:D104)</f>
        <v>9.66</v>
      </c>
      <c r="E106" s="67">
        <f t="shared" si="0"/>
        <v>3.81</v>
      </c>
      <c r="F106" s="67">
        <f t="shared" si="0"/>
        <v>2.1</v>
      </c>
      <c r="G106" s="67">
        <f t="shared" si="0"/>
        <v>16.07</v>
      </c>
      <c r="H106" s="67">
        <f t="shared" si="0"/>
        <v>11.96</v>
      </c>
      <c r="I106" s="67">
        <f t="shared" si="0"/>
        <v>0.74</v>
      </c>
      <c r="J106" s="67">
        <f t="shared" si="0"/>
        <v>0</v>
      </c>
      <c r="K106" s="67">
        <f t="shared" si="0"/>
        <v>107.62</v>
      </c>
      <c r="L106" s="67">
        <f t="shared" si="0"/>
        <v>21.79</v>
      </c>
      <c r="M106" s="67">
        <f t="shared" si="0"/>
        <v>51.18</v>
      </c>
      <c r="N106" s="67">
        <f t="shared" si="0"/>
        <v>39.6</v>
      </c>
      <c r="O106" s="67">
        <f t="shared" si="0"/>
        <v>0</v>
      </c>
      <c r="P106" s="67">
        <f t="shared" si="0"/>
        <v>0.19</v>
      </c>
      <c r="Q106" s="67">
        <f t="shared" si="0"/>
        <v>8.9600000000000009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21.4</v>
      </c>
      <c r="C107" s="66">
        <f t="shared" ref="C107:Q107" si="1">MAX(C9:C104)</f>
        <v>32.83</v>
      </c>
      <c r="D107" s="66">
        <f t="shared" si="1"/>
        <v>34.31</v>
      </c>
      <c r="E107" s="66">
        <f t="shared" si="1"/>
        <v>9.7200000000000006</v>
      </c>
      <c r="F107" s="66">
        <f t="shared" si="1"/>
        <v>10.98</v>
      </c>
      <c r="G107" s="66">
        <f t="shared" si="1"/>
        <v>80.790000000000006</v>
      </c>
      <c r="H107" s="66">
        <f t="shared" si="1"/>
        <v>17.7</v>
      </c>
      <c r="I107" s="66">
        <f t="shared" si="1"/>
        <v>1.86</v>
      </c>
      <c r="J107" s="66">
        <f t="shared" si="1"/>
        <v>1.01</v>
      </c>
      <c r="K107" s="66">
        <f t="shared" si="1"/>
        <v>351.6</v>
      </c>
      <c r="L107" s="66">
        <f t="shared" si="1"/>
        <v>31.23</v>
      </c>
      <c r="M107" s="66">
        <f t="shared" si="1"/>
        <v>97.92</v>
      </c>
      <c r="N107" s="66">
        <f t="shared" si="1"/>
        <v>891.3</v>
      </c>
      <c r="O107" s="66">
        <f t="shared" si="1"/>
        <v>0</v>
      </c>
      <c r="P107" s="66">
        <f t="shared" si="1"/>
        <v>1.33</v>
      </c>
      <c r="Q107" s="66">
        <f t="shared" si="1"/>
        <v>9.1300000000000008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8.1085416666666692</v>
      </c>
      <c r="C108" s="67">
        <f t="shared" ref="C108:Q108" si="2">AVERAGE(C9:C104)</f>
        <v>14.878854166666668</v>
      </c>
      <c r="D108" s="67">
        <f t="shared" si="2"/>
        <v>14.274895833333332</v>
      </c>
      <c r="E108" s="67">
        <f t="shared" si="2"/>
        <v>5.9868749999999986</v>
      </c>
      <c r="F108" s="67">
        <f t="shared" si="2"/>
        <v>3.791875000000001</v>
      </c>
      <c r="G108" s="67">
        <f t="shared" si="2"/>
        <v>46.006250000000044</v>
      </c>
      <c r="H108" s="67">
        <f t="shared" si="2"/>
        <v>13.975833333333329</v>
      </c>
      <c r="I108" s="67">
        <f t="shared" si="2"/>
        <v>1.4542708333333325</v>
      </c>
      <c r="J108" s="67">
        <f t="shared" si="2"/>
        <v>0.30979166666666663</v>
      </c>
      <c r="K108" s="67">
        <f t="shared" si="2"/>
        <v>198.14947916666668</v>
      </c>
      <c r="L108" s="67">
        <f t="shared" si="2"/>
        <v>26.344062500000007</v>
      </c>
      <c r="M108" s="67">
        <f t="shared" si="2"/>
        <v>76.24708333333335</v>
      </c>
      <c r="N108" s="67">
        <f t="shared" si="2"/>
        <v>203.25000000000009</v>
      </c>
      <c r="O108" s="67">
        <f t="shared" si="2"/>
        <v>0</v>
      </c>
      <c r="P108" s="67">
        <f t="shared" si="2"/>
        <v>0.43958333333333338</v>
      </c>
      <c r="Q108" s="67">
        <f t="shared" si="2"/>
        <v>9.0400000000000009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2.8389230645909764</v>
      </c>
      <c r="C109" s="67">
        <f t="shared" ref="C109:Q109" si="3">STDEV(C9:C104)</f>
        <v>5.6545941954618462</v>
      </c>
      <c r="D109" s="67">
        <f t="shared" si="3"/>
        <v>4.0674510302856621</v>
      </c>
      <c r="E109" s="67">
        <f t="shared" si="3"/>
        <v>1.5685711315515349</v>
      </c>
      <c r="F109" s="67">
        <f t="shared" si="3"/>
        <v>2.1889402927588395</v>
      </c>
      <c r="G109" s="67">
        <f t="shared" si="3"/>
        <v>15.55118166097447</v>
      </c>
      <c r="H109" s="67">
        <f t="shared" si="3"/>
        <v>1.3571143276252058</v>
      </c>
      <c r="I109" s="67">
        <f t="shared" si="3"/>
        <v>0.37214808821409484</v>
      </c>
      <c r="J109" s="67">
        <f t="shared" si="3"/>
        <v>0.2438333303354081</v>
      </c>
      <c r="K109" s="67">
        <f t="shared" si="3"/>
        <v>93.13159993279227</v>
      </c>
      <c r="L109" s="67">
        <f t="shared" si="3"/>
        <v>2.9385727212641135</v>
      </c>
      <c r="M109" s="67">
        <f t="shared" si="3"/>
        <v>16.873816210590014</v>
      </c>
      <c r="N109" s="67">
        <f t="shared" si="3"/>
        <v>263.06459442902076</v>
      </c>
      <c r="O109" s="67">
        <f t="shared" si="3"/>
        <v>0</v>
      </c>
      <c r="P109" s="67">
        <f t="shared" si="3"/>
        <v>0.17359309146250274</v>
      </c>
      <c r="Q109" s="67">
        <f t="shared" si="3"/>
        <v>4.2525534125176859E-2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22" sqref="I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2552</v>
      </c>
      <c r="B9" s="64">
        <v>6.28</v>
      </c>
      <c r="C9" s="64">
        <v>12.61</v>
      </c>
      <c r="D9" s="64">
        <v>11.62</v>
      </c>
      <c r="E9" s="64">
        <v>5.94</v>
      </c>
      <c r="F9" s="64">
        <v>2.1</v>
      </c>
      <c r="G9" s="64">
        <v>57.68</v>
      </c>
      <c r="H9" s="64">
        <v>13.44</v>
      </c>
      <c r="I9" s="64">
        <v>1.81</v>
      </c>
      <c r="J9" s="64">
        <v>0.4</v>
      </c>
      <c r="K9" s="64">
        <v>112.34</v>
      </c>
      <c r="L9" s="64">
        <v>25.05</v>
      </c>
      <c r="M9" s="64">
        <v>87.95</v>
      </c>
      <c r="N9" s="64">
        <v>40</v>
      </c>
      <c r="O9" s="64">
        <v>0</v>
      </c>
      <c r="P9" s="64">
        <v>0.41</v>
      </c>
      <c r="Q9" s="64">
        <v>9.06</v>
      </c>
      <c r="R9" s="198"/>
      <c r="S9" s="198"/>
      <c r="T9" s="198"/>
      <c r="U9" s="198"/>
    </row>
    <row r="10" spans="1:21" s="12" customFormat="1" x14ac:dyDescent="0.25">
      <c r="A10" s="211" t="s">
        <v>2553</v>
      </c>
      <c r="B10" s="64">
        <v>5.78</v>
      </c>
      <c r="C10" s="64">
        <v>13.86</v>
      </c>
      <c r="D10" s="64">
        <v>11.88</v>
      </c>
      <c r="E10" s="64">
        <v>5.98</v>
      </c>
      <c r="F10" s="64">
        <v>3.34</v>
      </c>
      <c r="G10" s="64">
        <v>56.67</v>
      </c>
      <c r="H10" s="64">
        <v>13.44</v>
      </c>
      <c r="I10" s="64">
        <v>1.79</v>
      </c>
      <c r="J10" s="64">
        <v>0.36</v>
      </c>
      <c r="K10" s="64">
        <v>128.13</v>
      </c>
      <c r="L10" s="64">
        <v>24.92</v>
      </c>
      <c r="M10" s="64">
        <v>89.99</v>
      </c>
      <c r="N10" s="64">
        <v>40.200000000000003</v>
      </c>
      <c r="O10" s="64">
        <v>0</v>
      </c>
      <c r="P10" s="64">
        <v>0.39</v>
      </c>
      <c r="Q10" s="64">
        <v>9.07</v>
      </c>
      <c r="R10" s="198"/>
      <c r="S10" s="198"/>
      <c r="T10" s="198"/>
      <c r="U10" s="198"/>
    </row>
    <row r="11" spans="1:21" s="12" customFormat="1" x14ac:dyDescent="0.25">
      <c r="A11" s="211" t="s">
        <v>2554</v>
      </c>
      <c r="B11" s="64">
        <v>5.88</v>
      </c>
      <c r="C11" s="64">
        <v>12.9</v>
      </c>
      <c r="D11" s="64">
        <v>11.46</v>
      </c>
      <c r="E11" s="64">
        <v>5.73</v>
      </c>
      <c r="F11" s="64">
        <v>3.42</v>
      </c>
      <c r="G11" s="64">
        <v>56.67</v>
      </c>
      <c r="H11" s="64">
        <v>13.44</v>
      </c>
      <c r="I11" s="64">
        <v>1.78</v>
      </c>
      <c r="J11" s="64">
        <v>0.39</v>
      </c>
      <c r="K11" s="64">
        <v>130.6</v>
      </c>
      <c r="L11" s="64">
        <v>24.84</v>
      </c>
      <c r="M11" s="64">
        <v>90.11</v>
      </c>
      <c r="N11" s="64">
        <v>40</v>
      </c>
      <c r="O11" s="64">
        <v>0</v>
      </c>
      <c r="P11" s="64">
        <v>0.38</v>
      </c>
      <c r="Q11" s="64">
        <v>9.08</v>
      </c>
      <c r="R11" s="198"/>
      <c r="S11" s="198"/>
      <c r="T11" s="198"/>
      <c r="U11" s="198"/>
    </row>
    <row r="12" spans="1:21" s="12" customFormat="1" x14ac:dyDescent="0.25">
      <c r="A12" s="211" t="s">
        <v>2555</v>
      </c>
      <c r="B12" s="64">
        <v>5.79</v>
      </c>
      <c r="C12" s="64">
        <v>11.08</v>
      </c>
      <c r="D12" s="64">
        <v>10.43</v>
      </c>
      <c r="E12" s="64">
        <v>6.05</v>
      </c>
      <c r="F12" s="64">
        <v>4.51</v>
      </c>
      <c r="G12" s="64">
        <v>56.67</v>
      </c>
      <c r="H12" s="64">
        <v>13.44</v>
      </c>
      <c r="I12" s="64">
        <v>1.78</v>
      </c>
      <c r="J12" s="64">
        <v>0.39</v>
      </c>
      <c r="K12" s="64">
        <v>133.22</v>
      </c>
      <c r="L12" s="64">
        <v>24.81</v>
      </c>
      <c r="M12" s="64">
        <v>90.24</v>
      </c>
      <c r="N12" s="64">
        <v>40</v>
      </c>
      <c r="O12" s="64">
        <v>0</v>
      </c>
      <c r="P12" s="64">
        <v>0.37</v>
      </c>
      <c r="Q12" s="64">
        <v>9.07</v>
      </c>
      <c r="R12" s="198"/>
      <c r="S12" s="198"/>
      <c r="T12" s="198"/>
      <c r="U12" s="198"/>
    </row>
    <row r="13" spans="1:21" s="12" customFormat="1" x14ac:dyDescent="0.25">
      <c r="A13" s="211" t="s">
        <v>2556</v>
      </c>
      <c r="B13" s="64">
        <v>5.63</v>
      </c>
      <c r="C13" s="64">
        <v>10.36</v>
      </c>
      <c r="D13" s="64">
        <v>9.93</v>
      </c>
      <c r="E13" s="64">
        <v>5.86</v>
      </c>
      <c r="F13" s="64">
        <v>3.29</v>
      </c>
      <c r="G13" s="64">
        <v>45.77</v>
      </c>
      <c r="H13" s="64">
        <v>15.63</v>
      </c>
      <c r="I13" s="64">
        <v>1.77</v>
      </c>
      <c r="J13" s="64">
        <v>0.01</v>
      </c>
      <c r="K13" s="64">
        <v>93.4</v>
      </c>
      <c r="L13" s="64">
        <v>24.72</v>
      </c>
      <c r="M13" s="64">
        <v>91.6</v>
      </c>
      <c r="N13" s="64">
        <v>40.299999999999997</v>
      </c>
      <c r="O13" s="64">
        <v>0</v>
      </c>
      <c r="P13" s="64">
        <v>0.33</v>
      </c>
      <c r="Q13" s="64">
        <v>9.07</v>
      </c>
      <c r="R13" s="198"/>
      <c r="S13" s="198"/>
      <c r="T13" s="198"/>
      <c r="U13" s="198"/>
    </row>
    <row r="14" spans="1:21" s="12" customFormat="1" x14ac:dyDescent="0.25">
      <c r="A14" s="211" t="s">
        <v>2557</v>
      </c>
      <c r="B14" s="64">
        <v>5.69</v>
      </c>
      <c r="C14" s="64">
        <v>10.11</v>
      </c>
      <c r="D14" s="64">
        <v>9.84</v>
      </c>
      <c r="E14" s="64">
        <v>5.76</v>
      </c>
      <c r="F14" s="64">
        <v>3.83</v>
      </c>
      <c r="G14" s="64">
        <v>42.86</v>
      </c>
      <c r="H14" s="64">
        <v>15.63</v>
      </c>
      <c r="I14" s="64">
        <v>1.77</v>
      </c>
      <c r="J14" s="64">
        <v>0.32</v>
      </c>
      <c r="K14" s="64">
        <v>116.87</v>
      </c>
      <c r="L14" s="64">
        <v>24.62</v>
      </c>
      <c r="M14" s="64">
        <v>91.43</v>
      </c>
      <c r="N14" s="64">
        <v>40.1</v>
      </c>
      <c r="O14" s="64">
        <v>0</v>
      </c>
      <c r="P14" s="64">
        <v>0.35</v>
      </c>
      <c r="Q14" s="64">
        <v>9.08</v>
      </c>
      <c r="R14" s="198"/>
      <c r="S14" s="198"/>
      <c r="T14" s="198"/>
      <c r="U14" s="198"/>
    </row>
    <row r="15" spans="1:21" s="12" customFormat="1" x14ac:dyDescent="0.25">
      <c r="A15" s="211" t="s">
        <v>2558</v>
      </c>
      <c r="B15" s="64">
        <v>5.71</v>
      </c>
      <c r="C15" s="64">
        <v>9.56</v>
      </c>
      <c r="D15" s="64">
        <v>9.58</v>
      </c>
      <c r="E15" s="64">
        <v>5.62</v>
      </c>
      <c r="F15" s="64">
        <v>4.32</v>
      </c>
      <c r="G15" s="64">
        <v>42.86</v>
      </c>
      <c r="H15" s="64">
        <v>15.63</v>
      </c>
      <c r="I15" s="64">
        <v>1.76</v>
      </c>
      <c r="J15" s="64">
        <v>0.37</v>
      </c>
      <c r="K15" s="64">
        <v>126.72</v>
      </c>
      <c r="L15" s="64">
        <v>24.66</v>
      </c>
      <c r="M15" s="64">
        <v>90.99</v>
      </c>
      <c r="N15" s="64">
        <v>40.1</v>
      </c>
      <c r="O15" s="64">
        <v>0</v>
      </c>
      <c r="P15" s="64">
        <v>0.32</v>
      </c>
      <c r="Q15" s="64">
        <v>9.08</v>
      </c>
      <c r="R15" s="198"/>
      <c r="S15" s="198"/>
      <c r="T15" s="198"/>
      <c r="U15" s="198"/>
    </row>
    <row r="16" spans="1:21" s="12" customFormat="1" x14ac:dyDescent="0.25">
      <c r="A16" s="211" t="s">
        <v>2559</v>
      </c>
      <c r="B16" s="64">
        <v>5.7</v>
      </c>
      <c r="C16" s="64">
        <v>9.4</v>
      </c>
      <c r="D16" s="64">
        <v>9.48</v>
      </c>
      <c r="E16" s="64">
        <v>5.55</v>
      </c>
      <c r="F16" s="64">
        <v>3.54</v>
      </c>
      <c r="G16" s="64">
        <v>42.86</v>
      </c>
      <c r="H16" s="64">
        <v>15.63</v>
      </c>
      <c r="I16" s="64">
        <v>1.87</v>
      </c>
      <c r="J16" s="64">
        <v>0.39</v>
      </c>
      <c r="K16" s="64">
        <v>122.61</v>
      </c>
      <c r="L16" s="64">
        <v>24.55</v>
      </c>
      <c r="M16" s="64">
        <v>91.86</v>
      </c>
      <c r="N16" s="64">
        <v>40.1</v>
      </c>
      <c r="O16" s="64">
        <v>0</v>
      </c>
      <c r="P16" s="64">
        <v>0.32</v>
      </c>
      <c r="Q16" s="64">
        <v>9.08</v>
      </c>
      <c r="R16" s="198"/>
      <c r="S16" s="198"/>
      <c r="T16" s="198"/>
      <c r="U16" s="198"/>
    </row>
    <row r="17" spans="1:21" s="12" customFormat="1" x14ac:dyDescent="0.25">
      <c r="A17" s="211" t="s">
        <v>2560</v>
      </c>
      <c r="B17" s="64">
        <v>5.72</v>
      </c>
      <c r="C17" s="64">
        <v>11.19</v>
      </c>
      <c r="D17" s="64">
        <v>10.43</v>
      </c>
      <c r="E17" s="64">
        <v>5.45</v>
      </c>
      <c r="F17" s="64">
        <v>2.54</v>
      </c>
      <c r="G17" s="64">
        <v>42.73</v>
      </c>
      <c r="H17" s="64">
        <v>14.84</v>
      </c>
      <c r="I17" s="64">
        <v>1.94</v>
      </c>
      <c r="J17" s="64">
        <v>0.19</v>
      </c>
      <c r="K17" s="64">
        <v>135.83000000000001</v>
      </c>
      <c r="L17" s="64">
        <v>24.52</v>
      </c>
      <c r="M17" s="64">
        <v>92.26</v>
      </c>
      <c r="N17" s="64">
        <v>40.1</v>
      </c>
      <c r="O17" s="64">
        <v>0</v>
      </c>
      <c r="P17" s="64">
        <v>0.32</v>
      </c>
      <c r="Q17" s="64">
        <v>9.07</v>
      </c>
      <c r="R17" s="198"/>
      <c r="S17" s="198"/>
      <c r="T17" s="198"/>
      <c r="U17" s="198"/>
    </row>
    <row r="18" spans="1:21" s="12" customFormat="1" x14ac:dyDescent="0.25">
      <c r="A18" s="211" t="s">
        <v>2561</v>
      </c>
      <c r="B18" s="64">
        <v>6.35</v>
      </c>
      <c r="C18" s="64">
        <v>10.09</v>
      </c>
      <c r="D18" s="64">
        <v>10.36</v>
      </c>
      <c r="E18" s="64">
        <v>5.73</v>
      </c>
      <c r="F18" s="64">
        <v>2.15</v>
      </c>
      <c r="G18" s="64">
        <v>42.7</v>
      </c>
      <c r="H18" s="64">
        <v>14.84</v>
      </c>
      <c r="I18" s="64">
        <v>1.92</v>
      </c>
      <c r="J18" s="64">
        <v>0.28000000000000003</v>
      </c>
      <c r="K18" s="64">
        <v>113.14</v>
      </c>
      <c r="L18" s="64">
        <v>24.52</v>
      </c>
      <c r="M18" s="64">
        <v>91.38</v>
      </c>
      <c r="N18" s="64">
        <v>40.1</v>
      </c>
      <c r="O18" s="64">
        <v>0</v>
      </c>
      <c r="P18" s="64">
        <v>0.39</v>
      </c>
      <c r="Q18" s="64">
        <v>9.08</v>
      </c>
      <c r="R18" s="198"/>
      <c r="S18" s="198"/>
      <c r="T18" s="198"/>
      <c r="U18" s="198"/>
    </row>
    <row r="19" spans="1:21" s="12" customFormat="1" x14ac:dyDescent="0.25">
      <c r="A19" s="211" t="s">
        <v>2562</v>
      </c>
      <c r="B19" s="64">
        <v>6.63</v>
      </c>
      <c r="C19" s="64">
        <v>9.5399999999999991</v>
      </c>
      <c r="D19" s="64">
        <v>10.3</v>
      </c>
      <c r="E19" s="64">
        <v>5.49</v>
      </c>
      <c r="F19" s="64">
        <v>2.1</v>
      </c>
      <c r="G19" s="64">
        <v>42.7</v>
      </c>
      <c r="H19" s="64">
        <v>14.84</v>
      </c>
      <c r="I19" s="64">
        <v>1.9</v>
      </c>
      <c r="J19" s="64">
        <v>0.4</v>
      </c>
      <c r="K19" s="64">
        <v>117.05</v>
      </c>
      <c r="L19" s="64">
        <v>24.49</v>
      </c>
      <c r="M19" s="64">
        <v>91.64</v>
      </c>
      <c r="N19" s="64">
        <v>40.1</v>
      </c>
      <c r="O19" s="64">
        <v>0</v>
      </c>
      <c r="P19" s="64">
        <v>0.34</v>
      </c>
      <c r="Q19" s="64">
        <v>9.06</v>
      </c>
      <c r="R19" s="198"/>
      <c r="S19" s="198"/>
      <c r="T19" s="198"/>
      <c r="U19" s="198"/>
    </row>
    <row r="20" spans="1:21" s="12" customFormat="1" x14ac:dyDescent="0.25">
      <c r="A20" s="211" t="s">
        <v>2563</v>
      </c>
      <c r="B20" s="64">
        <v>5.88</v>
      </c>
      <c r="C20" s="64">
        <v>10.52</v>
      </c>
      <c r="D20" s="64">
        <v>10.220000000000001</v>
      </c>
      <c r="E20" s="64">
        <v>5.62</v>
      </c>
      <c r="F20" s="64">
        <v>2.1</v>
      </c>
      <c r="G20" s="64">
        <v>42.7</v>
      </c>
      <c r="H20" s="64">
        <v>14.84</v>
      </c>
      <c r="I20" s="64">
        <v>1.74</v>
      </c>
      <c r="J20" s="64">
        <v>0.21</v>
      </c>
      <c r="K20" s="64">
        <v>133.27000000000001</v>
      </c>
      <c r="L20" s="64">
        <v>24.39</v>
      </c>
      <c r="M20" s="64">
        <v>92.76</v>
      </c>
      <c r="N20" s="64">
        <v>40.1</v>
      </c>
      <c r="O20" s="64">
        <v>0</v>
      </c>
      <c r="P20" s="64">
        <v>0.31</v>
      </c>
      <c r="Q20" s="64">
        <v>9.0500000000000007</v>
      </c>
      <c r="R20" s="198"/>
      <c r="S20" s="198"/>
      <c r="T20" s="198"/>
      <c r="U20" s="198"/>
    </row>
    <row r="21" spans="1:21" s="12" customFormat="1" x14ac:dyDescent="0.25">
      <c r="A21" s="211" t="s">
        <v>2564</v>
      </c>
      <c r="B21" s="64">
        <v>5.58</v>
      </c>
      <c r="C21" s="64">
        <v>11.23</v>
      </c>
      <c r="D21" s="64">
        <v>10.34</v>
      </c>
      <c r="E21" s="64">
        <v>5.38</v>
      </c>
      <c r="F21" s="64">
        <v>2.12</v>
      </c>
      <c r="G21" s="64">
        <v>39.130000000000003</v>
      </c>
      <c r="H21" s="64">
        <v>14.34</v>
      </c>
      <c r="I21" s="64">
        <v>1.62</v>
      </c>
      <c r="J21" s="64">
        <v>0.1</v>
      </c>
      <c r="K21" s="64">
        <v>114.28</v>
      </c>
      <c r="L21" s="64">
        <v>24.32</v>
      </c>
      <c r="M21" s="64">
        <v>93.77</v>
      </c>
      <c r="N21" s="64">
        <v>40.1</v>
      </c>
      <c r="O21" s="64">
        <v>0</v>
      </c>
      <c r="P21" s="64">
        <v>0.28000000000000003</v>
      </c>
      <c r="Q21" s="64">
        <v>9.0500000000000007</v>
      </c>
      <c r="R21" s="198"/>
      <c r="S21" s="198"/>
      <c r="T21" s="198"/>
      <c r="U21" s="198"/>
    </row>
    <row r="22" spans="1:21" s="12" customFormat="1" x14ac:dyDescent="0.25">
      <c r="A22" s="211" t="s">
        <v>2565</v>
      </c>
      <c r="B22" s="64">
        <v>5.31</v>
      </c>
      <c r="C22" s="64">
        <v>12.92</v>
      </c>
      <c r="D22" s="64">
        <v>11.01</v>
      </c>
      <c r="E22" s="64">
        <v>5.25</v>
      </c>
      <c r="F22" s="64">
        <v>2.1</v>
      </c>
      <c r="G22" s="64">
        <v>38.18</v>
      </c>
      <c r="H22" s="64">
        <v>14.34</v>
      </c>
      <c r="I22" s="64">
        <v>1.69</v>
      </c>
      <c r="J22" s="64">
        <v>0.13</v>
      </c>
      <c r="K22" s="64">
        <v>128.96</v>
      </c>
      <c r="L22" s="64">
        <v>24.22</v>
      </c>
      <c r="M22" s="64">
        <v>95.46</v>
      </c>
      <c r="N22" s="64">
        <v>40.1</v>
      </c>
      <c r="O22" s="64">
        <v>0</v>
      </c>
      <c r="P22" s="64">
        <v>0.28999999999999998</v>
      </c>
      <c r="Q22" s="64">
        <v>9.0299999999999994</v>
      </c>
      <c r="R22" s="198"/>
      <c r="S22" s="198"/>
      <c r="T22" s="198"/>
      <c r="U22" s="198"/>
    </row>
    <row r="23" spans="1:21" s="12" customFormat="1" x14ac:dyDescent="0.25">
      <c r="A23" s="211" t="s">
        <v>2566</v>
      </c>
      <c r="B23" s="64">
        <v>6.91</v>
      </c>
      <c r="C23" s="64">
        <v>11.74</v>
      </c>
      <c r="D23" s="64">
        <v>11.68</v>
      </c>
      <c r="E23" s="64">
        <v>5.3</v>
      </c>
      <c r="F23" s="64">
        <v>2.1</v>
      </c>
      <c r="G23" s="64">
        <v>38.18</v>
      </c>
      <c r="H23" s="64">
        <v>14.34</v>
      </c>
      <c r="I23" s="64">
        <v>1.64</v>
      </c>
      <c r="J23" s="64">
        <v>7.0000000000000007E-2</v>
      </c>
      <c r="K23" s="64">
        <v>348.78</v>
      </c>
      <c r="L23" s="64">
        <v>24.09</v>
      </c>
      <c r="M23" s="64">
        <v>97.38</v>
      </c>
      <c r="N23" s="64">
        <v>40.200000000000003</v>
      </c>
      <c r="O23" s="64">
        <v>0</v>
      </c>
      <c r="P23" s="64">
        <v>0.37</v>
      </c>
      <c r="Q23" s="64">
        <v>9.0299999999999994</v>
      </c>
      <c r="R23" s="198"/>
      <c r="S23" s="198"/>
      <c r="T23" s="198"/>
      <c r="U23" s="198"/>
    </row>
    <row r="24" spans="1:21" s="12" customFormat="1" x14ac:dyDescent="0.25">
      <c r="A24" s="211" t="s">
        <v>2567</v>
      </c>
      <c r="B24" s="64">
        <v>9.61</v>
      </c>
      <c r="C24" s="64">
        <v>13.75</v>
      </c>
      <c r="D24" s="64">
        <v>14.89</v>
      </c>
      <c r="E24" s="64">
        <v>5.26</v>
      </c>
      <c r="F24" s="64">
        <v>2.1</v>
      </c>
      <c r="G24" s="64">
        <v>38.18</v>
      </c>
      <c r="H24" s="64">
        <v>14.34</v>
      </c>
      <c r="I24" s="64">
        <v>1.54</v>
      </c>
      <c r="J24" s="64">
        <v>7.0000000000000007E-2</v>
      </c>
      <c r="K24" s="64">
        <v>76.2</v>
      </c>
      <c r="L24" s="64">
        <v>24.11</v>
      </c>
      <c r="M24" s="64">
        <v>96.09</v>
      </c>
      <c r="N24" s="64">
        <v>40</v>
      </c>
      <c r="O24" s="64">
        <v>0</v>
      </c>
      <c r="P24" s="64">
        <v>0.33</v>
      </c>
      <c r="Q24" s="64">
        <v>9.02</v>
      </c>
      <c r="R24" s="198"/>
      <c r="S24" s="198"/>
      <c r="T24" s="198"/>
      <c r="U24" s="198"/>
    </row>
    <row r="25" spans="1:21" s="12" customFormat="1" x14ac:dyDescent="0.25">
      <c r="A25" s="211" t="s">
        <v>2568</v>
      </c>
      <c r="B25" s="64">
        <v>9.56</v>
      </c>
      <c r="C25" s="64">
        <v>17.57</v>
      </c>
      <c r="D25" s="64">
        <v>16.84</v>
      </c>
      <c r="E25" s="64">
        <v>5.17</v>
      </c>
      <c r="F25" s="64">
        <v>2.1</v>
      </c>
      <c r="G25" s="64">
        <v>40.4</v>
      </c>
      <c r="H25" s="64">
        <v>13.61</v>
      </c>
      <c r="I25" s="64">
        <v>1.52</v>
      </c>
      <c r="J25" s="64">
        <v>0.09</v>
      </c>
      <c r="K25" s="64">
        <v>213</v>
      </c>
      <c r="L25" s="64">
        <v>24.11</v>
      </c>
      <c r="M25" s="64">
        <v>96.61</v>
      </c>
      <c r="N25" s="64">
        <v>40</v>
      </c>
      <c r="O25" s="64">
        <v>0</v>
      </c>
      <c r="P25" s="64">
        <v>0.35</v>
      </c>
      <c r="Q25" s="64">
        <v>9.02</v>
      </c>
      <c r="R25" s="198"/>
      <c r="S25" s="198"/>
      <c r="T25" s="198"/>
      <c r="U25" s="198"/>
    </row>
    <row r="26" spans="1:21" s="12" customFormat="1" x14ac:dyDescent="0.25">
      <c r="A26" s="211" t="s">
        <v>2569</v>
      </c>
      <c r="B26" s="64">
        <v>6.48</v>
      </c>
      <c r="C26" s="64">
        <v>14.04</v>
      </c>
      <c r="D26" s="64">
        <v>12.53</v>
      </c>
      <c r="E26" s="64">
        <v>5.14</v>
      </c>
      <c r="F26" s="64">
        <v>2.78</v>
      </c>
      <c r="G26" s="64">
        <v>41</v>
      </c>
      <c r="H26" s="64">
        <v>13.61</v>
      </c>
      <c r="I26" s="64">
        <v>1.61</v>
      </c>
      <c r="J26" s="64">
        <v>0.17</v>
      </c>
      <c r="K26" s="64">
        <v>197.42</v>
      </c>
      <c r="L26" s="64">
        <v>24.16</v>
      </c>
      <c r="M26" s="64">
        <v>95.24</v>
      </c>
      <c r="N26" s="64">
        <v>40</v>
      </c>
      <c r="O26" s="64">
        <v>0</v>
      </c>
      <c r="P26" s="64">
        <v>0.3</v>
      </c>
      <c r="Q26" s="64">
        <v>9.0299999999999994</v>
      </c>
      <c r="R26" s="198"/>
      <c r="S26" s="198"/>
      <c r="T26" s="198"/>
      <c r="U26" s="198"/>
    </row>
    <row r="27" spans="1:21" s="12" customFormat="1" x14ac:dyDescent="0.25">
      <c r="A27" s="211" t="s">
        <v>2570</v>
      </c>
      <c r="B27" s="64">
        <v>6.72</v>
      </c>
      <c r="C27" s="64">
        <v>11.52</v>
      </c>
      <c r="D27" s="64">
        <v>11.41</v>
      </c>
      <c r="E27" s="64">
        <v>4.9400000000000004</v>
      </c>
      <c r="F27" s="64">
        <v>2.1</v>
      </c>
      <c r="G27" s="64">
        <v>41</v>
      </c>
      <c r="H27" s="64">
        <v>13.61</v>
      </c>
      <c r="I27" s="64">
        <v>1.68</v>
      </c>
      <c r="J27" s="64">
        <v>0.14000000000000001</v>
      </c>
      <c r="K27" s="64">
        <v>127.15</v>
      </c>
      <c r="L27" s="64">
        <v>24.14</v>
      </c>
      <c r="M27" s="64">
        <v>95.25</v>
      </c>
      <c r="N27" s="64">
        <v>40.1</v>
      </c>
      <c r="O27" s="64">
        <v>0</v>
      </c>
      <c r="P27" s="64">
        <v>0.35</v>
      </c>
      <c r="Q27" s="64">
        <v>9.02</v>
      </c>
      <c r="R27" s="198"/>
      <c r="S27" s="198"/>
      <c r="T27" s="198"/>
      <c r="U27" s="198"/>
    </row>
    <row r="28" spans="1:21" s="12" customFormat="1" x14ac:dyDescent="0.25">
      <c r="A28" s="211" t="s">
        <v>2571</v>
      </c>
      <c r="B28" s="64">
        <v>6.73</v>
      </c>
      <c r="C28" s="64">
        <v>10.85</v>
      </c>
      <c r="D28" s="64">
        <v>11.07</v>
      </c>
      <c r="E28" s="64">
        <v>5.25</v>
      </c>
      <c r="F28" s="64">
        <v>2.38</v>
      </c>
      <c r="G28" s="64">
        <v>41</v>
      </c>
      <c r="H28" s="64">
        <v>13.61</v>
      </c>
      <c r="I28" s="64">
        <v>1.67</v>
      </c>
      <c r="J28" s="64">
        <v>0.1</v>
      </c>
      <c r="K28" s="64">
        <v>204.88</v>
      </c>
      <c r="L28" s="64">
        <v>24.09</v>
      </c>
      <c r="M28" s="64">
        <v>95.83</v>
      </c>
      <c r="N28" s="64">
        <v>40.200000000000003</v>
      </c>
      <c r="O28" s="64">
        <v>0</v>
      </c>
      <c r="P28" s="64">
        <v>0.34</v>
      </c>
      <c r="Q28" s="64">
        <v>9.0299999999999994</v>
      </c>
      <c r="R28" s="198"/>
      <c r="S28" s="198"/>
      <c r="T28" s="198"/>
      <c r="U28" s="198"/>
    </row>
    <row r="29" spans="1:21" s="12" customFormat="1" x14ac:dyDescent="0.25">
      <c r="A29" s="211" t="s">
        <v>2572</v>
      </c>
      <c r="B29" s="64">
        <v>6.27</v>
      </c>
      <c r="C29" s="64">
        <v>11.24</v>
      </c>
      <c r="D29" s="64">
        <v>10.9</v>
      </c>
      <c r="E29" s="64">
        <v>5</v>
      </c>
      <c r="F29" s="64">
        <v>3.46</v>
      </c>
      <c r="G29" s="64">
        <v>34.5</v>
      </c>
      <c r="H29" s="64">
        <v>14.74</v>
      </c>
      <c r="I29" s="64">
        <v>1.66</v>
      </c>
      <c r="J29" s="64">
        <v>0.2</v>
      </c>
      <c r="K29" s="64">
        <v>162.5</v>
      </c>
      <c r="L29" s="64">
        <v>23.98</v>
      </c>
      <c r="M29" s="64">
        <v>96.45</v>
      </c>
      <c r="N29" s="64">
        <v>40.1</v>
      </c>
      <c r="O29" s="64">
        <v>0</v>
      </c>
      <c r="P29" s="64">
        <v>0.32</v>
      </c>
      <c r="Q29" s="64">
        <v>9.0299999999999994</v>
      </c>
      <c r="R29" s="198"/>
      <c r="S29" s="198"/>
      <c r="T29" s="198"/>
      <c r="U29" s="198"/>
    </row>
    <row r="30" spans="1:21" s="12" customFormat="1" x14ac:dyDescent="0.25">
      <c r="A30" s="211" t="s">
        <v>2573</v>
      </c>
      <c r="B30" s="64">
        <v>6.85</v>
      </c>
      <c r="C30" s="64">
        <v>8.5299999999999994</v>
      </c>
      <c r="D30" s="64">
        <v>9.9499999999999993</v>
      </c>
      <c r="E30" s="64">
        <v>4.9800000000000004</v>
      </c>
      <c r="F30" s="64">
        <v>2.41</v>
      </c>
      <c r="G30" s="64">
        <v>32.76</v>
      </c>
      <c r="H30" s="64">
        <v>14.74</v>
      </c>
      <c r="I30" s="64">
        <v>1.69</v>
      </c>
      <c r="J30" s="64">
        <v>0.46</v>
      </c>
      <c r="K30" s="64">
        <v>162.74</v>
      </c>
      <c r="L30" s="64">
        <v>23.88</v>
      </c>
      <c r="M30" s="64">
        <v>97.32</v>
      </c>
      <c r="N30" s="64">
        <v>40.1</v>
      </c>
      <c r="O30" s="64">
        <v>0</v>
      </c>
      <c r="P30" s="64">
        <v>0.36</v>
      </c>
      <c r="Q30" s="64">
        <v>9.0500000000000007</v>
      </c>
      <c r="R30" s="198"/>
      <c r="S30" s="198"/>
      <c r="T30" s="198"/>
      <c r="U30" s="198"/>
    </row>
    <row r="31" spans="1:21" s="12" customFormat="1" x14ac:dyDescent="0.25">
      <c r="A31" s="211" t="s">
        <v>2574</v>
      </c>
      <c r="B31" s="64">
        <v>7.16</v>
      </c>
      <c r="C31" s="64">
        <v>8.27</v>
      </c>
      <c r="D31" s="64">
        <v>10.07</v>
      </c>
      <c r="E31" s="64">
        <v>5.13</v>
      </c>
      <c r="F31" s="64">
        <v>2.2599999999999998</v>
      </c>
      <c r="G31" s="64">
        <v>32.76</v>
      </c>
      <c r="H31" s="64">
        <v>14.74</v>
      </c>
      <c r="I31" s="64">
        <v>1.71</v>
      </c>
      <c r="J31" s="64">
        <v>0.32</v>
      </c>
      <c r="K31" s="64">
        <v>163.5</v>
      </c>
      <c r="L31" s="64">
        <v>23.72</v>
      </c>
      <c r="M31" s="64">
        <v>97.9</v>
      </c>
      <c r="N31" s="64">
        <v>40.299999999999997</v>
      </c>
      <c r="O31" s="64">
        <v>0</v>
      </c>
      <c r="P31" s="64">
        <v>0.36</v>
      </c>
      <c r="Q31" s="64">
        <v>9.06</v>
      </c>
      <c r="R31" s="198"/>
      <c r="S31" s="198"/>
      <c r="T31" s="198"/>
      <c r="U31" s="198"/>
    </row>
    <row r="32" spans="1:21" s="12" customFormat="1" x14ac:dyDescent="0.25">
      <c r="A32" s="211" t="s">
        <v>2575</v>
      </c>
      <c r="B32" s="64">
        <v>6.51</v>
      </c>
      <c r="C32" s="64">
        <v>9.56</v>
      </c>
      <c r="D32" s="64">
        <v>10.220000000000001</v>
      </c>
      <c r="E32" s="64">
        <v>5.0199999999999996</v>
      </c>
      <c r="F32" s="64">
        <v>2.2400000000000002</v>
      </c>
      <c r="G32" s="64">
        <v>32.76</v>
      </c>
      <c r="H32" s="64">
        <v>14.74</v>
      </c>
      <c r="I32" s="64">
        <v>1.72</v>
      </c>
      <c r="J32" s="64">
        <v>0.09</v>
      </c>
      <c r="K32" s="64">
        <v>95.45</v>
      </c>
      <c r="L32" s="64">
        <v>23.69</v>
      </c>
      <c r="M32" s="64">
        <v>97.91</v>
      </c>
      <c r="N32" s="64">
        <v>42</v>
      </c>
      <c r="O32" s="64">
        <v>0</v>
      </c>
      <c r="P32" s="64">
        <v>0.33</v>
      </c>
      <c r="Q32" s="64">
        <v>9.06</v>
      </c>
      <c r="R32" s="198"/>
      <c r="S32" s="198"/>
      <c r="T32" s="198"/>
      <c r="U32" s="198"/>
    </row>
    <row r="33" spans="1:21" s="12" customFormat="1" x14ac:dyDescent="0.25">
      <c r="A33" s="211" t="s">
        <v>2576</v>
      </c>
      <c r="B33" s="64">
        <v>6.14</v>
      </c>
      <c r="C33" s="64">
        <v>10.59</v>
      </c>
      <c r="D33" s="64">
        <v>10.45</v>
      </c>
      <c r="E33" s="64">
        <v>5.12</v>
      </c>
      <c r="F33" s="64">
        <v>2.2599999999999998</v>
      </c>
      <c r="G33" s="64">
        <v>33.65</v>
      </c>
      <c r="H33" s="64">
        <v>13.62</v>
      </c>
      <c r="I33" s="64">
        <v>1.74</v>
      </c>
      <c r="J33" s="64">
        <v>0.19</v>
      </c>
      <c r="K33" s="64">
        <v>146.68</v>
      </c>
      <c r="L33" s="64">
        <v>23.63</v>
      </c>
      <c r="M33" s="64">
        <v>97.91</v>
      </c>
      <c r="N33" s="64">
        <v>43.9</v>
      </c>
      <c r="O33" s="64">
        <v>0</v>
      </c>
      <c r="P33" s="64">
        <v>0.32</v>
      </c>
      <c r="Q33" s="64">
        <v>9.06</v>
      </c>
      <c r="R33" s="198"/>
      <c r="S33" s="198"/>
      <c r="T33" s="198"/>
      <c r="U33" s="198"/>
    </row>
    <row r="34" spans="1:21" s="12" customFormat="1" x14ac:dyDescent="0.25">
      <c r="A34" s="211" t="s">
        <v>2577</v>
      </c>
      <c r="B34" s="64">
        <v>6.23</v>
      </c>
      <c r="C34" s="64">
        <v>11.43</v>
      </c>
      <c r="D34" s="64">
        <v>10.97</v>
      </c>
      <c r="E34" s="64">
        <v>4.97</v>
      </c>
      <c r="F34" s="64">
        <v>2.17</v>
      </c>
      <c r="G34" s="64">
        <v>33.89</v>
      </c>
      <c r="H34" s="64">
        <v>13.62</v>
      </c>
      <c r="I34" s="64">
        <v>1.74</v>
      </c>
      <c r="J34" s="64">
        <v>0.05</v>
      </c>
      <c r="K34" s="64">
        <v>148.80000000000001</v>
      </c>
      <c r="L34" s="64">
        <v>23.64</v>
      </c>
      <c r="M34" s="64">
        <v>97.93</v>
      </c>
      <c r="N34" s="64">
        <v>47.6</v>
      </c>
      <c r="O34" s="64">
        <v>0</v>
      </c>
      <c r="P34" s="64">
        <v>0.34</v>
      </c>
      <c r="Q34" s="64">
        <v>9.06</v>
      </c>
      <c r="R34" s="198"/>
      <c r="S34" s="198"/>
      <c r="T34" s="198"/>
      <c r="U34" s="198"/>
    </row>
    <row r="35" spans="1:21" s="12" customFormat="1" x14ac:dyDescent="0.25">
      <c r="A35" s="211" t="s">
        <v>2578</v>
      </c>
      <c r="B35" s="64">
        <v>6.59</v>
      </c>
      <c r="C35" s="64">
        <v>13.08</v>
      </c>
      <c r="D35" s="64">
        <v>12.12</v>
      </c>
      <c r="E35" s="64">
        <v>4.93</v>
      </c>
      <c r="F35" s="64">
        <v>2.1</v>
      </c>
      <c r="G35" s="64">
        <v>33.89</v>
      </c>
      <c r="H35" s="64">
        <v>13.62</v>
      </c>
      <c r="I35" s="64">
        <v>1.74</v>
      </c>
      <c r="J35" s="64">
        <v>0.05</v>
      </c>
      <c r="K35" s="64">
        <v>178.62</v>
      </c>
      <c r="L35" s="64">
        <v>23.8</v>
      </c>
      <c r="M35" s="64">
        <v>97.91</v>
      </c>
      <c r="N35" s="64">
        <v>58.8</v>
      </c>
      <c r="O35" s="64">
        <v>0</v>
      </c>
      <c r="P35" s="64">
        <v>0.33</v>
      </c>
      <c r="Q35" s="64">
        <v>9.06</v>
      </c>
      <c r="R35" s="198"/>
      <c r="S35" s="198"/>
      <c r="T35" s="198"/>
      <c r="U35" s="198"/>
    </row>
    <row r="36" spans="1:21" s="12" customFormat="1" x14ac:dyDescent="0.25">
      <c r="A36" s="211" t="s">
        <v>2579</v>
      </c>
      <c r="B36" s="64">
        <v>7.13</v>
      </c>
      <c r="C36" s="64">
        <v>11.76</v>
      </c>
      <c r="D36" s="64">
        <v>11.86</v>
      </c>
      <c r="E36" s="64">
        <v>4.8499999999999996</v>
      </c>
      <c r="F36" s="64">
        <v>2.1</v>
      </c>
      <c r="G36" s="64">
        <v>33.89</v>
      </c>
      <c r="H36" s="64">
        <v>13.62</v>
      </c>
      <c r="I36" s="64">
        <v>1.74</v>
      </c>
      <c r="J36" s="64">
        <v>7.0000000000000007E-2</v>
      </c>
      <c r="K36" s="64">
        <v>121.87</v>
      </c>
      <c r="L36" s="64">
        <v>23.96</v>
      </c>
      <c r="M36" s="64">
        <v>97.92</v>
      </c>
      <c r="N36" s="64">
        <v>65.8</v>
      </c>
      <c r="O36" s="64">
        <v>0</v>
      </c>
      <c r="P36" s="64">
        <v>0.35</v>
      </c>
      <c r="Q36" s="64">
        <v>9.0399999999999991</v>
      </c>
      <c r="R36" s="198"/>
      <c r="S36" s="198"/>
      <c r="T36" s="198"/>
      <c r="U36" s="198"/>
    </row>
    <row r="37" spans="1:21" s="12" customFormat="1" x14ac:dyDescent="0.25">
      <c r="A37" s="211" t="s">
        <v>2580</v>
      </c>
      <c r="B37" s="64">
        <v>7.98</v>
      </c>
      <c r="C37" s="64">
        <v>12.09</v>
      </c>
      <c r="D37" s="64">
        <v>12.71</v>
      </c>
      <c r="E37" s="64">
        <v>4.74</v>
      </c>
      <c r="F37" s="64">
        <v>2.14</v>
      </c>
      <c r="G37" s="64">
        <v>36.61</v>
      </c>
      <c r="H37" s="64">
        <v>12.89</v>
      </c>
      <c r="I37" s="64">
        <v>1.72</v>
      </c>
      <c r="J37" s="64">
        <v>0.23</v>
      </c>
      <c r="K37" s="64">
        <v>127.48</v>
      </c>
      <c r="L37" s="64">
        <v>24.06</v>
      </c>
      <c r="M37" s="64">
        <v>97.91</v>
      </c>
      <c r="N37" s="64">
        <v>80.400000000000006</v>
      </c>
      <c r="O37" s="64">
        <v>0</v>
      </c>
      <c r="P37" s="64">
        <v>0.34</v>
      </c>
      <c r="Q37" s="64">
        <v>9.02</v>
      </c>
      <c r="R37" s="198"/>
      <c r="S37" s="198"/>
      <c r="T37" s="198"/>
      <c r="U37" s="198"/>
    </row>
    <row r="38" spans="1:21" s="12" customFormat="1" x14ac:dyDescent="0.25">
      <c r="A38" s="211" t="s">
        <v>2581</v>
      </c>
      <c r="B38" s="64">
        <v>9.16</v>
      </c>
      <c r="C38" s="64">
        <v>12.49</v>
      </c>
      <c r="D38" s="64">
        <v>13.87</v>
      </c>
      <c r="E38" s="64">
        <v>5.04</v>
      </c>
      <c r="F38" s="64">
        <v>2.38</v>
      </c>
      <c r="G38" s="64">
        <v>37.340000000000003</v>
      </c>
      <c r="H38" s="64">
        <v>12.89</v>
      </c>
      <c r="I38" s="64">
        <v>1.7</v>
      </c>
      <c r="J38" s="64">
        <v>0.33</v>
      </c>
      <c r="K38" s="64">
        <v>126.77</v>
      </c>
      <c r="L38" s="64">
        <v>24.31</v>
      </c>
      <c r="M38" s="64">
        <v>97.9</v>
      </c>
      <c r="N38" s="64">
        <v>103.1</v>
      </c>
      <c r="O38" s="64">
        <v>0</v>
      </c>
      <c r="P38" s="64">
        <v>0.39</v>
      </c>
      <c r="Q38" s="64">
        <v>9.02</v>
      </c>
      <c r="R38" s="198"/>
      <c r="S38" s="198"/>
      <c r="T38" s="198"/>
      <c r="U38" s="198"/>
    </row>
    <row r="39" spans="1:21" s="12" customFormat="1" x14ac:dyDescent="0.25">
      <c r="A39" s="211" t="s">
        <v>2582</v>
      </c>
      <c r="B39" s="64">
        <v>9.27</v>
      </c>
      <c r="C39" s="64">
        <v>10.48</v>
      </c>
      <c r="D39" s="64">
        <v>12.91</v>
      </c>
      <c r="E39" s="64">
        <v>5.24</v>
      </c>
      <c r="F39" s="64">
        <v>2.14</v>
      </c>
      <c r="G39" s="64">
        <v>37.340000000000003</v>
      </c>
      <c r="H39" s="64">
        <v>12.89</v>
      </c>
      <c r="I39" s="64">
        <v>1.7</v>
      </c>
      <c r="J39" s="64">
        <v>0.28000000000000003</v>
      </c>
      <c r="K39" s="64">
        <v>133.15</v>
      </c>
      <c r="L39" s="64">
        <v>24.53</v>
      </c>
      <c r="M39" s="64">
        <v>97.91</v>
      </c>
      <c r="N39" s="64">
        <v>126.8</v>
      </c>
      <c r="O39" s="64">
        <v>0</v>
      </c>
      <c r="P39" s="64">
        <v>0.38</v>
      </c>
      <c r="Q39" s="64">
        <v>9.0299999999999994</v>
      </c>
      <c r="R39" s="198"/>
      <c r="S39" s="198"/>
      <c r="T39" s="198"/>
      <c r="U39" s="198"/>
    </row>
    <row r="40" spans="1:21" s="12" customFormat="1" x14ac:dyDescent="0.25">
      <c r="A40" s="211" t="s">
        <v>2583</v>
      </c>
      <c r="B40" s="64">
        <v>10.119999999999999</v>
      </c>
      <c r="C40" s="64">
        <v>15.66</v>
      </c>
      <c r="D40" s="64">
        <v>16.3</v>
      </c>
      <c r="E40" s="64">
        <v>5.07</v>
      </c>
      <c r="F40" s="64">
        <v>2.82</v>
      </c>
      <c r="G40" s="64">
        <v>37.340000000000003</v>
      </c>
      <c r="H40" s="64">
        <v>12.89</v>
      </c>
      <c r="I40" s="64">
        <v>1.6</v>
      </c>
      <c r="J40" s="64">
        <v>0.3</v>
      </c>
      <c r="K40" s="64">
        <v>118.62</v>
      </c>
      <c r="L40" s="64">
        <v>24.95</v>
      </c>
      <c r="M40" s="64">
        <v>96.45</v>
      </c>
      <c r="N40" s="64">
        <v>133</v>
      </c>
      <c r="O40" s="64">
        <v>0</v>
      </c>
      <c r="P40" s="64">
        <v>0.43</v>
      </c>
      <c r="Q40" s="64">
        <v>9.0299999999999994</v>
      </c>
      <c r="R40" s="198"/>
      <c r="S40" s="198"/>
      <c r="T40" s="198"/>
      <c r="U40" s="198"/>
    </row>
    <row r="41" spans="1:21" s="12" customFormat="1" x14ac:dyDescent="0.25">
      <c r="A41" s="211" t="s">
        <v>2584</v>
      </c>
      <c r="B41" s="64">
        <v>7.23</v>
      </c>
      <c r="C41" s="64">
        <v>10.7</v>
      </c>
      <c r="D41" s="64">
        <v>11.39</v>
      </c>
      <c r="E41" s="64">
        <v>5.05</v>
      </c>
      <c r="F41" s="64">
        <v>3.15</v>
      </c>
      <c r="G41" s="64">
        <v>39.619999999999997</v>
      </c>
      <c r="H41" s="64">
        <v>12.4</v>
      </c>
      <c r="I41" s="64">
        <v>1.54</v>
      </c>
      <c r="J41" s="64">
        <v>0.45</v>
      </c>
      <c r="K41" s="64">
        <v>125.58</v>
      </c>
      <c r="L41" s="64">
        <v>24.67</v>
      </c>
      <c r="M41" s="64">
        <v>97.21</v>
      </c>
      <c r="N41" s="64">
        <v>114.7</v>
      </c>
      <c r="O41" s="64">
        <v>0</v>
      </c>
      <c r="P41" s="64">
        <v>0.34</v>
      </c>
      <c r="Q41" s="64">
        <v>9.0399999999999991</v>
      </c>
      <c r="R41" s="198"/>
      <c r="S41" s="198"/>
      <c r="T41" s="198"/>
      <c r="U41" s="198"/>
    </row>
    <row r="42" spans="1:21" s="12" customFormat="1" x14ac:dyDescent="0.25">
      <c r="A42" s="211" t="s">
        <v>2585</v>
      </c>
      <c r="B42" s="64">
        <v>7.42</v>
      </c>
      <c r="C42" s="64">
        <v>8.42</v>
      </c>
      <c r="D42" s="64">
        <v>10.35</v>
      </c>
      <c r="E42" s="64">
        <v>5</v>
      </c>
      <c r="F42" s="64">
        <v>2.1800000000000002</v>
      </c>
      <c r="G42" s="64">
        <v>40.28</v>
      </c>
      <c r="H42" s="64">
        <v>12.4</v>
      </c>
      <c r="I42" s="64">
        <v>1.65</v>
      </c>
      <c r="J42" s="64">
        <v>0.54</v>
      </c>
      <c r="K42" s="64">
        <v>128.97999999999999</v>
      </c>
      <c r="L42" s="64">
        <v>24.71</v>
      </c>
      <c r="M42" s="64">
        <v>97.89</v>
      </c>
      <c r="N42" s="64">
        <v>134.30000000000001</v>
      </c>
      <c r="O42" s="64">
        <v>0</v>
      </c>
      <c r="P42" s="64">
        <v>0.38</v>
      </c>
      <c r="Q42" s="64">
        <v>9.0399999999999991</v>
      </c>
      <c r="R42" s="198"/>
      <c r="S42" s="198"/>
      <c r="T42" s="198"/>
      <c r="U42" s="198"/>
    </row>
    <row r="43" spans="1:21" s="12" customFormat="1" x14ac:dyDescent="0.25">
      <c r="A43" s="211" t="s">
        <v>2586</v>
      </c>
      <c r="B43" s="64">
        <v>7.73</v>
      </c>
      <c r="C43" s="64">
        <v>10.81</v>
      </c>
      <c r="D43" s="64">
        <v>11.85</v>
      </c>
      <c r="E43" s="64">
        <v>4.9000000000000004</v>
      </c>
      <c r="F43" s="64">
        <v>3.72</v>
      </c>
      <c r="G43" s="64">
        <v>40.28</v>
      </c>
      <c r="H43" s="64">
        <v>12.4</v>
      </c>
      <c r="I43" s="64">
        <v>1.73</v>
      </c>
      <c r="J43" s="64">
        <v>0.13</v>
      </c>
      <c r="K43" s="64">
        <v>86.27</v>
      </c>
      <c r="L43" s="64">
        <v>25.02</v>
      </c>
      <c r="M43" s="64">
        <v>97.61</v>
      </c>
      <c r="N43" s="64">
        <v>169.5</v>
      </c>
      <c r="O43" s="64">
        <v>0</v>
      </c>
      <c r="P43" s="64">
        <v>0.4</v>
      </c>
      <c r="Q43" s="64">
        <v>9.0500000000000007</v>
      </c>
      <c r="R43" s="198"/>
      <c r="S43" s="198"/>
      <c r="T43" s="198"/>
      <c r="U43" s="198"/>
    </row>
    <row r="44" spans="1:21" s="12" customFormat="1" x14ac:dyDescent="0.25">
      <c r="A44" s="211" t="s">
        <v>2587</v>
      </c>
      <c r="B44" s="64">
        <v>8.3800000000000008</v>
      </c>
      <c r="C44" s="64">
        <v>9.48</v>
      </c>
      <c r="D44" s="64">
        <v>11.68</v>
      </c>
      <c r="E44" s="64">
        <v>5.14</v>
      </c>
      <c r="F44" s="64">
        <v>2.1</v>
      </c>
      <c r="G44" s="64">
        <v>40.28</v>
      </c>
      <c r="H44" s="64">
        <v>12.4</v>
      </c>
      <c r="I44" s="64">
        <v>1.62</v>
      </c>
      <c r="J44" s="64">
        <v>0.34</v>
      </c>
      <c r="K44" s="64">
        <v>130.36000000000001</v>
      </c>
      <c r="L44" s="64">
        <v>25.75</v>
      </c>
      <c r="M44" s="64">
        <v>94.74</v>
      </c>
      <c r="N44" s="64">
        <v>230.1</v>
      </c>
      <c r="O44" s="64">
        <v>0</v>
      </c>
      <c r="P44" s="64">
        <v>0.41</v>
      </c>
      <c r="Q44" s="64">
        <v>9.0399999999999991</v>
      </c>
      <c r="R44" s="198"/>
      <c r="S44" s="198"/>
      <c r="T44" s="198"/>
      <c r="U44" s="198"/>
    </row>
    <row r="45" spans="1:21" s="12" customFormat="1" x14ac:dyDescent="0.25">
      <c r="A45" s="211" t="s">
        <v>2588</v>
      </c>
      <c r="B45" s="64">
        <v>14.65</v>
      </c>
      <c r="C45" s="64">
        <v>14.6</v>
      </c>
      <c r="D45" s="64">
        <v>19.37</v>
      </c>
      <c r="E45" s="64">
        <v>5.47</v>
      </c>
      <c r="F45" s="64">
        <v>3.31</v>
      </c>
      <c r="G45" s="64">
        <v>61.5</v>
      </c>
      <c r="H45" s="64">
        <v>14.8</v>
      </c>
      <c r="I45" s="64">
        <v>1.55</v>
      </c>
      <c r="J45" s="64">
        <v>7.0000000000000007E-2</v>
      </c>
      <c r="K45" s="64">
        <v>15.01</v>
      </c>
      <c r="L45" s="64">
        <v>25.73</v>
      </c>
      <c r="M45" s="64">
        <v>95.52</v>
      </c>
      <c r="N45" s="64">
        <v>179.8</v>
      </c>
      <c r="O45" s="64">
        <v>0</v>
      </c>
      <c r="P45" s="64">
        <v>0.5</v>
      </c>
      <c r="Q45" s="64">
        <v>9.0500000000000007</v>
      </c>
      <c r="R45" s="198"/>
      <c r="S45" s="198"/>
      <c r="T45" s="198"/>
      <c r="U45" s="198"/>
    </row>
    <row r="46" spans="1:21" s="12" customFormat="1" x14ac:dyDescent="0.25">
      <c r="A46" s="211" t="s">
        <v>2589</v>
      </c>
      <c r="B46" s="64">
        <v>10.76</v>
      </c>
      <c r="C46" s="64">
        <v>12.85</v>
      </c>
      <c r="D46" s="64">
        <v>15.34</v>
      </c>
      <c r="E46" s="64">
        <v>5.75</v>
      </c>
      <c r="F46" s="64">
        <v>5.15</v>
      </c>
      <c r="G46" s="64">
        <v>67.180000000000007</v>
      </c>
      <c r="H46" s="64">
        <v>14.8</v>
      </c>
      <c r="I46" s="64">
        <v>1.56</v>
      </c>
      <c r="J46" s="64">
        <v>0.19</v>
      </c>
      <c r="K46" s="64">
        <v>115.26</v>
      </c>
      <c r="L46" s="64">
        <v>25.69</v>
      </c>
      <c r="M46" s="64">
        <v>95.71</v>
      </c>
      <c r="N46" s="64">
        <v>172.2</v>
      </c>
      <c r="O46" s="64">
        <v>0</v>
      </c>
      <c r="P46" s="64">
        <v>0.5</v>
      </c>
      <c r="Q46" s="64">
        <v>9.07</v>
      </c>
      <c r="R46" s="198"/>
      <c r="S46" s="198"/>
      <c r="T46" s="198"/>
      <c r="U46" s="198"/>
    </row>
    <row r="47" spans="1:21" s="12" customFormat="1" x14ac:dyDescent="0.25">
      <c r="A47" s="211" t="s">
        <v>2590</v>
      </c>
      <c r="B47" s="64">
        <v>9.56</v>
      </c>
      <c r="C47" s="64">
        <v>13.35</v>
      </c>
      <c r="D47" s="64">
        <v>14.64</v>
      </c>
      <c r="E47" s="64">
        <v>5.78</v>
      </c>
      <c r="F47" s="64">
        <v>3.76</v>
      </c>
      <c r="G47" s="64">
        <v>67.180000000000007</v>
      </c>
      <c r="H47" s="64">
        <v>14.8</v>
      </c>
      <c r="I47" s="64">
        <v>1.56</v>
      </c>
      <c r="J47" s="64">
        <v>0.14000000000000001</v>
      </c>
      <c r="K47" s="64">
        <v>3.58</v>
      </c>
      <c r="L47" s="64">
        <v>26.2</v>
      </c>
      <c r="M47" s="64">
        <v>91.51</v>
      </c>
      <c r="N47" s="64">
        <v>199.4</v>
      </c>
      <c r="O47" s="64">
        <v>0</v>
      </c>
      <c r="P47" s="64">
        <v>0.55000000000000004</v>
      </c>
      <c r="Q47" s="64">
        <v>9.07</v>
      </c>
      <c r="R47" s="198"/>
      <c r="S47" s="198"/>
      <c r="T47" s="198"/>
      <c r="U47" s="198"/>
    </row>
    <row r="48" spans="1:21" s="12" customFormat="1" x14ac:dyDescent="0.25">
      <c r="A48" s="211" t="s">
        <v>2591</v>
      </c>
      <c r="B48" s="64">
        <v>9.89</v>
      </c>
      <c r="C48" s="64">
        <v>15</v>
      </c>
      <c r="D48" s="64">
        <v>15.77</v>
      </c>
      <c r="E48" s="64">
        <v>6.14</v>
      </c>
      <c r="F48" s="64">
        <v>5.17</v>
      </c>
      <c r="G48" s="64">
        <v>67.180000000000007</v>
      </c>
      <c r="H48" s="64">
        <v>14.8</v>
      </c>
      <c r="I48" s="64">
        <v>1.57</v>
      </c>
      <c r="J48" s="64">
        <v>0.2</v>
      </c>
      <c r="K48" s="64">
        <v>5.24</v>
      </c>
      <c r="L48" s="64">
        <v>26.53</v>
      </c>
      <c r="M48" s="64">
        <v>89.21</v>
      </c>
      <c r="N48" s="64">
        <v>240.1</v>
      </c>
      <c r="O48" s="64">
        <v>0</v>
      </c>
      <c r="P48" s="64">
        <v>0.63</v>
      </c>
      <c r="Q48" s="64">
        <v>9.08</v>
      </c>
      <c r="R48" s="198"/>
      <c r="S48" s="198"/>
      <c r="T48" s="198"/>
      <c r="U48" s="198"/>
    </row>
    <row r="49" spans="1:21" s="12" customFormat="1" x14ac:dyDescent="0.25">
      <c r="A49" s="211" t="s">
        <v>2592</v>
      </c>
      <c r="B49" s="64">
        <v>8.8800000000000008</v>
      </c>
      <c r="C49" s="64">
        <v>14.12</v>
      </c>
      <c r="D49" s="64">
        <v>14.5</v>
      </c>
      <c r="E49" s="64">
        <v>6.4</v>
      </c>
      <c r="F49" s="64">
        <v>4.76</v>
      </c>
      <c r="G49" s="64">
        <v>65.62</v>
      </c>
      <c r="H49" s="64">
        <v>13.97</v>
      </c>
      <c r="I49" s="64">
        <v>1.72</v>
      </c>
      <c r="J49" s="64">
        <v>0.2</v>
      </c>
      <c r="K49" s="64">
        <v>344.9</v>
      </c>
      <c r="L49" s="64">
        <v>27.26</v>
      </c>
      <c r="M49" s="64">
        <v>84.86</v>
      </c>
      <c r="N49" s="64">
        <v>232.6</v>
      </c>
      <c r="O49" s="64">
        <v>0</v>
      </c>
      <c r="P49" s="64">
        <v>0.56000000000000005</v>
      </c>
      <c r="Q49" s="64">
        <v>9.08</v>
      </c>
      <c r="R49" s="198"/>
      <c r="S49" s="198"/>
      <c r="T49" s="198"/>
      <c r="U49" s="198"/>
    </row>
    <row r="50" spans="1:21" s="12" customFormat="1" x14ac:dyDescent="0.25">
      <c r="A50" s="211" t="s">
        <v>2593</v>
      </c>
      <c r="B50" s="64">
        <v>8.7899999999999991</v>
      </c>
      <c r="C50" s="64">
        <v>15.68</v>
      </c>
      <c r="D50" s="64">
        <v>15.24</v>
      </c>
      <c r="E50" s="64">
        <v>6.44</v>
      </c>
      <c r="F50" s="64">
        <v>5.33</v>
      </c>
      <c r="G50" s="64">
        <v>65.2</v>
      </c>
      <c r="H50" s="64">
        <v>13.97</v>
      </c>
      <c r="I50" s="64">
        <v>1.86</v>
      </c>
      <c r="J50" s="64">
        <v>0.15</v>
      </c>
      <c r="K50" s="64">
        <v>114.12</v>
      </c>
      <c r="L50" s="64">
        <v>26.94</v>
      </c>
      <c r="M50" s="64">
        <v>87.41</v>
      </c>
      <c r="N50" s="64">
        <v>222.3</v>
      </c>
      <c r="O50" s="64">
        <v>0</v>
      </c>
      <c r="P50" s="64">
        <v>0.56999999999999995</v>
      </c>
      <c r="Q50" s="64">
        <v>9.09</v>
      </c>
      <c r="R50" s="198"/>
      <c r="S50" s="198"/>
      <c r="T50" s="198"/>
      <c r="U50" s="198"/>
    </row>
    <row r="51" spans="1:21" s="12" customFormat="1" x14ac:dyDescent="0.25">
      <c r="A51" s="211" t="s">
        <v>2594</v>
      </c>
      <c r="B51" s="64">
        <v>9.43</v>
      </c>
      <c r="C51" s="64">
        <v>22.74</v>
      </c>
      <c r="D51" s="64">
        <v>19.45</v>
      </c>
      <c r="E51" s="64">
        <v>6.81</v>
      </c>
      <c r="F51" s="64">
        <v>2.31</v>
      </c>
      <c r="G51" s="64">
        <v>65.2</v>
      </c>
      <c r="H51" s="64">
        <v>13.97</v>
      </c>
      <c r="I51" s="64">
        <v>1.91</v>
      </c>
      <c r="J51" s="64">
        <v>0.24</v>
      </c>
      <c r="K51" s="64">
        <v>123.99</v>
      </c>
      <c r="L51" s="64">
        <v>26.91</v>
      </c>
      <c r="M51" s="64">
        <v>88.7</v>
      </c>
      <c r="N51" s="64">
        <v>213.1</v>
      </c>
      <c r="O51" s="64">
        <v>0</v>
      </c>
      <c r="P51" s="64">
        <v>0.71</v>
      </c>
      <c r="Q51" s="64">
        <v>9.08</v>
      </c>
      <c r="R51" s="198"/>
      <c r="S51" s="198"/>
      <c r="T51" s="198"/>
      <c r="U51" s="198"/>
    </row>
    <row r="52" spans="1:21" s="12" customFormat="1" x14ac:dyDescent="0.25">
      <c r="A52" s="211" t="s">
        <v>2595</v>
      </c>
      <c r="B52" s="64">
        <v>9.1</v>
      </c>
      <c r="C52" s="64">
        <v>23.32</v>
      </c>
      <c r="D52" s="64">
        <v>19.48</v>
      </c>
      <c r="E52" s="64">
        <v>7.6</v>
      </c>
      <c r="F52" s="64">
        <v>7.45</v>
      </c>
      <c r="G52" s="64">
        <v>65.2</v>
      </c>
      <c r="H52" s="64">
        <v>13.97</v>
      </c>
      <c r="I52" s="64">
        <v>1.85</v>
      </c>
      <c r="J52" s="64">
        <v>0.37</v>
      </c>
      <c r="K52" s="64">
        <v>129.25</v>
      </c>
      <c r="L52" s="64">
        <v>27.08</v>
      </c>
      <c r="M52" s="64">
        <v>87.67</v>
      </c>
      <c r="N52" s="64">
        <v>240.8</v>
      </c>
      <c r="O52" s="64">
        <v>0</v>
      </c>
      <c r="P52" s="64">
        <v>0.61</v>
      </c>
      <c r="Q52" s="64">
        <v>9.1</v>
      </c>
      <c r="R52" s="198"/>
      <c r="S52" s="198"/>
      <c r="T52" s="198"/>
      <c r="U52" s="198"/>
    </row>
    <row r="53" spans="1:21" s="12" customFormat="1" x14ac:dyDescent="0.25">
      <c r="A53" s="211" t="s">
        <v>2596</v>
      </c>
      <c r="B53" s="64">
        <v>5.68</v>
      </c>
      <c r="C53" s="64">
        <v>19.04</v>
      </c>
      <c r="D53" s="64">
        <v>14.51</v>
      </c>
      <c r="E53" s="64">
        <v>7.57</v>
      </c>
      <c r="F53" s="64">
        <v>5.29</v>
      </c>
      <c r="G53" s="64">
        <v>65.349999999999994</v>
      </c>
      <c r="H53" s="64">
        <v>13.6</v>
      </c>
      <c r="I53" s="64">
        <v>2.2000000000000002</v>
      </c>
      <c r="J53" s="64">
        <v>0.66</v>
      </c>
      <c r="K53" s="64">
        <v>128.65</v>
      </c>
      <c r="L53" s="64">
        <v>26.99</v>
      </c>
      <c r="M53" s="64">
        <v>86.12</v>
      </c>
      <c r="N53" s="64">
        <v>269.10000000000002</v>
      </c>
      <c r="O53" s="64">
        <v>0</v>
      </c>
      <c r="P53" s="64">
        <v>0.56999999999999995</v>
      </c>
      <c r="Q53" s="64">
        <v>9.11</v>
      </c>
      <c r="R53" s="198"/>
      <c r="S53" s="198"/>
      <c r="T53" s="198"/>
      <c r="U53" s="198"/>
    </row>
    <row r="54" spans="1:21" s="12" customFormat="1" x14ac:dyDescent="0.25">
      <c r="A54" s="211" t="s">
        <v>2597</v>
      </c>
      <c r="B54" s="64">
        <v>5.75</v>
      </c>
      <c r="C54" s="64">
        <v>17.57</v>
      </c>
      <c r="D54" s="64">
        <v>13.79</v>
      </c>
      <c r="E54" s="64">
        <v>7.45</v>
      </c>
      <c r="F54" s="64">
        <v>6.91</v>
      </c>
      <c r="G54" s="64">
        <v>65.39</v>
      </c>
      <c r="H54" s="64">
        <v>13.6</v>
      </c>
      <c r="I54" s="64">
        <v>2.56</v>
      </c>
      <c r="J54" s="64">
        <v>0.43</v>
      </c>
      <c r="K54" s="64">
        <v>130.54</v>
      </c>
      <c r="L54" s="64">
        <v>27.45</v>
      </c>
      <c r="M54" s="64">
        <v>82.87</v>
      </c>
      <c r="N54" s="64">
        <v>343</v>
      </c>
      <c r="O54" s="64">
        <v>0</v>
      </c>
      <c r="P54" s="64">
        <v>0.5</v>
      </c>
      <c r="Q54" s="64">
        <v>9.1300000000000008</v>
      </c>
      <c r="R54" s="198"/>
      <c r="S54" s="198"/>
      <c r="T54" s="198"/>
      <c r="U54" s="198"/>
    </row>
    <row r="55" spans="1:21" s="12" customFormat="1" x14ac:dyDescent="0.25">
      <c r="A55" s="211" t="s">
        <v>2598</v>
      </c>
      <c r="B55" s="64">
        <v>6.59</v>
      </c>
      <c r="C55" s="64">
        <v>15.37</v>
      </c>
      <c r="D55" s="64">
        <v>13.31</v>
      </c>
      <c r="E55" s="64">
        <v>7.83</v>
      </c>
      <c r="F55" s="64">
        <v>8.2200000000000006</v>
      </c>
      <c r="G55" s="64">
        <v>65.39</v>
      </c>
      <c r="H55" s="64">
        <v>13.6</v>
      </c>
      <c r="I55" s="64">
        <v>2.6</v>
      </c>
      <c r="J55" s="64">
        <v>0.24</v>
      </c>
      <c r="K55" s="64">
        <v>128.16</v>
      </c>
      <c r="L55" s="64">
        <v>28.76</v>
      </c>
      <c r="M55" s="64">
        <v>76.02</v>
      </c>
      <c r="N55" s="64">
        <v>601.5</v>
      </c>
      <c r="O55" s="64">
        <v>0</v>
      </c>
      <c r="P55" s="64">
        <v>0.54</v>
      </c>
      <c r="Q55" s="64">
        <v>9.1</v>
      </c>
      <c r="R55" s="198"/>
      <c r="S55" s="198"/>
      <c r="T55" s="198"/>
      <c r="U55" s="198"/>
    </row>
    <row r="56" spans="1:21" s="12" customFormat="1" x14ac:dyDescent="0.25">
      <c r="A56" s="211" t="s">
        <v>2599</v>
      </c>
      <c r="B56" s="64">
        <v>6.93</v>
      </c>
      <c r="C56" s="64">
        <v>14.73</v>
      </c>
      <c r="D56" s="64">
        <v>13.25</v>
      </c>
      <c r="E56" s="64">
        <v>8.0299999999999994</v>
      </c>
      <c r="F56" s="64">
        <v>5.32</v>
      </c>
      <c r="G56" s="64">
        <v>65.39</v>
      </c>
      <c r="H56" s="64">
        <v>13.6</v>
      </c>
      <c r="I56" s="64">
        <v>2.57</v>
      </c>
      <c r="J56" s="64">
        <v>0.84</v>
      </c>
      <c r="K56" s="64">
        <v>129.72999999999999</v>
      </c>
      <c r="L56" s="64">
        <v>29.06</v>
      </c>
      <c r="M56" s="64">
        <v>69.97</v>
      </c>
      <c r="N56" s="64">
        <v>505.3</v>
      </c>
      <c r="O56" s="64">
        <v>0</v>
      </c>
      <c r="P56" s="64">
        <v>0.57999999999999996</v>
      </c>
      <c r="Q56" s="64">
        <v>9.08</v>
      </c>
      <c r="R56" s="198"/>
      <c r="S56" s="198"/>
      <c r="T56" s="198"/>
      <c r="U56" s="198"/>
    </row>
    <row r="57" spans="1:21" s="12" customFormat="1" x14ac:dyDescent="0.25">
      <c r="A57" s="211" t="s">
        <v>2600</v>
      </c>
      <c r="B57" s="64">
        <v>8.64</v>
      </c>
      <c r="C57" s="64">
        <v>14.6</v>
      </c>
      <c r="D57" s="64">
        <v>14.55</v>
      </c>
      <c r="E57" s="64">
        <v>8.15</v>
      </c>
      <c r="F57" s="64">
        <v>3.27</v>
      </c>
      <c r="G57" s="64">
        <v>47.25</v>
      </c>
      <c r="H57" s="64">
        <v>13.13</v>
      </c>
      <c r="I57" s="64">
        <v>2.5299999999999998</v>
      </c>
      <c r="J57" s="64">
        <v>0.32</v>
      </c>
      <c r="K57" s="64">
        <v>116.63</v>
      </c>
      <c r="L57" s="64">
        <v>28.95</v>
      </c>
      <c r="M57" s="64">
        <v>66.58</v>
      </c>
      <c r="N57" s="64">
        <v>489.8</v>
      </c>
      <c r="O57" s="64">
        <v>0</v>
      </c>
      <c r="P57" s="64">
        <v>0.43</v>
      </c>
      <c r="Q57" s="64">
        <v>9.08</v>
      </c>
      <c r="R57" s="198"/>
      <c r="S57" s="198"/>
      <c r="T57" s="198"/>
      <c r="U57" s="198"/>
    </row>
    <row r="58" spans="1:21" s="12" customFormat="1" x14ac:dyDescent="0.25">
      <c r="A58" s="211" t="s">
        <v>2601</v>
      </c>
      <c r="B58" s="64">
        <v>6.64</v>
      </c>
      <c r="C58" s="64">
        <v>10.33</v>
      </c>
      <c r="D58" s="64">
        <v>10.73</v>
      </c>
      <c r="E58" s="64">
        <v>8.0500000000000007</v>
      </c>
      <c r="F58" s="64">
        <v>8.5500000000000007</v>
      </c>
      <c r="G58" s="64">
        <v>42.39</v>
      </c>
      <c r="H58" s="64">
        <v>13.13</v>
      </c>
      <c r="I58" s="64">
        <v>2.48</v>
      </c>
      <c r="J58" s="64">
        <v>1.1599999999999999</v>
      </c>
      <c r="K58" s="64">
        <v>128.86000000000001</v>
      </c>
      <c r="L58" s="64">
        <v>29.21</v>
      </c>
      <c r="M58" s="64">
        <v>61.69</v>
      </c>
      <c r="N58" s="64">
        <v>519.20000000000005</v>
      </c>
      <c r="O58" s="64">
        <v>0</v>
      </c>
      <c r="P58" s="64">
        <v>0.36</v>
      </c>
      <c r="Q58" s="64">
        <v>9.07</v>
      </c>
      <c r="R58" s="198"/>
      <c r="S58" s="198"/>
      <c r="T58" s="198"/>
      <c r="U58" s="198"/>
    </row>
    <row r="59" spans="1:21" s="12" customFormat="1" x14ac:dyDescent="0.25">
      <c r="A59" s="211" t="s">
        <v>2602</v>
      </c>
      <c r="B59" s="64">
        <v>6.38</v>
      </c>
      <c r="C59" s="64">
        <v>11.2</v>
      </c>
      <c r="D59" s="64">
        <v>10.97</v>
      </c>
      <c r="E59" s="64">
        <v>7.1</v>
      </c>
      <c r="F59" s="64">
        <v>5.2</v>
      </c>
      <c r="G59" s="64">
        <v>42.39</v>
      </c>
      <c r="H59" s="64">
        <v>13.13</v>
      </c>
      <c r="I59" s="64">
        <v>2.44</v>
      </c>
      <c r="J59" s="64">
        <v>1.01</v>
      </c>
      <c r="K59" s="64">
        <v>123.02</v>
      </c>
      <c r="L59" s="64">
        <v>28.96</v>
      </c>
      <c r="M59" s="64">
        <v>60.91</v>
      </c>
      <c r="N59" s="64">
        <v>708.6</v>
      </c>
      <c r="O59" s="64">
        <v>0</v>
      </c>
      <c r="P59" s="64">
        <v>0.41</v>
      </c>
      <c r="Q59" s="64">
        <v>9.0500000000000007</v>
      </c>
      <c r="R59" s="198"/>
      <c r="S59" s="198"/>
      <c r="T59" s="198"/>
      <c r="U59" s="198"/>
    </row>
    <row r="60" spans="1:21" s="12" customFormat="1" x14ac:dyDescent="0.25">
      <c r="A60" s="211" t="s">
        <v>2603</v>
      </c>
      <c r="B60" s="64">
        <v>7.53</v>
      </c>
      <c r="C60" s="64">
        <v>12.66</v>
      </c>
      <c r="D60" s="64">
        <v>12.66</v>
      </c>
      <c r="E60" s="64">
        <v>7.13</v>
      </c>
      <c r="F60" s="64">
        <v>10.09</v>
      </c>
      <c r="G60" s="64">
        <v>42.39</v>
      </c>
      <c r="H60" s="64">
        <v>13.13</v>
      </c>
      <c r="I60" s="64">
        <v>2.35</v>
      </c>
      <c r="J60" s="64">
        <v>0.76</v>
      </c>
      <c r="K60" s="64">
        <v>127.63</v>
      </c>
      <c r="L60" s="64">
        <v>29.77</v>
      </c>
      <c r="M60" s="64">
        <v>57.57</v>
      </c>
      <c r="N60" s="64">
        <v>627.9</v>
      </c>
      <c r="O60" s="64">
        <v>0</v>
      </c>
      <c r="P60" s="64">
        <v>0.31</v>
      </c>
      <c r="Q60" s="64">
        <v>9.0399999999999991</v>
      </c>
      <c r="R60" s="198"/>
      <c r="S60" s="198"/>
      <c r="T60" s="198"/>
      <c r="U60" s="198"/>
    </row>
    <row r="61" spans="1:21" s="12" customFormat="1" x14ac:dyDescent="0.25">
      <c r="A61" s="211" t="s">
        <v>2604</v>
      </c>
      <c r="B61" s="64">
        <v>6.14</v>
      </c>
      <c r="C61" s="64">
        <v>12.18</v>
      </c>
      <c r="D61" s="64">
        <v>11.29</v>
      </c>
      <c r="E61" s="64">
        <v>6.76</v>
      </c>
      <c r="F61" s="64">
        <v>3.5</v>
      </c>
      <c r="G61" s="64">
        <v>30.16</v>
      </c>
      <c r="H61" s="64">
        <v>14.06</v>
      </c>
      <c r="I61" s="64">
        <v>2.08</v>
      </c>
      <c r="J61" s="64">
        <v>0.12</v>
      </c>
      <c r="K61" s="64">
        <v>96.32</v>
      </c>
      <c r="L61" s="64">
        <v>29.88</v>
      </c>
      <c r="M61" s="64">
        <v>55.23</v>
      </c>
      <c r="N61" s="64">
        <v>273.3</v>
      </c>
      <c r="O61" s="64">
        <v>0</v>
      </c>
      <c r="P61" s="64">
        <v>0.38</v>
      </c>
      <c r="Q61" s="64">
        <v>9.02</v>
      </c>
      <c r="R61" s="198"/>
      <c r="S61" s="198"/>
      <c r="T61" s="198"/>
      <c r="U61" s="198"/>
    </row>
    <row r="62" spans="1:21" s="12" customFormat="1" x14ac:dyDescent="0.25">
      <c r="A62" s="211" t="s">
        <v>2605</v>
      </c>
      <c r="B62" s="64">
        <v>5.56</v>
      </c>
      <c r="C62" s="64">
        <v>10.84</v>
      </c>
      <c r="D62" s="64">
        <v>10.130000000000001</v>
      </c>
      <c r="E62" s="64">
        <v>6.11</v>
      </c>
      <c r="F62" s="64">
        <v>7.03</v>
      </c>
      <c r="G62" s="64">
        <v>26.89</v>
      </c>
      <c r="H62" s="64">
        <v>14.06</v>
      </c>
      <c r="I62" s="64">
        <v>1.9</v>
      </c>
      <c r="J62" s="64">
        <v>1.04</v>
      </c>
      <c r="K62" s="64">
        <v>130.02000000000001</v>
      </c>
      <c r="L62" s="64">
        <v>29.09</v>
      </c>
      <c r="M62" s="64">
        <v>59.26</v>
      </c>
      <c r="N62" s="64">
        <v>246.8</v>
      </c>
      <c r="O62" s="64">
        <v>0</v>
      </c>
      <c r="P62" s="64">
        <v>0.34</v>
      </c>
      <c r="Q62" s="64">
        <v>9.0299999999999994</v>
      </c>
      <c r="R62" s="198"/>
      <c r="S62" s="198"/>
      <c r="T62" s="198"/>
      <c r="U62" s="198"/>
    </row>
    <row r="63" spans="1:21" s="12" customFormat="1" x14ac:dyDescent="0.25">
      <c r="A63" s="211" t="s">
        <v>2606</v>
      </c>
      <c r="B63" s="64">
        <v>7.6</v>
      </c>
      <c r="C63" s="64">
        <v>12.69</v>
      </c>
      <c r="D63" s="64">
        <v>12.72</v>
      </c>
      <c r="E63" s="64">
        <v>6.29</v>
      </c>
      <c r="F63" s="64">
        <v>7.25</v>
      </c>
      <c r="G63" s="64">
        <v>26.89</v>
      </c>
      <c r="H63" s="64">
        <v>14.06</v>
      </c>
      <c r="I63" s="64">
        <v>1.87</v>
      </c>
      <c r="J63" s="64">
        <v>0.25</v>
      </c>
      <c r="K63" s="64">
        <v>115.78</v>
      </c>
      <c r="L63" s="64">
        <v>29.28</v>
      </c>
      <c r="M63" s="64">
        <v>59.15</v>
      </c>
      <c r="N63" s="64">
        <v>250.8</v>
      </c>
      <c r="O63" s="64">
        <v>0</v>
      </c>
      <c r="P63" s="64">
        <v>0.42</v>
      </c>
      <c r="Q63" s="64">
        <v>9.02</v>
      </c>
      <c r="R63" s="198"/>
      <c r="S63" s="198"/>
      <c r="T63" s="198"/>
      <c r="U63" s="198"/>
    </row>
    <row r="64" spans="1:21" s="12" customFormat="1" x14ac:dyDescent="0.25">
      <c r="A64" s="211" t="s">
        <v>2607</v>
      </c>
      <c r="B64" s="64">
        <v>6.35</v>
      </c>
      <c r="C64" s="64">
        <v>11.48</v>
      </c>
      <c r="D64" s="64">
        <v>11.08</v>
      </c>
      <c r="E64" s="64">
        <v>7.14</v>
      </c>
      <c r="F64" s="64">
        <v>8.25</v>
      </c>
      <c r="G64" s="64">
        <v>26.89</v>
      </c>
      <c r="H64" s="64">
        <v>14.06</v>
      </c>
      <c r="I64" s="64">
        <v>1.83</v>
      </c>
      <c r="J64" s="64">
        <v>0.49</v>
      </c>
      <c r="K64" s="64">
        <v>115.84</v>
      </c>
      <c r="L64" s="64">
        <v>29.44</v>
      </c>
      <c r="M64" s="64">
        <v>57.6</v>
      </c>
      <c r="N64" s="64">
        <v>211.9</v>
      </c>
      <c r="O64" s="64">
        <v>0</v>
      </c>
      <c r="P64" s="64">
        <v>0.35</v>
      </c>
      <c r="Q64" s="64">
        <v>9.02</v>
      </c>
      <c r="R64" s="198"/>
      <c r="S64" s="198"/>
      <c r="T64" s="198"/>
      <c r="U64" s="198"/>
    </row>
    <row r="65" spans="1:21" s="12" customFormat="1" x14ac:dyDescent="0.25">
      <c r="A65" s="211" t="s">
        <v>2608</v>
      </c>
      <c r="B65" s="64">
        <v>6.2</v>
      </c>
      <c r="C65" s="64">
        <v>10.32</v>
      </c>
      <c r="D65" s="64">
        <v>10.37</v>
      </c>
      <c r="E65" s="64">
        <v>6.85</v>
      </c>
      <c r="F65" s="64">
        <v>7.95</v>
      </c>
      <c r="G65" s="64">
        <v>49.39</v>
      </c>
      <c r="H65" s="64">
        <v>13.86</v>
      </c>
      <c r="I65" s="64">
        <v>1.81</v>
      </c>
      <c r="J65" s="64">
        <v>0.51</v>
      </c>
      <c r="K65" s="64">
        <v>123.88</v>
      </c>
      <c r="L65" s="64">
        <v>28.7</v>
      </c>
      <c r="M65" s="64">
        <v>61.22</v>
      </c>
      <c r="N65" s="64">
        <v>187.2</v>
      </c>
      <c r="O65" s="64">
        <v>0</v>
      </c>
      <c r="P65" s="64">
        <v>0.32</v>
      </c>
      <c r="Q65" s="64">
        <v>9.02</v>
      </c>
      <c r="R65" s="198"/>
      <c r="S65" s="198"/>
      <c r="T65" s="198"/>
      <c r="U65" s="198"/>
    </row>
    <row r="66" spans="1:21" s="12" customFormat="1" x14ac:dyDescent="0.25">
      <c r="A66" s="211" t="s">
        <v>2609</v>
      </c>
      <c r="B66" s="64">
        <v>8.7100000000000009</v>
      </c>
      <c r="C66" s="64">
        <v>14.3</v>
      </c>
      <c r="D66" s="64">
        <v>14.45</v>
      </c>
      <c r="E66" s="64">
        <v>7.32</v>
      </c>
      <c r="F66" s="64">
        <v>6.57</v>
      </c>
      <c r="G66" s="64">
        <v>55.41</v>
      </c>
      <c r="H66" s="64">
        <v>13.86</v>
      </c>
      <c r="I66" s="64">
        <v>1.79</v>
      </c>
      <c r="J66" s="64">
        <v>0.39</v>
      </c>
      <c r="K66" s="64">
        <v>117.65</v>
      </c>
      <c r="L66" s="64">
        <v>28.86</v>
      </c>
      <c r="M66" s="64">
        <v>60.36</v>
      </c>
      <c r="N66" s="64">
        <v>183.7</v>
      </c>
      <c r="O66" s="64">
        <v>0</v>
      </c>
      <c r="P66" s="64">
        <v>0.43</v>
      </c>
      <c r="Q66" s="64">
        <v>9.0399999999999991</v>
      </c>
      <c r="R66" s="198"/>
      <c r="S66" s="198"/>
      <c r="T66" s="198"/>
      <c r="U66" s="198"/>
    </row>
    <row r="67" spans="1:21" s="12" customFormat="1" x14ac:dyDescent="0.25">
      <c r="A67" s="211" t="s">
        <v>2610</v>
      </c>
      <c r="B67" s="64">
        <v>6.49</v>
      </c>
      <c r="C67" s="64">
        <v>11.18</v>
      </c>
      <c r="D67" s="64">
        <v>11.05</v>
      </c>
      <c r="E67" s="64">
        <v>7.02</v>
      </c>
      <c r="F67" s="64">
        <v>8.42</v>
      </c>
      <c r="G67" s="64">
        <v>55.41</v>
      </c>
      <c r="H67" s="64">
        <v>13.86</v>
      </c>
      <c r="I67" s="64">
        <v>1.76</v>
      </c>
      <c r="J67" s="64">
        <v>0.55000000000000004</v>
      </c>
      <c r="K67" s="64">
        <v>130.63</v>
      </c>
      <c r="L67" s="64">
        <v>28.61</v>
      </c>
      <c r="M67" s="64">
        <v>60.19</v>
      </c>
      <c r="N67" s="64">
        <v>176.8</v>
      </c>
      <c r="O67" s="64">
        <v>0</v>
      </c>
      <c r="P67" s="64">
        <v>0.37</v>
      </c>
      <c r="Q67" s="64">
        <v>9.0299999999999994</v>
      </c>
      <c r="R67" s="198"/>
      <c r="S67" s="198"/>
      <c r="T67" s="198"/>
      <c r="U67" s="198"/>
    </row>
    <row r="68" spans="1:21" s="12" customFormat="1" x14ac:dyDescent="0.25">
      <c r="A68" s="211" t="s">
        <v>2611</v>
      </c>
      <c r="B68" s="64">
        <v>10.45</v>
      </c>
      <c r="C68" s="64">
        <v>15.89</v>
      </c>
      <c r="D68" s="64">
        <v>16.649999999999999</v>
      </c>
      <c r="E68" s="64">
        <v>7.58</v>
      </c>
      <c r="F68" s="64">
        <v>7.66</v>
      </c>
      <c r="G68" s="64">
        <v>55.41</v>
      </c>
      <c r="H68" s="64">
        <v>13.86</v>
      </c>
      <c r="I68" s="64">
        <v>1.73</v>
      </c>
      <c r="J68" s="64">
        <v>0.26</v>
      </c>
      <c r="K68" s="64">
        <v>122.83</v>
      </c>
      <c r="L68" s="64">
        <v>28.57</v>
      </c>
      <c r="M68" s="64">
        <v>63.02</v>
      </c>
      <c r="N68" s="64">
        <v>161.30000000000001</v>
      </c>
      <c r="O68" s="64">
        <v>0</v>
      </c>
      <c r="P68" s="64">
        <v>0.45</v>
      </c>
      <c r="Q68" s="64">
        <v>9.0500000000000007</v>
      </c>
      <c r="R68" s="198"/>
      <c r="S68" s="198"/>
      <c r="T68" s="198"/>
      <c r="U68" s="198"/>
    </row>
    <row r="69" spans="1:21" s="12" customFormat="1" x14ac:dyDescent="0.25">
      <c r="A69" s="211" t="s">
        <v>2612</v>
      </c>
      <c r="B69" s="64">
        <v>5.43</v>
      </c>
      <c r="C69" s="64">
        <v>11.51</v>
      </c>
      <c r="D69" s="64">
        <v>10.36</v>
      </c>
      <c r="E69" s="64">
        <v>7.37</v>
      </c>
      <c r="F69" s="64">
        <v>11.34</v>
      </c>
      <c r="G69" s="64">
        <v>33.51</v>
      </c>
      <c r="H69" s="64">
        <v>13.79</v>
      </c>
      <c r="I69" s="64">
        <v>1.71</v>
      </c>
      <c r="J69" s="64">
        <v>0.87</v>
      </c>
      <c r="K69" s="64">
        <v>131.74</v>
      </c>
      <c r="L69" s="64">
        <v>27.99</v>
      </c>
      <c r="M69" s="64">
        <v>64.599999999999994</v>
      </c>
      <c r="N69" s="64">
        <v>110.9</v>
      </c>
      <c r="O69" s="64">
        <v>0</v>
      </c>
      <c r="P69" s="64">
        <v>0.33</v>
      </c>
      <c r="Q69" s="64">
        <v>9.06</v>
      </c>
      <c r="R69" s="198"/>
      <c r="S69" s="198"/>
      <c r="T69" s="198"/>
      <c r="U69" s="198"/>
    </row>
    <row r="70" spans="1:21" s="12" customFormat="1" x14ac:dyDescent="0.25">
      <c r="A70" s="211" t="s">
        <v>2613</v>
      </c>
      <c r="B70" s="64">
        <v>6.29</v>
      </c>
      <c r="C70" s="64">
        <v>13.04</v>
      </c>
      <c r="D70" s="64">
        <v>11.86</v>
      </c>
      <c r="E70" s="64">
        <v>7.24</v>
      </c>
      <c r="F70" s="64">
        <v>7.78</v>
      </c>
      <c r="G70" s="64">
        <v>27.65</v>
      </c>
      <c r="H70" s="64">
        <v>13.79</v>
      </c>
      <c r="I70" s="64">
        <v>1.7</v>
      </c>
      <c r="J70" s="64">
        <v>0.39</v>
      </c>
      <c r="K70" s="64">
        <v>133.33000000000001</v>
      </c>
      <c r="L70" s="64">
        <v>27.7</v>
      </c>
      <c r="M70" s="64">
        <v>66.67</v>
      </c>
      <c r="N70" s="64">
        <v>83.7</v>
      </c>
      <c r="O70" s="64">
        <v>0</v>
      </c>
      <c r="P70" s="64">
        <v>0.37</v>
      </c>
      <c r="Q70" s="64">
        <v>9.06</v>
      </c>
      <c r="R70" s="198"/>
      <c r="S70" s="198"/>
      <c r="T70" s="198"/>
      <c r="U70" s="198"/>
    </row>
    <row r="71" spans="1:21" s="12" customFormat="1" x14ac:dyDescent="0.25">
      <c r="A71" s="211" t="s">
        <v>2614</v>
      </c>
      <c r="B71" s="64">
        <v>6</v>
      </c>
      <c r="C71" s="64">
        <v>9.19</v>
      </c>
      <c r="D71" s="64">
        <v>9.61</v>
      </c>
      <c r="E71" s="64">
        <v>7.27</v>
      </c>
      <c r="F71" s="64">
        <v>7.7</v>
      </c>
      <c r="G71" s="64">
        <v>27.65</v>
      </c>
      <c r="H71" s="64">
        <v>13.79</v>
      </c>
      <c r="I71" s="64">
        <v>1.69</v>
      </c>
      <c r="J71" s="64">
        <v>0.56000000000000005</v>
      </c>
      <c r="K71" s="64">
        <v>128.27000000000001</v>
      </c>
      <c r="L71" s="64">
        <v>27.51</v>
      </c>
      <c r="M71" s="64">
        <v>69.72</v>
      </c>
      <c r="N71" s="64">
        <v>92.2</v>
      </c>
      <c r="O71" s="64">
        <v>0</v>
      </c>
      <c r="P71" s="64">
        <v>0.35</v>
      </c>
      <c r="Q71" s="64">
        <v>9.0399999999999991</v>
      </c>
      <c r="R71" s="198"/>
      <c r="S71" s="198"/>
      <c r="T71" s="198"/>
      <c r="U71" s="198"/>
    </row>
    <row r="72" spans="1:21" s="12" customFormat="1" x14ac:dyDescent="0.25">
      <c r="A72" s="211" t="s">
        <v>2615</v>
      </c>
      <c r="B72" s="64">
        <v>9.9</v>
      </c>
      <c r="C72" s="64">
        <v>15.49</v>
      </c>
      <c r="D72" s="64">
        <v>16.04</v>
      </c>
      <c r="E72" s="64">
        <v>6.02</v>
      </c>
      <c r="F72" s="64">
        <v>8.26</v>
      </c>
      <c r="G72" s="64">
        <v>27.65</v>
      </c>
      <c r="H72" s="64">
        <v>13.79</v>
      </c>
      <c r="I72" s="64">
        <v>1.67</v>
      </c>
      <c r="J72" s="64">
        <v>0.28000000000000003</v>
      </c>
      <c r="K72" s="64">
        <v>140.11000000000001</v>
      </c>
      <c r="L72" s="64">
        <v>27.63</v>
      </c>
      <c r="M72" s="64">
        <v>71.13</v>
      </c>
      <c r="N72" s="64">
        <v>93.4</v>
      </c>
      <c r="O72" s="64">
        <v>0</v>
      </c>
      <c r="P72" s="64">
        <v>0.51</v>
      </c>
      <c r="Q72" s="64">
        <v>9.0299999999999994</v>
      </c>
      <c r="R72" s="198"/>
      <c r="S72" s="198"/>
      <c r="T72" s="198"/>
      <c r="U72" s="198"/>
    </row>
    <row r="73" spans="1:21" s="12" customFormat="1" x14ac:dyDescent="0.25">
      <c r="A73" s="211" t="s">
        <v>2616</v>
      </c>
      <c r="B73" s="64">
        <v>5.9</v>
      </c>
      <c r="C73" s="64">
        <v>11.68</v>
      </c>
      <c r="D73" s="64">
        <v>10.83</v>
      </c>
      <c r="E73" s="64">
        <v>6.76</v>
      </c>
      <c r="F73" s="64">
        <v>11.1</v>
      </c>
      <c r="G73" s="64">
        <v>32.76</v>
      </c>
      <c r="H73" s="64">
        <v>13.88</v>
      </c>
      <c r="I73" s="64">
        <v>1.64</v>
      </c>
      <c r="J73" s="64">
        <v>0.97</v>
      </c>
      <c r="K73" s="64">
        <v>128.28</v>
      </c>
      <c r="L73" s="64">
        <v>27.32</v>
      </c>
      <c r="M73" s="64">
        <v>73.010000000000005</v>
      </c>
      <c r="N73" s="64">
        <v>84.6</v>
      </c>
      <c r="O73" s="64">
        <v>0</v>
      </c>
      <c r="P73" s="64">
        <v>0.35</v>
      </c>
      <c r="Q73" s="64">
        <v>9.02</v>
      </c>
      <c r="R73" s="198"/>
      <c r="S73" s="198"/>
      <c r="T73" s="198"/>
      <c r="U73" s="198"/>
    </row>
    <row r="74" spans="1:21" s="12" customFormat="1" x14ac:dyDescent="0.25">
      <c r="A74" s="211" t="s">
        <v>2617</v>
      </c>
      <c r="B74" s="64">
        <v>7.51</v>
      </c>
      <c r="C74" s="64">
        <v>17.03</v>
      </c>
      <c r="D74" s="64">
        <v>14.92</v>
      </c>
      <c r="E74" s="64">
        <v>7.02</v>
      </c>
      <c r="F74" s="64">
        <v>7.7</v>
      </c>
      <c r="G74" s="64">
        <v>34.130000000000003</v>
      </c>
      <c r="H74" s="64">
        <v>13.88</v>
      </c>
      <c r="I74" s="64">
        <v>1.62</v>
      </c>
      <c r="J74" s="64">
        <v>0.16</v>
      </c>
      <c r="K74" s="64">
        <v>126.74</v>
      </c>
      <c r="L74" s="64">
        <v>27.31</v>
      </c>
      <c r="M74" s="64">
        <v>72.25</v>
      </c>
      <c r="N74" s="64">
        <v>80</v>
      </c>
      <c r="O74" s="64">
        <v>0</v>
      </c>
      <c r="P74" s="64">
        <v>0.46</v>
      </c>
      <c r="Q74" s="64">
        <v>9.01</v>
      </c>
      <c r="R74" s="198"/>
      <c r="S74" s="198"/>
      <c r="T74" s="198"/>
      <c r="U74" s="198"/>
    </row>
    <row r="75" spans="1:21" s="12" customFormat="1" x14ac:dyDescent="0.25">
      <c r="A75" s="211" t="s">
        <v>2618</v>
      </c>
      <c r="B75" s="64">
        <v>5.3</v>
      </c>
      <c r="C75" s="64">
        <v>15.35</v>
      </c>
      <c r="D75" s="64">
        <v>12.27</v>
      </c>
      <c r="E75" s="64">
        <v>7.05</v>
      </c>
      <c r="F75" s="64">
        <v>7.36</v>
      </c>
      <c r="G75" s="64">
        <v>34.130000000000003</v>
      </c>
      <c r="H75" s="64">
        <v>13.88</v>
      </c>
      <c r="I75" s="64">
        <v>1.58</v>
      </c>
      <c r="J75" s="64">
        <v>0.63</v>
      </c>
      <c r="K75" s="64">
        <v>133.25</v>
      </c>
      <c r="L75" s="64">
        <v>27.24</v>
      </c>
      <c r="M75" s="64">
        <v>71.569999999999993</v>
      </c>
      <c r="N75" s="64">
        <v>68.2</v>
      </c>
      <c r="O75" s="64">
        <v>0</v>
      </c>
      <c r="P75" s="64">
        <v>0.43</v>
      </c>
      <c r="Q75" s="64">
        <v>8.99</v>
      </c>
      <c r="R75" s="198"/>
      <c r="S75" s="198"/>
      <c r="T75" s="198"/>
      <c r="U75" s="198"/>
    </row>
    <row r="76" spans="1:21" s="12" customFormat="1" x14ac:dyDescent="0.25">
      <c r="A76" s="211" t="s">
        <v>2619</v>
      </c>
      <c r="B76" s="64">
        <v>4.84</v>
      </c>
      <c r="C76" s="64">
        <v>13.35</v>
      </c>
      <c r="D76" s="64">
        <v>10.86</v>
      </c>
      <c r="E76" s="64">
        <v>7.1</v>
      </c>
      <c r="F76" s="64">
        <v>8.75</v>
      </c>
      <c r="G76" s="64">
        <v>34.130000000000003</v>
      </c>
      <c r="H76" s="64">
        <v>13.88</v>
      </c>
      <c r="I76" s="64">
        <v>1.54</v>
      </c>
      <c r="J76" s="64">
        <v>0.48</v>
      </c>
      <c r="K76" s="64">
        <v>133.66</v>
      </c>
      <c r="L76" s="64">
        <v>27.24</v>
      </c>
      <c r="M76" s="64">
        <v>70.489999999999995</v>
      </c>
      <c r="N76" s="64">
        <v>54.9</v>
      </c>
      <c r="O76" s="64">
        <v>0</v>
      </c>
      <c r="P76" s="64">
        <v>0.39</v>
      </c>
      <c r="Q76" s="64">
        <v>8.98</v>
      </c>
      <c r="R76" s="198"/>
      <c r="S76" s="198"/>
      <c r="T76" s="198"/>
      <c r="U76" s="198"/>
    </row>
    <row r="77" spans="1:21" s="12" customFormat="1" x14ac:dyDescent="0.25">
      <c r="A77" s="211" t="s">
        <v>2620</v>
      </c>
      <c r="B77" s="64">
        <v>6.2</v>
      </c>
      <c r="C77" s="64">
        <v>19.809999999999999</v>
      </c>
      <c r="D77" s="64">
        <v>15.32</v>
      </c>
      <c r="E77" s="64">
        <v>7.3</v>
      </c>
      <c r="F77" s="64">
        <v>6.28</v>
      </c>
      <c r="G77" s="64">
        <v>29.87</v>
      </c>
      <c r="H77" s="64">
        <v>13.75</v>
      </c>
      <c r="I77" s="64">
        <v>1.54</v>
      </c>
      <c r="J77" s="64">
        <v>0.19</v>
      </c>
      <c r="K77" s="64">
        <v>129.13</v>
      </c>
      <c r="L77" s="64">
        <v>26.98</v>
      </c>
      <c r="M77" s="64">
        <v>70.680000000000007</v>
      </c>
      <c r="N77" s="64">
        <v>46.1</v>
      </c>
      <c r="O77" s="64">
        <v>0</v>
      </c>
      <c r="P77" s="64">
        <v>0.62</v>
      </c>
      <c r="Q77" s="64">
        <v>8.99</v>
      </c>
      <c r="R77" s="198"/>
      <c r="S77" s="198"/>
      <c r="T77" s="198"/>
      <c r="U77" s="198"/>
    </row>
    <row r="78" spans="1:21" s="12" customFormat="1" x14ac:dyDescent="0.25">
      <c r="A78" s="211" t="s">
        <v>2621</v>
      </c>
      <c r="B78" s="64">
        <v>5.41</v>
      </c>
      <c r="C78" s="64">
        <v>19.059999999999999</v>
      </c>
      <c r="D78" s="64">
        <v>14.3</v>
      </c>
      <c r="E78" s="64">
        <v>7.09</v>
      </c>
      <c r="F78" s="64">
        <v>6.17</v>
      </c>
      <c r="G78" s="64">
        <v>28.73</v>
      </c>
      <c r="H78" s="64">
        <v>13.75</v>
      </c>
      <c r="I78" s="64">
        <v>1.55</v>
      </c>
      <c r="J78" s="64">
        <v>0.22</v>
      </c>
      <c r="K78" s="64">
        <v>124.81</v>
      </c>
      <c r="L78" s="64">
        <v>26.82</v>
      </c>
      <c r="M78" s="64">
        <v>72.09</v>
      </c>
      <c r="N78" s="64">
        <v>42.5</v>
      </c>
      <c r="O78" s="64">
        <v>0</v>
      </c>
      <c r="P78" s="64">
        <v>0.53</v>
      </c>
      <c r="Q78" s="64">
        <v>8.98</v>
      </c>
      <c r="R78" s="198"/>
      <c r="S78" s="198"/>
      <c r="T78" s="198"/>
      <c r="U78" s="198"/>
    </row>
    <row r="79" spans="1:21" s="12" customFormat="1" x14ac:dyDescent="0.25">
      <c r="A79" s="211" t="s">
        <v>2622</v>
      </c>
      <c r="B79" s="64">
        <v>10.88</v>
      </c>
      <c r="C79" s="64">
        <v>25.35</v>
      </c>
      <c r="D79" s="64">
        <v>21.97</v>
      </c>
      <c r="E79" s="64">
        <v>6.78</v>
      </c>
      <c r="F79" s="64">
        <v>3.17</v>
      </c>
      <c r="G79" s="64">
        <v>28.73</v>
      </c>
      <c r="H79" s="64">
        <v>13.75</v>
      </c>
      <c r="I79" s="64">
        <v>1.57</v>
      </c>
      <c r="J79" s="64">
        <v>0.05</v>
      </c>
      <c r="K79" s="64">
        <v>160.78</v>
      </c>
      <c r="L79" s="64">
        <v>26.71</v>
      </c>
      <c r="M79" s="64">
        <v>73.94</v>
      </c>
      <c r="N79" s="64">
        <v>41.5</v>
      </c>
      <c r="O79" s="64">
        <v>0</v>
      </c>
      <c r="P79" s="64">
        <v>0.76</v>
      </c>
      <c r="Q79" s="64">
        <v>8.98</v>
      </c>
      <c r="R79" s="198"/>
      <c r="S79" s="198"/>
      <c r="T79" s="198"/>
      <c r="U79" s="198"/>
    </row>
    <row r="80" spans="1:21" s="12" customFormat="1" x14ac:dyDescent="0.25">
      <c r="A80" s="211" t="s">
        <v>2623</v>
      </c>
      <c r="B80" s="64">
        <v>11.12</v>
      </c>
      <c r="C80" s="64">
        <v>28.53</v>
      </c>
      <c r="D80" s="64">
        <v>23.83</v>
      </c>
      <c r="E80" s="64">
        <v>7.13</v>
      </c>
      <c r="F80" s="64">
        <v>2.1</v>
      </c>
      <c r="G80" s="64">
        <v>28.73</v>
      </c>
      <c r="H80" s="64">
        <v>13.75</v>
      </c>
      <c r="I80" s="64">
        <v>1.61</v>
      </c>
      <c r="J80" s="64">
        <v>0.02</v>
      </c>
      <c r="K80" s="64">
        <v>249.09</v>
      </c>
      <c r="L80" s="64">
        <v>26.7</v>
      </c>
      <c r="M80" s="64">
        <v>75.91</v>
      </c>
      <c r="N80" s="64">
        <v>41.5</v>
      </c>
      <c r="O80" s="64">
        <v>0</v>
      </c>
      <c r="P80" s="64">
        <v>1.03</v>
      </c>
      <c r="Q80" s="64">
        <v>8.98</v>
      </c>
      <c r="R80" s="198"/>
      <c r="S80" s="198"/>
      <c r="T80" s="198"/>
      <c r="U80" s="198"/>
    </row>
    <row r="81" spans="1:26" s="12" customFormat="1" x14ac:dyDescent="0.25">
      <c r="A81" s="211" t="s">
        <v>2624</v>
      </c>
      <c r="B81" s="64">
        <v>15.6</v>
      </c>
      <c r="C81" s="64">
        <v>30.75</v>
      </c>
      <c r="D81" s="64">
        <v>28.58</v>
      </c>
      <c r="E81" s="64">
        <v>7.22</v>
      </c>
      <c r="F81" s="64">
        <v>2.5499999999999998</v>
      </c>
      <c r="G81" s="64">
        <v>59.44</v>
      </c>
      <c r="H81" s="64">
        <v>13.4</v>
      </c>
      <c r="I81" s="64">
        <v>1.65</v>
      </c>
      <c r="J81" s="64">
        <v>0.02</v>
      </c>
      <c r="K81" s="64">
        <v>154.12</v>
      </c>
      <c r="L81" s="64">
        <v>26.5</v>
      </c>
      <c r="M81" s="64">
        <v>77.95</v>
      </c>
      <c r="N81" s="64">
        <v>41.5</v>
      </c>
      <c r="O81" s="64">
        <v>0</v>
      </c>
      <c r="P81" s="64">
        <v>1.1399999999999999</v>
      </c>
      <c r="Q81" s="64">
        <v>9.01</v>
      </c>
      <c r="R81" s="198"/>
      <c r="S81" s="198"/>
      <c r="T81" s="198"/>
      <c r="U81" s="198"/>
    </row>
    <row r="82" spans="1:26" s="12" customFormat="1" x14ac:dyDescent="0.25">
      <c r="A82" s="211" t="s">
        <v>2625</v>
      </c>
      <c r="B82" s="64">
        <v>14</v>
      </c>
      <c r="C82" s="64">
        <v>28.63</v>
      </c>
      <c r="D82" s="64">
        <v>26.18</v>
      </c>
      <c r="E82" s="64">
        <v>7.18</v>
      </c>
      <c r="F82" s="64">
        <v>2.5499999999999998</v>
      </c>
      <c r="G82" s="64">
        <v>67.650000000000006</v>
      </c>
      <c r="H82" s="64">
        <v>13.4</v>
      </c>
      <c r="I82" s="64">
        <v>1.71</v>
      </c>
      <c r="J82" s="64">
        <v>7.0000000000000007E-2</v>
      </c>
      <c r="K82" s="64">
        <v>266.83</v>
      </c>
      <c r="L82" s="64">
        <v>26.41</v>
      </c>
      <c r="M82" s="64">
        <v>78.959999999999994</v>
      </c>
      <c r="N82" s="64">
        <v>41.5</v>
      </c>
      <c r="O82" s="64">
        <v>0</v>
      </c>
      <c r="P82" s="64">
        <v>1.03</v>
      </c>
      <c r="Q82" s="64">
        <v>9.0299999999999994</v>
      </c>
      <c r="R82" s="198"/>
      <c r="S82" s="198"/>
      <c r="T82" s="198"/>
      <c r="U82" s="198"/>
    </row>
    <row r="83" spans="1:26" s="12" customFormat="1" x14ac:dyDescent="0.25">
      <c r="A83" s="211" t="s">
        <v>2626</v>
      </c>
      <c r="B83" s="64">
        <v>9.7899999999999991</v>
      </c>
      <c r="C83" s="64">
        <v>25.51</v>
      </c>
      <c r="D83" s="64">
        <v>21.18</v>
      </c>
      <c r="E83" s="64">
        <v>7.07</v>
      </c>
      <c r="F83" s="64">
        <v>2.27</v>
      </c>
      <c r="G83" s="64">
        <v>67.650000000000006</v>
      </c>
      <c r="H83" s="64">
        <v>13.4</v>
      </c>
      <c r="I83" s="64">
        <v>1.8</v>
      </c>
      <c r="J83" s="64">
        <v>0.04</v>
      </c>
      <c r="K83" s="64">
        <v>150.09</v>
      </c>
      <c r="L83" s="64">
        <v>26.39</v>
      </c>
      <c r="M83" s="64">
        <v>79.75</v>
      </c>
      <c r="N83" s="64">
        <v>41.2</v>
      </c>
      <c r="O83" s="64">
        <v>0</v>
      </c>
      <c r="P83" s="64">
        <v>1.02</v>
      </c>
      <c r="Q83" s="64">
        <v>9.06</v>
      </c>
      <c r="R83" s="198"/>
      <c r="S83" s="198"/>
      <c r="T83" s="198"/>
      <c r="U83" s="198"/>
    </row>
    <row r="84" spans="1:26" s="12" customFormat="1" x14ac:dyDescent="0.25">
      <c r="A84" s="211" t="s">
        <v>2627</v>
      </c>
      <c r="B84" s="64">
        <v>12.99</v>
      </c>
      <c r="C84" s="64">
        <v>26.25</v>
      </c>
      <c r="D84" s="64">
        <v>24.13</v>
      </c>
      <c r="E84" s="64">
        <v>7.46</v>
      </c>
      <c r="F84" s="64">
        <v>2.93</v>
      </c>
      <c r="G84" s="64">
        <v>67.650000000000006</v>
      </c>
      <c r="H84" s="64">
        <v>13.4</v>
      </c>
      <c r="I84" s="64">
        <v>1.89</v>
      </c>
      <c r="J84" s="64">
        <v>0.04</v>
      </c>
      <c r="K84" s="64">
        <v>145.91</v>
      </c>
      <c r="L84" s="64">
        <v>26.38</v>
      </c>
      <c r="M84" s="64">
        <v>81.97</v>
      </c>
      <c r="N84" s="64">
        <v>41.2</v>
      </c>
      <c r="O84" s="64">
        <v>0</v>
      </c>
      <c r="P84" s="64">
        <v>0.96</v>
      </c>
      <c r="Q84" s="64">
        <v>9.07</v>
      </c>
      <c r="R84" s="198"/>
      <c r="S84" s="198"/>
      <c r="T84" s="198"/>
      <c r="U84" s="198"/>
    </row>
    <row r="85" spans="1:26" s="12" customFormat="1" x14ac:dyDescent="0.25">
      <c r="A85" s="211" t="s">
        <v>2628</v>
      </c>
      <c r="B85" s="64">
        <v>11.23</v>
      </c>
      <c r="C85" s="64">
        <v>25.3</v>
      </c>
      <c r="D85" s="64">
        <v>22.23</v>
      </c>
      <c r="E85" s="64">
        <v>7.39</v>
      </c>
      <c r="F85" s="64">
        <v>2.38</v>
      </c>
      <c r="G85" s="64">
        <v>70.8</v>
      </c>
      <c r="H85" s="64">
        <v>13.13</v>
      </c>
      <c r="I85" s="64">
        <v>1.86</v>
      </c>
      <c r="J85" s="64">
        <v>0.06</v>
      </c>
      <c r="K85" s="64">
        <v>186.06</v>
      </c>
      <c r="L85" s="64">
        <v>26.04</v>
      </c>
      <c r="M85" s="64">
        <v>86.84</v>
      </c>
      <c r="N85" s="64">
        <v>39.5</v>
      </c>
      <c r="O85" s="64">
        <v>0</v>
      </c>
      <c r="P85" s="64">
        <v>0.8</v>
      </c>
      <c r="Q85" s="64">
        <v>9.07</v>
      </c>
      <c r="R85" s="198"/>
      <c r="S85" s="198"/>
      <c r="T85" s="198"/>
      <c r="U85" s="198"/>
    </row>
    <row r="86" spans="1:26" s="12" customFormat="1" x14ac:dyDescent="0.25">
      <c r="A86" s="211" t="s">
        <v>2629</v>
      </c>
      <c r="B86" s="64">
        <v>17.41</v>
      </c>
      <c r="C86" s="64">
        <v>25.06</v>
      </c>
      <c r="D86" s="64">
        <v>27.06</v>
      </c>
      <c r="E86" s="64">
        <v>7.1</v>
      </c>
      <c r="F86" s="64">
        <v>3</v>
      </c>
      <c r="G86" s="64">
        <v>71.650000000000006</v>
      </c>
      <c r="H86" s="64">
        <v>13.13</v>
      </c>
      <c r="I86" s="64">
        <v>1.83</v>
      </c>
      <c r="J86" s="64">
        <v>0.02</v>
      </c>
      <c r="K86" s="64">
        <v>121.99</v>
      </c>
      <c r="L86" s="64">
        <v>25.98</v>
      </c>
      <c r="M86" s="64">
        <v>88.81</v>
      </c>
      <c r="N86" s="64">
        <v>41</v>
      </c>
      <c r="O86" s="64">
        <v>0</v>
      </c>
      <c r="P86" s="64">
        <v>1.0900000000000001</v>
      </c>
      <c r="Q86" s="64">
        <v>9.09</v>
      </c>
      <c r="R86" s="198"/>
      <c r="S86" s="198"/>
      <c r="T86" s="198"/>
      <c r="U86" s="198"/>
    </row>
    <row r="87" spans="1:26" s="12" customFormat="1" x14ac:dyDescent="0.25">
      <c r="A87" s="211" t="s">
        <v>2630</v>
      </c>
      <c r="B87" s="64">
        <v>13.44</v>
      </c>
      <c r="C87" s="64">
        <v>24.1</v>
      </c>
      <c r="D87" s="64">
        <v>23.37</v>
      </c>
      <c r="E87" s="64">
        <v>6.85</v>
      </c>
      <c r="F87" s="64">
        <v>3.21</v>
      </c>
      <c r="G87" s="64">
        <v>71.650000000000006</v>
      </c>
      <c r="H87" s="64">
        <v>13.13</v>
      </c>
      <c r="I87" s="64">
        <v>1.87</v>
      </c>
      <c r="J87" s="64">
        <v>0.04</v>
      </c>
      <c r="K87" s="64">
        <v>328.88</v>
      </c>
      <c r="L87" s="64">
        <v>26.01</v>
      </c>
      <c r="M87" s="64">
        <v>89.11</v>
      </c>
      <c r="N87" s="64">
        <v>41.3</v>
      </c>
      <c r="O87" s="64">
        <v>0</v>
      </c>
      <c r="P87" s="64">
        <v>1.1299999999999999</v>
      </c>
      <c r="Q87" s="64">
        <v>9.1</v>
      </c>
      <c r="R87" s="198"/>
      <c r="S87" s="198"/>
      <c r="T87" s="198"/>
      <c r="U87" s="198"/>
    </row>
    <row r="88" spans="1:26" s="12" customFormat="1" x14ac:dyDescent="0.25">
      <c r="A88" s="211" t="s">
        <v>2631</v>
      </c>
      <c r="B88" s="64">
        <v>20.170000000000002</v>
      </c>
      <c r="C88" s="64">
        <v>19.64</v>
      </c>
      <c r="D88" s="64">
        <v>26.43</v>
      </c>
      <c r="E88" s="64">
        <v>6.78</v>
      </c>
      <c r="F88" s="64">
        <v>3.49</v>
      </c>
      <c r="G88" s="64">
        <v>71.650000000000006</v>
      </c>
      <c r="H88" s="64">
        <v>13.13</v>
      </c>
      <c r="I88" s="64">
        <v>1.93</v>
      </c>
      <c r="J88" s="64">
        <v>0.45</v>
      </c>
      <c r="K88" s="64">
        <v>334.31</v>
      </c>
      <c r="L88" s="64">
        <v>26.02</v>
      </c>
      <c r="M88" s="64">
        <v>88.59</v>
      </c>
      <c r="N88" s="64">
        <v>41.1</v>
      </c>
      <c r="O88" s="64">
        <v>0</v>
      </c>
      <c r="P88" s="64">
        <v>1.0900000000000001</v>
      </c>
      <c r="Q88" s="64">
        <v>9.11</v>
      </c>
      <c r="R88" s="198"/>
      <c r="S88" s="198"/>
      <c r="T88" s="198"/>
      <c r="U88" s="198"/>
    </row>
    <row r="89" spans="1:26" s="12" customFormat="1" x14ac:dyDescent="0.25">
      <c r="A89" s="211" t="s">
        <v>2632</v>
      </c>
      <c r="B89" s="64">
        <v>16.27</v>
      </c>
      <c r="C89" s="64">
        <v>20.88</v>
      </c>
      <c r="D89" s="64">
        <v>23.95</v>
      </c>
      <c r="E89" s="64">
        <v>6.68</v>
      </c>
      <c r="F89" s="64">
        <v>2.19</v>
      </c>
      <c r="G89" s="64">
        <v>77.239999999999995</v>
      </c>
      <c r="H89" s="64">
        <v>12.94</v>
      </c>
      <c r="I89" s="64">
        <v>1.99</v>
      </c>
      <c r="J89" s="64">
        <v>0.5</v>
      </c>
      <c r="K89" s="64">
        <v>334.77</v>
      </c>
      <c r="L89" s="64">
        <v>26.03</v>
      </c>
      <c r="M89" s="64">
        <v>90.14</v>
      </c>
      <c r="N89" s="64">
        <v>41.4</v>
      </c>
      <c r="O89" s="64">
        <v>0</v>
      </c>
      <c r="P89" s="64">
        <v>1</v>
      </c>
      <c r="Q89" s="64">
        <v>9.11</v>
      </c>
      <c r="R89" s="198"/>
      <c r="S89" s="198"/>
      <c r="T89" s="198"/>
      <c r="U89" s="198"/>
    </row>
    <row r="90" spans="1:26" s="12" customFormat="1" x14ac:dyDescent="0.25">
      <c r="A90" s="211" t="s">
        <v>2633</v>
      </c>
      <c r="B90" s="64">
        <v>28.03</v>
      </c>
      <c r="C90" s="64">
        <v>23.43</v>
      </c>
      <c r="D90" s="64">
        <v>34.68</v>
      </c>
      <c r="E90" s="64">
        <v>6.68</v>
      </c>
      <c r="F90" s="64">
        <v>3.28</v>
      </c>
      <c r="G90" s="64">
        <v>78.739999999999995</v>
      </c>
      <c r="H90" s="64">
        <v>12.94</v>
      </c>
      <c r="I90" s="64">
        <v>2.04</v>
      </c>
      <c r="J90" s="64">
        <v>0.39</v>
      </c>
      <c r="K90" s="64">
        <v>330.15</v>
      </c>
      <c r="L90" s="64">
        <v>25.99</v>
      </c>
      <c r="M90" s="64">
        <v>91.8</v>
      </c>
      <c r="N90" s="64">
        <v>41.5</v>
      </c>
      <c r="O90" s="64">
        <v>0</v>
      </c>
      <c r="P90" s="64">
        <v>1.07</v>
      </c>
      <c r="Q90" s="64">
        <v>9.11</v>
      </c>
      <c r="R90" s="198"/>
      <c r="S90" s="198"/>
      <c r="T90" s="198"/>
      <c r="U90" s="198"/>
    </row>
    <row r="91" spans="1:26" s="12" customFormat="1" x14ac:dyDescent="0.25">
      <c r="A91" s="211" t="s">
        <v>2634</v>
      </c>
      <c r="B91" s="64">
        <v>13.6</v>
      </c>
      <c r="C91" s="64">
        <v>21.24</v>
      </c>
      <c r="D91" s="64">
        <v>22</v>
      </c>
      <c r="E91" s="64">
        <v>7.11</v>
      </c>
      <c r="F91" s="64">
        <v>2.2400000000000002</v>
      </c>
      <c r="G91" s="64">
        <v>78.739999999999995</v>
      </c>
      <c r="H91" s="64">
        <v>12.94</v>
      </c>
      <c r="I91" s="64">
        <v>2.09</v>
      </c>
      <c r="J91" s="64">
        <v>0.01</v>
      </c>
      <c r="K91" s="64">
        <v>274.14</v>
      </c>
      <c r="L91" s="64">
        <v>25.84</v>
      </c>
      <c r="M91" s="64">
        <v>92.05</v>
      </c>
      <c r="N91" s="64">
        <v>41.5</v>
      </c>
      <c r="O91" s="64">
        <v>0</v>
      </c>
      <c r="P91" s="64">
        <v>0.9</v>
      </c>
      <c r="Q91" s="64">
        <v>9.1199999999999992</v>
      </c>
      <c r="R91" s="198"/>
      <c r="S91" s="198"/>
      <c r="T91" s="198"/>
      <c r="U91" s="198"/>
    </row>
    <row r="92" spans="1:26" s="12" customFormat="1" x14ac:dyDescent="0.25">
      <c r="A92" s="211" t="s">
        <v>2635</v>
      </c>
      <c r="B92" s="64">
        <v>14.38</v>
      </c>
      <c r="C92" s="64">
        <v>28.78</v>
      </c>
      <c r="D92" s="64">
        <v>26.57</v>
      </c>
      <c r="E92" s="64">
        <v>7.08</v>
      </c>
      <c r="F92" s="64">
        <v>2.2200000000000002</v>
      </c>
      <c r="G92" s="64">
        <v>78.739999999999995</v>
      </c>
      <c r="H92" s="64">
        <v>12.94</v>
      </c>
      <c r="I92" s="64">
        <v>2.14</v>
      </c>
      <c r="J92" s="64">
        <v>0.03</v>
      </c>
      <c r="K92" s="64">
        <v>321.63</v>
      </c>
      <c r="L92" s="64">
        <v>25.67</v>
      </c>
      <c r="M92" s="64">
        <v>92.8</v>
      </c>
      <c r="N92" s="64">
        <v>41.3</v>
      </c>
      <c r="O92" s="64">
        <v>0</v>
      </c>
      <c r="P92" s="64">
        <v>0.94</v>
      </c>
      <c r="Q92" s="64">
        <v>9.14</v>
      </c>
      <c r="R92" s="198"/>
      <c r="S92" s="198"/>
      <c r="T92" s="198"/>
      <c r="U92" s="198"/>
    </row>
    <row r="93" spans="1:26" s="12" customFormat="1" x14ac:dyDescent="0.25">
      <c r="A93" s="211" t="s">
        <v>2636</v>
      </c>
      <c r="B93" s="64">
        <v>14.27</v>
      </c>
      <c r="C93" s="64">
        <v>25.91</v>
      </c>
      <c r="D93" s="64">
        <v>24.98</v>
      </c>
      <c r="E93" s="64">
        <v>6.72</v>
      </c>
      <c r="F93" s="64">
        <v>3.73</v>
      </c>
      <c r="G93" s="64">
        <v>80.39</v>
      </c>
      <c r="H93" s="64">
        <v>14.29</v>
      </c>
      <c r="I93" s="64">
        <v>2.1800000000000002</v>
      </c>
      <c r="J93" s="64">
        <v>0.11</v>
      </c>
      <c r="K93" s="64">
        <v>125.23</v>
      </c>
      <c r="L93" s="64">
        <v>25.75</v>
      </c>
      <c r="M93" s="64">
        <v>91.67</v>
      </c>
      <c r="N93" s="64">
        <v>41.3</v>
      </c>
      <c r="O93" s="64">
        <v>0</v>
      </c>
      <c r="P93" s="64">
        <v>0.9</v>
      </c>
      <c r="Q93" s="64">
        <v>9.1300000000000008</v>
      </c>
      <c r="R93" s="198"/>
      <c r="S93" s="198"/>
      <c r="T93" s="198"/>
      <c r="U93" s="198"/>
    </row>
    <row r="94" spans="1:26" s="12" customFormat="1" x14ac:dyDescent="0.25">
      <c r="A94" s="211" t="s">
        <v>2637</v>
      </c>
      <c r="B94" s="64">
        <v>17.329999999999998</v>
      </c>
      <c r="C94" s="64">
        <v>28.69</v>
      </c>
      <c r="D94" s="64">
        <v>28.88</v>
      </c>
      <c r="E94" s="64">
        <v>6.72</v>
      </c>
      <c r="F94" s="64">
        <v>3.5</v>
      </c>
      <c r="G94" s="64">
        <v>80.84</v>
      </c>
      <c r="H94" s="64">
        <v>14.29</v>
      </c>
      <c r="I94" s="64">
        <v>2.21</v>
      </c>
      <c r="J94" s="64">
        <v>0.03</v>
      </c>
      <c r="K94" s="64">
        <v>133.51</v>
      </c>
      <c r="L94" s="64">
        <v>25.73</v>
      </c>
      <c r="M94" s="64">
        <v>92.57</v>
      </c>
      <c r="N94" s="64">
        <v>41.5</v>
      </c>
      <c r="O94" s="64">
        <v>0</v>
      </c>
      <c r="P94" s="64">
        <v>0.79</v>
      </c>
      <c r="Q94" s="64">
        <v>9.14</v>
      </c>
      <c r="R94" s="198"/>
      <c r="S94" s="198"/>
      <c r="T94" s="198"/>
      <c r="U94" s="198"/>
    </row>
    <row r="95" spans="1:26" s="12" customFormat="1" x14ac:dyDescent="0.25">
      <c r="A95" s="211" t="s">
        <v>2638</v>
      </c>
      <c r="B95" s="64">
        <v>20.3</v>
      </c>
      <c r="C95" s="64">
        <v>30.65</v>
      </c>
      <c r="D95" s="64">
        <v>32.299999999999997</v>
      </c>
      <c r="E95" s="64">
        <v>6.39</v>
      </c>
      <c r="F95" s="64">
        <v>2.84</v>
      </c>
      <c r="G95" s="64">
        <v>80.84</v>
      </c>
      <c r="H95" s="64">
        <v>14.29</v>
      </c>
      <c r="I95" s="64">
        <v>2.2400000000000002</v>
      </c>
      <c r="J95" s="64">
        <v>0.03</v>
      </c>
      <c r="K95" s="64">
        <v>235.79</v>
      </c>
      <c r="L95" s="64">
        <v>25.68</v>
      </c>
      <c r="M95" s="64">
        <v>93.33</v>
      </c>
      <c r="N95" s="64">
        <v>41.5</v>
      </c>
      <c r="O95" s="64">
        <v>0</v>
      </c>
      <c r="P95" s="64">
        <v>0.86</v>
      </c>
      <c r="Q95" s="64">
        <v>9.16</v>
      </c>
      <c r="R95" s="198"/>
      <c r="S95" s="198"/>
      <c r="T95" s="198"/>
      <c r="U95" s="198"/>
    </row>
    <row r="96" spans="1:26" s="12" customFormat="1" x14ac:dyDescent="0.25">
      <c r="A96" s="211" t="s">
        <v>2639</v>
      </c>
      <c r="B96" s="64">
        <v>16.27</v>
      </c>
      <c r="C96" s="64">
        <v>25.86</v>
      </c>
      <c r="D96" s="64">
        <v>26.56</v>
      </c>
      <c r="E96" s="64">
        <v>6.66</v>
      </c>
      <c r="F96" s="64">
        <v>2.2000000000000002</v>
      </c>
      <c r="G96" s="64">
        <v>80.84</v>
      </c>
      <c r="H96" s="64">
        <v>14.29</v>
      </c>
      <c r="I96" s="64">
        <v>2.2599999999999998</v>
      </c>
      <c r="J96" s="64">
        <v>0.04</v>
      </c>
      <c r="K96" s="64">
        <v>5.87</v>
      </c>
      <c r="L96" s="64">
        <v>25.58</v>
      </c>
      <c r="M96" s="64">
        <v>94.27</v>
      </c>
      <c r="N96" s="64">
        <v>41.5</v>
      </c>
      <c r="O96" s="64">
        <v>0</v>
      </c>
      <c r="P96" s="64">
        <v>0.9</v>
      </c>
      <c r="Q96" s="64">
        <v>9.15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2640</v>
      </c>
      <c r="B97" s="64">
        <v>14.95</v>
      </c>
      <c r="C97" s="64">
        <v>29</v>
      </c>
      <c r="D97" s="64">
        <v>27.14</v>
      </c>
      <c r="E97" s="64">
        <v>7.12</v>
      </c>
      <c r="F97" s="64">
        <v>2.1</v>
      </c>
      <c r="G97" s="64">
        <v>81.22</v>
      </c>
      <c r="H97" s="64">
        <v>14.36</v>
      </c>
      <c r="I97" s="64">
        <v>2.29</v>
      </c>
      <c r="J97" s="64">
        <v>0.01</v>
      </c>
      <c r="K97" s="64">
        <v>335.77</v>
      </c>
      <c r="L97" s="64">
        <v>25.4</v>
      </c>
      <c r="M97" s="64">
        <v>97.04</v>
      </c>
      <c r="N97" s="64">
        <v>41.5</v>
      </c>
      <c r="O97" s="64">
        <v>0</v>
      </c>
      <c r="P97" s="64">
        <v>0.81</v>
      </c>
      <c r="Q97" s="64">
        <v>9.16</v>
      </c>
      <c r="R97" s="198"/>
      <c r="S97" s="198"/>
      <c r="T97" s="198"/>
      <c r="U97" s="198"/>
    </row>
    <row r="98" spans="1:33" s="12" customFormat="1" x14ac:dyDescent="0.25">
      <c r="A98" s="211" t="s">
        <v>2641</v>
      </c>
      <c r="B98" s="64">
        <v>11.21</v>
      </c>
      <c r="C98" s="64">
        <v>26.09</v>
      </c>
      <c r="D98" s="64">
        <v>22.62</v>
      </c>
      <c r="E98" s="64">
        <v>6.26</v>
      </c>
      <c r="F98" s="64">
        <v>2.64</v>
      </c>
      <c r="G98" s="64">
        <v>81.319999999999993</v>
      </c>
      <c r="H98" s="64">
        <v>14.36</v>
      </c>
      <c r="I98" s="64">
        <v>2.2999999999999998</v>
      </c>
      <c r="J98" s="64">
        <v>0.05</v>
      </c>
      <c r="K98" s="64">
        <v>146.24</v>
      </c>
      <c r="L98" s="64">
        <v>25.3</v>
      </c>
      <c r="M98" s="64">
        <v>96.6</v>
      </c>
      <c r="N98" s="64">
        <v>41.5</v>
      </c>
      <c r="O98" s="64">
        <v>0</v>
      </c>
      <c r="P98" s="64">
        <v>0.73</v>
      </c>
      <c r="Q98" s="64">
        <v>9.18</v>
      </c>
      <c r="R98" s="198"/>
      <c r="S98" s="198"/>
      <c r="T98" s="198"/>
      <c r="U98" s="198"/>
    </row>
    <row r="99" spans="1:33" s="12" customFormat="1" x14ac:dyDescent="0.25">
      <c r="A99" s="211" t="s">
        <v>2642</v>
      </c>
      <c r="B99" s="64">
        <v>9.48</v>
      </c>
      <c r="C99" s="64">
        <v>17.53</v>
      </c>
      <c r="D99" s="64">
        <v>16.760000000000002</v>
      </c>
      <c r="E99" s="64">
        <v>6.79</v>
      </c>
      <c r="F99" s="64">
        <v>7.34</v>
      </c>
      <c r="G99" s="64">
        <v>81.319999999999993</v>
      </c>
      <c r="H99" s="64">
        <v>14.36</v>
      </c>
      <c r="I99" s="64">
        <v>2.3199999999999998</v>
      </c>
      <c r="J99" s="64">
        <v>0.42</v>
      </c>
      <c r="K99" s="64">
        <v>129.77000000000001</v>
      </c>
      <c r="L99" s="64">
        <v>25.28</v>
      </c>
      <c r="M99" s="64">
        <v>94.94</v>
      </c>
      <c r="N99" s="64">
        <v>41.2</v>
      </c>
      <c r="O99" s="64">
        <v>0</v>
      </c>
      <c r="P99" s="64">
        <v>0.56000000000000005</v>
      </c>
      <c r="Q99" s="64">
        <v>9.19</v>
      </c>
      <c r="R99" s="198"/>
      <c r="S99" s="198"/>
      <c r="T99" s="198"/>
      <c r="U99" s="198"/>
    </row>
    <row r="100" spans="1:33" s="12" customFormat="1" x14ac:dyDescent="0.25">
      <c r="A100" s="211" t="s">
        <v>2643</v>
      </c>
      <c r="B100" s="64">
        <v>7.78</v>
      </c>
      <c r="C100" s="64">
        <v>13.59</v>
      </c>
      <c r="D100" s="64">
        <v>13.34</v>
      </c>
      <c r="E100" s="64">
        <v>6.8</v>
      </c>
      <c r="F100" s="64">
        <v>6.78</v>
      </c>
      <c r="G100" s="64">
        <v>81.319999999999993</v>
      </c>
      <c r="H100" s="64">
        <v>14.36</v>
      </c>
      <c r="I100" s="64">
        <v>2.3199999999999998</v>
      </c>
      <c r="J100" s="64">
        <v>0.56999999999999995</v>
      </c>
      <c r="K100" s="64">
        <v>129.77000000000001</v>
      </c>
      <c r="L100" s="64">
        <v>25.24</v>
      </c>
      <c r="M100" s="64">
        <v>94.51</v>
      </c>
      <c r="N100" s="64">
        <v>41.5</v>
      </c>
      <c r="O100" s="64">
        <v>0</v>
      </c>
      <c r="P100" s="64">
        <v>0.53</v>
      </c>
      <c r="Q100" s="64">
        <v>9.19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2644</v>
      </c>
      <c r="B101" s="64">
        <v>8.59</v>
      </c>
      <c r="C101" s="64">
        <v>15.6</v>
      </c>
      <c r="D101" s="64">
        <v>15.04</v>
      </c>
      <c r="E101" s="64">
        <v>6.57</v>
      </c>
      <c r="F101" s="64">
        <v>5.1100000000000003</v>
      </c>
      <c r="G101" s="64">
        <v>78.91</v>
      </c>
      <c r="H101" s="64">
        <v>13.79</v>
      </c>
      <c r="I101" s="64">
        <v>2.2999999999999998</v>
      </c>
      <c r="J101" s="64">
        <v>0.35</v>
      </c>
      <c r="K101" s="64">
        <v>131.99</v>
      </c>
      <c r="L101" s="64">
        <v>25.11</v>
      </c>
      <c r="M101" s="64">
        <v>95.74</v>
      </c>
      <c r="N101" s="64">
        <v>41.5</v>
      </c>
      <c r="O101" s="64">
        <v>0</v>
      </c>
      <c r="P101" s="64">
        <v>0.53</v>
      </c>
      <c r="Q101" s="64">
        <v>9.1999999999999993</v>
      </c>
      <c r="R101" s="198"/>
      <c r="S101" s="198"/>
      <c r="T101" s="198"/>
      <c r="U101" s="198"/>
    </row>
    <row r="102" spans="1:33" s="12" customFormat="1" x14ac:dyDescent="0.25">
      <c r="A102" s="211" t="s">
        <v>2645</v>
      </c>
      <c r="B102" s="64">
        <v>8.0399999999999991</v>
      </c>
      <c r="C102" s="64">
        <v>16.59</v>
      </c>
      <c r="D102" s="64">
        <v>15.12</v>
      </c>
      <c r="E102" s="64">
        <v>6.9</v>
      </c>
      <c r="F102" s="64">
        <v>4.17</v>
      </c>
      <c r="G102" s="64">
        <v>78.260000000000005</v>
      </c>
      <c r="H102" s="64">
        <v>13.79</v>
      </c>
      <c r="I102" s="64">
        <v>2.29</v>
      </c>
      <c r="J102" s="64">
        <v>0.34</v>
      </c>
      <c r="K102" s="64">
        <v>128.53</v>
      </c>
      <c r="L102" s="64">
        <v>25</v>
      </c>
      <c r="M102" s="64">
        <v>96.72</v>
      </c>
      <c r="N102" s="64">
        <v>41.4</v>
      </c>
      <c r="O102" s="64">
        <v>0</v>
      </c>
      <c r="P102" s="64">
        <v>0.51</v>
      </c>
      <c r="Q102" s="64">
        <v>9.1999999999999993</v>
      </c>
      <c r="R102" s="198"/>
      <c r="S102" s="198"/>
      <c r="T102" s="198"/>
      <c r="U102" s="198"/>
    </row>
    <row r="103" spans="1:33" s="12" customFormat="1" x14ac:dyDescent="0.25">
      <c r="A103" s="211" t="s">
        <v>2646</v>
      </c>
      <c r="B103" s="64">
        <v>6.65</v>
      </c>
      <c r="C103" s="64">
        <v>15.33</v>
      </c>
      <c r="D103" s="64">
        <v>13.35</v>
      </c>
      <c r="E103" s="64">
        <v>6.46</v>
      </c>
      <c r="F103" s="64">
        <v>3.43</v>
      </c>
      <c r="G103" s="64">
        <v>78.260000000000005</v>
      </c>
      <c r="H103" s="64">
        <v>13.79</v>
      </c>
      <c r="I103" s="64">
        <v>2.2799999999999998</v>
      </c>
      <c r="J103" s="64">
        <v>0.16</v>
      </c>
      <c r="K103" s="64">
        <v>131.91</v>
      </c>
      <c r="L103" s="64">
        <v>24.99</v>
      </c>
      <c r="M103" s="64">
        <v>97.03</v>
      </c>
      <c r="N103" s="64">
        <v>41.3</v>
      </c>
      <c r="O103" s="64">
        <v>0</v>
      </c>
      <c r="P103" s="64">
        <v>0.52</v>
      </c>
      <c r="Q103" s="64">
        <v>9.19</v>
      </c>
      <c r="R103" s="198"/>
      <c r="S103" s="198"/>
      <c r="T103" s="198"/>
      <c r="U103" s="198"/>
    </row>
    <row r="104" spans="1:33" s="12" customFormat="1" x14ac:dyDescent="0.25">
      <c r="A104" s="211" t="s">
        <v>2647</v>
      </c>
      <c r="B104" s="64">
        <v>6.65</v>
      </c>
      <c r="C104" s="64">
        <v>15.85</v>
      </c>
      <c r="D104" s="64">
        <v>13.62</v>
      </c>
      <c r="E104" s="64">
        <v>5.68</v>
      </c>
      <c r="F104" s="64">
        <v>3.68</v>
      </c>
      <c r="G104" s="64">
        <v>78.260000000000005</v>
      </c>
      <c r="H104" s="64">
        <v>13.79</v>
      </c>
      <c r="I104" s="64">
        <v>2.27</v>
      </c>
      <c r="J104" s="64">
        <v>0.2</v>
      </c>
      <c r="K104" s="64">
        <v>182.05</v>
      </c>
      <c r="L104" s="64">
        <v>24.95</v>
      </c>
      <c r="M104" s="64">
        <v>97.32</v>
      </c>
      <c r="N104" s="64">
        <v>41.3</v>
      </c>
      <c r="O104" s="64">
        <v>0</v>
      </c>
      <c r="P104" s="64">
        <v>0.49</v>
      </c>
      <c r="Q104" s="64">
        <v>9.17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4.84</v>
      </c>
      <c r="C106" s="67">
        <f>MIN(C9:C104)</f>
        <v>8.27</v>
      </c>
      <c r="D106" s="67">
        <f t="shared" ref="D106:Q106" si="0">MIN(D9:D104)</f>
        <v>9.48</v>
      </c>
      <c r="E106" s="67">
        <f t="shared" si="0"/>
        <v>4.74</v>
      </c>
      <c r="F106" s="67">
        <f t="shared" si="0"/>
        <v>2.1</v>
      </c>
      <c r="G106" s="67">
        <f t="shared" si="0"/>
        <v>26.89</v>
      </c>
      <c r="H106" s="67">
        <f t="shared" si="0"/>
        <v>12.4</v>
      </c>
      <c r="I106" s="67">
        <f t="shared" si="0"/>
        <v>1.52</v>
      </c>
      <c r="J106" s="67">
        <f t="shared" si="0"/>
        <v>0.01</v>
      </c>
      <c r="K106" s="67">
        <f t="shared" si="0"/>
        <v>3.58</v>
      </c>
      <c r="L106" s="67">
        <f t="shared" si="0"/>
        <v>23.63</v>
      </c>
      <c r="M106" s="67">
        <f t="shared" si="0"/>
        <v>55.23</v>
      </c>
      <c r="N106" s="67">
        <f t="shared" si="0"/>
        <v>39.5</v>
      </c>
      <c r="O106" s="67">
        <f t="shared" si="0"/>
        <v>0</v>
      </c>
      <c r="P106" s="67">
        <f t="shared" si="0"/>
        <v>0.28000000000000003</v>
      </c>
      <c r="Q106" s="67">
        <f t="shared" si="0"/>
        <v>8.98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28.03</v>
      </c>
      <c r="C107" s="66">
        <f t="shared" ref="C107:Q107" si="1">MAX(C9:C104)</f>
        <v>30.75</v>
      </c>
      <c r="D107" s="66">
        <f t="shared" si="1"/>
        <v>34.68</v>
      </c>
      <c r="E107" s="66">
        <f t="shared" si="1"/>
        <v>8.15</v>
      </c>
      <c r="F107" s="66">
        <f t="shared" si="1"/>
        <v>11.34</v>
      </c>
      <c r="G107" s="66">
        <f t="shared" si="1"/>
        <v>81.319999999999993</v>
      </c>
      <c r="H107" s="66">
        <f t="shared" si="1"/>
        <v>15.63</v>
      </c>
      <c r="I107" s="66">
        <f t="shared" si="1"/>
        <v>2.6</v>
      </c>
      <c r="J107" s="66">
        <f t="shared" si="1"/>
        <v>1.1599999999999999</v>
      </c>
      <c r="K107" s="66">
        <f t="shared" si="1"/>
        <v>348.78</v>
      </c>
      <c r="L107" s="66">
        <f t="shared" si="1"/>
        <v>29.88</v>
      </c>
      <c r="M107" s="66">
        <f t="shared" si="1"/>
        <v>97.93</v>
      </c>
      <c r="N107" s="66">
        <f t="shared" si="1"/>
        <v>708.6</v>
      </c>
      <c r="O107" s="66">
        <f t="shared" si="1"/>
        <v>0</v>
      </c>
      <c r="P107" s="66">
        <f t="shared" si="1"/>
        <v>1.1399999999999999</v>
      </c>
      <c r="Q107" s="66">
        <f t="shared" si="1"/>
        <v>9.1999999999999993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8.8960416666666653</v>
      </c>
      <c r="C108" s="67">
        <f t="shared" ref="C108:Q108" si="2">AVERAGE(C9:C104)</f>
        <v>15.782499999999999</v>
      </c>
      <c r="D108" s="67">
        <f t="shared" si="2"/>
        <v>15.379583333333327</v>
      </c>
      <c r="E108" s="67">
        <f t="shared" si="2"/>
        <v>6.3043749999999994</v>
      </c>
      <c r="F108" s="67">
        <f t="shared" si="2"/>
        <v>4.259479166666666</v>
      </c>
      <c r="G108" s="67">
        <f t="shared" si="2"/>
        <v>51.508645833333325</v>
      </c>
      <c r="H108" s="67">
        <f t="shared" si="2"/>
        <v>13.844166666666665</v>
      </c>
      <c r="I108" s="67">
        <f t="shared" si="2"/>
        <v>1.8683333333333341</v>
      </c>
      <c r="J108" s="67">
        <f t="shared" si="2"/>
        <v>0.29166666666666674</v>
      </c>
      <c r="K108" s="67">
        <f t="shared" si="2"/>
        <v>149.30458333333331</v>
      </c>
      <c r="L108" s="67">
        <f t="shared" si="2"/>
        <v>25.999687500000004</v>
      </c>
      <c r="M108" s="67">
        <f t="shared" si="2"/>
        <v>85.496145833333344</v>
      </c>
      <c r="N108" s="67">
        <f t="shared" si="2"/>
        <v>120.41041666666665</v>
      </c>
      <c r="O108" s="67">
        <f t="shared" si="2"/>
        <v>0</v>
      </c>
      <c r="P108" s="67">
        <f t="shared" si="2"/>
        <v>0.52541666666666687</v>
      </c>
      <c r="Q108" s="67">
        <f t="shared" si="2"/>
        <v>9.067499999999999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4.0388246021171437</v>
      </c>
      <c r="C109" s="67">
        <f t="shared" ref="C109:Q109" si="3">STDEV(C9:C104)</f>
        <v>6.1147214938514045</v>
      </c>
      <c r="D109" s="67">
        <f t="shared" si="3"/>
        <v>5.9797227389811276</v>
      </c>
      <c r="E109" s="67">
        <f t="shared" si="3"/>
        <v>0.92902304373437528</v>
      </c>
      <c r="F109" s="67">
        <f t="shared" si="3"/>
        <v>2.4010560701893198</v>
      </c>
      <c r="G109" s="67">
        <f t="shared" si="3"/>
        <v>18.128095125626775</v>
      </c>
      <c r="H109" s="67">
        <f t="shared" si="3"/>
        <v>0.71216152317274084</v>
      </c>
      <c r="I109" s="67">
        <f t="shared" si="3"/>
        <v>0.28412623831361455</v>
      </c>
      <c r="J109" s="67">
        <f t="shared" si="3"/>
        <v>0.2512774380583998</v>
      </c>
      <c r="K109" s="67">
        <f t="shared" si="3"/>
        <v>70.261083664567124</v>
      </c>
      <c r="L109" s="67">
        <f t="shared" si="3"/>
        <v>1.6970379477350028</v>
      </c>
      <c r="M109" s="67">
        <f t="shared" si="3"/>
        <v>12.976405500980352</v>
      </c>
      <c r="N109" s="67">
        <f t="shared" si="3"/>
        <v>140.58003562621073</v>
      </c>
      <c r="O109" s="67">
        <f t="shared" si="3"/>
        <v>0</v>
      </c>
      <c r="P109" s="67">
        <f t="shared" si="3"/>
        <v>0.24111982898514256</v>
      </c>
      <c r="Q109" s="67">
        <f t="shared" si="3"/>
        <v>5.1971652192122464E-2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R109" sqref="R10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2648</v>
      </c>
      <c r="B9" s="64">
        <v>7.35</v>
      </c>
      <c r="C9" s="64">
        <v>12.13</v>
      </c>
      <c r="D9" s="64">
        <v>12.23</v>
      </c>
      <c r="E9" s="64">
        <v>5.84</v>
      </c>
      <c r="F9" s="64">
        <v>4.7</v>
      </c>
      <c r="G9" s="64">
        <v>72.459999999999994</v>
      </c>
      <c r="H9" s="64">
        <v>13.18</v>
      </c>
      <c r="I9" s="64">
        <v>2.27</v>
      </c>
      <c r="J9" s="64">
        <v>0.49</v>
      </c>
      <c r="K9" s="64">
        <v>151.97999999999999</v>
      </c>
      <c r="L9" s="64">
        <v>24.84</v>
      </c>
      <c r="M9" s="64">
        <v>97.89</v>
      </c>
      <c r="N9" s="64">
        <v>41.6</v>
      </c>
      <c r="O9" s="64">
        <v>0</v>
      </c>
      <c r="P9" s="64">
        <v>0.54</v>
      </c>
      <c r="Q9" s="64">
        <v>9.16</v>
      </c>
      <c r="R9" s="198"/>
      <c r="S9" s="198"/>
      <c r="T9" s="198"/>
      <c r="U9" s="198"/>
    </row>
    <row r="10" spans="1:21" s="12" customFormat="1" x14ac:dyDescent="0.25">
      <c r="A10" s="211" t="s">
        <v>2649</v>
      </c>
      <c r="B10" s="64">
        <v>7.77</v>
      </c>
      <c r="C10" s="64">
        <v>9.98</v>
      </c>
      <c r="D10" s="64">
        <v>11.45</v>
      </c>
      <c r="E10" s="64">
        <v>5.57</v>
      </c>
      <c r="F10" s="64">
        <v>3.07</v>
      </c>
      <c r="G10" s="64">
        <v>70.900000000000006</v>
      </c>
      <c r="H10" s="64">
        <v>13.18</v>
      </c>
      <c r="I10" s="64">
        <v>2.2599999999999998</v>
      </c>
      <c r="J10" s="64">
        <v>0.34</v>
      </c>
      <c r="K10" s="64">
        <v>142.08000000000001</v>
      </c>
      <c r="L10" s="64">
        <v>24.33</v>
      </c>
      <c r="M10" s="64">
        <v>97.98</v>
      </c>
      <c r="N10" s="64">
        <v>41.9</v>
      </c>
      <c r="O10" s="64">
        <v>0</v>
      </c>
      <c r="P10" s="64">
        <v>0.54</v>
      </c>
      <c r="Q10" s="64">
        <v>9.16</v>
      </c>
      <c r="R10" s="198"/>
      <c r="S10" s="198"/>
      <c r="T10" s="198"/>
      <c r="U10" s="198"/>
    </row>
    <row r="11" spans="1:21" s="12" customFormat="1" x14ac:dyDescent="0.25">
      <c r="A11" s="211" t="s">
        <v>2650</v>
      </c>
      <c r="B11" s="64">
        <v>8.2899999999999991</v>
      </c>
      <c r="C11" s="64">
        <v>8.76</v>
      </c>
      <c r="D11" s="64">
        <v>11.23</v>
      </c>
      <c r="E11" s="64">
        <v>5.43</v>
      </c>
      <c r="F11" s="64">
        <v>2.44</v>
      </c>
      <c r="G11" s="64">
        <v>70.900000000000006</v>
      </c>
      <c r="H11" s="64">
        <v>13.18</v>
      </c>
      <c r="I11" s="64">
        <v>2.25</v>
      </c>
      <c r="J11" s="64">
        <v>0.09</v>
      </c>
      <c r="K11" s="64">
        <v>162.15</v>
      </c>
      <c r="L11" s="64">
        <v>24.08</v>
      </c>
      <c r="M11" s="64">
        <v>98.02</v>
      </c>
      <c r="N11" s="64">
        <v>41.7</v>
      </c>
      <c r="O11" s="64">
        <v>0</v>
      </c>
      <c r="P11" s="64">
        <v>0.56000000000000005</v>
      </c>
      <c r="Q11" s="64">
        <v>9.14</v>
      </c>
      <c r="R11" s="198"/>
      <c r="S11" s="198"/>
      <c r="T11" s="198"/>
      <c r="U11" s="198"/>
    </row>
    <row r="12" spans="1:21" s="12" customFormat="1" x14ac:dyDescent="0.25">
      <c r="A12" s="211" t="s">
        <v>2651</v>
      </c>
      <c r="B12" s="64">
        <v>7.29</v>
      </c>
      <c r="C12" s="64">
        <v>8.5500000000000007</v>
      </c>
      <c r="D12" s="64">
        <v>10.31</v>
      </c>
      <c r="E12" s="64">
        <v>4.8600000000000003</v>
      </c>
      <c r="F12" s="64">
        <v>2.86</v>
      </c>
      <c r="G12" s="64">
        <v>70.900000000000006</v>
      </c>
      <c r="H12" s="64">
        <v>13.18</v>
      </c>
      <c r="I12" s="64">
        <v>2.2200000000000002</v>
      </c>
      <c r="J12" s="64">
        <v>0.38</v>
      </c>
      <c r="K12" s="64">
        <v>132.33000000000001</v>
      </c>
      <c r="L12" s="64">
        <v>23.65</v>
      </c>
      <c r="M12" s="64">
        <v>98.08</v>
      </c>
      <c r="N12" s="64">
        <v>41.6</v>
      </c>
      <c r="O12" s="64">
        <v>0</v>
      </c>
      <c r="P12" s="64">
        <v>0.48</v>
      </c>
      <c r="Q12" s="64">
        <v>9.11</v>
      </c>
      <c r="R12" s="198"/>
      <c r="S12" s="198"/>
      <c r="T12" s="198"/>
      <c r="U12" s="198"/>
    </row>
    <row r="13" spans="1:21" s="12" customFormat="1" x14ac:dyDescent="0.25">
      <c r="A13" s="211" t="s">
        <v>2652</v>
      </c>
      <c r="B13" s="64">
        <v>6.3</v>
      </c>
      <c r="C13" s="64">
        <v>8.51</v>
      </c>
      <c r="D13" s="64">
        <v>9.5</v>
      </c>
      <c r="E13" s="64">
        <v>4.7</v>
      </c>
      <c r="F13" s="64">
        <v>2.1</v>
      </c>
      <c r="G13" s="64">
        <v>72.39</v>
      </c>
      <c r="H13" s="64">
        <v>17.760000000000002</v>
      </c>
      <c r="I13" s="64">
        <v>2.19</v>
      </c>
      <c r="J13" s="64">
        <v>0.1</v>
      </c>
      <c r="K13" s="64">
        <v>178.94</v>
      </c>
      <c r="L13" s="64">
        <v>23.37</v>
      </c>
      <c r="M13" s="64">
        <v>98.12</v>
      </c>
      <c r="N13" s="64">
        <v>40.799999999999997</v>
      </c>
      <c r="O13" s="64">
        <v>0</v>
      </c>
      <c r="P13" s="64">
        <v>0.44</v>
      </c>
      <c r="Q13" s="64">
        <v>9.09</v>
      </c>
      <c r="R13" s="198"/>
      <c r="S13" s="198"/>
      <c r="T13" s="198"/>
      <c r="U13" s="198"/>
    </row>
    <row r="14" spans="1:21" s="12" customFormat="1" x14ac:dyDescent="0.25">
      <c r="A14" s="211" t="s">
        <v>2653</v>
      </c>
      <c r="B14" s="64">
        <v>5.83</v>
      </c>
      <c r="C14" s="64">
        <v>9.1999999999999993</v>
      </c>
      <c r="D14" s="64">
        <v>9.48</v>
      </c>
      <c r="E14" s="64">
        <v>4.78</v>
      </c>
      <c r="F14" s="64">
        <v>2.1</v>
      </c>
      <c r="G14" s="64">
        <v>72.78</v>
      </c>
      <c r="H14" s="64">
        <v>17.760000000000002</v>
      </c>
      <c r="I14" s="64">
        <v>2.19</v>
      </c>
      <c r="J14" s="64">
        <v>0.11</v>
      </c>
      <c r="K14" s="64">
        <v>146.33000000000001</v>
      </c>
      <c r="L14" s="64">
        <v>23.33</v>
      </c>
      <c r="M14" s="64">
        <v>98.13</v>
      </c>
      <c r="N14" s="64">
        <v>40.700000000000003</v>
      </c>
      <c r="O14" s="64">
        <v>0</v>
      </c>
      <c r="P14" s="64">
        <v>0.44</v>
      </c>
      <c r="Q14" s="64">
        <v>9.08</v>
      </c>
      <c r="R14" s="198"/>
      <c r="S14" s="198"/>
      <c r="T14" s="198"/>
      <c r="U14" s="198"/>
    </row>
    <row r="15" spans="1:21" s="12" customFormat="1" x14ac:dyDescent="0.25">
      <c r="A15" s="211" t="s">
        <v>2654</v>
      </c>
      <c r="B15" s="64">
        <v>5.75</v>
      </c>
      <c r="C15" s="64">
        <v>10.27</v>
      </c>
      <c r="D15" s="64">
        <v>9.98</v>
      </c>
      <c r="E15" s="64">
        <v>4.42</v>
      </c>
      <c r="F15" s="64">
        <v>2.1</v>
      </c>
      <c r="G15" s="64">
        <v>72.78</v>
      </c>
      <c r="H15" s="64">
        <v>17.760000000000002</v>
      </c>
      <c r="I15" s="64">
        <v>2.16</v>
      </c>
      <c r="J15" s="64">
        <v>0.05</v>
      </c>
      <c r="K15" s="64">
        <v>213.35</v>
      </c>
      <c r="L15" s="64">
        <v>23.3</v>
      </c>
      <c r="M15" s="64">
        <v>98.13</v>
      </c>
      <c r="N15" s="64">
        <v>40.700000000000003</v>
      </c>
      <c r="O15" s="64">
        <v>0</v>
      </c>
      <c r="P15" s="64">
        <v>0.45</v>
      </c>
      <c r="Q15" s="64">
        <v>9.08</v>
      </c>
      <c r="R15" s="198"/>
      <c r="S15" s="198"/>
      <c r="T15" s="198"/>
      <c r="U15" s="198"/>
    </row>
    <row r="16" spans="1:21" s="12" customFormat="1" x14ac:dyDescent="0.25">
      <c r="A16" s="211" t="s">
        <v>2655</v>
      </c>
      <c r="B16" s="64">
        <v>11.23</v>
      </c>
      <c r="C16" s="64">
        <v>9.57</v>
      </c>
      <c r="D16" s="64">
        <v>14</v>
      </c>
      <c r="E16" s="64">
        <v>4.54</v>
      </c>
      <c r="F16" s="64">
        <v>2.1</v>
      </c>
      <c r="G16" s="64">
        <v>72.78</v>
      </c>
      <c r="H16" s="64">
        <v>17.760000000000002</v>
      </c>
      <c r="I16" s="64">
        <v>2.13</v>
      </c>
      <c r="J16" s="64">
        <v>0.08</v>
      </c>
      <c r="K16" s="64">
        <v>356.52</v>
      </c>
      <c r="L16" s="64">
        <v>23.35</v>
      </c>
      <c r="M16" s="64">
        <v>98.14</v>
      </c>
      <c r="N16" s="64">
        <v>40.799999999999997</v>
      </c>
      <c r="O16" s="64">
        <v>0</v>
      </c>
      <c r="P16" s="64">
        <v>0.51</v>
      </c>
      <c r="Q16" s="64">
        <v>9.08</v>
      </c>
      <c r="R16" s="198"/>
      <c r="S16" s="198"/>
      <c r="T16" s="198"/>
      <c r="U16" s="198"/>
    </row>
    <row r="17" spans="1:21" s="12" customFormat="1" x14ac:dyDescent="0.25">
      <c r="A17" s="211" t="s">
        <v>2656</v>
      </c>
      <c r="B17" s="64">
        <v>7.32</v>
      </c>
      <c r="C17" s="64">
        <v>10.65</v>
      </c>
      <c r="D17" s="64">
        <v>11.44</v>
      </c>
      <c r="E17" s="64">
        <v>4.59</v>
      </c>
      <c r="F17" s="64">
        <v>2.13</v>
      </c>
      <c r="G17" s="64">
        <v>69.760000000000005</v>
      </c>
      <c r="H17" s="64">
        <v>17.39</v>
      </c>
      <c r="I17" s="64">
        <v>2.1</v>
      </c>
      <c r="J17" s="64">
        <v>0.04</v>
      </c>
      <c r="K17" s="64">
        <v>229.75</v>
      </c>
      <c r="L17" s="64">
        <v>23.42</v>
      </c>
      <c r="M17" s="64">
        <v>98.12</v>
      </c>
      <c r="N17" s="64">
        <v>41</v>
      </c>
      <c r="O17" s="64">
        <v>0</v>
      </c>
      <c r="P17" s="64">
        <v>0.47</v>
      </c>
      <c r="Q17" s="64">
        <v>9.08</v>
      </c>
      <c r="R17" s="198"/>
      <c r="S17" s="198"/>
      <c r="T17" s="198"/>
      <c r="U17" s="198"/>
    </row>
    <row r="18" spans="1:21" s="12" customFormat="1" x14ac:dyDescent="0.25">
      <c r="A18" s="211" t="s">
        <v>2657</v>
      </c>
      <c r="B18" s="64">
        <v>8.32</v>
      </c>
      <c r="C18" s="64">
        <v>7.84</v>
      </c>
      <c r="D18" s="64">
        <v>10.76</v>
      </c>
      <c r="E18" s="64">
        <v>4.46</v>
      </c>
      <c r="F18" s="64">
        <v>2.1</v>
      </c>
      <c r="G18" s="64">
        <v>68.95</v>
      </c>
      <c r="H18" s="64">
        <v>17.39</v>
      </c>
      <c r="I18" s="64">
        <v>2.1</v>
      </c>
      <c r="J18" s="64">
        <v>0</v>
      </c>
      <c r="K18" s="64">
        <v>347.29</v>
      </c>
      <c r="L18" s="64">
        <v>23.46</v>
      </c>
      <c r="M18" s="64">
        <v>98.14</v>
      </c>
      <c r="N18" s="64">
        <v>41.2</v>
      </c>
      <c r="O18" s="64">
        <v>0</v>
      </c>
      <c r="P18" s="64">
        <v>0.59</v>
      </c>
      <c r="Q18" s="64">
        <v>9.08</v>
      </c>
      <c r="R18" s="198"/>
      <c r="S18" s="198"/>
      <c r="T18" s="198"/>
      <c r="U18" s="198"/>
    </row>
    <row r="19" spans="1:21" s="12" customFormat="1" x14ac:dyDescent="0.25">
      <c r="A19" s="211" t="s">
        <v>2658</v>
      </c>
      <c r="B19" s="64">
        <v>7.81</v>
      </c>
      <c r="C19" s="64">
        <v>7.51</v>
      </c>
      <c r="D19" s="64">
        <v>10.18</v>
      </c>
      <c r="E19" s="64">
        <v>4.55</v>
      </c>
      <c r="F19" s="64">
        <v>2.37</v>
      </c>
      <c r="G19" s="64">
        <v>68.95</v>
      </c>
      <c r="H19" s="64">
        <v>17.39</v>
      </c>
      <c r="I19" s="64">
        <v>2.09</v>
      </c>
      <c r="J19" s="64">
        <v>0.08</v>
      </c>
      <c r="K19" s="64">
        <v>287.92</v>
      </c>
      <c r="L19" s="64">
        <v>23.3</v>
      </c>
      <c r="M19" s="64">
        <v>98.15</v>
      </c>
      <c r="N19" s="64">
        <v>41.4</v>
      </c>
      <c r="O19" s="64">
        <v>0</v>
      </c>
      <c r="P19" s="64">
        <v>0.51</v>
      </c>
      <c r="Q19" s="64">
        <v>9.08</v>
      </c>
      <c r="R19" s="198"/>
      <c r="S19" s="198"/>
      <c r="T19" s="198"/>
      <c r="U19" s="198"/>
    </row>
    <row r="20" spans="1:21" s="12" customFormat="1" x14ac:dyDescent="0.25">
      <c r="A20" s="211" t="s">
        <v>2659</v>
      </c>
      <c r="B20" s="64">
        <v>8.1199999999999992</v>
      </c>
      <c r="C20" s="64">
        <v>6.9</v>
      </c>
      <c r="D20" s="64">
        <v>10.11</v>
      </c>
      <c r="E20" s="64">
        <v>4.4800000000000004</v>
      </c>
      <c r="F20" s="64">
        <v>2.13</v>
      </c>
      <c r="G20" s="64">
        <v>68.95</v>
      </c>
      <c r="H20" s="64">
        <v>17.39</v>
      </c>
      <c r="I20" s="64">
        <v>2.0699999999999998</v>
      </c>
      <c r="J20" s="64">
        <v>0.06</v>
      </c>
      <c r="K20" s="64">
        <v>295.64999999999998</v>
      </c>
      <c r="L20" s="64">
        <v>23.22</v>
      </c>
      <c r="M20" s="64">
        <v>98.14</v>
      </c>
      <c r="N20" s="64">
        <v>41.3</v>
      </c>
      <c r="O20" s="64">
        <v>0</v>
      </c>
      <c r="P20" s="64">
        <v>0.53</v>
      </c>
      <c r="Q20" s="64">
        <v>9.08</v>
      </c>
      <c r="R20" s="198"/>
      <c r="S20" s="198"/>
      <c r="T20" s="198"/>
      <c r="U20" s="198"/>
    </row>
    <row r="21" spans="1:21" s="12" customFormat="1" x14ac:dyDescent="0.25">
      <c r="A21" s="211" t="s">
        <v>2660</v>
      </c>
      <c r="B21" s="64">
        <v>8.14</v>
      </c>
      <c r="C21" s="64">
        <v>7.43</v>
      </c>
      <c r="D21" s="64">
        <v>10.41</v>
      </c>
      <c r="E21" s="64">
        <v>4.53</v>
      </c>
      <c r="F21" s="64">
        <v>2.1</v>
      </c>
      <c r="G21" s="64">
        <v>63.69</v>
      </c>
      <c r="H21" s="64">
        <v>15.47</v>
      </c>
      <c r="I21" s="64">
        <v>2.0499999999999998</v>
      </c>
      <c r="J21" s="64">
        <v>0.06</v>
      </c>
      <c r="K21" s="64">
        <v>297.3</v>
      </c>
      <c r="L21" s="64">
        <v>23.1</v>
      </c>
      <c r="M21" s="64">
        <v>98.14</v>
      </c>
      <c r="N21" s="64">
        <v>41.1</v>
      </c>
      <c r="O21" s="64">
        <v>0</v>
      </c>
      <c r="P21" s="64">
        <v>0.5</v>
      </c>
      <c r="Q21" s="64">
        <v>9.09</v>
      </c>
      <c r="R21" s="198"/>
      <c r="S21" s="198"/>
      <c r="T21" s="198"/>
      <c r="U21" s="198"/>
    </row>
    <row r="22" spans="1:21" s="12" customFormat="1" x14ac:dyDescent="0.25">
      <c r="A22" s="211" t="s">
        <v>2661</v>
      </c>
      <c r="B22" s="64">
        <v>8.4499999999999993</v>
      </c>
      <c r="C22" s="64">
        <v>7.18</v>
      </c>
      <c r="D22" s="64">
        <v>10.53</v>
      </c>
      <c r="E22" s="64">
        <v>4.45</v>
      </c>
      <c r="F22" s="64">
        <v>2.13</v>
      </c>
      <c r="G22" s="64">
        <v>62.28</v>
      </c>
      <c r="H22" s="64">
        <v>15.47</v>
      </c>
      <c r="I22" s="64">
        <v>2.0299999999999998</v>
      </c>
      <c r="J22" s="64">
        <v>0.05</v>
      </c>
      <c r="K22" s="64">
        <v>260.04000000000002</v>
      </c>
      <c r="L22" s="64">
        <v>22.98</v>
      </c>
      <c r="M22" s="64">
        <v>98.15</v>
      </c>
      <c r="N22" s="64">
        <v>41.2</v>
      </c>
      <c r="O22" s="64">
        <v>0</v>
      </c>
      <c r="P22" s="64">
        <v>0.5</v>
      </c>
      <c r="Q22" s="64">
        <v>9.11</v>
      </c>
      <c r="R22" s="198"/>
      <c r="S22" s="198"/>
      <c r="T22" s="198"/>
      <c r="U22" s="198"/>
    </row>
    <row r="23" spans="1:21" s="12" customFormat="1" x14ac:dyDescent="0.25">
      <c r="A23" s="211" t="s">
        <v>2662</v>
      </c>
      <c r="B23" s="64">
        <v>7.88</v>
      </c>
      <c r="C23" s="64">
        <v>7.41</v>
      </c>
      <c r="D23" s="64">
        <v>10.19</v>
      </c>
      <c r="E23" s="64">
        <v>4.62</v>
      </c>
      <c r="F23" s="64">
        <v>2.29</v>
      </c>
      <c r="G23" s="64">
        <v>62.28</v>
      </c>
      <c r="H23" s="64">
        <v>15.47</v>
      </c>
      <c r="I23" s="64">
        <v>2.0099999999999998</v>
      </c>
      <c r="J23" s="64">
        <v>7.0000000000000007E-2</v>
      </c>
      <c r="K23" s="64">
        <v>279.64</v>
      </c>
      <c r="L23" s="64">
        <v>22.98</v>
      </c>
      <c r="M23" s="64">
        <v>98.15</v>
      </c>
      <c r="N23" s="64">
        <v>41.1</v>
      </c>
      <c r="O23" s="64">
        <v>0</v>
      </c>
      <c r="P23" s="64">
        <v>0.47</v>
      </c>
      <c r="Q23" s="64">
        <v>9.11</v>
      </c>
      <c r="R23" s="198"/>
      <c r="S23" s="198"/>
      <c r="T23" s="198"/>
      <c r="U23" s="198"/>
    </row>
    <row r="24" spans="1:21" s="12" customFormat="1" x14ac:dyDescent="0.25">
      <c r="A24" s="211" t="s">
        <v>2663</v>
      </c>
      <c r="B24" s="64">
        <v>11.77</v>
      </c>
      <c r="C24" s="64">
        <v>7.92</v>
      </c>
      <c r="D24" s="64">
        <v>13.49</v>
      </c>
      <c r="E24" s="64">
        <v>4.53</v>
      </c>
      <c r="F24" s="64">
        <v>2.2799999999999998</v>
      </c>
      <c r="G24" s="64">
        <v>62.28</v>
      </c>
      <c r="H24" s="64">
        <v>15.47</v>
      </c>
      <c r="I24" s="64">
        <v>2</v>
      </c>
      <c r="J24" s="64">
        <v>0.24</v>
      </c>
      <c r="K24" s="64">
        <v>331.23</v>
      </c>
      <c r="L24" s="64">
        <v>23.03</v>
      </c>
      <c r="M24" s="64">
        <v>98.15</v>
      </c>
      <c r="N24" s="64">
        <v>41</v>
      </c>
      <c r="O24" s="64">
        <v>0</v>
      </c>
      <c r="P24" s="64">
        <v>0.55000000000000004</v>
      </c>
      <c r="Q24" s="64">
        <v>9.1199999999999992</v>
      </c>
      <c r="R24" s="198"/>
      <c r="S24" s="198"/>
      <c r="T24" s="198"/>
      <c r="U24" s="198"/>
    </row>
    <row r="25" spans="1:21" s="12" customFormat="1" x14ac:dyDescent="0.25">
      <c r="A25" s="211" t="s">
        <v>2664</v>
      </c>
      <c r="B25" s="64">
        <v>9.11</v>
      </c>
      <c r="C25" s="64">
        <v>9.18</v>
      </c>
      <c r="D25" s="64">
        <v>12.1</v>
      </c>
      <c r="E25" s="64">
        <v>4.49</v>
      </c>
      <c r="F25" s="64">
        <v>2.2000000000000002</v>
      </c>
      <c r="G25" s="64">
        <v>59.59</v>
      </c>
      <c r="H25" s="64">
        <v>14.13</v>
      </c>
      <c r="I25" s="64">
        <v>1.98</v>
      </c>
      <c r="J25" s="64">
        <v>0.61</v>
      </c>
      <c r="K25" s="64">
        <v>339.77</v>
      </c>
      <c r="L25" s="64">
        <v>23.18</v>
      </c>
      <c r="M25" s="64">
        <v>98.15</v>
      </c>
      <c r="N25" s="64">
        <v>40.9</v>
      </c>
      <c r="O25" s="64">
        <v>0</v>
      </c>
      <c r="P25" s="64">
        <v>0.51</v>
      </c>
      <c r="Q25" s="64">
        <v>9.11</v>
      </c>
      <c r="R25" s="198"/>
      <c r="S25" s="198"/>
      <c r="T25" s="198"/>
      <c r="U25" s="198"/>
    </row>
    <row r="26" spans="1:21" s="12" customFormat="1" x14ac:dyDescent="0.25">
      <c r="A26" s="211" t="s">
        <v>2665</v>
      </c>
      <c r="B26" s="64">
        <v>11.1</v>
      </c>
      <c r="C26" s="64">
        <v>7.44</v>
      </c>
      <c r="D26" s="64">
        <v>12.79</v>
      </c>
      <c r="E26" s="64">
        <v>4.51</v>
      </c>
      <c r="F26" s="64">
        <v>2.39</v>
      </c>
      <c r="G26" s="64">
        <v>58.82</v>
      </c>
      <c r="H26" s="64">
        <v>14.13</v>
      </c>
      <c r="I26" s="64">
        <v>1.97</v>
      </c>
      <c r="J26" s="64">
        <v>0.66</v>
      </c>
      <c r="K26" s="64">
        <v>336.92</v>
      </c>
      <c r="L26" s="64">
        <v>23.25</v>
      </c>
      <c r="M26" s="64">
        <v>98.15</v>
      </c>
      <c r="N26" s="64">
        <v>41.1</v>
      </c>
      <c r="O26" s="64">
        <v>0</v>
      </c>
      <c r="P26" s="64">
        <v>0.53</v>
      </c>
      <c r="Q26" s="64">
        <v>9.11</v>
      </c>
      <c r="R26" s="198"/>
      <c r="S26" s="198"/>
      <c r="T26" s="198"/>
      <c r="U26" s="198"/>
    </row>
    <row r="27" spans="1:21" s="12" customFormat="1" x14ac:dyDescent="0.25">
      <c r="A27" s="211" t="s">
        <v>2666</v>
      </c>
      <c r="B27" s="64">
        <v>13.18</v>
      </c>
      <c r="C27" s="64">
        <v>8.4600000000000009</v>
      </c>
      <c r="D27" s="64">
        <v>14.99</v>
      </c>
      <c r="E27" s="64">
        <v>4.46</v>
      </c>
      <c r="F27" s="64">
        <v>2.2799999999999998</v>
      </c>
      <c r="G27" s="64">
        <v>58.82</v>
      </c>
      <c r="H27" s="64">
        <v>14.13</v>
      </c>
      <c r="I27" s="64">
        <v>1.97</v>
      </c>
      <c r="J27" s="64">
        <v>0.22</v>
      </c>
      <c r="K27" s="64">
        <v>333.38</v>
      </c>
      <c r="L27" s="64">
        <v>23.26</v>
      </c>
      <c r="M27" s="64">
        <v>98.15</v>
      </c>
      <c r="N27" s="64">
        <v>41.1</v>
      </c>
      <c r="O27" s="64">
        <v>0</v>
      </c>
      <c r="P27" s="64">
        <v>0.52</v>
      </c>
      <c r="Q27" s="64">
        <v>9.1300000000000008</v>
      </c>
      <c r="R27" s="198"/>
      <c r="S27" s="198"/>
      <c r="T27" s="198"/>
      <c r="U27" s="198"/>
    </row>
    <row r="28" spans="1:21" s="12" customFormat="1" x14ac:dyDescent="0.25">
      <c r="A28" s="211" t="s">
        <v>2667</v>
      </c>
      <c r="B28" s="64">
        <v>12.54</v>
      </c>
      <c r="C28" s="64">
        <v>9.75</v>
      </c>
      <c r="D28" s="64">
        <v>15.15</v>
      </c>
      <c r="E28" s="64">
        <v>4.12</v>
      </c>
      <c r="F28" s="64">
        <v>2.1</v>
      </c>
      <c r="G28" s="64">
        <v>58.82</v>
      </c>
      <c r="H28" s="64">
        <v>14.13</v>
      </c>
      <c r="I28" s="64">
        <v>1.98</v>
      </c>
      <c r="J28" s="64">
        <v>0.54</v>
      </c>
      <c r="K28" s="64">
        <v>342.37</v>
      </c>
      <c r="L28" s="64">
        <v>23.27</v>
      </c>
      <c r="M28" s="64">
        <v>98.17</v>
      </c>
      <c r="N28" s="64">
        <v>41.1</v>
      </c>
      <c r="O28" s="64">
        <v>0</v>
      </c>
      <c r="P28" s="64">
        <v>0.57999999999999996</v>
      </c>
      <c r="Q28" s="64">
        <v>9.1199999999999992</v>
      </c>
      <c r="R28" s="198"/>
      <c r="S28" s="198"/>
      <c r="T28" s="198"/>
      <c r="U28" s="198"/>
    </row>
    <row r="29" spans="1:21" s="12" customFormat="1" x14ac:dyDescent="0.25">
      <c r="A29" s="211" t="s">
        <v>2668</v>
      </c>
      <c r="B29" s="64">
        <v>12.73</v>
      </c>
      <c r="C29" s="64">
        <v>14.56</v>
      </c>
      <c r="D29" s="64">
        <v>17.82</v>
      </c>
      <c r="E29" s="64">
        <v>4.58</v>
      </c>
      <c r="F29" s="64">
        <v>2.31</v>
      </c>
      <c r="G29" s="64">
        <v>62.55</v>
      </c>
      <c r="H29" s="64">
        <v>15.67</v>
      </c>
      <c r="I29" s="64">
        <v>1.98</v>
      </c>
      <c r="J29" s="64">
        <v>0.4</v>
      </c>
      <c r="K29" s="64">
        <v>341.35</v>
      </c>
      <c r="L29" s="64">
        <v>23.4</v>
      </c>
      <c r="M29" s="64">
        <v>98.13</v>
      </c>
      <c r="N29" s="64">
        <v>41.2</v>
      </c>
      <c r="O29" s="64">
        <v>0</v>
      </c>
      <c r="P29" s="64">
        <v>0.68</v>
      </c>
      <c r="Q29" s="64">
        <v>9.1199999999999992</v>
      </c>
      <c r="R29" s="198"/>
      <c r="S29" s="198"/>
      <c r="T29" s="198"/>
      <c r="U29" s="198"/>
    </row>
    <row r="30" spans="1:21" s="12" customFormat="1" x14ac:dyDescent="0.25">
      <c r="A30" s="211" t="s">
        <v>2669</v>
      </c>
      <c r="B30" s="64">
        <v>12.57</v>
      </c>
      <c r="C30" s="64">
        <v>11.04</v>
      </c>
      <c r="D30" s="64">
        <v>15.85</v>
      </c>
      <c r="E30" s="64">
        <v>4.78</v>
      </c>
      <c r="F30" s="64">
        <v>2.12</v>
      </c>
      <c r="G30" s="64">
        <v>63.55</v>
      </c>
      <c r="H30" s="64">
        <v>15.67</v>
      </c>
      <c r="I30" s="64">
        <v>1.98</v>
      </c>
      <c r="J30" s="64">
        <v>0.08</v>
      </c>
      <c r="K30" s="64">
        <v>326.14</v>
      </c>
      <c r="L30" s="64">
        <v>23.32</v>
      </c>
      <c r="M30" s="64">
        <v>98.1</v>
      </c>
      <c r="N30" s="64">
        <v>41.5</v>
      </c>
      <c r="O30" s="64">
        <v>0</v>
      </c>
      <c r="P30" s="64">
        <v>0.66</v>
      </c>
      <c r="Q30" s="64">
        <v>9.11</v>
      </c>
      <c r="R30" s="198"/>
      <c r="S30" s="198"/>
      <c r="T30" s="198"/>
      <c r="U30" s="198"/>
    </row>
    <row r="31" spans="1:21" s="12" customFormat="1" x14ac:dyDescent="0.25">
      <c r="A31" s="211" t="s">
        <v>2670</v>
      </c>
      <c r="B31" s="64">
        <v>10.14</v>
      </c>
      <c r="C31" s="64">
        <v>16.170000000000002</v>
      </c>
      <c r="D31" s="64">
        <v>16.579999999999998</v>
      </c>
      <c r="E31" s="64">
        <v>4.9000000000000004</v>
      </c>
      <c r="F31" s="64">
        <v>2.1</v>
      </c>
      <c r="G31" s="64">
        <v>63.55</v>
      </c>
      <c r="H31" s="64">
        <v>15.67</v>
      </c>
      <c r="I31" s="64">
        <v>2.0099999999999998</v>
      </c>
      <c r="J31" s="64">
        <v>0.03</v>
      </c>
      <c r="K31" s="64">
        <v>214.3</v>
      </c>
      <c r="L31" s="64">
        <v>23.3</v>
      </c>
      <c r="M31" s="64">
        <v>98.09</v>
      </c>
      <c r="N31" s="64">
        <v>41.5</v>
      </c>
      <c r="O31" s="64">
        <v>0</v>
      </c>
      <c r="P31" s="64">
        <v>0.71</v>
      </c>
      <c r="Q31" s="64">
        <v>9.11</v>
      </c>
      <c r="R31" s="198"/>
      <c r="S31" s="198"/>
      <c r="T31" s="198"/>
      <c r="U31" s="198"/>
    </row>
    <row r="32" spans="1:21" s="12" customFormat="1" x14ac:dyDescent="0.25">
      <c r="A32" s="211" t="s">
        <v>2671</v>
      </c>
      <c r="B32" s="64">
        <v>11.18</v>
      </c>
      <c r="C32" s="64">
        <v>12.51</v>
      </c>
      <c r="D32" s="64">
        <v>15.5</v>
      </c>
      <c r="E32" s="64">
        <v>4.3600000000000003</v>
      </c>
      <c r="F32" s="64">
        <v>2.4900000000000002</v>
      </c>
      <c r="G32" s="64">
        <v>63.55</v>
      </c>
      <c r="H32" s="64">
        <v>15.67</v>
      </c>
      <c r="I32" s="64">
        <v>2.04</v>
      </c>
      <c r="J32" s="64">
        <v>0.02</v>
      </c>
      <c r="K32" s="64">
        <v>202.91</v>
      </c>
      <c r="L32" s="64">
        <v>23.24</v>
      </c>
      <c r="M32" s="64">
        <v>98.09</v>
      </c>
      <c r="N32" s="64">
        <v>43</v>
      </c>
      <c r="O32" s="64">
        <v>0</v>
      </c>
      <c r="P32" s="64">
        <v>0.62</v>
      </c>
      <c r="Q32" s="64">
        <v>9.11</v>
      </c>
      <c r="R32" s="198"/>
      <c r="S32" s="198"/>
      <c r="T32" s="198"/>
      <c r="U32" s="198"/>
    </row>
    <row r="33" spans="1:21" s="12" customFormat="1" x14ac:dyDescent="0.25">
      <c r="A33" s="211" t="s">
        <v>2672</v>
      </c>
      <c r="B33" s="64">
        <v>12.12</v>
      </c>
      <c r="C33" s="64">
        <v>13.55</v>
      </c>
      <c r="D33" s="64">
        <v>16.79</v>
      </c>
      <c r="E33" s="64">
        <v>4.53</v>
      </c>
      <c r="F33" s="64">
        <v>3.36</v>
      </c>
      <c r="G33" s="64">
        <v>72.209999999999994</v>
      </c>
      <c r="H33" s="64">
        <v>14.27</v>
      </c>
      <c r="I33" s="64">
        <v>2.06</v>
      </c>
      <c r="J33" s="64">
        <v>0.08</v>
      </c>
      <c r="K33" s="64">
        <v>156.11000000000001</v>
      </c>
      <c r="L33" s="64">
        <v>23.26</v>
      </c>
      <c r="M33" s="64">
        <v>98.06</v>
      </c>
      <c r="N33" s="64">
        <v>47.2</v>
      </c>
      <c r="O33" s="64">
        <v>0</v>
      </c>
      <c r="P33" s="64">
        <v>0.59</v>
      </c>
      <c r="Q33" s="64">
        <v>9.11</v>
      </c>
      <c r="R33" s="198"/>
      <c r="S33" s="198"/>
      <c r="T33" s="198"/>
      <c r="U33" s="198"/>
    </row>
    <row r="34" spans="1:21" s="12" customFormat="1" x14ac:dyDescent="0.25">
      <c r="A34" s="211" t="s">
        <v>2673</v>
      </c>
      <c r="B34" s="64">
        <v>11.56</v>
      </c>
      <c r="C34" s="64">
        <v>13.73</v>
      </c>
      <c r="D34" s="64">
        <v>16.440000000000001</v>
      </c>
      <c r="E34" s="64">
        <v>4.9400000000000004</v>
      </c>
      <c r="F34" s="64">
        <v>3.98</v>
      </c>
      <c r="G34" s="64">
        <v>74.53</v>
      </c>
      <c r="H34" s="64">
        <v>14.27</v>
      </c>
      <c r="I34" s="64">
        <v>2.06</v>
      </c>
      <c r="J34" s="64">
        <v>0.21</v>
      </c>
      <c r="K34" s="64">
        <v>334.75</v>
      </c>
      <c r="L34" s="64">
        <v>23.31</v>
      </c>
      <c r="M34" s="64">
        <v>98.07</v>
      </c>
      <c r="N34" s="64">
        <v>53.9</v>
      </c>
      <c r="O34" s="64">
        <v>0</v>
      </c>
      <c r="P34" s="64">
        <v>0.62</v>
      </c>
      <c r="Q34" s="64">
        <v>9.11</v>
      </c>
      <c r="R34" s="198"/>
      <c r="S34" s="198"/>
      <c r="T34" s="198"/>
      <c r="U34" s="198"/>
    </row>
    <row r="35" spans="1:21" s="12" customFormat="1" x14ac:dyDescent="0.25">
      <c r="A35" s="211" t="s">
        <v>2674</v>
      </c>
      <c r="B35" s="64">
        <v>16.14</v>
      </c>
      <c r="C35" s="64">
        <v>12.23</v>
      </c>
      <c r="D35" s="64">
        <v>19.32</v>
      </c>
      <c r="E35" s="64">
        <v>5.68</v>
      </c>
      <c r="F35" s="64">
        <v>3.92</v>
      </c>
      <c r="G35" s="64">
        <v>74.53</v>
      </c>
      <c r="H35" s="64">
        <v>14.27</v>
      </c>
      <c r="I35" s="64">
        <v>2.06</v>
      </c>
      <c r="J35" s="64">
        <v>0.76</v>
      </c>
      <c r="K35" s="64">
        <v>339.45</v>
      </c>
      <c r="L35" s="64">
        <v>23.54</v>
      </c>
      <c r="M35" s="64">
        <v>98.05</v>
      </c>
      <c r="N35" s="64">
        <v>66.099999999999994</v>
      </c>
      <c r="O35" s="64">
        <v>0</v>
      </c>
      <c r="P35" s="64">
        <v>0.64</v>
      </c>
      <c r="Q35" s="64">
        <v>9.1</v>
      </c>
      <c r="R35" s="198"/>
      <c r="S35" s="198"/>
      <c r="T35" s="198"/>
      <c r="U35" s="198"/>
    </row>
    <row r="36" spans="1:21" s="12" customFormat="1" x14ac:dyDescent="0.25">
      <c r="A36" s="211" t="s">
        <v>2675</v>
      </c>
      <c r="B36" s="64">
        <v>15.64</v>
      </c>
      <c r="C36" s="64">
        <v>16.43</v>
      </c>
      <c r="D36" s="64">
        <v>21.13</v>
      </c>
      <c r="E36" s="64">
        <v>6.44</v>
      </c>
      <c r="F36" s="64">
        <v>4.01</v>
      </c>
      <c r="G36" s="64">
        <v>74.53</v>
      </c>
      <c r="H36" s="64">
        <v>14.27</v>
      </c>
      <c r="I36" s="64">
        <v>2.08</v>
      </c>
      <c r="J36" s="64">
        <v>0.39</v>
      </c>
      <c r="K36" s="64">
        <v>339.38</v>
      </c>
      <c r="L36" s="64">
        <v>23.68</v>
      </c>
      <c r="M36" s="64">
        <v>98.04</v>
      </c>
      <c r="N36" s="64">
        <v>75.400000000000006</v>
      </c>
      <c r="O36" s="64">
        <v>0</v>
      </c>
      <c r="P36" s="64">
        <v>0.7</v>
      </c>
      <c r="Q36" s="64">
        <v>9.1</v>
      </c>
      <c r="R36" s="198"/>
      <c r="S36" s="198"/>
      <c r="T36" s="198"/>
      <c r="U36" s="198"/>
    </row>
    <row r="37" spans="1:21" s="12" customFormat="1" x14ac:dyDescent="0.25">
      <c r="A37" s="211" t="s">
        <v>2676</v>
      </c>
      <c r="B37" s="64">
        <v>15.05</v>
      </c>
      <c r="C37" s="64">
        <v>15.51</v>
      </c>
      <c r="D37" s="64">
        <v>20.170000000000002</v>
      </c>
      <c r="E37" s="64">
        <v>6.7</v>
      </c>
      <c r="F37" s="64">
        <v>3.02</v>
      </c>
      <c r="G37" s="64">
        <v>80.48</v>
      </c>
      <c r="H37" s="64">
        <v>13.29</v>
      </c>
      <c r="I37" s="64">
        <v>2.23</v>
      </c>
      <c r="J37" s="64">
        <v>0.86</v>
      </c>
      <c r="K37" s="64">
        <v>339.02</v>
      </c>
      <c r="L37" s="64">
        <v>23.83</v>
      </c>
      <c r="M37" s="64">
        <v>98.04</v>
      </c>
      <c r="N37" s="64">
        <v>89</v>
      </c>
      <c r="O37" s="64">
        <v>0</v>
      </c>
      <c r="P37" s="64">
        <v>0.73</v>
      </c>
      <c r="Q37" s="64">
        <v>9.11</v>
      </c>
      <c r="R37" s="198"/>
      <c r="S37" s="198"/>
      <c r="T37" s="198"/>
      <c r="U37" s="198"/>
    </row>
    <row r="38" spans="1:21" s="12" customFormat="1" x14ac:dyDescent="0.25">
      <c r="A38" s="211" t="s">
        <v>2677</v>
      </c>
      <c r="B38" s="64">
        <v>13.03</v>
      </c>
      <c r="C38" s="64">
        <v>18.39</v>
      </c>
      <c r="D38" s="64">
        <v>20.059999999999999</v>
      </c>
      <c r="E38" s="64">
        <v>7.76</v>
      </c>
      <c r="F38" s="64">
        <v>3.26</v>
      </c>
      <c r="G38" s="64">
        <v>82.18</v>
      </c>
      <c r="H38" s="64">
        <v>13.29</v>
      </c>
      <c r="I38" s="64">
        <v>2.34</v>
      </c>
      <c r="J38" s="64">
        <v>0.63</v>
      </c>
      <c r="K38" s="64">
        <v>337.08</v>
      </c>
      <c r="L38" s="64">
        <v>23.92</v>
      </c>
      <c r="M38" s="64">
        <v>98.03</v>
      </c>
      <c r="N38" s="64">
        <v>101.5</v>
      </c>
      <c r="O38" s="64">
        <v>0</v>
      </c>
      <c r="P38" s="64">
        <v>0.86</v>
      </c>
      <c r="Q38" s="64">
        <v>9.14</v>
      </c>
      <c r="R38" s="198"/>
      <c r="S38" s="198"/>
      <c r="T38" s="198"/>
      <c r="U38" s="198"/>
    </row>
    <row r="39" spans="1:21" s="12" customFormat="1" x14ac:dyDescent="0.25">
      <c r="A39" s="211" t="s">
        <v>2678</v>
      </c>
      <c r="B39" s="64">
        <v>15.36</v>
      </c>
      <c r="C39" s="64">
        <v>14.65</v>
      </c>
      <c r="D39" s="64">
        <v>19.93</v>
      </c>
      <c r="E39" s="64">
        <v>7.96</v>
      </c>
      <c r="F39" s="64">
        <v>2.4900000000000002</v>
      </c>
      <c r="G39" s="64">
        <v>82.18</v>
      </c>
      <c r="H39" s="64">
        <v>13.29</v>
      </c>
      <c r="I39" s="64">
        <v>2.36</v>
      </c>
      <c r="J39" s="64">
        <v>0.44</v>
      </c>
      <c r="K39" s="64">
        <v>343.24</v>
      </c>
      <c r="L39" s="64">
        <v>24.05</v>
      </c>
      <c r="M39" s="64">
        <v>98.03</v>
      </c>
      <c r="N39" s="64">
        <v>119</v>
      </c>
      <c r="O39" s="64">
        <v>0</v>
      </c>
      <c r="P39" s="64">
        <v>0.76</v>
      </c>
      <c r="Q39" s="64">
        <v>9.16</v>
      </c>
      <c r="R39" s="198"/>
      <c r="S39" s="198"/>
      <c r="T39" s="198"/>
      <c r="U39" s="198"/>
    </row>
    <row r="40" spans="1:21" s="12" customFormat="1" x14ac:dyDescent="0.25">
      <c r="A40" s="211" t="s">
        <v>2679</v>
      </c>
      <c r="B40" s="64">
        <v>16.059999999999999</v>
      </c>
      <c r="C40" s="64">
        <v>13.32</v>
      </c>
      <c r="D40" s="64">
        <v>19.84</v>
      </c>
      <c r="E40" s="64">
        <v>8.01</v>
      </c>
      <c r="F40" s="64">
        <v>2.79</v>
      </c>
      <c r="G40" s="64">
        <v>82.18</v>
      </c>
      <c r="H40" s="64">
        <v>13.29</v>
      </c>
      <c r="I40" s="64">
        <v>2.38</v>
      </c>
      <c r="J40" s="64">
        <v>0.57999999999999996</v>
      </c>
      <c r="K40" s="64">
        <v>335.36</v>
      </c>
      <c r="L40" s="64">
        <v>24.46</v>
      </c>
      <c r="M40" s="64">
        <v>98.01</v>
      </c>
      <c r="N40" s="64">
        <v>148.5</v>
      </c>
      <c r="O40" s="64">
        <v>0</v>
      </c>
      <c r="P40" s="64">
        <v>0.74</v>
      </c>
      <c r="Q40" s="64">
        <v>9.18</v>
      </c>
      <c r="R40" s="198"/>
      <c r="S40" s="198"/>
      <c r="T40" s="198"/>
      <c r="U40" s="198"/>
    </row>
    <row r="41" spans="1:21" s="12" customFormat="1" x14ac:dyDescent="0.25">
      <c r="A41" s="211" t="s">
        <v>2680</v>
      </c>
      <c r="B41" s="64">
        <v>12.99</v>
      </c>
      <c r="C41" s="64">
        <v>12.37</v>
      </c>
      <c r="D41" s="64">
        <v>16.88</v>
      </c>
      <c r="E41" s="64">
        <v>8.1</v>
      </c>
      <c r="F41" s="64">
        <v>4.32</v>
      </c>
      <c r="G41" s="64">
        <v>91.95</v>
      </c>
      <c r="H41" s="64">
        <v>12.6</v>
      </c>
      <c r="I41" s="64">
        <v>2.4</v>
      </c>
      <c r="J41" s="64">
        <v>0.24</v>
      </c>
      <c r="K41" s="64">
        <v>4.32</v>
      </c>
      <c r="L41" s="64">
        <v>25.4</v>
      </c>
      <c r="M41" s="64">
        <v>97.95</v>
      </c>
      <c r="N41" s="64">
        <v>322.8</v>
      </c>
      <c r="O41" s="64">
        <v>0</v>
      </c>
      <c r="P41" s="64">
        <v>0.73</v>
      </c>
      <c r="Q41" s="64">
        <v>9.1999999999999993</v>
      </c>
      <c r="R41" s="198"/>
      <c r="S41" s="198"/>
      <c r="T41" s="198"/>
      <c r="U41" s="198"/>
    </row>
    <row r="42" spans="1:21" s="12" customFormat="1" x14ac:dyDescent="0.25">
      <c r="A42" s="211" t="s">
        <v>2681</v>
      </c>
      <c r="B42" s="64">
        <v>15.3</v>
      </c>
      <c r="C42" s="64">
        <v>13.43</v>
      </c>
      <c r="D42" s="64">
        <v>19.29</v>
      </c>
      <c r="E42" s="64">
        <v>7.54</v>
      </c>
      <c r="F42" s="64">
        <v>4.43</v>
      </c>
      <c r="G42" s="64">
        <v>94.57</v>
      </c>
      <c r="H42" s="64">
        <v>12.6</v>
      </c>
      <c r="I42" s="64">
        <v>2.42</v>
      </c>
      <c r="J42" s="64">
        <v>0.2</v>
      </c>
      <c r="K42" s="64">
        <v>334.29</v>
      </c>
      <c r="L42" s="64">
        <v>26.78</v>
      </c>
      <c r="M42" s="64">
        <v>96.28</v>
      </c>
      <c r="N42" s="64">
        <v>251.1</v>
      </c>
      <c r="O42" s="64">
        <v>0</v>
      </c>
      <c r="P42" s="64">
        <v>0.7</v>
      </c>
      <c r="Q42" s="64">
        <v>9.2200000000000006</v>
      </c>
      <c r="R42" s="198"/>
      <c r="S42" s="198"/>
      <c r="T42" s="198"/>
      <c r="U42" s="198"/>
    </row>
    <row r="43" spans="1:21" s="12" customFormat="1" x14ac:dyDescent="0.25">
      <c r="A43" s="211" t="s">
        <v>2682</v>
      </c>
      <c r="B43" s="64">
        <v>14.62</v>
      </c>
      <c r="C43" s="64">
        <v>12.53</v>
      </c>
      <c r="D43" s="64">
        <v>18.27</v>
      </c>
      <c r="E43" s="64">
        <v>7.52</v>
      </c>
      <c r="F43" s="64">
        <v>4.57</v>
      </c>
      <c r="G43" s="64">
        <v>94.57</v>
      </c>
      <c r="H43" s="64">
        <v>12.6</v>
      </c>
      <c r="I43" s="64">
        <v>2.4300000000000002</v>
      </c>
      <c r="J43" s="64">
        <v>0.09</v>
      </c>
      <c r="K43" s="64">
        <v>22.88</v>
      </c>
      <c r="L43" s="64">
        <v>26.62</v>
      </c>
      <c r="M43" s="64">
        <v>96.87</v>
      </c>
      <c r="N43" s="64">
        <v>195.7</v>
      </c>
      <c r="O43" s="64">
        <v>0</v>
      </c>
      <c r="P43" s="64">
        <v>0.69</v>
      </c>
      <c r="Q43" s="64">
        <v>9.2100000000000009</v>
      </c>
      <c r="R43" s="198"/>
      <c r="S43" s="198"/>
      <c r="T43" s="198"/>
      <c r="U43" s="198"/>
    </row>
    <row r="44" spans="1:21" s="12" customFormat="1" x14ac:dyDescent="0.25">
      <c r="A44" s="211" t="s">
        <v>2683</v>
      </c>
      <c r="B44" s="64">
        <v>9.83</v>
      </c>
      <c r="C44" s="64">
        <v>11.71</v>
      </c>
      <c r="D44" s="64">
        <v>14</v>
      </c>
      <c r="E44" s="64">
        <v>7.02</v>
      </c>
      <c r="F44" s="64">
        <v>5.98</v>
      </c>
      <c r="G44" s="64">
        <v>94.57</v>
      </c>
      <c r="H44" s="64">
        <v>12.6</v>
      </c>
      <c r="I44" s="64">
        <v>2.4500000000000002</v>
      </c>
      <c r="J44" s="64">
        <v>1.01</v>
      </c>
      <c r="K44" s="64">
        <v>127.68</v>
      </c>
      <c r="L44" s="64">
        <v>25.21</v>
      </c>
      <c r="M44" s="64">
        <v>97.96</v>
      </c>
      <c r="N44" s="64">
        <v>195.4</v>
      </c>
      <c r="O44" s="64">
        <v>0</v>
      </c>
      <c r="P44" s="64">
        <v>0.61</v>
      </c>
      <c r="Q44" s="64">
        <v>9.2100000000000009</v>
      </c>
      <c r="R44" s="198"/>
      <c r="S44" s="198"/>
      <c r="T44" s="198"/>
      <c r="U44" s="198"/>
    </row>
    <row r="45" spans="1:21" s="12" customFormat="1" x14ac:dyDescent="0.25">
      <c r="A45" s="211" t="s">
        <v>2684</v>
      </c>
      <c r="B45" s="64">
        <v>10.6</v>
      </c>
      <c r="C45" s="64">
        <v>10.91</v>
      </c>
      <c r="D45" s="64">
        <v>14.2</v>
      </c>
      <c r="E45" s="64">
        <v>6.7</v>
      </c>
      <c r="F45" s="64">
        <v>4.9400000000000004</v>
      </c>
      <c r="G45" s="64">
        <v>102.14</v>
      </c>
      <c r="H45" s="64">
        <v>14.56</v>
      </c>
      <c r="I45" s="64">
        <v>2.46</v>
      </c>
      <c r="J45" s="64">
        <v>0.28999999999999998</v>
      </c>
      <c r="K45" s="64">
        <v>123.77</v>
      </c>
      <c r="L45" s="64">
        <v>25.27</v>
      </c>
      <c r="M45" s="64">
        <v>97.96</v>
      </c>
      <c r="N45" s="64">
        <v>232.3</v>
      </c>
      <c r="O45" s="64">
        <v>0</v>
      </c>
      <c r="P45" s="64">
        <v>0.63</v>
      </c>
      <c r="Q45" s="64">
        <v>9.2100000000000009</v>
      </c>
      <c r="R45" s="198"/>
      <c r="S45" s="198"/>
      <c r="T45" s="198"/>
      <c r="U45" s="198"/>
    </row>
    <row r="46" spans="1:21" s="12" customFormat="1" x14ac:dyDescent="0.25">
      <c r="A46" s="211" t="s">
        <v>2685</v>
      </c>
      <c r="B46" s="64">
        <v>12.51</v>
      </c>
      <c r="C46" s="64">
        <v>10.95</v>
      </c>
      <c r="D46" s="64">
        <v>15.76</v>
      </c>
      <c r="E46" s="64">
        <v>6.27</v>
      </c>
      <c r="F46" s="64">
        <v>3.31</v>
      </c>
      <c r="G46" s="64">
        <v>104.17</v>
      </c>
      <c r="H46" s="64">
        <v>14.56</v>
      </c>
      <c r="I46" s="64">
        <v>2.46</v>
      </c>
      <c r="J46" s="64">
        <v>0.3</v>
      </c>
      <c r="K46" s="64">
        <v>132.58000000000001</v>
      </c>
      <c r="L46" s="64">
        <v>26.21</v>
      </c>
      <c r="M46" s="64">
        <v>97.86</v>
      </c>
      <c r="N46" s="64">
        <v>303.89999999999998</v>
      </c>
      <c r="O46" s="64">
        <v>0</v>
      </c>
      <c r="P46" s="64">
        <v>0.63</v>
      </c>
      <c r="Q46" s="64">
        <v>9.19</v>
      </c>
      <c r="R46" s="198"/>
      <c r="S46" s="198"/>
      <c r="T46" s="198"/>
      <c r="U46" s="198"/>
    </row>
    <row r="47" spans="1:21" s="12" customFormat="1" x14ac:dyDescent="0.25">
      <c r="A47" s="211" t="s">
        <v>2686</v>
      </c>
      <c r="B47" s="64">
        <v>10.58</v>
      </c>
      <c r="C47" s="64">
        <v>12.33</v>
      </c>
      <c r="D47" s="64">
        <v>14.93</v>
      </c>
      <c r="E47" s="64">
        <v>5.76</v>
      </c>
      <c r="F47" s="64">
        <v>5.91</v>
      </c>
      <c r="G47" s="64">
        <v>104.17</v>
      </c>
      <c r="H47" s="64">
        <v>14.56</v>
      </c>
      <c r="I47" s="64">
        <v>2.4300000000000002</v>
      </c>
      <c r="J47" s="64">
        <v>0.15</v>
      </c>
      <c r="K47" s="64">
        <v>92.74</v>
      </c>
      <c r="L47" s="64">
        <v>26.98</v>
      </c>
      <c r="M47" s="64">
        <v>96.2</v>
      </c>
      <c r="N47" s="64">
        <v>375.4</v>
      </c>
      <c r="O47" s="64">
        <v>0</v>
      </c>
      <c r="P47" s="64">
        <v>0.7</v>
      </c>
      <c r="Q47" s="64">
        <v>9.16</v>
      </c>
      <c r="R47" s="198"/>
      <c r="S47" s="198"/>
      <c r="T47" s="198"/>
      <c r="U47" s="198"/>
    </row>
    <row r="48" spans="1:21" s="12" customFormat="1" x14ac:dyDescent="0.25">
      <c r="A48" s="211" t="s">
        <v>2687</v>
      </c>
      <c r="B48" s="64">
        <v>10.3</v>
      </c>
      <c r="C48" s="64">
        <v>12.43</v>
      </c>
      <c r="D48" s="64">
        <v>14.75</v>
      </c>
      <c r="E48" s="64">
        <v>6.21</v>
      </c>
      <c r="F48" s="64">
        <v>5.97</v>
      </c>
      <c r="G48" s="64">
        <v>104.17</v>
      </c>
      <c r="H48" s="64">
        <v>14.56</v>
      </c>
      <c r="I48" s="64">
        <v>2.41</v>
      </c>
      <c r="J48" s="64">
        <v>0.66</v>
      </c>
      <c r="K48" s="64">
        <v>130.55000000000001</v>
      </c>
      <c r="L48" s="64">
        <v>27.16</v>
      </c>
      <c r="M48" s="64">
        <v>91.95</v>
      </c>
      <c r="N48" s="64">
        <v>308.7</v>
      </c>
      <c r="O48" s="64">
        <v>0</v>
      </c>
      <c r="P48" s="64">
        <v>0.61</v>
      </c>
      <c r="Q48" s="64">
        <v>9.16</v>
      </c>
      <c r="R48" s="198"/>
      <c r="S48" s="198"/>
      <c r="T48" s="198"/>
      <c r="U48" s="198"/>
    </row>
    <row r="49" spans="1:21" s="12" customFormat="1" x14ac:dyDescent="0.25">
      <c r="A49" s="211" t="s">
        <v>2688</v>
      </c>
      <c r="B49" s="64">
        <v>8.9499999999999993</v>
      </c>
      <c r="C49" s="64">
        <v>9.91</v>
      </c>
      <c r="D49" s="64">
        <v>12.35</v>
      </c>
      <c r="E49" s="64">
        <v>6.02</v>
      </c>
      <c r="F49" s="64">
        <v>5.16</v>
      </c>
      <c r="G49" s="64">
        <v>99.98</v>
      </c>
      <c r="H49" s="64">
        <v>14.25</v>
      </c>
      <c r="I49" s="64">
        <v>2.4</v>
      </c>
      <c r="J49" s="64">
        <v>0.74</v>
      </c>
      <c r="K49" s="64">
        <v>127.91</v>
      </c>
      <c r="L49" s="64">
        <v>26.74</v>
      </c>
      <c r="M49" s="64">
        <v>95.11</v>
      </c>
      <c r="N49" s="64">
        <v>335.9</v>
      </c>
      <c r="O49" s="64">
        <v>0</v>
      </c>
      <c r="P49" s="64">
        <v>0.56999999999999995</v>
      </c>
      <c r="Q49" s="64">
        <v>9.15</v>
      </c>
      <c r="R49" s="198"/>
      <c r="S49" s="198"/>
      <c r="T49" s="198"/>
      <c r="U49" s="198"/>
    </row>
    <row r="50" spans="1:21" s="12" customFormat="1" x14ac:dyDescent="0.25">
      <c r="A50" s="211" t="s">
        <v>2689</v>
      </c>
      <c r="B50" s="64">
        <v>8.85</v>
      </c>
      <c r="C50" s="64">
        <v>8.9499999999999993</v>
      </c>
      <c r="D50" s="64">
        <v>11.77</v>
      </c>
      <c r="E50" s="64">
        <v>6.24</v>
      </c>
      <c r="F50" s="64">
        <v>6.52</v>
      </c>
      <c r="G50" s="64">
        <v>98.85</v>
      </c>
      <c r="H50" s="64">
        <v>14.25</v>
      </c>
      <c r="I50" s="64">
        <v>2.39</v>
      </c>
      <c r="J50" s="64">
        <v>0.68</v>
      </c>
      <c r="K50" s="64">
        <v>137.19</v>
      </c>
      <c r="L50" s="64">
        <v>27.4</v>
      </c>
      <c r="M50" s="64">
        <v>91.29</v>
      </c>
      <c r="N50" s="64">
        <v>635.6</v>
      </c>
      <c r="O50" s="64">
        <v>0</v>
      </c>
      <c r="P50" s="64">
        <v>0.57999999999999996</v>
      </c>
      <c r="Q50" s="64">
        <v>9.1300000000000008</v>
      </c>
      <c r="R50" s="198"/>
      <c r="S50" s="198"/>
      <c r="T50" s="198"/>
      <c r="U50" s="198"/>
    </row>
    <row r="51" spans="1:21" s="12" customFormat="1" x14ac:dyDescent="0.25">
      <c r="A51" s="211" t="s">
        <v>2690</v>
      </c>
      <c r="B51" s="64">
        <v>8.8000000000000007</v>
      </c>
      <c r="C51" s="64">
        <v>7.98</v>
      </c>
      <c r="D51" s="64">
        <v>11.22</v>
      </c>
      <c r="E51" s="64">
        <v>6.22</v>
      </c>
      <c r="F51" s="64">
        <v>6.44</v>
      </c>
      <c r="G51" s="64">
        <v>98.85</v>
      </c>
      <c r="H51" s="64">
        <v>14.25</v>
      </c>
      <c r="I51" s="64">
        <v>2.36</v>
      </c>
      <c r="J51" s="64">
        <v>0.48</v>
      </c>
      <c r="K51" s="64">
        <v>136.36000000000001</v>
      </c>
      <c r="L51" s="64">
        <v>28.62</v>
      </c>
      <c r="M51" s="64">
        <v>83.13</v>
      </c>
      <c r="N51" s="64">
        <v>567.1</v>
      </c>
      <c r="O51" s="64">
        <v>0</v>
      </c>
      <c r="P51" s="64">
        <v>0.56999999999999995</v>
      </c>
      <c r="Q51" s="64">
        <v>9.11</v>
      </c>
      <c r="R51" s="198"/>
      <c r="S51" s="198"/>
      <c r="T51" s="198"/>
      <c r="U51" s="198"/>
    </row>
    <row r="52" spans="1:21" s="12" customFormat="1" x14ac:dyDescent="0.25">
      <c r="A52" s="211" t="s">
        <v>2691</v>
      </c>
      <c r="B52" s="64">
        <v>9.5399999999999991</v>
      </c>
      <c r="C52" s="64">
        <v>12.59</v>
      </c>
      <c r="D52" s="64">
        <v>14.23</v>
      </c>
      <c r="E52" s="64">
        <v>6.62</v>
      </c>
      <c r="F52" s="64">
        <v>8.91</v>
      </c>
      <c r="G52" s="64">
        <v>98.85</v>
      </c>
      <c r="H52" s="64">
        <v>14.25</v>
      </c>
      <c r="I52" s="64">
        <v>2.34</v>
      </c>
      <c r="J52" s="64">
        <v>0.13</v>
      </c>
      <c r="K52" s="64">
        <v>116.08</v>
      </c>
      <c r="L52" s="64">
        <v>29.5</v>
      </c>
      <c r="M52" s="64">
        <v>77.290000000000006</v>
      </c>
      <c r="N52" s="64">
        <v>352.9</v>
      </c>
      <c r="O52" s="64">
        <v>0</v>
      </c>
      <c r="P52" s="64">
        <v>0.62</v>
      </c>
      <c r="Q52" s="64">
        <v>9.09</v>
      </c>
      <c r="R52" s="198"/>
      <c r="S52" s="198"/>
      <c r="T52" s="198"/>
      <c r="U52" s="198"/>
    </row>
    <row r="53" spans="1:21" s="12" customFormat="1" x14ac:dyDescent="0.25">
      <c r="A53" s="211" t="s">
        <v>2692</v>
      </c>
      <c r="B53" s="64">
        <v>8.41</v>
      </c>
      <c r="C53" s="64">
        <v>9.57</v>
      </c>
      <c r="D53" s="64">
        <v>11.74</v>
      </c>
      <c r="E53" s="64">
        <v>6.39</v>
      </c>
      <c r="F53" s="64">
        <v>9.44</v>
      </c>
      <c r="G53" s="64">
        <v>89.92</v>
      </c>
      <c r="H53" s="64">
        <v>14.18</v>
      </c>
      <c r="I53" s="64">
        <v>2.3199999999999998</v>
      </c>
      <c r="J53" s="64">
        <v>0.51</v>
      </c>
      <c r="K53" s="64">
        <v>141.13999999999999</v>
      </c>
      <c r="L53" s="64">
        <v>28.34</v>
      </c>
      <c r="M53" s="64">
        <v>80.760000000000005</v>
      </c>
      <c r="N53" s="64">
        <v>352.8</v>
      </c>
      <c r="O53" s="64">
        <v>0</v>
      </c>
      <c r="P53" s="64">
        <v>0.49</v>
      </c>
      <c r="Q53" s="64">
        <v>9.1</v>
      </c>
      <c r="R53" s="198"/>
      <c r="S53" s="198"/>
      <c r="T53" s="198"/>
      <c r="U53" s="198"/>
    </row>
    <row r="54" spans="1:21" s="12" customFormat="1" x14ac:dyDescent="0.25">
      <c r="A54" s="211" t="s">
        <v>2693</v>
      </c>
      <c r="B54" s="64">
        <v>9.27</v>
      </c>
      <c r="C54" s="64">
        <v>9.01</v>
      </c>
      <c r="D54" s="64">
        <v>12.14</v>
      </c>
      <c r="E54" s="64">
        <v>5.94</v>
      </c>
      <c r="F54" s="64">
        <v>6.12</v>
      </c>
      <c r="G54" s="64">
        <v>87.53</v>
      </c>
      <c r="H54" s="64">
        <v>14.18</v>
      </c>
      <c r="I54" s="64">
        <v>2.2999999999999998</v>
      </c>
      <c r="J54" s="64">
        <v>0.93</v>
      </c>
      <c r="K54" s="64">
        <v>147.94</v>
      </c>
      <c r="L54" s="64">
        <v>28.52</v>
      </c>
      <c r="M54" s="64">
        <v>78.63</v>
      </c>
      <c r="N54" s="64">
        <v>416</v>
      </c>
      <c r="O54" s="64">
        <v>0</v>
      </c>
      <c r="P54" s="64">
        <v>0.56000000000000005</v>
      </c>
      <c r="Q54" s="64">
        <v>9.08</v>
      </c>
      <c r="R54" s="198"/>
      <c r="S54" s="198"/>
      <c r="T54" s="198"/>
      <c r="U54" s="198"/>
    </row>
    <row r="55" spans="1:21" s="12" customFormat="1" x14ac:dyDescent="0.25">
      <c r="A55" s="211" t="s">
        <v>2694</v>
      </c>
      <c r="B55" s="64">
        <v>8.89</v>
      </c>
      <c r="C55" s="64">
        <v>11.96</v>
      </c>
      <c r="D55" s="64">
        <v>13.38</v>
      </c>
      <c r="E55" s="64">
        <v>5.94</v>
      </c>
      <c r="F55" s="64">
        <v>6.6</v>
      </c>
      <c r="G55" s="64">
        <v>87.53</v>
      </c>
      <c r="H55" s="64">
        <v>14.18</v>
      </c>
      <c r="I55" s="64">
        <v>2.2599999999999998</v>
      </c>
      <c r="J55" s="64">
        <v>0.47</v>
      </c>
      <c r="K55" s="64">
        <v>133.61000000000001</v>
      </c>
      <c r="L55" s="64">
        <v>28.53</v>
      </c>
      <c r="M55" s="64">
        <v>76.84</v>
      </c>
      <c r="N55" s="64">
        <v>339.2</v>
      </c>
      <c r="O55" s="64">
        <v>0</v>
      </c>
      <c r="P55" s="64">
        <v>0.44</v>
      </c>
      <c r="Q55" s="64">
        <v>9.07</v>
      </c>
      <c r="R55" s="198"/>
      <c r="S55" s="198"/>
      <c r="T55" s="198"/>
      <c r="U55" s="198"/>
    </row>
    <row r="56" spans="1:21" s="12" customFormat="1" x14ac:dyDescent="0.25">
      <c r="A56" s="211" t="s">
        <v>2695</v>
      </c>
      <c r="B56" s="64">
        <v>7</v>
      </c>
      <c r="C56" s="64">
        <v>10.220000000000001</v>
      </c>
      <c r="D56" s="64">
        <v>10.95</v>
      </c>
      <c r="E56" s="64">
        <v>5.88</v>
      </c>
      <c r="F56" s="64">
        <v>9.26</v>
      </c>
      <c r="G56" s="64">
        <v>87.53</v>
      </c>
      <c r="H56" s="64">
        <v>14.18</v>
      </c>
      <c r="I56" s="64">
        <v>2.2400000000000002</v>
      </c>
      <c r="J56" s="64">
        <v>0.77</v>
      </c>
      <c r="K56" s="64">
        <v>124.39</v>
      </c>
      <c r="L56" s="64">
        <v>29.48</v>
      </c>
      <c r="M56" s="64">
        <v>70.69</v>
      </c>
      <c r="N56" s="64">
        <v>844.5</v>
      </c>
      <c r="O56" s="64">
        <v>0</v>
      </c>
      <c r="P56" s="64">
        <v>0.41</v>
      </c>
      <c r="Q56" s="64">
        <v>9.08</v>
      </c>
      <c r="R56" s="198"/>
      <c r="S56" s="198"/>
      <c r="T56" s="198"/>
      <c r="U56" s="198"/>
    </row>
    <row r="57" spans="1:21" s="12" customFormat="1" x14ac:dyDescent="0.25">
      <c r="A57" s="211" t="s">
        <v>2696</v>
      </c>
      <c r="B57" s="64">
        <v>7.01</v>
      </c>
      <c r="C57" s="64">
        <v>9.0399999999999991</v>
      </c>
      <c r="D57" s="64">
        <v>10.34</v>
      </c>
      <c r="E57" s="64">
        <v>5.82</v>
      </c>
      <c r="F57" s="64">
        <v>6.46</v>
      </c>
      <c r="G57" s="64">
        <v>67.099999999999994</v>
      </c>
      <c r="H57" s="64">
        <v>13.23</v>
      </c>
      <c r="I57" s="64">
        <v>2.2200000000000002</v>
      </c>
      <c r="J57" s="64">
        <v>0.47</v>
      </c>
      <c r="K57" s="64">
        <v>134.74</v>
      </c>
      <c r="L57" s="64">
        <v>29.82</v>
      </c>
      <c r="M57" s="64">
        <v>64.709999999999994</v>
      </c>
      <c r="N57" s="64">
        <v>461.5</v>
      </c>
      <c r="O57" s="64">
        <v>0</v>
      </c>
      <c r="P57" s="64">
        <v>0.4</v>
      </c>
      <c r="Q57" s="64">
        <v>9.07</v>
      </c>
      <c r="R57" s="198"/>
      <c r="S57" s="198"/>
      <c r="T57" s="198"/>
      <c r="U57" s="198"/>
    </row>
    <row r="58" spans="1:21" s="12" customFormat="1" x14ac:dyDescent="0.25">
      <c r="A58" s="211" t="s">
        <v>2697</v>
      </c>
      <c r="B58" s="64">
        <v>7.69</v>
      </c>
      <c r="C58" s="64">
        <v>8.5299999999999994</v>
      </c>
      <c r="D58" s="64">
        <v>10.63</v>
      </c>
      <c r="E58" s="64">
        <v>5.44</v>
      </c>
      <c r="F58" s="64">
        <v>3.17</v>
      </c>
      <c r="G58" s="64">
        <v>61.63</v>
      </c>
      <c r="H58" s="64">
        <v>13.23</v>
      </c>
      <c r="I58" s="64">
        <v>2.19</v>
      </c>
      <c r="J58" s="64">
        <v>0.87</v>
      </c>
      <c r="K58" s="64">
        <v>162.12</v>
      </c>
      <c r="L58" s="64">
        <v>29.95</v>
      </c>
      <c r="M58" s="64">
        <v>60.38</v>
      </c>
      <c r="N58" s="64">
        <v>701.7</v>
      </c>
      <c r="O58" s="64">
        <v>0</v>
      </c>
      <c r="P58" s="64">
        <v>0.52</v>
      </c>
      <c r="Q58" s="64">
        <v>9.06</v>
      </c>
      <c r="R58" s="198"/>
      <c r="S58" s="198"/>
      <c r="T58" s="198"/>
      <c r="U58" s="198"/>
    </row>
    <row r="59" spans="1:21" s="12" customFormat="1" x14ac:dyDescent="0.25">
      <c r="A59" s="211" t="s">
        <v>2698</v>
      </c>
      <c r="B59" s="64">
        <v>7.69</v>
      </c>
      <c r="C59" s="64">
        <v>9.73</v>
      </c>
      <c r="D59" s="64">
        <v>11.25</v>
      </c>
      <c r="E59" s="64">
        <v>5.39</v>
      </c>
      <c r="F59" s="64">
        <v>6.76</v>
      </c>
      <c r="G59" s="64">
        <v>61.63</v>
      </c>
      <c r="H59" s="64">
        <v>13.23</v>
      </c>
      <c r="I59" s="64">
        <v>2.16</v>
      </c>
      <c r="J59" s="64">
        <v>0.53</v>
      </c>
      <c r="K59" s="64">
        <v>149.27000000000001</v>
      </c>
      <c r="L59" s="64">
        <v>29.15</v>
      </c>
      <c r="M59" s="64">
        <v>64.47</v>
      </c>
      <c r="N59" s="64">
        <v>339.8</v>
      </c>
      <c r="O59" s="64">
        <v>0</v>
      </c>
      <c r="P59" s="64">
        <v>0.4</v>
      </c>
      <c r="Q59" s="64">
        <v>9.07</v>
      </c>
      <c r="R59" s="198"/>
      <c r="S59" s="198"/>
      <c r="T59" s="198"/>
      <c r="U59" s="198"/>
    </row>
    <row r="60" spans="1:21" s="12" customFormat="1" x14ac:dyDescent="0.25">
      <c r="A60" s="211" t="s">
        <v>2699</v>
      </c>
      <c r="B60" s="64">
        <v>7.17</v>
      </c>
      <c r="C60" s="64">
        <v>10.24</v>
      </c>
      <c r="D60" s="64">
        <v>11.1</v>
      </c>
      <c r="E60" s="64">
        <v>5.48</v>
      </c>
      <c r="F60" s="64">
        <v>4.6900000000000004</v>
      </c>
      <c r="G60" s="64">
        <v>61.63</v>
      </c>
      <c r="H60" s="64">
        <v>13.23</v>
      </c>
      <c r="I60" s="64">
        <v>2.11</v>
      </c>
      <c r="J60" s="64">
        <v>0.46</v>
      </c>
      <c r="K60" s="64">
        <v>146.06</v>
      </c>
      <c r="L60" s="64">
        <v>29.17</v>
      </c>
      <c r="M60" s="64">
        <v>63.57</v>
      </c>
      <c r="N60" s="64">
        <v>479.1</v>
      </c>
      <c r="O60" s="64">
        <v>0</v>
      </c>
      <c r="P60" s="64">
        <v>0.36</v>
      </c>
      <c r="Q60" s="64">
        <v>9.06</v>
      </c>
      <c r="R60" s="198"/>
      <c r="S60" s="198"/>
      <c r="T60" s="198"/>
      <c r="U60" s="198"/>
    </row>
    <row r="61" spans="1:21" s="12" customFormat="1" x14ac:dyDescent="0.25">
      <c r="A61" s="211" t="s">
        <v>2700</v>
      </c>
      <c r="B61" s="64">
        <v>6.75</v>
      </c>
      <c r="C61" s="64">
        <v>9.57</v>
      </c>
      <c r="D61" s="64">
        <v>10.41</v>
      </c>
      <c r="E61" s="64">
        <v>5.26</v>
      </c>
      <c r="F61" s="64">
        <v>5.55</v>
      </c>
      <c r="G61" s="64">
        <v>42.71</v>
      </c>
      <c r="H61" s="64">
        <v>14.9</v>
      </c>
      <c r="I61" s="64">
        <v>2.0699999999999998</v>
      </c>
      <c r="J61" s="64">
        <v>0.63</v>
      </c>
      <c r="K61" s="64">
        <v>143.63</v>
      </c>
      <c r="L61" s="64">
        <v>29.82</v>
      </c>
      <c r="M61" s="64">
        <v>61.18</v>
      </c>
      <c r="N61" s="64">
        <v>342.7</v>
      </c>
      <c r="O61" s="64">
        <v>0</v>
      </c>
      <c r="P61" s="64">
        <v>0.34</v>
      </c>
      <c r="Q61" s="64">
        <v>9.06</v>
      </c>
      <c r="R61" s="198"/>
      <c r="S61" s="198"/>
      <c r="T61" s="198"/>
      <c r="U61" s="198"/>
    </row>
    <row r="62" spans="1:21" s="12" customFormat="1" x14ac:dyDescent="0.25">
      <c r="A62" s="211" t="s">
        <v>2701</v>
      </c>
      <c r="B62" s="64">
        <v>8.83</v>
      </c>
      <c r="C62" s="64">
        <v>10.37</v>
      </c>
      <c r="D62" s="64">
        <v>12.5</v>
      </c>
      <c r="E62" s="64">
        <v>5.4</v>
      </c>
      <c r="F62" s="64">
        <v>7.6</v>
      </c>
      <c r="G62" s="64">
        <v>37.64</v>
      </c>
      <c r="H62" s="64">
        <v>14.9</v>
      </c>
      <c r="I62" s="64">
        <v>2.02</v>
      </c>
      <c r="J62" s="64">
        <v>0.52</v>
      </c>
      <c r="K62" s="64">
        <v>332.76</v>
      </c>
      <c r="L62" s="64">
        <v>31.03</v>
      </c>
      <c r="M62" s="64">
        <v>59.05</v>
      </c>
      <c r="N62" s="64">
        <v>332.3</v>
      </c>
      <c r="O62" s="64">
        <v>0</v>
      </c>
      <c r="P62" s="64">
        <v>0.4</v>
      </c>
      <c r="Q62" s="64">
        <v>9.0500000000000007</v>
      </c>
      <c r="R62" s="198"/>
      <c r="S62" s="198"/>
      <c r="T62" s="198"/>
      <c r="U62" s="198"/>
    </row>
    <row r="63" spans="1:21" s="12" customFormat="1" x14ac:dyDescent="0.25">
      <c r="A63" s="211" t="s">
        <v>2702</v>
      </c>
      <c r="B63" s="64">
        <v>8.2100000000000009</v>
      </c>
      <c r="C63" s="64">
        <v>11.54</v>
      </c>
      <c r="D63" s="64">
        <v>12.61</v>
      </c>
      <c r="E63" s="64">
        <v>5.17</v>
      </c>
      <c r="F63" s="64">
        <v>6.31</v>
      </c>
      <c r="G63" s="64">
        <v>37.64</v>
      </c>
      <c r="H63" s="64">
        <v>14.9</v>
      </c>
      <c r="I63" s="64">
        <v>1.98</v>
      </c>
      <c r="J63" s="64">
        <v>0.36</v>
      </c>
      <c r="K63" s="64">
        <v>0.99</v>
      </c>
      <c r="L63" s="64">
        <v>30.94</v>
      </c>
      <c r="M63" s="64">
        <v>64.03</v>
      </c>
      <c r="N63" s="64">
        <v>194.4</v>
      </c>
      <c r="O63" s="64">
        <v>0</v>
      </c>
      <c r="P63" s="64">
        <v>0.52</v>
      </c>
      <c r="Q63" s="64">
        <v>9.0399999999999991</v>
      </c>
      <c r="R63" s="198"/>
      <c r="S63" s="198"/>
      <c r="T63" s="198"/>
      <c r="U63" s="198"/>
    </row>
    <row r="64" spans="1:21" s="12" customFormat="1" x14ac:dyDescent="0.25">
      <c r="A64" s="211" t="s">
        <v>2703</v>
      </c>
      <c r="B64" s="64">
        <v>9.09</v>
      </c>
      <c r="C64" s="64">
        <v>13.88</v>
      </c>
      <c r="D64" s="64">
        <v>14.54</v>
      </c>
      <c r="E64" s="64">
        <v>5.96</v>
      </c>
      <c r="F64" s="64">
        <v>8.67</v>
      </c>
      <c r="G64" s="64">
        <v>37.64</v>
      </c>
      <c r="H64" s="64">
        <v>14.9</v>
      </c>
      <c r="I64" s="64">
        <v>1.95</v>
      </c>
      <c r="J64" s="64">
        <v>1.35</v>
      </c>
      <c r="K64" s="64">
        <v>336.56</v>
      </c>
      <c r="L64" s="64">
        <v>29.7</v>
      </c>
      <c r="M64" s="64">
        <v>71.12</v>
      </c>
      <c r="N64" s="64">
        <v>176.8</v>
      </c>
      <c r="O64" s="64">
        <v>0</v>
      </c>
      <c r="P64" s="64">
        <v>0.57999999999999996</v>
      </c>
      <c r="Q64" s="64">
        <v>9.02</v>
      </c>
      <c r="R64" s="198"/>
      <c r="S64" s="198"/>
      <c r="T64" s="198"/>
      <c r="U64" s="198"/>
    </row>
    <row r="65" spans="1:21" s="12" customFormat="1" x14ac:dyDescent="0.25">
      <c r="A65" s="211" t="s">
        <v>2704</v>
      </c>
      <c r="B65" s="64">
        <v>8.34</v>
      </c>
      <c r="C65" s="64">
        <v>11.19</v>
      </c>
      <c r="D65" s="64">
        <v>12.53</v>
      </c>
      <c r="E65" s="64">
        <v>6.5</v>
      </c>
      <c r="F65" s="64">
        <v>4.91</v>
      </c>
      <c r="G65" s="64">
        <v>41.48</v>
      </c>
      <c r="H65" s="64">
        <v>16.05</v>
      </c>
      <c r="I65" s="64">
        <v>1.92</v>
      </c>
      <c r="J65" s="64">
        <v>1.51</v>
      </c>
      <c r="K65" s="64">
        <v>338.2</v>
      </c>
      <c r="L65" s="64">
        <v>29.74</v>
      </c>
      <c r="M65" s="64">
        <v>72.680000000000007</v>
      </c>
      <c r="N65" s="64">
        <v>178.9</v>
      </c>
      <c r="O65" s="64">
        <v>0</v>
      </c>
      <c r="P65" s="64">
        <v>0.55000000000000004</v>
      </c>
      <c r="Q65" s="64">
        <v>9.01</v>
      </c>
      <c r="R65" s="198"/>
      <c r="S65" s="198"/>
      <c r="T65" s="198"/>
      <c r="U65" s="198"/>
    </row>
    <row r="66" spans="1:21" s="12" customFormat="1" x14ac:dyDescent="0.25">
      <c r="A66" s="211" t="s">
        <v>2705</v>
      </c>
      <c r="B66" s="64">
        <v>11.15</v>
      </c>
      <c r="C66" s="64">
        <v>12.58</v>
      </c>
      <c r="D66" s="64">
        <v>15.52</v>
      </c>
      <c r="E66" s="64">
        <v>6.92</v>
      </c>
      <c r="F66" s="64">
        <v>4.01</v>
      </c>
      <c r="G66" s="64">
        <v>42.51</v>
      </c>
      <c r="H66" s="64">
        <v>16.05</v>
      </c>
      <c r="I66" s="64">
        <v>1.9</v>
      </c>
      <c r="J66" s="64">
        <v>1.49</v>
      </c>
      <c r="K66" s="64">
        <v>339.94</v>
      </c>
      <c r="L66" s="64">
        <v>29.36</v>
      </c>
      <c r="M66" s="64">
        <v>76.09</v>
      </c>
      <c r="N66" s="64">
        <v>113.9</v>
      </c>
      <c r="O66" s="64">
        <v>0</v>
      </c>
      <c r="P66" s="64">
        <v>0.57999999999999996</v>
      </c>
      <c r="Q66" s="64">
        <v>9.02</v>
      </c>
      <c r="R66" s="198"/>
      <c r="S66" s="198"/>
      <c r="T66" s="198"/>
      <c r="U66" s="198"/>
    </row>
    <row r="67" spans="1:21" s="12" customFormat="1" x14ac:dyDescent="0.25">
      <c r="A67" s="211" t="s">
        <v>2706</v>
      </c>
      <c r="B67" s="64">
        <v>10.210000000000001</v>
      </c>
      <c r="C67" s="64">
        <v>14.72</v>
      </c>
      <c r="D67" s="64">
        <v>15.88</v>
      </c>
      <c r="E67" s="64">
        <v>9.86</v>
      </c>
      <c r="F67" s="64">
        <v>4.9000000000000004</v>
      </c>
      <c r="G67" s="64">
        <v>42.51</v>
      </c>
      <c r="H67" s="64">
        <v>16.05</v>
      </c>
      <c r="I67" s="64">
        <v>1.92</v>
      </c>
      <c r="J67" s="64">
        <v>1.6</v>
      </c>
      <c r="K67" s="64">
        <v>338.15</v>
      </c>
      <c r="L67" s="64">
        <v>28.63</v>
      </c>
      <c r="M67" s="64">
        <v>82.09</v>
      </c>
      <c r="N67" s="64">
        <v>123.3</v>
      </c>
      <c r="O67" s="64">
        <v>0</v>
      </c>
      <c r="P67" s="64">
        <v>0.59</v>
      </c>
      <c r="Q67" s="64">
        <v>9.0299999999999994</v>
      </c>
      <c r="R67" s="198"/>
      <c r="S67" s="198"/>
      <c r="T67" s="198"/>
      <c r="U67" s="198"/>
    </row>
    <row r="68" spans="1:21" s="12" customFormat="1" x14ac:dyDescent="0.25">
      <c r="A68" s="211" t="s">
        <v>2707</v>
      </c>
      <c r="B68" s="64">
        <v>10.29</v>
      </c>
      <c r="C68" s="64">
        <v>13.06</v>
      </c>
      <c r="D68" s="64">
        <v>15.08</v>
      </c>
      <c r="E68" s="64">
        <v>8.65</v>
      </c>
      <c r="F68" s="64">
        <v>2.41</v>
      </c>
      <c r="G68" s="64">
        <v>42.51</v>
      </c>
      <c r="H68" s="64">
        <v>16.05</v>
      </c>
      <c r="I68" s="64">
        <v>1.95</v>
      </c>
      <c r="J68" s="64">
        <v>1.66</v>
      </c>
      <c r="K68" s="64">
        <v>337.54</v>
      </c>
      <c r="L68" s="64">
        <v>28.36</v>
      </c>
      <c r="M68" s="64">
        <v>83.18</v>
      </c>
      <c r="N68" s="64">
        <v>133</v>
      </c>
      <c r="O68" s="64">
        <v>0</v>
      </c>
      <c r="P68" s="64">
        <v>0.56999999999999995</v>
      </c>
      <c r="Q68" s="64">
        <v>9.0399999999999991</v>
      </c>
      <c r="R68" s="198"/>
      <c r="S68" s="198"/>
      <c r="T68" s="198"/>
      <c r="U68" s="198"/>
    </row>
    <row r="69" spans="1:21" s="12" customFormat="1" x14ac:dyDescent="0.25">
      <c r="A69" s="211" t="s">
        <v>2708</v>
      </c>
      <c r="B69" s="64">
        <v>14.5</v>
      </c>
      <c r="C69" s="64">
        <v>14.68</v>
      </c>
      <c r="D69" s="64">
        <v>19.170000000000002</v>
      </c>
      <c r="E69" s="64">
        <v>8.91</v>
      </c>
      <c r="F69" s="64">
        <v>4.97</v>
      </c>
      <c r="G69" s="64">
        <v>60.4</v>
      </c>
      <c r="H69" s="64">
        <v>16.25</v>
      </c>
      <c r="I69" s="64">
        <v>1.97</v>
      </c>
      <c r="J69" s="64">
        <v>1.32</v>
      </c>
      <c r="K69" s="64">
        <v>338.18</v>
      </c>
      <c r="L69" s="64">
        <v>28.41</v>
      </c>
      <c r="M69" s="64">
        <v>85.07</v>
      </c>
      <c r="N69" s="64">
        <v>109.7</v>
      </c>
      <c r="O69" s="64">
        <v>0</v>
      </c>
      <c r="P69" s="64">
        <v>0.65</v>
      </c>
      <c r="Q69" s="64">
        <v>9.06</v>
      </c>
      <c r="R69" s="198"/>
      <c r="S69" s="198"/>
      <c r="T69" s="198"/>
      <c r="U69" s="198"/>
    </row>
    <row r="70" spans="1:21" s="12" customFormat="1" x14ac:dyDescent="0.25">
      <c r="A70" s="211" t="s">
        <v>2709</v>
      </c>
      <c r="B70" s="64">
        <v>15.19</v>
      </c>
      <c r="C70" s="64">
        <v>14.89</v>
      </c>
      <c r="D70" s="64">
        <v>19.96</v>
      </c>
      <c r="E70" s="64">
        <v>10.039999999999999</v>
      </c>
      <c r="F70" s="64">
        <v>5.04</v>
      </c>
      <c r="G70" s="64">
        <v>65.19</v>
      </c>
      <c r="H70" s="64">
        <v>16.25</v>
      </c>
      <c r="I70" s="64">
        <v>1.99</v>
      </c>
      <c r="J70" s="64">
        <v>1.23</v>
      </c>
      <c r="K70" s="64">
        <v>337.66</v>
      </c>
      <c r="L70" s="64">
        <v>28.24</v>
      </c>
      <c r="M70" s="64">
        <v>89.99</v>
      </c>
      <c r="N70" s="64">
        <v>91.6</v>
      </c>
      <c r="O70" s="64">
        <v>0</v>
      </c>
      <c r="P70" s="64">
        <v>0.74</v>
      </c>
      <c r="Q70" s="64">
        <v>9.06</v>
      </c>
      <c r="R70" s="198"/>
      <c r="S70" s="198"/>
      <c r="T70" s="198"/>
      <c r="U70" s="198"/>
    </row>
    <row r="71" spans="1:21" s="12" customFormat="1" x14ac:dyDescent="0.25">
      <c r="A71" s="211" t="s">
        <v>2710</v>
      </c>
      <c r="B71" s="64">
        <v>17.38</v>
      </c>
      <c r="C71" s="64">
        <v>18.14</v>
      </c>
      <c r="D71" s="64">
        <v>23.42</v>
      </c>
      <c r="E71" s="64">
        <v>10.34</v>
      </c>
      <c r="F71" s="64">
        <v>4.59</v>
      </c>
      <c r="G71" s="64">
        <v>65.19</v>
      </c>
      <c r="H71" s="64">
        <v>16.25</v>
      </c>
      <c r="I71" s="64">
        <v>2.0099999999999998</v>
      </c>
      <c r="J71" s="64">
        <v>0.82</v>
      </c>
      <c r="K71" s="64">
        <v>338.11</v>
      </c>
      <c r="L71" s="64">
        <v>27.78</v>
      </c>
      <c r="M71" s="64">
        <v>87.44</v>
      </c>
      <c r="N71" s="64">
        <v>100.2</v>
      </c>
      <c r="O71" s="64">
        <v>0</v>
      </c>
      <c r="P71" s="64">
        <v>0.71</v>
      </c>
      <c r="Q71" s="64">
        <v>9.07</v>
      </c>
      <c r="R71" s="198"/>
      <c r="S71" s="198"/>
      <c r="T71" s="198"/>
      <c r="U71" s="198"/>
    </row>
    <row r="72" spans="1:21" s="12" customFormat="1" x14ac:dyDescent="0.25">
      <c r="A72" s="211" t="s">
        <v>2711</v>
      </c>
      <c r="B72" s="64">
        <v>18.829999999999998</v>
      </c>
      <c r="C72" s="64">
        <v>18.489999999999998</v>
      </c>
      <c r="D72" s="64">
        <v>24.75</v>
      </c>
      <c r="E72" s="64">
        <v>7.74</v>
      </c>
      <c r="F72" s="64">
        <v>2.57</v>
      </c>
      <c r="G72" s="64">
        <v>65.19</v>
      </c>
      <c r="H72" s="64">
        <v>16.25</v>
      </c>
      <c r="I72" s="64">
        <v>2.04</v>
      </c>
      <c r="J72" s="64">
        <v>0.43</v>
      </c>
      <c r="K72" s="64">
        <v>332.76</v>
      </c>
      <c r="L72" s="64">
        <v>27.79</v>
      </c>
      <c r="M72" s="64">
        <v>82.96</v>
      </c>
      <c r="N72" s="64">
        <v>83</v>
      </c>
      <c r="O72" s="64">
        <v>0</v>
      </c>
      <c r="P72" s="64">
        <v>0.8</v>
      </c>
      <c r="Q72" s="64">
        <v>9.08</v>
      </c>
      <c r="R72" s="198"/>
      <c r="S72" s="198"/>
      <c r="T72" s="198"/>
      <c r="U72" s="198"/>
    </row>
    <row r="73" spans="1:21" s="12" customFormat="1" x14ac:dyDescent="0.25">
      <c r="A73" s="211" t="s">
        <v>2712</v>
      </c>
      <c r="B73" s="64">
        <v>15.85</v>
      </c>
      <c r="C73" s="64">
        <v>18.149999999999999</v>
      </c>
      <c r="D73" s="64">
        <v>22.19</v>
      </c>
      <c r="E73" s="64">
        <v>9.44</v>
      </c>
      <c r="F73" s="64">
        <v>4.34</v>
      </c>
      <c r="G73" s="64">
        <v>68.33</v>
      </c>
      <c r="H73" s="64">
        <v>14.67</v>
      </c>
      <c r="I73" s="64">
        <v>2.06</v>
      </c>
      <c r="J73" s="64">
        <v>0.79</v>
      </c>
      <c r="K73" s="64">
        <v>336.8</v>
      </c>
      <c r="L73" s="64">
        <v>27.82</v>
      </c>
      <c r="M73" s="64">
        <v>83.75</v>
      </c>
      <c r="N73" s="64">
        <v>75.099999999999994</v>
      </c>
      <c r="O73" s="64">
        <v>0</v>
      </c>
      <c r="P73" s="64">
        <v>0.84</v>
      </c>
      <c r="Q73" s="64">
        <v>9.1</v>
      </c>
      <c r="R73" s="198"/>
      <c r="S73" s="198"/>
      <c r="T73" s="198"/>
      <c r="U73" s="198"/>
    </row>
    <row r="74" spans="1:21" s="12" customFormat="1" x14ac:dyDescent="0.25">
      <c r="A74" s="211" t="s">
        <v>2713</v>
      </c>
      <c r="B74" s="64">
        <v>14.28</v>
      </c>
      <c r="C74" s="64">
        <v>13.5</v>
      </c>
      <c r="D74" s="64">
        <v>18.510000000000002</v>
      </c>
      <c r="E74" s="64">
        <v>11.57</v>
      </c>
      <c r="F74" s="64">
        <v>7.39</v>
      </c>
      <c r="G74" s="64">
        <v>69.17</v>
      </c>
      <c r="H74" s="64">
        <v>14.67</v>
      </c>
      <c r="I74" s="64">
        <v>2.0699999999999998</v>
      </c>
      <c r="J74" s="64">
        <v>1.26</v>
      </c>
      <c r="K74" s="64">
        <v>336.51</v>
      </c>
      <c r="L74" s="64">
        <v>27.44</v>
      </c>
      <c r="M74" s="64">
        <v>89.2</v>
      </c>
      <c r="N74" s="64">
        <v>69.2</v>
      </c>
      <c r="O74" s="64">
        <v>0</v>
      </c>
      <c r="P74" s="64">
        <v>0.61</v>
      </c>
      <c r="Q74" s="64">
        <v>9.1300000000000008</v>
      </c>
      <c r="R74" s="198"/>
      <c r="S74" s="198"/>
      <c r="T74" s="198"/>
      <c r="U74" s="198"/>
    </row>
    <row r="75" spans="1:21" s="12" customFormat="1" x14ac:dyDescent="0.25">
      <c r="A75" s="211" t="s">
        <v>2714</v>
      </c>
      <c r="B75" s="64">
        <v>15.1</v>
      </c>
      <c r="C75" s="64">
        <v>12.92</v>
      </c>
      <c r="D75" s="64">
        <v>18.86</v>
      </c>
      <c r="E75" s="64">
        <v>10.39</v>
      </c>
      <c r="F75" s="64">
        <v>5.52</v>
      </c>
      <c r="G75" s="64">
        <v>69.17</v>
      </c>
      <c r="H75" s="64">
        <v>14.67</v>
      </c>
      <c r="I75" s="64">
        <v>2.1</v>
      </c>
      <c r="J75" s="64">
        <v>0.7</v>
      </c>
      <c r="K75" s="64">
        <v>332.55</v>
      </c>
      <c r="L75" s="64">
        <v>27.07</v>
      </c>
      <c r="M75" s="64">
        <v>91.35</v>
      </c>
      <c r="N75" s="64">
        <v>61.6</v>
      </c>
      <c r="O75" s="64">
        <v>0</v>
      </c>
      <c r="P75" s="64">
        <v>0.62</v>
      </c>
      <c r="Q75" s="64">
        <v>9.17</v>
      </c>
      <c r="R75" s="198"/>
      <c r="S75" s="198"/>
      <c r="T75" s="198"/>
      <c r="U75" s="198"/>
    </row>
    <row r="76" spans="1:21" s="12" customFormat="1" x14ac:dyDescent="0.25">
      <c r="A76" s="211" t="s">
        <v>2715</v>
      </c>
      <c r="B76" s="64">
        <v>17.37</v>
      </c>
      <c r="C76" s="64">
        <v>15.56</v>
      </c>
      <c r="D76" s="64">
        <v>21.96</v>
      </c>
      <c r="E76" s="64">
        <v>8.8000000000000007</v>
      </c>
      <c r="F76" s="64">
        <v>4.28</v>
      </c>
      <c r="G76" s="64">
        <v>69.17</v>
      </c>
      <c r="H76" s="64">
        <v>14.67</v>
      </c>
      <c r="I76" s="64">
        <v>2.14</v>
      </c>
      <c r="J76" s="64">
        <v>0.27</v>
      </c>
      <c r="K76" s="64">
        <v>330.52</v>
      </c>
      <c r="L76" s="64">
        <v>26.8</v>
      </c>
      <c r="M76" s="64">
        <v>89.96</v>
      </c>
      <c r="N76" s="64">
        <v>53.4</v>
      </c>
      <c r="O76" s="64">
        <v>0</v>
      </c>
      <c r="P76" s="64">
        <v>0.63</v>
      </c>
      <c r="Q76" s="64">
        <v>9.18</v>
      </c>
      <c r="R76" s="198"/>
      <c r="S76" s="198"/>
      <c r="T76" s="198"/>
      <c r="U76" s="198"/>
    </row>
    <row r="77" spans="1:21" s="12" customFormat="1" x14ac:dyDescent="0.25">
      <c r="A77" s="211" t="s">
        <v>2716</v>
      </c>
      <c r="B77" s="64">
        <v>22.24</v>
      </c>
      <c r="C77" s="64">
        <v>17.079999999999998</v>
      </c>
      <c r="D77" s="64">
        <v>26.73</v>
      </c>
      <c r="E77" s="64">
        <v>7.93</v>
      </c>
      <c r="F77" s="64">
        <v>3.16</v>
      </c>
      <c r="G77" s="64">
        <v>48.44</v>
      </c>
      <c r="H77" s="64">
        <v>16.149999999999999</v>
      </c>
      <c r="I77" s="64">
        <v>2.17</v>
      </c>
      <c r="J77" s="64">
        <v>0.14000000000000001</v>
      </c>
      <c r="K77" s="64">
        <v>311.81</v>
      </c>
      <c r="L77" s="64">
        <v>26.57</v>
      </c>
      <c r="M77" s="64">
        <v>88.69</v>
      </c>
      <c r="N77" s="64">
        <v>46</v>
      </c>
      <c r="O77" s="64">
        <v>0</v>
      </c>
      <c r="P77" s="64">
        <v>0.8</v>
      </c>
      <c r="Q77" s="64">
        <v>9.1999999999999993</v>
      </c>
      <c r="R77" s="198"/>
      <c r="S77" s="198"/>
      <c r="T77" s="198"/>
      <c r="U77" s="198"/>
    </row>
    <row r="78" spans="1:21" s="12" customFormat="1" x14ac:dyDescent="0.25">
      <c r="A78" s="211" t="s">
        <v>2717</v>
      </c>
      <c r="B78" s="64">
        <v>20.440000000000001</v>
      </c>
      <c r="C78" s="64">
        <v>17.399999999999999</v>
      </c>
      <c r="D78" s="64">
        <v>25.48</v>
      </c>
      <c r="E78" s="64">
        <v>7.43</v>
      </c>
      <c r="F78" s="64">
        <v>2.66</v>
      </c>
      <c r="G78" s="64">
        <v>42.89</v>
      </c>
      <c r="H78" s="64">
        <v>16.149999999999999</v>
      </c>
      <c r="I78" s="64">
        <v>2.19</v>
      </c>
      <c r="J78" s="64">
        <v>0.08</v>
      </c>
      <c r="K78" s="64">
        <v>154.69999999999999</v>
      </c>
      <c r="L78" s="64">
        <v>26.08</v>
      </c>
      <c r="M78" s="64">
        <v>90.58</v>
      </c>
      <c r="N78" s="64">
        <v>41.1</v>
      </c>
      <c r="O78" s="64">
        <v>0</v>
      </c>
      <c r="P78" s="64">
        <v>0.63</v>
      </c>
      <c r="Q78" s="64">
        <v>9.2100000000000009</v>
      </c>
      <c r="R78" s="198"/>
      <c r="S78" s="198"/>
      <c r="T78" s="198"/>
      <c r="U78" s="198"/>
    </row>
    <row r="79" spans="1:21" s="12" customFormat="1" x14ac:dyDescent="0.25">
      <c r="A79" s="211" t="s">
        <v>2718</v>
      </c>
      <c r="B79" s="64">
        <v>14.32</v>
      </c>
      <c r="C79" s="64">
        <v>18.559999999999999</v>
      </c>
      <c r="D79" s="64">
        <v>21.18</v>
      </c>
      <c r="E79" s="64">
        <v>7.22</v>
      </c>
      <c r="F79" s="64">
        <v>2.5099999999999998</v>
      </c>
      <c r="G79" s="64">
        <v>42.89</v>
      </c>
      <c r="H79" s="64">
        <v>16.149999999999999</v>
      </c>
      <c r="I79" s="64">
        <v>2.23</v>
      </c>
      <c r="J79" s="64">
        <v>0.02</v>
      </c>
      <c r="K79" s="64">
        <v>223.46</v>
      </c>
      <c r="L79" s="64">
        <v>25.77</v>
      </c>
      <c r="M79" s="64">
        <v>92.25</v>
      </c>
      <c r="N79" s="64">
        <v>39.700000000000003</v>
      </c>
      <c r="O79" s="64">
        <v>0</v>
      </c>
      <c r="P79" s="64">
        <v>0.68</v>
      </c>
      <c r="Q79" s="64">
        <v>9.2200000000000006</v>
      </c>
      <c r="R79" s="198"/>
      <c r="S79" s="198"/>
      <c r="T79" s="198"/>
      <c r="U79" s="198"/>
    </row>
    <row r="80" spans="1:21" s="12" customFormat="1" x14ac:dyDescent="0.25">
      <c r="A80" s="211" t="s">
        <v>2719</v>
      </c>
      <c r="B80" s="64">
        <v>23.02</v>
      </c>
      <c r="C80" s="64">
        <v>15.63</v>
      </c>
      <c r="D80" s="64">
        <v>26.62</v>
      </c>
      <c r="E80" s="64">
        <v>7.21</v>
      </c>
      <c r="F80" s="64">
        <v>2.8</v>
      </c>
      <c r="G80" s="64">
        <v>42.89</v>
      </c>
      <c r="H80" s="64">
        <v>16.149999999999999</v>
      </c>
      <c r="I80" s="64">
        <v>2.2599999999999998</v>
      </c>
      <c r="J80" s="64">
        <v>0.35</v>
      </c>
      <c r="K80" s="64">
        <v>338.59</v>
      </c>
      <c r="L80" s="64">
        <v>25.64</v>
      </c>
      <c r="M80" s="64">
        <v>94.11</v>
      </c>
      <c r="N80" s="64">
        <v>39.4</v>
      </c>
      <c r="O80" s="64">
        <v>0</v>
      </c>
      <c r="P80" s="64">
        <v>1.0900000000000001</v>
      </c>
      <c r="Q80" s="64">
        <v>9.23</v>
      </c>
      <c r="R80" s="198"/>
      <c r="S80" s="198"/>
      <c r="T80" s="198"/>
      <c r="U80" s="198"/>
    </row>
    <row r="81" spans="1:26" s="12" customFormat="1" x14ac:dyDescent="0.25">
      <c r="A81" s="211" t="s">
        <v>2720</v>
      </c>
      <c r="B81" s="64">
        <v>23.99</v>
      </c>
      <c r="C81" s="64">
        <v>15.2</v>
      </c>
      <c r="D81" s="64">
        <v>27.18</v>
      </c>
      <c r="E81" s="64">
        <v>7.19</v>
      </c>
      <c r="F81" s="64">
        <v>2.38</v>
      </c>
      <c r="G81" s="64">
        <v>50.88</v>
      </c>
      <c r="H81" s="64">
        <v>14.6</v>
      </c>
      <c r="I81" s="64">
        <v>2.2799999999999998</v>
      </c>
      <c r="J81" s="64">
        <v>7.0000000000000007E-2</v>
      </c>
      <c r="K81" s="64">
        <v>318.05</v>
      </c>
      <c r="L81" s="64">
        <v>25.58</v>
      </c>
      <c r="M81" s="64">
        <v>94.81</v>
      </c>
      <c r="N81" s="64">
        <v>39.6</v>
      </c>
      <c r="O81" s="64">
        <v>0</v>
      </c>
      <c r="P81" s="64">
        <v>1.05</v>
      </c>
      <c r="Q81" s="64">
        <v>9.24</v>
      </c>
      <c r="R81" s="198"/>
      <c r="S81" s="198"/>
      <c r="T81" s="198"/>
      <c r="U81" s="198"/>
    </row>
    <row r="82" spans="1:26" s="12" customFormat="1" x14ac:dyDescent="0.25">
      <c r="A82" s="211" t="s">
        <v>2721</v>
      </c>
      <c r="B82" s="64">
        <v>14.11</v>
      </c>
      <c r="C82" s="64">
        <v>23.49</v>
      </c>
      <c r="D82" s="64">
        <v>23.59</v>
      </c>
      <c r="E82" s="64">
        <v>6.98</v>
      </c>
      <c r="F82" s="64">
        <v>2.1</v>
      </c>
      <c r="G82" s="64">
        <v>53.01</v>
      </c>
      <c r="H82" s="64">
        <v>14.6</v>
      </c>
      <c r="I82" s="64">
        <v>2.34</v>
      </c>
      <c r="J82" s="64">
        <v>0.04</v>
      </c>
      <c r="K82" s="64">
        <v>130.41</v>
      </c>
      <c r="L82" s="64">
        <v>25.33</v>
      </c>
      <c r="M82" s="64">
        <v>95.48</v>
      </c>
      <c r="N82" s="64">
        <v>39.6</v>
      </c>
      <c r="O82" s="64">
        <v>0</v>
      </c>
      <c r="P82" s="64">
        <v>0.96</v>
      </c>
      <c r="Q82" s="64">
        <v>9.23</v>
      </c>
      <c r="R82" s="198"/>
      <c r="S82" s="198"/>
      <c r="T82" s="198"/>
      <c r="U82" s="198"/>
    </row>
    <row r="83" spans="1:26" s="12" customFormat="1" x14ac:dyDescent="0.25">
      <c r="A83" s="211" t="s">
        <v>2722</v>
      </c>
      <c r="B83" s="64">
        <v>24.51</v>
      </c>
      <c r="C83" s="64">
        <v>17.07</v>
      </c>
      <c r="D83" s="64">
        <v>28.45</v>
      </c>
      <c r="E83" s="64">
        <v>6.67</v>
      </c>
      <c r="F83" s="64">
        <v>2.1</v>
      </c>
      <c r="G83" s="64">
        <v>53.01</v>
      </c>
      <c r="H83" s="64">
        <v>14.6</v>
      </c>
      <c r="I83" s="64">
        <v>2.2599999999999998</v>
      </c>
      <c r="J83" s="64">
        <v>0.06</v>
      </c>
      <c r="K83" s="64">
        <v>262.87</v>
      </c>
      <c r="L83" s="64">
        <v>25.18</v>
      </c>
      <c r="M83" s="64">
        <v>96.82</v>
      </c>
      <c r="N83" s="64">
        <v>39.6</v>
      </c>
      <c r="O83" s="64">
        <v>0</v>
      </c>
      <c r="P83" s="64">
        <v>1.1000000000000001</v>
      </c>
      <c r="Q83" s="64">
        <v>9.23</v>
      </c>
      <c r="R83" s="198"/>
      <c r="S83" s="198"/>
      <c r="T83" s="198"/>
      <c r="U83" s="198"/>
    </row>
    <row r="84" spans="1:26" s="12" customFormat="1" x14ac:dyDescent="0.25">
      <c r="A84" s="211" t="s">
        <v>2723</v>
      </c>
      <c r="B84" s="64">
        <v>22.17</v>
      </c>
      <c r="C84" s="64">
        <v>16.34</v>
      </c>
      <c r="D84" s="64">
        <v>26.32</v>
      </c>
      <c r="E84" s="64">
        <v>6.94</v>
      </c>
      <c r="F84" s="64">
        <v>2.1</v>
      </c>
      <c r="G84" s="64">
        <v>53.01</v>
      </c>
      <c r="H84" s="64">
        <v>14.6</v>
      </c>
      <c r="I84" s="64">
        <v>2.2000000000000002</v>
      </c>
      <c r="J84" s="64">
        <v>0.22</v>
      </c>
      <c r="K84" s="64">
        <v>327.51</v>
      </c>
      <c r="L84" s="64">
        <v>25.17</v>
      </c>
      <c r="M84" s="64">
        <v>97.27</v>
      </c>
      <c r="N84" s="64">
        <v>39.299999999999997</v>
      </c>
      <c r="O84" s="64">
        <v>0</v>
      </c>
      <c r="P84" s="64">
        <v>1.17</v>
      </c>
      <c r="Q84" s="64">
        <v>9.23</v>
      </c>
      <c r="R84" s="198"/>
      <c r="S84" s="198"/>
      <c r="T84" s="198"/>
      <c r="U84" s="198"/>
    </row>
    <row r="85" spans="1:26" s="12" customFormat="1" x14ac:dyDescent="0.25">
      <c r="A85" s="211" t="s">
        <v>2724</v>
      </c>
      <c r="B85" s="64">
        <v>24.79</v>
      </c>
      <c r="C85" s="64">
        <v>16.39</v>
      </c>
      <c r="D85" s="64">
        <v>28.31</v>
      </c>
      <c r="E85" s="64">
        <v>6.95</v>
      </c>
      <c r="F85" s="64">
        <v>2.21</v>
      </c>
      <c r="G85" s="64">
        <v>56.45</v>
      </c>
      <c r="H85" s="64">
        <v>13.52</v>
      </c>
      <c r="I85" s="64">
        <v>2.25</v>
      </c>
      <c r="J85" s="64">
        <v>0.44</v>
      </c>
      <c r="K85" s="64">
        <v>335.35</v>
      </c>
      <c r="L85" s="64">
        <v>25.11</v>
      </c>
      <c r="M85" s="64">
        <v>96.47</v>
      </c>
      <c r="N85" s="64">
        <v>39.4</v>
      </c>
      <c r="O85" s="64">
        <v>0</v>
      </c>
      <c r="P85" s="64">
        <v>0.98</v>
      </c>
      <c r="Q85" s="64">
        <v>9.25</v>
      </c>
      <c r="R85" s="198"/>
      <c r="S85" s="198"/>
      <c r="T85" s="198"/>
      <c r="U85" s="198"/>
    </row>
    <row r="86" spans="1:26" s="12" customFormat="1" x14ac:dyDescent="0.25">
      <c r="A86" s="211" t="s">
        <v>2725</v>
      </c>
      <c r="B86" s="64">
        <v>22.36</v>
      </c>
      <c r="C86" s="64">
        <v>11.75</v>
      </c>
      <c r="D86" s="64">
        <v>24.07</v>
      </c>
      <c r="E86" s="64">
        <v>6.33</v>
      </c>
      <c r="F86" s="64">
        <v>2.29</v>
      </c>
      <c r="G86" s="64">
        <v>57.37</v>
      </c>
      <c r="H86" s="64">
        <v>13.52</v>
      </c>
      <c r="I86" s="64">
        <v>2.3199999999999998</v>
      </c>
      <c r="J86" s="64">
        <v>0.08</v>
      </c>
      <c r="K86" s="64">
        <v>276.29000000000002</v>
      </c>
      <c r="L86" s="64">
        <v>24.88</v>
      </c>
      <c r="M86" s="64">
        <v>96.19</v>
      </c>
      <c r="N86" s="64">
        <v>39.6</v>
      </c>
      <c r="O86" s="64">
        <v>0</v>
      </c>
      <c r="P86" s="64">
        <v>0.93</v>
      </c>
      <c r="Q86" s="64">
        <v>9.26</v>
      </c>
      <c r="R86" s="198"/>
      <c r="S86" s="198"/>
      <c r="T86" s="198"/>
      <c r="U86" s="198"/>
    </row>
    <row r="87" spans="1:26" s="12" customFormat="1" x14ac:dyDescent="0.25">
      <c r="A87" s="211" t="s">
        <v>2726</v>
      </c>
      <c r="B87" s="64">
        <v>25.33</v>
      </c>
      <c r="C87" s="64">
        <v>13.56</v>
      </c>
      <c r="D87" s="64">
        <v>27.2</v>
      </c>
      <c r="E87" s="64">
        <v>6.38</v>
      </c>
      <c r="F87" s="64">
        <v>2.1</v>
      </c>
      <c r="G87" s="64">
        <v>57.37</v>
      </c>
      <c r="H87" s="64">
        <v>13.52</v>
      </c>
      <c r="I87" s="64">
        <v>2.39</v>
      </c>
      <c r="J87" s="64">
        <v>0.56000000000000005</v>
      </c>
      <c r="K87" s="64">
        <v>337.3</v>
      </c>
      <c r="L87" s="64">
        <v>24.77</v>
      </c>
      <c r="M87" s="64">
        <v>97.37</v>
      </c>
      <c r="N87" s="64">
        <v>39.299999999999997</v>
      </c>
      <c r="O87" s="64">
        <v>0</v>
      </c>
      <c r="P87" s="64">
        <v>1.1100000000000001</v>
      </c>
      <c r="Q87" s="64">
        <v>9.27</v>
      </c>
      <c r="R87" s="198"/>
      <c r="S87" s="198"/>
      <c r="T87" s="198"/>
      <c r="U87" s="198"/>
    </row>
    <row r="88" spans="1:26" s="12" customFormat="1" x14ac:dyDescent="0.25">
      <c r="A88" s="211" t="s">
        <v>2727</v>
      </c>
      <c r="B88" s="64">
        <v>21.4</v>
      </c>
      <c r="C88" s="64">
        <v>11.34</v>
      </c>
      <c r="D88" s="64">
        <v>23.06</v>
      </c>
      <c r="E88" s="64">
        <v>6.29</v>
      </c>
      <c r="F88" s="64">
        <v>2.1</v>
      </c>
      <c r="G88" s="64">
        <v>57.37</v>
      </c>
      <c r="H88" s="64">
        <v>13.52</v>
      </c>
      <c r="I88" s="64">
        <v>2.44</v>
      </c>
      <c r="J88" s="64">
        <v>0.32</v>
      </c>
      <c r="K88" s="64">
        <v>333.29</v>
      </c>
      <c r="L88" s="64">
        <v>24.79</v>
      </c>
      <c r="M88" s="64">
        <v>94.9</v>
      </c>
      <c r="N88" s="64">
        <v>39.299999999999997</v>
      </c>
      <c r="O88" s="64">
        <v>0</v>
      </c>
      <c r="P88" s="64">
        <v>0.97</v>
      </c>
      <c r="Q88" s="64">
        <v>9.27</v>
      </c>
      <c r="R88" s="198"/>
      <c r="S88" s="198"/>
      <c r="T88" s="198"/>
      <c r="U88" s="198"/>
    </row>
    <row r="89" spans="1:26" s="12" customFormat="1" x14ac:dyDescent="0.25">
      <c r="A89" s="211" t="s">
        <v>2728</v>
      </c>
      <c r="B89" s="64">
        <v>20.65</v>
      </c>
      <c r="C89" s="64">
        <v>17.260000000000002</v>
      </c>
      <c r="D89" s="64">
        <v>25.58</v>
      </c>
      <c r="E89" s="64">
        <v>6.5</v>
      </c>
      <c r="F89" s="64">
        <v>2.1</v>
      </c>
      <c r="G89" s="64">
        <v>58.98</v>
      </c>
      <c r="H89" s="64">
        <v>12.77</v>
      </c>
      <c r="I89" s="64">
        <v>2.4900000000000002</v>
      </c>
      <c r="J89" s="64">
        <v>0.03</v>
      </c>
      <c r="K89" s="64">
        <v>300.77</v>
      </c>
      <c r="L89" s="64">
        <v>24.61</v>
      </c>
      <c r="M89" s="64">
        <v>96.37</v>
      </c>
      <c r="N89" s="64">
        <v>39.5</v>
      </c>
      <c r="O89" s="64">
        <v>0</v>
      </c>
      <c r="P89" s="64">
        <v>1.07</v>
      </c>
      <c r="Q89" s="64">
        <v>9.2799999999999994</v>
      </c>
      <c r="R89" s="198"/>
      <c r="S89" s="198"/>
      <c r="T89" s="198"/>
      <c r="U89" s="198"/>
    </row>
    <row r="90" spans="1:26" s="12" customFormat="1" x14ac:dyDescent="0.25">
      <c r="A90" s="211" t="s">
        <v>2729</v>
      </c>
      <c r="B90" s="64">
        <v>20.81</v>
      </c>
      <c r="C90" s="64">
        <v>14.15</v>
      </c>
      <c r="D90" s="64">
        <v>24.08</v>
      </c>
      <c r="E90" s="64">
        <v>6.15</v>
      </c>
      <c r="F90" s="64">
        <v>2.1</v>
      </c>
      <c r="G90" s="64">
        <v>59.41</v>
      </c>
      <c r="H90" s="64">
        <v>12.77</v>
      </c>
      <c r="I90" s="64">
        <v>2.5299999999999998</v>
      </c>
      <c r="J90" s="64">
        <v>0.04</v>
      </c>
      <c r="K90" s="64">
        <v>221.47</v>
      </c>
      <c r="L90" s="64">
        <v>24.45</v>
      </c>
      <c r="M90" s="64">
        <v>97.47</v>
      </c>
      <c r="N90" s="64">
        <v>39.4</v>
      </c>
      <c r="O90" s="64">
        <v>0</v>
      </c>
      <c r="P90" s="64">
        <v>0.74</v>
      </c>
      <c r="Q90" s="64">
        <v>9.3000000000000007</v>
      </c>
      <c r="R90" s="198"/>
      <c r="S90" s="198"/>
      <c r="T90" s="198"/>
      <c r="U90" s="198"/>
    </row>
    <row r="91" spans="1:26" s="12" customFormat="1" x14ac:dyDescent="0.25">
      <c r="A91" s="211" t="s">
        <v>2730</v>
      </c>
      <c r="B91" s="64">
        <v>29.06</v>
      </c>
      <c r="C91" s="64">
        <v>14.56</v>
      </c>
      <c r="D91" s="64">
        <v>30.91</v>
      </c>
      <c r="E91" s="64">
        <v>6.43</v>
      </c>
      <c r="F91" s="64">
        <v>2.13</v>
      </c>
      <c r="G91" s="64">
        <v>59.41</v>
      </c>
      <c r="H91" s="64">
        <v>12.77</v>
      </c>
      <c r="I91" s="64">
        <v>2.56</v>
      </c>
      <c r="J91" s="64">
        <v>0.09</v>
      </c>
      <c r="K91" s="64">
        <v>255.89</v>
      </c>
      <c r="L91" s="64">
        <v>24.42</v>
      </c>
      <c r="M91" s="64">
        <v>97.92</v>
      </c>
      <c r="N91" s="64">
        <v>39.299999999999997</v>
      </c>
      <c r="O91" s="64">
        <v>0</v>
      </c>
      <c r="P91" s="64">
        <v>0.84</v>
      </c>
      <c r="Q91" s="64">
        <v>9.32</v>
      </c>
      <c r="R91" s="198"/>
      <c r="S91" s="198"/>
      <c r="T91" s="198"/>
      <c r="U91" s="198"/>
    </row>
    <row r="92" spans="1:26" s="12" customFormat="1" x14ac:dyDescent="0.25">
      <c r="A92" s="211" t="s">
        <v>2731</v>
      </c>
      <c r="B92" s="64">
        <v>27.97</v>
      </c>
      <c r="C92" s="64">
        <v>13.63</v>
      </c>
      <c r="D92" s="64">
        <v>29.55</v>
      </c>
      <c r="E92" s="64">
        <v>6.44</v>
      </c>
      <c r="F92" s="64">
        <v>2.13</v>
      </c>
      <c r="G92" s="64">
        <v>59.41</v>
      </c>
      <c r="H92" s="64">
        <v>12.77</v>
      </c>
      <c r="I92" s="64">
        <v>2.58</v>
      </c>
      <c r="J92" s="64">
        <v>0.06</v>
      </c>
      <c r="K92" s="64">
        <v>230.12</v>
      </c>
      <c r="L92" s="64">
        <v>24.4</v>
      </c>
      <c r="M92" s="64">
        <v>97.94</v>
      </c>
      <c r="N92" s="64">
        <v>39.299999999999997</v>
      </c>
      <c r="O92" s="64">
        <v>0</v>
      </c>
      <c r="P92" s="64">
        <v>0.85</v>
      </c>
      <c r="Q92" s="64">
        <v>9.34</v>
      </c>
      <c r="R92" s="198"/>
      <c r="S92" s="198"/>
      <c r="T92" s="198"/>
      <c r="U92" s="198"/>
    </row>
    <row r="93" spans="1:26" s="12" customFormat="1" x14ac:dyDescent="0.25">
      <c r="A93" s="211" t="s">
        <v>2732</v>
      </c>
      <c r="B93" s="64">
        <v>37.67</v>
      </c>
      <c r="C93" s="64">
        <v>12.34</v>
      </c>
      <c r="D93" s="64">
        <v>36.46</v>
      </c>
      <c r="E93" s="64">
        <v>6.51</v>
      </c>
      <c r="F93" s="64">
        <v>2.1</v>
      </c>
      <c r="G93" s="64">
        <v>56.37</v>
      </c>
      <c r="H93" s="64">
        <v>16.04</v>
      </c>
      <c r="I93" s="64">
        <v>2.6</v>
      </c>
      <c r="J93" s="64">
        <v>0.09</v>
      </c>
      <c r="K93" s="64">
        <v>251.5</v>
      </c>
      <c r="L93" s="64">
        <v>24.39</v>
      </c>
      <c r="M93" s="64">
        <v>97.95</v>
      </c>
      <c r="N93" s="64">
        <v>39.299999999999997</v>
      </c>
      <c r="O93" s="64">
        <v>0</v>
      </c>
      <c r="P93" s="64">
        <v>0.88</v>
      </c>
      <c r="Q93" s="64">
        <v>9.3699999999999992</v>
      </c>
      <c r="R93" s="198"/>
      <c r="S93" s="198"/>
      <c r="T93" s="198"/>
      <c r="U93" s="198"/>
    </row>
    <row r="94" spans="1:26" s="12" customFormat="1" x14ac:dyDescent="0.25">
      <c r="A94" s="211" t="s">
        <v>2733</v>
      </c>
      <c r="B94" s="64">
        <v>43.81</v>
      </c>
      <c r="C94" s="64">
        <v>9.0399999999999991</v>
      </c>
      <c r="D94" s="64">
        <v>39.42</v>
      </c>
      <c r="E94" s="64">
        <v>6.53</v>
      </c>
      <c r="F94" s="64">
        <v>2.1</v>
      </c>
      <c r="G94" s="64">
        <v>55.55</v>
      </c>
      <c r="H94" s="64">
        <v>16.04</v>
      </c>
      <c r="I94" s="64">
        <v>2.76</v>
      </c>
      <c r="J94" s="64">
        <v>0.06</v>
      </c>
      <c r="K94" s="64">
        <v>271.83</v>
      </c>
      <c r="L94" s="64">
        <v>24.31</v>
      </c>
      <c r="M94" s="64">
        <v>97.95</v>
      </c>
      <c r="N94" s="64">
        <v>39.299999999999997</v>
      </c>
      <c r="O94" s="64">
        <v>0</v>
      </c>
      <c r="P94" s="64">
        <v>0.84</v>
      </c>
      <c r="Q94" s="64">
        <v>9.3800000000000008</v>
      </c>
      <c r="R94" s="198"/>
      <c r="S94" s="198"/>
      <c r="T94" s="198"/>
      <c r="U94" s="198"/>
    </row>
    <row r="95" spans="1:26" s="12" customFormat="1" x14ac:dyDescent="0.25">
      <c r="A95" s="211" t="s">
        <v>2734</v>
      </c>
      <c r="B95" s="64">
        <v>31.44</v>
      </c>
      <c r="C95" s="64">
        <v>14.53</v>
      </c>
      <c r="D95" s="64">
        <v>32.799999999999997</v>
      </c>
      <c r="E95" s="64">
        <v>6.2</v>
      </c>
      <c r="F95" s="64">
        <v>2.23</v>
      </c>
      <c r="G95" s="64">
        <v>55.55</v>
      </c>
      <c r="H95" s="64">
        <v>16.04</v>
      </c>
      <c r="I95" s="64">
        <v>2.73</v>
      </c>
      <c r="J95" s="64">
        <v>0.11</v>
      </c>
      <c r="K95" s="64">
        <v>288.06</v>
      </c>
      <c r="L95" s="64">
        <v>24.3</v>
      </c>
      <c r="M95" s="64">
        <v>97.98</v>
      </c>
      <c r="N95" s="64">
        <v>39.200000000000003</v>
      </c>
      <c r="O95" s="64">
        <v>0</v>
      </c>
      <c r="P95" s="64">
        <v>0.89</v>
      </c>
      <c r="Q95" s="64">
        <v>9.42</v>
      </c>
      <c r="R95" s="198"/>
      <c r="S95" s="198"/>
      <c r="T95" s="198"/>
      <c r="U95" s="198"/>
    </row>
    <row r="96" spans="1:26" s="12" customFormat="1" x14ac:dyDescent="0.25">
      <c r="A96" s="211" t="s">
        <v>2735</v>
      </c>
      <c r="B96" s="64">
        <v>42.49</v>
      </c>
      <c r="C96" s="64">
        <v>10.76</v>
      </c>
      <c r="D96" s="64">
        <v>38.770000000000003</v>
      </c>
      <c r="E96" s="64">
        <v>6.31</v>
      </c>
      <c r="F96" s="64">
        <v>2.1</v>
      </c>
      <c r="G96" s="64">
        <v>55.55</v>
      </c>
      <c r="H96" s="64">
        <v>16.04</v>
      </c>
      <c r="I96" s="64">
        <v>2.64</v>
      </c>
      <c r="J96" s="64">
        <v>0.21</v>
      </c>
      <c r="K96" s="64">
        <v>329.97</v>
      </c>
      <c r="L96" s="64">
        <v>24.23</v>
      </c>
      <c r="M96" s="64">
        <v>97.98</v>
      </c>
      <c r="N96" s="64">
        <v>39.299999999999997</v>
      </c>
      <c r="O96" s="64">
        <v>0</v>
      </c>
      <c r="P96" s="64">
        <v>0.96</v>
      </c>
      <c r="Q96" s="64">
        <v>9.4499999999999993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2736</v>
      </c>
      <c r="B97" s="64">
        <v>39.22</v>
      </c>
      <c r="C97" s="64">
        <v>8.81</v>
      </c>
      <c r="D97" s="64">
        <v>35.69</v>
      </c>
      <c r="E97" s="64">
        <v>6.27</v>
      </c>
      <c r="F97" s="64">
        <v>2.1</v>
      </c>
      <c r="G97" s="64">
        <v>59.28</v>
      </c>
      <c r="H97" s="64">
        <v>14.7</v>
      </c>
      <c r="I97" s="64">
        <v>2.64</v>
      </c>
      <c r="J97" s="64">
        <v>0.44</v>
      </c>
      <c r="K97" s="64">
        <v>332.68</v>
      </c>
      <c r="L97" s="64">
        <v>24.07</v>
      </c>
      <c r="M97" s="64">
        <v>97.98</v>
      </c>
      <c r="N97" s="64">
        <v>39.299999999999997</v>
      </c>
      <c r="O97" s="64">
        <v>0</v>
      </c>
      <c r="P97" s="64">
        <v>0.83</v>
      </c>
      <c r="Q97" s="64">
        <v>9.48</v>
      </c>
      <c r="R97" s="198"/>
      <c r="S97" s="198"/>
      <c r="T97" s="198"/>
      <c r="U97" s="198"/>
    </row>
    <row r="98" spans="1:33" s="12" customFormat="1" x14ac:dyDescent="0.25">
      <c r="A98" s="211" t="s">
        <v>2737</v>
      </c>
      <c r="B98" s="64">
        <v>26.99</v>
      </c>
      <c r="C98" s="64">
        <v>6.95</v>
      </c>
      <c r="D98" s="64">
        <v>25.25</v>
      </c>
      <c r="E98" s="64">
        <v>5.99</v>
      </c>
      <c r="F98" s="64">
        <v>2.1</v>
      </c>
      <c r="G98" s="64">
        <v>60.28</v>
      </c>
      <c r="H98" s="64">
        <v>14.7</v>
      </c>
      <c r="I98" s="64">
        <v>2.65</v>
      </c>
      <c r="J98" s="64">
        <v>0.59</v>
      </c>
      <c r="K98" s="64">
        <v>337.84</v>
      </c>
      <c r="L98" s="64">
        <v>23.91</v>
      </c>
      <c r="M98" s="64">
        <v>98.02</v>
      </c>
      <c r="N98" s="64">
        <v>39.299999999999997</v>
      </c>
      <c r="O98" s="64">
        <v>0</v>
      </c>
      <c r="P98" s="64">
        <v>0.75</v>
      </c>
      <c r="Q98" s="64">
        <v>9.49</v>
      </c>
      <c r="R98" s="198"/>
      <c r="S98" s="198"/>
      <c r="T98" s="198"/>
      <c r="U98" s="198"/>
    </row>
    <row r="99" spans="1:33" s="12" customFormat="1" x14ac:dyDescent="0.25">
      <c r="A99" s="211" t="s">
        <v>2738</v>
      </c>
      <c r="B99" s="64">
        <v>40.630000000000003</v>
      </c>
      <c r="C99" s="64">
        <v>6.16</v>
      </c>
      <c r="D99" s="64">
        <v>34.76</v>
      </c>
      <c r="E99" s="64">
        <v>6.27</v>
      </c>
      <c r="F99" s="64">
        <v>2.1</v>
      </c>
      <c r="G99" s="64">
        <v>60.28</v>
      </c>
      <c r="H99" s="64">
        <v>14.7</v>
      </c>
      <c r="I99" s="64">
        <v>2.67</v>
      </c>
      <c r="J99" s="64">
        <v>0.23</v>
      </c>
      <c r="K99" s="64">
        <v>320.67</v>
      </c>
      <c r="L99" s="64">
        <v>23.76</v>
      </c>
      <c r="M99" s="64">
        <v>98.03</v>
      </c>
      <c r="N99" s="64">
        <v>39.4</v>
      </c>
      <c r="O99" s="64">
        <v>0</v>
      </c>
      <c r="P99" s="64">
        <v>0.75</v>
      </c>
      <c r="Q99" s="64">
        <v>9.49</v>
      </c>
      <c r="R99" s="198"/>
      <c r="S99" s="198"/>
      <c r="T99" s="198"/>
      <c r="U99" s="198"/>
    </row>
    <row r="100" spans="1:33" s="12" customFormat="1" x14ac:dyDescent="0.25">
      <c r="A100" s="211" t="s">
        <v>2739</v>
      </c>
      <c r="B100" s="64">
        <v>25.96</v>
      </c>
      <c r="C100" s="64">
        <v>8.9600000000000009</v>
      </c>
      <c r="D100" s="64">
        <v>25.5</v>
      </c>
      <c r="E100" s="64">
        <v>6.35</v>
      </c>
      <c r="F100" s="64">
        <v>2.4300000000000002</v>
      </c>
      <c r="G100" s="64">
        <v>60.28</v>
      </c>
      <c r="H100" s="64">
        <v>14.7</v>
      </c>
      <c r="I100" s="64">
        <v>2.65</v>
      </c>
      <c r="J100" s="64">
        <v>0.34</v>
      </c>
      <c r="K100" s="64">
        <v>336.16</v>
      </c>
      <c r="L100" s="64">
        <v>23.69</v>
      </c>
      <c r="M100" s="64">
        <v>98.05</v>
      </c>
      <c r="N100" s="64">
        <v>39.299999999999997</v>
      </c>
      <c r="O100" s="64">
        <v>0</v>
      </c>
      <c r="P100" s="64">
        <v>0.8</v>
      </c>
      <c r="Q100" s="64">
        <v>9.52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2740</v>
      </c>
      <c r="B101" s="64">
        <v>25.14</v>
      </c>
      <c r="C101" s="64">
        <v>7.38</v>
      </c>
      <c r="D101" s="64">
        <v>24.01</v>
      </c>
      <c r="E101" s="64">
        <v>6.6</v>
      </c>
      <c r="F101" s="64">
        <v>2.1</v>
      </c>
      <c r="G101" s="64">
        <v>62.72</v>
      </c>
      <c r="H101" s="64">
        <v>14.43</v>
      </c>
      <c r="I101" s="64">
        <v>2.63</v>
      </c>
      <c r="J101" s="64">
        <v>0.55000000000000004</v>
      </c>
      <c r="K101" s="64">
        <v>334.84</v>
      </c>
      <c r="L101" s="64">
        <v>23.59</v>
      </c>
      <c r="M101" s="64">
        <v>98.05</v>
      </c>
      <c r="N101" s="64">
        <v>39.200000000000003</v>
      </c>
      <c r="O101" s="64">
        <v>0</v>
      </c>
      <c r="P101" s="64">
        <v>0.88</v>
      </c>
      <c r="Q101" s="64">
        <v>9.5299999999999994</v>
      </c>
      <c r="R101" s="198"/>
      <c r="S101" s="198"/>
      <c r="T101" s="198"/>
      <c r="U101" s="198"/>
    </row>
    <row r="102" spans="1:33" s="12" customFormat="1" x14ac:dyDescent="0.25">
      <c r="A102" s="211" t="s">
        <v>2741</v>
      </c>
      <c r="B102" s="64">
        <v>21.48</v>
      </c>
      <c r="C102" s="64">
        <v>8.1</v>
      </c>
      <c r="D102" s="64">
        <v>21.46</v>
      </c>
      <c r="E102" s="64">
        <v>6.42</v>
      </c>
      <c r="F102" s="64">
        <v>2.83</v>
      </c>
      <c r="G102" s="64">
        <v>63.38</v>
      </c>
      <c r="H102" s="64">
        <v>14.43</v>
      </c>
      <c r="I102" s="64">
        <v>2.62</v>
      </c>
      <c r="J102" s="64">
        <v>0.36</v>
      </c>
      <c r="K102" s="64">
        <v>334.32</v>
      </c>
      <c r="L102" s="64">
        <v>23.52</v>
      </c>
      <c r="M102" s="64">
        <v>98.06</v>
      </c>
      <c r="N102" s="64">
        <v>39.299999999999997</v>
      </c>
      <c r="O102" s="64">
        <v>0</v>
      </c>
      <c r="P102" s="64">
        <v>0.77</v>
      </c>
      <c r="Q102" s="64">
        <v>9.5299999999999994</v>
      </c>
      <c r="R102" s="198"/>
      <c r="S102" s="198"/>
      <c r="T102" s="198"/>
      <c r="U102" s="198"/>
    </row>
    <row r="103" spans="1:33" s="12" customFormat="1" x14ac:dyDescent="0.25">
      <c r="A103" s="211" t="s">
        <v>2742</v>
      </c>
      <c r="B103" s="64">
        <v>23.61</v>
      </c>
      <c r="C103" s="64">
        <v>5.54</v>
      </c>
      <c r="D103" s="64">
        <v>21.83</v>
      </c>
      <c r="E103" s="64">
        <v>6.76</v>
      </c>
      <c r="F103" s="64">
        <v>2.14</v>
      </c>
      <c r="G103" s="64">
        <v>63.38</v>
      </c>
      <c r="H103" s="64">
        <v>14.43</v>
      </c>
      <c r="I103" s="64">
        <v>2.6</v>
      </c>
      <c r="J103" s="64">
        <v>0.42</v>
      </c>
      <c r="K103" s="64">
        <v>334.1</v>
      </c>
      <c r="L103" s="64">
        <v>23.4</v>
      </c>
      <c r="M103" s="64">
        <v>98.08</v>
      </c>
      <c r="N103" s="64">
        <v>39.299999999999997</v>
      </c>
      <c r="O103" s="64">
        <v>0</v>
      </c>
      <c r="P103" s="64">
        <v>0.73</v>
      </c>
      <c r="Q103" s="64">
        <v>9.5299999999999994</v>
      </c>
      <c r="R103" s="198"/>
      <c r="S103" s="198"/>
      <c r="T103" s="198"/>
      <c r="U103" s="198"/>
    </row>
    <row r="104" spans="1:33" s="12" customFormat="1" x14ac:dyDescent="0.25">
      <c r="A104" s="211" t="s">
        <v>2743</v>
      </c>
      <c r="B104" s="64">
        <v>20.99</v>
      </c>
      <c r="C104" s="64">
        <v>5.8</v>
      </c>
      <c r="D104" s="64">
        <v>19.86</v>
      </c>
      <c r="E104" s="64">
        <v>6.08</v>
      </c>
      <c r="F104" s="64">
        <v>2.25</v>
      </c>
      <c r="G104" s="64">
        <v>63.38</v>
      </c>
      <c r="H104" s="64">
        <v>14.43</v>
      </c>
      <c r="I104" s="64">
        <v>2.58</v>
      </c>
      <c r="J104" s="64">
        <v>0.53</v>
      </c>
      <c r="K104" s="64">
        <v>331.84</v>
      </c>
      <c r="L104" s="64">
        <v>23.27</v>
      </c>
      <c r="M104" s="64">
        <v>98.1</v>
      </c>
      <c r="N104" s="64">
        <v>39.299999999999997</v>
      </c>
      <c r="O104" s="64">
        <v>0</v>
      </c>
      <c r="P104" s="64">
        <v>0.68</v>
      </c>
      <c r="Q104" s="64">
        <v>9.52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5.75</v>
      </c>
      <c r="C106" s="67">
        <f>MIN(C9:C104)</f>
        <v>5.54</v>
      </c>
      <c r="D106" s="67">
        <f t="shared" ref="D106:Q106" si="0">MIN(D9:D104)</f>
        <v>9.48</v>
      </c>
      <c r="E106" s="67">
        <f t="shared" si="0"/>
        <v>4.12</v>
      </c>
      <c r="F106" s="67">
        <f t="shared" si="0"/>
        <v>2.1</v>
      </c>
      <c r="G106" s="67">
        <f t="shared" si="0"/>
        <v>37.64</v>
      </c>
      <c r="H106" s="67">
        <f t="shared" si="0"/>
        <v>12.6</v>
      </c>
      <c r="I106" s="67">
        <f t="shared" si="0"/>
        <v>1.9</v>
      </c>
      <c r="J106" s="67">
        <f t="shared" si="0"/>
        <v>0</v>
      </c>
      <c r="K106" s="67">
        <f t="shared" si="0"/>
        <v>0.99</v>
      </c>
      <c r="L106" s="67">
        <f t="shared" si="0"/>
        <v>22.98</v>
      </c>
      <c r="M106" s="67">
        <f t="shared" si="0"/>
        <v>59.05</v>
      </c>
      <c r="N106" s="67">
        <f t="shared" si="0"/>
        <v>39.200000000000003</v>
      </c>
      <c r="O106" s="67">
        <f t="shared" si="0"/>
        <v>0</v>
      </c>
      <c r="P106" s="67">
        <f t="shared" si="0"/>
        <v>0.34</v>
      </c>
      <c r="Q106" s="67">
        <f t="shared" si="0"/>
        <v>9.01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43.81</v>
      </c>
      <c r="C107" s="66">
        <f t="shared" ref="C107:Q107" si="1">MAX(C9:C104)</f>
        <v>23.49</v>
      </c>
      <c r="D107" s="66">
        <f t="shared" si="1"/>
        <v>39.42</v>
      </c>
      <c r="E107" s="66">
        <f t="shared" si="1"/>
        <v>11.57</v>
      </c>
      <c r="F107" s="66">
        <f t="shared" si="1"/>
        <v>9.44</v>
      </c>
      <c r="G107" s="66">
        <f t="shared" si="1"/>
        <v>104.17</v>
      </c>
      <c r="H107" s="66">
        <f t="shared" si="1"/>
        <v>17.760000000000002</v>
      </c>
      <c r="I107" s="66">
        <f t="shared" si="1"/>
        <v>2.76</v>
      </c>
      <c r="J107" s="66">
        <f t="shared" si="1"/>
        <v>1.66</v>
      </c>
      <c r="K107" s="66">
        <f t="shared" si="1"/>
        <v>356.52</v>
      </c>
      <c r="L107" s="66">
        <f t="shared" si="1"/>
        <v>31.03</v>
      </c>
      <c r="M107" s="66">
        <f t="shared" si="1"/>
        <v>98.17</v>
      </c>
      <c r="N107" s="66">
        <f t="shared" si="1"/>
        <v>844.5</v>
      </c>
      <c r="O107" s="66">
        <f t="shared" si="1"/>
        <v>0</v>
      </c>
      <c r="P107" s="66">
        <f t="shared" si="1"/>
        <v>1.17</v>
      </c>
      <c r="Q107" s="66">
        <f t="shared" si="1"/>
        <v>9.5299999999999994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15.303125000000007</v>
      </c>
      <c r="C108" s="67">
        <f t="shared" ref="C108:Q108" si="2">AVERAGE(C9:C104)</f>
        <v>11.897291666666666</v>
      </c>
      <c r="D108" s="67">
        <f t="shared" si="2"/>
        <v>18.447291666666665</v>
      </c>
      <c r="E108" s="67">
        <f t="shared" si="2"/>
        <v>6.3265624999999988</v>
      </c>
      <c r="F108" s="67">
        <f t="shared" si="2"/>
        <v>3.639479166666669</v>
      </c>
      <c r="G108" s="67">
        <f t="shared" si="2"/>
        <v>66.996666666666655</v>
      </c>
      <c r="H108" s="67">
        <f t="shared" si="2"/>
        <v>14.752499999999992</v>
      </c>
      <c r="I108" s="67">
        <f t="shared" si="2"/>
        <v>2.2468749999999984</v>
      </c>
      <c r="J108" s="67">
        <f t="shared" si="2"/>
        <v>0.42916666666666692</v>
      </c>
      <c r="K108" s="67">
        <f t="shared" si="2"/>
        <v>254.29375000000002</v>
      </c>
      <c r="L108" s="67">
        <f t="shared" si="2"/>
        <v>25.572708333333335</v>
      </c>
      <c r="M108" s="67">
        <f t="shared" si="2"/>
        <v>91.551041666666649</v>
      </c>
      <c r="N108" s="67">
        <f t="shared" si="2"/>
        <v>135.9635416666666</v>
      </c>
      <c r="O108" s="67">
        <f t="shared" si="2"/>
        <v>0</v>
      </c>
      <c r="P108" s="67">
        <f t="shared" si="2"/>
        <v>0.66885416666666675</v>
      </c>
      <c r="Q108" s="67">
        <f t="shared" si="2"/>
        <v>9.1783333333333328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8.6792663178283238</v>
      </c>
      <c r="C109" s="67">
        <f t="shared" ref="C109:Q109" si="3">STDEV(C9:C104)</f>
        <v>3.5353610637213935</v>
      </c>
      <c r="D109" s="67">
        <f t="shared" si="3"/>
        <v>7.3513486738530807</v>
      </c>
      <c r="E109" s="67">
        <f t="shared" si="3"/>
        <v>1.520884665079405</v>
      </c>
      <c r="F109" s="67">
        <f t="shared" si="3"/>
        <v>1.917238897225662</v>
      </c>
      <c r="G109" s="67">
        <f t="shared" si="3"/>
        <v>16.54007723947241</v>
      </c>
      <c r="H109" s="67">
        <f t="shared" si="3"/>
        <v>1.3502943148966107</v>
      </c>
      <c r="I109" s="67">
        <f t="shared" si="3"/>
        <v>0.22519845049480955</v>
      </c>
      <c r="J109" s="67">
        <f t="shared" si="3"/>
        <v>0.3967198843852755</v>
      </c>
      <c r="K109" s="67">
        <f t="shared" si="3"/>
        <v>95.881249747580327</v>
      </c>
      <c r="L109" s="67">
        <f t="shared" si="3"/>
        <v>2.3137895456163484</v>
      </c>
      <c r="M109" s="67">
        <f t="shared" si="3"/>
        <v>10.752310741042365</v>
      </c>
      <c r="N109" s="67">
        <f t="shared" si="3"/>
        <v>164.6218148361759</v>
      </c>
      <c r="O109" s="67">
        <f t="shared" si="3"/>
        <v>0</v>
      </c>
      <c r="P109" s="67">
        <f t="shared" si="3"/>
        <v>0.18488613731680764</v>
      </c>
      <c r="Q109" s="67">
        <f t="shared" si="3"/>
        <v>0.13447493733751956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</f>
        <v>96</v>
      </c>
      <c r="H110" s="66">
        <f t="shared" ref="H110:I110" si="5">COUNT(H9:H104)</f>
        <v>96</v>
      </c>
      <c r="I110" s="66">
        <f t="shared" si="5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22" sqref="I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2744</v>
      </c>
      <c r="B9" s="64">
        <v>25.55</v>
      </c>
      <c r="C9" s="64">
        <v>6.09</v>
      </c>
      <c r="D9" s="64">
        <v>23.17</v>
      </c>
      <c r="E9" s="64">
        <v>6.47</v>
      </c>
      <c r="F9" s="64">
        <v>2.61</v>
      </c>
      <c r="G9" s="64">
        <v>66.52</v>
      </c>
      <c r="H9" s="64">
        <v>14.46</v>
      </c>
      <c r="I9" s="64">
        <v>2.56</v>
      </c>
      <c r="J9" s="64">
        <v>0.24</v>
      </c>
      <c r="K9" s="64">
        <v>332.71</v>
      </c>
      <c r="L9" s="64">
        <v>23.1</v>
      </c>
      <c r="M9" s="64">
        <v>98.1</v>
      </c>
      <c r="N9" s="64">
        <v>39.299999999999997</v>
      </c>
      <c r="O9" s="64">
        <v>0</v>
      </c>
      <c r="P9" s="64">
        <v>0.56999999999999995</v>
      </c>
      <c r="Q9" s="64">
        <v>9.51</v>
      </c>
      <c r="R9" s="198"/>
      <c r="S9" s="198"/>
      <c r="T9" s="198"/>
      <c r="U9" s="198"/>
    </row>
    <row r="10" spans="1:21" s="12" customFormat="1" x14ac:dyDescent="0.25">
      <c r="A10" s="211" t="s">
        <v>2745</v>
      </c>
      <c r="B10" s="64">
        <v>16.78</v>
      </c>
      <c r="C10" s="64">
        <v>7.47</v>
      </c>
      <c r="D10" s="64">
        <v>17.36</v>
      </c>
      <c r="E10" s="64">
        <v>6.4</v>
      </c>
      <c r="F10" s="64">
        <v>2.92</v>
      </c>
      <c r="G10" s="64">
        <v>67.36</v>
      </c>
      <c r="H10" s="64">
        <v>14.46</v>
      </c>
      <c r="I10" s="64">
        <v>2.5299999999999998</v>
      </c>
      <c r="J10" s="64">
        <v>0.28999999999999998</v>
      </c>
      <c r="K10" s="64">
        <v>332.24</v>
      </c>
      <c r="L10" s="64">
        <v>23.05</v>
      </c>
      <c r="M10" s="64">
        <v>98.1</v>
      </c>
      <c r="N10" s="64">
        <v>39.200000000000003</v>
      </c>
      <c r="O10" s="64">
        <v>0</v>
      </c>
      <c r="P10" s="64">
        <v>0.59</v>
      </c>
      <c r="Q10" s="64">
        <v>9.51</v>
      </c>
      <c r="R10" s="198"/>
      <c r="S10" s="198"/>
      <c r="T10" s="198"/>
      <c r="U10" s="198"/>
    </row>
    <row r="11" spans="1:21" s="12" customFormat="1" x14ac:dyDescent="0.25">
      <c r="A11" s="211" t="s">
        <v>2746</v>
      </c>
      <c r="B11" s="64">
        <v>22.13</v>
      </c>
      <c r="C11" s="64">
        <v>4.29</v>
      </c>
      <c r="D11" s="64">
        <v>19.989999999999998</v>
      </c>
      <c r="E11" s="64">
        <v>6.61</v>
      </c>
      <c r="F11" s="64">
        <v>2.1</v>
      </c>
      <c r="G11" s="64">
        <v>67.36</v>
      </c>
      <c r="H11" s="64">
        <v>14.46</v>
      </c>
      <c r="I11" s="64">
        <v>2.5099999999999998</v>
      </c>
      <c r="J11" s="64">
        <v>0.4</v>
      </c>
      <c r="K11" s="64">
        <v>334.25</v>
      </c>
      <c r="L11" s="64">
        <v>22.97</v>
      </c>
      <c r="M11" s="64">
        <v>98.13</v>
      </c>
      <c r="N11" s="64">
        <v>39.200000000000003</v>
      </c>
      <c r="O11" s="64">
        <v>0</v>
      </c>
      <c r="P11" s="64">
        <v>0.65</v>
      </c>
      <c r="Q11" s="64">
        <v>9.49</v>
      </c>
      <c r="R11" s="198"/>
      <c r="S11" s="198"/>
      <c r="T11" s="198"/>
      <c r="U11" s="198"/>
    </row>
    <row r="12" spans="1:21" s="12" customFormat="1" x14ac:dyDescent="0.25">
      <c r="A12" s="211" t="s">
        <v>2747</v>
      </c>
      <c r="B12" s="64">
        <v>20.38</v>
      </c>
      <c r="C12" s="64">
        <v>3.91</v>
      </c>
      <c r="D12" s="64">
        <v>18.39</v>
      </c>
      <c r="E12" s="64">
        <v>6.72</v>
      </c>
      <c r="F12" s="64">
        <v>2.1</v>
      </c>
      <c r="G12" s="64">
        <v>67.36</v>
      </c>
      <c r="H12" s="64">
        <v>14.46</v>
      </c>
      <c r="I12" s="64">
        <v>2.48</v>
      </c>
      <c r="J12" s="64">
        <v>0.64</v>
      </c>
      <c r="K12" s="64">
        <v>337.71</v>
      </c>
      <c r="L12" s="64">
        <v>22.88</v>
      </c>
      <c r="M12" s="64">
        <v>98.13</v>
      </c>
      <c r="N12" s="64">
        <v>39.200000000000003</v>
      </c>
      <c r="O12" s="64">
        <v>0</v>
      </c>
      <c r="P12" s="64">
        <v>0.66</v>
      </c>
      <c r="Q12" s="64">
        <v>9.48</v>
      </c>
      <c r="R12" s="198"/>
      <c r="S12" s="198"/>
      <c r="T12" s="198"/>
      <c r="U12" s="198"/>
    </row>
    <row r="13" spans="1:21" s="12" customFormat="1" x14ac:dyDescent="0.25">
      <c r="A13" s="211" t="s">
        <v>2748</v>
      </c>
      <c r="B13" s="64">
        <v>18.86</v>
      </c>
      <c r="C13" s="64">
        <v>4.5999999999999996</v>
      </c>
      <c r="D13" s="64">
        <v>17.53</v>
      </c>
      <c r="E13" s="64">
        <v>6.2</v>
      </c>
      <c r="F13" s="64">
        <v>2.54</v>
      </c>
      <c r="G13" s="64">
        <v>62.05</v>
      </c>
      <c r="H13" s="64">
        <v>17.170000000000002</v>
      </c>
      <c r="I13" s="64">
        <v>2.4500000000000002</v>
      </c>
      <c r="J13" s="64">
        <v>0.42</v>
      </c>
      <c r="K13" s="64">
        <v>333.51</v>
      </c>
      <c r="L13" s="64">
        <v>22.8</v>
      </c>
      <c r="M13" s="64">
        <v>98.12</v>
      </c>
      <c r="N13" s="64">
        <v>39.299999999999997</v>
      </c>
      <c r="O13" s="64">
        <v>0</v>
      </c>
      <c r="P13" s="64">
        <v>0.62</v>
      </c>
      <c r="Q13" s="64">
        <v>9.49</v>
      </c>
      <c r="R13" s="198"/>
      <c r="S13" s="198"/>
      <c r="T13" s="198"/>
      <c r="U13" s="198"/>
    </row>
    <row r="14" spans="1:21" s="12" customFormat="1" x14ac:dyDescent="0.25">
      <c r="A14" s="211" t="s">
        <v>2749</v>
      </c>
      <c r="B14" s="64">
        <v>17.14</v>
      </c>
      <c r="C14" s="64">
        <v>5.56</v>
      </c>
      <c r="D14" s="64">
        <v>16.649999999999999</v>
      </c>
      <c r="E14" s="64">
        <v>5.92</v>
      </c>
      <c r="F14" s="64">
        <v>2.1</v>
      </c>
      <c r="G14" s="64">
        <v>60.63</v>
      </c>
      <c r="H14" s="64">
        <v>17.170000000000002</v>
      </c>
      <c r="I14" s="64">
        <v>2.4300000000000002</v>
      </c>
      <c r="J14" s="64">
        <v>0.17</v>
      </c>
      <c r="K14" s="64">
        <v>132.43</v>
      </c>
      <c r="L14" s="64">
        <v>22.66</v>
      </c>
      <c r="M14" s="64">
        <v>98.14</v>
      </c>
      <c r="N14" s="64">
        <v>39.299999999999997</v>
      </c>
      <c r="O14" s="64">
        <v>0</v>
      </c>
      <c r="P14" s="64">
        <v>0.61</v>
      </c>
      <c r="Q14" s="64">
        <v>9.49</v>
      </c>
      <c r="R14" s="198"/>
      <c r="S14" s="198"/>
      <c r="T14" s="198"/>
      <c r="U14" s="198"/>
    </row>
    <row r="15" spans="1:21" s="12" customFormat="1" x14ac:dyDescent="0.25">
      <c r="A15" s="211" t="s">
        <v>2750</v>
      </c>
      <c r="B15" s="64">
        <v>18.010000000000002</v>
      </c>
      <c r="C15" s="64">
        <v>4.55</v>
      </c>
      <c r="D15" s="64">
        <v>16.82</v>
      </c>
      <c r="E15" s="64">
        <v>6.29</v>
      </c>
      <c r="F15" s="64">
        <v>2.1</v>
      </c>
      <c r="G15" s="64">
        <v>60.63</v>
      </c>
      <c r="H15" s="64">
        <v>17.170000000000002</v>
      </c>
      <c r="I15" s="64">
        <v>2.42</v>
      </c>
      <c r="J15" s="64">
        <v>0.03</v>
      </c>
      <c r="K15" s="64">
        <v>192.6</v>
      </c>
      <c r="L15" s="64">
        <v>22.57</v>
      </c>
      <c r="M15" s="64">
        <v>98.15</v>
      </c>
      <c r="N15" s="64">
        <v>39.200000000000003</v>
      </c>
      <c r="O15" s="64">
        <v>0</v>
      </c>
      <c r="P15" s="64">
        <v>0.63</v>
      </c>
      <c r="Q15" s="64">
        <v>9.48</v>
      </c>
      <c r="R15" s="198"/>
      <c r="S15" s="198"/>
      <c r="T15" s="198"/>
      <c r="U15" s="198"/>
    </row>
    <row r="16" spans="1:21" s="12" customFormat="1" x14ac:dyDescent="0.25">
      <c r="A16" s="211" t="s">
        <v>2751</v>
      </c>
      <c r="B16" s="64">
        <v>17.93</v>
      </c>
      <c r="C16" s="64">
        <v>4.92</v>
      </c>
      <c r="D16" s="64">
        <v>16.95</v>
      </c>
      <c r="E16" s="64">
        <v>5.89</v>
      </c>
      <c r="F16" s="64">
        <v>2.1</v>
      </c>
      <c r="G16" s="64">
        <v>60.63</v>
      </c>
      <c r="H16" s="64">
        <v>17.170000000000002</v>
      </c>
      <c r="I16" s="64">
        <v>2.39</v>
      </c>
      <c r="J16" s="64">
        <v>0.08</v>
      </c>
      <c r="K16" s="64">
        <v>199.87</v>
      </c>
      <c r="L16" s="64">
        <v>22.59</v>
      </c>
      <c r="M16" s="64">
        <v>98.13</v>
      </c>
      <c r="N16" s="64">
        <v>39.299999999999997</v>
      </c>
      <c r="O16" s="64">
        <v>0</v>
      </c>
      <c r="P16" s="64">
        <v>0.64</v>
      </c>
      <c r="Q16" s="64">
        <v>9.4600000000000009</v>
      </c>
      <c r="R16" s="198"/>
      <c r="S16" s="198"/>
      <c r="T16" s="198"/>
      <c r="U16" s="198"/>
    </row>
    <row r="17" spans="1:21" s="12" customFormat="1" x14ac:dyDescent="0.25">
      <c r="A17" s="211" t="s">
        <v>2752</v>
      </c>
      <c r="B17" s="64">
        <v>16.39</v>
      </c>
      <c r="C17" s="64">
        <v>5.77</v>
      </c>
      <c r="D17" s="64">
        <v>16.16</v>
      </c>
      <c r="E17" s="64">
        <v>6.03</v>
      </c>
      <c r="F17" s="64">
        <v>2.1</v>
      </c>
      <c r="G17" s="64">
        <v>56.48</v>
      </c>
      <c r="H17" s="64">
        <v>15.32</v>
      </c>
      <c r="I17" s="64">
        <v>2.36</v>
      </c>
      <c r="J17" s="64">
        <v>0.09</v>
      </c>
      <c r="K17" s="64">
        <v>263.8</v>
      </c>
      <c r="L17" s="64">
        <v>22.49</v>
      </c>
      <c r="M17" s="64">
        <v>98.13</v>
      </c>
      <c r="N17" s="64">
        <v>39.299999999999997</v>
      </c>
      <c r="O17" s="64">
        <v>0</v>
      </c>
      <c r="P17" s="64">
        <v>0.57999999999999996</v>
      </c>
      <c r="Q17" s="64">
        <v>9.4499999999999993</v>
      </c>
      <c r="R17" s="198"/>
      <c r="S17" s="198"/>
      <c r="T17" s="198"/>
      <c r="U17" s="198"/>
    </row>
    <row r="18" spans="1:21" s="12" customFormat="1" x14ac:dyDescent="0.25">
      <c r="A18" s="211" t="s">
        <v>2753</v>
      </c>
      <c r="B18" s="64">
        <v>15.48</v>
      </c>
      <c r="C18" s="64">
        <v>5.79</v>
      </c>
      <c r="D18" s="64">
        <v>15.44</v>
      </c>
      <c r="E18" s="64">
        <v>6.17</v>
      </c>
      <c r="F18" s="64">
        <v>2.1</v>
      </c>
      <c r="G18" s="64">
        <v>55.37</v>
      </c>
      <c r="H18" s="64">
        <v>15.32</v>
      </c>
      <c r="I18" s="64">
        <v>2.34</v>
      </c>
      <c r="J18" s="64">
        <v>0.13</v>
      </c>
      <c r="K18" s="64">
        <v>277.02999999999997</v>
      </c>
      <c r="L18" s="64">
        <v>22.42</v>
      </c>
      <c r="M18" s="64">
        <v>98.15</v>
      </c>
      <c r="N18" s="64">
        <v>39.200000000000003</v>
      </c>
      <c r="O18" s="64">
        <v>0</v>
      </c>
      <c r="P18" s="64">
        <v>0.56999999999999995</v>
      </c>
      <c r="Q18" s="64">
        <v>9.44</v>
      </c>
      <c r="R18" s="198"/>
      <c r="S18" s="198"/>
      <c r="T18" s="198"/>
      <c r="U18" s="198"/>
    </row>
    <row r="19" spans="1:21" s="12" customFormat="1" x14ac:dyDescent="0.25">
      <c r="A19" s="211" t="s">
        <v>2754</v>
      </c>
      <c r="B19" s="64">
        <v>16.149999999999999</v>
      </c>
      <c r="C19" s="64">
        <v>6.12</v>
      </c>
      <c r="D19" s="64">
        <v>16.149999999999999</v>
      </c>
      <c r="E19" s="64">
        <v>6</v>
      </c>
      <c r="F19" s="64">
        <v>2.16</v>
      </c>
      <c r="G19" s="64">
        <v>55.37</v>
      </c>
      <c r="H19" s="64">
        <v>15.32</v>
      </c>
      <c r="I19" s="64">
        <v>2.3199999999999998</v>
      </c>
      <c r="J19" s="64">
        <v>7.0000000000000007E-2</v>
      </c>
      <c r="K19" s="64">
        <v>271.89999999999998</v>
      </c>
      <c r="L19" s="64">
        <v>22.43</v>
      </c>
      <c r="M19" s="64">
        <v>98.14</v>
      </c>
      <c r="N19" s="64">
        <v>39.200000000000003</v>
      </c>
      <c r="O19" s="64">
        <v>0</v>
      </c>
      <c r="P19" s="64">
        <v>0.56000000000000005</v>
      </c>
      <c r="Q19" s="64">
        <v>9.43</v>
      </c>
      <c r="R19" s="198"/>
      <c r="S19" s="198"/>
      <c r="T19" s="198"/>
      <c r="U19" s="198"/>
    </row>
    <row r="20" spans="1:21" s="12" customFormat="1" x14ac:dyDescent="0.25">
      <c r="A20" s="211" t="s">
        <v>2755</v>
      </c>
      <c r="B20" s="64">
        <v>18.23</v>
      </c>
      <c r="C20" s="64">
        <v>4.09</v>
      </c>
      <c r="D20" s="64">
        <v>16.760000000000002</v>
      </c>
      <c r="E20" s="64">
        <v>6.06</v>
      </c>
      <c r="F20" s="64">
        <v>2.13</v>
      </c>
      <c r="G20" s="64">
        <v>55.37</v>
      </c>
      <c r="H20" s="64">
        <v>15.32</v>
      </c>
      <c r="I20" s="64">
        <v>2.2999999999999998</v>
      </c>
      <c r="J20" s="64">
        <v>0.26</v>
      </c>
      <c r="K20" s="64">
        <v>136.51</v>
      </c>
      <c r="L20" s="64">
        <v>22.53</v>
      </c>
      <c r="M20" s="64">
        <v>98.13</v>
      </c>
      <c r="N20" s="64">
        <v>39</v>
      </c>
      <c r="O20" s="64">
        <v>0</v>
      </c>
      <c r="P20" s="64">
        <v>0.67</v>
      </c>
      <c r="Q20" s="64">
        <v>9.42</v>
      </c>
      <c r="R20" s="198"/>
      <c r="S20" s="198"/>
      <c r="T20" s="198"/>
      <c r="U20" s="198"/>
    </row>
    <row r="21" spans="1:21" s="12" customFormat="1" x14ac:dyDescent="0.25">
      <c r="A21" s="211" t="s">
        <v>2756</v>
      </c>
      <c r="B21" s="64">
        <v>14.82</v>
      </c>
      <c r="C21" s="64">
        <v>4.8499999999999996</v>
      </c>
      <c r="D21" s="64">
        <v>14.42</v>
      </c>
      <c r="E21" s="64">
        <v>5.71</v>
      </c>
      <c r="F21" s="64">
        <v>2.14</v>
      </c>
      <c r="G21" s="64">
        <v>56.56</v>
      </c>
      <c r="H21" s="64">
        <v>14.02</v>
      </c>
      <c r="I21" s="64">
        <v>2.2799999999999998</v>
      </c>
      <c r="J21" s="64">
        <v>0.1</v>
      </c>
      <c r="K21" s="64">
        <v>167.43</v>
      </c>
      <c r="L21" s="64">
        <v>22.54</v>
      </c>
      <c r="M21" s="64">
        <v>98.13</v>
      </c>
      <c r="N21" s="64">
        <v>39.1</v>
      </c>
      <c r="O21" s="64">
        <v>0</v>
      </c>
      <c r="P21" s="64">
        <v>0.55000000000000004</v>
      </c>
      <c r="Q21" s="64">
        <v>9.39</v>
      </c>
      <c r="R21" s="198"/>
      <c r="S21" s="198"/>
      <c r="T21" s="198"/>
      <c r="U21" s="198"/>
    </row>
    <row r="22" spans="1:21" s="12" customFormat="1" x14ac:dyDescent="0.25">
      <c r="A22" s="211" t="s">
        <v>2757</v>
      </c>
      <c r="B22" s="64">
        <v>16.260000000000002</v>
      </c>
      <c r="C22" s="64">
        <v>4.1500000000000004</v>
      </c>
      <c r="D22" s="64">
        <v>15.21</v>
      </c>
      <c r="E22" s="64">
        <v>5.94</v>
      </c>
      <c r="F22" s="64">
        <v>3.25</v>
      </c>
      <c r="G22" s="64">
        <v>56.88</v>
      </c>
      <c r="H22" s="64">
        <v>14.02</v>
      </c>
      <c r="I22" s="64">
        <v>2.25</v>
      </c>
      <c r="J22" s="64">
        <v>0.38</v>
      </c>
      <c r="K22" s="64">
        <v>131.57</v>
      </c>
      <c r="L22" s="64">
        <v>22.51</v>
      </c>
      <c r="M22" s="64">
        <v>98.13</v>
      </c>
      <c r="N22" s="64">
        <v>39.200000000000003</v>
      </c>
      <c r="O22" s="64">
        <v>0</v>
      </c>
      <c r="P22" s="64">
        <v>0.59</v>
      </c>
      <c r="Q22" s="64">
        <v>9.35</v>
      </c>
      <c r="R22" s="198"/>
      <c r="S22" s="198"/>
      <c r="T22" s="198"/>
      <c r="U22" s="198"/>
    </row>
    <row r="23" spans="1:21" s="12" customFormat="1" x14ac:dyDescent="0.25">
      <c r="A23" s="211" t="s">
        <v>2758</v>
      </c>
      <c r="B23" s="64">
        <v>14.76</v>
      </c>
      <c r="C23" s="64">
        <v>4.82</v>
      </c>
      <c r="D23" s="64">
        <v>14.35</v>
      </c>
      <c r="E23" s="64">
        <v>5.95</v>
      </c>
      <c r="F23" s="64">
        <v>2.7</v>
      </c>
      <c r="G23" s="64">
        <v>56.88</v>
      </c>
      <c r="H23" s="64">
        <v>14.02</v>
      </c>
      <c r="I23" s="64">
        <v>2.2200000000000002</v>
      </c>
      <c r="J23" s="64">
        <v>0.11</v>
      </c>
      <c r="K23" s="64">
        <v>143.74</v>
      </c>
      <c r="L23" s="64">
        <v>22.4</v>
      </c>
      <c r="M23" s="64">
        <v>98.13</v>
      </c>
      <c r="N23" s="64">
        <v>39.299999999999997</v>
      </c>
      <c r="O23" s="64">
        <v>0</v>
      </c>
      <c r="P23" s="64">
        <v>0.56999999999999995</v>
      </c>
      <c r="Q23" s="64">
        <v>9.33</v>
      </c>
      <c r="R23" s="198"/>
      <c r="S23" s="198"/>
      <c r="T23" s="198"/>
      <c r="U23" s="198"/>
    </row>
    <row r="24" spans="1:21" s="12" customFormat="1" x14ac:dyDescent="0.25">
      <c r="A24" s="211" t="s">
        <v>2759</v>
      </c>
      <c r="B24" s="64">
        <v>16.329999999999998</v>
      </c>
      <c r="C24" s="64">
        <v>4.83</v>
      </c>
      <c r="D24" s="64">
        <v>15.62</v>
      </c>
      <c r="E24" s="64">
        <v>5.81</v>
      </c>
      <c r="F24" s="64">
        <v>2.84</v>
      </c>
      <c r="G24" s="64">
        <v>56.88</v>
      </c>
      <c r="H24" s="64">
        <v>14.02</v>
      </c>
      <c r="I24" s="64">
        <v>2.2000000000000002</v>
      </c>
      <c r="J24" s="64">
        <v>0.14000000000000001</v>
      </c>
      <c r="K24" s="64">
        <v>138.41</v>
      </c>
      <c r="L24" s="64">
        <v>22.36</v>
      </c>
      <c r="M24" s="64">
        <v>98.13</v>
      </c>
      <c r="N24" s="64">
        <v>39.200000000000003</v>
      </c>
      <c r="O24" s="64">
        <v>0</v>
      </c>
      <c r="P24" s="64">
        <v>0.62</v>
      </c>
      <c r="Q24" s="64">
        <v>9.32</v>
      </c>
      <c r="R24" s="198"/>
      <c r="S24" s="198"/>
      <c r="T24" s="198"/>
      <c r="U24" s="198"/>
    </row>
    <row r="25" spans="1:21" s="12" customFormat="1" x14ac:dyDescent="0.25">
      <c r="A25" s="211" t="s">
        <v>2760</v>
      </c>
      <c r="B25" s="64">
        <v>15.02</v>
      </c>
      <c r="C25" s="64">
        <v>5.9</v>
      </c>
      <c r="D25" s="64">
        <v>15.12</v>
      </c>
      <c r="E25" s="64">
        <v>6.12</v>
      </c>
      <c r="F25" s="64">
        <v>2.99</v>
      </c>
      <c r="G25" s="64">
        <v>54.88</v>
      </c>
      <c r="H25" s="64">
        <v>13.12</v>
      </c>
      <c r="I25" s="64">
        <v>2.16</v>
      </c>
      <c r="J25" s="64">
        <v>0.09</v>
      </c>
      <c r="K25" s="64">
        <v>180.41</v>
      </c>
      <c r="L25" s="64">
        <v>22.32</v>
      </c>
      <c r="M25" s="64">
        <v>98.1</v>
      </c>
      <c r="N25" s="64">
        <v>39.299999999999997</v>
      </c>
      <c r="O25" s="64">
        <v>0</v>
      </c>
      <c r="P25" s="64">
        <v>0.59</v>
      </c>
      <c r="Q25" s="64">
        <v>9.31</v>
      </c>
      <c r="R25" s="198"/>
      <c r="S25" s="198"/>
      <c r="T25" s="198"/>
      <c r="U25" s="198"/>
    </row>
    <row r="26" spans="1:21" s="12" customFormat="1" x14ac:dyDescent="0.25">
      <c r="A26" s="211" t="s">
        <v>2761</v>
      </c>
      <c r="B26" s="64">
        <v>14.09</v>
      </c>
      <c r="C26" s="64">
        <v>5.47</v>
      </c>
      <c r="D26" s="64">
        <v>14.16</v>
      </c>
      <c r="E26" s="64">
        <v>5.86</v>
      </c>
      <c r="F26" s="64">
        <v>2.99</v>
      </c>
      <c r="G26" s="64">
        <v>54.35</v>
      </c>
      <c r="H26" s="64">
        <v>13.12</v>
      </c>
      <c r="I26" s="64">
        <v>2.14</v>
      </c>
      <c r="J26" s="64">
        <v>0.18</v>
      </c>
      <c r="K26" s="64">
        <v>155.9</v>
      </c>
      <c r="L26" s="64">
        <v>22.2</v>
      </c>
      <c r="M26" s="64">
        <v>98.11</v>
      </c>
      <c r="N26" s="64">
        <v>39.200000000000003</v>
      </c>
      <c r="O26" s="64">
        <v>0</v>
      </c>
      <c r="P26" s="64">
        <v>0.57999999999999996</v>
      </c>
      <c r="Q26" s="64">
        <v>9.2899999999999991</v>
      </c>
      <c r="R26" s="198"/>
      <c r="S26" s="198"/>
      <c r="T26" s="198"/>
      <c r="U26" s="198"/>
    </row>
    <row r="27" spans="1:21" s="12" customFormat="1" x14ac:dyDescent="0.25">
      <c r="A27" s="211" t="s">
        <v>2762</v>
      </c>
      <c r="B27" s="64">
        <v>14.61</v>
      </c>
      <c r="C27" s="64">
        <v>3.99</v>
      </c>
      <c r="D27" s="64">
        <v>13.8</v>
      </c>
      <c r="E27" s="64">
        <v>6.15</v>
      </c>
      <c r="F27" s="64">
        <v>3.15</v>
      </c>
      <c r="G27" s="64">
        <v>54.35</v>
      </c>
      <c r="H27" s="64">
        <v>13.12</v>
      </c>
      <c r="I27" s="64">
        <v>2.12</v>
      </c>
      <c r="J27" s="64">
        <v>0.35</v>
      </c>
      <c r="K27" s="64">
        <v>136</v>
      </c>
      <c r="L27" s="64">
        <v>22.11</v>
      </c>
      <c r="M27" s="64">
        <v>98.13</v>
      </c>
      <c r="N27" s="64">
        <v>39.200000000000003</v>
      </c>
      <c r="O27" s="64">
        <v>0</v>
      </c>
      <c r="P27" s="64">
        <v>0.59</v>
      </c>
      <c r="Q27" s="64">
        <v>9.2799999999999994</v>
      </c>
      <c r="R27" s="198"/>
      <c r="S27" s="198"/>
      <c r="T27" s="198"/>
      <c r="U27" s="198"/>
    </row>
    <row r="28" spans="1:21" s="12" customFormat="1" x14ac:dyDescent="0.25">
      <c r="A28" s="211" t="s">
        <v>2763</v>
      </c>
      <c r="B28" s="64">
        <v>14.12</v>
      </c>
      <c r="C28" s="64">
        <v>4.6900000000000004</v>
      </c>
      <c r="D28" s="64">
        <v>13.78</v>
      </c>
      <c r="E28" s="64">
        <v>5.93</v>
      </c>
      <c r="F28" s="64">
        <v>2.91</v>
      </c>
      <c r="G28" s="64">
        <v>54.35</v>
      </c>
      <c r="H28" s="64">
        <v>13.12</v>
      </c>
      <c r="I28" s="64">
        <v>2.09</v>
      </c>
      <c r="J28" s="64">
        <v>0.4</v>
      </c>
      <c r="K28" s="64">
        <v>127.95</v>
      </c>
      <c r="L28" s="64">
        <v>22.07</v>
      </c>
      <c r="M28" s="64">
        <v>98.13</v>
      </c>
      <c r="N28" s="64">
        <v>39.200000000000003</v>
      </c>
      <c r="O28" s="64">
        <v>0</v>
      </c>
      <c r="P28" s="64">
        <v>0.56999999999999995</v>
      </c>
      <c r="Q28" s="64">
        <v>9.26</v>
      </c>
      <c r="R28" s="198"/>
      <c r="S28" s="198"/>
      <c r="T28" s="198"/>
      <c r="U28" s="198"/>
    </row>
    <row r="29" spans="1:21" s="12" customFormat="1" x14ac:dyDescent="0.25">
      <c r="A29" s="211" t="s">
        <v>2764</v>
      </c>
      <c r="B29" s="64">
        <v>13.84</v>
      </c>
      <c r="C29" s="64">
        <v>5.16</v>
      </c>
      <c r="D29" s="64">
        <v>13.8</v>
      </c>
      <c r="E29" s="64">
        <v>6</v>
      </c>
      <c r="F29" s="64">
        <v>2.74</v>
      </c>
      <c r="G29" s="64">
        <v>51.36</v>
      </c>
      <c r="H29" s="64">
        <v>14.19</v>
      </c>
      <c r="I29" s="64">
        <v>2.1800000000000002</v>
      </c>
      <c r="J29" s="64">
        <v>0.51</v>
      </c>
      <c r="K29" s="64">
        <v>128.24</v>
      </c>
      <c r="L29" s="64">
        <v>22.04</v>
      </c>
      <c r="M29" s="64">
        <v>98.13</v>
      </c>
      <c r="N29" s="64">
        <v>39.200000000000003</v>
      </c>
      <c r="O29" s="64">
        <v>0</v>
      </c>
      <c r="P29" s="64">
        <v>0.56000000000000005</v>
      </c>
      <c r="Q29" s="64">
        <v>9.24</v>
      </c>
      <c r="R29" s="198"/>
      <c r="S29" s="198"/>
      <c r="T29" s="198"/>
      <c r="U29" s="198"/>
    </row>
    <row r="30" spans="1:21" s="12" customFormat="1" x14ac:dyDescent="0.25">
      <c r="A30" s="211" t="s">
        <v>2765</v>
      </c>
      <c r="B30" s="64">
        <v>13.79</v>
      </c>
      <c r="C30" s="64">
        <v>6.73</v>
      </c>
      <c r="D30" s="64">
        <v>14.57</v>
      </c>
      <c r="E30" s="64">
        <v>5.85</v>
      </c>
      <c r="F30" s="64">
        <v>3.86</v>
      </c>
      <c r="G30" s="64">
        <v>50.51</v>
      </c>
      <c r="H30" s="64">
        <v>14.19</v>
      </c>
      <c r="I30" s="64">
        <v>2.2400000000000002</v>
      </c>
      <c r="J30" s="64">
        <v>0.56999999999999995</v>
      </c>
      <c r="K30" s="64">
        <v>131.16999999999999</v>
      </c>
      <c r="L30" s="64">
        <v>21.92</v>
      </c>
      <c r="M30" s="64">
        <v>98.13</v>
      </c>
      <c r="N30" s="64">
        <v>39.299999999999997</v>
      </c>
      <c r="O30" s="64">
        <v>0</v>
      </c>
      <c r="P30" s="64">
        <v>0.53</v>
      </c>
      <c r="Q30" s="64">
        <v>9.23</v>
      </c>
      <c r="R30" s="198"/>
      <c r="S30" s="198"/>
      <c r="T30" s="198"/>
      <c r="U30" s="198"/>
    </row>
    <row r="31" spans="1:21" s="12" customFormat="1" x14ac:dyDescent="0.25">
      <c r="A31" s="211" t="s">
        <v>2766</v>
      </c>
      <c r="B31" s="64">
        <v>12.45</v>
      </c>
      <c r="C31" s="64">
        <v>7.14</v>
      </c>
      <c r="D31" s="64">
        <v>13.71</v>
      </c>
      <c r="E31" s="64">
        <v>6.11</v>
      </c>
      <c r="F31" s="64">
        <v>2.42</v>
      </c>
      <c r="G31" s="64">
        <v>50.51</v>
      </c>
      <c r="H31" s="64">
        <v>14.19</v>
      </c>
      <c r="I31" s="64">
        <v>2.21</v>
      </c>
      <c r="J31" s="64">
        <v>0.5</v>
      </c>
      <c r="K31" s="64">
        <v>135.49</v>
      </c>
      <c r="L31" s="64">
        <v>21.82</v>
      </c>
      <c r="M31" s="64">
        <v>98.15</v>
      </c>
      <c r="N31" s="64">
        <v>39.299999999999997</v>
      </c>
      <c r="O31" s="64">
        <v>0</v>
      </c>
      <c r="P31" s="64">
        <v>0.51</v>
      </c>
      <c r="Q31" s="64">
        <v>9.25</v>
      </c>
      <c r="R31" s="198"/>
      <c r="S31" s="198"/>
      <c r="T31" s="198"/>
      <c r="U31" s="198"/>
    </row>
    <row r="32" spans="1:21" s="12" customFormat="1" x14ac:dyDescent="0.25">
      <c r="A32" s="211" t="s">
        <v>2767</v>
      </c>
      <c r="B32" s="64">
        <v>11.7</v>
      </c>
      <c r="C32" s="64">
        <v>7.98</v>
      </c>
      <c r="D32" s="64">
        <v>13.55</v>
      </c>
      <c r="E32" s="64">
        <v>6.27</v>
      </c>
      <c r="F32" s="64">
        <v>2.13</v>
      </c>
      <c r="G32" s="64">
        <v>50.51</v>
      </c>
      <c r="H32" s="64">
        <v>14.19</v>
      </c>
      <c r="I32" s="64">
        <v>2.19</v>
      </c>
      <c r="J32" s="64">
        <v>0.56999999999999995</v>
      </c>
      <c r="K32" s="64">
        <v>126.53</v>
      </c>
      <c r="L32" s="64">
        <v>21.76</v>
      </c>
      <c r="M32" s="64">
        <v>98.18</v>
      </c>
      <c r="N32" s="64">
        <v>40.799999999999997</v>
      </c>
      <c r="O32" s="64">
        <v>0</v>
      </c>
      <c r="P32" s="64">
        <v>0.53</v>
      </c>
      <c r="Q32" s="64">
        <v>9.25</v>
      </c>
      <c r="R32" s="198"/>
      <c r="S32" s="198"/>
      <c r="T32" s="198"/>
      <c r="U32" s="198"/>
    </row>
    <row r="33" spans="1:21" s="12" customFormat="1" x14ac:dyDescent="0.25">
      <c r="A33" s="211" t="s">
        <v>2768</v>
      </c>
      <c r="B33" s="64">
        <v>11.61</v>
      </c>
      <c r="C33" s="64">
        <v>7.94</v>
      </c>
      <c r="D33" s="64">
        <v>13.46</v>
      </c>
      <c r="E33" s="64">
        <v>6.13</v>
      </c>
      <c r="F33" s="64">
        <v>2.11</v>
      </c>
      <c r="G33" s="64">
        <v>49.98</v>
      </c>
      <c r="H33" s="64">
        <v>13.3</v>
      </c>
      <c r="I33" s="64">
        <v>2.1800000000000002</v>
      </c>
      <c r="J33" s="64">
        <v>0.68</v>
      </c>
      <c r="K33" s="64">
        <v>129.97999999999999</v>
      </c>
      <c r="L33" s="64">
        <v>21.78</v>
      </c>
      <c r="M33" s="64">
        <v>98.15</v>
      </c>
      <c r="N33" s="64">
        <v>51.7</v>
      </c>
      <c r="O33" s="64">
        <v>0</v>
      </c>
      <c r="P33" s="64">
        <v>0.52</v>
      </c>
      <c r="Q33" s="64">
        <v>9.25</v>
      </c>
      <c r="R33" s="198"/>
      <c r="S33" s="198"/>
      <c r="T33" s="198"/>
      <c r="U33" s="198"/>
    </row>
    <row r="34" spans="1:21" s="12" customFormat="1" x14ac:dyDescent="0.25">
      <c r="A34" s="211" t="s">
        <v>2769</v>
      </c>
      <c r="B34" s="64">
        <v>12.1</v>
      </c>
      <c r="C34" s="64">
        <v>6.69</v>
      </c>
      <c r="D34" s="64">
        <v>13.2</v>
      </c>
      <c r="E34" s="64">
        <v>6.52</v>
      </c>
      <c r="F34" s="64">
        <v>2.1</v>
      </c>
      <c r="G34" s="64">
        <v>49.83</v>
      </c>
      <c r="H34" s="64">
        <v>13.3</v>
      </c>
      <c r="I34" s="64">
        <v>2.1800000000000002</v>
      </c>
      <c r="J34" s="64">
        <v>0.84</v>
      </c>
      <c r="K34" s="64">
        <v>130.07</v>
      </c>
      <c r="L34" s="64">
        <v>21.94</v>
      </c>
      <c r="M34" s="64">
        <v>98.12</v>
      </c>
      <c r="N34" s="64">
        <v>63.9</v>
      </c>
      <c r="O34" s="64">
        <v>0</v>
      </c>
      <c r="P34" s="64">
        <v>0.52</v>
      </c>
      <c r="Q34" s="64">
        <v>9.24</v>
      </c>
      <c r="R34" s="198"/>
      <c r="S34" s="198"/>
      <c r="T34" s="198"/>
      <c r="U34" s="198"/>
    </row>
    <row r="35" spans="1:21" s="12" customFormat="1" x14ac:dyDescent="0.25">
      <c r="A35" s="211" t="s">
        <v>2770</v>
      </c>
      <c r="B35" s="64">
        <v>10.83</v>
      </c>
      <c r="C35" s="64">
        <v>8.23</v>
      </c>
      <c r="D35" s="64">
        <v>12.99</v>
      </c>
      <c r="E35" s="64">
        <v>6.9</v>
      </c>
      <c r="F35" s="64">
        <v>2.16</v>
      </c>
      <c r="G35" s="64">
        <v>49.83</v>
      </c>
      <c r="H35" s="64">
        <v>13.3</v>
      </c>
      <c r="I35" s="64">
        <v>2.17</v>
      </c>
      <c r="J35" s="64">
        <v>0.56999999999999995</v>
      </c>
      <c r="K35" s="64">
        <v>130.61000000000001</v>
      </c>
      <c r="L35" s="64">
        <v>22.21</v>
      </c>
      <c r="M35" s="64">
        <v>98.12</v>
      </c>
      <c r="N35" s="64">
        <v>92.5</v>
      </c>
      <c r="O35" s="64">
        <v>0</v>
      </c>
      <c r="P35" s="64">
        <v>0.5</v>
      </c>
      <c r="Q35" s="64">
        <v>9.23</v>
      </c>
      <c r="R35" s="198"/>
      <c r="S35" s="198"/>
      <c r="T35" s="198"/>
      <c r="U35" s="198"/>
    </row>
    <row r="36" spans="1:21" s="12" customFormat="1" x14ac:dyDescent="0.25">
      <c r="A36" s="211" t="s">
        <v>2771</v>
      </c>
      <c r="B36" s="64">
        <v>11.66</v>
      </c>
      <c r="C36" s="64">
        <v>8.26</v>
      </c>
      <c r="D36" s="64">
        <v>13.66</v>
      </c>
      <c r="E36" s="64">
        <v>6.41</v>
      </c>
      <c r="F36" s="64">
        <v>2.12</v>
      </c>
      <c r="G36" s="64">
        <v>49.83</v>
      </c>
      <c r="H36" s="64">
        <v>13.3</v>
      </c>
      <c r="I36" s="64">
        <v>2.16</v>
      </c>
      <c r="J36" s="64">
        <v>0.32</v>
      </c>
      <c r="K36" s="64">
        <v>126.6</v>
      </c>
      <c r="L36" s="64">
        <v>22.74</v>
      </c>
      <c r="M36" s="64">
        <v>98.11</v>
      </c>
      <c r="N36" s="64">
        <v>116.4</v>
      </c>
      <c r="O36" s="64">
        <v>0</v>
      </c>
      <c r="P36" s="64">
        <v>0.51</v>
      </c>
      <c r="Q36" s="64">
        <v>9.23</v>
      </c>
      <c r="R36" s="198"/>
      <c r="S36" s="198"/>
      <c r="T36" s="198"/>
      <c r="U36" s="198"/>
    </row>
    <row r="37" spans="1:21" s="12" customFormat="1" x14ac:dyDescent="0.25">
      <c r="A37" s="211" t="s">
        <v>2772</v>
      </c>
      <c r="B37" s="64">
        <v>15.39</v>
      </c>
      <c r="C37" s="64">
        <v>9.1999999999999993</v>
      </c>
      <c r="D37" s="64">
        <v>17.149999999999999</v>
      </c>
      <c r="E37" s="64">
        <v>6.43</v>
      </c>
      <c r="F37" s="64">
        <v>2.66</v>
      </c>
      <c r="G37" s="64">
        <v>48.57</v>
      </c>
      <c r="H37" s="64">
        <v>12.7</v>
      </c>
      <c r="I37" s="64">
        <v>2.14</v>
      </c>
      <c r="J37" s="64">
        <v>0.3</v>
      </c>
      <c r="K37" s="64">
        <v>135.36000000000001</v>
      </c>
      <c r="L37" s="64">
        <v>23.32</v>
      </c>
      <c r="M37" s="64">
        <v>98.05</v>
      </c>
      <c r="N37" s="64">
        <v>141.80000000000001</v>
      </c>
      <c r="O37" s="64">
        <v>0</v>
      </c>
      <c r="P37" s="64">
        <v>0.44</v>
      </c>
      <c r="Q37" s="64">
        <v>9.24</v>
      </c>
      <c r="R37" s="198"/>
      <c r="S37" s="198"/>
      <c r="T37" s="198"/>
      <c r="U37" s="198"/>
    </row>
    <row r="38" spans="1:21" s="12" customFormat="1" x14ac:dyDescent="0.25">
      <c r="A38" s="211" t="s">
        <v>2773</v>
      </c>
      <c r="B38" s="64">
        <v>13.99</v>
      </c>
      <c r="C38" s="64">
        <v>8.69</v>
      </c>
      <c r="D38" s="64">
        <v>15.76</v>
      </c>
      <c r="E38" s="64">
        <v>6.73</v>
      </c>
      <c r="F38" s="64">
        <v>2.1</v>
      </c>
      <c r="G38" s="64">
        <v>48.23</v>
      </c>
      <c r="H38" s="64">
        <v>12.7</v>
      </c>
      <c r="I38" s="64">
        <v>2.13</v>
      </c>
      <c r="J38" s="64">
        <v>0.09</v>
      </c>
      <c r="K38" s="64">
        <v>131.36000000000001</v>
      </c>
      <c r="L38" s="64">
        <v>24.24</v>
      </c>
      <c r="M38" s="64">
        <v>98.02</v>
      </c>
      <c r="N38" s="64">
        <v>196</v>
      </c>
      <c r="O38" s="64">
        <v>0</v>
      </c>
      <c r="P38" s="64">
        <v>0.49</v>
      </c>
      <c r="Q38" s="64">
        <v>9.2200000000000006</v>
      </c>
      <c r="R38" s="198"/>
      <c r="S38" s="198"/>
      <c r="T38" s="198"/>
      <c r="U38" s="198"/>
    </row>
    <row r="39" spans="1:21" s="12" customFormat="1" x14ac:dyDescent="0.25">
      <c r="A39" s="211" t="s">
        <v>2774</v>
      </c>
      <c r="B39" s="64">
        <v>13.15</v>
      </c>
      <c r="C39" s="64">
        <v>15.78</v>
      </c>
      <c r="D39" s="64">
        <v>18.79</v>
      </c>
      <c r="E39" s="64">
        <v>6.41</v>
      </c>
      <c r="F39" s="64">
        <v>2.14</v>
      </c>
      <c r="G39" s="64">
        <v>48.23</v>
      </c>
      <c r="H39" s="64">
        <v>12.7</v>
      </c>
      <c r="I39" s="64">
        <v>2.09</v>
      </c>
      <c r="J39" s="64">
        <v>0.28000000000000003</v>
      </c>
      <c r="K39" s="64">
        <v>123.21</v>
      </c>
      <c r="L39" s="64">
        <v>25.09</v>
      </c>
      <c r="M39" s="64">
        <v>96.99</v>
      </c>
      <c r="N39" s="64">
        <v>250.8</v>
      </c>
      <c r="O39" s="64">
        <v>0</v>
      </c>
      <c r="P39" s="64">
        <v>0.48</v>
      </c>
      <c r="Q39" s="64">
        <v>9.17</v>
      </c>
      <c r="R39" s="198"/>
      <c r="S39" s="198"/>
      <c r="T39" s="198"/>
      <c r="U39" s="198"/>
    </row>
    <row r="40" spans="1:21" s="12" customFormat="1" x14ac:dyDescent="0.25">
      <c r="A40" s="211" t="s">
        <v>2775</v>
      </c>
      <c r="B40" s="64">
        <v>15.73</v>
      </c>
      <c r="C40" s="64">
        <v>14.54</v>
      </c>
      <c r="D40" s="64">
        <v>20.190000000000001</v>
      </c>
      <c r="E40" s="64">
        <v>5.25</v>
      </c>
      <c r="F40" s="64">
        <v>3.73</v>
      </c>
      <c r="G40" s="64">
        <v>48.23</v>
      </c>
      <c r="H40" s="64">
        <v>12.7</v>
      </c>
      <c r="I40" s="64">
        <v>1.96</v>
      </c>
      <c r="J40" s="64">
        <v>0.19</v>
      </c>
      <c r="K40" s="64">
        <v>121.06</v>
      </c>
      <c r="L40" s="64">
        <v>26.21</v>
      </c>
      <c r="M40" s="64">
        <v>91.94</v>
      </c>
      <c r="N40" s="64">
        <v>331</v>
      </c>
      <c r="O40" s="64">
        <v>0</v>
      </c>
      <c r="P40" s="64">
        <v>0.48</v>
      </c>
      <c r="Q40" s="64">
        <v>9.14</v>
      </c>
      <c r="R40" s="198"/>
      <c r="S40" s="198"/>
      <c r="T40" s="198"/>
      <c r="U40" s="198"/>
    </row>
    <row r="41" spans="1:21" s="12" customFormat="1" x14ac:dyDescent="0.25">
      <c r="A41" s="211" t="s">
        <v>2776</v>
      </c>
      <c r="B41" s="64">
        <v>12.02</v>
      </c>
      <c r="C41" s="64">
        <v>13.64</v>
      </c>
      <c r="D41" s="64">
        <v>16.760000000000002</v>
      </c>
      <c r="E41" s="64">
        <v>6.34</v>
      </c>
      <c r="F41" s="64">
        <v>4.67</v>
      </c>
      <c r="G41" s="64">
        <v>41.91</v>
      </c>
      <c r="H41" s="64">
        <v>12.29</v>
      </c>
      <c r="I41" s="64">
        <v>1.8</v>
      </c>
      <c r="J41" s="64">
        <v>0.8</v>
      </c>
      <c r="K41" s="64">
        <v>130.80000000000001</v>
      </c>
      <c r="L41" s="64">
        <v>26.48</v>
      </c>
      <c r="M41" s="64">
        <v>89.39</v>
      </c>
      <c r="N41" s="64">
        <v>344</v>
      </c>
      <c r="O41" s="64">
        <v>0</v>
      </c>
      <c r="P41" s="64">
        <v>0.42</v>
      </c>
      <c r="Q41" s="64">
        <v>9.14</v>
      </c>
      <c r="R41" s="198"/>
      <c r="S41" s="198"/>
      <c r="T41" s="198"/>
      <c r="U41" s="198"/>
    </row>
    <row r="42" spans="1:21" s="12" customFormat="1" x14ac:dyDescent="0.25">
      <c r="A42" s="211" t="s">
        <v>2777</v>
      </c>
      <c r="B42" s="64">
        <v>8.65</v>
      </c>
      <c r="C42" s="64">
        <v>11.99</v>
      </c>
      <c r="D42" s="64">
        <v>13.2</v>
      </c>
      <c r="E42" s="64">
        <v>6.49</v>
      </c>
      <c r="F42" s="64">
        <v>6.31</v>
      </c>
      <c r="G42" s="64">
        <v>40.21</v>
      </c>
      <c r="H42" s="64">
        <v>12.29</v>
      </c>
      <c r="I42" s="64">
        <v>1.75</v>
      </c>
      <c r="J42" s="64">
        <v>1.06</v>
      </c>
      <c r="K42" s="64">
        <v>127.13</v>
      </c>
      <c r="L42" s="64">
        <v>26</v>
      </c>
      <c r="M42" s="64">
        <v>92.42</v>
      </c>
      <c r="N42" s="64">
        <v>412.8</v>
      </c>
      <c r="O42" s="64">
        <v>0</v>
      </c>
      <c r="P42" s="64">
        <v>0.33</v>
      </c>
      <c r="Q42" s="64">
        <v>9.14</v>
      </c>
      <c r="R42" s="198"/>
      <c r="S42" s="198"/>
      <c r="T42" s="198"/>
      <c r="U42" s="198"/>
    </row>
    <row r="43" spans="1:21" s="12" customFormat="1" x14ac:dyDescent="0.25">
      <c r="A43" s="211" t="s">
        <v>2778</v>
      </c>
      <c r="B43" s="64">
        <v>7.63</v>
      </c>
      <c r="C43" s="64">
        <v>12.03</v>
      </c>
      <c r="D43" s="64">
        <v>12.4</v>
      </c>
      <c r="E43" s="64">
        <v>6.91</v>
      </c>
      <c r="F43" s="64">
        <v>7.14</v>
      </c>
      <c r="G43" s="64">
        <v>40.21</v>
      </c>
      <c r="H43" s="64">
        <v>12.29</v>
      </c>
      <c r="I43" s="64">
        <v>1.76</v>
      </c>
      <c r="J43" s="64">
        <v>0.8</v>
      </c>
      <c r="K43" s="64">
        <v>126.75</v>
      </c>
      <c r="L43" s="64">
        <v>27.07</v>
      </c>
      <c r="M43" s="64">
        <v>86.16</v>
      </c>
      <c r="N43" s="64">
        <v>505.6</v>
      </c>
      <c r="O43" s="64">
        <v>0</v>
      </c>
      <c r="P43" s="64">
        <v>0.3</v>
      </c>
      <c r="Q43" s="64">
        <v>9.11</v>
      </c>
      <c r="R43" s="198"/>
      <c r="S43" s="198"/>
      <c r="T43" s="198"/>
      <c r="U43" s="198"/>
    </row>
    <row r="44" spans="1:21" s="12" customFormat="1" x14ac:dyDescent="0.25">
      <c r="A44" s="211" t="s">
        <v>2779</v>
      </c>
      <c r="B44" s="64">
        <v>6.36</v>
      </c>
      <c r="C44" s="64">
        <v>10.63</v>
      </c>
      <c r="D44" s="64">
        <v>10.65</v>
      </c>
      <c r="E44" s="64">
        <v>6.85</v>
      </c>
      <c r="F44" s="64">
        <v>5.67</v>
      </c>
      <c r="G44" s="64">
        <v>40.21</v>
      </c>
      <c r="H44" s="64">
        <v>12.29</v>
      </c>
      <c r="I44" s="64">
        <v>1.72</v>
      </c>
      <c r="J44" s="64">
        <v>1.04</v>
      </c>
      <c r="K44" s="64">
        <v>121.4</v>
      </c>
      <c r="L44" s="64">
        <v>26.88</v>
      </c>
      <c r="M44" s="64">
        <v>86.13</v>
      </c>
      <c r="N44" s="64">
        <v>431.9</v>
      </c>
      <c r="O44" s="64">
        <v>0</v>
      </c>
      <c r="P44" s="64">
        <v>0.26</v>
      </c>
      <c r="Q44" s="64">
        <v>9.08</v>
      </c>
      <c r="R44" s="198"/>
      <c r="S44" s="198"/>
      <c r="T44" s="198"/>
      <c r="U44" s="198"/>
    </row>
    <row r="45" spans="1:21" s="12" customFormat="1" x14ac:dyDescent="0.25">
      <c r="A45" s="211" t="s">
        <v>2780</v>
      </c>
      <c r="B45" s="64">
        <v>6.09</v>
      </c>
      <c r="C45" s="64">
        <v>9.9700000000000006</v>
      </c>
      <c r="D45" s="64">
        <v>10.09</v>
      </c>
      <c r="E45" s="64">
        <v>6.66</v>
      </c>
      <c r="F45" s="64">
        <v>6.12</v>
      </c>
      <c r="G45" s="64">
        <v>37.74</v>
      </c>
      <c r="H45" s="64">
        <v>15.5</v>
      </c>
      <c r="I45" s="64">
        <v>1.64</v>
      </c>
      <c r="J45" s="64">
        <v>1.17</v>
      </c>
      <c r="K45" s="64">
        <v>125.86</v>
      </c>
      <c r="L45" s="64">
        <v>27.39</v>
      </c>
      <c r="M45" s="64">
        <v>83.6</v>
      </c>
      <c r="N45" s="64">
        <v>667.4</v>
      </c>
      <c r="O45" s="64">
        <v>0</v>
      </c>
      <c r="P45" s="64">
        <v>0.23</v>
      </c>
      <c r="Q45" s="64">
        <v>9.0299999999999994</v>
      </c>
      <c r="R45" s="198"/>
      <c r="S45" s="198"/>
      <c r="T45" s="198"/>
      <c r="U45" s="198"/>
    </row>
    <row r="46" spans="1:21" s="12" customFormat="1" x14ac:dyDescent="0.25">
      <c r="A46" s="211" t="s">
        <v>2781</v>
      </c>
      <c r="B46" s="64">
        <v>6.9</v>
      </c>
      <c r="C46" s="64">
        <v>10.59</v>
      </c>
      <c r="D46" s="64">
        <v>11.07</v>
      </c>
      <c r="E46" s="64">
        <v>6.69</v>
      </c>
      <c r="F46" s="64">
        <v>2.7</v>
      </c>
      <c r="G46" s="64">
        <v>37.08</v>
      </c>
      <c r="H46" s="64">
        <v>15.5</v>
      </c>
      <c r="I46" s="64">
        <v>1.4</v>
      </c>
      <c r="J46" s="64">
        <v>0.62</v>
      </c>
      <c r="K46" s="64">
        <v>108.65</v>
      </c>
      <c r="L46" s="64">
        <v>28.21</v>
      </c>
      <c r="M46" s="64">
        <v>76.89</v>
      </c>
      <c r="N46" s="64">
        <v>543.1</v>
      </c>
      <c r="O46" s="64">
        <v>0</v>
      </c>
      <c r="P46" s="64">
        <v>0.26</v>
      </c>
      <c r="Q46" s="64">
        <v>8.99</v>
      </c>
      <c r="R46" s="198"/>
      <c r="S46" s="198"/>
      <c r="T46" s="198"/>
      <c r="U46" s="198"/>
    </row>
    <row r="47" spans="1:21" s="12" customFormat="1" x14ac:dyDescent="0.25">
      <c r="A47" s="211" t="s">
        <v>2782</v>
      </c>
      <c r="B47" s="64">
        <v>5.56</v>
      </c>
      <c r="C47" s="64">
        <v>9.81</v>
      </c>
      <c r="D47" s="64">
        <v>9.58</v>
      </c>
      <c r="E47" s="64">
        <v>6.32</v>
      </c>
      <c r="F47" s="64">
        <v>7.58</v>
      </c>
      <c r="G47" s="64">
        <v>37.08</v>
      </c>
      <c r="H47" s="64">
        <v>15.5</v>
      </c>
      <c r="I47" s="64">
        <v>1.2</v>
      </c>
      <c r="J47" s="64">
        <v>1.02</v>
      </c>
      <c r="K47" s="64">
        <v>114.09</v>
      </c>
      <c r="L47" s="64">
        <v>27.22</v>
      </c>
      <c r="M47" s="64">
        <v>80.8</v>
      </c>
      <c r="N47" s="64">
        <v>509.8</v>
      </c>
      <c r="O47" s="64">
        <v>0</v>
      </c>
      <c r="P47" s="64">
        <v>0.22</v>
      </c>
      <c r="Q47" s="64">
        <v>8.99</v>
      </c>
      <c r="R47" s="198"/>
      <c r="S47" s="198"/>
      <c r="T47" s="198"/>
      <c r="U47" s="198"/>
    </row>
    <row r="48" spans="1:21" s="12" customFormat="1" x14ac:dyDescent="0.25">
      <c r="A48" s="211" t="s">
        <v>2783</v>
      </c>
      <c r="B48" s="64">
        <v>5.61</v>
      </c>
      <c r="C48" s="64">
        <v>9.65</v>
      </c>
      <c r="D48" s="64">
        <v>9.5399999999999991</v>
      </c>
      <c r="E48" s="64">
        <v>6.31</v>
      </c>
      <c r="F48" s="64">
        <v>8.5500000000000007</v>
      </c>
      <c r="G48" s="64">
        <v>37.08</v>
      </c>
      <c r="H48" s="64">
        <v>15.5</v>
      </c>
      <c r="I48" s="64">
        <v>1.18</v>
      </c>
      <c r="J48" s="64">
        <v>0.9</v>
      </c>
      <c r="K48" s="64">
        <v>122.6</v>
      </c>
      <c r="L48" s="64">
        <v>27.86</v>
      </c>
      <c r="M48" s="64">
        <v>78.48</v>
      </c>
      <c r="N48" s="64">
        <v>690.5</v>
      </c>
      <c r="O48" s="64">
        <v>0</v>
      </c>
      <c r="P48" s="64">
        <v>0.2</v>
      </c>
      <c r="Q48" s="64">
        <v>8.98</v>
      </c>
      <c r="R48" s="198"/>
      <c r="S48" s="198"/>
      <c r="T48" s="198"/>
      <c r="U48" s="198"/>
    </row>
    <row r="49" spans="1:21" s="12" customFormat="1" x14ac:dyDescent="0.25">
      <c r="A49" s="211" t="s">
        <v>2784</v>
      </c>
      <c r="B49" s="64">
        <v>7.9</v>
      </c>
      <c r="C49" s="64">
        <v>9.25</v>
      </c>
      <c r="D49" s="64">
        <v>11.16</v>
      </c>
      <c r="E49" s="64">
        <v>5.71</v>
      </c>
      <c r="F49" s="64">
        <v>7.02</v>
      </c>
      <c r="G49" s="64">
        <v>33.46</v>
      </c>
      <c r="H49" s="64">
        <v>14.45</v>
      </c>
      <c r="I49" s="64">
        <v>1.21</v>
      </c>
      <c r="J49" s="64">
        <v>1.21</v>
      </c>
      <c r="K49" s="64">
        <v>119.28</v>
      </c>
      <c r="L49" s="64">
        <v>28.16</v>
      </c>
      <c r="M49" s="64">
        <v>75.84</v>
      </c>
      <c r="N49" s="64">
        <v>756.5</v>
      </c>
      <c r="O49" s="64">
        <v>0</v>
      </c>
      <c r="P49" s="64">
        <v>0.17</v>
      </c>
      <c r="Q49" s="64">
        <v>8.98</v>
      </c>
      <c r="R49" s="198"/>
      <c r="S49" s="198"/>
      <c r="T49" s="198"/>
      <c r="U49" s="198"/>
    </row>
    <row r="50" spans="1:21" s="12" customFormat="1" x14ac:dyDescent="0.25">
      <c r="A50" s="211" t="s">
        <v>2785</v>
      </c>
      <c r="B50" s="64">
        <v>5.57</v>
      </c>
      <c r="C50" s="64">
        <v>8.43</v>
      </c>
      <c r="D50" s="64">
        <v>8.8699999999999992</v>
      </c>
      <c r="E50" s="64">
        <v>5.97</v>
      </c>
      <c r="F50" s="64">
        <v>7.29</v>
      </c>
      <c r="G50" s="64">
        <v>32.49</v>
      </c>
      <c r="H50" s="64">
        <v>14.45</v>
      </c>
      <c r="I50" s="64">
        <v>1.06</v>
      </c>
      <c r="J50" s="64">
        <v>1.0900000000000001</v>
      </c>
      <c r="K50" s="64">
        <v>119.79</v>
      </c>
      <c r="L50" s="64">
        <v>28.13</v>
      </c>
      <c r="M50" s="64">
        <v>74.510000000000005</v>
      </c>
      <c r="N50" s="64">
        <v>657.8</v>
      </c>
      <c r="O50" s="64">
        <v>0</v>
      </c>
      <c r="P50" s="64">
        <v>0.15</v>
      </c>
      <c r="Q50" s="64">
        <v>8.98</v>
      </c>
      <c r="R50" s="198"/>
      <c r="S50" s="198"/>
      <c r="T50" s="198"/>
      <c r="U50" s="198"/>
    </row>
    <row r="51" spans="1:21" s="12" customFormat="1" x14ac:dyDescent="0.25">
      <c r="A51" s="211" t="s">
        <v>2786</v>
      </c>
      <c r="B51" s="64">
        <v>5.67</v>
      </c>
      <c r="C51" s="64">
        <v>8.59</v>
      </c>
      <c r="D51" s="64">
        <v>9.0299999999999994</v>
      </c>
      <c r="E51" s="64">
        <v>5.59</v>
      </c>
      <c r="F51" s="64">
        <v>5.58</v>
      </c>
      <c r="G51" s="64">
        <v>32.49</v>
      </c>
      <c r="H51" s="64">
        <v>14.45</v>
      </c>
      <c r="I51" s="64">
        <v>0.98</v>
      </c>
      <c r="J51" s="64">
        <v>1.23</v>
      </c>
      <c r="K51" s="64">
        <v>117.8</v>
      </c>
      <c r="L51" s="64">
        <v>28.24</v>
      </c>
      <c r="M51" s="64">
        <v>69.41</v>
      </c>
      <c r="N51" s="64">
        <v>660.2</v>
      </c>
      <c r="O51" s="64">
        <v>0</v>
      </c>
      <c r="P51" s="64">
        <v>0.14000000000000001</v>
      </c>
      <c r="Q51" s="64">
        <v>8.9700000000000006</v>
      </c>
      <c r="R51" s="198"/>
      <c r="S51" s="198"/>
      <c r="T51" s="198"/>
      <c r="U51" s="198"/>
    </row>
    <row r="52" spans="1:21" s="12" customFormat="1" x14ac:dyDescent="0.25">
      <c r="A52" s="211" t="s">
        <v>2787</v>
      </c>
      <c r="B52" s="64">
        <v>5.7</v>
      </c>
      <c r="C52" s="64">
        <v>8.89</v>
      </c>
      <c r="D52" s="64">
        <v>9.2200000000000006</v>
      </c>
      <c r="E52" s="64">
        <v>5.67</v>
      </c>
      <c r="F52" s="64">
        <v>5.94</v>
      </c>
      <c r="G52" s="64">
        <v>32.49</v>
      </c>
      <c r="H52" s="64">
        <v>14.45</v>
      </c>
      <c r="I52" s="64">
        <v>1</v>
      </c>
      <c r="J52" s="64">
        <v>1.27</v>
      </c>
      <c r="K52" s="64">
        <v>120.39</v>
      </c>
      <c r="L52" s="64">
        <v>28.11</v>
      </c>
      <c r="M52" s="64">
        <v>69.91</v>
      </c>
      <c r="N52" s="64">
        <v>562.79999999999995</v>
      </c>
      <c r="O52" s="64">
        <v>0</v>
      </c>
      <c r="P52" s="64">
        <v>0.13</v>
      </c>
      <c r="Q52" s="64">
        <v>8.9700000000000006</v>
      </c>
      <c r="R52" s="198"/>
      <c r="S52" s="198"/>
      <c r="T52" s="198"/>
      <c r="U52" s="198"/>
    </row>
    <row r="53" spans="1:21" s="12" customFormat="1" x14ac:dyDescent="0.25">
      <c r="A53" s="211" t="s">
        <v>2788</v>
      </c>
      <c r="B53" s="64">
        <v>5.58</v>
      </c>
      <c r="C53" s="64">
        <v>9.0500000000000007</v>
      </c>
      <c r="D53" s="64">
        <v>9.1999999999999993</v>
      </c>
      <c r="E53" s="64">
        <v>5.8</v>
      </c>
      <c r="F53" s="64">
        <v>4.6500000000000004</v>
      </c>
      <c r="G53" s="64">
        <v>42.5</v>
      </c>
      <c r="H53" s="64">
        <v>13.35</v>
      </c>
      <c r="I53" s="64">
        <v>0.99</v>
      </c>
      <c r="J53" s="64">
        <v>0.72</v>
      </c>
      <c r="K53" s="64">
        <v>113.85</v>
      </c>
      <c r="L53" s="64">
        <v>28.34</v>
      </c>
      <c r="M53" s="64">
        <v>68.510000000000005</v>
      </c>
      <c r="N53" s="64">
        <v>555.4</v>
      </c>
      <c r="O53" s="64">
        <v>0</v>
      </c>
      <c r="P53" s="64">
        <v>0.14000000000000001</v>
      </c>
      <c r="Q53" s="64">
        <v>8.98</v>
      </c>
      <c r="R53" s="198"/>
      <c r="S53" s="198"/>
      <c r="T53" s="198"/>
      <c r="U53" s="198"/>
    </row>
    <row r="54" spans="1:21" s="12" customFormat="1" x14ac:dyDescent="0.25">
      <c r="A54" s="211" t="s">
        <v>2789</v>
      </c>
      <c r="B54" s="64">
        <v>5.56</v>
      </c>
      <c r="C54" s="64">
        <v>8.59</v>
      </c>
      <c r="D54" s="64">
        <v>8.9499999999999993</v>
      </c>
      <c r="E54" s="64">
        <v>5.61</v>
      </c>
      <c r="F54" s="64">
        <v>4.8899999999999997</v>
      </c>
      <c r="G54" s="64">
        <v>45.18</v>
      </c>
      <c r="H54" s="64">
        <v>13.35</v>
      </c>
      <c r="I54" s="64">
        <v>0.94</v>
      </c>
      <c r="J54" s="64">
        <v>1.41</v>
      </c>
      <c r="K54" s="64">
        <v>117.38</v>
      </c>
      <c r="L54" s="64">
        <v>28.3</v>
      </c>
      <c r="M54" s="64">
        <v>66.680000000000007</v>
      </c>
      <c r="N54" s="64">
        <v>674.7</v>
      </c>
      <c r="O54" s="64">
        <v>0</v>
      </c>
      <c r="P54" s="64">
        <v>0.13</v>
      </c>
      <c r="Q54" s="64">
        <v>8.99</v>
      </c>
      <c r="R54" s="198"/>
      <c r="S54" s="198"/>
      <c r="T54" s="198"/>
      <c r="U54" s="198"/>
    </row>
    <row r="55" spans="1:21" s="12" customFormat="1" x14ac:dyDescent="0.25">
      <c r="A55" s="211" t="s">
        <v>2790</v>
      </c>
      <c r="B55" s="64">
        <v>5.59</v>
      </c>
      <c r="C55" s="64">
        <v>8.8699999999999992</v>
      </c>
      <c r="D55" s="64">
        <v>9.1199999999999992</v>
      </c>
      <c r="E55" s="64">
        <v>5.78</v>
      </c>
      <c r="F55" s="64">
        <v>6.38</v>
      </c>
      <c r="G55" s="64">
        <v>45.18</v>
      </c>
      <c r="H55" s="64">
        <v>13.35</v>
      </c>
      <c r="I55" s="64">
        <v>0.92</v>
      </c>
      <c r="J55" s="64">
        <v>0.87</v>
      </c>
      <c r="K55" s="64">
        <v>125.32</v>
      </c>
      <c r="L55" s="64">
        <v>29.25</v>
      </c>
      <c r="M55" s="64">
        <v>62.1</v>
      </c>
      <c r="N55" s="64">
        <v>822.5</v>
      </c>
      <c r="O55" s="64">
        <v>0</v>
      </c>
      <c r="P55" s="64">
        <v>0.11</v>
      </c>
      <c r="Q55" s="64">
        <v>9</v>
      </c>
      <c r="R55" s="198"/>
      <c r="S55" s="198"/>
      <c r="T55" s="198"/>
      <c r="U55" s="198"/>
    </row>
    <row r="56" spans="1:21" s="12" customFormat="1" x14ac:dyDescent="0.25">
      <c r="A56" s="211" t="s">
        <v>2791</v>
      </c>
      <c r="B56" s="64">
        <v>5.34</v>
      </c>
      <c r="C56" s="64">
        <v>8.8699999999999992</v>
      </c>
      <c r="D56" s="64">
        <v>8.92</v>
      </c>
      <c r="E56" s="64">
        <v>5.59</v>
      </c>
      <c r="F56" s="64">
        <v>5.0999999999999996</v>
      </c>
      <c r="G56" s="64">
        <v>45.18</v>
      </c>
      <c r="H56" s="64">
        <v>13.35</v>
      </c>
      <c r="I56" s="64">
        <v>0.83</v>
      </c>
      <c r="J56" s="64">
        <v>1.04</v>
      </c>
      <c r="K56" s="64">
        <v>123.07</v>
      </c>
      <c r="L56" s="64">
        <v>29.43</v>
      </c>
      <c r="M56" s="64">
        <v>60.38</v>
      </c>
      <c r="N56" s="64">
        <v>707.5</v>
      </c>
      <c r="O56" s="64">
        <v>0</v>
      </c>
      <c r="P56" s="64">
        <v>0.11</v>
      </c>
      <c r="Q56" s="64">
        <v>8.9700000000000006</v>
      </c>
      <c r="R56" s="198"/>
      <c r="S56" s="198"/>
      <c r="T56" s="198"/>
      <c r="U56" s="198"/>
    </row>
    <row r="57" spans="1:21" s="12" customFormat="1" x14ac:dyDescent="0.25">
      <c r="A57" s="211" t="s">
        <v>2792</v>
      </c>
      <c r="B57" s="64">
        <v>5.57</v>
      </c>
      <c r="C57" s="64">
        <v>8.6199999999999992</v>
      </c>
      <c r="D57" s="64">
        <v>8.9700000000000006</v>
      </c>
      <c r="E57" s="64">
        <v>5.7</v>
      </c>
      <c r="F57" s="64">
        <v>5.42</v>
      </c>
      <c r="G57" s="64">
        <v>36.78</v>
      </c>
      <c r="H57" s="64">
        <v>12.64</v>
      </c>
      <c r="I57" s="64">
        <v>0.68</v>
      </c>
      <c r="J57" s="64">
        <v>1.01</v>
      </c>
      <c r="K57" s="64">
        <v>126.9</v>
      </c>
      <c r="L57" s="64">
        <v>29.25</v>
      </c>
      <c r="M57" s="64">
        <v>61.62</v>
      </c>
      <c r="N57" s="64">
        <v>719.6</v>
      </c>
      <c r="O57" s="64">
        <v>0</v>
      </c>
      <c r="P57" s="64">
        <v>0.12</v>
      </c>
      <c r="Q57" s="64">
        <v>8.9600000000000009</v>
      </c>
      <c r="R57" s="198"/>
      <c r="S57" s="198"/>
      <c r="T57" s="198"/>
      <c r="U57" s="198"/>
    </row>
    <row r="58" spans="1:21" s="12" customFormat="1" x14ac:dyDescent="0.25">
      <c r="A58" s="211" t="s">
        <v>2793</v>
      </c>
      <c r="B58" s="64">
        <v>5.57</v>
      </c>
      <c r="C58" s="64">
        <v>8.31</v>
      </c>
      <c r="D58" s="64">
        <v>8.8000000000000007</v>
      </c>
      <c r="E58" s="64">
        <v>5.32</v>
      </c>
      <c r="F58" s="64">
        <v>3.97</v>
      </c>
      <c r="G58" s="64">
        <v>34.54</v>
      </c>
      <c r="H58" s="64">
        <v>12.64</v>
      </c>
      <c r="I58" s="64">
        <v>0.66</v>
      </c>
      <c r="J58" s="64">
        <v>1.44</v>
      </c>
      <c r="K58" s="64">
        <v>126.07</v>
      </c>
      <c r="L58" s="64">
        <v>28.93</v>
      </c>
      <c r="M58" s="64">
        <v>60.71</v>
      </c>
      <c r="N58" s="64">
        <v>544.6</v>
      </c>
      <c r="O58" s="64">
        <v>0</v>
      </c>
      <c r="P58" s="64">
        <v>0.1</v>
      </c>
      <c r="Q58" s="64">
        <v>8.9600000000000009</v>
      </c>
      <c r="R58" s="198"/>
      <c r="S58" s="198"/>
      <c r="T58" s="198"/>
      <c r="U58" s="198"/>
    </row>
    <row r="59" spans="1:21" s="12" customFormat="1" x14ac:dyDescent="0.25">
      <c r="A59" s="211" t="s">
        <v>2794</v>
      </c>
      <c r="B59" s="64">
        <v>5.75</v>
      </c>
      <c r="C59" s="64">
        <v>8.5500000000000007</v>
      </c>
      <c r="D59" s="64">
        <v>9.08</v>
      </c>
      <c r="E59" s="64">
        <v>5.18</v>
      </c>
      <c r="F59" s="64">
        <v>5.85</v>
      </c>
      <c r="G59" s="64">
        <v>34.54</v>
      </c>
      <c r="H59" s="64">
        <v>12.64</v>
      </c>
      <c r="I59" s="64">
        <v>0.69</v>
      </c>
      <c r="J59" s="64">
        <v>1.1399999999999999</v>
      </c>
      <c r="K59" s="64">
        <v>115.43</v>
      </c>
      <c r="L59" s="64">
        <v>28.82</v>
      </c>
      <c r="M59" s="64">
        <v>60.61</v>
      </c>
      <c r="N59" s="64">
        <v>559.9</v>
      </c>
      <c r="O59" s="64">
        <v>0</v>
      </c>
      <c r="P59" s="64">
        <v>0.1</v>
      </c>
      <c r="Q59" s="64">
        <v>8.9600000000000009</v>
      </c>
      <c r="R59" s="198"/>
      <c r="S59" s="198"/>
      <c r="T59" s="198"/>
      <c r="U59" s="198"/>
    </row>
    <row r="60" spans="1:21" s="12" customFormat="1" x14ac:dyDescent="0.25">
      <c r="A60" s="211" t="s">
        <v>2795</v>
      </c>
      <c r="B60" s="64">
        <v>5.98</v>
      </c>
      <c r="C60" s="64">
        <v>8.91</v>
      </c>
      <c r="D60" s="64">
        <v>9.4499999999999993</v>
      </c>
      <c r="E60" s="64">
        <v>5.36</v>
      </c>
      <c r="F60" s="64">
        <v>6.47</v>
      </c>
      <c r="G60" s="64">
        <v>34.54</v>
      </c>
      <c r="H60" s="64">
        <v>12.64</v>
      </c>
      <c r="I60" s="64">
        <v>0.7</v>
      </c>
      <c r="J60" s="64">
        <v>0.8</v>
      </c>
      <c r="K60" s="64">
        <v>107.63</v>
      </c>
      <c r="L60" s="64">
        <v>29.15</v>
      </c>
      <c r="M60" s="64">
        <v>58.77</v>
      </c>
      <c r="N60" s="64">
        <v>597.6</v>
      </c>
      <c r="O60" s="64">
        <v>0</v>
      </c>
      <c r="P60" s="64">
        <v>0.1</v>
      </c>
      <c r="Q60" s="64">
        <v>8.9499999999999993</v>
      </c>
      <c r="R60" s="198"/>
      <c r="S60" s="198"/>
      <c r="T60" s="198"/>
      <c r="U60" s="198"/>
    </row>
    <row r="61" spans="1:21" s="12" customFormat="1" x14ac:dyDescent="0.25">
      <c r="A61" s="211" t="s">
        <v>2796</v>
      </c>
      <c r="B61" s="64">
        <v>6.79</v>
      </c>
      <c r="C61" s="64">
        <v>8.09</v>
      </c>
      <c r="D61" s="64">
        <v>9.6300000000000008</v>
      </c>
      <c r="E61" s="64">
        <v>5.48</v>
      </c>
      <c r="F61" s="64">
        <v>6.34</v>
      </c>
      <c r="G61" s="64">
        <v>23.96</v>
      </c>
      <c r="H61" s="64">
        <v>15.5</v>
      </c>
      <c r="I61" s="64">
        <v>0.69</v>
      </c>
      <c r="J61" s="64">
        <v>0.44</v>
      </c>
      <c r="K61" s="64">
        <v>130.46</v>
      </c>
      <c r="L61" s="64">
        <v>29.62</v>
      </c>
      <c r="M61" s="64">
        <v>61.07</v>
      </c>
      <c r="N61" s="64">
        <v>488.4</v>
      </c>
      <c r="O61" s="64">
        <v>0</v>
      </c>
      <c r="P61" s="64">
        <v>0.21</v>
      </c>
      <c r="Q61" s="64">
        <v>8.9499999999999993</v>
      </c>
      <c r="R61" s="198"/>
      <c r="S61" s="198"/>
      <c r="T61" s="198"/>
      <c r="U61" s="198"/>
    </row>
    <row r="62" spans="1:21" s="12" customFormat="1" x14ac:dyDescent="0.25">
      <c r="A62" s="211" t="s">
        <v>2797</v>
      </c>
      <c r="B62" s="64">
        <v>7.73</v>
      </c>
      <c r="C62" s="64">
        <v>10.82</v>
      </c>
      <c r="D62" s="64">
        <v>11.85</v>
      </c>
      <c r="E62" s="64">
        <v>5.33</v>
      </c>
      <c r="F62" s="64">
        <v>4.7699999999999996</v>
      </c>
      <c r="G62" s="64">
        <v>21.13</v>
      </c>
      <c r="H62" s="64">
        <v>15.5</v>
      </c>
      <c r="I62" s="64">
        <v>0.7</v>
      </c>
      <c r="J62" s="64">
        <v>0.62</v>
      </c>
      <c r="K62" s="64">
        <v>114.72</v>
      </c>
      <c r="L62" s="64">
        <v>29.72</v>
      </c>
      <c r="M62" s="64">
        <v>58.56</v>
      </c>
      <c r="N62" s="64">
        <v>289.39999999999998</v>
      </c>
      <c r="O62" s="64">
        <v>0</v>
      </c>
      <c r="P62" s="64">
        <v>0.26</v>
      </c>
      <c r="Q62" s="64">
        <v>8.94</v>
      </c>
      <c r="R62" s="198"/>
      <c r="S62" s="198"/>
      <c r="T62" s="198"/>
      <c r="U62" s="198"/>
    </row>
    <row r="63" spans="1:21" s="12" customFormat="1" x14ac:dyDescent="0.25">
      <c r="A63" s="211" t="s">
        <v>2798</v>
      </c>
      <c r="B63" s="64">
        <v>6.11</v>
      </c>
      <c r="C63" s="64">
        <v>9.75</v>
      </c>
      <c r="D63" s="64">
        <v>9.99</v>
      </c>
      <c r="E63" s="64">
        <v>4.99</v>
      </c>
      <c r="F63" s="64">
        <v>6.91</v>
      </c>
      <c r="G63" s="64">
        <v>21.13</v>
      </c>
      <c r="H63" s="64">
        <v>15.5</v>
      </c>
      <c r="I63" s="64">
        <v>0.71</v>
      </c>
      <c r="J63" s="64">
        <v>1.02</v>
      </c>
      <c r="K63" s="64">
        <v>118.87</v>
      </c>
      <c r="L63" s="64">
        <v>28.67</v>
      </c>
      <c r="M63" s="64">
        <v>62.68</v>
      </c>
      <c r="N63" s="64">
        <v>227.9</v>
      </c>
      <c r="O63" s="64">
        <v>0</v>
      </c>
      <c r="P63" s="64">
        <v>0.22</v>
      </c>
      <c r="Q63" s="64">
        <v>8.94</v>
      </c>
      <c r="R63" s="198"/>
      <c r="S63" s="198"/>
      <c r="T63" s="198"/>
      <c r="U63" s="198"/>
    </row>
    <row r="64" spans="1:21" s="12" customFormat="1" x14ac:dyDescent="0.25">
      <c r="A64" s="211" t="s">
        <v>2799</v>
      </c>
      <c r="B64" s="64">
        <v>7.16</v>
      </c>
      <c r="C64" s="64">
        <v>9.36</v>
      </c>
      <c r="D64" s="64">
        <v>10.63</v>
      </c>
      <c r="E64" s="64">
        <v>5.35</v>
      </c>
      <c r="F64" s="64">
        <v>7.73</v>
      </c>
      <c r="G64" s="64">
        <v>21.13</v>
      </c>
      <c r="H64" s="64">
        <v>15.5</v>
      </c>
      <c r="I64" s="64">
        <v>0.75</v>
      </c>
      <c r="J64" s="64">
        <v>0.69</v>
      </c>
      <c r="K64" s="64">
        <v>126.47</v>
      </c>
      <c r="L64" s="64">
        <v>29.05</v>
      </c>
      <c r="M64" s="64">
        <v>61.85</v>
      </c>
      <c r="N64" s="64">
        <v>172.7</v>
      </c>
      <c r="O64" s="64">
        <v>0</v>
      </c>
      <c r="P64" s="64">
        <v>0.24</v>
      </c>
      <c r="Q64" s="64">
        <v>8.94</v>
      </c>
      <c r="R64" s="198"/>
      <c r="S64" s="198"/>
      <c r="T64" s="198"/>
      <c r="U64" s="198"/>
    </row>
    <row r="65" spans="1:21" s="12" customFormat="1" x14ac:dyDescent="0.25">
      <c r="A65" s="211" t="s">
        <v>2800</v>
      </c>
      <c r="B65" s="64">
        <v>6.43</v>
      </c>
      <c r="C65" s="64">
        <v>9.11</v>
      </c>
      <c r="D65" s="64">
        <v>9.91</v>
      </c>
      <c r="E65" s="64">
        <v>5.51</v>
      </c>
      <c r="F65" s="64">
        <v>7.69</v>
      </c>
      <c r="G65" s="64">
        <v>18.43</v>
      </c>
      <c r="H65" s="64">
        <v>15.69</v>
      </c>
      <c r="I65" s="64">
        <v>0.75</v>
      </c>
      <c r="J65" s="64">
        <v>1.29</v>
      </c>
      <c r="K65" s="64">
        <v>131.52000000000001</v>
      </c>
      <c r="L65" s="64">
        <v>28.59</v>
      </c>
      <c r="M65" s="64">
        <v>64.3</v>
      </c>
      <c r="N65" s="64">
        <v>168.1</v>
      </c>
      <c r="O65" s="64">
        <v>0</v>
      </c>
      <c r="P65" s="64">
        <v>0.23</v>
      </c>
      <c r="Q65" s="64">
        <v>8.9499999999999993</v>
      </c>
      <c r="R65" s="198"/>
      <c r="S65" s="198"/>
      <c r="T65" s="198"/>
      <c r="U65" s="198"/>
    </row>
    <row r="66" spans="1:21" s="12" customFormat="1" x14ac:dyDescent="0.25">
      <c r="A66" s="211" t="s">
        <v>2801</v>
      </c>
      <c r="B66" s="64">
        <v>6.21</v>
      </c>
      <c r="C66" s="64">
        <v>10.31</v>
      </c>
      <c r="D66" s="64">
        <v>10.37</v>
      </c>
      <c r="E66" s="64">
        <v>5.36</v>
      </c>
      <c r="F66" s="64">
        <v>5.38</v>
      </c>
      <c r="G66" s="64">
        <v>17.71</v>
      </c>
      <c r="H66" s="64">
        <v>15.69</v>
      </c>
      <c r="I66" s="64">
        <v>0.73</v>
      </c>
      <c r="J66" s="64">
        <v>0.91</v>
      </c>
      <c r="K66" s="64">
        <v>123.51</v>
      </c>
      <c r="L66" s="64">
        <v>28.39</v>
      </c>
      <c r="M66" s="64">
        <v>64.75</v>
      </c>
      <c r="N66" s="64">
        <v>187.1</v>
      </c>
      <c r="O66" s="64">
        <v>0</v>
      </c>
      <c r="P66" s="64">
        <v>0.22</v>
      </c>
      <c r="Q66" s="64">
        <v>8.9700000000000006</v>
      </c>
      <c r="R66" s="198"/>
      <c r="S66" s="198"/>
      <c r="T66" s="198"/>
      <c r="U66" s="198"/>
    </row>
    <row r="67" spans="1:21" s="12" customFormat="1" x14ac:dyDescent="0.25">
      <c r="A67" s="211" t="s">
        <v>2802</v>
      </c>
      <c r="B67" s="64">
        <v>6.37</v>
      </c>
      <c r="C67" s="64">
        <v>9.27</v>
      </c>
      <c r="D67" s="64">
        <v>9.9499999999999993</v>
      </c>
      <c r="E67" s="64">
        <v>5.38</v>
      </c>
      <c r="F67" s="64">
        <v>5.18</v>
      </c>
      <c r="G67" s="64">
        <v>17.71</v>
      </c>
      <c r="H67" s="64">
        <v>15.69</v>
      </c>
      <c r="I67" s="64">
        <v>0.71</v>
      </c>
      <c r="J67" s="64">
        <v>1.2</v>
      </c>
      <c r="K67" s="64">
        <v>123.42</v>
      </c>
      <c r="L67" s="64">
        <v>28.17</v>
      </c>
      <c r="M67" s="64">
        <v>65.45</v>
      </c>
      <c r="N67" s="64">
        <v>162.4</v>
      </c>
      <c r="O67" s="64">
        <v>0</v>
      </c>
      <c r="P67" s="64">
        <v>0.2</v>
      </c>
      <c r="Q67" s="64">
        <v>8.99</v>
      </c>
      <c r="R67" s="198"/>
      <c r="S67" s="198"/>
      <c r="T67" s="198"/>
      <c r="U67" s="198"/>
    </row>
    <row r="68" spans="1:21" s="12" customFormat="1" x14ac:dyDescent="0.25">
      <c r="A68" s="211" t="s">
        <v>2803</v>
      </c>
      <c r="B68" s="64">
        <v>6.59</v>
      </c>
      <c r="C68" s="64">
        <v>9.3800000000000008</v>
      </c>
      <c r="D68" s="64">
        <v>10.19</v>
      </c>
      <c r="E68" s="64">
        <v>5.4</v>
      </c>
      <c r="F68" s="64">
        <v>4.8</v>
      </c>
      <c r="G68" s="64">
        <v>17.71</v>
      </c>
      <c r="H68" s="64">
        <v>15.69</v>
      </c>
      <c r="I68" s="64">
        <v>0.73</v>
      </c>
      <c r="J68" s="64">
        <v>0.45</v>
      </c>
      <c r="K68" s="64">
        <v>123.64</v>
      </c>
      <c r="L68" s="64">
        <v>28.22</v>
      </c>
      <c r="M68" s="64">
        <v>66.069999999999993</v>
      </c>
      <c r="N68" s="64">
        <v>142.80000000000001</v>
      </c>
      <c r="O68" s="64">
        <v>0</v>
      </c>
      <c r="P68" s="64">
        <v>0.22</v>
      </c>
      <c r="Q68" s="64">
        <v>9</v>
      </c>
      <c r="R68" s="198"/>
      <c r="S68" s="198"/>
      <c r="T68" s="198"/>
      <c r="U68" s="198"/>
    </row>
    <row r="69" spans="1:21" s="12" customFormat="1" x14ac:dyDescent="0.25">
      <c r="A69" s="211" t="s">
        <v>2804</v>
      </c>
      <c r="B69" s="64">
        <v>5.79</v>
      </c>
      <c r="C69" s="64">
        <v>9.39</v>
      </c>
      <c r="D69" s="64">
        <v>9.5500000000000007</v>
      </c>
      <c r="E69" s="64">
        <v>5.32</v>
      </c>
      <c r="F69" s="64">
        <v>3.65</v>
      </c>
      <c r="G69" s="64">
        <v>0</v>
      </c>
      <c r="H69" s="64">
        <v>15.69</v>
      </c>
      <c r="I69" s="64">
        <v>0.73</v>
      </c>
      <c r="J69" s="64">
        <v>1.19</v>
      </c>
      <c r="K69" s="64">
        <v>124.96</v>
      </c>
      <c r="L69" s="64">
        <v>22.5</v>
      </c>
      <c r="M69" s="64">
        <v>65.38</v>
      </c>
      <c r="N69" s="64">
        <v>141.4</v>
      </c>
      <c r="O69" s="64">
        <v>0</v>
      </c>
      <c r="P69" s="64">
        <v>0.21</v>
      </c>
      <c r="Q69" s="64">
        <v>0</v>
      </c>
      <c r="R69" s="198"/>
      <c r="S69" s="198"/>
      <c r="T69" s="198"/>
      <c r="U69" s="198"/>
    </row>
    <row r="70" spans="1:21" s="12" customFormat="1" x14ac:dyDescent="0.25">
      <c r="A70" s="211" t="s">
        <v>2805</v>
      </c>
      <c r="B70" s="64">
        <v>15.11</v>
      </c>
      <c r="C70" s="64">
        <v>12.62</v>
      </c>
      <c r="D70" s="64">
        <v>18.71</v>
      </c>
      <c r="E70" s="64">
        <v>5.69</v>
      </c>
      <c r="F70" s="64">
        <v>6.7</v>
      </c>
      <c r="G70" s="64">
        <v>11.34</v>
      </c>
      <c r="H70" s="64">
        <v>7.29</v>
      </c>
      <c r="I70" s="64">
        <v>0.76</v>
      </c>
      <c r="J70" s="64">
        <v>1.1599999999999999</v>
      </c>
      <c r="K70" s="64">
        <v>121.93</v>
      </c>
      <c r="L70" s="64">
        <v>28.07</v>
      </c>
      <c r="M70" s="64">
        <v>67.239999999999995</v>
      </c>
      <c r="N70" s="64">
        <v>113.8</v>
      </c>
      <c r="O70" s="64">
        <v>0</v>
      </c>
      <c r="P70" s="64">
        <v>0.3</v>
      </c>
      <c r="Q70" s="64">
        <v>0</v>
      </c>
      <c r="R70" s="198"/>
      <c r="S70" s="198"/>
      <c r="T70" s="198"/>
      <c r="U70" s="198"/>
    </row>
    <row r="71" spans="1:21" s="12" customFormat="1" x14ac:dyDescent="0.25">
      <c r="A71" s="211" t="s">
        <v>2806</v>
      </c>
      <c r="B71" s="64">
        <v>14.18</v>
      </c>
      <c r="C71" s="64">
        <v>10.88</v>
      </c>
      <c r="D71" s="64">
        <v>17.059999999999999</v>
      </c>
      <c r="E71" s="64">
        <v>6.01</v>
      </c>
      <c r="F71" s="64">
        <v>4.55</v>
      </c>
      <c r="G71" s="64">
        <v>11.34</v>
      </c>
      <c r="H71" s="64">
        <v>7.29</v>
      </c>
      <c r="I71" s="64">
        <v>0.79</v>
      </c>
      <c r="J71" s="64">
        <v>1.06</v>
      </c>
      <c r="K71" s="64">
        <v>128.5</v>
      </c>
      <c r="L71" s="64">
        <v>27.94</v>
      </c>
      <c r="M71" s="64">
        <v>67.930000000000007</v>
      </c>
      <c r="N71" s="64">
        <v>102.9</v>
      </c>
      <c r="O71" s="64">
        <v>0</v>
      </c>
      <c r="P71" s="64">
        <v>0.32</v>
      </c>
      <c r="Q71" s="64">
        <v>9.34</v>
      </c>
      <c r="R71" s="198"/>
      <c r="S71" s="198"/>
      <c r="T71" s="198"/>
      <c r="U71" s="198"/>
    </row>
    <row r="72" spans="1:21" s="12" customFormat="1" x14ac:dyDescent="0.25">
      <c r="A72" s="211" t="s">
        <v>2807</v>
      </c>
      <c r="B72" s="64">
        <v>9.08</v>
      </c>
      <c r="C72" s="64">
        <v>9.4</v>
      </c>
      <c r="D72" s="64">
        <v>12.19</v>
      </c>
      <c r="E72" s="64">
        <v>5.49</v>
      </c>
      <c r="F72" s="64">
        <v>5.72</v>
      </c>
      <c r="G72" s="64">
        <v>11.34</v>
      </c>
      <c r="H72" s="64">
        <v>7.29</v>
      </c>
      <c r="I72" s="64">
        <v>0.85</v>
      </c>
      <c r="J72" s="64">
        <v>1.29</v>
      </c>
      <c r="K72" s="64">
        <v>126.56</v>
      </c>
      <c r="L72" s="64">
        <v>27.62</v>
      </c>
      <c r="M72" s="64">
        <v>69.34</v>
      </c>
      <c r="N72" s="64">
        <v>91.7</v>
      </c>
      <c r="O72" s="64">
        <v>0</v>
      </c>
      <c r="P72" s="64">
        <v>0.22</v>
      </c>
      <c r="Q72" s="64">
        <v>9.35</v>
      </c>
      <c r="R72" s="198"/>
      <c r="S72" s="198"/>
      <c r="T72" s="198"/>
      <c r="U72" s="198"/>
    </row>
    <row r="73" spans="1:21" s="12" customFormat="1" x14ac:dyDescent="0.25">
      <c r="A73" s="211" t="s">
        <v>2808</v>
      </c>
      <c r="B73" s="64">
        <v>10</v>
      </c>
      <c r="C73" s="64">
        <v>10.87</v>
      </c>
      <c r="D73" s="64">
        <v>13.7</v>
      </c>
      <c r="E73" s="64">
        <v>6.14</v>
      </c>
      <c r="F73" s="64">
        <v>4.18</v>
      </c>
      <c r="G73" s="64">
        <v>19.329999999999998</v>
      </c>
      <c r="H73" s="64">
        <v>9.8000000000000007</v>
      </c>
      <c r="I73" s="64">
        <v>0.86</v>
      </c>
      <c r="J73" s="64">
        <v>0.47</v>
      </c>
      <c r="K73" s="64">
        <v>126.29</v>
      </c>
      <c r="L73" s="64">
        <v>27.57</v>
      </c>
      <c r="M73" s="64">
        <v>71.08</v>
      </c>
      <c r="N73" s="64">
        <v>84.8</v>
      </c>
      <c r="O73" s="64">
        <v>0</v>
      </c>
      <c r="P73" s="64">
        <v>0.25</v>
      </c>
      <c r="Q73" s="64">
        <v>9.2799999999999994</v>
      </c>
      <c r="R73" s="198"/>
      <c r="S73" s="198"/>
      <c r="T73" s="198"/>
      <c r="U73" s="198"/>
    </row>
    <row r="74" spans="1:21" s="12" customFormat="1" x14ac:dyDescent="0.25">
      <c r="A74" s="211" t="s">
        <v>2809</v>
      </c>
      <c r="B74" s="64">
        <v>13.85</v>
      </c>
      <c r="C74" s="64">
        <v>9.94</v>
      </c>
      <c r="D74" s="64">
        <v>15.95</v>
      </c>
      <c r="E74" s="64">
        <v>5.65</v>
      </c>
      <c r="F74" s="64">
        <v>6.09</v>
      </c>
      <c r="G74" s="64">
        <v>21.62</v>
      </c>
      <c r="H74" s="64">
        <v>9.8000000000000007</v>
      </c>
      <c r="I74" s="64">
        <v>0.83</v>
      </c>
      <c r="J74" s="64">
        <v>0.61</v>
      </c>
      <c r="K74" s="64">
        <v>126.1</v>
      </c>
      <c r="L74" s="64">
        <v>27.48</v>
      </c>
      <c r="M74" s="64">
        <v>72.69</v>
      </c>
      <c r="N74" s="64">
        <v>76.7</v>
      </c>
      <c r="O74" s="64">
        <v>0</v>
      </c>
      <c r="P74" s="64">
        <v>0.27</v>
      </c>
      <c r="Q74" s="64">
        <v>9.24</v>
      </c>
      <c r="R74" s="198"/>
      <c r="S74" s="198"/>
      <c r="T74" s="198"/>
      <c r="U74" s="198"/>
    </row>
    <row r="75" spans="1:21" s="12" customFormat="1" x14ac:dyDescent="0.25">
      <c r="A75" s="211" t="s">
        <v>2810</v>
      </c>
      <c r="B75" s="64">
        <v>14.92</v>
      </c>
      <c r="C75" s="64">
        <v>10.4</v>
      </c>
      <c r="D75" s="64">
        <v>17.399999999999999</v>
      </c>
      <c r="E75" s="64">
        <v>5.87</v>
      </c>
      <c r="F75" s="64">
        <v>7.64</v>
      </c>
      <c r="G75" s="64">
        <v>21.62</v>
      </c>
      <c r="H75" s="64">
        <v>9.8000000000000007</v>
      </c>
      <c r="I75" s="64">
        <v>0.81</v>
      </c>
      <c r="J75" s="64">
        <v>0.33</v>
      </c>
      <c r="K75" s="64">
        <v>137.02000000000001</v>
      </c>
      <c r="L75" s="64">
        <v>27.27</v>
      </c>
      <c r="M75" s="64">
        <v>74.650000000000006</v>
      </c>
      <c r="N75" s="64">
        <v>68.2</v>
      </c>
      <c r="O75" s="64">
        <v>0</v>
      </c>
      <c r="P75" s="64">
        <v>0.36</v>
      </c>
      <c r="Q75" s="64">
        <v>9.23</v>
      </c>
      <c r="R75" s="198"/>
      <c r="S75" s="198"/>
      <c r="T75" s="198"/>
      <c r="U75" s="198"/>
    </row>
    <row r="76" spans="1:21" s="12" customFormat="1" x14ac:dyDescent="0.25">
      <c r="A76" s="211" t="s">
        <v>2811</v>
      </c>
      <c r="B76" s="64">
        <v>8.48</v>
      </c>
      <c r="C76" s="64">
        <v>8.15</v>
      </c>
      <c r="D76" s="64">
        <v>11.06</v>
      </c>
      <c r="E76" s="64">
        <v>5.34</v>
      </c>
      <c r="F76" s="64">
        <v>8.3800000000000008</v>
      </c>
      <c r="G76" s="64">
        <v>21.62</v>
      </c>
      <c r="H76" s="64">
        <v>9.8000000000000007</v>
      </c>
      <c r="I76" s="64">
        <v>0.83</v>
      </c>
      <c r="J76" s="64">
        <v>0.74</v>
      </c>
      <c r="K76" s="64">
        <v>126.7</v>
      </c>
      <c r="L76" s="64">
        <v>26.94</v>
      </c>
      <c r="M76" s="64">
        <v>76.849999999999994</v>
      </c>
      <c r="N76" s="64">
        <v>60</v>
      </c>
      <c r="O76" s="64">
        <v>0</v>
      </c>
      <c r="P76" s="64">
        <v>0.26</v>
      </c>
      <c r="Q76" s="64">
        <v>9.19</v>
      </c>
      <c r="R76" s="198"/>
      <c r="S76" s="198"/>
      <c r="T76" s="198"/>
      <c r="U76" s="198"/>
    </row>
    <row r="77" spans="1:21" s="12" customFormat="1" x14ac:dyDescent="0.25">
      <c r="A77" s="211" t="s">
        <v>2812</v>
      </c>
      <c r="B77" s="64">
        <v>7.32</v>
      </c>
      <c r="C77" s="64">
        <v>10.73</v>
      </c>
      <c r="D77" s="64">
        <v>11.4</v>
      </c>
      <c r="E77" s="64">
        <v>5.34</v>
      </c>
      <c r="F77" s="64">
        <v>6.23</v>
      </c>
      <c r="G77" s="64">
        <v>16.239999999999998</v>
      </c>
      <c r="H77" s="64">
        <v>12.45</v>
      </c>
      <c r="I77" s="64">
        <v>0.84</v>
      </c>
      <c r="J77" s="64">
        <v>0.27</v>
      </c>
      <c r="K77" s="64">
        <v>139.94</v>
      </c>
      <c r="L77" s="64">
        <v>26.75</v>
      </c>
      <c r="M77" s="64">
        <v>77.27</v>
      </c>
      <c r="N77" s="64">
        <v>51.1</v>
      </c>
      <c r="O77" s="64">
        <v>0</v>
      </c>
      <c r="P77" s="64">
        <v>0.28000000000000003</v>
      </c>
      <c r="Q77" s="64">
        <v>9.08</v>
      </c>
      <c r="R77" s="198"/>
      <c r="S77" s="198"/>
      <c r="T77" s="198"/>
      <c r="U77" s="198"/>
    </row>
    <row r="78" spans="1:21" s="12" customFormat="1" x14ac:dyDescent="0.25">
      <c r="A78" s="211" t="s">
        <v>2813</v>
      </c>
      <c r="B78" s="64">
        <v>10.5</v>
      </c>
      <c r="C78" s="64">
        <v>13.8</v>
      </c>
      <c r="D78" s="64">
        <v>15.39</v>
      </c>
      <c r="E78" s="64">
        <v>5.26</v>
      </c>
      <c r="F78" s="64">
        <v>3.91</v>
      </c>
      <c r="G78" s="64">
        <v>14.7</v>
      </c>
      <c r="H78" s="64">
        <v>12.45</v>
      </c>
      <c r="I78" s="64">
        <v>0.72</v>
      </c>
      <c r="J78" s="64">
        <v>0.38</v>
      </c>
      <c r="K78" s="64">
        <v>128.96</v>
      </c>
      <c r="L78" s="64">
        <v>26.54</v>
      </c>
      <c r="M78" s="64">
        <v>80.209999999999994</v>
      </c>
      <c r="N78" s="64">
        <v>45.2</v>
      </c>
      <c r="O78" s="64">
        <v>0</v>
      </c>
      <c r="P78" s="64">
        <v>0.42</v>
      </c>
      <c r="Q78" s="64">
        <v>9.0299999999999994</v>
      </c>
      <c r="R78" s="198"/>
      <c r="S78" s="198"/>
      <c r="T78" s="198"/>
      <c r="U78" s="198"/>
    </row>
    <row r="79" spans="1:21" s="12" customFormat="1" x14ac:dyDescent="0.25">
      <c r="A79" s="211" t="s">
        <v>2814</v>
      </c>
      <c r="B79" s="64">
        <v>6.61</v>
      </c>
      <c r="C79" s="64">
        <v>12.94</v>
      </c>
      <c r="D79" s="64">
        <v>12.06</v>
      </c>
      <c r="E79" s="64">
        <v>5.5</v>
      </c>
      <c r="F79" s="64">
        <v>5.76</v>
      </c>
      <c r="G79" s="64">
        <v>14.7</v>
      </c>
      <c r="H79" s="64">
        <v>12.45</v>
      </c>
      <c r="I79" s="64">
        <v>0.66</v>
      </c>
      <c r="J79" s="64">
        <v>0.38</v>
      </c>
      <c r="K79" s="64">
        <v>131.5</v>
      </c>
      <c r="L79" s="64">
        <v>26.4</v>
      </c>
      <c r="M79" s="64">
        <v>81.290000000000006</v>
      </c>
      <c r="N79" s="64">
        <v>44</v>
      </c>
      <c r="O79" s="64">
        <v>0</v>
      </c>
      <c r="P79" s="64">
        <v>0.33</v>
      </c>
      <c r="Q79" s="64">
        <v>9.01</v>
      </c>
      <c r="R79" s="198"/>
      <c r="S79" s="198"/>
      <c r="T79" s="198"/>
      <c r="U79" s="198"/>
    </row>
    <row r="80" spans="1:21" s="12" customFormat="1" x14ac:dyDescent="0.25">
      <c r="A80" s="211" t="s">
        <v>2815</v>
      </c>
      <c r="B80" s="64">
        <v>9.1999999999999993</v>
      </c>
      <c r="C80" s="64">
        <v>12.55</v>
      </c>
      <c r="D80" s="64">
        <v>13.93</v>
      </c>
      <c r="E80" s="64">
        <v>5.38</v>
      </c>
      <c r="F80" s="64">
        <v>3.1</v>
      </c>
      <c r="G80" s="64">
        <v>14.7</v>
      </c>
      <c r="H80" s="64">
        <v>12.45</v>
      </c>
      <c r="I80" s="64">
        <v>0.72</v>
      </c>
      <c r="J80" s="64">
        <v>0.11</v>
      </c>
      <c r="K80" s="64">
        <v>151.65</v>
      </c>
      <c r="L80" s="64">
        <v>26.23</v>
      </c>
      <c r="M80" s="64">
        <v>83.12</v>
      </c>
      <c r="N80" s="64">
        <v>43.8</v>
      </c>
      <c r="O80" s="64">
        <v>0</v>
      </c>
      <c r="P80" s="64">
        <v>0.43</v>
      </c>
      <c r="Q80" s="64">
        <v>9.02</v>
      </c>
      <c r="R80" s="198"/>
      <c r="S80" s="198"/>
      <c r="T80" s="198"/>
      <c r="U80" s="198"/>
    </row>
    <row r="81" spans="1:26" s="12" customFormat="1" x14ac:dyDescent="0.25">
      <c r="A81" s="211" t="s">
        <v>2816</v>
      </c>
      <c r="B81" s="64">
        <v>15.48</v>
      </c>
      <c r="C81" s="64">
        <v>15.47</v>
      </c>
      <c r="D81" s="64">
        <v>20.48</v>
      </c>
      <c r="E81" s="64">
        <v>5.45</v>
      </c>
      <c r="F81" s="64">
        <v>2.12</v>
      </c>
      <c r="G81" s="64">
        <v>25.22</v>
      </c>
      <c r="H81" s="64">
        <v>10.96</v>
      </c>
      <c r="I81" s="64">
        <v>0.77</v>
      </c>
      <c r="J81" s="64">
        <v>0.03</v>
      </c>
      <c r="K81" s="64">
        <v>349.22</v>
      </c>
      <c r="L81" s="64">
        <v>26.15</v>
      </c>
      <c r="M81" s="64">
        <v>84.51</v>
      </c>
      <c r="N81" s="64">
        <v>43.8</v>
      </c>
      <c r="O81" s="64">
        <v>0</v>
      </c>
      <c r="P81" s="64">
        <v>0.71</v>
      </c>
      <c r="Q81" s="64">
        <v>9.02</v>
      </c>
      <c r="R81" s="198"/>
      <c r="S81" s="198"/>
      <c r="T81" s="198"/>
      <c r="U81" s="198"/>
    </row>
    <row r="82" spans="1:26" s="12" customFormat="1" x14ac:dyDescent="0.25">
      <c r="A82" s="211" t="s">
        <v>2817</v>
      </c>
      <c r="B82" s="64">
        <v>8.51</v>
      </c>
      <c r="C82" s="64">
        <v>15.61</v>
      </c>
      <c r="D82" s="64">
        <v>14.98</v>
      </c>
      <c r="E82" s="64">
        <v>5.44</v>
      </c>
      <c r="F82" s="64">
        <v>2.42</v>
      </c>
      <c r="G82" s="64">
        <v>28.23</v>
      </c>
      <c r="H82" s="64">
        <v>10.96</v>
      </c>
      <c r="I82" s="64">
        <v>0.81</v>
      </c>
      <c r="J82" s="64">
        <v>0.06</v>
      </c>
      <c r="K82" s="64">
        <v>156.99</v>
      </c>
      <c r="L82" s="64">
        <v>26.04</v>
      </c>
      <c r="M82" s="64">
        <v>85.9</v>
      </c>
      <c r="N82" s="64">
        <v>43.8</v>
      </c>
      <c r="O82" s="64">
        <v>0</v>
      </c>
      <c r="P82" s="64">
        <v>0.59</v>
      </c>
      <c r="Q82" s="64">
        <v>9.0399999999999991</v>
      </c>
      <c r="R82" s="198"/>
      <c r="S82" s="198"/>
      <c r="T82" s="198"/>
      <c r="U82" s="198"/>
    </row>
    <row r="83" spans="1:26" s="12" customFormat="1" x14ac:dyDescent="0.25">
      <c r="A83" s="211" t="s">
        <v>2818</v>
      </c>
      <c r="B83" s="64">
        <v>18.22</v>
      </c>
      <c r="C83" s="64">
        <v>18.350000000000001</v>
      </c>
      <c r="D83" s="64">
        <v>24.16</v>
      </c>
      <c r="E83" s="64">
        <v>5.66</v>
      </c>
      <c r="F83" s="64">
        <v>3.66</v>
      </c>
      <c r="G83" s="64">
        <v>28.23</v>
      </c>
      <c r="H83" s="64">
        <v>10.96</v>
      </c>
      <c r="I83" s="64">
        <v>0.9</v>
      </c>
      <c r="J83" s="64">
        <v>0.15</v>
      </c>
      <c r="K83" s="64">
        <v>145.26</v>
      </c>
      <c r="L83" s="64">
        <v>25.95</v>
      </c>
      <c r="M83" s="64">
        <v>87.32</v>
      </c>
      <c r="N83" s="64">
        <v>43.8</v>
      </c>
      <c r="O83" s="64">
        <v>0</v>
      </c>
      <c r="P83" s="64">
        <v>0.72</v>
      </c>
      <c r="Q83" s="64">
        <v>9.0500000000000007</v>
      </c>
      <c r="R83" s="198"/>
      <c r="S83" s="198"/>
      <c r="T83" s="198"/>
      <c r="U83" s="198"/>
    </row>
    <row r="84" spans="1:26" s="12" customFormat="1" x14ac:dyDescent="0.25">
      <c r="A84" s="211" t="s">
        <v>2819</v>
      </c>
      <c r="B84" s="64">
        <v>10.26</v>
      </c>
      <c r="C84" s="64">
        <v>15.81</v>
      </c>
      <c r="D84" s="64">
        <v>16.489999999999998</v>
      </c>
      <c r="E84" s="64">
        <v>5.4</v>
      </c>
      <c r="F84" s="64">
        <v>5.32</v>
      </c>
      <c r="G84" s="64">
        <v>28.23</v>
      </c>
      <c r="H84" s="64">
        <v>10.96</v>
      </c>
      <c r="I84" s="64">
        <v>1</v>
      </c>
      <c r="J84" s="64">
        <v>0.14000000000000001</v>
      </c>
      <c r="K84" s="64">
        <v>146.44999999999999</v>
      </c>
      <c r="L84" s="64">
        <v>25.86</v>
      </c>
      <c r="M84" s="64">
        <v>88.99</v>
      </c>
      <c r="N84" s="64">
        <v>43.7</v>
      </c>
      <c r="O84" s="64">
        <v>0</v>
      </c>
      <c r="P84" s="64">
        <v>0.66</v>
      </c>
      <c r="Q84" s="64">
        <v>9.07</v>
      </c>
      <c r="R84" s="198"/>
      <c r="S84" s="198"/>
      <c r="T84" s="198"/>
      <c r="U84" s="198"/>
    </row>
    <row r="85" spans="1:26" s="12" customFormat="1" x14ac:dyDescent="0.25">
      <c r="A85" s="211" t="s">
        <v>2820</v>
      </c>
      <c r="B85" s="64">
        <v>8.82</v>
      </c>
      <c r="C85" s="64">
        <v>13.89</v>
      </c>
      <c r="D85" s="64">
        <v>14.33</v>
      </c>
      <c r="E85" s="64">
        <v>5.61</v>
      </c>
      <c r="F85" s="64">
        <v>4.82</v>
      </c>
      <c r="G85" s="64">
        <v>33.06</v>
      </c>
      <c r="H85" s="64">
        <v>9.92</v>
      </c>
      <c r="I85" s="64">
        <v>1.05</v>
      </c>
      <c r="J85" s="64">
        <v>0.37</v>
      </c>
      <c r="K85" s="64">
        <v>136.13999999999999</v>
      </c>
      <c r="L85" s="64">
        <v>25.76</v>
      </c>
      <c r="M85" s="64">
        <v>90.53</v>
      </c>
      <c r="N85" s="64">
        <v>43.8</v>
      </c>
      <c r="O85" s="64">
        <v>0</v>
      </c>
      <c r="P85" s="64">
        <v>0.52</v>
      </c>
      <c r="Q85" s="64">
        <v>9.09</v>
      </c>
      <c r="R85" s="198"/>
      <c r="S85" s="198"/>
      <c r="T85" s="198"/>
      <c r="U85" s="198"/>
    </row>
    <row r="86" spans="1:26" s="12" customFormat="1" x14ac:dyDescent="0.25">
      <c r="A86" s="211" t="s">
        <v>2821</v>
      </c>
      <c r="B86" s="64">
        <v>12.03</v>
      </c>
      <c r="C86" s="64">
        <v>15.04</v>
      </c>
      <c r="D86" s="64">
        <v>17.5</v>
      </c>
      <c r="E86" s="64">
        <v>5.79</v>
      </c>
      <c r="F86" s="64">
        <v>3.86</v>
      </c>
      <c r="G86" s="64">
        <v>34.35</v>
      </c>
      <c r="H86" s="64">
        <v>9.92</v>
      </c>
      <c r="I86" s="64">
        <v>1.1100000000000001</v>
      </c>
      <c r="J86" s="64">
        <v>0.21</v>
      </c>
      <c r="K86" s="64">
        <v>146.32</v>
      </c>
      <c r="L86" s="64">
        <v>25.69</v>
      </c>
      <c r="M86" s="64">
        <v>91.49</v>
      </c>
      <c r="N86" s="64">
        <v>43.8</v>
      </c>
      <c r="O86" s="64">
        <v>0</v>
      </c>
      <c r="P86" s="64">
        <v>0.6</v>
      </c>
      <c r="Q86" s="64">
        <v>9.1</v>
      </c>
      <c r="R86" s="198"/>
      <c r="S86" s="198"/>
      <c r="T86" s="198"/>
      <c r="U86" s="198"/>
    </row>
    <row r="87" spans="1:26" s="12" customFormat="1" x14ac:dyDescent="0.25">
      <c r="A87" s="211" t="s">
        <v>2822</v>
      </c>
      <c r="B87" s="64">
        <v>9.9</v>
      </c>
      <c r="C87" s="64">
        <v>15.36</v>
      </c>
      <c r="D87" s="64">
        <v>15.96</v>
      </c>
      <c r="E87" s="64">
        <v>5.8</v>
      </c>
      <c r="F87" s="64">
        <v>3.43</v>
      </c>
      <c r="G87" s="64">
        <v>34.35</v>
      </c>
      <c r="H87" s="64">
        <v>9.92</v>
      </c>
      <c r="I87" s="64">
        <v>1.17</v>
      </c>
      <c r="J87" s="64">
        <v>0.04</v>
      </c>
      <c r="K87" s="64">
        <v>164</v>
      </c>
      <c r="L87" s="64">
        <v>25.69</v>
      </c>
      <c r="M87" s="64">
        <v>91.52</v>
      </c>
      <c r="N87" s="64">
        <v>43.8</v>
      </c>
      <c r="O87" s="64">
        <v>0</v>
      </c>
      <c r="P87" s="64">
        <v>0.71</v>
      </c>
      <c r="Q87" s="64">
        <v>9.1</v>
      </c>
      <c r="R87" s="198"/>
      <c r="S87" s="198"/>
      <c r="T87" s="198"/>
      <c r="U87" s="198"/>
    </row>
    <row r="88" spans="1:26" s="12" customFormat="1" x14ac:dyDescent="0.25">
      <c r="A88" s="211" t="s">
        <v>2823</v>
      </c>
      <c r="B88" s="64">
        <v>10.32</v>
      </c>
      <c r="C88" s="64">
        <v>16.25</v>
      </c>
      <c r="D88" s="64">
        <v>16.760000000000002</v>
      </c>
      <c r="E88" s="64">
        <v>6.08</v>
      </c>
      <c r="F88" s="64">
        <v>3.46</v>
      </c>
      <c r="G88" s="64">
        <v>34.35</v>
      </c>
      <c r="H88" s="64">
        <v>9.92</v>
      </c>
      <c r="I88" s="64">
        <v>1.23</v>
      </c>
      <c r="J88" s="64">
        <v>0.18</v>
      </c>
      <c r="K88" s="64">
        <v>137.29</v>
      </c>
      <c r="L88" s="64">
        <v>25.61</v>
      </c>
      <c r="M88" s="64">
        <v>93.07</v>
      </c>
      <c r="N88" s="64">
        <v>44.1</v>
      </c>
      <c r="O88" s="64">
        <v>0</v>
      </c>
      <c r="P88" s="64">
        <v>0.65</v>
      </c>
      <c r="Q88" s="64">
        <v>9.1</v>
      </c>
      <c r="R88" s="198"/>
      <c r="S88" s="198"/>
      <c r="T88" s="198"/>
      <c r="U88" s="198"/>
    </row>
    <row r="89" spans="1:26" s="12" customFormat="1" x14ac:dyDescent="0.25">
      <c r="A89" s="211" t="s">
        <v>2824</v>
      </c>
      <c r="B89" s="64">
        <v>10.28</v>
      </c>
      <c r="C89" s="64">
        <v>15.43</v>
      </c>
      <c r="D89" s="64">
        <v>16.309999999999999</v>
      </c>
      <c r="E89" s="64">
        <v>6.23</v>
      </c>
      <c r="F89" s="64">
        <v>4.4400000000000004</v>
      </c>
      <c r="G89" s="64">
        <v>38.229999999999997</v>
      </c>
      <c r="H89" s="64">
        <v>9.1999999999999993</v>
      </c>
      <c r="I89" s="64">
        <v>1.29</v>
      </c>
      <c r="J89" s="64">
        <v>0.33</v>
      </c>
      <c r="K89" s="64">
        <v>130.78</v>
      </c>
      <c r="L89" s="64">
        <v>25.46</v>
      </c>
      <c r="M89" s="64">
        <v>95.15</v>
      </c>
      <c r="N89" s="64">
        <v>44.1</v>
      </c>
      <c r="O89" s="64">
        <v>0</v>
      </c>
      <c r="P89" s="64">
        <v>0.56999999999999995</v>
      </c>
      <c r="Q89" s="64">
        <v>9.11</v>
      </c>
      <c r="R89" s="198"/>
      <c r="S89" s="198"/>
      <c r="T89" s="198"/>
      <c r="U89" s="198"/>
    </row>
    <row r="90" spans="1:26" s="12" customFormat="1" x14ac:dyDescent="0.25">
      <c r="A90" s="211" t="s">
        <v>2825</v>
      </c>
      <c r="B90" s="64">
        <v>10.95</v>
      </c>
      <c r="C90" s="64">
        <v>11.24</v>
      </c>
      <c r="D90" s="64">
        <v>14.58</v>
      </c>
      <c r="E90" s="64">
        <v>6.04</v>
      </c>
      <c r="F90" s="64">
        <v>4.59</v>
      </c>
      <c r="G90" s="64">
        <v>39.270000000000003</v>
      </c>
      <c r="H90" s="64">
        <v>9.1999999999999993</v>
      </c>
      <c r="I90" s="64">
        <v>1.35</v>
      </c>
      <c r="J90" s="64">
        <v>0.44</v>
      </c>
      <c r="K90" s="64">
        <v>132.47999999999999</v>
      </c>
      <c r="L90" s="64">
        <v>25.38</v>
      </c>
      <c r="M90" s="64">
        <v>96.36</v>
      </c>
      <c r="N90" s="64">
        <v>44.1</v>
      </c>
      <c r="O90" s="64">
        <v>0</v>
      </c>
      <c r="P90" s="64">
        <v>0.52</v>
      </c>
      <c r="Q90" s="64">
        <v>9.1199999999999992</v>
      </c>
      <c r="R90" s="198"/>
      <c r="S90" s="198"/>
      <c r="T90" s="198"/>
      <c r="U90" s="198"/>
    </row>
    <row r="91" spans="1:26" s="12" customFormat="1" x14ac:dyDescent="0.25">
      <c r="A91" s="211" t="s">
        <v>2826</v>
      </c>
      <c r="B91" s="64">
        <v>10.42</v>
      </c>
      <c r="C91" s="64">
        <v>8.59</v>
      </c>
      <c r="D91" s="64">
        <v>12.85</v>
      </c>
      <c r="E91" s="64">
        <v>5.83</v>
      </c>
      <c r="F91" s="64">
        <v>2.37</v>
      </c>
      <c r="G91" s="64">
        <v>39.270000000000003</v>
      </c>
      <c r="H91" s="64">
        <v>9.1999999999999993</v>
      </c>
      <c r="I91" s="64">
        <v>1.39</v>
      </c>
      <c r="J91" s="64">
        <v>0.34</v>
      </c>
      <c r="K91" s="64">
        <v>134.08000000000001</v>
      </c>
      <c r="L91" s="64">
        <v>25.3</v>
      </c>
      <c r="M91" s="64">
        <v>97.25</v>
      </c>
      <c r="N91" s="64">
        <v>44.1</v>
      </c>
      <c r="O91" s="64">
        <v>0</v>
      </c>
      <c r="P91" s="64">
        <v>0.49</v>
      </c>
      <c r="Q91" s="64">
        <v>9.11</v>
      </c>
      <c r="R91" s="198"/>
      <c r="S91" s="198"/>
      <c r="T91" s="198"/>
      <c r="U91" s="198"/>
    </row>
    <row r="92" spans="1:26" s="12" customFormat="1" x14ac:dyDescent="0.25">
      <c r="A92" s="211" t="s">
        <v>2827</v>
      </c>
      <c r="B92" s="64">
        <v>9.89</v>
      </c>
      <c r="C92" s="64">
        <v>9.86</v>
      </c>
      <c r="D92" s="64">
        <v>13.08</v>
      </c>
      <c r="E92" s="64">
        <v>5.91</v>
      </c>
      <c r="F92" s="64">
        <v>4.2699999999999996</v>
      </c>
      <c r="G92" s="64">
        <v>39.270000000000003</v>
      </c>
      <c r="H92" s="64">
        <v>9.1999999999999993</v>
      </c>
      <c r="I92" s="64">
        <v>1.41</v>
      </c>
      <c r="J92" s="64">
        <v>0.63</v>
      </c>
      <c r="K92" s="64">
        <v>132.11000000000001</v>
      </c>
      <c r="L92" s="64">
        <v>25.18</v>
      </c>
      <c r="M92" s="64">
        <v>97.06</v>
      </c>
      <c r="N92" s="64">
        <v>44.2</v>
      </c>
      <c r="O92" s="64">
        <v>0</v>
      </c>
      <c r="P92" s="64">
        <v>0.51</v>
      </c>
      <c r="Q92" s="64">
        <v>9.09</v>
      </c>
      <c r="R92" s="198"/>
      <c r="S92" s="198"/>
      <c r="T92" s="198"/>
      <c r="U92" s="198"/>
    </row>
    <row r="93" spans="1:26" s="12" customFormat="1" x14ac:dyDescent="0.25">
      <c r="A93" s="211" t="s">
        <v>2828</v>
      </c>
      <c r="B93" s="64">
        <v>8.8800000000000008</v>
      </c>
      <c r="C93" s="64">
        <v>9.14</v>
      </c>
      <c r="D93" s="64">
        <v>11.9</v>
      </c>
      <c r="E93" s="64">
        <v>5.58</v>
      </c>
      <c r="F93" s="64">
        <v>4.37</v>
      </c>
      <c r="G93" s="64">
        <v>32.630000000000003</v>
      </c>
      <c r="H93" s="64">
        <v>12.75</v>
      </c>
      <c r="I93" s="64">
        <v>1.33</v>
      </c>
      <c r="J93" s="64">
        <v>1.74</v>
      </c>
      <c r="K93" s="64">
        <v>121.85</v>
      </c>
      <c r="L93" s="64">
        <v>25.01</v>
      </c>
      <c r="M93" s="64">
        <v>94.76</v>
      </c>
      <c r="N93" s="64">
        <v>44.3</v>
      </c>
      <c r="O93" s="64">
        <v>0</v>
      </c>
      <c r="P93" s="64">
        <v>0.43</v>
      </c>
      <c r="Q93" s="64">
        <v>9.09</v>
      </c>
      <c r="R93" s="198"/>
      <c r="S93" s="198"/>
      <c r="T93" s="198"/>
      <c r="U93" s="198"/>
    </row>
    <row r="94" spans="1:26" s="12" customFormat="1" x14ac:dyDescent="0.25">
      <c r="A94" s="211" t="s">
        <v>2829</v>
      </c>
      <c r="B94" s="64">
        <v>9.07</v>
      </c>
      <c r="C94" s="64">
        <v>7.81</v>
      </c>
      <c r="D94" s="64">
        <v>11.36</v>
      </c>
      <c r="E94" s="64">
        <v>5.19</v>
      </c>
      <c r="F94" s="64">
        <v>2.1</v>
      </c>
      <c r="G94" s="64">
        <v>30.85</v>
      </c>
      <c r="H94" s="64">
        <v>12.75</v>
      </c>
      <c r="I94" s="64">
        <v>1.28</v>
      </c>
      <c r="J94" s="64">
        <v>0.79</v>
      </c>
      <c r="K94" s="64">
        <v>114.54</v>
      </c>
      <c r="L94" s="64">
        <v>24.77</v>
      </c>
      <c r="M94" s="64">
        <v>95.53</v>
      </c>
      <c r="N94" s="64">
        <v>44.3</v>
      </c>
      <c r="O94" s="64">
        <v>0</v>
      </c>
      <c r="P94" s="64">
        <v>0.47</v>
      </c>
      <c r="Q94" s="64">
        <v>9.08</v>
      </c>
      <c r="R94" s="198"/>
      <c r="S94" s="198"/>
      <c r="T94" s="198"/>
      <c r="U94" s="198"/>
    </row>
    <row r="95" spans="1:26" s="12" customFormat="1" x14ac:dyDescent="0.25">
      <c r="A95" s="211" t="s">
        <v>2830</v>
      </c>
      <c r="B95" s="64">
        <v>8.66</v>
      </c>
      <c r="C95" s="64">
        <v>8.74</v>
      </c>
      <c r="D95" s="64">
        <v>11.52</v>
      </c>
      <c r="E95" s="64">
        <v>5.1100000000000003</v>
      </c>
      <c r="F95" s="64">
        <v>4.57</v>
      </c>
      <c r="G95" s="64">
        <v>30.85</v>
      </c>
      <c r="H95" s="64">
        <v>12.75</v>
      </c>
      <c r="I95" s="64">
        <v>1.38</v>
      </c>
      <c r="J95" s="64">
        <v>1.38</v>
      </c>
      <c r="K95" s="64">
        <v>128.13999999999999</v>
      </c>
      <c r="L95" s="64">
        <v>24.53</v>
      </c>
      <c r="M95" s="64">
        <v>96.9</v>
      </c>
      <c r="N95" s="64">
        <v>44.5</v>
      </c>
      <c r="O95" s="64">
        <v>0</v>
      </c>
      <c r="P95" s="64">
        <v>0.39</v>
      </c>
      <c r="Q95" s="64">
        <v>9.08</v>
      </c>
      <c r="R95" s="198"/>
      <c r="S95" s="198"/>
      <c r="T95" s="198"/>
      <c r="U95" s="198"/>
    </row>
    <row r="96" spans="1:26" s="12" customFormat="1" x14ac:dyDescent="0.25">
      <c r="A96" s="211" t="s">
        <v>2831</v>
      </c>
      <c r="B96" s="64">
        <v>8.81</v>
      </c>
      <c r="C96" s="64">
        <v>7.77</v>
      </c>
      <c r="D96" s="64">
        <v>11.12</v>
      </c>
      <c r="E96" s="64">
        <v>5.26</v>
      </c>
      <c r="F96" s="64">
        <v>4.72</v>
      </c>
      <c r="G96" s="64">
        <v>30.85</v>
      </c>
      <c r="H96" s="64">
        <v>12.75</v>
      </c>
      <c r="I96" s="64">
        <v>1.43</v>
      </c>
      <c r="J96" s="64">
        <v>0.63</v>
      </c>
      <c r="K96" s="64">
        <v>131.08000000000001</v>
      </c>
      <c r="L96" s="64">
        <v>24.28</v>
      </c>
      <c r="M96" s="64">
        <v>98.05</v>
      </c>
      <c r="N96" s="64">
        <v>44.2</v>
      </c>
      <c r="O96" s="64">
        <v>0</v>
      </c>
      <c r="P96" s="64">
        <v>0.43</v>
      </c>
      <c r="Q96" s="64">
        <v>9.08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2832</v>
      </c>
      <c r="B97" s="64">
        <v>8.8699999999999992</v>
      </c>
      <c r="C97" s="64">
        <v>7.54</v>
      </c>
      <c r="D97" s="64">
        <v>11.05</v>
      </c>
      <c r="E97" s="64">
        <v>5.08</v>
      </c>
      <c r="F97" s="64">
        <v>2.1</v>
      </c>
      <c r="G97" s="64">
        <v>30.21</v>
      </c>
      <c r="H97" s="64">
        <v>11.18</v>
      </c>
      <c r="I97" s="64">
        <v>1.42</v>
      </c>
      <c r="J97" s="64">
        <v>1.08</v>
      </c>
      <c r="K97" s="64">
        <v>125.46</v>
      </c>
      <c r="L97" s="64">
        <v>24.18</v>
      </c>
      <c r="M97" s="64">
        <v>98.03</v>
      </c>
      <c r="N97" s="64">
        <v>44</v>
      </c>
      <c r="O97" s="64">
        <v>0</v>
      </c>
      <c r="P97" s="64">
        <v>0.45</v>
      </c>
      <c r="Q97" s="64">
        <v>9.07</v>
      </c>
      <c r="R97" s="198"/>
      <c r="S97" s="198"/>
      <c r="T97" s="198"/>
      <c r="U97" s="198"/>
    </row>
    <row r="98" spans="1:33" s="12" customFormat="1" x14ac:dyDescent="0.25">
      <c r="A98" s="211" t="s">
        <v>2833</v>
      </c>
      <c r="B98" s="64">
        <v>9.0500000000000007</v>
      </c>
      <c r="C98" s="64">
        <v>11.74</v>
      </c>
      <c r="D98" s="64">
        <v>13.39</v>
      </c>
      <c r="E98" s="64">
        <v>5.66</v>
      </c>
      <c r="F98" s="64">
        <v>2.2599999999999998</v>
      </c>
      <c r="G98" s="64">
        <v>30.03</v>
      </c>
      <c r="H98" s="64">
        <v>11.18</v>
      </c>
      <c r="I98" s="64">
        <v>1.41</v>
      </c>
      <c r="J98" s="64">
        <v>0.86</v>
      </c>
      <c r="K98" s="64">
        <v>126.88</v>
      </c>
      <c r="L98" s="64">
        <v>24.2</v>
      </c>
      <c r="M98" s="64">
        <v>98.02</v>
      </c>
      <c r="N98" s="64">
        <v>44</v>
      </c>
      <c r="O98" s="64">
        <v>0</v>
      </c>
      <c r="P98" s="64">
        <v>0.38</v>
      </c>
      <c r="Q98" s="64">
        <v>9.07</v>
      </c>
      <c r="R98" s="198"/>
      <c r="S98" s="198"/>
      <c r="T98" s="198"/>
      <c r="U98" s="198"/>
    </row>
    <row r="99" spans="1:33" s="12" customFormat="1" x14ac:dyDescent="0.25">
      <c r="A99" s="211" t="s">
        <v>2834</v>
      </c>
      <c r="B99" s="64">
        <v>9.56</v>
      </c>
      <c r="C99" s="64">
        <v>13.48</v>
      </c>
      <c r="D99" s="64">
        <v>14.71</v>
      </c>
      <c r="E99" s="64">
        <v>6.22</v>
      </c>
      <c r="F99" s="64">
        <v>2.74</v>
      </c>
      <c r="G99" s="64">
        <v>30.03</v>
      </c>
      <c r="H99" s="64">
        <v>11.18</v>
      </c>
      <c r="I99" s="64">
        <v>1.4</v>
      </c>
      <c r="J99" s="64">
        <v>0.98</v>
      </c>
      <c r="K99" s="64">
        <v>124.78</v>
      </c>
      <c r="L99" s="64">
        <v>24.18</v>
      </c>
      <c r="M99" s="64">
        <v>98.08</v>
      </c>
      <c r="N99" s="64">
        <v>44.1</v>
      </c>
      <c r="O99" s="64">
        <v>0</v>
      </c>
      <c r="P99" s="64">
        <v>0.41</v>
      </c>
      <c r="Q99" s="64">
        <v>9.07</v>
      </c>
      <c r="R99" s="198"/>
      <c r="S99" s="198"/>
      <c r="T99" s="198"/>
      <c r="U99" s="198"/>
    </row>
    <row r="100" spans="1:33" s="12" customFormat="1" x14ac:dyDescent="0.25">
      <c r="A100" s="211" t="s">
        <v>2835</v>
      </c>
      <c r="B100" s="64">
        <v>9.59</v>
      </c>
      <c r="C100" s="64">
        <v>9.01</v>
      </c>
      <c r="D100" s="64">
        <v>12.4</v>
      </c>
      <c r="E100" s="64">
        <v>5.59</v>
      </c>
      <c r="F100" s="64">
        <v>2.1</v>
      </c>
      <c r="G100" s="64">
        <v>30.03</v>
      </c>
      <c r="H100" s="64">
        <v>11.18</v>
      </c>
      <c r="I100" s="64">
        <v>1.39</v>
      </c>
      <c r="J100" s="64">
        <v>0.76</v>
      </c>
      <c r="K100" s="64">
        <v>114.8</v>
      </c>
      <c r="L100" s="64">
        <v>24.12</v>
      </c>
      <c r="M100" s="64">
        <v>98.29</v>
      </c>
      <c r="N100" s="64">
        <v>44.1</v>
      </c>
      <c r="O100" s="64">
        <v>0</v>
      </c>
      <c r="P100" s="64">
        <v>0.44</v>
      </c>
      <c r="Q100" s="64">
        <v>9.07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2836</v>
      </c>
      <c r="B101" s="64">
        <v>10.29</v>
      </c>
      <c r="C101" s="64">
        <v>11.17</v>
      </c>
      <c r="D101" s="64">
        <v>14.09</v>
      </c>
      <c r="E101" s="64">
        <v>5.98</v>
      </c>
      <c r="F101" s="64">
        <v>2.1</v>
      </c>
      <c r="G101" s="64">
        <v>24.57</v>
      </c>
      <c r="H101" s="64">
        <v>10.19</v>
      </c>
      <c r="I101" s="64">
        <v>1.39</v>
      </c>
      <c r="J101" s="64">
        <v>1.1200000000000001</v>
      </c>
      <c r="K101" s="64">
        <v>120.06</v>
      </c>
      <c r="L101" s="64">
        <v>23.95</v>
      </c>
      <c r="M101" s="64">
        <v>98.05</v>
      </c>
      <c r="N101" s="64">
        <v>44.1</v>
      </c>
      <c r="O101" s="64">
        <v>0</v>
      </c>
      <c r="P101" s="64">
        <v>0.37</v>
      </c>
      <c r="Q101" s="64">
        <v>9.08</v>
      </c>
      <c r="R101" s="198"/>
      <c r="S101" s="198"/>
      <c r="T101" s="198"/>
      <c r="U101" s="198"/>
    </row>
    <row r="102" spans="1:33" s="12" customFormat="1" x14ac:dyDescent="0.25">
      <c r="A102" s="211" t="s">
        <v>2837</v>
      </c>
      <c r="B102" s="64">
        <v>9</v>
      </c>
      <c r="C102" s="64">
        <v>9.1300000000000008</v>
      </c>
      <c r="D102" s="64">
        <v>11.99</v>
      </c>
      <c r="E102" s="64">
        <v>5.7</v>
      </c>
      <c r="F102" s="64">
        <v>2.1</v>
      </c>
      <c r="G102" s="64">
        <v>23.11</v>
      </c>
      <c r="H102" s="64">
        <v>10.19</v>
      </c>
      <c r="I102" s="64">
        <v>1.37</v>
      </c>
      <c r="J102" s="64">
        <v>1.08</v>
      </c>
      <c r="K102" s="64">
        <v>120.51</v>
      </c>
      <c r="L102" s="64">
        <v>23.84</v>
      </c>
      <c r="M102" s="64">
        <v>98</v>
      </c>
      <c r="N102" s="64">
        <v>44.1</v>
      </c>
      <c r="O102" s="64">
        <v>0</v>
      </c>
      <c r="P102" s="64">
        <v>0.37</v>
      </c>
      <c r="Q102" s="64">
        <v>9.1</v>
      </c>
      <c r="R102" s="198"/>
      <c r="S102" s="198"/>
      <c r="T102" s="198"/>
      <c r="U102" s="198"/>
    </row>
    <row r="103" spans="1:33" s="12" customFormat="1" x14ac:dyDescent="0.25">
      <c r="A103" s="211" t="s">
        <v>2838</v>
      </c>
      <c r="B103" s="64">
        <v>7.89</v>
      </c>
      <c r="C103" s="64">
        <v>9.8000000000000007</v>
      </c>
      <c r="D103" s="64">
        <v>11.45</v>
      </c>
      <c r="E103" s="64">
        <v>5.97</v>
      </c>
      <c r="F103" s="64">
        <v>2.13</v>
      </c>
      <c r="G103" s="64">
        <v>23.11</v>
      </c>
      <c r="H103" s="64">
        <v>10.19</v>
      </c>
      <c r="I103" s="64">
        <v>1.36</v>
      </c>
      <c r="J103" s="64">
        <v>0.44</v>
      </c>
      <c r="K103" s="64">
        <v>131.82</v>
      </c>
      <c r="L103" s="64">
        <v>23.82</v>
      </c>
      <c r="M103" s="64">
        <v>98.02</v>
      </c>
      <c r="N103" s="64">
        <v>44</v>
      </c>
      <c r="O103" s="64">
        <v>0</v>
      </c>
      <c r="P103" s="64">
        <v>0.36</v>
      </c>
      <c r="Q103" s="64">
        <v>9.09</v>
      </c>
      <c r="R103" s="198"/>
      <c r="S103" s="198"/>
      <c r="T103" s="198"/>
      <c r="U103" s="198"/>
    </row>
    <row r="104" spans="1:33" s="12" customFormat="1" x14ac:dyDescent="0.25">
      <c r="A104" s="211" t="s">
        <v>2839</v>
      </c>
      <c r="B104" s="64">
        <v>7.83</v>
      </c>
      <c r="C104" s="64">
        <v>10</v>
      </c>
      <c r="D104" s="64">
        <v>11.51</v>
      </c>
      <c r="E104" s="64">
        <v>4.95</v>
      </c>
      <c r="F104" s="64">
        <v>2.25</v>
      </c>
      <c r="G104" s="64">
        <v>23.11</v>
      </c>
      <c r="H104" s="64">
        <v>10.19</v>
      </c>
      <c r="I104" s="64">
        <v>1.34</v>
      </c>
      <c r="J104" s="64">
        <v>0.64</v>
      </c>
      <c r="K104" s="64">
        <v>128.62</v>
      </c>
      <c r="L104" s="64">
        <v>23.77</v>
      </c>
      <c r="M104" s="64">
        <v>98.03</v>
      </c>
      <c r="N104" s="64">
        <v>44</v>
      </c>
      <c r="O104" s="64">
        <v>0</v>
      </c>
      <c r="P104" s="64">
        <v>0.4</v>
      </c>
      <c r="Q104" s="64">
        <v>9.11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5.34</v>
      </c>
      <c r="C106" s="67">
        <f>MIN(C9:C104)</f>
        <v>3.91</v>
      </c>
      <c r="D106" s="67">
        <f t="shared" ref="D106:Q106" si="0">MIN(D9:D104)</f>
        <v>8.8000000000000007</v>
      </c>
      <c r="E106" s="67">
        <f t="shared" si="0"/>
        <v>4.95</v>
      </c>
      <c r="F106" s="67">
        <f t="shared" si="0"/>
        <v>2.1</v>
      </c>
      <c r="G106" s="67">
        <f t="shared" si="0"/>
        <v>0</v>
      </c>
      <c r="H106" s="67">
        <f t="shared" si="0"/>
        <v>7.29</v>
      </c>
      <c r="I106" s="67">
        <f t="shared" si="0"/>
        <v>0.66</v>
      </c>
      <c r="J106" s="67">
        <f t="shared" si="0"/>
        <v>0.03</v>
      </c>
      <c r="K106" s="67">
        <f t="shared" si="0"/>
        <v>107.63</v>
      </c>
      <c r="L106" s="67">
        <f t="shared" si="0"/>
        <v>21.76</v>
      </c>
      <c r="M106" s="67">
        <f t="shared" si="0"/>
        <v>58.56</v>
      </c>
      <c r="N106" s="67">
        <f t="shared" si="0"/>
        <v>39</v>
      </c>
      <c r="O106" s="67">
        <f t="shared" si="0"/>
        <v>0</v>
      </c>
      <c r="P106" s="67">
        <f t="shared" si="0"/>
        <v>0.1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25.55</v>
      </c>
      <c r="C107" s="66">
        <f t="shared" ref="C107:Q107" si="1">MAX(C9:C104)</f>
        <v>18.350000000000001</v>
      </c>
      <c r="D107" s="66">
        <f t="shared" si="1"/>
        <v>24.16</v>
      </c>
      <c r="E107" s="66">
        <f t="shared" si="1"/>
        <v>6.91</v>
      </c>
      <c r="F107" s="66">
        <f t="shared" si="1"/>
        <v>8.5500000000000007</v>
      </c>
      <c r="G107" s="66">
        <f t="shared" si="1"/>
        <v>67.36</v>
      </c>
      <c r="H107" s="66">
        <f t="shared" si="1"/>
        <v>17.170000000000002</v>
      </c>
      <c r="I107" s="66">
        <f t="shared" si="1"/>
        <v>2.56</v>
      </c>
      <c r="J107" s="66">
        <f t="shared" si="1"/>
        <v>1.74</v>
      </c>
      <c r="K107" s="66">
        <f t="shared" si="1"/>
        <v>349.22</v>
      </c>
      <c r="L107" s="66">
        <f t="shared" si="1"/>
        <v>29.72</v>
      </c>
      <c r="M107" s="66">
        <f t="shared" si="1"/>
        <v>98.29</v>
      </c>
      <c r="N107" s="66">
        <f t="shared" si="1"/>
        <v>822.5</v>
      </c>
      <c r="O107" s="66">
        <f t="shared" si="1"/>
        <v>0</v>
      </c>
      <c r="P107" s="66">
        <f t="shared" si="1"/>
        <v>0.72</v>
      </c>
      <c r="Q107" s="66">
        <f t="shared" si="1"/>
        <v>9.51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10.925937500000002</v>
      </c>
      <c r="C108" s="67">
        <f t="shared" ref="C108:Q108" si="2">AVERAGE(C9:C104)</f>
        <v>9.3273958333333304</v>
      </c>
      <c r="D108" s="67">
        <f t="shared" si="2"/>
        <v>13.620937499999997</v>
      </c>
      <c r="E108" s="67">
        <f t="shared" si="2"/>
        <v>5.8584375000000017</v>
      </c>
      <c r="F108" s="67">
        <f t="shared" si="2"/>
        <v>4.0688541666666689</v>
      </c>
      <c r="G108" s="67">
        <f t="shared" si="2"/>
        <v>37.663229166666653</v>
      </c>
      <c r="H108" s="67">
        <f t="shared" si="2"/>
        <v>12.897500000000015</v>
      </c>
      <c r="I108" s="67">
        <f t="shared" si="2"/>
        <v>1.4650000000000001</v>
      </c>
      <c r="J108" s="67">
        <f t="shared" si="2"/>
        <v>0.62145833333333333</v>
      </c>
      <c r="K108" s="67">
        <f t="shared" si="2"/>
        <v>148.41895833333331</v>
      </c>
      <c r="L108" s="67">
        <f t="shared" si="2"/>
        <v>25.393229166666671</v>
      </c>
      <c r="M108" s="67">
        <f t="shared" si="2"/>
        <v>86.002500000000012</v>
      </c>
      <c r="N108" s="67">
        <f t="shared" si="2"/>
        <v>186.77604166666649</v>
      </c>
      <c r="O108" s="67">
        <f t="shared" si="2"/>
        <v>0</v>
      </c>
      <c r="P108" s="67">
        <f t="shared" si="2"/>
        <v>0.41041666666666665</v>
      </c>
      <c r="Q108" s="67">
        <f t="shared" si="2"/>
        <v>8.9629166666666755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4.4449916412507946</v>
      </c>
      <c r="C109" s="67">
        <f t="shared" ref="C109:Q109" si="3">STDEV(C9:C104)</f>
        <v>3.2639495754592156</v>
      </c>
      <c r="D109" s="67">
        <f t="shared" si="3"/>
        <v>3.3704724260851164</v>
      </c>
      <c r="E109" s="67">
        <f t="shared" si="3"/>
        <v>0.46465907847638815</v>
      </c>
      <c r="F109" s="67">
        <f t="shared" si="3"/>
        <v>1.8570496520254127</v>
      </c>
      <c r="G109" s="67">
        <f t="shared" si="3"/>
        <v>15.404388540439506</v>
      </c>
      <c r="H109" s="67">
        <f t="shared" si="3"/>
        <v>2.3038644879738408</v>
      </c>
      <c r="I109" s="67">
        <f t="shared" si="3"/>
        <v>0.63219417403532829</v>
      </c>
      <c r="J109" s="67">
        <f t="shared" si="3"/>
        <v>0.41759708399533096</v>
      </c>
      <c r="K109" s="67">
        <f t="shared" si="3"/>
        <v>56.641518833322444</v>
      </c>
      <c r="L109" s="67">
        <f t="shared" si="3"/>
        <v>2.478741401680197</v>
      </c>
      <c r="M109" s="67">
        <f t="shared" si="3"/>
        <v>14.009001993079268</v>
      </c>
      <c r="N109" s="67">
        <f t="shared" si="3"/>
        <v>228.99458313280414</v>
      </c>
      <c r="O109" s="67">
        <f t="shared" si="3"/>
        <v>0</v>
      </c>
      <c r="P109" s="67">
        <f t="shared" si="3"/>
        <v>0.17881432102465614</v>
      </c>
      <c r="Q109" s="67">
        <f t="shared" si="3"/>
        <v>1.3246734784697942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4" sqref="J11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2840</v>
      </c>
      <c r="B9" s="64">
        <v>6.97</v>
      </c>
      <c r="C9" s="64">
        <v>12.14</v>
      </c>
      <c r="D9" s="64">
        <v>11.93</v>
      </c>
      <c r="E9" s="64">
        <v>5.73</v>
      </c>
      <c r="F9" s="64">
        <v>2.33</v>
      </c>
      <c r="G9" s="64">
        <v>24.23</v>
      </c>
      <c r="H9" s="64">
        <v>9.39</v>
      </c>
      <c r="I9" s="64">
        <v>1.33</v>
      </c>
      <c r="J9" s="64">
        <v>0.5</v>
      </c>
      <c r="K9" s="64">
        <v>135.15</v>
      </c>
      <c r="L9" s="64">
        <v>23.76</v>
      </c>
      <c r="M9" s="64">
        <v>98.03</v>
      </c>
      <c r="N9" s="64">
        <v>43.8</v>
      </c>
      <c r="O9" s="64">
        <v>0</v>
      </c>
      <c r="P9" s="64">
        <v>0.4</v>
      </c>
      <c r="Q9" s="64">
        <v>9.11</v>
      </c>
      <c r="R9" s="198"/>
      <c r="S9" s="198"/>
      <c r="T9" s="198"/>
      <c r="U9" s="198"/>
    </row>
    <row r="10" spans="1:21" s="12" customFormat="1" x14ac:dyDescent="0.25">
      <c r="A10" s="211" t="s">
        <v>2841</v>
      </c>
      <c r="B10" s="64">
        <v>7.55</v>
      </c>
      <c r="C10" s="64">
        <v>8.39</v>
      </c>
      <c r="D10" s="64">
        <v>10.44</v>
      </c>
      <c r="E10" s="64">
        <v>5.55</v>
      </c>
      <c r="F10" s="64">
        <v>2.95</v>
      </c>
      <c r="G10" s="64">
        <v>24.53</v>
      </c>
      <c r="H10" s="64">
        <v>9.39</v>
      </c>
      <c r="I10" s="64">
        <v>1.34</v>
      </c>
      <c r="J10" s="64">
        <v>0.83</v>
      </c>
      <c r="K10" s="64">
        <v>128.08000000000001</v>
      </c>
      <c r="L10" s="64">
        <v>23.67</v>
      </c>
      <c r="M10" s="64">
        <v>98.03</v>
      </c>
      <c r="N10" s="64">
        <v>43.9</v>
      </c>
      <c r="O10" s="64">
        <v>0</v>
      </c>
      <c r="P10" s="64">
        <v>0.36</v>
      </c>
      <c r="Q10" s="64">
        <v>9.11</v>
      </c>
      <c r="R10" s="198"/>
      <c r="S10" s="198"/>
      <c r="T10" s="198"/>
      <c r="U10" s="198"/>
    </row>
    <row r="11" spans="1:21" s="12" customFormat="1" x14ac:dyDescent="0.25">
      <c r="A11" s="211" t="s">
        <v>2842</v>
      </c>
      <c r="B11" s="64">
        <v>7.62</v>
      </c>
      <c r="C11" s="64">
        <v>6.81</v>
      </c>
      <c r="D11" s="64">
        <v>9.67</v>
      </c>
      <c r="E11" s="64">
        <v>5.22</v>
      </c>
      <c r="F11" s="64">
        <v>4.21</v>
      </c>
      <c r="G11" s="64">
        <v>24.53</v>
      </c>
      <c r="H11" s="64">
        <v>9.39</v>
      </c>
      <c r="I11" s="64">
        <v>1.35</v>
      </c>
      <c r="J11" s="64">
        <v>0.92</v>
      </c>
      <c r="K11" s="64">
        <v>130.63</v>
      </c>
      <c r="L11" s="64">
        <v>23.54</v>
      </c>
      <c r="M11" s="64">
        <v>98.03</v>
      </c>
      <c r="N11" s="64">
        <v>44.1</v>
      </c>
      <c r="O11" s="64">
        <v>0</v>
      </c>
      <c r="P11" s="64">
        <v>0.33</v>
      </c>
      <c r="Q11" s="64">
        <v>9.1</v>
      </c>
      <c r="R11" s="198"/>
      <c r="S11" s="198"/>
      <c r="T11" s="198"/>
      <c r="U11" s="198"/>
    </row>
    <row r="12" spans="1:21" s="12" customFormat="1" x14ac:dyDescent="0.25">
      <c r="A12" s="211" t="s">
        <v>2843</v>
      </c>
      <c r="B12" s="64">
        <v>7.82</v>
      </c>
      <c r="C12" s="64">
        <v>6.21</v>
      </c>
      <c r="D12" s="64">
        <v>9.52</v>
      </c>
      <c r="E12" s="64">
        <v>5.29</v>
      </c>
      <c r="F12" s="64">
        <v>2.93</v>
      </c>
      <c r="G12" s="64">
        <v>24.53</v>
      </c>
      <c r="H12" s="64">
        <v>9.39</v>
      </c>
      <c r="I12" s="64">
        <v>1.34</v>
      </c>
      <c r="J12" s="64">
        <v>0.52</v>
      </c>
      <c r="K12" s="64">
        <v>127.2</v>
      </c>
      <c r="L12" s="64">
        <v>23.37</v>
      </c>
      <c r="M12" s="64">
        <v>98.06</v>
      </c>
      <c r="N12" s="64">
        <v>44.1</v>
      </c>
      <c r="O12" s="64">
        <v>0</v>
      </c>
      <c r="P12" s="64">
        <v>0.35</v>
      </c>
      <c r="Q12" s="64">
        <v>9.09</v>
      </c>
      <c r="R12" s="198"/>
      <c r="S12" s="198"/>
      <c r="T12" s="198"/>
      <c r="U12" s="198"/>
    </row>
    <row r="13" spans="1:21" s="12" customFormat="1" x14ac:dyDescent="0.25">
      <c r="A13" s="211" t="s">
        <v>2844</v>
      </c>
      <c r="B13" s="64">
        <v>8.2799999999999994</v>
      </c>
      <c r="C13" s="64">
        <v>6.26</v>
      </c>
      <c r="D13" s="64">
        <v>9.91</v>
      </c>
      <c r="E13" s="64">
        <v>5.27</v>
      </c>
      <c r="F13" s="64">
        <v>2.76</v>
      </c>
      <c r="G13" s="64">
        <v>18.73</v>
      </c>
      <c r="H13" s="64">
        <v>12.23</v>
      </c>
      <c r="I13" s="64">
        <v>1.32</v>
      </c>
      <c r="J13" s="64">
        <v>0.37</v>
      </c>
      <c r="K13" s="64">
        <v>137.36000000000001</v>
      </c>
      <c r="L13" s="64">
        <v>23.33</v>
      </c>
      <c r="M13" s="64">
        <v>98.08</v>
      </c>
      <c r="N13" s="64">
        <v>43.9</v>
      </c>
      <c r="O13" s="64">
        <v>0</v>
      </c>
      <c r="P13" s="64">
        <v>0.31</v>
      </c>
      <c r="Q13" s="64">
        <v>9.07</v>
      </c>
      <c r="R13" s="198"/>
      <c r="S13" s="198"/>
      <c r="T13" s="198"/>
      <c r="U13" s="198"/>
    </row>
    <row r="14" spans="1:21" s="12" customFormat="1" x14ac:dyDescent="0.25">
      <c r="A14" s="211" t="s">
        <v>2845</v>
      </c>
      <c r="B14" s="64">
        <v>7.66</v>
      </c>
      <c r="C14" s="64">
        <v>6.88</v>
      </c>
      <c r="D14" s="64">
        <v>9.74</v>
      </c>
      <c r="E14" s="64">
        <v>4.7699999999999996</v>
      </c>
      <c r="F14" s="64">
        <v>3.5</v>
      </c>
      <c r="G14" s="64">
        <v>17.170000000000002</v>
      </c>
      <c r="H14" s="64">
        <v>12.23</v>
      </c>
      <c r="I14" s="64">
        <v>1.29</v>
      </c>
      <c r="J14" s="64">
        <v>0.34</v>
      </c>
      <c r="K14" s="64">
        <v>129.66</v>
      </c>
      <c r="L14" s="64">
        <v>23.32</v>
      </c>
      <c r="M14" s="64">
        <v>98.05</v>
      </c>
      <c r="N14" s="64">
        <v>43.8</v>
      </c>
      <c r="O14" s="64">
        <v>0</v>
      </c>
      <c r="P14" s="64">
        <v>0.35</v>
      </c>
      <c r="Q14" s="64">
        <v>9.0500000000000007</v>
      </c>
      <c r="R14" s="198"/>
      <c r="S14" s="198"/>
      <c r="T14" s="198"/>
      <c r="U14" s="198"/>
    </row>
    <row r="15" spans="1:21" s="12" customFormat="1" x14ac:dyDescent="0.25">
      <c r="A15" s="211" t="s">
        <v>2846</v>
      </c>
      <c r="B15" s="64">
        <v>8.0399999999999991</v>
      </c>
      <c r="C15" s="64">
        <v>6.64</v>
      </c>
      <c r="D15" s="64">
        <v>9.91</v>
      </c>
      <c r="E15" s="64">
        <v>4.68</v>
      </c>
      <c r="F15" s="64">
        <v>3.54</v>
      </c>
      <c r="G15" s="64">
        <v>17.170000000000002</v>
      </c>
      <c r="H15" s="64">
        <v>12.23</v>
      </c>
      <c r="I15" s="64">
        <v>1.28</v>
      </c>
      <c r="J15" s="64">
        <v>0.44</v>
      </c>
      <c r="K15" s="64">
        <v>131.79</v>
      </c>
      <c r="L15" s="64">
        <v>23.34</v>
      </c>
      <c r="M15" s="64">
        <v>98.05</v>
      </c>
      <c r="N15" s="64">
        <v>43.8</v>
      </c>
      <c r="O15" s="64">
        <v>0</v>
      </c>
      <c r="P15" s="64">
        <v>0.36</v>
      </c>
      <c r="Q15" s="64">
        <v>9.0399999999999991</v>
      </c>
      <c r="R15" s="198"/>
      <c r="S15" s="198"/>
      <c r="T15" s="198"/>
      <c r="U15" s="198"/>
    </row>
    <row r="16" spans="1:21" s="12" customFormat="1" x14ac:dyDescent="0.25">
      <c r="A16" s="211" t="s">
        <v>2847</v>
      </c>
      <c r="B16" s="64">
        <v>7.72</v>
      </c>
      <c r="C16" s="64">
        <v>6.55</v>
      </c>
      <c r="D16" s="64">
        <v>9.61</v>
      </c>
      <c r="E16" s="64">
        <v>4.8600000000000003</v>
      </c>
      <c r="F16" s="64">
        <v>3.3</v>
      </c>
      <c r="G16" s="64">
        <v>17.170000000000002</v>
      </c>
      <c r="H16" s="64">
        <v>12.23</v>
      </c>
      <c r="I16" s="64">
        <v>1.28</v>
      </c>
      <c r="J16" s="64">
        <v>0.15</v>
      </c>
      <c r="K16" s="64">
        <v>117.54</v>
      </c>
      <c r="L16" s="64">
        <v>23.37</v>
      </c>
      <c r="M16" s="64">
        <v>98.04</v>
      </c>
      <c r="N16" s="64">
        <v>43.8</v>
      </c>
      <c r="O16" s="64">
        <v>0</v>
      </c>
      <c r="P16" s="64">
        <v>0.35</v>
      </c>
      <c r="Q16" s="64">
        <v>9.0299999999999994</v>
      </c>
      <c r="R16" s="198"/>
      <c r="S16" s="198"/>
      <c r="T16" s="198"/>
      <c r="U16" s="198"/>
    </row>
    <row r="17" spans="1:21" s="12" customFormat="1" x14ac:dyDescent="0.25">
      <c r="A17" s="211" t="s">
        <v>2848</v>
      </c>
      <c r="B17" s="64">
        <v>8.35</v>
      </c>
      <c r="C17" s="64">
        <v>6.16</v>
      </c>
      <c r="D17" s="64">
        <v>9.92</v>
      </c>
      <c r="E17" s="64">
        <v>4.6900000000000004</v>
      </c>
      <c r="F17" s="64">
        <v>3</v>
      </c>
      <c r="G17" s="64">
        <v>14.1</v>
      </c>
      <c r="H17" s="64">
        <v>11.9</v>
      </c>
      <c r="I17" s="64">
        <v>1.28</v>
      </c>
      <c r="J17" s="64">
        <v>0.05</v>
      </c>
      <c r="K17" s="64">
        <v>166.57</v>
      </c>
      <c r="L17" s="64">
        <v>23.35</v>
      </c>
      <c r="M17" s="64">
        <v>98.05</v>
      </c>
      <c r="N17" s="64">
        <v>44</v>
      </c>
      <c r="O17" s="64">
        <v>0</v>
      </c>
      <c r="P17" s="64">
        <v>0.34</v>
      </c>
      <c r="Q17" s="64">
        <v>9.0399999999999991</v>
      </c>
      <c r="R17" s="198"/>
      <c r="S17" s="198"/>
      <c r="T17" s="198"/>
      <c r="U17" s="198"/>
    </row>
    <row r="18" spans="1:21" s="12" customFormat="1" x14ac:dyDescent="0.25">
      <c r="A18" s="211" t="s">
        <v>2849</v>
      </c>
      <c r="B18" s="64">
        <v>7.63</v>
      </c>
      <c r="C18" s="64">
        <v>6.14</v>
      </c>
      <c r="D18" s="64">
        <v>9.33</v>
      </c>
      <c r="E18" s="64">
        <v>4.68</v>
      </c>
      <c r="F18" s="64">
        <v>4.0599999999999996</v>
      </c>
      <c r="G18" s="64">
        <v>13.27</v>
      </c>
      <c r="H18" s="64">
        <v>11.9</v>
      </c>
      <c r="I18" s="64">
        <v>1.28</v>
      </c>
      <c r="J18" s="64">
        <v>7.0000000000000007E-2</v>
      </c>
      <c r="K18" s="64">
        <v>287.93</v>
      </c>
      <c r="L18" s="64">
        <v>23.39</v>
      </c>
      <c r="M18" s="64">
        <v>98.05</v>
      </c>
      <c r="N18" s="64">
        <v>44</v>
      </c>
      <c r="O18" s="64">
        <v>0</v>
      </c>
      <c r="P18" s="64">
        <v>0.3</v>
      </c>
      <c r="Q18" s="64">
        <v>9.0500000000000007</v>
      </c>
      <c r="R18" s="198"/>
      <c r="S18" s="198"/>
      <c r="T18" s="198"/>
      <c r="U18" s="198"/>
    </row>
    <row r="19" spans="1:21" s="12" customFormat="1" x14ac:dyDescent="0.25">
      <c r="A19" s="211" t="s">
        <v>2850</v>
      </c>
      <c r="B19" s="64">
        <v>8.1</v>
      </c>
      <c r="C19" s="64">
        <v>5.91</v>
      </c>
      <c r="D19" s="64">
        <v>9.58</v>
      </c>
      <c r="E19" s="64">
        <v>4.54</v>
      </c>
      <c r="F19" s="64">
        <v>2.34</v>
      </c>
      <c r="G19" s="64">
        <v>13.27</v>
      </c>
      <c r="H19" s="64">
        <v>11.9</v>
      </c>
      <c r="I19" s="64">
        <v>1.27</v>
      </c>
      <c r="J19" s="64">
        <v>0.05</v>
      </c>
      <c r="K19" s="64">
        <v>201</v>
      </c>
      <c r="L19" s="64">
        <v>23.32</v>
      </c>
      <c r="M19" s="64">
        <v>98.07</v>
      </c>
      <c r="N19" s="64">
        <v>44</v>
      </c>
      <c r="O19" s="64">
        <v>0</v>
      </c>
      <c r="P19" s="64">
        <v>0.34</v>
      </c>
      <c r="Q19" s="64">
        <v>9.0500000000000007</v>
      </c>
      <c r="R19" s="198"/>
      <c r="S19" s="198"/>
      <c r="T19" s="198"/>
      <c r="U19" s="198"/>
    </row>
    <row r="20" spans="1:21" s="12" customFormat="1" x14ac:dyDescent="0.25">
      <c r="A20" s="211" t="s">
        <v>2851</v>
      </c>
      <c r="B20" s="64">
        <v>8.01</v>
      </c>
      <c r="C20" s="64">
        <v>6.02</v>
      </c>
      <c r="D20" s="64">
        <v>9.57</v>
      </c>
      <c r="E20" s="64">
        <v>4.63</v>
      </c>
      <c r="F20" s="64">
        <v>3.05</v>
      </c>
      <c r="G20" s="64">
        <v>13.27</v>
      </c>
      <c r="H20" s="64">
        <v>11.9</v>
      </c>
      <c r="I20" s="64">
        <v>1.25</v>
      </c>
      <c r="J20" s="64">
        <v>0.04</v>
      </c>
      <c r="K20" s="64">
        <v>132.85</v>
      </c>
      <c r="L20" s="64">
        <v>23.19</v>
      </c>
      <c r="M20" s="64">
        <v>98.08</v>
      </c>
      <c r="N20" s="64">
        <v>44</v>
      </c>
      <c r="O20" s="64">
        <v>0</v>
      </c>
      <c r="P20" s="64">
        <v>0.31</v>
      </c>
      <c r="Q20" s="64">
        <v>9.0399999999999991</v>
      </c>
      <c r="R20" s="198"/>
      <c r="S20" s="198"/>
      <c r="T20" s="198"/>
      <c r="U20" s="198"/>
    </row>
    <row r="21" spans="1:21" s="12" customFormat="1" x14ac:dyDescent="0.25">
      <c r="A21" s="211" t="s">
        <v>2852</v>
      </c>
      <c r="B21" s="64">
        <v>7.88</v>
      </c>
      <c r="C21" s="64">
        <v>5.81</v>
      </c>
      <c r="D21" s="64">
        <v>9.35</v>
      </c>
      <c r="E21" s="64">
        <v>4.55</v>
      </c>
      <c r="F21" s="64">
        <v>2.2200000000000002</v>
      </c>
      <c r="G21" s="64">
        <v>13.11</v>
      </c>
      <c r="H21" s="64">
        <v>11.5</v>
      </c>
      <c r="I21" s="64">
        <v>1.24</v>
      </c>
      <c r="J21" s="64">
        <v>0.2</v>
      </c>
      <c r="K21" s="64">
        <v>137.22999999999999</v>
      </c>
      <c r="L21" s="64">
        <v>23.07</v>
      </c>
      <c r="M21" s="64">
        <v>98.09</v>
      </c>
      <c r="N21" s="64">
        <v>44.1</v>
      </c>
      <c r="O21" s="64">
        <v>0</v>
      </c>
      <c r="P21" s="64">
        <v>0.34</v>
      </c>
      <c r="Q21" s="64">
        <v>9.0399999999999991</v>
      </c>
      <c r="R21" s="198"/>
      <c r="S21" s="198"/>
      <c r="T21" s="198"/>
      <c r="U21" s="198"/>
    </row>
    <row r="22" spans="1:21" s="12" customFormat="1" x14ac:dyDescent="0.25">
      <c r="A22" s="211" t="s">
        <v>2853</v>
      </c>
      <c r="B22" s="64">
        <v>8.49</v>
      </c>
      <c r="C22" s="64">
        <v>5.84</v>
      </c>
      <c r="D22" s="64">
        <v>9.86</v>
      </c>
      <c r="E22" s="64">
        <v>4.43</v>
      </c>
      <c r="F22" s="64">
        <v>2.25</v>
      </c>
      <c r="G22" s="64">
        <v>13.07</v>
      </c>
      <c r="H22" s="64">
        <v>11.5</v>
      </c>
      <c r="I22" s="64">
        <v>1.23</v>
      </c>
      <c r="J22" s="64">
        <v>7.0000000000000007E-2</v>
      </c>
      <c r="K22" s="64">
        <v>305.54000000000002</v>
      </c>
      <c r="L22" s="64">
        <v>23.02</v>
      </c>
      <c r="M22" s="64">
        <v>98.12</v>
      </c>
      <c r="N22" s="64">
        <v>43.9</v>
      </c>
      <c r="O22" s="64">
        <v>0</v>
      </c>
      <c r="P22" s="64">
        <v>0.35</v>
      </c>
      <c r="Q22" s="64">
        <v>9.0299999999999994</v>
      </c>
      <c r="R22" s="198"/>
      <c r="S22" s="198"/>
      <c r="T22" s="198"/>
      <c r="U22" s="198"/>
    </row>
    <row r="23" spans="1:21" s="12" customFormat="1" x14ac:dyDescent="0.25">
      <c r="A23" s="211" t="s">
        <v>2854</v>
      </c>
      <c r="B23" s="64">
        <v>8.02</v>
      </c>
      <c r="C23" s="64">
        <v>6.48</v>
      </c>
      <c r="D23" s="64">
        <v>9.81</v>
      </c>
      <c r="E23" s="64">
        <v>4.41</v>
      </c>
      <c r="F23" s="64">
        <v>3.11</v>
      </c>
      <c r="G23" s="64">
        <v>13.07</v>
      </c>
      <c r="H23" s="64">
        <v>11.5</v>
      </c>
      <c r="I23" s="64">
        <v>1.22</v>
      </c>
      <c r="J23" s="64">
        <v>0.1</v>
      </c>
      <c r="K23" s="64">
        <v>300.5</v>
      </c>
      <c r="L23" s="64">
        <v>23.06</v>
      </c>
      <c r="M23" s="64">
        <v>98.13</v>
      </c>
      <c r="N23" s="64">
        <v>43.8</v>
      </c>
      <c r="O23" s="64">
        <v>0</v>
      </c>
      <c r="P23" s="64">
        <v>0.31</v>
      </c>
      <c r="Q23" s="64">
        <v>9.06</v>
      </c>
      <c r="R23" s="198"/>
      <c r="S23" s="198"/>
      <c r="T23" s="198"/>
      <c r="U23" s="198"/>
    </row>
    <row r="24" spans="1:21" s="12" customFormat="1" x14ac:dyDescent="0.25">
      <c r="A24" s="211" t="s">
        <v>2855</v>
      </c>
      <c r="B24" s="64">
        <v>8.1199999999999992</v>
      </c>
      <c r="C24" s="64">
        <v>6.77</v>
      </c>
      <c r="D24" s="64">
        <v>10.050000000000001</v>
      </c>
      <c r="E24" s="64">
        <v>4.26</v>
      </c>
      <c r="F24" s="64">
        <v>2.99</v>
      </c>
      <c r="G24" s="64">
        <v>13.07</v>
      </c>
      <c r="H24" s="64">
        <v>11.5</v>
      </c>
      <c r="I24" s="64">
        <v>1.2</v>
      </c>
      <c r="J24" s="64">
        <v>0.06</v>
      </c>
      <c r="K24" s="64">
        <v>178.53</v>
      </c>
      <c r="L24" s="64">
        <v>23</v>
      </c>
      <c r="M24" s="64">
        <v>98.13</v>
      </c>
      <c r="N24" s="64">
        <v>43.9</v>
      </c>
      <c r="O24" s="64">
        <v>0</v>
      </c>
      <c r="P24" s="64">
        <v>0.31</v>
      </c>
      <c r="Q24" s="64">
        <v>9.06</v>
      </c>
      <c r="R24" s="198"/>
      <c r="S24" s="198"/>
      <c r="T24" s="198"/>
      <c r="U24" s="198"/>
    </row>
    <row r="25" spans="1:21" s="12" customFormat="1" x14ac:dyDescent="0.25">
      <c r="A25" s="211" t="s">
        <v>2856</v>
      </c>
      <c r="B25" s="64">
        <v>8.3699999999999992</v>
      </c>
      <c r="C25" s="64">
        <v>6.99</v>
      </c>
      <c r="D25" s="64">
        <v>10.36</v>
      </c>
      <c r="E25" s="64">
        <v>4.46</v>
      </c>
      <c r="F25" s="64">
        <v>2.19</v>
      </c>
      <c r="G25" s="64">
        <v>11.79</v>
      </c>
      <c r="H25" s="64">
        <v>10.59</v>
      </c>
      <c r="I25" s="64">
        <v>1.18</v>
      </c>
      <c r="J25" s="64">
        <v>0.08</v>
      </c>
      <c r="K25" s="64">
        <v>310.12</v>
      </c>
      <c r="L25" s="64">
        <v>22.98</v>
      </c>
      <c r="M25" s="64">
        <v>98.11</v>
      </c>
      <c r="N25" s="64">
        <v>43.8</v>
      </c>
      <c r="O25" s="64">
        <v>0</v>
      </c>
      <c r="P25" s="64">
        <v>0.3</v>
      </c>
      <c r="Q25" s="64">
        <v>9.07</v>
      </c>
      <c r="R25" s="198"/>
      <c r="S25" s="198"/>
      <c r="T25" s="198"/>
      <c r="U25" s="198"/>
    </row>
    <row r="26" spans="1:21" s="12" customFormat="1" x14ac:dyDescent="0.25">
      <c r="A26" s="211" t="s">
        <v>2857</v>
      </c>
      <c r="B26" s="64">
        <v>8.98</v>
      </c>
      <c r="C26" s="64">
        <v>7.41</v>
      </c>
      <c r="D26" s="64">
        <v>11.07</v>
      </c>
      <c r="E26" s="64">
        <v>4.46</v>
      </c>
      <c r="F26" s="64">
        <v>2.1</v>
      </c>
      <c r="G26" s="64">
        <v>11.45</v>
      </c>
      <c r="H26" s="64">
        <v>10.59</v>
      </c>
      <c r="I26" s="64">
        <v>1.1599999999999999</v>
      </c>
      <c r="J26" s="64">
        <v>0.04</v>
      </c>
      <c r="K26" s="64">
        <v>219.64</v>
      </c>
      <c r="L26" s="64">
        <v>22.95</v>
      </c>
      <c r="M26" s="64">
        <v>98.11</v>
      </c>
      <c r="N26" s="64">
        <v>43.9</v>
      </c>
      <c r="O26" s="64">
        <v>0</v>
      </c>
      <c r="P26" s="64">
        <v>0.32</v>
      </c>
      <c r="Q26" s="64">
        <v>9.07</v>
      </c>
      <c r="R26" s="198"/>
      <c r="S26" s="198"/>
      <c r="T26" s="198"/>
      <c r="U26" s="198"/>
    </row>
    <row r="27" spans="1:21" s="12" customFormat="1" x14ac:dyDescent="0.25">
      <c r="A27" s="211" t="s">
        <v>2858</v>
      </c>
      <c r="B27" s="64">
        <v>9.1300000000000008</v>
      </c>
      <c r="C27" s="64">
        <v>7.19</v>
      </c>
      <c r="D27" s="64">
        <v>11.08</v>
      </c>
      <c r="E27" s="64">
        <v>4.3499999999999996</v>
      </c>
      <c r="F27" s="64">
        <v>2.1</v>
      </c>
      <c r="G27" s="64">
        <v>11.45</v>
      </c>
      <c r="H27" s="64">
        <v>10.59</v>
      </c>
      <c r="I27" s="64">
        <v>1.1499999999999999</v>
      </c>
      <c r="J27" s="64">
        <v>0.08</v>
      </c>
      <c r="K27" s="64">
        <v>318.38</v>
      </c>
      <c r="L27" s="64">
        <v>22.91</v>
      </c>
      <c r="M27" s="64">
        <v>98.13</v>
      </c>
      <c r="N27" s="64">
        <v>43.9</v>
      </c>
      <c r="O27" s="64">
        <v>0</v>
      </c>
      <c r="P27" s="64">
        <v>0.31</v>
      </c>
      <c r="Q27" s="64">
        <v>9.08</v>
      </c>
      <c r="R27" s="198"/>
      <c r="S27" s="198"/>
      <c r="T27" s="198"/>
      <c r="U27" s="198"/>
    </row>
    <row r="28" spans="1:21" s="12" customFormat="1" x14ac:dyDescent="0.25">
      <c r="A28" s="211" t="s">
        <v>2859</v>
      </c>
      <c r="B28" s="64">
        <v>10.3</v>
      </c>
      <c r="C28" s="64">
        <v>6.89</v>
      </c>
      <c r="D28" s="64">
        <v>11.86</v>
      </c>
      <c r="E28" s="64">
        <v>4.58</v>
      </c>
      <c r="F28" s="64">
        <v>2.27</v>
      </c>
      <c r="G28" s="64">
        <v>11.45</v>
      </c>
      <c r="H28" s="64">
        <v>10.59</v>
      </c>
      <c r="I28" s="64">
        <v>1.1399999999999999</v>
      </c>
      <c r="J28" s="64">
        <v>0.18</v>
      </c>
      <c r="K28" s="64">
        <v>331.28</v>
      </c>
      <c r="L28" s="64">
        <v>22.92</v>
      </c>
      <c r="M28" s="64">
        <v>98.15</v>
      </c>
      <c r="N28" s="64">
        <v>43.9</v>
      </c>
      <c r="O28" s="64">
        <v>0</v>
      </c>
      <c r="P28" s="64">
        <v>0.32</v>
      </c>
      <c r="Q28" s="64">
        <v>9.09</v>
      </c>
      <c r="R28" s="198"/>
      <c r="S28" s="198"/>
      <c r="T28" s="198"/>
      <c r="U28" s="198"/>
    </row>
    <row r="29" spans="1:21" s="12" customFormat="1" x14ac:dyDescent="0.25">
      <c r="A29" s="211" t="s">
        <v>2860</v>
      </c>
      <c r="B29" s="64">
        <v>10.55</v>
      </c>
      <c r="C29" s="64">
        <v>7.5</v>
      </c>
      <c r="D29" s="64">
        <v>12.38</v>
      </c>
      <c r="E29" s="64">
        <v>4.29</v>
      </c>
      <c r="F29" s="64">
        <v>2.1</v>
      </c>
      <c r="G29" s="64">
        <v>8.7799999999999994</v>
      </c>
      <c r="H29" s="64">
        <v>13.06</v>
      </c>
      <c r="I29" s="64">
        <v>1.1299999999999999</v>
      </c>
      <c r="J29" s="64">
        <v>0.12</v>
      </c>
      <c r="K29" s="64">
        <v>309.95999999999998</v>
      </c>
      <c r="L29" s="64">
        <v>22.87</v>
      </c>
      <c r="M29" s="64">
        <v>98.15</v>
      </c>
      <c r="N29" s="64">
        <v>43.9</v>
      </c>
      <c r="O29" s="64">
        <v>0</v>
      </c>
      <c r="P29" s="64">
        <v>0.32</v>
      </c>
      <c r="Q29" s="64">
        <v>9.08</v>
      </c>
      <c r="R29" s="198"/>
      <c r="S29" s="198"/>
      <c r="T29" s="198"/>
      <c r="U29" s="198"/>
    </row>
    <row r="30" spans="1:21" s="12" customFormat="1" x14ac:dyDescent="0.25">
      <c r="A30" s="211" t="s">
        <v>2861</v>
      </c>
      <c r="B30" s="64">
        <v>9.73</v>
      </c>
      <c r="C30" s="64">
        <v>6.64</v>
      </c>
      <c r="D30" s="64">
        <v>11.27</v>
      </c>
      <c r="E30" s="64">
        <v>4.34</v>
      </c>
      <c r="F30" s="64">
        <v>2.1</v>
      </c>
      <c r="G30" s="64">
        <v>8.01</v>
      </c>
      <c r="H30" s="64">
        <v>13.06</v>
      </c>
      <c r="I30" s="64">
        <v>1.1200000000000001</v>
      </c>
      <c r="J30" s="64">
        <v>0.04</v>
      </c>
      <c r="K30" s="64">
        <v>259.81</v>
      </c>
      <c r="L30" s="64">
        <v>22.85</v>
      </c>
      <c r="M30" s="64">
        <v>98.15</v>
      </c>
      <c r="N30" s="64">
        <v>43.9</v>
      </c>
      <c r="O30" s="64">
        <v>0</v>
      </c>
      <c r="P30" s="64">
        <v>0.33</v>
      </c>
      <c r="Q30" s="64">
        <v>9.08</v>
      </c>
      <c r="R30" s="198"/>
      <c r="S30" s="198"/>
      <c r="T30" s="198"/>
      <c r="U30" s="198"/>
    </row>
    <row r="31" spans="1:21" s="12" customFormat="1" x14ac:dyDescent="0.25">
      <c r="A31" s="211" t="s">
        <v>2862</v>
      </c>
      <c r="B31" s="64">
        <v>12.5</v>
      </c>
      <c r="C31" s="64">
        <v>6.88</v>
      </c>
      <c r="D31" s="64">
        <v>13.55</v>
      </c>
      <c r="E31" s="64">
        <v>4.34</v>
      </c>
      <c r="F31" s="64">
        <v>2.72</v>
      </c>
      <c r="G31" s="64">
        <v>8.01</v>
      </c>
      <c r="H31" s="64">
        <v>13.06</v>
      </c>
      <c r="I31" s="64">
        <v>1.1200000000000001</v>
      </c>
      <c r="J31" s="64">
        <v>0.12</v>
      </c>
      <c r="K31" s="64">
        <v>309.61</v>
      </c>
      <c r="L31" s="64">
        <v>22.9</v>
      </c>
      <c r="M31" s="64">
        <v>98.15</v>
      </c>
      <c r="N31" s="64">
        <v>43.9</v>
      </c>
      <c r="O31" s="64">
        <v>0</v>
      </c>
      <c r="P31" s="64">
        <v>0.34</v>
      </c>
      <c r="Q31" s="64">
        <v>9.06</v>
      </c>
      <c r="R31" s="198"/>
      <c r="S31" s="198"/>
      <c r="T31" s="198"/>
      <c r="U31" s="198"/>
    </row>
    <row r="32" spans="1:21" s="12" customFormat="1" x14ac:dyDescent="0.25">
      <c r="A32" s="211" t="s">
        <v>2863</v>
      </c>
      <c r="B32" s="64">
        <v>11.83</v>
      </c>
      <c r="C32" s="64">
        <v>5.93</v>
      </c>
      <c r="D32" s="64">
        <v>12.59</v>
      </c>
      <c r="E32" s="64">
        <v>4.3899999999999997</v>
      </c>
      <c r="F32" s="64">
        <v>2.12</v>
      </c>
      <c r="G32" s="64">
        <v>8.01</v>
      </c>
      <c r="H32" s="64">
        <v>13.06</v>
      </c>
      <c r="I32" s="64">
        <v>1.1200000000000001</v>
      </c>
      <c r="J32" s="64">
        <v>0.16</v>
      </c>
      <c r="K32" s="64">
        <v>320.47000000000003</v>
      </c>
      <c r="L32" s="64">
        <v>22.92</v>
      </c>
      <c r="M32" s="64">
        <v>98.15</v>
      </c>
      <c r="N32" s="64">
        <v>44.6</v>
      </c>
      <c r="O32" s="64">
        <v>0</v>
      </c>
      <c r="P32" s="64">
        <v>0.34</v>
      </c>
      <c r="Q32" s="64">
        <v>9.0500000000000007</v>
      </c>
      <c r="R32" s="198"/>
      <c r="S32" s="198"/>
      <c r="T32" s="198"/>
      <c r="U32" s="198"/>
    </row>
    <row r="33" spans="1:21" s="12" customFormat="1" x14ac:dyDescent="0.25">
      <c r="A33" s="211" t="s">
        <v>2864</v>
      </c>
      <c r="B33" s="64">
        <v>11.2</v>
      </c>
      <c r="C33" s="64">
        <v>7.84</v>
      </c>
      <c r="D33" s="64">
        <v>13.08</v>
      </c>
      <c r="E33" s="64">
        <v>4.25</v>
      </c>
      <c r="F33" s="64">
        <v>2.75</v>
      </c>
      <c r="G33" s="64">
        <v>6.12</v>
      </c>
      <c r="H33" s="64">
        <v>12.02</v>
      </c>
      <c r="I33" s="64">
        <v>1.1299999999999999</v>
      </c>
      <c r="J33" s="64">
        <v>0.01</v>
      </c>
      <c r="K33" s="64">
        <v>190.31</v>
      </c>
      <c r="L33" s="64">
        <v>22.96</v>
      </c>
      <c r="M33" s="64">
        <v>98.15</v>
      </c>
      <c r="N33" s="64">
        <v>47.2</v>
      </c>
      <c r="O33" s="64">
        <v>0</v>
      </c>
      <c r="P33" s="64">
        <v>0.35</v>
      </c>
      <c r="Q33" s="64">
        <v>9.07</v>
      </c>
      <c r="R33" s="198"/>
      <c r="S33" s="198"/>
      <c r="T33" s="198"/>
      <c r="U33" s="198"/>
    </row>
    <row r="34" spans="1:21" s="12" customFormat="1" x14ac:dyDescent="0.25">
      <c r="A34" s="211" t="s">
        <v>2865</v>
      </c>
      <c r="B34" s="64">
        <v>11.23</v>
      </c>
      <c r="C34" s="64">
        <v>6.89</v>
      </c>
      <c r="D34" s="64">
        <v>12.6</v>
      </c>
      <c r="E34" s="64">
        <v>4.24</v>
      </c>
      <c r="F34" s="64">
        <v>2.99</v>
      </c>
      <c r="G34" s="64">
        <v>5.61</v>
      </c>
      <c r="H34" s="64">
        <v>12.02</v>
      </c>
      <c r="I34" s="64">
        <v>1.1499999999999999</v>
      </c>
      <c r="J34" s="64">
        <v>0.19</v>
      </c>
      <c r="K34" s="64">
        <v>336.84</v>
      </c>
      <c r="L34" s="64">
        <v>23.02</v>
      </c>
      <c r="M34" s="64">
        <v>98.15</v>
      </c>
      <c r="N34" s="64">
        <v>53.8</v>
      </c>
      <c r="O34" s="64">
        <v>0</v>
      </c>
      <c r="P34" s="64">
        <v>0.35</v>
      </c>
      <c r="Q34" s="64">
        <v>9.07</v>
      </c>
      <c r="R34" s="198"/>
      <c r="S34" s="198"/>
      <c r="T34" s="198"/>
      <c r="U34" s="198"/>
    </row>
    <row r="35" spans="1:21" s="12" customFormat="1" x14ac:dyDescent="0.25">
      <c r="A35" s="211" t="s">
        <v>2866</v>
      </c>
      <c r="B35" s="64">
        <v>11.19</v>
      </c>
      <c r="C35" s="64">
        <v>6.79</v>
      </c>
      <c r="D35" s="64">
        <v>12.52</v>
      </c>
      <c r="E35" s="64">
        <v>4.59</v>
      </c>
      <c r="F35" s="64">
        <v>2.1</v>
      </c>
      <c r="G35" s="64">
        <v>5.61</v>
      </c>
      <c r="H35" s="64">
        <v>12.02</v>
      </c>
      <c r="I35" s="64">
        <v>1.1599999999999999</v>
      </c>
      <c r="J35" s="64">
        <v>0.15</v>
      </c>
      <c r="K35" s="64">
        <v>295.5</v>
      </c>
      <c r="L35" s="64">
        <v>23.09</v>
      </c>
      <c r="M35" s="64">
        <v>98.15</v>
      </c>
      <c r="N35" s="64">
        <v>67.3</v>
      </c>
      <c r="O35" s="64">
        <v>0</v>
      </c>
      <c r="P35" s="64">
        <v>0.35</v>
      </c>
      <c r="Q35" s="64">
        <v>9.08</v>
      </c>
      <c r="R35" s="198"/>
      <c r="S35" s="198"/>
      <c r="T35" s="198"/>
      <c r="U35" s="198"/>
    </row>
    <row r="36" spans="1:21" s="12" customFormat="1" x14ac:dyDescent="0.25">
      <c r="A36" s="211" t="s">
        <v>2867</v>
      </c>
      <c r="B36" s="64">
        <v>14.31</v>
      </c>
      <c r="C36" s="64">
        <v>6.83</v>
      </c>
      <c r="D36" s="64">
        <v>15.04</v>
      </c>
      <c r="E36" s="64">
        <v>4.12</v>
      </c>
      <c r="F36" s="64">
        <v>2.82</v>
      </c>
      <c r="G36" s="64">
        <v>5.61</v>
      </c>
      <c r="H36" s="64">
        <v>12.02</v>
      </c>
      <c r="I36" s="64">
        <v>1.17</v>
      </c>
      <c r="J36" s="64">
        <v>0.21</v>
      </c>
      <c r="K36" s="64">
        <v>309.41000000000003</v>
      </c>
      <c r="L36" s="64">
        <v>23.19</v>
      </c>
      <c r="M36" s="64">
        <v>98.13</v>
      </c>
      <c r="N36" s="64">
        <v>70.900000000000006</v>
      </c>
      <c r="O36" s="64">
        <v>0</v>
      </c>
      <c r="P36" s="64">
        <v>0.38</v>
      </c>
      <c r="Q36" s="64">
        <v>9.08</v>
      </c>
      <c r="R36" s="198"/>
      <c r="S36" s="198"/>
      <c r="T36" s="198"/>
      <c r="U36" s="198"/>
    </row>
    <row r="37" spans="1:21" s="12" customFormat="1" x14ac:dyDescent="0.25">
      <c r="A37" s="211" t="s">
        <v>2868</v>
      </c>
      <c r="B37" s="64">
        <v>13.53</v>
      </c>
      <c r="C37" s="64">
        <v>7.2</v>
      </c>
      <c r="D37" s="64">
        <v>14.53</v>
      </c>
      <c r="E37" s="64">
        <v>4.0599999999999996</v>
      </c>
      <c r="F37" s="64">
        <v>2.2200000000000002</v>
      </c>
      <c r="G37" s="64">
        <v>18.489999999999998</v>
      </c>
      <c r="H37" s="64">
        <v>11.03</v>
      </c>
      <c r="I37" s="64">
        <v>1.19</v>
      </c>
      <c r="J37" s="64">
        <v>0.02</v>
      </c>
      <c r="K37" s="64">
        <v>100.88</v>
      </c>
      <c r="L37" s="64">
        <v>23.34</v>
      </c>
      <c r="M37" s="64">
        <v>98.1</v>
      </c>
      <c r="N37" s="64">
        <v>83.5</v>
      </c>
      <c r="O37" s="64">
        <v>0</v>
      </c>
      <c r="P37" s="64">
        <v>0.36</v>
      </c>
      <c r="Q37" s="64">
        <v>9.09</v>
      </c>
      <c r="R37" s="198"/>
      <c r="S37" s="198"/>
      <c r="T37" s="198"/>
      <c r="U37" s="198"/>
    </row>
    <row r="38" spans="1:21" s="12" customFormat="1" x14ac:dyDescent="0.25">
      <c r="A38" s="211" t="s">
        <v>2869</v>
      </c>
      <c r="B38" s="64">
        <v>12.7</v>
      </c>
      <c r="C38" s="64">
        <v>8.0500000000000007</v>
      </c>
      <c r="D38" s="64">
        <v>14.39</v>
      </c>
      <c r="E38" s="64">
        <v>4.46</v>
      </c>
      <c r="F38" s="64">
        <v>2.4500000000000002</v>
      </c>
      <c r="G38" s="64">
        <v>21.94</v>
      </c>
      <c r="H38" s="64">
        <v>11.03</v>
      </c>
      <c r="I38" s="64">
        <v>1.21</v>
      </c>
      <c r="J38" s="64">
        <v>0.15</v>
      </c>
      <c r="K38" s="64">
        <v>337.63</v>
      </c>
      <c r="L38" s="64">
        <v>23.54</v>
      </c>
      <c r="M38" s="64">
        <v>98.09</v>
      </c>
      <c r="N38" s="64">
        <v>86</v>
      </c>
      <c r="O38" s="64">
        <v>0</v>
      </c>
      <c r="P38" s="64">
        <v>0.41</v>
      </c>
      <c r="Q38" s="64">
        <v>9.09</v>
      </c>
      <c r="R38" s="198"/>
      <c r="S38" s="198"/>
      <c r="T38" s="198"/>
      <c r="U38" s="198"/>
    </row>
    <row r="39" spans="1:21" s="12" customFormat="1" x14ac:dyDescent="0.25">
      <c r="A39" s="211" t="s">
        <v>2870</v>
      </c>
      <c r="B39" s="64">
        <v>14.32</v>
      </c>
      <c r="C39" s="64">
        <v>6.27</v>
      </c>
      <c r="D39" s="64">
        <v>14.76</v>
      </c>
      <c r="E39" s="64">
        <v>4.58</v>
      </c>
      <c r="F39" s="64">
        <v>2.1800000000000002</v>
      </c>
      <c r="G39" s="64">
        <v>21.94</v>
      </c>
      <c r="H39" s="64">
        <v>11.03</v>
      </c>
      <c r="I39" s="64">
        <v>1.23</v>
      </c>
      <c r="J39" s="64">
        <v>0.21</v>
      </c>
      <c r="K39" s="64">
        <v>342.29</v>
      </c>
      <c r="L39" s="64">
        <v>23.68</v>
      </c>
      <c r="M39" s="64">
        <v>98.08</v>
      </c>
      <c r="N39" s="64">
        <v>95.1</v>
      </c>
      <c r="O39" s="64">
        <v>0</v>
      </c>
      <c r="P39" s="64">
        <v>0.4</v>
      </c>
      <c r="Q39" s="64">
        <v>9.1199999999999992</v>
      </c>
      <c r="R39" s="198"/>
      <c r="S39" s="198"/>
      <c r="T39" s="198"/>
      <c r="U39" s="198"/>
    </row>
    <row r="40" spans="1:21" s="12" customFormat="1" x14ac:dyDescent="0.25">
      <c r="A40" s="211" t="s">
        <v>2871</v>
      </c>
      <c r="B40" s="64">
        <v>15.31</v>
      </c>
      <c r="C40" s="64">
        <v>7.71</v>
      </c>
      <c r="D40" s="64">
        <v>16.21</v>
      </c>
      <c r="E40" s="64">
        <v>4.62</v>
      </c>
      <c r="F40" s="64">
        <v>2.1</v>
      </c>
      <c r="G40" s="64">
        <v>21.94</v>
      </c>
      <c r="H40" s="64">
        <v>11.03</v>
      </c>
      <c r="I40" s="64">
        <v>1.25</v>
      </c>
      <c r="J40" s="64">
        <v>0.08</v>
      </c>
      <c r="K40" s="64">
        <v>324.98</v>
      </c>
      <c r="L40" s="64">
        <v>23.88</v>
      </c>
      <c r="M40" s="64">
        <v>98.05</v>
      </c>
      <c r="N40" s="64">
        <v>100.9</v>
      </c>
      <c r="O40" s="64">
        <v>0</v>
      </c>
      <c r="P40" s="64">
        <v>0.45</v>
      </c>
      <c r="Q40" s="64">
        <v>9.14</v>
      </c>
      <c r="R40" s="198"/>
      <c r="S40" s="198"/>
      <c r="T40" s="198"/>
      <c r="U40" s="198"/>
    </row>
    <row r="41" spans="1:21" s="12" customFormat="1" x14ac:dyDescent="0.25">
      <c r="A41" s="211" t="s">
        <v>2872</v>
      </c>
      <c r="B41" s="64">
        <v>14.38</v>
      </c>
      <c r="C41" s="64">
        <v>6.59</v>
      </c>
      <c r="D41" s="64">
        <v>14.97</v>
      </c>
      <c r="E41" s="64">
        <v>5.51</v>
      </c>
      <c r="F41" s="64">
        <v>2.54</v>
      </c>
      <c r="G41" s="64">
        <v>32.479999999999997</v>
      </c>
      <c r="H41" s="64">
        <v>9.9700000000000006</v>
      </c>
      <c r="I41" s="64">
        <v>1.29</v>
      </c>
      <c r="J41" s="64">
        <v>0.11</v>
      </c>
      <c r="K41" s="64">
        <v>135.66999999999999</v>
      </c>
      <c r="L41" s="64">
        <v>24.04</v>
      </c>
      <c r="M41" s="64">
        <v>98.03</v>
      </c>
      <c r="N41" s="64">
        <v>167.6</v>
      </c>
      <c r="O41" s="64">
        <v>0</v>
      </c>
      <c r="P41" s="64">
        <v>0.48</v>
      </c>
      <c r="Q41" s="64">
        <v>9.16</v>
      </c>
      <c r="R41" s="198"/>
      <c r="S41" s="198"/>
      <c r="T41" s="198"/>
      <c r="U41" s="198"/>
    </row>
    <row r="42" spans="1:21" s="12" customFormat="1" x14ac:dyDescent="0.25">
      <c r="A42" s="211" t="s">
        <v>2873</v>
      </c>
      <c r="B42" s="64">
        <v>13.82</v>
      </c>
      <c r="C42" s="64">
        <v>7.48</v>
      </c>
      <c r="D42" s="64">
        <v>14.99</v>
      </c>
      <c r="E42" s="64">
        <v>5.89</v>
      </c>
      <c r="F42" s="64">
        <v>2.91</v>
      </c>
      <c r="G42" s="64">
        <v>35.299999999999997</v>
      </c>
      <c r="H42" s="64">
        <v>9.9700000000000006</v>
      </c>
      <c r="I42" s="64">
        <v>1.3</v>
      </c>
      <c r="J42" s="64">
        <v>0.6</v>
      </c>
      <c r="K42" s="64">
        <v>127.94</v>
      </c>
      <c r="L42" s="64">
        <v>24.45</v>
      </c>
      <c r="M42" s="64">
        <v>98</v>
      </c>
      <c r="N42" s="64">
        <v>178.4</v>
      </c>
      <c r="O42" s="64">
        <v>0</v>
      </c>
      <c r="P42" s="64">
        <v>0.44</v>
      </c>
      <c r="Q42" s="64">
        <v>9.18</v>
      </c>
      <c r="R42" s="198"/>
      <c r="S42" s="198"/>
      <c r="T42" s="198"/>
      <c r="U42" s="198"/>
    </row>
    <row r="43" spans="1:21" s="12" customFormat="1" x14ac:dyDescent="0.25">
      <c r="A43" s="211" t="s">
        <v>2874</v>
      </c>
      <c r="B43" s="64">
        <v>11.55</v>
      </c>
      <c r="C43" s="64">
        <v>7.39</v>
      </c>
      <c r="D43" s="64">
        <v>13.12</v>
      </c>
      <c r="E43" s="64">
        <v>5.87</v>
      </c>
      <c r="F43" s="64">
        <v>3.05</v>
      </c>
      <c r="G43" s="64">
        <v>35.299999999999997</v>
      </c>
      <c r="H43" s="64">
        <v>9.9700000000000006</v>
      </c>
      <c r="I43" s="64">
        <v>1.32</v>
      </c>
      <c r="J43" s="64">
        <v>0.54</v>
      </c>
      <c r="K43" s="64">
        <v>130.37</v>
      </c>
      <c r="L43" s="64">
        <v>24.5</v>
      </c>
      <c r="M43" s="64">
        <v>98.01</v>
      </c>
      <c r="N43" s="64">
        <v>202.4</v>
      </c>
      <c r="O43" s="64">
        <v>0</v>
      </c>
      <c r="P43" s="64">
        <v>0.46</v>
      </c>
      <c r="Q43" s="64">
        <v>9.18</v>
      </c>
      <c r="R43" s="198"/>
      <c r="S43" s="198"/>
      <c r="T43" s="198"/>
      <c r="U43" s="198"/>
    </row>
    <row r="44" spans="1:21" s="12" customFormat="1" x14ac:dyDescent="0.25">
      <c r="A44" s="211" t="s">
        <v>2875</v>
      </c>
      <c r="B44" s="64">
        <v>11.59</v>
      </c>
      <c r="C44" s="64">
        <v>7.66</v>
      </c>
      <c r="D44" s="64">
        <v>13.3</v>
      </c>
      <c r="E44" s="64">
        <v>5.81</v>
      </c>
      <c r="F44" s="64">
        <v>3.16</v>
      </c>
      <c r="G44" s="64">
        <v>35.299999999999997</v>
      </c>
      <c r="H44" s="64">
        <v>9.9700000000000006</v>
      </c>
      <c r="I44" s="64">
        <v>1.34</v>
      </c>
      <c r="J44" s="64">
        <v>0.68</v>
      </c>
      <c r="K44" s="64">
        <v>131.47999999999999</v>
      </c>
      <c r="L44" s="64">
        <v>24.79</v>
      </c>
      <c r="M44" s="64">
        <v>98</v>
      </c>
      <c r="N44" s="64">
        <v>213.9</v>
      </c>
      <c r="O44" s="64">
        <v>0</v>
      </c>
      <c r="P44" s="64">
        <v>0.45</v>
      </c>
      <c r="Q44" s="64">
        <v>9.18</v>
      </c>
      <c r="R44" s="198"/>
      <c r="S44" s="198"/>
      <c r="T44" s="198"/>
      <c r="U44" s="198"/>
    </row>
    <row r="45" spans="1:21" s="12" customFormat="1" x14ac:dyDescent="0.25">
      <c r="A45" s="211" t="s">
        <v>2876</v>
      </c>
      <c r="B45" s="64">
        <v>12.54</v>
      </c>
      <c r="C45" s="64">
        <v>7.73</v>
      </c>
      <c r="D45" s="64">
        <v>14.09</v>
      </c>
      <c r="E45" s="64">
        <v>6.14</v>
      </c>
      <c r="F45" s="64">
        <v>2.25</v>
      </c>
      <c r="G45" s="64">
        <v>33.979999999999997</v>
      </c>
      <c r="H45" s="64">
        <v>9.2799999999999994</v>
      </c>
      <c r="I45" s="64">
        <v>1.36</v>
      </c>
      <c r="J45" s="64">
        <v>0.66</v>
      </c>
      <c r="K45" s="64">
        <v>130.44</v>
      </c>
      <c r="L45" s="64">
        <v>24.81</v>
      </c>
      <c r="M45" s="64">
        <v>97.98</v>
      </c>
      <c r="N45" s="64">
        <v>170.7</v>
      </c>
      <c r="O45" s="64">
        <v>0</v>
      </c>
      <c r="P45" s="64">
        <v>0.47</v>
      </c>
      <c r="Q45" s="64">
        <v>9.18</v>
      </c>
      <c r="R45" s="198"/>
      <c r="S45" s="198"/>
      <c r="T45" s="198"/>
      <c r="U45" s="198"/>
    </row>
    <row r="46" spans="1:21" s="12" customFormat="1" x14ac:dyDescent="0.25">
      <c r="A46" s="211" t="s">
        <v>2877</v>
      </c>
      <c r="B46" s="64">
        <v>13.46</v>
      </c>
      <c r="C46" s="64">
        <v>6.61</v>
      </c>
      <c r="D46" s="64">
        <v>14.25</v>
      </c>
      <c r="E46" s="64">
        <v>6.28</v>
      </c>
      <c r="F46" s="64">
        <v>3.54</v>
      </c>
      <c r="G46" s="64">
        <v>33.630000000000003</v>
      </c>
      <c r="H46" s="64">
        <v>9.2799999999999994</v>
      </c>
      <c r="I46" s="64">
        <v>1.36</v>
      </c>
      <c r="J46" s="64">
        <v>0.6</v>
      </c>
      <c r="K46" s="64">
        <v>125.65</v>
      </c>
      <c r="L46" s="64">
        <v>24.61</v>
      </c>
      <c r="M46" s="64">
        <v>98</v>
      </c>
      <c r="N46" s="64">
        <v>156.19999999999999</v>
      </c>
      <c r="O46" s="64">
        <v>0</v>
      </c>
      <c r="P46" s="64">
        <v>0.5</v>
      </c>
      <c r="Q46" s="64">
        <v>9.19</v>
      </c>
      <c r="R46" s="198"/>
      <c r="S46" s="198"/>
      <c r="T46" s="198"/>
      <c r="U46" s="198"/>
    </row>
    <row r="47" spans="1:21" s="12" customFormat="1" x14ac:dyDescent="0.25">
      <c r="A47" s="211" t="s">
        <v>2878</v>
      </c>
      <c r="B47" s="64">
        <v>12.28</v>
      </c>
      <c r="C47" s="64">
        <v>8.3000000000000007</v>
      </c>
      <c r="D47" s="64">
        <v>14.19</v>
      </c>
      <c r="E47" s="64">
        <v>6.15</v>
      </c>
      <c r="F47" s="64">
        <v>3.3</v>
      </c>
      <c r="G47" s="64">
        <v>33.630000000000003</v>
      </c>
      <c r="H47" s="64">
        <v>9.2799999999999994</v>
      </c>
      <c r="I47" s="64">
        <v>1.38</v>
      </c>
      <c r="J47" s="64">
        <v>0.11</v>
      </c>
      <c r="K47" s="64">
        <v>162.26</v>
      </c>
      <c r="L47" s="64">
        <v>24.37</v>
      </c>
      <c r="M47" s="64">
        <v>98.03</v>
      </c>
      <c r="N47" s="64">
        <v>150.6</v>
      </c>
      <c r="O47" s="64">
        <v>0</v>
      </c>
      <c r="P47" s="64">
        <v>0.5</v>
      </c>
      <c r="Q47" s="64">
        <v>9.18</v>
      </c>
      <c r="R47" s="198"/>
      <c r="S47" s="198"/>
      <c r="T47" s="198"/>
      <c r="U47" s="198"/>
    </row>
    <row r="48" spans="1:21" s="12" customFormat="1" x14ac:dyDescent="0.25">
      <c r="A48" s="211" t="s">
        <v>2879</v>
      </c>
      <c r="B48" s="64">
        <v>12.94</v>
      </c>
      <c r="C48" s="64">
        <v>8.4</v>
      </c>
      <c r="D48" s="64">
        <v>14.77</v>
      </c>
      <c r="E48" s="64">
        <v>6.15</v>
      </c>
      <c r="F48" s="64">
        <v>3.61</v>
      </c>
      <c r="G48" s="64">
        <v>33.630000000000003</v>
      </c>
      <c r="H48" s="64">
        <v>9.2799999999999994</v>
      </c>
      <c r="I48" s="64">
        <v>1.42</v>
      </c>
      <c r="J48" s="64">
        <v>0.35</v>
      </c>
      <c r="K48" s="64">
        <v>139.72999999999999</v>
      </c>
      <c r="L48" s="64">
        <v>24.32</v>
      </c>
      <c r="M48" s="64">
        <v>98.05</v>
      </c>
      <c r="N48" s="64">
        <v>221.8</v>
      </c>
      <c r="O48" s="64">
        <v>0</v>
      </c>
      <c r="P48" s="64">
        <v>0.52</v>
      </c>
      <c r="Q48" s="64">
        <v>9.15</v>
      </c>
      <c r="R48" s="198"/>
      <c r="S48" s="198"/>
      <c r="T48" s="198"/>
      <c r="U48" s="198"/>
    </row>
    <row r="49" spans="1:21" s="12" customFormat="1" x14ac:dyDescent="0.25">
      <c r="A49" s="211" t="s">
        <v>2880</v>
      </c>
      <c r="B49" s="64">
        <v>15.28</v>
      </c>
      <c r="C49" s="64">
        <v>10.3</v>
      </c>
      <c r="D49" s="64">
        <v>17.64</v>
      </c>
      <c r="E49" s="64">
        <v>5.94</v>
      </c>
      <c r="F49" s="64">
        <v>4.71</v>
      </c>
      <c r="G49" s="64">
        <v>35.93</v>
      </c>
      <c r="H49" s="64">
        <v>8.9600000000000009</v>
      </c>
      <c r="I49" s="64">
        <v>1.46</v>
      </c>
      <c r="J49" s="64">
        <v>0.12</v>
      </c>
      <c r="K49" s="64">
        <v>344.63</v>
      </c>
      <c r="L49" s="64">
        <v>24.71</v>
      </c>
      <c r="M49" s="64">
        <v>98.06</v>
      </c>
      <c r="N49" s="64">
        <v>319.60000000000002</v>
      </c>
      <c r="O49" s="64">
        <v>0</v>
      </c>
      <c r="P49" s="64">
        <v>0.62</v>
      </c>
      <c r="Q49" s="64">
        <v>9.15</v>
      </c>
      <c r="R49" s="198"/>
      <c r="S49" s="198"/>
      <c r="T49" s="198"/>
      <c r="U49" s="198"/>
    </row>
    <row r="50" spans="1:21" s="12" customFormat="1" x14ac:dyDescent="0.25">
      <c r="A50" s="211" t="s">
        <v>2881</v>
      </c>
      <c r="B50" s="64">
        <v>13.9</v>
      </c>
      <c r="C50" s="64">
        <v>10</v>
      </c>
      <c r="D50" s="64">
        <v>16.37</v>
      </c>
      <c r="E50" s="64">
        <v>5.89</v>
      </c>
      <c r="F50" s="64">
        <v>5.57</v>
      </c>
      <c r="G50" s="64">
        <v>36.549999999999997</v>
      </c>
      <c r="H50" s="64">
        <v>8.9600000000000009</v>
      </c>
      <c r="I50" s="64">
        <v>1.51</v>
      </c>
      <c r="J50" s="64">
        <v>0.13</v>
      </c>
      <c r="K50" s="64">
        <v>26.06</v>
      </c>
      <c r="L50" s="64">
        <v>25.56</v>
      </c>
      <c r="M50" s="64">
        <v>98</v>
      </c>
      <c r="N50" s="64">
        <v>320.60000000000002</v>
      </c>
      <c r="O50" s="64">
        <v>0</v>
      </c>
      <c r="P50" s="64">
        <v>0.61</v>
      </c>
      <c r="Q50" s="64">
        <v>9.15</v>
      </c>
      <c r="R50" s="198"/>
      <c r="S50" s="198"/>
      <c r="T50" s="198"/>
      <c r="U50" s="198"/>
    </row>
    <row r="51" spans="1:21" s="12" customFormat="1" x14ac:dyDescent="0.25">
      <c r="A51" s="211" t="s">
        <v>2882</v>
      </c>
      <c r="B51" s="64">
        <v>14.28</v>
      </c>
      <c r="C51" s="64">
        <v>8.0500000000000007</v>
      </c>
      <c r="D51" s="64">
        <v>15.66</v>
      </c>
      <c r="E51" s="64">
        <v>6.13</v>
      </c>
      <c r="F51" s="64">
        <v>2.15</v>
      </c>
      <c r="G51" s="64">
        <v>36.549999999999997</v>
      </c>
      <c r="H51" s="64">
        <v>8.9600000000000009</v>
      </c>
      <c r="I51" s="64">
        <v>1.58</v>
      </c>
      <c r="J51" s="64">
        <v>0.44</v>
      </c>
      <c r="K51" s="64">
        <v>335.24</v>
      </c>
      <c r="L51" s="64">
        <v>25.97</v>
      </c>
      <c r="M51" s="64">
        <v>97.48</v>
      </c>
      <c r="N51" s="64">
        <v>270.7</v>
      </c>
      <c r="O51" s="64">
        <v>0</v>
      </c>
      <c r="P51" s="64">
        <v>0.56000000000000005</v>
      </c>
      <c r="Q51" s="64">
        <v>9.14</v>
      </c>
      <c r="R51" s="198"/>
      <c r="S51" s="198"/>
      <c r="T51" s="198"/>
      <c r="U51" s="198"/>
    </row>
    <row r="52" spans="1:21" s="12" customFormat="1" x14ac:dyDescent="0.25">
      <c r="A52" s="211" t="s">
        <v>2883</v>
      </c>
      <c r="B52" s="64">
        <v>14.25</v>
      </c>
      <c r="C52" s="64">
        <v>10.98</v>
      </c>
      <c r="D52" s="64">
        <v>17.13</v>
      </c>
      <c r="E52" s="64">
        <v>5.59</v>
      </c>
      <c r="F52" s="64">
        <v>7.08</v>
      </c>
      <c r="G52" s="64">
        <v>36.549999999999997</v>
      </c>
      <c r="H52" s="64">
        <v>8.9600000000000009</v>
      </c>
      <c r="I52" s="64">
        <v>1.65</v>
      </c>
      <c r="J52" s="64">
        <v>0.25</v>
      </c>
      <c r="K52" s="64">
        <v>109.43</v>
      </c>
      <c r="L52" s="64">
        <v>25.9</v>
      </c>
      <c r="M52" s="64">
        <v>96.96</v>
      </c>
      <c r="N52" s="64">
        <v>262.8</v>
      </c>
      <c r="O52" s="64">
        <v>0</v>
      </c>
      <c r="P52" s="64">
        <v>0.56000000000000005</v>
      </c>
      <c r="Q52" s="64">
        <v>9.15</v>
      </c>
      <c r="R52" s="198"/>
      <c r="S52" s="198"/>
      <c r="T52" s="198"/>
      <c r="U52" s="198"/>
    </row>
    <row r="53" spans="1:21" s="12" customFormat="1" x14ac:dyDescent="0.25">
      <c r="A53" s="211" t="s">
        <v>2884</v>
      </c>
      <c r="B53" s="64">
        <v>13.73</v>
      </c>
      <c r="C53" s="64">
        <v>8.0399999999999991</v>
      </c>
      <c r="D53" s="64">
        <v>15.21</v>
      </c>
      <c r="E53" s="64">
        <v>6.17</v>
      </c>
      <c r="F53" s="64">
        <v>2.75</v>
      </c>
      <c r="G53" s="64">
        <v>43.14</v>
      </c>
      <c r="H53" s="64">
        <v>10.119999999999999</v>
      </c>
      <c r="I53" s="64">
        <v>1.71</v>
      </c>
      <c r="J53" s="64">
        <v>0.09</v>
      </c>
      <c r="K53" s="64">
        <v>306.07</v>
      </c>
      <c r="L53" s="64">
        <v>25.93</v>
      </c>
      <c r="M53" s="64">
        <v>96.2</v>
      </c>
      <c r="N53" s="64">
        <v>171.6</v>
      </c>
      <c r="O53" s="64">
        <v>0</v>
      </c>
      <c r="P53" s="64">
        <v>0.56999999999999995</v>
      </c>
      <c r="Q53" s="64">
        <v>9.14</v>
      </c>
      <c r="R53" s="198"/>
      <c r="S53" s="198"/>
      <c r="T53" s="198"/>
      <c r="U53" s="198"/>
    </row>
    <row r="54" spans="1:21" s="12" customFormat="1" x14ac:dyDescent="0.25">
      <c r="A54" s="211" t="s">
        <v>2885</v>
      </c>
      <c r="B54" s="64">
        <v>13.38</v>
      </c>
      <c r="C54" s="64">
        <v>10.49</v>
      </c>
      <c r="D54" s="64">
        <v>16.21</v>
      </c>
      <c r="E54" s="64">
        <v>6.21</v>
      </c>
      <c r="F54" s="64">
        <v>5.27</v>
      </c>
      <c r="G54" s="64">
        <v>44.9</v>
      </c>
      <c r="H54" s="64">
        <v>10.119999999999999</v>
      </c>
      <c r="I54" s="64">
        <v>1.74</v>
      </c>
      <c r="J54" s="64">
        <v>0.04</v>
      </c>
      <c r="K54" s="64">
        <v>166.63</v>
      </c>
      <c r="L54" s="64">
        <v>26.54</v>
      </c>
      <c r="M54" s="64">
        <v>92.24</v>
      </c>
      <c r="N54" s="64">
        <v>376.5</v>
      </c>
      <c r="O54" s="64">
        <v>0</v>
      </c>
      <c r="P54" s="64">
        <v>0.62</v>
      </c>
      <c r="Q54" s="64">
        <v>9.15</v>
      </c>
      <c r="R54" s="198"/>
      <c r="S54" s="198"/>
      <c r="T54" s="198"/>
      <c r="U54" s="198"/>
    </row>
    <row r="55" spans="1:21" s="12" customFormat="1" x14ac:dyDescent="0.25">
      <c r="A55" s="211" t="s">
        <v>2886</v>
      </c>
      <c r="B55" s="64">
        <v>12.22</v>
      </c>
      <c r="C55" s="64">
        <v>7.83</v>
      </c>
      <c r="D55" s="64">
        <v>13.89</v>
      </c>
      <c r="E55" s="64">
        <v>6.32</v>
      </c>
      <c r="F55" s="64">
        <v>3.6</v>
      </c>
      <c r="G55" s="64">
        <v>44.9</v>
      </c>
      <c r="H55" s="64">
        <v>10.119999999999999</v>
      </c>
      <c r="I55" s="64">
        <v>1.76</v>
      </c>
      <c r="J55" s="64">
        <v>0.23</v>
      </c>
      <c r="K55" s="64">
        <v>135.58000000000001</v>
      </c>
      <c r="L55" s="64">
        <v>26.77</v>
      </c>
      <c r="M55" s="64">
        <v>90.02</v>
      </c>
      <c r="N55" s="64">
        <v>362.5</v>
      </c>
      <c r="O55" s="64">
        <v>0</v>
      </c>
      <c r="P55" s="64">
        <v>0.56999999999999995</v>
      </c>
      <c r="Q55" s="64">
        <v>9.15</v>
      </c>
      <c r="R55" s="198"/>
      <c r="S55" s="198"/>
      <c r="T55" s="198"/>
      <c r="U55" s="198"/>
    </row>
    <row r="56" spans="1:21" s="12" customFormat="1" x14ac:dyDescent="0.25">
      <c r="A56" s="211" t="s">
        <v>2887</v>
      </c>
      <c r="B56" s="64">
        <v>11.82</v>
      </c>
      <c r="C56" s="64">
        <v>8.69</v>
      </c>
      <c r="D56" s="64">
        <v>14.02</v>
      </c>
      <c r="E56" s="64">
        <v>6.01</v>
      </c>
      <c r="F56" s="64">
        <v>4.2300000000000004</v>
      </c>
      <c r="G56" s="64">
        <v>44.9</v>
      </c>
      <c r="H56" s="64">
        <v>10.119999999999999</v>
      </c>
      <c r="I56" s="64">
        <v>1.78</v>
      </c>
      <c r="J56" s="64">
        <v>0.34</v>
      </c>
      <c r="K56" s="64">
        <v>127.19</v>
      </c>
      <c r="L56" s="64">
        <v>26.58</v>
      </c>
      <c r="M56" s="64">
        <v>89.86</v>
      </c>
      <c r="N56" s="64">
        <v>214.9</v>
      </c>
      <c r="O56" s="64">
        <v>0</v>
      </c>
      <c r="P56" s="64">
        <v>0.55000000000000004</v>
      </c>
      <c r="Q56" s="64">
        <v>9.15</v>
      </c>
      <c r="R56" s="198"/>
      <c r="S56" s="198"/>
      <c r="T56" s="198"/>
      <c r="U56" s="198"/>
    </row>
    <row r="57" spans="1:21" s="12" customFormat="1" x14ac:dyDescent="0.25">
      <c r="A57" s="211" t="s">
        <v>2888</v>
      </c>
      <c r="B57" s="64">
        <v>12.84</v>
      </c>
      <c r="C57" s="64">
        <v>9.91</v>
      </c>
      <c r="D57" s="64">
        <v>15.47</v>
      </c>
      <c r="E57" s="64">
        <v>5.97</v>
      </c>
      <c r="F57" s="64">
        <v>6.85</v>
      </c>
      <c r="G57" s="64">
        <v>45.62</v>
      </c>
      <c r="H57" s="64">
        <v>10.09</v>
      </c>
      <c r="I57" s="64">
        <v>1.8</v>
      </c>
      <c r="J57" s="64">
        <v>0.44</v>
      </c>
      <c r="K57" s="64">
        <v>139.13999999999999</v>
      </c>
      <c r="L57" s="64">
        <v>26.37</v>
      </c>
      <c r="M57" s="64">
        <v>90.81</v>
      </c>
      <c r="N57" s="64">
        <v>240.9</v>
      </c>
      <c r="O57" s="64">
        <v>0</v>
      </c>
      <c r="P57" s="64">
        <v>0.55000000000000004</v>
      </c>
      <c r="Q57" s="64">
        <v>9.14</v>
      </c>
      <c r="R57" s="198"/>
      <c r="S57" s="198"/>
      <c r="T57" s="198"/>
      <c r="U57" s="198"/>
    </row>
    <row r="58" spans="1:21" s="12" customFormat="1" x14ac:dyDescent="0.25">
      <c r="A58" s="211" t="s">
        <v>2889</v>
      </c>
      <c r="B58" s="64">
        <v>12.86</v>
      </c>
      <c r="C58" s="64">
        <v>8.15</v>
      </c>
      <c r="D58" s="64">
        <v>14.57</v>
      </c>
      <c r="E58" s="64">
        <v>6.07</v>
      </c>
      <c r="F58" s="64">
        <v>6.83</v>
      </c>
      <c r="G58" s="64">
        <v>45.81</v>
      </c>
      <c r="H58" s="64">
        <v>10.09</v>
      </c>
      <c r="I58" s="64">
        <v>1.8</v>
      </c>
      <c r="J58" s="64">
        <v>0.39</v>
      </c>
      <c r="K58" s="64">
        <v>128.38</v>
      </c>
      <c r="L58" s="64">
        <v>26.99</v>
      </c>
      <c r="M58" s="64">
        <v>87.94</v>
      </c>
      <c r="N58" s="64">
        <v>347</v>
      </c>
      <c r="O58" s="64">
        <v>0</v>
      </c>
      <c r="P58" s="64">
        <v>0.6</v>
      </c>
      <c r="Q58" s="64">
        <v>9.16</v>
      </c>
      <c r="R58" s="198"/>
      <c r="S58" s="198"/>
      <c r="T58" s="198"/>
      <c r="U58" s="198"/>
    </row>
    <row r="59" spans="1:21" s="12" customFormat="1" x14ac:dyDescent="0.25">
      <c r="A59" s="211" t="s">
        <v>2890</v>
      </c>
      <c r="B59" s="64">
        <v>13.02</v>
      </c>
      <c r="C59" s="64">
        <v>8.23</v>
      </c>
      <c r="D59" s="64">
        <v>14.69</v>
      </c>
      <c r="E59" s="64">
        <v>6.24</v>
      </c>
      <c r="F59" s="64">
        <v>4.95</v>
      </c>
      <c r="G59" s="64">
        <v>45.81</v>
      </c>
      <c r="H59" s="64">
        <v>10.09</v>
      </c>
      <c r="I59" s="64">
        <v>1.8</v>
      </c>
      <c r="J59" s="64">
        <v>0.17</v>
      </c>
      <c r="K59" s="64">
        <v>131.04</v>
      </c>
      <c r="L59" s="64">
        <v>26.77</v>
      </c>
      <c r="M59" s="64">
        <v>88.68</v>
      </c>
      <c r="N59" s="64">
        <v>207.1</v>
      </c>
      <c r="O59" s="64">
        <v>0</v>
      </c>
      <c r="P59" s="64">
        <v>0.56999999999999995</v>
      </c>
      <c r="Q59" s="64">
        <v>9.16</v>
      </c>
      <c r="R59" s="198"/>
      <c r="S59" s="198"/>
      <c r="T59" s="198"/>
      <c r="U59" s="198"/>
    </row>
    <row r="60" spans="1:21" s="12" customFormat="1" x14ac:dyDescent="0.25">
      <c r="A60" s="211" t="s">
        <v>2891</v>
      </c>
      <c r="B60" s="64">
        <v>11.38</v>
      </c>
      <c r="C60" s="64">
        <v>9.17</v>
      </c>
      <c r="D60" s="64">
        <v>13.91</v>
      </c>
      <c r="E60" s="64">
        <v>6.31</v>
      </c>
      <c r="F60" s="64">
        <v>5.33</v>
      </c>
      <c r="G60" s="64">
        <v>45.81</v>
      </c>
      <c r="H60" s="64">
        <v>10.09</v>
      </c>
      <c r="I60" s="64">
        <v>1.78</v>
      </c>
      <c r="J60" s="64">
        <v>0.55000000000000004</v>
      </c>
      <c r="K60" s="64">
        <v>122.49</v>
      </c>
      <c r="L60" s="64">
        <v>26.09</v>
      </c>
      <c r="M60" s="64">
        <v>92.2</v>
      </c>
      <c r="N60" s="64">
        <v>113.3</v>
      </c>
      <c r="O60" s="64">
        <v>0</v>
      </c>
      <c r="P60" s="64">
        <v>0.54</v>
      </c>
      <c r="Q60" s="64">
        <v>9.16</v>
      </c>
      <c r="R60" s="198"/>
      <c r="S60" s="198"/>
      <c r="T60" s="198"/>
      <c r="U60" s="198"/>
    </row>
    <row r="61" spans="1:21" s="12" customFormat="1" x14ac:dyDescent="0.25">
      <c r="A61" s="211" t="s">
        <v>2892</v>
      </c>
      <c r="B61" s="64">
        <v>10.69</v>
      </c>
      <c r="C61" s="64">
        <v>9.01</v>
      </c>
      <c r="D61" s="64">
        <v>13.24</v>
      </c>
      <c r="E61" s="64">
        <v>6.05</v>
      </c>
      <c r="F61" s="64">
        <v>5.36</v>
      </c>
      <c r="G61" s="64">
        <v>38.380000000000003</v>
      </c>
      <c r="H61" s="64">
        <v>11.51</v>
      </c>
      <c r="I61" s="64">
        <v>1.77</v>
      </c>
      <c r="J61" s="64">
        <v>0.69</v>
      </c>
      <c r="K61" s="64">
        <v>126.59</v>
      </c>
      <c r="L61" s="64">
        <v>25.57</v>
      </c>
      <c r="M61" s="64">
        <v>95.04</v>
      </c>
      <c r="N61" s="64">
        <v>80.3</v>
      </c>
      <c r="O61" s="64">
        <v>0</v>
      </c>
      <c r="P61" s="64">
        <v>0.44</v>
      </c>
      <c r="Q61" s="64">
        <v>9.16</v>
      </c>
      <c r="R61" s="198"/>
      <c r="S61" s="198"/>
      <c r="T61" s="198"/>
      <c r="U61" s="198"/>
    </row>
    <row r="62" spans="1:21" s="12" customFormat="1" x14ac:dyDescent="0.25">
      <c r="A62" s="211" t="s">
        <v>2893</v>
      </c>
      <c r="B62" s="64">
        <v>10.3</v>
      </c>
      <c r="C62" s="64">
        <v>10.84</v>
      </c>
      <c r="D62" s="64">
        <v>13.92</v>
      </c>
      <c r="E62" s="64">
        <v>6.6</v>
      </c>
      <c r="F62" s="64">
        <v>4.71</v>
      </c>
      <c r="G62" s="64">
        <v>36.4</v>
      </c>
      <c r="H62" s="64">
        <v>11.51</v>
      </c>
      <c r="I62" s="64">
        <v>1.76</v>
      </c>
      <c r="J62" s="64">
        <v>0.22</v>
      </c>
      <c r="K62" s="64">
        <v>142.55000000000001</v>
      </c>
      <c r="L62" s="64">
        <v>25.46</v>
      </c>
      <c r="M62" s="64">
        <v>96.03</v>
      </c>
      <c r="N62" s="64">
        <v>106.3</v>
      </c>
      <c r="O62" s="64">
        <v>0</v>
      </c>
      <c r="P62" s="64">
        <v>0.5</v>
      </c>
      <c r="Q62" s="64">
        <v>9.15</v>
      </c>
      <c r="R62" s="198"/>
      <c r="S62" s="198"/>
      <c r="T62" s="198"/>
      <c r="U62" s="198"/>
    </row>
    <row r="63" spans="1:21" s="12" customFormat="1" x14ac:dyDescent="0.25">
      <c r="A63" s="211" t="s">
        <v>2894</v>
      </c>
      <c r="B63" s="64">
        <v>11.06</v>
      </c>
      <c r="C63" s="64">
        <v>11.08</v>
      </c>
      <c r="D63" s="64">
        <v>14.65</v>
      </c>
      <c r="E63" s="64">
        <v>5.7</v>
      </c>
      <c r="F63" s="64">
        <v>5.09</v>
      </c>
      <c r="G63" s="64">
        <v>36.4</v>
      </c>
      <c r="H63" s="64">
        <v>11.51</v>
      </c>
      <c r="I63" s="64">
        <v>1.75</v>
      </c>
      <c r="J63" s="64">
        <v>0.05</v>
      </c>
      <c r="K63" s="64">
        <v>347.38</v>
      </c>
      <c r="L63" s="64">
        <v>26.26</v>
      </c>
      <c r="M63" s="64">
        <v>91.26</v>
      </c>
      <c r="N63" s="64">
        <v>252.5</v>
      </c>
      <c r="O63" s="64">
        <v>0</v>
      </c>
      <c r="P63" s="64">
        <v>0.49</v>
      </c>
      <c r="Q63" s="64">
        <v>9.15</v>
      </c>
      <c r="R63" s="198"/>
      <c r="S63" s="198"/>
      <c r="T63" s="198"/>
      <c r="U63" s="198"/>
    </row>
    <row r="64" spans="1:21" s="12" customFormat="1" x14ac:dyDescent="0.25">
      <c r="A64" s="211" t="s">
        <v>2895</v>
      </c>
      <c r="B64" s="64">
        <v>11.27</v>
      </c>
      <c r="C64" s="64">
        <v>10.46</v>
      </c>
      <c r="D64" s="64">
        <v>14.5</v>
      </c>
      <c r="E64" s="64">
        <v>6.34</v>
      </c>
      <c r="F64" s="64">
        <v>5.77</v>
      </c>
      <c r="G64" s="64">
        <v>36.4</v>
      </c>
      <c r="H64" s="64">
        <v>11.51</v>
      </c>
      <c r="I64" s="64">
        <v>1.74</v>
      </c>
      <c r="J64" s="64">
        <v>0.55000000000000004</v>
      </c>
      <c r="K64" s="64">
        <v>132.1</v>
      </c>
      <c r="L64" s="64">
        <v>26.92</v>
      </c>
      <c r="M64" s="64">
        <v>86.18</v>
      </c>
      <c r="N64" s="64">
        <v>273.8</v>
      </c>
      <c r="O64" s="64">
        <v>0</v>
      </c>
      <c r="P64" s="64">
        <v>0.49</v>
      </c>
      <c r="Q64" s="64">
        <v>9.15</v>
      </c>
      <c r="R64" s="198"/>
      <c r="S64" s="198"/>
      <c r="T64" s="198"/>
      <c r="U64" s="198"/>
    </row>
    <row r="65" spans="1:21" s="12" customFormat="1" x14ac:dyDescent="0.25">
      <c r="A65" s="211" t="s">
        <v>2896</v>
      </c>
      <c r="B65" s="64">
        <v>9.74</v>
      </c>
      <c r="C65" s="64">
        <v>9.0299999999999994</v>
      </c>
      <c r="D65" s="64">
        <v>12.47</v>
      </c>
      <c r="E65" s="64">
        <v>6.4</v>
      </c>
      <c r="F65" s="64">
        <v>3.85</v>
      </c>
      <c r="G65" s="64">
        <v>41.51</v>
      </c>
      <c r="H65" s="64">
        <v>10.43</v>
      </c>
      <c r="I65" s="64">
        <v>1.73</v>
      </c>
      <c r="J65" s="64">
        <v>0.04</v>
      </c>
      <c r="K65" s="64">
        <v>162.76</v>
      </c>
      <c r="L65" s="64">
        <v>26.96</v>
      </c>
      <c r="M65" s="64">
        <v>85.45</v>
      </c>
      <c r="N65" s="64">
        <v>251.9</v>
      </c>
      <c r="O65" s="64">
        <v>0</v>
      </c>
      <c r="P65" s="64">
        <v>0.5</v>
      </c>
      <c r="Q65" s="64">
        <v>9.1300000000000008</v>
      </c>
      <c r="R65" s="198"/>
      <c r="S65" s="198"/>
      <c r="T65" s="198"/>
      <c r="U65" s="198"/>
    </row>
    <row r="66" spans="1:21" s="12" customFormat="1" x14ac:dyDescent="0.25">
      <c r="A66" s="211" t="s">
        <v>2897</v>
      </c>
      <c r="B66" s="64">
        <v>10.23</v>
      </c>
      <c r="C66" s="64">
        <v>10.130000000000001</v>
      </c>
      <c r="D66" s="64">
        <v>13.5</v>
      </c>
      <c r="E66" s="64">
        <v>6.5</v>
      </c>
      <c r="F66" s="64">
        <v>4.05</v>
      </c>
      <c r="G66" s="64">
        <v>42.87</v>
      </c>
      <c r="H66" s="64">
        <v>10.43</v>
      </c>
      <c r="I66" s="64">
        <v>1.72</v>
      </c>
      <c r="J66" s="64">
        <v>0.09</v>
      </c>
      <c r="K66" s="64">
        <v>343.59</v>
      </c>
      <c r="L66" s="64">
        <v>27.18</v>
      </c>
      <c r="M66" s="64">
        <v>83.2</v>
      </c>
      <c r="N66" s="64">
        <v>185.9</v>
      </c>
      <c r="O66" s="64">
        <v>0</v>
      </c>
      <c r="P66" s="64">
        <v>0.49</v>
      </c>
      <c r="Q66" s="64">
        <v>9.11</v>
      </c>
      <c r="R66" s="198"/>
      <c r="S66" s="198"/>
      <c r="T66" s="198"/>
      <c r="U66" s="198"/>
    </row>
    <row r="67" spans="1:21" s="12" customFormat="1" x14ac:dyDescent="0.25">
      <c r="A67" s="211" t="s">
        <v>2898</v>
      </c>
      <c r="B67" s="64">
        <v>10.57</v>
      </c>
      <c r="C67" s="64">
        <v>9.77</v>
      </c>
      <c r="D67" s="64">
        <v>13.59</v>
      </c>
      <c r="E67" s="64">
        <v>6.22</v>
      </c>
      <c r="F67" s="64">
        <v>6.51</v>
      </c>
      <c r="G67" s="64">
        <v>42.87</v>
      </c>
      <c r="H67" s="64">
        <v>10.43</v>
      </c>
      <c r="I67" s="64">
        <v>1.69</v>
      </c>
      <c r="J67" s="64">
        <v>0.1</v>
      </c>
      <c r="K67" s="64">
        <v>214.08</v>
      </c>
      <c r="L67" s="64">
        <v>26.79</v>
      </c>
      <c r="M67" s="64">
        <v>85.22</v>
      </c>
      <c r="N67" s="64">
        <v>169.4</v>
      </c>
      <c r="O67" s="64">
        <v>0</v>
      </c>
      <c r="P67" s="64">
        <v>0.48</v>
      </c>
      <c r="Q67" s="64">
        <v>9.09</v>
      </c>
      <c r="R67" s="198"/>
      <c r="S67" s="198"/>
      <c r="T67" s="198"/>
      <c r="U67" s="198"/>
    </row>
    <row r="68" spans="1:21" s="12" customFormat="1" x14ac:dyDescent="0.25">
      <c r="A68" s="211" t="s">
        <v>2899</v>
      </c>
      <c r="B68" s="64">
        <v>9.6</v>
      </c>
      <c r="C68" s="64">
        <v>10.220000000000001</v>
      </c>
      <c r="D68" s="64">
        <v>13.04</v>
      </c>
      <c r="E68" s="64">
        <v>6.12</v>
      </c>
      <c r="F68" s="64">
        <v>4.26</v>
      </c>
      <c r="G68" s="64">
        <v>42.87</v>
      </c>
      <c r="H68" s="64">
        <v>10.43</v>
      </c>
      <c r="I68" s="64">
        <v>1.68</v>
      </c>
      <c r="J68" s="64">
        <v>0.21</v>
      </c>
      <c r="K68" s="64">
        <v>306.25</v>
      </c>
      <c r="L68" s="64">
        <v>26.64</v>
      </c>
      <c r="M68" s="64">
        <v>85.9</v>
      </c>
      <c r="N68" s="64">
        <v>153</v>
      </c>
      <c r="O68" s="64">
        <v>0</v>
      </c>
      <c r="P68" s="64">
        <v>0.49</v>
      </c>
      <c r="Q68" s="64">
        <v>9.08</v>
      </c>
      <c r="R68" s="198"/>
      <c r="S68" s="198"/>
      <c r="T68" s="198"/>
      <c r="U68" s="198"/>
    </row>
    <row r="69" spans="1:21" s="12" customFormat="1" x14ac:dyDescent="0.25">
      <c r="A69" s="211" t="s">
        <v>2900</v>
      </c>
      <c r="B69" s="64">
        <v>10.27</v>
      </c>
      <c r="C69" s="64">
        <v>10.98</v>
      </c>
      <c r="D69" s="64">
        <v>13.97</v>
      </c>
      <c r="E69" s="64">
        <v>6.41</v>
      </c>
      <c r="F69" s="64">
        <v>5.99</v>
      </c>
      <c r="G69" s="64">
        <v>43.02</v>
      </c>
      <c r="H69" s="64">
        <v>10.9</v>
      </c>
      <c r="I69" s="64">
        <v>1.66</v>
      </c>
      <c r="J69" s="64">
        <v>0.23</v>
      </c>
      <c r="K69" s="64">
        <v>304.45</v>
      </c>
      <c r="L69" s="64">
        <v>26.55</v>
      </c>
      <c r="M69" s="64">
        <v>86.73</v>
      </c>
      <c r="N69" s="64">
        <v>115.9</v>
      </c>
      <c r="O69" s="64">
        <v>0</v>
      </c>
      <c r="P69" s="64">
        <v>0.46</v>
      </c>
      <c r="Q69" s="64">
        <v>9.07</v>
      </c>
      <c r="R69" s="198"/>
      <c r="S69" s="198"/>
      <c r="T69" s="198"/>
      <c r="U69" s="198"/>
    </row>
    <row r="70" spans="1:21" s="12" customFormat="1" x14ac:dyDescent="0.25">
      <c r="A70" s="211" t="s">
        <v>2901</v>
      </c>
      <c r="B70" s="64">
        <v>9.64</v>
      </c>
      <c r="C70" s="64">
        <v>11.99</v>
      </c>
      <c r="D70" s="64">
        <v>13.99</v>
      </c>
      <c r="E70" s="64">
        <v>6.14</v>
      </c>
      <c r="F70" s="64">
        <v>4.01</v>
      </c>
      <c r="G70" s="64">
        <v>43.06</v>
      </c>
      <c r="H70" s="64">
        <v>10.9</v>
      </c>
      <c r="I70" s="64">
        <v>1.65</v>
      </c>
      <c r="J70" s="64">
        <v>0.12</v>
      </c>
      <c r="K70" s="64">
        <v>161.38</v>
      </c>
      <c r="L70" s="64">
        <v>26.2</v>
      </c>
      <c r="M70" s="64">
        <v>89.7</v>
      </c>
      <c r="N70" s="64">
        <v>89.1</v>
      </c>
      <c r="O70" s="64">
        <v>0</v>
      </c>
      <c r="P70" s="64">
        <v>0.49</v>
      </c>
      <c r="Q70" s="64">
        <v>9.07</v>
      </c>
      <c r="R70" s="198"/>
      <c r="S70" s="198"/>
      <c r="T70" s="198"/>
      <c r="U70" s="198"/>
    </row>
    <row r="71" spans="1:21" s="12" customFormat="1" x14ac:dyDescent="0.25">
      <c r="A71" s="211" t="s">
        <v>2902</v>
      </c>
      <c r="B71" s="64">
        <v>8.98</v>
      </c>
      <c r="C71" s="64">
        <v>11.4</v>
      </c>
      <c r="D71" s="64">
        <v>13.16</v>
      </c>
      <c r="E71" s="64">
        <v>6.09</v>
      </c>
      <c r="F71" s="64">
        <v>8.8800000000000008</v>
      </c>
      <c r="G71" s="64">
        <v>43.06</v>
      </c>
      <c r="H71" s="64">
        <v>10.9</v>
      </c>
      <c r="I71" s="64">
        <v>1.63</v>
      </c>
      <c r="J71" s="64">
        <v>0.24</v>
      </c>
      <c r="K71" s="64">
        <v>148.51</v>
      </c>
      <c r="L71" s="64">
        <v>26</v>
      </c>
      <c r="M71" s="64">
        <v>90.43</v>
      </c>
      <c r="N71" s="64">
        <v>106.5</v>
      </c>
      <c r="O71" s="64">
        <v>0</v>
      </c>
      <c r="P71" s="64">
        <v>0.44</v>
      </c>
      <c r="Q71" s="64">
        <v>9.07</v>
      </c>
      <c r="R71" s="198"/>
      <c r="S71" s="198"/>
      <c r="T71" s="198"/>
      <c r="U71" s="198"/>
    </row>
    <row r="72" spans="1:21" s="12" customFormat="1" x14ac:dyDescent="0.25">
      <c r="A72" s="211" t="s">
        <v>2903</v>
      </c>
      <c r="B72" s="64">
        <v>8.7100000000000009</v>
      </c>
      <c r="C72" s="64">
        <v>11.35</v>
      </c>
      <c r="D72" s="64">
        <v>12.91</v>
      </c>
      <c r="E72" s="64">
        <v>5.68</v>
      </c>
      <c r="F72" s="64">
        <v>4.5999999999999996</v>
      </c>
      <c r="G72" s="64">
        <v>43.06</v>
      </c>
      <c r="H72" s="64">
        <v>10.9</v>
      </c>
      <c r="I72" s="64">
        <v>1.62</v>
      </c>
      <c r="J72" s="64">
        <v>0.01</v>
      </c>
      <c r="K72" s="64">
        <v>214.06</v>
      </c>
      <c r="L72" s="64">
        <v>26.31</v>
      </c>
      <c r="M72" s="64">
        <v>89.88</v>
      </c>
      <c r="N72" s="64">
        <v>120.8</v>
      </c>
      <c r="O72" s="64">
        <v>0</v>
      </c>
      <c r="P72" s="64">
        <v>0.46</v>
      </c>
      <c r="Q72" s="64">
        <v>9.06</v>
      </c>
      <c r="R72" s="198"/>
      <c r="S72" s="198"/>
      <c r="T72" s="198"/>
      <c r="U72" s="198"/>
    </row>
    <row r="73" spans="1:21" s="12" customFormat="1" x14ac:dyDescent="0.25">
      <c r="A73" s="211" t="s">
        <v>2904</v>
      </c>
      <c r="B73" s="64">
        <v>8.5299999999999994</v>
      </c>
      <c r="C73" s="64">
        <v>11.36</v>
      </c>
      <c r="D73" s="64">
        <v>12.77</v>
      </c>
      <c r="E73" s="64">
        <v>5.93</v>
      </c>
      <c r="F73" s="64">
        <v>5.86</v>
      </c>
      <c r="G73" s="64">
        <v>37.090000000000003</v>
      </c>
      <c r="H73" s="64">
        <v>10.38</v>
      </c>
      <c r="I73" s="64">
        <v>1.6</v>
      </c>
      <c r="J73" s="64">
        <v>0.33</v>
      </c>
      <c r="K73" s="64">
        <v>131.62</v>
      </c>
      <c r="L73" s="64">
        <v>26.43</v>
      </c>
      <c r="M73" s="64">
        <v>86.53</v>
      </c>
      <c r="N73" s="64">
        <v>103.7</v>
      </c>
      <c r="O73" s="64">
        <v>0</v>
      </c>
      <c r="P73" s="64">
        <v>0.45</v>
      </c>
      <c r="Q73" s="64">
        <v>9.0500000000000007</v>
      </c>
      <c r="R73" s="198"/>
      <c r="S73" s="198"/>
      <c r="T73" s="198"/>
      <c r="U73" s="198"/>
    </row>
    <row r="74" spans="1:21" s="12" customFormat="1" x14ac:dyDescent="0.25">
      <c r="A74" s="211" t="s">
        <v>2905</v>
      </c>
      <c r="B74" s="64">
        <v>8.92</v>
      </c>
      <c r="C74" s="64">
        <v>10.62</v>
      </c>
      <c r="D74" s="64">
        <v>12.7</v>
      </c>
      <c r="E74" s="64">
        <v>5.9</v>
      </c>
      <c r="F74" s="64">
        <v>7.54</v>
      </c>
      <c r="G74" s="64">
        <v>35.49</v>
      </c>
      <c r="H74" s="64">
        <v>10.38</v>
      </c>
      <c r="I74" s="64">
        <v>1.57</v>
      </c>
      <c r="J74" s="64">
        <v>0.22</v>
      </c>
      <c r="K74" s="64">
        <v>134.81</v>
      </c>
      <c r="L74" s="64">
        <v>26.24</v>
      </c>
      <c r="M74" s="64">
        <v>86.88</v>
      </c>
      <c r="N74" s="64">
        <v>68.900000000000006</v>
      </c>
      <c r="O74" s="64">
        <v>0</v>
      </c>
      <c r="P74" s="64">
        <v>0.45</v>
      </c>
      <c r="Q74" s="64">
        <v>9.0500000000000007</v>
      </c>
      <c r="R74" s="198"/>
      <c r="S74" s="198"/>
      <c r="T74" s="198"/>
      <c r="U74" s="198"/>
    </row>
    <row r="75" spans="1:21" s="12" customFormat="1" x14ac:dyDescent="0.25">
      <c r="A75" s="211" t="s">
        <v>2906</v>
      </c>
      <c r="B75" s="64">
        <v>8.52</v>
      </c>
      <c r="C75" s="64">
        <v>10.59</v>
      </c>
      <c r="D75" s="64">
        <v>12.36</v>
      </c>
      <c r="E75" s="64">
        <v>6.05</v>
      </c>
      <c r="F75" s="64">
        <v>4.47</v>
      </c>
      <c r="G75" s="64">
        <v>35.49</v>
      </c>
      <c r="H75" s="64">
        <v>10.38</v>
      </c>
      <c r="I75" s="64">
        <v>1.57</v>
      </c>
      <c r="J75" s="64">
        <v>0.3</v>
      </c>
      <c r="K75" s="64">
        <v>136.63999999999999</v>
      </c>
      <c r="L75" s="64">
        <v>26.07</v>
      </c>
      <c r="M75" s="64">
        <v>87.67</v>
      </c>
      <c r="N75" s="64">
        <v>67.2</v>
      </c>
      <c r="O75" s="64">
        <v>0</v>
      </c>
      <c r="P75" s="64">
        <v>0.42</v>
      </c>
      <c r="Q75" s="64">
        <v>9.0399999999999991</v>
      </c>
      <c r="R75" s="198"/>
      <c r="S75" s="198"/>
      <c r="T75" s="198"/>
      <c r="U75" s="198"/>
    </row>
    <row r="76" spans="1:21" s="12" customFormat="1" x14ac:dyDescent="0.25">
      <c r="A76" s="211" t="s">
        <v>2907</v>
      </c>
      <c r="B76" s="64">
        <v>8.4</v>
      </c>
      <c r="C76" s="64">
        <v>10</v>
      </c>
      <c r="D76" s="64">
        <v>11.96</v>
      </c>
      <c r="E76" s="64">
        <v>5.83</v>
      </c>
      <c r="F76" s="64">
        <v>6.28</v>
      </c>
      <c r="G76" s="64">
        <v>35.49</v>
      </c>
      <c r="H76" s="64">
        <v>10.38</v>
      </c>
      <c r="I76" s="64">
        <v>1.55</v>
      </c>
      <c r="J76" s="64">
        <v>0.48</v>
      </c>
      <c r="K76" s="64">
        <v>135.29</v>
      </c>
      <c r="L76" s="64">
        <v>25.91</v>
      </c>
      <c r="M76" s="64">
        <v>89.09</v>
      </c>
      <c r="N76" s="64">
        <v>51.1</v>
      </c>
      <c r="O76" s="64">
        <v>0</v>
      </c>
      <c r="P76" s="64">
        <v>0.42</v>
      </c>
      <c r="Q76" s="64">
        <v>9.06</v>
      </c>
      <c r="R76" s="198"/>
      <c r="S76" s="198"/>
      <c r="T76" s="198"/>
      <c r="U76" s="198"/>
    </row>
    <row r="77" spans="1:21" s="12" customFormat="1" x14ac:dyDescent="0.25">
      <c r="A77" s="211" t="s">
        <v>2908</v>
      </c>
      <c r="B77" s="64">
        <v>12.75</v>
      </c>
      <c r="C77" s="64">
        <v>10.61</v>
      </c>
      <c r="D77" s="64">
        <v>15.77</v>
      </c>
      <c r="E77" s="64">
        <v>6.19</v>
      </c>
      <c r="F77" s="64">
        <v>5.48</v>
      </c>
      <c r="G77" s="64">
        <v>31.93</v>
      </c>
      <c r="H77" s="64">
        <v>12.08</v>
      </c>
      <c r="I77" s="64">
        <v>1.53</v>
      </c>
      <c r="J77" s="64">
        <v>0.35</v>
      </c>
      <c r="K77" s="64">
        <v>133.44999999999999</v>
      </c>
      <c r="L77" s="64">
        <v>25.73</v>
      </c>
      <c r="M77" s="64">
        <v>90.76</v>
      </c>
      <c r="N77" s="64">
        <v>45.9</v>
      </c>
      <c r="O77" s="64">
        <v>0</v>
      </c>
      <c r="P77" s="64">
        <v>0.48</v>
      </c>
      <c r="Q77" s="64">
        <v>9.07</v>
      </c>
      <c r="R77" s="198"/>
      <c r="S77" s="198"/>
      <c r="T77" s="198"/>
      <c r="U77" s="198"/>
    </row>
    <row r="78" spans="1:21" s="12" customFormat="1" x14ac:dyDescent="0.25">
      <c r="A78" s="211" t="s">
        <v>2909</v>
      </c>
      <c r="B78" s="64">
        <v>9.0299999999999994</v>
      </c>
      <c r="C78" s="64">
        <v>11.12</v>
      </c>
      <c r="D78" s="64">
        <v>13.05</v>
      </c>
      <c r="E78" s="64">
        <v>5.95</v>
      </c>
      <c r="F78" s="64">
        <v>5.68</v>
      </c>
      <c r="G78" s="64">
        <v>30.97</v>
      </c>
      <c r="H78" s="64">
        <v>12.08</v>
      </c>
      <c r="I78" s="64">
        <v>1.51</v>
      </c>
      <c r="J78" s="64">
        <v>0.56999999999999995</v>
      </c>
      <c r="K78" s="64">
        <v>135.72</v>
      </c>
      <c r="L78" s="64">
        <v>25.62</v>
      </c>
      <c r="M78" s="64">
        <v>92.22</v>
      </c>
      <c r="N78" s="64">
        <v>42.1</v>
      </c>
      <c r="O78" s="64">
        <v>0</v>
      </c>
      <c r="P78" s="64">
        <v>0.45</v>
      </c>
      <c r="Q78" s="64">
        <v>9.06</v>
      </c>
      <c r="R78" s="198"/>
      <c r="S78" s="198"/>
      <c r="T78" s="198"/>
      <c r="U78" s="198"/>
    </row>
    <row r="79" spans="1:21" s="12" customFormat="1" x14ac:dyDescent="0.25">
      <c r="A79" s="211" t="s">
        <v>2910</v>
      </c>
      <c r="B79" s="64">
        <v>13.61</v>
      </c>
      <c r="C79" s="64">
        <v>11.57</v>
      </c>
      <c r="D79" s="64">
        <v>16.96</v>
      </c>
      <c r="E79" s="64">
        <v>6.22</v>
      </c>
      <c r="F79" s="64">
        <v>5.12</v>
      </c>
      <c r="G79" s="64">
        <v>30.97</v>
      </c>
      <c r="H79" s="64">
        <v>12.08</v>
      </c>
      <c r="I79" s="64">
        <v>1.5</v>
      </c>
      <c r="J79" s="64">
        <v>0.08</v>
      </c>
      <c r="K79" s="64">
        <v>216.96</v>
      </c>
      <c r="L79" s="64">
        <v>25.55</v>
      </c>
      <c r="M79" s="64">
        <v>93.59</v>
      </c>
      <c r="N79" s="64">
        <v>41.8</v>
      </c>
      <c r="O79" s="64">
        <v>0</v>
      </c>
      <c r="P79" s="64">
        <v>0.55000000000000004</v>
      </c>
      <c r="Q79" s="64">
        <v>9.07</v>
      </c>
      <c r="R79" s="198"/>
      <c r="S79" s="198"/>
      <c r="T79" s="198"/>
      <c r="U79" s="198"/>
    </row>
    <row r="80" spans="1:21" s="12" customFormat="1" x14ac:dyDescent="0.25">
      <c r="A80" s="211" t="s">
        <v>2911</v>
      </c>
      <c r="B80" s="64">
        <v>9.6300000000000008</v>
      </c>
      <c r="C80" s="64">
        <v>12.71</v>
      </c>
      <c r="D80" s="64">
        <v>14.36</v>
      </c>
      <c r="E80" s="64">
        <v>6</v>
      </c>
      <c r="F80" s="64">
        <v>4.58</v>
      </c>
      <c r="G80" s="64">
        <v>30.97</v>
      </c>
      <c r="H80" s="64">
        <v>12.08</v>
      </c>
      <c r="I80" s="64">
        <v>1.5</v>
      </c>
      <c r="J80" s="64">
        <v>0.17</v>
      </c>
      <c r="K80" s="64">
        <v>136.13</v>
      </c>
      <c r="L80" s="64">
        <v>25.38</v>
      </c>
      <c r="M80" s="64">
        <v>96.13</v>
      </c>
      <c r="N80" s="64">
        <v>41.9</v>
      </c>
      <c r="O80" s="64">
        <v>0</v>
      </c>
      <c r="P80" s="64">
        <v>0.53</v>
      </c>
      <c r="Q80" s="64">
        <v>9.07</v>
      </c>
      <c r="R80" s="198"/>
      <c r="S80" s="198"/>
      <c r="T80" s="198"/>
      <c r="U80" s="198"/>
    </row>
    <row r="81" spans="1:26" s="12" customFormat="1" x14ac:dyDescent="0.25">
      <c r="A81" s="211" t="s">
        <v>2912</v>
      </c>
      <c r="B81" s="64">
        <v>13.4</v>
      </c>
      <c r="C81" s="64">
        <v>13.79</v>
      </c>
      <c r="D81" s="64">
        <v>17.940000000000001</v>
      </c>
      <c r="E81" s="64">
        <v>6.18</v>
      </c>
      <c r="F81" s="64">
        <v>4.17</v>
      </c>
      <c r="G81" s="64">
        <v>31.25</v>
      </c>
      <c r="H81" s="64">
        <v>10.7</v>
      </c>
      <c r="I81" s="64">
        <v>1.52</v>
      </c>
      <c r="J81" s="64">
        <v>0.06</v>
      </c>
      <c r="K81" s="64">
        <v>271.39</v>
      </c>
      <c r="L81" s="64">
        <v>25.02</v>
      </c>
      <c r="M81" s="64">
        <v>97.93</v>
      </c>
      <c r="N81" s="64">
        <v>39.5</v>
      </c>
      <c r="O81" s="64">
        <v>0</v>
      </c>
      <c r="P81" s="64">
        <v>0.62</v>
      </c>
      <c r="Q81" s="64">
        <v>9.08</v>
      </c>
      <c r="R81" s="198"/>
      <c r="S81" s="198"/>
      <c r="T81" s="198"/>
      <c r="U81" s="198"/>
    </row>
    <row r="82" spans="1:26" s="12" customFormat="1" x14ac:dyDescent="0.25">
      <c r="A82" s="211" t="s">
        <v>2913</v>
      </c>
      <c r="B82" s="64">
        <v>10.33</v>
      </c>
      <c r="C82" s="64">
        <v>13.32</v>
      </c>
      <c r="D82" s="64">
        <v>15.24</v>
      </c>
      <c r="E82" s="64">
        <v>6.25</v>
      </c>
      <c r="F82" s="64">
        <v>4.51</v>
      </c>
      <c r="G82" s="64">
        <v>31.33</v>
      </c>
      <c r="H82" s="64">
        <v>10.7</v>
      </c>
      <c r="I82" s="64">
        <v>1.54</v>
      </c>
      <c r="J82" s="64">
        <v>0.12</v>
      </c>
      <c r="K82" s="64">
        <v>321.24</v>
      </c>
      <c r="L82" s="64">
        <v>25.02</v>
      </c>
      <c r="M82" s="64">
        <v>97.93</v>
      </c>
      <c r="N82" s="64">
        <v>41.3</v>
      </c>
      <c r="O82" s="64">
        <v>0</v>
      </c>
      <c r="P82" s="64">
        <v>0.55000000000000004</v>
      </c>
      <c r="Q82" s="64">
        <v>9.09</v>
      </c>
      <c r="R82" s="198"/>
      <c r="S82" s="198"/>
      <c r="T82" s="198"/>
      <c r="U82" s="198"/>
    </row>
    <row r="83" spans="1:26" s="12" customFormat="1" x14ac:dyDescent="0.25">
      <c r="A83" s="211" t="s">
        <v>2914</v>
      </c>
      <c r="B83" s="64">
        <v>11.36</v>
      </c>
      <c r="C83" s="64">
        <v>11.69</v>
      </c>
      <c r="D83" s="64">
        <v>15.22</v>
      </c>
      <c r="E83" s="64">
        <v>6.35</v>
      </c>
      <c r="F83" s="64">
        <v>2.41</v>
      </c>
      <c r="G83" s="64">
        <v>31.33</v>
      </c>
      <c r="H83" s="64">
        <v>10.7</v>
      </c>
      <c r="I83" s="64">
        <v>1.57</v>
      </c>
      <c r="J83" s="64">
        <v>0.31</v>
      </c>
      <c r="K83" s="64">
        <v>319.16000000000003</v>
      </c>
      <c r="L83" s="64">
        <v>24.4</v>
      </c>
      <c r="M83" s="64">
        <v>98.19</v>
      </c>
      <c r="N83" s="64">
        <v>41.3</v>
      </c>
      <c r="O83" s="64">
        <v>0</v>
      </c>
      <c r="P83" s="64">
        <v>0.57999999999999996</v>
      </c>
      <c r="Q83" s="64">
        <v>9.08</v>
      </c>
      <c r="R83" s="198"/>
      <c r="S83" s="198"/>
      <c r="T83" s="198"/>
      <c r="U83" s="198"/>
    </row>
    <row r="84" spans="1:26" s="12" customFormat="1" x14ac:dyDescent="0.25">
      <c r="A84" s="211" t="s">
        <v>2915</v>
      </c>
      <c r="B84" s="64">
        <v>13.67</v>
      </c>
      <c r="C84" s="64">
        <v>13.96</v>
      </c>
      <c r="D84" s="64">
        <v>18.079999999999998</v>
      </c>
      <c r="E84" s="64">
        <v>5.98</v>
      </c>
      <c r="F84" s="64">
        <v>4.01</v>
      </c>
      <c r="G84" s="64">
        <v>31.33</v>
      </c>
      <c r="H84" s="64">
        <v>10.7</v>
      </c>
      <c r="I84" s="64">
        <v>1.6</v>
      </c>
      <c r="J84" s="64">
        <v>0.19</v>
      </c>
      <c r="K84" s="64">
        <v>311.60000000000002</v>
      </c>
      <c r="L84" s="64">
        <v>24.1</v>
      </c>
      <c r="M84" s="64">
        <v>98.27</v>
      </c>
      <c r="N84" s="64">
        <v>41.6</v>
      </c>
      <c r="O84" s="64">
        <v>0</v>
      </c>
      <c r="P84" s="64">
        <v>0.79</v>
      </c>
      <c r="Q84" s="64">
        <v>9.07</v>
      </c>
      <c r="R84" s="198"/>
      <c r="S84" s="198"/>
      <c r="T84" s="198"/>
      <c r="U84" s="198"/>
    </row>
    <row r="85" spans="1:26" s="12" customFormat="1" x14ac:dyDescent="0.25">
      <c r="A85" s="211" t="s">
        <v>2916</v>
      </c>
      <c r="B85" s="64">
        <v>10.54</v>
      </c>
      <c r="C85" s="64">
        <v>11.05</v>
      </c>
      <c r="D85" s="64">
        <v>14.23</v>
      </c>
      <c r="E85" s="64">
        <v>5.93</v>
      </c>
      <c r="F85" s="64">
        <v>4.6900000000000004</v>
      </c>
      <c r="G85" s="64">
        <v>38.33</v>
      </c>
      <c r="H85" s="64">
        <v>11.19</v>
      </c>
      <c r="I85" s="64">
        <v>1.63</v>
      </c>
      <c r="J85" s="64">
        <v>0.09</v>
      </c>
      <c r="K85" s="64">
        <v>156.11000000000001</v>
      </c>
      <c r="L85" s="64">
        <v>24.24</v>
      </c>
      <c r="M85" s="64">
        <v>98.22</v>
      </c>
      <c r="N85" s="64">
        <v>41.9</v>
      </c>
      <c r="O85" s="64">
        <v>0</v>
      </c>
      <c r="P85" s="64">
        <v>0.45</v>
      </c>
      <c r="Q85" s="64">
        <v>9.09</v>
      </c>
      <c r="R85" s="198"/>
      <c r="S85" s="198"/>
      <c r="T85" s="198"/>
      <c r="U85" s="198"/>
    </row>
    <row r="86" spans="1:26" s="12" customFormat="1" x14ac:dyDescent="0.25">
      <c r="A86" s="211" t="s">
        <v>2917</v>
      </c>
      <c r="B86" s="64">
        <v>11.08</v>
      </c>
      <c r="C86" s="64">
        <v>7.28</v>
      </c>
      <c r="D86" s="64">
        <v>12.69</v>
      </c>
      <c r="E86" s="64">
        <v>6.28</v>
      </c>
      <c r="F86" s="64">
        <v>2.25</v>
      </c>
      <c r="G86" s="64">
        <v>40.200000000000003</v>
      </c>
      <c r="H86" s="64">
        <v>11.19</v>
      </c>
      <c r="I86" s="64">
        <v>1.68</v>
      </c>
      <c r="J86" s="64">
        <v>0.55000000000000004</v>
      </c>
      <c r="K86" s="64">
        <v>130.74</v>
      </c>
      <c r="L86" s="64">
        <v>24.17</v>
      </c>
      <c r="M86" s="64">
        <v>98.22</v>
      </c>
      <c r="N86" s="64">
        <v>41.8</v>
      </c>
      <c r="O86" s="64">
        <v>0</v>
      </c>
      <c r="P86" s="64">
        <v>0.48</v>
      </c>
      <c r="Q86" s="64">
        <v>9.08</v>
      </c>
      <c r="R86" s="198"/>
      <c r="S86" s="198"/>
      <c r="T86" s="198"/>
      <c r="U86" s="198"/>
    </row>
    <row r="87" spans="1:26" s="12" customFormat="1" x14ac:dyDescent="0.25">
      <c r="A87" s="211" t="s">
        <v>2918</v>
      </c>
      <c r="B87" s="64">
        <v>11.41</v>
      </c>
      <c r="C87" s="64">
        <v>8.36</v>
      </c>
      <c r="D87" s="64">
        <v>13.52</v>
      </c>
      <c r="E87" s="64">
        <v>5.98</v>
      </c>
      <c r="F87" s="64">
        <v>2.44</v>
      </c>
      <c r="G87" s="64">
        <v>40.200000000000003</v>
      </c>
      <c r="H87" s="64">
        <v>11.19</v>
      </c>
      <c r="I87" s="64">
        <v>1.71</v>
      </c>
      <c r="J87" s="64">
        <v>0.19</v>
      </c>
      <c r="K87" s="64">
        <v>148.94</v>
      </c>
      <c r="L87" s="64">
        <v>24.06</v>
      </c>
      <c r="M87" s="64">
        <v>98.23</v>
      </c>
      <c r="N87" s="64">
        <v>41.6</v>
      </c>
      <c r="O87" s="64">
        <v>0</v>
      </c>
      <c r="P87" s="64">
        <v>0.47</v>
      </c>
      <c r="Q87" s="64">
        <v>9.07</v>
      </c>
      <c r="R87" s="198"/>
      <c r="S87" s="198"/>
      <c r="T87" s="198"/>
      <c r="U87" s="198"/>
    </row>
    <row r="88" spans="1:26" s="12" customFormat="1" x14ac:dyDescent="0.25">
      <c r="A88" s="211" t="s">
        <v>2919</v>
      </c>
      <c r="B88" s="64">
        <v>10.65</v>
      </c>
      <c r="C88" s="64">
        <v>8.1</v>
      </c>
      <c r="D88" s="64">
        <v>12.77</v>
      </c>
      <c r="E88" s="64">
        <v>5.52</v>
      </c>
      <c r="F88" s="64">
        <v>2.2999999999999998</v>
      </c>
      <c r="G88" s="64">
        <v>40.200000000000003</v>
      </c>
      <c r="H88" s="64">
        <v>11.19</v>
      </c>
      <c r="I88" s="64">
        <v>1.7</v>
      </c>
      <c r="J88" s="64">
        <v>0.04</v>
      </c>
      <c r="K88" s="64">
        <v>171.57</v>
      </c>
      <c r="L88" s="64">
        <v>23.89</v>
      </c>
      <c r="M88" s="64">
        <v>98.25</v>
      </c>
      <c r="N88" s="64">
        <v>41.6</v>
      </c>
      <c r="O88" s="64">
        <v>0</v>
      </c>
      <c r="P88" s="64">
        <v>0.49</v>
      </c>
      <c r="Q88" s="64">
        <v>9.08</v>
      </c>
      <c r="R88" s="198"/>
      <c r="S88" s="198"/>
      <c r="T88" s="198"/>
      <c r="U88" s="198"/>
    </row>
    <row r="89" spans="1:26" s="12" customFormat="1" x14ac:dyDescent="0.25">
      <c r="A89" s="211" t="s">
        <v>2920</v>
      </c>
      <c r="B89" s="64">
        <v>10.7</v>
      </c>
      <c r="C89" s="64">
        <v>9.43</v>
      </c>
      <c r="D89" s="64">
        <v>13.51</v>
      </c>
      <c r="E89" s="64">
        <v>5.67</v>
      </c>
      <c r="F89" s="64">
        <v>3.6</v>
      </c>
      <c r="G89" s="64">
        <v>29.91</v>
      </c>
      <c r="H89" s="64">
        <v>10.08</v>
      </c>
      <c r="I89" s="64">
        <v>1.7</v>
      </c>
      <c r="J89" s="64">
        <v>0.28000000000000003</v>
      </c>
      <c r="K89" s="64">
        <v>141.93</v>
      </c>
      <c r="L89" s="64">
        <v>23.78</v>
      </c>
      <c r="M89" s="64">
        <v>98.24</v>
      </c>
      <c r="N89" s="64">
        <v>41.2</v>
      </c>
      <c r="O89" s="64">
        <v>0</v>
      </c>
      <c r="P89" s="64">
        <v>0.48</v>
      </c>
      <c r="Q89" s="64">
        <v>9.1</v>
      </c>
      <c r="R89" s="198"/>
      <c r="S89" s="198"/>
      <c r="T89" s="198"/>
      <c r="U89" s="198"/>
    </row>
    <row r="90" spans="1:26" s="12" customFormat="1" x14ac:dyDescent="0.25">
      <c r="A90" s="211" t="s">
        <v>2921</v>
      </c>
      <c r="B90" s="64">
        <v>10.4</v>
      </c>
      <c r="C90" s="64">
        <v>6.89</v>
      </c>
      <c r="D90" s="64">
        <v>11.94</v>
      </c>
      <c r="E90" s="64">
        <v>5.65</v>
      </c>
      <c r="F90" s="64">
        <v>2.1</v>
      </c>
      <c r="G90" s="64">
        <v>27.15</v>
      </c>
      <c r="H90" s="64">
        <v>10.08</v>
      </c>
      <c r="I90" s="64">
        <v>1.71</v>
      </c>
      <c r="J90" s="64">
        <v>0.71</v>
      </c>
      <c r="K90" s="64">
        <v>129.9</v>
      </c>
      <c r="L90" s="64">
        <v>23.69</v>
      </c>
      <c r="M90" s="64">
        <v>98.23</v>
      </c>
      <c r="N90" s="64">
        <v>41.1</v>
      </c>
      <c r="O90" s="64">
        <v>0</v>
      </c>
      <c r="P90" s="64">
        <v>0.48</v>
      </c>
      <c r="Q90" s="64">
        <v>9.09</v>
      </c>
      <c r="R90" s="198"/>
      <c r="S90" s="198"/>
      <c r="T90" s="198"/>
      <c r="U90" s="198"/>
    </row>
    <row r="91" spans="1:26" s="12" customFormat="1" x14ac:dyDescent="0.25">
      <c r="A91" s="211" t="s">
        <v>2922</v>
      </c>
      <c r="B91" s="64">
        <v>11.91</v>
      </c>
      <c r="C91" s="64">
        <v>7.78</v>
      </c>
      <c r="D91" s="64">
        <v>13.62</v>
      </c>
      <c r="E91" s="64">
        <v>5.52</v>
      </c>
      <c r="F91" s="64">
        <v>3.17</v>
      </c>
      <c r="G91" s="64">
        <v>27.15</v>
      </c>
      <c r="H91" s="64">
        <v>10.08</v>
      </c>
      <c r="I91" s="64">
        <v>1.71</v>
      </c>
      <c r="J91" s="64">
        <v>0.34</v>
      </c>
      <c r="K91" s="64">
        <v>132.44999999999999</v>
      </c>
      <c r="L91" s="64">
        <v>23.66</v>
      </c>
      <c r="M91" s="64">
        <v>98.23</v>
      </c>
      <c r="N91" s="64">
        <v>41.1</v>
      </c>
      <c r="O91" s="64">
        <v>0</v>
      </c>
      <c r="P91" s="64">
        <v>0.37</v>
      </c>
      <c r="Q91" s="64">
        <v>9.09</v>
      </c>
      <c r="R91" s="198"/>
      <c r="S91" s="198"/>
      <c r="T91" s="198"/>
      <c r="U91" s="198"/>
    </row>
    <row r="92" spans="1:26" s="12" customFormat="1" x14ac:dyDescent="0.25">
      <c r="A92" s="211" t="s">
        <v>2923</v>
      </c>
      <c r="B92" s="64">
        <v>11.03</v>
      </c>
      <c r="C92" s="64">
        <v>8.27</v>
      </c>
      <c r="D92" s="64">
        <v>13.17</v>
      </c>
      <c r="E92" s="64">
        <v>5.63</v>
      </c>
      <c r="F92" s="64">
        <v>2.11</v>
      </c>
      <c r="G92" s="64">
        <v>27.15</v>
      </c>
      <c r="H92" s="64">
        <v>10.08</v>
      </c>
      <c r="I92" s="64">
        <v>1.69</v>
      </c>
      <c r="J92" s="64">
        <v>0.25</v>
      </c>
      <c r="K92" s="64">
        <v>145.11000000000001</v>
      </c>
      <c r="L92" s="64">
        <v>23.59</v>
      </c>
      <c r="M92" s="64">
        <v>98.25</v>
      </c>
      <c r="N92" s="64">
        <v>41.1</v>
      </c>
      <c r="O92" s="64">
        <v>0</v>
      </c>
      <c r="P92" s="64">
        <v>0.42</v>
      </c>
      <c r="Q92" s="64">
        <v>9.1</v>
      </c>
      <c r="R92" s="198"/>
      <c r="S92" s="198"/>
      <c r="T92" s="198"/>
      <c r="U92" s="198"/>
    </row>
    <row r="93" spans="1:26" s="12" customFormat="1" x14ac:dyDescent="0.25">
      <c r="A93" s="211" t="s">
        <v>2924</v>
      </c>
      <c r="B93" s="64">
        <v>13.55</v>
      </c>
      <c r="C93" s="64">
        <v>6.92</v>
      </c>
      <c r="D93" s="64">
        <v>14.32</v>
      </c>
      <c r="E93" s="64">
        <v>5.55</v>
      </c>
      <c r="F93" s="64">
        <v>2.4700000000000002</v>
      </c>
      <c r="G93" s="64">
        <v>20.99</v>
      </c>
      <c r="H93" s="64">
        <v>9.86</v>
      </c>
      <c r="I93" s="64">
        <v>1.67</v>
      </c>
      <c r="J93" s="64">
        <v>0.06</v>
      </c>
      <c r="K93" s="64">
        <v>276.95999999999998</v>
      </c>
      <c r="L93" s="64">
        <v>23.58</v>
      </c>
      <c r="M93" s="64">
        <v>98.25</v>
      </c>
      <c r="N93" s="64">
        <v>41.1</v>
      </c>
      <c r="O93" s="64">
        <v>0</v>
      </c>
      <c r="P93" s="64">
        <v>0.38</v>
      </c>
      <c r="Q93" s="64">
        <v>9.11</v>
      </c>
      <c r="R93" s="198"/>
      <c r="S93" s="198"/>
      <c r="T93" s="198"/>
      <c r="U93" s="198"/>
    </row>
    <row r="94" spans="1:26" s="12" customFormat="1" x14ac:dyDescent="0.25">
      <c r="A94" s="211" t="s">
        <v>2925</v>
      </c>
      <c r="B94" s="64">
        <v>13.52</v>
      </c>
      <c r="C94" s="64">
        <v>6.5</v>
      </c>
      <c r="D94" s="64">
        <v>13.96</v>
      </c>
      <c r="E94" s="64">
        <v>5.34</v>
      </c>
      <c r="F94" s="64">
        <v>2.2400000000000002</v>
      </c>
      <c r="G94" s="64">
        <v>19.34</v>
      </c>
      <c r="H94" s="64">
        <v>9.86</v>
      </c>
      <c r="I94" s="64">
        <v>1.65</v>
      </c>
      <c r="J94" s="64">
        <v>0.15</v>
      </c>
      <c r="K94" s="64">
        <v>161.83000000000001</v>
      </c>
      <c r="L94" s="64">
        <v>23.49</v>
      </c>
      <c r="M94" s="64">
        <v>98.25</v>
      </c>
      <c r="N94" s="64">
        <v>41.3</v>
      </c>
      <c r="O94" s="64">
        <v>0</v>
      </c>
      <c r="P94" s="64">
        <v>0.42</v>
      </c>
      <c r="Q94" s="64">
        <v>9.1300000000000008</v>
      </c>
      <c r="R94" s="198"/>
      <c r="S94" s="198"/>
      <c r="T94" s="198"/>
      <c r="U94" s="198"/>
    </row>
    <row r="95" spans="1:26" s="12" customFormat="1" x14ac:dyDescent="0.25">
      <c r="A95" s="211" t="s">
        <v>2926</v>
      </c>
      <c r="B95" s="64">
        <v>13.98</v>
      </c>
      <c r="C95" s="64">
        <v>7.79</v>
      </c>
      <c r="D95" s="64">
        <v>15.28</v>
      </c>
      <c r="E95" s="64">
        <v>5.71</v>
      </c>
      <c r="F95" s="64">
        <v>2.1</v>
      </c>
      <c r="G95" s="64">
        <v>19.34</v>
      </c>
      <c r="H95" s="64">
        <v>9.86</v>
      </c>
      <c r="I95" s="64">
        <v>1.62</v>
      </c>
      <c r="J95" s="64">
        <v>0.23</v>
      </c>
      <c r="K95" s="64">
        <v>308.39999999999998</v>
      </c>
      <c r="L95" s="64">
        <v>23.35</v>
      </c>
      <c r="M95" s="64">
        <v>98.02</v>
      </c>
      <c r="N95" s="64">
        <v>41.4</v>
      </c>
      <c r="O95" s="64">
        <v>0</v>
      </c>
      <c r="P95" s="64">
        <v>0.44</v>
      </c>
      <c r="Q95" s="64">
        <v>9.14</v>
      </c>
      <c r="R95" s="198"/>
      <c r="S95" s="198"/>
      <c r="T95" s="198"/>
      <c r="U95" s="198"/>
    </row>
    <row r="96" spans="1:26" s="12" customFormat="1" x14ac:dyDescent="0.25">
      <c r="A96" s="211" t="s">
        <v>2927</v>
      </c>
      <c r="B96" s="64">
        <v>14</v>
      </c>
      <c r="C96" s="64">
        <v>7.66</v>
      </c>
      <c r="D96" s="64">
        <v>15.2</v>
      </c>
      <c r="E96" s="64">
        <v>5.6</v>
      </c>
      <c r="F96" s="64">
        <v>2.1</v>
      </c>
      <c r="G96" s="64">
        <v>19.34</v>
      </c>
      <c r="H96" s="64">
        <v>9.86</v>
      </c>
      <c r="I96" s="64">
        <v>1.6</v>
      </c>
      <c r="J96" s="64">
        <v>0.1</v>
      </c>
      <c r="K96" s="64">
        <v>256.38</v>
      </c>
      <c r="L96" s="64">
        <v>23.16</v>
      </c>
      <c r="M96" s="64">
        <v>98</v>
      </c>
      <c r="N96" s="64">
        <v>41.2</v>
      </c>
      <c r="O96" s="64">
        <v>0</v>
      </c>
      <c r="P96" s="64">
        <v>0.42</v>
      </c>
      <c r="Q96" s="64">
        <v>9.15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2928</v>
      </c>
      <c r="B97" s="64">
        <v>13.19</v>
      </c>
      <c r="C97" s="64">
        <v>7.03</v>
      </c>
      <c r="D97" s="64">
        <v>14.21</v>
      </c>
      <c r="E97" s="64">
        <v>5.79</v>
      </c>
      <c r="F97" s="64">
        <v>2.1</v>
      </c>
      <c r="G97" s="64">
        <v>15.51</v>
      </c>
      <c r="H97" s="64">
        <v>9.25</v>
      </c>
      <c r="I97" s="64">
        <v>1.6</v>
      </c>
      <c r="J97" s="64">
        <v>0.14000000000000001</v>
      </c>
      <c r="K97" s="64">
        <v>265.64999999999998</v>
      </c>
      <c r="L97" s="64">
        <v>23.13</v>
      </c>
      <c r="M97" s="64">
        <v>98</v>
      </c>
      <c r="N97" s="64">
        <v>41.3</v>
      </c>
      <c r="O97" s="64">
        <v>0</v>
      </c>
      <c r="P97" s="64">
        <v>0.41</v>
      </c>
      <c r="Q97" s="64">
        <v>9.17</v>
      </c>
      <c r="R97" s="198"/>
      <c r="S97" s="198"/>
      <c r="T97" s="198"/>
      <c r="U97" s="198"/>
    </row>
    <row r="98" spans="1:33" s="12" customFormat="1" x14ac:dyDescent="0.25">
      <c r="A98" s="211" t="s">
        <v>2929</v>
      </c>
      <c r="B98" s="64">
        <v>13.58</v>
      </c>
      <c r="C98" s="64">
        <v>7.32</v>
      </c>
      <c r="D98" s="64">
        <v>14.58</v>
      </c>
      <c r="E98" s="64">
        <v>6.16</v>
      </c>
      <c r="F98" s="64">
        <v>2.1</v>
      </c>
      <c r="G98" s="64">
        <v>14.48</v>
      </c>
      <c r="H98" s="64">
        <v>9.25</v>
      </c>
      <c r="I98" s="64">
        <v>1.6</v>
      </c>
      <c r="J98" s="64">
        <v>0.2</v>
      </c>
      <c r="K98" s="64">
        <v>140.13999999999999</v>
      </c>
      <c r="L98" s="64">
        <v>23.08</v>
      </c>
      <c r="M98" s="64">
        <v>98</v>
      </c>
      <c r="N98" s="64">
        <v>41.4</v>
      </c>
      <c r="O98" s="64">
        <v>0</v>
      </c>
      <c r="P98" s="64">
        <v>0.4</v>
      </c>
      <c r="Q98" s="64">
        <v>9.18</v>
      </c>
      <c r="R98" s="198"/>
      <c r="S98" s="198"/>
      <c r="T98" s="198"/>
      <c r="U98" s="198"/>
    </row>
    <row r="99" spans="1:33" s="12" customFormat="1" x14ac:dyDescent="0.25">
      <c r="A99" s="211" t="s">
        <v>2930</v>
      </c>
      <c r="B99" s="64">
        <v>14.17</v>
      </c>
      <c r="C99" s="64">
        <v>7.5</v>
      </c>
      <c r="D99" s="64">
        <v>15.28</v>
      </c>
      <c r="E99" s="64">
        <v>5.89</v>
      </c>
      <c r="F99" s="64">
        <v>2.15</v>
      </c>
      <c r="G99" s="64">
        <v>14.48</v>
      </c>
      <c r="H99" s="64">
        <v>9.25</v>
      </c>
      <c r="I99" s="64">
        <v>1.58</v>
      </c>
      <c r="J99" s="64">
        <v>0.08</v>
      </c>
      <c r="K99" s="64">
        <v>282.79000000000002</v>
      </c>
      <c r="L99" s="64">
        <v>23.05</v>
      </c>
      <c r="M99" s="64">
        <v>98</v>
      </c>
      <c r="N99" s="64">
        <v>41.5</v>
      </c>
      <c r="O99" s="64">
        <v>0</v>
      </c>
      <c r="P99" s="64">
        <v>0.4</v>
      </c>
      <c r="Q99" s="64">
        <v>9.19</v>
      </c>
      <c r="R99" s="198"/>
      <c r="S99" s="198"/>
      <c r="T99" s="198"/>
      <c r="U99" s="198"/>
    </row>
    <row r="100" spans="1:33" s="12" customFormat="1" x14ac:dyDescent="0.25">
      <c r="A100" s="211" t="s">
        <v>2931</v>
      </c>
      <c r="B100" s="64">
        <v>12.83</v>
      </c>
      <c r="C100" s="64">
        <v>6.86</v>
      </c>
      <c r="D100" s="64">
        <v>13.7</v>
      </c>
      <c r="E100" s="64">
        <v>5.84</v>
      </c>
      <c r="F100" s="64">
        <v>2.13</v>
      </c>
      <c r="G100" s="64">
        <v>14.48</v>
      </c>
      <c r="H100" s="64">
        <v>9.25</v>
      </c>
      <c r="I100" s="64">
        <v>1.56</v>
      </c>
      <c r="J100" s="64">
        <v>0.37</v>
      </c>
      <c r="K100" s="64">
        <v>129.31</v>
      </c>
      <c r="L100" s="64">
        <v>22.93</v>
      </c>
      <c r="M100" s="64">
        <v>98.02</v>
      </c>
      <c r="N100" s="64">
        <v>41.5</v>
      </c>
      <c r="O100" s="64">
        <v>0</v>
      </c>
      <c r="P100" s="64">
        <v>0.36</v>
      </c>
      <c r="Q100" s="64">
        <v>9.19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2932</v>
      </c>
      <c r="B101" s="64">
        <v>13.94</v>
      </c>
      <c r="C101" s="64">
        <v>5.91</v>
      </c>
      <c r="D101" s="64">
        <v>14.27</v>
      </c>
      <c r="E101" s="64">
        <v>5.85</v>
      </c>
      <c r="F101" s="64">
        <v>2.1</v>
      </c>
      <c r="G101" s="64">
        <v>15.46</v>
      </c>
      <c r="H101" s="64">
        <v>8.83</v>
      </c>
      <c r="I101" s="64">
        <v>1.55</v>
      </c>
      <c r="J101" s="64">
        <v>0.39</v>
      </c>
      <c r="K101" s="64">
        <v>134.53</v>
      </c>
      <c r="L101" s="64">
        <v>22.8</v>
      </c>
      <c r="M101" s="64">
        <v>98.03</v>
      </c>
      <c r="N101" s="64">
        <v>41.5</v>
      </c>
      <c r="O101" s="64">
        <v>0</v>
      </c>
      <c r="P101" s="64">
        <v>0.42</v>
      </c>
      <c r="Q101" s="64">
        <v>9.17</v>
      </c>
      <c r="R101" s="198"/>
      <c r="S101" s="198"/>
      <c r="T101" s="198"/>
      <c r="U101" s="198"/>
    </row>
    <row r="102" spans="1:33" s="12" customFormat="1" x14ac:dyDescent="0.25">
      <c r="A102" s="211" t="s">
        <v>2933</v>
      </c>
      <c r="B102" s="64">
        <v>12.68</v>
      </c>
      <c r="C102" s="64">
        <v>6.26</v>
      </c>
      <c r="D102" s="64">
        <v>13.44</v>
      </c>
      <c r="E102" s="64">
        <v>5.56</v>
      </c>
      <c r="F102" s="64">
        <v>3.35</v>
      </c>
      <c r="G102" s="64">
        <v>15.73</v>
      </c>
      <c r="H102" s="64">
        <v>8.83</v>
      </c>
      <c r="I102" s="64">
        <v>1.52</v>
      </c>
      <c r="J102" s="64">
        <v>0.49</v>
      </c>
      <c r="K102" s="64">
        <v>139.59</v>
      </c>
      <c r="L102" s="64">
        <v>22.75</v>
      </c>
      <c r="M102" s="64">
        <v>98.03</v>
      </c>
      <c r="N102" s="64">
        <v>41.4</v>
      </c>
      <c r="O102" s="64">
        <v>0</v>
      </c>
      <c r="P102" s="64">
        <v>0.34</v>
      </c>
      <c r="Q102" s="64">
        <v>9.17</v>
      </c>
      <c r="R102" s="198"/>
      <c r="S102" s="198"/>
      <c r="T102" s="198"/>
      <c r="U102" s="198"/>
    </row>
    <row r="103" spans="1:33" s="12" customFormat="1" x14ac:dyDescent="0.25">
      <c r="A103" s="211" t="s">
        <v>2934</v>
      </c>
      <c r="B103" s="64">
        <v>12.94</v>
      </c>
      <c r="C103" s="64">
        <v>5.93</v>
      </c>
      <c r="D103" s="64">
        <v>13.47</v>
      </c>
      <c r="E103" s="64">
        <v>5.48</v>
      </c>
      <c r="F103" s="64">
        <v>2.42</v>
      </c>
      <c r="G103" s="64">
        <v>15.73</v>
      </c>
      <c r="H103" s="64">
        <v>8.83</v>
      </c>
      <c r="I103" s="64">
        <v>1.48</v>
      </c>
      <c r="J103" s="64">
        <v>0.12</v>
      </c>
      <c r="K103" s="64">
        <v>155.79</v>
      </c>
      <c r="L103" s="64">
        <v>22.66</v>
      </c>
      <c r="M103" s="64">
        <v>98.05</v>
      </c>
      <c r="N103" s="64">
        <v>41.1</v>
      </c>
      <c r="O103" s="64">
        <v>0</v>
      </c>
      <c r="P103" s="64">
        <v>0.38</v>
      </c>
      <c r="Q103" s="64">
        <v>9.15</v>
      </c>
      <c r="R103" s="198"/>
      <c r="S103" s="198"/>
      <c r="T103" s="198"/>
      <c r="U103" s="198"/>
    </row>
    <row r="104" spans="1:33" s="12" customFormat="1" x14ac:dyDescent="0.25">
      <c r="A104" s="211" t="s">
        <v>2935</v>
      </c>
      <c r="B104" s="64">
        <v>12.44</v>
      </c>
      <c r="C104" s="64">
        <v>5.98</v>
      </c>
      <c r="D104" s="64">
        <v>13.1</v>
      </c>
      <c r="E104" s="64">
        <v>4.42</v>
      </c>
      <c r="F104" s="64">
        <v>2.1</v>
      </c>
      <c r="G104" s="64">
        <v>15.73</v>
      </c>
      <c r="H104" s="64">
        <v>8.83</v>
      </c>
      <c r="I104" s="64">
        <v>1.46</v>
      </c>
      <c r="J104" s="64">
        <v>0.3</v>
      </c>
      <c r="K104" s="64">
        <v>143.04</v>
      </c>
      <c r="L104" s="64">
        <v>22.64</v>
      </c>
      <c r="M104" s="64">
        <v>98.05</v>
      </c>
      <c r="N104" s="64">
        <v>41.1</v>
      </c>
      <c r="O104" s="64">
        <v>0</v>
      </c>
      <c r="P104" s="64">
        <v>0.34</v>
      </c>
      <c r="Q104" s="64">
        <v>9.15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6.97</v>
      </c>
      <c r="C106" s="67">
        <f>MIN(C9:C104)</f>
        <v>5.81</v>
      </c>
      <c r="D106" s="67">
        <f t="shared" ref="D106:Q106" si="0">MIN(D9:D104)</f>
        <v>9.33</v>
      </c>
      <c r="E106" s="67">
        <f t="shared" si="0"/>
        <v>4.0599999999999996</v>
      </c>
      <c r="F106" s="67">
        <f t="shared" si="0"/>
        <v>2.1</v>
      </c>
      <c r="G106" s="67">
        <f t="shared" si="0"/>
        <v>5.61</v>
      </c>
      <c r="H106" s="67">
        <f t="shared" si="0"/>
        <v>8.83</v>
      </c>
      <c r="I106" s="67">
        <f t="shared" si="0"/>
        <v>1.1200000000000001</v>
      </c>
      <c r="J106" s="67">
        <f t="shared" si="0"/>
        <v>0.01</v>
      </c>
      <c r="K106" s="67">
        <f t="shared" si="0"/>
        <v>26.06</v>
      </c>
      <c r="L106" s="67">
        <f t="shared" si="0"/>
        <v>22.64</v>
      </c>
      <c r="M106" s="67">
        <f t="shared" si="0"/>
        <v>83.2</v>
      </c>
      <c r="N106" s="67">
        <f t="shared" si="0"/>
        <v>39.5</v>
      </c>
      <c r="O106" s="67">
        <f t="shared" si="0"/>
        <v>0</v>
      </c>
      <c r="P106" s="67">
        <f t="shared" si="0"/>
        <v>0.3</v>
      </c>
      <c r="Q106" s="67">
        <f t="shared" si="0"/>
        <v>9.0299999999999994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15.31</v>
      </c>
      <c r="C107" s="66">
        <f t="shared" ref="C107:Q107" si="1">MAX(C9:C104)</f>
        <v>13.96</v>
      </c>
      <c r="D107" s="66">
        <f t="shared" si="1"/>
        <v>18.079999999999998</v>
      </c>
      <c r="E107" s="66">
        <f t="shared" si="1"/>
        <v>6.6</v>
      </c>
      <c r="F107" s="66">
        <f t="shared" si="1"/>
        <v>8.8800000000000008</v>
      </c>
      <c r="G107" s="66">
        <f t="shared" si="1"/>
        <v>45.81</v>
      </c>
      <c r="H107" s="66">
        <f t="shared" si="1"/>
        <v>13.06</v>
      </c>
      <c r="I107" s="66">
        <f t="shared" si="1"/>
        <v>1.8</v>
      </c>
      <c r="J107" s="66">
        <f t="shared" si="1"/>
        <v>0.92</v>
      </c>
      <c r="K107" s="66">
        <f t="shared" si="1"/>
        <v>347.38</v>
      </c>
      <c r="L107" s="66">
        <f t="shared" si="1"/>
        <v>27.18</v>
      </c>
      <c r="M107" s="66">
        <f t="shared" si="1"/>
        <v>98.27</v>
      </c>
      <c r="N107" s="66">
        <f t="shared" si="1"/>
        <v>376.5</v>
      </c>
      <c r="O107" s="66">
        <f t="shared" si="1"/>
        <v>0</v>
      </c>
      <c r="P107" s="66">
        <f t="shared" si="1"/>
        <v>0.79</v>
      </c>
      <c r="Q107" s="66">
        <f t="shared" si="1"/>
        <v>9.19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11.153229166666668</v>
      </c>
      <c r="C108" s="67">
        <f t="shared" ref="C108:Q108" si="2">AVERAGE(C9:C104)</f>
        <v>8.4212499999999988</v>
      </c>
      <c r="D108" s="67">
        <f t="shared" si="2"/>
        <v>13.328645833333335</v>
      </c>
      <c r="E108" s="67">
        <f t="shared" si="2"/>
        <v>5.5082291666666654</v>
      </c>
      <c r="F108" s="67">
        <f t="shared" si="2"/>
        <v>3.5702083333333365</v>
      </c>
      <c r="G108" s="67">
        <f t="shared" si="2"/>
        <v>27.027708333333326</v>
      </c>
      <c r="H108" s="67">
        <f t="shared" si="2"/>
        <v>10.63958333333334</v>
      </c>
      <c r="I108" s="67">
        <f t="shared" si="2"/>
        <v>1.4753125</v>
      </c>
      <c r="J108" s="67">
        <f t="shared" si="2"/>
        <v>0.25208333333333338</v>
      </c>
      <c r="K108" s="67">
        <f t="shared" si="2"/>
        <v>198.53083333333336</v>
      </c>
      <c r="L108" s="67">
        <f t="shared" si="2"/>
        <v>24.408124999999998</v>
      </c>
      <c r="M108" s="67">
        <f t="shared" si="2"/>
        <v>95.671041666666682</v>
      </c>
      <c r="N108" s="67">
        <f t="shared" si="2"/>
        <v>100.91041666666665</v>
      </c>
      <c r="O108" s="67">
        <f t="shared" si="2"/>
        <v>0</v>
      </c>
      <c r="P108" s="67">
        <f t="shared" si="2"/>
        <v>0.43906249999999997</v>
      </c>
      <c r="Q108" s="67">
        <f t="shared" si="2"/>
        <v>9.1059375000000031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2.2389116222381236</v>
      </c>
      <c r="C109" s="67">
        <f t="shared" ref="C109:Q109" si="3">STDEV(C9:C104)</f>
        <v>2.0724367808274233</v>
      </c>
      <c r="D109" s="67">
        <f t="shared" si="3"/>
        <v>2.0959733926553832</v>
      </c>
      <c r="E109" s="67">
        <f t="shared" si="3"/>
        <v>0.73022562452938489</v>
      </c>
      <c r="F109" s="67">
        <f t="shared" si="3"/>
        <v>1.5261840815829451</v>
      </c>
      <c r="G109" s="67">
        <f t="shared" si="3"/>
        <v>12.338817522391571</v>
      </c>
      <c r="H109" s="67">
        <f t="shared" si="3"/>
        <v>1.1139894326878521</v>
      </c>
      <c r="I109" s="67">
        <f t="shared" si="3"/>
        <v>0.21436296383274381</v>
      </c>
      <c r="J109" s="67">
        <f t="shared" si="3"/>
        <v>0.20514906860835896</v>
      </c>
      <c r="K109" s="67">
        <f t="shared" si="3"/>
        <v>83.599141542641846</v>
      </c>
      <c r="L109" s="67">
        <f t="shared" si="3"/>
        <v>1.398317268795078</v>
      </c>
      <c r="M109" s="67">
        <f t="shared" si="3"/>
        <v>4.1986801132001537</v>
      </c>
      <c r="N109" s="67">
        <f t="shared" si="3"/>
        <v>88.505613832256785</v>
      </c>
      <c r="O109" s="67">
        <f t="shared" si="3"/>
        <v>0</v>
      </c>
      <c r="P109" s="67">
        <f t="shared" si="3"/>
        <v>9.50576348715267E-2</v>
      </c>
      <c r="Q109" s="67">
        <f t="shared" si="3"/>
        <v>4.6352837305992267E-2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COUNT(J9:J104)+2</f>
        <v>98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A88" zoomScale="85" zoomScaleNormal="85" workbookViewId="0">
      <selection activeCell="G103" sqref="G10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1" t="s">
        <v>2936</v>
      </c>
      <c r="B9" s="64">
        <v>12.84</v>
      </c>
      <c r="C9" s="64">
        <v>5.21</v>
      </c>
      <c r="D9" s="64">
        <v>13.02</v>
      </c>
      <c r="E9" s="64">
        <v>5.35</v>
      </c>
      <c r="F9" s="64">
        <v>2.1</v>
      </c>
      <c r="G9" s="64">
        <v>18.760000000000002</v>
      </c>
      <c r="H9" s="64">
        <v>8.93</v>
      </c>
      <c r="I9" s="64">
        <v>1.44</v>
      </c>
      <c r="J9" s="64">
        <v>0.3</v>
      </c>
      <c r="K9" s="64">
        <v>136.19</v>
      </c>
      <c r="L9" s="64">
        <v>22.6</v>
      </c>
      <c r="M9" s="64">
        <v>98.03</v>
      </c>
      <c r="N9" s="64">
        <v>41.1</v>
      </c>
      <c r="O9" s="64">
        <v>0</v>
      </c>
      <c r="P9" s="64">
        <v>0.36</v>
      </c>
      <c r="Q9" s="64">
        <v>9.15</v>
      </c>
      <c r="R9" s="198"/>
      <c r="S9" s="198"/>
      <c r="T9" s="198"/>
      <c r="U9" s="198"/>
    </row>
    <row r="10" spans="1:21" s="12" customFormat="1" x14ac:dyDescent="0.25">
      <c r="A10" s="211" t="s">
        <v>2937</v>
      </c>
      <c r="B10" s="64">
        <v>12.46</v>
      </c>
      <c r="C10" s="64">
        <v>5.71</v>
      </c>
      <c r="D10" s="64">
        <v>12.97</v>
      </c>
      <c r="E10" s="64">
        <v>5.18</v>
      </c>
      <c r="F10" s="64">
        <v>2.23</v>
      </c>
      <c r="G10" s="64">
        <v>19.579999999999998</v>
      </c>
      <c r="H10" s="64">
        <v>8.93</v>
      </c>
      <c r="I10" s="64">
        <v>1.43</v>
      </c>
      <c r="J10" s="64">
        <v>0.06</v>
      </c>
      <c r="K10" s="64">
        <v>271.62</v>
      </c>
      <c r="L10" s="64">
        <v>22.61</v>
      </c>
      <c r="M10" s="64">
        <v>98.03</v>
      </c>
      <c r="N10" s="64">
        <v>41.1</v>
      </c>
      <c r="O10" s="64">
        <v>0</v>
      </c>
      <c r="P10" s="64">
        <v>0.33</v>
      </c>
      <c r="Q10" s="64">
        <v>9.14</v>
      </c>
      <c r="R10" s="198"/>
      <c r="S10" s="198"/>
      <c r="T10" s="198"/>
      <c r="U10" s="198"/>
    </row>
    <row r="11" spans="1:21" s="12" customFormat="1" x14ac:dyDescent="0.25">
      <c r="A11" s="211" t="s">
        <v>2938</v>
      </c>
      <c r="B11" s="64">
        <v>12.28</v>
      </c>
      <c r="C11" s="64">
        <v>5.68</v>
      </c>
      <c r="D11" s="64">
        <v>12.82</v>
      </c>
      <c r="E11" s="64">
        <v>5.26</v>
      </c>
      <c r="F11" s="64">
        <v>2.1</v>
      </c>
      <c r="G11" s="64">
        <v>19.579999999999998</v>
      </c>
      <c r="H11" s="64">
        <v>8.93</v>
      </c>
      <c r="I11" s="64">
        <v>1.41</v>
      </c>
      <c r="J11" s="64">
        <v>0.25</v>
      </c>
      <c r="K11" s="64">
        <v>153.65</v>
      </c>
      <c r="L11" s="64">
        <v>22.53</v>
      </c>
      <c r="M11" s="64">
        <v>98.03</v>
      </c>
      <c r="N11" s="64">
        <v>41.1</v>
      </c>
      <c r="O11" s="64">
        <v>0</v>
      </c>
      <c r="P11" s="64">
        <v>0.34</v>
      </c>
      <c r="Q11" s="64">
        <v>9.15</v>
      </c>
      <c r="R11" s="198"/>
      <c r="S11" s="198"/>
      <c r="T11" s="198"/>
      <c r="U11" s="198"/>
    </row>
    <row r="12" spans="1:21" s="12" customFormat="1" x14ac:dyDescent="0.25">
      <c r="A12" s="211" t="s">
        <v>2939</v>
      </c>
      <c r="B12" s="64">
        <v>12.36</v>
      </c>
      <c r="C12" s="64">
        <v>5.27</v>
      </c>
      <c r="D12" s="64">
        <v>12.67</v>
      </c>
      <c r="E12" s="64">
        <v>5.33</v>
      </c>
      <c r="F12" s="64">
        <v>2.1</v>
      </c>
      <c r="G12" s="64">
        <v>19.579999999999998</v>
      </c>
      <c r="H12" s="64">
        <v>8.93</v>
      </c>
      <c r="I12" s="64">
        <v>1.4</v>
      </c>
      <c r="J12" s="64">
        <v>0.31</v>
      </c>
      <c r="K12" s="64">
        <v>143.12</v>
      </c>
      <c r="L12" s="64">
        <v>22.45</v>
      </c>
      <c r="M12" s="64">
        <v>98.04</v>
      </c>
      <c r="N12" s="64">
        <v>41.1</v>
      </c>
      <c r="O12" s="64">
        <v>0</v>
      </c>
      <c r="P12" s="64">
        <v>0.34</v>
      </c>
      <c r="Q12" s="64">
        <v>9.14</v>
      </c>
      <c r="R12" s="198"/>
      <c r="S12" s="198"/>
      <c r="T12" s="198"/>
      <c r="U12" s="198"/>
    </row>
    <row r="13" spans="1:21" s="12" customFormat="1" x14ac:dyDescent="0.25">
      <c r="A13" s="211" t="s">
        <v>2940</v>
      </c>
      <c r="B13" s="64">
        <v>11.58</v>
      </c>
      <c r="C13" s="64">
        <v>5.68</v>
      </c>
      <c r="D13" s="64">
        <v>12.26</v>
      </c>
      <c r="E13" s="64">
        <v>5.43</v>
      </c>
      <c r="F13" s="64">
        <v>2.1</v>
      </c>
      <c r="G13" s="64">
        <v>14.94</v>
      </c>
      <c r="H13" s="64">
        <v>11.51</v>
      </c>
      <c r="I13" s="64">
        <v>1.38</v>
      </c>
      <c r="J13" s="64">
        <v>0.37</v>
      </c>
      <c r="K13" s="64">
        <v>137.55000000000001</v>
      </c>
      <c r="L13" s="64">
        <v>22.41</v>
      </c>
      <c r="M13" s="64">
        <v>98.05</v>
      </c>
      <c r="N13" s="64">
        <v>41.1</v>
      </c>
      <c r="O13" s="64">
        <v>0</v>
      </c>
      <c r="P13" s="64">
        <v>0.37</v>
      </c>
      <c r="Q13" s="64">
        <v>9.14</v>
      </c>
      <c r="R13" s="198"/>
      <c r="S13" s="198"/>
      <c r="T13" s="198"/>
      <c r="U13" s="198"/>
    </row>
    <row r="14" spans="1:21" s="12" customFormat="1" x14ac:dyDescent="0.25">
      <c r="A14" s="211" t="s">
        <v>2941</v>
      </c>
      <c r="B14" s="64">
        <v>12.08</v>
      </c>
      <c r="C14" s="64">
        <v>5.29</v>
      </c>
      <c r="D14" s="64">
        <v>12.45</v>
      </c>
      <c r="E14" s="64">
        <v>5.14</v>
      </c>
      <c r="F14" s="64">
        <v>2.1</v>
      </c>
      <c r="G14" s="64">
        <v>13.7</v>
      </c>
      <c r="H14" s="64">
        <v>11.51</v>
      </c>
      <c r="I14" s="64">
        <v>1.37</v>
      </c>
      <c r="J14" s="64">
        <v>0.14000000000000001</v>
      </c>
      <c r="K14" s="64">
        <v>173.61</v>
      </c>
      <c r="L14" s="64">
        <v>22.39</v>
      </c>
      <c r="M14" s="64">
        <v>98.05</v>
      </c>
      <c r="N14" s="64">
        <v>41.1</v>
      </c>
      <c r="O14" s="64">
        <v>0</v>
      </c>
      <c r="P14" s="64">
        <v>0.41</v>
      </c>
      <c r="Q14" s="64">
        <v>9.1300000000000008</v>
      </c>
      <c r="R14" s="198"/>
      <c r="S14" s="198"/>
      <c r="T14" s="198"/>
      <c r="U14" s="198"/>
    </row>
    <row r="15" spans="1:21" s="12" customFormat="1" x14ac:dyDescent="0.25">
      <c r="A15" s="211" t="s">
        <v>2942</v>
      </c>
      <c r="B15" s="64">
        <v>11.5</v>
      </c>
      <c r="C15" s="64">
        <v>5.88</v>
      </c>
      <c r="D15" s="64">
        <v>12.29</v>
      </c>
      <c r="E15" s="64">
        <v>5.38</v>
      </c>
      <c r="F15" s="64">
        <v>2.1</v>
      </c>
      <c r="G15" s="64">
        <v>13.7</v>
      </c>
      <c r="H15" s="64">
        <v>11.51</v>
      </c>
      <c r="I15" s="64">
        <v>1.35</v>
      </c>
      <c r="J15" s="64">
        <v>0.51</v>
      </c>
      <c r="K15" s="64">
        <v>128.05000000000001</v>
      </c>
      <c r="L15" s="64">
        <v>22.4</v>
      </c>
      <c r="M15" s="64">
        <v>98.03</v>
      </c>
      <c r="N15" s="64">
        <v>41.1</v>
      </c>
      <c r="O15" s="64">
        <v>0</v>
      </c>
      <c r="P15" s="64">
        <v>0.38</v>
      </c>
      <c r="Q15" s="64">
        <v>9.14</v>
      </c>
      <c r="R15" s="198"/>
      <c r="S15" s="198"/>
      <c r="T15" s="198"/>
      <c r="U15" s="198"/>
    </row>
    <row r="16" spans="1:21" s="12" customFormat="1" x14ac:dyDescent="0.25">
      <c r="A16" s="211" t="s">
        <v>2943</v>
      </c>
      <c r="B16" s="64">
        <v>10.82</v>
      </c>
      <c r="C16" s="64">
        <v>6.31</v>
      </c>
      <c r="D16" s="64">
        <v>11.98</v>
      </c>
      <c r="E16" s="64">
        <v>5.51</v>
      </c>
      <c r="F16" s="64">
        <v>2.1</v>
      </c>
      <c r="G16" s="64">
        <v>13.7</v>
      </c>
      <c r="H16" s="64">
        <v>11.51</v>
      </c>
      <c r="I16" s="64">
        <v>1.32</v>
      </c>
      <c r="J16" s="64">
        <v>0.31</v>
      </c>
      <c r="K16" s="64">
        <v>145.07</v>
      </c>
      <c r="L16" s="64">
        <v>22.41</v>
      </c>
      <c r="M16" s="64">
        <v>98.03</v>
      </c>
      <c r="N16" s="64">
        <v>41.1</v>
      </c>
      <c r="O16" s="64">
        <v>0</v>
      </c>
      <c r="P16" s="64">
        <v>0.37</v>
      </c>
      <c r="Q16" s="64">
        <v>9.14</v>
      </c>
      <c r="R16" s="198"/>
      <c r="S16" s="198"/>
      <c r="T16" s="198"/>
      <c r="U16" s="198"/>
    </row>
    <row r="17" spans="1:21" s="12" customFormat="1" x14ac:dyDescent="0.25">
      <c r="A17" s="211" t="s">
        <v>2944</v>
      </c>
      <c r="B17" s="64">
        <v>10.68</v>
      </c>
      <c r="C17" s="64">
        <v>6.19</v>
      </c>
      <c r="D17" s="64">
        <v>11.8</v>
      </c>
      <c r="E17" s="64">
        <v>5.68</v>
      </c>
      <c r="F17" s="64">
        <v>2.1</v>
      </c>
      <c r="G17" s="64">
        <v>10.9</v>
      </c>
      <c r="H17" s="64">
        <v>10.79</v>
      </c>
      <c r="I17" s="64">
        <v>1.29</v>
      </c>
      <c r="J17" s="64">
        <v>0.11</v>
      </c>
      <c r="K17" s="64">
        <v>207.33</v>
      </c>
      <c r="L17" s="64">
        <v>22.39</v>
      </c>
      <c r="M17" s="64">
        <v>98.03</v>
      </c>
      <c r="N17" s="64">
        <v>41.1</v>
      </c>
      <c r="O17" s="64">
        <v>0</v>
      </c>
      <c r="P17" s="64">
        <v>0.37</v>
      </c>
      <c r="Q17" s="64">
        <v>9.14</v>
      </c>
      <c r="R17" s="198"/>
      <c r="S17" s="198"/>
      <c r="T17" s="198"/>
      <c r="U17" s="198"/>
    </row>
    <row r="18" spans="1:21" s="12" customFormat="1" x14ac:dyDescent="0.25">
      <c r="A18" s="211" t="s">
        <v>2945</v>
      </c>
      <c r="B18" s="64">
        <v>10.8</v>
      </c>
      <c r="C18" s="64">
        <v>6.05</v>
      </c>
      <c r="D18" s="64">
        <v>11.82</v>
      </c>
      <c r="E18" s="64">
        <v>5.86</v>
      </c>
      <c r="F18" s="64">
        <v>2.1</v>
      </c>
      <c r="G18" s="64">
        <v>10.15</v>
      </c>
      <c r="H18" s="64">
        <v>10.79</v>
      </c>
      <c r="I18" s="64">
        <v>1.27</v>
      </c>
      <c r="J18" s="64">
        <v>0.1</v>
      </c>
      <c r="K18" s="64">
        <v>229.43</v>
      </c>
      <c r="L18" s="64">
        <v>22.41</v>
      </c>
      <c r="M18" s="64">
        <v>98.03</v>
      </c>
      <c r="N18" s="64">
        <v>41.1</v>
      </c>
      <c r="O18" s="64">
        <v>0</v>
      </c>
      <c r="P18" s="64">
        <v>0.38</v>
      </c>
      <c r="Q18" s="64">
        <v>9.14</v>
      </c>
      <c r="R18" s="198"/>
      <c r="S18" s="198"/>
      <c r="T18" s="198"/>
      <c r="U18" s="198"/>
    </row>
    <row r="19" spans="1:21" s="12" customFormat="1" x14ac:dyDescent="0.25">
      <c r="A19" s="211" t="s">
        <v>2946</v>
      </c>
      <c r="B19" s="64">
        <v>10.58</v>
      </c>
      <c r="C19" s="64">
        <v>6.34</v>
      </c>
      <c r="D19" s="64">
        <v>11.8</v>
      </c>
      <c r="E19" s="64">
        <v>5.56</v>
      </c>
      <c r="F19" s="64">
        <v>2.1</v>
      </c>
      <c r="G19" s="64">
        <v>10.15</v>
      </c>
      <c r="H19" s="64">
        <v>10.79</v>
      </c>
      <c r="I19" s="64">
        <v>1.26</v>
      </c>
      <c r="J19" s="64">
        <v>0.13</v>
      </c>
      <c r="K19" s="64">
        <v>259.99</v>
      </c>
      <c r="L19" s="64">
        <v>22.34</v>
      </c>
      <c r="M19" s="64">
        <v>98.03</v>
      </c>
      <c r="N19" s="64">
        <v>41.1</v>
      </c>
      <c r="O19" s="64">
        <v>0</v>
      </c>
      <c r="P19" s="64">
        <v>0.38</v>
      </c>
      <c r="Q19" s="64">
        <v>9.14</v>
      </c>
      <c r="R19" s="198"/>
      <c r="S19" s="198"/>
      <c r="T19" s="198"/>
      <c r="U19" s="198"/>
    </row>
    <row r="20" spans="1:21" s="12" customFormat="1" x14ac:dyDescent="0.25">
      <c r="A20" s="211" t="s">
        <v>2947</v>
      </c>
      <c r="B20" s="64">
        <v>10.42</v>
      </c>
      <c r="C20" s="64">
        <v>6.4</v>
      </c>
      <c r="D20" s="64">
        <v>11.71</v>
      </c>
      <c r="E20" s="64">
        <v>5.74</v>
      </c>
      <c r="F20" s="64">
        <v>2.1</v>
      </c>
      <c r="G20" s="64">
        <v>10.15</v>
      </c>
      <c r="H20" s="64">
        <v>10.79</v>
      </c>
      <c r="I20" s="64">
        <v>1.26</v>
      </c>
      <c r="J20" s="64">
        <v>0.24</v>
      </c>
      <c r="K20" s="64">
        <v>145.36000000000001</v>
      </c>
      <c r="L20" s="64">
        <v>22.23</v>
      </c>
      <c r="M20" s="64">
        <v>98.03</v>
      </c>
      <c r="N20" s="64">
        <v>41.1</v>
      </c>
      <c r="O20" s="64">
        <v>0</v>
      </c>
      <c r="P20" s="64">
        <v>0.38</v>
      </c>
      <c r="Q20" s="64">
        <v>9.1199999999999992</v>
      </c>
      <c r="R20" s="198"/>
      <c r="S20" s="198"/>
      <c r="T20" s="198"/>
      <c r="U20" s="198"/>
    </row>
    <row r="21" spans="1:21" s="12" customFormat="1" x14ac:dyDescent="0.25">
      <c r="A21" s="211" t="s">
        <v>2948</v>
      </c>
      <c r="B21" s="64">
        <v>10.31</v>
      </c>
      <c r="C21" s="64">
        <v>6.33</v>
      </c>
      <c r="D21" s="64">
        <v>11.57</v>
      </c>
      <c r="E21" s="64">
        <v>5.47</v>
      </c>
      <c r="F21" s="64">
        <v>2.1</v>
      </c>
      <c r="G21" s="64">
        <v>15.05</v>
      </c>
      <c r="H21" s="64">
        <v>10.029999999999999</v>
      </c>
      <c r="I21" s="64">
        <v>1.28</v>
      </c>
      <c r="J21" s="64">
        <v>0.23</v>
      </c>
      <c r="K21" s="64">
        <v>175.77</v>
      </c>
      <c r="L21" s="64">
        <v>22.15</v>
      </c>
      <c r="M21" s="64">
        <v>98.04</v>
      </c>
      <c r="N21" s="64">
        <v>41.1</v>
      </c>
      <c r="O21" s="64">
        <v>0</v>
      </c>
      <c r="P21" s="64">
        <v>0.37</v>
      </c>
      <c r="Q21" s="64">
        <v>9.1300000000000008</v>
      </c>
      <c r="R21" s="198"/>
      <c r="S21" s="198"/>
      <c r="T21" s="198"/>
      <c r="U21" s="198"/>
    </row>
    <row r="22" spans="1:21" s="12" customFormat="1" x14ac:dyDescent="0.25">
      <c r="A22" s="211" t="s">
        <v>2949</v>
      </c>
      <c r="B22" s="64">
        <v>10.45</v>
      </c>
      <c r="C22" s="64">
        <v>6.13</v>
      </c>
      <c r="D22" s="64">
        <v>11.58</v>
      </c>
      <c r="E22" s="64">
        <v>5.46</v>
      </c>
      <c r="F22" s="64">
        <v>2.1</v>
      </c>
      <c r="G22" s="64">
        <v>16.36</v>
      </c>
      <c r="H22" s="64">
        <v>10.029999999999999</v>
      </c>
      <c r="I22" s="64">
        <v>1.29</v>
      </c>
      <c r="J22" s="64">
        <v>0.15</v>
      </c>
      <c r="K22" s="64">
        <v>138.66</v>
      </c>
      <c r="L22" s="64">
        <v>22.13</v>
      </c>
      <c r="M22" s="64">
        <v>98.07</v>
      </c>
      <c r="N22" s="64">
        <v>41.1</v>
      </c>
      <c r="O22" s="64">
        <v>0</v>
      </c>
      <c r="P22" s="64">
        <v>0.37</v>
      </c>
      <c r="Q22" s="64">
        <v>9.1199999999999992</v>
      </c>
      <c r="R22" s="198"/>
      <c r="S22" s="198"/>
      <c r="T22" s="198"/>
      <c r="U22" s="198"/>
    </row>
    <row r="23" spans="1:21" s="12" customFormat="1" x14ac:dyDescent="0.25">
      <c r="A23" s="211" t="s">
        <v>2950</v>
      </c>
      <c r="B23" s="64">
        <v>10.55</v>
      </c>
      <c r="C23" s="64">
        <v>5.86</v>
      </c>
      <c r="D23" s="64">
        <v>11.53</v>
      </c>
      <c r="E23" s="64">
        <v>5.52</v>
      </c>
      <c r="F23" s="64">
        <v>2.1</v>
      </c>
      <c r="G23" s="64">
        <v>16.36</v>
      </c>
      <c r="H23" s="64">
        <v>10.029999999999999</v>
      </c>
      <c r="I23" s="64">
        <v>1.3</v>
      </c>
      <c r="J23" s="64">
        <v>0.03</v>
      </c>
      <c r="K23" s="64">
        <v>308.12</v>
      </c>
      <c r="L23" s="64">
        <v>22.19</v>
      </c>
      <c r="M23" s="64">
        <v>98.06</v>
      </c>
      <c r="N23" s="64">
        <v>41.1</v>
      </c>
      <c r="O23" s="64">
        <v>0</v>
      </c>
      <c r="P23" s="64">
        <v>0.36</v>
      </c>
      <c r="Q23" s="64">
        <v>9.09</v>
      </c>
      <c r="R23" s="198"/>
      <c r="S23" s="198"/>
      <c r="T23" s="198"/>
      <c r="U23" s="198"/>
    </row>
    <row r="24" spans="1:21" s="12" customFormat="1" x14ac:dyDescent="0.25">
      <c r="A24" s="211" t="s">
        <v>2951</v>
      </c>
      <c r="B24" s="64">
        <v>10.35</v>
      </c>
      <c r="C24" s="64">
        <v>5.98</v>
      </c>
      <c r="D24" s="64">
        <v>11.43</v>
      </c>
      <c r="E24" s="64">
        <v>5.78</v>
      </c>
      <c r="F24" s="64">
        <v>2.15</v>
      </c>
      <c r="G24" s="64">
        <v>16.36</v>
      </c>
      <c r="H24" s="64">
        <v>10.029999999999999</v>
      </c>
      <c r="I24" s="64">
        <v>1.29</v>
      </c>
      <c r="J24" s="64">
        <v>0.1</v>
      </c>
      <c r="K24" s="64">
        <v>169.54</v>
      </c>
      <c r="L24" s="64">
        <v>22.17</v>
      </c>
      <c r="M24" s="64">
        <v>98.05</v>
      </c>
      <c r="N24" s="64">
        <v>41.3</v>
      </c>
      <c r="O24" s="64">
        <v>0</v>
      </c>
      <c r="P24" s="64">
        <v>0.36</v>
      </c>
      <c r="Q24" s="64">
        <v>9.09</v>
      </c>
      <c r="R24" s="198"/>
      <c r="S24" s="198"/>
      <c r="T24" s="198"/>
      <c r="U24" s="198"/>
    </row>
    <row r="25" spans="1:21" s="12" customFormat="1" x14ac:dyDescent="0.25">
      <c r="A25" s="211" t="s">
        <v>2952</v>
      </c>
      <c r="B25" s="64">
        <v>10.25</v>
      </c>
      <c r="C25" s="64">
        <v>6.24</v>
      </c>
      <c r="D25" s="64">
        <v>11.49</v>
      </c>
      <c r="E25" s="64">
        <v>5.45</v>
      </c>
      <c r="F25" s="64">
        <v>2.1</v>
      </c>
      <c r="G25" s="64">
        <v>14.63</v>
      </c>
      <c r="H25" s="64">
        <v>9.32</v>
      </c>
      <c r="I25" s="64">
        <v>1.29</v>
      </c>
      <c r="J25" s="64">
        <v>0.14000000000000001</v>
      </c>
      <c r="K25" s="64">
        <v>153.19999999999999</v>
      </c>
      <c r="L25" s="64">
        <v>22.08</v>
      </c>
      <c r="M25" s="64">
        <v>98.06</v>
      </c>
      <c r="N25" s="64">
        <v>41.1</v>
      </c>
      <c r="O25" s="64">
        <v>0</v>
      </c>
      <c r="P25" s="64">
        <v>0.36</v>
      </c>
      <c r="Q25" s="64">
        <v>9.09</v>
      </c>
      <c r="R25" s="198"/>
      <c r="S25" s="198"/>
      <c r="T25" s="198"/>
      <c r="U25" s="198"/>
    </row>
    <row r="26" spans="1:21" s="12" customFormat="1" x14ac:dyDescent="0.25">
      <c r="A26" s="211" t="s">
        <v>2953</v>
      </c>
      <c r="B26" s="64">
        <v>10.76</v>
      </c>
      <c r="C26" s="64">
        <v>5.82</v>
      </c>
      <c r="D26" s="64">
        <v>11.67</v>
      </c>
      <c r="E26" s="64">
        <v>5.0199999999999996</v>
      </c>
      <c r="F26" s="64">
        <v>2.1</v>
      </c>
      <c r="G26" s="64">
        <v>14.17</v>
      </c>
      <c r="H26" s="64">
        <v>9.32</v>
      </c>
      <c r="I26" s="64">
        <v>1.3</v>
      </c>
      <c r="J26" s="64">
        <v>0.2</v>
      </c>
      <c r="K26" s="64">
        <v>309.8</v>
      </c>
      <c r="L26" s="64">
        <v>22.07</v>
      </c>
      <c r="M26" s="64">
        <v>98.07</v>
      </c>
      <c r="N26" s="64">
        <v>41.1</v>
      </c>
      <c r="O26" s="64">
        <v>0</v>
      </c>
      <c r="P26" s="64">
        <v>0.37</v>
      </c>
      <c r="Q26" s="64">
        <v>9.08</v>
      </c>
      <c r="R26" s="198"/>
      <c r="S26" s="198"/>
      <c r="T26" s="198"/>
      <c r="U26" s="198"/>
    </row>
    <row r="27" spans="1:21" s="12" customFormat="1" x14ac:dyDescent="0.25">
      <c r="A27" s="211" t="s">
        <v>2954</v>
      </c>
      <c r="B27" s="64">
        <v>10.99</v>
      </c>
      <c r="C27" s="64">
        <v>6.58</v>
      </c>
      <c r="D27" s="64">
        <v>12.25</v>
      </c>
      <c r="E27" s="64">
        <v>5.16</v>
      </c>
      <c r="F27" s="64">
        <v>2.11</v>
      </c>
      <c r="G27" s="64">
        <v>14.17</v>
      </c>
      <c r="H27" s="64">
        <v>9.32</v>
      </c>
      <c r="I27" s="64">
        <v>1.3</v>
      </c>
      <c r="J27" s="64">
        <v>0.21</v>
      </c>
      <c r="K27" s="64">
        <v>147.16999999999999</v>
      </c>
      <c r="L27" s="64">
        <v>22.11</v>
      </c>
      <c r="M27" s="64">
        <v>98.08</v>
      </c>
      <c r="N27" s="64">
        <v>41.1</v>
      </c>
      <c r="O27" s="64">
        <v>0</v>
      </c>
      <c r="P27" s="64">
        <v>0.34</v>
      </c>
      <c r="Q27" s="64">
        <v>9.08</v>
      </c>
      <c r="R27" s="198"/>
      <c r="S27" s="198"/>
      <c r="T27" s="198"/>
      <c r="U27" s="198"/>
    </row>
    <row r="28" spans="1:21" s="12" customFormat="1" x14ac:dyDescent="0.25">
      <c r="A28" s="211" t="s">
        <v>2955</v>
      </c>
      <c r="B28" s="64">
        <v>10.86</v>
      </c>
      <c r="C28" s="64">
        <v>5.91</v>
      </c>
      <c r="D28" s="64">
        <v>11.79</v>
      </c>
      <c r="E28" s="64">
        <v>5.17</v>
      </c>
      <c r="F28" s="64">
        <v>2.1</v>
      </c>
      <c r="G28" s="64">
        <v>14.17</v>
      </c>
      <c r="H28" s="64">
        <v>9.32</v>
      </c>
      <c r="I28" s="64">
        <v>1.31</v>
      </c>
      <c r="J28" s="64">
        <v>0.15</v>
      </c>
      <c r="K28" s="64">
        <v>124.4</v>
      </c>
      <c r="L28" s="64">
        <v>22.15</v>
      </c>
      <c r="M28" s="64">
        <v>98.08</v>
      </c>
      <c r="N28" s="64">
        <v>41.1</v>
      </c>
      <c r="O28" s="64">
        <v>0</v>
      </c>
      <c r="P28" s="64">
        <v>0.37</v>
      </c>
      <c r="Q28" s="64">
        <v>9.07</v>
      </c>
      <c r="R28" s="198"/>
      <c r="S28" s="198"/>
      <c r="T28" s="198"/>
      <c r="U28" s="198"/>
    </row>
    <row r="29" spans="1:21" s="12" customFormat="1" x14ac:dyDescent="0.25">
      <c r="A29" s="211" t="s">
        <v>2956</v>
      </c>
      <c r="B29" s="64">
        <v>10.37</v>
      </c>
      <c r="C29" s="64">
        <v>6.34</v>
      </c>
      <c r="D29" s="64">
        <v>11.63</v>
      </c>
      <c r="E29" s="64">
        <v>5.24</v>
      </c>
      <c r="F29" s="64">
        <v>2.13</v>
      </c>
      <c r="G29" s="64">
        <v>11.62</v>
      </c>
      <c r="H29" s="64">
        <v>13.25</v>
      </c>
      <c r="I29" s="64">
        <v>1.3</v>
      </c>
      <c r="J29" s="64">
        <v>0.13</v>
      </c>
      <c r="K29" s="64">
        <v>146.41999999999999</v>
      </c>
      <c r="L29" s="64">
        <v>22.21</v>
      </c>
      <c r="M29" s="64">
        <v>98.06</v>
      </c>
      <c r="N29" s="64">
        <v>41.1</v>
      </c>
      <c r="O29" s="64">
        <v>0</v>
      </c>
      <c r="P29" s="64">
        <v>0.33</v>
      </c>
      <c r="Q29" s="64">
        <v>9.09</v>
      </c>
      <c r="R29" s="198"/>
      <c r="S29" s="198"/>
      <c r="T29" s="198"/>
      <c r="U29" s="198"/>
    </row>
    <row r="30" spans="1:21" s="12" customFormat="1" x14ac:dyDescent="0.25">
      <c r="A30" s="211" t="s">
        <v>2957</v>
      </c>
      <c r="B30" s="64">
        <v>10.86</v>
      </c>
      <c r="C30" s="64">
        <v>5.67</v>
      </c>
      <c r="D30" s="64">
        <v>11.67</v>
      </c>
      <c r="E30" s="64">
        <v>5.13</v>
      </c>
      <c r="F30" s="64">
        <v>2.1</v>
      </c>
      <c r="G30" s="64">
        <v>10.94</v>
      </c>
      <c r="H30" s="64">
        <v>13.25</v>
      </c>
      <c r="I30" s="64">
        <v>1.3</v>
      </c>
      <c r="J30" s="64">
        <v>0.02</v>
      </c>
      <c r="K30" s="64">
        <v>216.18</v>
      </c>
      <c r="L30" s="64">
        <v>22.22</v>
      </c>
      <c r="M30" s="64">
        <v>98.08</v>
      </c>
      <c r="N30" s="64">
        <v>41.2</v>
      </c>
      <c r="O30" s="64">
        <v>0</v>
      </c>
      <c r="P30" s="64">
        <v>0.36</v>
      </c>
      <c r="Q30" s="64">
        <v>9.08</v>
      </c>
      <c r="R30" s="198"/>
      <c r="S30" s="198"/>
      <c r="T30" s="198"/>
      <c r="U30" s="198"/>
    </row>
    <row r="31" spans="1:21" s="12" customFormat="1" x14ac:dyDescent="0.25">
      <c r="A31" s="211" t="s">
        <v>2958</v>
      </c>
      <c r="B31" s="64">
        <v>11.41</v>
      </c>
      <c r="C31" s="64">
        <v>5.49</v>
      </c>
      <c r="D31" s="64">
        <v>12.02</v>
      </c>
      <c r="E31" s="64">
        <v>5.14</v>
      </c>
      <c r="F31" s="64">
        <v>2.1</v>
      </c>
      <c r="G31" s="64">
        <v>10.94</v>
      </c>
      <c r="H31" s="64">
        <v>13.25</v>
      </c>
      <c r="I31" s="64">
        <v>1.29</v>
      </c>
      <c r="J31" s="64">
        <v>0.05</v>
      </c>
      <c r="K31" s="64">
        <v>182.74</v>
      </c>
      <c r="L31" s="64">
        <v>22.3</v>
      </c>
      <c r="M31" s="64">
        <v>98.08</v>
      </c>
      <c r="N31" s="64">
        <v>41.2</v>
      </c>
      <c r="O31" s="64">
        <v>0</v>
      </c>
      <c r="P31" s="64">
        <v>0.33</v>
      </c>
      <c r="Q31" s="64">
        <v>9.09</v>
      </c>
      <c r="R31" s="198"/>
      <c r="S31" s="198"/>
      <c r="T31" s="198"/>
      <c r="U31" s="198"/>
    </row>
    <row r="32" spans="1:21" s="12" customFormat="1" x14ac:dyDescent="0.25">
      <c r="A32" s="211" t="s">
        <v>2959</v>
      </c>
      <c r="B32" s="64">
        <v>11.38</v>
      </c>
      <c r="C32" s="64">
        <v>5.47</v>
      </c>
      <c r="D32" s="64">
        <v>11.98</v>
      </c>
      <c r="E32" s="64">
        <v>5.41</v>
      </c>
      <c r="F32" s="64">
        <v>2.4500000000000002</v>
      </c>
      <c r="G32" s="64">
        <v>10.94</v>
      </c>
      <c r="H32" s="64">
        <v>13.25</v>
      </c>
      <c r="I32" s="64">
        <v>1.28</v>
      </c>
      <c r="J32" s="64">
        <v>0.4</v>
      </c>
      <c r="K32" s="64">
        <v>127.56</v>
      </c>
      <c r="L32" s="64">
        <v>22.34</v>
      </c>
      <c r="M32" s="64">
        <v>98.08</v>
      </c>
      <c r="N32" s="64">
        <v>42.3</v>
      </c>
      <c r="O32" s="64">
        <v>0</v>
      </c>
      <c r="P32" s="64">
        <v>0.32</v>
      </c>
      <c r="Q32" s="64">
        <v>9.1</v>
      </c>
      <c r="R32" s="198"/>
      <c r="S32" s="198"/>
      <c r="T32" s="198"/>
      <c r="U32" s="198"/>
    </row>
    <row r="33" spans="1:21" s="12" customFormat="1" x14ac:dyDescent="0.25">
      <c r="A33" s="211" t="s">
        <v>2960</v>
      </c>
      <c r="B33" s="64">
        <v>10.72</v>
      </c>
      <c r="C33" s="64">
        <v>6.04</v>
      </c>
      <c r="D33" s="64">
        <v>11.75</v>
      </c>
      <c r="E33" s="64">
        <v>5.04</v>
      </c>
      <c r="F33" s="64">
        <v>2.2200000000000002</v>
      </c>
      <c r="G33" s="64">
        <v>8.6300000000000008</v>
      </c>
      <c r="H33" s="64">
        <v>11.52</v>
      </c>
      <c r="I33" s="64">
        <v>1.27</v>
      </c>
      <c r="J33" s="64">
        <v>0.05</v>
      </c>
      <c r="K33" s="64">
        <v>231.98</v>
      </c>
      <c r="L33" s="64">
        <v>22.35</v>
      </c>
      <c r="M33" s="64">
        <v>98.07</v>
      </c>
      <c r="N33" s="64">
        <v>44.7</v>
      </c>
      <c r="O33" s="64">
        <v>0</v>
      </c>
      <c r="P33" s="64">
        <v>0.33</v>
      </c>
      <c r="Q33" s="64">
        <v>9.11</v>
      </c>
      <c r="R33" s="198"/>
      <c r="S33" s="198"/>
      <c r="T33" s="198"/>
      <c r="U33" s="198"/>
    </row>
    <row r="34" spans="1:21" s="12" customFormat="1" x14ac:dyDescent="0.25">
      <c r="A34" s="211" t="s">
        <v>2961</v>
      </c>
      <c r="B34" s="64">
        <v>11.38</v>
      </c>
      <c r="C34" s="64">
        <v>5.88</v>
      </c>
      <c r="D34" s="64">
        <v>12.2</v>
      </c>
      <c r="E34" s="64">
        <v>5.3</v>
      </c>
      <c r="F34" s="64">
        <v>2.1</v>
      </c>
      <c r="G34" s="64">
        <v>8.01</v>
      </c>
      <c r="H34" s="64">
        <v>11.52</v>
      </c>
      <c r="I34" s="64">
        <v>1.25</v>
      </c>
      <c r="J34" s="64">
        <v>0.14000000000000001</v>
      </c>
      <c r="K34" s="64">
        <v>298.18</v>
      </c>
      <c r="L34" s="64">
        <v>22.41</v>
      </c>
      <c r="M34" s="64">
        <v>98.08</v>
      </c>
      <c r="N34" s="64">
        <v>48</v>
      </c>
      <c r="O34" s="64">
        <v>0</v>
      </c>
      <c r="P34" s="64">
        <v>0.34</v>
      </c>
      <c r="Q34" s="64">
        <v>9.1199999999999992</v>
      </c>
      <c r="R34" s="198"/>
      <c r="S34" s="198"/>
      <c r="T34" s="198"/>
      <c r="U34" s="198"/>
    </row>
    <row r="35" spans="1:21" s="12" customFormat="1" x14ac:dyDescent="0.25">
      <c r="A35" s="211" t="s">
        <v>2962</v>
      </c>
      <c r="B35" s="64">
        <v>12.8</v>
      </c>
      <c r="C35" s="64">
        <v>6.14</v>
      </c>
      <c r="D35" s="64">
        <v>13.47</v>
      </c>
      <c r="E35" s="64">
        <v>5.15</v>
      </c>
      <c r="F35" s="64">
        <v>2.1</v>
      </c>
      <c r="G35" s="64">
        <v>8.01</v>
      </c>
      <c r="H35" s="64">
        <v>11.52</v>
      </c>
      <c r="I35" s="64">
        <v>1.24</v>
      </c>
      <c r="J35" s="64">
        <v>0.15</v>
      </c>
      <c r="K35" s="64">
        <v>322.94</v>
      </c>
      <c r="L35" s="64">
        <v>22.43</v>
      </c>
      <c r="M35" s="64">
        <v>98.07</v>
      </c>
      <c r="N35" s="64">
        <v>50</v>
      </c>
      <c r="O35" s="64">
        <v>0</v>
      </c>
      <c r="P35" s="64">
        <v>0.34</v>
      </c>
      <c r="Q35" s="64">
        <v>9.1300000000000008</v>
      </c>
      <c r="R35" s="198"/>
      <c r="S35" s="198"/>
      <c r="T35" s="198"/>
      <c r="U35" s="198"/>
    </row>
    <row r="36" spans="1:21" s="12" customFormat="1" x14ac:dyDescent="0.25">
      <c r="A36" s="211" t="s">
        <v>2963</v>
      </c>
      <c r="B36" s="64">
        <v>12.74</v>
      </c>
      <c r="C36" s="64">
        <v>6.99</v>
      </c>
      <c r="D36" s="64">
        <v>13.87</v>
      </c>
      <c r="E36" s="64">
        <v>5.24</v>
      </c>
      <c r="F36" s="64">
        <v>2.1</v>
      </c>
      <c r="G36" s="64">
        <v>8.01</v>
      </c>
      <c r="H36" s="64">
        <v>11.52</v>
      </c>
      <c r="I36" s="64">
        <v>1.24</v>
      </c>
      <c r="J36" s="64">
        <v>7.0000000000000007E-2</v>
      </c>
      <c r="K36" s="64">
        <v>336.16</v>
      </c>
      <c r="L36" s="64">
        <v>22.44</v>
      </c>
      <c r="M36" s="64">
        <v>98.07</v>
      </c>
      <c r="N36" s="64">
        <v>59.5</v>
      </c>
      <c r="O36" s="64">
        <v>0</v>
      </c>
      <c r="P36" s="64">
        <v>0.34</v>
      </c>
      <c r="Q36" s="64">
        <v>9.14</v>
      </c>
      <c r="R36" s="198"/>
      <c r="S36" s="198"/>
      <c r="T36" s="198"/>
      <c r="U36" s="198"/>
    </row>
    <row r="37" spans="1:21" s="12" customFormat="1" x14ac:dyDescent="0.25">
      <c r="A37" s="211" t="s">
        <v>2964</v>
      </c>
      <c r="B37" s="64">
        <v>14.57</v>
      </c>
      <c r="C37" s="64">
        <v>6.85</v>
      </c>
      <c r="D37" s="64">
        <v>15.26</v>
      </c>
      <c r="E37" s="64">
        <v>5.15</v>
      </c>
      <c r="F37" s="64">
        <v>2.1</v>
      </c>
      <c r="G37" s="64">
        <v>15.06</v>
      </c>
      <c r="H37" s="64">
        <v>10.32</v>
      </c>
      <c r="I37" s="64">
        <v>1.24</v>
      </c>
      <c r="J37" s="64">
        <v>0.01</v>
      </c>
      <c r="K37" s="64">
        <v>128.66999999999999</v>
      </c>
      <c r="L37" s="64">
        <v>22.55</v>
      </c>
      <c r="M37" s="64">
        <v>98.05</v>
      </c>
      <c r="N37" s="64">
        <v>65.3</v>
      </c>
      <c r="O37" s="64">
        <v>0</v>
      </c>
      <c r="P37" s="64">
        <v>0.35</v>
      </c>
      <c r="Q37" s="64">
        <v>9.14</v>
      </c>
      <c r="R37" s="198"/>
      <c r="S37" s="198"/>
      <c r="T37" s="198"/>
      <c r="U37" s="198"/>
    </row>
    <row r="38" spans="1:21" s="12" customFormat="1" x14ac:dyDescent="0.25">
      <c r="A38" s="211" t="s">
        <v>2965</v>
      </c>
      <c r="B38" s="64">
        <v>14.46</v>
      </c>
      <c r="C38" s="64">
        <v>7.04</v>
      </c>
      <c r="D38" s="64">
        <v>15.28</v>
      </c>
      <c r="E38" s="64">
        <v>5.71</v>
      </c>
      <c r="F38" s="64">
        <v>2.1</v>
      </c>
      <c r="G38" s="64">
        <v>16.95</v>
      </c>
      <c r="H38" s="64">
        <v>10.32</v>
      </c>
      <c r="I38" s="64">
        <v>1.25</v>
      </c>
      <c r="J38" s="64">
        <v>0.09</v>
      </c>
      <c r="K38" s="64">
        <v>335.42</v>
      </c>
      <c r="L38" s="64">
        <v>22.67</v>
      </c>
      <c r="M38" s="64">
        <v>98.05</v>
      </c>
      <c r="N38" s="64">
        <v>71.900000000000006</v>
      </c>
      <c r="O38" s="64">
        <v>0</v>
      </c>
      <c r="P38" s="64">
        <v>0.33</v>
      </c>
      <c r="Q38" s="64">
        <v>9.16</v>
      </c>
      <c r="R38" s="198"/>
      <c r="S38" s="198"/>
      <c r="T38" s="198"/>
      <c r="U38" s="198"/>
    </row>
    <row r="39" spans="1:21" s="12" customFormat="1" x14ac:dyDescent="0.25">
      <c r="A39" s="211" t="s">
        <v>2966</v>
      </c>
      <c r="B39" s="64">
        <v>14.21</v>
      </c>
      <c r="C39" s="64">
        <v>6.1</v>
      </c>
      <c r="D39" s="64">
        <v>14.56</v>
      </c>
      <c r="E39" s="64">
        <v>5.13</v>
      </c>
      <c r="F39" s="64">
        <v>2.1</v>
      </c>
      <c r="G39" s="64">
        <v>16.95</v>
      </c>
      <c r="H39" s="64">
        <v>10.32</v>
      </c>
      <c r="I39" s="64">
        <v>1.26</v>
      </c>
      <c r="J39" s="64">
        <v>0.12</v>
      </c>
      <c r="K39" s="64">
        <v>267.08</v>
      </c>
      <c r="L39" s="64">
        <v>22.75</v>
      </c>
      <c r="M39" s="64">
        <v>98.05</v>
      </c>
      <c r="N39" s="64">
        <v>82</v>
      </c>
      <c r="O39" s="64">
        <v>0</v>
      </c>
      <c r="P39" s="64">
        <v>0.36</v>
      </c>
      <c r="Q39" s="64">
        <v>9.17</v>
      </c>
      <c r="R39" s="198"/>
      <c r="S39" s="198"/>
      <c r="T39" s="198"/>
      <c r="U39" s="198"/>
    </row>
    <row r="40" spans="1:21" s="12" customFormat="1" x14ac:dyDescent="0.25">
      <c r="A40" s="211" t="s">
        <v>2967</v>
      </c>
      <c r="B40" s="64">
        <v>14.03</v>
      </c>
      <c r="C40" s="64">
        <v>5.61</v>
      </c>
      <c r="D40" s="64">
        <v>14.18</v>
      </c>
      <c r="E40" s="64">
        <v>5.92</v>
      </c>
      <c r="F40" s="64">
        <v>2.1</v>
      </c>
      <c r="G40" s="64">
        <v>16.95</v>
      </c>
      <c r="H40" s="64">
        <v>10.32</v>
      </c>
      <c r="I40" s="64">
        <v>1.27</v>
      </c>
      <c r="J40" s="64">
        <v>0.09</v>
      </c>
      <c r="K40" s="64">
        <v>174.11</v>
      </c>
      <c r="L40" s="64">
        <v>22.86</v>
      </c>
      <c r="M40" s="64">
        <v>98.05</v>
      </c>
      <c r="N40" s="64">
        <v>84.8</v>
      </c>
      <c r="O40" s="64">
        <v>0</v>
      </c>
      <c r="P40" s="64">
        <v>0.35</v>
      </c>
      <c r="Q40" s="64">
        <v>9.16</v>
      </c>
      <c r="R40" s="198"/>
      <c r="S40" s="198"/>
      <c r="T40" s="198"/>
      <c r="U40" s="198"/>
    </row>
    <row r="41" spans="1:21" s="12" customFormat="1" x14ac:dyDescent="0.25">
      <c r="A41" s="211" t="s">
        <v>2968</v>
      </c>
      <c r="B41" s="64">
        <v>13.87</v>
      </c>
      <c r="C41" s="64">
        <v>6.49</v>
      </c>
      <c r="D41" s="64">
        <v>14.51</v>
      </c>
      <c r="E41" s="64">
        <v>5.26</v>
      </c>
      <c r="F41" s="64">
        <v>2.1</v>
      </c>
      <c r="G41" s="64">
        <v>25.99</v>
      </c>
      <c r="H41" s="64">
        <v>9.4700000000000006</v>
      </c>
      <c r="I41" s="64">
        <v>1.28</v>
      </c>
      <c r="J41" s="64">
        <v>7.0000000000000007E-2</v>
      </c>
      <c r="K41" s="64">
        <v>181.82</v>
      </c>
      <c r="L41" s="64">
        <v>22.92</v>
      </c>
      <c r="M41" s="64">
        <v>98.04</v>
      </c>
      <c r="N41" s="64">
        <v>92.5</v>
      </c>
      <c r="O41" s="64">
        <v>0</v>
      </c>
      <c r="P41" s="64">
        <v>0.37</v>
      </c>
      <c r="Q41" s="64">
        <v>9.16</v>
      </c>
      <c r="R41" s="198"/>
      <c r="S41" s="198"/>
      <c r="T41" s="198"/>
      <c r="U41" s="198"/>
    </row>
    <row r="42" spans="1:21" s="12" customFormat="1" x14ac:dyDescent="0.25">
      <c r="A42" s="211" t="s">
        <v>2969</v>
      </c>
      <c r="B42" s="64">
        <v>14.68</v>
      </c>
      <c r="C42" s="64">
        <v>6.46</v>
      </c>
      <c r="D42" s="64">
        <v>15.15</v>
      </c>
      <c r="E42" s="64">
        <v>5.32</v>
      </c>
      <c r="F42" s="64">
        <v>2.1</v>
      </c>
      <c r="G42" s="64">
        <v>28.4</v>
      </c>
      <c r="H42" s="64">
        <v>9.4700000000000006</v>
      </c>
      <c r="I42" s="64">
        <v>1.25</v>
      </c>
      <c r="J42" s="64">
        <v>0.2</v>
      </c>
      <c r="K42" s="64">
        <v>316.70999999999998</v>
      </c>
      <c r="L42" s="64">
        <v>22.93</v>
      </c>
      <c r="M42" s="64">
        <v>98.03</v>
      </c>
      <c r="N42" s="64">
        <v>78</v>
      </c>
      <c r="O42" s="64">
        <v>0</v>
      </c>
      <c r="P42" s="64">
        <v>0.36</v>
      </c>
      <c r="Q42" s="64">
        <v>9.16</v>
      </c>
      <c r="R42" s="198"/>
      <c r="S42" s="198"/>
      <c r="T42" s="198"/>
      <c r="U42" s="198"/>
    </row>
    <row r="43" spans="1:21" s="12" customFormat="1" x14ac:dyDescent="0.25">
      <c r="A43" s="211" t="s">
        <v>2970</v>
      </c>
      <c r="B43" s="64">
        <v>15.07</v>
      </c>
      <c r="C43" s="64">
        <v>5.75</v>
      </c>
      <c r="D43" s="64">
        <v>15.09</v>
      </c>
      <c r="E43" s="64">
        <v>5.17</v>
      </c>
      <c r="F43" s="64">
        <v>2.8</v>
      </c>
      <c r="G43" s="64">
        <v>28.4</v>
      </c>
      <c r="H43" s="64">
        <v>9.4700000000000006</v>
      </c>
      <c r="I43" s="64">
        <v>1.26</v>
      </c>
      <c r="J43" s="64">
        <v>0.15</v>
      </c>
      <c r="K43" s="64">
        <v>165.79</v>
      </c>
      <c r="L43" s="64">
        <v>23</v>
      </c>
      <c r="M43" s="64">
        <v>98.04</v>
      </c>
      <c r="N43" s="64">
        <v>92.6</v>
      </c>
      <c r="O43" s="64">
        <v>0</v>
      </c>
      <c r="P43" s="64">
        <v>0.38</v>
      </c>
      <c r="Q43" s="64">
        <v>9.17</v>
      </c>
      <c r="R43" s="198"/>
      <c r="S43" s="198"/>
      <c r="T43" s="198"/>
      <c r="U43" s="198"/>
    </row>
    <row r="44" spans="1:21" s="12" customFormat="1" x14ac:dyDescent="0.25">
      <c r="A44" s="211" t="s">
        <v>2971</v>
      </c>
      <c r="B44" s="64">
        <v>15.02</v>
      </c>
      <c r="C44" s="64">
        <v>5.93</v>
      </c>
      <c r="D44" s="64">
        <v>15.15</v>
      </c>
      <c r="E44" s="64">
        <v>5.41</v>
      </c>
      <c r="F44" s="64">
        <v>2.4</v>
      </c>
      <c r="G44" s="64">
        <v>28.4</v>
      </c>
      <c r="H44" s="64">
        <v>9.4700000000000006</v>
      </c>
      <c r="I44" s="64">
        <v>1.29</v>
      </c>
      <c r="J44" s="64">
        <v>0.43</v>
      </c>
      <c r="K44" s="64">
        <v>126.82</v>
      </c>
      <c r="L44" s="64">
        <v>23.15</v>
      </c>
      <c r="M44" s="64">
        <v>98.03</v>
      </c>
      <c r="N44" s="64">
        <v>82.2</v>
      </c>
      <c r="O44" s="64">
        <v>0</v>
      </c>
      <c r="P44" s="64">
        <v>0.36</v>
      </c>
      <c r="Q44" s="64">
        <v>9.17</v>
      </c>
      <c r="R44" s="198"/>
      <c r="S44" s="198"/>
      <c r="T44" s="198"/>
      <c r="U44" s="198"/>
    </row>
    <row r="45" spans="1:21" s="12" customFormat="1" x14ac:dyDescent="0.25">
      <c r="A45" s="211" t="s">
        <v>2972</v>
      </c>
      <c r="B45" s="64">
        <v>15.05</v>
      </c>
      <c r="C45" s="64">
        <v>5.12</v>
      </c>
      <c r="D45" s="64">
        <v>14.74</v>
      </c>
      <c r="E45" s="64">
        <v>5.09</v>
      </c>
      <c r="F45" s="64">
        <v>2.23</v>
      </c>
      <c r="G45" s="64">
        <v>21.01</v>
      </c>
      <c r="H45" s="64">
        <v>12.84</v>
      </c>
      <c r="I45" s="64">
        <v>1.31</v>
      </c>
      <c r="J45" s="64">
        <v>0.34</v>
      </c>
      <c r="K45" s="64">
        <v>129.52000000000001</v>
      </c>
      <c r="L45" s="64">
        <v>23.31</v>
      </c>
      <c r="M45" s="64">
        <v>98.03</v>
      </c>
      <c r="N45" s="64">
        <v>145.80000000000001</v>
      </c>
      <c r="O45" s="64">
        <v>0</v>
      </c>
      <c r="P45" s="64">
        <v>0.38</v>
      </c>
      <c r="Q45" s="64">
        <v>9.16</v>
      </c>
      <c r="R45" s="198"/>
      <c r="S45" s="198"/>
      <c r="T45" s="198"/>
      <c r="U45" s="198"/>
    </row>
    <row r="46" spans="1:21" s="12" customFormat="1" x14ac:dyDescent="0.25">
      <c r="A46" s="211" t="s">
        <v>2973</v>
      </c>
      <c r="B46" s="64">
        <v>13.79</v>
      </c>
      <c r="C46" s="64">
        <v>6.72</v>
      </c>
      <c r="D46" s="64">
        <v>14.57</v>
      </c>
      <c r="E46" s="64">
        <v>5.39</v>
      </c>
      <c r="F46" s="64">
        <v>3.71</v>
      </c>
      <c r="G46" s="64">
        <v>19.03</v>
      </c>
      <c r="H46" s="64">
        <v>12.84</v>
      </c>
      <c r="I46" s="64">
        <v>1.31</v>
      </c>
      <c r="J46" s="64">
        <v>0.53</v>
      </c>
      <c r="K46" s="64">
        <v>133.19999999999999</v>
      </c>
      <c r="L46" s="64">
        <v>23.81</v>
      </c>
      <c r="M46" s="64">
        <v>97.98</v>
      </c>
      <c r="N46" s="64">
        <v>153.69999999999999</v>
      </c>
      <c r="O46" s="64">
        <v>0</v>
      </c>
      <c r="P46" s="64">
        <v>0.35</v>
      </c>
      <c r="Q46" s="64">
        <v>9.18</v>
      </c>
      <c r="R46" s="198"/>
      <c r="S46" s="198"/>
      <c r="T46" s="198"/>
      <c r="U46" s="198"/>
    </row>
    <row r="47" spans="1:21" s="12" customFormat="1" x14ac:dyDescent="0.25">
      <c r="A47" s="211" t="s">
        <v>2974</v>
      </c>
      <c r="B47" s="64">
        <v>15.43</v>
      </c>
      <c r="C47" s="64">
        <v>6.45</v>
      </c>
      <c r="D47" s="64">
        <v>15.75</v>
      </c>
      <c r="E47" s="64">
        <v>5.43</v>
      </c>
      <c r="F47" s="64">
        <v>2.8</v>
      </c>
      <c r="G47" s="64">
        <v>19.03</v>
      </c>
      <c r="H47" s="64">
        <v>12.84</v>
      </c>
      <c r="I47" s="64">
        <v>1.32</v>
      </c>
      <c r="J47" s="64">
        <v>0.09</v>
      </c>
      <c r="K47" s="64">
        <v>184.77</v>
      </c>
      <c r="L47" s="64">
        <v>23.93</v>
      </c>
      <c r="M47" s="64">
        <v>97.98</v>
      </c>
      <c r="N47" s="64">
        <v>131.80000000000001</v>
      </c>
      <c r="O47" s="64">
        <v>0</v>
      </c>
      <c r="P47" s="64">
        <v>0.39</v>
      </c>
      <c r="Q47" s="64">
        <v>9.18</v>
      </c>
      <c r="R47" s="198"/>
      <c r="S47" s="198"/>
      <c r="T47" s="198"/>
      <c r="U47" s="198"/>
    </row>
    <row r="48" spans="1:21" s="12" customFormat="1" x14ac:dyDescent="0.25">
      <c r="A48" s="211" t="s">
        <v>2975</v>
      </c>
      <c r="B48" s="64">
        <v>14.87</v>
      </c>
      <c r="C48" s="64">
        <v>4.93</v>
      </c>
      <c r="D48" s="64">
        <v>14.5</v>
      </c>
      <c r="E48" s="64">
        <v>5.23</v>
      </c>
      <c r="F48" s="64">
        <v>2.57</v>
      </c>
      <c r="G48" s="64">
        <v>19.03</v>
      </c>
      <c r="H48" s="64">
        <v>12.84</v>
      </c>
      <c r="I48" s="64">
        <v>1.33</v>
      </c>
      <c r="J48" s="64">
        <v>0.27</v>
      </c>
      <c r="K48" s="64">
        <v>122.42</v>
      </c>
      <c r="L48" s="64">
        <v>24.07</v>
      </c>
      <c r="M48" s="64">
        <v>97.99</v>
      </c>
      <c r="N48" s="64">
        <v>176.7</v>
      </c>
      <c r="O48" s="64">
        <v>0</v>
      </c>
      <c r="P48" s="64">
        <v>0.39</v>
      </c>
      <c r="Q48" s="64">
        <v>9.19</v>
      </c>
      <c r="R48" s="198"/>
      <c r="S48" s="198"/>
      <c r="T48" s="198"/>
      <c r="U48" s="198"/>
    </row>
    <row r="49" spans="1:21" s="12" customFormat="1" x14ac:dyDescent="0.25">
      <c r="A49" s="211" t="s">
        <v>2976</v>
      </c>
      <c r="B49" s="64">
        <v>15.31</v>
      </c>
      <c r="C49" s="64">
        <v>5.75</v>
      </c>
      <c r="D49" s="64">
        <v>15.28</v>
      </c>
      <c r="E49" s="64">
        <v>5.24</v>
      </c>
      <c r="F49" s="64">
        <v>2.21</v>
      </c>
      <c r="G49" s="64">
        <v>23.1</v>
      </c>
      <c r="H49" s="64">
        <v>11.38</v>
      </c>
      <c r="I49" s="64">
        <v>1.34</v>
      </c>
      <c r="J49" s="64">
        <v>0.17</v>
      </c>
      <c r="K49" s="64">
        <v>124.27</v>
      </c>
      <c r="L49" s="64">
        <v>24.66</v>
      </c>
      <c r="M49" s="64">
        <v>97.95</v>
      </c>
      <c r="N49" s="64">
        <v>193.7</v>
      </c>
      <c r="O49" s="64">
        <v>0</v>
      </c>
      <c r="P49" s="64">
        <v>0.41</v>
      </c>
      <c r="Q49" s="64">
        <v>9.18</v>
      </c>
      <c r="R49" s="198"/>
      <c r="S49" s="198"/>
      <c r="T49" s="198"/>
      <c r="U49" s="198"/>
    </row>
    <row r="50" spans="1:21" s="12" customFormat="1" x14ac:dyDescent="0.25">
      <c r="A50" s="211" t="s">
        <v>2977</v>
      </c>
      <c r="B50" s="64">
        <v>13.3</v>
      </c>
      <c r="C50" s="64">
        <v>6.76</v>
      </c>
      <c r="D50" s="64">
        <v>14.2</v>
      </c>
      <c r="E50" s="64">
        <v>5.54</v>
      </c>
      <c r="F50" s="64">
        <v>4.0999999999999996</v>
      </c>
      <c r="G50" s="64">
        <v>24.19</v>
      </c>
      <c r="H50" s="64">
        <v>11.38</v>
      </c>
      <c r="I50" s="64">
        <v>1.35</v>
      </c>
      <c r="J50" s="64">
        <v>0.55000000000000004</v>
      </c>
      <c r="K50" s="64">
        <v>126.95</v>
      </c>
      <c r="L50" s="64">
        <v>24.34</v>
      </c>
      <c r="M50" s="64">
        <v>97.97</v>
      </c>
      <c r="N50" s="64">
        <v>122.2</v>
      </c>
      <c r="O50" s="64">
        <v>0</v>
      </c>
      <c r="P50" s="64">
        <v>0.35</v>
      </c>
      <c r="Q50" s="64">
        <v>9.19</v>
      </c>
      <c r="R50" s="198"/>
      <c r="S50" s="198"/>
      <c r="T50" s="198"/>
      <c r="U50" s="198"/>
    </row>
    <row r="51" spans="1:21" s="12" customFormat="1" x14ac:dyDescent="0.25">
      <c r="A51" s="211" t="s">
        <v>2978</v>
      </c>
      <c r="B51" s="64">
        <v>11.8</v>
      </c>
      <c r="C51" s="64">
        <v>6.86</v>
      </c>
      <c r="D51" s="64">
        <v>13.05</v>
      </c>
      <c r="E51" s="64">
        <v>5.42</v>
      </c>
      <c r="F51" s="64">
        <v>4.08</v>
      </c>
      <c r="G51" s="64">
        <v>24.19</v>
      </c>
      <c r="H51" s="64">
        <v>11.38</v>
      </c>
      <c r="I51" s="64">
        <v>1.36</v>
      </c>
      <c r="J51" s="64">
        <v>0.94</v>
      </c>
      <c r="K51" s="64">
        <v>129.88</v>
      </c>
      <c r="L51" s="64">
        <v>24.64</v>
      </c>
      <c r="M51" s="64">
        <v>97.95</v>
      </c>
      <c r="N51" s="64">
        <v>198.9</v>
      </c>
      <c r="O51" s="64">
        <v>0</v>
      </c>
      <c r="P51" s="64">
        <v>0.34</v>
      </c>
      <c r="Q51" s="64">
        <v>9.2100000000000009</v>
      </c>
      <c r="R51" s="198"/>
      <c r="S51" s="198"/>
      <c r="T51" s="198"/>
      <c r="U51" s="198"/>
    </row>
    <row r="52" spans="1:21" s="12" customFormat="1" x14ac:dyDescent="0.25">
      <c r="A52" s="211" t="s">
        <v>2979</v>
      </c>
      <c r="B52" s="64">
        <v>12.45</v>
      </c>
      <c r="C52" s="64">
        <v>6.16</v>
      </c>
      <c r="D52" s="64">
        <v>13.2</v>
      </c>
      <c r="E52" s="64">
        <v>5.4</v>
      </c>
      <c r="F52" s="64">
        <v>4.8899999999999997</v>
      </c>
      <c r="G52" s="64">
        <v>24.19</v>
      </c>
      <c r="H52" s="64">
        <v>11.38</v>
      </c>
      <c r="I52" s="64">
        <v>1.37</v>
      </c>
      <c r="J52" s="64">
        <v>1.04</v>
      </c>
      <c r="K52" s="64">
        <v>127.32</v>
      </c>
      <c r="L52" s="64">
        <v>25.55</v>
      </c>
      <c r="M52" s="64">
        <v>97.16</v>
      </c>
      <c r="N52" s="64">
        <v>434.8</v>
      </c>
      <c r="O52" s="64">
        <v>0</v>
      </c>
      <c r="P52" s="64">
        <v>0.34</v>
      </c>
      <c r="Q52" s="64">
        <v>9.1999999999999993</v>
      </c>
      <c r="R52" s="198"/>
      <c r="S52" s="198"/>
      <c r="T52" s="198"/>
      <c r="U52" s="198"/>
    </row>
    <row r="53" spans="1:21" s="12" customFormat="1" x14ac:dyDescent="0.25">
      <c r="A53" s="211" t="s">
        <v>2980</v>
      </c>
      <c r="B53" s="64">
        <v>11.84</v>
      </c>
      <c r="C53" s="64">
        <v>6.75</v>
      </c>
      <c r="D53" s="64">
        <v>13.02</v>
      </c>
      <c r="E53" s="64">
        <v>6.01</v>
      </c>
      <c r="F53" s="64">
        <v>4.53</v>
      </c>
      <c r="G53" s="64">
        <v>18.46</v>
      </c>
      <c r="H53" s="64">
        <v>10.55</v>
      </c>
      <c r="I53" s="64">
        <v>1.35</v>
      </c>
      <c r="J53" s="64">
        <v>1</v>
      </c>
      <c r="K53" s="64">
        <v>125.1</v>
      </c>
      <c r="L53" s="64">
        <v>26.28</v>
      </c>
      <c r="M53" s="64">
        <v>95</v>
      </c>
      <c r="N53" s="64">
        <v>430.9</v>
      </c>
      <c r="O53" s="64">
        <v>0</v>
      </c>
      <c r="P53" s="64">
        <v>0.34</v>
      </c>
      <c r="Q53" s="64">
        <v>9.19</v>
      </c>
      <c r="R53" s="198"/>
      <c r="S53" s="198"/>
      <c r="T53" s="198"/>
      <c r="U53" s="198"/>
    </row>
    <row r="54" spans="1:21" s="12" customFormat="1" x14ac:dyDescent="0.25">
      <c r="A54" s="211" t="s">
        <v>2981</v>
      </c>
      <c r="B54" s="64">
        <v>11.59</v>
      </c>
      <c r="C54" s="64">
        <v>7.18</v>
      </c>
      <c r="D54" s="64">
        <v>12.98</v>
      </c>
      <c r="E54" s="64">
        <v>6.08</v>
      </c>
      <c r="F54" s="64">
        <v>6.51</v>
      </c>
      <c r="G54" s="64">
        <v>16.93</v>
      </c>
      <c r="H54" s="64">
        <v>10.55</v>
      </c>
      <c r="I54" s="64">
        <v>1.32</v>
      </c>
      <c r="J54" s="64">
        <v>0.9</v>
      </c>
      <c r="K54" s="64">
        <v>131.66999999999999</v>
      </c>
      <c r="L54" s="64">
        <v>26.53</v>
      </c>
      <c r="M54" s="64">
        <v>93.73</v>
      </c>
      <c r="N54" s="64">
        <v>340.2</v>
      </c>
      <c r="O54" s="64">
        <v>0</v>
      </c>
      <c r="P54" s="64">
        <v>0.31</v>
      </c>
      <c r="Q54" s="64">
        <v>9.18</v>
      </c>
      <c r="R54" s="198"/>
      <c r="S54" s="198"/>
      <c r="T54" s="198"/>
      <c r="U54" s="198"/>
    </row>
    <row r="55" spans="1:21" s="12" customFormat="1" x14ac:dyDescent="0.25">
      <c r="A55" s="211" t="s">
        <v>2982</v>
      </c>
      <c r="B55" s="64">
        <v>10.58</v>
      </c>
      <c r="C55" s="64">
        <v>7.01</v>
      </c>
      <c r="D55" s="64">
        <v>12.15</v>
      </c>
      <c r="E55" s="64">
        <v>6.04</v>
      </c>
      <c r="F55" s="64">
        <v>5.7</v>
      </c>
      <c r="G55" s="64">
        <v>16.93</v>
      </c>
      <c r="H55" s="64">
        <v>10.55</v>
      </c>
      <c r="I55" s="64">
        <v>1.31</v>
      </c>
      <c r="J55" s="64">
        <v>0.68</v>
      </c>
      <c r="K55" s="64">
        <v>128.16999999999999</v>
      </c>
      <c r="L55" s="64">
        <v>26.51</v>
      </c>
      <c r="M55" s="64">
        <v>93.52</v>
      </c>
      <c r="N55" s="64">
        <v>360</v>
      </c>
      <c r="O55" s="64">
        <v>0</v>
      </c>
      <c r="P55" s="64">
        <v>0.28999999999999998</v>
      </c>
      <c r="Q55" s="64">
        <v>9.17</v>
      </c>
      <c r="R55" s="198"/>
      <c r="S55" s="198"/>
      <c r="T55" s="198"/>
      <c r="U55" s="198"/>
    </row>
    <row r="56" spans="1:21" s="12" customFormat="1" x14ac:dyDescent="0.25">
      <c r="A56" s="211" t="s">
        <v>2983</v>
      </c>
      <c r="B56" s="64">
        <v>10.99</v>
      </c>
      <c r="C56" s="64">
        <v>7.53</v>
      </c>
      <c r="D56" s="64">
        <v>12.74</v>
      </c>
      <c r="E56" s="64">
        <v>6.15</v>
      </c>
      <c r="F56" s="64">
        <v>6.41</v>
      </c>
      <c r="G56" s="64">
        <v>16.93</v>
      </c>
      <c r="H56" s="64">
        <v>10.55</v>
      </c>
      <c r="I56" s="64">
        <v>1.29</v>
      </c>
      <c r="J56" s="64">
        <v>0.76</v>
      </c>
      <c r="K56" s="64">
        <v>124.83</v>
      </c>
      <c r="L56" s="64">
        <v>26.8</v>
      </c>
      <c r="M56" s="64">
        <v>91.55</v>
      </c>
      <c r="N56" s="64">
        <v>359.1</v>
      </c>
      <c r="O56" s="64">
        <v>0</v>
      </c>
      <c r="P56" s="64">
        <v>0.31</v>
      </c>
      <c r="Q56" s="64">
        <v>9.15</v>
      </c>
      <c r="R56" s="198"/>
      <c r="S56" s="198"/>
      <c r="T56" s="198"/>
      <c r="U56" s="198"/>
    </row>
    <row r="57" spans="1:21" s="12" customFormat="1" x14ac:dyDescent="0.25">
      <c r="A57" s="211" t="s">
        <v>2984</v>
      </c>
      <c r="B57" s="64">
        <v>8.58</v>
      </c>
      <c r="C57" s="64">
        <v>8.07</v>
      </c>
      <c r="D57" s="64">
        <v>11.1</v>
      </c>
      <c r="E57" s="64">
        <v>6.06</v>
      </c>
      <c r="F57" s="64">
        <v>3.77</v>
      </c>
      <c r="G57" s="64">
        <v>12.96</v>
      </c>
      <c r="H57" s="64">
        <v>9.84</v>
      </c>
      <c r="I57" s="64">
        <v>1.27</v>
      </c>
      <c r="J57" s="64">
        <v>1.04</v>
      </c>
      <c r="K57" s="64">
        <v>125.97</v>
      </c>
      <c r="L57" s="64">
        <v>26.68</v>
      </c>
      <c r="M57" s="64">
        <v>92.42</v>
      </c>
      <c r="N57" s="64">
        <v>326.8</v>
      </c>
      <c r="O57" s="64">
        <v>0</v>
      </c>
      <c r="P57" s="64">
        <v>0.24</v>
      </c>
      <c r="Q57" s="64">
        <v>9.1300000000000008</v>
      </c>
      <c r="R57" s="198"/>
      <c r="S57" s="198"/>
      <c r="T57" s="198"/>
      <c r="U57" s="198"/>
    </row>
    <row r="58" spans="1:21" s="12" customFormat="1" x14ac:dyDescent="0.25">
      <c r="A58" s="211" t="s">
        <v>2985</v>
      </c>
      <c r="B58" s="64">
        <v>6.4</v>
      </c>
      <c r="C58" s="64">
        <v>9.52</v>
      </c>
      <c r="D58" s="64">
        <v>10.1</v>
      </c>
      <c r="E58" s="64">
        <v>5.79</v>
      </c>
      <c r="F58" s="64">
        <v>2.68</v>
      </c>
      <c r="G58" s="64">
        <v>11.85</v>
      </c>
      <c r="H58" s="64">
        <v>9.84</v>
      </c>
      <c r="I58" s="64">
        <v>1.19</v>
      </c>
      <c r="J58" s="64">
        <v>1.08</v>
      </c>
      <c r="K58" s="64">
        <v>123.81</v>
      </c>
      <c r="L58" s="64">
        <v>26.87</v>
      </c>
      <c r="M58" s="64">
        <v>90.27</v>
      </c>
      <c r="N58" s="64">
        <v>350.3</v>
      </c>
      <c r="O58" s="64">
        <v>0</v>
      </c>
      <c r="P58" s="64">
        <v>0.22</v>
      </c>
      <c r="Q58" s="64">
        <v>9.0399999999999991</v>
      </c>
      <c r="R58" s="198"/>
      <c r="S58" s="198"/>
      <c r="T58" s="198"/>
      <c r="U58" s="198"/>
    </row>
    <row r="59" spans="1:21" s="12" customFormat="1" x14ac:dyDescent="0.25">
      <c r="A59" s="211" t="s">
        <v>2986</v>
      </c>
      <c r="B59" s="64">
        <v>6.29</v>
      </c>
      <c r="C59" s="64">
        <v>8.7899999999999991</v>
      </c>
      <c r="D59" s="64">
        <v>9.6300000000000008</v>
      </c>
      <c r="E59" s="64">
        <v>5.73</v>
      </c>
      <c r="F59" s="64">
        <v>7.94</v>
      </c>
      <c r="G59" s="64">
        <v>11.85</v>
      </c>
      <c r="H59" s="64">
        <v>9.84</v>
      </c>
      <c r="I59" s="64">
        <v>0.95</v>
      </c>
      <c r="J59" s="64">
        <v>0.6</v>
      </c>
      <c r="K59" s="64">
        <v>129.37</v>
      </c>
      <c r="L59" s="64">
        <v>27.18</v>
      </c>
      <c r="M59" s="64">
        <v>89.21</v>
      </c>
      <c r="N59" s="64">
        <v>404.1</v>
      </c>
      <c r="O59" s="64">
        <v>0</v>
      </c>
      <c r="P59" s="64">
        <v>0.21</v>
      </c>
      <c r="Q59" s="64">
        <v>9.01</v>
      </c>
      <c r="R59" s="198"/>
      <c r="S59" s="198"/>
      <c r="T59" s="198"/>
      <c r="U59" s="198"/>
    </row>
    <row r="60" spans="1:21" s="12" customFormat="1" x14ac:dyDescent="0.25">
      <c r="A60" s="211" t="s">
        <v>2987</v>
      </c>
      <c r="B60" s="64">
        <v>5.97</v>
      </c>
      <c r="C60" s="64">
        <v>8.44</v>
      </c>
      <c r="D60" s="64">
        <v>9.1999999999999993</v>
      </c>
      <c r="E60" s="64">
        <v>5.52</v>
      </c>
      <c r="F60" s="64">
        <v>4.17</v>
      </c>
      <c r="G60" s="64">
        <v>11.85</v>
      </c>
      <c r="H60" s="64">
        <v>9.84</v>
      </c>
      <c r="I60" s="64">
        <v>0.79</v>
      </c>
      <c r="J60" s="64">
        <v>1.45</v>
      </c>
      <c r="K60" s="64">
        <v>128.31</v>
      </c>
      <c r="L60" s="64">
        <v>27.21</v>
      </c>
      <c r="M60" s="64">
        <v>89.04</v>
      </c>
      <c r="N60" s="64">
        <v>414.4</v>
      </c>
      <c r="O60" s="64">
        <v>0</v>
      </c>
      <c r="P60" s="64">
        <v>0.2</v>
      </c>
      <c r="Q60" s="64">
        <v>8.98</v>
      </c>
      <c r="R60" s="198"/>
      <c r="S60" s="198"/>
      <c r="T60" s="198"/>
      <c r="U60" s="198"/>
    </row>
    <row r="61" spans="1:21" s="12" customFormat="1" x14ac:dyDescent="0.25">
      <c r="A61" s="211" t="s">
        <v>2988</v>
      </c>
      <c r="B61" s="64">
        <v>6.28</v>
      </c>
      <c r="C61" s="64">
        <v>8.3699999999999992</v>
      </c>
      <c r="D61" s="64">
        <v>9.41</v>
      </c>
      <c r="E61" s="64">
        <v>5.66</v>
      </c>
      <c r="F61" s="64">
        <v>5.23</v>
      </c>
      <c r="G61" s="64">
        <v>11.85</v>
      </c>
      <c r="H61" s="64">
        <v>16.579999999999998</v>
      </c>
      <c r="I61" s="64">
        <v>0.8</v>
      </c>
      <c r="J61" s="64">
        <v>1.0900000000000001</v>
      </c>
      <c r="K61" s="64">
        <v>125.56</v>
      </c>
      <c r="L61" s="64">
        <v>26.89</v>
      </c>
      <c r="M61" s="64">
        <v>90.53</v>
      </c>
      <c r="N61" s="64">
        <v>249.1</v>
      </c>
      <c r="O61" s="64">
        <v>0</v>
      </c>
      <c r="P61" s="64">
        <v>0.22</v>
      </c>
      <c r="Q61" s="64">
        <v>8.9700000000000006</v>
      </c>
      <c r="R61" s="198"/>
      <c r="S61" s="198"/>
      <c r="T61" s="198"/>
      <c r="U61" s="198"/>
    </row>
    <row r="62" spans="1:21" s="12" customFormat="1" x14ac:dyDescent="0.25">
      <c r="A62" s="211" t="s">
        <v>2989</v>
      </c>
      <c r="B62" s="64">
        <v>6.85</v>
      </c>
      <c r="C62" s="64">
        <v>9.15</v>
      </c>
      <c r="D62" s="64">
        <v>10.27</v>
      </c>
      <c r="E62" s="64">
        <v>5.83</v>
      </c>
      <c r="F62" s="64">
        <v>6.06</v>
      </c>
      <c r="G62" s="64">
        <v>11.85</v>
      </c>
      <c r="H62" s="64">
        <v>16.579999999999998</v>
      </c>
      <c r="I62" s="64">
        <v>0.83</v>
      </c>
      <c r="J62" s="64">
        <v>1.35</v>
      </c>
      <c r="K62" s="64">
        <v>127.58</v>
      </c>
      <c r="L62" s="64">
        <v>26.5</v>
      </c>
      <c r="M62" s="64">
        <v>92.5</v>
      </c>
      <c r="N62" s="64">
        <v>220.1</v>
      </c>
      <c r="O62" s="64">
        <v>0</v>
      </c>
      <c r="P62" s="64">
        <v>0.24</v>
      </c>
      <c r="Q62" s="64">
        <v>8.98</v>
      </c>
      <c r="R62" s="198"/>
      <c r="S62" s="198"/>
      <c r="T62" s="198"/>
      <c r="U62" s="198"/>
    </row>
    <row r="63" spans="1:21" s="12" customFormat="1" x14ac:dyDescent="0.25">
      <c r="A63" s="211" t="s">
        <v>2990</v>
      </c>
      <c r="B63" s="64">
        <v>8.25</v>
      </c>
      <c r="C63" s="64">
        <v>8.83</v>
      </c>
      <c r="D63" s="64">
        <v>11.23</v>
      </c>
      <c r="E63" s="64">
        <v>5.13</v>
      </c>
      <c r="F63" s="64">
        <v>6.1</v>
      </c>
      <c r="G63" s="64">
        <v>11.85</v>
      </c>
      <c r="H63" s="64">
        <v>16.579999999999998</v>
      </c>
      <c r="I63" s="64">
        <v>0.83</v>
      </c>
      <c r="J63" s="64">
        <v>1.01</v>
      </c>
      <c r="K63" s="64">
        <v>125.74</v>
      </c>
      <c r="L63" s="64">
        <v>27.14</v>
      </c>
      <c r="M63" s="64">
        <v>89.94</v>
      </c>
      <c r="N63" s="64">
        <v>261.3</v>
      </c>
      <c r="O63" s="64">
        <v>0</v>
      </c>
      <c r="P63" s="64">
        <v>0.26</v>
      </c>
      <c r="Q63" s="64">
        <v>8.9700000000000006</v>
      </c>
      <c r="R63" s="198"/>
      <c r="S63" s="198"/>
      <c r="T63" s="198"/>
      <c r="U63" s="198"/>
    </row>
    <row r="64" spans="1:21" s="12" customFormat="1" x14ac:dyDescent="0.25">
      <c r="A64" s="211" t="s">
        <v>2991</v>
      </c>
      <c r="B64" s="64">
        <v>6.07</v>
      </c>
      <c r="C64" s="64">
        <v>7.68</v>
      </c>
      <c r="D64" s="64">
        <v>8.8800000000000008</v>
      </c>
      <c r="E64" s="64">
        <v>5.19</v>
      </c>
      <c r="F64" s="64">
        <v>7.2</v>
      </c>
      <c r="G64" s="64">
        <v>11.85</v>
      </c>
      <c r="H64" s="64">
        <v>16.579999999999998</v>
      </c>
      <c r="I64" s="64">
        <v>0.83</v>
      </c>
      <c r="J64" s="64">
        <v>1.45</v>
      </c>
      <c r="K64" s="64">
        <v>120.09</v>
      </c>
      <c r="L64" s="64">
        <v>26.92</v>
      </c>
      <c r="M64" s="64">
        <v>90.05</v>
      </c>
      <c r="N64" s="64">
        <v>223.7</v>
      </c>
      <c r="O64" s="64">
        <v>0</v>
      </c>
      <c r="P64" s="64">
        <v>0.25</v>
      </c>
      <c r="Q64" s="64">
        <v>8.9700000000000006</v>
      </c>
      <c r="R64" s="198"/>
      <c r="S64" s="198"/>
      <c r="T64" s="198"/>
      <c r="U64" s="198"/>
    </row>
    <row r="65" spans="1:21" s="12" customFormat="1" x14ac:dyDescent="0.25">
      <c r="A65" s="211" t="s">
        <v>2992</v>
      </c>
      <c r="B65" s="64">
        <v>6.2</v>
      </c>
      <c r="C65" s="64">
        <v>7.31</v>
      </c>
      <c r="D65" s="64">
        <v>8.7899999999999991</v>
      </c>
      <c r="E65" s="64">
        <v>5.37</v>
      </c>
      <c r="F65" s="64">
        <v>6.5</v>
      </c>
      <c r="G65" s="64">
        <v>20.12</v>
      </c>
      <c r="H65" s="64">
        <v>14.67</v>
      </c>
      <c r="I65" s="64">
        <v>0.84</v>
      </c>
      <c r="J65" s="64">
        <v>2.15</v>
      </c>
      <c r="K65" s="64">
        <v>122.35</v>
      </c>
      <c r="L65" s="64">
        <v>26.96</v>
      </c>
      <c r="M65" s="64">
        <v>86.92</v>
      </c>
      <c r="N65" s="64">
        <v>220.5</v>
      </c>
      <c r="O65" s="64">
        <v>0</v>
      </c>
      <c r="P65" s="64">
        <v>0.23</v>
      </c>
      <c r="Q65" s="64">
        <v>8.9700000000000006</v>
      </c>
      <c r="R65" s="198"/>
      <c r="S65" s="198"/>
      <c r="T65" s="198"/>
      <c r="U65" s="198"/>
    </row>
    <row r="66" spans="1:21" s="12" customFormat="1" x14ac:dyDescent="0.25">
      <c r="A66" s="211" t="s">
        <v>2993</v>
      </c>
      <c r="B66" s="64">
        <v>6.36</v>
      </c>
      <c r="C66" s="64">
        <v>7.39</v>
      </c>
      <c r="D66" s="64">
        <v>8.9600000000000009</v>
      </c>
      <c r="E66" s="64">
        <v>5.36</v>
      </c>
      <c r="F66" s="64">
        <v>3.09</v>
      </c>
      <c r="G66" s="64">
        <v>56.58</v>
      </c>
      <c r="H66" s="64">
        <v>14.67</v>
      </c>
      <c r="I66" s="64">
        <v>0.84</v>
      </c>
      <c r="J66" s="64">
        <v>0.99</v>
      </c>
      <c r="K66" s="64">
        <v>127.35</v>
      </c>
      <c r="L66" s="64">
        <v>27.02</v>
      </c>
      <c r="M66" s="64">
        <v>88.8</v>
      </c>
      <c r="N66" s="64">
        <v>192</v>
      </c>
      <c r="O66" s="64">
        <v>0</v>
      </c>
      <c r="P66" s="64">
        <v>0.24</v>
      </c>
      <c r="Q66" s="64">
        <v>8.9700000000000006</v>
      </c>
      <c r="R66" s="198"/>
      <c r="S66" s="198"/>
      <c r="T66" s="198"/>
      <c r="U66" s="198"/>
    </row>
    <row r="67" spans="1:21" s="12" customFormat="1" x14ac:dyDescent="0.25">
      <c r="A67" s="211" t="s">
        <v>2994</v>
      </c>
      <c r="B67" s="64">
        <v>6.94</v>
      </c>
      <c r="C67" s="64">
        <v>8.8699999999999992</v>
      </c>
      <c r="D67" s="64">
        <v>10.199999999999999</v>
      </c>
      <c r="E67" s="64">
        <v>5.75</v>
      </c>
      <c r="F67" s="64">
        <v>4.8899999999999997</v>
      </c>
      <c r="G67" s="64">
        <v>56.58</v>
      </c>
      <c r="H67" s="64">
        <v>14.67</v>
      </c>
      <c r="I67" s="64">
        <v>0.83</v>
      </c>
      <c r="J67" s="64">
        <v>0.71</v>
      </c>
      <c r="K67" s="64">
        <v>122.44</v>
      </c>
      <c r="L67" s="64">
        <v>26.88</v>
      </c>
      <c r="M67" s="64">
        <v>91.69</v>
      </c>
      <c r="N67" s="64">
        <v>177.4</v>
      </c>
      <c r="O67" s="64">
        <v>0</v>
      </c>
      <c r="P67" s="64">
        <v>0.27</v>
      </c>
      <c r="Q67" s="64">
        <v>8.98</v>
      </c>
      <c r="R67" s="198"/>
      <c r="S67" s="198"/>
      <c r="T67" s="198"/>
      <c r="U67" s="198"/>
    </row>
    <row r="68" spans="1:21" s="12" customFormat="1" x14ac:dyDescent="0.25">
      <c r="A68" s="211" t="s">
        <v>2995</v>
      </c>
      <c r="B68" s="64">
        <v>7.27</v>
      </c>
      <c r="C68" s="64">
        <v>7.73</v>
      </c>
      <c r="D68" s="64">
        <v>9.86</v>
      </c>
      <c r="E68" s="64">
        <v>5.4</v>
      </c>
      <c r="F68" s="64">
        <v>8.86</v>
      </c>
      <c r="G68" s="64">
        <v>56.58</v>
      </c>
      <c r="H68" s="64">
        <v>14.67</v>
      </c>
      <c r="I68" s="64">
        <v>0.83</v>
      </c>
      <c r="J68" s="64">
        <v>1.1599999999999999</v>
      </c>
      <c r="K68" s="64">
        <v>123.52</v>
      </c>
      <c r="L68" s="64">
        <v>26.95</v>
      </c>
      <c r="M68" s="64">
        <v>91.69</v>
      </c>
      <c r="N68" s="64">
        <v>162.30000000000001</v>
      </c>
      <c r="O68" s="64">
        <v>0</v>
      </c>
      <c r="P68" s="64">
        <v>0.25</v>
      </c>
      <c r="Q68" s="64">
        <v>9.02</v>
      </c>
      <c r="R68" s="198"/>
      <c r="S68" s="198"/>
      <c r="T68" s="198"/>
      <c r="U68" s="198"/>
    </row>
    <row r="69" spans="1:21" s="12" customFormat="1" x14ac:dyDescent="0.25">
      <c r="A69" s="211" t="s">
        <v>2996</v>
      </c>
      <c r="B69" s="64">
        <v>7.92</v>
      </c>
      <c r="C69" s="64">
        <v>8.82</v>
      </c>
      <c r="D69" s="64">
        <v>10.96</v>
      </c>
      <c r="E69" s="64">
        <v>5.45</v>
      </c>
      <c r="F69" s="64">
        <v>7.1</v>
      </c>
      <c r="G69" s="64">
        <v>50.07</v>
      </c>
      <c r="H69" s="64">
        <v>12.52</v>
      </c>
      <c r="I69" s="64">
        <v>0.84</v>
      </c>
      <c r="J69" s="64">
        <v>0.33</v>
      </c>
      <c r="K69" s="64">
        <v>139.37</v>
      </c>
      <c r="L69" s="64">
        <v>27.3</v>
      </c>
      <c r="M69" s="64">
        <v>90.24</v>
      </c>
      <c r="N69" s="64">
        <v>145.4</v>
      </c>
      <c r="O69" s="64">
        <v>0</v>
      </c>
      <c r="P69" s="64">
        <v>0.28999999999999998</v>
      </c>
      <c r="Q69" s="64">
        <v>9.0500000000000007</v>
      </c>
      <c r="R69" s="198"/>
      <c r="S69" s="198"/>
      <c r="T69" s="198"/>
      <c r="U69" s="198"/>
    </row>
    <row r="70" spans="1:21" s="12" customFormat="1" x14ac:dyDescent="0.25">
      <c r="A70" s="211" t="s">
        <v>2997</v>
      </c>
      <c r="B70" s="64">
        <v>7.53</v>
      </c>
      <c r="C70" s="64">
        <v>8.9</v>
      </c>
      <c r="D70" s="64">
        <v>10.69</v>
      </c>
      <c r="E70" s="64">
        <v>5.23</v>
      </c>
      <c r="F70" s="64">
        <v>5.93</v>
      </c>
      <c r="G70" s="64">
        <v>38.270000000000003</v>
      </c>
      <c r="H70" s="64">
        <v>12.52</v>
      </c>
      <c r="I70" s="64">
        <v>0.84</v>
      </c>
      <c r="J70" s="64">
        <v>0.65</v>
      </c>
      <c r="K70" s="64">
        <v>129.12</v>
      </c>
      <c r="L70" s="64">
        <v>26.76</v>
      </c>
      <c r="M70" s="64">
        <v>92.94</v>
      </c>
      <c r="N70" s="64">
        <v>108.9</v>
      </c>
      <c r="O70" s="64">
        <v>0</v>
      </c>
      <c r="P70" s="64">
        <v>0.28999999999999998</v>
      </c>
      <c r="Q70" s="64">
        <v>9.07</v>
      </c>
      <c r="R70" s="198"/>
      <c r="S70" s="198"/>
      <c r="T70" s="198"/>
      <c r="U70" s="198"/>
    </row>
    <row r="71" spans="1:21" s="12" customFormat="1" x14ac:dyDescent="0.25">
      <c r="A71" s="211" t="s">
        <v>2998</v>
      </c>
      <c r="B71" s="64">
        <v>7.87</v>
      </c>
      <c r="C71" s="64">
        <v>8.0399999999999991</v>
      </c>
      <c r="D71" s="64">
        <v>10.51</v>
      </c>
      <c r="E71" s="64">
        <v>5.3</v>
      </c>
      <c r="F71" s="64">
        <v>4.75</v>
      </c>
      <c r="G71" s="64">
        <v>38.270000000000003</v>
      </c>
      <c r="H71" s="64">
        <v>12.52</v>
      </c>
      <c r="I71" s="64">
        <v>0.84</v>
      </c>
      <c r="J71" s="64">
        <v>0.71</v>
      </c>
      <c r="K71" s="64">
        <v>129.59</v>
      </c>
      <c r="L71" s="64">
        <v>26.74</v>
      </c>
      <c r="M71" s="64">
        <v>93.96</v>
      </c>
      <c r="N71" s="64">
        <v>110.6</v>
      </c>
      <c r="O71" s="64">
        <v>0</v>
      </c>
      <c r="P71" s="64">
        <v>0.28000000000000003</v>
      </c>
      <c r="Q71" s="64">
        <v>9.07</v>
      </c>
      <c r="R71" s="198"/>
      <c r="S71" s="198"/>
      <c r="T71" s="198"/>
      <c r="U71" s="198"/>
    </row>
    <row r="72" spans="1:21" s="12" customFormat="1" x14ac:dyDescent="0.25">
      <c r="A72" s="211" t="s">
        <v>2999</v>
      </c>
      <c r="B72" s="64">
        <v>7.31</v>
      </c>
      <c r="C72" s="64">
        <v>7.76</v>
      </c>
      <c r="D72" s="64">
        <v>9.91</v>
      </c>
      <c r="E72" s="64">
        <v>5.49</v>
      </c>
      <c r="F72" s="64">
        <v>5.4</v>
      </c>
      <c r="G72" s="64">
        <v>38.270000000000003</v>
      </c>
      <c r="H72" s="64">
        <v>12.52</v>
      </c>
      <c r="I72" s="64">
        <v>0.84</v>
      </c>
      <c r="J72" s="64">
        <v>0.87</v>
      </c>
      <c r="K72" s="64">
        <v>122.79</v>
      </c>
      <c r="L72" s="64">
        <v>26.5</v>
      </c>
      <c r="M72" s="64">
        <v>94.06</v>
      </c>
      <c r="N72" s="64">
        <v>86.7</v>
      </c>
      <c r="O72" s="64">
        <v>0</v>
      </c>
      <c r="P72" s="64">
        <v>0.27</v>
      </c>
      <c r="Q72" s="64">
        <v>9.08</v>
      </c>
      <c r="R72" s="198"/>
      <c r="S72" s="198"/>
      <c r="T72" s="198"/>
      <c r="U72" s="198"/>
    </row>
    <row r="73" spans="1:21" s="12" customFormat="1" x14ac:dyDescent="0.25">
      <c r="A73" s="211" t="s">
        <v>3000</v>
      </c>
      <c r="B73" s="64">
        <v>7.01</v>
      </c>
      <c r="C73" s="64">
        <v>7.62</v>
      </c>
      <c r="D73" s="64">
        <v>9.6</v>
      </c>
      <c r="E73" s="64">
        <v>5.61</v>
      </c>
      <c r="F73" s="64">
        <v>5.19</v>
      </c>
      <c r="G73" s="64">
        <v>35.43</v>
      </c>
      <c r="H73" s="64">
        <v>11.01</v>
      </c>
      <c r="I73" s="64">
        <v>0.85</v>
      </c>
      <c r="J73" s="64">
        <v>0.98</v>
      </c>
      <c r="K73" s="64">
        <v>127.02</v>
      </c>
      <c r="L73" s="64">
        <v>26.43</v>
      </c>
      <c r="M73" s="64">
        <v>93.06</v>
      </c>
      <c r="N73" s="64">
        <v>74.3</v>
      </c>
      <c r="O73" s="64">
        <v>0</v>
      </c>
      <c r="P73" s="64">
        <v>0.25</v>
      </c>
      <c r="Q73" s="64">
        <v>9.08</v>
      </c>
      <c r="R73" s="198"/>
      <c r="S73" s="198"/>
      <c r="T73" s="198"/>
      <c r="U73" s="198"/>
    </row>
    <row r="74" spans="1:21" s="12" customFormat="1" x14ac:dyDescent="0.25">
      <c r="A74" s="211" t="s">
        <v>3001</v>
      </c>
      <c r="B74" s="64">
        <v>7.38</v>
      </c>
      <c r="C74" s="64">
        <v>8.1</v>
      </c>
      <c r="D74" s="64">
        <v>10.15</v>
      </c>
      <c r="E74" s="64">
        <v>5.65</v>
      </c>
      <c r="F74" s="64">
        <v>4.76</v>
      </c>
      <c r="G74" s="64">
        <v>30.28</v>
      </c>
      <c r="H74" s="64">
        <v>11.01</v>
      </c>
      <c r="I74" s="64">
        <v>0.86</v>
      </c>
      <c r="J74" s="64">
        <v>1.19</v>
      </c>
      <c r="K74" s="64">
        <v>128.18</v>
      </c>
      <c r="L74" s="64">
        <v>26.36</v>
      </c>
      <c r="M74" s="64">
        <v>92.95</v>
      </c>
      <c r="N74" s="64">
        <v>67.5</v>
      </c>
      <c r="O74" s="64">
        <v>0</v>
      </c>
      <c r="P74" s="64">
        <v>0.26</v>
      </c>
      <c r="Q74" s="64">
        <v>9.08</v>
      </c>
      <c r="R74" s="198"/>
      <c r="S74" s="198"/>
      <c r="T74" s="198"/>
      <c r="U74" s="198"/>
    </row>
    <row r="75" spans="1:21" s="12" customFormat="1" x14ac:dyDescent="0.25">
      <c r="A75" s="211" t="s">
        <v>3002</v>
      </c>
      <c r="B75" s="64">
        <v>8.26</v>
      </c>
      <c r="C75" s="64">
        <v>8.24</v>
      </c>
      <c r="D75" s="64">
        <v>10.93</v>
      </c>
      <c r="E75" s="64">
        <v>5.62</v>
      </c>
      <c r="F75" s="64">
        <v>3.46</v>
      </c>
      <c r="G75" s="64">
        <v>30.28</v>
      </c>
      <c r="H75" s="64">
        <v>11.01</v>
      </c>
      <c r="I75" s="64">
        <v>0.85</v>
      </c>
      <c r="J75" s="64">
        <v>0.9</v>
      </c>
      <c r="K75" s="64">
        <v>129.76</v>
      </c>
      <c r="L75" s="64">
        <v>26.27</v>
      </c>
      <c r="M75" s="64">
        <v>92.92</v>
      </c>
      <c r="N75" s="64">
        <v>62.7</v>
      </c>
      <c r="O75" s="64">
        <v>0</v>
      </c>
      <c r="P75" s="64">
        <v>0.28999999999999998</v>
      </c>
      <c r="Q75" s="64">
        <v>9.07</v>
      </c>
      <c r="R75" s="198"/>
      <c r="S75" s="198"/>
      <c r="T75" s="198"/>
      <c r="U75" s="198"/>
    </row>
    <row r="76" spans="1:21" s="12" customFormat="1" x14ac:dyDescent="0.25">
      <c r="A76" s="211" t="s">
        <v>3003</v>
      </c>
      <c r="B76" s="64">
        <v>7.27</v>
      </c>
      <c r="C76" s="64">
        <v>7.7</v>
      </c>
      <c r="D76" s="64">
        <v>9.83</v>
      </c>
      <c r="E76" s="64">
        <v>5.52</v>
      </c>
      <c r="F76" s="64">
        <v>3.95</v>
      </c>
      <c r="G76" s="64">
        <v>30.28</v>
      </c>
      <c r="H76" s="64">
        <v>11.01</v>
      </c>
      <c r="I76" s="64">
        <v>0.86</v>
      </c>
      <c r="J76" s="64">
        <v>1.04</v>
      </c>
      <c r="K76" s="64">
        <v>127.21</v>
      </c>
      <c r="L76" s="64">
        <v>26.14</v>
      </c>
      <c r="M76" s="64">
        <v>94.01</v>
      </c>
      <c r="N76" s="64">
        <v>50.7</v>
      </c>
      <c r="O76" s="64">
        <v>0</v>
      </c>
      <c r="P76" s="64">
        <v>0.27</v>
      </c>
      <c r="Q76" s="64">
        <v>9.0299999999999994</v>
      </c>
      <c r="R76" s="198"/>
      <c r="S76" s="198"/>
      <c r="T76" s="198"/>
      <c r="U76" s="198"/>
    </row>
    <row r="77" spans="1:21" s="12" customFormat="1" x14ac:dyDescent="0.25">
      <c r="A77" s="211" t="s">
        <v>3004</v>
      </c>
      <c r="B77" s="64">
        <v>8.1999999999999993</v>
      </c>
      <c r="C77" s="64">
        <v>8.02</v>
      </c>
      <c r="D77" s="64">
        <v>10.77</v>
      </c>
      <c r="E77" s="64">
        <v>5.54</v>
      </c>
      <c r="F77" s="64">
        <v>4.12</v>
      </c>
      <c r="G77" s="64">
        <v>28.56</v>
      </c>
      <c r="H77" s="64">
        <v>11.83</v>
      </c>
      <c r="I77" s="64">
        <v>0.84</v>
      </c>
      <c r="J77" s="64">
        <v>0.5</v>
      </c>
      <c r="K77" s="64">
        <v>129.19</v>
      </c>
      <c r="L77" s="64">
        <v>25.96</v>
      </c>
      <c r="M77" s="64">
        <v>95.83</v>
      </c>
      <c r="N77" s="64">
        <v>44</v>
      </c>
      <c r="O77" s="64">
        <v>0</v>
      </c>
      <c r="P77" s="64">
        <v>0.33</v>
      </c>
      <c r="Q77" s="64">
        <v>9.02</v>
      </c>
      <c r="R77" s="198"/>
      <c r="S77" s="198"/>
      <c r="T77" s="198"/>
      <c r="U77" s="198"/>
    </row>
    <row r="78" spans="1:21" s="12" customFormat="1" x14ac:dyDescent="0.25">
      <c r="A78" s="211" t="s">
        <v>3005</v>
      </c>
      <c r="B78" s="64">
        <v>10.49</v>
      </c>
      <c r="C78" s="64">
        <v>8.4700000000000006</v>
      </c>
      <c r="D78" s="64">
        <v>14.64</v>
      </c>
      <c r="E78" s="64">
        <v>6.04</v>
      </c>
      <c r="F78" s="64">
        <v>4.93</v>
      </c>
      <c r="G78" s="64">
        <v>25.44</v>
      </c>
      <c r="H78" s="64">
        <v>11.83</v>
      </c>
      <c r="I78" s="64">
        <v>0.85</v>
      </c>
      <c r="J78" s="64">
        <v>0.39</v>
      </c>
      <c r="K78" s="64">
        <v>136.9</v>
      </c>
      <c r="L78" s="64">
        <v>25.75</v>
      </c>
      <c r="M78" s="64">
        <v>97.82</v>
      </c>
      <c r="N78" s="64">
        <v>41</v>
      </c>
      <c r="O78" s="64">
        <v>0</v>
      </c>
      <c r="P78" s="64">
        <v>0.34</v>
      </c>
      <c r="Q78" s="64">
        <v>9.01</v>
      </c>
      <c r="R78" s="198"/>
      <c r="S78" s="198"/>
      <c r="T78" s="198"/>
      <c r="U78" s="198"/>
    </row>
    <row r="79" spans="1:21" s="12" customFormat="1" x14ac:dyDescent="0.25">
      <c r="A79" s="211" t="s">
        <v>3006</v>
      </c>
      <c r="B79" s="64">
        <v>8.51</v>
      </c>
      <c r="C79" s="64">
        <v>7.47</v>
      </c>
      <c r="D79" s="64">
        <v>10.73</v>
      </c>
      <c r="E79" s="64">
        <v>5.45</v>
      </c>
      <c r="F79" s="64">
        <v>3.26</v>
      </c>
      <c r="G79" s="64">
        <v>25.44</v>
      </c>
      <c r="H79" s="64">
        <v>11.83</v>
      </c>
      <c r="I79" s="64">
        <v>0.87</v>
      </c>
      <c r="J79" s="64">
        <v>0.52</v>
      </c>
      <c r="K79" s="64">
        <v>127.48</v>
      </c>
      <c r="L79" s="64">
        <v>25.54</v>
      </c>
      <c r="M79" s="64">
        <v>97.94</v>
      </c>
      <c r="N79" s="64">
        <v>40.799999999999997</v>
      </c>
      <c r="O79" s="64">
        <v>0</v>
      </c>
      <c r="P79" s="64">
        <v>0.3</v>
      </c>
      <c r="Q79" s="64">
        <v>9.01</v>
      </c>
      <c r="R79" s="198"/>
      <c r="S79" s="198"/>
      <c r="T79" s="198"/>
      <c r="U79" s="198"/>
    </row>
    <row r="80" spans="1:21" s="12" customFormat="1" x14ac:dyDescent="0.25">
      <c r="A80" s="211" t="s">
        <v>3007</v>
      </c>
      <c r="B80" s="64">
        <v>9.1999999999999993</v>
      </c>
      <c r="C80" s="64">
        <v>8.32</v>
      </c>
      <c r="D80" s="64">
        <v>11.72</v>
      </c>
      <c r="E80" s="64">
        <v>5.43</v>
      </c>
      <c r="F80" s="64">
        <v>4.6399999999999997</v>
      </c>
      <c r="G80" s="64">
        <v>25.44</v>
      </c>
      <c r="H80" s="64">
        <v>11.83</v>
      </c>
      <c r="I80" s="64">
        <v>0.9</v>
      </c>
      <c r="J80" s="64">
        <v>0.38</v>
      </c>
      <c r="K80" s="64">
        <v>132.6</v>
      </c>
      <c r="L80" s="64">
        <v>25.34</v>
      </c>
      <c r="M80" s="64">
        <v>97.96</v>
      </c>
      <c r="N80" s="64">
        <v>40.700000000000003</v>
      </c>
      <c r="O80" s="64">
        <v>0</v>
      </c>
      <c r="P80" s="64">
        <v>0.35</v>
      </c>
      <c r="Q80" s="64">
        <v>9.02</v>
      </c>
      <c r="R80" s="198"/>
      <c r="S80" s="198"/>
      <c r="T80" s="198"/>
      <c r="U80" s="198"/>
    </row>
    <row r="81" spans="1:26" s="12" customFormat="1" x14ac:dyDescent="0.25">
      <c r="A81" s="211" t="s">
        <v>3008</v>
      </c>
      <c r="B81" s="64">
        <v>9.52</v>
      </c>
      <c r="C81" s="64">
        <v>9.19</v>
      </c>
      <c r="D81" s="64">
        <v>12.44</v>
      </c>
      <c r="E81" s="64">
        <v>5.62</v>
      </c>
      <c r="F81" s="64">
        <v>3.84</v>
      </c>
      <c r="G81" s="64">
        <v>22.73</v>
      </c>
      <c r="H81" s="64">
        <v>13.47</v>
      </c>
      <c r="I81" s="64">
        <v>0.92</v>
      </c>
      <c r="J81" s="64">
        <v>0.28999999999999998</v>
      </c>
      <c r="K81" s="64">
        <v>127.25</v>
      </c>
      <c r="L81" s="64">
        <v>25.11</v>
      </c>
      <c r="M81" s="64">
        <v>97.97</v>
      </c>
      <c r="N81" s="64">
        <v>40.4</v>
      </c>
      <c r="O81" s="64">
        <v>0</v>
      </c>
      <c r="P81" s="64">
        <v>0.37</v>
      </c>
      <c r="Q81" s="64">
        <v>9.02</v>
      </c>
      <c r="R81" s="198"/>
      <c r="S81" s="198"/>
      <c r="T81" s="198"/>
      <c r="U81" s="198"/>
    </row>
    <row r="82" spans="1:26" s="12" customFormat="1" x14ac:dyDescent="0.25">
      <c r="A82" s="211" t="s">
        <v>3009</v>
      </c>
      <c r="B82" s="64">
        <v>9.5399999999999991</v>
      </c>
      <c r="C82" s="64">
        <v>8.17</v>
      </c>
      <c r="D82" s="64">
        <v>11.92</v>
      </c>
      <c r="E82" s="64">
        <v>5.39</v>
      </c>
      <c r="F82" s="64">
        <v>3.85</v>
      </c>
      <c r="G82" s="64">
        <v>17.809999999999999</v>
      </c>
      <c r="H82" s="64">
        <v>13.47</v>
      </c>
      <c r="I82" s="64">
        <v>0.94</v>
      </c>
      <c r="J82" s="64">
        <v>0.24</v>
      </c>
      <c r="K82" s="64">
        <v>137.47</v>
      </c>
      <c r="L82" s="64">
        <v>24.93</v>
      </c>
      <c r="M82" s="64">
        <v>97.97</v>
      </c>
      <c r="N82" s="64">
        <v>40.4</v>
      </c>
      <c r="O82" s="64">
        <v>0</v>
      </c>
      <c r="P82" s="64">
        <v>0.37</v>
      </c>
      <c r="Q82" s="64">
        <v>9.0299999999999994</v>
      </c>
      <c r="R82" s="198"/>
      <c r="S82" s="198"/>
      <c r="T82" s="198"/>
      <c r="U82" s="198"/>
    </row>
    <row r="83" spans="1:26" s="12" customFormat="1" x14ac:dyDescent="0.25">
      <c r="A83" s="211" t="s">
        <v>3010</v>
      </c>
      <c r="B83" s="64">
        <v>8.77</v>
      </c>
      <c r="C83" s="64">
        <v>7.55</v>
      </c>
      <c r="D83" s="64">
        <v>10.98</v>
      </c>
      <c r="E83" s="64">
        <v>5.54</v>
      </c>
      <c r="F83" s="64">
        <v>4.82</v>
      </c>
      <c r="G83" s="64">
        <v>17.809999999999999</v>
      </c>
      <c r="H83" s="64">
        <v>13.47</v>
      </c>
      <c r="I83" s="64">
        <v>0.98</v>
      </c>
      <c r="J83" s="64">
        <v>0.3</v>
      </c>
      <c r="K83" s="64">
        <v>124.67</v>
      </c>
      <c r="L83" s="64">
        <v>24.79</v>
      </c>
      <c r="M83" s="64">
        <v>97.99</v>
      </c>
      <c r="N83" s="64">
        <v>40.200000000000003</v>
      </c>
      <c r="O83" s="64">
        <v>0</v>
      </c>
      <c r="P83" s="64">
        <v>0.38</v>
      </c>
      <c r="Q83" s="64">
        <v>9.0299999999999994</v>
      </c>
      <c r="R83" s="198"/>
      <c r="S83" s="198"/>
      <c r="T83" s="198"/>
      <c r="U83" s="198"/>
    </row>
    <row r="84" spans="1:26" s="12" customFormat="1" x14ac:dyDescent="0.25">
      <c r="A84" s="211" t="s">
        <v>3011</v>
      </c>
      <c r="B84" s="64">
        <v>9.19</v>
      </c>
      <c r="C84" s="64">
        <v>9.27</v>
      </c>
      <c r="D84" s="64">
        <v>12.21</v>
      </c>
      <c r="E84" s="64">
        <v>5.68</v>
      </c>
      <c r="F84" s="64">
        <v>4.75</v>
      </c>
      <c r="G84" s="64">
        <v>17.809999999999999</v>
      </c>
      <c r="H84" s="64">
        <v>13.47</v>
      </c>
      <c r="I84" s="64">
        <v>1.01</v>
      </c>
      <c r="J84" s="64">
        <v>0.34</v>
      </c>
      <c r="K84" s="64">
        <v>139.46</v>
      </c>
      <c r="L84" s="64">
        <v>24.74</v>
      </c>
      <c r="M84" s="64">
        <v>98</v>
      </c>
      <c r="N84" s="64">
        <v>40.299999999999997</v>
      </c>
      <c r="O84" s="64">
        <v>0</v>
      </c>
      <c r="P84" s="64">
        <v>0.37</v>
      </c>
      <c r="Q84" s="64">
        <v>9.0299999999999994</v>
      </c>
      <c r="R84" s="198"/>
      <c r="S84" s="198"/>
      <c r="T84" s="198"/>
      <c r="U84" s="198"/>
    </row>
    <row r="85" spans="1:26" s="12" customFormat="1" x14ac:dyDescent="0.25">
      <c r="A85" s="211" t="s">
        <v>3012</v>
      </c>
      <c r="B85" s="64">
        <v>9.58</v>
      </c>
      <c r="C85" s="64">
        <v>8.3000000000000007</v>
      </c>
      <c r="D85" s="64">
        <v>12.02</v>
      </c>
      <c r="E85" s="64">
        <v>5.46</v>
      </c>
      <c r="F85" s="64">
        <v>4.28</v>
      </c>
      <c r="G85" s="64">
        <v>19.059999999999999</v>
      </c>
      <c r="H85" s="64">
        <v>12.36</v>
      </c>
      <c r="I85" s="64">
        <v>1.03</v>
      </c>
      <c r="J85" s="64">
        <v>0.32</v>
      </c>
      <c r="K85" s="64">
        <v>143.19999999999999</v>
      </c>
      <c r="L85" s="64">
        <v>24.62</v>
      </c>
      <c r="M85" s="64">
        <v>98</v>
      </c>
      <c r="N85" s="64">
        <v>40.4</v>
      </c>
      <c r="O85" s="64">
        <v>0</v>
      </c>
      <c r="P85" s="64">
        <v>0.39</v>
      </c>
      <c r="Q85" s="64">
        <v>9.0500000000000007</v>
      </c>
      <c r="R85" s="198"/>
      <c r="S85" s="198"/>
      <c r="T85" s="198"/>
      <c r="U85" s="198"/>
    </row>
    <row r="86" spans="1:26" s="12" customFormat="1" x14ac:dyDescent="0.25">
      <c r="A86" s="211" t="s">
        <v>3013</v>
      </c>
      <c r="B86" s="64">
        <v>10.35</v>
      </c>
      <c r="C86" s="64">
        <v>10.69</v>
      </c>
      <c r="D86" s="64">
        <v>13.89</v>
      </c>
      <c r="E86" s="64">
        <v>5.68</v>
      </c>
      <c r="F86" s="64">
        <v>4.05</v>
      </c>
      <c r="G86" s="64">
        <v>21.32</v>
      </c>
      <c r="H86" s="64">
        <v>12.36</v>
      </c>
      <c r="I86" s="64">
        <v>1.05</v>
      </c>
      <c r="J86" s="64">
        <v>0.2</v>
      </c>
      <c r="K86" s="64">
        <v>142.32</v>
      </c>
      <c r="L86" s="64">
        <v>24.63</v>
      </c>
      <c r="M86" s="64">
        <v>98.03</v>
      </c>
      <c r="N86" s="64">
        <v>40.299999999999997</v>
      </c>
      <c r="O86" s="64">
        <v>0</v>
      </c>
      <c r="P86" s="64">
        <v>0.49</v>
      </c>
      <c r="Q86" s="64">
        <v>9.08</v>
      </c>
      <c r="R86" s="198"/>
      <c r="S86" s="198"/>
      <c r="T86" s="198"/>
      <c r="U86" s="198"/>
    </row>
    <row r="87" spans="1:26" s="12" customFormat="1" x14ac:dyDescent="0.25">
      <c r="A87" s="211" t="s">
        <v>3014</v>
      </c>
      <c r="B87" s="64">
        <v>11.28</v>
      </c>
      <c r="C87" s="64">
        <v>9.66</v>
      </c>
      <c r="D87" s="64">
        <v>14.09</v>
      </c>
      <c r="E87" s="64">
        <v>5.44</v>
      </c>
      <c r="F87" s="64">
        <v>3.69</v>
      </c>
      <c r="G87" s="64">
        <v>21.32</v>
      </c>
      <c r="H87" s="64">
        <v>12.36</v>
      </c>
      <c r="I87" s="64">
        <v>1.05</v>
      </c>
      <c r="J87" s="64">
        <v>0.24</v>
      </c>
      <c r="K87" s="64">
        <v>134.54</v>
      </c>
      <c r="L87" s="64">
        <v>24.56</v>
      </c>
      <c r="M87" s="64">
        <v>98.05</v>
      </c>
      <c r="N87" s="64">
        <v>40.5</v>
      </c>
      <c r="O87" s="64">
        <v>0</v>
      </c>
      <c r="P87" s="64">
        <v>0.43</v>
      </c>
      <c r="Q87" s="64">
        <v>9.1</v>
      </c>
      <c r="R87" s="198"/>
      <c r="S87" s="198"/>
      <c r="T87" s="198"/>
      <c r="U87" s="198"/>
    </row>
    <row r="88" spans="1:26" s="12" customFormat="1" x14ac:dyDescent="0.25">
      <c r="A88" s="211" t="s">
        <v>3015</v>
      </c>
      <c r="B88" s="64">
        <v>10.98</v>
      </c>
      <c r="C88" s="64">
        <v>9.11</v>
      </c>
      <c r="D88" s="64">
        <v>13.56</v>
      </c>
      <c r="E88" s="64">
        <v>5.8</v>
      </c>
      <c r="F88" s="64">
        <v>3.59</v>
      </c>
      <c r="G88" s="64">
        <v>21.32</v>
      </c>
      <c r="H88" s="64">
        <v>12.36</v>
      </c>
      <c r="I88" s="64">
        <v>1.06</v>
      </c>
      <c r="J88" s="64">
        <v>0.48</v>
      </c>
      <c r="K88" s="64">
        <v>129.01</v>
      </c>
      <c r="L88" s="64">
        <v>24.5</v>
      </c>
      <c r="M88" s="64">
        <v>98.05</v>
      </c>
      <c r="N88" s="64">
        <v>40.4</v>
      </c>
      <c r="O88" s="64">
        <v>0</v>
      </c>
      <c r="P88" s="64">
        <v>0.45</v>
      </c>
      <c r="Q88" s="64">
        <v>9.1</v>
      </c>
      <c r="R88" s="198"/>
      <c r="S88" s="198"/>
      <c r="T88" s="198"/>
      <c r="U88" s="198"/>
    </row>
    <row r="89" spans="1:26" s="12" customFormat="1" x14ac:dyDescent="0.25">
      <c r="A89" s="211" t="s">
        <v>3016</v>
      </c>
      <c r="B89" s="64">
        <v>10</v>
      </c>
      <c r="C89" s="64">
        <v>7.18</v>
      </c>
      <c r="D89" s="64">
        <v>11.77</v>
      </c>
      <c r="E89" s="64">
        <v>5.72</v>
      </c>
      <c r="F89" s="64">
        <v>3.19</v>
      </c>
      <c r="G89" s="64">
        <v>21.37</v>
      </c>
      <c r="H89" s="64">
        <v>10.91</v>
      </c>
      <c r="I89" s="64">
        <v>1.0900000000000001</v>
      </c>
      <c r="J89" s="64">
        <v>0.49</v>
      </c>
      <c r="K89" s="64">
        <v>130.41999999999999</v>
      </c>
      <c r="L89" s="64">
        <v>24.42</v>
      </c>
      <c r="M89" s="64">
        <v>98.05</v>
      </c>
      <c r="N89" s="64">
        <v>40.4</v>
      </c>
      <c r="O89" s="64">
        <v>0</v>
      </c>
      <c r="P89" s="64">
        <v>0.41</v>
      </c>
      <c r="Q89" s="64">
        <v>9.11</v>
      </c>
      <c r="R89" s="198"/>
      <c r="S89" s="198"/>
      <c r="T89" s="198"/>
      <c r="U89" s="198"/>
    </row>
    <row r="90" spans="1:26" s="12" customFormat="1" x14ac:dyDescent="0.25">
      <c r="A90" s="211" t="s">
        <v>3017</v>
      </c>
      <c r="B90" s="64">
        <v>9.26</v>
      </c>
      <c r="C90" s="64">
        <v>8.1300000000000008</v>
      </c>
      <c r="D90" s="64">
        <v>11.67</v>
      </c>
      <c r="E90" s="64">
        <v>5.57</v>
      </c>
      <c r="F90" s="64">
        <v>3.2</v>
      </c>
      <c r="G90" s="64">
        <v>21.46</v>
      </c>
      <c r="H90" s="64">
        <v>10.91</v>
      </c>
      <c r="I90" s="64">
        <v>1.1200000000000001</v>
      </c>
      <c r="J90" s="64">
        <v>0.5</v>
      </c>
      <c r="K90" s="64">
        <v>131.63</v>
      </c>
      <c r="L90" s="64">
        <v>24.33</v>
      </c>
      <c r="M90" s="64">
        <v>98.06</v>
      </c>
      <c r="N90" s="64">
        <v>40.4</v>
      </c>
      <c r="O90" s="64">
        <v>0</v>
      </c>
      <c r="P90" s="64">
        <v>0.41</v>
      </c>
      <c r="Q90" s="64">
        <v>9.1199999999999992</v>
      </c>
      <c r="R90" s="198"/>
      <c r="S90" s="198"/>
      <c r="T90" s="198"/>
      <c r="U90" s="198"/>
    </row>
    <row r="91" spans="1:26" s="12" customFormat="1" x14ac:dyDescent="0.25">
      <c r="A91" s="211" t="s">
        <v>3018</v>
      </c>
      <c r="B91" s="64">
        <v>11.71</v>
      </c>
      <c r="C91" s="64">
        <v>8.7899999999999991</v>
      </c>
      <c r="D91" s="64">
        <v>13.97</v>
      </c>
      <c r="E91" s="64">
        <v>5.59</v>
      </c>
      <c r="F91" s="64">
        <v>2.6</v>
      </c>
      <c r="G91" s="64">
        <v>21.46</v>
      </c>
      <c r="H91" s="64">
        <v>10.91</v>
      </c>
      <c r="I91" s="64">
        <v>1.1299999999999999</v>
      </c>
      <c r="J91" s="64">
        <v>0.49</v>
      </c>
      <c r="K91" s="64">
        <v>129.56</v>
      </c>
      <c r="L91" s="64">
        <v>24.21</v>
      </c>
      <c r="M91" s="64">
        <v>98.04</v>
      </c>
      <c r="N91" s="64">
        <v>40.4</v>
      </c>
      <c r="O91" s="64">
        <v>0</v>
      </c>
      <c r="P91" s="64">
        <v>0.43</v>
      </c>
      <c r="Q91" s="64">
        <v>9.1300000000000008</v>
      </c>
      <c r="R91" s="198"/>
      <c r="S91" s="198"/>
      <c r="T91" s="198"/>
      <c r="U91" s="198"/>
    </row>
    <row r="92" spans="1:26" s="12" customFormat="1" x14ac:dyDescent="0.25">
      <c r="A92" s="211" t="s">
        <v>3019</v>
      </c>
      <c r="B92" s="64">
        <v>9.9700000000000006</v>
      </c>
      <c r="C92" s="64">
        <v>9.8699999999999992</v>
      </c>
      <c r="D92" s="64">
        <v>13.15</v>
      </c>
      <c r="E92" s="64">
        <v>5.54</v>
      </c>
      <c r="F92" s="64">
        <v>3.32</v>
      </c>
      <c r="G92" s="64">
        <v>21.46</v>
      </c>
      <c r="H92" s="64">
        <v>10.91</v>
      </c>
      <c r="I92" s="64">
        <v>1.1499999999999999</v>
      </c>
      <c r="J92" s="64">
        <v>0.24</v>
      </c>
      <c r="K92" s="64">
        <v>135.06</v>
      </c>
      <c r="L92" s="64">
        <v>23.97</v>
      </c>
      <c r="M92" s="64">
        <v>97.62</v>
      </c>
      <c r="N92" s="64">
        <v>40.4</v>
      </c>
      <c r="O92" s="64">
        <v>0</v>
      </c>
      <c r="P92" s="64">
        <v>0.41</v>
      </c>
      <c r="Q92" s="64">
        <v>9.1300000000000008</v>
      </c>
      <c r="R92" s="198"/>
      <c r="S92" s="198"/>
      <c r="T92" s="198"/>
      <c r="U92" s="198"/>
    </row>
    <row r="93" spans="1:26" s="12" customFormat="1" x14ac:dyDescent="0.25">
      <c r="A93" s="211" t="s">
        <v>3020</v>
      </c>
      <c r="B93" s="64">
        <v>10.1</v>
      </c>
      <c r="C93" s="64">
        <v>8.24</v>
      </c>
      <c r="D93" s="64">
        <v>12.4</v>
      </c>
      <c r="E93" s="64">
        <v>5.95</v>
      </c>
      <c r="F93" s="64">
        <v>2.14</v>
      </c>
      <c r="G93" s="64">
        <v>19.739999999999998</v>
      </c>
      <c r="H93" s="64">
        <v>13.23</v>
      </c>
      <c r="I93" s="64">
        <v>1.1599999999999999</v>
      </c>
      <c r="J93" s="64">
        <v>0.54</v>
      </c>
      <c r="K93" s="64">
        <v>133.38</v>
      </c>
      <c r="L93" s="64">
        <v>23.9</v>
      </c>
      <c r="M93" s="64">
        <v>97.56</v>
      </c>
      <c r="N93" s="64">
        <v>40.299999999999997</v>
      </c>
      <c r="O93" s="64">
        <v>0</v>
      </c>
      <c r="P93" s="64">
        <v>0.42</v>
      </c>
      <c r="Q93" s="64">
        <v>9.1199999999999992</v>
      </c>
      <c r="R93" s="198"/>
      <c r="S93" s="198"/>
      <c r="T93" s="198"/>
      <c r="U93" s="198"/>
    </row>
    <row r="94" spans="1:26" s="12" customFormat="1" x14ac:dyDescent="0.25">
      <c r="A94" s="211" t="s">
        <v>3021</v>
      </c>
      <c r="B94" s="64">
        <v>10.31</v>
      </c>
      <c r="C94" s="64">
        <v>6.95</v>
      </c>
      <c r="D94" s="64">
        <v>11.9</v>
      </c>
      <c r="E94" s="64">
        <v>5.57</v>
      </c>
      <c r="F94" s="64">
        <v>4.28</v>
      </c>
      <c r="G94" s="64">
        <v>16.62</v>
      </c>
      <c r="H94" s="64">
        <v>13.23</v>
      </c>
      <c r="I94" s="64">
        <v>1.17</v>
      </c>
      <c r="J94" s="64">
        <v>0.52</v>
      </c>
      <c r="K94" s="64">
        <v>125.7</v>
      </c>
      <c r="L94" s="64">
        <v>23.92</v>
      </c>
      <c r="M94" s="64">
        <v>97.56</v>
      </c>
      <c r="N94" s="64">
        <v>40.299999999999997</v>
      </c>
      <c r="O94" s="64">
        <v>0</v>
      </c>
      <c r="P94" s="64">
        <v>0.4</v>
      </c>
      <c r="Q94" s="64">
        <v>9.09</v>
      </c>
      <c r="R94" s="198"/>
      <c r="S94" s="198"/>
      <c r="T94" s="198"/>
      <c r="U94" s="198"/>
    </row>
    <row r="95" spans="1:26" s="12" customFormat="1" x14ac:dyDescent="0.25">
      <c r="A95" s="211" t="s">
        <v>3022</v>
      </c>
      <c r="B95" s="64">
        <v>9.81</v>
      </c>
      <c r="C95" s="64">
        <v>6.65</v>
      </c>
      <c r="D95" s="64">
        <v>11.34</v>
      </c>
      <c r="E95" s="64">
        <v>5.64</v>
      </c>
      <c r="F95" s="64">
        <v>2.2599999999999998</v>
      </c>
      <c r="G95" s="64">
        <v>16.62</v>
      </c>
      <c r="H95" s="64">
        <v>13.23</v>
      </c>
      <c r="I95" s="64">
        <v>1.18</v>
      </c>
      <c r="J95" s="64">
        <v>0.52</v>
      </c>
      <c r="K95" s="64">
        <v>135.74</v>
      </c>
      <c r="L95" s="64">
        <v>23.8</v>
      </c>
      <c r="M95" s="64">
        <v>98.07</v>
      </c>
      <c r="N95" s="64">
        <v>40.4</v>
      </c>
      <c r="O95" s="64">
        <v>0</v>
      </c>
      <c r="P95" s="64">
        <v>0.41</v>
      </c>
      <c r="Q95" s="64">
        <v>9.08</v>
      </c>
      <c r="R95" s="198"/>
      <c r="S95" s="198"/>
      <c r="T95" s="198"/>
      <c r="U95" s="198"/>
    </row>
    <row r="96" spans="1:26" s="12" customFormat="1" x14ac:dyDescent="0.25">
      <c r="A96" s="211" t="s">
        <v>3023</v>
      </c>
      <c r="B96" s="64">
        <v>11.29</v>
      </c>
      <c r="C96" s="64">
        <v>7.85</v>
      </c>
      <c r="D96" s="64">
        <v>13.16</v>
      </c>
      <c r="E96" s="64">
        <v>5.85</v>
      </c>
      <c r="F96" s="64">
        <v>3.64</v>
      </c>
      <c r="G96" s="64">
        <v>16.62</v>
      </c>
      <c r="H96" s="64">
        <v>13.23</v>
      </c>
      <c r="I96" s="64">
        <v>1.2</v>
      </c>
      <c r="J96" s="64">
        <v>0.42</v>
      </c>
      <c r="K96" s="64">
        <v>134.88999999999999</v>
      </c>
      <c r="L96" s="64">
        <v>23.77</v>
      </c>
      <c r="M96" s="64">
        <v>97.62</v>
      </c>
      <c r="N96" s="64">
        <v>40.4</v>
      </c>
      <c r="O96" s="64">
        <v>0</v>
      </c>
      <c r="P96" s="64">
        <v>0.43</v>
      </c>
      <c r="Q96" s="64">
        <v>9.07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3024</v>
      </c>
      <c r="B97" s="64">
        <v>9.89</v>
      </c>
      <c r="C97" s="64">
        <v>6.73</v>
      </c>
      <c r="D97" s="64">
        <v>11.45</v>
      </c>
      <c r="E97" s="64">
        <v>5.5</v>
      </c>
      <c r="F97" s="64">
        <v>2.6</v>
      </c>
      <c r="G97" s="64">
        <v>14.91</v>
      </c>
      <c r="H97" s="64">
        <v>12.47</v>
      </c>
      <c r="I97" s="64">
        <v>1.21</v>
      </c>
      <c r="J97" s="64">
        <v>0.66</v>
      </c>
      <c r="K97" s="64">
        <v>133.32</v>
      </c>
      <c r="L97" s="64">
        <v>23.71</v>
      </c>
      <c r="M97" s="64">
        <v>97.6</v>
      </c>
      <c r="N97" s="64">
        <v>40.4</v>
      </c>
      <c r="O97" s="64">
        <v>0</v>
      </c>
      <c r="P97" s="64">
        <v>0.43</v>
      </c>
      <c r="Q97" s="64">
        <v>9.08</v>
      </c>
      <c r="R97" s="198"/>
      <c r="S97" s="198"/>
      <c r="T97" s="198"/>
      <c r="U97" s="198"/>
    </row>
    <row r="98" spans="1:33" s="12" customFormat="1" x14ac:dyDescent="0.25">
      <c r="A98" s="211" t="s">
        <v>3025</v>
      </c>
      <c r="B98" s="64">
        <v>10.32</v>
      </c>
      <c r="C98" s="64">
        <v>6.76</v>
      </c>
      <c r="D98" s="64">
        <v>11.81</v>
      </c>
      <c r="E98" s="64">
        <v>5.32</v>
      </c>
      <c r="F98" s="64">
        <v>3.56</v>
      </c>
      <c r="G98" s="64">
        <v>11.81</v>
      </c>
      <c r="H98" s="64">
        <v>12.47</v>
      </c>
      <c r="I98" s="64">
        <v>1.23</v>
      </c>
      <c r="J98" s="64">
        <v>0.77</v>
      </c>
      <c r="K98" s="64">
        <v>130.97</v>
      </c>
      <c r="L98" s="64">
        <v>23.64</v>
      </c>
      <c r="M98" s="64">
        <v>97.61</v>
      </c>
      <c r="N98" s="64">
        <v>40.4</v>
      </c>
      <c r="O98" s="64">
        <v>0</v>
      </c>
      <c r="P98" s="64">
        <v>0.38</v>
      </c>
      <c r="Q98" s="64">
        <v>9.08</v>
      </c>
      <c r="R98" s="198"/>
      <c r="S98" s="198"/>
      <c r="T98" s="198"/>
      <c r="U98" s="198"/>
    </row>
    <row r="99" spans="1:33" s="12" customFormat="1" x14ac:dyDescent="0.25">
      <c r="A99" s="211" t="s">
        <v>3026</v>
      </c>
      <c r="B99" s="64">
        <v>10.5</v>
      </c>
      <c r="C99" s="64">
        <v>6.5</v>
      </c>
      <c r="D99" s="64">
        <v>11.81</v>
      </c>
      <c r="E99" s="64">
        <v>5.59</v>
      </c>
      <c r="F99" s="64">
        <v>2.1</v>
      </c>
      <c r="G99" s="64">
        <v>11.81</v>
      </c>
      <c r="H99" s="64">
        <v>12.47</v>
      </c>
      <c r="I99" s="64">
        <v>1.24</v>
      </c>
      <c r="J99" s="64">
        <v>0.63</v>
      </c>
      <c r="K99" s="64">
        <v>130.84</v>
      </c>
      <c r="L99" s="64">
        <v>23.49</v>
      </c>
      <c r="M99" s="64">
        <v>98.12</v>
      </c>
      <c r="N99" s="64">
        <v>40.4</v>
      </c>
      <c r="O99" s="64">
        <v>0</v>
      </c>
      <c r="P99" s="64">
        <v>0.41</v>
      </c>
      <c r="Q99" s="64">
        <v>9.07</v>
      </c>
      <c r="R99" s="198"/>
      <c r="S99" s="198"/>
      <c r="T99" s="198"/>
      <c r="U99" s="198"/>
    </row>
    <row r="100" spans="1:33" s="12" customFormat="1" x14ac:dyDescent="0.25">
      <c r="A100" s="211" t="s">
        <v>3027</v>
      </c>
      <c r="B100" s="64">
        <v>10.3</v>
      </c>
      <c r="C100" s="64">
        <v>7.05</v>
      </c>
      <c r="D100" s="64">
        <v>11.94</v>
      </c>
      <c r="E100" s="64">
        <v>5.38</v>
      </c>
      <c r="F100" s="64">
        <v>3.73</v>
      </c>
      <c r="G100" s="64">
        <v>11.81</v>
      </c>
      <c r="H100" s="64">
        <v>12.47</v>
      </c>
      <c r="I100" s="64">
        <v>1.23</v>
      </c>
      <c r="J100" s="64">
        <v>1</v>
      </c>
      <c r="K100" s="64">
        <v>128.19999999999999</v>
      </c>
      <c r="L100" s="64">
        <v>23.46</v>
      </c>
      <c r="M100" s="64">
        <v>97.66</v>
      </c>
      <c r="N100" s="64">
        <v>40.4</v>
      </c>
      <c r="O100" s="64">
        <v>0</v>
      </c>
      <c r="P100" s="64">
        <v>0.38</v>
      </c>
      <c r="Q100" s="64">
        <v>9.07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3028</v>
      </c>
      <c r="B101" s="64">
        <v>10.25</v>
      </c>
      <c r="C101" s="64">
        <v>5.67</v>
      </c>
      <c r="D101" s="64">
        <v>11.18</v>
      </c>
      <c r="E101" s="64">
        <v>5.82</v>
      </c>
      <c r="F101" s="64">
        <v>3.86</v>
      </c>
      <c r="G101" s="64">
        <v>13.02</v>
      </c>
      <c r="H101" s="64">
        <v>11.54</v>
      </c>
      <c r="I101" s="64">
        <v>1.23</v>
      </c>
      <c r="J101" s="64">
        <v>0.96</v>
      </c>
      <c r="K101" s="64">
        <v>129.03</v>
      </c>
      <c r="L101" s="64">
        <v>23.42</v>
      </c>
      <c r="M101" s="64">
        <v>97.62</v>
      </c>
      <c r="N101" s="64">
        <v>40.299999999999997</v>
      </c>
      <c r="O101" s="64">
        <v>0</v>
      </c>
      <c r="P101" s="64">
        <v>0.36</v>
      </c>
      <c r="Q101" s="64">
        <v>9.07</v>
      </c>
      <c r="R101" s="198"/>
      <c r="S101" s="198"/>
      <c r="T101" s="198"/>
      <c r="U101" s="198"/>
    </row>
    <row r="102" spans="1:33" s="12" customFormat="1" x14ac:dyDescent="0.25">
      <c r="A102" s="211" t="s">
        <v>3029</v>
      </c>
      <c r="B102" s="64">
        <v>9.33</v>
      </c>
      <c r="C102" s="64">
        <v>6.05</v>
      </c>
      <c r="D102" s="64">
        <v>10.65</v>
      </c>
      <c r="E102" s="64">
        <v>5.59</v>
      </c>
      <c r="F102" s="64">
        <v>3.08</v>
      </c>
      <c r="G102" s="64">
        <v>15.21</v>
      </c>
      <c r="H102" s="64">
        <v>11.54</v>
      </c>
      <c r="I102" s="64">
        <v>1.22</v>
      </c>
      <c r="J102" s="64">
        <v>1.02</v>
      </c>
      <c r="K102" s="64">
        <v>133.18</v>
      </c>
      <c r="L102" s="64">
        <v>23.4</v>
      </c>
      <c r="M102" s="64">
        <v>97.61</v>
      </c>
      <c r="N102" s="64">
        <v>40.299999999999997</v>
      </c>
      <c r="O102" s="64">
        <v>0</v>
      </c>
      <c r="P102" s="64">
        <v>0.36</v>
      </c>
      <c r="Q102" s="64">
        <v>9.07</v>
      </c>
      <c r="R102" s="198"/>
      <c r="S102" s="198"/>
      <c r="T102" s="198"/>
      <c r="U102" s="198"/>
    </row>
    <row r="103" spans="1:33" s="12" customFormat="1" x14ac:dyDescent="0.25">
      <c r="A103" s="211" t="s">
        <v>3030</v>
      </c>
      <c r="B103" s="64">
        <v>8.82</v>
      </c>
      <c r="C103" s="64">
        <v>5.93</v>
      </c>
      <c r="D103" s="64">
        <v>10.17</v>
      </c>
      <c r="E103" s="64">
        <v>5.93</v>
      </c>
      <c r="F103" s="64">
        <v>3.71</v>
      </c>
      <c r="G103" s="64">
        <v>15.21</v>
      </c>
      <c r="H103" s="64">
        <v>11.54</v>
      </c>
      <c r="I103" s="64">
        <v>1.2</v>
      </c>
      <c r="J103" s="64">
        <v>1.05</v>
      </c>
      <c r="K103" s="64">
        <v>122.63</v>
      </c>
      <c r="L103" s="64">
        <v>23.26</v>
      </c>
      <c r="M103" s="64">
        <v>98.12</v>
      </c>
      <c r="N103" s="64">
        <v>40.1</v>
      </c>
      <c r="O103" s="64">
        <v>0</v>
      </c>
      <c r="P103" s="64">
        <v>0.32</v>
      </c>
      <c r="Q103" s="64">
        <v>9.1</v>
      </c>
      <c r="R103" s="198"/>
      <c r="S103" s="198"/>
      <c r="T103" s="198"/>
      <c r="U103" s="198"/>
    </row>
    <row r="104" spans="1:33" s="12" customFormat="1" x14ac:dyDescent="0.25">
      <c r="A104" s="211" t="s">
        <v>3031</v>
      </c>
      <c r="B104" s="64">
        <v>8.9600000000000009</v>
      </c>
      <c r="C104" s="64">
        <v>5.23</v>
      </c>
      <c r="D104" s="64">
        <v>9.92</v>
      </c>
      <c r="E104" s="64">
        <v>4.8899999999999997</v>
      </c>
      <c r="F104" s="64">
        <v>2.65</v>
      </c>
      <c r="G104" s="64">
        <v>15.21</v>
      </c>
      <c r="H104" s="64">
        <v>11.54</v>
      </c>
      <c r="I104" s="64">
        <v>1.18</v>
      </c>
      <c r="J104" s="64">
        <v>1.42</v>
      </c>
      <c r="K104" s="64">
        <v>129.53</v>
      </c>
      <c r="L104" s="64">
        <v>23.17</v>
      </c>
      <c r="M104" s="64">
        <v>97.64</v>
      </c>
      <c r="N104" s="64">
        <v>40.4</v>
      </c>
      <c r="O104" s="64">
        <v>0</v>
      </c>
      <c r="P104" s="64">
        <v>0.33</v>
      </c>
      <c r="Q104" s="64">
        <v>9.11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5.97</v>
      </c>
      <c r="C106" s="67">
        <f>MIN(C9:C104)</f>
        <v>4.93</v>
      </c>
      <c r="D106" s="67">
        <f t="shared" ref="D106:Q106" si="0">MIN(D9:D104)</f>
        <v>8.7899999999999991</v>
      </c>
      <c r="E106" s="67">
        <f t="shared" si="0"/>
        <v>4.8899999999999997</v>
      </c>
      <c r="F106" s="67">
        <f t="shared" si="0"/>
        <v>2.1</v>
      </c>
      <c r="G106" s="67">
        <f t="shared" si="0"/>
        <v>8.01</v>
      </c>
      <c r="H106" s="67">
        <f t="shared" si="0"/>
        <v>8.93</v>
      </c>
      <c r="I106" s="67">
        <f t="shared" si="0"/>
        <v>0.79</v>
      </c>
      <c r="J106" s="67">
        <f t="shared" si="0"/>
        <v>0.01</v>
      </c>
      <c r="K106" s="67">
        <f t="shared" si="0"/>
        <v>120.09</v>
      </c>
      <c r="L106" s="67">
        <f t="shared" si="0"/>
        <v>22.07</v>
      </c>
      <c r="M106" s="67">
        <f t="shared" si="0"/>
        <v>86.92</v>
      </c>
      <c r="N106" s="67">
        <f t="shared" si="0"/>
        <v>40.1</v>
      </c>
      <c r="O106" s="67">
        <f t="shared" si="0"/>
        <v>0</v>
      </c>
      <c r="P106" s="67">
        <f t="shared" si="0"/>
        <v>0.2</v>
      </c>
      <c r="Q106" s="67">
        <f t="shared" si="0"/>
        <v>8.9700000000000006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15.43</v>
      </c>
      <c r="C107" s="66">
        <f t="shared" ref="C107:Q107" si="1">MAX(C9:C104)</f>
        <v>10.69</v>
      </c>
      <c r="D107" s="66">
        <f t="shared" si="1"/>
        <v>15.75</v>
      </c>
      <c r="E107" s="66">
        <f t="shared" si="1"/>
        <v>6.15</v>
      </c>
      <c r="F107" s="66">
        <f t="shared" si="1"/>
        <v>8.86</v>
      </c>
      <c r="G107" s="66">
        <f t="shared" si="1"/>
        <v>56.58</v>
      </c>
      <c r="H107" s="66">
        <f t="shared" si="1"/>
        <v>16.579999999999998</v>
      </c>
      <c r="I107" s="66">
        <f t="shared" si="1"/>
        <v>1.44</v>
      </c>
      <c r="J107" s="66">
        <f t="shared" si="1"/>
        <v>2.15</v>
      </c>
      <c r="K107" s="66">
        <f t="shared" si="1"/>
        <v>336.16</v>
      </c>
      <c r="L107" s="66">
        <f t="shared" si="1"/>
        <v>27.3</v>
      </c>
      <c r="M107" s="66">
        <f t="shared" si="1"/>
        <v>98.12</v>
      </c>
      <c r="N107" s="66">
        <f t="shared" si="1"/>
        <v>434.8</v>
      </c>
      <c r="O107" s="66">
        <f t="shared" si="1"/>
        <v>0</v>
      </c>
      <c r="P107" s="66">
        <f t="shared" si="1"/>
        <v>0.49</v>
      </c>
      <c r="Q107" s="66">
        <f t="shared" si="1"/>
        <v>9.2100000000000009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10.478437500000004</v>
      </c>
      <c r="C108" s="67">
        <f t="shared" ref="C108:Q108" si="2">AVERAGE(C9:C104)</f>
        <v>7.056874999999998</v>
      </c>
      <c r="D108" s="67">
        <f t="shared" si="2"/>
        <v>12.107500000000007</v>
      </c>
      <c r="E108" s="67">
        <f t="shared" si="2"/>
        <v>5.4934374999999989</v>
      </c>
      <c r="F108" s="67">
        <f t="shared" si="2"/>
        <v>3.4770833333333315</v>
      </c>
      <c r="G108" s="67">
        <f t="shared" si="2"/>
        <v>19.778124999999996</v>
      </c>
      <c r="H108" s="67">
        <f t="shared" si="2"/>
        <v>11.680833333333334</v>
      </c>
      <c r="I108" s="67">
        <f t="shared" si="2"/>
        <v>1.1543750000000006</v>
      </c>
      <c r="J108" s="67">
        <f t="shared" si="2"/>
        <v>0.51729166666666693</v>
      </c>
      <c r="K108" s="67">
        <f t="shared" si="2"/>
        <v>156.64177083333337</v>
      </c>
      <c r="L108" s="67">
        <f t="shared" si="2"/>
        <v>24.210625000000004</v>
      </c>
      <c r="M108" s="67">
        <f t="shared" si="2"/>
        <v>96.375312500000049</v>
      </c>
      <c r="N108" s="67">
        <f t="shared" si="2"/>
        <v>103.44999999999993</v>
      </c>
      <c r="O108" s="67">
        <f t="shared" si="2"/>
        <v>0</v>
      </c>
      <c r="P108" s="67">
        <f t="shared" si="2"/>
        <v>0.34322916666666653</v>
      </c>
      <c r="Q108" s="67">
        <f t="shared" si="2"/>
        <v>9.0965625000000099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2.4101886050352985</v>
      </c>
      <c r="C109" s="67">
        <f t="shared" ref="C109:Q109" si="3">STDEV(C9:C104)</f>
        <v>1.2866278343835751</v>
      </c>
      <c r="D109" s="67">
        <f t="shared" si="3"/>
        <v>1.6633700730744982</v>
      </c>
      <c r="E109" s="67">
        <f t="shared" si="3"/>
        <v>0.27065545440652039</v>
      </c>
      <c r="F109" s="67">
        <f t="shared" si="3"/>
        <v>1.5690935476903609</v>
      </c>
      <c r="G109" s="67">
        <f t="shared" si="3"/>
        <v>10.027043570422851</v>
      </c>
      <c r="H109" s="67">
        <f t="shared" si="3"/>
        <v>1.7583554916704476</v>
      </c>
      <c r="I109" s="67">
        <f t="shared" si="3"/>
        <v>0.19510759514742082</v>
      </c>
      <c r="J109" s="67">
        <f t="shared" si="3"/>
        <v>0.42022169378772489</v>
      </c>
      <c r="K109" s="67">
        <f t="shared" si="3"/>
        <v>55.410791842569822</v>
      </c>
      <c r="L109" s="67">
        <f t="shared" si="3"/>
        <v>1.7529552866066225</v>
      </c>
      <c r="M109" s="67">
        <f t="shared" si="3"/>
        <v>2.9048764637651714</v>
      </c>
      <c r="N109" s="67">
        <f t="shared" si="3"/>
        <v>105.8031319803063</v>
      </c>
      <c r="O109" s="67">
        <f t="shared" si="3"/>
        <v>0</v>
      </c>
      <c r="P109" s="67">
        <f t="shared" si="3"/>
        <v>5.8426648420169945E-2</v>
      </c>
      <c r="Q109" s="67">
        <f t="shared" si="3"/>
        <v>6.1401665072571159E-2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6" activePane="bottomLeft" state="frozen"/>
      <selection activeCell="N106" sqref="N106:P109"/>
      <selection pane="bottomLeft" activeCell="D56" sqref="D56:D5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1" t="s">
        <v>3032</v>
      </c>
      <c r="B9" s="64">
        <v>8.86</v>
      </c>
      <c r="C9" s="64">
        <v>5.0599999999999996</v>
      </c>
      <c r="D9" s="64">
        <v>9.75</v>
      </c>
      <c r="E9" s="64">
        <v>4.96</v>
      </c>
      <c r="F9" s="64">
        <v>2.54</v>
      </c>
      <c r="G9" s="64">
        <v>13.58</v>
      </c>
      <c r="H9" s="64">
        <v>10.33</v>
      </c>
      <c r="I9" s="64">
        <v>1.1499999999999999</v>
      </c>
      <c r="J9" s="64">
        <v>1.29</v>
      </c>
      <c r="K9" s="64">
        <v>125.76</v>
      </c>
      <c r="L9" s="64">
        <v>23.06</v>
      </c>
      <c r="M9" s="64">
        <v>97.61</v>
      </c>
      <c r="N9" s="64">
        <v>40.4</v>
      </c>
      <c r="O9" s="64">
        <v>0</v>
      </c>
      <c r="P9" s="64">
        <v>0.32</v>
      </c>
      <c r="Q9" s="64">
        <v>9.1199999999999992</v>
      </c>
      <c r="R9" s="198"/>
      <c r="S9" s="198"/>
      <c r="T9" s="198"/>
      <c r="U9" s="198"/>
    </row>
    <row r="10" spans="1:21" s="12" customFormat="1" x14ac:dyDescent="0.25">
      <c r="A10" s="211" t="s">
        <v>3033</v>
      </c>
      <c r="B10" s="64">
        <v>8.76</v>
      </c>
      <c r="C10" s="64">
        <v>5.17</v>
      </c>
      <c r="D10" s="64">
        <v>9.73</v>
      </c>
      <c r="E10" s="64">
        <v>5.1100000000000003</v>
      </c>
      <c r="F10" s="64">
        <v>2.5</v>
      </c>
      <c r="G10" s="64">
        <v>10.64</v>
      </c>
      <c r="H10" s="64">
        <v>10.33</v>
      </c>
      <c r="I10" s="64">
        <v>1.1200000000000001</v>
      </c>
      <c r="J10" s="64">
        <v>1.68</v>
      </c>
      <c r="K10" s="64">
        <v>125.88</v>
      </c>
      <c r="L10" s="64">
        <v>22.98</v>
      </c>
      <c r="M10" s="64">
        <v>97.62</v>
      </c>
      <c r="N10" s="64">
        <v>40.4</v>
      </c>
      <c r="O10" s="64">
        <v>0</v>
      </c>
      <c r="P10" s="64">
        <v>0.33</v>
      </c>
      <c r="Q10" s="64">
        <v>9.1300000000000008</v>
      </c>
      <c r="R10" s="198"/>
      <c r="S10" s="198"/>
      <c r="T10" s="198"/>
      <c r="U10" s="198"/>
    </row>
    <row r="11" spans="1:21" s="12" customFormat="1" x14ac:dyDescent="0.25">
      <c r="A11" s="211" t="s">
        <v>3034</v>
      </c>
      <c r="B11" s="64">
        <v>8.61</v>
      </c>
      <c r="C11" s="64">
        <v>5.16</v>
      </c>
      <c r="D11" s="64">
        <v>9.6</v>
      </c>
      <c r="E11" s="64">
        <v>5.1100000000000003</v>
      </c>
      <c r="F11" s="64">
        <v>2.63</v>
      </c>
      <c r="G11" s="64">
        <v>10.64</v>
      </c>
      <c r="H11" s="64">
        <v>10.33</v>
      </c>
      <c r="I11" s="64">
        <v>1.08</v>
      </c>
      <c r="J11" s="64">
        <v>1.3</v>
      </c>
      <c r="K11" s="64">
        <v>124.73</v>
      </c>
      <c r="L11" s="64">
        <v>22.81</v>
      </c>
      <c r="M11" s="64">
        <v>98.15</v>
      </c>
      <c r="N11" s="64">
        <v>40.4</v>
      </c>
      <c r="O11" s="64">
        <v>0</v>
      </c>
      <c r="P11" s="64">
        <v>0.3</v>
      </c>
      <c r="Q11" s="64">
        <v>9.11</v>
      </c>
      <c r="R11" s="198"/>
      <c r="S11" s="198"/>
      <c r="T11" s="198"/>
      <c r="U11" s="198"/>
    </row>
    <row r="12" spans="1:21" s="12" customFormat="1" x14ac:dyDescent="0.25">
      <c r="A12" s="211" t="s">
        <v>3035</v>
      </c>
      <c r="B12" s="64">
        <v>8.2799999999999994</v>
      </c>
      <c r="C12" s="64">
        <v>5.34</v>
      </c>
      <c r="D12" s="64">
        <v>9.43</v>
      </c>
      <c r="E12" s="64">
        <v>4.83</v>
      </c>
      <c r="F12" s="64">
        <v>2.1</v>
      </c>
      <c r="G12" s="64">
        <v>10.64</v>
      </c>
      <c r="H12" s="64">
        <v>10.33</v>
      </c>
      <c r="I12" s="64">
        <v>1.05</v>
      </c>
      <c r="J12" s="64">
        <v>1.27</v>
      </c>
      <c r="K12" s="64">
        <v>129.85</v>
      </c>
      <c r="L12" s="64">
        <v>22.78</v>
      </c>
      <c r="M12" s="64">
        <v>97.69</v>
      </c>
      <c r="N12" s="64">
        <v>40.4</v>
      </c>
      <c r="O12" s="64">
        <v>0</v>
      </c>
      <c r="P12" s="64">
        <v>0.31</v>
      </c>
      <c r="Q12" s="64">
        <v>9.11</v>
      </c>
      <c r="R12" s="198"/>
      <c r="S12" s="198"/>
      <c r="T12" s="198"/>
      <c r="U12" s="198"/>
    </row>
    <row r="13" spans="1:21" s="12" customFormat="1" x14ac:dyDescent="0.25">
      <c r="A13" s="211" t="s">
        <v>3036</v>
      </c>
      <c r="B13" s="64">
        <v>8.25</v>
      </c>
      <c r="C13" s="64">
        <v>5.36</v>
      </c>
      <c r="D13" s="64">
        <v>9.41</v>
      </c>
      <c r="E13" s="64">
        <v>4.9800000000000004</v>
      </c>
      <c r="F13" s="64">
        <v>2.1</v>
      </c>
      <c r="G13" s="64">
        <v>9.89</v>
      </c>
      <c r="H13" s="64">
        <v>12.25</v>
      </c>
      <c r="I13" s="64">
        <v>1.02</v>
      </c>
      <c r="J13" s="64">
        <v>1.38</v>
      </c>
      <c r="K13" s="64">
        <v>125.68</v>
      </c>
      <c r="L13" s="64">
        <v>22.73</v>
      </c>
      <c r="M13" s="64">
        <v>97.63</v>
      </c>
      <c r="N13" s="64">
        <v>40.200000000000003</v>
      </c>
      <c r="O13" s="64">
        <v>0</v>
      </c>
      <c r="P13" s="64">
        <v>0.28000000000000003</v>
      </c>
      <c r="Q13" s="64">
        <v>9.11</v>
      </c>
      <c r="R13" s="198"/>
      <c r="S13" s="198"/>
      <c r="T13" s="198"/>
      <c r="U13" s="198"/>
    </row>
    <row r="14" spans="1:21" s="12" customFormat="1" x14ac:dyDescent="0.25">
      <c r="A14" s="211" t="s">
        <v>3037</v>
      </c>
      <c r="B14" s="64">
        <v>8.27</v>
      </c>
      <c r="C14" s="64">
        <v>5.38</v>
      </c>
      <c r="D14" s="64">
        <v>9.4499999999999993</v>
      </c>
      <c r="E14" s="64">
        <v>5.03</v>
      </c>
      <c r="F14" s="64">
        <v>2.13</v>
      </c>
      <c r="G14" s="64">
        <v>8.5399999999999991</v>
      </c>
      <c r="H14" s="64">
        <v>12.25</v>
      </c>
      <c r="I14" s="64">
        <v>0.99</v>
      </c>
      <c r="J14" s="64">
        <v>1.07</v>
      </c>
      <c r="K14" s="64">
        <v>125.27</v>
      </c>
      <c r="L14" s="64">
        <v>22.74</v>
      </c>
      <c r="M14" s="64">
        <v>98.14</v>
      </c>
      <c r="N14" s="64">
        <v>40.1</v>
      </c>
      <c r="O14" s="64">
        <v>0</v>
      </c>
      <c r="P14" s="64">
        <v>0.28999999999999998</v>
      </c>
      <c r="Q14" s="64">
        <v>9.1</v>
      </c>
      <c r="R14" s="198"/>
      <c r="S14" s="198"/>
      <c r="T14" s="198"/>
      <c r="U14" s="198"/>
    </row>
    <row r="15" spans="1:21" s="12" customFormat="1" x14ac:dyDescent="0.25">
      <c r="A15" s="211" t="s">
        <v>3038</v>
      </c>
      <c r="B15" s="64">
        <v>8.65</v>
      </c>
      <c r="C15" s="64">
        <v>5.08</v>
      </c>
      <c r="D15" s="64">
        <v>9.59</v>
      </c>
      <c r="E15" s="64">
        <v>5.16</v>
      </c>
      <c r="F15" s="64">
        <v>2.1</v>
      </c>
      <c r="G15" s="64">
        <v>8.5399999999999991</v>
      </c>
      <c r="H15" s="64">
        <v>12.25</v>
      </c>
      <c r="I15" s="64">
        <v>0.98</v>
      </c>
      <c r="J15" s="64">
        <v>1.39</v>
      </c>
      <c r="K15" s="64">
        <v>126.4</v>
      </c>
      <c r="L15" s="64">
        <v>22.74</v>
      </c>
      <c r="M15" s="64">
        <v>98.2</v>
      </c>
      <c r="N15" s="64">
        <v>40.4</v>
      </c>
      <c r="O15" s="64">
        <v>0</v>
      </c>
      <c r="P15" s="64">
        <v>0.32</v>
      </c>
      <c r="Q15" s="64">
        <v>9.07</v>
      </c>
      <c r="R15" s="198"/>
      <c r="S15" s="198"/>
      <c r="T15" s="198"/>
      <c r="U15" s="198"/>
    </row>
    <row r="16" spans="1:21" s="12" customFormat="1" x14ac:dyDescent="0.25">
      <c r="A16" s="211" t="s">
        <v>3039</v>
      </c>
      <c r="B16" s="64">
        <v>8.4</v>
      </c>
      <c r="C16" s="64">
        <v>5.17</v>
      </c>
      <c r="D16" s="64">
        <v>9.44</v>
      </c>
      <c r="E16" s="64">
        <v>5.14</v>
      </c>
      <c r="F16" s="64">
        <v>2.42</v>
      </c>
      <c r="G16" s="64">
        <v>8.5399999999999991</v>
      </c>
      <c r="H16" s="64">
        <v>12.25</v>
      </c>
      <c r="I16" s="64">
        <v>0.95</v>
      </c>
      <c r="J16" s="64">
        <v>1.55</v>
      </c>
      <c r="K16" s="64">
        <v>122.91</v>
      </c>
      <c r="L16" s="64">
        <v>22.68</v>
      </c>
      <c r="M16" s="64">
        <v>98.2</v>
      </c>
      <c r="N16" s="64">
        <v>40.1</v>
      </c>
      <c r="O16" s="64">
        <v>0</v>
      </c>
      <c r="P16" s="64">
        <v>0.28999999999999998</v>
      </c>
      <c r="Q16" s="64">
        <v>9.0399999999999991</v>
      </c>
      <c r="R16" s="198"/>
      <c r="S16" s="198"/>
      <c r="T16" s="198"/>
      <c r="U16" s="198"/>
    </row>
    <row r="17" spans="1:21" s="12" customFormat="1" x14ac:dyDescent="0.25">
      <c r="A17" s="211" t="s">
        <v>3040</v>
      </c>
      <c r="B17" s="64">
        <v>8.6199999999999992</v>
      </c>
      <c r="C17" s="64">
        <v>4.84</v>
      </c>
      <c r="D17" s="64">
        <v>9.44</v>
      </c>
      <c r="E17" s="64">
        <v>5.04</v>
      </c>
      <c r="F17" s="64">
        <v>2.1</v>
      </c>
      <c r="G17" s="64">
        <v>7.63</v>
      </c>
      <c r="H17" s="64">
        <v>11.51</v>
      </c>
      <c r="I17" s="64">
        <v>0.93</v>
      </c>
      <c r="J17" s="64">
        <v>1.22</v>
      </c>
      <c r="K17" s="64">
        <v>115.58</v>
      </c>
      <c r="L17" s="64">
        <v>22.66</v>
      </c>
      <c r="M17" s="64">
        <v>98.2</v>
      </c>
      <c r="N17" s="64">
        <v>40</v>
      </c>
      <c r="O17" s="64">
        <v>0</v>
      </c>
      <c r="P17" s="64">
        <v>0.31</v>
      </c>
      <c r="Q17" s="64">
        <v>9.0299999999999994</v>
      </c>
      <c r="R17" s="198"/>
      <c r="S17" s="198"/>
      <c r="T17" s="198"/>
      <c r="U17" s="198"/>
    </row>
    <row r="18" spans="1:21" s="12" customFormat="1" x14ac:dyDescent="0.25">
      <c r="A18" s="211" t="s">
        <v>3041</v>
      </c>
      <c r="B18" s="64">
        <v>8.36</v>
      </c>
      <c r="C18" s="64">
        <v>5.0199999999999996</v>
      </c>
      <c r="D18" s="64">
        <v>9.33</v>
      </c>
      <c r="E18" s="64">
        <v>4.87</v>
      </c>
      <c r="F18" s="64">
        <v>2.35</v>
      </c>
      <c r="G18" s="64">
        <v>5.97</v>
      </c>
      <c r="H18" s="64">
        <v>11.51</v>
      </c>
      <c r="I18" s="64">
        <v>0.92</v>
      </c>
      <c r="J18" s="64">
        <v>1.38</v>
      </c>
      <c r="K18" s="64">
        <v>120.16</v>
      </c>
      <c r="L18" s="64">
        <v>22.59</v>
      </c>
      <c r="M18" s="64">
        <v>98.19</v>
      </c>
      <c r="N18" s="64">
        <v>40.299999999999997</v>
      </c>
      <c r="O18" s="64">
        <v>0</v>
      </c>
      <c r="P18" s="64">
        <v>0.28999999999999998</v>
      </c>
      <c r="Q18" s="64">
        <v>9.0299999999999994</v>
      </c>
      <c r="R18" s="198"/>
      <c r="S18" s="198"/>
      <c r="T18" s="198"/>
      <c r="U18" s="198"/>
    </row>
    <row r="19" spans="1:21" s="12" customFormat="1" x14ac:dyDescent="0.25">
      <c r="A19" s="211" t="s">
        <v>3042</v>
      </c>
      <c r="B19" s="64">
        <v>8.49</v>
      </c>
      <c r="C19" s="64">
        <v>4.88</v>
      </c>
      <c r="D19" s="64">
        <v>9.36</v>
      </c>
      <c r="E19" s="64">
        <v>4.59</v>
      </c>
      <c r="F19" s="64">
        <v>2.1</v>
      </c>
      <c r="G19" s="64">
        <v>5.97</v>
      </c>
      <c r="H19" s="64">
        <v>11.51</v>
      </c>
      <c r="I19" s="64">
        <v>0.9</v>
      </c>
      <c r="J19" s="64">
        <v>1.33</v>
      </c>
      <c r="K19" s="64">
        <v>116.34</v>
      </c>
      <c r="L19" s="64">
        <v>22.51</v>
      </c>
      <c r="M19" s="64">
        <v>98.22</v>
      </c>
      <c r="N19" s="64">
        <v>40.1</v>
      </c>
      <c r="O19" s="64">
        <v>0</v>
      </c>
      <c r="P19" s="64">
        <v>0.28999999999999998</v>
      </c>
      <c r="Q19" s="64">
        <v>9.02</v>
      </c>
      <c r="R19" s="198"/>
      <c r="S19" s="198"/>
      <c r="T19" s="198"/>
      <c r="U19" s="198"/>
    </row>
    <row r="20" spans="1:21" s="12" customFormat="1" x14ac:dyDescent="0.25">
      <c r="A20" s="211" t="s">
        <v>3043</v>
      </c>
      <c r="B20" s="64">
        <v>8.1199999999999992</v>
      </c>
      <c r="C20" s="64">
        <v>5.17</v>
      </c>
      <c r="D20" s="64">
        <v>9.2100000000000009</v>
      </c>
      <c r="E20" s="64">
        <v>5.01</v>
      </c>
      <c r="F20" s="64">
        <v>2.61</v>
      </c>
      <c r="G20" s="64">
        <v>5.97</v>
      </c>
      <c r="H20" s="64">
        <v>11.51</v>
      </c>
      <c r="I20" s="64">
        <v>0.89</v>
      </c>
      <c r="J20" s="64">
        <v>1.32</v>
      </c>
      <c r="K20" s="64">
        <v>121.13</v>
      </c>
      <c r="L20" s="64">
        <v>22.48</v>
      </c>
      <c r="M20" s="64">
        <v>98.21</v>
      </c>
      <c r="N20" s="64">
        <v>40.1</v>
      </c>
      <c r="O20" s="64">
        <v>0</v>
      </c>
      <c r="P20" s="64">
        <v>0.26</v>
      </c>
      <c r="Q20" s="64">
        <v>9</v>
      </c>
      <c r="R20" s="198"/>
      <c r="S20" s="198"/>
      <c r="T20" s="198"/>
      <c r="U20" s="198"/>
    </row>
    <row r="21" spans="1:21" s="12" customFormat="1" x14ac:dyDescent="0.25">
      <c r="A21" s="211" t="s">
        <v>3044</v>
      </c>
      <c r="B21" s="64">
        <v>8.0500000000000007</v>
      </c>
      <c r="C21" s="64">
        <v>4.97</v>
      </c>
      <c r="D21" s="64">
        <v>9.0500000000000007</v>
      </c>
      <c r="E21" s="64">
        <v>4.72</v>
      </c>
      <c r="F21" s="64">
        <v>2.1</v>
      </c>
      <c r="G21" s="64">
        <v>5.34</v>
      </c>
      <c r="H21" s="64">
        <v>11.9</v>
      </c>
      <c r="I21" s="64">
        <v>0.87</v>
      </c>
      <c r="J21" s="64">
        <v>1.24</v>
      </c>
      <c r="K21" s="64">
        <v>121.59</v>
      </c>
      <c r="L21" s="64">
        <v>22.51</v>
      </c>
      <c r="M21" s="64">
        <v>98.19</v>
      </c>
      <c r="N21" s="64">
        <v>40.200000000000003</v>
      </c>
      <c r="O21" s="64">
        <v>0</v>
      </c>
      <c r="P21" s="64">
        <v>0.26</v>
      </c>
      <c r="Q21" s="64">
        <v>9.01</v>
      </c>
      <c r="R21" s="198"/>
      <c r="S21" s="198"/>
      <c r="T21" s="198"/>
      <c r="U21" s="198"/>
    </row>
    <row r="22" spans="1:21" s="12" customFormat="1" x14ac:dyDescent="0.25">
      <c r="A22" s="211" t="s">
        <v>3045</v>
      </c>
      <c r="B22" s="64">
        <v>8</v>
      </c>
      <c r="C22" s="64">
        <v>4.99</v>
      </c>
      <c r="D22" s="64">
        <v>9.02</v>
      </c>
      <c r="E22" s="64">
        <v>4.84</v>
      </c>
      <c r="F22" s="64">
        <v>2.12</v>
      </c>
      <c r="G22" s="64">
        <v>4.18</v>
      </c>
      <c r="H22" s="64">
        <v>11.9</v>
      </c>
      <c r="I22" s="64">
        <v>0.86</v>
      </c>
      <c r="J22" s="64">
        <v>1.41</v>
      </c>
      <c r="K22" s="64">
        <v>121.56</v>
      </c>
      <c r="L22" s="64">
        <v>22.44</v>
      </c>
      <c r="M22" s="64">
        <v>98.2</v>
      </c>
      <c r="N22" s="64">
        <v>40.4</v>
      </c>
      <c r="O22" s="64">
        <v>0</v>
      </c>
      <c r="P22" s="64">
        <v>0.25</v>
      </c>
      <c r="Q22" s="64">
        <v>9.02</v>
      </c>
      <c r="R22" s="198"/>
      <c r="S22" s="198"/>
      <c r="T22" s="198"/>
      <c r="U22" s="198"/>
    </row>
    <row r="23" spans="1:21" s="12" customFormat="1" x14ac:dyDescent="0.25">
      <c r="A23" s="211" t="s">
        <v>3046</v>
      </c>
      <c r="B23" s="64">
        <v>8.1199999999999992</v>
      </c>
      <c r="C23" s="64">
        <v>4.99</v>
      </c>
      <c r="D23" s="64">
        <v>9.1199999999999992</v>
      </c>
      <c r="E23" s="64">
        <v>4.53</v>
      </c>
      <c r="F23" s="64">
        <v>2.33</v>
      </c>
      <c r="G23" s="64">
        <v>4.18</v>
      </c>
      <c r="H23" s="64">
        <v>11.9</v>
      </c>
      <c r="I23" s="64">
        <v>0.84</v>
      </c>
      <c r="J23" s="64">
        <v>1.31</v>
      </c>
      <c r="K23" s="64">
        <v>120.25</v>
      </c>
      <c r="L23" s="64">
        <v>22.4</v>
      </c>
      <c r="M23" s="64">
        <v>98.22</v>
      </c>
      <c r="N23" s="64">
        <v>40.4</v>
      </c>
      <c r="O23" s="64">
        <v>0</v>
      </c>
      <c r="P23" s="64">
        <v>0.25</v>
      </c>
      <c r="Q23" s="64">
        <v>9.01</v>
      </c>
      <c r="R23" s="198"/>
      <c r="S23" s="198"/>
      <c r="T23" s="198"/>
      <c r="U23" s="198"/>
    </row>
    <row r="24" spans="1:21" s="12" customFormat="1" x14ac:dyDescent="0.25">
      <c r="A24" s="211" t="s">
        <v>3047</v>
      </c>
      <c r="B24" s="64">
        <v>8.07</v>
      </c>
      <c r="C24" s="64">
        <v>5.07</v>
      </c>
      <c r="D24" s="64">
        <v>9.1199999999999992</v>
      </c>
      <c r="E24" s="64">
        <v>4.8899999999999997</v>
      </c>
      <c r="F24" s="64">
        <v>2.8</v>
      </c>
      <c r="G24" s="64">
        <v>4.18</v>
      </c>
      <c r="H24" s="64">
        <v>11.9</v>
      </c>
      <c r="I24" s="64">
        <v>0.82</v>
      </c>
      <c r="J24" s="64">
        <v>1.4</v>
      </c>
      <c r="K24" s="64">
        <v>122.45</v>
      </c>
      <c r="L24" s="64">
        <v>22.36</v>
      </c>
      <c r="M24" s="64">
        <v>98.23</v>
      </c>
      <c r="N24" s="64">
        <v>40.200000000000003</v>
      </c>
      <c r="O24" s="64">
        <v>0</v>
      </c>
      <c r="P24" s="64">
        <v>0.25</v>
      </c>
      <c r="Q24" s="64">
        <v>9.01</v>
      </c>
      <c r="R24" s="198"/>
      <c r="S24" s="198"/>
      <c r="T24" s="198"/>
      <c r="U24" s="198"/>
    </row>
    <row r="25" spans="1:21" s="12" customFormat="1" x14ac:dyDescent="0.25">
      <c r="A25" s="211" t="s">
        <v>3048</v>
      </c>
      <c r="B25" s="64">
        <v>7.6</v>
      </c>
      <c r="C25" s="64">
        <v>5.0999999999999996</v>
      </c>
      <c r="D25" s="64">
        <v>8.76</v>
      </c>
      <c r="E25" s="64">
        <v>4.7300000000000004</v>
      </c>
      <c r="F25" s="64">
        <v>2.71</v>
      </c>
      <c r="G25" s="64">
        <v>3.74</v>
      </c>
      <c r="H25" s="64">
        <v>10.58</v>
      </c>
      <c r="I25" s="64">
        <v>0.8</v>
      </c>
      <c r="J25" s="64">
        <v>1.48</v>
      </c>
      <c r="K25" s="64">
        <v>121.01</v>
      </c>
      <c r="L25" s="64">
        <v>22.31</v>
      </c>
      <c r="M25" s="64">
        <v>98.2</v>
      </c>
      <c r="N25" s="64">
        <v>40</v>
      </c>
      <c r="O25" s="64">
        <v>0</v>
      </c>
      <c r="P25" s="64">
        <v>0.23</v>
      </c>
      <c r="Q25" s="64">
        <v>9.0500000000000007</v>
      </c>
      <c r="R25" s="198"/>
      <c r="S25" s="198"/>
      <c r="T25" s="198"/>
      <c r="U25" s="198"/>
    </row>
    <row r="26" spans="1:21" s="12" customFormat="1" x14ac:dyDescent="0.25">
      <c r="A26" s="211" t="s">
        <v>3049</v>
      </c>
      <c r="B26" s="64">
        <v>7.68</v>
      </c>
      <c r="C26" s="64">
        <v>5.14</v>
      </c>
      <c r="D26" s="64">
        <v>8.85</v>
      </c>
      <c r="E26" s="64">
        <v>4.67</v>
      </c>
      <c r="F26" s="64">
        <v>2.21</v>
      </c>
      <c r="G26" s="64">
        <v>2.93</v>
      </c>
      <c r="H26" s="64">
        <v>10.58</v>
      </c>
      <c r="I26" s="64">
        <v>0.78</v>
      </c>
      <c r="J26" s="64">
        <v>0.79</v>
      </c>
      <c r="K26" s="64">
        <v>115.33</v>
      </c>
      <c r="L26" s="64">
        <v>22.3</v>
      </c>
      <c r="M26" s="64">
        <v>98.22</v>
      </c>
      <c r="N26" s="64">
        <v>40</v>
      </c>
      <c r="O26" s="64">
        <v>0</v>
      </c>
      <c r="P26" s="64">
        <v>0.23</v>
      </c>
      <c r="Q26" s="64">
        <v>9.06</v>
      </c>
      <c r="R26" s="198"/>
      <c r="S26" s="198"/>
      <c r="T26" s="198"/>
      <c r="U26" s="198"/>
    </row>
    <row r="27" spans="1:21" s="12" customFormat="1" x14ac:dyDescent="0.25">
      <c r="A27" s="211" t="s">
        <v>3050</v>
      </c>
      <c r="B27" s="64">
        <v>7.55</v>
      </c>
      <c r="C27" s="64">
        <v>5.38</v>
      </c>
      <c r="D27" s="64">
        <v>8.8699999999999992</v>
      </c>
      <c r="E27" s="64">
        <v>4.8</v>
      </c>
      <c r="F27" s="64">
        <v>2.1</v>
      </c>
      <c r="G27" s="64">
        <v>2.93</v>
      </c>
      <c r="H27" s="64">
        <v>10.58</v>
      </c>
      <c r="I27" s="64">
        <v>0.76</v>
      </c>
      <c r="J27" s="64">
        <v>0.67</v>
      </c>
      <c r="K27" s="64">
        <v>100.57</v>
      </c>
      <c r="L27" s="64">
        <v>22.36</v>
      </c>
      <c r="M27" s="64">
        <v>98.2</v>
      </c>
      <c r="N27" s="64">
        <v>40</v>
      </c>
      <c r="O27" s="64">
        <v>0</v>
      </c>
      <c r="P27" s="64">
        <v>0.22</v>
      </c>
      <c r="Q27" s="64">
        <v>9.07</v>
      </c>
      <c r="R27" s="198"/>
      <c r="S27" s="198"/>
      <c r="T27" s="198"/>
      <c r="U27" s="198"/>
    </row>
    <row r="28" spans="1:21" s="12" customFormat="1" x14ac:dyDescent="0.25">
      <c r="A28" s="211" t="s">
        <v>3051</v>
      </c>
      <c r="B28" s="64">
        <v>7.54</v>
      </c>
      <c r="C28" s="64">
        <v>5.79</v>
      </c>
      <c r="D28" s="64">
        <v>9.07</v>
      </c>
      <c r="E28" s="64">
        <v>4.71</v>
      </c>
      <c r="F28" s="64">
        <v>2.14</v>
      </c>
      <c r="G28" s="64">
        <v>2.93</v>
      </c>
      <c r="H28" s="64">
        <v>10.58</v>
      </c>
      <c r="I28" s="64">
        <v>0.74</v>
      </c>
      <c r="J28" s="64">
        <v>0.78</v>
      </c>
      <c r="K28" s="64">
        <v>108.66</v>
      </c>
      <c r="L28" s="64">
        <v>22.45</v>
      </c>
      <c r="M28" s="64">
        <v>98.15</v>
      </c>
      <c r="N28" s="64">
        <v>40.1</v>
      </c>
      <c r="O28" s="64">
        <v>0</v>
      </c>
      <c r="P28" s="64">
        <v>0.22</v>
      </c>
      <c r="Q28" s="64">
        <v>9.07</v>
      </c>
      <c r="R28" s="198"/>
      <c r="S28" s="198"/>
      <c r="T28" s="198"/>
      <c r="U28" s="198"/>
    </row>
    <row r="29" spans="1:21" s="12" customFormat="1" x14ac:dyDescent="0.25">
      <c r="A29" s="211" t="s">
        <v>3052</v>
      </c>
      <c r="B29" s="64">
        <v>7.59</v>
      </c>
      <c r="C29" s="64">
        <v>5.91</v>
      </c>
      <c r="D29" s="64">
        <v>9.18</v>
      </c>
      <c r="E29" s="64">
        <v>4.74</v>
      </c>
      <c r="F29" s="64">
        <v>2.1</v>
      </c>
      <c r="G29" s="64">
        <v>2.68</v>
      </c>
      <c r="H29" s="64">
        <v>9.77</v>
      </c>
      <c r="I29" s="64">
        <v>0.73</v>
      </c>
      <c r="J29" s="64">
        <v>0.64</v>
      </c>
      <c r="K29" s="64">
        <v>108.05</v>
      </c>
      <c r="L29" s="64">
        <v>22.48</v>
      </c>
      <c r="M29" s="64">
        <v>98.15</v>
      </c>
      <c r="N29" s="64">
        <v>40.1</v>
      </c>
      <c r="O29" s="64">
        <v>0</v>
      </c>
      <c r="P29" s="64">
        <v>0.21</v>
      </c>
      <c r="Q29" s="64">
        <v>9.07</v>
      </c>
      <c r="R29" s="198"/>
      <c r="S29" s="198"/>
      <c r="T29" s="198"/>
      <c r="U29" s="198"/>
    </row>
    <row r="30" spans="1:21" s="12" customFormat="1" x14ac:dyDescent="0.25">
      <c r="A30" s="211" t="s">
        <v>3053</v>
      </c>
      <c r="B30" s="64">
        <v>7.6</v>
      </c>
      <c r="C30" s="64">
        <v>6.26</v>
      </c>
      <c r="D30" s="64">
        <v>9.3699999999999992</v>
      </c>
      <c r="E30" s="64">
        <v>4.76</v>
      </c>
      <c r="F30" s="64">
        <v>2.1</v>
      </c>
      <c r="G30" s="64">
        <v>2.23</v>
      </c>
      <c r="H30" s="64">
        <v>9.77</v>
      </c>
      <c r="I30" s="64">
        <v>0.72</v>
      </c>
      <c r="J30" s="64">
        <v>0.95</v>
      </c>
      <c r="K30" s="64">
        <v>110.55</v>
      </c>
      <c r="L30" s="64">
        <v>22.44</v>
      </c>
      <c r="M30" s="64">
        <v>98.15</v>
      </c>
      <c r="N30" s="64">
        <v>40.299999999999997</v>
      </c>
      <c r="O30" s="64">
        <v>0</v>
      </c>
      <c r="P30" s="64">
        <v>0.22</v>
      </c>
      <c r="Q30" s="64">
        <v>9.07</v>
      </c>
      <c r="R30" s="198"/>
      <c r="S30" s="198"/>
      <c r="T30" s="198"/>
      <c r="U30" s="198"/>
    </row>
    <row r="31" spans="1:21" s="12" customFormat="1" x14ac:dyDescent="0.25">
      <c r="A31" s="211" t="s">
        <v>3054</v>
      </c>
      <c r="B31" s="64">
        <v>7.7</v>
      </c>
      <c r="C31" s="64">
        <v>5.84</v>
      </c>
      <c r="D31" s="64">
        <v>9.23</v>
      </c>
      <c r="E31" s="64">
        <v>4.5999999999999996</v>
      </c>
      <c r="F31" s="64">
        <v>2.1</v>
      </c>
      <c r="G31" s="64">
        <v>2.23</v>
      </c>
      <c r="H31" s="64">
        <v>9.77</v>
      </c>
      <c r="I31" s="64">
        <v>0.71</v>
      </c>
      <c r="J31" s="64">
        <v>1.35</v>
      </c>
      <c r="K31" s="64">
        <v>119.28</v>
      </c>
      <c r="L31" s="64">
        <v>22.41</v>
      </c>
      <c r="M31" s="64">
        <v>98.15</v>
      </c>
      <c r="N31" s="64">
        <v>40.6</v>
      </c>
      <c r="O31" s="64">
        <v>0</v>
      </c>
      <c r="P31" s="64">
        <v>0.22</v>
      </c>
      <c r="Q31" s="64">
        <v>9.07</v>
      </c>
      <c r="R31" s="198"/>
      <c r="S31" s="198"/>
      <c r="T31" s="198"/>
      <c r="U31" s="198"/>
    </row>
    <row r="32" spans="1:21" s="12" customFormat="1" x14ac:dyDescent="0.25">
      <c r="A32" s="211" t="s">
        <v>3055</v>
      </c>
      <c r="B32" s="64">
        <v>7.89</v>
      </c>
      <c r="C32" s="64">
        <v>5.41</v>
      </c>
      <c r="D32" s="64">
        <v>9.15</v>
      </c>
      <c r="E32" s="64">
        <v>4.75</v>
      </c>
      <c r="F32" s="64">
        <v>2.1</v>
      </c>
      <c r="G32" s="64">
        <v>2.23</v>
      </c>
      <c r="H32" s="64">
        <v>9.77</v>
      </c>
      <c r="I32" s="64">
        <v>0.7</v>
      </c>
      <c r="J32" s="64">
        <v>1.27</v>
      </c>
      <c r="K32" s="64">
        <v>114.55</v>
      </c>
      <c r="L32" s="64">
        <v>22.4</v>
      </c>
      <c r="M32" s="64">
        <v>98.15</v>
      </c>
      <c r="N32" s="64">
        <v>43</v>
      </c>
      <c r="O32" s="64">
        <v>0</v>
      </c>
      <c r="P32" s="64">
        <v>0.23</v>
      </c>
      <c r="Q32" s="64">
        <v>9.06</v>
      </c>
      <c r="R32" s="198"/>
      <c r="S32" s="198"/>
      <c r="T32" s="198"/>
      <c r="U32" s="198"/>
    </row>
    <row r="33" spans="1:21" s="12" customFormat="1" x14ac:dyDescent="0.25">
      <c r="A33" s="211" t="s">
        <v>3056</v>
      </c>
      <c r="B33" s="64">
        <v>8.06</v>
      </c>
      <c r="C33" s="64">
        <v>5.36</v>
      </c>
      <c r="D33" s="64">
        <v>9.26</v>
      </c>
      <c r="E33" s="64">
        <v>5.05</v>
      </c>
      <c r="F33" s="64">
        <v>2.1</v>
      </c>
      <c r="G33" s="64">
        <v>2.0099999999999998</v>
      </c>
      <c r="H33" s="64">
        <v>9.1300000000000008</v>
      </c>
      <c r="I33" s="64">
        <v>0.69</v>
      </c>
      <c r="J33" s="64">
        <v>1.01</v>
      </c>
      <c r="K33" s="64">
        <v>102.48</v>
      </c>
      <c r="L33" s="64">
        <v>22.38</v>
      </c>
      <c r="M33" s="64">
        <v>98.15</v>
      </c>
      <c r="N33" s="64">
        <v>44.7</v>
      </c>
      <c r="O33" s="64">
        <v>0</v>
      </c>
      <c r="P33" s="64">
        <v>0.22</v>
      </c>
      <c r="Q33" s="64">
        <v>9.02</v>
      </c>
      <c r="R33" s="198"/>
      <c r="S33" s="198"/>
      <c r="T33" s="198"/>
      <c r="U33" s="198"/>
    </row>
    <row r="34" spans="1:21" s="12" customFormat="1" x14ac:dyDescent="0.25">
      <c r="A34" s="211" t="s">
        <v>3057</v>
      </c>
      <c r="B34" s="64">
        <v>7.97</v>
      </c>
      <c r="C34" s="64">
        <v>5.41</v>
      </c>
      <c r="D34" s="64">
        <v>9.2200000000000006</v>
      </c>
      <c r="E34" s="64">
        <v>4.78</v>
      </c>
      <c r="F34" s="64">
        <v>2.1</v>
      </c>
      <c r="G34" s="64">
        <v>1.6</v>
      </c>
      <c r="H34" s="64">
        <v>9.1300000000000008</v>
      </c>
      <c r="I34" s="64">
        <v>0.67</v>
      </c>
      <c r="J34" s="64">
        <v>1.01</v>
      </c>
      <c r="K34" s="64">
        <v>105.83</v>
      </c>
      <c r="L34" s="64">
        <v>22.39</v>
      </c>
      <c r="M34" s="64">
        <v>98.13</v>
      </c>
      <c r="N34" s="64">
        <v>48.9</v>
      </c>
      <c r="O34" s="64">
        <v>0</v>
      </c>
      <c r="P34" s="64">
        <v>0.23</v>
      </c>
      <c r="Q34" s="64">
        <v>9.01</v>
      </c>
      <c r="R34" s="198"/>
      <c r="S34" s="198"/>
      <c r="T34" s="198"/>
      <c r="U34" s="198"/>
    </row>
    <row r="35" spans="1:21" s="12" customFormat="1" x14ac:dyDescent="0.25">
      <c r="A35" s="211" t="s">
        <v>3058</v>
      </c>
      <c r="B35" s="64">
        <v>8.02</v>
      </c>
      <c r="C35" s="64">
        <v>5.65</v>
      </c>
      <c r="D35" s="64">
        <v>9.3800000000000008</v>
      </c>
      <c r="E35" s="64">
        <v>4.97</v>
      </c>
      <c r="F35" s="64">
        <v>2.1</v>
      </c>
      <c r="G35" s="64">
        <v>1.6</v>
      </c>
      <c r="H35" s="64">
        <v>9.1300000000000008</v>
      </c>
      <c r="I35" s="64">
        <v>0.66</v>
      </c>
      <c r="J35" s="64">
        <v>1</v>
      </c>
      <c r="K35" s="64">
        <v>102.76</v>
      </c>
      <c r="L35" s="64">
        <v>22.15</v>
      </c>
      <c r="M35" s="64">
        <v>98.17</v>
      </c>
      <c r="N35" s="64">
        <v>52.2</v>
      </c>
      <c r="O35" s="64">
        <v>0</v>
      </c>
      <c r="P35" s="64">
        <v>0.22</v>
      </c>
      <c r="Q35" s="64">
        <v>9</v>
      </c>
      <c r="R35" s="198"/>
      <c r="S35" s="198"/>
      <c r="T35" s="198"/>
      <c r="U35" s="198"/>
    </row>
    <row r="36" spans="1:21" s="12" customFormat="1" x14ac:dyDescent="0.25">
      <c r="A36" s="211" t="s">
        <v>3059</v>
      </c>
      <c r="B36" s="64">
        <v>8.09</v>
      </c>
      <c r="C36" s="64">
        <v>5.55</v>
      </c>
      <c r="D36" s="64">
        <v>9.39</v>
      </c>
      <c r="E36" s="64">
        <v>5.03</v>
      </c>
      <c r="F36" s="64">
        <v>2.1</v>
      </c>
      <c r="G36" s="64">
        <v>1.6</v>
      </c>
      <c r="H36" s="64">
        <v>9.1300000000000008</v>
      </c>
      <c r="I36" s="64">
        <v>0.67</v>
      </c>
      <c r="J36" s="64">
        <v>0.97</v>
      </c>
      <c r="K36" s="64">
        <v>104.91</v>
      </c>
      <c r="L36" s="64">
        <v>21.53</v>
      </c>
      <c r="M36" s="64">
        <v>98.22</v>
      </c>
      <c r="N36" s="64">
        <v>51.7</v>
      </c>
      <c r="O36" s="64">
        <v>0</v>
      </c>
      <c r="P36" s="64">
        <v>0.23</v>
      </c>
      <c r="Q36" s="64">
        <v>9</v>
      </c>
      <c r="R36" s="198"/>
      <c r="S36" s="198"/>
      <c r="T36" s="198"/>
      <c r="U36" s="198"/>
    </row>
    <row r="37" spans="1:21" s="12" customFormat="1" x14ac:dyDescent="0.25">
      <c r="A37" s="211" t="s">
        <v>3060</v>
      </c>
      <c r="B37" s="64">
        <v>8.0500000000000007</v>
      </c>
      <c r="C37" s="64">
        <v>5.66</v>
      </c>
      <c r="D37" s="64">
        <v>9.42</v>
      </c>
      <c r="E37" s="64">
        <v>4.92</v>
      </c>
      <c r="F37" s="64">
        <v>2.23</v>
      </c>
      <c r="G37" s="64">
        <v>1.46</v>
      </c>
      <c r="H37" s="64">
        <v>8.75</v>
      </c>
      <c r="I37" s="64">
        <v>0.68</v>
      </c>
      <c r="J37" s="64">
        <v>1.28</v>
      </c>
      <c r="K37" s="64">
        <v>114.39</v>
      </c>
      <c r="L37" s="64">
        <v>21.38</v>
      </c>
      <c r="M37" s="64">
        <v>98.23</v>
      </c>
      <c r="N37" s="64">
        <v>59.2</v>
      </c>
      <c r="O37" s="64">
        <v>0</v>
      </c>
      <c r="P37" s="64">
        <v>0.21</v>
      </c>
      <c r="Q37" s="64">
        <v>9</v>
      </c>
      <c r="R37" s="198"/>
      <c r="S37" s="198"/>
      <c r="T37" s="198"/>
      <c r="U37" s="198"/>
    </row>
    <row r="38" spans="1:21" s="12" customFormat="1" x14ac:dyDescent="0.25">
      <c r="A38" s="211" t="s">
        <v>3061</v>
      </c>
      <c r="B38" s="64">
        <v>8.14</v>
      </c>
      <c r="C38" s="64">
        <v>5.36</v>
      </c>
      <c r="D38" s="64">
        <v>9.33</v>
      </c>
      <c r="E38" s="64">
        <v>4.45</v>
      </c>
      <c r="F38" s="64">
        <v>2.1</v>
      </c>
      <c r="G38" s="64">
        <v>1.19</v>
      </c>
      <c r="H38" s="64">
        <v>8.75</v>
      </c>
      <c r="I38" s="64">
        <v>0.69</v>
      </c>
      <c r="J38" s="64">
        <v>1.27</v>
      </c>
      <c r="K38" s="64">
        <v>110.08</v>
      </c>
      <c r="L38" s="64">
        <v>21.47</v>
      </c>
      <c r="M38" s="64">
        <v>98.23</v>
      </c>
      <c r="N38" s="64">
        <v>75.5</v>
      </c>
      <c r="O38" s="64">
        <v>0</v>
      </c>
      <c r="P38" s="64">
        <v>0.23</v>
      </c>
      <c r="Q38" s="64">
        <v>9</v>
      </c>
      <c r="R38" s="198"/>
      <c r="S38" s="198"/>
      <c r="T38" s="198"/>
      <c r="U38" s="198"/>
    </row>
    <row r="39" spans="1:21" s="12" customFormat="1" x14ac:dyDescent="0.25">
      <c r="A39" s="211" t="s">
        <v>3062</v>
      </c>
      <c r="B39" s="64">
        <v>8.02</v>
      </c>
      <c r="C39" s="64">
        <v>5.62</v>
      </c>
      <c r="D39" s="64">
        <v>9.3699999999999992</v>
      </c>
      <c r="E39" s="64">
        <v>4.96</v>
      </c>
      <c r="F39" s="64">
        <v>2.1</v>
      </c>
      <c r="G39" s="64">
        <v>1.19</v>
      </c>
      <c r="H39" s="64">
        <v>8.75</v>
      </c>
      <c r="I39" s="64">
        <v>0.7</v>
      </c>
      <c r="J39" s="64">
        <v>1.29</v>
      </c>
      <c r="K39" s="64">
        <v>117.16</v>
      </c>
      <c r="L39" s="64">
        <v>21.55</v>
      </c>
      <c r="M39" s="64">
        <v>98.23</v>
      </c>
      <c r="N39" s="64">
        <v>91.9</v>
      </c>
      <c r="O39" s="64">
        <v>0</v>
      </c>
      <c r="P39" s="64">
        <v>0.23</v>
      </c>
      <c r="Q39" s="64">
        <v>9</v>
      </c>
      <c r="R39" s="198"/>
      <c r="S39" s="198"/>
      <c r="T39" s="198"/>
      <c r="U39" s="198"/>
    </row>
    <row r="40" spans="1:21" s="12" customFormat="1" x14ac:dyDescent="0.25">
      <c r="A40" s="211" t="s">
        <v>3063</v>
      </c>
      <c r="B40" s="64">
        <v>8.1199999999999992</v>
      </c>
      <c r="C40" s="64">
        <v>5.41</v>
      </c>
      <c r="D40" s="64">
        <v>9.34</v>
      </c>
      <c r="E40" s="64">
        <v>4.29</v>
      </c>
      <c r="F40" s="64">
        <v>2.1</v>
      </c>
      <c r="G40" s="64">
        <v>1.19</v>
      </c>
      <c r="H40" s="64">
        <v>8.75</v>
      </c>
      <c r="I40" s="64">
        <v>0.7</v>
      </c>
      <c r="J40" s="64">
        <v>1.18</v>
      </c>
      <c r="K40" s="64">
        <v>114.2</v>
      </c>
      <c r="L40" s="64">
        <v>21.65</v>
      </c>
      <c r="M40" s="64">
        <v>98.23</v>
      </c>
      <c r="N40" s="64">
        <v>76.599999999999994</v>
      </c>
      <c r="O40" s="64">
        <v>0</v>
      </c>
      <c r="P40" s="64">
        <v>0.24</v>
      </c>
      <c r="Q40" s="64">
        <v>9.01</v>
      </c>
      <c r="R40" s="198"/>
      <c r="S40" s="198"/>
      <c r="T40" s="198"/>
      <c r="U40" s="198"/>
    </row>
    <row r="41" spans="1:21" s="12" customFormat="1" x14ac:dyDescent="0.25">
      <c r="A41" s="211" t="s">
        <v>3064</v>
      </c>
      <c r="B41" s="64">
        <v>8.01</v>
      </c>
      <c r="C41" s="64">
        <v>5.84</v>
      </c>
      <c r="D41" s="64">
        <v>9.4700000000000006</v>
      </c>
      <c r="E41" s="64">
        <v>5</v>
      </c>
      <c r="F41" s="64">
        <v>2.1</v>
      </c>
      <c r="G41" s="64">
        <v>1.7</v>
      </c>
      <c r="H41" s="64">
        <v>8.9700000000000006</v>
      </c>
      <c r="I41" s="64">
        <v>0.69</v>
      </c>
      <c r="J41" s="64">
        <v>0.96</v>
      </c>
      <c r="K41" s="64">
        <v>111.58</v>
      </c>
      <c r="L41" s="64">
        <v>21.72</v>
      </c>
      <c r="M41" s="64">
        <v>98.21</v>
      </c>
      <c r="N41" s="64">
        <v>80.5</v>
      </c>
      <c r="O41" s="64">
        <v>0</v>
      </c>
      <c r="P41" s="64">
        <v>0.24</v>
      </c>
      <c r="Q41" s="64">
        <v>9</v>
      </c>
      <c r="R41" s="198"/>
      <c r="S41" s="198"/>
      <c r="T41" s="198"/>
      <c r="U41" s="198"/>
    </row>
    <row r="42" spans="1:21" s="12" customFormat="1" x14ac:dyDescent="0.25">
      <c r="A42" s="211" t="s">
        <v>3065</v>
      </c>
      <c r="B42" s="64">
        <v>7.94</v>
      </c>
      <c r="C42" s="64">
        <v>5.77</v>
      </c>
      <c r="D42" s="64">
        <v>9.3800000000000008</v>
      </c>
      <c r="E42" s="64">
        <v>4.88</v>
      </c>
      <c r="F42" s="64">
        <v>2.1</v>
      </c>
      <c r="G42" s="64">
        <v>2.63</v>
      </c>
      <c r="H42" s="64">
        <v>8.9700000000000006</v>
      </c>
      <c r="I42" s="64">
        <v>0.7</v>
      </c>
      <c r="J42" s="64">
        <v>1.1299999999999999</v>
      </c>
      <c r="K42" s="64">
        <v>116.41</v>
      </c>
      <c r="L42" s="64">
        <v>21.72</v>
      </c>
      <c r="M42" s="64">
        <v>98.23</v>
      </c>
      <c r="N42" s="64">
        <v>85.7</v>
      </c>
      <c r="O42" s="64">
        <v>0</v>
      </c>
      <c r="P42" s="64">
        <v>0.24</v>
      </c>
      <c r="Q42" s="64">
        <v>9</v>
      </c>
      <c r="R42" s="198"/>
      <c r="S42" s="198"/>
      <c r="T42" s="198"/>
      <c r="U42" s="198"/>
    </row>
    <row r="43" spans="1:21" s="12" customFormat="1" x14ac:dyDescent="0.25">
      <c r="A43" s="211" t="s">
        <v>3066</v>
      </c>
      <c r="B43" s="64">
        <v>7.91</v>
      </c>
      <c r="C43" s="64">
        <v>6.31</v>
      </c>
      <c r="D43" s="64">
        <v>9.64</v>
      </c>
      <c r="E43" s="64">
        <v>4.88</v>
      </c>
      <c r="F43" s="64">
        <v>2.14</v>
      </c>
      <c r="G43" s="64">
        <v>2.63</v>
      </c>
      <c r="H43" s="64">
        <v>8.9700000000000006</v>
      </c>
      <c r="I43" s="64">
        <v>0.71</v>
      </c>
      <c r="J43" s="64">
        <v>0.76</v>
      </c>
      <c r="K43" s="64">
        <v>114.87</v>
      </c>
      <c r="L43" s="64">
        <v>21.94</v>
      </c>
      <c r="M43" s="64">
        <v>98.21</v>
      </c>
      <c r="N43" s="64">
        <v>101.3</v>
      </c>
      <c r="O43" s="64">
        <v>0</v>
      </c>
      <c r="P43" s="64">
        <v>0.24</v>
      </c>
      <c r="Q43" s="64">
        <v>9.0299999999999994</v>
      </c>
      <c r="R43" s="198"/>
      <c r="S43" s="198"/>
      <c r="T43" s="198"/>
      <c r="U43" s="198"/>
    </row>
    <row r="44" spans="1:21" s="12" customFormat="1" x14ac:dyDescent="0.25">
      <c r="A44" s="211" t="s">
        <v>3067</v>
      </c>
      <c r="B44" s="64">
        <v>7.99</v>
      </c>
      <c r="C44" s="64">
        <v>6.61</v>
      </c>
      <c r="D44" s="64">
        <v>9.8699999999999992</v>
      </c>
      <c r="E44" s="64">
        <v>5.05</v>
      </c>
      <c r="F44" s="64">
        <v>2.11</v>
      </c>
      <c r="G44" s="64">
        <v>2.63</v>
      </c>
      <c r="H44" s="64">
        <v>8.9700000000000006</v>
      </c>
      <c r="I44" s="64">
        <v>0.7</v>
      </c>
      <c r="J44" s="64">
        <v>0.75</v>
      </c>
      <c r="K44" s="64">
        <v>96.56</v>
      </c>
      <c r="L44" s="64">
        <v>22.25</v>
      </c>
      <c r="M44" s="64">
        <v>98.18</v>
      </c>
      <c r="N44" s="64">
        <v>166.5</v>
      </c>
      <c r="O44" s="64">
        <v>0</v>
      </c>
      <c r="P44" s="64">
        <v>0.25</v>
      </c>
      <c r="Q44" s="64">
        <v>9.06</v>
      </c>
      <c r="R44" s="198"/>
      <c r="S44" s="198"/>
      <c r="T44" s="198"/>
      <c r="U44" s="198"/>
    </row>
    <row r="45" spans="1:21" s="12" customFormat="1" x14ac:dyDescent="0.25">
      <c r="A45" s="211" t="s">
        <v>3068</v>
      </c>
      <c r="B45" s="64">
        <v>7.94</v>
      </c>
      <c r="C45" s="64">
        <v>6.5</v>
      </c>
      <c r="D45" s="64">
        <v>9.77</v>
      </c>
      <c r="E45" s="64">
        <v>5.44</v>
      </c>
      <c r="F45" s="64">
        <v>2.1</v>
      </c>
      <c r="G45" s="64">
        <v>2.42</v>
      </c>
      <c r="H45" s="64">
        <v>10.24</v>
      </c>
      <c r="I45" s="64">
        <v>0.7</v>
      </c>
      <c r="J45" s="64">
        <v>0.81</v>
      </c>
      <c r="K45" s="64">
        <v>104.34</v>
      </c>
      <c r="L45" s="64">
        <v>22.46</v>
      </c>
      <c r="M45" s="64">
        <v>98.15</v>
      </c>
      <c r="N45" s="64">
        <v>187</v>
      </c>
      <c r="O45" s="64">
        <v>0</v>
      </c>
      <c r="P45" s="64">
        <v>0.26</v>
      </c>
      <c r="Q45" s="64">
        <v>9.06</v>
      </c>
      <c r="R45" s="198"/>
      <c r="S45" s="198"/>
      <c r="T45" s="198"/>
      <c r="U45" s="198"/>
    </row>
    <row r="46" spans="1:21" s="12" customFormat="1" x14ac:dyDescent="0.25">
      <c r="A46" s="211" t="s">
        <v>3069</v>
      </c>
      <c r="B46" s="64">
        <v>7.9</v>
      </c>
      <c r="C46" s="64">
        <v>6.44</v>
      </c>
      <c r="D46" s="64">
        <v>9.6999999999999993</v>
      </c>
      <c r="E46" s="64">
        <v>5.29</v>
      </c>
      <c r="F46" s="64">
        <v>2.1</v>
      </c>
      <c r="G46" s="64">
        <v>2.0499999999999998</v>
      </c>
      <c r="H46" s="64">
        <v>10.24</v>
      </c>
      <c r="I46" s="64">
        <v>0.7</v>
      </c>
      <c r="J46" s="64">
        <v>0.57999999999999996</v>
      </c>
      <c r="K46" s="64">
        <v>98.78</v>
      </c>
      <c r="L46" s="64">
        <v>22.83</v>
      </c>
      <c r="M46" s="64">
        <v>98.13</v>
      </c>
      <c r="N46" s="64">
        <v>203.7</v>
      </c>
      <c r="O46" s="64">
        <v>0</v>
      </c>
      <c r="P46" s="64">
        <v>0.25</v>
      </c>
      <c r="Q46" s="64">
        <v>9.06</v>
      </c>
      <c r="R46" s="198"/>
      <c r="S46" s="198"/>
      <c r="T46" s="198"/>
      <c r="U46" s="198"/>
    </row>
    <row r="47" spans="1:21" s="12" customFormat="1" x14ac:dyDescent="0.25">
      <c r="A47" s="211" t="s">
        <v>3070</v>
      </c>
      <c r="B47" s="64">
        <v>7.8</v>
      </c>
      <c r="C47" s="64">
        <v>6.47</v>
      </c>
      <c r="D47" s="64">
        <v>9.64</v>
      </c>
      <c r="E47" s="64">
        <v>5.2</v>
      </c>
      <c r="F47" s="64">
        <v>2.13</v>
      </c>
      <c r="G47" s="64">
        <v>2.0499999999999998</v>
      </c>
      <c r="H47" s="64">
        <v>10.24</v>
      </c>
      <c r="I47" s="64">
        <v>0.72</v>
      </c>
      <c r="J47" s="64">
        <v>0.33</v>
      </c>
      <c r="K47" s="64">
        <v>114.52</v>
      </c>
      <c r="L47" s="64">
        <v>23.04</v>
      </c>
      <c r="M47" s="64">
        <v>98.13</v>
      </c>
      <c r="N47" s="64">
        <v>208.6</v>
      </c>
      <c r="O47" s="64">
        <v>0</v>
      </c>
      <c r="P47" s="64">
        <v>0.25</v>
      </c>
      <c r="Q47" s="64">
        <v>9.07</v>
      </c>
      <c r="R47" s="198"/>
      <c r="S47" s="198"/>
      <c r="T47" s="198"/>
      <c r="U47" s="198"/>
    </row>
    <row r="48" spans="1:21" s="12" customFormat="1" x14ac:dyDescent="0.25">
      <c r="A48" s="211" t="s">
        <v>3071</v>
      </c>
      <c r="B48" s="64">
        <v>7.76</v>
      </c>
      <c r="C48" s="64">
        <v>6.65</v>
      </c>
      <c r="D48" s="64">
        <v>9.69</v>
      </c>
      <c r="E48" s="64">
        <v>5.07</v>
      </c>
      <c r="F48" s="64">
        <v>2.11</v>
      </c>
      <c r="G48" s="64">
        <v>2.0499999999999998</v>
      </c>
      <c r="H48" s="64">
        <v>10.24</v>
      </c>
      <c r="I48" s="64">
        <v>0.73</v>
      </c>
      <c r="J48" s="64">
        <v>0.44</v>
      </c>
      <c r="K48" s="64">
        <v>119.54</v>
      </c>
      <c r="L48" s="64">
        <v>23.45</v>
      </c>
      <c r="M48" s="64">
        <v>98.08</v>
      </c>
      <c r="N48" s="64">
        <v>191</v>
      </c>
      <c r="O48" s="64">
        <v>0</v>
      </c>
      <c r="P48" s="64">
        <v>0.25</v>
      </c>
      <c r="Q48" s="64">
        <v>9.06</v>
      </c>
      <c r="R48" s="198"/>
      <c r="S48" s="198"/>
      <c r="T48" s="198"/>
      <c r="U48" s="198"/>
    </row>
    <row r="49" spans="1:21" s="12" customFormat="1" x14ac:dyDescent="0.25">
      <c r="A49" s="211" t="s">
        <v>3072</v>
      </c>
      <c r="B49" s="64">
        <v>7.17</v>
      </c>
      <c r="C49" s="64">
        <v>7.59</v>
      </c>
      <c r="D49" s="64">
        <v>9.7100000000000009</v>
      </c>
      <c r="E49" s="64">
        <v>5.15</v>
      </c>
      <c r="F49" s="64">
        <v>2.86</v>
      </c>
      <c r="G49" s="64">
        <v>1.91</v>
      </c>
      <c r="H49" s="64">
        <v>9.69</v>
      </c>
      <c r="I49" s="64">
        <v>0.75</v>
      </c>
      <c r="J49" s="64">
        <v>0.44</v>
      </c>
      <c r="K49" s="64">
        <v>138.01</v>
      </c>
      <c r="L49" s="64">
        <v>23.55</v>
      </c>
      <c r="M49" s="64">
        <v>98.07</v>
      </c>
      <c r="N49" s="64">
        <v>162.4</v>
      </c>
      <c r="O49" s="64">
        <v>0</v>
      </c>
      <c r="P49" s="64">
        <v>0.25</v>
      </c>
      <c r="Q49" s="64">
        <v>9.0500000000000007</v>
      </c>
      <c r="R49" s="198"/>
      <c r="S49" s="198"/>
      <c r="T49" s="198"/>
      <c r="U49" s="198"/>
    </row>
    <row r="50" spans="1:21" s="12" customFormat="1" x14ac:dyDescent="0.25">
      <c r="A50" s="211" t="s">
        <v>3073</v>
      </c>
      <c r="B50" s="64">
        <v>6.98</v>
      </c>
      <c r="C50" s="64">
        <v>7.36</v>
      </c>
      <c r="D50" s="64">
        <v>9.44</v>
      </c>
      <c r="E50" s="64">
        <v>5.04</v>
      </c>
      <c r="F50" s="64">
        <v>2.1</v>
      </c>
      <c r="G50" s="64">
        <v>1.64</v>
      </c>
      <c r="H50" s="64">
        <v>9.69</v>
      </c>
      <c r="I50" s="64">
        <v>0.74</v>
      </c>
      <c r="J50" s="64">
        <v>0.66</v>
      </c>
      <c r="K50" s="64">
        <v>130.02000000000001</v>
      </c>
      <c r="L50" s="64">
        <v>23.58</v>
      </c>
      <c r="M50" s="64">
        <v>98.08</v>
      </c>
      <c r="N50" s="64">
        <v>153.80000000000001</v>
      </c>
      <c r="O50" s="64">
        <v>0</v>
      </c>
      <c r="P50" s="64">
        <v>0.23</v>
      </c>
      <c r="Q50" s="64">
        <v>9.02</v>
      </c>
      <c r="R50" s="198"/>
      <c r="S50" s="198"/>
      <c r="T50" s="198"/>
      <c r="U50" s="198"/>
    </row>
    <row r="51" spans="1:21" s="12" customFormat="1" x14ac:dyDescent="0.25">
      <c r="A51" s="211" t="s">
        <v>3074</v>
      </c>
      <c r="B51" s="64">
        <v>7.12</v>
      </c>
      <c r="C51" s="64">
        <v>6.89</v>
      </c>
      <c r="D51" s="64">
        <v>9.31</v>
      </c>
      <c r="E51" s="64">
        <v>5.2</v>
      </c>
      <c r="F51" s="64">
        <v>2.1</v>
      </c>
      <c r="G51" s="64">
        <v>1.64</v>
      </c>
      <c r="H51" s="64">
        <v>9.69</v>
      </c>
      <c r="I51" s="64">
        <v>0.73</v>
      </c>
      <c r="J51" s="64">
        <v>0.66</v>
      </c>
      <c r="K51" s="64">
        <v>130.02000000000001</v>
      </c>
      <c r="L51" s="64">
        <v>23.58</v>
      </c>
      <c r="M51" s="64">
        <v>-29.5</v>
      </c>
      <c r="N51" s="64">
        <v>153.80000000000001</v>
      </c>
      <c r="O51" s="64">
        <v>0</v>
      </c>
      <c r="P51" s="64">
        <v>0.24</v>
      </c>
      <c r="Q51" s="64">
        <v>9.0299999999999994</v>
      </c>
      <c r="R51" s="198"/>
      <c r="S51" s="198"/>
      <c r="T51" s="198"/>
      <c r="U51" s="198"/>
    </row>
    <row r="52" spans="1:21" s="12" customFormat="1" x14ac:dyDescent="0.25">
      <c r="A52" s="211" t="s">
        <v>3075</v>
      </c>
      <c r="B52" s="64">
        <v>6.88</v>
      </c>
      <c r="C52" s="64">
        <v>6.9</v>
      </c>
      <c r="D52" s="64">
        <v>9.1199999999999992</v>
      </c>
      <c r="E52" s="64">
        <v>5.0999999999999996</v>
      </c>
      <c r="F52" s="64">
        <v>2.1</v>
      </c>
      <c r="G52" s="64">
        <v>1.64</v>
      </c>
      <c r="H52" s="64">
        <v>0.43</v>
      </c>
      <c r="I52" s="64">
        <v>0.75</v>
      </c>
      <c r="J52" s="64">
        <v>0.66</v>
      </c>
      <c r="K52" s="64">
        <v>130.02000000000001</v>
      </c>
      <c r="L52" s="64">
        <v>23.58</v>
      </c>
      <c r="M52" s="64">
        <v>-29.5</v>
      </c>
      <c r="N52" s="64">
        <v>153.80000000000001</v>
      </c>
      <c r="O52" s="64">
        <v>0</v>
      </c>
      <c r="P52" s="64">
        <v>0.22</v>
      </c>
      <c r="Q52" s="64">
        <v>9.02</v>
      </c>
      <c r="R52" s="198"/>
      <c r="S52" s="198"/>
      <c r="T52" s="198"/>
      <c r="U52" s="198"/>
    </row>
    <row r="53" spans="1:21" s="12" customFormat="1" x14ac:dyDescent="0.25">
      <c r="A53" s="211" t="s">
        <v>3076</v>
      </c>
      <c r="B53" s="64">
        <v>6.87</v>
      </c>
      <c r="C53" s="64">
        <v>6.69</v>
      </c>
      <c r="D53" s="64">
        <v>9</v>
      </c>
      <c r="E53" s="64">
        <v>4.8899999999999997</v>
      </c>
      <c r="F53" s="64">
        <v>2.1</v>
      </c>
      <c r="G53" s="64">
        <v>2.58</v>
      </c>
      <c r="H53" s="64">
        <v>0.67</v>
      </c>
      <c r="I53" s="64">
        <v>0.77</v>
      </c>
      <c r="J53" s="64">
        <v>0.66</v>
      </c>
      <c r="K53" s="64">
        <v>130.02000000000001</v>
      </c>
      <c r="L53" s="64">
        <v>23.58</v>
      </c>
      <c r="M53" s="64">
        <v>-29.5</v>
      </c>
      <c r="N53" s="64">
        <v>153.80000000000001</v>
      </c>
      <c r="O53" s="64">
        <v>0</v>
      </c>
      <c r="P53" s="64">
        <v>0.22</v>
      </c>
      <c r="Q53" s="64">
        <v>9.01</v>
      </c>
      <c r="R53" s="198"/>
      <c r="S53" s="198"/>
      <c r="T53" s="198"/>
      <c r="U53" s="198"/>
    </row>
    <row r="54" spans="1:21" s="12" customFormat="1" x14ac:dyDescent="0.25">
      <c r="A54" s="211" t="s">
        <v>3077</v>
      </c>
      <c r="B54" s="64">
        <v>7.02</v>
      </c>
      <c r="C54" s="64">
        <v>6.83</v>
      </c>
      <c r="D54" s="64">
        <v>9.19</v>
      </c>
      <c r="E54" s="64">
        <v>5.08</v>
      </c>
      <c r="F54" s="64">
        <v>2.1</v>
      </c>
      <c r="G54" s="64">
        <v>3.2</v>
      </c>
      <c r="H54" s="64">
        <v>6.67</v>
      </c>
      <c r="I54" s="64">
        <v>0.78</v>
      </c>
      <c r="J54" s="64">
        <v>0.66</v>
      </c>
      <c r="K54" s="64">
        <v>130.02000000000001</v>
      </c>
      <c r="L54" s="64">
        <v>23.58</v>
      </c>
      <c r="M54" s="64">
        <v>-29.5</v>
      </c>
      <c r="N54" s="64">
        <v>153.80000000000001</v>
      </c>
      <c r="O54" s="64">
        <v>0</v>
      </c>
      <c r="P54" s="64">
        <v>0.23</v>
      </c>
      <c r="Q54" s="64">
        <v>9.01</v>
      </c>
      <c r="R54" s="198"/>
      <c r="S54" s="198"/>
      <c r="T54" s="198"/>
      <c r="U54" s="198"/>
    </row>
    <row r="55" spans="1:21" s="12" customFormat="1" x14ac:dyDescent="0.25">
      <c r="A55" s="211" t="s">
        <v>3078</v>
      </c>
      <c r="B55" s="64">
        <v>3.83</v>
      </c>
      <c r="C55" s="64">
        <v>5.84</v>
      </c>
      <c r="D55" s="64">
        <v>6.12</v>
      </c>
      <c r="E55" s="64">
        <v>4.8499999999999996</v>
      </c>
      <c r="F55" s="64">
        <v>2.1</v>
      </c>
      <c r="G55" s="26" t="s">
        <v>40</v>
      </c>
      <c r="H55" s="26" t="s">
        <v>40</v>
      </c>
      <c r="I55" s="64">
        <v>0.79</v>
      </c>
      <c r="J55" s="64">
        <v>0.88</v>
      </c>
      <c r="K55" s="64">
        <v>173.69</v>
      </c>
      <c r="L55" s="64">
        <v>24.99</v>
      </c>
      <c r="M55" s="64">
        <v>97.29</v>
      </c>
      <c r="N55" s="64">
        <v>303.5</v>
      </c>
      <c r="O55" s="64">
        <v>0</v>
      </c>
      <c r="P55" s="64">
        <v>0.21</v>
      </c>
      <c r="Q55" s="64">
        <v>9.02</v>
      </c>
      <c r="R55" s="198"/>
      <c r="S55" s="198"/>
      <c r="T55" s="198"/>
      <c r="U55" s="198"/>
    </row>
    <row r="56" spans="1:21" s="12" customFormat="1" x14ac:dyDescent="0.25">
      <c r="A56" s="211" t="s">
        <v>3079</v>
      </c>
      <c r="B56" s="64">
        <v>-1.86</v>
      </c>
      <c r="C56" s="64">
        <v>2.1800000000000002</v>
      </c>
      <c r="D56" s="64">
        <v>6.12</v>
      </c>
      <c r="E56" s="64">
        <v>4.96</v>
      </c>
      <c r="F56" s="64">
        <v>2.12</v>
      </c>
      <c r="G56" s="26" t="s">
        <v>40</v>
      </c>
      <c r="H56" s="26" t="s">
        <v>40</v>
      </c>
      <c r="I56" s="64">
        <v>0.79</v>
      </c>
      <c r="J56" s="64">
        <v>1.06</v>
      </c>
      <c r="K56" s="64">
        <v>152.43</v>
      </c>
      <c r="L56" s="64">
        <v>24.74</v>
      </c>
      <c r="M56" s="64">
        <v>97.62</v>
      </c>
      <c r="N56" s="64">
        <v>96.1</v>
      </c>
      <c r="O56" s="64">
        <v>0</v>
      </c>
      <c r="P56" s="64">
        <v>0.22</v>
      </c>
      <c r="Q56" s="64">
        <v>9</v>
      </c>
      <c r="R56" s="198"/>
      <c r="S56" s="198"/>
      <c r="T56" s="198"/>
      <c r="U56" s="198"/>
    </row>
    <row r="57" spans="1:21" s="12" customFormat="1" x14ac:dyDescent="0.25">
      <c r="A57" s="211" t="s">
        <v>3080</v>
      </c>
      <c r="B57" s="64">
        <v>-2.39</v>
      </c>
      <c r="C57" s="64">
        <v>1.6</v>
      </c>
      <c r="D57" s="64">
        <v>6.12</v>
      </c>
      <c r="E57" s="64">
        <v>5.36</v>
      </c>
      <c r="F57" s="64">
        <v>3.2</v>
      </c>
      <c r="G57" s="26" t="s">
        <v>40</v>
      </c>
      <c r="H57" s="26" t="s">
        <v>40</v>
      </c>
      <c r="I57" s="64">
        <v>0.76</v>
      </c>
      <c r="J57" s="64">
        <v>1.18</v>
      </c>
      <c r="K57" s="64">
        <v>152.72</v>
      </c>
      <c r="L57" s="64">
        <v>24.33</v>
      </c>
      <c r="M57" s="64">
        <v>97.95</v>
      </c>
      <c r="N57" s="64">
        <v>110.6</v>
      </c>
      <c r="O57" s="64">
        <v>0</v>
      </c>
      <c r="P57" s="64">
        <v>0.22</v>
      </c>
      <c r="Q57" s="64">
        <v>8.99</v>
      </c>
      <c r="R57" s="198"/>
      <c r="S57" s="198"/>
      <c r="T57" s="198"/>
      <c r="U57" s="198"/>
    </row>
    <row r="58" spans="1:21" s="12" customFormat="1" x14ac:dyDescent="0.25">
      <c r="A58" s="211" t="s">
        <v>3081</v>
      </c>
      <c r="B58" s="64">
        <v>3.81</v>
      </c>
      <c r="C58" s="64">
        <v>6.6</v>
      </c>
      <c r="D58" s="64">
        <v>6.5</v>
      </c>
      <c r="E58" s="64">
        <v>5.03</v>
      </c>
      <c r="F58" s="64">
        <v>2.61</v>
      </c>
      <c r="G58" s="64">
        <v>30.28</v>
      </c>
      <c r="H58" s="64">
        <v>21.37</v>
      </c>
      <c r="I58" s="64">
        <v>0.74</v>
      </c>
      <c r="J58" s="64">
        <v>1.1200000000000001</v>
      </c>
      <c r="K58" s="64">
        <v>154.61000000000001</v>
      </c>
      <c r="L58" s="64">
        <v>24.56</v>
      </c>
      <c r="M58" s="64">
        <v>97.77</v>
      </c>
      <c r="N58" s="64">
        <v>190.6</v>
      </c>
      <c r="O58" s="64">
        <v>0</v>
      </c>
      <c r="P58" s="64">
        <v>0.23</v>
      </c>
      <c r="Q58" s="64">
        <v>8.99</v>
      </c>
      <c r="R58" s="198"/>
      <c r="S58" s="198"/>
      <c r="T58" s="198"/>
      <c r="U58" s="198"/>
    </row>
    <row r="59" spans="1:21" s="12" customFormat="1" x14ac:dyDescent="0.25">
      <c r="A59" s="211" t="s">
        <v>3082</v>
      </c>
      <c r="B59" s="64">
        <v>4.3099999999999996</v>
      </c>
      <c r="C59" s="64">
        <v>8.74</v>
      </c>
      <c r="D59" s="64">
        <v>8.02</v>
      </c>
      <c r="E59" s="64">
        <v>4.96</v>
      </c>
      <c r="F59" s="64">
        <v>2.31</v>
      </c>
      <c r="G59" s="64">
        <v>30.28</v>
      </c>
      <c r="H59" s="64">
        <v>21.37</v>
      </c>
      <c r="I59" s="64">
        <v>0.72</v>
      </c>
      <c r="J59" s="64">
        <v>0.96</v>
      </c>
      <c r="K59" s="64">
        <v>154.84</v>
      </c>
      <c r="L59" s="64">
        <v>24.91</v>
      </c>
      <c r="M59" s="64">
        <v>96.71</v>
      </c>
      <c r="N59" s="64">
        <v>239.7</v>
      </c>
      <c r="O59" s="64">
        <v>0</v>
      </c>
      <c r="P59" s="64">
        <v>0.22</v>
      </c>
      <c r="Q59" s="64">
        <v>8.98</v>
      </c>
      <c r="R59" s="198"/>
      <c r="S59" s="198"/>
      <c r="T59" s="198"/>
      <c r="U59" s="198"/>
    </row>
    <row r="60" spans="1:21" s="12" customFormat="1" x14ac:dyDescent="0.25">
      <c r="A60" s="211" t="s">
        <v>3083</v>
      </c>
      <c r="B60" s="64">
        <v>4.1399999999999997</v>
      </c>
      <c r="C60" s="64">
        <v>8.7100000000000009</v>
      </c>
      <c r="D60" s="64">
        <v>7.88</v>
      </c>
      <c r="E60" s="64">
        <v>5.25</v>
      </c>
      <c r="F60" s="64">
        <v>3.17</v>
      </c>
      <c r="G60" s="64">
        <v>30.28</v>
      </c>
      <c r="H60" s="64">
        <v>21.37</v>
      </c>
      <c r="I60" s="64">
        <v>0.7</v>
      </c>
      <c r="J60" s="64">
        <v>0.91</v>
      </c>
      <c r="K60" s="64">
        <v>156.63</v>
      </c>
      <c r="L60" s="64">
        <v>25.21</v>
      </c>
      <c r="M60" s="64">
        <v>95.79</v>
      </c>
      <c r="N60" s="64">
        <v>196.4</v>
      </c>
      <c r="O60" s="64">
        <v>0</v>
      </c>
      <c r="P60" s="64">
        <v>0.22</v>
      </c>
      <c r="Q60" s="64">
        <v>8.99</v>
      </c>
      <c r="R60" s="198"/>
      <c r="S60" s="198"/>
      <c r="T60" s="198"/>
      <c r="U60" s="198"/>
    </row>
    <row r="61" spans="1:21" s="12" customFormat="1" x14ac:dyDescent="0.25">
      <c r="A61" s="211" t="s">
        <v>3084</v>
      </c>
      <c r="B61" s="64">
        <v>3.95</v>
      </c>
      <c r="C61" s="64">
        <v>8.8000000000000007</v>
      </c>
      <c r="D61" s="64">
        <v>7.77</v>
      </c>
      <c r="E61" s="64">
        <v>4.6399999999999997</v>
      </c>
      <c r="F61" s="64">
        <v>3.13</v>
      </c>
      <c r="G61" s="64">
        <v>30.28</v>
      </c>
      <c r="H61" s="64">
        <v>21.37</v>
      </c>
      <c r="I61" s="64">
        <v>0.67</v>
      </c>
      <c r="J61" s="64">
        <v>0.93</v>
      </c>
      <c r="K61" s="64">
        <v>153.80000000000001</v>
      </c>
      <c r="L61" s="64">
        <v>24.97</v>
      </c>
      <c r="M61" s="64">
        <v>97.33</v>
      </c>
      <c r="N61" s="64">
        <v>116</v>
      </c>
      <c r="O61" s="64">
        <v>0</v>
      </c>
      <c r="P61" s="64">
        <v>0.2</v>
      </c>
      <c r="Q61" s="64">
        <v>9</v>
      </c>
      <c r="R61" s="198"/>
      <c r="S61" s="198"/>
      <c r="T61" s="198"/>
      <c r="U61" s="198"/>
    </row>
    <row r="62" spans="1:21" s="12" customFormat="1" x14ac:dyDescent="0.25">
      <c r="A62" s="211" t="s">
        <v>3085</v>
      </c>
      <c r="B62" s="64">
        <v>4.28</v>
      </c>
      <c r="C62" s="64">
        <v>8.98</v>
      </c>
      <c r="D62" s="64">
        <v>8.1199999999999992</v>
      </c>
      <c r="E62" s="64">
        <v>4.5999999999999996</v>
      </c>
      <c r="F62" s="64">
        <v>3.68</v>
      </c>
      <c r="G62" s="64">
        <v>22.1</v>
      </c>
      <c r="H62" s="64">
        <v>12.8</v>
      </c>
      <c r="I62" s="64">
        <v>0.66</v>
      </c>
      <c r="J62" s="64">
        <v>0.95</v>
      </c>
      <c r="K62" s="64">
        <v>139.97</v>
      </c>
      <c r="L62" s="64">
        <v>24.84</v>
      </c>
      <c r="M62" s="64">
        <v>97.34</v>
      </c>
      <c r="N62" s="64">
        <v>141.80000000000001</v>
      </c>
      <c r="O62" s="64">
        <v>0</v>
      </c>
      <c r="P62" s="64">
        <v>0.22</v>
      </c>
      <c r="Q62" s="64">
        <v>9.02</v>
      </c>
      <c r="R62" s="198"/>
      <c r="S62" s="198"/>
      <c r="T62" s="198"/>
      <c r="U62" s="198"/>
    </row>
    <row r="63" spans="1:21" s="12" customFormat="1" x14ac:dyDescent="0.25">
      <c r="A63" s="211" t="s">
        <v>3086</v>
      </c>
      <c r="B63" s="64">
        <v>5.14</v>
      </c>
      <c r="C63" s="64">
        <v>9.8800000000000008</v>
      </c>
      <c r="D63" s="64">
        <v>9.2799999999999994</v>
      </c>
      <c r="E63" s="64">
        <v>4.8099999999999996</v>
      </c>
      <c r="F63" s="64">
        <v>3.24</v>
      </c>
      <c r="G63" s="64">
        <v>18.52</v>
      </c>
      <c r="H63" s="64">
        <v>12.26</v>
      </c>
      <c r="I63" s="64">
        <v>0.67</v>
      </c>
      <c r="J63" s="64">
        <v>0.92</v>
      </c>
      <c r="K63" s="64">
        <v>139.16</v>
      </c>
      <c r="L63" s="64">
        <v>25.31</v>
      </c>
      <c r="M63" s="64">
        <v>95.24</v>
      </c>
      <c r="N63" s="64">
        <v>223.8</v>
      </c>
      <c r="O63" s="64">
        <v>0</v>
      </c>
      <c r="P63" s="64">
        <v>0.23</v>
      </c>
      <c r="Q63" s="64">
        <v>9.0299999999999994</v>
      </c>
      <c r="R63" s="198"/>
      <c r="S63" s="198"/>
      <c r="T63" s="198"/>
      <c r="U63" s="198"/>
    </row>
    <row r="64" spans="1:21" s="12" customFormat="1" x14ac:dyDescent="0.25">
      <c r="A64" s="211" t="s">
        <v>3087</v>
      </c>
      <c r="B64" s="64">
        <v>4.9000000000000004</v>
      </c>
      <c r="C64" s="64">
        <v>8.98</v>
      </c>
      <c r="D64" s="64">
        <v>8.6199999999999992</v>
      </c>
      <c r="E64" s="64">
        <v>4.9800000000000004</v>
      </c>
      <c r="F64" s="64">
        <v>3.23</v>
      </c>
      <c r="G64" s="64">
        <v>18.52</v>
      </c>
      <c r="H64" s="64">
        <v>12.26</v>
      </c>
      <c r="I64" s="64">
        <v>0.68</v>
      </c>
      <c r="J64" s="64">
        <v>1.1200000000000001</v>
      </c>
      <c r="K64" s="64">
        <v>145.52000000000001</v>
      </c>
      <c r="L64" s="64">
        <v>25.64</v>
      </c>
      <c r="M64" s="64">
        <v>92.48</v>
      </c>
      <c r="N64" s="64">
        <v>175</v>
      </c>
      <c r="O64" s="64">
        <v>0</v>
      </c>
      <c r="P64" s="64">
        <v>0.23</v>
      </c>
      <c r="Q64" s="64">
        <v>9.0299999999999994</v>
      </c>
      <c r="R64" s="198"/>
      <c r="S64" s="198"/>
      <c r="T64" s="198"/>
      <c r="U64" s="198"/>
    </row>
    <row r="65" spans="1:21" s="12" customFormat="1" x14ac:dyDescent="0.25">
      <c r="A65" s="211" t="s">
        <v>3088</v>
      </c>
      <c r="B65" s="64">
        <v>4.97</v>
      </c>
      <c r="C65" s="64">
        <v>8.7899999999999991</v>
      </c>
      <c r="D65" s="64">
        <v>8.58</v>
      </c>
      <c r="E65" s="64">
        <v>4.74</v>
      </c>
      <c r="F65" s="64">
        <v>2.33</v>
      </c>
      <c r="G65" s="64">
        <v>18.52</v>
      </c>
      <c r="H65" s="64">
        <v>12.26</v>
      </c>
      <c r="I65" s="64">
        <v>0.69</v>
      </c>
      <c r="J65" s="64">
        <v>1.1499999999999999</v>
      </c>
      <c r="K65" s="64">
        <v>144.38</v>
      </c>
      <c r="L65" s="64">
        <v>25.42</v>
      </c>
      <c r="M65" s="64">
        <v>93.2</v>
      </c>
      <c r="N65" s="64">
        <v>86.9</v>
      </c>
      <c r="O65" s="64">
        <v>0</v>
      </c>
      <c r="P65" s="64">
        <v>0.23</v>
      </c>
      <c r="Q65" s="64">
        <v>9.02</v>
      </c>
      <c r="R65" s="198"/>
      <c r="S65" s="198"/>
      <c r="T65" s="198"/>
      <c r="U65" s="198"/>
    </row>
    <row r="66" spans="1:21" s="12" customFormat="1" x14ac:dyDescent="0.25">
      <c r="A66" s="211" t="s">
        <v>3089</v>
      </c>
      <c r="B66" s="64">
        <v>5.38</v>
      </c>
      <c r="C66" s="64">
        <v>8.98</v>
      </c>
      <c r="D66" s="64">
        <v>9</v>
      </c>
      <c r="E66" s="64">
        <v>5.09</v>
      </c>
      <c r="F66" s="64">
        <v>2.5</v>
      </c>
      <c r="G66" s="64">
        <v>29.53</v>
      </c>
      <c r="H66" s="64">
        <v>12.12</v>
      </c>
      <c r="I66" s="64">
        <v>0.7</v>
      </c>
      <c r="J66" s="64">
        <v>1.1299999999999999</v>
      </c>
      <c r="K66" s="64">
        <v>138.74</v>
      </c>
      <c r="L66" s="64">
        <v>25.16</v>
      </c>
      <c r="M66" s="64">
        <v>95.69</v>
      </c>
      <c r="N66" s="64">
        <v>77.099999999999994</v>
      </c>
      <c r="O66" s="64">
        <v>0</v>
      </c>
      <c r="P66" s="64">
        <v>0.22</v>
      </c>
      <c r="Q66" s="64">
        <v>9.0399999999999991</v>
      </c>
      <c r="R66" s="198"/>
      <c r="S66" s="198"/>
      <c r="T66" s="198"/>
      <c r="U66" s="198"/>
    </row>
    <row r="67" spans="1:21" s="12" customFormat="1" x14ac:dyDescent="0.25">
      <c r="A67" s="211" t="s">
        <v>3090</v>
      </c>
      <c r="B67" s="64">
        <v>6.43</v>
      </c>
      <c r="C67" s="64">
        <v>10.01</v>
      </c>
      <c r="D67" s="64">
        <v>10.38</v>
      </c>
      <c r="E67" s="64">
        <v>5.1100000000000003</v>
      </c>
      <c r="F67" s="64">
        <v>2.86</v>
      </c>
      <c r="G67" s="64">
        <v>26.08</v>
      </c>
      <c r="H67" s="64">
        <v>12.11</v>
      </c>
      <c r="I67" s="64">
        <v>0.7</v>
      </c>
      <c r="J67" s="64">
        <v>0.85</v>
      </c>
      <c r="K67" s="64">
        <v>135.13999999999999</v>
      </c>
      <c r="L67" s="64">
        <v>25.22</v>
      </c>
      <c r="M67" s="64">
        <v>96.78</v>
      </c>
      <c r="N67" s="64">
        <v>93.7</v>
      </c>
      <c r="O67" s="64">
        <v>0</v>
      </c>
      <c r="P67" s="64">
        <v>0.23</v>
      </c>
      <c r="Q67" s="64">
        <v>9.0299999999999994</v>
      </c>
      <c r="R67" s="198"/>
      <c r="S67" s="198"/>
      <c r="T67" s="198"/>
      <c r="U67" s="198"/>
    </row>
    <row r="68" spans="1:21" s="12" customFormat="1" x14ac:dyDescent="0.25">
      <c r="A68" s="211" t="s">
        <v>3091</v>
      </c>
      <c r="B68" s="64">
        <v>6.78</v>
      </c>
      <c r="C68" s="64">
        <v>10.39</v>
      </c>
      <c r="D68" s="64">
        <v>10.87</v>
      </c>
      <c r="E68" s="64">
        <v>5.08</v>
      </c>
      <c r="F68" s="64">
        <v>2.1</v>
      </c>
      <c r="G68" s="64">
        <v>18</v>
      </c>
      <c r="H68" s="64">
        <v>12.11</v>
      </c>
      <c r="I68" s="64">
        <v>0.71</v>
      </c>
      <c r="J68" s="64">
        <v>0.7</v>
      </c>
      <c r="K68" s="64">
        <v>136.47999999999999</v>
      </c>
      <c r="L68" s="64">
        <v>25.16</v>
      </c>
      <c r="M68" s="64">
        <v>97.06</v>
      </c>
      <c r="N68" s="64">
        <v>65.900000000000006</v>
      </c>
      <c r="O68" s="64">
        <v>0</v>
      </c>
      <c r="P68" s="64">
        <v>0.24</v>
      </c>
      <c r="Q68" s="64">
        <v>9.02</v>
      </c>
      <c r="R68" s="198"/>
      <c r="S68" s="198"/>
      <c r="T68" s="198"/>
      <c r="U68" s="198"/>
    </row>
    <row r="69" spans="1:21" s="12" customFormat="1" x14ac:dyDescent="0.25">
      <c r="A69" s="211" t="s">
        <v>3092</v>
      </c>
      <c r="B69" s="64">
        <v>6.61</v>
      </c>
      <c r="C69" s="64">
        <v>12.01</v>
      </c>
      <c r="D69" s="64">
        <v>11.57</v>
      </c>
      <c r="E69" s="64">
        <v>5.0599999999999996</v>
      </c>
      <c r="F69" s="64">
        <v>5.24</v>
      </c>
      <c r="G69" s="64">
        <v>18</v>
      </c>
      <c r="H69" s="64">
        <v>12.11</v>
      </c>
      <c r="I69" s="64">
        <v>0.69</v>
      </c>
      <c r="J69" s="64">
        <v>0.94</v>
      </c>
      <c r="K69" s="64">
        <v>137.44</v>
      </c>
      <c r="L69" s="64">
        <v>25.07</v>
      </c>
      <c r="M69" s="64">
        <v>97.33</v>
      </c>
      <c r="N69" s="64">
        <v>69.2</v>
      </c>
      <c r="O69" s="64">
        <v>0</v>
      </c>
      <c r="P69" s="64">
        <v>0.24</v>
      </c>
      <c r="Q69" s="64">
        <v>9.02</v>
      </c>
      <c r="R69" s="198"/>
      <c r="S69" s="198"/>
      <c r="T69" s="198"/>
      <c r="U69" s="198"/>
    </row>
    <row r="70" spans="1:21" s="12" customFormat="1" x14ac:dyDescent="0.25">
      <c r="A70" s="211" t="s">
        <v>3093</v>
      </c>
      <c r="B70" s="64">
        <v>5.97</v>
      </c>
      <c r="C70" s="64">
        <v>11.64</v>
      </c>
      <c r="D70" s="64">
        <v>10.87</v>
      </c>
      <c r="E70" s="64">
        <v>4.42</v>
      </c>
      <c r="F70" s="64">
        <v>4.95</v>
      </c>
      <c r="G70" s="64">
        <v>21.54</v>
      </c>
      <c r="H70" s="64">
        <v>9</v>
      </c>
      <c r="I70" s="64">
        <v>0.68</v>
      </c>
      <c r="J70" s="64">
        <v>1.1399999999999999</v>
      </c>
      <c r="K70" s="64">
        <v>138.43</v>
      </c>
      <c r="L70" s="64">
        <v>25.07</v>
      </c>
      <c r="M70" s="64">
        <v>97.43</v>
      </c>
      <c r="N70" s="64">
        <v>81.400000000000006</v>
      </c>
      <c r="O70" s="64">
        <v>0</v>
      </c>
      <c r="P70" s="64">
        <v>73.849999999999994</v>
      </c>
      <c r="Q70" s="64">
        <v>9.01</v>
      </c>
      <c r="R70" s="198"/>
      <c r="S70" s="198"/>
      <c r="T70" s="198"/>
      <c r="U70" s="198"/>
    </row>
    <row r="71" spans="1:21" s="12" customFormat="1" x14ac:dyDescent="0.25">
      <c r="A71" s="211" t="s">
        <v>3094</v>
      </c>
      <c r="B71" s="64">
        <v>4.82</v>
      </c>
      <c r="C71" s="64">
        <v>11.95</v>
      </c>
      <c r="D71" s="64">
        <v>10.11</v>
      </c>
      <c r="E71" s="64">
        <v>4.6399999999999997</v>
      </c>
      <c r="F71" s="64">
        <v>2.11</v>
      </c>
      <c r="G71" s="64">
        <v>22.98</v>
      </c>
      <c r="H71" s="64">
        <v>8.69</v>
      </c>
      <c r="I71" s="64">
        <v>0.68</v>
      </c>
      <c r="J71" s="64">
        <v>1.22</v>
      </c>
      <c r="K71" s="64">
        <v>135.72</v>
      </c>
      <c r="L71" s="64">
        <v>24.97</v>
      </c>
      <c r="M71" s="64">
        <v>97.63</v>
      </c>
      <c r="N71" s="64">
        <v>59.1</v>
      </c>
      <c r="O71" s="64">
        <v>0</v>
      </c>
      <c r="P71" s="64">
        <v>0.05</v>
      </c>
      <c r="Q71" s="64">
        <v>9.02</v>
      </c>
      <c r="R71" s="198"/>
      <c r="S71" s="198"/>
      <c r="T71" s="198"/>
      <c r="U71" s="198"/>
    </row>
    <row r="72" spans="1:21" s="12" customFormat="1" x14ac:dyDescent="0.25">
      <c r="A72" s="211" t="s">
        <v>3095</v>
      </c>
      <c r="B72" s="64">
        <v>4.43</v>
      </c>
      <c r="C72" s="64">
        <v>10.8</v>
      </c>
      <c r="D72" s="64">
        <v>9.1999999999999993</v>
      </c>
      <c r="E72" s="64">
        <v>5.17</v>
      </c>
      <c r="F72" s="64">
        <v>8.9600000000000009</v>
      </c>
      <c r="G72" s="64">
        <v>22.98</v>
      </c>
      <c r="H72" s="64">
        <v>8.69</v>
      </c>
      <c r="I72" s="64">
        <v>0.62</v>
      </c>
      <c r="J72" s="64">
        <v>1.29</v>
      </c>
      <c r="K72" s="64">
        <v>135.81</v>
      </c>
      <c r="L72" s="64">
        <v>24.73</v>
      </c>
      <c r="M72" s="64">
        <v>97.97</v>
      </c>
      <c r="N72" s="64">
        <v>50.5</v>
      </c>
      <c r="O72" s="64">
        <v>0</v>
      </c>
      <c r="P72" s="64">
        <v>0.15</v>
      </c>
      <c r="Q72" s="64">
        <v>9.02</v>
      </c>
      <c r="R72" s="198"/>
      <c r="S72" s="198"/>
      <c r="T72" s="198"/>
      <c r="U72" s="198"/>
    </row>
    <row r="73" spans="1:21" s="12" customFormat="1" x14ac:dyDescent="0.25">
      <c r="A73" s="211" t="s">
        <v>3096</v>
      </c>
      <c r="B73" s="64">
        <v>5.09</v>
      </c>
      <c r="C73" s="64">
        <v>11.83</v>
      </c>
      <c r="D73" s="64">
        <v>10.26</v>
      </c>
      <c r="E73" s="64">
        <v>4.8600000000000003</v>
      </c>
      <c r="F73" s="64">
        <v>9.06</v>
      </c>
      <c r="G73" s="64">
        <v>22.98</v>
      </c>
      <c r="H73" s="64">
        <v>8.69</v>
      </c>
      <c r="I73" s="64">
        <v>0.59</v>
      </c>
      <c r="J73" s="64">
        <v>1.1599999999999999</v>
      </c>
      <c r="K73" s="64">
        <v>133.88</v>
      </c>
      <c r="L73" s="64">
        <v>24.57</v>
      </c>
      <c r="M73" s="64">
        <v>97.98</v>
      </c>
      <c r="N73" s="64">
        <v>61.4</v>
      </c>
      <c r="O73" s="64">
        <v>0</v>
      </c>
      <c r="P73" s="64">
        <v>0.11</v>
      </c>
      <c r="Q73" s="64">
        <v>9</v>
      </c>
      <c r="R73" s="198"/>
      <c r="S73" s="198"/>
      <c r="T73" s="198"/>
      <c r="U73" s="198"/>
    </row>
    <row r="74" spans="1:21" s="12" customFormat="1" x14ac:dyDescent="0.25">
      <c r="A74" s="211" t="s">
        <v>3097</v>
      </c>
      <c r="B74" s="64">
        <v>4.66</v>
      </c>
      <c r="C74" s="64">
        <v>11.5</v>
      </c>
      <c r="D74" s="64">
        <v>9.75</v>
      </c>
      <c r="E74" s="64">
        <v>5.18</v>
      </c>
      <c r="F74" s="64">
        <v>9.99</v>
      </c>
      <c r="G74" s="64">
        <v>17.989999999999998</v>
      </c>
      <c r="H74" s="64">
        <v>8.49</v>
      </c>
      <c r="I74" s="64">
        <v>0.56000000000000005</v>
      </c>
      <c r="J74" s="64">
        <v>1.18</v>
      </c>
      <c r="K74" s="64">
        <v>136.13</v>
      </c>
      <c r="L74" s="64">
        <v>24.57</v>
      </c>
      <c r="M74" s="64">
        <v>97.98</v>
      </c>
      <c r="N74" s="64">
        <v>61.4</v>
      </c>
      <c r="O74" s="64">
        <v>0</v>
      </c>
      <c r="P74" s="64">
        <v>0.06</v>
      </c>
      <c r="Q74" s="64">
        <v>8.99</v>
      </c>
      <c r="R74" s="198"/>
      <c r="S74" s="198"/>
      <c r="T74" s="198"/>
      <c r="U74" s="198"/>
    </row>
    <row r="75" spans="1:21" s="12" customFormat="1" x14ac:dyDescent="0.25">
      <c r="A75" s="211" t="s">
        <v>3098</v>
      </c>
      <c r="B75" s="64">
        <v>4.03</v>
      </c>
      <c r="C75" s="64">
        <v>10.84</v>
      </c>
      <c r="D75" s="64">
        <v>8.89</v>
      </c>
      <c r="E75" s="64">
        <v>4.9000000000000004</v>
      </c>
      <c r="F75" s="64">
        <v>6.63</v>
      </c>
      <c r="G75" s="64">
        <v>15.85</v>
      </c>
      <c r="H75" s="64">
        <v>8.48</v>
      </c>
      <c r="I75" s="64">
        <v>0.52</v>
      </c>
      <c r="J75" s="64">
        <v>1.1499999999999999</v>
      </c>
      <c r="K75" s="64">
        <v>138.44999999999999</v>
      </c>
      <c r="L75" s="64">
        <v>24.57</v>
      </c>
      <c r="M75" s="64">
        <v>97.98</v>
      </c>
      <c r="N75" s="64">
        <v>51.9</v>
      </c>
      <c r="O75" s="64">
        <v>0</v>
      </c>
      <c r="P75" s="64">
        <v>0.05</v>
      </c>
      <c r="Q75" s="64">
        <v>8.99</v>
      </c>
      <c r="R75" s="198"/>
      <c r="S75" s="198"/>
      <c r="T75" s="198"/>
      <c r="U75" s="198"/>
    </row>
    <row r="76" spans="1:21" s="12" customFormat="1" x14ac:dyDescent="0.25">
      <c r="A76" s="211" t="s">
        <v>3099</v>
      </c>
      <c r="B76" s="64">
        <v>3.82</v>
      </c>
      <c r="C76" s="64">
        <v>9.85</v>
      </c>
      <c r="D76" s="64">
        <v>8.2100000000000009</v>
      </c>
      <c r="E76" s="64">
        <v>4.8600000000000003</v>
      </c>
      <c r="F76" s="64">
        <v>10.36</v>
      </c>
      <c r="G76" s="64">
        <v>15.85</v>
      </c>
      <c r="H76" s="64">
        <v>8.48</v>
      </c>
      <c r="I76" s="64">
        <v>0.51</v>
      </c>
      <c r="J76" s="64">
        <v>1.27</v>
      </c>
      <c r="K76" s="64">
        <v>134.82</v>
      </c>
      <c r="L76" s="64">
        <v>24.51</v>
      </c>
      <c r="M76" s="64">
        <v>97.98</v>
      </c>
      <c r="N76" s="64">
        <v>46.8</v>
      </c>
      <c r="O76" s="64">
        <v>0</v>
      </c>
      <c r="P76" s="64">
        <v>0.06</v>
      </c>
      <c r="Q76" s="64">
        <v>8.98</v>
      </c>
      <c r="R76" s="198"/>
      <c r="S76" s="198"/>
      <c r="T76" s="198"/>
      <c r="U76" s="198"/>
    </row>
    <row r="77" spans="1:21" s="12" customFormat="1" x14ac:dyDescent="0.25">
      <c r="A77" s="211" t="s">
        <v>3100</v>
      </c>
      <c r="B77" s="64">
        <v>3.92</v>
      </c>
      <c r="C77" s="64">
        <v>9.41</v>
      </c>
      <c r="D77" s="64">
        <v>8.06</v>
      </c>
      <c r="E77" s="64">
        <v>4.6399999999999997</v>
      </c>
      <c r="F77" s="64">
        <v>5.32</v>
      </c>
      <c r="G77" s="64">
        <v>15.85</v>
      </c>
      <c r="H77" s="64">
        <v>8.48</v>
      </c>
      <c r="I77" s="64">
        <v>0.51</v>
      </c>
      <c r="J77" s="64">
        <v>1.1000000000000001</v>
      </c>
      <c r="K77" s="64">
        <v>132.85</v>
      </c>
      <c r="L77" s="64">
        <v>24.39</v>
      </c>
      <c r="M77" s="64">
        <v>97.98</v>
      </c>
      <c r="N77" s="64">
        <v>42.2</v>
      </c>
      <c r="O77" s="64">
        <v>0</v>
      </c>
      <c r="P77" s="64">
        <v>0.04</v>
      </c>
      <c r="Q77" s="64">
        <v>8.99</v>
      </c>
      <c r="R77" s="198"/>
      <c r="S77" s="198"/>
      <c r="T77" s="198"/>
      <c r="U77" s="198"/>
    </row>
    <row r="78" spans="1:21" s="12" customFormat="1" x14ac:dyDescent="0.25">
      <c r="A78" s="211" t="s">
        <v>3101</v>
      </c>
      <c r="B78" s="64">
        <v>4.22</v>
      </c>
      <c r="C78" s="64">
        <v>9.5</v>
      </c>
      <c r="D78" s="64">
        <v>8.35</v>
      </c>
      <c r="E78" s="64">
        <v>4.7699999999999996</v>
      </c>
      <c r="F78" s="64">
        <v>7.33</v>
      </c>
      <c r="G78" s="64">
        <v>12.47</v>
      </c>
      <c r="H78" s="64">
        <v>6.24</v>
      </c>
      <c r="I78" s="64">
        <v>0.51</v>
      </c>
      <c r="J78" s="64">
        <v>1.0900000000000001</v>
      </c>
      <c r="K78" s="64">
        <v>136.19</v>
      </c>
      <c r="L78" s="64">
        <v>24.31</v>
      </c>
      <c r="M78" s="64">
        <v>97.98</v>
      </c>
      <c r="N78" s="64">
        <v>40.799999999999997</v>
      </c>
      <c r="O78" s="64">
        <v>0</v>
      </c>
      <c r="P78" s="64">
        <v>0.05</v>
      </c>
      <c r="Q78" s="64">
        <v>9.01</v>
      </c>
      <c r="R78" s="198"/>
      <c r="S78" s="198"/>
      <c r="T78" s="198"/>
      <c r="U78" s="198"/>
    </row>
    <row r="79" spans="1:21" s="12" customFormat="1" x14ac:dyDescent="0.25">
      <c r="A79" s="211" t="s">
        <v>3102</v>
      </c>
      <c r="B79" s="64">
        <v>3.81</v>
      </c>
      <c r="C79" s="64">
        <v>10.42</v>
      </c>
      <c r="D79" s="64">
        <v>8.5</v>
      </c>
      <c r="E79" s="64">
        <v>4.75</v>
      </c>
      <c r="F79" s="64">
        <v>7.53</v>
      </c>
      <c r="G79" s="64">
        <v>11.1</v>
      </c>
      <c r="H79" s="64">
        <v>6.09</v>
      </c>
      <c r="I79" s="64">
        <v>0.51</v>
      </c>
      <c r="J79" s="64">
        <v>1.39</v>
      </c>
      <c r="K79" s="64">
        <v>132.44</v>
      </c>
      <c r="L79" s="64">
        <v>24.24</v>
      </c>
      <c r="M79" s="64">
        <v>97.99</v>
      </c>
      <c r="N79" s="64">
        <v>41</v>
      </c>
      <c r="O79" s="64">
        <v>0</v>
      </c>
      <c r="P79" s="64">
        <v>0.05</v>
      </c>
      <c r="Q79" s="64">
        <v>9.02</v>
      </c>
      <c r="R79" s="198"/>
      <c r="S79" s="198"/>
      <c r="T79" s="198"/>
      <c r="U79" s="198"/>
    </row>
    <row r="80" spans="1:21" s="12" customFormat="1" x14ac:dyDescent="0.25">
      <c r="A80" s="211" t="s">
        <v>3103</v>
      </c>
      <c r="B80" s="64">
        <v>3.74</v>
      </c>
      <c r="C80" s="64">
        <v>10.119999999999999</v>
      </c>
      <c r="D80" s="64">
        <v>8.2799999999999994</v>
      </c>
      <c r="E80" s="64">
        <v>4.91</v>
      </c>
      <c r="F80" s="64">
        <v>8.4700000000000006</v>
      </c>
      <c r="G80" s="64">
        <v>11.1</v>
      </c>
      <c r="H80" s="64">
        <v>6.09</v>
      </c>
      <c r="I80" s="64">
        <v>0.51</v>
      </c>
      <c r="J80" s="64">
        <v>0.78</v>
      </c>
      <c r="K80" s="64">
        <v>130.88999999999999</v>
      </c>
      <c r="L80" s="64">
        <v>23.62</v>
      </c>
      <c r="M80" s="64">
        <v>98.06</v>
      </c>
      <c r="N80" s="64">
        <v>39.4</v>
      </c>
      <c r="O80" s="64">
        <v>0</v>
      </c>
      <c r="P80" s="64">
        <v>0.06</v>
      </c>
      <c r="Q80" s="64">
        <v>9.02</v>
      </c>
      <c r="R80" s="198"/>
      <c r="S80" s="198"/>
      <c r="T80" s="198"/>
      <c r="U80" s="198"/>
    </row>
    <row r="81" spans="1:26" s="12" customFormat="1" x14ac:dyDescent="0.25">
      <c r="A81" s="211" t="s">
        <v>3104</v>
      </c>
      <c r="B81" s="64">
        <v>4.9000000000000004</v>
      </c>
      <c r="C81" s="64">
        <v>11.38</v>
      </c>
      <c r="D81" s="64">
        <v>9.8699999999999992</v>
      </c>
      <c r="E81" s="64">
        <v>4.79</v>
      </c>
      <c r="F81" s="64">
        <v>7.6</v>
      </c>
      <c r="G81" s="64">
        <v>11.1</v>
      </c>
      <c r="H81" s="64">
        <v>6.09</v>
      </c>
      <c r="I81" s="64">
        <v>0.53</v>
      </c>
      <c r="J81" s="64">
        <v>0.49</v>
      </c>
      <c r="K81" s="64">
        <v>134.68</v>
      </c>
      <c r="L81" s="64">
        <v>23.41</v>
      </c>
      <c r="M81" s="64">
        <v>98.07</v>
      </c>
      <c r="N81" s="64">
        <v>38.5</v>
      </c>
      <c r="O81" s="64">
        <v>0</v>
      </c>
      <c r="P81" s="64">
        <v>0.1</v>
      </c>
      <c r="Q81" s="64">
        <v>9.02</v>
      </c>
      <c r="R81" s="198"/>
      <c r="S81" s="198"/>
      <c r="T81" s="198"/>
      <c r="U81" s="198"/>
    </row>
    <row r="82" spans="1:26" s="12" customFormat="1" x14ac:dyDescent="0.25">
      <c r="A82" s="211" t="s">
        <v>3105</v>
      </c>
      <c r="B82" s="64">
        <v>5.0999999999999996</v>
      </c>
      <c r="C82" s="64">
        <v>10.039999999999999</v>
      </c>
      <c r="D82" s="64">
        <v>9.33</v>
      </c>
      <c r="E82" s="64">
        <v>4.59</v>
      </c>
      <c r="F82" s="64">
        <v>5.72</v>
      </c>
      <c r="G82" s="64">
        <v>15.41</v>
      </c>
      <c r="H82" s="64">
        <v>5.28</v>
      </c>
      <c r="I82" s="64">
        <v>0.56999999999999995</v>
      </c>
      <c r="J82" s="64">
        <v>1.39</v>
      </c>
      <c r="K82" s="64">
        <v>139.96</v>
      </c>
      <c r="L82" s="64">
        <v>23.62</v>
      </c>
      <c r="M82" s="64">
        <v>98.05</v>
      </c>
      <c r="N82" s="64">
        <v>39.200000000000003</v>
      </c>
      <c r="O82" s="64">
        <v>0</v>
      </c>
      <c r="P82" s="64">
        <v>0.08</v>
      </c>
      <c r="Q82" s="64">
        <v>9.0299999999999994</v>
      </c>
      <c r="R82" s="198"/>
      <c r="S82" s="198"/>
      <c r="T82" s="198"/>
      <c r="U82" s="198"/>
    </row>
    <row r="83" spans="1:26" s="12" customFormat="1" x14ac:dyDescent="0.25">
      <c r="A83" s="211" t="s">
        <v>3106</v>
      </c>
      <c r="B83" s="64">
        <v>4.43</v>
      </c>
      <c r="C83" s="64">
        <v>8.67</v>
      </c>
      <c r="D83" s="64">
        <v>8.09</v>
      </c>
      <c r="E83" s="64">
        <v>4.7300000000000004</v>
      </c>
      <c r="F83" s="64">
        <v>6.46</v>
      </c>
      <c r="G83" s="64">
        <v>17.16</v>
      </c>
      <c r="H83" s="64">
        <v>4.99</v>
      </c>
      <c r="I83" s="64">
        <v>0.6</v>
      </c>
      <c r="J83" s="64">
        <v>1.02</v>
      </c>
      <c r="K83" s="64">
        <v>133.05000000000001</v>
      </c>
      <c r="L83" s="64">
        <v>23.66</v>
      </c>
      <c r="M83" s="64">
        <v>98.05</v>
      </c>
      <c r="N83" s="64">
        <v>40.200000000000003</v>
      </c>
      <c r="O83" s="64">
        <v>0</v>
      </c>
      <c r="P83" s="64">
        <v>0.09</v>
      </c>
      <c r="Q83" s="64">
        <v>9.0399999999999991</v>
      </c>
      <c r="R83" s="198"/>
      <c r="S83" s="198"/>
      <c r="T83" s="198"/>
      <c r="U83" s="198"/>
    </row>
    <row r="84" spans="1:26" s="12" customFormat="1" x14ac:dyDescent="0.25">
      <c r="A84" s="211" t="s">
        <v>3107</v>
      </c>
      <c r="B84" s="64">
        <v>4.3499999999999996</v>
      </c>
      <c r="C84" s="64">
        <v>7.82</v>
      </c>
      <c r="D84" s="64">
        <v>7.57</v>
      </c>
      <c r="E84" s="64">
        <v>4.7</v>
      </c>
      <c r="F84" s="64">
        <v>5.69</v>
      </c>
      <c r="G84" s="64">
        <v>17.16</v>
      </c>
      <c r="H84" s="64">
        <v>4.99</v>
      </c>
      <c r="I84" s="64">
        <v>0.62</v>
      </c>
      <c r="J84" s="64">
        <v>1.67</v>
      </c>
      <c r="K84" s="64">
        <v>136.05000000000001</v>
      </c>
      <c r="L84" s="64">
        <v>23.61</v>
      </c>
      <c r="M84" s="64">
        <v>98.05</v>
      </c>
      <c r="N84" s="64">
        <v>40.299999999999997</v>
      </c>
      <c r="O84" s="64">
        <v>0</v>
      </c>
      <c r="P84" s="64">
        <v>7.0000000000000007E-2</v>
      </c>
      <c r="Q84" s="64">
        <v>9.0299999999999994</v>
      </c>
      <c r="R84" s="198"/>
      <c r="S84" s="198"/>
      <c r="T84" s="198"/>
      <c r="U84" s="198"/>
    </row>
    <row r="85" spans="1:26" s="12" customFormat="1" x14ac:dyDescent="0.25">
      <c r="A85" s="211" t="s">
        <v>3108</v>
      </c>
      <c r="B85" s="64">
        <v>4.5599999999999996</v>
      </c>
      <c r="C85" s="64">
        <v>7.3</v>
      </c>
      <c r="D85" s="64">
        <v>7.48</v>
      </c>
      <c r="E85" s="64">
        <v>4.79</v>
      </c>
      <c r="F85" s="64">
        <v>5.8</v>
      </c>
      <c r="G85" s="64">
        <v>17.16</v>
      </c>
      <c r="H85" s="64">
        <v>4.99</v>
      </c>
      <c r="I85" s="64">
        <v>0.64</v>
      </c>
      <c r="J85" s="64">
        <v>1.2</v>
      </c>
      <c r="K85" s="64">
        <v>136.02000000000001</v>
      </c>
      <c r="L85" s="64">
        <v>23.66</v>
      </c>
      <c r="M85" s="64">
        <v>98.05</v>
      </c>
      <c r="N85" s="64">
        <v>40.299999999999997</v>
      </c>
      <c r="O85" s="64">
        <v>0</v>
      </c>
      <c r="P85" s="64">
        <v>0.16</v>
      </c>
      <c r="Q85" s="64">
        <v>9.02</v>
      </c>
      <c r="R85" s="198"/>
      <c r="S85" s="198"/>
      <c r="T85" s="198"/>
      <c r="U85" s="198"/>
    </row>
    <row r="86" spans="1:26" s="12" customFormat="1" x14ac:dyDescent="0.25">
      <c r="A86" s="211" t="s">
        <v>3109</v>
      </c>
      <c r="B86" s="64">
        <v>4.6500000000000004</v>
      </c>
      <c r="C86" s="64">
        <v>7</v>
      </c>
      <c r="D86" s="64">
        <v>7.38</v>
      </c>
      <c r="E86" s="64">
        <v>4.9400000000000004</v>
      </c>
      <c r="F86" s="64">
        <v>4.47</v>
      </c>
      <c r="G86" s="64">
        <v>15.23</v>
      </c>
      <c r="H86" s="64">
        <v>4.21</v>
      </c>
      <c r="I86" s="64">
        <v>0.66</v>
      </c>
      <c r="J86" s="64">
        <v>1.22</v>
      </c>
      <c r="K86" s="64">
        <v>134.28</v>
      </c>
      <c r="L86" s="64">
        <v>23.64</v>
      </c>
      <c r="M86" s="64">
        <v>98.02</v>
      </c>
      <c r="N86" s="64">
        <v>40.4</v>
      </c>
      <c r="O86" s="64">
        <v>0</v>
      </c>
      <c r="P86" s="64">
        <v>0.18</v>
      </c>
      <c r="Q86" s="64">
        <v>9.01</v>
      </c>
      <c r="R86" s="198"/>
      <c r="S86" s="198"/>
      <c r="T86" s="198"/>
      <c r="U86" s="198"/>
    </row>
    <row r="87" spans="1:26" s="12" customFormat="1" x14ac:dyDescent="0.25">
      <c r="A87" s="211" t="s">
        <v>3110</v>
      </c>
      <c r="B87" s="64">
        <v>4.93</v>
      </c>
      <c r="C87" s="64">
        <v>6.73</v>
      </c>
      <c r="D87" s="64">
        <v>7.47</v>
      </c>
      <c r="E87" s="64">
        <v>5.22</v>
      </c>
      <c r="F87" s="64">
        <v>5.47</v>
      </c>
      <c r="G87" s="64">
        <v>14.44</v>
      </c>
      <c r="H87" s="64">
        <v>4.13</v>
      </c>
      <c r="I87" s="64">
        <v>0.66</v>
      </c>
      <c r="J87" s="64">
        <v>1.1599999999999999</v>
      </c>
      <c r="K87" s="64">
        <v>133.6</v>
      </c>
      <c r="L87" s="64">
        <v>23.6</v>
      </c>
      <c r="M87" s="64">
        <v>97.99</v>
      </c>
      <c r="N87" s="64">
        <v>40.4</v>
      </c>
      <c r="O87" s="64">
        <v>0</v>
      </c>
      <c r="P87" s="64">
        <v>0.18</v>
      </c>
      <c r="Q87" s="64">
        <v>9</v>
      </c>
      <c r="R87" s="198"/>
      <c r="S87" s="198"/>
      <c r="T87" s="198"/>
      <c r="U87" s="198"/>
    </row>
    <row r="88" spans="1:26" s="12" customFormat="1" x14ac:dyDescent="0.25">
      <c r="A88" s="211" t="s">
        <v>3111</v>
      </c>
      <c r="B88" s="64">
        <v>5.0999999999999996</v>
      </c>
      <c r="C88" s="64">
        <v>6.55</v>
      </c>
      <c r="D88" s="64">
        <v>7.52</v>
      </c>
      <c r="E88" s="64">
        <v>4.8499999999999996</v>
      </c>
      <c r="F88" s="64">
        <v>5.42</v>
      </c>
      <c r="G88" s="64">
        <v>14.44</v>
      </c>
      <c r="H88" s="64">
        <v>4.13</v>
      </c>
      <c r="I88" s="64">
        <v>0.66</v>
      </c>
      <c r="J88" s="64">
        <v>1.1499999999999999</v>
      </c>
      <c r="K88" s="64">
        <v>136.71</v>
      </c>
      <c r="L88" s="64">
        <v>23.57</v>
      </c>
      <c r="M88" s="64">
        <v>97.99</v>
      </c>
      <c r="N88" s="64">
        <v>40.4</v>
      </c>
      <c r="O88" s="64">
        <v>0</v>
      </c>
      <c r="P88" s="64">
        <v>0.18</v>
      </c>
      <c r="Q88" s="64">
        <v>9</v>
      </c>
      <c r="R88" s="198"/>
      <c r="S88" s="198"/>
      <c r="T88" s="198"/>
      <c r="U88" s="198"/>
    </row>
    <row r="89" spans="1:26" s="12" customFormat="1" x14ac:dyDescent="0.25">
      <c r="A89" s="211" t="s">
        <v>3112</v>
      </c>
      <c r="B89" s="64">
        <v>6.74</v>
      </c>
      <c r="C89" s="64">
        <v>8.33</v>
      </c>
      <c r="D89" s="64">
        <v>9.76</v>
      </c>
      <c r="E89" s="64">
        <v>4.99</v>
      </c>
      <c r="F89" s="64">
        <v>6.27</v>
      </c>
      <c r="G89" s="64">
        <v>14.44</v>
      </c>
      <c r="H89" s="64">
        <v>4.13</v>
      </c>
      <c r="I89" s="64">
        <v>0.69</v>
      </c>
      <c r="J89" s="64">
        <v>1.0900000000000001</v>
      </c>
      <c r="K89" s="64">
        <v>136.69999999999999</v>
      </c>
      <c r="L89" s="64">
        <v>23.57</v>
      </c>
      <c r="M89" s="64">
        <v>97.98</v>
      </c>
      <c r="N89" s="64">
        <v>40.4</v>
      </c>
      <c r="O89" s="64">
        <v>0</v>
      </c>
      <c r="P89" s="64">
        <v>0.19</v>
      </c>
      <c r="Q89" s="64">
        <v>9.01</v>
      </c>
      <c r="R89" s="198"/>
      <c r="S89" s="198"/>
      <c r="T89" s="198"/>
      <c r="U89" s="198"/>
    </row>
    <row r="90" spans="1:26" s="12" customFormat="1" x14ac:dyDescent="0.25">
      <c r="A90" s="211" t="s">
        <v>3113</v>
      </c>
      <c r="B90" s="64">
        <v>5.82</v>
      </c>
      <c r="C90" s="64">
        <v>6.63</v>
      </c>
      <c r="D90" s="64">
        <v>8.1300000000000008</v>
      </c>
      <c r="E90" s="64">
        <v>5.15</v>
      </c>
      <c r="F90" s="64">
        <v>4.24</v>
      </c>
      <c r="G90" s="64">
        <v>11.36</v>
      </c>
      <c r="H90" s="64">
        <v>3.31</v>
      </c>
      <c r="I90" s="64">
        <v>0.71</v>
      </c>
      <c r="J90" s="64">
        <v>1.1200000000000001</v>
      </c>
      <c r="K90" s="64">
        <v>135</v>
      </c>
      <c r="L90" s="64">
        <v>23.51</v>
      </c>
      <c r="M90" s="64">
        <v>98</v>
      </c>
      <c r="N90" s="64">
        <v>40.4</v>
      </c>
      <c r="O90" s="64">
        <v>0</v>
      </c>
      <c r="P90" s="64">
        <v>0.19</v>
      </c>
      <c r="Q90" s="64">
        <v>9</v>
      </c>
      <c r="R90" s="198"/>
      <c r="S90" s="198"/>
      <c r="T90" s="198"/>
      <c r="U90" s="198"/>
    </row>
    <row r="91" spans="1:26" s="12" customFormat="1" x14ac:dyDescent="0.25">
      <c r="A91" s="211" t="s">
        <v>3114</v>
      </c>
      <c r="B91" s="64">
        <v>5.76</v>
      </c>
      <c r="C91" s="64">
        <v>6.74</v>
      </c>
      <c r="D91" s="64">
        <v>8.14</v>
      </c>
      <c r="E91" s="64">
        <v>5.12</v>
      </c>
      <c r="F91" s="64">
        <v>7.33</v>
      </c>
      <c r="G91" s="64">
        <v>10.11</v>
      </c>
      <c r="H91" s="64">
        <v>3.26</v>
      </c>
      <c r="I91" s="64">
        <v>0.72</v>
      </c>
      <c r="J91" s="64">
        <v>1.22</v>
      </c>
      <c r="K91" s="64">
        <v>133.44999999999999</v>
      </c>
      <c r="L91" s="64">
        <v>23.45</v>
      </c>
      <c r="M91" s="64">
        <v>98.03</v>
      </c>
      <c r="N91" s="64">
        <v>40.4</v>
      </c>
      <c r="O91" s="64">
        <v>0</v>
      </c>
      <c r="P91" s="64">
        <v>0.18</v>
      </c>
      <c r="Q91" s="64">
        <v>9</v>
      </c>
      <c r="R91" s="198"/>
      <c r="S91" s="198"/>
      <c r="T91" s="198"/>
      <c r="U91" s="198"/>
    </row>
    <row r="92" spans="1:26" s="12" customFormat="1" x14ac:dyDescent="0.25">
      <c r="A92" s="211" t="s">
        <v>3115</v>
      </c>
      <c r="B92" s="64">
        <v>5.84</v>
      </c>
      <c r="C92" s="64">
        <v>6.16</v>
      </c>
      <c r="D92" s="64">
        <v>7.9</v>
      </c>
      <c r="E92" s="64">
        <v>4.8600000000000003</v>
      </c>
      <c r="F92" s="64">
        <v>4.7699999999999996</v>
      </c>
      <c r="G92" s="64">
        <v>10.11</v>
      </c>
      <c r="H92" s="64">
        <v>3.26</v>
      </c>
      <c r="I92" s="64">
        <v>0.74</v>
      </c>
      <c r="J92" s="64">
        <v>0.92</v>
      </c>
      <c r="K92" s="64">
        <v>136.04</v>
      </c>
      <c r="L92" s="64">
        <v>23.43</v>
      </c>
      <c r="M92" s="64">
        <v>98.03</v>
      </c>
      <c r="N92" s="64">
        <v>40.299999999999997</v>
      </c>
      <c r="O92" s="64">
        <v>0</v>
      </c>
      <c r="P92" s="64">
        <v>0.19</v>
      </c>
      <c r="Q92" s="64">
        <v>9</v>
      </c>
      <c r="R92" s="198"/>
      <c r="S92" s="198"/>
      <c r="T92" s="198"/>
      <c r="U92" s="198"/>
    </row>
    <row r="93" spans="1:26" s="12" customFormat="1" x14ac:dyDescent="0.25">
      <c r="A93" s="211" t="s">
        <v>3116</v>
      </c>
      <c r="B93" s="64">
        <v>8.58</v>
      </c>
      <c r="C93" s="64">
        <v>7.19</v>
      </c>
      <c r="D93" s="64">
        <v>10.64</v>
      </c>
      <c r="E93" s="64">
        <v>4.97</v>
      </c>
      <c r="F93" s="64">
        <v>4.7</v>
      </c>
      <c r="G93" s="64">
        <v>10.11</v>
      </c>
      <c r="H93" s="64">
        <v>3.26</v>
      </c>
      <c r="I93" s="64">
        <v>0.75</v>
      </c>
      <c r="J93" s="64">
        <v>1</v>
      </c>
      <c r="K93" s="64">
        <v>135.41999999999999</v>
      </c>
      <c r="L93" s="64">
        <v>23.28</v>
      </c>
      <c r="M93" s="64">
        <v>98.04</v>
      </c>
      <c r="N93" s="64">
        <v>40.5</v>
      </c>
      <c r="O93" s="64">
        <v>0</v>
      </c>
      <c r="P93" s="64">
        <v>0.18</v>
      </c>
      <c r="Q93" s="64">
        <v>9.01</v>
      </c>
      <c r="R93" s="198"/>
      <c r="S93" s="198"/>
      <c r="T93" s="198"/>
      <c r="U93" s="198"/>
    </row>
    <row r="94" spans="1:26" s="12" customFormat="1" x14ac:dyDescent="0.25">
      <c r="A94" s="211" t="s">
        <v>3117</v>
      </c>
      <c r="B94" s="64">
        <v>6.71</v>
      </c>
      <c r="C94" s="64">
        <v>7.34</v>
      </c>
      <c r="D94" s="64">
        <v>9.2200000000000006</v>
      </c>
      <c r="E94" s="64">
        <v>4.59</v>
      </c>
      <c r="F94" s="64">
        <v>4.37</v>
      </c>
      <c r="G94" s="64">
        <v>8.8000000000000007</v>
      </c>
      <c r="H94" s="64">
        <v>2.42</v>
      </c>
      <c r="I94" s="64">
        <v>0.75</v>
      </c>
      <c r="J94" s="64">
        <v>0.83</v>
      </c>
      <c r="K94" s="64">
        <v>135.47</v>
      </c>
      <c r="L94" s="64">
        <v>23.23</v>
      </c>
      <c r="M94" s="64">
        <v>98.05</v>
      </c>
      <c r="N94" s="64">
        <v>40.299999999999997</v>
      </c>
      <c r="O94" s="64">
        <v>0</v>
      </c>
      <c r="P94" s="64">
        <v>0.19</v>
      </c>
      <c r="Q94" s="64">
        <v>9.01</v>
      </c>
      <c r="R94" s="198"/>
      <c r="S94" s="198"/>
      <c r="T94" s="198"/>
      <c r="U94" s="198"/>
    </row>
    <row r="95" spans="1:26" s="12" customFormat="1" x14ac:dyDescent="0.25">
      <c r="A95" s="211" t="s">
        <v>3118</v>
      </c>
      <c r="B95" s="64">
        <v>6.41</v>
      </c>
      <c r="C95" s="64">
        <v>6.84</v>
      </c>
      <c r="D95" s="64">
        <v>8.7200000000000006</v>
      </c>
      <c r="E95" s="64">
        <v>4.76</v>
      </c>
      <c r="F95" s="64">
        <v>6.51</v>
      </c>
      <c r="G95" s="64">
        <v>8.27</v>
      </c>
      <c r="H95" s="64">
        <v>2.36</v>
      </c>
      <c r="I95" s="64">
        <v>0.76</v>
      </c>
      <c r="J95" s="64">
        <v>0.77</v>
      </c>
      <c r="K95" s="64">
        <v>123.57</v>
      </c>
      <c r="L95" s="64">
        <v>23.26</v>
      </c>
      <c r="M95" s="64">
        <v>98.03</v>
      </c>
      <c r="N95" s="64">
        <v>40.200000000000003</v>
      </c>
      <c r="O95" s="64">
        <v>0</v>
      </c>
      <c r="P95" s="64">
        <v>0.19</v>
      </c>
      <c r="Q95" s="64">
        <v>9.0299999999999994</v>
      </c>
      <c r="R95" s="198"/>
      <c r="S95" s="198"/>
      <c r="T95" s="198"/>
      <c r="U95" s="198"/>
    </row>
    <row r="96" spans="1:26" s="12" customFormat="1" x14ac:dyDescent="0.25">
      <c r="A96" s="211" t="s">
        <v>3119</v>
      </c>
      <c r="B96" s="64">
        <v>6.3</v>
      </c>
      <c r="C96" s="64">
        <v>6.23</v>
      </c>
      <c r="D96" s="64">
        <v>8.3000000000000007</v>
      </c>
      <c r="E96" s="64">
        <v>4.99</v>
      </c>
      <c r="F96" s="64">
        <v>5.56</v>
      </c>
      <c r="G96" s="64">
        <v>8.27</v>
      </c>
      <c r="H96" s="64">
        <v>2.36</v>
      </c>
      <c r="I96" s="64">
        <v>0.77</v>
      </c>
      <c r="J96" s="64">
        <v>1.25</v>
      </c>
      <c r="K96" s="64">
        <v>133.72999999999999</v>
      </c>
      <c r="L96" s="64">
        <v>23.22</v>
      </c>
      <c r="M96" s="64">
        <v>98.02</v>
      </c>
      <c r="N96" s="64">
        <v>40.200000000000003</v>
      </c>
      <c r="O96" s="64">
        <v>0</v>
      </c>
      <c r="P96" s="64">
        <v>0.18</v>
      </c>
      <c r="Q96" s="64">
        <v>9.0500000000000007</v>
      </c>
      <c r="R96" s="198"/>
      <c r="S96" s="198"/>
      <c r="T96" s="210"/>
      <c r="U96" s="198"/>
      <c r="Z96" s="109"/>
    </row>
    <row r="97" spans="1:33" s="12" customFormat="1" x14ac:dyDescent="0.25">
      <c r="A97" s="211" t="s">
        <v>3120</v>
      </c>
      <c r="B97" s="64">
        <v>6</v>
      </c>
      <c r="C97" s="64">
        <v>6.09</v>
      </c>
      <c r="D97" s="64">
        <v>8</v>
      </c>
      <c r="E97" s="64">
        <v>4.76</v>
      </c>
      <c r="F97" s="64">
        <v>6.02</v>
      </c>
      <c r="G97" s="64">
        <v>8.27</v>
      </c>
      <c r="H97" s="64">
        <v>2.36</v>
      </c>
      <c r="I97" s="64">
        <v>0.77</v>
      </c>
      <c r="J97" s="64">
        <v>0.73</v>
      </c>
      <c r="K97" s="64">
        <v>135.22</v>
      </c>
      <c r="L97" s="64">
        <v>23.06</v>
      </c>
      <c r="M97" s="64">
        <v>98.03</v>
      </c>
      <c r="N97" s="64">
        <v>40.5</v>
      </c>
      <c r="O97" s="64">
        <v>0</v>
      </c>
      <c r="P97" s="64">
        <v>0.18</v>
      </c>
      <c r="Q97" s="64">
        <v>9.06</v>
      </c>
      <c r="R97" s="198"/>
      <c r="S97" s="198"/>
      <c r="T97" s="198"/>
      <c r="U97" s="198"/>
    </row>
    <row r="98" spans="1:33" s="12" customFormat="1" x14ac:dyDescent="0.25">
      <c r="A98" s="211" t="s">
        <v>3121</v>
      </c>
      <c r="B98" s="64">
        <v>5.99</v>
      </c>
      <c r="C98" s="64">
        <v>6.3</v>
      </c>
      <c r="D98" s="64">
        <v>8.09</v>
      </c>
      <c r="E98" s="64">
        <v>4.7699999999999996</v>
      </c>
      <c r="F98" s="64">
        <v>5.58</v>
      </c>
      <c r="G98" s="64">
        <v>10.37</v>
      </c>
      <c r="H98" s="64">
        <v>1.82</v>
      </c>
      <c r="I98" s="64">
        <v>0.76</v>
      </c>
      <c r="J98" s="64">
        <v>0.83</v>
      </c>
      <c r="K98" s="64">
        <v>124.82</v>
      </c>
      <c r="L98" s="64">
        <v>22.8</v>
      </c>
      <c r="M98" s="64">
        <v>98.05</v>
      </c>
      <c r="N98" s="64">
        <v>40.4</v>
      </c>
      <c r="O98" s="64">
        <v>0</v>
      </c>
      <c r="P98" s="64">
        <v>0.19</v>
      </c>
      <c r="Q98" s="64">
        <v>9.07</v>
      </c>
      <c r="R98" s="198"/>
      <c r="S98" s="198"/>
      <c r="T98" s="198"/>
      <c r="U98" s="198"/>
    </row>
    <row r="99" spans="1:33" s="12" customFormat="1" x14ac:dyDescent="0.25">
      <c r="A99" s="211" t="s">
        <v>3122</v>
      </c>
      <c r="B99" s="64">
        <v>5.9</v>
      </c>
      <c r="C99" s="64">
        <v>6.41</v>
      </c>
      <c r="D99" s="64">
        <v>8.08</v>
      </c>
      <c r="E99" s="64">
        <v>5.12</v>
      </c>
      <c r="F99" s="64">
        <v>5.77</v>
      </c>
      <c r="G99" s="64">
        <v>11.22</v>
      </c>
      <c r="H99" s="64">
        <v>1.79</v>
      </c>
      <c r="I99" s="64">
        <v>0.75</v>
      </c>
      <c r="J99" s="64">
        <v>0.44</v>
      </c>
      <c r="K99" s="64">
        <v>140.49</v>
      </c>
      <c r="L99" s="64">
        <v>22.71</v>
      </c>
      <c r="M99" s="64">
        <v>98.08</v>
      </c>
      <c r="N99" s="64">
        <v>40.4</v>
      </c>
      <c r="O99" s="64">
        <v>0</v>
      </c>
      <c r="P99" s="64">
        <v>0.18</v>
      </c>
      <c r="Q99" s="64">
        <v>9.07</v>
      </c>
      <c r="R99" s="198"/>
      <c r="S99" s="198"/>
      <c r="T99" s="198"/>
      <c r="U99" s="198"/>
    </row>
    <row r="100" spans="1:33" s="12" customFormat="1" x14ac:dyDescent="0.25">
      <c r="A100" s="211" t="s">
        <v>3123</v>
      </c>
      <c r="B100" s="64">
        <v>6</v>
      </c>
      <c r="C100" s="64">
        <v>6.24</v>
      </c>
      <c r="D100" s="64">
        <v>8.07</v>
      </c>
      <c r="E100" s="64">
        <v>5.13</v>
      </c>
      <c r="F100" s="64">
        <v>5.77</v>
      </c>
      <c r="G100" s="64">
        <v>11.22</v>
      </c>
      <c r="H100" s="64">
        <v>1.79</v>
      </c>
      <c r="I100" s="64">
        <v>0.75</v>
      </c>
      <c r="J100" s="64">
        <v>0.45</v>
      </c>
      <c r="K100" s="64">
        <v>137.99</v>
      </c>
      <c r="L100" s="64">
        <v>22.65</v>
      </c>
      <c r="M100" s="64">
        <v>98.1</v>
      </c>
      <c r="N100" s="64">
        <v>40.4</v>
      </c>
      <c r="O100" s="64">
        <v>0</v>
      </c>
      <c r="P100" s="64">
        <v>0.19</v>
      </c>
      <c r="Q100" s="64">
        <v>9.08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3124</v>
      </c>
      <c r="B101" s="64">
        <v>5.74</v>
      </c>
      <c r="C101" s="64">
        <v>5.97</v>
      </c>
      <c r="D101" s="64">
        <v>7.72</v>
      </c>
      <c r="E101" s="64">
        <v>5.34</v>
      </c>
      <c r="F101" s="64">
        <v>5.55</v>
      </c>
      <c r="G101" s="64">
        <v>11.22</v>
      </c>
      <c r="H101" s="64">
        <v>1.79</v>
      </c>
      <c r="I101" s="64">
        <v>0.75</v>
      </c>
      <c r="J101" s="64">
        <v>0.48</v>
      </c>
      <c r="K101" s="64">
        <v>139.05000000000001</v>
      </c>
      <c r="L101" s="64">
        <v>22.55</v>
      </c>
      <c r="M101" s="64">
        <v>98.1</v>
      </c>
      <c r="N101" s="64">
        <v>40.4</v>
      </c>
      <c r="O101" s="64">
        <v>0</v>
      </c>
      <c r="P101" s="64">
        <v>0.17</v>
      </c>
      <c r="Q101" s="64">
        <v>9.08</v>
      </c>
      <c r="R101" s="198"/>
      <c r="S101" s="198"/>
      <c r="T101" s="198"/>
      <c r="U101" s="198"/>
    </row>
    <row r="102" spans="1:33" s="12" customFormat="1" x14ac:dyDescent="0.25">
      <c r="A102" s="211" t="s">
        <v>3125</v>
      </c>
      <c r="B102" s="64">
        <v>5.75</v>
      </c>
      <c r="C102" s="64">
        <v>5.74</v>
      </c>
      <c r="D102" s="64">
        <v>7.61</v>
      </c>
      <c r="E102" s="64">
        <v>4.9400000000000004</v>
      </c>
      <c r="F102" s="64">
        <v>5.6</v>
      </c>
      <c r="G102" s="64">
        <v>10.9</v>
      </c>
      <c r="H102" s="64">
        <v>1.62</v>
      </c>
      <c r="I102" s="64">
        <v>0.75</v>
      </c>
      <c r="J102" s="64">
        <v>0.37</v>
      </c>
      <c r="K102" s="64">
        <v>133.93</v>
      </c>
      <c r="L102" s="64">
        <v>22.52</v>
      </c>
      <c r="M102" s="64">
        <v>98.08</v>
      </c>
      <c r="N102" s="64">
        <v>40.4</v>
      </c>
      <c r="O102" s="64">
        <v>0</v>
      </c>
      <c r="P102" s="64">
        <v>0.2</v>
      </c>
      <c r="Q102" s="64">
        <v>9.07</v>
      </c>
      <c r="R102" s="198"/>
      <c r="S102" s="198"/>
      <c r="T102" s="198"/>
      <c r="U102" s="198"/>
    </row>
    <row r="103" spans="1:33" s="12" customFormat="1" x14ac:dyDescent="0.25">
      <c r="A103" s="211" t="s">
        <v>3126</v>
      </c>
      <c r="B103" s="64">
        <v>5.94</v>
      </c>
      <c r="C103" s="64">
        <v>5.53</v>
      </c>
      <c r="D103" s="64">
        <v>7.65</v>
      </c>
      <c r="E103" s="64">
        <v>5.21</v>
      </c>
      <c r="F103" s="64">
        <v>4.9800000000000004</v>
      </c>
      <c r="G103" s="64">
        <v>10.77</v>
      </c>
      <c r="H103" s="64">
        <v>1.6</v>
      </c>
      <c r="I103" s="64">
        <v>0.74</v>
      </c>
      <c r="J103" s="64">
        <v>0.36</v>
      </c>
      <c r="K103" s="64">
        <v>126.87</v>
      </c>
      <c r="L103" s="64">
        <v>22.43</v>
      </c>
      <c r="M103" s="64">
        <v>98.13</v>
      </c>
      <c r="N103" s="64">
        <v>40.4</v>
      </c>
      <c r="O103" s="64">
        <v>0</v>
      </c>
      <c r="P103" s="64">
        <v>0.21</v>
      </c>
      <c r="Q103" s="64">
        <v>9.0299999999999994</v>
      </c>
      <c r="R103" s="198"/>
      <c r="S103" s="198"/>
      <c r="T103" s="198"/>
      <c r="U103" s="198"/>
    </row>
    <row r="104" spans="1:33" s="12" customFormat="1" x14ac:dyDescent="0.25">
      <c r="A104" s="211" t="s">
        <v>3127</v>
      </c>
      <c r="B104" s="64">
        <v>5.81</v>
      </c>
      <c r="C104" s="64">
        <v>5.54</v>
      </c>
      <c r="D104" s="64">
        <v>7.55</v>
      </c>
      <c r="E104" s="64">
        <v>3.72</v>
      </c>
      <c r="F104" s="64">
        <v>4.38</v>
      </c>
      <c r="G104" s="64">
        <v>10.77</v>
      </c>
      <c r="H104" s="64">
        <v>1.6</v>
      </c>
      <c r="I104" s="64">
        <v>0.73</v>
      </c>
      <c r="J104" s="64">
        <v>0.81</v>
      </c>
      <c r="K104" s="64">
        <v>132.08000000000001</v>
      </c>
      <c r="L104" s="64">
        <v>22.33</v>
      </c>
      <c r="M104" s="64">
        <v>98.13</v>
      </c>
      <c r="N104" s="64">
        <v>40.4</v>
      </c>
      <c r="O104" s="64">
        <v>0</v>
      </c>
      <c r="P104" s="64">
        <v>0.19</v>
      </c>
      <c r="Q104" s="64">
        <v>9.02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-2.39</v>
      </c>
      <c r="C106" s="67">
        <f>MIN(C9:C104)</f>
        <v>1.6</v>
      </c>
      <c r="D106" s="67">
        <f t="shared" ref="D106:Q106" si="0">MIN(D9:D104)</f>
        <v>6.12</v>
      </c>
      <c r="E106" s="67">
        <f t="shared" si="0"/>
        <v>3.72</v>
      </c>
      <c r="F106" s="67">
        <f t="shared" si="0"/>
        <v>2.1</v>
      </c>
      <c r="G106" s="67">
        <f t="shared" si="0"/>
        <v>1.19</v>
      </c>
      <c r="H106" s="67">
        <f t="shared" si="0"/>
        <v>0.43</v>
      </c>
      <c r="I106" s="67">
        <f t="shared" si="0"/>
        <v>0.51</v>
      </c>
      <c r="J106" s="67">
        <f t="shared" si="0"/>
        <v>0.33</v>
      </c>
      <c r="K106" s="67">
        <f t="shared" si="0"/>
        <v>96.56</v>
      </c>
      <c r="L106" s="67">
        <f t="shared" si="0"/>
        <v>21.38</v>
      </c>
      <c r="M106" s="67">
        <f t="shared" si="0"/>
        <v>-29.5</v>
      </c>
      <c r="N106" s="67">
        <f t="shared" si="0"/>
        <v>38.5</v>
      </c>
      <c r="O106" s="67">
        <f t="shared" si="0"/>
        <v>0</v>
      </c>
      <c r="P106" s="67">
        <f t="shared" si="0"/>
        <v>0.04</v>
      </c>
      <c r="Q106" s="67">
        <f t="shared" si="0"/>
        <v>8.98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8.86</v>
      </c>
      <c r="C107" s="66">
        <f t="shared" ref="C107:Q107" si="1">MAX(C9:C104)</f>
        <v>12.01</v>
      </c>
      <c r="D107" s="66">
        <f t="shared" si="1"/>
        <v>11.57</v>
      </c>
      <c r="E107" s="66">
        <f t="shared" si="1"/>
        <v>5.44</v>
      </c>
      <c r="F107" s="66">
        <f t="shared" si="1"/>
        <v>10.36</v>
      </c>
      <c r="G107" s="66">
        <f t="shared" si="1"/>
        <v>30.28</v>
      </c>
      <c r="H107" s="66">
        <f t="shared" si="1"/>
        <v>21.37</v>
      </c>
      <c r="I107" s="66">
        <f t="shared" si="1"/>
        <v>1.1499999999999999</v>
      </c>
      <c r="J107" s="66">
        <f t="shared" si="1"/>
        <v>1.68</v>
      </c>
      <c r="K107" s="66">
        <f t="shared" si="1"/>
        <v>173.69</v>
      </c>
      <c r="L107" s="66">
        <f t="shared" si="1"/>
        <v>25.64</v>
      </c>
      <c r="M107" s="66">
        <f t="shared" si="1"/>
        <v>98.23</v>
      </c>
      <c r="N107" s="66">
        <f t="shared" si="1"/>
        <v>303.5</v>
      </c>
      <c r="O107" s="66">
        <f t="shared" si="1"/>
        <v>0</v>
      </c>
      <c r="P107" s="66">
        <f t="shared" si="1"/>
        <v>73.849999999999994</v>
      </c>
      <c r="Q107" s="66">
        <f t="shared" si="1"/>
        <v>9.1300000000000008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6.3637500000000005</v>
      </c>
      <c r="C108" s="67">
        <f t="shared" ref="C108:Q108" si="2">AVERAGE(C9:C104)</f>
        <v>6.9840625000000012</v>
      </c>
      <c r="D108" s="67">
        <f t="shared" si="2"/>
        <v>8.8946875000000016</v>
      </c>
      <c r="E108" s="67">
        <f t="shared" si="2"/>
        <v>4.9056249999999997</v>
      </c>
      <c r="F108" s="67">
        <f t="shared" si="2"/>
        <v>3.7534375</v>
      </c>
      <c r="G108" s="67">
        <f t="shared" si="2"/>
        <v>10.30462365591398</v>
      </c>
      <c r="H108" s="67">
        <f t="shared" si="2"/>
        <v>8.5917204301075323</v>
      </c>
      <c r="I108" s="67">
        <f t="shared" si="2"/>
        <v>0.73583333333333323</v>
      </c>
      <c r="J108" s="67">
        <f t="shared" si="2"/>
        <v>1.0158333333333334</v>
      </c>
      <c r="K108" s="67">
        <f t="shared" si="2"/>
        <v>128.38958333333338</v>
      </c>
      <c r="L108" s="67">
        <f t="shared" si="2"/>
        <v>23.321145833333336</v>
      </c>
      <c r="M108" s="67">
        <f t="shared" si="2"/>
        <v>92.489791666666633</v>
      </c>
      <c r="N108" s="67">
        <f t="shared" si="2"/>
        <v>76.588541666666615</v>
      </c>
      <c r="O108" s="67">
        <f t="shared" si="2"/>
        <v>0</v>
      </c>
      <c r="P108" s="67">
        <f t="shared" si="2"/>
        <v>0.97385416666666702</v>
      </c>
      <c r="Q108" s="67">
        <f t="shared" si="2"/>
        <v>9.0305208333333287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2.0070304065039895</v>
      </c>
      <c r="C109" s="67">
        <f t="shared" ref="C109:Q109" si="3">STDEV(C9:C104)</f>
        <v>2.1401837491820972</v>
      </c>
      <c r="D109" s="67">
        <f t="shared" si="3"/>
        <v>1.0059726407548615</v>
      </c>
      <c r="E109" s="67">
        <f t="shared" si="3"/>
        <v>0.24984126539612483</v>
      </c>
      <c r="F109" s="67">
        <f t="shared" si="3"/>
        <v>2.1294144626979912</v>
      </c>
      <c r="G109" s="67">
        <f t="shared" si="3"/>
        <v>8.0288544257219101</v>
      </c>
      <c r="H109" s="67">
        <f t="shared" si="3"/>
        <v>4.4564958996502888</v>
      </c>
      <c r="I109" s="67">
        <f t="shared" si="3"/>
        <v>0.12765633690059272</v>
      </c>
      <c r="J109" s="67">
        <f t="shared" si="3"/>
        <v>0.30849948107664887</v>
      </c>
      <c r="K109" s="67">
        <f t="shared" si="3"/>
        <v>14.047362885434353</v>
      </c>
      <c r="L109" s="67">
        <f t="shared" si="3"/>
        <v>1.0821721526552308</v>
      </c>
      <c r="M109" s="67">
        <f t="shared" si="3"/>
        <v>25.585770674513064</v>
      </c>
      <c r="N109" s="67">
        <f t="shared" si="3"/>
        <v>58.437516554083501</v>
      </c>
      <c r="O109" s="67">
        <f t="shared" si="3"/>
        <v>0</v>
      </c>
      <c r="P109" s="67">
        <f t="shared" si="3"/>
        <v>7.5164780904205353</v>
      </c>
      <c r="Q109" s="67">
        <f t="shared" si="3"/>
        <v>3.354085620683709E-2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0"/>
  <sheetViews>
    <sheetView zoomScale="84" zoomScaleNormal="84" workbookViewId="0">
      <selection activeCell="V106" sqref="V106"/>
    </sheetView>
  </sheetViews>
  <sheetFormatPr defaultRowHeight="15" x14ac:dyDescent="0.25"/>
  <cols>
    <col min="1" max="1" width="16.7109375" bestFit="1" customWidth="1"/>
    <col min="2" max="2" width="16.5703125" bestFit="1" customWidth="1"/>
  </cols>
  <sheetData>
    <row r="1" spans="1:22" ht="39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54"/>
    </row>
    <row r="2" spans="1:22" x14ac:dyDescent="0.25">
      <c r="A2" s="15" t="s">
        <v>0</v>
      </c>
      <c r="B2" s="108" t="str">
        <f>$A$9</f>
        <v>31/10/2025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  <c r="V2" s="54"/>
    </row>
    <row r="3" spans="1:22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  <c r="V3" s="54"/>
    </row>
    <row r="4" spans="1:22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  <c r="V4" s="54"/>
    </row>
    <row r="5" spans="1:22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54"/>
    </row>
    <row r="6" spans="1:22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  <c r="V6" s="54"/>
    </row>
    <row r="7" spans="1:22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  <c r="V7" s="54"/>
    </row>
    <row r="8" spans="1:22" x14ac:dyDescent="0.25">
      <c r="A8" s="15"/>
      <c r="B8" s="13" t="s">
        <v>51</v>
      </c>
      <c r="C8" s="13" t="s">
        <v>51</v>
      </c>
      <c r="D8" s="13" t="s">
        <v>226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  <c r="V8" s="54"/>
    </row>
    <row r="9" spans="1:22" x14ac:dyDescent="0.25">
      <c r="A9" s="211" t="s">
        <v>3128</v>
      </c>
      <c r="B9" s="64">
        <v>5.78</v>
      </c>
      <c r="C9" s="64">
        <v>5.31</v>
      </c>
      <c r="D9" s="64">
        <v>7.41</v>
      </c>
      <c r="E9" s="64">
        <v>4.2</v>
      </c>
      <c r="F9" s="64">
        <v>4.6500000000000004</v>
      </c>
      <c r="G9" s="64">
        <v>10.77</v>
      </c>
      <c r="H9" s="64">
        <v>1.6</v>
      </c>
      <c r="I9" s="64">
        <v>0.72</v>
      </c>
      <c r="J9" s="64">
        <v>0.34</v>
      </c>
      <c r="K9" s="64">
        <v>138.76</v>
      </c>
      <c r="L9" s="64">
        <v>22.3</v>
      </c>
      <c r="M9" s="64">
        <v>98.13</v>
      </c>
      <c r="N9" s="64">
        <v>40.299999999999997</v>
      </c>
      <c r="O9" s="64">
        <v>0</v>
      </c>
      <c r="P9" s="64">
        <v>0.18</v>
      </c>
      <c r="Q9" s="64">
        <v>9.02</v>
      </c>
      <c r="R9" s="198"/>
      <c r="S9" s="198"/>
      <c r="T9" s="198"/>
      <c r="U9" s="198"/>
      <c r="V9" s="12"/>
    </row>
    <row r="10" spans="1:22" x14ac:dyDescent="0.25">
      <c r="A10" s="211" t="s">
        <v>3129</v>
      </c>
      <c r="B10" s="64">
        <v>5.74</v>
      </c>
      <c r="C10" s="64">
        <v>5.28</v>
      </c>
      <c r="D10" s="64">
        <v>7.36</v>
      </c>
      <c r="E10" s="64">
        <v>3.55</v>
      </c>
      <c r="F10" s="64">
        <v>4.49</v>
      </c>
      <c r="G10" s="64">
        <v>9.73</v>
      </c>
      <c r="H10" s="64">
        <v>1.24</v>
      </c>
      <c r="I10" s="64">
        <v>0.71</v>
      </c>
      <c r="J10" s="64">
        <v>0.45</v>
      </c>
      <c r="K10" s="64">
        <v>131.24</v>
      </c>
      <c r="L10" s="64">
        <v>22.26</v>
      </c>
      <c r="M10" s="64">
        <v>98.13</v>
      </c>
      <c r="N10" s="64">
        <v>40.299999999999997</v>
      </c>
      <c r="O10" s="64">
        <v>0</v>
      </c>
      <c r="P10" s="64">
        <v>0.18</v>
      </c>
      <c r="Q10" s="64">
        <v>9</v>
      </c>
      <c r="R10" s="198"/>
      <c r="S10" s="198"/>
      <c r="T10" s="198"/>
      <c r="U10" s="198"/>
      <c r="V10" s="12"/>
    </row>
    <row r="11" spans="1:22" x14ac:dyDescent="0.25">
      <c r="A11" s="211" t="s">
        <v>3130</v>
      </c>
      <c r="B11" s="64">
        <v>5.51</v>
      </c>
      <c r="C11" s="64">
        <v>5.29</v>
      </c>
      <c r="D11" s="64">
        <v>7.19</v>
      </c>
      <c r="E11" s="64">
        <v>3.69</v>
      </c>
      <c r="F11" s="64">
        <v>6.39</v>
      </c>
      <c r="G11" s="64">
        <v>9.31</v>
      </c>
      <c r="H11" s="64">
        <v>1.22</v>
      </c>
      <c r="I11" s="64">
        <v>0.71</v>
      </c>
      <c r="J11" s="64">
        <v>0.32</v>
      </c>
      <c r="K11" s="64">
        <v>113.17</v>
      </c>
      <c r="L11" s="64">
        <v>22.24</v>
      </c>
      <c r="M11" s="64">
        <v>98.13</v>
      </c>
      <c r="N11" s="64">
        <v>40.200000000000003</v>
      </c>
      <c r="O11" s="64">
        <v>0</v>
      </c>
      <c r="P11" s="64">
        <v>0.17</v>
      </c>
      <c r="Q11" s="64">
        <v>9.01</v>
      </c>
      <c r="R11" s="198"/>
      <c r="S11" s="198"/>
      <c r="T11" s="198"/>
      <c r="U11" s="198"/>
      <c r="V11" s="12"/>
    </row>
    <row r="12" spans="1:22" x14ac:dyDescent="0.25">
      <c r="A12" s="211" t="s">
        <v>3131</v>
      </c>
      <c r="B12" s="64">
        <v>5.47</v>
      </c>
      <c r="C12" s="64">
        <v>5.26</v>
      </c>
      <c r="D12" s="64">
        <v>7.13</v>
      </c>
      <c r="E12" s="64">
        <v>3.82</v>
      </c>
      <c r="F12" s="64">
        <v>6.29</v>
      </c>
      <c r="G12" s="64">
        <v>9.31</v>
      </c>
      <c r="H12" s="64">
        <v>1.22</v>
      </c>
      <c r="I12" s="64">
        <v>0.71</v>
      </c>
      <c r="J12" s="64">
        <v>0.21</v>
      </c>
      <c r="K12" s="64">
        <v>139.32</v>
      </c>
      <c r="L12" s="64">
        <v>22.19</v>
      </c>
      <c r="M12" s="64">
        <v>98.13</v>
      </c>
      <c r="N12" s="64">
        <v>40</v>
      </c>
      <c r="O12" s="64">
        <v>0</v>
      </c>
      <c r="P12" s="64">
        <v>0.18</v>
      </c>
      <c r="Q12" s="64">
        <v>9.01</v>
      </c>
      <c r="R12" s="198"/>
      <c r="S12" s="198"/>
      <c r="T12" s="198"/>
      <c r="U12" s="198"/>
      <c r="V12" s="12"/>
    </row>
    <row r="13" spans="1:22" x14ac:dyDescent="0.25">
      <c r="A13" s="211" t="s">
        <v>3132</v>
      </c>
      <c r="B13" s="64">
        <v>5.82</v>
      </c>
      <c r="C13" s="64">
        <v>5.27</v>
      </c>
      <c r="D13" s="64">
        <v>7.42</v>
      </c>
      <c r="E13" s="64">
        <v>3.84</v>
      </c>
      <c r="F13" s="64">
        <v>3.8</v>
      </c>
      <c r="G13" s="64">
        <v>9.31</v>
      </c>
      <c r="H13" s="64">
        <v>1.22</v>
      </c>
      <c r="I13" s="64">
        <v>0.7</v>
      </c>
      <c r="J13" s="64">
        <v>0.11</v>
      </c>
      <c r="K13" s="64">
        <v>114.26</v>
      </c>
      <c r="L13" s="64">
        <v>22.18</v>
      </c>
      <c r="M13" s="64">
        <v>98.13</v>
      </c>
      <c r="N13" s="64">
        <v>39.9</v>
      </c>
      <c r="O13" s="64">
        <v>0</v>
      </c>
      <c r="P13" s="64">
        <v>0.25</v>
      </c>
      <c r="Q13" s="64">
        <v>9</v>
      </c>
      <c r="R13" s="198"/>
      <c r="S13" s="198"/>
      <c r="T13" s="198"/>
      <c r="U13" s="198"/>
      <c r="V13" s="12"/>
    </row>
    <row r="14" spans="1:22" x14ac:dyDescent="0.25">
      <c r="A14" s="211" t="s">
        <v>3133</v>
      </c>
      <c r="B14" s="64">
        <v>5.54</v>
      </c>
      <c r="C14" s="64">
        <v>5.19</v>
      </c>
      <c r="D14" s="64">
        <v>7.15</v>
      </c>
      <c r="E14" s="64">
        <v>3.8</v>
      </c>
      <c r="F14" s="64">
        <v>6.05</v>
      </c>
      <c r="G14" s="64">
        <v>8.4</v>
      </c>
      <c r="H14" s="64">
        <v>0.96</v>
      </c>
      <c r="I14" s="64">
        <v>0.7</v>
      </c>
      <c r="J14" s="64">
        <v>0.1</v>
      </c>
      <c r="K14" s="64">
        <v>163.82</v>
      </c>
      <c r="L14" s="64">
        <v>22.25</v>
      </c>
      <c r="M14" s="64">
        <v>98.13</v>
      </c>
      <c r="N14" s="64">
        <v>40</v>
      </c>
      <c r="O14" s="64">
        <v>0</v>
      </c>
      <c r="P14" s="64">
        <v>0.26</v>
      </c>
      <c r="Q14" s="64">
        <v>9</v>
      </c>
      <c r="R14" s="198"/>
      <c r="S14" s="198"/>
      <c r="T14" s="198"/>
      <c r="U14" s="198"/>
      <c r="V14" s="12"/>
    </row>
    <row r="15" spans="1:22" x14ac:dyDescent="0.25">
      <c r="A15" s="211" t="s">
        <v>3134</v>
      </c>
      <c r="B15" s="64">
        <v>5.79</v>
      </c>
      <c r="C15" s="64">
        <v>5.18</v>
      </c>
      <c r="D15" s="64">
        <v>7.35</v>
      </c>
      <c r="E15" s="64">
        <v>3.58</v>
      </c>
      <c r="F15" s="64">
        <v>3.75</v>
      </c>
      <c r="G15" s="64">
        <v>8.01</v>
      </c>
      <c r="H15" s="64">
        <v>0.95</v>
      </c>
      <c r="I15" s="64">
        <v>0.69</v>
      </c>
      <c r="J15" s="64">
        <v>0.15</v>
      </c>
      <c r="K15" s="64">
        <v>163.72</v>
      </c>
      <c r="L15" s="64">
        <v>22.33</v>
      </c>
      <c r="M15" s="64">
        <v>98.13</v>
      </c>
      <c r="N15" s="64">
        <v>40</v>
      </c>
      <c r="O15" s="64">
        <v>0</v>
      </c>
      <c r="P15" s="64">
        <v>0.27</v>
      </c>
      <c r="Q15" s="64">
        <v>8.99</v>
      </c>
      <c r="R15" s="198"/>
      <c r="S15" s="198"/>
      <c r="T15" s="198"/>
      <c r="U15" s="198"/>
      <c r="V15" s="12"/>
    </row>
    <row r="16" spans="1:22" x14ac:dyDescent="0.25">
      <c r="A16" s="211" t="s">
        <v>3135</v>
      </c>
      <c r="B16" s="64">
        <v>5.65</v>
      </c>
      <c r="C16" s="64">
        <v>5.09</v>
      </c>
      <c r="D16" s="64">
        <v>7.19</v>
      </c>
      <c r="E16" s="64">
        <v>3.81</v>
      </c>
      <c r="F16" s="64">
        <v>5.47</v>
      </c>
      <c r="G16" s="64">
        <v>8.01</v>
      </c>
      <c r="H16" s="64">
        <v>0.95</v>
      </c>
      <c r="I16" s="64">
        <v>0.69</v>
      </c>
      <c r="J16" s="64">
        <v>0.2</v>
      </c>
      <c r="K16" s="64">
        <v>137.85</v>
      </c>
      <c r="L16" s="64">
        <v>22.37</v>
      </c>
      <c r="M16" s="64">
        <v>98.13</v>
      </c>
      <c r="N16" s="64">
        <v>40.1</v>
      </c>
      <c r="O16" s="64">
        <v>0</v>
      </c>
      <c r="P16" s="64">
        <v>0.25</v>
      </c>
      <c r="Q16" s="64">
        <v>9</v>
      </c>
      <c r="R16" s="198"/>
      <c r="S16" s="198"/>
      <c r="T16" s="198"/>
      <c r="U16" s="198"/>
      <c r="V16" s="12"/>
    </row>
    <row r="17" spans="1:22" x14ac:dyDescent="0.25">
      <c r="A17" s="211" t="s">
        <v>3136</v>
      </c>
      <c r="B17" s="64">
        <v>5.29</v>
      </c>
      <c r="C17" s="64">
        <v>5.0999999999999996</v>
      </c>
      <c r="D17" s="64">
        <v>6.91</v>
      </c>
      <c r="E17" s="64">
        <v>3.78</v>
      </c>
      <c r="F17" s="64">
        <v>7.52</v>
      </c>
      <c r="G17" s="64">
        <v>8.01</v>
      </c>
      <c r="H17" s="64">
        <v>0.95</v>
      </c>
      <c r="I17" s="64">
        <v>0.69</v>
      </c>
      <c r="J17" s="64">
        <v>0.13</v>
      </c>
      <c r="K17" s="64">
        <v>136.38</v>
      </c>
      <c r="L17" s="64">
        <v>22.41</v>
      </c>
      <c r="M17" s="64">
        <v>98.13</v>
      </c>
      <c r="N17" s="64">
        <v>40.1</v>
      </c>
      <c r="O17" s="64">
        <v>0</v>
      </c>
      <c r="P17" s="64">
        <v>0.25</v>
      </c>
      <c r="Q17" s="64">
        <v>9.0299999999999994</v>
      </c>
      <c r="R17" s="198"/>
      <c r="S17" s="198"/>
      <c r="T17" s="198"/>
      <c r="U17" s="198"/>
      <c r="V17" s="12"/>
    </row>
    <row r="18" spans="1:22" x14ac:dyDescent="0.25">
      <c r="A18" s="211" t="s">
        <v>3137</v>
      </c>
      <c r="B18" s="64">
        <v>5.09</v>
      </c>
      <c r="C18" s="64">
        <v>5.27</v>
      </c>
      <c r="D18" s="64">
        <v>6.84</v>
      </c>
      <c r="E18" s="64">
        <v>3.85</v>
      </c>
      <c r="F18" s="64">
        <v>7.64</v>
      </c>
      <c r="G18" s="64">
        <v>9.52</v>
      </c>
      <c r="H18" s="64">
        <v>1.01</v>
      </c>
      <c r="I18" s="64">
        <v>0.69</v>
      </c>
      <c r="J18" s="64">
        <v>0.53</v>
      </c>
      <c r="K18" s="64">
        <v>133.34</v>
      </c>
      <c r="L18" s="64">
        <v>22.37</v>
      </c>
      <c r="M18" s="64">
        <v>98.13</v>
      </c>
      <c r="N18" s="64">
        <v>40.200000000000003</v>
      </c>
      <c r="O18" s="64">
        <v>0</v>
      </c>
      <c r="P18" s="64">
        <v>0.25</v>
      </c>
      <c r="Q18" s="64">
        <v>9.0399999999999991</v>
      </c>
      <c r="R18" s="198"/>
      <c r="S18" s="198"/>
      <c r="T18" s="198"/>
      <c r="U18" s="198"/>
      <c r="V18" s="12"/>
    </row>
    <row r="19" spans="1:22" x14ac:dyDescent="0.25">
      <c r="A19" s="211" t="s">
        <v>3138</v>
      </c>
      <c r="B19" s="64">
        <v>5.28</v>
      </c>
      <c r="C19" s="64">
        <v>5.25</v>
      </c>
      <c r="D19" s="64">
        <v>6.98</v>
      </c>
      <c r="E19" s="64">
        <v>3.65</v>
      </c>
      <c r="F19" s="64">
        <v>5.64</v>
      </c>
      <c r="G19" s="64">
        <v>10.17</v>
      </c>
      <c r="H19" s="64">
        <v>1.02</v>
      </c>
      <c r="I19" s="64">
        <v>0.69</v>
      </c>
      <c r="J19" s="64">
        <v>0.17</v>
      </c>
      <c r="K19" s="64">
        <v>181.68</v>
      </c>
      <c r="L19" s="64">
        <v>22.27</v>
      </c>
      <c r="M19" s="64">
        <v>98.13</v>
      </c>
      <c r="N19" s="64">
        <v>40.200000000000003</v>
      </c>
      <c r="O19" s="64">
        <v>0</v>
      </c>
      <c r="P19" s="64">
        <v>0.26</v>
      </c>
      <c r="Q19" s="64">
        <v>9.0500000000000007</v>
      </c>
      <c r="R19" s="198"/>
      <c r="S19" s="198"/>
      <c r="T19" s="198"/>
      <c r="U19" s="198"/>
      <c r="V19" s="12"/>
    </row>
    <row r="20" spans="1:22" x14ac:dyDescent="0.25">
      <c r="A20" s="211" t="s">
        <v>3139</v>
      </c>
      <c r="B20" s="64">
        <v>5.23</v>
      </c>
      <c r="C20" s="64">
        <v>5.16</v>
      </c>
      <c r="D20" s="64">
        <v>6.89</v>
      </c>
      <c r="E20" s="64">
        <v>3.82</v>
      </c>
      <c r="F20" s="64">
        <v>6.09</v>
      </c>
      <c r="G20" s="64">
        <v>10.17</v>
      </c>
      <c r="H20" s="64">
        <v>1.02</v>
      </c>
      <c r="I20" s="64">
        <v>0.69</v>
      </c>
      <c r="J20" s="64">
        <v>0.11</v>
      </c>
      <c r="K20" s="64">
        <v>131.88</v>
      </c>
      <c r="L20" s="64">
        <v>22.2</v>
      </c>
      <c r="M20" s="64">
        <v>98.15</v>
      </c>
      <c r="N20" s="64">
        <v>40.200000000000003</v>
      </c>
      <c r="O20" s="64">
        <v>0</v>
      </c>
      <c r="P20" s="64">
        <v>0.26</v>
      </c>
      <c r="Q20" s="64">
        <v>9.06</v>
      </c>
      <c r="R20" s="198"/>
      <c r="S20" s="198"/>
      <c r="T20" s="198"/>
      <c r="U20" s="198"/>
      <c r="V20" s="12"/>
    </row>
    <row r="21" spans="1:22" x14ac:dyDescent="0.25">
      <c r="A21" s="211" t="s">
        <v>3140</v>
      </c>
      <c r="B21" s="64">
        <v>5.14</v>
      </c>
      <c r="C21" s="64">
        <v>5.25</v>
      </c>
      <c r="D21" s="64">
        <v>6.87</v>
      </c>
      <c r="E21" s="64">
        <v>4</v>
      </c>
      <c r="F21" s="64">
        <v>5.98</v>
      </c>
      <c r="G21" s="64">
        <v>10.17</v>
      </c>
      <c r="H21" s="64">
        <v>1.02</v>
      </c>
      <c r="I21" s="64">
        <v>0.7</v>
      </c>
      <c r="J21" s="64">
        <v>0.06</v>
      </c>
      <c r="K21" s="64">
        <v>158.96</v>
      </c>
      <c r="L21" s="64">
        <v>22.19</v>
      </c>
      <c r="M21" s="64">
        <v>98.13</v>
      </c>
      <c r="N21" s="64">
        <v>40</v>
      </c>
      <c r="O21" s="64">
        <v>0</v>
      </c>
      <c r="P21" s="64">
        <v>0.26</v>
      </c>
      <c r="Q21" s="64">
        <v>9.06</v>
      </c>
      <c r="R21" s="198"/>
      <c r="S21" s="198"/>
      <c r="T21" s="198"/>
      <c r="U21" s="198"/>
      <c r="V21" s="12"/>
    </row>
    <row r="22" spans="1:22" x14ac:dyDescent="0.25">
      <c r="A22" s="211" t="s">
        <v>3141</v>
      </c>
      <c r="B22" s="64">
        <v>5.26</v>
      </c>
      <c r="C22" s="64">
        <v>5.21</v>
      </c>
      <c r="D22" s="64">
        <v>6.94</v>
      </c>
      <c r="E22" s="64">
        <v>4</v>
      </c>
      <c r="F22" s="64">
        <v>5.4</v>
      </c>
      <c r="G22" s="64">
        <v>8.14</v>
      </c>
      <c r="H22" s="64">
        <v>0.94</v>
      </c>
      <c r="I22" s="64">
        <v>0.7</v>
      </c>
      <c r="J22" s="64">
        <v>7.0000000000000007E-2</v>
      </c>
      <c r="K22" s="64">
        <v>240.28</v>
      </c>
      <c r="L22" s="64">
        <v>22.21</v>
      </c>
      <c r="M22" s="64">
        <v>98.14</v>
      </c>
      <c r="N22" s="64">
        <v>40</v>
      </c>
      <c r="O22" s="64">
        <v>0</v>
      </c>
      <c r="P22" s="64">
        <v>0.26</v>
      </c>
      <c r="Q22" s="64">
        <v>9.06</v>
      </c>
      <c r="R22" s="198"/>
      <c r="S22" s="198"/>
      <c r="T22" s="198"/>
      <c r="U22" s="198"/>
      <c r="V22" s="12"/>
    </row>
    <row r="23" spans="1:22" x14ac:dyDescent="0.25">
      <c r="A23" s="211" t="s">
        <v>3142</v>
      </c>
      <c r="B23" s="64">
        <v>5.33</v>
      </c>
      <c r="C23" s="64">
        <v>5.16</v>
      </c>
      <c r="D23" s="64">
        <v>6.97</v>
      </c>
      <c r="E23" s="64">
        <v>4</v>
      </c>
      <c r="F23" s="64">
        <v>5.71</v>
      </c>
      <c r="G23" s="64">
        <v>7.31</v>
      </c>
      <c r="H23" s="64">
        <v>0.93</v>
      </c>
      <c r="I23" s="64">
        <v>0.7</v>
      </c>
      <c r="J23" s="64">
        <v>0.09</v>
      </c>
      <c r="K23" s="64">
        <v>173.13</v>
      </c>
      <c r="L23" s="64">
        <v>22.23</v>
      </c>
      <c r="M23" s="64">
        <v>98.15</v>
      </c>
      <c r="N23" s="64">
        <v>40.200000000000003</v>
      </c>
      <c r="O23" s="64">
        <v>0</v>
      </c>
      <c r="P23" s="64">
        <v>0.26</v>
      </c>
      <c r="Q23" s="64">
        <v>9.06</v>
      </c>
      <c r="R23" s="198"/>
      <c r="S23" s="198"/>
      <c r="T23" s="198"/>
      <c r="U23" s="198"/>
      <c r="V23" s="12"/>
    </row>
    <row r="24" spans="1:22" x14ac:dyDescent="0.25">
      <c r="A24" s="211" t="s">
        <v>3143</v>
      </c>
      <c r="B24" s="64">
        <v>5.54</v>
      </c>
      <c r="C24" s="64">
        <v>5.12</v>
      </c>
      <c r="D24" s="64">
        <v>7.12</v>
      </c>
      <c r="E24" s="64">
        <v>4.0599999999999996</v>
      </c>
      <c r="F24" s="64">
        <v>4.95</v>
      </c>
      <c r="G24" s="64">
        <v>7.31</v>
      </c>
      <c r="H24" s="64">
        <v>0.93</v>
      </c>
      <c r="I24" s="64">
        <v>0.7</v>
      </c>
      <c r="J24" s="64">
        <v>0.15</v>
      </c>
      <c r="K24" s="64">
        <v>138.18</v>
      </c>
      <c r="L24" s="64">
        <v>22.19</v>
      </c>
      <c r="M24" s="64">
        <v>98.15</v>
      </c>
      <c r="N24" s="64">
        <v>40.299999999999997</v>
      </c>
      <c r="O24" s="64">
        <v>0</v>
      </c>
      <c r="P24" s="64">
        <v>0.27</v>
      </c>
      <c r="Q24" s="64">
        <v>9.0399999999999991</v>
      </c>
      <c r="R24" s="198"/>
      <c r="S24" s="198"/>
      <c r="T24" s="198"/>
      <c r="U24" s="198"/>
      <c r="V24" s="12"/>
    </row>
    <row r="25" spans="1:22" x14ac:dyDescent="0.25">
      <c r="A25" s="211" t="s">
        <v>3144</v>
      </c>
      <c r="B25" s="64">
        <v>5.73</v>
      </c>
      <c r="C25" s="64">
        <v>5.05</v>
      </c>
      <c r="D25" s="64">
        <v>7.24</v>
      </c>
      <c r="E25" s="64">
        <v>3.69</v>
      </c>
      <c r="F25" s="64">
        <v>3.73</v>
      </c>
      <c r="G25" s="64">
        <v>7.31</v>
      </c>
      <c r="H25" s="64">
        <v>0.93</v>
      </c>
      <c r="I25" s="64">
        <v>0.7</v>
      </c>
      <c r="J25" s="64">
        <v>0.18</v>
      </c>
      <c r="K25" s="64">
        <v>134.24</v>
      </c>
      <c r="L25" s="64">
        <v>22.23</v>
      </c>
      <c r="M25" s="64">
        <v>98.15</v>
      </c>
      <c r="N25" s="64">
        <v>40.4</v>
      </c>
      <c r="O25" s="64">
        <v>0</v>
      </c>
      <c r="P25" s="64">
        <v>0.27</v>
      </c>
      <c r="Q25" s="64">
        <v>8.99</v>
      </c>
      <c r="R25" s="198"/>
      <c r="S25" s="198"/>
      <c r="T25" s="198"/>
      <c r="U25" s="198"/>
      <c r="V25" s="12"/>
    </row>
    <row r="26" spans="1:22" x14ac:dyDescent="0.25">
      <c r="A26" s="211" t="s">
        <v>3145</v>
      </c>
      <c r="B26" s="64">
        <v>5.56</v>
      </c>
      <c r="C26" s="64">
        <v>5.1100000000000003</v>
      </c>
      <c r="D26" s="64">
        <v>7.13</v>
      </c>
      <c r="E26" s="64">
        <v>4.0599999999999996</v>
      </c>
      <c r="F26" s="64">
        <v>5.61</v>
      </c>
      <c r="G26" s="64">
        <v>5.78</v>
      </c>
      <c r="H26" s="64">
        <v>1.1299999999999999</v>
      </c>
      <c r="I26" s="64">
        <v>0.67</v>
      </c>
      <c r="J26" s="64">
        <v>0.11</v>
      </c>
      <c r="K26" s="64">
        <v>187.93</v>
      </c>
      <c r="L26" s="64">
        <v>22.22</v>
      </c>
      <c r="M26" s="64">
        <v>98.15</v>
      </c>
      <c r="N26" s="64">
        <v>40.4</v>
      </c>
      <c r="O26" s="64">
        <v>0</v>
      </c>
      <c r="P26" s="64">
        <v>0.25</v>
      </c>
      <c r="Q26" s="64">
        <v>8.99</v>
      </c>
      <c r="R26" s="198"/>
      <c r="S26" s="198"/>
      <c r="T26" s="198"/>
      <c r="U26" s="198"/>
      <c r="V26" s="12"/>
    </row>
    <row r="27" spans="1:22" x14ac:dyDescent="0.25">
      <c r="A27" s="211" t="s">
        <v>3146</v>
      </c>
      <c r="B27" s="64">
        <v>5.81</v>
      </c>
      <c r="C27" s="64">
        <v>4.88</v>
      </c>
      <c r="D27" s="64">
        <v>7.21</v>
      </c>
      <c r="E27" s="64">
        <v>3.87</v>
      </c>
      <c r="F27" s="64">
        <v>4.6100000000000003</v>
      </c>
      <c r="G27" s="64">
        <v>5.12</v>
      </c>
      <c r="H27" s="64">
        <v>1.1499999999999999</v>
      </c>
      <c r="I27" s="64">
        <v>0.65</v>
      </c>
      <c r="J27" s="64">
        <v>0.05</v>
      </c>
      <c r="K27" s="64">
        <v>210.34</v>
      </c>
      <c r="L27" s="64">
        <v>22.22</v>
      </c>
      <c r="M27" s="64">
        <v>98.17</v>
      </c>
      <c r="N27" s="64">
        <v>40.4</v>
      </c>
      <c r="O27" s="64">
        <v>0</v>
      </c>
      <c r="P27" s="64">
        <v>0.26</v>
      </c>
      <c r="Q27" s="64">
        <v>8.98</v>
      </c>
      <c r="R27" s="198"/>
      <c r="S27" s="198"/>
      <c r="T27" s="198"/>
      <c r="U27" s="198"/>
      <c r="V27" s="12"/>
    </row>
    <row r="28" spans="1:22" x14ac:dyDescent="0.25">
      <c r="A28" s="211" t="s">
        <v>3147</v>
      </c>
      <c r="B28" s="64">
        <v>5.68</v>
      </c>
      <c r="C28" s="64">
        <v>5.05</v>
      </c>
      <c r="D28" s="64">
        <v>7.19</v>
      </c>
      <c r="E28" s="64">
        <v>3.72</v>
      </c>
      <c r="F28" s="64">
        <v>3.14</v>
      </c>
      <c r="G28" s="64">
        <v>5.12</v>
      </c>
      <c r="H28" s="64">
        <v>1.1499999999999999</v>
      </c>
      <c r="I28" s="64">
        <v>0.64</v>
      </c>
      <c r="J28" s="64">
        <v>0.06</v>
      </c>
      <c r="K28" s="64">
        <v>205.23</v>
      </c>
      <c r="L28" s="64">
        <v>22.22</v>
      </c>
      <c r="M28" s="64">
        <v>98.16</v>
      </c>
      <c r="N28" s="64">
        <v>40.4</v>
      </c>
      <c r="O28" s="64">
        <v>0</v>
      </c>
      <c r="P28" s="64">
        <v>0.24</v>
      </c>
      <c r="Q28" s="64">
        <v>9</v>
      </c>
      <c r="R28" s="198"/>
      <c r="S28" s="198"/>
      <c r="T28" s="198"/>
      <c r="U28" s="198"/>
      <c r="V28" s="12"/>
    </row>
    <row r="29" spans="1:22" x14ac:dyDescent="0.25">
      <c r="A29" s="211" t="s">
        <v>3148</v>
      </c>
      <c r="B29" s="64">
        <v>5.62</v>
      </c>
      <c r="C29" s="64">
        <v>5.19</v>
      </c>
      <c r="D29" s="64">
        <v>7.22</v>
      </c>
      <c r="E29" s="64">
        <v>3.59</v>
      </c>
      <c r="F29" s="64">
        <v>3.93</v>
      </c>
      <c r="G29" s="64">
        <v>5.12</v>
      </c>
      <c r="H29" s="64">
        <v>1.1499999999999999</v>
      </c>
      <c r="I29" s="64">
        <v>0.64</v>
      </c>
      <c r="J29" s="64">
        <v>0.02</v>
      </c>
      <c r="K29" s="64">
        <v>177.76</v>
      </c>
      <c r="L29" s="64">
        <v>22.22</v>
      </c>
      <c r="M29" s="64">
        <v>98.17</v>
      </c>
      <c r="N29" s="64">
        <v>40.4</v>
      </c>
      <c r="O29" s="64">
        <v>0</v>
      </c>
      <c r="P29" s="64">
        <v>0.25</v>
      </c>
      <c r="Q29" s="64">
        <v>9.01</v>
      </c>
      <c r="R29" s="198"/>
      <c r="S29" s="198"/>
      <c r="T29" s="198"/>
      <c r="U29" s="198"/>
      <c r="V29" s="12"/>
    </row>
    <row r="30" spans="1:22" x14ac:dyDescent="0.25">
      <c r="A30" s="211" t="s">
        <v>3149</v>
      </c>
      <c r="B30" s="64">
        <v>5.77</v>
      </c>
      <c r="C30" s="64">
        <v>5.1100000000000003</v>
      </c>
      <c r="D30" s="64">
        <v>7.29</v>
      </c>
      <c r="E30" s="64">
        <v>3.72</v>
      </c>
      <c r="F30" s="64">
        <v>3.53</v>
      </c>
      <c r="G30" s="64">
        <v>4.04</v>
      </c>
      <c r="H30" s="64">
        <v>1.0900000000000001</v>
      </c>
      <c r="I30" s="64">
        <v>0.64</v>
      </c>
      <c r="J30" s="64">
        <v>0.26</v>
      </c>
      <c r="K30" s="64">
        <v>141.09</v>
      </c>
      <c r="L30" s="64">
        <v>22.21</v>
      </c>
      <c r="M30" s="64">
        <v>98.16</v>
      </c>
      <c r="N30" s="64">
        <v>40.4</v>
      </c>
      <c r="O30" s="64">
        <v>0</v>
      </c>
      <c r="P30" s="64">
        <v>0.25</v>
      </c>
      <c r="Q30" s="64">
        <v>8.99</v>
      </c>
      <c r="R30" s="198"/>
      <c r="S30" s="198"/>
      <c r="T30" s="198"/>
      <c r="U30" s="198"/>
      <c r="V30" s="12"/>
    </row>
    <row r="31" spans="1:22" x14ac:dyDescent="0.25">
      <c r="A31" s="211" t="s">
        <v>3150</v>
      </c>
      <c r="B31" s="64">
        <v>5.74</v>
      </c>
      <c r="C31" s="64">
        <v>5.17</v>
      </c>
      <c r="D31" s="64">
        <v>7.3</v>
      </c>
      <c r="E31" s="64">
        <v>3.63</v>
      </c>
      <c r="F31" s="64">
        <v>4.49</v>
      </c>
      <c r="G31" s="64">
        <v>3.58</v>
      </c>
      <c r="H31" s="64">
        <v>1.0900000000000001</v>
      </c>
      <c r="I31" s="64">
        <v>0.63</v>
      </c>
      <c r="J31" s="64">
        <v>0.44</v>
      </c>
      <c r="K31" s="64">
        <v>129.41</v>
      </c>
      <c r="L31" s="64">
        <v>22.2</v>
      </c>
      <c r="M31" s="64">
        <v>98.18</v>
      </c>
      <c r="N31" s="64">
        <v>40.4</v>
      </c>
      <c r="O31" s="64">
        <v>0</v>
      </c>
      <c r="P31" s="64">
        <v>0.25</v>
      </c>
      <c r="Q31" s="64">
        <v>9</v>
      </c>
      <c r="R31" s="198"/>
      <c r="S31" s="198"/>
      <c r="T31" s="198"/>
      <c r="U31" s="198"/>
      <c r="V31" s="12"/>
    </row>
    <row r="32" spans="1:22" x14ac:dyDescent="0.25">
      <c r="A32" s="211" t="s">
        <v>3151</v>
      </c>
      <c r="B32" s="64">
        <v>5.74</v>
      </c>
      <c r="C32" s="64">
        <v>5.41</v>
      </c>
      <c r="D32" s="64">
        <v>7.43</v>
      </c>
      <c r="E32" s="64">
        <v>3.94</v>
      </c>
      <c r="F32" s="64">
        <v>3.71</v>
      </c>
      <c r="G32" s="64">
        <v>3.58</v>
      </c>
      <c r="H32" s="64">
        <v>1.0900000000000001</v>
      </c>
      <c r="I32" s="64">
        <v>0.62</v>
      </c>
      <c r="J32" s="64">
        <v>0.16</v>
      </c>
      <c r="K32" s="64">
        <v>149.26</v>
      </c>
      <c r="L32" s="64">
        <v>22.2</v>
      </c>
      <c r="M32" s="64">
        <v>98.18</v>
      </c>
      <c r="N32" s="64">
        <v>40.9</v>
      </c>
      <c r="O32" s="64">
        <v>0</v>
      </c>
      <c r="P32" s="64">
        <v>0.24</v>
      </c>
      <c r="Q32" s="64">
        <v>9</v>
      </c>
      <c r="R32" s="198"/>
      <c r="S32" s="198"/>
      <c r="T32" s="198"/>
      <c r="U32" s="198"/>
      <c r="V32" s="12"/>
    </row>
    <row r="33" spans="1:22" x14ac:dyDescent="0.25">
      <c r="A33" s="211" t="s">
        <v>3152</v>
      </c>
      <c r="B33" s="64">
        <v>5.81</v>
      </c>
      <c r="C33" s="64">
        <v>5.46</v>
      </c>
      <c r="D33" s="64">
        <v>7.51</v>
      </c>
      <c r="E33" s="64">
        <v>3.81</v>
      </c>
      <c r="F33" s="64">
        <v>5.24</v>
      </c>
      <c r="G33" s="64">
        <v>3.58</v>
      </c>
      <c r="H33" s="64">
        <v>1.0900000000000001</v>
      </c>
      <c r="I33" s="64">
        <v>0.62</v>
      </c>
      <c r="J33" s="64">
        <v>0.05</v>
      </c>
      <c r="K33" s="64">
        <v>213.67</v>
      </c>
      <c r="L33" s="64">
        <v>22.25</v>
      </c>
      <c r="M33" s="64">
        <v>98.18</v>
      </c>
      <c r="N33" s="64">
        <v>43.2</v>
      </c>
      <c r="O33" s="64">
        <v>0</v>
      </c>
      <c r="P33" s="64">
        <v>0.25</v>
      </c>
      <c r="Q33" s="64">
        <v>9</v>
      </c>
      <c r="R33" s="198"/>
      <c r="S33" s="198"/>
      <c r="T33" s="198"/>
      <c r="U33" s="198"/>
      <c r="V33" s="12"/>
    </row>
    <row r="34" spans="1:22" x14ac:dyDescent="0.25">
      <c r="A34" s="211" t="s">
        <v>3153</v>
      </c>
      <c r="B34" s="64">
        <v>5.8</v>
      </c>
      <c r="C34" s="64">
        <v>5.7</v>
      </c>
      <c r="D34" s="64">
        <v>7.62</v>
      </c>
      <c r="E34" s="64">
        <v>3.8</v>
      </c>
      <c r="F34" s="64">
        <v>5.19</v>
      </c>
      <c r="G34" s="64">
        <v>4.47</v>
      </c>
      <c r="H34" s="64">
        <v>0.97</v>
      </c>
      <c r="I34" s="64">
        <v>0.62</v>
      </c>
      <c r="J34" s="64">
        <v>0.08</v>
      </c>
      <c r="K34" s="64">
        <v>143.16999999999999</v>
      </c>
      <c r="L34" s="64">
        <v>22.31</v>
      </c>
      <c r="M34" s="64">
        <v>98.16</v>
      </c>
      <c r="N34" s="64">
        <v>52.5</v>
      </c>
      <c r="O34" s="64">
        <v>0</v>
      </c>
      <c r="P34" s="64">
        <v>0.25</v>
      </c>
      <c r="Q34" s="64">
        <v>8.99</v>
      </c>
      <c r="R34" s="198"/>
      <c r="S34" s="198"/>
      <c r="T34" s="198"/>
      <c r="U34" s="198"/>
      <c r="V34" s="12"/>
    </row>
    <row r="35" spans="1:22" x14ac:dyDescent="0.25">
      <c r="A35" s="211" t="s">
        <v>3154</v>
      </c>
      <c r="B35" s="64">
        <v>5.57</v>
      </c>
      <c r="C35" s="64">
        <v>5.89</v>
      </c>
      <c r="D35" s="64">
        <v>7.54</v>
      </c>
      <c r="E35" s="64">
        <v>3.58</v>
      </c>
      <c r="F35" s="64">
        <v>6.75</v>
      </c>
      <c r="G35" s="64">
        <v>4.83</v>
      </c>
      <c r="H35" s="64">
        <v>0.97</v>
      </c>
      <c r="I35" s="64">
        <v>0.61</v>
      </c>
      <c r="J35" s="64">
        <v>0.04</v>
      </c>
      <c r="K35" s="64">
        <v>222.02</v>
      </c>
      <c r="L35" s="64">
        <v>22.47</v>
      </c>
      <c r="M35" s="64">
        <v>98.14</v>
      </c>
      <c r="N35" s="64">
        <v>63.1</v>
      </c>
      <c r="O35" s="64">
        <v>0</v>
      </c>
      <c r="P35" s="64">
        <v>0.24</v>
      </c>
      <c r="Q35" s="64">
        <v>9.01</v>
      </c>
      <c r="R35" s="198"/>
      <c r="S35" s="198"/>
      <c r="T35" s="198"/>
      <c r="U35" s="198"/>
      <c r="V35" s="12"/>
    </row>
    <row r="36" spans="1:22" x14ac:dyDescent="0.25">
      <c r="A36" s="211" t="s">
        <v>3155</v>
      </c>
      <c r="B36" s="64">
        <v>5.56</v>
      </c>
      <c r="C36" s="64">
        <v>5.84</v>
      </c>
      <c r="D36" s="64">
        <v>7.51</v>
      </c>
      <c r="E36" s="64">
        <v>3.47</v>
      </c>
      <c r="F36" s="64">
        <v>5.51</v>
      </c>
      <c r="G36" s="64">
        <v>4.83</v>
      </c>
      <c r="H36" s="64">
        <v>0.97</v>
      </c>
      <c r="I36" s="64">
        <v>0.62</v>
      </c>
      <c r="J36" s="64">
        <v>7.0000000000000007E-2</v>
      </c>
      <c r="K36" s="64">
        <v>246.83</v>
      </c>
      <c r="L36" s="64">
        <v>22.53</v>
      </c>
      <c r="M36" s="64">
        <v>98.15</v>
      </c>
      <c r="N36" s="64">
        <v>57.4</v>
      </c>
      <c r="O36" s="64">
        <v>0</v>
      </c>
      <c r="P36" s="64">
        <v>0.26</v>
      </c>
      <c r="Q36" s="64">
        <v>9.0299999999999994</v>
      </c>
      <c r="R36" s="198"/>
      <c r="S36" s="198"/>
      <c r="T36" s="198"/>
      <c r="U36" s="198"/>
      <c r="V36" s="12"/>
    </row>
    <row r="37" spans="1:22" x14ac:dyDescent="0.25">
      <c r="A37" s="211" t="s">
        <v>3156</v>
      </c>
      <c r="B37" s="64">
        <v>5.65</v>
      </c>
      <c r="C37" s="64">
        <v>5.88</v>
      </c>
      <c r="D37" s="64">
        <v>7.6</v>
      </c>
      <c r="E37" s="64">
        <v>3.73</v>
      </c>
      <c r="F37" s="64">
        <v>6.12</v>
      </c>
      <c r="G37" s="64">
        <v>4.83</v>
      </c>
      <c r="H37" s="64">
        <v>0.97</v>
      </c>
      <c r="I37" s="64">
        <v>0.64</v>
      </c>
      <c r="J37" s="64">
        <v>0.04</v>
      </c>
      <c r="K37" s="64">
        <v>224.04</v>
      </c>
      <c r="L37" s="64">
        <v>22.62</v>
      </c>
      <c r="M37" s="64">
        <v>98.15</v>
      </c>
      <c r="N37" s="64">
        <v>61.1</v>
      </c>
      <c r="O37" s="64">
        <v>0</v>
      </c>
      <c r="P37" s="64">
        <v>0.25</v>
      </c>
      <c r="Q37" s="64">
        <v>9.0299999999999994</v>
      </c>
      <c r="R37" s="198"/>
      <c r="S37" s="198"/>
      <c r="T37" s="198"/>
      <c r="U37" s="198"/>
      <c r="V37" s="12"/>
    </row>
    <row r="38" spans="1:22" x14ac:dyDescent="0.25">
      <c r="A38" s="211" t="s">
        <v>3157</v>
      </c>
      <c r="B38" s="64">
        <v>5.51</v>
      </c>
      <c r="C38" s="64">
        <v>6.02</v>
      </c>
      <c r="D38" s="64">
        <v>7.57</v>
      </c>
      <c r="E38" s="64">
        <v>3.6</v>
      </c>
      <c r="F38" s="64">
        <v>5.99</v>
      </c>
      <c r="G38" s="64">
        <v>3.8</v>
      </c>
      <c r="H38" s="64">
        <v>0.88</v>
      </c>
      <c r="I38" s="64">
        <v>0.65</v>
      </c>
      <c r="J38" s="64">
        <v>0.09</v>
      </c>
      <c r="K38" s="64">
        <v>215.93</v>
      </c>
      <c r="L38" s="64">
        <v>22.63</v>
      </c>
      <c r="M38" s="64">
        <v>98.15</v>
      </c>
      <c r="N38" s="64">
        <v>57.1</v>
      </c>
      <c r="O38" s="64">
        <v>0</v>
      </c>
      <c r="P38" s="64">
        <v>0.28000000000000003</v>
      </c>
      <c r="Q38" s="64">
        <v>9.0299999999999994</v>
      </c>
      <c r="R38" s="198"/>
      <c r="S38" s="198"/>
      <c r="T38" s="198"/>
      <c r="U38" s="198"/>
      <c r="V38" s="12"/>
    </row>
    <row r="39" spans="1:22" x14ac:dyDescent="0.25">
      <c r="A39" s="211" t="s">
        <v>3158</v>
      </c>
      <c r="B39" s="64">
        <v>5.62</v>
      </c>
      <c r="C39" s="64">
        <v>6.19</v>
      </c>
      <c r="D39" s="64">
        <v>7.74</v>
      </c>
      <c r="E39" s="64">
        <v>3.55</v>
      </c>
      <c r="F39" s="64">
        <v>6.13</v>
      </c>
      <c r="G39" s="64">
        <v>3.38</v>
      </c>
      <c r="H39" s="64">
        <v>0.87</v>
      </c>
      <c r="I39" s="64">
        <v>0.65</v>
      </c>
      <c r="J39" s="64">
        <v>7.0000000000000007E-2</v>
      </c>
      <c r="K39" s="64">
        <v>237.34</v>
      </c>
      <c r="L39" s="64">
        <v>22.56</v>
      </c>
      <c r="M39" s="64">
        <v>98.16</v>
      </c>
      <c r="N39" s="64">
        <v>64.099999999999994</v>
      </c>
      <c r="O39" s="64">
        <v>0</v>
      </c>
      <c r="P39" s="64">
        <v>0.28000000000000003</v>
      </c>
      <c r="Q39" s="64">
        <v>9.0399999999999991</v>
      </c>
      <c r="R39" s="198"/>
      <c r="S39" s="198"/>
      <c r="T39" s="198"/>
      <c r="U39" s="198"/>
      <c r="V39" s="12"/>
    </row>
    <row r="40" spans="1:22" x14ac:dyDescent="0.25">
      <c r="A40" s="211" t="s">
        <v>3159</v>
      </c>
      <c r="B40" s="64">
        <v>5.77</v>
      </c>
      <c r="C40" s="64">
        <v>6.09</v>
      </c>
      <c r="D40" s="64">
        <v>7.81</v>
      </c>
      <c r="E40" s="64">
        <v>4</v>
      </c>
      <c r="F40" s="64">
        <v>6.5</v>
      </c>
      <c r="G40" s="64">
        <v>3.38</v>
      </c>
      <c r="H40" s="64">
        <v>0.87</v>
      </c>
      <c r="I40" s="64">
        <v>0.66</v>
      </c>
      <c r="J40" s="64">
        <v>0.09</v>
      </c>
      <c r="K40" s="64">
        <v>249.69</v>
      </c>
      <c r="L40" s="64">
        <v>22.56</v>
      </c>
      <c r="M40" s="64">
        <v>98.18</v>
      </c>
      <c r="N40" s="64">
        <v>67.8</v>
      </c>
      <c r="O40" s="64">
        <v>0</v>
      </c>
      <c r="P40" s="64">
        <v>0.28000000000000003</v>
      </c>
      <c r="Q40" s="64">
        <v>9.0399999999999991</v>
      </c>
      <c r="R40" s="198"/>
      <c r="S40" s="198"/>
      <c r="T40" s="198"/>
      <c r="U40" s="198"/>
      <c r="V40" s="12"/>
    </row>
    <row r="41" spans="1:22" x14ac:dyDescent="0.25">
      <c r="A41" s="211" t="s">
        <v>3160</v>
      </c>
      <c r="B41" s="64">
        <v>5.84</v>
      </c>
      <c r="C41" s="64">
        <v>5.97</v>
      </c>
      <c r="D41" s="64">
        <v>7.81</v>
      </c>
      <c r="E41" s="64">
        <v>4.24</v>
      </c>
      <c r="F41" s="64">
        <v>5.91</v>
      </c>
      <c r="G41" s="64">
        <v>3.38</v>
      </c>
      <c r="H41" s="64">
        <v>0.87</v>
      </c>
      <c r="I41" s="64">
        <v>0.67</v>
      </c>
      <c r="J41" s="64">
        <v>0.12</v>
      </c>
      <c r="K41" s="64">
        <v>223</v>
      </c>
      <c r="L41" s="64">
        <v>22.68</v>
      </c>
      <c r="M41" s="64">
        <v>98.16</v>
      </c>
      <c r="N41" s="64">
        <v>82.9</v>
      </c>
      <c r="O41" s="64">
        <v>0</v>
      </c>
      <c r="P41" s="64">
        <v>0.28999999999999998</v>
      </c>
      <c r="Q41" s="64">
        <v>9.0500000000000007</v>
      </c>
      <c r="R41" s="198"/>
      <c r="S41" s="198"/>
      <c r="T41" s="198"/>
      <c r="U41" s="198"/>
      <c r="V41" s="12"/>
    </row>
    <row r="42" spans="1:22" x14ac:dyDescent="0.25">
      <c r="A42" s="211" t="s">
        <v>3161</v>
      </c>
      <c r="B42" s="64">
        <v>6.14</v>
      </c>
      <c r="C42" s="64">
        <v>5.5</v>
      </c>
      <c r="D42" s="64">
        <v>7.8</v>
      </c>
      <c r="E42" s="64">
        <v>4.2300000000000004</v>
      </c>
      <c r="F42" s="64">
        <v>4.45</v>
      </c>
      <c r="G42" s="64">
        <v>3.12</v>
      </c>
      <c r="H42" s="64">
        <v>0.93</v>
      </c>
      <c r="I42" s="64">
        <v>0.69</v>
      </c>
      <c r="J42" s="64">
        <v>0.08</v>
      </c>
      <c r="K42" s="64">
        <v>225.29</v>
      </c>
      <c r="L42" s="64">
        <v>22.82</v>
      </c>
      <c r="M42" s="64">
        <v>98.15</v>
      </c>
      <c r="N42" s="64">
        <v>82</v>
      </c>
      <c r="O42" s="64">
        <v>0</v>
      </c>
      <c r="P42" s="64">
        <v>0.28000000000000003</v>
      </c>
      <c r="Q42" s="64">
        <v>9.0299999999999994</v>
      </c>
      <c r="R42" s="198"/>
      <c r="S42" s="198"/>
      <c r="T42" s="198"/>
      <c r="U42" s="198"/>
      <c r="V42" s="12"/>
    </row>
    <row r="43" spans="1:22" x14ac:dyDescent="0.25">
      <c r="A43" s="211" t="s">
        <v>3162</v>
      </c>
      <c r="B43" s="64">
        <v>6.18</v>
      </c>
      <c r="C43" s="64">
        <v>5.48</v>
      </c>
      <c r="D43" s="64">
        <v>7.81</v>
      </c>
      <c r="E43" s="64">
        <v>4.3</v>
      </c>
      <c r="F43" s="64">
        <v>3.87</v>
      </c>
      <c r="G43" s="64">
        <v>3.02</v>
      </c>
      <c r="H43" s="64">
        <v>0.94</v>
      </c>
      <c r="I43" s="64">
        <v>0.7</v>
      </c>
      <c r="J43" s="64">
        <v>0.12</v>
      </c>
      <c r="K43" s="64">
        <v>233.11</v>
      </c>
      <c r="L43" s="64">
        <v>22.88</v>
      </c>
      <c r="M43" s="64">
        <v>98.16</v>
      </c>
      <c r="N43" s="64">
        <v>82.2</v>
      </c>
      <c r="O43" s="64">
        <v>0</v>
      </c>
      <c r="P43" s="64">
        <v>0.28000000000000003</v>
      </c>
      <c r="Q43" s="64">
        <v>9.01</v>
      </c>
      <c r="R43" s="198"/>
      <c r="S43" s="198"/>
      <c r="T43" s="198"/>
      <c r="U43" s="198"/>
      <c r="V43" s="12"/>
    </row>
    <row r="44" spans="1:22" x14ac:dyDescent="0.25">
      <c r="A44" s="211" t="s">
        <v>3163</v>
      </c>
      <c r="B44" s="64">
        <v>6.26</v>
      </c>
      <c r="C44" s="64">
        <v>5.23</v>
      </c>
      <c r="D44" s="64">
        <v>7.75</v>
      </c>
      <c r="E44" s="64">
        <v>4.21</v>
      </c>
      <c r="F44" s="64">
        <v>5.72</v>
      </c>
      <c r="G44" s="64">
        <v>3.02</v>
      </c>
      <c r="H44" s="64">
        <v>0.94</v>
      </c>
      <c r="I44" s="64">
        <v>0.7</v>
      </c>
      <c r="J44" s="64">
        <v>0.12</v>
      </c>
      <c r="K44" s="64">
        <v>282.70999999999998</v>
      </c>
      <c r="L44" s="64">
        <v>23.02</v>
      </c>
      <c r="M44" s="64">
        <v>98.17</v>
      </c>
      <c r="N44" s="64">
        <v>110.5</v>
      </c>
      <c r="O44" s="64">
        <v>0</v>
      </c>
      <c r="P44" s="64">
        <v>0.28999999999999998</v>
      </c>
      <c r="Q44" s="64">
        <v>9.01</v>
      </c>
      <c r="R44" s="198"/>
      <c r="S44" s="198"/>
      <c r="T44" s="198"/>
      <c r="U44" s="198"/>
      <c r="V44" s="12"/>
    </row>
    <row r="45" spans="1:22" x14ac:dyDescent="0.25">
      <c r="A45" s="211" t="s">
        <v>3164</v>
      </c>
      <c r="B45" s="64">
        <v>6.89</v>
      </c>
      <c r="C45" s="64">
        <v>5.37</v>
      </c>
      <c r="D45" s="64">
        <v>8.33</v>
      </c>
      <c r="E45" s="64">
        <v>4.24</v>
      </c>
      <c r="F45" s="64">
        <v>3.77</v>
      </c>
      <c r="G45" s="64">
        <v>3.02</v>
      </c>
      <c r="H45" s="64">
        <v>0.94</v>
      </c>
      <c r="I45" s="64">
        <v>0.71</v>
      </c>
      <c r="J45" s="64">
        <v>0.06</v>
      </c>
      <c r="K45" s="64">
        <v>287.83</v>
      </c>
      <c r="L45" s="64">
        <v>23.42</v>
      </c>
      <c r="M45" s="64">
        <v>98.12</v>
      </c>
      <c r="N45" s="64">
        <v>159.9</v>
      </c>
      <c r="O45" s="64">
        <v>0</v>
      </c>
      <c r="P45" s="64">
        <v>0.28999999999999998</v>
      </c>
      <c r="Q45" s="64">
        <v>9.01</v>
      </c>
      <c r="R45" s="198"/>
      <c r="S45" s="198"/>
      <c r="T45" s="198"/>
      <c r="U45" s="198"/>
      <c r="V45" s="12"/>
    </row>
    <row r="46" spans="1:22" x14ac:dyDescent="0.25">
      <c r="A46" s="211" t="s">
        <v>3165</v>
      </c>
      <c r="B46" s="64">
        <v>6.94</v>
      </c>
      <c r="C46" s="64">
        <v>5.24</v>
      </c>
      <c r="D46" s="64">
        <v>8.3000000000000007</v>
      </c>
      <c r="E46" s="64">
        <v>4.1399999999999997</v>
      </c>
      <c r="F46" s="64">
        <v>5.13</v>
      </c>
      <c r="G46" s="64">
        <v>5.61</v>
      </c>
      <c r="H46" s="64">
        <v>0.95</v>
      </c>
      <c r="I46" s="64">
        <v>0.73</v>
      </c>
      <c r="J46" s="64">
        <v>7.0000000000000007E-2</v>
      </c>
      <c r="K46" s="64">
        <v>307.76</v>
      </c>
      <c r="L46" s="64">
        <v>24.2</v>
      </c>
      <c r="M46" s="64">
        <v>98.08</v>
      </c>
      <c r="N46" s="64">
        <v>229.3</v>
      </c>
      <c r="O46" s="64">
        <v>0</v>
      </c>
      <c r="P46" s="64">
        <v>0.3</v>
      </c>
      <c r="Q46" s="64">
        <v>9</v>
      </c>
      <c r="R46" s="198"/>
      <c r="S46" s="198"/>
      <c r="T46" s="198"/>
      <c r="U46" s="198"/>
      <c r="V46" s="12"/>
    </row>
    <row r="47" spans="1:22" x14ac:dyDescent="0.25">
      <c r="A47" s="211" t="s">
        <v>3166</v>
      </c>
      <c r="B47" s="64">
        <v>6.43</v>
      </c>
      <c r="C47" s="64">
        <v>5.54</v>
      </c>
      <c r="D47" s="64">
        <v>8.0500000000000007</v>
      </c>
      <c r="E47" s="64">
        <v>4.33</v>
      </c>
      <c r="F47" s="64">
        <v>2.27</v>
      </c>
      <c r="G47" s="64">
        <v>6.73</v>
      </c>
      <c r="H47" s="64">
        <v>0.95</v>
      </c>
      <c r="I47" s="64">
        <v>0.75</v>
      </c>
      <c r="J47" s="64">
        <v>0.21</v>
      </c>
      <c r="K47" s="64">
        <v>295.06</v>
      </c>
      <c r="L47" s="64">
        <v>24.74</v>
      </c>
      <c r="M47" s="64">
        <v>98.02</v>
      </c>
      <c r="N47" s="64">
        <v>335.6</v>
      </c>
      <c r="O47" s="64">
        <v>0</v>
      </c>
      <c r="P47" s="64">
        <v>0.28999999999999998</v>
      </c>
      <c r="Q47" s="64">
        <v>9</v>
      </c>
      <c r="R47" s="198"/>
      <c r="S47" s="198"/>
      <c r="T47" s="198"/>
      <c r="U47" s="198"/>
      <c r="V47" s="12"/>
    </row>
    <row r="48" spans="1:22" x14ac:dyDescent="0.25">
      <c r="A48" s="211" t="s">
        <v>3167</v>
      </c>
      <c r="B48" s="64">
        <v>6.04</v>
      </c>
      <c r="C48" s="64">
        <v>6.14</v>
      </c>
      <c r="D48" s="64">
        <v>8.0500000000000007</v>
      </c>
      <c r="E48" s="64">
        <v>4.28</v>
      </c>
      <c r="F48" s="64">
        <v>5.08</v>
      </c>
      <c r="G48" s="64">
        <v>6.73</v>
      </c>
      <c r="H48" s="64">
        <v>0.95</v>
      </c>
      <c r="I48" s="64">
        <v>0.77</v>
      </c>
      <c r="J48" s="64">
        <v>0.28000000000000003</v>
      </c>
      <c r="K48" s="64">
        <v>288.16000000000003</v>
      </c>
      <c r="L48" s="64">
        <v>25.72</v>
      </c>
      <c r="M48" s="64">
        <v>97.48</v>
      </c>
      <c r="N48" s="64">
        <v>315.3</v>
      </c>
      <c r="O48" s="64">
        <v>0</v>
      </c>
      <c r="P48" s="64">
        <v>0.32</v>
      </c>
      <c r="Q48" s="64">
        <v>9.01</v>
      </c>
      <c r="R48" s="198"/>
      <c r="S48" s="198"/>
      <c r="T48" s="198"/>
      <c r="U48" s="198"/>
      <c r="V48" s="12"/>
    </row>
    <row r="49" spans="1:22" x14ac:dyDescent="0.25">
      <c r="A49" s="211" t="s">
        <v>3168</v>
      </c>
      <c r="B49" s="64">
        <v>5.36</v>
      </c>
      <c r="C49" s="64">
        <v>7.2</v>
      </c>
      <c r="D49" s="64">
        <v>8.06</v>
      </c>
      <c r="E49" s="64">
        <v>4.16</v>
      </c>
      <c r="F49" s="64">
        <v>2.6</v>
      </c>
      <c r="G49" s="64">
        <v>6.73</v>
      </c>
      <c r="H49" s="64">
        <v>0.95</v>
      </c>
      <c r="I49" s="64">
        <v>0.79</v>
      </c>
      <c r="J49" s="64">
        <v>0.28000000000000003</v>
      </c>
      <c r="K49" s="64">
        <v>294.73</v>
      </c>
      <c r="L49" s="64">
        <v>25.95</v>
      </c>
      <c r="M49" s="64">
        <v>97.03</v>
      </c>
      <c r="N49" s="64">
        <v>587.5</v>
      </c>
      <c r="O49" s="64">
        <v>0</v>
      </c>
      <c r="P49" s="64">
        <v>0.33</v>
      </c>
      <c r="Q49" s="64">
        <v>9</v>
      </c>
      <c r="R49" s="198"/>
      <c r="S49" s="198"/>
      <c r="T49" s="198"/>
      <c r="U49" s="198"/>
      <c r="V49" s="12"/>
    </row>
    <row r="50" spans="1:22" x14ac:dyDescent="0.25">
      <c r="A50" s="211" t="s">
        <v>3169</v>
      </c>
      <c r="B50" s="64">
        <v>4.79</v>
      </c>
      <c r="C50" s="64">
        <v>7.75</v>
      </c>
      <c r="D50" s="64">
        <v>7.89</v>
      </c>
      <c r="E50" s="64">
        <v>4.17</v>
      </c>
      <c r="F50" s="64">
        <v>3.73</v>
      </c>
      <c r="G50" s="64">
        <v>8.8699999999999992</v>
      </c>
      <c r="H50" s="64">
        <v>0.93</v>
      </c>
      <c r="I50" s="64">
        <v>0.81</v>
      </c>
      <c r="J50" s="64">
        <v>0.24</v>
      </c>
      <c r="K50" s="64">
        <v>279.04000000000002</v>
      </c>
      <c r="L50" s="64">
        <v>26.72</v>
      </c>
      <c r="M50" s="64">
        <v>94.37</v>
      </c>
      <c r="N50" s="64">
        <v>544</v>
      </c>
      <c r="O50" s="64">
        <v>0</v>
      </c>
      <c r="P50" s="64">
        <v>0.34</v>
      </c>
      <c r="Q50" s="64">
        <v>8.99</v>
      </c>
      <c r="R50" s="198"/>
      <c r="S50" s="198"/>
      <c r="T50" s="198"/>
      <c r="U50" s="198"/>
      <c r="V50" s="12"/>
    </row>
    <row r="51" spans="1:22" x14ac:dyDescent="0.25">
      <c r="A51" s="211" t="s">
        <v>3170</v>
      </c>
      <c r="B51" s="64">
        <v>4.33</v>
      </c>
      <c r="C51" s="64">
        <v>7.95</v>
      </c>
      <c r="D51" s="64">
        <v>7.63</v>
      </c>
      <c r="E51" s="64">
        <v>4.0599999999999996</v>
      </c>
      <c r="F51" s="64">
        <v>3.37</v>
      </c>
      <c r="G51" s="64">
        <v>9.7899999999999991</v>
      </c>
      <c r="H51" s="64">
        <v>0.93</v>
      </c>
      <c r="I51" s="64">
        <v>0.83</v>
      </c>
      <c r="J51" s="64">
        <v>0.18</v>
      </c>
      <c r="K51" s="64">
        <v>286.14999999999998</v>
      </c>
      <c r="L51" s="64">
        <v>26.5</v>
      </c>
      <c r="M51" s="64">
        <v>96.41</v>
      </c>
      <c r="N51" s="64">
        <v>305.7</v>
      </c>
      <c r="O51" s="64">
        <v>0</v>
      </c>
      <c r="P51" s="64">
        <v>0.34</v>
      </c>
      <c r="Q51" s="64">
        <v>8.9700000000000006</v>
      </c>
      <c r="R51" s="198"/>
      <c r="S51" s="198"/>
      <c r="T51" s="198"/>
      <c r="U51" s="198"/>
      <c r="V51" s="12"/>
    </row>
    <row r="52" spans="1:22" x14ac:dyDescent="0.25">
      <c r="A52" s="211" t="s">
        <v>3171</v>
      </c>
      <c r="B52" s="64">
        <v>4.0999999999999996</v>
      </c>
      <c r="C52" s="64">
        <v>8.17</v>
      </c>
      <c r="D52" s="64">
        <v>7.56</v>
      </c>
      <c r="E52" s="64">
        <v>4.12</v>
      </c>
      <c r="F52" s="64">
        <v>3.26</v>
      </c>
      <c r="G52" s="64">
        <v>9.7899999999999991</v>
      </c>
      <c r="H52" s="64">
        <v>0.93</v>
      </c>
      <c r="I52" s="64">
        <v>0.84</v>
      </c>
      <c r="J52" s="64">
        <v>0.28000000000000003</v>
      </c>
      <c r="K52" s="64">
        <v>299.08</v>
      </c>
      <c r="L52" s="64">
        <v>26.61</v>
      </c>
      <c r="M52" s="64">
        <v>95.44</v>
      </c>
      <c r="N52" s="64">
        <v>223.2</v>
      </c>
      <c r="O52" s="64">
        <v>0</v>
      </c>
      <c r="P52" s="64">
        <v>0.34</v>
      </c>
      <c r="Q52" s="64">
        <v>8.9499999999999993</v>
      </c>
      <c r="R52" s="198"/>
      <c r="S52" s="198"/>
      <c r="T52" s="198"/>
      <c r="U52" s="198"/>
      <c r="V52" s="12"/>
    </row>
    <row r="53" spans="1:22" x14ac:dyDescent="0.25">
      <c r="A53" s="211" t="s">
        <v>3172</v>
      </c>
      <c r="B53" s="64">
        <v>4.1399999999999997</v>
      </c>
      <c r="C53" s="64">
        <v>8.09</v>
      </c>
      <c r="D53" s="64">
        <v>7.55</v>
      </c>
      <c r="E53" s="64">
        <v>4.12</v>
      </c>
      <c r="F53" s="64">
        <v>3.2</v>
      </c>
      <c r="G53" s="64">
        <v>9.7899999999999991</v>
      </c>
      <c r="H53" s="64">
        <v>0.93</v>
      </c>
      <c r="I53" s="64">
        <v>0.84</v>
      </c>
      <c r="J53" s="64">
        <v>0.23</v>
      </c>
      <c r="K53" s="64">
        <v>291.75</v>
      </c>
      <c r="L53" s="64">
        <v>26.18</v>
      </c>
      <c r="M53" s="64">
        <v>97.16</v>
      </c>
      <c r="N53" s="64">
        <v>230</v>
      </c>
      <c r="O53" s="64">
        <v>0</v>
      </c>
      <c r="P53" s="64">
        <v>0.35</v>
      </c>
      <c r="Q53" s="64">
        <v>8.9600000000000009</v>
      </c>
      <c r="R53" s="198"/>
      <c r="S53" s="198"/>
      <c r="T53" s="198"/>
      <c r="U53" s="198"/>
      <c r="V53" s="12"/>
    </row>
    <row r="54" spans="1:22" x14ac:dyDescent="0.25">
      <c r="A54" s="211" t="s">
        <v>3173</v>
      </c>
      <c r="B54" s="64">
        <v>4.0599999999999996</v>
      </c>
      <c r="C54" s="64">
        <v>8.1</v>
      </c>
      <c r="D54" s="64">
        <v>7.49</v>
      </c>
      <c r="E54" s="64">
        <v>3.9</v>
      </c>
      <c r="F54" s="64">
        <v>3.84</v>
      </c>
      <c r="G54" s="64">
        <v>12.64</v>
      </c>
      <c r="H54" s="64">
        <v>0.93</v>
      </c>
      <c r="I54" s="64">
        <v>0.85</v>
      </c>
      <c r="J54" s="64">
        <v>0.23</v>
      </c>
      <c r="K54" s="64">
        <v>290.5</v>
      </c>
      <c r="L54" s="64">
        <v>26.18</v>
      </c>
      <c r="M54" s="64">
        <v>97.13</v>
      </c>
      <c r="N54" s="64">
        <v>238.4</v>
      </c>
      <c r="O54" s="64">
        <v>0</v>
      </c>
      <c r="P54" s="64">
        <v>0.36</v>
      </c>
      <c r="Q54" s="64">
        <v>8.9700000000000006</v>
      </c>
      <c r="R54" s="198"/>
      <c r="S54" s="198"/>
      <c r="T54" s="198"/>
      <c r="U54" s="198"/>
      <c r="V54" s="12"/>
    </row>
    <row r="55" spans="1:22" x14ac:dyDescent="0.25">
      <c r="A55" s="211" t="s">
        <v>3174</v>
      </c>
      <c r="B55" s="64">
        <v>4.03</v>
      </c>
      <c r="C55" s="64">
        <v>8.1999999999999993</v>
      </c>
      <c r="D55" s="64">
        <v>7.51</v>
      </c>
      <c r="E55" s="64">
        <v>4.2</v>
      </c>
      <c r="F55" s="64">
        <v>4.5199999999999996</v>
      </c>
      <c r="G55" s="64">
        <v>13.8</v>
      </c>
      <c r="H55" s="64">
        <v>0.93</v>
      </c>
      <c r="I55" s="64">
        <v>0.86</v>
      </c>
      <c r="J55" s="64">
        <v>0.23</v>
      </c>
      <c r="K55" s="64">
        <v>299.93</v>
      </c>
      <c r="L55" s="64">
        <v>26.85</v>
      </c>
      <c r="M55" s="64">
        <v>94.32</v>
      </c>
      <c r="N55" s="64">
        <v>170.6</v>
      </c>
      <c r="O55" s="64">
        <v>0</v>
      </c>
      <c r="P55" s="64">
        <v>0.38</v>
      </c>
      <c r="Q55" s="64">
        <v>8.9600000000000009</v>
      </c>
      <c r="R55" s="198"/>
      <c r="S55" s="198"/>
      <c r="T55" s="198"/>
      <c r="U55" s="198"/>
      <c r="V55" s="12"/>
    </row>
    <row r="56" spans="1:22" x14ac:dyDescent="0.25">
      <c r="A56" s="211" t="s">
        <v>3175</v>
      </c>
      <c r="B56" s="64">
        <v>4.1399999999999997</v>
      </c>
      <c r="C56" s="64">
        <v>8.36</v>
      </c>
      <c r="D56" s="64">
        <v>7.69</v>
      </c>
      <c r="E56" s="64">
        <v>4.1399999999999997</v>
      </c>
      <c r="F56" s="64">
        <v>3.98</v>
      </c>
      <c r="G56" s="64">
        <v>13.8</v>
      </c>
      <c r="H56" s="64">
        <v>0.93</v>
      </c>
      <c r="I56" s="64">
        <v>0.87</v>
      </c>
      <c r="J56" s="64">
        <v>0.21</v>
      </c>
      <c r="K56" s="64">
        <v>291.20999999999998</v>
      </c>
      <c r="L56" s="64">
        <v>26.12</v>
      </c>
      <c r="M56" s="64">
        <v>97.12</v>
      </c>
      <c r="N56" s="64">
        <v>198.2</v>
      </c>
      <c r="O56" s="64">
        <v>0</v>
      </c>
      <c r="P56" s="64">
        <v>0.39</v>
      </c>
      <c r="Q56" s="64">
        <v>8.94</v>
      </c>
      <c r="R56" s="198"/>
      <c r="S56" s="198"/>
      <c r="T56" s="198"/>
      <c r="U56" s="198"/>
      <c r="V56" s="12"/>
    </row>
    <row r="57" spans="1:22" x14ac:dyDescent="0.25">
      <c r="A57" s="211" t="s">
        <v>3176</v>
      </c>
      <c r="B57" s="64">
        <v>4.09</v>
      </c>
      <c r="C57" s="64">
        <v>8.69</v>
      </c>
      <c r="D57" s="64">
        <v>7.82</v>
      </c>
      <c r="E57" s="64">
        <v>4.25</v>
      </c>
      <c r="F57" s="64">
        <v>3.5</v>
      </c>
      <c r="G57" s="64">
        <v>13.8</v>
      </c>
      <c r="H57" s="64">
        <v>0.93</v>
      </c>
      <c r="I57" s="64">
        <v>0.89</v>
      </c>
      <c r="J57" s="64">
        <v>0.14000000000000001</v>
      </c>
      <c r="K57" s="64">
        <v>293.56</v>
      </c>
      <c r="L57" s="64">
        <v>25.79</v>
      </c>
      <c r="M57" s="64">
        <v>98</v>
      </c>
      <c r="N57" s="64">
        <v>101.7</v>
      </c>
      <c r="O57" s="64">
        <v>0</v>
      </c>
      <c r="P57" s="64">
        <v>0.39</v>
      </c>
      <c r="Q57" s="64">
        <v>8.93</v>
      </c>
      <c r="R57" s="198"/>
      <c r="S57" s="198"/>
      <c r="T57" s="198"/>
      <c r="U57" s="198"/>
      <c r="V57" s="12"/>
    </row>
    <row r="58" spans="1:22" x14ac:dyDescent="0.25">
      <c r="A58" s="211" t="s">
        <v>3177</v>
      </c>
      <c r="B58" s="64">
        <v>4</v>
      </c>
      <c r="C58" s="64">
        <v>8.4499999999999993</v>
      </c>
      <c r="D58" s="64">
        <v>7.62</v>
      </c>
      <c r="E58" s="64">
        <v>4.0999999999999996</v>
      </c>
      <c r="F58" s="64">
        <v>3.79</v>
      </c>
      <c r="G58" s="64">
        <v>12.24</v>
      </c>
      <c r="H58" s="64">
        <v>0.97</v>
      </c>
      <c r="I58" s="64">
        <v>0.93</v>
      </c>
      <c r="J58" s="64">
        <v>0.15</v>
      </c>
      <c r="K58" s="64">
        <v>291.24</v>
      </c>
      <c r="L58" s="64">
        <v>25.15</v>
      </c>
      <c r="M58" s="64">
        <v>98.03</v>
      </c>
      <c r="N58" s="64">
        <v>111</v>
      </c>
      <c r="O58" s="64">
        <v>0</v>
      </c>
      <c r="P58" s="64">
        <v>0.36</v>
      </c>
      <c r="Q58" s="64">
        <v>8.94</v>
      </c>
      <c r="R58" s="198"/>
      <c r="S58" s="198"/>
      <c r="T58" s="198"/>
      <c r="U58" s="198"/>
      <c r="V58" s="12"/>
    </row>
    <row r="59" spans="1:22" x14ac:dyDescent="0.25">
      <c r="A59" s="211" t="s">
        <v>3178</v>
      </c>
      <c r="B59" s="64">
        <v>4.2</v>
      </c>
      <c r="C59" s="64">
        <v>8.24</v>
      </c>
      <c r="D59" s="64">
        <v>7.68</v>
      </c>
      <c r="E59" s="64">
        <v>3.99</v>
      </c>
      <c r="F59" s="64">
        <v>3.88</v>
      </c>
      <c r="G59" s="64">
        <v>11.61</v>
      </c>
      <c r="H59" s="64">
        <v>0.98</v>
      </c>
      <c r="I59" s="64">
        <v>0.94</v>
      </c>
      <c r="J59" s="64">
        <v>0.16</v>
      </c>
      <c r="K59" s="64">
        <v>298.85000000000002</v>
      </c>
      <c r="L59" s="64">
        <v>25.66</v>
      </c>
      <c r="M59" s="64">
        <v>98.01</v>
      </c>
      <c r="N59" s="64">
        <v>249.5</v>
      </c>
      <c r="O59" s="64">
        <v>0</v>
      </c>
      <c r="P59" s="64">
        <v>0.39</v>
      </c>
      <c r="Q59" s="64">
        <v>8.9499999999999993</v>
      </c>
      <c r="R59" s="198"/>
      <c r="S59" s="198"/>
      <c r="T59" s="198"/>
      <c r="U59" s="198"/>
      <c r="V59" s="12"/>
    </row>
    <row r="60" spans="1:22" x14ac:dyDescent="0.25">
      <c r="A60" s="211" t="s">
        <v>3179</v>
      </c>
      <c r="B60" s="64">
        <v>4.22</v>
      </c>
      <c r="C60" s="64">
        <v>8.14</v>
      </c>
      <c r="D60" s="64">
        <v>7.64</v>
      </c>
      <c r="E60" s="64">
        <v>3.81</v>
      </c>
      <c r="F60" s="64">
        <v>5.64</v>
      </c>
      <c r="G60" s="64">
        <v>11.61</v>
      </c>
      <c r="H60" s="64">
        <v>0.98</v>
      </c>
      <c r="I60" s="64">
        <v>0.97</v>
      </c>
      <c r="J60" s="64">
        <v>0.16</v>
      </c>
      <c r="K60" s="64">
        <v>278.68</v>
      </c>
      <c r="L60" s="64">
        <v>25.79</v>
      </c>
      <c r="M60" s="64">
        <v>97.98</v>
      </c>
      <c r="N60" s="64">
        <v>116.5</v>
      </c>
      <c r="O60" s="64">
        <v>0</v>
      </c>
      <c r="P60" s="64">
        <v>0.38</v>
      </c>
      <c r="Q60" s="64">
        <v>8.9600000000000009</v>
      </c>
      <c r="R60" s="198"/>
      <c r="S60" s="198"/>
      <c r="T60" s="198"/>
      <c r="U60" s="198"/>
      <c r="V60" s="12"/>
    </row>
    <row r="61" spans="1:22" x14ac:dyDescent="0.25">
      <c r="A61" s="211" t="s">
        <v>3180</v>
      </c>
      <c r="B61" s="64">
        <v>4.17</v>
      </c>
      <c r="C61" s="64">
        <v>8.18</v>
      </c>
      <c r="D61" s="64">
        <v>7.62</v>
      </c>
      <c r="E61" s="64">
        <v>4.0599999999999996</v>
      </c>
      <c r="F61" s="64">
        <v>4</v>
      </c>
      <c r="G61" s="64">
        <v>11.61</v>
      </c>
      <c r="H61" s="64">
        <v>0.98</v>
      </c>
      <c r="I61" s="64">
        <v>1</v>
      </c>
      <c r="J61" s="64">
        <v>0.14000000000000001</v>
      </c>
      <c r="K61" s="64">
        <v>294.12</v>
      </c>
      <c r="L61" s="64">
        <v>25.3</v>
      </c>
      <c r="M61" s="64">
        <v>98.03</v>
      </c>
      <c r="N61" s="64">
        <v>121.8</v>
      </c>
      <c r="O61" s="64">
        <v>0</v>
      </c>
      <c r="P61" s="64">
        <v>0.36</v>
      </c>
      <c r="Q61" s="64">
        <v>8.9600000000000009</v>
      </c>
      <c r="R61" s="198"/>
      <c r="S61" s="198"/>
      <c r="T61" s="198"/>
      <c r="U61" s="198"/>
      <c r="V61" s="12"/>
    </row>
    <row r="62" spans="1:22" x14ac:dyDescent="0.25">
      <c r="A62" s="211" t="s">
        <v>3181</v>
      </c>
      <c r="B62" s="64">
        <v>4.05</v>
      </c>
      <c r="C62" s="64">
        <v>8.08</v>
      </c>
      <c r="D62" s="64">
        <v>7.47</v>
      </c>
      <c r="E62" s="64">
        <v>3.66</v>
      </c>
      <c r="F62" s="64">
        <v>5.8</v>
      </c>
      <c r="G62" s="64">
        <v>16.28</v>
      </c>
      <c r="H62" s="64">
        <v>5.54</v>
      </c>
      <c r="I62" s="64">
        <v>1</v>
      </c>
      <c r="J62" s="64">
        <v>0.12</v>
      </c>
      <c r="K62" s="64">
        <v>293.45999999999998</v>
      </c>
      <c r="L62" s="64">
        <v>24.8</v>
      </c>
      <c r="M62" s="64">
        <v>98.06</v>
      </c>
      <c r="N62" s="64">
        <v>91.7</v>
      </c>
      <c r="O62" s="64">
        <v>0</v>
      </c>
      <c r="P62" s="64">
        <v>0.38</v>
      </c>
      <c r="Q62" s="64">
        <v>8.9700000000000006</v>
      </c>
      <c r="R62" s="198"/>
      <c r="S62" s="198"/>
      <c r="T62" s="198"/>
      <c r="U62" s="198"/>
      <c r="V62" s="12"/>
    </row>
    <row r="63" spans="1:22" x14ac:dyDescent="0.25">
      <c r="A63" s="211" t="s">
        <v>3182</v>
      </c>
      <c r="B63" s="64">
        <v>3.96</v>
      </c>
      <c r="C63" s="64">
        <v>7.97</v>
      </c>
      <c r="D63" s="64">
        <v>7.34</v>
      </c>
      <c r="E63" s="64">
        <v>4.2699999999999996</v>
      </c>
      <c r="F63" s="64">
        <v>4.13</v>
      </c>
      <c r="G63" s="64">
        <v>18.190000000000001</v>
      </c>
      <c r="H63" s="64">
        <v>5.99</v>
      </c>
      <c r="I63" s="64">
        <v>1.01</v>
      </c>
      <c r="J63" s="64">
        <v>0.09</v>
      </c>
      <c r="K63" s="64">
        <v>300.14999999999998</v>
      </c>
      <c r="L63" s="64">
        <v>24.13</v>
      </c>
      <c r="M63" s="64">
        <v>98.14</v>
      </c>
      <c r="N63" s="64">
        <v>64.8</v>
      </c>
      <c r="O63" s="64">
        <v>0</v>
      </c>
      <c r="P63" s="64">
        <v>0.41</v>
      </c>
      <c r="Q63" s="64">
        <v>8.9700000000000006</v>
      </c>
      <c r="R63" s="198"/>
      <c r="S63" s="198"/>
      <c r="T63" s="198"/>
      <c r="U63" s="198"/>
      <c r="V63" s="12"/>
    </row>
    <row r="64" spans="1:22" x14ac:dyDescent="0.25">
      <c r="A64" s="211" t="s">
        <v>3183</v>
      </c>
      <c r="B64" s="64">
        <v>4.12</v>
      </c>
      <c r="C64" s="64">
        <v>7.9</v>
      </c>
      <c r="D64" s="64">
        <v>7.44</v>
      </c>
      <c r="E64" s="64">
        <v>4.3</v>
      </c>
      <c r="F64" s="64">
        <v>2.46</v>
      </c>
      <c r="G64" s="64">
        <v>18.190000000000001</v>
      </c>
      <c r="H64" s="64">
        <v>5.99</v>
      </c>
      <c r="I64" s="64">
        <v>1</v>
      </c>
      <c r="J64" s="64">
        <v>0.35</v>
      </c>
      <c r="K64" s="64">
        <v>306.29000000000002</v>
      </c>
      <c r="L64" s="64">
        <v>23.82</v>
      </c>
      <c r="M64" s="64">
        <v>98.2</v>
      </c>
      <c r="N64" s="64">
        <v>67.8</v>
      </c>
      <c r="O64" s="64">
        <v>0</v>
      </c>
      <c r="P64" s="64">
        <v>0.4</v>
      </c>
      <c r="Q64" s="64">
        <v>8.9700000000000006</v>
      </c>
      <c r="R64" s="198"/>
      <c r="S64" s="198"/>
      <c r="T64" s="198"/>
      <c r="U64" s="198"/>
      <c r="V64" s="12"/>
    </row>
    <row r="65" spans="1:22" x14ac:dyDescent="0.25">
      <c r="A65" s="211" t="s">
        <v>3184</v>
      </c>
      <c r="B65" s="64">
        <v>4.3499999999999996</v>
      </c>
      <c r="C65" s="64">
        <v>7.88</v>
      </c>
      <c r="D65" s="64">
        <v>7.6</v>
      </c>
      <c r="E65" s="64">
        <v>4.09</v>
      </c>
      <c r="F65" s="64">
        <v>3.91</v>
      </c>
      <c r="G65" s="64">
        <v>18.190000000000001</v>
      </c>
      <c r="H65" s="64">
        <v>5.99</v>
      </c>
      <c r="I65" s="64">
        <v>1.01</v>
      </c>
      <c r="J65" s="64">
        <v>0.23</v>
      </c>
      <c r="K65" s="64">
        <v>292.58999999999997</v>
      </c>
      <c r="L65" s="64">
        <v>23.63</v>
      </c>
      <c r="M65" s="64">
        <v>98.19</v>
      </c>
      <c r="N65" s="64">
        <v>111.7</v>
      </c>
      <c r="O65" s="64">
        <v>0</v>
      </c>
      <c r="P65" s="64">
        <v>0.4</v>
      </c>
      <c r="Q65" s="64">
        <v>8.9700000000000006</v>
      </c>
      <c r="R65" s="198"/>
      <c r="S65" s="198"/>
      <c r="T65" s="198"/>
      <c r="U65" s="198"/>
      <c r="V65" s="12"/>
    </row>
    <row r="66" spans="1:22" x14ac:dyDescent="0.25">
      <c r="A66" s="211" t="s">
        <v>3185</v>
      </c>
      <c r="B66" s="64">
        <v>4.4000000000000004</v>
      </c>
      <c r="C66" s="64">
        <v>8.3000000000000007</v>
      </c>
      <c r="D66" s="64">
        <v>7.87</v>
      </c>
      <c r="E66" s="64">
        <v>4.03</v>
      </c>
      <c r="F66" s="64">
        <v>3.12</v>
      </c>
      <c r="G66" s="64">
        <v>18.61</v>
      </c>
      <c r="H66" s="64">
        <v>3.81</v>
      </c>
      <c r="I66" s="64">
        <v>1.03</v>
      </c>
      <c r="J66" s="64">
        <v>0.26</v>
      </c>
      <c r="K66" s="64">
        <v>301.27999999999997</v>
      </c>
      <c r="L66" s="64">
        <v>23.79</v>
      </c>
      <c r="M66" s="64">
        <v>98.15</v>
      </c>
      <c r="N66" s="64">
        <v>158.80000000000001</v>
      </c>
      <c r="O66" s="64">
        <v>0</v>
      </c>
      <c r="P66" s="64">
        <v>0.4</v>
      </c>
      <c r="Q66" s="64">
        <v>8.9700000000000006</v>
      </c>
      <c r="R66" s="198"/>
      <c r="S66" s="198"/>
      <c r="T66" s="198"/>
      <c r="U66" s="198"/>
      <c r="V66" s="12"/>
    </row>
    <row r="67" spans="1:22" x14ac:dyDescent="0.25">
      <c r="A67" s="211" t="s">
        <v>3186</v>
      </c>
      <c r="B67" s="64">
        <v>4.3899999999999997</v>
      </c>
      <c r="C67" s="64">
        <v>8.0399999999999991</v>
      </c>
      <c r="D67" s="64">
        <v>7.72</v>
      </c>
      <c r="E67" s="64">
        <v>3.74</v>
      </c>
      <c r="F67" s="64">
        <v>3.46</v>
      </c>
      <c r="G67" s="64">
        <v>18.78</v>
      </c>
      <c r="H67" s="64">
        <v>3.67</v>
      </c>
      <c r="I67" s="64">
        <v>1.04</v>
      </c>
      <c r="J67" s="64">
        <v>0.24</v>
      </c>
      <c r="K67" s="64">
        <v>291.33</v>
      </c>
      <c r="L67" s="64">
        <v>24</v>
      </c>
      <c r="M67" s="64">
        <v>98.13</v>
      </c>
      <c r="N67" s="64">
        <v>134.1</v>
      </c>
      <c r="O67" s="64">
        <v>0</v>
      </c>
      <c r="P67" s="64">
        <v>0.4</v>
      </c>
      <c r="Q67" s="64">
        <v>8.9700000000000006</v>
      </c>
      <c r="R67" s="198"/>
      <c r="S67" s="198"/>
      <c r="T67" s="198"/>
      <c r="U67" s="198"/>
      <c r="V67" s="12"/>
    </row>
    <row r="68" spans="1:22" x14ac:dyDescent="0.25">
      <c r="A68" s="211" t="s">
        <v>3187</v>
      </c>
      <c r="B68" s="64">
        <v>4.45</v>
      </c>
      <c r="C68" s="64">
        <v>8.15</v>
      </c>
      <c r="D68" s="64">
        <v>7.83</v>
      </c>
      <c r="E68" s="64">
        <v>3.89</v>
      </c>
      <c r="F68" s="64">
        <v>4.43</v>
      </c>
      <c r="G68" s="64">
        <v>18.78</v>
      </c>
      <c r="H68" s="64">
        <v>3.67</v>
      </c>
      <c r="I68" s="64">
        <v>1.05</v>
      </c>
      <c r="J68" s="64">
        <v>0.22</v>
      </c>
      <c r="K68" s="64">
        <v>292.2</v>
      </c>
      <c r="L68" s="64">
        <v>24.07</v>
      </c>
      <c r="M68" s="64">
        <v>98.12</v>
      </c>
      <c r="N68" s="64">
        <v>149.5</v>
      </c>
      <c r="O68" s="64">
        <v>0</v>
      </c>
      <c r="P68" s="64">
        <v>0.41</v>
      </c>
      <c r="Q68" s="64">
        <v>8.9700000000000006</v>
      </c>
      <c r="R68" s="198"/>
      <c r="S68" s="198"/>
      <c r="T68" s="198"/>
      <c r="U68" s="198"/>
      <c r="V68" s="12"/>
    </row>
    <row r="69" spans="1:22" x14ac:dyDescent="0.25">
      <c r="A69" s="211" t="s">
        <v>3188</v>
      </c>
      <c r="B69" s="64">
        <v>4.49</v>
      </c>
      <c r="C69" s="64">
        <v>8.39</v>
      </c>
      <c r="D69" s="64">
        <v>7.98</v>
      </c>
      <c r="E69" s="64">
        <v>3.95</v>
      </c>
      <c r="F69" s="64">
        <v>2.97</v>
      </c>
      <c r="G69" s="64">
        <v>18.78</v>
      </c>
      <c r="H69" s="64">
        <v>3.67</v>
      </c>
      <c r="I69" s="64">
        <v>1.07</v>
      </c>
      <c r="J69" s="64">
        <v>0.15</v>
      </c>
      <c r="K69" s="64">
        <v>306.95999999999998</v>
      </c>
      <c r="L69" s="64">
        <v>23.98</v>
      </c>
      <c r="M69" s="64">
        <v>98.13</v>
      </c>
      <c r="N69" s="64">
        <v>141.5</v>
      </c>
      <c r="O69" s="64">
        <v>0</v>
      </c>
      <c r="P69" s="64">
        <v>0.4</v>
      </c>
      <c r="Q69" s="64">
        <v>8.98</v>
      </c>
      <c r="R69" s="198"/>
      <c r="S69" s="198"/>
      <c r="T69" s="198"/>
      <c r="U69" s="198"/>
      <c r="V69" s="12"/>
    </row>
    <row r="70" spans="1:22" x14ac:dyDescent="0.25">
      <c r="A70" s="211" t="s">
        <v>3189</v>
      </c>
      <c r="B70" s="64">
        <v>4.6399999999999997</v>
      </c>
      <c r="C70" s="64">
        <v>8.2899999999999991</v>
      </c>
      <c r="D70" s="64">
        <v>8.0500000000000007</v>
      </c>
      <c r="E70" s="64">
        <v>3.77</v>
      </c>
      <c r="F70" s="64">
        <v>4.09</v>
      </c>
      <c r="G70" s="64">
        <v>20.13</v>
      </c>
      <c r="H70" s="64">
        <v>3.65</v>
      </c>
      <c r="I70" s="64">
        <v>1.0900000000000001</v>
      </c>
      <c r="J70" s="64">
        <v>0.11</v>
      </c>
      <c r="K70" s="64">
        <v>268.88</v>
      </c>
      <c r="L70" s="64">
        <v>24.28</v>
      </c>
      <c r="M70" s="64">
        <v>98.12</v>
      </c>
      <c r="N70" s="64">
        <v>130.5</v>
      </c>
      <c r="O70" s="64">
        <v>0</v>
      </c>
      <c r="P70" s="64">
        <v>0.41</v>
      </c>
      <c r="Q70" s="64">
        <v>8.98</v>
      </c>
      <c r="R70" s="198"/>
      <c r="S70" s="198"/>
      <c r="T70" s="198"/>
      <c r="U70" s="198"/>
      <c r="V70" s="12"/>
    </row>
    <row r="71" spans="1:22" x14ac:dyDescent="0.25">
      <c r="A71" s="211" t="s">
        <v>3190</v>
      </c>
      <c r="B71" s="64">
        <v>4.58</v>
      </c>
      <c r="C71" s="64">
        <v>7.98</v>
      </c>
      <c r="D71" s="64">
        <v>7.84</v>
      </c>
      <c r="E71" s="64">
        <v>3.69</v>
      </c>
      <c r="F71" s="64">
        <v>3.71</v>
      </c>
      <c r="G71" s="64">
        <v>20.68</v>
      </c>
      <c r="H71" s="64">
        <v>3.65</v>
      </c>
      <c r="I71" s="64">
        <v>1.1000000000000001</v>
      </c>
      <c r="J71" s="64">
        <v>0.16</v>
      </c>
      <c r="K71" s="64">
        <v>280.72000000000003</v>
      </c>
      <c r="L71" s="64">
        <v>24.36</v>
      </c>
      <c r="M71" s="64">
        <v>98.09</v>
      </c>
      <c r="N71" s="64">
        <v>116.3</v>
      </c>
      <c r="O71" s="64">
        <v>0</v>
      </c>
      <c r="P71" s="64">
        <v>0.41</v>
      </c>
      <c r="Q71" s="64">
        <v>8.98</v>
      </c>
      <c r="R71" s="198"/>
      <c r="S71" s="198"/>
      <c r="T71" s="198"/>
      <c r="U71" s="198"/>
      <c r="V71" s="12"/>
    </row>
    <row r="72" spans="1:22" x14ac:dyDescent="0.25">
      <c r="A72" s="211" t="s">
        <v>3191</v>
      </c>
      <c r="B72" s="64">
        <v>4.57</v>
      </c>
      <c r="C72" s="64">
        <v>8.34</v>
      </c>
      <c r="D72" s="64">
        <v>8.02</v>
      </c>
      <c r="E72" s="64">
        <v>4.7699999999999996</v>
      </c>
      <c r="F72" s="64">
        <v>3.31</v>
      </c>
      <c r="G72" s="64">
        <v>20.68</v>
      </c>
      <c r="H72" s="64">
        <v>3.65</v>
      </c>
      <c r="I72" s="64">
        <v>1.1000000000000001</v>
      </c>
      <c r="J72" s="64">
        <v>0.2</v>
      </c>
      <c r="K72" s="64">
        <v>302.18</v>
      </c>
      <c r="L72" s="64">
        <v>24.61</v>
      </c>
      <c r="M72" s="64">
        <v>98.04</v>
      </c>
      <c r="N72" s="64">
        <v>114.5</v>
      </c>
      <c r="O72" s="64">
        <v>0</v>
      </c>
      <c r="P72" s="64">
        <v>0.4</v>
      </c>
      <c r="Q72" s="64">
        <v>8.98</v>
      </c>
      <c r="R72" s="198"/>
      <c r="S72" s="198"/>
      <c r="T72" s="198"/>
      <c r="U72" s="198"/>
      <c r="V72" s="12"/>
    </row>
    <row r="73" spans="1:22" x14ac:dyDescent="0.25">
      <c r="A73" s="211" t="s">
        <v>3192</v>
      </c>
      <c r="B73" s="64">
        <v>4.53</v>
      </c>
      <c r="C73" s="64">
        <v>8.11</v>
      </c>
      <c r="D73" s="64">
        <v>7.87</v>
      </c>
      <c r="E73" s="64">
        <v>4.68</v>
      </c>
      <c r="F73" s="64">
        <v>4.08</v>
      </c>
      <c r="G73" s="64">
        <v>20.68</v>
      </c>
      <c r="H73" s="64">
        <v>3.65</v>
      </c>
      <c r="I73" s="64">
        <v>1.0900000000000001</v>
      </c>
      <c r="J73" s="64">
        <v>0.16</v>
      </c>
      <c r="K73" s="64">
        <v>295.73</v>
      </c>
      <c r="L73" s="64">
        <v>24.67</v>
      </c>
      <c r="M73" s="64">
        <v>98.04</v>
      </c>
      <c r="N73" s="64">
        <v>97.6</v>
      </c>
      <c r="O73" s="64">
        <v>0</v>
      </c>
      <c r="P73" s="64">
        <v>0.41</v>
      </c>
      <c r="Q73" s="64">
        <v>8.98</v>
      </c>
      <c r="R73" s="198"/>
      <c r="S73" s="198"/>
      <c r="T73" s="198"/>
      <c r="U73" s="198"/>
      <c r="V73" s="12"/>
    </row>
    <row r="74" spans="1:22" x14ac:dyDescent="0.25">
      <c r="A74" s="211" t="s">
        <v>3193</v>
      </c>
      <c r="B74" s="64">
        <v>5.16</v>
      </c>
      <c r="C74" s="64">
        <v>8.84</v>
      </c>
      <c r="D74" s="64">
        <v>8.76</v>
      </c>
      <c r="E74" s="64">
        <v>4.76</v>
      </c>
      <c r="F74" s="64">
        <v>7.54</v>
      </c>
      <c r="G74" s="64">
        <v>22.31</v>
      </c>
      <c r="H74" s="64">
        <v>3.85</v>
      </c>
      <c r="I74" s="64">
        <v>1.08</v>
      </c>
      <c r="J74" s="64">
        <v>0.1</v>
      </c>
      <c r="K74" s="64">
        <v>296.37</v>
      </c>
      <c r="L74" s="64">
        <v>24.54</v>
      </c>
      <c r="M74" s="64">
        <v>98.05</v>
      </c>
      <c r="N74" s="64">
        <v>70.400000000000006</v>
      </c>
      <c r="O74" s="64">
        <v>0</v>
      </c>
      <c r="P74" s="64">
        <v>0.45</v>
      </c>
      <c r="Q74" s="64">
        <v>8.98</v>
      </c>
      <c r="R74" s="198"/>
      <c r="S74" s="198"/>
      <c r="T74" s="198"/>
      <c r="U74" s="198"/>
      <c r="V74" s="12"/>
    </row>
    <row r="75" spans="1:22" x14ac:dyDescent="0.25">
      <c r="A75" s="211" t="s">
        <v>3194</v>
      </c>
      <c r="B75" s="64">
        <v>5.05</v>
      </c>
      <c r="C75" s="64">
        <v>9.49</v>
      </c>
      <c r="D75" s="64">
        <v>9.01</v>
      </c>
      <c r="E75" s="64">
        <v>4.51</v>
      </c>
      <c r="F75" s="64">
        <v>6.59</v>
      </c>
      <c r="G75" s="64">
        <v>23</v>
      </c>
      <c r="H75" s="64">
        <v>3.86</v>
      </c>
      <c r="I75" s="64">
        <v>1.0900000000000001</v>
      </c>
      <c r="J75" s="64">
        <v>0.12</v>
      </c>
      <c r="K75" s="64">
        <v>294.33</v>
      </c>
      <c r="L75" s="64">
        <v>24.21</v>
      </c>
      <c r="M75" s="64">
        <v>98.09</v>
      </c>
      <c r="N75" s="64">
        <v>60</v>
      </c>
      <c r="O75" s="64">
        <v>0</v>
      </c>
      <c r="P75" s="64">
        <v>0.44</v>
      </c>
      <c r="Q75" s="64">
        <v>8.98</v>
      </c>
      <c r="R75" s="198"/>
      <c r="S75" s="198"/>
      <c r="T75" s="198"/>
      <c r="U75" s="198"/>
      <c r="V75" s="12"/>
    </row>
    <row r="76" spans="1:22" x14ac:dyDescent="0.25">
      <c r="A76" s="211" t="s">
        <v>3195</v>
      </c>
      <c r="B76" s="64">
        <v>6.71</v>
      </c>
      <c r="C76" s="64">
        <v>11.22</v>
      </c>
      <c r="D76" s="64">
        <v>11.24</v>
      </c>
      <c r="E76" s="64">
        <v>4.53</v>
      </c>
      <c r="F76" s="64">
        <v>7.67</v>
      </c>
      <c r="G76" s="64">
        <v>23</v>
      </c>
      <c r="H76" s="64">
        <v>3.86</v>
      </c>
      <c r="I76" s="64">
        <v>1.1000000000000001</v>
      </c>
      <c r="J76" s="64">
        <v>0.11</v>
      </c>
      <c r="K76" s="64">
        <v>304.14999999999998</v>
      </c>
      <c r="L76" s="64">
        <v>24.2</v>
      </c>
      <c r="M76" s="64">
        <v>98.1</v>
      </c>
      <c r="N76" s="64">
        <v>51.2</v>
      </c>
      <c r="O76" s="64">
        <v>0</v>
      </c>
      <c r="P76" s="64">
        <v>0.49</v>
      </c>
      <c r="Q76" s="64">
        <v>9.02</v>
      </c>
      <c r="R76" s="198"/>
      <c r="S76" s="198"/>
      <c r="T76" s="198"/>
      <c r="U76" s="198"/>
      <c r="V76" s="12"/>
    </row>
    <row r="77" spans="1:22" x14ac:dyDescent="0.25">
      <c r="A77" s="211" t="s">
        <v>3196</v>
      </c>
      <c r="B77" s="64">
        <v>6.97</v>
      </c>
      <c r="C77" s="64">
        <v>11.19</v>
      </c>
      <c r="D77" s="64">
        <v>11.44</v>
      </c>
      <c r="E77" s="64">
        <v>4.7300000000000004</v>
      </c>
      <c r="F77" s="64">
        <v>7.88</v>
      </c>
      <c r="G77" s="64">
        <v>23</v>
      </c>
      <c r="H77" s="64">
        <v>3.86</v>
      </c>
      <c r="I77" s="64">
        <v>1.1299999999999999</v>
      </c>
      <c r="J77" s="64">
        <v>0.1</v>
      </c>
      <c r="K77" s="64">
        <v>296.99</v>
      </c>
      <c r="L77" s="64">
        <v>24.16</v>
      </c>
      <c r="M77" s="64">
        <v>98.1</v>
      </c>
      <c r="N77" s="64">
        <v>44.8</v>
      </c>
      <c r="O77" s="64">
        <v>0</v>
      </c>
      <c r="P77" s="64">
        <v>0.49</v>
      </c>
      <c r="Q77" s="64">
        <v>9.0299999999999994</v>
      </c>
      <c r="R77" s="198"/>
      <c r="S77" s="198"/>
      <c r="T77" s="198"/>
      <c r="U77" s="198"/>
      <c r="V77" s="12"/>
    </row>
    <row r="78" spans="1:22" x14ac:dyDescent="0.25">
      <c r="A78" s="211" t="s">
        <v>3197</v>
      </c>
      <c r="B78" s="64">
        <v>7.39</v>
      </c>
      <c r="C78" s="64">
        <v>9.86</v>
      </c>
      <c r="D78" s="64">
        <v>11.08</v>
      </c>
      <c r="E78" s="64">
        <v>4.8499999999999996</v>
      </c>
      <c r="F78" s="64">
        <v>7.32</v>
      </c>
      <c r="G78" s="64">
        <v>25.14</v>
      </c>
      <c r="H78" s="64">
        <v>3.77</v>
      </c>
      <c r="I78" s="64">
        <v>1.17</v>
      </c>
      <c r="J78" s="64">
        <v>0.11</v>
      </c>
      <c r="K78" s="64">
        <v>277.45</v>
      </c>
      <c r="L78" s="64">
        <v>24.1</v>
      </c>
      <c r="M78" s="64">
        <v>98.1</v>
      </c>
      <c r="N78" s="64">
        <v>41.2</v>
      </c>
      <c r="O78" s="64">
        <v>0</v>
      </c>
      <c r="P78" s="64">
        <v>0.55000000000000004</v>
      </c>
      <c r="Q78" s="64">
        <v>9.06</v>
      </c>
      <c r="R78" s="198"/>
      <c r="S78" s="198"/>
      <c r="T78" s="198"/>
      <c r="U78" s="198"/>
      <c r="V78" s="12"/>
    </row>
    <row r="79" spans="1:22" x14ac:dyDescent="0.25">
      <c r="A79" s="211" t="s">
        <v>3198</v>
      </c>
      <c r="B79" s="64">
        <v>7.49</v>
      </c>
      <c r="C79" s="64">
        <v>8.7899999999999991</v>
      </c>
      <c r="D79" s="64">
        <v>10.59</v>
      </c>
      <c r="E79" s="64">
        <v>4.93</v>
      </c>
      <c r="F79" s="64">
        <v>7.91</v>
      </c>
      <c r="G79" s="64">
        <v>26.06</v>
      </c>
      <c r="H79" s="64">
        <v>3.77</v>
      </c>
      <c r="I79" s="64">
        <v>1.22</v>
      </c>
      <c r="J79" s="64">
        <v>0.09</v>
      </c>
      <c r="K79" s="64">
        <v>286.10000000000002</v>
      </c>
      <c r="L79" s="64">
        <v>23.99</v>
      </c>
      <c r="M79" s="64">
        <v>98.1</v>
      </c>
      <c r="N79" s="64">
        <v>40.200000000000003</v>
      </c>
      <c r="O79" s="64">
        <v>0</v>
      </c>
      <c r="P79" s="64">
        <v>0.52</v>
      </c>
      <c r="Q79" s="64">
        <v>9.07</v>
      </c>
      <c r="R79" s="198"/>
      <c r="S79" s="198"/>
      <c r="T79" s="198"/>
      <c r="U79" s="198"/>
      <c r="V79" s="12"/>
    </row>
    <row r="80" spans="1:22" x14ac:dyDescent="0.25">
      <c r="A80" s="211" t="s">
        <v>3199</v>
      </c>
      <c r="B80" s="64">
        <v>6.3</v>
      </c>
      <c r="C80" s="64">
        <v>9.65</v>
      </c>
      <c r="D80" s="64">
        <v>10.1</v>
      </c>
      <c r="E80" s="64">
        <v>4.8899999999999997</v>
      </c>
      <c r="F80" s="64">
        <v>6.93</v>
      </c>
      <c r="G80" s="64">
        <v>26.06</v>
      </c>
      <c r="H80" s="64">
        <v>3.77</v>
      </c>
      <c r="I80" s="64">
        <v>1.26</v>
      </c>
      <c r="J80" s="64">
        <v>0.09</v>
      </c>
      <c r="K80" s="64">
        <v>297.63</v>
      </c>
      <c r="L80" s="64">
        <v>23.94</v>
      </c>
      <c r="M80" s="64">
        <v>98.12</v>
      </c>
      <c r="N80" s="64">
        <v>40</v>
      </c>
      <c r="O80" s="64">
        <v>0</v>
      </c>
      <c r="P80" s="64">
        <v>0.52</v>
      </c>
      <c r="Q80" s="64">
        <v>9.07</v>
      </c>
      <c r="R80" s="198"/>
      <c r="S80" s="198"/>
      <c r="T80" s="198"/>
      <c r="U80" s="198"/>
      <c r="V80" s="12"/>
    </row>
    <row r="81" spans="1:22" x14ac:dyDescent="0.25">
      <c r="A81" s="211" t="s">
        <v>3200</v>
      </c>
      <c r="B81" s="64">
        <v>8.36</v>
      </c>
      <c r="C81" s="64">
        <v>10.89</v>
      </c>
      <c r="D81" s="64">
        <v>12.39</v>
      </c>
      <c r="E81" s="64">
        <v>4.8600000000000003</v>
      </c>
      <c r="F81" s="64">
        <v>6.77</v>
      </c>
      <c r="G81" s="64">
        <v>26.06</v>
      </c>
      <c r="H81" s="64">
        <v>3.77</v>
      </c>
      <c r="I81" s="64">
        <v>1.3</v>
      </c>
      <c r="J81" s="64">
        <v>0.12</v>
      </c>
      <c r="K81" s="64">
        <v>312.83999999999997</v>
      </c>
      <c r="L81" s="64">
        <v>23.95</v>
      </c>
      <c r="M81" s="64">
        <v>98.12</v>
      </c>
      <c r="N81" s="64">
        <v>40</v>
      </c>
      <c r="O81" s="64">
        <v>0</v>
      </c>
      <c r="P81" s="64">
        <v>0.62</v>
      </c>
      <c r="Q81" s="64">
        <v>9.07</v>
      </c>
      <c r="R81" s="198"/>
      <c r="S81" s="198"/>
      <c r="T81" s="198"/>
      <c r="U81" s="198"/>
      <c r="V81" s="12"/>
    </row>
    <row r="82" spans="1:22" x14ac:dyDescent="0.25">
      <c r="A82" s="211" t="s">
        <v>3201</v>
      </c>
      <c r="B82" s="64">
        <v>9.1</v>
      </c>
      <c r="C82" s="64">
        <v>12.77</v>
      </c>
      <c r="D82" s="64">
        <v>13.97</v>
      </c>
      <c r="E82" s="64">
        <v>5.28</v>
      </c>
      <c r="F82" s="64">
        <v>7.34</v>
      </c>
      <c r="G82" s="64">
        <v>27.37</v>
      </c>
      <c r="H82" s="64">
        <v>4</v>
      </c>
      <c r="I82" s="64">
        <v>1.32</v>
      </c>
      <c r="J82" s="64">
        <v>0.08</v>
      </c>
      <c r="K82" s="64">
        <v>288.94</v>
      </c>
      <c r="L82" s="64">
        <v>23.92</v>
      </c>
      <c r="M82" s="64">
        <v>98.12</v>
      </c>
      <c r="N82" s="64">
        <v>40</v>
      </c>
      <c r="O82" s="64">
        <v>0</v>
      </c>
      <c r="P82" s="64">
        <v>0.65</v>
      </c>
      <c r="Q82" s="64">
        <v>9.08</v>
      </c>
      <c r="R82" s="198"/>
      <c r="S82" s="198"/>
      <c r="T82" s="198"/>
      <c r="U82" s="198"/>
      <c r="V82" s="12"/>
    </row>
    <row r="83" spans="1:22" x14ac:dyDescent="0.25">
      <c r="A83" s="211" t="s">
        <v>3202</v>
      </c>
      <c r="B83" s="64">
        <v>7.61</v>
      </c>
      <c r="C83" s="64">
        <v>9.77</v>
      </c>
      <c r="D83" s="64">
        <v>11.21</v>
      </c>
      <c r="E83" s="64">
        <v>5.01</v>
      </c>
      <c r="F83" s="64">
        <v>5.03</v>
      </c>
      <c r="G83" s="64">
        <v>27.91</v>
      </c>
      <c r="H83" s="64">
        <v>4.0199999999999996</v>
      </c>
      <c r="I83" s="64">
        <v>1.37</v>
      </c>
      <c r="J83" s="64">
        <v>7.0000000000000007E-2</v>
      </c>
      <c r="K83" s="64">
        <v>297.60000000000002</v>
      </c>
      <c r="L83" s="64">
        <v>23.86</v>
      </c>
      <c r="M83" s="64">
        <v>98.13</v>
      </c>
      <c r="N83" s="64">
        <v>40</v>
      </c>
      <c r="O83" s="64">
        <v>0</v>
      </c>
      <c r="P83" s="64">
        <v>0.61</v>
      </c>
      <c r="Q83" s="64">
        <v>9.08</v>
      </c>
      <c r="R83" s="198"/>
      <c r="S83" s="198"/>
      <c r="T83" s="198"/>
      <c r="U83" s="198"/>
      <c r="V83" s="12"/>
    </row>
    <row r="84" spans="1:22" x14ac:dyDescent="0.25">
      <c r="A84" s="211" t="s">
        <v>3203</v>
      </c>
      <c r="B84" s="64">
        <v>7.4</v>
      </c>
      <c r="C84" s="64">
        <v>9</v>
      </c>
      <c r="D84" s="64">
        <v>10.64</v>
      </c>
      <c r="E84" s="64">
        <v>5.23</v>
      </c>
      <c r="F84" s="64">
        <v>6.23</v>
      </c>
      <c r="G84" s="64">
        <v>27.91</v>
      </c>
      <c r="H84" s="64">
        <v>4.0199999999999996</v>
      </c>
      <c r="I84" s="64">
        <v>1.42</v>
      </c>
      <c r="J84" s="64">
        <v>0.06</v>
      </c>
      <c r="K84" s="64">
        <v>252.62</v>
      </c>
      <c r="L84" s="64">
        <v>23.83</v>
      </c>
      <c r="M84" s="64">
        <v>98.13</v>
      </c>
      <c r="N84" s="64">
        <v>40</v>
      </c>
      <c r="O84" s="64">
        <v>0</v>
      </c>
      <c r="P84" s="64">
        <v>0.55000000000000004</v>
      </c>
      <c r="Q84" s="64">
        <v>9.0500000000000007</v>
      </c>
      <c r="R84" s="198"/>
      <c r="S84" s="198"/>
      <c r="T84" s="198"/>
      <c r="U84" s="198"/>
      <c r="V84" s="12"/>
    </row>
    <row r="85" spans="1:22" x14ac:dyDescent="0.25">
      <c r="A85" s="211" t="s">
        <v>3204</v>
      </c>
      <c r="B85" s="64">
        <v>6.96</v>
      </c>
      <c r="C85" s="64">
        <v>12.21</v>
      </c>
      <c r="D85" s="64">
        <v>11.95</v>
      </c>
      <c r="E85" s="64">
        <v>4.97</v>
      </c>
      <c r="F85" s="64">
        <v>5.97</v>
      </c>
      <c r="G85" s="64">
        <v>27.91</v>
      </c>
      <c r="H85" s="64">
        <v>4.0199999999999996</v>
      </c>
      <c r="I85" s="64">
        <v>1.34</v>
      </c>
      <c r="J85" s="64">
        <v>7.0000000000000007E-2</v>
      </c>
      <c r="K85" s="64">
        <v>250.57</v>
      </c>
      <c r="L85" s="64">
        <v>23.81</v>
      </c>
      <c r="M85" s="64">
        <v>98.13</v>
      </c>
      <c r="N85" s="64">
        <v>40</v>
      </c>
      <c r="O85" s="64">
        <v>0</v>
      </c>
      <c r="P85" s="64">
        <v>0.47</v>
      </c>
      <c r="Q85" s="64">
        <v>9.0500000000000007</v>
      </c>
      <c r="R85" s="198"/>
      <c r="S85" s="198"/>
      <c r="T85" s="198"/>
      <c r="U85" s="198"/>
      <c r="V85" s="12"/>
    </row>
    <row r="86" spans="1:22" x14ac:dyDescent="0.25">
      <c r="A86" s="211" t="s">
        <v>3205</v>
      </c>
      <c r="B86" s="64">
        <v>8.6199999999999992</v>
      </c>
      <c r="C86" s="64">
        <v>8.4600000000000009</v>
      </c>
      <c r="D86" s="64">
        <v>11.33</v>
      </c>
      <c r="E86" s="64">
        <v>4.88</v>
      </c>
      <c r="F86" s="64">
        <v>5.28</v>
      </c>
      <c r="G86" s="64">
        <v>31.5</v>
      </c>
      <c r="H86" s="64">
        <v>4.6500000000000004</v>
      </c>
      <c r="I86" s="64">
        <v>1.28</v>
      </c>
      <c r="J86" s="64">
        <v>0.02</v>
      </c>
      <c r="K86" s="64">
        <v>105.96</v>
      </c>
      <c r="L86" s="64">
        <v>23.73</v>
      </c>
      <c r="M86" s="64">
        <v>98.13</v>
      </c>
      <c r="N86" s="64">
        <v>40</v>
      </c>
      <c r="O86" s="64">
        <v>0</v>
      </c>
      <c r="P86" s="64">
        <v>0.52</v>
      </c>
      <c r="Q86" s="64">
        <v>9.06</v>
      </c>
      <c r="R86" s="198"/>
      <c r="S86" s="198"/>
      <c r="T86" s="198"/>
      <c r="U86" s="198"/>
      <c r="V86" s="12"/>
    </row>
    <row r="87" spans="1:22" x14ac:dyDescent="0.25">
      <c r="A87" s="211" t="s">
        <v>3206</v>
      </c>
      <c r="B87" s="64">
        <v>7.36</v>
      </c>
      <c r="C87" s="64">
        <v>9.92</v>
      </c>
      <c r="D87" s="64">
        <v>11.08</v>
      </c>
      <c r="E87" s="64">
        <v>4.8600000000000003</v>
      </c>
      <c r="F87" s="64">
        <v>7.05</v>
      </c>
      <c r="G87" s="64">
        <v>33.04</v>
      </c>
      <c r="H87" s="64">
        <v>4.7</v>
      </c>
      <c r="I87" s="64">
        <v>1.29</v>
      </c>
      <c r="J87" s="64">
        <v>0.06</v>
      </c>
      <c r="K87" s="64">
        <v>242.39</v>
      </c>
      <c r="L87" s="64">
        <v>23.68</v>
      </c>
      <c r="M87" s="64">
        <v>98.13</v>
      </c>
      <c r="N87" s="64">
        <v>40</v>
      </c>
      <c r="O87" s="64">
        <v>0</v>
      </c>
      <c r="P87" s="64">
        <v>0.54</v>
      </c>
      <c r="Q87" s="64">
        <v>9.06</v>
      </c>
      <c r="R87" s="198"/>
      <c r="S87" s="198"/>
      <c r="T87" s="198"/>
      <c r="U87" s="198"/>
      <c r="V87" s="12"/>
    </row>
    <row r="88" spans="1:22" x14ac:dyDescent="0.25">
      <c r="A88" s="211" t="s">
        <v>3207</v>
      </c>
      <c r="B88" s="64">
        <v>7.35</v>
      </c>
      <c r="C88" s="64">
        <v>7.04</v>
      </c>
      <c r="D88" s="64">
        <v>9.57</v>
      </c>
      <c r="E88" s="64">
        <v>4.7699999999999996</v>
      </c>
      <c r="F88" s="64">
        <v>4.21</v>
      </c>
      <c r="G88" s="64">
        <v>33.04</v>
      </c>
      <c r="H88" s="64">
        <v>4.7</v>
      </c>
      <c r="I88" s="64">
        <v>1.3</v>
      </c>
      <c r="J88" s="64">
        <v>7.0000000000000007E-2</v>
      </c>
      <c r="K88" s="64">
        <v>280.18</v>
      </c>
      <c r="L88" s="64">
        <v>23.62</v>
      </c>
      <c r="M88" s="64">
        <v>98.13</v>
      </c>
      <c r="N88" s="64">
        <v>40</v>
      </c>
      <c r="O88" s="64">
        <v>0</v>
      </c>
      <c r="P88" s="64">
        <v>0.49</v>
      </c>
      <c r="Q88" s="64">
        <v>9.0500000000000007</v>
      </c>
      <c r="R88" s="198"/>
      <c r="S88" s="198"/>
      <c r="T88" s="198"/>
      <c r="U88" s="198"/>
      <c r="V88" s="12"/>
    </row>
    <row r="89" spans="1:22" x14ac:dyDescent="0.25">
      <c r="A89" s="211" t="s">
        <v>3208</v>
      </c>
      <c r="B89" s="64">
        <v>8.11</v>
      </c>
      <c r="C89" s="64">
        <v>7.22</v>
      </c>
      <c r="D89" s="64">
        <v>10.27</v>
      </c>
      <c r="E89" s="64">
        <v>5.0599999999999996</v>
      </c>
      <c r="F89" s="64">
        <v>4.7699999999999996</v>
      </c>
      <c r="G89" s="64">
        <v>33.04</v>
      </c>
      <c r="H89" s="64">
        <v>4.7</v>
      </c>
      <c r="I89" s="64">
        <v>1.3</v>
      </c>
      <c r="J89" s="64">
        <v>0.08</v>
      </c>
      <c r="K89" s="64">
        <v>284.77</v>
      </c>
      <c r="L89" s="64">
        <v>23.69</v>
      </c>
      <c r="M89" s="64">
        <v>98.1</v>
      </c>
      <c r="N89" s="64">
        <v>40</v>
      </c>
      <c r="O89" s="64">
        <v>0</v>
      </c>
      <c r="P89" s="64">
        <v>0.53</v>
      </c>
      <c r="Q89" s="64">
        <v>9.0500000000000007</v>
      </c>
      <c r="R89" s="198"/>
      <c r="S89" s="198"/>
      <c r="T89" s="198"/>
      <c r="U89" s="198"/>
      <c r="V89" s="12"/>
    </row>
    <row r="90" spans="1:22" x14ac:dyDescent="0.25">
      <c r="A90" s="211" t="s">
        <v>3209</v>
      </c>
      <c r="B90" s="64">
        <v>8.7799999999999994</v>
      </c>
      <c r="C90" s="64">
        <v>8.84</v>
      </c>
      <c r="D90" s="64">
        <v>11.66</v>
      </c>
      <c r="E90" s="64">
        <v>5.04</v>
      </c>
      <c r="F90" s="64">
        <v>5.83</v>
      </c>
      <c r="G90" s="64">
        <v>30.23</v>
      </c>
      <c r="H90" s="64">
        <v>4.8099999999999996</v>
      </c>
      <c r="I90" s="64">
        <v>1.3</v>
      </c>
      <c r="J90" s="64">
        <v>0.1</v>
      </c>
      <c r="K90" s="64">
        <v>310.98</v>
      </c>
      <c r="L90" s="64">
        <v>23.69</v>
      </c>
      <c r="M90" s="64">
        <v>98.1</v>
      </c>
      <c r="N90" s="64">
        <v>40</v>
      </c>
      <c r="O90" s="64">
        <v>0</v>
      </c>
      <c r="P90" s="64">
        <v>0.57999999999999996</v>
      </c>
      <c r="Q90" s="64">
        <v>9.06</v>
      </c>
      <c r="R90" s="198"/>
      <c r="S90" s="198"/>
      <c r="T90" s="198"/>
      <c r="U90" s="198"/>
      <c r="V90" s="12"/>
    </row>
    <row r="91" spans="1:22" x14ac:dyDescent="0.25">
      <c r="A91" s="211" t="s">
        <v>3210</v>
      </c>
      <c r="B91" s="64">
        <v>8.49</v>
      </c>
      <c r="C91" s="64">
        <v>6.46</v>
      </c>
      <c r="D91" s="64">
        <v>10.19</v>
      </c>
      <c r="E91" s="64">
        <v>4.7</v>
      </c>
      <c r="F91" s="64">
        <v>4.62</v>
      </c>
      <c r="G91" s="64">
        <v>29.09</v>
      </c>
      <c r="H91" s="64">
        <v>4.82</v>
      </c>
      <c r="I91" s="64">
        <v>1.31</v>
      </c>
      <c r="J91" s="64">
        <v>0.09</v>
      </c>
      <c r="K91" s="64">
        <v>306.69</v>
      </c>
      <c r="L91" s="64">
        <v>23.75</v>
      </c>
      <c r="M91" s="64">
        <v>98.1</v>
      </c>
      <c r="N91" s="64">
        <v>40</v>
      </c>
      <c r="O91" s="64">
        <v>0</v>
      </c>
      <c r="P91" s="64">
        <v>0.52</v>
      </c>
      <c r="Q91" s="64">
        <v>9.07</v>
      </c>
      <c r="R91" s="198"/>
      <c r="S91" s="198"/>
      <c r="T91" s="198"/>
      <c r="U91" s="198"/>
      <c r="V91" s="12"/>
    </row>
    <row r="92" spans="1:22" x14ac:dyDescent="0.25">
      <c r="A92" s="211" t="s">
        <v>3211</v>
      </c>
      <c r="B92" s="64">
        <v>12.48</v>
      </c>
      <c r="C92" s="64">
        <v>7.63</v>
      </c>
      <c r="D92" s="64">
        <v>14</v>
      </c>
      <c r="E92" s="64">
        <v>4.92</v>
      </c>
      <c r="F92" s="64">
        <v>4.46</v>
      </c>
      <c r="G92" s="64">
        <v>29.09</v>
      </c>
      <c r="H92" s="64">
        <v>4.82</v>
      </c>
      <c r="I92" s="64">
        <v>1.33</v>
      </c>
      <c r="J92" s="64">
        <v>0.05</v>
      </c>
      <c r="K92" s="64">
        <v>289.23</v>
      </c>
      <c r="L92" s="64">
        <v>23.65</v>
      </c>
      <c r="M92" s="64">
        <v>98.1</v>
      </c>
      <c r="N92" s="64">
        <v>40</v>
      </c>
      <c r="O92" s="64">
        <v>0</v>
      </c>
      <c r="P92" s="64">
        <v>0.6</v>
      </c>
      <c r="Q92" s="64">
        <v>9.07</v>
      </c>
      <c r="R92" s="198"/>
      <c r="S92" s="198"/>
      <c r="T92" s="198"/>
      <c r="U92" s="198"/>
      <c r="V92" s="12"/>
    </row>
    <row r="93" spans="1:22" x14ac:dyDescent="0.25">
      <c r="A93" s="211" t="s">
        <v>3212</v>
      </c>
      <c r="B93" s="64">
        <v>12.59</v>
      </c>
      <c r="C93" s="64">
        <v>11.66</v>
      </c>
      <c r="D93" s="64">
        <v>16.190000000000001</v>
      </c>
      <c r="E93" s="64">
        <v>4.88</v>
      </c>
      <c r="F93" s="64">
        <v>8.2100000000000009</v>
      </c>
      <c r="G93" s="64">
        <v>29.09</v>
      </c>
      <c r="H93" s="64">
        <v>4.82</v>
      </c>
      <c r="I93" s="64">
        <v>1.36</v>
      </c>
      <c r="J93" s="64">
        <v>0.1</v>
      </c>
      <c r="K93" s="64">
        <v>326.3</v>
      </c>
      <c r="L93" s="64">
        <v>23.63</v>
      </c>
      <c r="M93" s="64">
        <v>98.11</v>
      </c>
      <c r="N93" s="64">
        <v>40</v>
      </c>
      <c r="O93" s="64">
        <v>0</v>
      </c>
      <c r="P93" s="64">
        <v>0.81</v>
      </c>
      <c r="Q93" s="64">
        <v>9.09</v>
      </c>
      <c r="R93" s="198"/>
      <c r="S93" s="198"/>
      <c r="T93" s="198"/>
      <c r="U93" s="198"/>
      <c r="V93" s="12"/>
    </row>
    <row r="94" spans="1:22" x14ac:dyDescent="0.25">
      <c r="A94" s="211" t="s">
        <v>3213</v>
      </c>
      <c r="B94" s="64">
        <v>12.25</v>
      </c>
      <c r="C94" s="64">
        <v>11.11</v>
      </c>
      <c r="D94" s="64">
        <v>15.63</v>
      </c>
      <c r="E94" s="64">
        <v>5.09</v>
      </c>
      <c r="F94" s="64">
        <v>7.88</v>
      </c>
      <c r="G94" s="64">
        <v>32.35</v>
      </c>
      <c r="H94" s="64">
        <v>6.04</v>
      </c>
      <c r="I94" s="64">
        <v>1.39</v>
      </c>
      <c r="J94" s="64">
        <v>0.1</v>
      </c>
      <c r="K94" s="64">
        <v>302.83999999999997</v>
      </c>
      <c r="L94" s="64">
        <v>23.63</v>
      </c>
      <c r="M94" s="64">
        <v>98.1</v>
      </c>
      <c r="N94" s="64">
        <v>40</v>
      </c>
      <c r="O94" s="64">
        <v>0</v>
      </c>
      <c r="P94" s="64">
        <v>0.73</v>
      </c>
      <c r="Q94" s="64">
        <v>9.14</v>
      </c>
      <c r="R94" s="198"/>
      <c r="S94" s="198"/>
      <c r="T94" s="198"/>
      <c r="U94" s="198"/>
      <c r="V94" s="12"/>
    </row>
    <row r="95" spans="1:22" x14ac:dyDescent="0.25">
      <c r="A95" s="211" t="s">
        <v>3214</v>
      </c>
      <c r="B95" s="64">
        <v>29.81</v>
      </c>
      <c r="C95" s="64">
        <v>8.0399999999999991</v>
      </c>
      <c r="D95" s="64">
        <v>28.11</v>
      </c>
      <c r="E95" s="64">
        <v>5.2</v>
      </c>
      <c r="F95" s="64">
        <v>7.82</v>
      </c>
      <c r="G95" s="64">
        <v>33.68</v>
      </c>
      <c r="H95" s="64">
        <v>6.12</v>
      </c>
      <c r="I95" s="64">
        <v>1.44</v>
      </c>
      <c r="J95" s="64">
        <v>0.04</v>
      </c>
      <c r="K95" s="64">
        <v>250.81</v>
      </c>
      <c r="L95" s="64">
        <v>23.48</v>
      </c>
      <c r="M95" s="64">
        <v>98.11</v>
      </c>
      <c r="N95" s="64">
        <v>40</v>
      </c>
      <c r="O95" s="64">
        <v>0</v>
      </c>
      <c r="P95" s="64">
        <v>0.84</v>
      </c>
      <c r="Q95" s="64">
        <v>9.16</v>
      </c>
      <c r="R95" s="198"/>
      <c r="S95" s="198"/>
      <c r="T95" s="198"/>
      <c r="U95" s="198"/>
      <c r="V95" s="12"/>
    </row>
    <row r="96" spans="1:22" x14ac:dyDescent="0.25">
      <c r="A96" s="211" t="s">
        <v>3215</v>
      </c>
      <c r="B96" s="64">
        <v>11.4</v>
      </c>
      <c r="C96" s="64">
        <v>14.16</v>
      </c>
      <c r="D96" s="64">
        <v>16.54</v>
      </c>
      <c r="E96" s="64">
        <v>5.0599999999999996</v>
      </c>
      <c r="F96" s="64">
        <v>6.85</v>
      </c>
      <c r="G96" s="64">
        <v>33.68</v>
      </c>
      <c r="H96" s="64">
        <v>6.12</v>
      </c>
      <c r="I96" s="64">
        <v>1.49</v>
      </c>
      <c r="J96" s="64">
        <v>0.06</v>
      </c>
      <c r="K96" s="64">
        <v>151.79</v>
      </c>
      <c r="L96" s="64">
        <v>23.26</v>
      </c>
      <c r="M96" s="64">
        <v>98.13</v>
      </c>
      <c r="N96" s="64">
        <v>40</v>
      </c>
      <c r="O96" s="64">
        <v>0</v>
      </c>
      <c r="P96" s="64">
        <v>0.55000000000000004</v>
      </c>
      <c r="Q96" s="64">
        <v>9.18</v>
      </c>
      <c r="R96" s="198"/>
      <c r="S96" s="198"/>
      <c r="T96" s="210"/>
      <c r="U96" s="198"/>
      <c r="V96" s="12"/>
    </row>
    <row r="97" spans="1:22" x14ac:dyDescent="0.25">
      <c r="A97" s="211" t="s">
        <v>3216</v>
      </c>
      <c r="B97" s="64">
        <v>10.53</v>
      </c>
      <c r="C97" s="64">
        <v>13.98</v>
      </c>
      <c r="D97" s="64">
        <v>15.75</v>
      </c>
      <c r="E97" s="64">
        <v>5.09</v>
      </c>
      <c r="F97" s="64">
        <v>6.8</v>
      </c>
      <c r="G97" s="64">
        <v>33.68</v>
      </c>
      <c r="H97" s="64">
        <v>6.12</v>
      </c>
      <c r="I97" s="64">
        <v>1.53</v>
      </c>
      <c r="J97" s="64">
        <v>7.0000000000000007E-2</v>
      </c>
      <c r="K97" s="64">
        <v>218.35</v>
      </c>
      <c r="L97" s="64">
        <v>23.09</v>
      </c>
      <c r="M97" s="64">
        <v>98.15</v>
      </c>
      <c r="N97" s="64">
        <v>39.799999999999997</v>
      </c>
      <c r="O97" s="64">
        <v>0</v>
      </c>
      <c r="P97" s="64">
        <v>0.61</v>
      </c>
      <c r="Q97" s="64">
        <v>9.1999999999999993</v>
      </c>
      <c r="R97" s="198"/>
      <c r="S97" s="198"/>
      <c r="T97" s="198"/>
      <c r="U97" s="198"/>
      <c r="V97" s="12"/>
    </row>
    <row r="98" spans="1:22" x14ac:dyDescent="0.25">
      <c r="A98" s="211" t="s">
        <v>3217</v>
      </c>
      <c r="B98" s="64">
        <v>7.83</v>
      </c>
      <c r="C98" s="64">
        <v>14.02</v>
      </c>
      <c r="D98" s="64">
        <v>13.61</v>
      </c>
      <c r="E98" s="64">
        <v>4.92</v>
      </c>
      <c r="F98" s="64">
        <v>7.45</v>
      </c>
      <c r="G98" s="64">
        <v>35.299999999999997</v>
      </c>
      <c r="H98" s="64">
        <v>7.49</v>
      </c>
      <c r="I98" s="64">
        <v>1.55</v>
      </c>
      <c r="J98" s="64">
        <v>0.05</v>
      </c>
      <c r="K98" s="64">
        <v>157.6</v>
      </c>
      <c r="L98" s="64">
        <v>22.96</v>
      </c>
      <c r="M98" s="64">
        <v>98.14</v>
      </c>
      <c r="N98" s="64">
        <v>39.799999999999997</v>
      </c>
      <c r="O98" s="64">
        <v>0</v>
      </c>
      <c r="P98" s="64">
        <v>0.54</v>
      </c>
      <c r="Q98" s="64">
        <v>9.2200000000000006</v>
      </c>
      <c r="R98" s="198"/>
      <c r="S98" s="198"/>
      <c r="T98" s="198"/>
      <c r="U98" s="198"/>
      <c r="V98" s="12"/>
    </row>
    <row r="99" spans="1:22" x14ac:dyDescent="0.25">
      <c r="A99" s="211" t="s">
        <v>3218</v>
      </c>
      <c r="B99" s="64">
        <v>8.5299999999999994</v>
      </c>
      <c r="C99" s="64">
        <v>11.45</v>
      </c>
      <c r="D99" s="64">
        <v>12.82</v>
      </c>
      <c r="E99" s="64">
        <v>5.39</v>
      </c>
      <c r="F99" s="64">
        <v>7.46</v>
      </c>
      <c r="G99" s="64">
        <v>35.97</v>
      </c>
      <c r="H99" s="64">
        <v>7.57</v>
      </c>
      <c r="I99" s="64">
        <v>1.56</v>
      </c>
      <c r="J99" s="64">
        <v>0.06</v>
      </c>
      <c r="K99" s="64">
        <v>259.06</v>
      </c>
      <c r="L99" s="64">
        <v>22.9</v>
      </c>
      <c r="M99" s="64">
        <v>98.15</v>
      </c>
      <c r="N99" s="64">
        <v>39.6</v>
      </c>
      <c r="O99" s="64">
        <v>0</v>
      </c>
      <c r="P99" s="64">
        <v>0.53</v>
      </c>
      <c r="Q99" s="64">
        <v>9.2100000000000009</v>
      </c>
      <c r="R99" s="198"/>
      <c r="S99" s="198"/>
      <c r="T99" s="198"/>
      <c r="U99" s="198"/>
      <c r="V99" s="12"/>
    </row>
    <row r="100" spans="1:22" x14ac:dyDescent="0.25">
      <c r="A100" s="211" t="s">
        <v>3219</v>
      </c>
      <c r="B100" s="64">
        <v>12.25</v>
      </c>
      <c r="C100" s="64">
        <v>11</v>
      </c>
      <c r="D100" s="64">
        <v>15.57</v>
      </c>
      <c r="E100" s="64">
        <v>5.05</v>
      </c>
      <c r="F100" s="64">
        <v>6.15</v>
      </c>
      <c r="G100" s="64">
        <v>35.97</v>
      </c>
      <c r="H100" s="64">
        <v>7.57</v>
      </c>
      <c r="I100" s="64">
        <v>1.57</v>
      </c>
      <c r="J100" s="64">
        <v>0.14000000000000001</v>
      </c>
      <c r="K100" s="64">
        <v>132.59</v>
      </c>
      <c r="L100" s="64">
        <v>22.79</v>
      </c>
      <c r="M100" s="64">
        <v>98.17</v>
      </c>
      <c r="N100" s="64">
        <v>39.6</v>
      </c>
      <c r="O100" s="64">
        <v>0</v>
      </c>
      <c r="P100" s="64">
        <v>0.52</v>
      </c>
      <c r="Q100" s="64">
        <v>9.1999999999999993</v>
      </c>
      <c r="R100" s="198"/>
      <c r="S100" s="198"/>
      <c r="T100" s="198"/>
      <c r="U100" s="198"/>
      <c r="V100" s="12"/>
    </row>
    <row r="101" spans="1:22" x14ac:dyDescent="0.25">
      <c r="A101" s="211" t="s">
        <v>3220</v>
      </c>
      <c r="B101" s="64">
        <v>12.06</v>
      </c>
      <c r="C101" s="64">
        <v>6.15</v>
      </c>
      <c r="D101" s="64">
        <v>12.89</v>
      </c>
      <c r="E101" s="64">
        <v>4.8</v>
      </c>
      <c r="F101" s="64">
        <v>4.4800000000000004</v>
      </c>
      <c r="G101" s="64">
        <v>35.97</v>
      </c>
      <c r="H101" s="64">
        <v>7.57</v>
      </c>
      <c r="I101" s="64">
        <v>1.58</v>
      </c>
      <c r="J101" s="64">
        <v>0.19</v>
      </c>
      <c r="K101" s="64">
        <v>125.01</v>
      </c>
      <c r="L101" s="64">
        <v>22.54</v>
      </c>
      <c r="M101" s="64">
        <v>98.19</v>
      </c>
      <c r="N101" s="64">
        <v>39.6</v>
      </c>
      <c r="O101" s="64">
        <v>0</v>
      </c>
      <c r="P101" s="64">
        <v>0.57999999999999996</v>
      </c>
      <c r="Q101" s="64">
        <v>9.18</v>
      </c>
      <c r="R101" s="198"/>
      <c r="S101" s="198"/>
      <c r="T101" s="198"/>
      <c r="U101" s="198"/>
      <c r="V101" s="12"/>
    </row>
    <row r="102" spans="1:22" x14ac:dyDescent="0.25">
      <c r="A102" s="211" t="s">
        <v>3221</v>
      </c>
      <c r="B102" s="64">
        <v>10.14</v>
      </c>
      <c r="C102" s="64">
        <v>5.9</v>
      </c>
      <c r="D102" s="64">
        <v>11.21</v>
      </c>
      <c r="E102" s="64">
        <v>5.03</v>
      </c>
      <c r="F102" s="64">
        <v>4.46</v>
      </c>
      <c r="G102" s="64">
        <v>35.43</v>
      </c>
      <c r="H102" s="64">
        <v>8</v>
      </c>
      <c r="I102" s="64">
        <v>1.55</v>
      </c>
      <c r="J102" s="64">
        <v>0.06</v>
      </c>
      <c r="K102" s="64">
        <v>20.05</v>
      </c>
      <c r="L102" s="64">
        <v>22.43</v>
      </c>
      <c r="M102" s="64">
        <v>98.21</v>
      </c>
      <c r="N102" s="64">
        <v>39.799999999999997</v>
      </c>
      <c r="O102" s="64">
        <v>0</v>
      </c>
      <c r="P102" s="64">
        <v>0.48</v>
      </c>
      <c r="Q102" s="64">
        <v>9.16</v>
      </c>
      <c r="R102" s="198"/>
      <c r="S102" s="198"/>
      <c r="T102" s="198"/>
      <c r="U102" s="198"/>
      <c r="V102" s="12"/>
    </row>
    <row r="103" spans="1:22" x14ac:dyDescent="0.25">
      <c r="A103" s="211" t="s">
        <v>3222</v>
      </c>
      <c r="B103" s="64">
        <v>10.35</v>
      </c>
      <c r="C103" s="64">
        <v>5.17</v>
      </c>
      <c r="D103" s="64">
        <v>11</v>
      </c>
      <c r="E103" s="64">
        <v>5.14</v>
      </c>
      <c r="F103" s="64">
        <v>5.61</v>
      </c>
      <c r="G103" s="64">
        <v>35.21</v>
      </c>
      <c r="H103" s="64">
        <v>8.0399999999999991</v>
      </c>
      <c r="I103" s="64">
        <v>1.51</v>
      </c>
      <c r="J103" s="64">
        <v>0.03</v>
      </c>
      <c r="K103" s="64">
        <v>145.12</v>
      </c>
      <c r="L103" s="64">
        <v>22.38</v>
      </c>
      <c r="M103" s="64">
        <v>98.21</v>
      </c>
      <c r="N103" s="64">
        <v>39.6</v>
      </c>
      <c r="O103" s="64">
        <v>0</v>
      </c>
      <c r="P103" s="64">
        <v>0.56000000000000005</v>
      </c>
      <c r="Q103" s="64">
        <v>9.16</v>
      </c>
      <c r="R103" s="198"/>
      <c r="S103" s="198"/>
      <c r="T103" s="198"/>
      <c r="U103" s="198"/>
      <c r="V103" s="12"/>
    </row>
    <row r="104" spans="1:22" x14ac:dyDescent="0.25">
      <c r="A104" s="211" t="s">
        <v>3223</v>
      </c>
      <c r="B104" s="64">
        <v>9.5399999999999991</v>
      </c>
      <c r="C104" s="64">
        <v>6.23</v>
      </c>
      <c r="D104" s="64">
        <v>10.91</v>
      </c>
      <c r="E104" s="64">
        <v>4.3</v>
      </c>
      <c r="F104" s="64">
        <v>5.14</v>
      </c>
      <c r="G104" s="64">
        <v>35.21</v>
      </c>
      <c r="H104" s="64">
        <v>8.0399999999999991</v>
      </c>
      <c r="I104" s="64">
        <v>1.49</v>
      </c>
      <c r="J104" s="64">
        <v>0.05</v>
      </c>
      <c r="K104" s="64">
        <v>167.85</v>
      </c>
      <c r="L104" s="64">
        <v>22.32</v>
      </c>
      <c r="M104" s="64">
        <v>98.22</v>
      </c>
      <c r="N104" s="64">
        <v>39.6</v>
      </c>
      <c r="O104" s="64">
        <v>0</v>
      </c>
      <c r="P104" s="64">
        <v>0.43</v>
      </c>
      <c r="Q104" s="64">
        <v>9.15</v>
      </c>
      <c r="R104" s="198"/>
      <c r="S104" s="198"/>
      <c r="T104" s="198"/>
      <c r="U104" s="198"/>
      <c r="V104" s="12"/>
    </row>
    <row r="105" spans="1:22" x14ac:dyDescent="0.25">
      <c r="A105" s="14"/>
      <c r="B105" s="54"/>
      <c r="C105" s="54"/>
      <c r="D105" s="54"/>
      <c r="E105" s="54"/>
      <c r="F105" s="54"/>
      <c r="G105" s="14"/>
      <c r="H105" s="14"/>
      <c r="I105" s="14"/>
      <c r="J105" s="54"/>
      <c r="K105" s="54"/>
      <c r="L105" s="14"/>
      <c r="M105" s="14"/>
      <c r="N105" s="14"/>
      <c r="O105" s="14"/>
      <c r="P105" s="14"/>
      <c r="Q105" s="54"/>
      <c r="R105" s="139"/>
      <c r="S105" s="139"/>
      <c r="T105" s="139"/>
      <c r="U105" s="139"/>
      <c r="V105" s="54"/>
    </row>
    <row r="106" spans="1:22" x14ac:dyDescent="0.25">
      <c r="A106" s="65" t="s">
        <v>59</v>
      </c>
      <c r="B106" s="67">
        <f>MIN(B9:B104)</f>
        <v>3.96</v>
      </c>
      <c r="C106" s="67">
        <f>MIN(C9:C104)</f>
        <v>4.88</v>
      </c>
      <c r="D106" s="67">
        <f t="shared" ref="D106:Q106" si="0">MIN(D9:D104)</f>
        <v>6.84</v>
      </c>
      <c r="E106" s="67">
        <f t="shared" si="0"/>
        <v>3.47</v>
      </c>
      <c r="F106" s="67">
        <f t="shared" si="0"/>
        <v>2.27</v>
      </c>
      <c r="G106" s="67">
        <f t="shared" si="0"/>
        <v>3.02</v>
      </c>
      <c r="H106" s="67">
        <f t="shared" si="0"/>
        <v>0.87</v>
      </c>
      <c r="I106" s="67">
        <f t="shared" si="0"/>
        <v>0.61</v>
      </c>
      <c r="J106" s="67">
        <f t="shared" si="0"/>
        <v>0.02</v>
      </c>
      <c r="K106" s="67">
        <f t="shared" si="0"/>
        <v>20.05</v>
      </c>
      <c r="L106" s="67">
        <f t="shared" si="0"/>
        <v>22.18</v>
      </c>
      <c r="M106" s="67">
        <f t="shared" si="0"/>
        <v>94.32</v>
      </c>
      <c r="N106" s="67">
        <f t="shared" si="0"/>
        <v>39.6</v>
      </c>
      <c r="O106" s="67">
        <f t="shared" si="0"/>
        <v>0</v>
      </c>
      <c r="P106" s="67">
        <f t="shared" si="0"/>
        <v>0.17</v>
      </c>
      <c r="Q106" s="67">
        <f t="shared" si="0"/>
        <v>8.93</v>
      </c>
      <c r="R106" s="199"/>
      <c r="S106" s="199"/>
      <c r="T106" s="199"/>
      <c r="U106" s="199"/>
      <c r="V106" s="54"/>
    </row>
    <row r="107" spans="1:22" x14ac:dyDescent="0.25">
      <c r="A107" s="65" t="s">
        <v>60</v>
      </c>
      <c r="B107" s="66">
        <f>MAX(B9:B104)</f>
        <v>29.81</v>
      </c>
      <c r="C107" s="66">
        <f t="shared" ref="C107:Q107" si="1">MAX(C9:C104)</f>
        <v>14.16</v>
      </c>
      <c r="D107" s="66">
        <f t="shared" si="1"/>
        <v>28.11</v>
      </c>
      <c r="E107" s="66">
        <f t="shared" si="1"/>
        <v>5.39</v>
      </c>
      <c r="F107" s="66">
        <f t="shared" si="1"/>
        <v>8.2100000000000009</v>
      </c>
      <c r="G107" s="66">
        <f t="shared" si="1"/>
        <v>35.97</v>
      </c>
      <c r="H107" s="66">
        <f t="shared" si="1"/>
        <v>8.0399999999999991</v>
      </c>
      <c r="I107" s="66">
        <f t="shared" si="1"/>
        <v>1.58</v>
      </c>
      <c r="J107" s="66">
        <f t="shared" si="1"/>
        <v>0.53</v>
      </c>
      <c r="K107" s="66">
        <f t="shared" si="1"/>
        <v>326.3</v>
      </c>
      <c r="L107" s="66">
        <f t="shared" si="1"/>
        <v>26.85</v>
      </c>
      <c r="M107" s="66">
        <f t="shared" si="1"/>
        <v>98.22</v>
      </c>
      <c r="N107" s="66">
        <f t="shared" si="1"/>
        <v>587.5</v>
      </c>
      <c r="O107" s="66">
        <f t="shared" si="1"/>
        <v>0</v>
      </c>
      <c r="P107" s="66">
        <f t="shared" si="1"/>
        <v>0.84</v>
      </c>
      <c r="Q107" s="66">
        <f t="shared" si="1"/>
        <v>9.2200000000000006</v>
      </c>
      <c r="R107" s="200"/>
      <c r="S107" s="200"/>
      <c r="T107" s="200"/>
      <c r="U107" s="200"/>
      <c r="V107" s="54"/>
    </row>
    <row r="108" spans="1:22" x14ac:dyDescent="0.25">
      <c r="A108" s="65" t="s">
        <v>61</v>
      </c>
      <c r="B108" s="67">
        <f>AVERAGE(B9:B104)</f>
        <v>6.5651041666666652</v>
      </c>
      <c r="C108" s="67">
        <f t="shared" ref="C108:Q108" si="2">AVERAGE(C9:C104)</f>
        <v>7.4684374999999994</v>
      </c>
      <c r="D108" s="67">
        <f t="shared" si="2"/>
        <v>9.1669791666666729</v>
      </c>
      <c r="E108" s="67">
        <f t="shared" si="2"/>
        <v>4.2690624999999995</v>
      </c>
      <c r="F108" s="67">
        <f t="shared" si="2"/>
        <v>5.1946874999999979</v>
      </c>
      <c r="G108" s="67">
        <f t="shared" si="2"/>
        <v>16.264374999999998</v>
      </c>
      <c r="H108" s="67">
        <f t="shared" si="2"/>
        <v>2.8074999999999997</v>
      </c>
      <c r="I108" s="67">
        <f t="shared" si="2"/>
        <v>0.96989583333333307</v>
      </c>
      <c r="J108" s="67">
        <f t="shared" si="2"/>
        <v>0.14083333333333334</v>
      </c>
      <c r="K108" s="67">
        <f t="shared" si="2"/>
        <v>234.17302083333323</v>
      </c>
      <c r="L108" s="67">
        <f t="shared" si="2"/>
        <v>23.562395833333341</v>
      </c>
      <c r="M108" s="67">
        <f t="shared" si="2"/>
        <v>97.953020833333312</v>
      </c>
      <c r="N108" s="67">
        <f t="shared" si="2"/>
        <v>90.747916666666654</v>
      </c>
      <c r="O108" s="67">
        <f t="shared" si="2"/>
        <v>0</v>
      </c>
      <c r="P108" s="67">
        <f t="shared" si="2"/>
        <v>0.38656249999999986</v>
      </c>
      <c r="Q108" s="67">
        <f t="shared" si="2"/>
        <v>9.0297916666666662</v>
      </c>
      <c r="R108" s="199"/>
      <c r="S108" s="199"/>
      <c r="T108" s="199"/>
      <c r="U108" s="199"/>
      <c r="V108" s="54"/>
    </row>
    <row r="109" spans="1:22" x14ac:dyDescent="0.25">
      <c r="A109" s="65" t="s">
        <v>77</v>
      </c>
      <c r="B109" s="67">
        <f>STDEV(B9:B104)</f>
        <v>3.2167060611395555</v>
      </c>
      <c r="C109" s="67">
        <f t="shared" ref="C109:Q109" si="3">STDEV(C9:C104)</f>
        <v>2.3292543772519543</v>
      </c>
      <c r="D109" s="67">
        <f t="shared" si="3"/>
        <v>3.1338182931207368</v>
      </c>
      <c r="E109" s="67">
        <f t="shared" si="3"/>
        <v>0.52363522483138025</v>
      </c>
      <c r="F109" s="67">
        <f t="shared" si="3"/>
        <v>1.4891650455522945</v>
      </c>
      <c r="G109" s="67">
        <f t="shared" si="3"/>
        <v>10.930332090346718</v>
      </c>
      <c r="H109" s="67">
        <f t="shared" si="3"/>
        <v>2.2385944838576486</v>
      </c>
      <c r="I109" s="67">
        <f t="shared" si="3"/>
        <v>0.30596351620023993</v>
      </c>
      <c r="J109" s="67">
        <f t="shared" si="3"/>
        <v>9.6416494184746224E-2</v>
      </c>
      <c r="K109" s="67">
        <f t="shared" si="3"/>
        <v>70.237455611507968</v>
      </c>
      <c r="L109" s="67">
        <f t="shared" si="3"/>
        <v>1.2997843908584601</v>
      </c>
      <c r="M109" s="67">
        <f t="shared" si="3"/>
        <v>0.65392276993165455</v>
      </c>
      <c r="N109" s="67">
        <f t="shared" si="3"/>
        <v>97.288203405807735</v>
      </c>
      <c r="O109" s="67">
        <f t="shared" si="3"/>
        <v>0</v>
      </c>
      <c r="P109" s="67">
        <f t="shared" si="3"/>
        <v>0.14244354837508205</v>
      </c>
      <c r="Q109" s="67">
        <f t="shared" si="3"/>
        <v>6.5614169950138121E-2</v>
      </c>
      <c r="R109" s="199"/>
      <c r="S109" s="199"/>
      <c r="T109" s="199"/>
      <c r="U109" s="199"/>
      <c r="V109" s="54"/>
    </row>
    <row r="110" spans="1:22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22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  <c r="V111" s="54"/>
    </row>
    <row r="112" spans="1:22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  <c r="V112" s="54"/>
    </row>
    <row r="113" spans="1:22" x14ac:dyDescent="0.25">
      <c r="A113" s="1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14"/>
      <c r="M113" s="54"/>
      <c r="N113" s="17"/>
      <c r="O113" s="17"/>
      <c r="P113" s="17"/>
      <c r="Q113" s="17"/>
      <c r="R113" s="17"/>
      <c r="S113" s="17"/>
      <c r="T113" s="17"/>
      <c r="U113" s="17"/>
      <c r="V113" s="54"/>
    </row>
    <row r="114" spans="1:22" x14ac:dyDescent="0.25">
      <c r="A114" s="1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</row>
    <row r="115" spans="1:22" x14ac:dyDescent="0.25">
      <c r="A115" s="15" t="s">
        <v>64</v>
      </c>
      <c r="B115" s="212" t="s">
        <v>217</v>
      </c>
      <c r="C115" s="212"/>
      <c r="D115" s="212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</row>
    <row r="116" spans="1:22" x14ac:dyDescent="0.25">
      <c r="A116" s="14"/>
      <c r="B116" s="54"/>
      <c r="C116" s="54"/>
      <c r="D116" s="2"/>
      <c r="E116" s="2"/>
      <c r="F116" s="2"/>
      <c r="G116" s="2"/>
      <c r="H116" s="2"/>
      <c r="I116" s="2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</row>
    <row r="117" spans="1:22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  <c r="V117" s="54"/>
    </row>
    <row r="118" spans="1:22" x14ac:dyDescent="0.25">
      <c r="A118" s="1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</row>
    <row r="119" spans="1:22" x14ac:dyDescent="0.25">
      <c r="A119" s="1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</row>
    <row r="120" spans="1:22" x14ac:dyDescent="0.25">
      <c r="A120" s="1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tabSelected="1" zoomScale="85" zoomScaleNormal="85" workbookViewId="0">
      <pane xSplit="1" ySplit="8" topLeftCell="B33" activePane="bottomRight" state="frozen"/>
      <selection activeCell="B2" sqref="B2"/>
      <selection pane="topRight" activeCell="B2" sqref="B2"/>
      <selection pane="bottomLeft" activeCell="B2" sqref="B2"/>
      <selection pane="bottomRight" activeCell="T43" sqref="T43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01/10/2025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01/10/2025 00:15</v>
      </c>
      <c r="B9" s="61">
        <f>'01'!B108</f>
        <v>14.007083333333334</v>
      </c>
      <c r="C9" s="61">
        <f>'01'!C108</f>
        <v>11.900104166666663</v>
      </c>
      <c r="D9" s="61">
        <f>'01'!D108</f>
        <v>17.439062500000009</v>
      </c>
      <c r="E9" s="61">
        <f>'01'!E108</f>
        <v>4.8759375000000009</v>
      </c>
      <c r="F9" s="61">
        <f>'01'!F108</f>
        <v>23.310937499999984</v>
      </c>
      <c r="G9" s="99">
        <f>'01'!$G$108</f>
        <v>39.892500000000005</v>
      </c>
      <c r="H9" s="61">
        <f>'01'!H108</f>
        <v>8.5749999999999993</v>
      </c>
      <c r="I9" s="61">
        <f>'01'!I108</f>
        <v>2.4283333333333332</v>
      </c>
      <c r="J9" s="61">
        <f>'01'!J108</f>
        <v>0.35416666666666674</v>
      </c>
      <c r="K9" s="61">
        <f>'01'!K108</f>
        <v>238.62885416666666</v>
      </c>
      <c r="L9" s="61">
        <f>'01'!L108</f>
        <v>25.374895833333337</v>
      </c>
      <c r="M9" s="61">
        <f>'01'!M108</f>
        <v>94.348020833333351</v>
      </c>
      <c r="N9" s="61">
        <f>'01'!N108</f>
        <v>156.90729166666662</v>
      </c>
      <c r="O9" s="61">
        <f>'01'!O108</f>
        <v>3.3333333333333333E-2</v>
      </c>
      <c r="P9" s="202">
        <f>'01'!P108</f>
        <v>0.57677083333333334</v>
      </c>
      <c r="Q9" s="61">
        <f>'01'!Q108</f>
        <v>9.2247916666666683</v>
      </c>
      <c r="R9" s="118"/>
      <c r="S9" s="118"/>
      <c r="T9" s="118"/>
      <c r="U9" s="118"/>
    </row>
    <row r="10" spans="1:21" x14ac:dyDescent="0.25">
      <c r="A10" s="94" t="str">
        <f>'02'!$B$2</f>
        <v>02/10/2025 00:15</v>
      </c>
      <c r="B10" s="61">
        <f>'02'!B108</f>
        <v>17.909375000000004</v>
      </c>
      <c r="C10" s="61">
        <f>'02'!C108</f>
        <v>10.904895833333336</v>
      </c>
      <c r="D10" s="61">
        <f>'02'!D108</f>
        <v>20.029479166666672</v>
      </c>
      <c r="E10" s="61">
        <f>'02'!E108</f>
        <v>5.938229166666666</v>
      </c>
      <c r="F10" s="61">
        <f>'02'!F108</f>
        <v>22.117812500000003</v>
      </c>
      <c r="G10" s="61">
        <f>'02'!G108</f>
        <v>71.159270833333323</v>
      </c>
      <c r="H10" s="61">
        <f>'02'!H108</f>
        <v>8.6500000000000039</v>
      </c>
      <c r="I10" s="61">
        <f>'02'!I108</f>
        <v>2.2628125000000012</v>
      </c>
      <c r="J10" s="61">
        <f>'02'!J108</f>
        <v>0.68770833333333359</v>
      </c>
      <c r="K10" s="61">
        <f>'02'!K108</f>
        <v>307.54687500000006</v>
      </c>
      <c r="L10" s="61">
        <f>'02'!L108</f>
        <v>25.781666666666666</v>
      </c>
      <c r="M10" s="61">
        <f>'02'!M108</f>
        <v>94.497708333333279</v>
      </c>
      <c r="N10" s="61">
        <f>'02'!N108</f>
        <v>156.29895833333336</v>
      </c>
      <c r="O10" s="61">
        <f>'02'!O108</f>
        <v>0</v>
      </c>
      <c r="P10" s="202">
        <f>'02'!P108</f>
        <v>0.71114583333333325</v>
      </c>
      <c r="Q10" s="61">
        <f>'02'!Q108</f>
        <v>9.3537499999999998</v>
      </c>
      <c r="R10" s="118"/>
      <c r="S10" s="118"/>
      <c r="T10" s="118"/>
      <c r="U10" s="118"/>
    </row>
    <row r="11" spans="1:21" x14ac:dyDescent="0.25">
      <c r="A11" s="94" t="str">
        <f>'03'!$B$2</f>
        <v>03/10/2025 00:15</v>
      </c>
      <c r="B11" s="61">
        <f>'03'!B108</f>
        <v>12.517083333333337</v>
      </c>
      <c r="C11" s="61">
        <f>'03'!C108</f>
        <v>9.1867708333333304</v>
      </c>
      <c r="D11" s="61">
        <f>'03'!D108</f>
        <v>14.84572916666667</v>
      </c>
      <c r="E11" s="61">
        <f>'03'!E108</f>
        <v>5.0495833333333335</v>
      </c>
      <c r="F11" s="61">
        <f>'03'!F108</f>
        <v>15.319374999999999</v>
      </c>
      <c r="G11" s="61">
        <f>'03'!G108</f>
        <v>59.354062500000019</v>
      </c>
      <c r="H11" s="61">
        <f>'03'!H108</f>
        <v>8.2404166666666665</v>
      </c>
      <c r="I11" s="61">
        <f>'03'!I108</f>
        <v>1.4781249999999995</v>
      </c>
      <c r="J11" s="61">
        <f>'03'!J108</f>
        <v>0.59510416666666643</v>
      </c>
      <c r="K11" s="61">
        <f>'03'!K108</f>
        <v>296.32093749999984</v>
      </c>
      <c r="L11" s="61">
        <f>'03'!L108</f>
        <v>23.787916666666661</v>
      </c>
      <c r="M11" s="61">
        <f>'03'!M108</f>
        <v>97.851145833333263</v>
      </c>
      <c r="N11" s="61">
        <f>'03'!N108</f>
        <v>114.53645833333321</v>
      </c>
      <c r="O11" s="61">
        <f>'03'!O108</f>
        <v>8.3333333333333332E-3</v>
      </c>
      <c r="P11" s="202">
        <f>'03'!P108</f>
        <v>0.5160416666666664</v>
      </c>
      <c r="Q11" s="61">
        <f>'03'!Q108</f>
        <v>9.1727083333333379</v>
      </c>
      <c r="R11" s="118"/>
      <c r="S11" s="118"/>
      <c r="T11" s="118"/>
      <c r="U11" s="118"/>
    </row>
    <row r="12" spans="1:21" x14ac:dyDescent="0.25">
      <c r="A12" s="94" t="str">
        <f>'04'!$B$2</f>
        <v>04/10/2025 00:15</v>
      </c>
      <c r="B12" s="61">
        <f>'04'!B108</f>
        <v>9.5786458333333329</v>
      </c>
      <c r="C12" s="61">
        <f>'04'!C108</f>
        <v>8.3901041666666689</v>
      </c>
      <c r="D12" s="61">
        <f>'04'!D108</f>
        <v>12.063541666666671</v>
      </c>
      <c r="E12" s="61">
        <f>'04'!E108</f>
        <v>4.1942708333333334</v>
      </c>
      <c r="F12" s="61">
        <f>'04'!F108</f>
        <v>9.2413541666666656</v>
      </c>
      <c r="G12" s="61">
        <f>'04'!G108</f>
        <v>22.143750000000015</v>
      </c>
      <c r="H12" s="61">
        <f>'04'!H108</f>
        <v>7.3608333333333436</v>
      </c>
      <c r="I12" s="61">
        <f>'04'!I108</f>
        <v>1.4561458333333333</v>
      </c>
      <c r="J12" s="61">
        <f>'04'!J108</f>
        <v>0.19645833333333329</v>
      </c>
      <c r="K12" s="61">
        <f>'04'!K108</f>
        <v>259.95197916666655</v>
      </c>
      <c r="L12" s="61">
        <f>'04'!L108</f>
        <v>24.989374999999999</v>
      </c>
      <c r="M12" s="61">
        <f>'04'!M108</f>
        <v>95.993645833333304</v>
      </c>
      <c r="N12" s="61">
        <f>'04'!N108</f>
        <v>144.15729166666662</v>
      </c>
      <c r="O12" s="61">
        <f>'04'!O108</f>
        <v>0</v>
      </c>
      <c r="P12" s="202">
        <f>'04'!P108</f>
        <v>0.42687499999999989</v>
      </c>
      <c r="Q12" s="61">
        <f>'04'!Q108</f>
        <v>9.0729166666666714</v>
      </c>
      <c r="R12" s="118"/>
      <c r="S12" s="118"/>
      <c r="T12" s="118"/>
      <c r="U12" s="118"/>
    </row>
    <row r="13" spans="1:21" x14ac:dyDescent="0.25">
      <c r="A13" s="94" t="str">
        <f>'05'!$B$2</f>
        <v>05/10/2025 00:15</v>
      </c>
      <c r="B13" s="61">
        <f>'05'!B108</f>
        <v>11.327500000000001</v>
      </c>
      <c r="C13" s="61">
        <f>'05'!C108</f>
        <v>8.4288541666666656</v>
      </c>
      <c r="D13" s="61">
        <f>'05'!D108</f>
        <v>13.486874999999998</v>
      </c>
      <c r="E13" s="61">
        <f>'05'!E108</f>
        <v>4.3502083333333337</v>
      </c>
      <c r="F13" s="61">
        <f>'05'!F108</f>
        <v>11.094687500000004</v>
      </c>
      <c r="G13" s="61">
        <f>'05'!G108</f>
        <v>25.855104166666678</v>
      </c>
      <c r="H13" s="61">
        <f>'05'!H108</f>
        <v>8.9962500000000016</v>
      </c>
      <c r="I13" s="61">
        <f>'05'!I108</f>
        <v>1.6122916666666667</v>
      </c>
      <c r="J13" s="61">
        <f>'05'!J108</f>
        <v>0.21552083333333327</v>
      </c>
      <c r="K13" s="61">
        <f>'05'!K108</f>
        <v>238.11541666666653</v>
      </c>
      <c r="L13" s="61">
        <f>'05'!L108</f>
        <v>23.854375000000005</v>
      </c>
      <c r="M13" s="61">
        <f>'05'!M108</f>
        <v>97.892708333333374</v>
      </c>
      <c r="N13" s="61">
        <f>'05'!N108</f>
        <v>133.98645833333327</v>
      </c>
      <c r="O13" s="61">
        <f>'05'!O108</f>
        <v>8.3333333333333332E-3</v>
      </c>
      <c r="P13" s="202">
        <f>'05'!P108</f>
        <v>0.44864583333333335</v>
      </c>
      <c r="Q13" s="61">
        <f>'05'!Q108</f>
        <v>9.1146875000000041</v>
      </c>
      <c r="R13" s="118"/>
      <c r="S13" s="118"/>
      <c r="T13" s="118"/>
      <c r="U13" s="118"/>
    </row>
    <row r="14" spans="1:21" x14ac:dyDescent="0.25">
      <c r="A14" s="94" t="str">
        <f>'06'!$B$2</f>
        <v>06/10/2025 00:15</v>
      </c>
      <c r="B14" s="61">
        <f>'06'!B108</f>
        <v>14.129375000000001</v>
      </c>
      <c r="C14" s="61">
        <f>'06'!C108</f>
        <v>8.4854166666666675</v>
      </c>
      <c r="D14" s="61">
        <f>'06'!D108</f>
        <v>15.757083333333341</v>
      </c>
      <c r="E14" s="61">
        <f>'06'!E108</f>
        <v>4.3795833333333336</v>
      </c>
      <c r="F14" s="61">
        <f>'06'!F108</f>
        <v>13.654062499999997</v>
      </c>
      <c r="G14" s="61">
        <f>'06'!G108</f>
        <v>26.813229166666662</v>
      </c>
      <c r="H14" s="61">
        <f>'06'!H108</f>
        <v>7.4208333333333334</v>
      </c>
      <c r="I14" s="61">
        <f>'06'!I108</f>
        <v>2.0658333333333343</v>
      </c>
      <c r="J14" s="61">
        <f>'06'!J108</f>
        <v>0.13937500000000003</v>
      </c>
      <c r="K14" s="61">
        <f>'06'!K108</f>
        <v>234.96656249999998</v>
      </c>
      <c r="L14" s="61">
        <f>'06'!L108</f>
        <v>23.413333333333341</v>
      </c>
      <c r="M14" s="61">
        <f>'06'!M108</f>
        <v>97.131562499999973</v>
      </c>
      <c r="N14" s="61">
        <f>'06'!N108</f>
        <v>115.09479166666667</v>
      </c>
      <c r="O14" s="61">
        <f>'06'!O108</f>
        <v>0</v>
      </c>
      <c r="P14" s="202">
        <f>'06'!P108</f>
        <v>0.59541666666666671</v>
      </c>
      <c r="Q14" s="61">
        <f>'06'!Q108</f>
        <v>9.1767708333333307</v>
      </c>
      <c r="R14" s="118"/>
      <c r="S14" s="118"/>
      <c r="T14" s="118"/>
      <c r="U14" s="118"/>
    </row>
    <row r="15" spans="1:21" x14ac:dyDescent="0.25">
      <c r="A15" s="94" t="str">
        <f>'07'!$B$2</f>
        <v>07/10/2025 00:15</v>
      </c>
      <c r="B15" s="61">
        <f>'07'!B108</f>
        <v>13.42135416666666</v>
      </c>
      <c r="C15" s="61">
        <f>'07'!C108</f>
        <v>14.142708333333333</v>
      </c>
      <c r="D15" s="61">
        <f>'07'!D108</f>
        <v>18.149479166666666</v>
      </c>
      <c r="E15" s="61">
        <f>'07'!E108</f>
        <v>4.9285416666666668</v>
      </c>
      <c r="F15" s="61">
        <f>'07'!F108</f>
        <v>13.419479166666669</v>
      </c>
      <c r="G15" s="100">
        <f>'07'!$G$108</f>
        <v>47.551770833333343</v>
      </c>
      <c r="H15" s="61">
        <f>'07'!H108</f>
        <v>7.8075000000000001</v>
      </c>
      <c r="I15" s="61">
        <f>'07'!I108</f>
        <v>2.3727083333333323</v>
      </c>
      <c r="J15" s="61">
        <f>'07'!J108</f>
        <v>0.24500000000000002</v>
      </c>
      <c r="K15" s="61">
        <f>'07'!K108</f>
        <v>218.43937500000004</v>
      </c>
      <c r="L15" s="61">
        <f>'07'!L108</f>
        <v>24.978333333333339</v>
      </c>
      <c r="M15" s="61">
        <f>'07'!M108</f>
        <v>94.567812500000073</v>
      </c>
      <c r="N15" s="61">
        <f>'07'!N108</f>
        <v>162.84999999999997</v>
      </c>
      <c r="O15" s="61">
        <f>'07'!O108</f>
        <v>0</v>
      </c>
      <c r="P15" s="202">
        <f>'07'!P108</f>
        <v>0.59020833333333356</v>
      </c>
      <c r="Q15" s="61">
        <f>'07'!Q108</f>
        <v>9.1918749999999907</v>
      </c>
      <c r="R15" s="118"/>
      <c r="S15" s="118"/>
      <c r="T15" s="118"/>
      <c r="U15" s="118"/>
    </row>
    <row r="16" spans="1:21" x14ac:dyDescent="0.25">
      <c r="A16" s="94" t="str">
        <f>'08'!$B$2</f>
        <v>08/10/2025 00:15</v>
      </c>
      <c r="B16" s="61">
        <f>'08'!B108</f>
        <v>14.91552083333333</v>
      </c>
      <c r="C16" s="61">
        <f>'08'!C108</f>
        <v>17.045416666666661</v>
      </c>
      <c r="D16" s="61">
        <f>'08'!D108</f>
        <v>20.863333333333333</v>
      </c>
      <c r="E16" s="61">
        <f>'08'!E108</f>
        <v>5.1117708333333338</v>
      </c>
      <c r="F16" s="61">
        <f>'08'!F108</f>
        <v>10.838541666666666</v>
      </c>
      <c r="G16" s="100">
        <f>'08'!$G$108</f>
        <v>70.578749999999999</v>
      </c>
      <c r="H16" s="61">
        <f>'08'!H108</f>
        <v>8.1716666666666651</v>
      </c>
      <c r="I16" s="61">
        <f>'08'!I108</f>
        <v>1.9548958333333328</v>
      </c>
      <c r="J16" s="61">
        <f>'08'!J108</f>
        <v>0.25677083333333328</v>
      </c>
      <c r="K16" s="61">
        <f>'08'!K108</f>
        <v>224.41593750000004</v>
      </c>
      <c r="L16" s="61">
        <f>'08'!L108</f>
        <v>26.014687500000004</v>
      </c>
      <c r="M16" s="61">
        <f>'08'!M108</f>
        <v>91.688124999999971</v>
      </c>
      <c r="N16" s="61">
        <f>'08'!N108</f>
        <v>151.19687499999998</v>
      </c>
      <c r="O16" s="61">
        <f>'08'!O108</f>
        <v>2.0833333333333333E-3</v>
      </c>
      <c r="P16" s="202">
        <f>'08'!P108</f>
        <v>0.68260416666666668</v>
      </c>
      <c r="Q16" s="61">
        <f>'08'!Q108</f>
        <v>9.2026041666666654</v>
      </c>
      <c r="R16" s="118"/>
      <c r="S16" s="118"/>
      <c r="T16" s="118"/>
      <c r="U16" s="118"/>
    </row>
    <row r="17" spans="1:21" x14ac:dyDescent="0.25">
      <c r="A17" s="94" t="str">
        <f>'09'!$B$2</f>
        <v>09/10/2025 00:15</v>
      </c>
      <c r="B17" s="61">
        <f>'09'!B108</f>
        <v>14.918333333333337</v>
      </c>
      <c r="C17" s="61">
        <f>'09'!C108</f>
        <v>14.36041666666666</v>
      </c>
      <c r="D17" s="61">
        <f>'09'!D108</f>
        <v>19.451145833333339</v>
      </c>
      <c r="E17" s="61">
        <f>'09'!E108</f>
        <v>5.4808333333333339</v>
      </c>
      <c r="F17" s="61">
        <f>'09'!F108</f>
        <v>5.7820833333333361</v>
      </c>
      <c r="G17" s="100">
        <f>'09'!$G$108</f>
        <v>31.454583333333346</v>
      </c>
      <c r="H17" s="61">
        <f>'09'!H108</f>
        <v>7.761250000000004</v>
      </c>
      <c r="I17" s="61">
        <f>'09'!I108</f>
        <v>1.9350000000000014</v>
      </c>
      <c r="J17" s="61">
        <f>'09'!J108</f>
        <v>0.41718749999999982</v>
      </c>
      <c r="K17" s="61">
        <f>'09'!K108</f>
        <v>266.70916666666659</v>
      </c>
      <c r="L17" s="61">
        <f>'09'!L108</f>
        <v>25.924270833333328</v>
      </c>
      <c r="M17" s="61">
        <f>'09'!M108</f>
        <v>92.317604166666683</v>
      </c>
      <c r="N17" s="61">
        <f>'09'!N108</f>
        <v>152.21770833333335</v>
      </c>
      <c r="O17" s="61">
        <f>'09'!O108</f>
        <v>2.0833333333333333E-3</v>
      </c>
      <c r="P17" s="202">
        <f>'09'!P108</f>
        <v>0.61260416666666662</v>
      </c>
      <c r="Q17" s="61">
        <f>'09'!Q108</f>
        <v>9.2596874999999894</v>
      </c>
      <c r="R17" s="118"/>
      <c r="S17" s="118"/>
      <c r="T17" s="118"/>
      <c r="U17" s="118"/>
    </row>
    <row r="18" spans="1:21" x14ac:dyDescent="0.25">
      <c r="A18" s="94" t="str">
        <f>'10'!$B$2</f>
        <v>10/10/2025 00:15</v>
      </c>
      <c r="B18" s="61">
        <f>'10'!B108</f>
        <v>13.596041666666657</v>
      </c>
      <c r="C18" s="61">
        <f>'10'!C108</f>
        <v>15.293645833333329</v>
      </c>
      <c r="D18" s="61">
        <f>'10'!D108</f>
        <v>18.859166666666667</v>
      </c>
      <c r="E18" s="61">
        <f>'10'!E108</f>
        <v>6.053541666666665</v>
      </c>
      <c r="F18" s="61">
        <f>'10'!F108</f>
        <v>5.2345833333333331</v>
      </c>
      <c r="G18" s="101">
        <f>'10'!$G$108</f>
        <v>32.080520833333338</v>
      </c>
      <c r="H18" s="61">
        <f>'10'!H108</f>
        <v>8.4454166666666648</v>
      </c>
      <c r="I18" s="61">
        <f>'10'!I108</f>
        <v>1.9409375000000004</v>
      </c>
      <c r="J18" s="61">
        <f>'10'!J108</f>
        <v>0.40208333333333335</v>
      </c>
      <c r="K18" s="61">
        <f>'10'!K108</f>
        <v>214.30197916666654</v>
      </c>
      <c r="L18" s="61">
        <f>'10'!L108</f>
        <v>24.420208333333324</v>
      </c>
      <c r="M18" s="61">
        <f>'10'!M108</f>
        <v>96.484166666666667</v>
      </c>
      <c r="N18" s="61">
        <f>'10'!N108</f>
        <v>123.67916666666667</v>
      </c>
      <c r="O18" s="61">
        <f>'10'!O108</f>
        <v>0</v>
      </c>
      <c r="P18" s="202">
        <f>'10'!P108</f>
        <v>0.68354166666666683</v>
      </c>
      <c r="Q18" s="61">
        <f>'10'!Q108</f>
        <v>9.2154166666666679</v>
      </c>
      <c r="R18" s="118"/>
      <c r="S18" s="118"/>
      <c r="T18" s="118"/>
      <c r="U18" s="118"/>
    </row>
    <row r="19" spans="1:21" x14ac:dyDescent="0.25">
      <c r="A19" s="94" t="str">
        <f>'11'!$B$2</f>
        <v>11/10/2025 00:15</v>
      </c>
      <c r="B19" s="61">
        <f>'11'!B108</f>
        <v>14.135104166666665</v>
      </c>
      <c r="C19" s="61">
        <f>'11'!C108</f>
        <v>13.109166666666667</v>
      </c>
      <c r="D19" s="61">
        <f>'11'!D108</f>
        <v>18.176041666666674</v>
      </c>
      <c r="E19" s="61">
        <f>'11'!E108</f>
        <v>6.5521874999999961</v>
      </c>
      <c r="F19" s="61">
        <f>'11'!F108</f>
        <v>4.4240625000000033</v>
      </c>
      <c r="G19" s="99">
        <f>'11'!$G$108</f>
        <v>41.92510416666665</v>
      </c>
      <c r="H19" s="61">
        <f>'11'!H108</f>
        <v>7.128749999999993</v>
      </c>
      <c r="I19" s="61">
        <f>'11'!I108</f>
        <v>2.160729166666667</v>
      </c>
      <c r="J19" s="61">
        <f>'11'!J108</f>
        <v>0.5540624999999999</v>
      </c>
      <c r="K19" s="61">
        <f>'11'!K108</f>
        <v>298.03437500000001</v>
      </c>
      <c r="L19" s="61">
        <f>'11'!L108</f>
        <v>24.314270833333339</v>
      </c>
      <c r="M19" s="61">
        <f>'11'!M108</f>
        <v>93.56302083333334</v>
      </c>
      <c r="N19" s="61">
        <f>'11'!N108</f>
        <v>130.87604166666668</v>
      </c>
      <c r="O19" s="61">
        <f>'11'!O108</f>
        <v>0</v>
      </c>
      <c r="P19" s="202">
        <f>'11'!P108</f>
        <v>0.6182291666666665</v>
      </c>
      <c r="Q19" s="61">
        <f>'11'!Q108</f>
        <v>9.2198958333333358</v>
      </c>
      <c r="R19" s="118"/>
      <c r="S19" s="118"/>
      <c r="T19" s="118"/>
      <c r="U19" s="118"/>
    </row>
    <row r="20" spans="1:21" x14ac:dyDescent="0.25">
      <c r="A20" s="94" t="str">
        <f>'12'!$B$2</f>
        <v>12/10/2025 00:15</v>
      </c>
      <c r="B20" s="61">
        <f>'12'!B108</f>
        <v>17.64427083333333</v>
      </c>
      <c r="C20" s="61">
        <f>'12'!C108</f>
        <v>18.699270833333326</v>
      </c>
      <c r="D20" s="61">
        <f>'12'!D108</f>
        <v>23.916250000000009</v>
      </c>
      <c r="E20" s="61">
        <f>'12'!E108</f>
        <v>7.8702083333333315</v>
      </c>
      <c r="F20" s="61">
        <f>'12'!F108</f>
        <v>4.6582291666666684</v>
      </c>
      <c r="G20" s="101">
        <f>'12'!$G$108</f>
        <v>36.875937499999999</v>
      </c>
      <c r="H20" s="61">
        <f>'12'!H108</f>
        <v>7.7450000000000072</v>
      </c>
      <c r="I20" s="61">
        <f>'12'!I108</f>
        <v>2.0982291666666661</v>
      </c>
      <c r="J20" s="61">
        <f>'12'!J108</f>
        <v>0.28666666666666663</v>
      </c>
      <c r="K20" s="61">
        <f>'12'!K108</f>
        <v>239.69062500000007</v>
      </c>
      <c r="L20" s="61">
        <f>'12'!L108</f>
        <v>24.859270833333326</v>
      </c>
      <c r="M20" s="61">
        <f>'12'!M108</f>
        <v>88.372604166666676</v>
      </c>
      <c r="N20" s="61">
        <f>'12'!N108</f>
        <v>170.37187500000007</v>
      </c>
      <c r="O20" s="61">
        <f>'12'!O108</f>
        <v>0</v>
      </c>
      <c r="P20" s="202">
        <f>'12'!P108</f>
        <v>0.75770833333333332</v>
      </c>
      <c r="Q20" s="61">
        <f>'12'!Q108</f>
        <v>9.2898958333333361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13/10/2025 00:15</v>
      </c>
      <c r="B21" s="91">
        <f>'13'!B108</f>
        <v>10.775416666666665</v>
      </c>
      <c r="C21" s="91">
        <f>'13'!C108</f>
        <v>15.46625</v>
      </c>
      <c r="D21" s="91">
        <f>'13'!D108</f>
        <v>16.712604166666672</v>
      </c>
      <c r="E21" s="91">
        <f>'13'!E108</f>
        <v>6.6603125000000007</v>
      </c>
      <c r="F21" s="91">
        <f>'13'!F108</f>
        <v>6.4049999999999985</v>
      </c>
      <c r="G21" s="100">
        <f>'13'!$G$108</f>
        <v>33.223645833333343</v>
      </c>
      <c r="H21" s="91">
        <f>'13'!H108</f>
        <v>6.8058333333333323</v>
      </c>
      <c r="I21" s="91">
        <f>'13'!I108</f>
        <v>2.3589583333333324</v>
      </c>
      <c r="J21" s="91">
        <f>'13'!J108</f>
        <v>0.39020833333333343</v>
      </c>
      <c r="K21" s="91">
        <f>'13'!K108</f>
        <v>183.43770833333335</v>
      </c>
      <c r="L21" s="91">
        <f>'13'!L108</f>
        <v>25.694583333333316</v>
      </c>
      <c r="M21" s="91">
        <f>'13'!M108</f>
        <v>83.990416666666633</v>
      </c>
      <c r="N21" s="91">
        <f>'13'!N108</f>
        <v>185.24062499999991</v>
      </c>
      <c r="O21" s="91">
        <f>'13'!O108</f>
        <v>0</v>
      </c>
      <c r="P21" s="203">
        <f>'13'!P108</f>
        <v>0.57427083333333329</v>
      </c>
      <c r="Q21" s="91">
        <f>'13'!Q108</f>
        <v>9.1602083333333244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14/10/2025 00:15</v>
      </c>
      <c r="B22" s="90">
        <f>'14'!B108</f>
        <v>9.3780208333333324</v>
      </c>
      <c r="C22" s="90">
        <f>'14'!C108</f>
        <v>15.1253125</v>
      </c>
      <c r="D22" s="90">
        <f>'14'!D108</f>
        <v>15.426666666666662</v>
      </c>
      <c r="E22" s="90">
        <f>'14'!E108</f>
        <v>5.8830208333333323</v>
      </c>
      <c r="F22" s="90">
        <f>'14'!F108</f>
        <v>5.8742708333333331</v>
      </c>
      <c r="G22" s="100">
        <f>'14'!$G$108</f>
        <v>37.588437500000005</v>
      </c>
      <c r="H22" s="100">
        <f>'14'!$G$108</f>
        <v>37.588437500000005</v>
      </c>
      <c r="I22" s="90">
        <f>'14'!I108</f>
        <v>1.933229166666667</v>
      </c>
      <c r="J22" s="90">
        <f>'14'!J108</f>
        <v>0.30822916666666672</v>
      </c>
      <c r="K22" s="90">
        <f>'14'!K108</f>
        <v>164.33500000000001</v>
      </c>
      <c r="L22" s="90">
        <f>'14'!L108</f>
        <v>25.65656250000001</v>
      </c>
      <c r="M22" s="90">
        <f>'14'!M108</f>
        <v>84.01</v>
      </c>
      <c r="N22" s="90">
        <f>'14'!N108</f>
        <v>193.23124999999993</v>
      </c>
      <c r="O22" s="90">
        <f>'14'!O108</f>
        <v>0</v>
      </c>
      <c r="P22" s="204">
        <f>'14'!P108</f>
        <v>0.54072916666666682</v>
      </c>
      <c r="Q22" s="90">
        <f>'14'!Q108</f>
        <v>9.0861458333333278</v>
      </c>
      <c r="R22" s="206"/>
      <c r="S22" s="206"/>
      <c r="T22" s="206"/>
      <c r="U22" s="206"/>
    </row>
    <row r="23" spans="1:21" x14ac:dyDescent="0.25">
      <c r="A23" s="94" t="str">
        <f>'15'!$B$2</f>
        <v>15/10/2025 00:15</v>
      </c>
      <c r="B23" s="61">
        <f>'15'!B108</f>
        <v>7.8933333333333318</v>
      </c>
      <c r="C23" s="61">
        <f>'15'!C108</f>
        <v>17.624687500000004</v>
      </c>
      <c r="D23" s="61">
        <f>'15'!D108</f>
        <v>15.553125000000007</v>
      </c>
      <c r="E23" s="61">
        <f>'15'!E108</f>
        <v>6.7721875000000038</v>
      </c>
      <c r="F23" s="61">
        <f>'15'!F108</f>
        <v>7.0146874999999982</v>
      </c>
      <c r="G23" s="100">
        <f>'15'!$G$108</f>
        <v>55.902499999999975</v>
      </c>
      <c r="H23" s="61">
        <f>'15'!H108</f>
        <v>9.0525000000000002</v>
      </c>
      <c r="I23" s="61">
        <f>'15'!I108</f>
        <v>1.8041666666666671</v>
      </c>
      <c r="J23" s="61">
        <f>'15'!J108</f>
        <v>0.33812500000000001</v>
      </c>
      <c r="K23" s="61">
        <f>'15'!K108</f>
        <v>178.0889583333333</v>
      </c>
      <c r="L23" s="61">
        <f>'15'!L108</f>
        <v>25.904895833333342</v>
      </c>
      <c r="M23" s="61">
        <f>'15'!M108</f>
        <v>81.600416666666661</v>
      </c>
      <c r="N23" s="61">
        <f>'15'!N108</f>
        <v>198.52395833333341</v>
      </c>
      <c r="O23" s="61">
        <f>'15'!O108</f>
        <v>2.0833333333333333E-3</v>
      </c>
      <c r="P23" s="202">
        <f>'15'!P108</f>
        <v>0.60520833333333324</v>
      </c>
      <c r="Q23" s="61">
        <f>'15'!Q108</f>
        <v>9.0561458333333249</v>
      </c>
      <c r="R23" s="118"/>
      <c r="S23" s="118"/>
      <c r="T23" s="118"/>
      <c r="U23" s="118"/>
    </row>
    <row r="24" spans="1:21" x14ac:dyDescent="0.25">
      <c r="A24" s="94" t="str">
        <f>'16'!$B$2</f>
        <v>16/10/2025 00:15</v>
      </c>
      <c r="B24" s="61">
        <f>'16'!B108</f>
        <v>8.15</v>
      </c>
      <c r="C24" s="61">
        <f>'16'!C108</f>
        <v>19.69489583333333</v>
      </c>
      <c r="D24" s="61">
        <f>'16'!D108</f>
        <v>16.824687499999996</v>
      </c>
      <c r="E24" s="61">
        <f>'16'!E108</f>
        <v>7.559583333333336</v>
      </c>
      <c r="F24" s="61">
        <f>'16'!F108</f>
        <v>7.4887499999999987</v>
      </c>
      <c r="G24" s="100">
        <f>'16'!$G$108</f>
        <v>67.185312499999995</v>
      </c>
      <c r="H24" s="61">
        <f>'16'!H108</f>
        <v>9.5108333333333288</v>
      </c>
      <c r="I24" s="61">
        <f>'16'!I108</f>
        <v>1.9495833333333339</v>
      </c>
      <c r="J24" s="61">
        <f>'16'!J108</f>
        <v>0.2792708333333333</v>
      </c>
      <c r="K24" s="61">
        <f>'16'!K108</f>
        <v>167.49489583333335</v>
      </c>
      <c r="L24" s="61">
        <f>'16'!L108</f>
        <v>25.989687500000006</v>
      </c>
      <c r="M24" s="61">
        <f>'16'!M108</f>
        <v>81.972916666666706</v>
      </c>
      <c r="N24" s="61">
        <f>'16'!N108</f>
        <v>185.3437500000002</v>
      </c>
      <c r="O24" s="61">
        <f>'16'!O108</f>
        <v>0</v>
      </c>
      <c r="P24" s="202">
        <f>'16'!P108</f>
        <v>0.60645833333333321</v>
      </c>
      <c r="Q24" s="61">
        <f>'16'!Q108</f>
        <v>9.0531249999999943</v>
      </c>
      <c r="R24" s="118"/>
      <c r="S24" s="118"/>
      <c r="T24" s="118"/>
      <c r="U24" s="118"/>
    </row>
    <row r="25" spans="1:21" x14ac:dyDescent="0.25">
      <c r="A25" s="94" t="str">
        <f>'17'!$B$2</f>
        <v>17/10/2025 00:15</v>
      </c>
      <c r="B25" s="61">
        <f>'17'!B108</f>
        <v>13.566249999999998</v>
      </c>
      <c r="C25" s="61">
        <f>'17'!C108</f>
        <v>21.604479166666668</v>
      </c>
      <c r="D25" s="61">
        <f>'17'!D108</f>
        <v>22.177604166666669</v>
      </c>
      <c r="E25" s="61">
        <f>'17'!E108</f>
        <v>9.4481250000000028</v>
      </c>
      <c r="F25" s="61">
        <f>'17'!F108</f>
        <v>6.718645833333337</v>
      </c>
      <c r="G25" s="101">
        <f>'17'!$G$108</f>
        <v>75.434479166666705</v>
      </c>
      <c r="H25" s="61">
        <f>'17'!H108</f>
        <v>9.1079166666666698</v>
      </c>
      <c r="I25" s="61">
        <f>'17'!I108</f>
        <v>2.0548958333333327</v>
      </c>
      <c r="J25" s="61">
        <f>'17'!J108</f>
        <v>0.24749999999999994</v>
      </c>
      <c r="K25" s="61">
        <f>'17'!K108</f>
        <v>194.85791666666671</v>
      </c>
      <c r="L25" s="61">
        <f>'17'!L108</f>
        <v>25.918958333333332</v>
      </c>
      <c r="M25" s="61">
        <f>'17'!M108</f>
        <v>76.926458333333315</v>
      </c>
      <c r="N25" s="61">
        <f>'17'!N108</f>
        <v>183.73124999999993</v>
      </c>
      <c r="O25" s="61">
        <f>'17'!O108</f>
        <v>0</v>
      </c>
      <c r="P25" s="202">
        <f>'17'!P108</f>
        <v>0.68156249999999974</v>
      </c>
      <c r="Q25" s="61">
        <f>'17'!Q108</f>
        <v>9.1222916666666602</v>
      </c>
      <c r="R25" s="118"/>
      <c r="S25" s="118"/>
      <c r="T25" s="118"/>
      <c r="U25" s="118"/>
    </row>
    <row r="26" spans="1:21" x14ac:dyDescent="0.25">
      <c r="A26" s="94" t="str">
        <f>'18'!$B$2</f>
        <v>18/10/2025 00:15</v>
      </c>
      <c r="B26" s="61">
        <f>'18'!B108</f>
        <v>12.459062500000002</v>
      </c>
      <c r="C26" s="61">
        <f>'18'!C108</f>
        <v>18.858229166666664</v>
      </c>
      <c r="D26" s="61">
        <f>'18'!D108</f>
        <v>19.843333333333337</v>
      </c>
      <c r="E26" s="61">
        <f>'18'!E108</f>
        <v>9.9204166666666662</v>
      </c>
      <c r="F26" s="61">
        <f>'18'!F108</f>
        <v>4.8619791666666661</v>
      </c>
      <c r="G26" s="99">
        <f>'18'!$G$108</f>
        <v>74.551354166666698</v>
      </c>
      <c r="H26" s="61">
        <f>'18'!H108</f>
        <v>8.5499999999999918</v>
      </c>
      <c r="I26" s="61">
        <f>'18'!I108</f>
        <v>2.3616666666666681</v>
      </c>
      <c r="J26" s="61">
        <f>'18'!J108</f>
        <v>0.3433333333333331</v>
      </c>
      <c r="K26" s="61">
        <f>'18'!K108</f>
        <v>211.57208333333335</v>
      </c>
      <c r="L26" s="61">
        <f>'18'!L108</f>
        <v>25.571458333333311</v>
      </c>
      <c r="M26" s="61">
        <f>'18'!M108</f>
        <v>66.275208333333353</v>
      </c>
      <c r="N26" s="61">
        <f>'18'!N108</f>
        <v>191.49062500000011</v>
      </c>
      <c r="O26" s="61">
        <f>'18'!O108</f>
        <v>0</v>
      </c>
      <c r="P26" s="202">
        <f>'18'!P108</f>
        <v>0.63677083333333317</v>
      </c>
      <c r="Q26" s="61">
        <f>'18'!Q108</f>
        <v>9.230416666666672</v>
      </c>
      <c r="R26" s="118"/>
      <c r="S26" s="118"/>
      <c r="T26" s="118"/>
      <c r="U26" s="118"/>
    </row>
    <row r="27" spans="1:21" x14ac:dyDescent="0.25">
      <c r="A27" s="94" t="str">
        <f>'19'!$B$2</f>
        <v>19/10/2025 00:15</v>
      </c>
      <c r="B27" s="61">
        <f>'19'!B108</f>
        <v>11.991249999999994</v>
      </c>
      <c r="C27" s="61">
        <f>'19'!C108</f>
        <v>21.076145833333335</v>
      </c>
      <c r="D27" s="61">
        <f>'19'!D108</f>
        <v>20.615208333333332</v>
      </c>
      <c r="E27" s="61">
        <f>'19'!E108</f>
        <v>10.496250000000007</v>
      </c>
      <c r="F27" s="61">
        <f>'19'!F108</f>
        <v>5.6575000000000024</v>
      </c>
      <c r="G27" s="61">
        <f>'19'!G108</f>
        <v>59.697916666666693</v>
      </c>
      <c r="H27" s="61">
        <f>'19'!H108</f>
        <v>10.280104166666669</v>
      </c>
      <c r="I27" s="61">
        <f>'19'!I108</f>
        <v>2.7611458333333339</v>
      </c>
      <c r="J27" s="61">
        <f>'19'!J108</f>
        <v>0.27697916666666667</v>
      </c>
      <c r="K27" s="61">
        <f>'19'!K108</f>
        <v>235.25562500000012</v>
      </c>
      <c r="L27" s="61">
        <f>'19'!L108</f>
        <v>25.561458333333331</v>
      </c>
      <c r="M27" s="61">
        <f>'19'!M108</f>
        <v>67.714375000000018</v>
      </c>
      <c r="N27" s="61">
        <f>'19'!N108</f>
        <v>205.22395833333329</v>
      </c>
      <c r="O27" s="61">
        <f>'19'!O108</f>
        <v>0</v>
      </c>
      <c r="P27" s="202">
        <f>'19'!P108</f>
        <v>0.8542708333333332</v>
      </c>
      <c r="Q27" s="61">
        <f>'19'!Q108</f>
        <v>9.1566666666666645</v>
      </c>
      <c r="R27" s="118"/>
      <c r="S27" s="118"/>
      <c r="T27" s="118"/>
      <c r="U27" s="118"/>
    </row>
    <row r="28" spans="1:21" x14ac:dyDescent="0.25">
      <c r="A28" s="94" t="str">
        <f>'20'!$B$2</f>
        <v>20/10/2025 00:15</v>
      </c>
      <c r="B28" s="61">
        <f>'20'!B108</f>
        <v>7.7060416666666667</v>
      </c>
      <c r="C28" s="61">
        <f>'20'!C108</f>
        <v>12.919687500000004</v>
      </c>
      <c r="D28" s="61">
        <f>'20'!D108</f>
        <v>12.930520833333327</v>
      </c>
      <c r="E28" s="61">
        <f>'20'!E108</f>
        <v>7.6148958333333328</v>
      </c>
      <c r="F28" s="61">
        <f>'20'!F108</f>
        <v>6.0333333333333341</v>
      </c>
      <c r="G28" s="61">
        <f>'20'!G108</f>
        <v>57.177916666666654</v>
      </c>
      <c r="H28" s="61">
        <f>'20'!H108</f>
        <v>13.567812500000004</v>
      </c>
      <c r="I28" s="61">
        <f>'20'!I108</f>
        <v>2.2229166666666664</v>
      </c>
      <c r="J28" s="61">
        <f>'20'!J108</f>
        <v>0.55520833333333341</v>
      </c>
      <c r="K28" s="61">
        <f>'20'!K108</f>
        <v>190.10927083333334</v>
      </c>
      <c r="L28" s="61">
        <f>'20'!L108</f>
        <v>25.383749999999992</v>
      </c>
      <c r="M28" s="61">
        <f>'20'!M108</f>
        <v>87.121041666666656</v>
      </c>
      <c r="N28" s="61">
        <f>'20'!N108</f>
        <v>157.46562499999996</v>
      </c>
      <c r="O28" s="61">
        <f>'20'!O108</f>
        <v>0</v>
      </c>
      <c r="P28" s="202">
        <f>'20'!P108</f>
        <v>0.51937499999999992</v>
      </c>
      <c r="Q28" s="61">
        <f>'20'!Q108</f>
        <v>9.0730208333333326</v>
      </c>
      <c r="R28" s="118"/>
      <c r="S28" s="118"/>
      <c r="T28" s="118"/>
      <c r="U28" s="118"/>
    </row>
    <row r="29" spans="1:21" x14ac:dyDescent="0.25">
      <c r="A29" s="94" t="str">
        <f>'21'!$B$2</f>
        <v>21/10/2025 00:15</v>
      </c>
      <c r="B29" s="61">
        <f>'21'!B108</f>
        <v>6.672083333333334</v>
      </c>
      <c r="C29" s="61">
        <f>'21'!C108</f>
        <v>10.144687500000002</v>
      </c>
      <c r="D29" s="61">
        <f>'21'!D108</f>
        <v>10.658645833333333</v>
      </c>
      <c r="E29" s="61">
        <f>'21'!E108</f>
        <v>6.6963541666666657</v>
      </c>
      <c r="F29" s="61">
        <f>'21'!F108</f>
        <v>6.186041666666668</v>
      </c>
      <c r="G29" s="61">
        <f>'21'!G108</f>
        <v>38.072604166666643</v>
      </c>
      <c r="H29" s="61">
        <f>'21'!H108</f>
        <v>13.868958333333333</v>
      </c>
      <c r="I29" s="61">
        <f>'21'!I108</f>
        <v>1.2672916666666663</v>
      </c>
      <c r="J29" s="61">
        <f>'21'!J108</f>
        <v>0.54166666666666685</v>
      </c>
      <c r="K29" s="61">
        <f>'21'!K108</f>
        <v>139.76958333333332</v>
      </c>
      <c r="L29" s="61">
        <f>'21'!L108</f>
        <v>25.203125000000011</v>
      </c>
      <c r="M29" s="61">
        <f>'21'!M108</f>
        <v>89.030000000000015</v>
      </c>
      <c r="N29" s="61">
        <f>'21'!N108</f>
        <v>175.15520833333346</v>
      </c>
      <c r="O29" s="61">
        <f>'21'!O108</f>
        <v>0</v>
      </c>
      <c r="P29" s="202">
        <f>'21'!P108</f>
        <v>0.3582291666666666</v>
      </c>
      <c r="Q29" s="61">
        <f>'21'!Q108</f>
        <v>9.0227083333333358</v>
      </c>
      <c r="R29" s="118"/>
      <c r="S29" s="118"/>
      <c r="T29" s="118"/>
      <c r="U29" s="118"/>
    </row>
    <row r="30" spans="1:21" x14ac:dyDescent="0.25">
      <c r="A30" s="94" t="str">
        <f>'22'!$B$2</f>
        <v>22/10/2025 00:15</v>
      </c>
      <c r="B30" s="61">
        <f>'22'!B108</f>
        <v>6.2001041666666694</v>
      </c>
      <c r="C30" s="61">
        <f>'22'!C108</f>
        <v>12.344583333333331</v>
      </c>
      <c r="D30" s="61">
        <f>'22'!D108</f>
        <v>11.421875000000002</v>
      </c>
      <c r="E30" s="61">
        <f>'22'!E108</f>
        <v>7.0940625000000006</v>
      </c>
      <c r="F30" s="61">
        <f>'22'!F108</f>
        <v>5.6511458333333371</v>
      </c>
      <c r="G30" s="61">
        <f>'22'!G108</f>
        <v>57.802708333333385</v>
      </c>
      <c r="H30" s="61">
        <f>'22'!H108</f>
        <v>13.924583333333331</v>
      </c>
      <c r="I30" s="61">
        <f>'22'!I108</f>
        <v>1.8294791666666654</v>
      </c>
      <c r="J30" s="61">
        <f>'22'!J108</f>
        <v>0.48468749999999999</v>
      </c>
      <c r="K30" s="61">
        <f>'22'!K108</f>
        <v>150.19333333333336</v>
      </c>
      <c r="L30" s="61">
        <f>'22'!L108</f>
        <v>26.256354166666664</v>
      </c>
      <c r="M30" s="61">
        <f>'22'!M108</f>
        <v>76.896458333333314</v>
      </c>
      <c r="N30" s="61">
        <f>'22'!N108</f>
        <v>185.54375000000005</v>
      </c>
      <c r="O30" s="61">
        <f>'22'!O108</f>
        <v>0</v>
      </c>
      <c r="P30" s="202">
        <f>'22'!P108</f>
        <v>0.44656249999999981</v>
      </c>
      <c r="Q30" s="61">
        <f>'22'!Q108</f>
        <v>9.0046874999999975</v>
      </c>
      <c r="R30" s="118"/>
      <c r="S30" s="118"/>
      <c r="T30" s="118"/>
      <c r="U30" s="118"/>
    </row>
    <row r="31" spans="1:21" x14ac:dyDescent="0.25">
      <c r="A31" s="94" t="str">
        <f>'23'!$B$2</f>
        <v>23/10/2025 00:15</v>
      </c>
      <c r="B31" s="61">
        <f>'23'!B108</f>
        <v>6.5933333333333328</v>
      </c>
      <c r="C31" s="61">
        <f>'23'!C108</f>
        <v>13.143124999999998</v>
      </c>
      <c r="D31" s="61">
        <f>'23'!D108</f>
        <v>12.14666666666667</v>
      </c>
      <c r="E31" s="61">
        <f>'23'!E108</f>
        <v>7.6562500000000009</v>
      </c>
      <c r="F31" s="61">
        <f>'23'!F108</f>
        <v>5.330729166666667</v>
      </c>
      <c r="G31" s="61">
        <f>'23'!G108</f>
        <v>60.361249999999977</v>
      </c>
      <c r="H31" s="61">
        <f>'23'!H108</f>
        <v>13.630416666666656</v>
      </c>
      <c r="I31" s="61">
        <f>'23'!I108</f>
        <v>1.6531249999999995</v>
      </c>
      <c r="J31" s="61">
        <f>'23'!J108</f>
        <v>0.44156250000000008</v>
      </c>
      <c r="K31" s="61">
        <f>'23'!K108</f>
        <v>156.51427083333328</v>
      </c>
      <c r="L31" s="61">
        <f>'23'!L108</f>
        <v>26.287812500000012</v>
      </c>
      <c r="M31" s="61">
        <f>'23'!M108</f>
        <v>72.811250000000001</v>
      </c>
      <c r="N31" s="61">
        <f>'23'!N108</f>
        <v>203.22708333333324</v>
      </c>
      <c r="O31" s="61">
        <f>'23'!O108</f>
        <v>0</v>
      </c>
      <c r="P31" s="202">
        <f>'23'!P108</f>
        <v>0.44041666666666629</v>
      </c>
      <c r="Q31" s="61">
        <f>'23'!Q108</f>
        <v>9.0177083333333332</v>
      </c>
      <c r="R31" s="118"/>
      <c r="S31" s="207"/>
      <c r="T31" s="118"/>
      <c r="U31" s="118"/>
    </row>
    <row r="32" spans="1:21" x14ac:dyDescent="0.25">
      <c r="A32" s="94" t="str">
        <f>'24'!$B$2</f>
        <v>24/10/2025 00:15</v>
      </c>
      <c r="B32" s="61">
        <f>'24'!B108</f>
        <v>8.1085416666666692</v>
      </c>
      <c r="C32" s="61">
        <f>'24'!C108</f>
        <v>14.878854166666668</v>
      </c>
      <c r="D32" s="61">
        <f>'24'!D108</f>
        <v>14.274895833333332</v>
      </c>
      <c r="E32" s="61">
        <f>'24'!E108</f>
        <v>5.9868749999999986</v>
      </c>
      <c r="F32" s="61">
        <f>'24'!F108</f>
        <v>3.791875000000001</v>
      </c>
      <c r="G32" s="61">
        <f>'24'!G108</f>
        <v>46.006250000000044</v>
      </c>
      <c r="H32" s="61">
        <f>'24'!H108</f>
        <v>13.975833333333329</v>
      </c>
      <c r="I32" s="61">
        <f>'24'!I108</f>
        <v>1.4542708333333325</v>
      </c>
      <c r="J32" s="61">
        <f>'24'!J108</f>
        <v>0.30979166666666663</v>
      </c>
      <c r="K32" s="61">
        <f>'24'!K108</f>
        <v>198.14947916666668</v>
      </c>
      <c r="L32" s="61">
        <f>'24'!L108</f>
        <v>26.344062500000007</v>
      </c>
      <c r="M32" s="61">
        <f>'24'!M108</f>
        <v>76.24708333333335</v>
      </c>
      <c r="N32" s="61">
        <f>'24'!N108</f>
        <v>203.25000000000009</v>
      </c>
      <c r="O32" s="61">
        <f>'24'!O108</f>
        <v>0</v>
      </c>
      <c r="P32" s="202">
        <f>'24'!P108</f>
        <v>0.43958333333333338</v>
      </c>
      <c r="Q32" s="61">
        <f>'24'!Q108</f>
        <v>9.0400000000000009</v>
      </c>
      <c r="R32" s="118"/>
      <c r="S32" s="118"/>
      <c r="T32" s="118"/>
      <c r="U32" s="118"/>
    </row>
    <row r="33" spans="1:21" x14ac:dyDescent="0.25">
      <c r="A33" s="94" t="str">
        <f>'25'!$B$2</f>
        <v>25/10/2025 00:15</v>
      </c>
      <c r="B33" s="61">
        <f>'25'!B108</f>
        <v>8.8960416666666653</v>
      </c>
      <c r="C33" s="61">
        <f>'25'!C108</f>
        <v>15.782499999999999</v>
      </c>
      <c r="D33" s="61">
        <f>'25'!D108</f>
        <v>15.379583333333327</v>
      </c>
      <c r="E33" s="61">
        <f>'25'!E108</f>
        <v>6.3043749999999994</v>
      </c>
      <c r="F33" s="61">
        <f>'25'!F108</f>
        <v>4.259479166666666</v>
      </c>
      <c r="G33" s="61">
        <f>'25'!G108</f>
        <v>51.508645833333325</v>
      </c>
      <c r="H33" s="61">
        <f>'25'!H108</f>
        <v>13.844166666666665</v>
      </c>
      <c r="I33" s="61">
        <f>'25'!I108</f>
        <v>1.8683333333333341</v>
      </c>
      <c r="J33" s="61">
        <f>'25'!J108</f>
        <v>0.29166666666666674</v>
      </c>
      <c r="K33" s="61">
        <f>'25'!K108</f>
        <v>149.30458333333331</v>
      </c>
      <c r="L33" s="61">
        <f>'25'!L108</f>
        <v>25.999687500000004</v>
      </c>
      <c r="M33" s="61">
        <f>'25'!M108</f>
        <v>85.496145833333344</v>
      </c>
      <c r="N33" s="61">
        <f>'25'!N108</f>
        <v>120.41041666666665</v>
      </c>
      <c r="O33" s="61">
        <f>'25'!O108</f>
        <v>0</v>
      </c>
      <c r="P33" s="202">
        <f>'25'!P108</f>
        <v>0.52541666666666687</v>
      </c>
      <c r="Q33" s="61">
        <f>'25'!Q108</f>
        <v>9.067499999999999</v>
      </c>
      <c r="R33" s="118"/>
      <c r="S33" s="207"/>
      <c r="T33" s="118"/>
      <c r="U33" s="118"/>
    </row>
    <row r="34" spans="1:21" x14ac:dyDescent="0.25">
      <c r="A34" s="94" t="str">
        <f>'26'!$B$2</f>
        <v>26/10/2025 00:15</v>
      </c>
      <c r="B34" s="61">
        <f>'26'!B108</f>
        <v>15.303125000000007</v>
      </c>
      <c r="C34" s="61">
        <f>'26'!C108</f>
        <v>11.897291666666666</v>
      </c>
      <c r="D34" s="61">
        <f>'26'!D108</f>
        <v>18.447291666666665</v>
      </c>
      <c r="E34" s="61">
        <f>'26'!E108</f>
        <v>6.3265624999999988</v>
      </c>
      <c r="F34" s="61">
        <f>'26'!F108</f>
        <v>3.639479166666669</v>
      </c>
      <c r="G34" s="61">
        <f>'26'!G108</f>
        <v>66.996666666666655</v>
      </c>
      <c r="H34" s="61">
        <f>'26'!H108</f>
        <v>14.752499999999992</v>
      </c>
      <c r="I34" s="61">
        <f>'26'!I108</f>
        <v>2.2468749999999984</v>
      </c>
      <c r="J34" s="61">
        <f>'26'!J108</f>
        <v>0.42916666666666692</v>
      </c>
      <c r="K34" s="61">
        <f>'26'!K108</f>
        <v>254.29375000000002</v>
      </c>
      <c r="L34" s="61">
        <f>'26'!L108</f>
        <v>25.572708333333335</v>
      </c>
      <c r="M34" s="61">
        <f>'26'!M108</f>
        <v>91.551041666666649</v>
      </c>
      <c r="N34" s="61">
        <f>'26'!N108</f>
        <v>135.9635416666666</v>
      </c>
      <c r="O34" s="61">
        <f>'26'!O108</f>
        <v>0</v>
      </c>
      <c r="P34" s="202">
        <f>'26'!P108</f>
        <v>0.66885416666666675</v>
      </c>
      <c r="Q34" s="61">
        <f>'26'!Q108</f>
        <v>9.1783333333333328</v>
      </c>
      <c r="R34" s="118"/>
      <c r="S34" s="118"/>
      <c r="T34" s="118"/>
      <c r="U34" s="118"/>
    </row>
    <row r="35" spans="1:21" x14ac:dyDescent="0.25">
      <c r="A35" s="94" t="str">
        <f>'27'!$B$2</f>
        <v>27/10/2025 00:15</v>
      </c>
      <c r="B35" s="61">
        <f>'27'!B108</f>
        <v>10.925937500000002</v>
      </c>
      <c r="C35" s="61">
        <f>'27'!C108</f>
        <v>9.3273958333333304</v>
      </c>
      <c r="D35" s="61">
        <f>'27'!D108</f>
        <v>13.620937499999997</v>
      </c>
      <c r="E35" s="61">
        <f>'27'!E108</f>
        <v>5.8584375000000017</v>
      </c>
      <c r="F35" s="61">
        <f>'27'!F108</f>
        <v>4.0688541666666689</v>
      </c>
      <c r="G35" s="61">
        <f>'27'!G108</f>
        <v>37.663229166666653</v>
      </c>
      <c r="H35" s="61">
        <f>'27'!H108</f>
        <v>12.897500000000015</v>
      </c>
      <c r="I35" s="61">
        <f>'27'!I108</f>
        <v>1.4650000000000001</v>
      </c>
      <c r="J35" s="61">
        <f>'27'!J108</f>
        <v>0.62145833333333333</v>
      </c>
      <c r="K35" s="61">
        <f>'27'!K108</f>
        <v>148.41895833333331</v>
      </c>
      <c r="L35" s="61">
        <f>'27'!L108</f>
        <v>25.393229166666671</v>
      </c>
      <c r="M35" s="61">
        <f>'27'!M108</f>
        <v>86.002500000000012</v>
      </c>
      <c r="N35" s="61">
        <f>'27'!N108</f>
        <v>186.77604166666649</v>
      </c>
      <c r="O35" s="61">
        <f>'27'!O108</f>
        <v>0</v>
      </c>
      <c r="P35" s="202">
        <f>'27'!P108</f>
        <v>0.41041666666666665</v>
      </c>
      <c r="Q35" s="61">
        <f>'27'!Q108</f>
        <v>8.9629166666666755</v>
      </c>
      <c r="R35" s="118"/>
      <c r="S35" s="118"/>
      <c r="T35" s="118"/>
      <c r="U35" s="118"/>
    </row>
    <row r="36" spans="1:21" x14ac:dyDescent="0.25">
      <c r="A36" s="94" t="str">
        <f>'28'!$B$2</f>
        <v>28/10/2025 00:15</v>
      </c>
      <c r="B36" s="61">
        <f>'28'!B108</f>
        <v>11.153229166666668</v>
      </c>
      <c r="C36" s="61">
        <f>'28'!C108</f>
        <v>8.4212499999999988</v>
      </c>
      <c r="D36" s="61">
        <f>'28'!D108</f>
        <v>13.328645833333335</v>
      </c>
      <c r="E36" s="61">
        <f>'28'!E108</f>
        <v>5.5082291666666654</v>
      </c>
      <c r="F36" s="61">
        <f>'28'!F108</f>
        <v>3.5702083333333365</v>
      </c>
      <c r="G36" s="61">
        <f>'28'!G108</f>
        <v>27.027708333333326</v>
      </c>
      <c r="H36" s="61">
        <f>'28'!H108</f>
        <v>10.63958333333334</v>
      </c>
      <c r="I36" s="61">
        <f>'28'!I108</f>
        <v>1.4753125</v>
      </c>
      <c r="J36" s="61">
        <f>'28'!J108</f>
        <v>0.25208333333333338</v>
      </c>
      <c r="K36" s="61">
        <f>'28'!K108</f>
        <v>198.53083333333336</v>
      </c>
      <c r="L36" s="61">
        <f>'28'!L108</f>
        <v>24.408124999999998</v>
      </c>
      <c r="M36" s="61">
        <f>'28'!M108</f>
        <v>95.671041666666682</v>
      </c>
      <c r="N36" s="61">
        <f>'28'!N108</f>
        <v>100.91041666666665</v>
      </c>
      <c r="O36" s="61">
        <f>'28'!O108</f>
        <v>0</v>
      </c>
      <c r="P36" s="202">
        <f>'28'!P108</f>
        <v>0.43906249999999997</v>
      </c>
      <c r="Q36" s="61">
        <f>'28'!Q108</f>
        <v>9.1059375000000031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29/10/2025 00:15</v>
      </c>
      <c r="B37" s="61">
        <f>'29'!B108</f>
        <v>10.478437500000004</v>
      </c>
      <c r="C37" s="61">
        <f>'29'!C108</f>
        <v>7.056874999999998</v>
      </c>
      <c r="D37" s="61">
        <f>'29'!D108</f>
        <v>12.107500000000007</v>
      </c>
      <c r="E37" s="61">
        <f>'29'!E108</f>
        <v>5.4934374999999989</v>
      </c>
      <c r="F37" s="61">
        <f>'29'!F108</f>
        <v>3.4770833333333315</v>
      </c>
      <c r="G37" s="61">
        <f>'29'!G108</f>
        <v>19.778124999999996</v>
      </c>
      <c r="H37" s="61">
        <f>'29'!H108</f>
        <v>11.680833333333334</v>
      </c>
      <c r="I37" s="61">
        <f>'29'!I108</f>
        <v>1.1543750000000006</v>
      </c>
      <c r="J37" s="61">
        <f>'29'!J108</f>
        <v>0.51729166666666693</v>
      </c>
      <c r="K37" s="61">
        <f>'29'!K108</f>
        <v>156.64177083333337</v>
      </c>
      <c r="L37" s="61">
        <f>'29'!L108</f>
        <v>24.210625000000004</v>
      </c>
      <c r="M37" s="61">
        <f>'29'!M108</f>
        <v>96.375312500000049</v>
      </c>
      <c r="N37" s="61">
        <f>'29'!N108</f>
        <v>103.44999999999993</v>
      </c>
      <c r="O37" s="61">
        <f>'29'!O108</f>
        <v>0</v>
      </c>
      <c r="P37" s="202">
        <f>'29'!P108</f>
        <v>0.34322916666666653</v>
      </c>
      <c r="Q37" s="61">
        <f>'29'!Q108</f>
        <v>9.0965625000000099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30/10/2025 00:15</v>
      </c>
      <c r="B38" s="61">
        <f>'30'!B108</f>
        <v>6.3637500000000005</v>
      </c>
      <c r="C38" s="61">
        <f>'30'!C108</f>
        <v>6.9840625000000012</v>
      </c>
      <c r="D38" s="61">
        <f>'30'!D108</f>
        <v>8.8946875000000016</v>
      </c>
      <c r="E38" s="61">
        <f>'30'!E108</f>
        <v>4.9056249999999997</v>
      </c>
      <c r="F38" s="61">
        <f>'30'!F108</f>
        <v>3.7534375</v>
      </c>
      <c r="G38" s="61">
        <f>'30'!G108</f>
        <v>10.30462365591398</v>
      </c>
      <c r="H38" s="61">
        <f>'30'!H108</f>
        <v>8.5917204301075323</v>
      </c>
      <c r="I38" s="61">
        <f>'30'!I108</f>
        <v>0.73583333333333323</v>
      </c>
      <c r="J38" s="61">
        <f>'30'!J108</f>
        <v>1.0158333333333334</v>
      </c>
      <c r="K38" s="61">
        <f>'30'!K108</f>
        <v>128.38958333333338</v>
      </c>
      <c r="L38" s="61">
        <f>'30'!L108</f>
        <v>23.321145833333336</v>
      </c>
      <c r="M38" s="61">
        <f>'30'!M108</f>
        <v>92.489791666666633</v>
      </c>
      <c r="N38" s="61">
        <f>'30'!N108</f>
        <v>76.588541666666615</v>
      </c>
      <c r="O38" s="61">
        <f>'30'!O108</f>
        <v>0</v>
      </c>
      <c r="P38" s="202">
        <f>'30'!P108</f>
        <v>0.97385416666666702</v>
      </c>
      <c r="Q38" s="61">
        <f>'30'!Q108</f>
        <v>9.0305208333333287</v>
      </c>
      <c r="R38" s="118"/>
      <c r="S38" s="118"/>
      <c r="T38" s="118"/>
      <c r="U38" s="118"/>
    </row>
    <row r="39" spans="1:21" s="54" customFormat="1" x14ac:dyDescent="0.25">
      <c r="A39" s="94" t="str">
        <f>'31'!$B$2</f>
        <v>31/10/2025 00:15</v>
      </c>
      <c r="B39" s="61">
        <f>'30'!B109</f>
        <v>2.0070304065039895</v>
      </c>
      <c r="C39" s="61">
        <f>'30'!C109</f>
        <v>2.1401837491820972</v>
      </c>
      <c r="D39" s="61">
        <f>'30'!D109</f>
        <v>1.0059726407548615</v>
      </c>
      <c r="E39" s="61">
        <f>'30'!E109</f>
        <v>0.24984126539612483</v>
      </c>
      <c r="F39" s="61">
        <f>'30'!F109</f>
        <v>2.1294144626979912</v>
      </c>
      <c r="G39" s="61">
        <f>'30'!G109</f>
        <v>8.0288544257219101</v>
      </c>
      <c r="H39" s="61">
        <f>'30'!H109</f>
        <v>4.4564958996502888</v>
      </c>
      <c r="I39" s="61">
        <f>'30'!I109</f>
        <v>0.12765633690059272</v>
      </c>
      <c r="J39" s="61">
        <f>'30'!J109</f>
        <v>0.30849948107664887</v>
      </c>
      <c r="K39" s="61">
        <f>'30'!K109</f>
        <v>14.047362885434353</v>
      </c>
      <c r="L39" s="61">
        <f>'30'!L109</f>
        <v>1.0821721526552308</v>
      </c>
      <c r="M39" s="61">
        <f>'30'!M109</f>
        <v>25.585770674513064</v>
      </c>
      <c r="N39" s="61">
        <f>'30'!N109</f>
        <v>58.437516554083501</v>
      </c>
      <c r="O39" s="61">
        <f>'30'!O109</f>
        <v>0</v>
      </c>
      <c r="P39" s="202">
        <f>'30'!P109</f>
        <v>7.5164780904205353</v>
      </c>
      <c r="Q39" s="61">
        <f>'30'!Q109</f>
        <v>3.354085620683709E-2</v>
      </c>
      <c r="R39" s="118"/>
      <c r="S39" s="118"/>
      <c r="T39" s="118"/>
      <c r="U39" s="118"/>
    </row>
    <row r="40" spans="1:21" s="54" customFormat="1" x14ac:dyDescent="0.25">
      <c r="A40" s="94" t="s">
        <v>59</v>
      </c>
      <c r="B40" s="16">
        <f t="shared" ref="B40:Q40" si="0">MIN(B9:B38)</f>
        <v>6.2001041666666694</v>
      </c>
      <c r="C40" s="16">
        <f t="shared" si="0"/>
        <v>6.9840625000000012</v>
      </c>
      <c r="D40" s="16">
        <f t="shared" si="0"/>
        <v>8.8946875000000016</v>
      </c>
      <c r="E40" s="16">
        <f t="shared" si="0"/>
        <v>4.1942708333333334</v>
      </c>
      <c r="F40" s="16">
        <f t="shared" si="0"/>
        <v>3.4770833333333315</v>
      </c>
      <c r="G40" s="16">
        <f t="shared" si="0"/>
        <v>10.30462365591398</v>
      </c>
      <c r="H40" s="16">
        <f t="shared" si="0"/>
        <v>6.8058333333333323</v>
      </c>
      <c r="I40" s="16">
        <f t="shared" si="0"/>
        <v>0.73583333333333323</v>
      </c>
      <c r="J40" s="16">
        <f t="shared" si="0"/>
        <v>0.13937500000000003</v>
      </c>
      <c r="K40" s="16">
        <f t="shared" si="0"/>
        <v>128.38958333333338</v>
      </c>
      <c r="L40" s="16">
        <f t="shared" si="0"/>
        <v>23.321145833333336</v>
      </c>
      <c r="M40" s="16">
        <f t="shared" si="0"/>
        <v>66.275208333333353</v>
      </c>
      <c r="N40" s="16">
        <f t="shared" si="0"/>
        <v>76.588541666666615</v>
      </c>
      <c r="O40" s="16">
        <f t="shared" si="0"/>
        <v>0</v>
      </c>
      <c r="P40" s="16">
        <f t="shared" si="0"/>
        <v>0.34322916666666653</v>
      </c>
      <c r="Q40" s="16">
        <f t="shared" si="0"/>
        <v>8.9629166666666755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>
        <f t="shared" ref="B41:Q41" si="1">MAX(B9:B38)</f>
        <v>17.909375000000004</v>
      </c>
      <c r="C41" s="16">
        <f t="shared" si="1"/>
        <v>21.604479166666668</v>
      </c>
      <c r="D41" s="16">
        <f t="shared" si="1"/>
        <v>23.916250000000009</v>
      </c>
      <c r="E41" s="16">
        <f t="shared" si="1"/>
        <v>10.496250000000007</v>
      </c>
      <c r="F41" s="16">
        <f t="shared" si="1"/>
        <v>23.310937499999984</v>
      </c>
      <c r="G41" s="16">
        <f t="shared" si="1"/>
        <v>75.434479166666705</v>
      </c>
      <c r="H41" s="16">
        <f t="shared" si="1"/>
        <v>37.588437500000005</v>
      </c>
      <c r="I41" s="16">
        <f t="shared" si="1"/>
        <v>2.7611458333333339</v>
      </c>
      <c r="J41" s="16">
        <f t="shared" si="1"/>
        <v>1.0158333333333334</v>
      </c>
      <c r="K41" s="16">
        <f t="shared" si="1"/>
        <v>307.54687500000006</v>
      </c>
      <c r="L41" s="16">
        <f t="shared" si="1"/>
        <v>26.344062500000007</v>
      </c>
      <c r="M41" s="16">
        <f t="shared" si="1"/>
        <v>97.892708333333374</v>
      </c>
      <c r="N41" s="16">
        <f t="shared" si="1"/>
        <v>205.22395833333329</v>
      </c>
      <c r="O41" s="16">
        <f t="shared" si="1"/>
        <v>3.3333333333333333E-2</v>
      </c>
      <c r="P41" s="16">
        <f t="shared" si="1"/>
        <v>0.97385416666666702</v>
      </c>
      <c r="Q41" s="16">
        <f t="shared" si="1"/>
        <v>9.3537499999999998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>
        <f t="shared" ref="B42:Q42" si="2">AVERAGE(B9:B38)</f>
        <v>11.357121527777776</v>
      </c>
      <c r="C42" s="16">
        <f t="shared" si="2"/>
        <v>13.409902777777775</v>
      </c>
      <c r="D42" s="16">
        <f t="shared" si="2"/>
        <v>16.113388888888888</v>
      </c>
      <c r="E42" s="16">
        <f t="shared" si="2"/>
        <v>6.3656631944444451</v>
      </c>
      <c r="F42" s="16">
        <f t="shared" si="2"/>
        <v>7.762590277777778</v>
      </c>
      <c r="G42" s="16">
        <f t="shared" si="2"/>
        <v>46.06559856630826</v>
      </c>
      <c r="H42" s="16">
        <f t="shared" si="2"/>
        <v>10.952414986559141</v>
      </c>
      <c r="I42" s="16">
        <f t="shared" si="2"/>
        <v>1.8787499999999999</v>
      </c>
      <c r="J42" s="16">
        <f t="shared" si="2"/>
        <v>0.39980555555555558</v>
      </c>
      <c r="K42" s="16">
        <f t="shared" si="2"/>
        <v>208.08265625000004</v>
      </c>
      <c r="L42" s="16">
        <f t="shared" si="2"/>
        <v>25.213027777777782</v>
      </c>
      <c r="M42" s="16">
        <f t="shared" si="2"/>
        <v>87.562986111111087</v>
      </c>
      <c r="N42" s="16">
        <f t="shared" si="2"/>
        <v>156.78996527777775</v>
      </c>
      <c r="O42" s="16">
        <f t="shared" si="2"/>
        <v>1.8749999999999997E-3</v>
      </c>
      <c r="P42" s="16">
        <f t="shared" si="2"/>
        <v>0.57613541666666646</v>
      </c>
      <c r="Q42" s="16">
        <f t="shared" si="2"/>
        <v>9.1319965277777779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>
        <f t="shared" ref="B43:Q43" si="3">STDEV(B9:B38)</f>
        <v>3.320422817187346</v>
      </c>
      <c r="C43" s="16">
        <f t="shared" si="3"/>
        <v>4.2032634548558958</v>
      </c>
      <c r="D43" s="16">
        <f t="shared" si="3"/>
        <v>3.6877116863160189</v>
      </c>
      <c r="E43" s="16">
        <f t="shared" si="3"/>
        <v>1.5831202753570246</v>
      </c>
      <c r="F43" s="16">
        <f t="shared" si="3"/>
        <v>5.1595523179175347</v>
      </c>
      <c r="G43" s="16">
        <f t="shared" si="3"/>
        <v>17.954989218059378</v>
      </c>
      <c r="H43" s="16">
        <f t="shared" si="3"/>
        <v>5.637839784103873</v>
      </c>
      <c r="I43" s="16">
        <f t="shared" si="3"/>
        <v>0.43914323484622653</v>
      </c>
      <c r="J43" s="16">
        <f t="shared" si="3"/>
        <v>0.1813726190736431</v>
      </c>
      <c r="K43" s="16">
        <f t="shared" si="3"/>
        <v>49.549168686704419</v>
      </c>
      <c r="L43" s="16">
        <f t="shared" si="3"/>
        <v>0.87304248483454094</v>
      </c>
      <c r="M43" s="16">
        <f t="shared" si="3"/>
        <v>9.0568570660051559</v>
      </c>
      <c r="N43" s="16">
        <f t="shared" si="3"/>
        <v>35.111141202635118</v>
      </c>
      <c r="O43" s="16">
        <f t="shared" si="3"/>
        <v>6.317878526883829E-3</v>
      </c>
      <c r="P43" s="16">
        <f t="shared" si="3"/>
        <v>0.14257035749127309</v>
      </c>
      <c r="Q43" s="16">
        <f t="shared" si="3"/>
        <v>9.3821955477391389E-2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3">
        <f>COUNT(B9:B39)</f>
        <v>31</v>
      </c>
      <c r="C44" s="13">
        <f t="shared" ref="C44:Q44" si="4">COUNT(C9:C39)</f>
        <v>31</v>
      </c>
      <c r="D44" s="13">
        <f t="shared" si="4"/>
        <v>31</v>
      </c>
      <c r="E44" s="13">
        <f t="shared" si="4"/>
        <v>31</v>
      </c>
      <c r="F44" s="13">
        <f t="shared" si="4"/>
        <v>31</v>
      </c>
      <c r="G44" s="13">
        <f t="shared" si="4"/>
        <v>31</v>
      </c>
      <c r="H44" s="13">
        <f t="shared" si="4"/>
        <v>31</v>
      </c>
      <c r="I44" s="13">
        <f t="shared" si="4"/>
        <v>31</v>
      </c>
      <c r="J44" s="13">
        <f t="shared" si="4"/>
        <v>31</v>
      </c>
      <c r="K44" s="13">
        <f t="shared" si="4"/>
        <v>31</v>
      </c>
      <c r="L44" s="13">
        <f t="shared" si="4"/>
        <v>31</v>
      </c>
      <c r="M44" s="13">
        <f t="shared" si="4"/>
        <v>31</v>
      </c>
      <c r="N44" s="13">
        <f t="shared" si="4"/>
        <v>31</v>
      </c>
      <c r="O44" s="13">
        <f t="shared" si="4"/>
        <v>31</v>
      </c>
      <c r="P44" s="13">
        <f t="shared" si="4"/>
        <v>31</v>
      </c>
      <c r="Q44" s="13">
        <f t="shared" si="4"/>
        <v>31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&gt;90%</v>
      </c>
      <c r="C45" s="13" t="str">
        <f t="shared" ref="C45:Q45" si="5">IF(C44&gt;=28,"&gt;90%",IF(C44&lt;=28,"&lt;90%"))</f>
        <v>&gt;90%</v>
      </c>
      <c r="D45" s="13" t="str">
        <f t="shared" si="5"/>
        <v>&gt;90%</v>
      </c>
      <c r="E45" s="13" t="str">
        <f t="shared" si="5"/>
        <v>&gt;90%</v>
      </c>
      <c r="F45" s="13" t="str">
        <f t="shared" si="5"/>
        <v>&gt;90%</v>
      </c>
      <c r="G45" s="13" t="str">
        <f t="shared" si="5"/>
        <v>&gt;90%</v>
      </c>
      <c r="H45" s="13" t="str">
        <f t="shared" si="5"/>
        <v>&gt;90%</v>
      </c>
      <c r="I45" s="13" t="str">
        <f t="shared" si="5"/>
        <v>&gt;90%</v>
      </c>
      <c r="J45" s="13" t="str">
        <f t="shared" si="5"/>
        <v>&gt;90%</v>
      </c>
      <c r="K45" s="13" t="str">
        <f t="shared" si="5"/>
        <v>&gt;90%</v>
      </c>
      <c r="L45" s="13" t="str">
        <f t="shared" si="5"/>
        <v>&gt;90%</v>
      </c>
      <c r="M45" s="13" t="str">
        <f t="shared" si="5"/>
        <v>&gt;90%</v>
      </c>
      <c r="N45" s="13" t="str">
        <f t="shared" si="5"/>
        <v>&gt;90%</v>
      </c>
      <c r="O45" s="13" t="str">
        <f t="shared" si="5"/>
        <v>&gt;90%</v>
      </c>
      <c r="P45" s="13" t="str">
        <f t="shared" si="5"/>
        <v>&gt;90%</v>
      </c>
      <c r="Q45" s="13" t="str">
        <f t="shared" si="5"/>
        <v>&gt;90%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OK</v>
      </c>
      <c r="C46" s="13" t="str">
        <f t="shared" ref="C46:Q46" si="6">IF(C44&gt;=28,"OK",IF(C44&lt;=28,"LESS"))</f>
        <v>OK</v>
      </c>
      <c r="D46" s="13" t="str">
        <f t="shared" si="6"/>
        <v>OK</v>
      </c>
      <c r="E46" s="13" t="str">
        <f t="shared" si="6"/>
        <v>OK</v>
      </c>
      <c r="F46" s="13" t="str">
        <f t="shared" si="6"/>
        <v>OK</v>
      </c>
      <c r="G46" s="13" t="str">
        <f t="shared" si="6"/>
        <v>OK</v>
      </c>
      <c r="H46" s="13" t="str">
        <f t="shared" si="6"/>
        <v>OK</v>
      </c>
      <c r="I46" s="13" t="str">
        <f t="shared" si="6"/>
        <v>OK</v>
      </c>
      <c r="J46" s="13" t="str">
        <f t="shared" si="6"/>
        <v>OK</v>
      </c>
      <c r="K46" s="13" t="str">
        <f t="shared" si="6"/>
        <v>OK</v>
      </c>
      <c r="L46" s="13" t="str">
        <f t="shared" si="6"/>
        <v>OK</v>
      </c>
      <c r="M46" s="13" t="str">
        <f t="shared" si="6"/>
        <v>OK</v>
      </c>
      <c r="N46" s="13" t="str">
        <f t="shared" si="6"/>
        <v>OK</v>
      </c>
      <c r="O46" s="13" t="str">
        <f t="shared" si="6"/>
        <v>OK</v>
      </c>
      <c r="P46" s="13" t="str">
        <f t="shared" si="6"/>
        <v>OK</v>
      </c>
      <c r="Q46" s="13" t="str">
        <f t="shared" si="6"/>
        <v>OK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7" t="s">
        <v>133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zoomScale="85" zoomScaleNormal="85" workbookViewId="0">
      <selection activeCell="B28" sqref="B28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15" t="s">
        <v>227</v>
      </c>
      <c r="E1" s="215"/>
      <c r="F1" s="215"/>
      <c r="G1" s="215"/>
      <c r="H1" s="215"/>
      <c r="I1" s="215"/>
      <c r="J1" s="216"/>
    </row>
    <row r="2" spans="2:24" ht="22.5" customHeight="1" thickBot="1" x14ac:dyDescent="0.3">
      <c r="B2" s="54"/>
      <c r="C2" s="111" t="s">
        <v>0</v>
      </c>
      <c r="D2" s="112" t="s">
        <v>225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19" t="s">
        <v>1</v>
      </c>
      <c r="H5" s="219"/>
      <c r="I5" s="40"/>
      <c r="J5" s="40"/>
      <c r="K5" s="40"/>
      <c r="L5" s="40"/>
      <c r="M5" s="41"/>
      <c r="O5" s="68"/>
      <c r="P5" s="69"/>
      <c r="Q5" s="69"/>
      <c r="R5" s="69"/>
      <c r="S5" s="208" t="s">
        <v>222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45931.489583333336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199.54</v>
      </c>
      <c r="I8" s="60">
        <v>0</v>
      </c>
      <c r="J8" s="61">
        <f>F8/H8</f>
        <v>1.0023053021950485</v>
      </c>
      <c r="K8" s="61">
        <f>(H8-F8)*100/F8</f>
        <v>-0.23000000000000398</v>
      </c>
      <c r="L8" s="60" t="s">
        <v>67</v>
      </c>
      <c r="M8" s="78" t="s">
        <v>217</v>
      </c>
      <c r="O8" s="63">
        <v>45931.497916666667</v>
      </c>
      <c r="P8" s="64" t="s">
        <v>70</v>
      </c>
      <c r="Q8" s="64">
        <v>5094.75</v>
      </c>
      <c r="R8" s="64">
        <v>3919.01</v>
      </c>
      <c r="S8" s="77" t="s">
        <v>246</v>
      </c>
      <c r="T8" s="77">
        <v>826.69</v>
      </c>
      <c r="U8" s="86">
        <v>0.93489999999999995</v>
      </c>
      <c r="V8" s="86">
        <v>0.95</v>
      </c>
      <c r="W8" s="60" t="s">
        <v>67</v>
      </c>
      <c r="X8" s="78" t="s">
        <v>217</v>
      </c>
    </row>
    <row r="9" spans="2:24" ht="15.75" x14ac:dyDescent="0.25">
      <c r="B9" s="63">
        <v>45939.487500000003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200.41</v>
      </c>
      <c r="I9" s="60">
        <v>0</v>
      </c>
      <c r="J9" s="61">
        <f t="shared" ref="J9:J14" si="0">F9/H9</f>
        <v>0.99795419390249984</v>
      </c>
      <c r="K9" s="61">
        <f t="shared" ref="K9:K14" si="1">(H9-F9)*100/F9</f>
        <v>0.20499999999999829</v>
      </c>
      <c r="L9" s="60" t="s">
        <v>67</v>
      </c>
      <c r="M9" s="62" t="s">
        <v>217</v>
      </c>
      <c r="O9" s="63">
        <v>45939.487500000003</v>
      </c>
      <c r="P9" s="64" t="s">
        <v>70</v>
      </c>
      <c r="Q9" s="64">
        <v>5042.16</v>
      </c>
      <c r="R9" s="64">
        <v>3984.24</v>
      </c>
      <c r="S9" s="77" t="s">
        <v>246</v>
      </c>
      <c r="T9" s="77">
        <v>834.18</v>
      </c>
      <c r="U9" s="86">
        <v>0.90459999999999996</v>
      </c>
      <c r="V9" s="86">
        <v>0.90210000000000001</v>
      </c>
      <c r="W9" s="60" t="s">
        <v>67</v>
      </c>
      <c r="X9" s="62" t="s">
        <v>217</v>
      </c>
    </row>
    <row r="10" spans="2:24" ht="15.75" x14ac:dyDescent="0.25">
      <c r="B10" s="63"/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 t="s">
        <v>217</v>
      </c>
      <c r="O10" s="63"/>
      <c r="P10" s="64" t="s">
        <v>70</v>
      </c>
      <c r="Q10" s="64"/>
      <c r="R10" s="64"/>
      <c r="S10" s="77" t="s">
        <v>246</v>
      </c>
      <c r="T10" s="77"/>
      <c r="U10" s="86"/>
      <c r="V10" s="86"/>
      <c r="W10" s="60" t="s">
        <v>67</v>
      </c>
      <c r="X10" s="62" t="s">
        <v>217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217</v>
      </c>
      <c r="O11" s="63"/>
      <c r="P11" s="64" t="s">
        <v>70</v>
      </c>
      <c r="Q11" s="64"/>
      <c r="R11" s="64"/>
      <c r="S11" s="77" t="s">
        <v>246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246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18" t="s">
        <v>25</v>
      </c>
      <c r="D21" s="218"/>
      <c r="E21" s="218"/>
      <c r="F21" s="218"/>
      <c r="G21" s="218"/>
      <c r="H21" s="218"/>
      <c r="I21" s="45">
        <f>COUNT(B8:B20)</f>
        <v>2</v>
      </c>
      <c r="J21" s="46"/>
      <c r="K21" s="46"/>
      <c r="L21" s="47"/>
      <c r="M21" s="48"/>
      <c r="O21" s="80"/>
      <c r="P21" s="220" t="s">
        <v>84</v>
      </c>
      <c r="Q21" s="220"/>
      <c r="R21" s="220"/>
      <c r="S21" s="220"/>
      <c r="T21" s="81">
        <f>COUNT(O8:O20)</f>
        <v>2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17" t="s">
        <v>2</v>
      </c>
      <c r="H24" s="217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45931.509027777778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201.36</v>
      </c>
      <c r="I27" s="60">
        <v>0</v>
      </c>
      <c r="J27" s="61">
        <f>F27/H27</f>
        <v>0.9932459276916964</v>
      </c>
      <c r="K27" s="61">
        <f>(H27-F27)*100/F27</f>
        <v>0.68000000000000682</v>
      </c>
      <c r="L27" s="60" t="s">
        <v>67</v>
      </c>
      <c r="M27" s="78" t="s">
        <v>217</v>
      </c>
      <c r="O27" s="63">
        <v>45931.497916666667</v>
      </c>
      <c r="P27" s="64" t="s">
        <v>71</v>
      </c>
      <c r="Q27" s="64">
        <v>4951.96</v>
      </c>
      <c r="R27" s="64">
        <v>3900.55</v>
      </c>
      <c r="S27" s="77" t="s">
        <v>247</v>
      </c>
      <c r="T27" s="77">
        <v>846.95</v>
      </c>
      <c r="U27" s="86">
        <v>0.99790000000000001</v>
      </c>
      <c r="V27" s="86">
        <v>1.0043</v>
      </c>
      <c r="W27" s="60" t="s">
        <v>67</v>
      </c>
      <c r="X27" s="78" t="s">
        <v>217</v>
      </c>
    </row>
    <row r="28" spans="2:24" s="24" customFormat="1" ht="15.75" x14ac:dyDescent="0.25">
      <c r="B28" s="63">
        <v>45939.523611111108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198.94</v>
      </c>
      <c r="I28" s="60">
        <v>0</v>
      </c>
      <c r="J28" s="61">
        <f t="shared" ref="J28:J33" si="2">F28/H28</f>
        <v>1.0053282396702523</v>
      </c>
      <c r="K28" s="61">
        <f t="shared" ref="K28:K33" si="3">(H28-F28)*100/F28</f>
        <v>-0.53000000000000114</v>
      </c>
      <c r="L28" s="60" t="s">
        <v>67</v>
      </c>
      <c r="M28" s="62" t="s">
        <v>223</v>
      </c>
      <c r="O28" s="63">
        <v>45939.487500000003</v>
      </c>
      <c r="P28" s="64" t="s">
        <v>71</v>
      </c>
      <c r="Q28" s="64"/>
      <c r="R28" s="64"/>
      <c r="S28" s="77" t="s">
        <v>247</v>
      </c>
      <c r="T28" s="77">
        <v>847.13</v>
      </c>
      <c r="U28" s="86">
        <v>0.90649999999999997</v>
      </c>
      <c r="V28" s="86">
        <v>0.9012</v>
      </c>
      <c r="W28" s="60" t="s">
        <v>67</v>
      </c>
      <c r="X28" s="62" t="s">
        <v>217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224</v>
      </c>
      <c r="O29" s="63"/>
      <c r="P29" s="64" t="s">
        <v>71</v>
      </c>
      <c r="Q29" s="64"/>
      <c r="R29" s="64"/>
      <c r="S29" s="77" t="s">
        <v>247</v>
      </c>
      <c r="T29" s="77"/>
      <c r="U29" s="86"/>
      <c r="V29" s="86"/>
      <c r="W29" s="60" t="s">
        <v>67</v>
      </c>
      <c r="X29" s="62" t="s">
        <v>217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224</v>
      </c>
      <c r="O30" s="63"/>
      <c r="P30" s="64" t="s">
        <v>71</v>
      </c>
      <c r="Q30" s="64"/>
      <c r="R30" s="64"/>
      <c r="S30" s="77" t="s">
        <v>247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0" t="s">
        <v>85</v>
      </c>
      <c r="Q40" s="220"/>
      <c r="R40" s="220"/>
      <c r="S40" s="220"/>
      <c r="T40" s="81">
        <f>COUNT(O27:O39)</f>
        <v>2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18" t="s">
        <v>26</v>
      </c>
      <c r="E41" s="218"/>
      <c r="F41" s="218"/>
      <c r="G41" s="218"/>
      <c r="H41" s="218"/>
      <c r="I41" s="218"/>
      <c r="J41" s="52">
        <f>COUNT(B27:B39)</f>
        <v>2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17" t="s">
        <v>23</v>
      </c>
      <c r="H44" s="217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223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18" t="s">
        <v>27</v>
      </c>
      <c r="E61" s="218"/>
      <c r="F61" s="218"/>
      <c r="G61" s="218"/>
      <c r="H61" s="218"/>
      <c r="I61" s="218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17" t="s">
        <v>3</v>
      </c>
      <c r="H64" s="217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45931.556250000001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4.95</v>
      </c>
      <c r="I67" s="60">
        <v>0</v>
      </c>
      <c r="J67" s="61">
        <f>F67/H67</f>
        <v>1.0101010101010102</v>
      </c>
      <c r="K67" s="61">
        <f>(H67-F67)*100/F67</f>
        <v>-0.99999999999999645</v>
      </c>
      <c r="L67" s="60" t="s">
        <v>67</v>
      </c>
      <c r="M67" s="78" t="s">
        <v>223</v>
      </c>
    </row>
    <row r="68" spans="2:13" ht="15.75" x14ac:dyDescent="0.25">
      <c r="B68" s="63">
        <v>45939.57916666667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4.97</v>
      </c>
      <c r="I68" s="60">
        <v>0</v>
      </c>
      <c r="J68" s="61">
        <f t="shared" ref="J68:J73" si="4">F68/H68</f>
        <v>1.0060362173038231</v>
      </c>
      <c r="K68" s="61">
        <f t="shared" ref="K68:K73" si="5">(H68-F68)*100/F68</f>
        <v>-0.60000000000000497</v>
      </c>
      <c r="L68" s="60" t="s">
        <v>67</v>
      </c>
      <c r="M68" s="62" t="s">
        <v>224</v>
      </c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224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224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18" t="s">
        <v>28</v>
      </c>
      <c r="E81" s="218"/>
      <c r="F81" s="218"/>
      <c r="G81" s="218"/>
      <c r="H81" s="218"/>
      <c r="I81" s="218"/>
      <c r="J81" s="52">
        <f>COUNT(B67:B79)</f>
        <v>2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17" t="s">
        <v>24</v>
      </c>
      <c r="H84" s="217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18" t="s">
        <v>29</v>
      </c>
      <c r="E101" s="218"/>
      <c r="F101" s="218"/>
      <c r="G101" s="218"/>
      <c r="H101" s="218"/>
      <c r="I101" s="218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19" t="s">
        <v>4</v>
      </c>
      <c r="H104" s="219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45931.724305555559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328.46</v>
      </c>
      <c r="I107" s="60">
        <f>G107-E107</f>
        <v>0</v>
      </c>
      <c r="J107" s="61">
        <f>F107/H107</f>
        <v>0.97424343907933997</v>
      </c>
      <c r="K107" s="61">
        <f>(H107-F107)*100/F107</f>
        <v>2.6437499999999936</v>
      </c>
      <c r="L107" s="60" t="s">
        <v>67</v>
      </c>
      <c r="M107" s="62" t="s">
        <v>223</v>
      </c>
    </row>
    <row r="108" spans="2:13" ht="15.75" x14ac:dyDescent="0.25">
      <c r="B108" s="63">
        <v>45939.729861111111</v>
      </c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>
        <v>329.41</v>
      </c>
      <c r="I108" s="60">
        <f>G108-E108</f>
        <v>0</v>
      </c>
      <c r="J108" s="61">
        <f>F108/H108</f>
        <v>0.97143377553808319</v>
      </c>
      <c r="K108" s="61">
        <f>(H108-F108)*100/F108</f>
        <v>2.9406250000000078</v>
      </c>
      <c r="L108" s="60" t="s">
        <v>67</v>
      </c>
      <c r="M108" s="62" t="s">
        <v>224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224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224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18" t="s">
        <v>69</v>
      </c>
      <c r="D119" s="218"/>
      <c r="E119" s="218"/>
      <c r="F119" s="218"/>
      <c r="G119" s="218"/>
      <c r="H119" s="218"/>
      <c r="I119" s="52">
        <f>COUNT(B107:B118)</f>
        <v>2</v>
      </c>
      <c r="J119" s="46"/>
      <c r="K119" s="46"/>
      <c r="L119" s="47"/>
      <c r="M119" s="48"/>
    </row>
  </sheetData>
  <mergeCells count="15"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3" sqref="B3:C3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1" t="s">
        <v>228</v>
      </c>
      <c r="C2" s="221"/>
      <c r="D2" s="222">
        <v>45017</v>
      </c>
      <c r="E2" s="222"/>
    </row>
    <row r="3" spans="1:5" x14ac:dyDescent="0.25">
      <c r="B3" s="221" t="s">
        <v>21</v>
      </c>
      <c r="C3" s="221"/>
      <c r="D3" s="222"/>
      <c r="E3" s="222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3" t="s">
        <v>22</v>
      </c>
      <c r="C44" s="223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24" t="s">
        <v>221</v>
      </c>
      <c r="C2" s="224"/>
      <c r="D2" s="224"/>
      <c r="E2" s="224"/>
      <c r="F2" s="225">
        <v>44713</v>
      </c>
      <c r="G2" s="226"/>
      <c r="H2" s="226"/>
    </row>
    <row r="3" spans="2:24" s="12" customFormat="1" ht="15" customHeight="1" x14ac:dyDescent="0.25">
      <c r="B3" s="224"/>
      <c r="C3" s="224"/>
      <c r="D3" s="224"/>
      <c r="E3" s="224"/>
      <c r="F3" s="226"/>
      <c r="G3" s="226"/>
      <c r="H3" s="226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27" t="s">
        <v>4</v>
      </c>
      <c r="C12" s="229" t="s">
        <v>134</v>
      </c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127"/>
      <c r="U12" s="125"/>
    </row>
    <row r="13" spans="2:24" ht="15" customHeight="1" x14ac:dyDescent="0.25">
      <c r="B13" s="228"/>
      <c r="C13" s="128" t="s">
        <v>78</v>
      </c>
      <c r="D13" s="129" t="s">
        <v>83</v>
      </c>
      <c r="E13" s="129" t="s">
        <v>135</v>
      </c>
      <c r="F13" s="129" t="s">
        <v>218</v>
      </c>
      <c r="G13" s="129" t="s">
        <v>137</v>
      </c>
      <c r="H13" s="129" t="s">
        <v>138</v>
      </c>
      <c r="I13" s="129" t="s">
        <v>139</v>
      </c>
      <c r="J13" s="129" t="s">
        <v>140</v>
      </c>
      <c r="K13" s="129" t="s">
        <v>141</v>
      </c>
      <c r="L13" s="129" t="s">
        <v>142</v>
      </c>
      <c r="M13" s="129" t="s">
        <v>143</v>
      </c>
      <c r="N13" s="129" t="s">
        <v>144</v>
      </c>
      <c r="O13" s="129" t="s">
        <v>145</v>
      </c>
      <c r="P13" s="130" t="s">
        <v>146</v>
      </c>
      <c r="Q13" s="129" t="s">
        <v>147</v>
      </c>
      <c r="R13" s="131"/>
      <c r="U13" s="125"/>
    </row>
    <row r="14" spans="2:24" ht="15" customHeight="1" x14ac:dyDescent="0.25">
      <c r="B14" s="228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28"/>
      <c r="C15" s="132" t="s">
        <v>148</v>
      </c>
      <c r="D15" s="133" t="s">
        <v>149</v>
      </c>
      <c r="E15" s="133" t="s">
        <v>150</v>
      </c>
      <c r="F15" s="133" t="s">
        <v>151</v>
      </c>
      <c r="G15" s="133" t="s">
        <v>152</v>
      </c>
      <c r="H15" s="133" t="s">
        <v>153</v>
      </c>
      <c r="I15" s="133" t="s">
        <v>154</v>
      </c>
      <c r="J15" s="133" t="s">
        <v>155</v>
      </c>
      <c r="K15" s="133" t="s">
        <v>156</v>
      </c>
      <c r="L15" s="133" t="s">
        <v>157</v>
      </c>
      <c r="M15" s="133" t="s">
        <v>158</v>
      </c>
      <c r="N15" s="133" t="s">
        <v>159</v>
      </c>
      <c r="O15" s="133" t="s">
        <v>160</v>
      </c>
      <c r="P15" s="134" t="s">
        <v>161</v>
      </c>
      <c r="Q15" s="133" t="s">
        <v>162</v>
      </c>
      <c r="R15" s="135" t="s">
        <v>20</v>
      </c>
      <c r="X15" s="11"/>
    </row>
    <row r="16" spans="2:24" ht="15.75" customHeight="1" x14ac:dyDescent="0.25">
      <c r="B16" s="228"/>
      <c r="C16" s="195">
        <v>2425504512</v>
      </c>
      <c r="D16" s="195">
        <v>2513962496</v>
      </c>
      <c r="E16" s="60">
        <v>1445.7</v>
      </c>
      <c r="F16" s="60" t="s">
        <v>219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219</v>
      </c>
      <c r="L16" s="60" t="s">
        <v>220</v>
      </c>
      <c r="M16" s="60">
        <v>485</v>
      </c>
      <c r="N16" s="60" t="s">
        <v>220</v>
      </c>
      <c r="O16" s="60">
        <v>30</v>
      </c>
      <c r="P16" s="60">
        <v>49.5</v>
      </c>
      <c r="Q16" s="60">
        <v>50</v>
      </c>
      <c r="R16" s="150" t="s">
        <v>217</v>
      </c>
      <c r="X16" s="11"/>
    </row>
    <row r="17" spans="2:28" ht="15.75" customHeight="1" x14ac:dyDescent="0.25">
      <c r="B17" s="228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28"/>
      <c r="C18" s="142" t="s">
        <v>78</v>
      </c>
      <c r="D18" s="142" t="s">
        <v>83</v>
      </c>
      <c r="E18" s="142" t="s">
        <v>135</v>
      </c>
      <c r="F18" s="142" t="s">
        <v>136</v>
      </c>
      <c r="G18" s="142" t="s">
        <v>137</v>
      </c>
      <c r="H18" s="142" t="s">
        <v>138</v>
      </c>
      <c r="I18" s="142" t="s">
        <v>139</v>
      </c>
      <c r="J18" s="142" t="s">
        <v>140</v>
      </c>
      <c r="K18" s="142" t="s">
        <v>141</v>
      </c>
      <c r="L18" s="142" t="s">
        <v>142</v>
      </c>
      <c r="M18" s="142" t="s">
        <v>143</v>
      </c>
      <c r="N18" s="142" t="s">
        <v>144</v>
      </c>
      <c r="O18" s="142" t="s">
        <v>145</v>
      </c>
      <c r="P18" s="143" t="s">
        <v>146</v>
      </c>
      <c r="Q18" s="142" t="s">
        <v>147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148</v>
      </c>
      <c r="D20" s="133" t="s">
        <v>149</v>
      </c>
      <c r="E20" s="133" t="s">
        <v>150</v>
      </c>
      <c r="F20" s="133" t="s">
        <v>151</v>
      </c>
      <c r="G20" s="133" t="s">
        <v>152</v>
      </c>
      <c r="H20" s="133" t="s">
        <v>153</v>
      </c>
      <c r="I20" s="133" t="s">
        <v>154</v>
      </c>
      <c r="J20" s="133" t="s">
        <v>155</v>
      </c>
      <c r="K20" s="133" t="s">
        <v>156</v>
      </c>
      <c r="L20" s="133" t="s">
        <v>157</v>
      </c>
      <c r="M20" s="133" t="s">
        <v>158</v>
      </c>
      <c r="N20" s="133" t="s">
        <v>159</v>
      </c>
      <c r="O20" s="133" t="s">
        <v>160</v>
      </c>
      <c r="P20" s="134" t="s">
        <v>161</v>
      </c>
      <c r="Q20" s="133" t="s">
        <v>162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1" t="s">
        <v>2</v>
      </c>
      <c r="C25" s="233" t="s">
        <v>134</v>
      </c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5"/>
      <c r="S25" s="188"/>
      <c r="T25" s="189"/>
    </row>
    <row r="26" spans="2:28" ht="15" customHeight="1" x14ac:dyDescent="0.3">
      <c r="B26" s="231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214</v>
      </c>
      <c r="S26" s="179" t="s">
        <v>215</v>
      </c>
      <c r="T26" s="170" t="s">
        <v>20</v>
      </c>
      <c r="Z26" s="149"/>
      <c r="AA26" s="149"/>
      <c r="AB26" s="149"/>
    </row>
    <row r="27" spans="2:28" ht="15.75" customHeight="1" x14ac:dyDescent="0.25">
      <c r="B27" s="231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1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2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214</v>
      </c>
      <c r="S29" s="184" t="s">
        <v>215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39" t="s">
        <v>3</v>
      </c>
      <c r="C36" s="241" t="s">
        <v>134</v>
      </c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2"/>
    </row>
    <row r="37" spans="2:25" ht="15.75" customHeight="1" x14ac:dyDescent="0.25">
      <c r="B37" s="240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0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0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3" t="s">
        <v>1</v>
      </c>
      <c r="C48" s="163" t="s">
        <v>134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44"/>
      <c r="C49" s="152" t="s">
        <v>78</v>
      </c>
      <c r="D49" s="142" t="s">
        <v>155</v>
      </c>
      <c r="E49" s="142" t="s">
        <v>164</v>
      </c>
      <c r="F49" s="142" t="s">
        <v>165</v>
      </c>
      <c r="G49" s="142" t="s">
        <v>166</v>
      </c>
      <c r="H49" s="142" t="s">
        <v>167</v>
      </c>
      <c r="I49" s="142" t="s">
        <v>168</v>
      </c>
      <c r="J49" s="142" t="s">
        <v>140</v>
      </c>
      <c r="K49" s="142" t="s">
        <v>169</v>
      </c>
      <c r="L49" s="142" t="s">
        <v>170</v>
      </c>
      <c r="M49" s="142" t="s">
        <v>171</v>
      </c>
      <c r="N49" s="142" t="s">
        <v>172</v>
      </c>
      <c r="O49" s="142" t="s">
        <v>173</v>
      </c>
      <c r="P49" s="142" t="s">
        <v>79</v>
      </c>
      <c r="Q49" s="153" t="s">
        <v>174</v>
      </c>
    </row>
    <row r="50" spans="2:20" x14ac:dyDescent="0.25">
      <c r="B50" s="244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44"/>
      <c r="C51" s="152" t="s">
        <v>80</v>
      </c>
      <c r="D51" s="142" t="s">
        <v>175</v>
      </c>
      <c r="E51" s="142" t="s">
        <v>176</v>
      </c>
      <c r="F51" s="142" t="s">
        <v>177</v>
      </c>
      <c r="G51" s="142" t="s">
        <v>178</v>
      </c>
      <c r="H51" s="142" t="s">
        <v>179</v>
      </c>
      <c r="I51" s="133" t="s">
        <v>81</v>
      </c>
      <c r="J51" s="133" t="s">
        <v>180</v>
      </c>
      <c r="K51" s="133" t="s">
        <v>181</v>
      </c>
      <c r="L51" s="133" t="s">
        <v>86</v>
      </c>
      <c r="M51" s="133" t="s">
        <v>182</v>
      </c>
      <c r="N51" s="133" t="s">
        <v>161</v>
      </c>
      <c r="O51" s="133" t="s">
        <v>183</v>
      </c>
      <c r="P51" s="133" t="s">
        <v>184</v>
      </c>
      <c r="Q51" s="29" t="s">
        <v>20</v>
      </c>
    </row>
    <row r="52" spans="2:20" ht="15.75" x14ac:dyDescent="0.25">
      <c r="B52" s="244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155</v>
      </c>
      <c r="E54" s="142" t="s">
        <v>164</v>
      </c>
      <c r="F54" s="142" t="s">
        <v>165</v>
      </c>
      <c r="G54" s="142" t="s">
        <v>166</v>
      </c>
      <c r="H54" s="142" t="s">
        <v>167</v>
      </c>
      <c r="I54" s="142" t="s">
        <v>168</v>
      </c>
      <c r="J54" s="142" t="s">
        <v>140</v>
      </c>
      <c r="K54" s="142" t="s">
        <v>169</v>
      </c>
      <c r="L54" s="142" t="s">
        <v>170</v>
      </c>
      <c r="M54" s="142" t="s">
        <v>171</v>
      </c>
      <c r="N54" s="142" t="s">
        <v>172</v>
      </c>
      <c r="O54" s="142" t="s">
        <v>173</v>
      </c>
      <c r="P54" s="142" t="s">
        <v>79</v>
      </c>
      <c r="Q54" s="153" t="s">
        <v>174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175</v>
      </c>
      <c r="E56" s="142" t="s">
        <v>176</v>
      </c>
      <c r="F56" s="142" t="s">
        <v>177</v>
      </c>
      <c r="G56" s="142" t="s">
        <v>178</v>
      </c>
      <c r="H56" s="142" t="s">
        <v>179</v>
      </c>
      <c r="I56" s="133" t="s">
        <v>81</v>
      </c>
      <c r="J56" s="133" t="s">
        <v>180</v>
      </c>
      <c r="K56" s="133" t="s">
        <v>181</v>
      </c>
      <c r="L56" s="133" t="s">
        <v>86</v>
      </c>
      <c r="M56" s="133" t="s">
        <v>182</v>
      </c>
      <c r="N56" s="133" t="s">
        <v>161</v>
      </c>
      <c r="O56" s="133" t="s">
        <v>183</v>
      </c>
      <c r="P56" s="133" t="s">
        <v>184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1" t="s">
        <v>185</v>
      </c>
      <c r="C61" s="233" t="s">
        <v>134</v>
      </c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5"/>
      <c r="S61" s="166"/>
      <c r="T61" s="167"/>
    </row>
    <row r="62" spans="2:20" ht="15.75" x14ac:dyDescent="0.3">
      <c r="B62" s="231"/>
      <c r="C62" s="168" t="s">
        <v>78</v>
      </c>
      <c r="D62" s="168" t="s">
        <v>186</v>
      </c>
      <c r="E62" s="168" t="s">
        <v>187</v>
      </c>
      <c r="F62" s="168" t="s">
        <v>188</v>
      </c>
      <c r="G62" s="168" t="s">
        <v>189</v>
      </c>
      <c r="H62" s="168" t="s">
        <v>190</v>
      </c>
      <c r="I62" s="168" t="s">
        <v>191</v>
      </c>
      <c r="J62" s="168" t="s">
        <v>192</v>
      </c>
      <c r="K62" s="168" t="s">
        <v>193</v>
      </c>
      <c r="L62" s="168" t="s">
        <v>194</v>
      </c>
      <c r="M62" s="168" t="s">
        <v>195</v>
      </c>
      <c r="N62" s="168" t="s">
        <v>196</v>
      </c>
      <c r="O62" s="168" t="s">
        <v>197</v>
      </c>
      <c r="P62" s="168" t="s">
        <v>198</v>
      </c>
      <c r="Q62" s="168" t="s">
        <v>199</v>
      </c>
      <c r="R62" s="168" t="s">
        <v>200</v>
      </c>
      <c r="S62" s="169" t="s">
        <v>201</v>
      </c>
      <c r="T62" s="170" t="s">
        <v>20</v>
      </c>
    </row>
    <row r="63" spans="2:20" ht="15.75" x14ac:dyDescent="0.25">
      <c r="B63" s="245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45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2"/>
      <c r="C65" s="173" t="s">
        <v>78</v>
      </c>
      <c r="D65" s="173" t="s">
        <v>186</v>
      </c>
      <c r="E65" s="173" t="s">
        <v>187</v>
      </c>
      <c r="F65" s="173" t="s">
        <v>188</v>
      </c>
      <c r="G65" s="173" t="s">
        <v>189</v>
      </c>
      <c r="H65" s="173" t="s">
        <v>190</v>
      </c>
      <c r="I65" s="173" t="s">
        <v>191</v>
      </c>
      <c r="J65" s="173" t="s">
        <v>192</v>
      </c>
      <c r="K65" s="173" t="s">
        <v>193</v>
      </c>
      <c r="L65" s="173" t="s">
        <v>194</v>
      </c>
      <c r="M65" s="173" t="s">
        <v>195</v>
      </c>
      <c r="N65" s="173" t="s">
        <v>196</v>
      </c>
      <c r="O65" s="173" t="s">
        <v>197</v>
      </c>
      <c r="P65" s="173" t="s">
        <v>198</v>
      </c>
      <c r="Q65" s="173" t="s">
        <v>199</v>
      </c>
      <c r="R65" s="173" t="s">
        <v>200</v>
      </c>
      <c r="S65" s="174" t="s">
        <v>201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1" t="s">
        <v>202</v>
      </c>
      <c r="C69" s="233" t="s">
        <v>134</v>
      </c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5"/>
      <c r="S69" s="166"/>
      <c r="T69" s="167"/>
    </row>
    <row r="70" spans="2:20" ht="15.75" x14ac:dyDescent="0.3">
      <c r="B70" s="231"/>
      <c r="C70" s="173" t="s">
        <v>78</v>
      </c>
      <c r="D70" s="173" t="s">
        <v>186</v>
      </c>
      <c r="E70" s="173" t="s">
        <v>187</v>
      </c>
      <c r="F70" s="173" t="s">
        <v>188</v>
      </c>
      <c r="G70" s="173" t="s">
        <v>189</v>
      </c>
      <c r="H70" s="173" t="s">
        <v>190</v>
      </c>
      <c r="I70" s="173" t="s">
        <v>191</v>
      </c>
      <c r="J70" s="173" t="s">
        <v>192</v>
      </c>
      <c r="K70" s="173" t="s">
        <v>193</v>
      </c>
      <c r="L70" s="173" t="s">
        <v>194</v>
      </c>
      <c r="M70" s="173" t="s">
        <v>195</v>
      </c>
      <c r="N70" s="173" t="s">
        <v>196</v>
      </c>
      <c r="O70" s="173" t="s">
        <v>197</v>
      </c>
      <c r="P70" s="173" t="s">
        <v>198</v>
      </c>
      <c r="Q70" s="173" t="s">
        <v>199</v>
      </c>
      <c r="R70" s="173" t="s">
        <v>200</v>
      </c>
      <c r="S70" s="174" t="s">
        <v>201</v>
      </c>
      <c r="T70" s="175" t="s">
        <v>20</v>
      </c>
    </row>
    <row r="71" spans="2:20" ht="15.75" x14ac:dyDescent="0.25">
      <c r="B71" s="231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45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2"/>
      <c r="C73" s="173" t="s">
        <v>78</v>
      </c>
      <c r="D73" s="173" t="s">
        <v>186</v>
      </c>
      <c r="E73" s="173" t="s">
        <v>187</v>
      </c>
      <c r="F73" s="173" t="s">
        <v>188</v>
      </c>
      <c r="G73" s="173" t="s">
        <v>189</v>
      </c>
      <c r="H73" s="173" t="s">
        <v>190</v>
      </c>
      <c r="I73" s="173" t="s">
        <v>191</v>
      </c>
      <c r="J73" s="173" t="s">
        <v>192</v>
      </c>
      <c r="K73" s="173" t="s">
        <v>193</v>
      </c>
      <c r="L73" s="173" t="s">
        <v>194</v>
      </c>
      <c r="M73" s="173" t="s">
        <v>195</v>
      </c>
      <c r="N73" s="173" t="s">
        <v>196</v>
      </c>
      <c r="O73" s="173" t="s">
        <v>197</v>
      </c>
      <c r="P73" s="173" t="s">
        <v>198</v>
      </c>
      <c r="Q73" s="173" t="s">
        <v>199</v>
      </c>
      <c r="R73" s="173" t="s">
        <v>200</v>
      </c>
      <c r="S73" s="174" t="s">
        <v>201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36" t="s">
        <v>24</v>
      </c>
      <c r="C77" s="235" t="s">
        <v>134</v>
      </c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238"/>
      <c r="R77" s="177"/>
      <c r="S77" s="177"/>
      <c r="T77" s="178"/>
    </row>
    <row r="78" spans="2:20" x14ac:dyDescent="0.25">
      <c r="B78" s="237"/>
      <c r="C78" s="179" t="s">
        <v>78</v>
      </c>
      <c r="D78" s="179" t="s">
        <v>203</v>
      </c>
      <c r="E78" s="179" t="s">
        <v>204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205</v>
      </c>
      <c r="O78" s="180" t="s">
        <v>204</v>
      </c>
      <c r="P78" s="180" t="s">
        <v>116</v>
      </c>
      <c r="Q78" s="180" t="s">
        <v>206</v>
      </c>
      <c r="R78" s="180" t="s">
        <v>204</v>
      </c>
      <c r="S78" s="180" t="s">
        <v>207</v>
      </c>
      <c r="T78" s="173" t="s">
        <v>204</v>
      </c>
    </row>
    <row r="79" spans="2:20" x14ac:dyDescent="0.25">
      <c r="B79" s="237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37"/>
      <c r="C80" s="173" t="s">
        <v>117</v>
      </c>
      <c r="D80" s="173" t="s">
        <v>118</v>
      </c>
      <c r="E80" s="173" t="s">
        <v>208</v>
      </c>
      <c r="F80" s="173" t="s">
        <v>204</v>
      </c>
      <c r="G80" s="173" t="s">
        <v>116</v>
      </c>
      <c r="H80" s="173" t="s">
        <v>209</v>
      </c>
      <c r="I80" s="173" t="s">
        <v>204</v>
      </c>
      <c r="J80" s="173" t="s">
        <v>119</v>
      </c>
      <c r="K80" s="173" t="s">
        <v>120</v>
      </c>
      <c r="L80" s="173" t="s">
        <v>210</v>
      </c>
      <c r="M80" s="173" t="s">
        <v>204</v>
      </c>
      <c r="N80" s="173" t="s">
        <v>211</v>
      </c>
      <c r="O80" s="174" t="s">
        <v>204</v>
      </c>
      <c r="P80" s="174" t="s">
        <v>212</v>
      </c>
      <c r="Q80" s="174" t="s">
        <v>204</v>
      </c>
      <c r="R80" s="174" t="s">
        <v>213</v>
      </c>
      <c r="S80" s="174" t="s">
        <v>204</v>
      </c>
      <c r="T80" s="175" t="s">
        <v>20</v>
      </c>
    </row>
    <row r="81" spans="2:20" ht="15.75" x14ac:dyDescent="0.25">
      <c r="B81" s="237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163</v>
      </c>
    </row>
    <row r="82" spans="2:20" x14ac:dyDescent="0.25">
      <c r="B82" s="237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37"/>
      <c r="C83" s="184" t="s">
        <v>78</v>
      </c>
      <c r="D83" s="184" t="s">
        <v>203</v>
      </c>
      <c r="E83" s="184" t="s">
        <v>204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205</v>
      </c>
      <c r="O83" s="173" t="s">
        <v>204</v>
      </c>
      <c r="P83" s="173" t="s">
        <v>116</v>
      </c>
      <c r="Q83" s="173" t="s">
        <v>206</v>
      </c>
      <c r="R83" s="173" t="s">
        <v>204</v>
      </c>
      <c r="S83" s="173" t="s">
        <v>207</v>
      </c>
      <c r="T83" s="173" t="s">
        <v>204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208</v>
      </c>
      <c r="F85" s="173" t="s">
        <v>204</v>
      </c>
      <c r="G85" s="173" t="s">
        <v>116</v>
      </c>
      <c r="H85" s="173" t="s">
        <v>209</v>
      </c>
      <c r="I85" s="173" t="s">
        <v>204</v>
      </c>
      <c r="J85" s="173" t="s">
        <v>119</v>
      </c>
      <c r="K85" s="173" t="s">
        <v>120</v>
      </c>
      <c r="L85" s="173" t="s">
        <v>210</v>
      </c>
      <c r="M85" s="173" t="s">
        <v>204</v>
      </c>
      <c r="N85" s="173" t="s">
        <v>211</v>
      </c>
      <c r="O85" s="174" t="s">
        <v>204</v>
      </c>
      <c r="P85" s="174" t="s">
        <v>212</v>
      </c>
      <c r="Q85" s="174" t="s">
        <v>204</v>
      </c>
      <c r="R85" s="174" t="s">
        <v>213</v>
      </c>
      <c r="S85" s="174" t="s">
        <v>204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2025-12-03T16:53:26Z</dcterms:modified>
</cp:coreProperties>
</file>