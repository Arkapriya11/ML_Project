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155" yWindow="510" windowWidth="20730" windowHeight="11760" tabRatio="913" firstSheet="1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2" r:id="rId31"/>
    <sheet name="MONTHLY 30" sheetId="39" r:id="rId32"/>
  </sheets>
  <calcPr calcId="144525"/>
</workbook>
</file>

<file path=xl/calcChain.xml><?xml version="1.0" encoding="utf-8"?>
<calcChain xmlns="http://schemas.openxmlformats.org/spreadsheetml/2006/main">
  <c r="C44" i="39" l="1"/>
  <c r="D44" i="39"/>
  <c r="E44" i="39"/>
  <c r="F44" i="39"/>
  <c r="G44" i="39"/>
  <c r="H44" i="39"/>
  <c r="I44" i="39"/>
  <c r="J44" i="39"/>
  <c r="K44" i="39"/>
  <c r="L44" i="39"/>
  <c r="M44" i="39"/>
  <c r="N44" i="39"/>
  <c r="O44" i="39"/>
  <c r="P44" i="39"/>
  <c r="Q44" i="39"/>
  <c r="B44" i="39"/>
  <c r="P17" i="39"/>
  <c r="P15" i="39"/>
  <c r="O17" i="39"/>
  <c r="O15" i="39"/>
  <c r="N17" i="39"/>
  <c r="N15" i="39"/>
  <c r="Q39" i="39"/>
  <c r="P39" i="39"/>
  <c r="O39" i="39"/>
  <c r="N39" i="39"/>
  <c r="M39" i="39"/>
  <c r="L39" i="39"/>
  <c r="K39" i="39"/>
  <c r="J39" i="39"/>
  <c r="I39" i="39"/>
  <c r="H39" i="39"/>
  <c r="G39" i="39"/>
  <c r="F39" i="39"/>
  <c r="E39" i="39"/>
  <c r="D39" i="39"/>
  <c r="C39" i="39"/>
  <c r="B39" i="39"/>
  <c r="A39" i="39"/>
  <c r="Q38" i="42"/>
  <c r="Q40" i="42" s="1"/>
  <c r="P38" i="42"/>
  <c r="P40" i="42" s="1"/>
  <c r="O38" i="42"/>
  <c r="O40" i="42" s="1"/>
  <c r="N38" i="42"/>
  <c r="N40" i="42" s="1"/>
  <c r="M38" i="42"/>
  <c r="M40" i="42" s="1"/>
  <c r="L38" i="42"/>
  <c r="L40" i="42" s="1"/>
  <c r="K38" i="42"/>
  <c r="K40" i="42" s="1"/>
  <c r="J38" i="42"/>
  <c r="J40" i="42" s="1"/>
  <c r="I38" i="42"/>
  <c r="I40" i="42" s="1"/>
  <c r="H38" i="42"/>
  <c r="H40" i="42" s="1"/>
  <c r="G38" i="42"/>
  <c r="G40" i="42" s="1"/>
  <c r="F38" i="42"/>
  <c r="F40" i="42" s="1"/>
  <c r="E38" i="42"/>
  <c r="E39" i="42" s="1"/>
  <c r="D38" i="42"/>
  <c r="D39" i="42" s="1"/>
  <c r="C38" i="42"/>
  <c r="C40" i="42" s="1"/>
  <c r="B38" i="42"/>
  <c r="B39" i="42" s="1"/>
  <c r="Q37" i="42"/>
  <c r="P37" i="42"/>
  <c r="O37" i="42"/>
  <c r="N37" i="42"/>
  <c r="M37" i="42"/>
  <c r="L37" i="42"/>
  <c r="K37" i="42"/>
  <c r="J37" i="42"/>
  <c r="I37" i="42"/>
  <c r="H37" i="42"/>
  <c r="G37" i="42"/>
  <c r="F37" i="42"/>
  <c r="E37" i="42"/>
  <c r="D37" i="42"/>
  <c r="C37" i="42"/>
  <c r="B37" i="42"/>
  <c r="Q36" i="42"/>
  <c r="P36" i="42"/>
  <c r="O36" i="42"/>
  <c r="N36" i="42"/>
  <c r="M36" i="42"/>
  <c r="L36" i="42"/>
  <c r="K36" i="42"/>
  <c r="J36" i="42"/>
  <c r="I36" i="42"/>
  <c r="H36" i="42"/>
  <c r="G36" i="42"/>
  <c r="F36" i="42"/>
  <c r="E36" i="42"/>
  <c r="D36" i="42"/>
  <c r="C36" i="42"/>
  <c r="B36" i="42"/>
  <c r="Q35" i="42"/>
  <c r="P35" i="42"/>
  <c r="O35" i="42"/>
  <c r="N35" i="42"/>
  <c r="M35" i="42"/>
  <c r="L35" i="42"/>
  <c r="K35" i="42"/>
  <c r="J35" i="42"/>
  <c r="I35" i="42"/>
  <c r="H35" i="42"/>
  <c r="G35" i="42"/>
  <c r="F35" i="42"/>
  <c r="E35" i="42"/>
  <c r="D35" i="42"/>
  <c r="C35" i="42"/>
  <c r="B35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E34" i="42"/>
  <c r="D34" i="42"/>
  <c r="C34" i="42"/>
  <c r="B34" i="42"/>
  <c r="B2" i="42"/>
  <c r="B40" i="42" l="1"/>
  <c r="C39" i="42"/>
  <c r="D40" i="42"/>
  <c r="G39" i="42"/>
  <c r="F39" i="42"/>
  <c r="H39" i="42"/>
  <c r="I39" i="42"/>
  <c r="J39" i="42"/>
  <c r="K39" i="42"/>
  <c r="L39" i="42"/>
  <c r="E40" i="42"/>
  <c r="M39" i="42"/>
  <c r="N39" i="42"/>
  <c r="O39" i="42"/>
  <c r="P39" i="42"/>
  <c r="Q39" i="42"/>
  <c r="B2" i="20"/>
  <c r="E37" i="39"/>
  <c r="D37" i="39"/>
  <c r="N35" i="39"/>
  <c r="H33" i="39"/>
  <c r="Q32" i="39"/>
  <c r="A32" i="39"/>
  <c r="D30" i="39"/>
  <c r="E29" i="39"/>
  <c r="O26" i="39"/>
  <c r="Q25" i="39"/>
  <c r="P25" i="39"/>
  <c r="A25" i="39"/>
  <c r="Q24" i="39"/>
  <c r="C24" i="39"/>
  <c r="A24" i="39"/>
  <c r="A23" i="39"/>
  <c r="C22" i="39"/>
  <c r="O19" i="39"/>
  <c r="L19" i="39"/>
  <c r="G18" i="39"/>
  <c r="I17" i="39"/>
  <c r="H17" i="39"/>
  <c r="I16" i="39"/>
  <c r="K15" i="39"/>
  <c r="J15" i="39"/>
  <c r="O14" i="39"/>
  <c r="M13" i="39"/>
  <c r="L13" i="39"/>
  <c r="N12" i="39"/>
  <c r="M12" i="39"/>
  <c r="D11" i="39"/>
  <c r="O10" i="39"/>
  <c r="N9" i="39"/>
  <c r="Q38" i="41"/>
  <c r="Q40" i="41" s="1"/>
  <c r="P38" i="41"/>
  <c r="P40" i="41" s="1"/>
  <c r="O38" i="41"/>
  <c r="O40" i="41" s="1"/>
  <c r="N38" i="41"/>
  <c r="N40" i="41" s="1"/>
  <c r="M38" i="41"/>
  <c r="M40" i="41" s="1"/>
  <c r="L38" i="41"/>
  <c r="L40" i="41" s="1"/>
  <c r="K38" i="41"/>
  <c r="K40" i="41" s="1"/>
  <c r="J38" i="41"/>
  <c r="J40" i="41" s="1"/>
  <c r="I38" i="41"/>
  <c r="I40" i="41" s="1"/>
  <c r="H38" i="41"/>
  <c r="H40" i="41" s="1"/>
  <c r="G38" i="41"/>
  <c r="G40" i="41" s="1"/>
  <c r="F38" i="41"/>
  <c r="F40" i="41" s="1"/>
  <c r="E38" i="41"/>
  <c r="E40" i="41" s="1"/>
  <c r="D38" i="41"/>
  <c r="D40" i="41" s="1"/>
  <c r="C38" i="41"/>
  <c r="C39" i="41" s="1"/>
  <c r="B38" i="41"/>
  <c r="B40" i="41" s="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Q38" i="39" s="1"/>
  <c r="P36" i="41"/>
  <c r="P38" i="39" s="1"/>
  <c r="O36" i="41"/>
  <c r="O38" i="39" s="1"/>
  <c r="N36" i="41"/>
  <c r="N38" i="39" s="1"/>
  <c r="M36" i="41"/>
  <c r="M38" i="39" s="1"/>
  <c r="L36" i="41"/>
  <c r="L38" i="39" s="1"/>
  <c r="K36" i="41"/>
  <c r="K38" i="39" s="1"/>
  <c r="J36" i="41"/>
  <c r="J38" i="39" s="1"/>
  <c r="I36" i="41"/>
  <c r="I38" i="39" s="1"/>
  <c r="H36" i="41"/>
  <c r="H38" i="39" s="1"/>
  <c r="G36" i="41"/>
  <c r="G38" i="39" s="1"/>
  <c r="F36" i="41"/>
  <c r="F38" i="39" s="1"/>
  <c r="E36" i="41"/>
  <c r="E38" i="39" s="1"/>
  <c r="D36" i="41"/>
  <c r="D38" i="39" s="1"/>
  <c r="C36" i="41"/>
  <c r="C38" i="39" s="1"/>
  <c r="B36" i="41"/>
  <c r="B38" i="39" s="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A38" i="39" s="1"/>
  <c r="Q38" i="40"/>
  <c r="Q40" i="40" s="1"/>
  <c r="P38" i="40"/>
  <c r="P40" i="40" s="1"/>
  <c r="O38" i="40"/>
  <c r="O40" i="40" s="1"/>
  <c r="N38" i="40"/>
  <c r="N40" i="40" s="1"/>
  <c r="M38" i="40"/>
  <c r="M40" i="40" s="1"/>
  <c r="L38" i="40"/>
  <c r="L40" i="40" s="1"/>
  <c r="K38" i="40"/>
  <c r="K39" i="40" s="1"/>
  <c r="J38" i="40"/>
  <c r="J40" i="40" s="1"/>
  <c r="I38" i="40"/>
  <c r="I40" i="40" s="1"/>
  <c r="H38" i="40"/>
  <c r="H40" i="40" s="1"/>
  <c r="G38" i="40"/>
  <c r="G40" i="40" s="1"/>
  <c r="F38" i="40"/>
  <c r="F40" i="40" s="1"/>
  <c r="E38" i="40"/>
  <c r="E40" i="40" s="1"/>
  <c r="D38" i="40"/>
  <c r="D40" i="40" s="1"/>
  <c r="C38" i="40"/>
  <c r="C40" i="40" s="1"/>
  <c r="B38" i="40"/>
  <c r="B40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7" i="39" s="1"/>
  <c r="P36" i="40"/>
  <c r="P37" i="39" s="1"/>
  <c r="O36" i="40"/>
  <c r="O37" i="39" s="1"/>
  <c r="N36" i="40"/>
  <c r="N37" i="39" s="1"/>
  <c r="M36" i="40"/>
  <c r="M37" i="39" s="1"/>
  <c r="L36" i="40"/>
  <c r="L37" i="39" s="1"/>
  <c r="K36" i="40"/>
  <c r="K37" i="39" s="1"/>
  <c r="J36" i="40"/>
  <c r="J37" i="39" s="1"/>
  <c r="I36" i="40"/>
  <c r="I37" i="39" s="1"/>
  <c r="H36" i="40"/>
  <c r="H37" i="39" s="1"/>
  <c r="G36" i="40"/>
  <c r="G37" i="39" s="1"/>
  <c r="F36" i="40"/>
  <c r="F37" i="39" s="1"/>
  <c r="E36" i="40"/>
  <c r="D36" i="40"/>
  <c r="C36" i="40"/>
  <c r="C37" i="39" s="1"/>
  <c r="B36" i="40"/>
  <c r="B37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7" i="39" s="1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40" i="33" s="1"/>
  <c r="H38" i="33"/>
  <c r="H40" i="33" s="1"/>
  <c r="G38" i="33"/>
  <c r="G40" i="33" s="1"/>
  <c r="F38" i="33"/>
  <c r="F40" i="33" s="1"/>
  <c r="E38" i="33"/>
  <c r="E40" i="33" s="1"/>
  <c r="D38" i="33"/>
  <c r="D40" i="33" s="1"/>
  <c r="C38" i="33"/>
  <c r="C40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E36" i="39" s="1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Q38" i="32"/>
  <c r="Q40" i="32" s="1"/>
  <c r="P38" i="32"/>
  <c r="P40" i="32" s="1"/>
  <c r="O38" i="32"/>
  <c r="O40" i="32" s="1"/>
  <c r="N38" i="32"/>
  <c r="N40" i="32" s="1"/>
  <c r="M38" i="32"/>
  <c r="M40" i="32" s="1"/>
  <c r="L38" i="32"/>
  <c r="L40" i="32" s="1"/>
  <c r="K38" i="32"/>
  <c r="K40" i="32" s="1"/>
  <c r="J38" i="32"/>
  <c r="J40" i="32" s="1"/>
  <c r="I38" i="32"/>
  <c r="I40" i="32" s="1"/>
  <c r="H38" i="32"/>
  <c r="H40" i="32" s="1"/>
  <c r="G38" i="32"/>
  <c r="G40" i="32" s="1"/>
  <c r="F38" i="32"/>
  <c r="F40" i="32" s="1"/>
  <c r="E38" i="32"/>
  <c r="E40" i="32" s="1"/>
  <c r="D38" i="32"/>
  <c r="D40" i="32" s="1"/>
  <c r="C38" i="32"/>
  <c r="C40" i="32" s="1"/>
  <c r="B38" i="32"/>
  <c r="B40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Q38" i="31"/>
  <c r="Q40" i="31" s="1"/>
  <c r="P38" i="31"/>
  <c r="P40" i="31" s="1"/>
  <c r="O38" i="31"/>
  <c r="O40" i="31" s="1"/>
  <c r="N38" i="31"/>
  <c r="N40" i="31" s="1"/>
  <c r="M38" i="31"/>
  <c r="M40" i="31" s="1"/>
  <c r="L38" i="31"/>
  <c r="L40" i="31" s="1"/>
  <c r="K38" i="31"/>
  <c r="K40" i="31" s="1"/>
  <c r="J38" i="31"/>
  <c r="J40" i="31" s="1"/>
  <c r="I38" i="31"/>
  <c r="I40" i="31" s="1"/>
  <c r="H38" i="31"/>
  <c r="H40" i="31" s="1"/>
  <c r="G38" i="31"/>
  <c r="G40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Q39" i="30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38" i="30"/>
  <c r="H40" i="30" s="1"/>
  <c r="G38" i="30"/>
  <c r="G40" i="30" s="1"/>
  <c r="F38" i="30"/>
  <c r="F40" i="30" s="1"/>
  <c r="E38" i="30"/>
  <c r="E40" i="30" s="1"/>
  <c r="D38" i="30"/>
  <c r="D40" i="30" s="1"/>
  <c r="C38" i="30"/>
  <c r="C40" i="30" s="1"/>
  <c r="B38" i="30"/>
  <c r="B40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Q38" i="29"/>
  <c r="Q40" i="29" s="1"/>
  <c r="P38" i="29"/>
  <c r="P40" i="29" s="1"/>
  <c r="O38" i="29"/>
  <c r="O40" i="29" s="1"/>
  <c r="N38" i="29"/>
  <c r="N40" i="29" s="1"/>
  <c r="M38" i="29"/>
  <c r="M40" i="29" s="1"/>
  <c r="L38" i="29"/>
  <c r="L40" i="29" s="1"/>
  <c r="K38" i="29"/>
  <c r="K40" i="29" s="1"/>
  <c r="J38" i="29"/>
  <c r="J40" i="29" s="1"/>
  <c r="I38" i="29"/>
  <c r="I39" i="29" s="1"/>
  <c r="H38" i="29"/>
  <c r="H40" i="29" s="1"/>
  <c r="G38" i="29"/>
  <c r="G40" i="29" s="1"/>
  <c r="F38" i="29"/>
  <c r="F40" i="29" s="1"/>
  <c r="E38" i="29"/>
  <c r="E40" i="29" s="1"/>
  <c r="D38" i="29"/>
  <c r="D40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Q38" i="28"/>
  <c r="Q40" i="28" s="1"/>
  <c r="P38" i="28"/>
  <c r="P40" i="28" s="1"/>
  <c r="O38" i="28"/>
  <c r="O40" i="28" s="1"/>
  <c r="N38" i="28"/>
  <c r="N40" i="28" s="1"/>
  <c r="M38" i="28"/>
  <c r="M40" i="28" s="1"/>
  <c r="L38" i="28"/>
  <c r="L40" i="28" s="1"/>
  <c r="K38" i="28"/>
  <c r="K40" i="28" s="1"/>
  <c r="J38" i="28"/>
  <c r="J40" i="28" s="1"/>
  <c r="I38" i="28"/>
  <c r="I40" i="28" s="1"/>
  <c r="H38" i="28"/>
  <c r="H40" i="28" s="1"/>
  <c r="G38" i="28"/>
  <c r="G40" i="28" s="1"/>
  <c r="F38" i="28"/>
  <c r="F40" i="28" s="1"/>
  <c r="E38" i="28"/>
  <c r="E40" i="28" s="1"/>
  <c r="D38" i="28"/>
  <c r="D40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J31" i="39" s="1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Q38" i="27"/>
  <c r="Q40" i="27" s="1"/>
  <c r="P38" i="27"/>
  <c r="P40" i="27" s="1"/>
  <c r="O38" i="27"/>
  <c r="O40" i="27" s="1"/>
  <c r="N38" i="27"/>
  <c r="N40" i="27" s="1"/>
  <c r="M38" i="27"/>
  <c r="M39" i="27" s="1"/>
  <c r="L38" i="27"/>
  <c r="L40" i="27" s="1"/>
  <c r="K38" i="27"/>
  <c r="K40" i="27" s="1"/>
  <c r="J38" i="27"/>
  <c r="J40" i="27" s="1"/>
  <c r="I38" i="27"/>
  <c r="I40" i="27" s="1"/>
  <c r="H38" i="27"/>
  <c r="H40" i="27" s="1"/>
  <c r="G38" i="27"/>
  <c r="G40" i="27" s="1"/>
  <c r="F38" i="27"/>
  <c r="F40" i="27" s="1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N39" i="26"/>
  <c r="Q38" i="26"/>
  <c r="Q40" i="26" s="1"/>
  <c r="P38" i="26"/>
  <c r="P40" i="26" s="1"/>
  <c r="O38" i="26"/>
  <c r="O40" i="26" s="1"/>
  <c r="N38" i="26"/>
  <c r="N40" i="26" s="1"/>
  <c r="M38" i="26"/>
  <c r="M40" i="26" s="1"/>
  <c r="L38" i="26"/>
  <c r="L40" i="26" s="1"/>
  <c r="K38" i="26"/>
  <c r="K40" i="26" s="1"/>
  <c r="J38" i="26"/>
  <c r="J40" i="26" s="1"/>
  <c r="I38" i="26"/>
  <c r="I40" i="26" s="1"/>
  <c r="H38" i="26"/>
  <c r="H40" i="26" s="1"/>
  <c r="G38" i="26"/>
  <c r="G40" i="26" s="1"/>
  <c r="F38" i="26"/>
  <c r="F40" i="26" s="1"/>
  <c r="E38" i="26"/>
  <c r="E40" i="26" s="1"/>
  <c r="D38" i="26"/>
  <c r="D40" i="26" s="1"/>
  <c r="C38" i="26"/>
  <c r="C40" i="26" s="1"/>
  <c r="B38" i="26"/>
  <c r="B40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O29" i="39" s="1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Q38" i="25"/>
  <c r="Q40" i="25" s="1"/>
  <c r="P38" i="25"/>
  <c r="P40" i="25" s="1"/>
  <c r="O38" i="25"/>
  <c r="O40" i="25" s="1"/>
  <c r="N38" i="25"/>
  <c r="N40" i="25" s="1"/>
  <c r="M38" i="25"/>
  <c r="M40" i="25" s="1"/>
  <c r="L38" i="25"/>
  <c r="L40" i="25" s="1"/>
  <c r="K38" i="25"/>
  <c r="K40" i="25" s="1"/>
  <c r="J38" i="25"/>
  <c r="J40" i="25" s="1"/>
  <c r="I38" i="25"/>
  <c r="I40" i="25" s="1"/>
  <c r="H38" i="25"/>
  <c r="H40" i="25" s="1"/>
  <c r="G38" i="25"/>
  <c r="G40" i="25" s="1"/>
  <c r="F38" i="25"/>
  <c r="F40" i="25" s="1"/>
  <c r="E38" i="25"/>
  <c r="E40" i="25" s="1"/>
  <c r="D38" i="25"/>
  <c r="D40" i="25" s="1"/>
  <c r="C38" i="25"/>
  <c r="C40" i="25" s="1"/>
  <c r="B38" i="25"/>
  <c r="B40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N28" i="39" s="1"/>
  <c r="M36" i="25"/>
  <c r="M28" i="39" s="1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Q38" i="24"/>
  <c r="Q40" i="24" s="1"/>
  <c r="P38" i="24"/>
  <c r="P40" i="24" s="1"/>
  <c r="O38" i="24"/>
  <c r="O40" i="24" s="1"/>
  <c r="N38" i="24"/>
  <c r="N40" i="24" s="1"/>
  <c r="M38" i="24"/>
  <c r="M40" i="24" s="1"/>
  <c r="L38" i="24"/>
  <c r="L40" i="24" s="1"/>
  <c r="K38" i="24"/>
  <c r="K40" i="24" s="1"/>
  <c r="J38" i="24"/>
  <c r="J40" i="24" s="1"/>
  <c r="I38" i="24"/>
  <c r="I40" i="24" s="1"/>
  <c r="H38" i="24"/>
  <c r="H40" i="24" s="1"/>
  <c r="G38" i="24"/>
  <c r="G40" i="24" s="1"/>
  <c r="F38" i="24"/>
  <c r="F40" i="24" s="1"/>
  <c r="E38" i="24"/>
  <c r="E40" i="24" s="1"/>
  <c r="D38" i="24"/>
  <c r="D40" i="24" s="1"/>
  <c r="C38" i="24"/>
  <c r="C40" i="24" s="1"/>
  <c r="B38" i="24"/>
  <c r="B40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O27" i="39" s="1"/>
  <c r="N36" i="24"/>
  <c r="N27" i="39" s="1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J40" i="23"/>
  <c r="Q38" i="23"/>
  <c r="Q40" i="23" s="1"/>
  <c r="P38" i="23"/>
  <c r="P40" i="23" s="1"/>
  <c r="O38" i="23"/>
  <c r="O40" i="23" s="1"/>
  <c r="N38" i="23"/>
  <c r="N40" i="23" s="1"/>
  <c r="M38" i="23"/>
  <c r="M40" i="23" s="1"/>
  <c r="L38" i="23"/>
  <c r="L40" i="23" s="1"/>
  <c r="K38" i="23"/>
  <c r="K40" i="23" s="1"/>
  <c r="J38" i="23"/>
  <c r="J39" i="23" s="1"/>
  <c r="I38" i="23"/>
  <c r="I40" i="23" s="1"/>
  <c r="H38" i="23"/>
  <c r="H40" i="23" s="1"/>
  <c r="G38" i="23"/>
  <c r="G40" i="23" s="1"/>
  <c r="F38" i="23"/>
  <c r="F40" i="23" s="1"/>
  <c r="E38" i="23"/>
  <c r="E40" i="23" s="1"/>
  <c r="D38" i="23"/>
  <c r="D40" i="23" s="1"/>
  <c r="C38" i="23"/>
  <c r="C40" i="23" s="1"/>
  <c r="B38" i="23"/>
  <c r="B40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Q38" i="22"/>
  <c r="Q40" i="22" s="1"/>
  <c r="P38" i="22"/>
  <c r="P40" i="22" s="1"/>
  <c r="O38" i="22"/>
  <c r="O40" i="22" s="1"/>
  <c r="N38" i="22"/>
  <c r="N40" i="22" s="1"/>
  <c r="M38" i="22"/>
  <c r="M40" i="22" s="1"/>
  <c r="L38" i="22"/>
  <c r="L40" i="22" s="1"/>
  <c r="K38" i="22"/>
  <c r="K40" i="22" s="1"/>
  <c r="J38" i="22"/>
  <c r="J39" i="22" s="1"/>
  <c r="I38" i="22"/>
  <c r="I40" i="22" s="1"/>
  <c r="H38" i="22"/>
  <c r="H40" i="22" s="1"/>
  <c r="G38" i="22"/>
  <c r="G40" i="22" s="1"/>
  <c r="F38" i="22"/>
  <c r="F40" i="22" s="1"/>
  <c r="E38" i="22"/>
  <c r="E40" i="22" s="1"/>
  <c r="D38" i="22"/>
  <c r="D40" i="22" s="1"/>
  <c r="C38" i="22"/>
  <c r="C40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P36" i="22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J39" i="21"/>
  <c r="Q38" i="21"/>
  <c r="Q40" i="21" s="1"/>
  <c r="P38" i="21"/>
  <c r="P40" i="21" s="1"/>
  <c r="O38" i="21"/>
  <c r="O40" i="21" s="1"/>
  <c r="N38" i="21"/>
  <c r="N40" i="21" s="1"/>
  <c r="M38" i="21"/>
  <c r="M40" i="21" s="1"/>
  <c r="L38" i="21"/>
  <c r="L40" i="21" s="1"/>
  <c r="K38" i="21"/>
  <c r="K40" i="21" s="1"/>
  <c r="J38" i="21"/>
  <c r="J40" i="21" s="1"/>
  <c r="I38" i="21"/>
  <c r="I40" i="21" s="1"/>
  <c r="H38" i="21"/>
  <c r="H40" i="21" s="1"/>
  <c r="G38" i="21"/>
  <c r="G40" i="21" s="1"/>
  <c r="F38" i="21"/>
  <c r="F40" i="21" s="1"/>
  <c r="E38" i="21"/>
  <c r="E40" i="21" s="1"/>
  <c r="D38" i="21"/>
  <c r="D40" i="21" s="1"/>
  <c r="C38" i="21"/>
  <c r="C40" i="21" s="1"/>
  <c r="B38" i="21"/>
  <c r="B40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Q38" i="20"/>
  <c r="Q40" i="20" s="1"/>
  <c r="P38" i="20"/>
  <c r="P40" i="20" s="1"/>
  <c r="O38" i="20"/>
  <c r="O40" i="20" s="1"/>
  <c r="N38" i="20"/>
  <c r="N40" i="20" s="1"/>
  <c r="M38" i="20"/>
  <c r="M40" i="20" s="1"/>
  <c r="L38" i="20"/>
  <c r="L40" i="20" s="1"/>
  <c r="K38" i="20"/>
  <c r="K40" i="20" s="1"/>
  <c r="J38" i="20"/>
  <c r="J40" i="20" s="1"/>
  <c r="I38" i="20"/>
  <c r="I40" i="20" s="1"/>
  <c r="H38" i="20"/>
  <c r="H40" i="20" s="1"/>
  <c r="G38" i="20"/>
  <c r="G40" i="20" s="1"/>
  <c r="F38" i="20"/>
  <c r="F40" i="20" s="1"/>
  <c r="E38" i="20"/>
  <c r="E40" i="20" s="1"/>
  <c r="D38" i="20"/>
  <c r="D40" i="20" s="1"/>
  <c r="C38" i="20"/>
  <c r="C40" i="20" s="1"/>
  <c r="B38" i="20"/>
  <c r="B40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I40" i="19"/>
  <c r="I39" i="19"/>
  <c r="Q38" i="19"/>
  <c r="Q40" i="19" s="1"/>
  <c r="P38" i="19"/>
  <c r="P40" i="19" s="1"/>
  <c r="O38" i="19"/>
  <c r="O40" i="19" s="1"/>
  <c r="N38" i="19"/>
  <c r="N40" i="19" s="1"/>
  <c r="M38" i="19"/>
  <c r="M40" i="19" s="1"/>
  <c r="L38" i="19"/>
  <c r="L40" i="19" s="1"/>
  <c r="K38" i="19"/>
  <c r="K40" i="19" s="1"/>
  <c r="J38" i="19"/>
  <c r="J40" i="19" s="1"/>
  <c r="I38" i="19"/>
  <c r="H38" i="19"/>
  <c r="H40" i="19" s="1"/>
  <c r="G38" i="19"/>
  <c r="G40" i="19" s="1"/>
  <c r="F38" i="19"/>
  <c r="F40" i="19" s="1"/>
  <c r="E38" i="19"/>
  <c r="E40" i="19" s="1"/>
  <c r="D38" i="19"/>
  <c r="D40" i="19" s="1"/>
  <c r="C38" i="19"/>
  <c r="C40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Q38" i="18"/>
  <c r="Q40" i="18" s="1"/>
  <c r="P38" i="18"/>
  <c r="P40" i="18" s="1"/>
  <c r="O38" i="18"/>
  <c r="O40" i="18" s="1"/>
  <c r="N38" i="18"/>
  <c r="N40" i="18" s="1"/>
  <c r="M38" i="18"/>
  <c r="M40" i="18" s="1"/>
  <c r="L38" i="18"/>
  <c r="L40" i="18" s="1"/>
  <c r="K38" i="18"/>
  <c r="K40" i="18" s="1"/>
  <c r="J38" i="18"/>
  <c r="J40" i="18" s="1"/>
  <c r="I38" i="18"/>
  <c r="I40" i="18" s="1"/>
  <c r="H38" i="18"/>
  <c r="H40" i="18" s="1"/>
  <c r="G38" i="18"/>
  <c r="G40" i="18" s="1"/>
  <c r="F38" i="18"/>
  <c r="F40" i="18" s="1"/>
  <c r="E38" i="18"/>
  <c r="E40" i="18" s="1"/>
  <c r="D38" i="18"/>
  <c r="D40" i="18" s="1"/>
  <c r="C38" i="18"/>
  <c r="C40" i="18" s="1"/>
  <c r="B38" i="18"/>
  <c r="B40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D21" i="39" s="1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Q38" i="17"/>
  <c r="Q40" i="17" s="1"/>
  <c r="P38" i="17"/>
  <c r="P40" i="17" s="1"/>
  <c r="O38" i="17"/>
  <c r="O40" i="17" s="1"/>
  <c r="N38" i="17"/>
  <c r="N40" i="17" s="1"/>
  <c r="M38" i="17"/>
  <c r="M40" i="17" s="1"/>
  <c r="L38" i="17"/>
  <c r="L40" i="17" s="1"/>
  <c r="K38" i="17"/>
  <c r="K40" i="17" s="1"/>
  <c r="J38" i="17"/>
  <c r="J40" i="17" s="1"/>
  <c r="I38" i="17"/>
  <c r="I40" i="17" s="1"/>
  <c r="H38" i="17"/>
  <c r="H40" i="17" s="1"/>
  <c r="G38" i="17"/>
  <c r="G40" i="17" s="1"/>
  <c r="F38" i="17"/>
  <c r="F40" i="17" s="1"/>
  <c r="E38" i="17"/>
  <c r="E40" i="17" s="1"/>
  <c r="D38" i="17"/>
  <c r="D40" i="17" s="1"/>
  <c r="C38" i="17"/>
  <c r="C40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Q38" i="16"/>
  <c r="Q40" i="16" s="1"/>
  <c r="P38" i="16"/>
  <c r="P40" i="16" s="1"/>
  <c r="O38" i="16"/>
  <c r="O40" i="16" s="1"/>
  <c r="N38" i="16"/>
  <c r="N40" i="16" s="1"/>
  <c r="M38" i="16"/>
  <c r="M40" i="16" s="1"/>
  <c r="L38" i="16"/>
  <c r="L40" i="16" s="1"/>
  <c r="K38" i="16"/>
  <c r="K40" i="16" s="1"/>
  <c r="J38" i="16"/>
  <c r="J40" i="16" s="1"/>
  <c r="I38" i="16"/>
  <c r="I40" i="16" s="1"/>
  <c r="H38" i="16"/>
  <c r="H40" i="16" s="1"/>
  <c r="G38" i="16"/>
  <c r="G40" i="16" s="1"/>
  <c r="F38" i="16"/>
  <c r="F39" i="16" s="1"/>
  <c r="E38" i="16"/>
  <c r="E40" i="16" s="1"/>
  <c r="D38" i="16"/>
  <c r="D40" i="16" s="1"/>
  <c r="C38" i="16"/>
  <c r="C40" i="16" s="1"/>
  <c r="B38" i="16"/>
  <c r="B40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N36" i="16"/>
  <c r="N19" i="39" s="1"/>
  <c r="M36" i="16"/>
  <c r="M19" i="39" s="1"/>
  <c r="L36" i="16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Q38" i="15"/>
  <c r="Q40" i="15" s="1"/>
  <c r="P38" i="15"/>
  <c r="P40" i="15" s="1"/>
  <c r="O38" i="15"/>
  <c r="O40" i="15" s="1"/>
  <c r="N38" i="15"/>
  <c r="N39" i="15" s="1"/>
  <c r="M38" i="15"/>
  <c r="M40" i="15" s="1"/>
  <c r="L38" i="15"/>
  <c r="L40" i="15" s="1"/>
  <c r="K38" i="15"/>
  <c r="K40" i="15" s="1"/>
  <c r="J38" i="15"/>
  <c r="J40" i="15" s="1"/>
  <c r="I38" i="15"/>
  <c r="I40" i="15" s="1"/>
  <c r="H38" i="15"/>
  <c r="H40" i="15" s="1"/>
  <c r="G38" i="15"/>
  <c r="G40" i="15" s="1"/>
  <c r="F38" i="15"/>
  <c r="F40" i="15" s="1"/>
  <c r="E38" i="15"/>
  <c r="E40" i="15" s="1"/>
  <c r="D38" i="15"/>
  <c r="D40" i="15" s="1"/>
  <c r="C38" i="15"/>
  <c r="C40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Q38" i="14"/>
  <c r="Q40" i="14" s="1"/>
  <c r="P38" i="14"/>
  <c r="P40" i="14" s="1"/>
  <c r="O38" i="14"/>
  <c r="O40" i="14" s="1"/>
  <c r="N38" i="14"/>
  <c r="N40" i="14" s="1"/>
  <c r="M38" i="14"/>
  <c r="M40" i="14" s="1"/>
  <c r="L38" i="14"/>
  <c r="L39" i="14" s="1"/>
  <c r="K38" i="14"/>
  <c r="K39" i="14" s="1"/>
  <c r="J38" i="14"/>
  <c r="J40" i="14" s="1"/>
  <c r="I38" i="14"/>
  <c r="I40" i="14" s="1"/>
  <c r="H38" i="14"/>
  <c r="H40" i="14" s="1"/>
  <c r="G38" i="14"/>
  <c r="G40" i="14" s="1"/>
  <c r="F38" i="14"/>
  <c r="F40" i="14" s="1"/>
  <c r="E38" i="14"/>
  <c r="E40" i="14" s="1"/>
  <c r="D38" i="14"/>
  <c r="D40" i="14" s="1"/>
  <c r="C38" i="14"/>
  <c r="C40" i="14" s="1"/>
  <c r="B38" i="14"/>
  <c r="B39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O36" i="14"/>
  <c r="N36" i="14"/>
  <c r="M36" i="14"/>
  <c r="M17" i="39" s="1"/>
  <c r="L36" i="14"/>
  <c r="L17" i="39" s="1"/>
  <c r="K36" i="14"/>
  <c r="K17" i="39" s="1"/>
  <c r="J36" i="14"/>
  <c r="J17" i="39" s="1"/>
  <c r="I36" i="14"/>
  <c r="H36" i="14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L40" i="13"/>
  <c r="Q38" i="13"/>
  <c r="Q40" i="13" s="1"/>
  <c r="P38" i="13"/>
  <c r="P40" i="13" s="1"/>
  <c r="O38" i="13"/>
  <c r="O40" i="13" s="1"/>
  <c r="N38" i="13"/>
  <c r="N40" i="13" s="1"/>
  <c r="M38" i="13"/>
  <c r="M40" i="13" s="1"/>
  <c r="L38" i="13"/>
  <c r="L39" i="13" s="1"/>
  <c r="K38" i="13"/>
  <c r="K40" i="13" s="1"/>
  <c r="J38" i="13"/>
  <c r="J40" i="13" s="1"/>
  <c r="I38" i="13"/>
  <c r="I40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39" i="12" s="1"/>
  <c r="I38" i="12"/>
  <c r="I39" i="12" s="1"/>
  <c r="H38" i="12"/>
  <c r="H40" i="12" s="1"/>
  <c r="G38" i="12"/>
  <c r="G40" i="12" s="1"/>
  <c r="F38" i="12"/>
  <c r="F40" i="12" s="1"/>
  <c r="E38" i="12"/>
  <c r="E40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O36" i="12"/>
  <c r="N36" i="12"/>
  <c r="M36" i="12"/>
  <c r="M15" i="39" s="1"/>
  <c r="L36" i="12"/>
  <c r="L15" i="39" s="1"/>
  <c r="K36" i="12"/>
  <c r="J36" i="12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38" i="11"/>
  <c r="Q40" i="11" s="1"/>
  <c r="P38" i="11"/>
  <c r="P40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40" i="11" s="1"/>
  <c r="H38" i="11"/>
  <c r="H40" i="11" s="1"/>
  <c r="G38" i="11"/>
  <c r="G40" i="11" s="1"/>
  <c r="F38" i="11"/>
  <c r="F40" i="11" s="1"/>
  <c r="E38" i="11"/>
  <c r="E40" i="11" s="1"/>
  <c r="D38" i="11"/>
  <c r="D40" i="11" s="1"/>
  <c r="C38" i="11"/>
  <c r="C40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Q38" i="10"/>
  <c r="Q40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39" i="10" s="1"/>
  <c r="J38" i="10"/>
  <c r="J40" i="10" s="1"/>
  <c r="I38" i="10"/>
  <c r="I40" i="10" s="1"/>
  <c r="H38" i="10"/>
  <c r="H40" i="10" s="1"/>
  <c r="G38" i="10"/>
  <c r="G40" i="10" s="1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L36" i="10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40" i="9" s="1"/>
  <c r="J38" i="9"/>
  <c r="J39" i="9" s="1"/>
  <c r="I38" i="9"/>
  <c r="I40" i="9" s="1"/>
  <c r="H38" i="9"/>
  <c r="H40" i="9" s="1"/>
  <c r="G38" i="9"/>
  <c r="G40" i="9" s="1"/>
  <c r="F38" i="9"/>
  <c r="F40" i="9" s="1"/>
  <c r="E38" i="9"/>
  <c r="E40" i="9" s="1"/>
  <c r="D38" i="9"/>
  <c r="D40" i="9" s="1"/>
  <c r="C38" i="9"/>
  <c r="C40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M36" i="9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Q39" i="8"/>
  <c r="Q38" i="8"/>
  <c r="Q40" i="8" s="1"/>
  <c r="P38" i="8"/>
  <c r="P40" i="8" s="1"/>
  <c r="O38" i="8"/>
  <c r="O40" i="8" s="1"/>
  <c r="N38" i="8"/>
  <c r="N40" i="8" s="1"/>
  <c r="M38" i="8"/>
  <c r="M40" i="8" s="1"/>
  <c r="L38" i="8"/>
  <c r="L40" i="8" s="1"/>
  <c r="K38" i="8"/>
  <c r="K40" i="8" s="1"/>
  <c r="J38" i="8"/>
  <c r="J40" i="8" s="1"/>
  <c r="I38" i="8"/>
  <c r="I40" i="8" s="1"/>
  <c r="H38" i="8"/>
  <c r="H40" i="8" s="1"/>
  <c r="G38" i="8"/>
  <c r="G40" i="8" s="1"/>
  <c r="F38" i="8"/>
  <c r="F40" i="8" s="1"/>
  <c r="E38" i="8"/>
  <c r="E40" i="8" s="1"/>
  <c r="D38" i="8"/>
  <c r="D40" i="8" s="1"/>
  <c r="C38" i="8"/>
  <c r="C40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40" i="3" s="1"/>
  <c r="O38" i="3"/>
  <c r="O40" i="3" s="1"/>
  <c r="N38" i="3"/>
  <c r="N40" i="3" s="1"/>
  <c r="M38" i="3"/>
  <c r="M40" i="3" s="1"/>
  <c r="L38" i="3"/>
  <c r="L39" i="3" s="1"/>
  <c r="K38" i="3"/>
  <c r="K40" i="3" s="1"/>
  <c r="J38" i="3"/>
  <c r="J40" i="3" s="1"/>
  <c r="I38" i="3"/>
  <c r="I40" i="3" s="1"/>
  <c r="H38" i="3"/>
  <c r="H40" i="3" s="1"/>
  <c r="G38" i="3"/>
  <c r="G40" i="3" s="1"/>
  <c r="F38" i="3"/>
  <c r="F40" i="3" s="1"/>
  <c r="E38" i="3"/>
  <c r="E40" i="3" s="1"/>
  <c r="D38" i="3"/>
  <c r="D40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8" i="2"/>
  <c r="Q40" i="2" s="1"/>
  <c r="P38" i="2"/>
  <c r="P40" i="2" s="1"/>
  <c r="O38" i="2"/>
  <c r="O40" i="2" s="1"/>
  <c r="N38" i="2"/>
  <c r="N40" i="2" s="1"/>
  <c r="M38" i="2"/>
  <c r="M40" i="2" s="1"/>
  <c r="L38" i="2"/>
  <c r="L40" i="2" s="1"/>
  <c r="K38" i="2"/>
  <c r="K40" i="2" s="1"/>
  <c r="J38" i="2"/>
  <c r="J40" i="2" s="1"/>
  <c r="I38" i="2"/>
  <c r="I40" i="2" s="1"/>
  <c r="H38" i="2"/>
  <c r="H40" i="2" s="1"/>
  <c r="G38" i="2"/>
  <c r="G40" i="2" s="1"/>
  <c r="F38" i="2"/>
  <c r="F40" i="2" s="1"/>
  <c r="E38" i="2"/>
  <c r="E40" i="2" s="1"/>
  <c r="D38" i="2"/>
  <c r="D40" i="2" s="1"/>
  <c r="C38" i="2"/>
  <c r="C40" i="2" s="1"/>
  <c r="B38" i="2"/>
  <c r="B40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C40" i="41" l="1"/>
  <c r="K39" i="41"/>
  <c r="L39" i="41"/>
  <c r="M39" i="41"/>
  <c r="N39" i="41"/>
  <c r="O39" i="41"/>
  <c r="P39" i="41"/>
  <c r="Q39" i="41"/>
  <c r="B39" i="41"/>
  <c r="D39" i="41"/>
  <c r="E39" i="41"/>
  <c r="F39" i="41"/>
  <c r="G39" i="41"/>
  <c r="H39" i="41"/>
  <c r="I39" i="41"/>
  <c r="J39" i="41"/>
  <c r="L39" i="40"/>
  <c r="M39" i="40"/>
  <c r="N39" i="40"/>
  <c r="O39" i="40"/>
  <c r="P39" i="40"/>
  <c r="Q39" i="40"/>
  <c r="B39" i="40"/>
  <c r="C39" i="40"/>
  <c r="D39" i="40"/>
  <c r="E39" i="40"/>
  <c r="F39" i="40"/>
  <c r="K40" i="40"/>
  <c r="G39" i="40"/>
  <c r="H39" i="40"/>
  <c r="I39" i="40"/>
  <c r="J39" i="40"/>
  <c r="M39" i="33"/>
  <c r="N39" i="33"/>
  <c r="O39" i="33"/>
  <c r="P39" i="33"/>
  <c r="Q39" i="33"/>
  <c r="B39" i="33"/>
  <c r="C39" i="33"/>
  <c r="D39" i="33"/>
  <c r="E39" i="33"/>
  <c r="F39" i="33"/>
  <c r="G39" i="33"/>
  <c r="H39" i="33"/>
  <c r="I39" i="33"/>
  <c r="J39" i="33"/>
  <c r="K39" i="33"/>
  <c r="L39" i="33"/>
  <c r="N39" i="32"/>
  <c r="O39" i="32"/>
  <c r="P39" i="32"/>
  <c r="Q39" i="32"/>
  <c r="B39" i="32"/>
  <c r="C39" i="32"/>
  <c r="F39" i="32"/>
  <c r="D39" i="32"/>
  <c r="E39" i="32"/>
  <c r="G39" i="32"/>
  <c r="H39" i="32"/>
  <c r="I39" i="32"/>
  <c r="J39" i="32"/>
  <c r="K39" i="32"/>
  <c r="L39" i="32"/>
  <c r="M39" i="32"/>
  <c r="P39" i="31"/>
  <c r="Q39" i="31"/>
  <c r="B39" i="31"/>
  <c r="C39" i="31"/>
  <c r="D39" i="31"/>
  <c r="E39" i="31"/>
  <c r="F39" i="31"/>
  <c r="G39" i="31"/>
  <c r="H39" i="31"/>
  <c r="I39" i="31"/>
  <c r="J39" i="31"/>
  <c r="K39" i="31"/>
  <c r="L39" i="31"/>
  <c r="M39" i="31"/>
  <c r="N39" i="31"/>
  <c r="O39" i="31"/>
  <c r="B39" i="30"/>
  <c r="C39" i="30"/>
  <c r="D39" i="30"/>
  <c r="E39" i="30"/>
  <c r="F39" i="30"/>
  <c r="G39" i="30"/>
  <c r="H39" i="30"/>
  <c r="I39" i="30"/>
  <c r="J39" i="30"/>
  <c r="K39" i="30"/>
  <c r="L39" i="30"/>
  <c r="M39" i="30"/>
  <c r="N39" i="30"/>
  <c r="O39" i="30"/>
  <c r="P39" i="30"/>
  <c r="Q39" i="29"/>
  <c r="B39" i="29"/>
  <c r="C39" i="29"/>
  <c r="I40" i="29"/>
  <c r="D39" i="29"/>
  <c r="E39" i="29"/>
  <c r="F39" i="29"/>
  <c r="G39" i="29"/>
  <c r="H39" i="29"/>
  <c r="J39" i="29"/>
  <c r="K39" i="29"/>
  <c r="L39" i="29"/>
  <c r="M39" i="29"/>
  <c r="N39" i="29"/>
  <c r="O39" i="29"/>
  <c r="P39" i="29"/>
  <c r="C39" i="28"/>
  <c r="D39" i="28"/>
  <c r="E39" i="28"/>
  <c r="F39" i="28"/>
  <c r="G39" i="28"/>
  <c r="H39" i="28"/>
  <c r="I39" i="28"/>
  <c r="J39" i="28"/>
  <c r="K39" i="28"/>
  <c r="L39" i="28"/>
  <c r="M39" i="28"/>
  <c r="N39" i="28"/>
  <c r="O39" i="28"/>
  <c r="P39" i="28"/>
  <c r="Q39" i="28"/>
  <c r="B39" i="28"/>
  <c r="D39" i="27"/>
  <c r="E39" i="27"/>
  <c r="F39" i="27"/>
  <c r="M40" i="27"/>
  <c r="G39" i="27"/>
  <c r="H39" i="27"/>
  <c r="I39" i="27"/>
  <c r="J39" i="27"/>
  <c r="K39" i="27"/>
  <c r="L39" i="27"/>
  <c r="N39" i="27"/>
  <c r="O39" i="27"/>
  <c r="P39" i="27"/>
  <c r="Q39" i="27"/>
  <c r="B39" i="27"/>
  <c r="C39" i="27"/>
  <c r="E39" i="26"/>
  <c r="F39" i="26"/>
  <c r="G39" i="26"/>
  <c r="H39" i="26"/>
  <c r="I39" i="26"/>
  <c r="J39" i="26"/>
  <c r="K39" i="26"/>
  <c r="L39" i="26"/>
  <c r="M39" i="26"/>
  <c r="O39" i="26"/>
  <c r="P39" i="26"/>
  <c r="Q39" i="26"/>
  <c r="B39" i="26"/>
  <c r="C39" i="26"/>
  <c r="D39" i="26"/>
  <c r="G39" i="25"/>
  <c r="H39" i="25"/>
  <c r="I39" i="25"/>
  <c r="J39" i="25"/>
  <c r="K39" i="25"/>
  <c r="L39" i="25"/>
  <c r="M39" i="25"/>
  <c r="N39" i="25"/>
  <c r="O39" i="25"/>
  <c r="P39" i="25"/>
  <c r="Q39" i="25"/>
  <c r="B39" i="25"/>
  <c r="C39" i="25"/>
  <c r="D39" i="25"/>
  <c r="E39" i="25"/>
  <c r="F39" i="25"/>
  <c r="I39" i="24"/>
  <c r="J39" i="24"/>
  <c r="K39" i="24"/>
  <c r="L39" i="24"/>
  <c r="M39" i="24"/>
  <c r="N39" i="24"/>
  <c r="O39" i="24"/>
  <c r="P39" i="24"/>
  <c r="Q39" i="24"/>
  <c r="B39" i="24"/>
  <c r="C39" i="24"/>
  <c r="D39" i="24"/>
  <c r="E39" i="24"/>
  <c r="F39" i="24"/>
  <c r="G39" i="24"/>
  <c r="H39" i="24"/>
  <c r="K39" i="23"/>
  <c r="L39" i="23"/>
  <c r="M39" i="23"/>
  <c r="N39" i="23"/>
  <c r="O39" i="23"/>
  <c r="P39" i="23"/>
  <c r="Q39" i="23"/>
  <c r="B39" i="23"/>
  <c r="C39" i="23"/>
  <c r="D39" i="23"/>
  <c r="E39" i="23"/>
  <c r="F39" i="23"/>
  <c r="G39" i="23"/>
  <c r="H39" i="23"/>
  <c r="I39" i="23"/>
  <c r="K39" i="22"/>
  <c r="L39" i="22"/>
  <c r="M39" i="22"/>
  <c r="N39" i="22"/>
  <c r="I39" i="22"/>
  <c r="O39" i="22"/>
  <c r="P39" i="22"/>
  <c r="Q39" i="22"/>
  <c r="B39" i="22"/>
  <c r="J40" i="22"/>
  <c r="C39" i="22"/>
  <c r="D39" i="22"/>
  <c r="E39" i="22"/>
  <c r="F39" i="22"/>
  <c r="G39" i="22"/>
  <c r="H39" i="22"/>
  <c r="H39" i="21"/>
  <c r="I39" i="21"/>
  <c r="K39" i="21"/>
  <c r="L39" i="21"/>
  <c r="M39" i="21"/>
  <c r="N39" i="21"/>
  <c r="O39" i="21"/>
  <c r="P39" i="21"/>
  <c r="Q39" i="21"/>
  <c r="B39" i="21"/>
  <c r="C39" i="21"/>
  <c r="D39" i="21"/>
  <c r="E39" i="21"/>
  <c r="F39" i="21"/>
  <c r="G39" i="21"/>
  <c r="I39" i="20"/>
  <c r="J39" i="20"/>
  <c r="K39" i="20"/>
  <c r="L39" i="20"/>
  <c r="M39" i="20"/>
  <c r="N39" i="20"/>
  <c r="O39" i="20"/>
  <c r="P39" i="20"/>
  <c r="Q39" i="20"/>
  <c r="B39" i="20"/>
  <c r="C39" i="20"/>
  <c r="D39" i="20"/>
  <c r="E39" i="20"/>
  <c r="F39" i="20"/>
  <c r="G39" i="20"/>
  <c r="H39" i="20"/>
  <c r="J39" i="19"/>
  <c r="K39" i="19"/>
  <c r="L39" i="19"/>
  <c r="M39" i="19"/>
  <c r="N39" i="19"/>
  <c r="O39" i="19"/>
  <c r="P39" i="19"/>
  <c r="Q39" i="19"/>
  <c r="B39" i="19"/>
  <c r="C39" i="19"/>
  <c r="D39" i="19"/>
  <c r="E39" i="19"/>
  <c r="F39" i="19"/>
  <c r="G39" i="19"/>
  <c r="H39" i="19"/>
  <c r="K39" i="18"/>
  <c r="L39" i="18"/>
  <c r="M39" i="18"/>
  <c r="N39" i="18"/>
  <c r="O39" i="18"/>
  <c r="P39" i="18"/>
  <c r="Q39" i="18"/>
  <c r="B39" i="18"/>
  <c r="C39" i="18"/>
  <c r="D39" i="18"/>
  <c r="E39" i="18"/>
  <c r="F39" i="18"/>
  <c r="G39" i="18"/>
  <c r="H39" i="18"/>
  <c r="I39" i="18"/>
  <c r="J39" i="18"/>
  <c r="M39" i="17"/>
  <c r="N39" i="17"/>
  <c r="O39" i="17"/>
  <c r="P39" i="17"/>
  <c r="Q39" i="17"/>
  <c r="B39" i="17"/>
  <c r="C39" i="17"/>
  <c r="D39" i="17"/>
  <c r="E39" i="17"/>
  <c r="F39" i="17"/>
  <c r="G39" i="17"/>
  <c r="H39" i="17"/>
  <c r="I39" i="17"/>
  <c r="J39" i="17"/>
  <c r="K39" i="17"/>
  <c r="L39" i="17"/>
  <c r="M39" i="16"/>
  <c r="N39" i="16"/>
  <c r="O39" i="16"/>
  <c r="P39" i="16"/>
  <c r="Q39" i="16"/>
  <c r="B39" i="16"/>
  <c r="C39" i="16"/>
  <c r="D39" i="16"/>
  <c r="E39" i="16"/>
  <c r="F40" i="16"/>
  <c r="G39" i="16"/>
  <c r="H39" i="16"/>
  <c r="I39" i="16"/>
  <c r="J39" i="16"/>
  <c r="K39" i="16"/>
  <c r="L39" i="16"/>
  <c r="N40" i="15"/>
  <c r="O39" i="15"/>
  <c r="P39" i="15"/>
  <c r="Q39" i="15"/>
  <c r="B39" i="15"/>
  <c r="C39" i="15"/>
  <c r="D39" i="15"/>
  <c r="E39" i="15"/>
  <c r="F39" i="15"/>
  <c r="G39" i="15"/>
  <c r="H39" i="15"/>
  <c r="I39" i="15"/>
  <c r="J39" i="15"/>
  <c r="K39" i="15"/>
  <c r="L39" i="15"/>
  <c r="M39" i="15"/>
  <c r="K40" i="14"/>
  <c r="M39" i="14"/>
  <c r="N39" i="14"/>
  <c r="O39" i="14"/>
  <c r="P39" i="14"/>
  <c r="L40" i="14"/>
  <c r="Q39" i="14"/>
  <c r="C39" i="14"/>
  <c r="D39" i="14"/>
  <c r="E39" i="14"/>
  <c r="F39" i="14"/>
  <c r="B40" i="14"/>
  <c r="G39" i="14"/>
  <c r="H39" i="14"/>
  <c r="I39" i="14"/>
  <c r="J39" i="14"/>
  <c r="M39" i="13"/>
  <c r="N39" i="13"/>
  <c r="O39" i="13"/>
  <c r="P39" i="13"/>
  <c r="Q39" i="13"/>
  <c r="B39" i="13"/>
  <c r="C39" i="13"/>
  <c r="D39" i="13"/>
  <c r="E39" i="13"/>
  <c r="F39" i="13"/>
  <c r="G39" i="13"/>
  <c r="H39" i="13"/>
  <c r="I39" i="13"/>
  <c r="J39" i="13"/>
  <c r="K39" i="13"/>
  <c r="K39" i="12"/>
  <c r="L39" i="12"/>
  <c r="M39" i="12"/>
  <c r="N39" i="12"/>
  <c r="O39" i="12"/>
  <c r="P39" i="12"/>
  <c r="Q39" i="12"/>
  <c r="J40" i="12"/>
  <c r="B39" i="12"/>
  <c r="C39" i="12"/>
  <c r="D39" i="12"/>
  <c r="E39" i="12"/>
  <c r="I40" i="12"/>
  <c r="F39" i="12"/>
  <c r="G39" i="12"/>
  <c r="H39" i="12"/>
  <c r="J39" i="11"/>
  <c r="K39" i="11"/>
  <c r="L39" i="11"/>
  <c r="M39" i="11"/>
  <c r="O39" i="11"/>
  <c r="P39" i="11"/>
  <c r="Q39" i="11"/>
  <c r="B39" i="11"/>
  <c r="C39" i="11"/>
  <c r="D39" i="11"/>
  <c r="E39" i="11"/>
  <c r="F39" i="11"/>
  <c r="N39" i="11"/>
  <c r="G39" i="11"/>
  <c r="H39" i="11"/>
  <c r="I39" i="11"/>
  <c r="J39" i="10"/>
  <c r="L39" i="10"/>
  <c r="M39" i="10"/>
  <c r="N39" i="10"/>
  <c r="O39" i="10"/>
  <c r="P39" i="10"/>
  <c r="Q39" i="10"/>
  <c r="B39" i="10"/>
  <c r="C39" i="10"/>
  <c r="K40" i="10"/>
  <c r="D39" i="10"/>
  <c r="E39" i="10"/>
  <c r="F39" i="10"/>
  <c r="G39" i="10"/>
  <c r="H39" i="10"/>
  <c r="I39" i="10"/>
  <c r="K39" i="9"/>
  <c r="L39" i="9"/>
  <c r="M39" i="9"/>
  <c r="N39" i="9"/>
  <c r="O39" i="9"/>
  <c r="P39" i="9"/>
  <c r="Q39" i="9"/>
  <c r="B39" i="9"/>
  <c r="C39" i="9"/>
  <c r="D39" i="9"/>
  <c r="E39" i="9"/>
  <c r="J40" i="9"/>
  <c r="F39" i="9"/>
  <c r="G39" i="9"/>
  <c r="H39" i="9"/>
  <c r="I39" i="9"/>
  <c r="K39" i="8"/>
  <c r="L39" i="8"/>
  <c r="M39" i="8"/>
  <c r="N39" i="8"/>
  <c r="O39" i="8"/>
  <c r="P39" i="8"/>
  <c r="B39" i="8"/>
  <c r="C39" i="8"/>
  <c r="D39" i="8"/>
  <c r="E39" i="8"/>
  <c r="F39" i="8"/>
  <c r="G39" i="8"/>
  <c r="H39" i="8"/>
  <c r="I39" i="8"/>
  <c r="J39" i="8"/>
  <c r="M39" i="3"/>
  <c r="N46" i="39"/>
  <c r="N39" i="3"/>
  <c r="O39" i="3"/>
  <c r="P39" i="3"/>
  <c r="Q39" i="3"/>
  <c r="B39" i="3"/>
  <c r="C39" i="3"/>
  <c r="D39" i="3"/>
  <c r="E39" i="3"/>
  <c r="F39" i="3"/>
  <c r="G39" i="3"/>
  <c r="L40" i="3"/>
  <c r="H39" i="3"/>
  <c r="I39" i="3"/>
  <c r="J39" i="3"/>
  <c r="K39" i="3"/>
  <c r="M43" i="39"/>
  <c r="M42" i="39"/>
  <c r="M41" i="39"/>
  <c r="M40" i="39"/>
  <c r="Q41" i="39"/>
  <c r="Q40" i="39"/>
  <c r="Q43" i="39"/>
  <c r="Q42" i="39"/>
  <c r="C43" i="39"/>
  <c r="C42" i="39"/>
  <c r="C41" i="39"/>
  <c r="C40" i="39"/>
  <c r="D43" i="39"/>
  <c r="D42" i="39"/>
  <c r="D41" i="39"/>
  <c r="D40" i="39"/>
  <c r="E43" i="39"/>
  <c r="E42" i="39"/>
  <c r="E41" i="39"/>
  <c r="E40" i="39"/>
  <c r="F43" i="39"/>
  <c r="F42" i="39"/>
  <c r="F41" i="39"/>
  <c r="F40" i="39"/>
  <c r="P43" i="39"/>
  <c r="P42" i="39"/>
  <c r="P41" i="39"/>
  <c r="P40" i="39"/>
  <c r="G43" i="39"/>
  <c r="G42" i="39"/>
  <c r="G41" i="39"/>
  <c r="G40" i="39"/>
  <c r="O43" i="39"/>
  <c r="O42" i="39"/>
  <c r="O41" i="39"/>
  <c r="O40" i="39"/>
  <c r="B43" i="39"/>
  <c r="B42" i="39"/>
  <c r="B41" i="39"/>
  <c r="B40" i="39"/>
  <c r="H43" i="39"/>
  <c r="H42" i="39"/>
  <c r="H41" i="39"/>
  <c r="H40" i="39"/>
  <c r="I43" i="39"/>
  <c r="I42" i="39"/>
  <c r="I41" i="39"/>
  <c r="I40" i="39"/>
  <c r="J43" i="39"/>
  <c r="J42" i="39"/>
  <c r="J41" i="39"/>
  <c r="J40" i="39"/>
  <c r="K43" i="39"/>
  <c r="K42" i="39"/>
  <c r="K41" i="39"/>
  <c r="K40" i="39"/>
  <c r="L43" i="39"/>
  <c r="L42" i="39"/>
  <c r="L41" i="39"/>
  <c r="L40" i="39"/>
  <c r="N39" i="2"/>
  <c r="O39" i="2"/>
  <c r="P39" i="2"/>
  <c r="Q39" i="2"/>
  <c r="B39" i="2"/>
  <c r="C39" i="2"/>
  <c r="D39" i="2"/>
  <c r="L39" i="2"/>
  <c r="E39" i="2"/>
  <c r="F39" i="2"/>
  <c r="G39" i="2"/>
  <c r="H39" i="2"/>
  <c r="I39" i="2"/>
  <c r="N40" i="39"/>
  <c r="N41" i="39"/>
  <c r="N42" i="39"/>
  <c r="N43" i="39"/>
  <c r="J39" i="2"/>
  <c r="K39" i="2"/>
  <c r="M39" i="2"/>
  <c r="N45" i="39" l="1"/>
  <c r="C46" i="39"/>
  <c r="C45" i="39"/>
  <c r="F46" i="39"/>
  <c r="F45" i="39"/>
  <c r="O46" i="39"/>
  <c r="O45" i="39"/>
  <c r="I46" i="39"/>
  <c r="I45" i="39"/>
  <c r="L46" i="39"/>
  <c r="L45" i="39"/>
  <c r="Q46" i="39"/>
  <c r="Q45" i="39"/>
  <c r="B46" i="39"/>
  <c r="B45" i="39"/>
  <c r="E46" i="39"/>
  <c r="E45" i="39"/>
  <c r="G46" i="39"/>
  <c r="G45" i="39"/>
  <c r="J46" i="39"/>
  <c r="J45" i="39"/>
  <c r="H46" i="39"/>
  <c r="H45" i="39"/>
  <c r="K46" i="39"/>
  <c r="K45" i="39"/>
  <c r="D46" i="39"/>
  <c r="D45" i="39"/>
  <c r="P46" i="39"/>
  <c r="P45" i="39"/>
  <c r="M46" i="39"/>
  <c r="M45" i="39"/>
</calcChain>
</file>

<file path=xl/sharedStrings.xml><?xml version="1.0" encoding="utf-8"?>
<sst xmlns="http://schemas.openxmlformats.org/spreadsheetml/2006/main" count="2856" uniqueCount="804">
  <si>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</si>
  <si>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</si>
  <si>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</si>
  <si>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</si>
  <si>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</si>
  <si>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</si>
  <si>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</si>
  <si>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</si>
  <si>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</si>
  <si>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</si>
  <si>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</si>
  <si>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</si>
  <si>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</si>
  <si>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</si>
  <si>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</si>
  <si>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</si>
  <si>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</si>
  <si>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</si>
  <si>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</si>
  <si>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</si>
  <si>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</si>
  <si>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</si>
  <si>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</si>
  <si>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</si>
  <si>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</si>
  <si>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</si>
  <si>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</si>
  <si>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</si>
  <si>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</si>
  <si>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</si>
  <si>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</si>
  <si>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</si>
  <si>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</si>
  <si>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</si>
  <si>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</si>
  <si>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</si>
  <si>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</si>
  <si>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</si>
  <si>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</si>
  <si>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</si>
  <si>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RAHUL</t>
  </si>
  <si>
    <t>RK</t>
  </si>
  <si>
    <t>ppb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</si>
  <si>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</si>
  <si>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</si>
  <si>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</si>
  <si>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</si>
  <si>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</si>
  <si>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</si>
  <si>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</si>
  <si>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</si>
  <si>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</si>
  <si>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</si>
  <si>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</si>
  <si>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</si>
  <si>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</si>
  <si>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</si>
  <si>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</si>
  <si>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</si>
  <si>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</si>
  <si>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01/10/2025 01:00</t>
  </si>
  <si>
    <t>01/10/2025 02:00</t>
  </si>
  <si>
    <t>01/10/2025 03:00</t>
  </si>
  <si>
    <t>01/10/2025 04:00</t>
  </si>
  <si>
    <t>01/10/2025 05:00</t>
  </si>
  <si>
    <t>01/10/2025 06:00</t>
  </si>
  <si>
    <t>01/10/2025 07:00</t>
  </si>
  <si>
    <t>01/10/2025 08:00</t>
  </si>
  <si>
    <t>01/10/2025 09:00</t>
  </si>
  <si>
    <t>01/10/2025 10:00</t>
  </si>
  <si>
    <t>01/10/2025 11:00</t>
  </si>
  <si>
    <t>01/10/2025 12:00</t>
  </si>
  <si>
    <t>01/10/2025 13:00</t>
  </si>
  <si>
    <t>01/10/2025 14:00</t>
  </si>
  <si>
    <t>01/10/2025 15:00</t>
  </si>
  <si>
    <t>01/10/2025 16:00</t>
  </si>
  <si>
    <t>01/10/2025 17:00</t>
  </si>
  <si>
    <t>01/10/2025 18:00</t>
  </si>
  <si>
    <t>01/10/2025 19:00</t>
  </si>
  <si>
    <t>01/10/2025 20:00</t>
  </si>
  <si>
    <t>01/10/2025 21:00</t>
  </si>
  <si>
    <t>01/10/2025 22:00</t>
  </si>
  <si>
    <t>01/10/2025 23:00</t>
  </si>
  <si>
    <t>01/10/2025 24:00</t>
  </si>
  <si>
    <t>02/10/2025 01:00</t>
  </si>
  <si>
    <t>02/10/2025 02:00</t>
  </si>
  <si>
    <t>02/10/2025 03:00</t>
  </si>
  <si>
    <t>02/10/2025 04:00</t>
  </si>
  <si>
    <t>02/10/2025 05:00</t>
  </si>
  <si>
    <t>02/10/2025 06:00</t>
  </si>
  <si>
    <t>02/10/2025 07:00</t>
  </si>
  <si>
    <t>02/10/2025 08:00</t>
  </si>
  <si>
    <t>02/10/2025 09:00</t>
  </si>
  <si>
    <t>02/10/2025 10:00</t>
  </si>
  <si>
    <t>02/10/2025 11:00</t>
  </si>
  <si>
    <t>02/10/2025 12:00</t>
  </si>
  <si>
    <t>02/10/2025 13:00</t>
  </si>
  <si>
    <t>02/10/2025 14:00</t>
  </si>
  <si>
    <t>02/10/2025 15:00</t>
  </si>
  <si>
    <t>02/10/2025 16:00</t>
  </si>
  <si>
    <t>02/10/2025 17:00</t>
  </si>
  <si>
    <t>02/10/2025 18:00</t>
  </si>
  <si>
    <t>02/10/2025 19:00</t>
  </si>
  <si>
    <t>02/10/2025 20:00</t>
  </si>
  <si>
    <t>02/10/2025 21:00</t>
  </si>
  <si>
    <t>02/10/2025 22:00</t>
  </si>
  <si>
    <t>02/10/2025 23:00</t>
  </si>
  <si>
    <t>02/10/2025 24:00</t>
  </si>
  <si>
    <t>03/10/2025 01:00</t>
  </si>
  <si>
    <t>03/10/2025 02:00</t>
  </si>
  <si>
    <t>03/10/2025 03:00</t>
  </si>
  <si>
    <t>03/10/2025 04:00</t>
  </si>
  <si>
    <t>03/10/2025 05:00</t>
  </si>
  <si>
    <t>03/10/2025 06:00</t>
  </si>
  <si>
    <t>03/10/2025 07:00</t>
  </si>
  <si>
    <t>03/10/2025 08:00</t>
  </si>
  <si>
    <t>03/10/2025 09:00</t>
  </si>
  <si>
    <t>03/10/2025 10:00</t>
  </si>
  <si>
    <t>03/10/2025 11:00</t>
  </si>
  <si>
    <t>03/10/2025 12:00</t>
  </si>
  <si>
    <t>03/10/2025 13:00</t>
  </si>
  <si>
    <t>03/10/2025 14:00</t>
  </si>
  <si>
    <t>03/10/2025 15:00</t>
  </si>
  <si>
    <t>03/10/2025 16:00</t>
  </si>
  <si>
    <t>03/10/2025 17:00</t>
  </si>
  <si>
    <t>03/10/2025 18:00</t>
  </si>
  <si>
    <t>03/10/2025 19:00</t>
  </si>
  <si>
    <t>03/10/2025 20:00</t>
  </si>
  <si>
    <t>03/10/2025 21:00</t>
  </si>
  <si>
    <t>03/10/2025 22:00</t>
  </si>
  <si>
    <t>03/10/2025 23:00</t>
  </si>
  <si>
    <t>03/10/2025 24:00</t>
  </si>
  <si>
    <t>04/10/2025 01:00</t>
  </si>
  <si>
    <t>04/10/2025 02:00</t>
  </si>
  <si>
    <t>04/10/2025 03:00</t>
  </si>
  <si>
    <t>04/10/2025 04:00</t>
  </si>
  <si>
    <t>04/10/2025 05:00</t>
  </si>
  <si>
    <t>04/10/2025 06:00</t>
  </si>
  <si>
    <t>04/10/2025 07:00</t>
  </si>
  <si>
    <t>04/10/2025 08:00</t>
  </si>
  <si>
    <t>04/10/2025 09:00</t>
  </si>
  <si>
    <t>04/10/2025 10:00</t>
  </si>
  <si>
    <t>04/10/2025 11:00</t>
  </si>
  <si>
    <t>04/10/2025 12:00</t>
  </si>
  <si>
    <t>04/10/2025 13:00</t>
  </si>
  <si>
    <t>04/10/2025 14:00</t>
  </si>
  <si>
    <t>04/10/2025 15:00</t>
  </si>
  <si>
    <t>04/10/2025 16:00</t>
  </si>
  <si>
    <t>04/10/2025 17:00</t>
  </si>
  <si>
    <t>04/10/2025 18:00</t>
  </si>
  <si>
    <t>04/10/2025 19:00</t>
  </si>
  <si>
    <t>04/10/2025 20:00</t>
  </si>
  <si>
    <t>04/10/2025 21:00</t>
  </si>
  <si>
    <t>04/10/2025 22:00</t>
  </si>
  <si>
    <t>04/10/2025 23:00</t>
  </si>
  <si>
    <t>04/10/2025 24:00</t>
  </si>
  <si>
    <t>05/10/2025 01:00</t>
  </si>
  <si>
    <t>05/10/2025 02:00</t>
  </si>
  <si>
    <t>05/10/2025 03:00</t>
  </si>
  <si>
    <t>05/10/2025 04:00</t>
  </si>
  <si>
    <t>05/10/2025 05:00</t>
  </si>
  <si>
    <t>05/10/2025 06:00</t>
  </si>
  <si>
    <t>05/10/2025 07:00</t>
  </si>
  <si>
    <t>05/10/2025 08:00</t>
  </si>
  <si>
    <t>05/10/2025 09:00</t>
  </si>
  <si>
    <t>05/10/2025 10:00</t>
  </si>
  <si>
    <t>05/10/2025 11:00</t>
  </si>
  <si>
    <t>05/10/2025 12:00</t>
  </si>
  <si>
    <t>05/10/2025 13:00</t>
  </si>
  <si>
    <t>05/10/2025 14:00</t>
  </si>
  <si>
    <t>05/10/2025 15:00</t>
  </si>
  <si>
    <t>05/10/2025 16:00</t>
  </si>
  <si>
    <t>05/10/2025 17:00</t>
  </si>
  <si>
    <t>05/10/2025 18:00</t>
  </si>
  <si>
    <t>05/10/2025 19:00</t>
  </si>
  <si>
    <t>05/10/2025 20:00</t>
  </si>
  <si>
    <t>05/10/2025 21:00</t>
  </si>
  <si>
    <t>05/10/2025 22:00</t>
  </si>
  <si>
    <t>05/10/2025 23:00</t>
  </si>
  <si>
    <t>05/10/2025 24:00</t>
  </si>
  <si>
    <t>06/10/2025 01:00</t>
  </si>
  <si>
    <t>06/10/2025 02:00</t>
  </si>
  <si>
    <t>06/10/2025 03:00</t>
  </si>
  <si>
    <t>06/10/2025 04:00</t>
  </si>
  <si>
    <t>06/10/2025 05:00</t>
  </si>
  <si>
    <t>06/10/2025 06:00</t>
  </si>
  <si>
    <t>06/10/2025 07:00</t>
  </si>
  <si>
    <t>06/10/2025 08:00</t>
  </si>
  <si>
    <t>06/10/2025 09:00</t>
  </si>
  <si>
    <t>06/10/2025 10:00</t>
  </si>
  <si>
    <t>06/10/2025 11:00</t>
  </si>
  <si>
    <t>06/10/2025 12:00</t>
  </si>
  <si>
    <t>06/10/2025 13:00</t>
  </si>
  <si>
    <t>06/10/2025 14:00</t>
  </si>
  <si>
    <t>06/10/2025 15:00</t>
  </si>
  <si>
    <t>06/10/2025 16:00</t>
  </si>
  <si>
    <t>06/10/2025 17:00</t>
  </si>
  <si>
    <t>06/10/2025 18:00</t>
  </si>
  <si>
    <t>06/10/2025 19:00</t>
  </si>
  <si>
    <t>06/10/2025 20:00</t>
  </si>
  <si>
    <t>06/10/2025 21:00</t>
  </si>
  <si>
    <t>06/10/2025 22:00</t>
  </si>
  <si>
    <t>06/10/2025 23:00</t>
  </si>
  <si>
    <t>06/10/2025 24:00</t>
  </si>
  <si>
    <t>07/10/2025 01:00</t>
  </si>
  <si>
    <t>07/10/2025 02:00</t>
  </si>
  <si>
    <t>07/10/2025 03:00</t>
  </si>
  <si>
    <t>07/10/2025 04:00</t>
  </si>
  <si>
    <t>07/10/2025 05:00</t>
  </si>
  <si>
    <t>07/10/2025 06:00</t>
  </si>
  <si>
    <t>07/10/2025 07:00</t>
  </si>
  <si>
    <t>07/10/2025 08:00</t>
  </si>
  <si>
    <t>07/10/2025 09:00</t>
  </si>
  <si>
    <t>07/10/2025 10:00</t>
  </si>
  <si>
    <t>07/10/2025 11:00</t>
  </si>
  <si>
    <t>07/10/2025 12:00</t>
  </si>
  <si>
    <t>07/10/2025 13:00</t>
  </si>
  <si>
    <t>07/10/2025 14:00</t>
  </si>
  <si>
    <t>07/10/2025 15:00</t>
  </si>
  <si>
    <t>07/10/2025 16:00</t>
  </si>
  <si>
    <t>07/10/2025 17:00</t>
  </si>
  <si>
    <t>07/10/2025 18:00</t>
  </si>
  <si>
    <t>07/10/2025 19:00</t>
  </si>
  <si>
    <t>07/10/2025 20:00</t>
  </si>
  <si>
    <t>07/10/2025 21:00</t>
  </si>
  <si>
    <t>07/10/2025 22:00</t>
  </si>
  <si>
    <t>07/10/2025 23:00</t>
  </si>
  <si>
    <t>07/10/2025 24:00</t>
  </si>
  <si>
    <t>08/10/2025 01:00</t>
  </si>
  <si>
    <t>08/10/2025 02:00</t>
  </si>
  <si>
    <t>08/10/2025 03:00</t>
  </si>
  <si>
    <t>08/10/2025 04:00</t>
  </si>
  <si>
    <t>08/10/2025 05:00</t>
  </si>
  <si>
    <t>08/10/2025 06:00</t>
  </si>
  <si>
    <t>08/10/2025 07:00</t>
  </si>
  <si>
    <t>08/10/2025 08:00</t>
  </si>
  <si>
    <t>08/10/2025 09:00</t>
  </si>
  <si>
    <t>08/10/2025 10:00</t>
  </si>
  <si>
    <t>08/10/2025 11:00</t>
  </si>
  <si>
    <t>08/10/2025 12:00</t>
  </si>
  <si>
    <t>08/10/2025 13:00</t>
  </si>
  <si>
    <t>08/10/2025 14:00</t>
  </si>
  <si>
    <t>08/10/2025 15:00</t>
  </si>
  <si>
    <t>08/10/2025 16:00</t>
  </si>
  <si>
    <t>08/10/2025 17:00</t>
  </si>
  <si>
    <t>08/10/2025 18:00</t>
  </si>
  <si>
    <t>08/10/2025 19:00</t>
  </si>
  <si>
    <t>08/10/2025 20:00</t>
  </si>
  <si>
    <t>08/10/2025 21:00</t>
  </si>
  <si>
    <t>08/10/2025 22:00</t>
  </si>
  <si>
    <t>08/10/2025 23:00</t>
  </si>
  <si>
    <t>08/10/2025 24:00</t>
  </si>
  <si>
    <t>09/10/2025 01:00</t>
  </si>
  <si>
    <t>09/10/2025 02:00</t>
  </si>
  <si>
    <t>09/10/2025 03:00</t>
  </si>
  <si>
    <t>09/10/2025 04:00</t>
  </si>
  <si>
    <t>09/10/2025 05:00</t>
  </si>
  <si>
    <t>09/10/2025 06:00</t>
  </si>
  <si>
    <t>09/10/2025 07:00</t>
  </si>
  <si>
    <t>09/10/2025 08:00</t>
  </si>
  <si>
    <t>09/10/2025 09:00</t>
  </si>
  <si>
    <t>09/10/2025 10:00</t>
  </si>
  <si>
    <t>09/10/2025 11:00</t>
  </si>
  <si>
    <t>09/10/2025 12:00</t>
  </si>
  <si>
    <t>09/10/2025 13:00</t>
  </si>
  <si>
    <t>09/10/2025 14:00</t>
  </si>
  <si>
    <t>09/10/2025 15:00</t>
  </si>
  <si>
    <t>09/10/2025 16:00</t>
  </si>
  <si>
    <t>09/10/2025 17:00</t>
  </si>
  <si>
    <t>09/10/2025 18:00</t>
  </si>
  <si>
    <t>09/10/2025 19:00</t>
  </si>
  <si>
    <t>09/10/2025 20:00</t>
  </si>
  <si>
    <t>09/10/2025 21:00</t>
  </si>
  <si>
    <t>09/10/2025 22:00</t>
  </si>
  <si>
    <t>09/10/2025 23:00</t>
  </si>
  <si>
    <t>09/10/2025 24:00</t>
  </si>
  <si>
    <t>10/10/2025 01:00</t>
  </si>
  <si>
    <t>10/10/2025 02:00</t>
  </si>
  <si>
    <t>10/10/2025 03:00</t>
  </si>
  <si>
    <t>10/10/2025 04:00</t>
  </si>
  <si>
    <t>10/10/2025 05:00</t>
  </si>
  <si>
    <t>10/10/2025 06:00</t>
  </si>
  <si>
    <t>10/10/2025 07:00</t>
  </si>
  <si>
    <t>10/10/2025 08:00</t>
  </si>
  <si>
    <t>10/10/2025 09:00</t>
  </si>
  <si>
    <t>10/10/2025 10:00</t>
  </si>
  <si>
    <t>10/10/2025 11:00</t>
  </si>
  <si>
    <t>10/10/2025 12:00</t>
  </si>
  <si>
    <t>10/10/2025 13:00</t>
  </si>
  <si>
    <t>10/10/2025 14:00</t>
  </si>
  <si>
    <t>10/10/2025 15:00</t>
  </si>
  <si>
    <t>10/10/2025 16:00</t>
  </si>
  <si>
    <t>10/10/2025 17:00</t>
  </si>
  <si>
    <t>10/10/2025 18:00</t>
  </si>
  <si>
    <t>10/10/2025 19:00</t>
  </si>
  <si>
    <t>10/10/2025 20:00</t>
  </si>
  <si>
    <t>10/10/2025 21:00</t>
  </si>
  <si>
    <t>10/10/2025 22:00</t>
  </si>
  <si>
    <t>10/10/2025 23:00</t>
  </si>
  <si>
    <t>10/10/2025 24:00</t>
  </si>
  <si>
    <t>11/10/2025 01:00</t>
  </si>
  <si>
    <t>11/10/2025 02:00</t>
  </si>
  <si>
    <t>11/10/2025 03:00</t>
  </si>
  <si>
    <t>11/10/2025 04:00</t>
  </si>
  <si>
    <t>11/10/2025 05:00</t>
  </si>
  <si>
    <t>11/10/2025 06:00</t>
  </si>
  <si>
    <t>11/10/2025 07:00</t>
  </si>
  <si>
    <t>11/10/2025 08:00</t>
  </si>
  <si>
    <t>11/10/2025 09:00</t>
  </si>
  <si>
    <t>11/10/2025 10:00</t>
  </si>
  <si>
    <t>11/10/2025 11:00</t>
  </si>
  <si>
    <t>11/10/2025 12:00</t>
  </si>
  <si>
    <t>11/10/2025 13:00</t>
  </si>
  <si>
    <t>11/10/2025 14:00</t>
  </si>
  <si>
    <t>11/10/2025 15:00</t>
  </si>
  <si>
    <t>11/10/2025 16:00</t>
  </si>
  <si>
    <t>11/10/2025 17:00</t>
  </si>
  <si>
    <t>11/10/2025 18:00</t>
  </si>
  <si>
    <t>11/10/2025 19:00</t>
  </si>
  <si>
    <t>11/10/2025 20:00</t>
  </si>
  <si>
    <t>11/10/2025 21:00</t>
  </si>
  <si>
    <t>11/10/2025 22:00</t>
  </si>
  <si>
    <t>11/10/2025 23:00</t>
  </si>
  <si>
    <t>11/10/2025 24:00</t>
  </si>
  <si>
    <t>12/10/2025 01:00</t>
  </si>
  <si>
    <t>12/10/2025 02:00</t>
  </si>
  <si>
    <t>12/10/2025 03:00</t>
  </si>
  <si>
    <t>12/10/2025 04:00</t>
  </si>
  <si>
    <t>12/10/2025 05:00</t>
  </si>
  <si>
    <t>12/10/2025 06:00</t>
  </si>
  <si>
    <t>12/10/2025 07:00</t>
  </si>
  <si>
    <t>12/10/2025 08:00</t>
  </si>
  <si>
    <t>12/10/2025 09:00</t>
  </si>
  <si>
    <t>12/10/2025 10:00</t>
  </si>
  <si>
    <t>12/10/2025 11:00</t>
  </si>
  <si>
    <t>12/10/2025 12:00</t>
  </si>
  <si>
    <t>12/10/2025 13:00</t>
  </si>
  <si>
    <t>12/10/2025 14:00</t>
  </si>
  <si>
    <t>12/10/2025 15:00</t>
  </si>
  <si>
    <t>12/10/2025 16:00</t>
  </si>
  <si>
    <t>12/10/2025 17:00</t>
  </si>
  <si>
    <t>12/10/2025 18:00</t>
  </si>
  <si>
    <t>12/10/2025 19:00</t>
  </si>
  <si>
    <t>12/10/2025 20:00</t>
  </si>
  <si>
    <t>12/10/2025 21:00</t>
  </si>
  <si>
    <t>12/10/2025 22:00</t>
  </si>
  <si>
    <t>12/10/2025 23:00</t>
  </si>
  <si>
    <t>12/10/2025 24:00</t>
  </si>
  <si>
    <t>13/10/2025 01:00</t>
  </si>
  <si>
    <t>13/10/2025 02:00</t>
  </si>
  <si>
    <t>13/10/2025 03:00</t>
  </si>
  <si>
    <t>13/10/2025 04:00</t>
  </si>
  <si>
    <t>13/10/2025 05:00</t>
  </si>
  <si>
    <t>13/10/2025 06:00</t>
  </si>
  <si>
    <t>13/10/2025 07:00</t>
  </si>
  <si>
    <t>13/10/2025 08:00</t>
  </si>
  <si>
    <t>13/10/2025 09:00</t>
  </si>
  <si>
    <t>13/10/2025 10:00</t>
  </si>
  <si>
    <t>13/10/2025 11:00</t>
  </si>
  <si>
    <t>13/10/2025 12:00</t>
  </si>
  <si>
    <t>13/10/2025 13:00</t>
  </si>
  <si>
    <t>13/10/2025 14:00</t>
  </si>
  <si>
    <t>13/10/2025 15:00</t>
  </si>
  <si>
    <t>13/10/2025 16:00</t>
  </si>
  <si>
    <t>13/10/2025 17:00</t>
  </si>
  <si>
    <t>13/10/2025 18:00</t>
  </si>
  <si>
    <t>13/10/2025 19:00</t>
  </si>
  <si>
    <t>13/10/2025 20:00</t>
  </si>
  <si>
    <t>13/10/2025 21:00</t>
  </si>
  <si>
    <t>13/10/2025 22:00</t>
  </si>
  <si>
    <t>13/10/2025 23:00</t>
  </si>
  <si>
    <t>13/10/2025 24:00</t>
  </si>
  <si>
    <t>14/10/2025 01:00</t>
  </si>
  <si>
    <t>14/10/2025 02:00</t>
  </si>
  <si>
    <t>14/10/2025 03:00</t>
  </si>
  <si>
    <t>14/10/2025 04:00</t>
  </si>
  <si>
    <t>14/10/2025 05:00</t>
  </si>
  <si>
    <t>14/10/2025 06:00</t>
  </si>
  <si>
    <t>14/10/2025 07:00</t>
  </si>
  <si>
    <t>14/10/2025 08:00</t>
  </si>
  <si>
    <t>14/10/2025 09:00</t>
  </si>
  <si>
    <t>14/10/2025 10:00</t>
  </si>
  <si>
    <t>14/10/2025 11:00</t>
  </si>
  <si>
    <t>14/10/2025 12:00</t>
  </si>
  <si>
    <t>14/10/2025 13:00</t>
  </si>
  <si>
    <t>14/10/2025 14:00</t>
  </si>
  <si>
    <t>14/10/2025 15:00</t>
  </si>
  <si>
    <t>14/10/2025 16:00</t>
  </si>
  <si>
    <t>14/10/2025 17:00</t>
  </si>
  <si>
    <t>14/10/2025 18:00</t>
  </si>
  <si>
    <t>14/10/2025 19:00</t>
  </si>
  <si>
    <t>14/10/2025 20:00</t>
  </si>
  <si>
    <t>14/10/2025 21:00</t>
  </si>
  <si>
    <t>14/10/2025 22:00</t>
  </si>
  <si>
    <t>14/10/2025 23:00</t>
  </si>
  <si>
    <t>14/10/2025 24:00</t>
  </si>
  <si>
    <t>15/10/2025 01:00</t>
  </si>
  <si>
    <t>15/10/2025 02:00</t>
  </si>
  <si>
    <t>15/10/2025 03:00</t>
  </si>
  <si>
    <t>15/10/2025 04:00</t>
  </si>
  <si>
    <t>15/10/2025 05:00</t>
  </si>
  <si>
    <t>15/10/2025 06:00</t>
  </si>
  <si>
    <t>15/10/2025 07:00</t>
  </si>
  <si>
    <t>15/10/2025 08:00</t>
  </si>
  <si>
    <t>15/10/2025 09:00</t>
  </si>
  <si>
    <t>15/10/2025 10:00</t>
  </si>
  <si>
    <t>15/10/2025 11:00</t>
  </si>
  <si>
    <t>15/10/2025 12:00</t>
  </si>
  <si>
    <t>15/10/2025 13:00</t>
  </si>
  <si>
    <t>15/10/2025 14:00</t>
  </si>
  <si>
    <t>15/10/2025 15:00</t>
  </si>
  <si>
    <t>15/10/2025 16:00</t>
  </si>
  <si>
    <t>15/10/2025 17:00</t>
  </si>
  <si>
    <t>15/10/2025 18:00</t>
  </si>
  <si>
    <t>15/10/2025 19:00</t>
  </si>
  <si>
    <t>15/10/2025 20:00</t>
  </si>
  <si>
    <t>15/10/2025 21:00</t>
  </si>
  <si>
    <t>15/10/2025 22:00</t>
  </si>
  <si>
    <t>15/10/2025 23:00</t>
  </si>
  <si>
    <t>15/10/2025 24:00</t>
  </si>
  <si>
    <t>16/10/2025 01:00</t>
  </si>
  <si>
    <t>16/10/2025 02:00</t>
  </si>
  <si>
    <t>16/10/2025 03:00</t>
  </si>
  <si>
    <t>16/10/2025 04:00</t>
  </si>
  <si>
    <t>16/10/2025 05:00</t>
  </si>
  <si>
    <t>16/10/2025 06:00</t>
  </si>
  <si>
    <t>16/10/2025 07:00</t>
  </si>
  <si>
    <t>16/10/2025 08:00</t>
  </si>
  <si>
    <t>16/10/2025 09:00</t>
  </si>
  <si>
    <t>16/10/2025 10:00</t>
  </si>
  <si>
    <t>16/10/2025 11:00</t>
  </si>
  <si>
    <t>16/10/2025 12:00</t>
  </si>
  <si>
    <t>16/10/2025 13:00</t>
  </si>
  <si>
    <t>16/10/2025 14:00</t>
  </si>
  <si>
    <t>16/10/2025 15:00</t>
  </si>
  <si>
    <t>16/10/2025 16:00</t>
  </si>
  <si>
    <t>16/10/2025 17:00</t>
  </si>
  <si>
    <t>16/10/2025 18:00</t>
  </si>
  <si>
    <t>16/10/2025 19:00</t>
  </si>
  <si>
    <t>16/10/2025 20:00</t>
  </si>
  <si>
    <t>16/10/2025 21:00</t>
  </si>
  <si>
    <t>16/10/2025 22:00</t>
  </si>
  <si>
    <t>16/10/2025 23:00</t>
  </si>
  <si>
    <t>16/10/2025 24:00</t>
  </si>
  <si>
    <t>17/10/2025 01:00</t>
  </si>
  <si>
    <t>17/10/2025 02:00</t>
  </si>
  <si>
    <t>17/10/2025 03:00</t>
  </si>
  <si>
    <t>17/10/2025 04:00</t>
  </si>
  <si>
    <t>17/10/2025 05:00</t>
  </si>
  <si>
    <t>17/10/2025 06:00</t>
  </si>
  <si>
    <t>17/10/2025 07:00</t>
  </si>
  <si>
    <t>17/10/2025 08:00</t>
  </si>
  <si>
    <t>17/10/2025 09:00</t>
  </si>
  <si>
    <t>17/10/2025 10:00</t>
  </si>
  <si>
    <t>17/10/2025 11:00</t>
  </si>
  <si>
    <t>17/10/2025 12:00</t>
  </si>
  <si>
    <t>17/10/2025 13:00</t>
  </si>
  <si>
    <t>17/10/2025 14:00</t>
  </si>
  <si>
    <t>17/10/2025 15:00</t>
  </si>
  <si>
    <t>17/10/2025 16:00</t>
  </si>
  <si>
    <t>17/10/2025 17:00</t>
  </si>
  <si>
    <t>17/10/2025 18:00</t>
  </si>
  <si>
    <t>17/10/2025 19:00</t>
  </si>
  <si>
    <t>17/10/2025 20:00</t>
  </si>
  <si>
    <t>17/10/2025 21:00</t>
  </si>
  <si>
    <t>17/10/2025 22:00</t>
  </si>
  <si>
    <t>17/10/2025 23:00</t>
  </si>
  <si>
    <t>17/10/2025 24:00</t>
  </si>
  <si>
    <t>18/10/2025 01:00</t>
  </si>
  <si>
    <t>18/10/2025 02:00</t>
  </si>
  <si>
    <t>18/10/2025 03:00</t>
  </si>
  <si>
    <t>18/10/2025 04:00</t>
  </si>
  <si>
    <t>18/10/2025 05:00</t>
  </si>
  <si>
    <t>18/10/2025 06:00</t>
  </si>
  <si>
    <t>18/10/2025 07:00</t>
  </si>
  <si>
    <t>18/10/2025 08:00</t>
  </si>
  <si>
    <t>18/10/2025 09:00</t>
  </si>
  <si>
    <t>18/10/2025 10:00</t>
  </si>
  <si>
    <t>18/10/2025 11:00</t>
  </si>
  <si>
    <t>18/10/2025 12:00</t>
  </si>
  <si>
    <t>18/10/2025 13:00</t>
  </si>
  <si>
    <t>18/10/2025 14:00</t>
  </si>
  <si>
    <t>18/10/2025 15:00</t>
  </si>
  <si>
    <t>18/10/2025 16:00</t>
  </si>
  <si>
    <t>18/10/2025 17:00</t>
  </si>
  <si>
    <t>18/10/2025 18:00</t>
  </si>
  <si>
    <t>18/10/2025 19:00</t>
  </si>
  <si>
    <t>18/10/2025 20:00</t>
  </si>
  <si>
    <t>18/10/2025 21:00</t>
  </si>
  <si>
    <t>18/10/2025 22:00</t>
  </si>
  <si>
    <t>18/10/2025 23:00</t>
  </si>
  <si>
    <t>18/10/2025 24:00</t>
  </si>
  <si>
    <t>19/10/2025 01:00</t>
  </si>
  <si>
    <t>19/10/2025 02:00</t>
  </si>
  <si>
    <t>19/10/2025 03:00</t>
  </si>
  <si>
    <t>19/10/2025 04:00</t>
  </si>
  <si>
    <t>19/10/2025 05:00</t>
  </si>
  <si>
    <t>19/10/2025 06:00</t>
  </si>
  <si>
    <t>19/10/2025 07:00</t>
  </si>
  <si>
    <t>19/10/2025 08:00</t>
  </si>
  <si>
    <t>19/10/2025 09:00</t>
  </si>
  <si>
    <t>19/10/2025 10:00</t>
  </si>
  <si>
    <t>19/10/2025 11:00</t>
  </si>
  <si>
    <t>19/10/2025 12:00</t>
  </si>
  <si>
    <t>19/10/2025 13:00</t>
  </si>
  <si>
    <t>19/10/2025 14:00</t>
  </si>
  <si>
    <t>19/10/2025 15:00</t>
  </si>
  <si>
    <t>19/10/2025 16:00</t>
  </si>
  <si>
    <t>19/10/2025 17:00</t>
  </si>
  <si>
    <t>19/10/2025 18:00</t>
  </si>
  <si>
    <t>19/10/2025 19:00</t>
  </si>
  <si>
    <t>19/10/2025 20:00</t>
  </si>
  <si>
    <t>19/10/2025 21:00</t>
  </si>
  <si>
    <t>19/10/2025 22:00</t>
  </si>
  <si>
    <t>19/10/2025 23:00</t>
  </si>
  <si>
    <t>19/10/2025 24:00</t>
  </si>
  <si>
    <t>20/10/2025 01:00</t>
  </si>
  <si>
    <t>20/10/2025 02:00</t>
  </si>
  <si>
    <t>20/10/2025 03:00</t>
  </si>
  <si>
    <t>20/10/2025 04:00</t>
  </si>
  <si>
    <t>20/10/2025 05:00</t>
  </si>
  <si>
    <t>20/10/2025 06:00</t>
  </si>
  <si>
    <t>20/10/2025 07:00</t>
  </si>
  <si>
    <t>20/10/2025 08:00</t>
  </si>
  <si>
    <t>20/10/2025 09:00</t>
  </si>
  <si>
    <t>20/10/2025 10:00</t>
  </si>
  <si>
    <t>20/10/2025 11:00</t>
  </si>
  <si>
    <t>20/10/2025 12:00</t>
  </si>
  <si>
    <t>20/10/2025 13:00</t>
  </si>
  <si>
    <t>20/10/2025 14:00</t>
  </si>
  <si>
    <t>20/10/2025 15:00</t>
  </si>
  <si>
    <t>20/10/2025 16:00</t>
  </si>
  <si>
    <t>20/10/2025 17:00</t>
  </si>
  <si>
    <t>20/10/2025 18:00</t>
  </si>
  <si>
    <t>20/10/2025 19:00</t>
  </si>
  <si>
    <t>20/10/2025 20:00</t>
  </si>
  <si>
    <t>20/10/2025 21:00</t>
  </si>
  <si>
    <t>20/10/2025 22:00</t>
  </si>
  <si>
    <t>20/10/2025 23:00</t>
  </si>
  <si>
    <t>20/10/2025 24:00</t>
  </si>
  <si>
    <t>21/10/2025 01:00</t>
  </si>
  <si>
    <t>21/10/2025 02:00</t>
  </si>
  <si>
    <t>21/10/2025 03:00</t>
  </si>
  <si>
    <t>21/10/2025 04:00</t>
  </si>
  <si>
    <t>21/10/2025 05:00</t>
  </si>
  <si>
    <t>21/10/2025 06:00</t>
  </si>
  <si>
    <t>21/10/2025 07:00</t>
  </si>
  <si>
    <t>21/10/2025 08:00</t>
  </si>
  <si>
    <t>21/10/2025 09:00</t>
  </si>
  <si>
    <t>21/10/2025 10:00</t>
  </si>
  <si>
    <t>21/10/2025 11:00</t>
  </si>
  <si>
    <t>21/10/2025 12:00</t>
  </si>
  <si>
    <t>21/10/2025 13:00</t>
  </si>
  <si>
    <t>21/10/2025 14:00</t>
  </si>
  <si>
    <t>21/10/2025 15:00</t>
  </si>
  <si>
    <t>21/10/2025 16:00</t>
  </si>
  <si>
    <t>21/10/2025 17:00</t>
  </si>
  <si>
    <t>21/10/2025 18:00</t>
  </si>
  <si>
    <t>21/10/2025 19:00</t>
  </si>
  <si>
    <t>21/10/2025 20:00</t>
  </si>
  <si>
    <t>21/10/2025 21:00</t>
  </si>
  <si>
    <t>21/10/2025 22:00</t>
  </si>
  <si>
    <t>21/10/2025 23:00</t>
  </si>
  <si>
    <t>21/10/2025 24:00</t>
  </si>
  <si>
    <t>22/10/2025 01:00</t>
  </si>
  <si>
    <t>22/10/2025 02:00</t>
  </si>
  <si>
    <t>22/10/2025 03:00</t>
  </si>
  <si>
    <t>22/10/2025 04:00</t>
  </si>
  <si>
    <t>22/10/2025 05:00</t>
  </si>
  <si>
    <t>22/10/2025 06:00</t>
  </si>
  <si>
    <t>22/10/2025 07:00</t>
  </si>
  <si>
    <t>22/10/2025 08:00</t>
  </si>
  <si>
    <t>22/10/2025 09:00</t>
  </si>
  <si>
    <t>22/10/2025 10:00</t>
  </si>
  <si>
    <t>22/10/2025 11:00</t>
  </si>
  <si>
    <t>22/10/2025 12:00</t>
  </si>
  <si>
    <t>22/10/2025 13:00</t>
  </si>
  <si>
    <t>22/10/2025 14:00</t>
  </si>
  <si>
    <t>22/10/2025 15:00</t>
  </si>
  <si>
    <t>22/10/2025 16:00</t>
  </si>
  <si>
    <t>22/10/2025 17:00</t>
  </si>
  <si>
    <t>22/10/2025 18:00</t>
  </si>
  <si>
    <t>22/10/2025 19:00</t>
  </si>
  <si>
    <t>22/10/2025 20:00</t>
  </si>
  <si>
    <t>22/10/2025 21:00</t>
  </si>
  <si>
    <t>22/10/2025 22:00</t>
  </si>
  <si>
    <t>22/10/2025 23:00</t>
  </si>
  <si>
    <t>22/10/2025 24:00</t>
  </si>
  <si>
    <t>23/10/2025 01:00</t>
  </si>
  <si>
    <t>23/10/2025 02:00</t>
  </si>
  <si>
    <t>23/10/2025 03:00</t>
  </si>
  <si>
    <t>23/10/2025 04:00</t>
  </si>
  <si>
    <t>23/10/2025 05:00</t>
  </si>
  <si>
    <t>23/10/2025 06:00</t>
  </si>
  <si>
    <t>23/10/2025 07:00</t>
  </si>
  <si>
    <t>23/10/2025 08:00</t>
  </si>
  <si>
    <t>23/10/2025 09:00</t>
  </si>
  <si>
    <t>23/10/2025 10:00</t>
  </si>
  <si>
    <t>23/10/2025 11:00</t>
  </si>
  <si>
    <t>23/10/2025 12:00</t>
  </si>
  <si>
    <t>23/10/2025 13:00</t>
  </si>
  <si>
    <t>23/10/2025 14:00</t>
  </si>
  <si>
    <t>23/10/2025 15:00</t>
  </si>
  <si>
    <t>23/10/2025 16:00</t>
  </si>
  <si>
    <t>23/10/2025 17:00</t>
  </si>
  <si>
    <t>23/10/2025 18:00</t>
  </si>
  <si>
    <t>23/10/2025 19:00</t>
  </si>
  <si>
    <t>23/10/2025 20:00</t>
  </si>
  <si>
    <t>23/10/2025 21:00</t>
  </si>
  <si>
    <t>23/10/2025 22:00</t>
  </si>
  <si>
    <t>23/10/2025 23:00</t>
  </si>
  <si>
    <t>23/10/2025 24:00</t>
  </si>
  <si>
    <t>24/10/2025 01:00</t>
  </si>
  <si>
    <t>24/10/2025 02:00</t>
  </si>
  <si>
    <t>24/10/2025 03:00</t>
  </si>
  <si>
    <t>24/10/2025 04:00</t>
  </si>
  <si>
    <t>24/10/2025 05:00</t>
  </si>
  <si>
    <t>24/10/2025 06:00</t>
  </si>
  <si>
    <t>24/10/2025 07:00</t>
  </si>
  <si>
    <t>24/10/2025 08:00</t>
  </si>
  <si>
    <t>24/10/2025 09:00</t>
  </si>
  <si>
    <t>24/10/2025 10:00</t>
  </si>
  <si>
    <t>24/10/2025 11:00</t>
  </si>
  <si>
    <t>24/10/2025 12:00</t>
  </si>
  <si>
    <t>24/10/2025 13:00</t>
  </si>
  <si>
    <t>24/10/2025 14:00</t>
  </si>
  <si>
    <t>24/10/2025 15:00</t>
  </si>
  <si>
    <t>24/10/2025 16:00</t>
  </si>
  <si>
    <t>24/10/2025 17:00</t>
  </si>
  <si>
    <t>24/10/2025 18:00</t>
  </si>
  <si>
    <t>24/10/2025 19:00</t>
  </si>
  <si>
    <t>24/10/2025 20:00</t>
  </si>
  <si>
    <t>24/10/2025 21:00</t>
  </si>
  <si>
    <t>24/10/2025 22:00</t>
  </si>
  <si>
    <t>24/10/2025 23:00</t>
  </si>
  <si>
    <t>24/10/2025 24:00</t>
  </si>
  <si>
    <t>25/10/2025 01:00</t>
  </si>
  <si>
    <t>25/10/2025 02:00</t>
  </si>
  <si>
    <t>25/10/2025 03:00</t>
  </si>
  <si>
    <t>25/10/2025 04:00</t>
  </si>
  <si>
    <t>25/10/2025 05:00</t>
  </si>
  <si>
    <t>25/10/2025 06:00</t>
  </si>
  <si>
    <t>25/10/2025 07:00</t>
  </si>
  <si>
    <t>25/10/2025 08:00</t>
  </si>
  <si>
    <t>25/10/2025 09:00</t>
  </si>
  <si>
    <t>25/10/2025 10:00</t>
  </si>
  <si>
    <t>25/10/2025 11:00</t>
  </si>
  <si>
    <t>25/10/2025 12:00</t>
  </si>
  <si>
    <t>25/10/2025 13:00</t>
  </si>
  <si>
    <t>25/10/2025 14:00</t>
  </si>
  <si>
    <t>25/10/2025 15:00</t>
  </si>
  <si>
    <t>25/10/2025 16:00</t>
  </si>
  <si>
    <t>25/10/2025 17:00</t>
  </si>
  <si>
    <t>25/10/2025 18:00</t>
  </si>
  <si>
    <t>25/10/2025 19:00</t>
  </si>
  <si>
    <t>25/10/2025 20:00</t>
  </si>
  <si>
    <t>25/10/2025 21:00</t>
  </si>
  <si>
    <t>25/10/2025 22:00</t>
  </si>
  <si>
    <t>25/10/2025 23:00</t>
  </si>
  <si>
    <t>25/10/2025 24:00</t>
  </si>
  <si>
    <t>26/10/2025 01:00</t>
  </si>
  <si>
    <t>26/10/2025 02:00</t>
  </si>
  <si>
    <t>26/10/2025 03:00</t>
  </si>
  <si>
    <t>26/10/2025 04:00</t>
  </si>
  <si>
    <t>26/10/2025 05:00</t>
  </si>
  <si>
    <t>26/10/2025 06:00</t>
  </si>
  <si>
    <t>26/10/2025 07:00</t>
  </si>
  <si>
    <t>26/10/2025 08:00</t>
  </si>
  <si>
    <t>26/10/2025 09:00</t>
  </si>
  <si>
    <t>26/10/2025 10:00</t>
  </si>
  <si>
    <t>26/10/2025 11:00</t>
  </si>
  <si>
    <t>26/10/2025 12:00</t>
  </si>
  <si>
    <t>26/10/2025 13:00</t>
  </si>
  <si>
    <t>26/10/2025 14:00</t>
  </si>
  <si>
    <t>26/10/2025 15:00</t>
  </si>
  <si>
    <t>26/10/2025 16:00</t>
  </si>
  <si>
    <t>26/10/2025 17:00</t>
  </si>
  <si>
    <t>26/10/2025 18:00</t>
  </si>
  <si>
    <t>26/10/2025 19:00</t>
  </si>
  <si>
    <t>26/10/2025 20:00</t>
  </si>
  <si>
    <t>26/10/2025 21:00</t>
  </si>
  <si>
    <t>26/10/2025 22:00</t>
  </si>
  <si>
    <t>26/10/2025 23:00</t>
  </si>
  <si>
    <t>26/10/2025 24:00</t>
  </si>
  <si>
    <t>27/10/2025 01:00</t>
  </si>
  <si>
    <t>27/10/2025 02:00</t>
  </si>
  <si>
    <t>27/10/2025 03:00</t>
  </si>
  <si>
    <t>27/10/2025 04:00</t>
  </si>
  <si>
    <t>27/10/2025 05:00</t>
  </si>
  <si>
    <t>27/10/2025 06:00</t>
  </si>
  <si>
    <t>27/10/2025 07:00</t>
  </si>
  <si>
    <t>27/10/2025 08:00</t>
  </si>
  <si>
    <t>27/10/2025 09:00</t>
  </si>
  <si>
    <t>27/10/2025 10:00</t>
  </si>
  <si>
    <t>27/10/2025 11:00</t>
  </si>
  <si>
    <t>27/10/2025 12:00</t>
  </si>
  <si>
    <t>27/10/2025 13:00</t>
  </si>
  <si>
    <t>27/10/2025 14:00</t>
  </si>
  <si>
    <t>27/10/2025 15:00</t>
  </si>
  <si>
    <t>27/10/2025 16:00</t>
  </si>
  <si>
    <t>27/10/2025 17:00</t>
  </si>
  <si>
    <t>27/10/2025 18:00</t>
  </si>
  <si>
    <t>27/10/2025 19:00</t>
  </si>
  <si>
    <t>27/10/2025 20:00</t>
  </si>
  <si>
    <t>27/10/2025 21:00</t>
  </si>
  <si>
    <t>27/10/2025 22:00</t>
  </si>
  <si>
    <t>27/10/2025 23:00</t>
  </si>
  <si>
    <t>27/10/2025 24:00</t>
  </si>
  <si>
    <t>28/10/2025 01:00</t>
  </si>
  <si>
    <t>28/10/2025 02:00</t>
  </si>
  <si>
    <t>28/10/2025 03:00</t>
  </si>
  <si>
    <t>28/10/2025 04:00</t>
  </si>
  <si>
    <t>28/10/2025 05:00</t>
  </si>
  <si>
    <t>28/10/2025 06:00</t>
  </si>
  <si>
    <t>28/10/2025 07:00</t>
  </si>
  <si>
    <t>28/10/2025 08:00</t>
  </si>
  <si>
    <t>28/10/2025 09:00</t>
  </si>
  <si>
    <t>28/10/2025 10:00</t>
  </si>
  <si>
    <t>28/10/2025 11:00</t>
  </si>
  <si>
    <t>28/10/2025 12:00</t>
  </si>
  <si>
    <t>28/10/2025 13:00</t>
  </si>
  <si>
    <t>28/10/2025 14:00</t>
  </si>
  <si>
    <t>28/10/2025 15:00</t>
  </si>
  <si>
    <t>28/10/2025 16:00</t>
  </si>
  <si>
    <t>28/10/2025 17:00</t>
  </si>
  <si>
    <t>28/10/2025 18:00</t>
  </si>
  <si>
    <t>28/10/2025 19:00</t>
  </si>
  <si>
    <t>28/10/2025 20:00</t>
  </si>
  <si>
    <t>28/10/2025 21:00</t>
  </si>
  <si>
    <t>28/10/2025 22:00</t>
  </si>
  <si>
    <t>28/10/2025 23:00</t>
  </si>
  <si>
    <t>28/10/2025 24:00</t>
  </si>
  <si>
    <t>29/10/2025 01:00</t>
  </si>
  <si>
    <t>29/10/2025 02:00</t>
  </si>
  <si>
    <t>29/10/2025 03:00</t>
  </si>
  <si>
    <t>29/10/2025 04:00</t>
  </si>
  <si>
    <t>29/10/2025 05:00</t>
  </si>
  <si>
    <t>29/10/2025 06:00</t>
  </si>
  <si>
    <t>29/10/2025 07:00</t>
  </si>
  <si>
    <t>29/10/2025 08:00</t>
  </si>
  <si>
    <t>29/10/2025 09:00</t>
  </si>
  <si>
    <t>29/10/2025 10:00</t>
  </si>
  <si>
    <t>29/10/2025 11:00</t>
  </si>
  <si>
    <t>29/10/2025 12:00</t>
  </si>
  <si>
    <t>29/10/2025 13:00</t>
  </si>
  <si>
    <t>29/10/2025 14:00</t>
  </si>
  <si>
    <t>29/10/2025 15:00</t>
  </si>
  <si>
    <t>29/10/2025 16:00</t>
  </si>
  <si>
    <t>29/10/2025 17:00</t>
  </si>
  <si>
    <t>29/10/2025 18:00</t>
  </si>
  <si>
    <t>29/10/2025 19:00</t>
  </si>
  <si>
    <t>29/10/2025 20:00</t>
  </si>
  <si>
    <t>29/10/2025 21:00</t>
  </si>
  <si>
    <t>29/10/2025 22:00</t>
  </si>
  <si>
    <t>29/10/2025 23:00</t>
  </si>
  <si>
    <t>29/10/2025 24:00</t>
  </si>
  <si>
    <t>30/10/2025 01:00</t>
  </si>
  <si>
    <t>30/10/2025 02:00</t>
  </si>
  <si>
    <t>30/10/2025 03:00</t>
  </si>
  <si>
    <t>30/10/2025 04:00</t>
  </si>
  <si>
    <t>30/10/2025 05:00</t>
  </si>
  <si>
    <t>30/10/2025 06:00</t>
  </si>
  <si>
    <t>30/10/2025 07:00</t>
  </si>
  <si>
    <t>30/10/2025 08:00</t>
  </si>
  <si>
    <t>30/10/2025 09:00</t>
  </si>
  <si>
    <t>30/10/2025 10:00</t>
  </si>
  <si>
    <t>30/10/2025 11:00</t>
  </si>
  <si>
    <t>30/10/2025 12:00</t>
  </si>
  <si>
    <t>30/10/2025 13:00</t>
  </si>
  <si>
    <t>30/10/2025 14:00</t>
  </si>
  <si>
    <t>30/10/2025 15:00</t>
  </si>
  <si>
    <t>30/10/2025 16:00</t>
  </si>
  <si>
    <t>30/10/2025 17:00</t>
  </si>
  <si>
    <t>30/10/2025 18:00</t>
  </si>
  <si>
    <t>30/10/2025 19:00</t>
  </si>
  <si>
    <t>30/10/2025 20:00</t>
  </si>
  <si>
    <t>30/10/2025 21:00</t>
  </si>
  <si>
    <t>30/10/2025 22:00</t>
  </si>
  <si>
    <t>30/10/2025 23:00</t>
  </si>
  <si>
    <t>30/10/2025 24:00</t>
  </si>
  <si>
    <t>31/10/2025 01:00</t>
  </si>
  <si>
    <t>31/10/2025 02:00</t>
  </si>
  <si>
    <t>31/10/2025 03:00</t>
  </si>
  <si>
    <t>31/10/2025 04:00</t>
  </si>
  <si>
    <t>31/10/2025 05:00</t>
  </si>
  <si>
    <t>31/10/2025 06:00</t>
  </si>
  <si>
    <t>31/10/2025 07:00</t>
  </si>
  <si>
    <t>31/10/2025 08:00</t>
  </si>
  <si>
    <t>31/10/2025 09:00</t>
  </si>
  <si>
    <t>31/10/2025 10:00</t>
  </si>
  <si>
    <t>31/10/2025 11:00</t>
  </si>
  <si>
    <t>31/10/2025 12:00</t>
  </si>
  <si>
    <t>31/10/2025 13:00</t>
  </si>
  <si>
    <t>31/10/2025 14:00</t>
  </si>
  <si>
    <t>31/10/2025 15:00</t>
  </si>
  <si>
    <t>31/10/2025 16:00</t>
  </si>
  <si>
    <t>31/10/2025 17:00</t>
  </si>
  <si>
    <t>31/10/2025 18:00</t>
  </si>
  <si>
    <t>31/10/2025 19:00</t>
  </si>
  <si>
    <t>31/10/2025 20:00</t>
  </si>
  <si>
    <t>31/10/2025 21:00</t>
  </si>
  <si>
    <t>31/10/2025 22:00</t>
  </si>
  <si>
    <t>31/10/2025 23:00</t>
  </si>
  <si>
    <t>31/10/2025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</si>
</sst>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465926084170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2" fontId="12" fillId="0" borderId="1" xfId="0" applyNumberFormat="1" applyFont="1" applyFill="1" applyBorder="1" applyAlignment="1">
      <alignment horizontal="center"/>
    </xf>
    <xf numFmtId="0" fontId="12" fillId="0" borderId="0" xfId="0" applyFont="1" applyFill="1"/>
    <xf numFmtId="2" fontId="12" fillId="0" borderId="0" xfId="0" applyNumberFormat="1" applyFont="1" applyFill="1"/>
    <xf numFmtId="14" fontId="4" fillId="0" borderId="1" xfId="0" applyNumberFormat="1" applyFont="1" applyFill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/>
    <xf numFmtId="0" fontId="13" fillId="0" borderId="0" xfId="0" applyFont="1" applyFill="1" applyAlignment="1">
      <alignment vertical="center"/>
    </xf>
    <xf numFmtId="0" fontId="6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1" fillId="0" borderId="1" xfId="0" applyFont="1" applyFill="1" applyBorder="1" applyAlignment="1"/>
    <xf numFmtId="0" fontId="14" fillId="9" borderId="0" xfId="0" applyFont="1" applyFill="1" applyAlignment="1">
      <alignment horizontal="left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/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U32" sqref="A9:U32"/>
      <selection pane="topRight" activeCell="U32" sqref="A9:U32"/>
      <selection pane="bottomLeft" activeCell="U32" sqref="A9:U32"/>
      <selection pane="bottomRight" activeCell="H16" sqref="H16"/>
    </sheetView>
  </sheetViews>
  <sheetFormatPr defaultColWidth="8.85546875" defaultRowHeight="15" x14ac:dyDescent="0.25"/>
  <cols>
    <col min="1" max="1" width="18.28515625" style="26" customWidth="1"/>
    <col min="2" max="2" width="14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60</v>
      </c>
      <c r="B9" s="54">
        <v>10.17</v>
      </c>
      <c r="C9" s="54">
        <v>12.25</v>
      </c>
      <c r="D9" s="54">
        <v>13.48</v>
      </c>
      <c r="E9" s="54">
        <v>4.1900000000000004</v>
      </c>
      <c r="F9" s="54">
        <v>17.11</v>
      </c>
      <c r="G9" s="54">
        <v>59.86</v>
      </c>
      <c r="H9" s="54">
        <v>6.59</v>
      </c>
      <c r="I9" s="54">
        <v>4.13</v>
      </c>
      <c r="J9" s="54">
        <v>0.28999999999999998</v>
      </c>
      <c r="K9" s="54">
        <v>325.81</v>
      </c>
      <c r="L9" s="54">
        <v>23.75</v>
      </c>
      <c r="M9" s="54">
        <v>98.22</v>
      </c>
      <c r="N9" s="54">
        <v>54.2</v>
      </c>
      <c r="O9" s="54">
        <v>0</v>
      </c>
      <c r="P9" s="54">
        <v>0.71</v>
      </c>
      <c r="Q9" s="54">
        <v>9.24</v>
      </c>
      <c r="R9" s="43"/>
      <c r="S9" s="43"/>
      <c r="T9" s="43"/>
      <c r="U9" s="43"/>
    </row>
    <row r="10" spans="1:21" s="11" customFormat="1" x14ac:dyDescent="0.25">
      <c r="A10" s="53" t="s">
        <v>61</v>
      </c>
      <c r="B10" s="54">
        <v>7.81</v>
      </c>
      <c r="C10" s="54">
        <v>9.68</v>
      </c>
      <c r="D10" s="54">
        <v>10.45</v>
      </c>
      <c r="E10" s="54">
        <v>3.95</v>
      </c>
      <c r="F10" s="54">
        <v>14.24</v>
      </c>
      <c r="G10" s="54">
        <v>42.26</v>
      </c>
      <c r="H10" s="54">
        <v>7.74</v>
      </c>
      <c r="I10" s="54">
        <v>3.82</v>
      </c>
      <c r="J10" s="54">
        <v>0.13</v>
      </c>
      <c r="K10" s="54">
        <v>250.37</v>
      </c>
      <c r="L10" s="54">
        <v>23.61</v>
      </c>
      <c r="M10" s="54">
        <v>98.13</v>
      </c>
      <c r="N10" s="54">
        <v>54.4</v>
      </c>
      <c r="O10" s="54">
        <v>0</v>
      </c>
      <c r="P10" s="54">
        <v>0.46</v>
      </c>
      <c r="Q10" s="54">
        <v>9.18</v>
      </c>
      <c r="R10" s="43"/>
      <c r="S10" s="43"/>
      <c r="T10" s="43"/>
      <c r="U10" s="43"/>
    </row>
    <row r="11" spans="1:21" s="11" customFormat="1" x14ac:dyDescent="0.25">
      <c r="A11" s="53" t="s">
        <v>62</v>
      </c>
      <c r="B11" s="54">
        <v>7.13</v>
      </c>
      <c r="C11" s="54">
        <v>7.62</v>
      </c>
      <c r="D11" s="54">
        <v>9.49</v>
      </c>
      <c r="E11" s="54">
        <v>4.4000000000000004</v>
      </c>
      <c r="F11" s="54">
        <v>263.89999999999998</v>
      </c>
      <c r="G11" s="54">
        <v>26.59</v>
      </c>
      <c r="H11" s="54">
        <v>7.38</v>
      </c>
      <c r="I11" s="54">
        <v>3.51</v>
      </c>
      <c r="J11" s="54">
        <v>0.11</v>
      </c>
      <c r="K11" s="54">
        <v>222.39</v>
      </c>
      <c r="L11" s="54">
        <v>23.68</v>
      </c>
      <c r="M11" s="54">
        <v>98.3</v>
      </c>
      <c r="N11" s="54">
        <v>54.9</v>
      </c>
      <c r="O11" s="54">
        <v>0</v>
      </c>
      <c r="P11" s="54">
        <v>0.44</v>
      </c>
      <c r="Q11" s="54">
        <v>9.1999999999999993</v>
      </c>
      <c r="R11" s="43"/>
      <c r="S11" s="43"/>
      <c r="T11" s="43"/>
      <c r="U11" s="43"/>
    </row>
    <row r="12" spans="1:21" s="11" customFormat="1" x14ac:dyDescent="0.25">
      <c r="A12" s="53" t="s">
        <v>63</v>
      </c>
      <c r="B12" s="54">
        <v>6.74</v>
      </c>
      <c r="C12" s="54">
        <v>7.55</v>
      </c>
      <c r="D12" s="54">
        <v>9.35</v>
      </c>
      <c r="E12" s="54">
        <v>4.05</v>
      </c>
      <c r="F12" s="54">
        <v>23.61</v>
      </c>
      <c r="G12" s="54">
        <v>19.510000000000002</v>
      </c>
      <c r="H12" s="54">
        <v>8.82</v>
      </c>
      <c r="I12" s="54">
        <v>3.26</v>
      </c>
      <c r="J12" s="54">
        <v>0.2</v>
      </c>
      <c r="K12" s="54">
        <v>284.61</v>
      </c>
      <c r="L12" s="54">
        <v>23.66</v>
      </c>
      <c r="M12" s="54">
        <v>98.3</v>
      </c>
      <c r="N12" s="54">
        <v>54.6</v>
      </c>
      <c r="O12" s="54">
        <v>0</v>
      </c>
      <c r="P12" s="54">
        <v>0.3</v>
      </c>
      <c r="Q12" s="54">
        <v>9.19</v>
      </c>
      <c r="R12" s="43"/>
      <c r="S12" s="43"/>
      <c r="T12" s="43"/>
      <c r="U12" s="43"/>
    </row>
    <row r="13" spans="1:21" s="11" customFormat="1" x14ac:dyDescent="0.25">
      <c r="A13" s="53" t="s">
        <v>64</v>
      </c>
      <c r="B13" s="54">
        <v>7.35</v>
      </c>
      <c r="C13" s="54">
        <v>9.1999999999999993</v>
      </c>
      <c r="D13" s="54">
        <v>10.7</v>
      </c>
      <c r="E13" s="54">
        <v>4.4400000000000004</v>
      </c>
      <c r="F13" s="54">
        <v>292.25</v>
      </c>
      <c r="G13" s="54">
        <v>14.45</v>
      </c>
      <c r="H13" s="54">
        <v>7.33</v>
      </c>
      <c r="I13" s="54">
        <v>3.14</v>
      </c>
      <c r="J13" s="54">
        <v>7.0000000000000007E-2</v>
      </c>
      <c r="K13" s="54">
        <v>341.38</v>
      </c>
      <c r="L13" s="54">
        <v>23.53</v>
      </c>
      <c r="M13" s="54">
        <v>98.3</v>
      </c>
      <c r="N13" s="54">
        <v>54.6</v>
      </c>
      <c r="O13" s="54">
        <v>0</v>
      </c>
      <c r="P13" s="54">
        <v>0.32</v>
      </c>
      <c r="Q13" s="54">
        <v>9.16</v>
      </c>
      <c r="R13" s="43"/>
      <c r="S13" s="43"/>
      <c r="T13" s="43"/>
      <c r="U13" s="43"/>
    </row>
    <row r="14" spans="1:21" s="11" customFormat="1" x14ac:dyDescent="0.25">
      <c r="A14" s="53" t="s">
        <v>65</v>
      </c>
      <c r="B14" s="54">
        <v>9.2100000000000009</v>
      </c>
      <c r="C14" s="54">
        <v>11.04</v>
      </c>
      <c r="D14" s="54">
        <v>12.4</v>
      </c>
      <c r="E14" s="54">
        <v>4.08</v>
      </c>
      <c r="F14" s="54">
        <v>347.62</v>
      </c>
      <c r="G14" s="54">
        <v>14.94</v>
      </c>
      <c r="H14" s="54">
        <v>6.29</v>
      </c>
      <c r="I14" s="54">
        <v>2.81</v>
      </c>
      <c r="J14" s="54">
        <v>0.08</v>
      </c>
      <c r="K14" s="54">
        <v>317.04000000000002</v>
      </c>
      <c r="L14" s="54">
        <v>23.51</v>
      </c>
      <c r="M14" s="54">
        <v>98.31</v>
      </c>
      <c r="N14" s="54">
        <v>60.5</v>
      </c>
      <c r="O14" s="54">
        <v>0</v>
      </c>
      <c r="P14" s="54">
        <v>0.36</v>
      </c>
      <c r="Q14" s="54">
        <v>9.1</v>
      </c>
      <c r="R14" s="43"/>
      <c r="S14" s="43"/>
      <c r="T14" s="43"/>
      <c r="U14" s="43"/>
    </row>
    <row r="15" spans="1:21" s="11" customFormat="1" x14ac:dyDescent="0.25">
      <c r="A15" s="53" t="s">
        <v>66</v>
      </c>
      <c r="B15" s="54">
        <v>13.41</v>
      </c>
      <c r="C15" s="54">
        <v>9.8800000000000008</v>
      </c>
      <c r="D15" s="54">
        <v>14.65</v>
      </c>
      <c r="E15" s="54">
        <v>3.88</v>
      </c>
      <c r="F15" s="54">
        <v>10.59</v>
      </c>
      <c r="G15" s="54">
        <v>22.64</v>
      </c>
      <c r="H15" s="54">
        <v>6.2</v>
      </c>
      <c r="I15" s="54">
        <v>2.4900000000000002</v>
      </c>
      <c r="J15" s="54">
        <v>0.19</v>
      </c>
      <c r="K15" s="54">
        <v>310.19</v>
      </c>
      <c r="L15" s="54">
        <v>24.74</v>
      </c>
      <c r="M15" s="54">
        <v>98.34</v>
      </c>
      <c r="N15" s="54">
        <v>174.6</v>
      </c>
      <c r="O15" s="54">
        <v>0</v>
      </c>
      <c r="P15" s="54">
        <v>0.4</v>
      </c>
      <c r="Q15" s="54">
        <v>9.1199999999999992</v>
      </c>
      <c r="R15" s="43"/>
      <c r="S15" s="43"/>
      <c r="T15" s="43"/>
      <c r="U15" s="43"/>
    </row>
    <row r="16" spans="1:21" s="11" customFormat="1" x14ac:dyDescent="0.25">
      <c r="A16" s="53" t="s">
        <v>67</v>
      </c>
      <c r="B16" s="54">
        <v>14.3</v>
      </c>
      <c r="C16" s="54">
        <v>8.36</v>
      </c>
      <c r="D16" s="54">
        <v>15.29</v>
      </c>
      <c r="E16" s="54">
        <v>4.28</v>
      </c>
      <c r="F16" s="54">
        <v>8.61</v>
      </c>
      <c r="G16" s="54">
        <v>17.420000000000002</v>
      </c>
      <c r="H16" s="54">
        <v>10.19</v>
      </c>
      <c r="I16" s="54">
        <v>2.42</v>
      </c>
      <c r="J16" s="54">
        <v>0.35</v>
      </c>
      <c r="K16" s="54">
        <v>321.17</v>
      </c>
      <c r="L16" s="54">
        <v>29.17</v>
      </c>
      <c r="M16" s="54">
        <v>98.29</v>
      </c>
      <c r="N16" s="54">
        <v>430.2</v>
      </c>
      <c r="O16" s="54">
        <v>0</v>
      </c>
      <c r="P16" s="54">
        <v>0.53</v>
      </c>
      <c r="Q16" s="54">
        <v>9.1999999999999993</v>
      </c>
      <c r="R16" s="43"/>
      <c r="S16" s="43"/>
      <c r="T16" s="43"/>
      <c r="U16" s="43"/>
    </row>
    <row r="17" spans="1:21" s="11" customFormat="1" x14ac:dyDescent="0.25">
      <c r="A17" s="53" t="s">
        <v>68</v>
      </c>
      <c r="B17" s="54">
        <v>17.95</v>
      </c>
      <c r="C17" s="54">
        <v>13.59</v>
      </c>
      <c r="D17" s="54">
        <v>19.75</v>
      </c>
      <c r="E17" s="54">
        <v>4.5</v>
      </c>
      <c r="F17" s="54">
        <v>10.97</v>
      </c>
      <c r="G17" s="54">
        <v>27.7</v>
      </c>
      <c r="H17" s="54">
        <v>8.2899999999999991</v>
      </c>
      <c r="I17" s="54">
        <v>2.33</v>
      </c>
      <c r="J17" s="54">
        <v>0.72</v>
      </c>
      <c r="K17" s="54">
        <v>338.23</v>
      </c>
      <c r="L17" s="54">
        <v>34.24</v>
      </c>
      <c r="M17" s="54">
        <v>89.32</v>
      </c>
      <c r="N17" s="54">
        <v>688.8</v>
      </c>
      <c r="O17" s="54">
        <v>0</v>
      </c>
      <c r="P17" s="54">
        <v>0.56000000000000005</v>
      </c>
      <c r="Q17" s="54">
        <v>9.2100000000000009</v>
      </c>
      <c r="R17" s="43"/>
      <c r="S17" s="43"/>
      <c r="T17" s="43"/>
      <c r="U17" s="43"/>
    </row>
    <row r="18" spans="1:21" s="11" customFormat="1" x14ac:dyDescent="0.25">
      <c r="A18" s="53" t="s">
        <v>69</v>
      </c>
      <c r="B18" s="54">
        <v>18.34</v>
      </c>
      <c r="C18" s="54">
        <v>19.32</v>
      </c>
      <c r="D18" s="54">
        <v>24.8</v>
      </c>
      <c r="E18" s="54">
        <v>4.45</v>
      </c>
      <c r="F18" s="54">
        <v>14.04</v>
      </c>
      <c r="G18" s="54">
        <v>39.99</v>
      </c>
      <c r="H18" s="54">
        <v>6.96</v>
      </c>
      <c r="I18" s="54">
        <v>2.29</v>
      </c>
      <c r="J18" s="54">
        <v>0.59</v>
      </c>
      <c r="K18" s="54">
        <v>359.72</v>
      </c>
      <c r="L18" s="54">
        <v>34.51</v>
      </c>
      <c r="M18" s="54">
        <v>67.63</v>
      </c>
      <c r="N18" s="54">
        <v>794</v>
      </c>
      <c r="O18" s="54">
        <v>0</v>
      </c>
      <c r="P18" s="54">
        <v>0.61</v>
      </c>
      <c r="Q18" s="54">
        <v>9.18</v>
      </c>
      <c r="R18" s="43"/>
      <c r="S18" s="43"/>
      <c r="T18" s="43"/>
      <c r="U18" s="43"/>
    </row>
    <row r="19" spans="1:21" s="11" customFormat="1" x14ac:dyDescent="0.25">
      <c r="A19" s="53" t="s">
        <v>70</v>
      </c>
      <c r="B19" s="54">
        <v>12.3</v>
      </c>
      <c r="C19" s="54">
        <v>21.37</v>
      </c>
      <c r="D19" s="54">
        <v>19.010000000000002</v>
      </c>
      <c r="E19" s="54">
        <v>4.75</v>
      </c>
      <c r="F19" s="54">
        <v>22.36</v>
      </c>
      <c r="G19" s="54">
        <v>50.21</v>
      </c>
      <c r="H19" s="54">
        <v>6.03</v>
      </c>
      <c r="I19" s="54">
        <v>2.11</v>
      </c>
      <c r="J19" s="54">
        <v>0.31</v>
      </c>
      <c r="K19" s="54">
        <v>329.16</v>
      </c>
      <c r="L19" s="54">
        <v>32.520000000000003</v>
      </c>
      <c r="M19" s="54">
        <v>76.099999999999994</v>
      </c>
      <c r="N19" s="54">
        <v>811.9</v>
      </c>
      <c r="O19" s="54">
        <v>0</v>
      </c>
      <c r="P19" s="54">
        <v>0.66</v>
      </c>
      <c r="Q19" s="54">
        <v>9.18</v>
      </c>
      <c r="R19" s="43"/>
      <c r="S19" s="43"/>
      <c r="T19" s="43"/>
      <c r="U19" s="43"/>
    </row>
    <row r="20" spans="1:21" s="11" customFormat="1" x14ac:dyDescent="0.25">
      <c r="A20" s="53" t="s">
        <v>71</v>
      </c>
      <c r="B20" s="54">
        <v>11.65</v>
      </c>
      <c r="C20" s="54">
        <v>24.9</v>
      </c>
      <c r="D20" s="54">
        <v>20.079999999999998</v>
      </c>
      <c r="E20" s="54">
        <v>4.68</v>
      </c>
      <c r="F20" s="54">
        <v>16.36</v>
      </c>
      <c r="G20" s="54">
        <v>48.82</v>
      </c>
      <c r="H20" s="54">
        <v>8.61</v>
      </c>
      <c r="I20" s="54">
        <v>1.96</v>
      </c>
      <c r="J20" s="54">
        <v>0.55000000000000004</v>
      </c>
      <c r="K20" s="54">
        <v>323.92</v>
      </c>
      <c r="L20" s="54">
        <v>31.38</v>
      </c>
      <c r="M20" s="54">
        <v>94.33</v>
      </c>
      <c r="N20" s="54">
        <v>158.6</v>
      </c>
      <c r="O20" s="54">
        <v>0</v>
      </c>
      <c r="P20" s="54">
        <v>0.65</v>
      </c>
      <c r="Q20" s="54">
        <v>9.17</v>
      </c>
      <c r="R20" s="43"/>
      <c r="S20" s="43"/>
      <c r="T20" s="43"/>
      <c r="U20" s="43"/>
    </row>
    <row r="21" spans="1:21" s="11" customFormat="1" x14ac:dyDescent="0.25">
      <c r="A21" s="53" t="s">
        <v>72</v>
      </c>
      <c r="B21" s="54">
        <v>10.62</v>
      </c>
      <c r="C21" s="54">
        <v>19.149999999999999</v>
      </c>
      <c r="D21" s="54">
        <v>15.26</v>
      </c>
      <c r="E21" s="54">
        <v>4.66</v>
      </c>
      <c r="F21" s="54">
        <v>15.09</v>
      </c>
      <c r="G21" s="54">
        <v>55.41</v>
      </c>
      <c r="H21" s="54">
        <v>12.58</v>
      </c>
      <c r="I21" s="54">
        <v>1.91</v>
      </c>
      <c r="J21" s="54">
        <v>1.81</v>
      </c>
      <c r="K21" s="54">
        <v>260.10000000000002</v>
      </c>
      <c r="L21" s="54">
        <v>27.63</v>
      </c>
      <c r="M21" s="54">
        <v>98.17</v>
      </c>
      <c r="N21" s="54">
        <v>140.69999999999999</v>
      </c>
      <c r="O21" s="54">
        <v>2</v>
      </c>
      <c r="P21" s="54">
        <v>0.49</v>
      </c>
      <c r="Q21" s="54">
        <v>9.17</v>
      </c>
      <c r="R21" s="43"/>
      <c r="S21" s="43"/>
      <c r="T21" s="43"/>
      <c r="U21" s="43"/>
    </row>
    <row r="22" spans="1:21" s="11" customFormat="1" x14ac:dyDescent="0.25">
      <c r="A22" s="53" t="s">
        <v>73</v>
      </c>
      <c r="B22" s="54">
        <v>15.8</v>
      </c>
      <c r="C22" s="54">
        <v>25.34</v>
      </c>
      <c r="D22" s="54">
        <v>21.51</v>
      </c>
      <c r="E22" s="54">
        <v>4.5999999999999996</v>
      </c>
      <c r="F22" s="54">
        <v>13.96</v>
      </c>
      <c r="G22" s="54">
        <v>48.76</v>
      </c>
      <c r="H22" s="54">
        <v>10.42</v>
      </c>
      <c r="I22" s="54">
        <v>1.81</v>
      </c>
      <c r="J22" s="54">
        <v>0.68</v>
      </c>
      <c r="K22" s="54">
        <v>165.44</v>
      </c>
      <c r="L22" s="54">
        <v>24.22</v>
      </c>
      <c r="M22" s="54">
        <v>98.21</v>
      </c>
      <c r="N22" s="54">
        <v>116.4</v>
      </c>
      <c r="O22" s="54">
        <v>0</v>
      </c>
      <c r="P22" s="54">
        <v>0.5</v>
      </c>
      <c r="Q22" s="54">
        <v>9.1300000000000008</v>
      </c>
      <c r="R22" s="43"/>
      <c r="S22" s="43"/>
      <c r="T22" s="43"/>
      <c r="U22" s="43"/>
    </row>
    <row r="23" spans="1:21" s="11" customFormat="1" x14ac:dyDescent="0.25">
      <c r="A23" s="53" t="s">
        <v>74</v>
      </c>
      <c r="B23" s="54">
        <v>10.32</v>
      </c>
      <c r="C23" s="54">
        <v>11.28</v>
      </c>
      <c r="D23" s="54">
        <v>13.03</v>
      </c>
      <c r="E23" s="54">
        <v>4.46</v>
      </c>
      <c r="F23" s="54">
        <v>10.8</v>
      </c>
      <c r="G23" s="54">
        <v>42.81</v>
      </c>
      <c r="H23" s="54">
        <v>9.86</v>
      </c>
      <c r="I23" s="54">
        <v>1.69</v>
      </c>
      <c r="J23" s="54">
        <v>0.98</v>
      </c>
      <c r="K23" s="54">
        <v>334.94</v>
      </c>
      <c r="L23" s="54">
        <v>23.86</v>
      </c>
      <c r="M23" s="54">
        <v>98.24</v>
      </c>
      <c r="N23" s="54">
        <v>99.9</v>
      </c>
      <c r="O23" s="54">
        <v>0</v>
      </c>
      <c r="P23" s="54">
        <v>0.48</v>
      </c>
      <c r="Q23" s="54">
        <v>9.11</v>
      </c>
      <c r="R23" s="43"/>
      <c r="S23" s="43"/>
      <c r="T23" s="43"/>
      <c r="U23" s="43"/>
    </row>
    <row r="24" spans="1:21" s="11" customFormat="1" x14ac:dyDescent="0.25">
      <c r="A24" s="53" t="s">
        <v>75</v>
      </c>
      <c r="B24" s="54">
        <v>13.91</v>
      </c>
      <c r="C24" s="54">
        <v>16.03</v>
      </c>
      <c r="D24" s="54">
        <v>17.39</v>
      </c>
      <c r="E24" s="54">
        <v>5.87</v>
      </c>
      <c r="F24" s="54">
        <v>10.220000000000001</v>
      </c>
      <c r="G24" s="54">
        <v>37.630000000000003</v>
      </c>
      <c r="H24" s="54">
        <v>12.64</v>
      </c>
      <c r="I24" s="54">
        <v>1.63</v>
      </c>
      <c r="J24" s="54">
        <v>0.57999999999999996</v>
      </c>
      <c r="K24" s="54">
        <v>329.96</v>
      </c>
      <c r="L24" s="54">
        <v>25.86</v>
      </c>
      <c r="M24" s="54">
        <v>98.19</v>
      </c>
      <c r="N24" s="54">
        <v>171.5</v>
      </c>
      <c r="O24" s="54">
        <v>0</v>
      </c>
      <c r="P24" s="54">
        <v>0.52</v>
      </c>
      <c r="Q24" s="54">
        <v>9.1300000000000008</v>
      </c>
      <c r="R24" s="43"/>
      <c r="S24" s="43"/>
      <c r="T24" s="43"/>
      <c r="U24" s="43"/>
    </row>
    <row r="25" spans="1:21" s="11" customFormat="1" x14ac:dyDescent="0.25">
      <c r="A25" s="53" t="s">
        <v>76</v>
      </c>
      <c r="B25" s="54">
        <v>16.809999999999999</v>
      </c>
      <c r="C25" s="54">
        <v>9.4700000000000006</v>
      </c>
      <c r="D25" s="54">
        <v>17.96</v>
      </c>
      <c r="E25" s="54">
        <v>6.66</v>
      </c>
      <c r="F25" s="54">
        <v>10.11</v>
      </c>
      <c r="G25" s="54">
        <v>35.090000000000003</v>
      </c>
      <c r="H25" s="54">
        <v>10</v>
      </c>
      <c r="I25" s="54">
        <v>1.81</v>
      </c>
      <c r="J25" s="54">
        <v>2.99</v>
      </c>
      <c r="K25" s="54">
        <v>336.26</v>
      </c>
      <c r="L25" s="54">
        <v>26.25</v>
      </c>
      <c r="M25" s="54">
        <v>98.13</v>
      </c>
      <c r="N25" s="54">
        <v>133.30000000000001</v>
      </c>
      <c r="O25" s="54">
        <v>0</v>
      </c>
      <c r="P25" s="54">
        <v>0.84</v>
      </c>
      <c r="Q25" s="54">
        <v>9.31</v>
      </c>
      <c r="R25" s="43"/>
      <c r="S25" s="43"/>
      <c r="T25" s="43"/>
      <c r="U25" s="43"/>
    </row>
    <row r="26" spans="1:21" s="11" customFormat="1" x14ac:dyDescent="0.25">
      <c r="A26" s="53" t="s">
        <v>77</v>
      </c>
      <c r="B26" s="54">
        <v>21.61</v>
      </c>
      <c r="C26" s="54">
        <v>24.09</v>
      </c>
      <c r="D26" s="54">
        <v>29.91</v>
      </c>
      <c r="E26" s="54">
        <v>6.57</v>
      </c>
      <c r="F26" s="54">
        <v>12.06</v>
      </c>
      <c r="G26" s="54">
        <v>33.520000000000003</v>
      </c>
      <c r="H26" s="54">
        <v>8.16</v>
      </c>
      <c r="I26" s="54">
        <v>1.89</v>
      </c>
      <c r="J26" s="54">
        <v>1.01</v>
      </c>
      <c r="K26" s="54">
        <v>341.13</v>
      </c>
      <c r="L26" s="54">
        <v>24.45</v>
      </c>
      <c r="M26" s="54">
        <v>98.13</v>
      </c>
      <c r="N26" s="54">
        <v>74.099999999999994</v>
      </c>
      <c r="O26" s="54">
        <v>0</v>
      </c>
      <c r="P26" s="54">
        <v>1.01</v>
      </c>
      <c r="Q26" s="54">
        <v>9.3000000000000007</v>
      </c>
      <c r="R26" s="43"/>
      <c r="S26" s="43"/>
      <c r="T26" s="43"/>
      <c r="U26" s="43"/>
    </row>
    <row r="27" spans="1:21" s="11" customFormat="1" x14ac:dyDescent="0.25">
      <c r="A27" s="53" t="s">
        <v>78</v>
      </c>
      <c r="B27" s="54">
        <v>29.86</v>
      </c>
      <c r="C27" s="54">
        <v>24.19</v>
      </c>
      <c r="D27" s="54">
        <v>31.52</v>
      </c>
      <c r="E27" s="54">
        <v>6.22</v>
      </c>
      <c r="F27" s="54">
        <v>80.22</v>
      </c>
      <c r="G27" s="54">
        <v>48.07</v>
      </c>
      <c r="H27" s="54">
        <v>6.87</v>
      </c>
      <c r="I27" s="54">
        <v>2.08</v>
      </c>
      <c r="J27" s="54">
        <v>0.09</v>
      </c>
      <c r="K27" s="54">
        <v>240.47</v>
      </c>
      <c r="L27" s="54">
        <v>23.7</v>
      </c>
      <c r="M27" s="54">
        <v>98.1</v>
      </c>
      <c r="N27" s="54">
        <v>48.6</v>
      </c>
      <c r="O27" s="54">
        <v>0</v>
      </c>
      <c r="P27" s="54">
        <v>1.08</v>
      </c>
      <c r="Q27" s="54">
        <v>9.3000000000000007</v>
      </c>
      <c r="R27" s="43"/>
      <c r="S27" s="43"/>
      <c r="T27" s="43"/>
      <c r="U27" s="43"/>
    </row>
    <row r="28" spans="1:21" s="11" customFormat="1" x14ac:dyDescent="0.25">
      <c r="A28" s="53" t="s">
        <v>79</v>
      </c>
      <c r="B28" s="54">
        <v>34.69</v>
      </c>
      <c r="C28" s="54">
        <v>17.39</v>
      </c>
      <c r="D28" s="54">
        <v>36.909999999999997</v>
      </c>
      <c r="E28" s="54">
        <v>6.59</v>
      </c>
      <c r="F28" s="54">
        <v>11.55</v>
      </c>
      <c r="G28" s="54">
        <v>46.69</v>
      </c>
      <c r="H28" s="54">
        <v>10.15</v>
      </c>
      <c r="I28" s="54">
        <v>2.38</v>
      </c>
      <c r="J28" s="54">
        <v>0.23</v>
      </c>
      <c r="K28" s="54">
        <v>356.28</v>
      </c>
      <c r="L28" s="54">
        <v>23.58</v>
      </c>
      <c r="M28" s="54">
        <v>98.14</v>
      </c>
      <c r="N28" s="54">
        <v>48.6</v>
      </c>
      <c r="O28" s="54">
        <v>0</v>
      </c>
      <c r="P28" s="54">
        <v>1.27</v>
      </c>
      <c r="Q28" s="54">
        <v>9.35</v>
      </c>
      <c r="R28" s="43"/>
      <c r="S28" s="43"/>
      <c r="T28" s="43"/>
      <c r="U28" s="43"/>
    </row>
    <row r="29" spans="1:21" s="11" customFormat="1" x14ac:dyDescent="0.25">
      <c r="A29" s="53" t="s">
        <v>80</v>
      </c>
      <c r="B29" s="54">
        <v>31.15</v>
      </c>
      <c r="C29" s="54">
        <v>11.69</v>
      </c>
      <c r="D29" s="54">
        <v>30.89</v>
      </c>
      <c r="E29" s="54">
        <v>6.2</v>
      </c>
      <c r="F29" s="54">
        <v>10.52</v>
      </c>
      <c r="G29" s="54">
        <v>62.13</v>
      </c>
      <c r="H29" s="54">
        <v>8.9499999999999993</v>
      </c>
      <c r="I29" s="54">
        <v>2.48</v>
      </c>
      <c r="J29" s="54">
        <v>0.27</v>
      </c>
      <c r="K29" s="54">
        <v>346.14</v>
      </c>
      <c r="L29" s="54">
        <v>23.4</v>
      </c>
      <c r="M29" s="54">
        <v>98.26</v>
      </c>
      <c r="N29" s="54">
        <v>48.6</v>
      </c>
      <c r="O29" s="54">
        <v>0.2</v>
      </c>
      <c r="P29" s="54">
        <v>1.03</v>
      </c>
      <c r="Q29" s="54">
        <v>9.42</v>
      </c>
      <c r="R29" s="43"/>
      <c r="S29" s="43"/>
      <c r="T29" s="43"/>
      <c r="U29" s="43"/>
    </row>
    <row r="30" spans="1:21" s="11" customFormat="1" x14ac:dyDescent="0.25">
      <c r="A30" s="53" t="s">
        <v>81</v>
      </c>
      <c r="B30" s="54">
        <v>26.3</v>
      </c>
      <c r="C30" s="54">
        <v>8.85</v>
      </c>
      <c r="D30" s="54">
        <v>24.68</v>
      </c>
      <c r="E30" s="54">
        <v>6.21</v>
      </c>
      <c r="F30" s="54">
        <v>10.199999999999999</v>
      </c>
      <c r="G30" s="54">
        <v>53.43</v>
      </c>
      <c r="H30" s="54">
        <v>7.42</v>
      </c>
      <c r="I30" s="54">
        <v>2.5499999999999998</v>
      </c>
      <c r="J30" s="54">
        <v>0.96</v>
      </c>
      <c r="K30" s="54">
        <v>340.17</v>
      </c>
      <c r="L30" s="54">
        <v>23.5</v>
      </c>
      <c r="M30" s="54">
        <v>98.15</v>
      </c>
      <c r="N30" s="54">
        <v>48.7</v>
      </c>
      <c r="O30" s="54">
        <v>0</v>
      </c>
      <c r="P30" s="54">
        <v>0.91</v>
      </c>
      <c r="Q30" s="54">
        <v>9.48</v>
      </c>
      <c r="R30" s="43"/>
      <c r="S30" s="43"/>
      <c r="T30" s="43"/>
      <c r="U30" s="43"/>
    </row>
    <row r="31" spans="1:21" s="11" customFormat="1" x14ac:dyDescent="0.25">
      <c r="A31" s="53" t="s">
        <v>82</v>
      </c>
      <c r="B31" s="54">
        <v>30.03</v>
      </c>
      <c r="C31" s="54">
        <v>17.54</v>
      </c>
      <c r="D31" s="54">
        <v>31.58</v>
      </c>
      <c r="E31" s="54">
        <v>6.36</v>
      </c>
      <c r="F31" s="54">
        <v>10.02</v>
      </c>
      <c r="G31" s="54">
        <v>54.22</v>
      </c>
      <c r="H31" s="54">
        <v>6.35</v>
      </c>
      <c r="I31" s="54">
        <v>2.61</v>
      </c>
      <c r="J31" s="54">
        <v>0.55000000000000004</v>
      </c>
      <c r="K31" s="54">
        <v>347.73</v>
      </c>
      <c r="L31" s="54">
        <v>23.48</v>
      </c>
      <c r="M31" s="54">
        <v>98.18</v>
      </c>
      <c r="N31" s="54">
        <v>48.8</v>
      </c>
      <c r="O31" s="54">
        <v>0</v>
      </c>
      <c r="P31" s="54">
        <v>1.1299999999999999</v>
      </c>
      <c r="Q31" s="54">
        <v>9.4700000000000006</v>
      </c>
      <c r="R31" s="43"/>
      <c r="S31" s="43"/>
      <c r="T31" s="43"/>
      <c r="U31" s="43"/>
    </row>
    <row r="32" spans="1:21" s="11" customFormat="1" x14ac:dyDescent="0.25">
      <c r="A32" s="53" t="s">
        <v>83</v>
      </c>
      <c r="B32" s="54">
        <v>28.69</v>
      </c>
      <c r="C32" s="54">
        <v>19.260000000000002</v>
      </c>
      <c r="D32" s="54">
        <v>27.99</v>
      </c>
      <c r="E32" s="54">
        <v>6.5</v>
      </c>
      <c r="F32" s="54">
        <v>10.51</v>
      </c>
      <c r="G32" s="54">
        <v>61.64</v>
      </c>
      <c r="H32" s="54">
        <v>11.97</v>
      </c>
      <c r="I32" s="54">
        <v>2.82</v>
      </c>
      <c r="J32" s="54">
        <v>0.11</v>
      </c>
      <c r="K32" s="54">
        <v>338.77</v>
      </c>
      <c r="L32" s="54">
        <v>23.48</v>
      </c>
      <c r="M32" s="54">
        <v>98.22</v>
      </c>
      <c r="N32" s="54">
        <v>49</v>
      </c>
      <c r="O32" s="54">
        <v>0</v>
      </c>
      <c r="P32" s="54">
        <v>1.1100000000000001</v>
      </c>
      <c r="Q32" s="54">
        <v>9.49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6.74</v>
      </c>
      <c r="C34" s="28">
        <f t="shared" si="0"/>
        <v>7.55</v>
      </c>
      <c r="D34" s="28">
        <f t="shared" si="0"/>
        <v>9.35</v>
      </c>
      <c r="E34" s="28">
        <f t="shared" si="0"/>
        <v>3.88</v>
      </c>
      <c r="F34" s="28">
        <f t="shared" si="0"/>
        <v>8.61</v>
      </c>
      <c r="G34" s="28">
        <f t="shared" si="0"/>
        <v>14.45</v>
      </c>
      <c r="H34" s="28">
        <f t="shared" si="0"/>
        <v>6.03</v>
      </c>
      <c r="I34" s="28">
        <f t="shared" si="0"/>
        <v>1.63</v>
      </c>
      <c r="J34" s="28">
        <f t="shared" si="0"/>
        <v>7.0000000000000007E-2</v>
      </c>
      <c r="K34" s="28">
        <f t="shared" si="0"/>
        <v>165.44</v>
      </c>
      <c r="L34" s="28">
        <f t="shared" si="0"/>
        <v>23.4</v>
      </c>
      <c r="M34" s="28">
        <f t="shared" si="0"/>
        <v>67.63</v>
      </c>
      <c r="N34" s="28">
        <f t="shared" si="0"/>
        <v>48.6</v>
      </c>
      <c r="O34" s="28">
        <f t="shared" si="0"/>
        <v>0</v>
      </c>
      <c r="P34" s="28">
        <f t="shared" si="0"/>
        <v>0.3</v>
      </c>
      <c r="Q34" s="28">
        <f t="shared" si="0"/>
        <v>9.1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34.69</v>
      </c>
      <c r="C35" s="29">
        <f t="shared" si="1"/>
        <v>25.34</v>
      </c>
      <c r="D35" s="29">
        <f t="shared" si="1"/>
        <v>36.909999999999997</v>
      </c>
      <c r="E35" s="29">
        <f t="shared" si="1"/>
        <v>6.66</v>
      </c>
      <c r="F35" s="29">
        <f t="shared" si="1"/>
        <v>347.62</v>
      </c>
      <c r="G35" s="29">
        <f t="shared" si="1"/>
        <v>62.13</v>
      </c>
      <c r="H35" s="29">
        <f t="shared" si="1"/>
        <v>12.64</v>
      </c>
      <c r="I35" s="29">
        <f t="shared" si="1"/>
        <v>4.13</v>
      </c>
      <c r="J35" s="29">
        <f t="shared" si="1"/>
        <v>2.99</v>
      </c>
      <c r="K35" s="29">
        <f t="shared" si="1"/>
        <v>359.72</v>
      </c>
      <c r="L35" s="29">
        <f t="shared" si="1"/>
        <v>34.51</v>
      </c>
      <c r="M35" s="29">
        <f t="shared" si="1"/>
        <v>98.34</v>
      </c>
      <c r="N35" s="29">
        <f t="shared" si="1"/>
        <v>811.9</v>
      </c>
      <c r="O35" s="29">
        <f t="shared" si="1"/>
        <v>2</v>
      </c>
      <c r="P35" s="29">
        <f t="shared" si="1"/>
        <v>1.27</v>
      </c>
      <c r="Q35" s="29">
        <f t="shared" si="1"/>
        <v>9.49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16.922916666666669</v>
      </c>
      <c r="C36" s="28">
        <f t="shared" si="2"/>
        <v>14.96</v>
      </c>
      <c r="D36" s="28">
        <f t="shared" si="2"/>
        <v>19.919999999999998</v>
      </c>
      <c r="E36" s="28">
        <f t="shared" si="2"/>
        <v>5.1062500000000002</v>
      </c>
      <c r="F36" s="28">
        <f t="shared" si="2"/>
        <v>51.954999999999984</v>
      </c>
      <c r="G36" s="28">
        <f t="shared" si="2"/>
        <v>40.157916666666658</v>
      </c>
      <c r="H36" s="28">
        <f t="shared" si="2"/>
        <v>8.5749999999999993</v>
      </c>
      <c r="I36" s="28">
        <f t="shared" si="2"/>
        <v>2.4970833333333329</v>
      </c>
      <c r="J36" s="28">
        <f t="shared" si="2"/>
        <v>0.57708333333333339</v>
      </c>
      <c r="K36" s="28">
        <f t="shared" si="2"/>
        <v>310.89083333333338</v>
      </c>
      <c r="L36" s="28">
        <f t="shared" si="2"/>
        <v>25.904583333333335</v>
      </c>
      <c r="M36" s="28">
        <f t="shared" si="2"/>
        <v>95.487083333333331</v>
      </c>
      <c r="N36" s="28">
        <f t="shared" si="2"/>
        <v>184.1458333333334</v>
      </c>
      <c r="O36" s="28">
        <f t="shared" si="2"/>
        <v>9.1666666666666674E-2</v>
      </c>
      <c r="P36" s="28">
        <f t="shared" si="2"/>
        <v>0.68208333333333326</v>
      </c>
      <c r="Q36" s="28">
        <f t="shared" si="2"/>
        <v>9.2412500000000009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8.7230591358998435</v>
      </c>
      <c r="C37" s="28">
        <f t="shared" ref="C37:Q37" si="3">STDEV(C9:C32)</f>
        <v>6.0449360769087548</v>
      </c>
      <c r="D37" s="28">
        <f t="shared" si="3"/>
        <v>8.1191866159331472</v>
      </c>
      <c r="E37" s="28">
        <f t="shared" si="3"/>
        <v>1.0207661764363729</v>
      </c>
      <c r="F37" s="28">
        <f t="shared" si="3"/>
        <v>98.094694179078616</v>
      </c>
      <c r="G37" s="28">
        <f t="shared" si="3"/>
        <v>15.13454671163519</v>
      </c>
      <c r="H37" s="28">
        <f t="shared" si="3"/>
        <v>2.0159645442016734</v>
      </c>
      <c r="I37" s="28">
        <f t="shared" si="3"/>
        <v>0.67306230195936689</v>
      </c>
      <c r="J37" s="28">
        <f t="shared" si="3"/>
        <v>0.65809659107794027</v>
      </c>
      <c r="K37" s="28">
        <f t="shared" si="3"/>
        <v>48.725625961728937</v>
      </c>
      <c r="L37" s="28">
        <f t="shared" si="3"/>
        <v>3.6526987987641135</v>
      </c>
      <c r="M37" s="28">
        <f t="shared" si="3"/>
        <v>7.6335537790141661</v>
      </c>
      <c r="N37" s="28">
        <f t="shared" si="3"/>
        <v>239.53875057151458</v>
      </c>
      <c r="O37" s="28">
        <f t="shared" si="3"/>
        <v>0.40851445258523533</v>
      </c>
      <c r="P37" s="28">
        <f t="shared" si="3"/>
        <v>0.29074087023187589</v>
      </c>
      <c r="Q37" s="28">
        <f t="shared" si="3"/>
        <v>0.12127268949516767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N18" sqref="N18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3" width="11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02/10/2025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84</v>
      </c>
      <c r="B9" s="54">
        <v>20.95</v>
      </c>
      <c r="C9" s="54">
        <v>19.64</v>
      </c>
      <c r="D9" s="54">
        <v>22.91</v>
      </c>
      <c r="E9" s="54">
        <v>4.6399999999999997</v>
      </c>
      <c r="F9" s="54">
        <v>11.56</v>
      </c>
      <c r="G9" s="54">
        <v>71.239999999999995</v>
      </c>
      <c r="H9" s="54">
        <v>11.11</v>
      </c>
      <c r="I9" s="54">
        <v>2.98</v>
      </c>
      <c r="J9" s="54">
        <v>0.48</v>
      </c>
      <c r="K9" s="54">
        <v>339.47</v>
      </c>
      <c r="L9" s="54">
        <v>23.26</v>
      </c>
      <c r="M9" s="54">
        <v>98.14</v>
      </c>
      <c r="N9" s="54">
        <v>49.3</v>
      </c>
      <c r="O9" s="54">
        <v>0</v>
      </c>
      <c r="P9" s="54">
        <v>1.04</v>
      </c>
      <c r="Q9" s="54">
        <v>9.51</v>
      </c>
      <c r="R9" s="43"/>
      <c r="S9" s="43"/>
      <c r="T9" s="43"/>
      <c r="U9" s="43"/>
    </row>
    <row r="10" spans="1:21" s="11" customFormat="1" x14ac:dyDescent="0.25">
      <c r="A10" s="53" t="s">
        <v>85</v>
      </c>
      <c r="B10" s="54">
        <v>18.27</v>
      </c>
      <c r="C10" s="54">
        <v>14.38</v>
      </c>
      <c r="D10" s="54">
        <v>20.79</v>
      </c>
      <c r="E10" s="54">
        <v>4.5199999999999996</v>
      </c>
      <c r="F10" s="54">
        <v>7.54</v>
      </c>
      <c r="G10" s="54">
        <v>75.03</v>
      </c>
      <c r="H10" s="54">
        <v>9.2100000000000009</v>
      </c>
      <c r="I10" s="54">
        <v>3.05</v>
      </c>
      <c r="J10" s="54">
        <v>0.46</v>
      </c>
      <c r="K10" s="54">
        <v>346.51</v>
      </c>
      <c r="L10" s="54">
        <v>22.98</v>
      </c>
      <c r="M10" s="54">
        <v>98.15</v>
      </c>
      <c r="N10" s="54">
        <v>49.5</v>
      </c>
      <c r="O10" s="54">
        <v>0</v>
      </c>
      <c r="P10" s="54">
        <v>0.76</v>
      </c>
      <c r="Q10" s="54">
        <v>9.52</v>
      </c>
      <c r="R10" s="43"/>
      <c r="S10" s="43"/>
      <c r="T10" s="43"/>
      <c r="U10" s="43"/>
    </row>
    <row r="11" spans="1:21" s="11" customFormat="1" x14ac:dyDescent="0.25">
      <c r="A11" s="53" t="s">
        <v>86</v>
      </c>
      <c r="B11" s="54">
        <v>20.39</v>
      </c>
      <c r="C11" s="54">
        <v>13.7</v>
      </c>
      <c r="D11" s="54">
        <v>20.09</v>
      </c>
      <c r="E11" s="54">
        <v>4.51</v>
      </c>
      <c r="F11" s="54">
        <v>6.6</v>
      </c>
      <c r="G11" s="54">
        <v>78.61</v>
      </c>
      <c r="H11" s="54">
        <v>7.6</v>
      </c>
      <c r="I11" s="54">
        <v>3.03</v>
      </c>
      <c r="J11" s="54">
        <v>0.24</v>
      </c>
      <c r="K11" s="54">
        <v>357.04</v>
      </c>
      <c r="L11" s="54">
        <v>22.68</v>
      </c>
      <c r="M11" s="54">
        <v>98.24</v>
      </c>
      <c r="N11" s="54">
        <v>49.7</v>
      </c>
      <c r="O11" s="54">
        <v>0</v>
      </c>
      <c r="P11" s="54">
        <v>0.82</v>
      </c>
      <c r="Q11" s="54">
        <v>9.49</v>
      </c>
      <c r="R11" s="43"/>
      <c r="S11" s="43"/>
      <c r="T11" s="43"/>
      <c r="U11" s="43"/>
    </row>
    <row r="12" spans="1:21" s="11" customFormat="1" x14ac:dyDescent="0.25">
      <c r="A12" s="53" t="s">
        <v>87</v>
      </c>
      <c r="B12" s="54">
        <v>20.170000000000002</v>
      </c>
      <c r="C12" s="54">
        <v>9.34</v>
      </c>
      <c r="D12" s="54">
        <v>19.190000000000001</v>
      </c>
      <c r="E12" s="54">
        <v>4.24</v>
      </c>
      <c r="F12" s="54">
        <v>9.61</v>
      </c>
      <c r="G12" s="54">
        <v>78.27</v>
      </c>
      <c r="H12" s="54">
        <v>12.08</v>
      </c>
      <c r="I12" s="54">
        <v>2.96</v>
      </c>
      <c r="J12" s="54">
        <v>0.53</v>
      </c>
      <c r="K12" s="54">
        <v>342.84</v>
      </c>
      <c r="L12" s="54">
        <v>22.75</v>
      </c>
      <c r="M12" s="54">
        <v>98.28</v>
      </c>
      <c r="N12" s="54">
        <v>49.9</v>
      </c>
      <c r="O12" s="54">
        <v>0</v>
      </c>
      <c r="P12" s="54">
        <v>0.81</v>
      </c>
      <c r="Q12" s="54">
        <v>9.44</v>
      </c>
      <c r="R12" s="43"/>
      <c r="S12" s="43"/>
      <c r="T12" s="43"/>
      <c r="U12" s="43"/>
    </row>
    <row r="13" spans="1:21" s="11" customFormat="1" x14ac:dyDescent="0.25">
      <c r="A13" s="53" t="s">
        <v>88</v>
      </c>
      <c r="B13" s="54">
        <v>20.99</v>
      </c>
      <c r="C13" s="54">
        <v>11.75</v>
      </c>
      <c r="D13" s="54">
        <v>21.76</v>
      </c>
      <c r="E13" s="54">
        <v>3.98</v>
      </c>
      <c r="F13" s="54">
        <v>7.18</v>
      </c>
      <c r="G13" s="54">
        <v>81.23</v>
      </c>
      <c r="H13" s="54">
        <v>10.71</v>
      </c>
      <c r="I13" s="54">
        <v>2.93</v>
      </c>
      <c r="J13" s="54">
        <v>0.2</v>
      </c>
      <c r="K13" s="54">
        <v>346.42</v>
      </c>
      <c r="L13" s="54">
        <v>22.65</v>
      </c>
      <c r="M13" s="54">
        <v>98.48</v>
      </c>
      <c r="N13" s="54">
        <v>50.1</v>
      </c>
      <c r="O13" s="54">
        <v>0</v>
      </c>
      <c r="P13" s="54">
        <v>0.66</v>
      </c>
      <c r="Q13" s="54">
        <v>9.39</v>
      </c>
      <c r="R13" s="43"/>
      <c r="S13" s="43"/>
      <c r="T13" s="43"/>
      <c r="U13" s="43"/>
    </row>
    <row r="14" spans="1:21" s="11" customFormat="1" x14ac:dyDescent="0.25">
      <c r="A14" s="53" t="s">
        <v>89</v>
      </c>
      <c r="B14" s="54">
        <v>21.9</v>
      </c>
      <c r="C14" s="54">
        <v>10.36</v>
      </c>
      <c r="D14" s="54">
        <v>21.73</v>
      </c>
      <c r="E14" s="54">
        <v>4.25</v>
      </c>
      <c r="F14" s="54">
        <v>9.31</v>
      </c>
      <c r="G14" s="54">
        <v>80.7</v>
      </c>
      <c r="H14" s="54">
        <v>8.65</v>
      </c>
      <c r="I14" s="54">
        <v>2.85</v>
      </c>
      <c r="J14" s="54">
        <v>0.12</v>
      </c>
      <c r="K14" s="54">
        <v>359.69</v>
      </c>
      <c r="L14" s="54">
        <v>22.52</v>
      </c>
      <c r="M14" s="54">
        <v>98.48</v>
      </c>
      <c r="N14" s="54">
        <v>52.8</v>
      </c>
      <c r="O14" s="54">
        <v>0</v>
      </c>
      <c r="P14" s="54">
        <v>0.7</v>
      </c>
      <c r="Q14" s="54">
        <v>9.42</v>
      </c>
      <c r="R14" s="43"/>
      <c r="S14" s="43"/>
      <c r="T14" s="43"/>
      <c r="U14" s="43"/>
    </row>
    <row r="15" spans="1:21" s="11" customFormat="1" x14ac:dyDescent="0.25">
      <c r="A15" s="53" t="s">
        <v>90</v>
      </c>
      <c r="B15" s="54">
        <v>26.36</v>
      </c>
      <c r="C15" s="54">
        <v>10.7</v>
      </c>
      <c r="D15" s="54">
        <v>26.63</v>
      </c>
      <c r="E15" s="54">
        <v>4.29</v>
      </c>
      <c r="F15" s="54">
        <v>7.89</v>
      </c>
      <c r="G15" s="54">
        <v>76.959999999999994</v>
      </c>
      <c r="H15" s="54">
        <v>7.21</v>
      </c>
      <c r="I15" s="54">
        <v>2.67</v>
      </c>
      <c r="J15" s="54">
        <v>0.69</v>
      </c>
      <c r="K15" s="54">
        <v>339.79</v>
      </c>
      <c r="L15" s="54">
        <v>23.86</v>
      </c>
      <c r="M15" s="54">
        <v>98.4</v>
      </c>
      <c r="N15" s="54">
        <v>146.6</v>
      </c>
      <c r="O15" s="54">
        <v>0</v>
      </c>
      <c r="P15" s="54">
        <v>0.69</v>
      </c>
      <c r="Q15" s="54">
        <v>9.43</v>
      </c>
      <c r="R15" s="43"/>
      <c r="S15" s="43"/>
      <c r="T15" s="43"/>
      <c r="U15" s="43"/>
    </row>
    <row r="16" spans="1:21" s="11" customFormat="1" x14ac:dyDescent="0.25">
      <c r="A16" s="53" t="s">
        <v>91</v>
      </c>
      <c r="B16" s="54">
        <v>23.75</v>
      </c>
      <c r="C16" s="54">
        <v>10.210000000000001</v>
      </c>
      <c r="D16" s="54">
        <v>24.36</v>
      </c>
      <c r="E16" s="54">
        <v>4.74</v>
      </c>
      <c r="F16" s="54">
        <v>10.39</v>
      </c>
      <c r="G16" s="54">
        <v>72.239999999999995</v>
      </c>
      <c r="H16" s="54">
        <v>11.3</v>
      </c>
      <c r="I16" s="54">
        <v>2.61</v>
      </c>
      <c r="J16" s="54">
        <v>1.18</v>
      </c>
      <c r="K16" s="54">
        <v>338.96</v>
      </c>
      <c r="L16" s="54">
        <v>25.08</v>
      </c>
      <c r="M16" s="54">
        <v>98.32</v>
      </c>
      <c r="N16" s="54">
        <v>173.8</v>
      </c>
      <c r="O16" s="54">
        <v>0</v>
      </c>
      <c r="P16" s="54">
        <v>0.75</v>
      </c>
      <c r="Q16" s="54">
        <v>9.4</v>
      </c>
      <c r="R16" s="43"/>
      <c r="S16" s="43"/>
      <c r="T16" s="43"/>
      <c r="U16" s="43"/>
    </row>
    <row r="17" spans="1:21" s="11" customFormat="1" x14ac:dyDescent="0.25">
      <c r="A17" s="53" t="s">
        <v>92</v>
      </c>
      <c r="B17" s="54">
        <v>24.64</v>
      </c>
      <c r="C17" s="54">
        <v>12.66</v>
      </c>
      <c r="D17" s="54">
        <v>24.76</v>
      </c>
      <c r="E17" s="54">
        <v>4.9400000000000004</v>
      </c>
      <c r="F17" s="54">
        <v>10.74</v>
      </c>
      <c r="G17" s="54">
        <v>79.650000000000006</v>
      </c>
      <c r="H17" s="54">
        <v>10</v>
      </c>
      <c r="I17" s="54">
        <v>2.4300000000000002</v>
      </c>
      <c r="J17" s="54">
        <v>0.7</v>
      </c>
      <c r="K17" s="54">
        <v>339.74</v>
      </c>
      <c r="L17" s="54">
        <v>26.71</v>
      </c>
      <c r="M17" s="54">
        <v>98.35</v>
      </c>
      <c r="N17" s="54">
        <v>391.9</v>
      </c>
      <c r="O17" s="54">
        <v>0</v>
      </c>
      <c r="P17" s="54">
        <v>0.72</v>
      </c>
      <c r="Q17" s="54">
        <v>9.42</v>
      </c>
      <c r="R17" s="43"/>
      <c r="S17" s="43"/>
      <c r="T17" s="43"/>
      <c r="U17" s="43"/>
    </row>
    <row r="18" spans="1:21" s="11" customFormat="1" x14ac:dyDescent="0.25">
      <c r="A18" s="53" t="s">
        <v>93</v>
      </c>
      <c r="B18" s="54">
        <v>23.8</v>
      </c>
      <c r="C18" s="54">
        <v>13.19</v>
      </c>
      <c r="D18" s="54">
        <v>25.98</v>
      </c>
      <c r="E18" s="54">
        <v>6.16</v>
      </c>
      <c r="F18" s="54">
        <v>9.27</v>
      </c>
      <c r="G18" s="54">
        <v>85.87</v>
      </c>
      <c r="H18" s="54">
        <v>8.15</v>
      </c>
      <c r="I18" s="54">
        <v>2.37</v>
      </c>
      <c r="J18" s="54">
        <v>1.27</v>
      </c>
      <c r="K18" s="54">
        <v>339.15</v>
      </c>
      <c r="L18" s="54">
        <v>29.75</v>
      </c>
      <c r="M18" s="54">
        <v>91.94</v>
      </c>
      <c r="N18" s="54">
        <v>541</v>
      </c>
      <c r="O18" s="54">
        <v>0</v>
      </c>
      <c r="P18" s="54">
        <v>0.66</v>
      </c>
      <c r="Q18" s="54">
        <v>9.4600000000000009</v>
      </c>
      <c r="R18" s="43"/>
      <c r="S18" s="43"/>
      <c r="T18" s="43"/>
      <c r="U18" s="43"/>
    </row>
    <row r="19" spans="1:21" s="11" customFormat="1" x14ac:dyDescent="0.25">
      <c r="A19" s="53" t="s">
        <v>94</v>
      </c>
      <c r="B19" s="54">
        <v>26.09</v>
      </c>
      <c r="C19" s="54">
        <v>11.69</v>
      </c>
      <c r="D19" s="54">
        <v>26.43</v>
      </c>
      <c r="E19" s="54">
        <v>8.49</v>
      </c>
      <c r="F19" s="54">
        <v>9.86</v>
      </c>
      <c r="G19" s="54">
        <v>79.19</v>
      </c>
      <c r="H19" s="54">
        <v>6.86</v>
      </c>
      <c r="I19" s="54">
        <v>2.19</v>
      </c>
      <c r="J19" s="54">
        <v>1.26</v>
      </c>
      <c r="K19" s="54">
        <v>338.99</v>
      </c>
      <c r="L19" s="54">
        <v>30.92</v>
      </c>
      <c r="M19" s="54">
        <v>79.95</v>
      </c>
      <c r="N19" s="54">
        <v>633.20000000000005</v>
      </c>
      <c r="O19" s="54">
        <v>0</v>
      </c>
      <c r="P19" s="54">
        <v>0.56000000000000005</v>
      </c>
      <c r="Q19" s="54">
        <v>9.48</v>
      </c>
      <c r="R19" s="43"/>
      <c r="S19" s="43"/>
      <c r="T19" s="43"/>
      <c r="U19" s="43"/>
    </row>
    <row r="20" spans="1:21" s="11" customFormat="1" x14ac:dyDescent="0.25">
      <c r="A20" s="53" t="s">
        <v>95</v>
      </c>
      <c r="B20" s="54">
        <v>22.26</v>
      </c>
      <c r="C20" s="54">
        <v>12.41</v>
      </c>
      <c r="D20" s="54">
        <v>24.34</v>
      </c>
      <c r="E20" s="54">
        <v>10.91</v>
      </c>
      <c r="F20" s="54">
        <v>24.64</v>
      </c>
      <c r="G20" s="54">
        <v>69.89</v>
      </c>
      <c r="H20" s="54">
        <v>6.54</v>
      </c>
      <c r="I20" s="54">
        <v>2.0099999999999998</v>
      </c>
      <c r="J20" s="54">
        <v>1.57</v>
      </c>
      <c r="K20" s="54">
        <v>337.74</v>
      </c>
      <c r="L20" s="54">
        <v>31.02</v>
      </c>
      <c r="M20" s="54">
        <v>80.150000000000006</v>
      </c>
      <c r="N20" s="54">
        <v>454.1</v>
      </c>
      <c r="O20" s="54">
        <v>0</v>
      </c>
      <c r="P20" s="54">
        <v>0.57999999999999996</v>
      </c>
      <c r="Q20" s="54">
        <v>9.4700000000000006</v>
      </c>
      <c r="R20" s="43"/>
      <c r="S20" s="43"/>
      <c r="T20" s="43"/>
      <c r="U20" s="43"/>
    </row>
    <row r="21" spans="1:21" s="11" customFormat="1" x14ac:dyDescent="0.25">
      <c r="A21" s="53" t="s">
        <v>96</v>
      </c>
      <c r="B21" s="54">
        <v>18.75</v>
      </c>
      <c r="C21" s="54">
        <v>12.02</v>
      </c>
      <c r="D21" s="54">
        <v>20.74</v>
      </c>
      <c r="E21" s="54">
        <v>8.7799999999999994</v>
      </c>
      <c r="F21" s="54">
        <v>11.84</v>
      </c>
      <c r="G21" s="54">
        <v>73.12</v>
      </c>
      <c r="H21" s="54">
        <v>7.84</v>
      </c>
      <c r="I21" s="54">
        <v>1.91</v>
      </c>
      <c r="J21" s="54">
        <v>1.71</v>
      </c>
      <c r="K21" s="54">
        <v>338.73</v>
      </c>
      <c r="L21" s="54">
        <v>30.99</v>
      </c>
      <c r="M21" s="54">
        <v>83.9</v>
      </c>
      <c r="N21" s="54">
        <v>539</v>
      </c>
      <c r="O21" s="54">
        <v>0</v>
      </c>
      <c r="P21" s="54">
        <v>0.56000000000000005</v>
      </c>
      <c r="Q21" s="54">
        <v>9.39</v>
      </c>
      <c r="R21" s="43"/>
      <c r="S21" s="43"/>
      <c r="T21" s="43"/>
      <c r="U21" s="43"/>
    </row>
    <row r="22" spans="1:21" s="11" customFormat="1" x14ac:dyDescent="0.25">
      <c r="A22" s="53" t="s">
        <v>97</v>
      </c>
      <c r="B22" s="54">
        <v>16.41</v>
      </c>
      <c r="C22" s="54">
        <v>12.81</v>
      </c>
      <c r="D22" s="54">
        <v>19.7</v>
      </c>
      <c r="E22" s="54">
        <v>8.52</v>
      </c>
      <c r="F22" s="54">
        <v>13.92</v>
      </c>
      <c r="G22" s="54">
        <v>76.67</v>
      </c>
      <c r="H22" s="54">
        <v>8.44</v>
      </c>
      <c r="I22" s="54">
        <v>1.8</v>
      </c>
      <c r="J22" s="54">
        <v>2.08</v>
      </c>
      <c r="K22" s="54">
        <v>337.52</v>
      </c>
      <c r="L22" s="54">
        <v>30.35</v>
      </c>
      <c r="M22" s="54">
        <v>87.49</v>
      </c>
      <c r="N22" s="54">
        <v>333.8</v>
      </c>
      <c r="O22" s="54">
        <v>0</v>
      </c>
      <c r="P22" s="54">
        <v>0.56000000000000005</v>
      </c>
      <c r="Q22" s="54">
        <v>9.3000000000000007</v>
      </c>
      <c r="R22" s="43"/>
      <c r="S22" s="43"/>
      <c r="T22" s="43"/>
      <c r="U22" s="43"/>
    </row>
    <row r="23" spans="1:21" s="11" customFormat="1" x14ac:dyDescent="0.25">
      <c r="A23" s="53" t="s">
        <v>98</v>
      </c>
      <c r="B23" s="54">
        <v>13.18</v>
      </c>
      <c r="C23" s="54">
        <v>12.5</v>
      </c>
      <c r="D23" s="54">
        <v>16.64</v>
      </c>
      <c r="E23" s="54">
        <v>7.72</v>
      </c>
      <c r="F23" s="54">
        <v>650.69000000000005</v>
      </c>
      <c r="G23" s="54">
        <v>72.75</v>
      </c>
      <c r="H23" s="54">
        <v>7.07</v>
      </c>
      <c r="I23" s="54">
        <v>1.63</v>
      </c>
      <c r="J23" s="54">
        <v>1.72</v>
      </c>
      <c r="K23" s="54">
        <v>339.87</v>
      </c>
      <c r="L23" s="54">
        <v>29.47</v>
      </c>
      <c r="M23" s="54">
        <v>92.99</v>
      </c>
      <c r="N23" s="54">
        <v>240.8</v>
      </c>
      <c r="O23" s="54">
        <v>0</v>
      </c>
      <c r="P23" s="54">
        <v>0.56999999999999995</v>
      </c>
      <c r="Q23" s="54">
        <v>9.2799999999999994</v>
      </c>
      <c r="R23" s="43"/>
      <c r="S23" s="43"/>
      <c r="T23" s="43"/>
      <c r="U23" s="43"/>
    </row>
    <row r="24" spans="1:21" s="11" customFormat="1" x14ac:dyDescent="0.25">
      <c r="A24" s="53" t="s">
        <v>99</v>
      </c>
      <c r="B24" s="54">
        <v>16.98</v>
      </c>
      <c r="C24" s="54">
        <v>16.37</v>
      </c>
      <c r="D24" s="54">
        <v>22.17</v>
      </c>
      <c r="E24" s="54">
        <v>7.45</v>
      </c>
      <c r="F24" s="54">
        <v>578.74</v>
      </c>
      <c r="G24" s="54">
        <v>63.2</v>
      </c>
      <c r="H24" s="54">
        <v>9.68</v>
      </c>
      <c r="I24" s="54">
        <v>1.59</v>
      </c>
      <c r="J24" s="54">
        <v>1.28</v>
      </c>
      <c r="K24" s="54">
        <v>339.45</v>
      </c>
      <c r="L24" s="54">
        <v>28.07</v>
      </c>
      <c r="M24" s="54">
        <v>98.22</v>
      </c>
      <c r="N24" s="54">
        <v>115.9</v>
      </c>
      <c r="O24" s="54">
        <v>0</v>
      </c>
      <c r="P24" s="54">
        <v>0.74</v>
      </c>
      <c r="Q24" s="54">
        <v>9.26</v>
      </c>
      <c r="R24" s="43"/>
      <c r="S24" s="43"/>
      <c r="T24" s="43"/>
      <c r="U24" s="43"/>
    </row>
    <row r="25" spans="1:21" s="11" customFormat="1" x14ac:dyDescent="0.25">
      <c r="A25" s="53" t="s">
        <v>100</v>
      </c>
      <c r="B25" s="54">
        <v>16.350000000000001</v>
      </c>
      <c r="C25" s="54">
        <v>16.03</v>
      </c>
      <c r="D25" s="54">
        <v>21.49</v>
      </c>
      <c r="E25" s="54">
        <v>7.48</v>
      </c>
      <c r="F25" s="54">
        <v>14.9</v>
      </c>
      <c r="G25" s="54">
        <v>65.489999999999995</v>
      </c>
      <c r="H25" s="54">
        <v>8.09</v>
      </c>
      <c r="I25" s="54">
        <v>1.56</v>
      </c>
      <c r="J25" s="54">
        <v>0.91</v>
      </c>
      <c r="K25" s="54">
        <v>332.74</v>
      </c>
      <c r="L25" s="54">
        <v>27.82</v>
      </c>
      <c r="M25" s="54">
        <v>98.89</v>
      </c>
      <c r="N25" s="54">
        <v>116</v>
      </c>
      <c r="O25" s="54">
        <v>0</v>
      </c>
      <c r="P25" s="54">
        <v>0.68</v>
      </c>
      <c r="Q25" s="54">
        <v>9.19</v>
      </c>
      <c r="R25" s="43"/>
      <c r="S25" s="43"/>
      <c r="T25" s="43"/>
      <c r="U25" s="43"/>
    </row>
    <row r="26" spans="1:21" s="11" customFormat="1" x14ac:dyDescent="0.25">
      <c r="A26" s="53" t="s">
        <v>101</v>
      </c>
      <c r="B26" s="54">
        <v>19.649999999999999</v>
      </c>
      <c r="C26" s="54">
        <v>22.45</v>
      </c>
      <c r="D26" s="54">
        <v>26.96</v>
      </c>
      <c r="E26" s="54">
        <v>6.71</v>
      </c>
      <c r="F26" s="54">
        <v>13.9</v>
      </c>
      <c r="G26" s="54">
        <v>63.96</v>
      </c>
      <c r="H26" s="54">
        <v>8.4700000000000006</v>
      </c>
      <c r="I26" s="54">
        <v>1.59</v>
      </c>
      <c r="J26" s="54">
        <v>0.6</v>
      </c>
      <c r="K26" s="54">
        <v>340.56</v>
      </c>
      <c r="L26" s="54">
        <v>26.47</v>
      </c>
      <c r="M26" s="54">
        <v>98.97</v>
      </c>
      <c r="N26" s="54">
        <v>72.7</v>
      </c>
      <c r="O26" s="54">
        <v>0</v>
      </c>
      <c r="P26" s="54">
        <v>1.01</v>
      </c>
      <c r="Q26" s="54">
        <v>9.17</v>
      </c>
      <c r="R26" s="43"/>
      <c r="S26" s="43"/>
      <c r="T26" s="43"/>
      <c r="U26" s="43"/>
    </row>
    <row r="27" spans="1:21" s="11" customFormat="1" x14ac:dyDescent="0.25">
      <c r="A27" s="53" t="s">
        <v>102</v>
      </c>
      <c r="B27" s="54">
        <v>16.73</v>
      </c>
      <c r="C27" s="54">
        <v>14.13</v>
      </c>
      <c r="D27" s="54">
        <v>20.23</v>
      </c>
      <c r="E27" s="54">
        <v>6.52</v>
      </c>
      <c r="F27" s="54">
        <v>11.16</v>
      </c>
      <c r="G27" s="54">
        <v>62.8</v>
      </c>
      <c r="H27" s="54">
        <v>7.35</v>
      </c>
      <c r="I27" s="54">
        <v>1.76</v>
      </c>
      <c r="J27" s="54">
        <v>0.95</v>
      </c>
      <c r="K27" s="54">
        <v>337.77</v>
      </c>
      <c r="L27" s="54">
        <v>26.48</v>
      </c>
      <c r="M27" s="54">
        <v>98.9</v>
      </c>
      <c r="N27" s="54">
        <v>55.8</v>
      </c>
      <c r="O27" s="54">
        <v>0</v>
      </c>
      <c r="P27" s="54">
        <v>1.03</v>
      </c>
      <c r="Q27" s="54">
        <v>9.24</v>
      </c>
      <c r="R27" s="43"/>
      <c r="S27" s="43"/>
      <c r="T27" s="43"/>
      <c r="U27" s="43"/>
    </row>
    <row r="28" spans="1:21" s="11" customFormat="1" x14ac:dyDescent="0.25">
      <c r="A28" s="53" t="s">
        <v>103</v>
      </c>
      <c r="B28" s="54">
        <v>17.78</v>
      </c>
      <c r="C28" s="54">
        <v>16.63</v>
      </c>
      <c r="D28" s="54">
        <v>21.63</v>
      </c>
      <c r="E28" s="54">
        <v>6.95</v>
      </c>
      <c r="F28" s="54">
        <v>10.5</v>
      </c>
      <c r="G28" s="54">
        <v>57.87</v>
      </c>
      <c r="H28" s="54">
        <v>10.47</v>
      </c>
      <c r="I28" s="54">
        <v>2.09</v>
      </c>
      <c r="J28" s="54">
        <v>0.65</v>
      </c>
      <c r="K28" s="54">
        <v>330.28</v>
      </c>
      <c r="L28" s="54">
        <v>26.18</v>
      </c>
      <c r="M28" s="54">
        <v>98.8</v>
      </c>
      <c r="N28" s="54">
        <v>57.2</v>
      </c>
      <c r="O28" s="54">
        <v>0</v>
      </c>
      <c r="P28" s="54">
        <v>1.52</v>
      </c>
      <c r="Q28" s="54">
        <v>9.27</v>
      </c>
      <c r="R28" s="43"/>
      <c r="S28" s="43"/>
      <c r="T28" s="43"/>
      <c r="U28" s="43"/>
    </row>
    <row r="29" spans="1:21" s="11" customFormat="1" x14ac:dyDescent="0.25">
      <c r="A29" s="53" t="s">
        <v>104</v>
      </c>
      <c r="B29" s="54">
        <v>24.1</v>
      </c>
      <c r="C29" s="54">
        <v>16.329999999999998</v>
      </c>
      <c r="D29" s="54">
        <v>27.37</v>
      </c>
      <c r="E29" s="54">
        <v>6.56</v>
      </c>
      <c r="F29" s="54">
        <v>9.34</v>
      </c>
      <c r="G29" s="54">
        <v>66.5</v>
      </c>
      <c r="H29" s="54">
        <v>8.49</v>
      </c>
      <c r="I29" s="54">
        <v>2.34</v>
      </c>
      <c r="J29" s="54">
        <v>1.49</v>
      </c>
      <c r="K29" s="54">
        <v>335.32</v>
      </c>
      <c r="L29" s="54">
        <v>26.16</v>
      </c>
      <c r="M29" s="54">
        <v>98.7</v>
      </c>
      <c r="N29" s="54">
        <v>58.4</v>
      </c>
      <c r="O29" s="54">
        <v>0</v>
      </c>
      <c r="P29" s="54">
        <v>0.94</v>
      </c>
      <c r="Q29" s="54">
        <v>9.27</v>
      </c>
      <c r="R29" s="43"/>
      <c r="S29" s="43"/>
      <c r="T29" s="43"/>
      <c r="U29" s="43"/>
    </row>
    <row r="30" spans="1:21" s="11" customFormat="1" x14ac:dyDescent="0.25">
      <c r="A30" s="53" t="s">
        <v>105</v>
      </c>
      <c r="B30" s="54">
        <v>31.63</v>
      </c>
      <c r="C30" s="54">
        <v>9.42</v>
      </c>
      <c r="D30" s="54">
        <v>28.91</v>
      </c>
      <c r="E30" s="54">
        <v>6.76</v>
      </c>
      <c r="F30" s="54">
        <v>11.37</v>
      </c>
      <c r="G30" s="54">
        <v>70.75</v>
      </c>
      <c r="H30" s="54">
        <v>7.1</v>
      </c>
      <c r="I30" s="54">
        <v>2.4300000000000002</v>
      </c>
      <c r="J30" s="54">
        <v>1.65</v>
      </c>
      <c r="K30" s="54">
        <v>335.67</v>
      </c>
      <c r="L30" s="54">
        <v>25.64</v>
      </c>
      <c r="M30" s="54">
        <v>98.82</v>
      </c>
      <c r="N30" s="54">
        <v>60.4</v>
      </c>
      <c r="O30" s="54">
        <v>0</v>
      </c>
      <c r="P30" s="54">
        <v>0.96</v>
      </c>
      <c r="Q30" s="54">
        <v>9.35</v>
      </c>
      <c r="R30" s="43"/>
      <c r="S30" s="43"/>
      <c r="T30" s="43"/>
      <c r="U30" s="43"/>
    </row>
    <row r="31" spans="1:21" s="11" customFormat="1" x14ac:dyDescent="0.25">
      <c r="A31" s="53" t="s">
        <v>106</v>
      </c>
      <c r="B31" s="54">
        <v>18.88</v>
      </c>
      <c r="C31" s="54">
        <v>11.83</v>
      </c>
      <c r="D31" s="54">
        <v>18.920000000000002</v>
      </c>
      <c r="E31" s="54">
        <v>6.34</v>
      </c>
      <c r="F31" s="54">
        <v>9.3800000000000008</v>
      </c>
      <c r="G31" s="54">
        <v>65.84</v>
      </c>
      <c r="H31" s="54">
        <v>6.12</v>
      </c>
      <c r="I31" s="54">
        <v>2.39</v>
      </c>
      <c r="J31" s="54">
        <v>0.68</v>
      </c>
      <c r="K31" s="54">
        <v>335.6</v>
      </c>
      <c r="L31" s="54">
        <v>22.75</v>
      </c>
      <c r="M31" s="54">
        <v>99.24</v>
      </c>
      <c r="N31" s="54">
        <v>59.9</v>
      </c>
      <c r="O31" s="54">
        <v>0</v>
      </c>
      <c r="P31" s="54">
        <v>0.83</v>
      </c>
      <c r="Q31" s="54">
        <v>9.36</v>
      </c>
      <c r="R31" s="43"/>
      <c r="S31" s="43"/>
      <c r="T31" s="43"/>
      <c r="U31" s="43"/>
    </row>
    <row r="32" spans="1:21" s="11" customFormat="1" x14ac:dyDescent="0.25">
      <c r="A32" s="53" t="s">
        <v>107</v>
      </c>
      <c r="B32" s="54">
        <v>14.4</v>
      </c>
      <c r="C32" s="54">
        <v>8.42</v>
      </c>
      <c r="D32" s="54">
        <v>15.78</v>
      </c>
      <c r="E32" s="54">
        <v>5.95</v>
      </c>
      <c r="F32" s="54">
        <v>10.99</v>
      </c>
      <c r="G32" s="54">
        <v>44.61</v>
      </c>
      <c r="H32" s="54">
        <v>9.06</v>
      </c>
      <c r="I32" s="54">
        <v>2.2400000000000002</v>
      </c>
      <c r="J32" s="54">
        <v>0.41</v>
      </c>
      <c r="K32" s="54">
        <v>333</v>
      </c>
      <c r="L32" s="54">
        <v>22.78</v>
      </c>
      <c r="M32" s="54">
        <v>99.06</v>
      </c>
      <c r="N32" s="54">
        <v>60.4</v>
      </c>
      <c r="O32" s="54">
        <v>0</v>
      </c>
      <c r="P32" s="54">
        <v>0.67</v>
      </c>
      <c r="Q32" s="54">
        <v>9.34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13.18</v>
      </c>
      <c r="C34" s="28">
        <f t="shared" si="0"/>
        <v>8.42</v>
      </c>
      <c r="D34" s="28">
        <f t="shared" si="0"/>
        <v>15.78</v>
      </c>
      <c r="E34" s="28">
        <f t="shared" si="0"/>
        <v>3.98</v>
      </c>
      <c r="F34" s="28">
        <f t="shared" si="0"/>
        <v>6.6</v>
      </c>
      <c r="G34" s="28">
        <f t="shared" si="0"/>
        <v>44.61</v>
      </c>
      <c r="H34" s="28">
        <f t="shared" si="0"/>
        <v>6.12</v>
      </c>
      <c r="I34" s="28">
        <f t="shared" si="0"/>
        <v>1.56</v>
      </c>
      <c r="J34" s="28">
        <f t="shared" si="0"/>
        <v>0.12</v>
      </c>
      <c r="K34" s="28">
        <f t="shared" si="0"/>
        <v>330.28</v>
      </c>
      <c r="L34" s="28">
        <f t="shared" si="0"/>
        <v>22.52</v>
      </c>
      <c r="M34" s="28">
        <f t="shared" si="0"/>
        <v>79.95</v>
      </c>
      <c r="N34" s="28">
        <f t="shared" si="0"/>
        <v>49.3</v>
      </c>
      <c r="O34" s="28">
        <f t="shared" si="0"/>
        <v>0</v>
      </c>
      <c r="P34" s="28">
        <f t="shared" si="0"/>
        <v>0.56000000000000005</v>
      </c>
      <c r="Q34" s="28">
        <f t="shared" si="0"/>
        <v>9.17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31.63</v>
      </c>
      <c r="C35" s="29">
        <f t="shared" si="1"/>
        <v>22.45</v>
      </c>
      <c r="D35" s="29">
        <f t="shared" si="1"/>
        <v>28.91</v>
      </c>
      <c r="E35" s="29">
        <f t="shared" si="1"/>
        <v>10.91</v>
      </c>
      <c r="F35" s="29">
        <f t="shared" si="1"/>
        <v>650.69000000000005</v>
      </c>
      <c r="G35" s="29">
        <f t="shared" si="1"/>
        <v>85.87</v>
      </c>
      <c r="H35" s="29">
        <f t="shared" si="1"/>
        <v>12.08</v>
      </c>
      <c r="I35" s="29">
        <f t="shared" si="1"/>
        <v>3.05</v>
      </c>
      <c r="J35" s="29">
        <f t="shared" si="1"/>
        <v>2.08</v>
      </c>
      <c r="K35" s="29">
        <f t="shared" si="1"/>
        <v>359.69</v>
      </c>
      <c r="L35" s="29">
        <f t="shared" si="1"/>
        <v>31.02</v>
      </c>
      <c r="M35" s="29">
        <f t="shared" si="1"/>
        <v>99.24</v>
      </c>
      <c r="N35" s="29">
        <f t="shared" si="1"/>
        <v>633.20000000000005</v>
      </c>
      <c r="O35" s="29">
        <f t="shared" si="1"/>
        <v>0</v>
      </c>
      <c r="P35" s="29">
        <f t="shared" si="1"/>
        <v>1.52</v>
      </c>
      <c r="Q35" s="29">
        <f t="shared" si="1"/>
        <v>9.52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20.600416666666671</v>
      </c>
      <c r="C36" s="28">
        <f t="shared" si="2"/>
        <v>13.290416666666667</v>
      </c>
      <c r="D36" s="28">
        <f t="shared" si="2"/>
        <v>22.479583333333334</v>
      </c>
      <c r="E36" s="28">
        <f t="shared" si="2"/>
        <v>6.308749999999999</v>
      </c>
      <c r="F36" s="28">
        <f t="shared" si="2"/>
        <v>61.305000000000014</v>
      </c>
      <c r="G36" s="28">
        <f t="shared" si="2"/>
        <v>71.351666666666659</v>
      </c>
      <c r="H36" s="28">
        <f t="shared" si="2"/>
        <v>8.65</v>
      </c>
      <c r="I36" s="28">
        <f t="shared" si="2"/>
        <v>2.3087500000000003</v>
      </c>
      <c r="J36" s="28">
        <f t="shared" si="2"/>
        <v>0.95124999999999982</v>
      </c>
      <c r="K36" s="28">
        <f t="shared" si="2"/>
        <v>340.11874999999998</v>
      </c>
      <c r="L36" s="28">
        <f t="shared" si="2"/>
        <v>26.139166666666664</v>
      </c>
      <c r="M36" s="28">
        <f t="shared" si="2"/>
        <v>95.452500000000001</v>
      </c>
      <c r="N36" s="28">
        <f t="shared" si="2"/>
        <v>183.84166666666661</v>
      </c>
      <c r="O36" s="28">
        <f t="shared" si="2"/>
        <v>0</v>
      </c>
      <c r="P36" s="28">
        <f t="shared" si="2"/>
        <v>0.78416666666666668</v>
      </c>
      <c r="Q36" s="28">
        <f t="shared" si="2"/>
        <v>9.3687500000000021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4.255548275274097</v>
      </c>
      <c r="C37" s="28">
        <f t="shared" ref="C37:Q37" si="3">STDEV(C9:C32)</f>
        <v>3.3196954799665193</v>
      </c>
      <c r="D37" s="28">
        <f t="shared" si="3"/>
        <v>3.4423152966353023</v>
      </c>
      <c r="E37" s="28">
        <f t="shared" si="3"/>
        <v>1.7961100782088748</v>
      </c>
      <c r="F37" s="28">
        <f t="shared" si="3"/>
        <v>170.81491323244788</v>
      </c>
      <c r="G37" s="28">
        <f t="shared" si="3"/>
        <v>9.0592727737057395</v>
      </c>
      <c r="H37" s="28">
        <f t="shared" si="3"/>
        <v>1.6272676485446362</v>
      </c>
      <c r="I37" s="28">
        <f t="shared" si="3"/>
        <v>0.50280355313330261</v>
      </c>
      <c r="J37" s="28">
        <f t="shared" si="3"/>
        <v>0.55463511311100056</v>
      </c>
      <c r="K37" s="28">
        <f t="shared" si="3"/>
        <v>6.7478571880586511</v>
      </c>
      <c r="L37" s="28">
        <f t="shared" si="3"/>
        <v>3.061052556494801</v>
      </c>
      <c r="M37" s="28">
        <f t="shared" si="3"/>
        <v>6.1426642357403409</v>
      </c>
      <c r="N37" s="28">
        <f t="shared" si="3"/>
        <v>189.03515871891153</v>
      </c>
      <c r="O37" s="28">
        <f t="shared" si="3"/>
        <v>0</v>
      </c>
      <c r="P37" s="28">
        <f t="shared" si="3"/>
        <v>0.21813272119966534</v>
      </c>
      <c r="Q37" s="28">
        <f t="shared" si="3"/>
        <v>0.10165211347489569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1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K19" sqref="K19"/>
    </sheetView>
  </sheetViews>
  <sheetFormatPr defaultColWidth="8.85546875" defaultRowHeight="15" x14ac:dyDescent="0.25"/>
  <cols>
    <col min="1" max="1" width="18.28515625" style="26" customWidth="1"/>
    <col min="2" max="2" width="13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03/10/2025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108</v>
      </c>
      <c r="B9" s="54">
        <v>14.85</v>
      </c>
      <c r="C9" s="54">
        <v>8.89</v>
      </c>
      <c r="D9" s="54">
        <v>16.559999999999999</v>
      </c>
      <c r="E9" s="54">
        <v>5.5</v>
      </c>
      <c r="F9" s="54">
        <v>9.9499999999999993</v>
      </c>
      <c r="G9" s="54">
        <v>37.700000000000003</v>
      </c>
      <c r="H9" s="54">
        <v>7.5</v>
      </c>
      <c r="I9" s="54">
        <v>2.12</v>
      </c>
      <c r="J9" s="54">
        <v>0.77</v>
      </c>
      <c r="K9" s="54">
        <v>339.96</v>
      </c>
      <c r="L9" s="54">
        <v>22.75</v>
      </c>
      <c r="M9" s="54">
        <v>98.65</v>
      </c>
      <c r="N9" s="54">
        <v>60.7</v>
      </c>
      <c r="O9" s="54">
        <v>0</v>
      </c>
      <c r="P9" s="54">
        <v>0.65</v>
      </c>
      <c r="Q9" s="54">
        <v>9.33</v>
      </c>
      <c r="R9" s="43"/>
      <c r="S9" s="43"/>
      <c r="T9" s="43"/>
      <c r="U9" s="43"/>
    </row>
    <row r="10" spans="1:21" s="11" customFormat="1" x14ac:dyDescent="0.25">
      <c r="A10" s="53" t="s">
        <v>109</v>
      </c>
      <c r="B10" s="54">
        <v>12.82</v>
      </c>
      <c r="C10" s="54">
        <v>10.74</v>
      </c>
      <c r="D10" s="54">
        <v>14.88</v>
      </c>
      <c r="E10" s="54">
        <v>5.49</v>
      </c>
      <c r="F10" s="54">
        <v>8.8699999999999992</v>
      </c>
      <c r="G10" s="54">
        <v>33.64</v>
      </c>
      <c r="H10" s="54">
        <v>6.4</v>
      </c>
      <c r="I10" s="54">
        <v>1.96</v>
      </c>
      <c r="J10" s="54">
        <v>1.2</v>
      </c>
      <c r="K10" s="54">
        <v>339.01</v>
      </c>
      <c r="L10" s="54">
        <v>22.55</v>
      </c>
      <c r="M10" s="54">
        <v>98.65</v>
      </c>
      <c r="N10" s="54">
        <v>61.9</v>
      </c>
      <c r="O10" s="54">
        <v>0.4</v>
      </c>
      <c r="P10" s="54">
        <v>0.63</v>
      </c>
      <c r="Q10" s="54">
        <v>9.26</v>
      </c>
      <c r="R10" s="43"/>
      <c r="S10" s="43"/>
      <c r="T10" s="43"/>
      <c r="U10" s="43"/>
    </row>
    <row r="11" spans="1:21" s="11" customFormat="1" x14ac:dyDescent="0.25">
      <c r="A11" s="53" t="s">
        <v>110</v>
      </c>
      <c r="B11" s="54">
        <v>12.27</v>
      </c>
      <c r="C11" s="54">
        <v>7.61</v>
      </c>
      <c r="D11" s="54">
        <v>13.63</v>
      </c>
      <c r="E11" s="54">
        <v>5.32</v>
      </c>
      <c r="F11" s="54">
        <v>9.83</v>
      </c>
      <c r="G11" s="54">
        <v>22.16</v>
      </c>
      <c r="H11" s="54">
        <v>5.69</v>
      </c>
      <c r="I11" s="54">
        <v>1.83</v>
      </c>
      <c r="J11" s="54">
        <v>1.37</v>
      </c>
      <c r="K11" s="54">
        <v>337.76</v>
      </c>
      <c r="L11" s="54">
        <v>22.37</v>
      </c>
      <c r="M11" s="54">
        <v>98.56</v>
      </c>
      <c r="N11" s="54">
        <v>62.9</v>
      </c>
      <c r="O11" s="54">
        <v>0.4</v>
      </c>
      <c r="P11" s="54">
        <v>0.59</v>
      </c>
      <c r="Q11" s="54">
        <v>9.1999999999999993</v>
      </c>
      <c r="R11" s="43"/>
      <c r="S11" s="43"/>
      <c r="T11" s="43"/>
      <c r="U11" s="43"/>
    </row>
    <row r="12" spans="1:21" s="11" customFormat="1" x14ac:dyDescent="0.25">
      <c r="A12" s="53" t="s">
        <v>111</v>
      </c>
      <c r="B12" s="54">
        <v>11.2</v>
      </c>
      <c r="C12" s="54">
        <v>8.7100000000000009</v>
      </c>
      <c r="D12" s="54">
        <v>12.72</v>
      </c>
      <c r="E12" s="54">
        <v>5.34</v>
      </c>
      <c r="F12" s="54">
        <v>9.5</v>
      </c>
      <c r="G12" s="54">
        <v>817.9</v>
      </c>
      <c r="H12" s="54">
        <v>10.02</v>
      </c>
      <c r="I12" s="54">
        <v>1.64</v>
      </c>
      <c r="J12" s="54">
        <v>1.29</v>
      </c>
      <c r="K12" s="54">
        <v>338.4</v>
      </c>
      <c r="L12" s="54">
        <v>22.21</v>
      </c>
      <c r="M12" s="54">
        <v>98.57</v>
      </c>
      <c r="N12" s="54">
        <v>62.8</v>
      </c>
      <c r="O12" s="54">
        <v>0</v>
      </c>
      <c r="P12" s="54">
        <v>0.53</v>
      </c>
      <c r="Q12" s="54">
        <v>9.18</v>
      </c>
      <c r="R12" s="43"/>
      <c r="S12" s="43"/>
      <c r="T12" s="43"/>
      <c r="U12" s="43"/>
    </row>
    <row r="13" spans="1:21" s="11" customFormat="1" x14ac:dyDescent="0.25">
      <c r="A13" s="53" t="s">
        <v>112</v>
      </c>
      <c r="B13" s="54">
        <v>10.82</v>
      </c>
      <c r="C13" s="54">
        <v>7.61</v>
      </c>
      <c r="D13" s="54">
        <v>12.65</v>
      </c>
      <c r="E13" s="54">
        <v>5.52</v>
      </c>
      <c r="F13" s="54">
        <v>8.9600000000000009</v>
      </c>
      <c r="G13" s="54">
        <v>71.39</v>
      </c>
      <c r="H13" s="54">
        <v>8.17</v>
      </c>
      <c r="I13" s="54">
        <v>1.6</v>
      </c>
      <c r="J13" s="54">
        <v>1.21</v>
      </c>
      <c r="K13" s="54">
        <v>338.32</v>
      </c>
      <c r="L13" s="54">
        <v>22.13</v>
      </c>
      <c r="M13" s="54">
        <v>98.55</v>
      </c>
      <c r="N13" s="54">
        <v>62.7</v>
      </c>
      <c r="O13" s="54">
        <v>0</v>
      </c>
      <c r="P13" s="54">
        <v>0.46</v>
      </c>
      <c r="Q13" s="54">
        <v>9.17</v>
      </c>
      <c r="R13" s="43"/>
      <c r="S13" s="43"/>
      <c r="T13" s="43"/>
      <c r="U13" s="43"/>
    </row>
    <row r="14" spans="1:21" s="11" customFormat="1" x14ac:dyDescent="0.25">
      <c r="A14" s="53" t="s">
        <v>113</v>
      </c>
      <c r="B14" s="54">
        <v>10.69</v>
      </c>
      <c r="C14" s="54">
        <v>6.84</v>
      </c>
      <c r="D14" s="54">
        <v>12</v>
      </c>
      <c r="E14" s="54">
        <v>5.2</v>
      </c>
      <c r="F14" s="54">
        <v>9.17</v>
      </c>
      <c r="G14" s="54">
        <v>30.47</v>
      </c>
      <c r="H14" s="54">
        <v>6.87</v>
      </c>
      <c r="I14" s="54">
        <v>1.52</v>
      </c>
      <c r="J14" s="54">
        <v>1.31</v>
      </c>
      <c r="K14" s="54">
        <v>339.19</v>
      </c>
      <c r="L14" s="54">
        <v>22.33</v>
      </c>
      <c r="M14" s="54">
        <v>98.5</v>
      </c>
      <c r="N14" s="54">
        <v>64.099999999999994</v>
      </c>
      <c r="O14" s="54">
        <v>0</v>
      </c>
      <c r="P14" s="54">
        <v>0.41</v>
      </c>
      <c r="Q14" s="54">
        <v>9.17</v>
      </c>
      <c r="R14" s="43"/>
      <c r="S14" s="43"/>
      <c r="T14" s="43"/>
      <c r="U14" s="43"/>
    </row>
    <row r="15" spans="1:21" s="11" customFormat="1" x14ac:dyDescent="0.25">
      <c r="A15" s="53" t="s">
        <v>114</v>
      </c>
      <c r="B15" s="54">
        <v>12.8</v>
      </c>
      <c r="C15" s="54">
        <v>8.64</v>
      </c>
      <c r="D15" s="54">
        <v>14.56</v>
      </c>
      <c r="E15" s="54">
        <v>5.33</v>
      </c>
      <c r="F15" s="54">
        <v>8.64</v>
      </c>
      <c r="G15" s="54">
        <v>38.270000000000003</v>
      </c>
      <c r="H15" s="54">
        <v>5.97</v>
      </c>
      <c r="I15" s="54">
        <v>1.46</v>
      </c>
      <c r="J15" s="54">
        <v>1</v>
      </c>
      <c r="K15" s="54">
        <v>339.09</v>
      </c>
      <c r="L15" s="54">
        <v>22.66</v>
      </c>
      <c r="M15" s="54">
        <v>98.51</v>
      </c>
      <c r="N15" s="54">
        <v>90.6</v>
      </c>
      <c r="O15" s="54">
        <v>0</v>
      </c>
      <c r="P15" s="54">
        <v>0.42</v>
      </c>
      <c r="Q15" s="54">
        <v>9.1300000000000008</v>
      </c>
      <c r="R15" s="43"/>
      <c r="S15" s="43"/>
      <c r="T15" s="43"/>
      <c r="U15" s="43"/>
    </row>
    <row r="16" spans="1:21" s="11" customFormat="1" x14ac:dyDescent="0.25">
      <c r="A16" s="53" t="s">
        <v>115</v>
      </c>
      <c r="B16" s="54">
        <v>14.77</v>
      </c>
      <c r="C16" s="54">
        <v>8.15</v>
      </c>
      <c r="D16" s="54">
        <v>16.100000000000001</v>
      </c>
      <c r="E16" s="54">
        <v>5.4</v>
      </c>
      <c r="F16" s="54">
        <v>8.3800000000000008</v>
      </c>
      <c r="G16" s="54">
        <v>36.22</v>
      </c>
      <c r="H16" s="54">
        <v>10.66</v>
      </c>
      <c r="I16" s="54">
        <v>1.51</v>
      </c>
      <c r="J16" s="54">
        <v>0.78</v>
      </c>
      <c r="K16" s="54">
        <v>337.51</v>
      </c>
      <c r="L16" s="54">
        <v>22.78</v>
      </c>
      <c r="M16" s="54">
        <v>98.45</v>
      </c>
      <c r="N16" s="54">
        <v>92.3</v>
      </c>
      <c r="O16" s="54">
        <v>0</v>
      </c>
      <c r="P16" s="54">
        <v>0.47</v>
      </c>
      <c r="Q16" s="54">
        <v>9.18</v>
      </c>
      <c r="R16" s="43"/>
      <c r="S16" s="43"/>
      <c r="T16" s="43"/>
      <c r="U16" s="43"/>
    </row>
    <row r="17" spans="1:21" s="11" customFormat="1" x14ac:dyDescent="0.25">
      <c r="A17" s="53" t="s">
        <v>116</v>
      </c>
      <c r="B17" s="54">
        <v>14.71</v>
      </c>
      <c r="C17" s="54">
        <v>7.03</v>
      </c>
      <c r="D17" s="54">
        <v>15.2</v>
      </c>
      <c r="E17" s="54">
        <v>4.76</v>
      </c>
      <c r="F17" s="54">
        <v>8.09</v>
      </c>
      <c r="G17" s="54">
        <v>45.78</v>
      </c>
      <c r="H17" s="54">
        <v>8.6199999999999992</v>
      </c>
      <c r="I17" s="54">
        <v>1.5</v>
      </c>
      <c r="J17" s="54">
        <v>1.19</v>
      </c>
      <c r="K17" s="54">
        <v>336.76</v>
      </c>
      <c r="L17" s="54">
        <v>23.47</v>
      </c>
      <c r="M17" s="54">
        <v>98.42</v>
      </c>
      <c r="N17" s="54">
        <v>178.3</v>
      </c>
      <c r="O17" s="54">
        <v>0</v>
      </c>
      <c r="P17" s="54">
        <v>0.48</v>
      </c>
      <c r="Q17" s="54">
        <v>9.24</v>
      </c>
      <c r="R17" s="43"/>
      <c r="S17" s="43"/>
      <c r="T17" s="43"/>
      <c r="U17" s="43"/>
    </row>
    <row r="18" spans="1:21" s="11" customFormat="1" x14ac:dyDescent="0.25">
      <c r="A18" s="53" t="s">
        <v>117</v>
      </c>
      <c r="B18" s="54">
        <v>15.22</v>
      </c>
      <c r="C18" s="54">
        <v>8.5399999999999991</v>
      </c>
      <c r="D18" s="54">
        <v>16.46</v>
      </c>
      <c r="E18" s="54">
        <v>5.13</v>
      </c>
      <c r="F18" s="54">
        <v>8.1999999999999993</v>
      </c>
      <c r="G18" s="54">
        <v>28.08</v>
      </c>
      <c r="H18" s="54">
        <v>7.19</v>
      </c>
      <c r="I18" s="54">
        <v>1.49</v>
      </c>
      <c r="J18" s="54">
        <v>1.1399999999999999</v>
      </c>
      <c r="K18" s="54">
        <v>335.54</v>
      </c>
      <c r="L18" s="54">
        <v>23.68</v>
      </c>
      <c r="M18" s="54">
        <v>98.46</v>
      </c>
      <c r="N18" s="54">
        <v>163.4</v>
      </c>
      <c r="O18" s="54">
        <v>0</v>
      </c>
      <c r="P18" s="54">
        <v>0.54</v>
      </c>
      <c r="Q18" s="54">
        <v>9.25</v>
      </c>
      <c r="R18" s="43"/>
      <c r="S18" s="43"/>
      <c r="T18" s="43"/>
      <c r="U18" s="43"/>
    </row>
    <row r="19" spans="1:21" s="11" customFormat="1" x14ac:dyDescent="0.25">
      <c r="A19" s="53" t="s">
        <v>118</v>
      </c>
      <c r="B19" s="54">
        <v>19</v>
      </c>
      <c r="C19" s="54">
        <v>9.57</v>
      </c>
      <c r="D19" s="54">
        <v>20.22</v>
      </c>
      <c r="E19" s="54">
        <v>4.8600000000000003</v>
      </c>
      <c r="F19" s="54">
        <v>16.11</v>
      </c>
      <c r="G19" s="54">
        <v>27.97</v>
      </c>
      <c r="H19" s="54">
        <v>6.19</v>
      </c>
      <c r="I19" s="54">
        <v>1.56</v>
      </c>
      <c r="J19" s="54">
        <v>0.98</v>
      </c>
      <c r="K19" s="54">
        <v>342.89</v>
      </c>
      <c r="L19" s="54">
        <v>24.55</v>
      </c>
      <c r="M19" s="54">
        <v>98.1</v>
      </c>
      <c r="N19" s="54">
        <v>297.89999999999998</v>
      </c>
      <c r="O19" s="54">
        <v>0</v>
      </c>
      <c r="P19" s="54">
        <v>0.74</v>
      </c>
      <c r="Q19" s="54">
        <v>9.23</v>
      </c>
      <c r="R19" s="43"/>
      <c r="S19" s="43"/>
      <c r="T19" s="43"/>
      <c r="U19" s="43"/>
    </row>
    <row r="20" spans="1:21" s="11" customFormat="1" x14ac:dyDescent="0.25">
      <c r="A20" s="53" t="s">
        <v>119</v>
      </c>
      <c r="B20" s="54">
        <v>23.21</v>
      </c>
      <c r="C20" s="54">
        <v>9.3699999999999992</v>
      </c>
      <c r="D20" s="54">
        <v>23.35</v>
      </c>
      <c r="E20" s="54">
        <v>4.8099999999999996</v>
      </c>
      <c r="F20" s="54">
        <v>9.6999999999999993</v>
      </c>
      <c r="G20" s="54">
        <v>12.62</v>
      </c>
      <c r="H20" s="54">
        <v>12.21</v>
      </c>
      <c r="I20" s="54">
        <v>1.65</v>
      </c>
      <c r="J20" s="54">
        <v>1.33</v>
      </c>
      <c r="K20" s="54">
        <v>336.86</v>
      </c>
      <c r="L20" s="54">
        <v>27.55</v>
      </c>
      <c r="M20" s="54">
        <v>97.98</v>
      </c>
      <c r="N20" s="54">
        <v>447</v>
      </c>
      <c r="O20" s="54">
        <v>0</v>
      </c>
      <c r="P20" s="54">
        <v>0.74</v>
      </c>
      <c r="Q20" s="54">
        <v>9.27</v>
      </c>
      <c r="R20" s="43"/>
      <c r="S20" s="43"/>
      <c r="T20" s="43"/>
      <c r="U20" s="43"/>
    </row>
    <row r="21" spans="1:21" s="11" customFormat="1" x14ac:dyDescent="0.25">
      <c r="A21" s="53" t="s">
        <v>120</v>
      </c>
      <c r="B21" s="54">
        <v>17.239999999999998</v>
      </c>
      <c r="C21" s="54">
        <v>7.07</v>
      </c>
      <c r="D21" s="54">
        <v>16.91</v>
      </c>
      <c r="E21" s="54">
        <v>5.05</v>
      </c>
      <c r="F21" s="54">
        <v>9.9700000000000006</v>
      </c>
      <c r="G21" s="54">
        <v>52.11</v>
      </c>
      <c r="H21" s="54">
        <v>9.6999999999999993</v>
      </c>
      <c r="I21" s="54">
        <v>1.57</v>
      </c>
      <c r="J21" s="54">
        <v>1.1100000000000001</v>
      </c>
      <c r="K21" s="54">
        <v>336.52</v>
      </c>
      <c r="L21" s="54">
        <v>30.25</v>
      </c>
      <c r="M21" s="54">
        <v>96.96</v>
      </c>
      <c r="N21" s="54">
        <v>755.6</v>
      </c>
      <c r="O21" s="54">
        <v>0</v>
      </c>
      <c r="P21" s="54">
        <v>0.59</v>
      </c>
      <c r="Q21" s="54">
        <v>9.27</v>
      </c>
      <c r="R21" s="43"/>
      <c r="S21" s="43"/>
      <c r="T21" s="43"/>
      <c r="U21" s="43"/>
    </row>
    <row r="22" spans="1:21" s="11" customFormat="1" x14ac:dyDescent="0.25">
      <c r="A22" s="53" t="s">
        <v>121</v>
      </c>
      <c r="B22" s="54">
        <v>15</v>
      </c>
      <c r="C22" s="54">
        <v>7.95</v>
      </c>
      <c r="D22" s="54">
        <v>15.49</v>
      </c>
      <c r="E22" s="54">
        <v>4.78</v>
      </c>
      <c r="F22" s="54">
        <v>7.92</v>
      </c>
      <c r="G22" s="54">
        <v>53.4</v>
      </c>
      <c r="H22" s="54">
        <v>8.0399999999999991</v>
      </c>
      <c r="I22" s="54">
        <v>1.46</v>
      </c>
      <c r="J22" s="54">
        <v>0.73</v>
      </c>
      <c r="K22" s="54">
        <v>319.18</v>
      </c>
      <c r="L22" s="54">
        <v>28.84</v>
      </c>
      <c r="M22" s="54">
        <v>97.08</v>
      </c>
      <c r="N22" s="54">
        <v>390.4</v>
      </c>
      <c r="O22" s="54">
        <v>0</v>
      </c>
      <c r="P22" s="54">
        <v>0.55000000000000004</v>
      </c>
      <c r="Q22" s="54">
        <v>9.27</v>
      </c>
      <c r="R22" s="43"/>
      <c r="S22" s="43"/>
      <c r="T22" s="43"/>
      <c r="U22" s="43"/>
    </row>
    <row r="23" spans="1:21" s="11" customFormat="1" x14ac:dyDescent="0.25">
      <c r="A23" s="53" t="s">
        <v>122</v>
      </c>
      <c r="B23" s="54">
        <v>13</v>
      </c>
      <c r="C23" s="54">
        <v>15.41</v>
      </c>
      <c r="D23" s="54">
        <v>17.16</v>
      </c>
      <c r="E23" s="54">
        <v>5.0999999999999996</v>
      </c>
      <c r="F23" s="54">
        <v>10.48</v>
      </c>
      <c r="G23" s="54">
        <v>35.54</v>
      </c>
      <c r="H23" s="54">
        <v>6.78</v>
      </c>
      <c r="I23" s="54">
        <v>1.35</v>
      </c>
      <c r="J23" s="54">
        <v>0.47</v>
      </c>
      <c r="K23" s="54">
        <v>330.06</v>
      </c>
      <c r="L23" s="54">
        <v>28.15</v>
      </c>
      <c r="M23" s="54">
        <v>97.9</v>
      </c>
      <c r="N23" s="54">
        <v>248.4</v>
      </c>
      <c r="O23" s="54">
        <v>0</v>
      </c>
      <c r="P23" s="54">
        <v>0.51</v>
      </c>
      <c r="Q23" s="54">
        <v>9.23</v>
      </c>
      <c r="R23" s="43"/>
      <c r="S23" s="43"/>
      <c r="T23" s="43"/>
      <c r="U23" s="43"/>
    </row>
    <row r="24" spans="1:21" s="11" customFormat="1" x14ac:dyDescent="0.25">
      <c r="A24" s="53" t="s">
        <v>123</v>
      </c>
      <c r="B24" s="54">
        <v>11.13</v>
      </c>
      <c r="C24" s="54">
        <v>19.59</v>
      </c>
      <c r="D24" s="54">
        <v>18.34</v>
      </c>
      <c r="E24" s="54">
        <v>4.8</v>
      </c>
      <c r="F24" s="54">
        <v>10.09</v>
      </c>
      <c r="G24" s="54">
        <v>21.18</v>
      </c>
      <c r="H24" s="54">
        <v>12.91</v>
      </c>
      <c r="I24" s="54">
        <v>1.0900000000000001</v>
      </c>
      <c r="J24" s="54">
        <v>1.66</v>
      </c>
      <c r="K24" s="54">
        <v>326.7</v>
      </c>
      <c r="L24" s="54">
        <v>26.94</v>
      </c>
      <c r="M24" s="54">
        <v>98.12</v>
      </c>
      <c r="N24" s="54">
        <v>156</v>
      </c>
      <c r="O24" s="54">
        <v>0</v>
      </c>
      <c r="P24" s="54">
        <v>0.5</v>
      </c>
      <c r="Q24" s="54">
        <v>9.09</v>
      </c>
      <c r="R24" s="43"/>
      <c r="S24" s="43"/>
      <c r="T24" s="43"/>
      <c r="U24" s="43"/>
    </row>
    <row r="25" spans="1:21" s="11" customFormat="1" x14ac:dyDescent="0.25">
      <c r="A25" s="53" t="s">
        <v>124</v>
      </c>
      <c r="B25" s="54">
        <v>16.440000000000001</v>
      </c>
      <c r="C25" s="54">
        <v>14.37</v>
      </c>
      <c r="D25" s="54">
        <v>20.69</v>
      </c>
      <c r="E25" s="54">
        <v>5.15</v>
      </c>
      <c r="F25" s="54">
        <v>9.3000000000000007</v>
      </c>
      <c r="G25" s="54">
        <v>22.93</v>
      </c>
      <c r="H25" s="54">
        <v>10.19</v>
      </c>
      <c r="I25" s="54">
        <v>1.1000000000000001</v>
      </c>
      <c r="J25" s="54">
        <v>0.82</v>
      </c>
      <c r="K25" s="54">
        <v>351.77</v>
      </c>
      <c r="L25" s="54">
        <v>23.1</v>
      </c>
      <c r="M25" s="54">
        <v>98.15</v>
      </c>
      <c r="N25" s="54">
        <v>73</v>
      </c>
      <c r="O25" s="54">
        <v>0</v>
      </c>
      <c r="P25" s="54">
        <v>0.62</v>
      </c>
      <c r="Q25" s="54">
        <v>9.08</v>
      </c>
      <c r="R25" s="43"/>
      <c r="S25" s="43"/>
      <c r="T25" s="43"/>
      <c r="U25" s="43"/>
    </row>
    <row r="26" spans="1:21" s="11" customFormat="1" x14ac:dyDescent="0.25">
      <c r="A26" s="53" t="s">
        <v>125</v>
      </c>
      <c r="B26" s="54">
        <v>10.06</v>
      </c>
      <c r="C26" s="54">
        <v>17.16</v>
      </c>
      <c r="D26" s="54">
        <v>17.03</v>
      </c>
      <c r="E26" s="54">
        <v>5.22</v>
      </c>
      <c r="F26" s="54">
        <v>9.69</v>
      </c>
      <c r="G26" s="54">
        <v>16.600000000000001</v>
      </c>
      <c r="H26" s="54">
        <v>9.23</v>
      </c>
      <c r="I26" s="54">
        <v>1.24</v>
      </c>
      <c r="J26" s="54">
        <v>0.12</v>
      </c>
      <c r="K26" s="54">
        <v>312.24</v>
      </c>
      <c r="L26" s="54">
        <v>23.05</v>
      </c>
      <c r="M26" s="54">
        <v>98.14</v>
      </c>
      <c r="N26" s="54">
        <v>54.4</v>
      </c>
      <c r="O26" s="54">
        <v>0</v>
      </c>
      <c r="P26" s="54">
        <v>0.61</v>
      </c>
      <c r="Q26" s="54">
        <v>9.1300000000000008</v>
      </c>
      <c r="R26" s="43"/>
      <c r="S26" s="43"/>
      <c r="T26" s="43"/>
      <c r="U26" s="43"/>
    </row>
    <row r="27" spans="1:21" s="11" customFormat="1" x14ac:dyDescent="0.25">
      <c r="A27" s="53" t="s">
        <v>126</v>
      </c>
      <c r="B27" s="54">
        <v>10.79</v>
      </c>
      <c r="C27" s="54">
        <v>12.39</v>
      </c>
      <c r="D27" s="54">
        <v>15.12</v>
      </c>
      <c r="E27" s="54">
        <v>5.27</v>
      </c>
      <c r="F27" s="54">
        <v>10.039999999999999</v>
      </c>
      <c r="G27" s="54">
        <v>18.489999999999998</v>
      </c>
      <c r="H27" s="54">
        <v>7.62</v>
      </c>
      <c r="I27" s="54">
        <v>1.39</v>
      </c>
      <c r="J27" s="54">
        <v>0.14000000000000001</v>
      </c>
      <c r="K27" s="54">
        <v>291.98</v>
      </c>
      <c r="L27" s="54">
        <v>22.96</v>
      </c>
      <c r="M27" s="54">
        <v>98.14</v>
      </c>
      <c r="N27" s="54">
        <v>44.8</v>
      </c>
      <c r="O27" s="54">
        <v>0</v>
      </c>
      <c r="P27" s="54">
        <v>0.55000000000000004</v>
      </c>
      <c r="Q27" s="54">
        <v>9.14</v>
      </c>
      <c r="R27" s="43"/>
      <c r="S27" s="43"/>
      <c r="T27" s="43"/>
      <c r="U27" s="43"/>
    </row>
    <row r="28" spans="1:21" s="11" customFormat="1" x14ac:dyDescent="0.25">
      <c r="A28" s="53" t="s">
        <v>127</v>
      </c>
      <c r="B28" s="54">
        <v>10.15</v>
      </c>
      <c r="C28" s="54">
        <v>10.36</v>
      </c>
      <c r="D28" s="54">
        <v>13.55</v>
      </c>
      <c r="E28" s="54">
        <v>5.41</v>
      </c>
      <c r="F28" s="54">
        <v>25.01</v>
      </c>
      <c r="G28" s="54">
        <v>10.63</v>
      </c>
      <c r="H28" s="54">
        <v>7.44</v>
      </c>
      <c r="I28" s="54">
        <v>1.38</v>
      </c>
      <c r="J28" s="54">
        <v>0.09</v>
      </c>
      <c r="K28" s="54">
        <v>283.38</v>
      </c>
      <c r="L28" s="54">
        <v>22.76</v>
      </c>
      <c r="M28" s="54">
        <v>98.15</v>
      </c>
      <c r="N28" s="54">
        <v>44</v>
      </c>
      <c r="O28" s="54">
        <v>0</v>
      </c>
      <c r="P28" s="54">
        <v>0.47</v>
      </c>
      <c r="Q28" s="54">
        <v>9.11</v>
      </c>
      <c r="R28" s="43"/>
      <c r="S28" s="43"/>
      <c r="T28" s="43"/>
      <c r="U28" s="43"/>
    </row>
    <row r="29" spans="1:21" s="11" customFormat="1" x14ac:dyDescent="0.25">
      <c r="A29" s="53" t="s">
        <v>128</v>
      </c>
      <c r="B29" s="54">
        <v>21.83</v>
      </c>
      <c r="C29" s="54">
        <v>13.65</v>
      </c>
      <c r="D29" s="54">
        <v>24.64</v>
      </c>
      <c r="E29" s="54">
        <v>5.43</v>
      </c>
      <c r="F29" s="54">
        <v>395.77</v>
      </c>
      <c r="G29" s="54">
        <v>4.01</v>
      </c>
      <c r="H29" s="54">
        <v>6.8</v>
      </c>
      <c r="I29" s="54">
        <v>1.4</v>
      </c>
      <c r="J29" s="54">
        <v>0.4</v>
      </c>
      <c r="K29" s="54">
        <v>341.69</v>
      </c>
      <c r="L29" s="54">
        <v>23.04</v>
      </c>
      <c r="M29" s="54">
        <v>98.2</v>
      </c>
      <c r="N29" s="54">
        <v>44.1</v>
      </c>
      <c r="O29" s="54">
        <v>0</v>
      </c>
      <c r="P29" s="54">
        <v>0.91</v>
      </c>
      <c r="Q29" s="54">
        <v>9.1199999999999992</v>
      </c>
      <c r="R29" s="43"/>
      <c r="S29" s="43"/>
      <c r="T29" s="43"/>
      <c r="U29" s="43"/>
    </row>
    <row r="30" spans="1:21" s="11" customFormat="1" x14ac:dyDescent="0.25">
      <c r="A30" s="53" t="s">
        <v>129</v>
      </c>
      <c r="B30" s="54">
        <v>15.65</v>
      </c>
      <c r="C30" s="54">
        <v>15.76</v>
      </c>
      <c r="D30" s="54">
        <v>20.2</v>
      </c>
      <c r="E30" s="54">
        <v>5.48</v>
      </c>
      <c r="F30" s="54">
        <v>8.5299999999999994</v>
      </c>
      <c r="G30" s="54">
        <v>13.42</v>
      </c>
      <c r="H30" s="54">
        <v>6.55</v>
      </c>
      <c r="I30" s="54">
        <v>1.55</v>
      </c>
      <c r="J30" s="54">
        <v>0.14000000000000001</v>
      </c>
      <c r="K30" s="54">
        <v>256.3</v>
      </c>
      <c r="L30" s="54">
        <v>23.17</v>
      </c>
      <c r="M30" s="54">
        <v>98.2</v>
      </c>
      <c r="N30" s="54">
        <v>44.1</v>
      </c>
      <c r="O30" s="54">
        <v>0</v>
      </c>
      <c r="P30" s="54">
        <v>0.85</v>
      </c>
      <c r="Q30" s="54">
        <v>9.16</v>
      </c>
      <c r="R30" s="43"/>
      <c r="S30" s="43"/>
      <c r="T30" s="43"/>
      <c r="U30" s="43"/>
    </row>
    <row r="31" spans="1:21" s="11" customFormat="1" x14ac:dyDescent="0.25">
      <c r="A31" s="53" t="s">
        <v>130</v>
      </c>
      <c r="B31" s="54">
        <v>10.75</v>
      </c>
      <c r="C31" s="54">
        <v>16.03</v>
      </c>
      <c r="D31" s="54">
        <v>15.78</v>
      </c>
      <c r="E31" s="54">
        <v>5.55</v>
      </c>
      <c r="F31" s="54">
        <v>282.11</v>
      </c>
      <c r="G31" s="54">
        <v>24.38</v>
      </c>
      <c r="H31" s="54">
        <v>5.85</v>
      </c>
      <c r="I31" s="54">
        <v>1.64</v>
      </c>
      <c r="J31" s="54">
        <v>0.63</v>
      </c>
      <c r="K31" s="54">
        <v>172.76</v>
      </c>
      <c r="L31" s="54">
        <v>23.2</v>
      </c>
      <c r="M31" s="54">
        <v>98.13</v>
      </c>
      <c r="N31" s="54">
        <v>44</v>
      </c>
      <c r="O31" s="54">
        <v>0</v>
      </c>
      <c r="P31" s="54">
        <v>0.54</v>
      </c>
      <c r="Q31" s="54">
        <v>9.19</v>
      </c>
      <c r="R31" s="43"/>
      <c r="S31" s="43"/>
      <c r="T31" s="43"/>
      <c r="U31" s="43"/>
    </row>
    <row r="32" spans="1:21" s="11" customFormat="1" x14ac:dyDescent="0.25">
      <c r="A32" s="53" t="s">
        <v>131</v>
      </c>
      <c r="B32" s="54">
        <v>12.22</v>
      </c>
      <c r="C32" s="54">
        <v>8.23</v>
      </c>
      <c r="D32" s="54">
        <v>13.21</v>
      </c>
      <c r="E32" s="54">
        <v>5.47</v>
      </c>
      <c r="F32" s="54">
        <v>10.48</v>
      </c>
      <c r="G32" s="54">
        <v>10.27</v>
      </c>
      <c r="H32" s="54">
        <v>11.17</v>
      </c>
      <c r="I32" s="54">
        <v>1.64</v>
      </c>
      <c r="J32" s="54">
        <v>0.28999999999999998</v>
      </c>
      <c r="K32" s="54">
        <v>283.52999999999997</v>
      </c>
      <c r="L32" s="54">
        <v>23.23</v>
      </c>
      <c r="M32" s="54">
        <v>98.15</v>
      </c>
      <c r="N32" s="54">
        <v>44.1</v>
      </c>
      <c r="O32" s="54">
        <v>0</v>
      </c>
      <c r="P32" s="54">
        <v>0.53</v>
      </c>
      <c r="Q32" s="54">
        <v>9.18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10.06</v>
      </c>
      <c r="C34" s="28">
        <f t="shared" si="0"/>
        <v>6.84</v>
      </c>
      <c r="D34" s="28">
        <f t="shared" si="0"/>
        <v>12</v>
      </c>
      <c r="E34" s="28">
        <f t="shared" si="0"/>
        <v>4.76</v>
      </c>
      <c r="F34" s="28">
        <f t="shared" si="0"/>
        <v>7.92</v>
      </c>
      <c r="G34" s="28">
        <f t="shared" si="0"/>
        <v>4.01</v>
      </c>
      <c r="H34" s="28">
        <f t="shared" si="0"/>
        <v>5.69</v>
      </c>
      <c r="I34" s="28">
        <f t="shared" si="0"/>
        <v>1.0900000000000001</v>
      </c>
      <c r="J34" s="28">
        <f t="shared" si="0"/>
        <v>0.09</v>
      </c>
      <c r="K34" s="28">
        <f t="shared" si="0"/>
        <v>172.76</v>
      </c>
      <c r="L34" s="28">
        <f t="shared" si="0"/>
        <v>22.13</v>
      </c>
      <c r="M34" s="28">
        <f t="shared" si="0"/>
        <v>96.96</v>
      </c>
      <c r="N34" s="28">
        <f t="shared" si="0"/>
        <v>44</v>
      </c>
      <c r="O34" s="28">
        <f t="shared" si="0"/>
        <v>0</v>
      </c>
      <c r="P34" s="28">
        <f t="shared" si="0"/>
        <v>0.41</v>
      </c>
      <c r="Q34" s="28">
        <f t="shared" si="0"/>
        <v>9.08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23.21</v>
      </c>
      <c r="C35" s="29">
        <f t="shared" si="1"/>
        <v>19.59</v>
      </c>
      <c r="D35" s="29">
        <f t="shared" si="1"/>
        <v>24.64</v>
      </c>
      <c r="E35" s="29">
        <f t="shared" si="1"/>
        <v>5.55</v>
      </c>
      <c r="F35" s="29">
        <f t="shared" si="1"/>
        <v>395.77</v>
      </c>
      <c r="G35" s="29">
        <f t="shared" si="1"/>
        <v>817.9</v>
      </c>
      <c r="H35" s="29">
        <f t="shared" si="1"/>
        <v>12.91</v>
      </c>
      <c r="I35" s="29">
        <f t="shared" si="1"/>
        <v>2.12</v>
      </c>
      <c r="J35" s="29">
        <f t="shared" si="1"/>
        <v>1.66</v>
      </c>
      <c r="K35" s="29">
        <f t="shared" si="1"/>
        <v>351.77</v>
      </c>
      <c r="L35" s="29">
        <f t="shared" si="1"/>
        <v>30.25</v>
      </c>
      <c r="M35" s="29">
        <f t="shared" si="1"/>
        <v>98.65</v>
      </c>
      <c r="N35" s="29">
        <f t="shared" si="1"/>
        <v>755.6</v>
      </c>
      <c r="O35" s="29">
        <f t="shared" si="1"/>
        <v>0.4</v>
      </c>
      <c r="P35" s="29">
        <f t="shared" si="1"/>
        <v>0.91</v>
      </c>
      <c r="Q35" s="29">
        <f t="shared" si="1"/>
        <v>9.33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14.025833333333333</v>
      </c>
      <c r="C36" s="28">
        <f t="shared" si="2"/>
        <v>10.819583333333336</v>
      </c>
      <c r="D36" s="28">
        <f t="shared" si="2"/>
        <v>16.518749999999994</v>
      </c>
      <c r="E36" s="28">
        <f t="shared" si="2"/>
        <v>5.2237499999999999</v>
      </c>
      <c r="F36" s="28">
        <f t="shared" si="2"/>
        <v>37.699583333333329</v>
      </c>
      <c r="G36" s="28">
        <f t="shared" si="2"/>
        <v>61.881666666666668</v>
      </c>
      <c r="H36" s="28">
        <f t="shared" si="2"/>
        <v>8.2404166666666665</v>
      </c>
      <c r="I36" s="28">
        <f t="shared" si="2"/>
        <v>1.5270833333333333</v>
      </c>
      <c r="J36" s="28">
        <f t="shared" si="2"/>
        <v>0.84041666666666659</v>
      </c>
      <c r="K36" s="28">
        <f t="shared" si="2"/>
        <v>319.47499999999997</v>
      </c>
      <c r="L36" s="28">
        <f t="shared" si="2"/>
        <v>24.071666666666669</v>
      </c>
      <c r="M36" s="28">
        <f t="shared" si="2"/>
        <v>98.196666666666673</v>
      </c>
      <c r="N36" s="28">
        <f t="shared" si="2"/>
        <v>149.47916666666666</v>
      </c>
      <c r="O36" s="28">
        <f t="shared" si="2"/>
        <v>3.3333333333333333E-2</v>
      </c>
      <c r="P36" s="28">
        <f t="shared" si="2"/>
        <v>0.57874999999999999</v>
      </c>
      <c r="Q36" s="28">
        <f t="shared" si="2"/>
        <v>9.1908333333333339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3.5688896296195285</v>
      </c>
      <c r="C37" s="28">
        <f t="shared" ref="C37:Q37" si="3">STDEV(C9:C32)</f>
        <v>3.7402656022483525</v>
      </c>
      <c r="D37" s="28">
        <f t="shared" si="3"/>
        <v>3.3057187766709695</v>
      </c>
      <c r="E37" s="28">
        <f t="shared" si="3"/>
        <v>0.26106491779698754</v>
      </c>
      <c r="F37" s="28">
        <f t="shared" si="3"/>
        <v>94.347391589904802</v>
      </c>
      <c r="G37" s="28">
        <f t="shared" si="3"/>
        <v>161.80483484652166</v>
      </c>
      <c r="H37" s="28">
        <f t="shared" si="3"/>
        <v>2.0731334803953727</v>
      </c>
      <c r="I37" s="28">
        <f t="shared" si="3"/>
        <v>0.23294856992882343</v>
      </c>
      <c r="J37" s="28">
        <f t="shared" si="3"/>
        <v>0.46498694854677447</v>
      </c>
      <c r="K37" s="28">
        <f t="shared" si="3"/>
        <v>39.157346026334608</v>
      </c>
      <c r="L37" s="28">
        <f t="shared" si="3"/>
        <v>2.3571365581194459</v>
      </c>
      <c r="M37" s="28">
        <f t="shared" si="3"/>
        <v>0.42348108798865963</v>
      </c>
      <c r="N37" s="28">
        <f t="shared" si="3"/>
        <v>171.99031312248673</v>
      </c>
      <c r="O37" s="28">
        <f t="shared" si="3"/>
        <v>0.11293194051465599</v>
      </c>
      <c r="P37" s="28">
        <f t="shared" si="3"/>
        <v>0.12639869633339884</v>
      </c>
      <c r="Q37" s="28">
        <f t="shared" si="3"/>
        <v>6.5336364910439718E-2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F19" sqref="F19:F20"/>
    </sheetView>
  </sheetViews>
  <sheetFormatPr defaultColWidth="8.85546875" defaultRowHeight="15" x14ac:dyDescent="0.25"/>
  <cols>
    <col min="1" max="1" width="18.28515625" style="26" customWidth="1"/>
    <col min="2" max="2" width="18.42578125" style="20" customWidth="1"/>
    <col min="3" max="3" width="10.140625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04/10/2025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132</v>
      </c>
      <c r="B9" s="54">
        <v>11.6</v>
      </c>
      <c r="C9" s="54">
        <v>5.74</v>
      </c>
      <c r="D9" s="54">
        <v>12.02</v>
      </c>
      <c r="E9" s="54">
        <v>4.92</v>
      </c>
      <c r="F9" s="54">
        <v>9.1300000000000008</v>
      </c>
      <c r="G9" s="54">
        <v>13.43</v>
      </c>
      <c r="H9" s="54">
        <v>10.039999999999999</v>
      </c>
      <c r="I9" s="54">
        <v>1.52</v>
      </c>
      <c r="J9" s="54">
        <v>0.12</v>
      </c>
      <c r="K9" s="54">
        <v>310.8</v>
      </c>
      <c r="L9" s="54">
        <v>23.39</v>
      </c>
      <c r="M9" s="54">
        <v>98.15</v>
      </c>
      <c r="N9" s="54">
        <v>44.5</v>
      </c>
      <c r="O9" s="54">
        <v>0</v>
      </c>
      <c r="P9" s="54">
        <v>0.48</v>
      </c>
      <c r="Q9" s="54">
        <v>9.15</v>
      </c>
      <c r="R9" s="43"/>
      <c r="S9" s="43"/>
      <c r="T9" s="43"/>
      <c r="U9" s="43"/>
    </row>
    <row r="10" spans="1:21" s="11" customFormat="1" x14ac:dyDescent="0.25">
      <c r="A10" s="53" t="s">
        <v>133</v>
      </c>
      <c r="B10" s="54">
        <v>10.55</v>
      </c>
      <c r="C10" s="54">
        <v>6.4</v>
      </c>
      <c r="D10" s="54">
        <v>11.42</v>
      </c>
      <c r="E10" s="54">
        <v>4.78</v>
      </c>
      <c r="F10" s="54">
        <v>11.24</v>
      </c>
      <c r="G10" s="54">
        <v>15.52</v>
      </c>
      <c r="H10" s="54">
        <v>8.77</v>
      </c>
      <c r="I10" s="54">
        <v>1.37</v>
      </c>
      <c r="J10" s="54">
        <v>0.15</v>
      </c>
      <c r="K10" s="54">
        <v>301.52</v>
      </c>
      <c r="L10" s="54">
        <v>23.33</v>
      </c>
      <c r="M10" s="54">
        <v>98.15</v>
      </c>
      <c r="N10" s="54">
        <v>44.5</v>
      </c>
      <c r="O10" s="54">
        <v>0</v>
      </c>
      <c r="P10" s="54">
        <v>0.44</v>
      </c>
      <c r="Q10" s="54">
        <v>9.1</v>
      </c>
      <c r="R10" s="43"/>
      <c r="S10" s="43"/>
      <c r="T10" s="43"/>
      <c r="U10" s="43"/>
    </row>
    <row r="11" spans="1:21" s="11" customFormat="1" x14ac:dyDescent="0.25">
      <c r="A11" s="53" t="s">
        <v>134</v>
      </c>
      <c r="B11" s="54">
        <v>9.0500000000000007</v>
      </c>
      <c r="C11" s="54">
        <v>6.41</v>
      </c>
      <c r="D11" s="54">
        <v>10.56</v>
      </c>
      <c r="E11" s="54">
        <v>5.03</v>
      </c>
      <c r="F11" s="54">
        <v>12.62</v>
      </c>
      <c r="G11" s="54">
        <v>11.01</v>
      </c>
      <c r="H11" s="54">
        <v>7.3</v>
      </c>
      <c r="I11" s="54">
        <v>1.31</v>
      </c>
      <c r="J11" s="54">
        <v>0.15</v>
      </c>
      <c r="K11" s="54">
        <v>297.25</v>
      </c>
      <c r="L11" s="54">
        <v>22.94</v>
      </c>
      <c r="M11" s="54">
        <v>98.15</v>
      </c>
      <c r="N11" s="54">
        <v>44.6</v>
      </c>
      <c r="O11" s="54">
        <v>0</v>
      </c>
      <c r="P11" s="54">
        <v>0.4</v>
      </c>
      <c r="Q11" s="54">
        <v>9.09</v>
      </c>
      <c r="R11" s="43"/>
      <c r="S11" s="43"/>
      <c r="T11" s="43"/>
      <c r="U11" s="43"/>
    </row>
    <row r="12" spans="1:21" s="11" customFormat="1" x14ac:dyDescent="0.25">
      <c r="A12" s="53" t="s">
        <v>135</v>
      </c>
      <c r="B12" s="54">
        <v>7.97</v>
      </c>
      <c r="C12" s="54">
        <v>6.4</v>
      </c>
      <c r="D12" s="54">
        <v>9.7100000000000009</v>
      </c>
      <c r="E12" s="54">
        <v>4.95</v>
      </c>
      <c r="F12" s="54">
        <v>8.7799999999999994</v>
      </c>
      <c r="G12" s="54">
        <v>5.3</v>
      </c>
      <c r="H12" s="54">
        <v>7.63</v>
      </c>
      <c r="I12" s="54">
        <v>1.35</v>
      </c>
      <c r="J12" s="54">
        <v>0.13</v>
      </c>
      <c r="K12" s="54">
        <v>300.7</v>
      </c>
      <c r="L12" s="54">
        <v>22.67</v>
      </c>
      <c r="M12" s="54">
        <v>98.17</v>
      </c>
      <c r="N12" s="54">
        <v>44.5</v>
      </c>
      <c r="O12" s="54">
        <v>0</v>
      </c>
      <c r="P12" s="54">
        <v>0.33</v>
      </c>
      <c r="Q12" s="54">
        <v>9.07</v>
      </c>
      <c r="R12" s="43"/>
      <c r="S12" s="43"/>
      <c r="T12" s="43"/>
      <c r="U12" s="43"/>
    </row>
    <row r="13" spans="1:21" s="11" customFormat="1" x14ac:dyDescent="0.25">
      <c r="A13" s="53" t="s">
        <v>136</v>
      </c>
      <c r="B13" s="54">
        <v>7.98</v>
      </c>
      <c r="C13" s="54">
        <v>6.44</v>
      </c>
      <c r="D13" s="54">
        <v>9.77</v>
      </c>
      <c r="E13" s="54">
        <v>4.84</v>
      </c>
      <c r="F13" s="54">
        <v>21.43</v>
      </c>
      <c r="G13" s="54">
        <v>2.5299999999999998</v>
      </c>
      <c r="H13" s="54">
        <v>6.49</v>
      </c>
      <c r="I13" s="54">
        <v>1.28</v>
      </c>
      <c r="J13" s="54">
        <v>0.12</v>
      </c>
      <c r="K13" s="54">
        <v>314.83999999999997</v>
      </c>
      <c r="L13" s="54">
        <v>22.61</v>
      </c>
      <c r="M13" s="54">
        <v>98.19</v>
      </c>
      <c r="N13" s="54">
        <v>44.5</v>
      </c>
      <c r="O13" s="54">
        <v>0</v>
      </c>
      <c r="P13" s="54">
        <v>0.33</v>
      </c>
      <c r="Q13" s="54">
        <v>9.0399999999999991</v>
      </c>
      <c r="R13" s="43"/>
      <c r="S13" s="43"/>
      <c r="T13" s="43"/>
      <c r="U13" s="43"/>
    </row>
    <row r="14" spans="1:21" s="11" customFormat="1" x14ac:dyDescent="0.25">
      <c r="A14" s="53" t="s">
        <v>137</v>
      </c>
      <c r="B14" s="54">
        <v>7.86</v>
      </c>
      <c r="C14" s="54">
        <v>6.41</v>
      </c>
      <c r="D14" s="54">
        <v>9.5500000000000007</v>
      </c>
      <c r="E14" s="54">
        <v>4.78</v>
      </c>
      <c r="F14" s="54">
        <v>8.73</v>
      </c>
      <c r="G14" s="54">
        <v>6.12</v>
      </c>
      <c r="H14" s="54">
        <v>5.75</v>
      </c>
      <c r="I14" s="54">
        <v>1.17</v>
      </c>
      <c r="J14" s="54">
        <v>0.14000000000000001</v>
      </c>
      <c r="K14" s="54">
        <v>308.48</v>
      </c>
      <c r="L14" s="54">
        <v>22.65</v>
      </c>
      <c r="M14" s="54">
        <v>98.23</v>
      </c>
      <c r="N14" s="54">
        <v>47.6</v>
      </c>
      <c r="O14" s="54">
        <v>0</v>
      </c>
      <c r="P14" s="54">
        <v>0.28999999999999998</v>
      </c>
      <c r="Q14" s="54">
        <v>9.02</v>
      </c>
      <c r="R14" s="43"/>
      <c r="S14" s="43"/>
      <c r="T14" s="43"/>
      <c r="U14" s="43"/>
    </row>
    <row r="15" spans="1:21" s="11" customFormat="1" x14ac:dyDescent="0.25">
      <c r="A15" s="53" t="s">
        <v>138</v>
      </c>
      <c r="B15" s="54">
        <v>7.77</v>
      </c>
      <c r="C15" s="54">
        <v>7.22</v>
      </c>
      <c r="D15" s="54">
        <v>9.99</v>
      </c>
      <c r="E15" s="54">
        <v>4.72</v>
      </c>
      <c r="F15" s="54">
        <v>8.1300000000000008</v>
      </c>
      <c r="G15" s="54">
        <v>11.03</v>
      </c>
      <c r="H15" s="54">
        <v>5.26</v>
      </c>
      <c r="I15" s="54">
        <v>1.07</v>
      </c>
      <c r="J15" s="54">
        <v>0.16</v>
      </c>
      <c r="K15" s="54">
        <v>295.16000000000003</v>
      </c>
      <c r="L15" s="54">
        <v>22.84</v>
      </c>
      <c r="M15" s="54">
        <v>98.22</v>
      </c>
      <c r="N15" s="54">
        <v>75.900000000000006</v>
      </c>
      <c r="O15" s="54">
        <v>0</v>
      </c>
      <c r="P15" s="54">
        <v>0.27</v>
      </c>
      <c r="Q15" s="54">
        <v>9.0399999999999991</v>
      </c>
      <c r="R15" s="43"/>
      <c r="S15" s="43"/>
      <c r="T15" s="43"/>
      <c r="U15" s="43"/>
    </row>
    <row r="16" spans="1:21" s="11" customFormat="1" x14ac:dyDescent="0.25">
      <c r="A16" s="53" t="s">
        <v>139</v>
      </c>
      <c r="B16" s="54">
        <v>8.6</v>
      </c>
      <c r="C16" s="54">
        <v>7.69</v>
      </c>
      <c r="D16" s="54">
        <v>10.91</v>
      </c>
      <c r="E16" s="54">
        <v>4.57</v>
      </c>
      <c r="F16" s="54">
        <v>8.15</v>
      </c>
      <c r="G16" s="54">
        <v>12.75</v>
      </c>
      <c r="H16" s="54">
        <v>7.39</v>
      </c>
      <c r="I16" s="54">
        <v>1.0900000000000001</v>
      </c>
      <c r="J16" s="54">
        <v>0.18</v>
      </c>
      <c r="K16" s="54">
        <v>304.64999999999998</v>
      </c>
      <c r="L16" s="54">
        <v>23.84</v>
      </c>
      <c r="M16" s="54">
        <v>98.2</v>
      </c>
      <c r="N16" s="54">
        <v>161.69999999999999</v>
      </c>
      <c r="O16" s="54">
        <v>0</v>
      </c>
      <c r="P16" s="54">
        <v>0.36</v>
      </c>
      <c r="Q16" s="54">
        <v>9.06</v>
      </c>
      <c r="R16" s="43"/>
      <c r="S16" s="43"/>
      <c r="T16" s="43"/>
      <c r="U16" s="43"/>
    </row>
    <row r="17" spans="1:21" s="11" customFormat="1" x14ac:dyDescent="0.25">
      <c r="A17" s="53" t="s">
        <v>140</v>
      </c>
      <c r="B17" s="54">
        <v>8.75</v>
      </c>
      <c r="C17" s="54">
        <v>7.39</v>
      </c>
      <c r="D17" s="54">
        <v>10.8</v>
      </c>
      <c r="E17" s="54">
        <v>3.47</v>
      </c>
      <c r="F17" s="54">
        <v>10.06</v>
      </c>
      <c r="G17" s="54">
        <v>18.25</v>
      </c>
      <c r="H17" s="54">
        <v>6.61</v>
      </c>
      <c r="I17" s="54">
        <v>1.36</v>
      </c>
      <c r="J17" s="54">
        <v>0.19</v>
      </c>
      <c r="K17" s="54">
        <v>297.3</v>
      </c>
      <c r="L17" s="54">
        <v>26.23</v>
      </c>
      <c r="M17" s="54">
        <v>98.1</v>
      </c>
      <c r="N17" s="54">
        <v>359.5</v>
      </c>
      <c r="O17" s="54">
        <v>0</v>
      </c>
      <c r="P17" s="54">
        <v>0.4</v>
      </c>
      <c r="Q17" s="54">
        <v>9.06</v>
      </c>
      <c r="R17" s="43"/>
      <c r="S17" s="43"/>
      <c r="T17" s="43"/>
      <c r="U17" s="43"/>
    </row>
    <row r="18" spans="1:21" s="11" customFormat="1" x14ac:dyDescent="0.25">
      <c r="A18" s="53" t="s">
        <v>141</v>
      </c>
      <c r="B18" s="54">
        <v>10.15</v>
      </c>
      <c r="C18" s="54">
        <v>7.62</v>
      </c>
      <c r="D18" s="54">
        <v>12.1</v>
      </c>
      <c r="E18" s="54">
        <v>3.35</v>
      </c>
      <c r="F18" s="54">
        <v>9.25</v>
      </c>
      <c r="G18" s="54">
        <v>23.92</v>
      </c>
      <c r="H18" s="54">
        <v>6.06</v>
      </c>
      <c r="I18" s="54">
        <v>1.67</v>
      </c>
      <c r="J18" s="54">
        <v>0.24</v>
      </c>
      <c r="K18" s="54">
        <v>293.89</v>
      </c>
      <c r="L18" s="54">
        <v>29.08</v>
      </c>
      <c r="M18" s="54">
        <v>97.98</v>
      </c>
      <c r="N18" s="54">
        <v>785.5</v>
      </c>
      <c r="O18" s="54">
        <v>0</v>
      </c>
      <c r="P18" s="54">
        <v>0.46</v>
      </c>
      <c r="Q18" s="54">
        <v>9.0500000000000007</v>
      </c>
      <c r="R18" s="43"/>
      <c r="S18" s="43"/>
      <c r="T18" s="43"/>
      <c r="U18" s="43"/>
    </row>
    <row r="19" spans="1:21" s="11" customFormat="1" x14ac:dyDescent="0.25">
      <c r="A19" s="53" t="s">
        <v>142</v>
      </c>
      <c r="B19" s="54">
        <v>9.89</v>
      </c>
      <c r="C19" s="54">
        <v>10.55</v>
      </c>
      <c r="D19" s="54">
        <v>13.28</v>
      </c>
      <c r="E19" s="54">
        <v>3.62</v>
      </c>
      <c r="F19" s="54">
        <v>9.09</v>
      </c>
      <c r="G19" s="54">
        <v>34.299999999999997</v>
      </c>
      <c r="H19" s="54">
        <v>5.91</v>
      </c>
      <c r="I19" s="54">
        <v>1.85</v>
      </c>
      <c r="J19" s="54">
        <v>0.43</v>
      </c>
      <c r="K19" s="54">
        <v>311.37</v>
      </c>
      <c r="L19" s="54">
        <v>30.12</v>
      </c>
      <c r="M19" s="54">
        <v>92.53</v>
      </c>
      <c r="N19" s="54">
        <v>617.6</v>
      </c>
      <c r="O19" s="54">
        <v>0</v>
      </c>
      <c r="P19" s="54">
        <v>0.53</v>
      </c>
      <c r="Q19" s="54">
        <v>9.06</v>
      </c>
      <c r="R19" s="43"/>
      <c r="S19" s="43"/>
      <c r="T19" s="43"/>
      <c r="U19" s="43"/>
    </row>
    <row r="20" spans="1:21" s="11" customFormat="1" x14ac:dyDescent="0.25">
      <c r="A20" s="53" t="s">
        <v>143</v>
      </c>
      <c r="B20" s="54">
        <v>9.7200000000000006</v>
      </c>
      <c r="C20" s="54">
        <v>10.47</v>
      </c>
      <c r="D20" s="54">
        <v>13.27</v>
      </c>
      <c r="E20" s="54">
        <v>3.49</v>
      </c>
      <c r="F20" s="54">
        <v>9.09</v>
      </c>
      <c r="G20" s="54">
        <v>28.26</v>
      </c>
      <c r="H20" s="54">
        <v>7.13</v>
      </c>
      <c r="I20" s="54">
        <v>1.85</v>
      </c>
      <c r="J20" s="54">
        <v>0.32</v>
      </c>
      <c r="K20" s="54">
        <v>298.98</v>
      </c>
      <c r="L20" s="54">
        <v>29.05</v>
      </c>
      <c r="M20" s="54">
        <v>97.47</v>
      </c>
      <c r="N20" s="54">
        <v>501.4</v>
      </c>
      <c r="O20" s="54">
        <v>0</v>
      </c>
      <c r="P20" s="54">
        <v>0.56000000000000005</v>
      </c>
      <c r="Q20" s="54">
        <v>9.08</v>
      </c>
      <c r="R20" s="43"/>
      <c r="S20" s="43"/>
      <c r="T20" s="43"/>
      <c r="U20" s="43"/>
    </row>
    <row r="21" spans="1:21" s="11" customFormat="1" x14ac:dyDescent="0.25">
      <c r="A21" s="53" t="s">
        <v>144</v>
      </c>
      <c r="B21" s="54">
        <v>10.11</v>
      </c>
      <c r="C21" s="54">
        <v>9.82</v>
      </c>
      <c r="D21" s="54">
        <v>13.03</v>
      </c>
      <c r="E21" s="54">
        <v>3.44</v>
      </c>
      <c r="F21" s="54">
        <v>14.78</v>
      </c>
      <c r="G21" s="54">
        <v>29.34</v>
      </c>
      <c r="H21" s="54">
        <v>6.68</v>
      </c>
      <c r="I21" s="54">
        <v>1.86</v>
      </c>
      <c r="J21" s="54">
        <v>0.37</v>
      </c>
      <c r="K21" s="54">
        <v>314.24</v>
      </c>
      <c r="L21" s="54">
        <v>30.31</v>
      </c>
      <c r="M21" s="54">
        <v>88.3</v>
      </c>
      <c r="N21" s="54">
        <v>554.5</v>
      </c>
      <c r="O21" s="54">
        <v>0</v>
      </c>
      <c r="P21" s="54">
        <v>0.53</v>
      </c>
      <c r="Q21" s="54">
        <v>9.08</v>
      </c>
      <c r="R21" s="43"/>
      <c r="S21" s="43"/>
      <c r="T21" s="43"/>
      <c r="U21" s="43"/>
    </row>
    <row r="22" spans="1:21" s="11" customFormat="1" x14ac:dyDescent="0.25">
      <c r="A22" s="53" t="s">
        <v>145</v>
      </c>
      <c r="B22" s="54">
        <v>9.3000000000000007</v>
      </c>
      <c r="C22" s="54">
        <v>9.52</v>
      </c>
      <c r="D22" s="54">
        <v>11.93</v>
      </c>
      <c r="E22" s="54">
        <v>3.6</v>
      </c>
      <c r="F22" s="54">
        <v>10.57</v>
      </c>
      <c r="G22" s="54">
        <v>35.950000000000003</v>
      </c>
      <c r="H22" s="54">
        <v>6.56</v>
      </c>
      <c r="I22" s="54">
        <v>1.76</v>
      </c>
      <c r="J22" s="54">
        <v>0.34</v>
      </c>
      <c r="K22" s="54">
        <v>317.52999999999997</v>
      </c>
      <c r="L22" s="54">
        <v>29.4</v>
      </c>
      <c r="M22" s="54">
        <v>88.13</v>
      </c>
      <c r="N22" s="54">
        <v>380.8</v>
      </c>
      <c r="O22" s="54">
        <v>0</v>
      </c>
      <c r="P22" s="54">
        <v>0.49</v>
      </c>
      <c r="Q22" s="54">
        <v>9.0299999999999994</v>
      </c>
      <c r="R22" s="43"/>
      <c r="S22" s="43"/>
      <c r="T22" s="43"/>
      <c r="U22" s="43"/>
    </row>
    <row r="23" spans="1:21" s="11" customFormat="1" x14ac:dyDescent="0.25">
      <c r="A23" s="53" t="s">
        <v>146</v>
      </c>
      <c r="B23" s="54">
        <v>11.49</v>
      </c>
      <c r="C23" s="54">
        <v>12.74</v>
      </c>
      <c r="D23" s="54">
        <v>14.54</v>
      </c>
      <c r="E23" s="54">
        <v>3.68</v>
      </c>
      <c r="F23" s="54">
        <v>9.34</v>
      </c>
      <c r="G23" s="54">
        <v>33.81</v>
      </c>
      <c r="H23" s="54">
        <v>7.16</v>
      </c>
      <c r="I23" s="54">
        <v>1.65</v>
      </c>
      <c r="J23" s="54">
        <v>2.08</v>
      </c>
      <c r="K23" s="54">
        <v>338.73</v>
      </c>
      <c r="L23" s="54">
        <v>28.88</v>
      </c>
      <c r="M23" s="54">
        <v>97.34</v>
      </c>
      <c r="N23" s="54">
        <v>209.5</v>
      </c>
      <c r="O23" s="54">
        <v>0</v>
      </c>
      <c r="P23" s="54">
        <v>0.56000000000000005</v>
      </c>
      <c r="Q23" s="54">
        <v>9.0299999999999994</v>
      </c>
      <c r="R23" s="43"/>
      <c r="S23" s="43"/>
      <c r="T23" s="43"/>
      <c r="U23" s="43"/>
    </row>
    <row r="24" spans="1:21" s="11" customFormat="1" x14ac:dyDescent="0.25">
      <c r="A24" s="53" t="s">
        <v>147</v>
      </c>
      <c r="B24" s="54">
        <v>13.57</v>
      </c>
      <c r="C24" s="54">
        <v>10.46</v>
      </c>
      <c r="D24" s="54">
        <v>16.350000000000001</v>
      </c>
      <c r="E24" s="54">
        <v>5.13</v>
      </c>
      <c r="F24" s="54">
        <v>11.39</v>
      </c>
      <c r="G24" s="54">
        <v>26.94</v>
      </c>
      <c r="H24" s="54">
        <v>11.31</v>
      </c>
      <c r="I24" s="54">
        <v>1.64</v>
      </c>
      <c r="J24" s="54">
        <v>0.48</v>
      </c>
      <c r="K24" s="54">
        <v>329.26</v>
      </c>
      <c r="L24" s="54">
        <v>28.03</v>
      </c>
      <c r="M24" s="54">
        <v>96.04</v>
      </c>
      <c r="N24" s="54">
        <v>183.4</v>
      </c>
      <c r="O24" s="54">
        <v>0</v>
      </c>
      <c r="P24" s="54">
        <v>0.51</v>
      </c>
      <c r="Q24" s="54">
        <v>9.11</v>
      </c>
      <c r="R24" s="43"/>
      <c r="S24" s="43"/>
      <c r="T24" s="43"/>
      <c r="U24" s="43"/>
    </row>
    <row r="25" spans="1:21" s="11" customFormat="1" x14ac:dyDescent="0.25">
      <c r="A25" s="53" t="s">
        <v>148</v>
      </c>
      <c r="B25" s="54">
        <v>14.06</v>
      </c>
      <c r="C25" s="54">
        <v>13.88</v>
      </c>
      <c r="D25" s="54">
        <v>18.28</v>
      </c>
      <c r="E25" s="54">
        <v>4.7</v>
      </c>
      <c r="F25" s="54">
        <v>10</v>
      </c>
      <c r="G25" s="54">
        <v>30.6</v>
      </c>
      <c r="H25" s="54">
        <v>9.2899999999999991</v>
      </c>
      <c r="I25" s="54">
        <v>1.61</v>
      </c>
      <c r="J25" s="54">
        <v>0.14000000000000001</v>
      </c>
      <c r="K25" s="54">
        <v>296.74</v>
      </c>
      <c r="L25" s="54">
        <v>26.69</v>
      </c>
      <c r="M25" s="54">
        <v>97.94</v>
      </c>
      <c r="N25" s="54">
        <v>80.7</v>
      </c>
      <c r="O25" s="54">
        <v>0</v>
      </c>
      <c r="P25" s="54">
        <v>0.67</v>
      </c>
      <c r="Q25" s="54">
        <v>9.11</v>
      </c>
      <c r="R25" s="43"/>
      <c r="S25" s="43"/>
      <c r="T25" s="43"/>
      <c r="U25" s="43"/>
    </row>
    <row r="26" spans="1:21" s="11" customFormat="1" x14ac:dyDescent="0.25">
      <c r="A26" s="53" t="s">
        <v>149</v>
      </c>
      <c r="B26" s="54">
        <v>12.52</v>
      </c>
      <c r="C26" s="54">
        <v>15.02</v>
      </c>
      <c r="D26" s="54">
        <v>17</v>
      </c>
      <c r="E26" s="54">
        <v>4.78</v>
      </c>
      <c r="F26" s="54">
        <v>8.93</v>
      </c>
      <c r="G26" s="54">
        <v>33.01</v>
      </c>
      <c r="H26" s="54">
        <v>7.55</v>
      </c>
      <c r="I26" s="54">
        <v>1.65</v>
      </c>
      <c r="J26" s="54">
        <v>0.1</v>
      </c>
      <c r="K26" s="54">
        <v>288.81</v>
      </c>
      <c r="L26" s="54">
        <v>24.96</v>
      </c>
      <c r="M26" s="54">
        <v>98</v>
      </c>
      <c r="N26" s="54">
        <v>53.2</v>
      </c>
      <c r="O26" s="54">
        <v>0</v>
      </c>
      <c r="P26" s="54">
        <v>0.8</v>
      </c>
      <c r="Q26" s="54">
        <v>9.1</v>
      </c>
      <c r="R26" s="43"/>
      <c r="S26" s="43"/>
      <c r="T26" s="43"/>
      <c r="U26" s="43"/>
    </row>
    <row r="27" spans="1:21" s="11" customFormat="1" x14ac:dyDescent="0.25">
      <c r="A27" s="53" t="s">
        <v>150</v>
      </c>
      <c r="B27" s="54">
        <v>9.93</v>
      </c>
      <c r="C27" s="54">
        <v>13.67</v>
      </c>
      <c r="D27" s="54">
        <v>15.09</v>
      </c>
      <c r="E27" s="54">
        <v>4.41</v>
      </c>
      <c r="F27" s="54">
        <v>10.59</v>
      </c>
      <c r="G27" s="54">
        <v>36.729999999999997</v>
      </c>
      <c r="H27" s="54">
        <v>6.44</v>
      </c>
      <c r="I27" s="54">
        <v>1.58</v>
      </c>
      <c r="J27" s="54">
        <v>0.16</v>
      </c>
      <c r="K27" s="54">
        <v>182.53</v>
      </c>
      <c r="L27" s="54">
        <v>24.35</v>
      </c>
      <c r="M27" s="54">
        <v>98.05</v>
      </c>
      <c r="N27" s="54">
        <v>40.700000000000003</v>
      </c>
      <c r="O27" s="54">
        <v>0</v>
      </c>
      <c r="P27" s="54">
        <v>0.51</v>
      </c>
      <c r="Q27" s="54">
        <v>9.1</v>
      </c>
      <c r="R27" s="43"/>
      <c r="S27" s="43"/>
      <c r="T27" s="43"/>
      <c r="U27" s="43"/>
    </row>
    <row r="28" spans="1:21" s="11" customFormat="1" x14ac:dyDescent="0.25">
      <c r="A28" s="53" t="s">
        <v>151</v>
      </c>
      <c r="B28" s="54">
        <v>10.119999999999999</v>
      </c>
      <c r="C28" s="54">
        <v>11.22</v>
      </c>
      <c r="D28" s="54">
        <v>13.33</v>
      </c>
      <c r="E28" s="54">
        <v>4.87</v>
      </c>
      <c r="F28" s="54">
        <v>11.46</v>
      </c>
      <c r="G28" s="54">
        <v>28.29</v>
      </c>
      <c r="H28" s="54">
        <v>8.11</v>
      </c>
      <c r="I28" s="54">
        <v>1.53</v>
      </c>
      <c r="J28" s="54">
        <v>0.08</v>
      </c>
      <c r="K28" s="54">
        <v>191.94</v>
      </c>
      <c r="L28" s="54">
        <v>24.09</v>
      </c>
      <c r="M28" s="54">
        <v>98.08</v>
      </c>
      <c r="N28" s="54">
        <v>40.6</v>
      </c>
      <c r="O28" s="54">
        <v>0</v>
      </c>
      <c r="P28" s="54">
        <v>0.42</v>
      </c>
      <c r="Q28" s="54">
        <v>9.1300000000000008</v>
      </c>
      <c r="R28" s="43"/>
      <c r="S28" s="43"/>
      <c r="T28" s="43"/>
      <c r="U28" s="43"/>
    </row>
    <row r="29" spans="1:21" s="11" customFormat="1" x14ac:dyDescent="0.25">
      <c r="A29" s="53" t="s">
        <v>152</v>
      </c>
      <c r="B29" s="54">
        <v>10.57</v>
      </c>
      <c r="C29" s="54">
        <v>10.63</v>
      </c>
      <c r="D29" s="54">
        <v>14.03</v>
      </c>
      <c r="E29" s="54">
        <v>4.75</v>
      </c>
      <c r="F29" s="54">
        <v>11.24</v>
      </c>
      <c r="G29" s="54">
        <v>24.88</v>
      </c>
      <c r="H29" s="54">
        <v>6.83</v>
      </c>
      <c r="I29" s="54">
        <v>1.51</v>
      </c>
      <c r="J29" s="54">
        <v>0.52</v>
      </c>
      <c r="K29" s="54">
        <v>171.42</v>
      </c>
      <c r="L29" s="54">
        <v>23.84</v>
      </c>
      <c r="M29" s="54">
        <v>98.08</v>
      </c>
      <c r="N29" s="54">
        <v>40.5</v>
      </c>
      <c r="O29" s="54">
        <v>0</v>
      </c>
      <c r="P29" s="54">
        <v>0.38</v>
      </c>
      <c r="Q29" s="54">
        <v>9.14</v>
      </c>
      <c r="R29" s="43"/>
      <c r="S29" s="43"/>
      <c r="T29" s="43"/>
      <c r="U29" s="43"/>
    </row>
    <row r="30" spans="1:21" s="11" customFormat="1" x14ac:dyDescent="0.25">
      <c r="A30" s="53" t="s">
        <v>153</v>
      </c>
      <c r="B30" s="54">
        <v>11.47</v>
      </c>
      <c r="C30" s="54">
        <v>8.75</v>
      </c>
      <c r="D30" s="54">
        <v>13.63</v>
      </c>
      <c r="E30" s="54">
        <v>4.79</v>
      </c>
      <c r="F30" s="54">
        <v>10.63</v>
      </c>
      <c r="G30" s="54">
        <v>24.96</v>
      </c>
      <c r="H30" s="54">
        <v>5.94</v>
      </c>
      <c r="I30" s="54">
        <v>1.46</v>
      </c>
      <c r="J30" s="54">
        <v>0.28999999999999998</v>
      </c>
      <c r="K30" s="54">
        <v>322.95999999999998</v>
      </c>
      <c r="L30" s="54">
        <v>23.55</v>
      </c>
      <c r="M30" s="54">
        <v>98.1</v>
      </c>
      <c r="N30" s="54">
        <v>40.5</v>
      </c>
      <c r="O30" s="54">
        <v>0</v>
      </c>
      <c r="P30" s="54">
        <v>0.39</v>
      </c>
      <c r="Q30" s="54">
        <v>9.14</v>
      </c>
      <c r="R30" s="43"/>
      <c r="S30" s="43"/>
      <c r="T30" s="43"/>
      <c r="U30" s="43"/>
    </row>
    <row r="31" spans="1:21" s="11" customFormat="1" x14ac:dyDescent="0.25">
      <c r="A31" s="53" t="s">
        <v>154</v>
      </c>
      <c r="B31" s="54">
        <v>14.65</v>
      </c>
      <c r="C31" s="54">
        <v>10.199999999999999</v>
      </c>
      <c r="D31" s="54">
        <v>16.61</v>
      </c>
      <c r="E31" s="54">
        <v>4.97</v>
      </c>
      <c r="F31" s="54">
        <v>9.36</v>
      </c>
      <c r="G31" s="54">
        <v>23.04</v>
      </c>
      <c r="H31" s="54">
        <v>5.35</v>
      </c>
      <c r="I31" s="54">
        <v>1.37</v>
      </c>
      <c r="J31" s="54">
        <v>0.08</v>
      </c>
      <c r="K31" s="54">
        <v>330.47</v>
      </c>
      <c r="L31" s="54">
        <v>23.41</v>
      </c>
      <c r="M31" s="54">
        <v>98.08</v>
      </c>
      <c r="N31" s="54">
        <v>40.299999999999997</v>
      </c>
      <c r="O31" s="54">
        <v>0</v>
      </c>
      <c r="P31" s="54">
        <v>0.53</v>
      </c>
      <c r="Q31" s="54">
        <v>9.11</v>
      </c>
      <c r="R31" s="43"/>
      <c r="S31" s="43"/>
      <c r="T31" s="43"/>
      <c r="U31" s="43"/>
    </row>
    <row r="32" spans="1:21" s="11" customFormat="1" x14ac:dyDescent="0.25">
      <c r="A32" s="53" t="s">
        <v>155</v>
      </c>
      <c r="B32" s="54">
        <v>9.26</v>
      </c>
      <c r="C32" s="54">
        <v>7.47</v>
      </c>
      <c r="D32" s="54">
        <v>11.01</v>
      </c>
      <c r="E32" s="54">
        <v>4.45</v>
      </c>
      <c r="F32" s="54">
        <v>39.21</v>
      </c>
      <c r="G32" s="54">
        <v>24.61</v>
      </c>
      <c r="H32" s="54">
        <v>11.1</v>
      </c>
      <c r="I32" s="54">
        <v>1.35</v>
      </c>
      <c r="J32" s="54">
        <v>0.15</v>
      </c>
      <c r="K32" s="54">
        <v>173.85</v>
      </c>
      <c r="L32" s="54">
        <v>23.2</v>
      </c>
      <c r="M32" s="54">
        <v>98.13</v>
      </c>
      <c r="N32" s="54">
        <v>40.4</v>
      </c>
      <c r="O32" s="54">
        <v>0</v>
      </c>
      <c r="P32" s="54">
        <v>0.35</v>
      </c>
      <c r="Q32" s="54">
        <v>9.11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7.77</v>
      </c>
      <c r="C34" s="28">
        <f t="shared" si="0"/>
        <v>5.74</v>
      </c>
      <c r="D34" s="28">
        <f t="shared" si="0"/>
        <v>9.5500000000000007</v>
      </c>
      <c r="E34" s="28">
        <f t="shared" si="0"/>
        <v>3.35</v>
      </c>
      <c r="F34" s="28">
        <f t="shared" si="0"/>
        <v>8.1300000000000008</v>
      </c>
      <c r="G34" s="28">
        <f t="shared" si="0"/>
        <v>2.5299999999999998</v>
      </c>
      <c r="H34" s="28">
        <f t="shared" si="0"/>
        <v>5.26</v>
      </c>
      <c r="I34" s="28">
        <f t="shared" si="0"/>
        <v>1.07</v>
      </c>
      <c r="J34" s="28">
        <f t="shared" si="0"/>
        <v>0.08</v>
      </c>
      <c r="K34" s="28">
        <f t="shared" si="0"/>
        <v>171.42</v>
      </c>
      <c r="L34" s="28">
        <f t="shared" si="0"/>
        <v>22.61</v>
      </c>
      <c r="M34" s="28">
        <f t="shared" si="0"/>
        <v>88.13</v>
      </c>
      <c r="N34" s="28">
        <f t="shared" si="0"/>
        <v>40.299999999999997</v>
      </c>
      <c r="O34" s="28">
        <f t="shared" si="0"/>
        <v>0</v>
      </c>
      <c r="P34" s="28">
        <f t="shared" si="0"/>
        <v>0.27</v>
      </c>
      <c r="Q34" s="28">
        <f t="shared" si="0"/>
        <v>9.02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14.65</v>
      </c>
      <c r="C35" s="29">
        <f t="shared" si="1"/>
        <v>15.02</v>
      </c>
      <c r="D35" s="29">
        <f t="shared" si="1"/>
        <v>18.28</v>
      </c>
      <c r="E35" s="29">
        <f t="shared" si="1"/>
        <v>5.13</v>
      </c>
      <c r="F35" s="29">
        <f t="shared" si="1"/>
        <v>39.21</v>
      </c>
      <c r="G35" s="29">
        <f t="shared" si="1"/>
        <v>36.729999999999997</v>
      </c>
      <c r="H35" s="29">
        <f t="shared" si="1"/>
        <v>11.31</v>
      </c>
      <c r="I35" s="29">
        <f t="shared" si="1"/>
        <v>1.86</v>
      </c>
      <c r="J35" s="29">
        <f t="shared" si="1"/>
        <v>2.08</v>
      </c>
      <c r="K35" s="29">
        <f t="shared" si="1"/>
        <v>338.73</v>
      </c>
      <c r="L35" s="29">
        <f t="shared" si="1"/>
        <v>30.31</v>
      </c>
      <c r="M35" s="29">
        <f t="shared" si="1"/>
        <v>98.23</v>
      </c>
      <c r="N35" s="29">
        <f t="shared" si="1"/>
        <v>785.5</v>
      </c>
      <c r="O35" s="29">
        <f t="shared" si="1"/>
        <v>0</v>
      </c>
      <c r="P35" s="29">
        <f t="shared" si="1"/>
        <v>0.8</v>
      </c>
      <c r="Q35" s="29">
        <f t="shared" si="1"/>
        <v>9.15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10.289166666666668</v>
      </c>
      <c r="C36" s="28">
        <f t="shared" si="2"/>
        <v>9.254999999999999</v>
      </c>
      <c r="D36" s="28">
        <f t="shared" si="2"/>
        <v>12.842083333333333</v>
      </c>
      <c r="E36" s="28">
        <f t="shared" si="2"/>
        <v>4.4204166666666671</v>
      </c>
      <c r="F36" s="28">
        <f t="shared" si="2"/>
        <v>11.800000000000002</v>
      </c>
      <c r="G36" s="28">
        <f t="shared" si="2"/>
        <v>22.27416666666667</v>
      </c>
      <c r="H36" s="28">
        <f t="shared" si="2"/>
        <v>7.3608333333333329</v>
      </c>
      <c r="I36" s="28">
        <f t="shared" si="2"/>
        <v>1.4941666666666666</v>
      </c>
      <c r="J36" s="28">
        <f t="shared" si="2"/>
        <v>0.29666666666666669</v>
      </c>
      <c r="K36" s="28">
        <f t="shared" si="2"/>
        <v>287.22583333333336</v>
      </c>
      <c r="L36" s="28">
        <f t="shared" si="2"/>
        <v>25.394166666666667</v>
      </c>
      <c r="M36" s="28">
        <f t="shared" si="2"/>
        <v>96.908749999999998</v>
      </c>
      <c r="N36" s="28">
        <f t="shared" si="2"/>
        <v>186.53749999999999</v>
      </c>
      <c r="O36" s="28">
        <f t="shared" si="2"/>
        <v>0</v>
      </c>
      <c r="P36" s="28">
        <f t="shared" si="2"/>
        <v>0.45791666666666669</v>
      </c>
      <c r="Q36" s="28">
        <f t="shared" si="2"/>
        <v>9.0837500000000002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1.935074241170236</v>
      </c>
      <c r="C37" s="28">
        <f t="shared" ref="C37:Q37" si="3">STDEV(C9:C32)</f>
        <v>2.6934348524417406</v>
      </c>
      <c r="D37" s="28">
        <f t="shared" si="3"/>
        <v>2.4912559765266535</v>
      </c>
      <c r="E37" s="28">
        <f t="shared" si="3"/>
        <v>0.6131776050723875</v>
      </c>
      <c r="F37" s="28">
        <f t="shared" si="3"/>
        <v>6.457286413508923</v>
      </c>
      <c r="G37" s="28">
        <f t="shared" si="3"/>
        <v>10.316114838558105</v>
      </c>
      <c r="H37" s="28">
        <f t="shared" si="3"/>
        <v>1.6636077000633684</v>
      </c>
      <c r="I37" s="28">
        <f t="shared" si="3"/>
        <v>0.22852869036258938</v>
      </c>
      <c r="J37" s="28">
        <f t="shared" si="3"/>
        <v>0.40061546852710078</v>
      </c>
      <c r="K37" s="28">
        <f t="shared" si="3"/>
        <v>50.692290376576643</v>
      </c>
      <c r="L37" s="28">
        <f t="shared" si="3"/>
        <v>2.7541477284533582</v>
      </c>
      <c r="M37" s="28">
        <f t="shared" si="3"/>
        <v>2.9321491042519003</v>
      </c>
      <c r="N37" s="28">
        <f t="shared" si="3"/>
        <v>222.36330791414701</v>
      </c>
      <c r="O37" s="28">
        <f t="shared" si="3"/>
        <v>0</v>
      </c>
      <c r="P37" s="28">
        <f t="shared" si="3"/>
        <v>0.12194008388536984</v>
      </c>
      <c r="Q37" s="28">
        <f t="shared" si="3"/>
        <v>3.7971671362832714E-2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F12" sqref="F12:F21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05/10/2025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156</v>
      </c>
      <c r="B9" s="54">
        <v>8.26</v>
      </c>
      <c r="C9" s="54">
        <v>7.73</v>
      </c>
      <c r="D9" s="54">
        <v>10.52</v>
      </c>
      <c r="E9" s="54">
        <v>4.41</v>
      </c>
      <c r="F9" s="54">
        <v>10.98</v>
      </c>
      <c r="G9" s="54">
        <v>21.76</v>
      </c>
      <c r="H9" s="54">
        <v>9.01</v>
      </c>
      <c r="I9" s="54">
        <v>1.38</v>
      </c>
      <c r="J9" s="54">
        <v>0.19</v>
      </c>
      <c r="K9" s="54">
        <v>184.96</v>
      </c>
      <c r="L9" s="54">
        <v>22.86</v>
      </c>
      <c r="M9" s="54">
        <v>98.13</v>
      </c>
      <c r="N9" s="54">
        <v>40.4</v>
      </c>
      <c r="O9" s="54">
        <v>0</v>
      </c>
      <c r="P9" s="54">
        <v>0.28999999999999998</v>
      </c>
      <c r="Q9" s="54">
        <v>9.14</v>
      </c>
      <c r="R9" s="43"/>
      <c r="S9" s="43"/>
      <c r="T9" s="43"/>
      <c r="U9" s="43"/>
    </row>
    <row r="10" spans="1:21" s="11" customFormat="1" x14ac:dyDescent="0.25">
      <c r="A10" s="53" t="s">
        <v>157</v>
      </c>
      <c r="B10" s="54">
        <v>9.35</v>
      </c>
      <c r="C10" s="54">
        <v>5.61</v>
      </c>
      <c r="D10" s="54">
        <v>10.130000000000001</v>
      </c>
      <c r="E10" s="54">
        <v>4.4800000000000004</v>
      </c>
      <c r="F10" s="54">
        <v>12.21</v>
      </c>
      <c r="G10" s="54">
        <v>19.93</v>
      </c>
      <c r="H10" s="54">
        <v>7.46</v>
      </c>
      <c r="I10" s="54">
        <v>1.36</v>
      </c>
      <c r="J10" s="54">
        <v>0.08</v>
      </c>
      <c r="K10" s="54">
        <v>267.95999999999998</v>
      </c>
      <c r="L10" s="54">
        <v>22.66</v>
      </c>
      <c r="M10" s="54">
        <v>98.13</v>
      </c>
      <c r="N10" s="54">
        <v>40.4</v>
      </c>
      <c r="O10" s="54">
        <v>0</v>
      </c>
      <c r="P10" s="54">
        <v>0.28999999999999998</v>
      </c>
      <c r="Q10" s="54">
        <v>9.1300000000000008</v>
      </c>
      <c r="R10" s="43"/>
      <c r="S10" s="43"/>
      <c r="T10" s="43"/>
      <c r="U10" s="43"/>
    </row>
    <row r="11" spans="1:21" s="11" customFormat="1" x14ac:dyDescent="0.25">
      <c r="A11" s="53" t="s">
        <v>158</v>
      </c>
      <c r="B11" s="54">
        <v>9.07</v>
      </c>
      <c r="C11" s="54">
        <v>5.38</v>
      </c>
      <c r="D11" s="54">
        <v>10.039999999999999</v>
      </c>
      <c r="E11" s="54">
        <v>4.53</v>
      </c>
      <c r="F11" s="54">
        <v>9.51</v>
      </c>
      <c r="G11" s="54">
        <v>20.84</v>
      </c>
      <c r="H11" s="54">
        <v>6.38</v>
      </c>
      <c r="I11" s="54">
        <v>1.33</v>
      </c>
      <c r="J11" s="54">
        <v>0.12</v>
      </c>
      <c r="K11" s="54">
        <v>311.29000000000002</v>
      </c>
      <c r="L11" s="54">
        <v>22.67</v>
      </c>
      <c r="M11" s="54">
        <v>98.13</v>
      </c>
      <c r="N11" s="54">
        <v>40.4</v>
      </c>
      <c r="O11" s="54">
        <v>0</v>
      </c>
      <c r="P11" s="54">
        <v>0.28999999999999998</v>
      </c>
      <c r="Q11" s="54">
        <v>9.09</v>
      </c>
      <c r="R11" s="43"/>
      <c r="S11" s="43"/>
      <c r="T11" s="43"/>
      <c r="U11" s="43"/>
    </row>
    <row r="12" spans="1:21" s="11" customFormat="1" x14ac:dyDescent="0.25">
      <c r="A12" s="53" t="s">
        <v>159</v>
      </c>
      <c r="B12" s="54">
        <v>9.31</v>
      </c>
      <c r="C12" s="54">
        <v>5.56</v>
      </c>
      <c r="D12" s="54">
        <v>10.18</v>
      </c>
      <c r="E12" s="54">
        <v>4.32</v>
      </c>
      <c r="F12" s="54">
        <v>10.02</v>
      </c>
      <c r="G12" s="54">
        <v>15.01</v>
      </c>
      <c r="H12" s="54">
        <v>10.95</v>
      </c>
      <c r="I12" s="54">
        <v>1.26</v>
      </c>
      <c r="J12" s="54">
        <v>0.1</v>
      </c>
      <c r="K12" s="54">
        <v>295.26</v>
      </c>
      <c r="L12" s="54">
        <v>22.64</v>
      </c>
      <c r="M12" s="54">
        <v>98.13</v>
      </c>
      <c r="N12" s="54">
        <v>40.4</v>
      </c>
      <c r="O12" s="54">
        <v>0</v>
      </c>
      <c r="P12" s="54">
        <v>0.28000000000000003</v>
      </c>
      <c r="Q12" s="54">
        <v>9.07</v>
      </c>
      <c r="R12" s="43"/>
      <c r="S12" s="43"/>
      <c r="T12" s="43"/>
      <c r="U12" s="43"/>
    </row>
    <row r="13" spans="1:21" s="11" customFormat="1" x14ac:dyDescent="0.25">
      <c r="A13" s="53" t="s">
        <v>160</v>
      </c>
      <c r="B13" s="54">
        <v>8.94</v>
      </c>
      <c r="C13" s="54">
        <v>6.76</v>
      </c>
      <c r="D13" s="54">
        <v>10.49</v>
      </c>
      <c r="E13" s="54">
        <v>4.16</v>
      </c>
      <c r="F13" s="54">
        <v>11.63</v>
      </c>
      <c r="G13" s="54">
        <v>15.78</v>
      </c>
      <c r="H13" s="54">
        <v>8.82</v>
      </c>
      <c r="I13" s="54">
        <v>1.19</v>
      </c>
      <c r="J13" s="54">
        <v>0.11</v>
      </c>
      <c r="K13" s="54">
        <v>254.94</v>
      </c>
      <c r="L13" s="54">
        <v>22.5</v>
      </c>
      <c r="M13" s="54">
        <v>98.15</v>
      </c>
      <c r="N13" s="54">
        <v>40.4</v>
      </c>
      <c r="O13" s="54">
        <v>0</v>
      </c>
      <c r="P13" s="54">
        <v>0.24</v>
      </c>
      <c r="Q13" s="54">
        <v>9.08</v>
      </c>
      <c r="R13" s="43"/>
      <c r="S13" s="43"/>
      <c r="T13" s="43"/>
      <c r="U13" s="43"/>
    </row>
    <row r="14" spans="1:21" s="11" customFormat="1" x14ac:dyDescent="0.25">
      <c r="A14" s="53" t="s">
        <v>161</v>
      </c>
      <c r="B14" s="54">
        <v>10.81</v>
      </c>
      <c r="C14" s="54">
        <v>8.11</v>
      </c>
      <c r="D14" s="54">
        <v>12.91</v>
      </c>
      <c r="E14" s="54">
        <v>4.51</v>
      </c>
      <c r="F14" s="54">
        <v>12.24</v>
      </c>
      <c r="G14" s="54">
        <v>13.81</v>
      </c>
      <c r="H14" s="54">
        <v>7.33</v>
      </c>
      <c r="I14" s="54">
        <v>1.1299999999999999</v>
      </c>
      <c r="J14" s="54">
        <v>0.1</v>
      </c>
      <c r="K14" s="54">
        <v>306.97000000000003</v>
      </c>
      <c r="L14" s="54">
        <v>22.72</v>
      </c>
      <c r="M14" s="54">
        <v>98.17</v>
      </c>
      <c r="N14" s="54">
        <v>42.4</v>
      </c>
      <c r="O14" s="54">
        <v>0</v>
      </c>
      <c r="P14" s="54">
        <v>0.27</v>
      </c>
      <c r="Q14" s="54">
        <v>9.11</v>
      </c>
      <c r="R14" s="43"/>
      <c r="S14" s="43"/>
      <c r="T14" s="43"/>
      <c r="U14" s="43"/>
    </row>
    <row r="15" spans="1:21" s="11" customFormat="1" x14ac:dyDescent="0.25">
      <c r="A15" s="53" t="s">
        <v>162</v>
      </c>
      <c r="B15" s="54">
        <v>11.8</v>
      </c>
      <c r="C15" s="54">
        <v>6.55</v>
      </c>
      <c r="D15" s="54">
        <v>12.89</v>
      </c>
      <c r="E15" s="54">
        <v>4.49</v>
      </c>
      <c r="F15" s="54">
        <v>11.93</v>
      </c>
      <c r="G15" s="54">
        <v>18.05</v>
      </c>
      <c r="H15" s="54">
        <v>6.28</v>
      </c>
      <c r="I15" s="54">
        <v>1.1200000000000001</v>
      </c>
      <c r="J15" s="54">
        <v>0.12</v>
      </c>
      <c r="K15" s="54">
        <v>310.98</v>
      </c>
      <c r="L15" s="54">
        <v>23.21</v>
      </c>
      <c r="M15" s="54">
        <v>98.17</v>
      </c>
      <c r="N15" s="54">
        <v>73.400000000000006</v>
      </c>
      <c r="O15" s="54">
        <v>0</v>
      </c>
      <c r="P15" s="54">
        <v>0.28999999999999998</v>
      </c>
      <c r="Q15" s="54">
        <v>9.11</v>
      </c>
      <c r="R15" s="43"/>
      <c r="S15" s="43"/>
      <c r="T15" s="43"/>
      <c r="U15" s="43"/>
    </row>
    <row r="16" spans="1:21" s="11" customFormat="1" x14ac:dyDescent="0.25">
      <c r="A16" s="53" t="s">
        <v>163</v>
      </c>
      <c r="B16" s="54">
        <v>11.65</v>
      </c>
      <c r="C16" s="54">
        <v>5.95</v>
      </c>
      <c r="D16" s="54">
        <v>12.45</v>
      </c>
      <c r="E16" s="54">
        <v>4.59</v>
      </c>
      <c r="F16" s="54">
        <v>9.94</v>
      </c>
      <c r="G16" s="54">
        <v>20.38</v>
      </c>
      <c r="H16" s="54">
        <v>10.72</v>
      </c>
      <c r="I16" s="54">
        <v>1.1200000000000001</v>
      </c>
      <c r="J16" s="54">
        <v>0.14000000000000001</v>
      </c>
      <c r="K16" s="54">
        <v>296.22000000000003</v>
      </c>
      <c r="L16" s="54">
        <v>25.28</v>
      </c>
      <c r="M16" s="54">
        <v>98</v>
      </c>
      <c r="N16" s="54">
        <v>257.7</v>
      </c>
      <c r="O16" s="54">
        <v>0</v>
      </c>
      <c r="P16" s="54">
        <v>0.38</v>
      </c>
      <c r="Q16" s="54">
        <v>9.09</v>
      </c>
      <c r="R16" s="43"/>
      <c r="S16" s="43"/>
      <c r="T16" s="43"/>
      <c r="U16" s="43"/>
    </row>
    <row r="17" spans="1:21" s="11" customFormat="1" x14ac:dyDescent="0.25">
      <c r="A17" s="53" t="s">
        <v>164</v>
      </c>
      <c r="B17" s="54">
        <v>12.38</v>
      </c>
      <c r="C17" s="54">
        <v>7.08</v>
      </c>
      <c r="D17" s="54">
        <v>13.62</v>
      </c>
      <c r="E17" s="54">
        <v>3.56</v>
      </c>
      <c r="F17" s="54">
        <v>9.5399999999999991</v>
      </c>
      <c r="G17" s="54">
        <v>25.07</v>
      </c>
      <c r="H17" s="54">
        <v>8.66</v>
      </c>
      <c r="I17" s="54">
        <v>1.32</v>
      </c>
      <c r="J17" s="54">
        <v>0.19</v>
      </c>
      <c r="K17" s="54">
        <v>294.10000000000002</v>
      </c>
      <c r="L17" s="54">
        <v>26.5</v>
      </c>
      <c r="M17" s="54">
        <v>97.91</v>
      </c>
      <c r="N17" s="54">
        <v>289.60000000000002</v>
      </c>
      <c r="O17" s="54">
        <v>0</v>
      </c>
      <c r="P17" s="54">
        <v>0.48</v>
      </c>
      <c r="Q17" s="54">
        <v>9.11</v>
      </c>
      <c r="R17" s="43"/>
      <c r="S17" s="43"/>
      <c r="T17" s="43"/>
      <c r="U17" s="43"/>
    </row>
    <row r="18" spans="1:21" s="11" customFormat="1" x14ac:dyDescent="0.25">
      <c r="A18" s="53" t="s">
        <v>165</v>
      </c>
      <c r="B18" s="54">
        <v>11.55</v>
      </c>
      <c r="C18" s="54">
        <v>10.96</v>
      </c>
      <c r="D18" s="54">
        <v>14.52</v>
      </c>
      <c r="E18" s="54">
        <v>3.88</v>
      </c>
      <c r="F18" s="54">
        <v>10.119999999999999</v>
      </c>
      <c r="G18" s="54">
        <v>38.01</v>
      </c>
      <c r="H18" s="54">
        <v>7.22</v>
      </c>
      <c r="I18" s="54">
        <v>1.91</v>
      </c>
      <c r="J18" s="54">
        <v>0.17</v>
      </c>
      <c r="K18" s="54">
        <v>286.27</v>
      </c>
      <c r="L18" s="54">
        <v>28.21</v>
      </c>
      <c r="M18" s="54">
        <v>97.9</v>
      </c>
      <c r="N18" s="54">
        <v>467.8</v>
      </c>
      <c r="O18" s="54">
        <v>0</v>
      </c>
      <c r="P18" s="54">
        <v>0.61</v>
      </c>
      <c r="Q18" s="54">
        <v>9.14</v>
      </c>
      <c r="R18" s="43"/>
      <c r="S18" s="43"/>
      <c r="T18" s="43"/>
      <c r="U18" s="43"/>
    </row>
    <row r="19" spans="1:21" s="11" customFormat="1" x14ac:dyDescent="0.25">
      <c r="A19" s="53" t="s">
        <v>166</v>
      </c>
      <c r="B19" s="54">
        <v>12.25</v>
      </c>
      <c r="C19" s="54">
        <v>13.43</v>
      </c>
      <c r="D19" s="54">
        <v>16.399999999999999</v>
      </c>
      <c r="E19" s="54">
        <v>4.24</v>
      </c>
      <c r="F19" s="54">
        <v>11.98</v>
      </c>
      <c r="G19" s="54">
        <v>45.21</v>
      </c>
      <c r="H19" s="54">
        <v>6.21</v>
      </c>
      <c r="I19" s="54">
        <v>2.1800000000000002</v>
      </c>
      <c r="J19" s="54">
        <v>0.21</v>
      </c>
      <c r="K19" s="54">
        <v>275.66000000000003</v>
      </c>
      <c r="L19" s="54">
        <v>28.6</v>
      </c>
      <c r="M19" s="54">
        <v>97.83</v>
      </c>
      <c r="N19" s="54">
        <v>457</v>
      </c>
      <c r="O19" s="54">
        <v>0</v>
      </c>
      <c r="P19" s="54">
        <v>0.63</v>
      </c>
      <c r="Q19" s="54">
        <v>9.1300000000000008</v>
      </c>
      <c r="R19" s="43"/>
      <c r="S19" s="43"/>
      <c r="T19" s="43"/>
      <c r="U19" s="43"/>
    </row>
    <row r="20" spans="1:21" s="11" customFormat="1" x14ac:dyDescent="0.25">
      <c r="A20" s="53" t="s">
        <v>167</v>
      </c>
      <c r="B20" s="54">
        <v>16.84</v>
      </c>
      <c r="C20" s="54">
        <v>12.61</v>
      </c>
      <c r="D20" s="54">
        <v>20.079999999999998</v>
      </c>
      <c r="E20" s="54">
        <v>4.03</v>
      </c>
      <c r="F20" s="54">
        <v>14.42</v>
      </c>
      <c r="G20" s="54">
        <v>42.41</v>
      </c>
      <c r="H20" s="54">
        <v>10.34</v>
      </c>
      <c r="I20" s="54">
        <v>2.2200000000000002</v>
      </c>
      <c r="J20" s="54">
        <v>0.61</v>
      </c>
      <c r="K20" s="54">
        <v>334.35</v>
      </c>
      <c r="L20" s="54">
        <v>28.35</v>
      </c>
      <c r="M20" s="54">
        <v>98.15</v>
      </c>
      <c r="N20" s="54">
        <v>685.2</v>
      </c>
      <c r="O20" s="54">
        <v>0.8</v>
      </c>
      <c r="P20" s="54">
        <v>0.66</v>
      </c>
      <c r="Q20" s="54">
        <v>9.1</v>
      </c>
      <c r="R20" s="43"/>
      <c r="S20" s="43"/>
      <c r="T20" s="43"/>
      <c r="U20" s="43"/>
    </row>
    <row r="21" spans="1:21" s="11" customFormat="1" x14ac:dyDescent="0.25">
      <c r="A21" s="53" t="s">
        <v>168</v>
      </c>
      <c r="B21" s="54">
        <v>10.24</v>
      </c>
      <c r="C21" s="54">
        <v>14.18</v>
      </c>
      <c r="D21" s="54">
        <v>14.51</v>
      </c>
      <c r="E21" s="54">
        <v>3.96</v>
      </c>
      <c r="F21" s="54">
        <v>15.66</v>
      </c>
      <c r="G21" s="54">
        <v>42.93</v>
      </c>
      <c r="H21" s="54">
        <v>11.68</v>
      </c>
      <c r="I21" s="54">
        <v>2.13</v>
      </c>
      <c r="J21" s="54">
        <v>0.21</v>
      </c>
      <c r="K21" s="54">
        <v>317.60000000000002</v>
      </c>
      <c r="L21" s="54">
        <v>30.08</v>
      </c>
      <c r="M21" s="54">
        <v>97.32</v>
      </c>
      <c r="N21" s="54">
        <v>798.5</v>
      </c>
      <c r="O21" s="54">
        <v>0</v>
      </c>
      <c r="P21" s="54">
        <v>0.69</v>
      </c>
      <c r="Q21" s="54">
        <v>9.06</v>
      </c>
      <c r="R21" s="43"/>
      <c r="S21" s="43"/>
      <c r="T21" s="43"/>
      <c r="U21" s="43"/>
    </row>
    <row r="22" spans="1:21" s="11" customFormat="1" x14ac:dyDescent="0.25">
      <c r="A22" s="53" t="s">
        <v>169</v>
      </c>
      <c r="B22" s="54">
        <v>9.01</v>
      </c>
      <c r="C22" s="54">
        <v>14.96</v>
      </c>
      <c r="D22" s="54">
        <v>14.82</v>
      </c>
      <c r="E22" s="54">
        <v>4.0599999999999996</v>
      </c>
      <c r="F22" s="54">
        <v>16.190000000000001</v>
      </c>
      <c r="G22" s="54">
        <v>41.62</v>
      </c>
      <c r="H22" s="54">
        <v>9.33</v>
      </c>
      <c r="I22" s="54">
        <v>2.13</v>
      </c>
      <c r="J22" s="54">
        <v>2.58</v>
      </c>
      <c r="K22" s="54">
        <v>335.75</v>
      </c>
      <c r="L22" s="54">
        <v>28.25</v>
      </c>
      <c r="M22" s="54">
        <v>98.16</v>
      </c>
      <c r="N22" s="54">
        <v>233</v>
      </c>
      <c r="O22" s="54">
        <v>0</v>
      </c>
      <c r="P22" s="54">
        <v>0.57999999999999996</v>
      </c>
      <c r="Q22" s="54">
        <v>9.08</v>
      </c>
      <c r="R22" s="43"/>
      <c r="S22" s="43"/>
      <c r="T22" s="43"/>
      <c r="U22" s="43"/>
    </row>
    <row r="23" spans="1:21" s="11" customFormat="1" x14ac:dyDescent="0.25">
      <c r="A23" s="53" t="s">
        <v>170</v>
      </c>
      <c r="B23" s="54">
        <v>9.2100000000000009</v>
      </c>
      <c r="C23" s="54">
        <v>9.65</v>
      </c>
      <c r="D23" s="54">
        <v>12.43</v>
      </c>
      <c r="E23" s="54">
        <v>4.03</v>
      </c>
      <c r="F23" s="54">
        <v>9.52</v>
      </c>
      <c r="G23" s="54">
        <v>37.14</v>
      </c>
      <c r="H23" s="54">
        <v>7.69</v>
      </c>
      <c r="I23" s="54">
        <v>1.91</v>
      </c>
      <c r="J23" s="54">
        <v>1.24</v>
      </c>
      <c r="K23" s="54">
        <v>153.63</v>
      </c>
      <c r="L23" s="54">
        <v>22.1</v>
      </c>
      <c r="M23" s="54">
        <v>98.22</v>
      </c>
      <c r="N23" s="54">
        <v>62.6</v>
      </c>
      <c r="O23" s="54">
        <v>0</v>
      </c>
      <c r="P23" s="54">
        <v>0.46</v>
      </c>
      <c r="Q23" s="54">
        <v>9.07</v>
      </c>
      <c r="R23" s="43"/>
      <c r="S23" s="43"/>
      <c r="T23" s="43"/>
      <c r="U23" s="43"/>
    </row>
    <row r="24" spans="1:21" s="11" customFormat="1" x14ac:dyDescent="0.25">
      <c r="A24" s="53" t="s">
        <v>171</v>
      </c>
      <c r="B24" s="54">
        <v>10.07</v>
      </c>
      <c r="C24" s="54">
        <v>16.399999999999999</v>
      </c>
      <c r="D24" s="54">
        <v>16.649999999999999</v>
      </c>
      <c r="E24" s="54">
        <v>4.7300000000000004</v>
      </c>
      <c r="F24" s="54">
        <v>11.17</v>
      </c>
      <c r="G24" s="54">
        <v>24.8</v>
      </c>
      <c r="H24" s="54">
        <v>12.71</v>
      </c>
      <c r="I24" s="54">
        <v>1.79</v>
      </c>
      <c r="J24" s="54">
        <v>0.17</v>
      </c>
      <c r="K24" s="54">
        <v>221.33</v>
      </c>
      <c r="L24" s="54">
        <v>22.49</v>
      </c>
      <c r="M24" s="54">
        <v>98.2</v>
      </c>
      <c r="N24" s="54">
        <v>122.4</v>
      </c>
      <c r="O24" s="54">
        <v>0</v>
      </c>
      <c r="P24" s="54">
        <v>0.43</v>
      </c>
      <c r="Q24" s="54">
        <v>9.06</v>
      </c>
      <c r="R24" s="43"/>
      <c r="S24" s="43"/>
      <c r="T24" s="43"/>
      <c r="U24" s="43"/>
    </row>
    <row r="25" spans="1:21" s="11" customFormat="1" x14ac:dyDescent="0.25">
      <c r="A25" s="53" t="s">
        <v>172</v>
      </c>
      <c r="B25" s="54">
        <v>9.4600000000000009</v>
      </c>
      <c r="C25" s="54">
        <v>17.84</v>
      </c>
      <c r="D25" s="54">
        <v>16.91</v>
      </c>
      <c r="E25" s="54">
        <v>4.99</v>
      </c>
      <c r="F25" s="54">
        <v>13.95</v>
      </c>
      <c r="G25" s="54">
        <v>16.559999999999999</v>
      </c>
      <c r="H25" s="54">
        <v>12.39</v>
      </c>
      <c r="I25" s="54">
        <v>1.72</v>
      </c>
      <c r="J25" s="54">
        <v>0.21</v>
      </c>
      <c r="K25" s="54">
        <v>215.09</v>
      </c>
      <c r="L25" s="54">
        <v>22.99</v>
      </c>
      <c r="M25" s="54">
        <v>98.07</v>
      </c>
      <c r="N25" s="54">
        <v>107.3</v>
      </c>
      <c r="O25" s="54">
        <v>0</v>
      </c>
      <c r="P25" s="54">
        <v>0.39</v>
      </c>
      <c r="Q25" s="54">
        <v>9.09</v>
      </c>
      <c r="R25" s="43"/>
      <c r="S25" s="43"/>
      <c r="T25" s="43"/>
      <c r="U25" s="43"/>
    </row>
    <row r="26" spans="1:21" s="11" customFormat="1" x14ac:dyDescent="0.25">
      <c r="A26" s="53" t="s">
        <v>173</v>
      </c>
      <c r="B26" s="54">
        <v>18.84</v>
      </c>
      <c r="C26" s="54">
        <v>12.41</v>
      </c>
      <c r="D26" s="54">
        <v>20.86</v>
      </c>
      <c r="E26" s="54">
        <v>5.07</v>
      </c>
      <c r="F26" s="54">
        <v>10.77</v>
      </c>
      <c r="G26" s="54">
        <v>14</v>
      </c>
      <c r="H26" s="54">
        <v>9.83</v>
      </c>
      <c r="I26" s="54">
        <v>1.72</v>
      </c>
      <c r="J26" s="54">
        <v>0.06</v>
      </c>
      <c r="K26" s="54">
        <v>287.95999999999998</v>
      </c>
      <c r="L26" s="54">
        <v>22.96</v>
      </c>
      <c r="M26" s="54">
        <v>98.13</v>
      </c>
      <c r="N26" s="54">
        <v>61.9</v>
      </c>
      <c r="O26" s="54">
        <v>0</v>
      </c>
      <c r="P26" s="54">
        <v>0.6</v>
      </c>
      <c r="Q26" s="54">
        <v>9.1199999999999992</v>
      </c>
      <c r="R26" s="43"/>
      <c r="S26" s="43"/>
      <c r="T26" s="43"/>
      <c r="U26" s="43"/>
    </row>
    <row r="27" spans="1:21" s="11" customFormat="1" x14ac:dyDescent="0.25">
      <c r="A27" s="53" t="s">
        <v>174</v>
      </c>
      <c r="B27" s="54">
        <v>16.8</v>
      </c>
      <c r="C27" s="54">
        <v>12.22</v>
      </c>
      <c r="D27" s="54">
        <v>18.96</v>
      </c>
      <c r="E27" s="54">
        <v>5.4</v>
      </c>
      <c r="F27" s="54">
        <v>9.66</v>
      </c>
      <c r="G27" s="54">
        <v>16.86</v>
      </c>
      <c r="H27" s="54">
        <v>8.0399999999999991</v>
      </c>
      <c r="I27" s="54">
        <v>1.73</v>
      </c>
      <c r="J27" s="54">
        <v>0.26</v>
      </c>
      <c r="K27" s="54">
        <v>330.76</v>
      </c>
      <c r="L27" s="54">
        <v>22.99</v>
      </c>
      <c r="M27" s="54">
        <v>98.18</v>
      </c>
      <c r="N27" s="54">
        <v>46.4</v>
      </c>
      <c r="O27" s="54">
        <v>0</v>
      </c>
      <c r="P27" s="54">
        <v>0.7</v>
      </c>
      <c r="Q27" s="54">
        <v>9.11</v>
      </c>
      <c r="R27" s="43"/>
      <c r="S27" s="43"/>
      <c r="T27" s="43"/>
      <c r="U27" s="43"/>
    </row>
    <row r="28" spans="1:21" s="11" customFormat="1" x14ac:dyDescent="0.25">
      <c r="A28" s="53" t="s">
        <v>175</v>
      </c>
      <c r="B28" s="54">
        <v>23.88</v>
      </c>
      <c r="C28" s="54">
        <v>9.07</v>
      </c>
      <c r="D28" s="54">
        <v>23.78</v>
      </c>
      <c r="E28" s="54">
        <v>5.21</v>
      </c>
      <c r="F28" s="54">
        <v>15.58</v>
      </c>
      <c r="G28" s="54">
        <v>18.46</v>
      </c>
      <c r="H28" s="54">
        <v>11.07</v>
      </c>
      <c r="I28" s="54">
        <v>1.63</v>
      </c>
      <c r="J28" s="54">
        <v>0.32</v>
      </c>
      <c r="K28" s="54">
        <v>332.72</v>
      </c>
      <c r="L28" s="54">
        <v>23.14</v>
      </c>
      <c r="M28" s="54">
        <v>98.18</v>
      </c>
      <c r="N28" s="54">
        <v>46.5</v>
      </c>
      <c r="O28" s="54">
        <v>0</v>
      </c>
      <c r="P28" s="54">
        <v>0.87</v>
      </c>
      <c r="Q28" s="54">
        <v>9.16</v>
      </c>
      <c r="R28" s="43"/>
      <c r="S28" s="43"/>
      <c r="T28" s="43"/>
      <c r="U28" s="43"/>
    </row>
    <row r="29" spans="1:21" s="11" customFormat="1" x14ac:dyDescent="0.25">
      <c r="A29" s="53" t="s">
        <v>176</v>
      </c>
      <c r="B29" s="54">
        <v>18.239999999999998</v>
      </c>
      <c r="C29" s="54">
        <v>12.16</v>
      </c>
      <c r="D29" s="54">
        <v>20.98</v>
      </c>
      <c r="E29" s="54">
        <v>5.13</v>
      </c>
      <c r="F29" s="54">
        <v>10.11</v>
      </c>
      <c r="G29" s="54">
        <v>27.01</v>
      </c>
      <c r="H29" s="54">
        <v>8.9</v>
      </c>
      <c r="I29" s="54">
        <v>1.79</v>
      </c>
      <c r="J29" s="54">
        <v>0.31</v>
      </c>
      <c r="K29" s="54">
        <v>326.52999999999997</v>
      </c>
      <c r="L29" s="54">
        <v>23.15</v>
      </c>
      <c r="M29" s="54">
        <v>98.16</v>
      </c>
      <c r="N29" s="54">
        <v>47</v>
      </c>
      <c r="O29" s="54">
        <v>0</v>
      </c>
      <c r="P29" s="54">
        <v>0.7</v>
      </c>
      <c r="Q29" s="54">
        <v>9.2100000000000009</v>
      </c>
      <c r="R29" s="43"/>
      <c r="S29" s="43"/>
      <c r="T29" s="43"/>
      <c r="U29" s="43"/>
    </row>
    <row r="30" spans="1:21" s="11" customFormat="1" x14ac:dyDescent="0.25">
      <c r="A30" s="53" t="s">
        <v>177</v>
      </c>
      <c r="B30" s="54">
        <v>22.08</v>
      </c>
      <c r="C30" s="54">
        <v>13.54</v>
      </c>
      <c r="D30" s="54">
        <v>23.88</v>
      </c>
      <c r="E30" s="54">
        <v>5.16</v>
      </c>
      <c r="F30" s="54">
        <v>11.5</v>
      </c>
      <c r="G30" s="54">
        <v>27.36</v>
      </c>
      <c r="H30" s="54">
        <v>7.39</v>
      </c>
      <c r="I30" s="54">
        <v>1.96</v>
      </c>
      <c r="J30" s="54">
        <v>0.4</v>
      </c>
      <c r="K30" s="54">
        <v>322.99</v>
      </c>
      <c r="L30" s="54">
        <v>22.71</v>
      </c>
      <c r="M30" s="54">
        <v>98.11</v>
      </c>
      <c r="N30" s="54">
        <v>46.3</v>
      </c>
      <c r="O30" s="54">
        <v>0</v>
      </c>
      <c r="P30" s="54">
        <v>0.74</v>
      </c>
      <c r="Q30" s="54">
        <v>9.26</v>
      </c>
      <c r="R30" s="43"/>
      <c r="S30" s="43"/>
      <c r="T30" s="43"/>
      <c r="U30" s="43"/>
    </row>
    <row r="31" spans="1:21" s="11" customFormat="1" x14ac:dyDescent="0.25">
      <c r="A31" s="53" t="s">
        <v>178</v>
      </c>
      <c r="B31" s="54">
        <v>15.34</v>
      </c>
      <c r="C31" s="54">
        <v>6.43</v>
      </c>
      <c r="D31" s="54">
        <v>14.79</v>
      </c>
      <c r="E31" s="54">
        <v>5.43</v>
      </c>
      <c r="F31" s="54">
        <v>11.5</v>
      </c>
      <c r="G31" s="54">
        <v>36.630000000000003</v>
      </c>
      <c r="H31" s="54">
        <v>6.33</v>
      </c>
      <c r="I31" s="54">
        <v>2</v>
      </c>
      <c r="J31" s="54">
        <v>0.65</v>
      </c>
      <c r="K31" s="54">
        <v>143.16</v>
      </c>
      <c r="L31" s="54">
        <v>22.45</v>
      </c>
      <c r="M31" s="54">
        <v>98.13</v>
      </c>
      <c r="N31" s="54">
        <v>46.4</v>
      </c>
      <c r="O31" s="54">
        <v>0</v>
      </c>
      <c r="P31" s="54">
        <v>0.61</v>
      </c>
      <c r="Q31" s="54">
        <v>9.26</v>
      </c>
      <c r="R31" s="43"/>
      <c r="S31" s="43"/>
      <c r="T31" s="43"/>
      <c r="U31" s="43"/>
    </row>
    <row r="32" spans="1:21" s="11" customFormat="1" x14ac:dyDescent="0.25">
      <c r="A32" s="53" t="s">
        <v>179</v>
      </c>
      <c r="B32" s="54">
        <v>14.1</v>
      </c>
      <c r="C32" s="54">
        <v>5.62</v>
      </c>
      <c r="D32" s="54">
        <v>14.24</v>
      </c>
      <c r="E32" s="54">
        <v>5.03</v>
      </c>
      <c r="F32" s="54">
        <v>11.5</v>
      </c>
      <c r="G32" s="54">
        <v>24.66</v>
      </c>
      <c r="H32" s="54">
        <v>11.17</v>
      </c>
      <c r="I32" s="54">
        <v>1.87</v>
      </c>
      <c r="J32" s="54">
        <v>0.1</v>
      </c>
      <c r="K32" s="54">
        <v>331.62</v>
      </c>
      <c r="L32" s="54">
        <v>22.28</v>
      </c>
      <c r="M32" s="54">
        <v>98.12</v>
      </c>
      <c r="N32" s="54">
        <v>46.3</v>
      </c>
      <c r="O32" s="54">
        <v>0</v>
      </c>
      <c r="P32" s="54">
        <v>0.51</v>
      </c>
      <c r="Q32" s="54">
        <v>9.2100000000000009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8.26</v>
      </c>
      <c r="C34" s="28">
        <f t="shared" si="0"/>
        <v>5.38</v>
      </c>
      <c r="D34" s="28">
        <f t="shared" si="0"/>
        <v>10.039999999999999</v>
      </c>
      <c r="E34" s="28">
        <f t="shared" si="0"/>
        <v>3.56</v>
      </c>
      <c r="F34" s="28">
        <f t="shared" si="0"/>
        <v>9.51</v>
      </c>
      <c r="G34" s="28">
        <f t="shared" si="0"/>
        <v>13.81</v>
      </c>
      <c r="H34" s="28">
        <f t="shared" si="0"/>
        <v>6.21</v>
      </c>
      <c r="I34" s="28">
        <f t="shared" si="0"/>
        <v>1.1200000000000001</v>
      </c>
      <c r="J34" s="28">
        <f t="shared" si="0"/>
        <v>0.06</v>
      </c>
      <c r="K34" s="28">
        <f t="shared" si="0"/>
        <v>143.16</v>
      </c>
      <c r="L34" s="28">
        <f t="shared" si="0"/>
        <v>22.1</v>
      </c>
      <c r="M34" s="28">
        <f t="shared" si="0"/>
        <v>97.32</v>
      </c>
      <c r="N34" s="28">
        <f t="shared" si="0"/>
        <v>40.4</v>
      </c>
      <c r="O34" s="28">
        <f t="shared" si="0"/>
        <v>0</v>
      </c>
      <c r="P34" s="28">
        <f t="shared" si="0"/>
        <v>0.24</v>
      </c>
      <c r="Q34" s="28">
        <f t="shared" si="0"/>
        <v>9.06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23.88</v>
      </c>
      <c r="C35" s="29">
        <f t="shared" si="1"/>
        <v>17.84</v>
      </c>
      <c r="D35" s="29">
        <f t="shared" si="1"/>
        <v>23.88</v>
      </c>
      <c r="E35" s="29">
        <f t="shared" si="1"/>
        <v>5.43</v>
      </c>
      <c r="F35" s="29">
        <f t="shared" si="1"/>
        <v>16.190000000000001</v>
      </c>
      <c r="G35" s="29">
        <f t="shared" si="1"/>
        <v>45.21</v>
      </c>
      <c r="H35" s="29">
        <f t="shared" si="1"/>
        <v>12.71</v>
      </c>
      <c r="I35" s="29">
        <f t="shared" si="1"/>
        <v>2.2200000000000002</v>
      </c>
      <c r="J35" s="29">
        <f t="shared" si="1"/>
        <v>2.58</v>
      </c>
      <c r="K35" s="29">
        <f t="shared" si="1"/>
        <v>335.75</v>
      </c>
      <c r="L35" s="29">
        <f t="shared" si="1"/>
        <v>30.08</v>
      </c>
      <c r="M35" s="29">
        <f t="shared" si="1"/>
        <v>98.22</v>
      </c>
      <c r="N35" s="29">
        <f t="shared" si="1"/>
        <v>798.5</v>
      </c>
      <c r="O35" s="29">
        <f t="shared" si="1"/>
        <v>0.8</v>
      </c>
      <c r="P35" s="29">
        <f t="shared" si="1"/>
        <v>0.87</v>
      </c>
      <c r="Q35" s="29">
        <f t="shared" si="1"/>
        <v>9.26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12.895000000000001</v>
      </c>
      <c r="C36" s="28">
        <f t="shared" si="2"/>
        <v>10.008750000000001</v>
      </c>
      <c r="D36" s="28">
        <f t="shared" si="2"/>
        <v>15.293333333333335</v>
      </c>
      <c r="E36" s="28">
        <f t="shared" si="2"/>
        <v>4.5583333333333336</v>
      </c>
      <c r="F36" s="28">
        <f t="shared" si="2"/>
        <v>11.734583333333333</v>
      </c>
      <c r="G36" s="28">
        <f t="shared" si="2"/>
        <v>26.012083333333333</v>
      </c>
      <c r="H36" s="28">
        <f t="shared" si="2"/>
        <v>8.9962499999999999</v>
      </c>
      <c r="I36" s="28">
        <f t="shared" si="2"/>
        <v>1.6624999999999996</v>
      </c>
      <c r="J36" s="28">
        <f t="shared" si="2"/>
        <v>0.36041666666666661</v>
      </c>
      <c r="K36" s="28">
        <f t="shared" si="2"/>
        <v>280.75416666666666</v>
      </c>
      <c r="L36" s="28">
        <f t="shared" si="2"/>
        <v>24.241250000000004</v>
      </c>
      <c r="M36" s="28">
        <f t="shared" si="2"/>
        <v>98.07416666666667</v>
      </c>
      <c r="N36" s="28">
        <f t="shared" si="2"/>
        <v>172.48750000000004</v>
      </c>
      <c r="O36" s="28">
        <f t="shared" si="2"/>
        <v>3.3333333333333333E-2</v>
      </c>
      <c r="P36" s="28">
        <f t="shared" si="2"/>
        <v>0.49958333333333321</v>
      </c>
      <c r="Q36" s="28">
        <f t="shared" si="2"/>
        <v>9.1245833333333319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4.4205626240381974</v>
      </c>
      <c r="C37" s="28">
        <f t="shared" ref="C37:Q37" si="3">STDEV(C9:C32)</f>
        <v>3.8517690035257464</v>
      </c>
      <c r="D37" s="28">
        <f t="shared" si="3"/>
        <v>4.2257715186148186</v>
      </c>
      <c r="E37" s="28">
        <f t="shared" si="3"/>
        <v>0.52157509498646981</v>
      </c>
      <c r="F37" s="28">
        <f t="shared" si="3"/>
        <v>2.0336366636422869</v>
      </c>
      <c r="G37" s="28">
        <f t="shared" si="3"/>
        <v>10.385586156728982</v>
      </c>
      <c r="H37" s="28">
        <f t="shared" si="3"/>
        <v>2.0181670816771398</v>
      </c>
      <c r="I37" s="28">
        <f t="shared" si="3"/>
        <v>0.36624118923962284</v>
      </c>
      <c r="J37" s="28">
        <f t="shared" si="3"/>
        <v>0.53810843554603116</v>
      </c>
      <c r="K37" s="28">
        <f t="shared" si="3"/>
        <v>57.155000459594625</v>
      </c>
      <c r="L37" s="28">
        <f t="shared" si="3"/>
        <v>2.5371351740307895</v>
      </c>
      <c r="M37" s="28">
        <f t="shared" si="3"/>
        <v>0.1885163276671333</v>
      </c>
      <c r="N37" s="28">
        <f t="shared" si="3"/>
        <v>217.48194990069564</v>
      </c>
      <c r="O37" s="28">
        <f t="shared" si="3"/>
        <v>0.16329931618554525</v>
      </c>
      <c r="P37" s="28">
        <f t="shared" si="3"/>
        <v>0.18326695109134922</v>
      </c>
      <c r="Q37" s="28">
        <f t="shared" si="3"/>
        <v>5.7632959068700439E-2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I23" sqref="I23"/>
    </sheetView>
  </sheetViews>
  <sheetFormatPr defaultColWidth="8.85546875" defaultRowHeight="15" x14ac:dyDescent="0.25"/>
  <cols>
    <col min="1" max="1" width="18.28515625" style="26" customWidth="1"/>
    <col min="2" max="2" width="13.5703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06/10/2025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180</v>
      </c>
      <c r="B9" s="54">
        <v>14.16</v>
      </c>
      <c r="C9" s="54">
        <v>7.29</v>
      </c>
      <c r="D9" s="54">
        <v>13.87</v>
      </c>
      <c r="E9" s="54">
        <v>4.33</v>
      </c>
      <c r="F9" s="54">
        <v>10.6</v>
      </c>
      <c r="G9" s="54">
        <v>20.29</v>
      </c>
      <c r="H9" s="54">
        <v>10.97</v>
      </c>
      <c r="I9" s="54">
        <v>1.74</v>
      </c>
      <c r="J9" s="54">
        <v>0.35</v>
      </c>
      <c r="K9" s="54">
        <v>326.72000000000003</v>
      </c>
      <c r="L9" s="54">
        <v>22.05</v>
      </c>
      <c r="M9" s="54">
        <v>98.17</v>
      </c>
      <c r="N9" s="54">
        <v>46.3</v>
      </c>
      <c r="O9" s="54">
        <v>0</v>
      </c>
      <c r="P9" s="54">
        <v>0.52</v>
      </c>
      <c r="Q9" s="54">
        <v>9.19</v>
      </c>
      <c r="R9" s="43"/>
      <c r="S9" s="43"/>
      <c r="T9" s="43"/>
      <c r="U9" s="43"/>
    </row>
    <row r="10" spans="1:21" s="11" customFormat="1" x14ac:dyDescent="0.25">
      <c r="A10" s="53" t="s">
        <v>181</v>
      </c>
      <c r="B10" s="54">
        <v>10.67</v>
      </c>
      <c r="C10" s="54">
        <v>7.88</v>
      </c>
      <c r="D10" s="54">
        <v>12.5</v>
      </c>
      <c r="E10" s="54">
        <v>4.18</v>
      </c>
      <c r="F10" s="54">
        <v>11.6</v>
      </c>
      <c r="G10" s="54">
        <v>15.47</v>
      </c>
      <c r="H10" s="54">
        <v>9.3000000000000007</v>
      </c>
      <c r="I10" s="54">
        <v>1.63</v>
      </c>
      <c r="J10" s="54">
        <v>0.14000000000000001</v>
      </c>
      <c r="K10" s="54">
        <v>208.84</v>
      </c>
      <c r="L10" s="54">
        <v>21.97</v>
      </c>
      <c r="M10" s="54">
        <v>98.18</v>
      </c>
      <c r="N10" s="54">
        <v>46.4</v>
      </c>
      <c r="O10" s="54">
        <v>0</v>
      </c>
      <c r="P10" s="54">
        <v>0.4</v>
      </c>
      <c r="Q10" s="54">
        <v>9.1999999999999993</v>
      </c>
      <c r="R10" s="43"/>
      <c r="S10" s="43"/>
      <c r="T10" s="43"/>
      <c r="U10" s="43"/>
    </row>
    <row r="11" spans="1:21" s="11" customFormat="1" x14ac:dyDescent="0.25">
      <c r="A11" s="53" t="s">
        <v>182</v>
      </c>
      <c r="B11" s="54">
        <v>12.45</v>
      </c>
      <c r="C11" s="54">
        <v>5.0199999999999996</v>
      </c>
      <c r="D11" s="54">
        <v>12.22</v>
      </c>
      <c r="E11" s="54">
        <v>4.3600000000000003</v>
      </c>
      <c r="F11" s="54">
        <v>11</v>
      </c>
      <c r="G11" s="54">
        <v>11.61</v>
      </c>
      <c r="H11" s="54">
        <v>7.67</v>
      </c>
      <c r="I11" s="54">
        <v>1.59</v>
      </c>
      <c r="J11" s="54">
        <v>0.32</v>
      </c>
      <c r="K11" s="54">
        <v>144.31</v>
      </c>
      <c r="L11" s="54">
        <v>21.76</v>
      </c>
      <c r="M11" s="54">
        <v>98.2</v>
      </c>
      <c r="N11" s="54">
        <v>46.9</v>
      </c>
      <c r="O11" s="54">
        <v>0</v>
      </c>
      <c r="P11" s="54">
        <v>0.43</v>
      </c>
      <c r="Q11" s="54">
        <v>9.19</v>
      </c>
      <c r="R11" s="43"/>
      <c r="S11" s="43"/>
      <c r="T11" s="43"/>
      <c r="U11" s="43"/>
    </row>
    <row r="12" spans="1:21" s="11" customFormat="1" x14ac:dyDescent="0.25">
      <c r="A12" s="53" t="s">
        <v>183</v>
      </c>
      <c r="B12" s="54">
        <v>12.02</v>
      </c>
      <c r="C12" s="54">
        <v>4.8</v>
      </c>
      <c r="D12" s="54">
        <v>11.9</v>
      </c>
      <c r="E12" s="54">
        <v>4.2699999999999996</v>
      </c>
      <c r="F12" s="54">
        <v>4.8</v>
      </c>
      <c r="G12" s="54">
        <v>8.17</v>
      </c>
      <c r="H12" s="54">
        <v>9.07</v>
      </c>
      <c r="I12" s="54">
        <v>1.53</v>
      </c>
      <c r="J12" s="54">
        <v>0.39</v>
      </c>
      <c r="K12" s="54">
        <v>130.04</v>
      </c>
      <c r="L12" s="54">
        <v>21.57</v>
      </c>
      <c r="M12" s="54">
        <v>98.2</v>
      </c>
      <c r="N12" s="54">
        <v>46.6</v>
      </c>
      <c r="O12" s="54">
        <v>0</v>
      </c>
      <c r="P12" s="54">
        <v>0.39</v>
      </c>
      <c r="Q12" s="54">
        <v>9.1300000000000008</v>
      </c>
      <c r="R12" s="43"/>
      <c r="S12" s="43"/>
      <c r="T12" s="43"/>
      <c r="U12" s="43"/>
    </row>
    <row r="13" spans="1:21" s="11" customFormat="1" x14ac:dyDescent="0.25">
      <c r="A13" s="53" t="s">
        <v>184</v>
      </c>
      <c r="B13" s="54">
        <v>11.24</v>
      </c>
      <c r="C13" s="54">
        <v>5.37</v>
      </c>
      <c r="D13" s="54">
        <v>11.78</v>
      </c>
      <c r="E13" s="54">
        <v>4.21</v>
      </c>
      <c r="F13" s="54">
        <v>11.7</v>
      </c>
      <c r="G13" s="54">
        <v>5.72</v>
      </c>
      <c r="H13" s="54">
        <v>8.59</v>
      </c>
      <c r="I13" s="54">
        <v>1.45</v>
      </c>
      <c r="J13" s="54">
        <v>0.05</v>
      </c>
      <c r="K13" s="54">
        <v>247.21</v>
      </c>
      <c r="L13" s="54">
        <v>21.43</v>
      </c>
      <c r="M13" s="54">
        <v>98.18</v>
      </c>
      <c r="N13" s="54">
        <v>46.3</v>
      </c>
      <c r="O13" s="54">
        <v>0</v>
      </c>
      <c r="P13" s="54">
        <v>0.38</v>
      </c>
      <c r="Q13" s="54">
        <v>9.11</v>
      </c>
      <c r="R13" s="43"/>
      <c r="S13" s="43"/>
      <c r="T13" s="43"/>
      <c r="U13" s="43"/>
    </row>
    <row r="14" spans="1:21" s="11" customFormat="1" x14ac:dyDescent="0.25">
      <c r="A14" s="53" t="s">
        <v>185</v>
      </c>
      <c r="B14" s="54">
        <v>12.03</v>
      </c>
      <c r="C14" s="54">
        <v>7.26</v>
      </c>
      <c r="D14" s="54">
        <v>13.19</v>
      </c>
      <c r="E14" s="54">
        <v>4.34</v>
      </c>
      <c r="F14" s="54">
        <v>10.02</v>
      </c>
      <c r="G14" s="54">
        <v>6.18</v>
      </c>
      <c r="H14" s="54">
        <v>7.17</v>
      </c>
      <c r="I14" s="54">
        <v>1.42</v>
      </c>
      <c r="J14" s="54">
        <v>0.14000000000000001</v>
      </c>
      <c r="K14" s="54">
        <v>293.52999999999997</v>
      </c>
      <c r="L14" s="54">
        <v>21.57</v>
      </c>
      <c r="M14" s="54">
        <v>98.23</v>
      </c>
      <c r="N14" s="54">
        <v>47.2</v>
      </c>
      <c r="O14" s="54">
        <v>0</v>
      </c>
      <c r="P14" s="54">
        <v>0.33</v>
      </c>
      <c r="Q14" s="54">
        <v>9.1199999999999992</v>
      </c>
      <c r="R14" s="43"/>
      <c r="S14" s="43"/>
      <c r="T14" s="43"/>
      <c r="U14" s="43"/>
    </row>
    <row r="15" spans="1:21" s="11" customFormat="1" x14ac:dyDescent="0.25">
      <c r="A15" s="53" t="s">
        <v>186</v>
      </c>
      <c r="B15" s="54">
        <v>18.3</v>
      </c>
      <c r="C15" s="54">
        <v>7.78</v>
      </c>
      <c r="D15" s="54">
        <v>17.920000000000002</v>
      </c>
      <c r="E15" s="54">
        <v>4.4400000000000004</v>
      </c>
      <c r="F15" s="54">
        <v>11.63</v>
      </c>
      <c r="G15" s="54">
        <v>7.47</v>
      </c>
      <c r="H15" s="54">
        <v>6.17</v>
      </c>
      <c r="I15" s="54">
        <v>1.35</v>
      </c>
      <c r="J15" s="54">
        <v>0.12</v>
      </c>
      <c r="K15" s="54">
        <v>326.88</v>
      </c>
      <c r="L15" s="54">
        <v>21.87</v>
      </c>
      <c r="M15" s="54">
        <v>98.24</v>
      </c>
      <c r="N15" s="54">
        <v>65.8</v>
      </c>
      <c r="O15" s="54">
        <v>0</v>
      </c>
      <c r="P15" s="54">
        <v>0.38</v>
      </c>
      <c r="Q15" s="54">
        <v>9.17</v>
      </c>
      <c r="R15" s="43"/>
      <c r="S15" s="43"/>
      <c r="T15" s="43"/>
      <c r="U15" s="43"/>
    </row>
    <row r="16" spans="1:21" s="11" customFormat="1" x14ac:dyDescent="0.25">
      <c r="A16" s="53" t="s">
        <v>187</v>
      </c>
      <c r="B16" s="54">
        <v>15.19</v>
      </c>
      <c r="C16" s="54">
        <v>6.09</v>
      </c>
      <c r="D16" s="54">
        <v>15.36</v>
      </c>
      <c r="E16" s="54">
        <v>4.6900000000000004</v>
      </c>
      <c r="F16" s="54">
        <v>12.24</v>
      </c>
      <c r="G16" s="54">
        <v>5.54</v>
      </c>
      <c r="H16" s="54">
        <v>5.98</v>
      </c>
      <c r="I16" s="54">
        <v>1.35</v>
      </c>
      <c r="J16" s="54">
        <v>0.1</v>
      </c>
      <c r="K16" s="54">
        <v>326.42</v>
      </c>
      <c r="L16" s="54">
        <v>22.4</v>
      </c>
      <c r="M16" s="54">
        <v>98.22</v>
      </c>
      <c r="N16" s="54">
        <v>98.3</v>
      </c>
      <c r="O16" s="54">
        <v>0</v>
      </c>
      <c r="P16" s="54">
        <v>0.39</v>
      </c>
      <c r="Q16" s="54">
        <v>9.17</v>
      </c>
      <c r="R16" s="43"/>
      <c r="S16" s="43"/>
      <c r="T16" s="43"/>
      <c r="U16" s="43"/>
    </row>
    <row r="17" spans="1:21" s="11" customFormat="1" x14ac:dyDescent="0.25">
      <c r="A17" s="53" t="s">
        <v>188</v>
      </c>
      <c r="B17" s="54">
        <v>15.17</v>
      </c>
      <c r="C17" s="54">
        <v>7.18</v>
      </c>
      <c r="D17" s="54">
        <v>15.71</v>
      </c>
      <c r="E17" s="54">
        <v>4.8</v>
      </c>
      <c r="F17" s="54">
        <v>11.93</v>
      </c>
      <c r="G17" s="54">
        <v>8.6199999999999992</v>
      </c>
      <c r="H17" s="54">
        <v>5.58</v>
      </c>
      <c r="I17" s="54">
        <v>1.38</v>
      </c>
      <c r="J17" s="54">
        <v>0.09</v>
      </c>
      <c r="K17" s="54">
        <v>299.06</v>
      </c>
      <c r="L17" s="54">
        <v>23.23</v>
      </c>
      <c r="M17" s="54">
        <v>98.21</v>
      </c>
      <c r="N17" s="54">
        <v>139.69999999999999</v>
      </c>
      <c r="O17" s="54">
        <v>0</v>
      </c>
      <c r="P17" s="54">
        <v>0.56000000000000005</v>
      </c>
      <c r="Q17" s="54">
        <v>9.19</v>
      </c>
      <c r="R17" s="43"/>
      <c r="S17" s="43"/>
      <c r="T17" s="43"/>
      <c r="U17" s="43"/>
    </row>
    <row r="18" spans="1:21" s="11" customFormat="1" x14ac:dyDescent="0.25">
      <c r="A18" s="53" t="s">
        <v>189</v>
      </c>
      <c r="B18" s="54">
        <v>14.9</v>
      </c>
      <c r="C18" s="54">
        <v>7.37</v>
      </c>
      <c r="D18" s="54">
        <v>15.06</v>
      </c>
      <c r="E18" s="54">
        <v>4.54</v>
      </c>
      <c r="F18" s="54">
        <v>9.94</v>
      </c>
      <c r="G18" s="54">
        <v>21.06</v>
      </c>
      <c r="H18" s="54">
        <v>5.27</v>
      </c>
      <c r="I18" s="54">
        <v>1.85</v>
      </c>
      <c r="J18" s="54">
        <v>0.11</v>
      </c>
      <c r="K18" s="54">
        <v>278.12</v>
      </c>
      <c r="L18" s="54">
        <v>23.87</v>
      </c>
      <c r="M18" s="54">
        <v>98.2</v>
      </c>
      <c r="N18" s="54">
        <v>177.4</v>
      </c>
      <c r="O18" s="54">
        <v>0</v>
      </c>
      <c r="P18" s="54">
        <v>0.63</v>
      </c>
      <c r="Q18" s="54">
        <v>9.19</v>
      </c>
      <c r="R18" s="43"/>
      <c r="S18" s="43"/>
      <c r="T18" s="43"/>
      <c r="U18" s="43"/>
    </row>
    <row r="19" spans="1:21" s="11" customFormat="1" x14ac:dyDescent="0.25">
      <c r="A19" s="53" t="s">
        <v>190</v>
      </c>
      <c r="B19" s="54">
        <v>16.88</v>
      </c>
      <c r="C19" s="54">
        <v>9.9</v>
      </c>
      <c r="D19" s="54">
        <v>17.38</v>
      </c>
      <c r="E19" s="54">
        <v>4.99</v>
      </c>
      <c r="F19" s="54">
        <v>9.5399999999999991</v>
      </c>
      <c r="G19" s="54">
        <v>35.61</v>
      </c>
      <c r="H19" s="54">
        <v>4.96</v>
      </c>
      <c r="I19" s="54">
        <v>2.5299999999999998</v>
      </c>
      <c r="J19" s="54">
        <v>0.14000000000000001</v>
      </c>
      <c r="K19" s="54">
        <v>278.83</v>
      </c>
      <c r="L19" s="54">
        <v>25.2</v>
      </c>
      <c r="M19" s="54">
        <v>98.17</v>
      </c>
      <c r="N19" s="54">
        <v>229.3</v>
      </c>
      <c r="O19" s="54">
        <v>0</v>
      </c>
      <c r="P19" s="54">
        <v>0.66</v>
      </c>
      <c r="Q19" s="54">
        <v>9.2100000000000009</v>
      </c>
      <c r="R19" s="43"/>
      <c r="S19" s="43"/>
      <c r="T19" s="43"/>
      <c r="U19" s="43"/>
    </row>
    <row r="20" spans="1:21" s="11" customFormat="1" x14ac:dyDescent="0.25">
      <c r="A20" s="53" t="s">
        <v>191</v>
      </c>
      <c r="B20" s="54">
        <v>16.05</v>
      </c>
      <c r="C20" s="54">
        <v>9.59</v>
      </c>
      <c r="D20" s="54">
        <v>17.27</v>
      </c>
      <c r="E20" s="54">
        <v>4.72</v>
      </c>
      <c r="F20" s="54">
        <v>10.119999999999999</v>
      </c>
      <c r="G20" s="54">
        <v>37.57</v>
      </c>
      <c r="H20" s="54">
        <v>7.39</v>
      </c>
      <c r="I20" s="54">
        <v>2.5299999999999998</v>
      </c>
      <c r="J20" s="54">
        <v>0.44</v>
      </c>
      <c r="K20" s="54">
        <v>313.70999999999998</v>
      </c>
      <c r="L20" s="54">
        <v>25.81</v>
      </c>
      <c r="M20" s="54">
        <v>98.07</v>
      </c>
      <c r="N20" s="54">
        <v>426.7</v>
      </c>
      <c r="O20" s="54">
        <v>0</v>
      </c>
      <c r="P20" s="54">
        <v>0.65</v>
      </c>
      <c r="Q20" s="54">
        <v>9.2200000000000006</v>
      </c>
      <c r="R20" s="43"/>
      <c r="S20" s="43"/>
      <c r="T20" s="43"/>
      <c r="U20" s="43"/>
    </row>
    <row r="21" spans="1:21" s="11" customFormat="1" x14ac:dyDescent="0.25">
      <c r="A21" s="53" t="s">
        <v>192</v>
      </c>
      <c r="B21" s="54">
        <v>17.16</v>
      </c>
      <c r="C21" s="54">
        <v>13.72</v>
      </c>
      <c r="D21" s="54">
        <v>19.75</v>
      </c>
      <c r="E21" s="54">
        <v>5.15</v>
      </c>
      <c r="F21" s="54">
        <v>11.98</v>
      </c>
      <c r="G21" s="54">
        <v>45.34</v>
      </c>
      <c r="H21" s="54">
        <v>7.12</v>
      </c>
      <c r="I21" s="54">
        <v>2.52</v>
      </c>
      <c r="J21" s="54">
        <v>0.44</v>
      </c>
      <c r="K21" s="54">
        <v>359.01</v>
      </c>
      <c r="L21" s="54">
        <v>28.78</v>
      </c>
      <c r="M21" s="54">
        <v>97.84</v>
      </c>
      <c r="N21" s="54">
        <v>710.8</v>
      </c>
      <c r="O21" s="54">
        <v>0</v>
      </c>
      <c r="P21" s="54">
        <v>0.7</v>
      </c>
      <c r="Q21" s="54">
        <v>9.17</v>
      </c>
      <c r="R21" s="43"/>
      <c r="S21" s="43"/>
      <c r="T21" s="43"/>
      <c r="U21" s="43"/>
    </row>
    <row r="22" spans="1:21" s="11" customFormat="1" x14ac:dyDescent="0.25">
      <c r="A22" s="53" t="s">
        <v>193</v>
      </c>
      <c r="B22" s="54">
        <v>14.91</v>
      </c>
      <c r="C22" s="54">
        <v>14.46</v>
      </c>
      <c r="D22" s="54">
        <v>19.36</v>
      </c>
      <c r="E22" s="54">
        <v>4.84</v>
      </c>
      <c r="F22" s="54">
        <v>14.42</v>
      </c>
      <c r="G22" s="54">
        <v>55.42</v>
      </c>
      <c r="H22" s="54">
        <v>7.74</v>
      </c>
      <c r="I22" s="54">
        <v>2.5499999999999998</v>
      </c>
      <c r="J22" s="54">
        <v>0.28000000000000003</v>
      </c>
      <c r="K22" s="54">
        <v>348.42</v>
      </c>
      <c r="L22" s="54">
        <v>29.5</v>
      </c>
      <c r="M22" s="54">
        <v>86.96</v>
      </c>
      <c r="N22" s="54">
        <v>604</v>
      </c>
      <c r="O22" s="54">
        <v>0</v>
      </c>
      <c r="P22" s="54">
        <v>0.6</v>
      </c>
      <c r="Q22" s="54">
        <v>9.17</v>
      </c>
      <c r="R22" s="43"/>
      <c r="S22" s="43"/>
      <c r="T22" s="43"/>
      <c r="U22" s="43"/>
    </row>
    <row r="23" spans="1:21" s="11" customFormat="1" x14ac:dyDescent="0.25">
      <c r="A23" s="53" t="s">
        <v>194</v>
      </c>
      <c r="B23" s="54">
        <v>13.75</v>
      </c>
      <c r="C23" s="54">
        <v>18.079999999999998</v>
      </c>
      <c r="D23" s="54">
        <v>20.47</v>
      </c>
      <c r="E23" s="54">
        <v>5.08</v>
      </c>
      <c r="F23" s="54">
        <v>15.9</v>
      </c>
      <c r="G23" s="54">
        <v>52.84</v>
      </c>
      <c r="H23" s="54">
        <v>7.07</v>
      </c>
      <c r="I23" s="54">
        <v>2.54</v>
      </c>
      <c r="J23" s="54">
        <v>0.17</v>
      </c>
      <c r="K23" s="54">
        <v>316.67</v>
      </c>
      <c r="L23" s="54">
        <v>28.53</v>
      </c>
      <c r="M23" s="54">
        <v>98.07</v>
      </c>
      <c r="N23" s="54">
        <v>126.6</v>
      </c>
      <c r="O23" s="54">
        <v>0</v>
      </c>
      <c r="P23" s="54">
        <v>0.72</v>
      </c>
      <c r="Q23" s="54">
        <v>9.17</v>
      </c>
      <c r="R23" s="43"/>
      <c r="S23" s="43"/>
      <c r="T23" s="43"/>
      <c r="U23" s="43"/>
    </row>
    <row r="24" spans="1:21" s="11" customFormat="1" x14ac:dyDescent="0.25">
      <c r="A24" s="53" t="s">
        <v>195</v>
      </c>
      <c r="B24" s="54">
        <v>11.29</v>
      </c>
      <c r="C24" s="54">
        <v>14.52</v>
      </c>
      <c r="D24" s="54">
        <v>16.649999999999999</v>
      </c>
      <c r="E24" s="54">
        <v>4.87</v>
      </c>
      <c r="F24" s="54">
        <v>14.6</v>
      </c>
      <c r="G24" s="54">
        <v>55.56</v>
      </c>
      <c r="H24" s="54">
        <v>10.44</v>
      </c>
      <c r="I24" s="54">
        <v>2.6</v>
      </c>
      <c r="J24" s="54">
        <v>0.54</v>
      </c>
      <c r="K24" s="54">
        <v>308.5</v>
      </c>
      <c r="L24" s="54">
        <v>26.5</v>
      </c>
      <c r="M24" s="54">
        <v>98.1</v>
      </c>
      <c r="N24" s="54">
        <v>157.6</v>
      </c>
      <c r="O24" s="54">
        <v>0</v>
      </c>
      <c r="P24" s="54">
        <v>0.6</v>
      </c>
      <c r="Q24" s="54">
        <v>9.17</v>
      </c>
      <c r="R24" s="43"/>
      <c r="S24" s="43"/>
      <c r="T24" s="43"/>
      <c r="U24" s="43"/>
    </row>
    <row r="25" spans="1:21" s="11" customFormat="1" x14ac:dyDescent="0.25">
      <c r="A25" s="53" t="s">
        <v>196</v>
      </c>
      <c r="B25" s="54">
        <v>11.87</v>
      </c>
      <c r="C25" s="54">
        <v>14.39</v>
      </c>
      <c r="D25" s="54">
        <v>17.04</v>
      </c>
      <c r="E25" s="54">
        <v>4.4000000000000004</v>
      </c>
      <c r="F25" s="54">
        <v>13.8</v>
      </c>
      <c r="G25" s="54">
        <v>46.94</v>
      </c>
      <c r="H25" s="54">
        <v>8.4600000000000009</v>
      </c>
      <c r="I25" s="54">
        <v>2.54</v>
      </c>
      <c r="J25" s="54">
        <v>0.24</v>
      </c>
      <c r="K25" s="54">
        <v>185.28</v>
      </c>
      <c r="L25" s="54">
        <v>25.38</v>
      </c>
      <c r="M25" s="54">
        <v>98.14</v>
      </c>
      <c r="N25" s="54">
        <v>75.900000000000006</v>
      </c>
      <c r="O25" s="54">
        <v>0</v>
      </c>
      <c r="P25" s="54">
        <v>0.61</v>
      </c>
      <c r="Q25" s="54">
        <v>9.11</v>
      </c>
      <c r="R25" s="43"/>
      <c r="S25" s="43"/>
      <c r="T25" s="43"/>
      <c r="U25" s="43"/>
    </row>
    <row r="26" spans="1:21" s="11" customFormat="1" x14ac:dyDescent="0.25">
      <c r="A26" s="53" t="s">
        <v>197</v>
      </c>
      <c r="B26" s="54">
        <v>11.3</v>
      </c>
      <c r="C26" s="54">
        <v>11.16</v>
      </c>
      <c r="D26" s="54">
        <v>14.07</v>
      </c>
      <c r="E26" s="54">
        <v>4.34</v>
      </c>
      <c r="F26" s="54">
        <v>13.7</v>
      </c>
      <c r="G26" s="54">
        <v>38.08</v>
      </c>
      <c r="H26" s="54">
        <v>7.08</v>
      </c>
      <c r="I26" s="54">
        <v>2.3199999999999998</v>
      </c>
      <c r="J26" s="54">
        <v>0.25</v>
      </c>
      <c r="K26" s="54">
        <v>311.77999999999997</v>
      </c>
      <c r="L26" s="54">
        <v>24.42</v>
      </c>
      <c r="M26" s="54">
        <v>98.18</v>
      </c>
      <c r="N26" s="54">
        <v>47</v>
      </c>
      <c r="O26" s="54">
        <v>0</v>
      </c>
      <c r="P26" s="54">
        <v>0.66</v>
      </c>
      <c r="Q26" s="54">
        <v>9.08</v>
      </c>
      <c r="R26" s="43"/>
      <c r="S26" s="43"/>
      <c r="T26" s="43"/>
      <c r="U26" s="43"/>
    </row>
    <row r="27" spans="1:21" s="11" customFormat="1" x14ac:dyDescent="0.25">
      <c r="A27" s="53" t="s">
        <v>198</v>
      </c>
      <c r="B27" s="54">
        <v>16.39</v>
      </c>
      <c r="C27" s="54">
        <v>11.94</v>
      </c>
      <c r="D27" s="54">
        <v>19.39</v>
      </c>
      <c r="E27" s="54">
        <v>4.1399999999999997</v>
      </c>
      <c r="F27" s="54">
        <v>13.8</v>
      </c>
      <c r="G27" s="54">
        <v>36.020000000000003</v>
      </c>
      <c r="H27" s="54">
        <v>6.11</v>
      </c>
      <c r="I27" s="54">
        <v>2.34</v>
      </c>
      <c r="J27" s="54">
        <v>0.28999999999999998</v>
      </c>
      <c r="K27" s="54">
        <v>335.97</v>
      </c>
      <c r="L27" s="54">
        <v>22.93</v>
      </c>
      <c r="M27" s="54">
        <v>98.24</v>
      </c>
      <c r="N27" s="54">
        <v>43.8</v>
      </c>
      <c r="O27" s="54">
        <v>0</v>
      </c>
      <c r="P27" s="54">
        <v>0.83</v>
      </c>
      <c r="Q27" s="54">
        <v>9.14</v>
      </c>
      <c r="R27" s="43"/>
      <c r="S27" s="43"/>
      <c r="T27" s="43"/>
      <c r="U27" s="43"/>
    </row>
    <row r="28" spans="1:21" s="11" customFormat="1" x14ac:dyDescent="0.25">
      <c r="A28" s="53" t="s">
        <v>199</v>
      </c>
      <c r="B28" s="54">
        <v>38.79</v>
      </c>
      <c r="C28" s="54">
        <v>15.03</v>
      </c>
      <c r="D28" s="54">
        <v>37.44</v>
      </c>
      <c r="E28" s="54">
        <v>4.57</v>
      </c>
      <c r="F28" s="54">
        <v>12.8</v>
      </c>
      <c r="G28" s="54">
        <v>24.18</v>
      </c>
      <c r="H28" s="54">
        <v>8.2200000000000006</v>
      </c>
      <c r="I28" s="54">
        <v>2.2400000000000002</v>
      </c>
      <c r="J28" s="54">
        <v>0.17</v>
      </c>
      <c r="K28" s="54">
        <v>314.23</v>
      </c>
      <c r="L28" s="54">
        <v>22.39</v>
      </c>
      <c r="M28" s="54">
        <v>98.26</v>
      </c>
      <c r="N28" s="54">
        <v>43.8</v>
      </c>
      <c r="O28" s="54">
        <v>0</v>
      </c>
      <c r="P28" s="54">
        <v>1.42</v>
      </c>
      <c r="Q28" s="54">
        <v>9.2200000000000006</v>
      </c>
      <c r="R28" s="43"/>
      <c r="S28" s="43"/>
      <c r="T28" s="43"/>
      <c r="U28" s="43"/>
    </row>
    <row r="29" spans="1:21" s="11" customFormat="1" x14ac:dyDescent="0.25">
      <c r="A29" s="53" t="s">
        <v>200</v>
      </c>
      <c r="B29" s="54">
        <v>25.91</v>
      </c>
      <c r="C29" s="54">
        <v>13.18</v>
      </c>
      <c r="D29" s="54">
        <v>25.96</v>
      </c>
      <c r="E29" s="54">
        <v>5.0199999999999996</v>
      </c>
      <c r="F29" s="54">
        <v>11.7</v>
      </c>
      <c r="G29" s="54">
        <v>23.42</v>
      </c>
      <c r="H29" s="54">
        <v>6.91</v>
      </c>
      <c r="I29" s="54">
        <v>2.5299999999999998</v>
      </c>
      <c r="J29" s="54">
        <v>0.11</v>
      </c>
      <c r="K29" s="54">
        <v>265.01</v>
      </c>
      <c r="L29" s="54">
        <v>22.35</v>
      </c>
      <c r="M29" s="54">
        <v>98.42</v>
      </c>
      <c r="N29" s="54">
        <v>43.9</v>
      </c>
      <c r="O29" s="54">
        <v>0</v>
      </c>
      <c r="P29" s="54">
        <v>1.24</v>
      </c>
      <c r="Q29" s="54">
        <v>9.27</v>
      </c>
      <c r="R29" s="43"/>
      <c r="S29" s="43"/>
      <c r="T29" s="43"/>
      <c r="U29" s="43"/>
    </row>
    <row r="30" spans="1:21" s="11" customFormat="1" x14ac:dyDescent="0.25">
      <c r="A30" s="53" t="s">
        <v>201</v>
      </c>
      <c r="B30" s="54">
        <v>21.66</v>
      </c>
      <c r="C30" s="54">
        <v>8.52</v>
      </c>
      <c r="D30" s="54">
        <v>21.09</v>
      </c>
      <c r="E30" s="54">
        <v>4.4000000000000004</v>
      </c>
      <c r="F30" s="54">
        <v>11.9</v>
      </c>
      <c r="G30" s="54">
        <v>25.85</v>
      </c>
      <c r="H30" s="54">
        <v>7.01</v>
      </c>
      <c r="I30" s="54">
        <v>2.69</v>
      </c>
      <c r="J30" s="54">
        <v>0.14000000000000001</v>
      </c>
      <c r="K30" s="54">
        <v>270.76</v>
      </c>
      <c r="L30" s="54">
        <v>22.44</v>
      </c>
      <c r="M30" s="54">
        <v>98.22</v>
      </c>
      <c r="N30" s="54">
        <v>44.2</v>
      </c>
      <c r="O30" s="54">
        <v>0</v>
      </c>
      <c r="P30" s="54">
        <v>0.99</v>
      </c>
      <c r="Q30" s="54">
        <v>9.3000000000000007</v>
      </c>
      <c r="R30" s="43"/>
      <c r="S30" s="43"/>
      <c r="T30" s="43"/>
      <c r="U30" s="43"/>
    </row>
    <row r="31" spans="1:21" s="11" customFormat="1" x14ac:dyDescent="0.25">
      <c r="A31" s="53" t="s">
        <v>202</v>
      </c>
      <c r="B31" s="54">
        <v>19.79</v>
      </c>
      <c r="C31" s="54">
        <v>8.83</v>
      </c>
      <c r="D31" s="54">
        <v>19.2</v>
      </c>
      <c r="E31" s="54">
        <v>4.1900000000000004</v>
      </c>
      <c r="F31" s="54">
        <v>11.2</v>
      </c>
      <c r="G31" s="54">
        <v>29.74</v>
      </c>
      <c r="H31" s="54">
        <v>6.19</v>
      </c>
      <c r="I31" s="54">
        <v>2.72</v>
      </c>
      <c r="J31" s="54">
        <v>0.13</v>
      </c>
      <c r="K31" s="54">
        <v>321.95999999999998</v>
      </c>
      <c r="L31" s="54">
        <v>21.78</v>
      </c>
      <c r="M31" s="54">
        <v>98.17</v>
      </c>
      <c r="N31" s="54">
        <v>44</v>
      </c>
      <c r="O31" s="54">
        <v>0</v>
      </c>
      <c r="P31" s="54">
        <v>0.94</v>
      </c>
      <c r="Q31" s="54">
        <v>9.3000000000000007</v>
      </c>
      <c r="R31" s="43"/>
      <c r="S31" s="43"/>
      <c r="T31" s="43"/>
      <c r="U31" s="43"/>
    </row>
    <row r="32" spans="1:21" s="11" customFormat="1" x14ac:dyDescent="0.25">
      <c r="A32" s="53" t="s">
        <v>203</v>
      </c>
      <c r="B32" s="54">
        <v>21.49</v>
      </c>
      <c r="C32" s="54">
        <v>8.3000000000000007</v>
      </c>
      <c r="D32" s="54">
        <v>20.55</v>
      </c>
      <c r="E32" s="54">
        <v>4.84</v>
      </c>
      <c r="F32" s="54">
        <v>11.8</v>
      </c>
      <c r="G32" s="54">
        <v>30.56</v>
      </c>
      <c r="H32" s="54">
        <v>7.63</v>
      </c>
      <c r="I32" s="54">
        <v>2.79</v>
      </c>
      <c r="J32" s="54">
        <v>0.2</v>
      </c>
      <c r="K32" s="54">
        <v>325.26</v>
      </c>
      <c r="L32" s="54">
        <v>21.68</v>
      </c>
      <c r="M32" s="54">
        <v>98.23</v>
      </c>
      <c r="N32" s="54">
        <v>44.1</v>
      </c>
      <c r="O32" s="54">
        <v>0</v>
      </c>
      <c r="P32" s="54">
        <v>0.95</v>
      </c>
      <c r="Q32" s="54">
        <v>9.35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10.67</v>
      </c>
      <c r="C34" s="28">
        <f t="shared" si="0"/>
        <v>4.8</v>
      </c>
      <c r="D34" s="28">
        <f t="shared" si="0"/>
        <v>11.78</v>
      </c>
      <c r="E34" s="28">
        <f t="shared" si="0"/>
        <v>4.1399999999999997</v>
      </c>
      <c r="F34" s="28">
        <f t="shared" si="0"/>
        <v>4.8</v>
      </c>
      <c r="G34" s="28">
        <f t="shared" si="0"/>
        <v>5.54</v>
      </c>
      <c r="H34" s="28">
        <f t="shared" si="0"/>
        <v>4.96</v>
      </c>
      <c r="I34" s="28">
        <f t="shared" si="0"/>
        <v>1.35</v>
      </c>
      <c r="J34" s="28">
        <f t="shared" si="0"/>
        <v>0.05</v>
      </c>
      <c r="K34" s="28">
        <f t="shared" si="0"/>
        <v>130.04</v>
      </c>
      <c r="L34" s="28">
        <f t="shared" si="0"/>
        <v>21.43</v>
      </c>
      <c r="M34" s="28">
        <f t="shared" si="0"/>
        <v>86.96</v>
      </c>
      <c r="N34" s="28">
        <f t="shared" si="0"/>
        <v>43.8</v>
      </c>
      <c r="O34" s="28">
        <f t="shared" si="0"/>
        <v>0</v>
      </c>
      <c r="P34" s="28">
        <f t="shared" si="0"/>
        <v>0.33</v>
      </c>
      <c r="Q34" s="28">
        <f t="shared" si="0"/>
        <v>9.08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38.79</v>
      </c>
      <c r="C35" s="29">
        <f t="shared" si="1"/>
        <v>18.079999999999998</v>
      </c>
      <c r="D35" s="29">
        <f t="shared" si="1"/>
        <v>37.44</v>
      </c>
      <c r="E35" s="29">
        <f t="shared" si="1"/>
        <v>5.15</v>
      </c>
      <c r="F35" s="29">
        <f t="shared" si="1"/>
        <v>15.9</v>
      </c>
      <c r="G35" s="29">
        <f t="shared" si="1"/>
        <v>55.56</v>
      </c>
      <c r="H35" s="29">
        <f t="shared" si="1"/>
        <v>10.97</v>
      </c>
      <c r="I35" s="29">
        <f t="shared" si="1"/>
        <v>2.79</v>
      </c>
      <c r="J35" s="29">
        <f t="shared" si="1"/>
        <v>0.54</v>
      </c>
      <c r="K35" s="29">
        <f t="shared" si="1"/>
        <v>359.01</v>
      </c>
      <c r="L35" s="29">
        <f t="shared" si="1"/>
        <v>29.5</v>
      </c>
      <c r="M35" s="29">
        <f t="shared" si="1"/>
        <v>98.42</v>
      </c>
      <c r="N35" s="29">
        <f t="shared" si="1"/>
        <v>710.8</v>
      </c>
      <c r="O35" s="29">
        <f t="shared" si="1"/>
        <v>0</v>
      </c>
      <c r="P35" s="29">
        <f t="shared" si="1"/>
        <v>1.42</v>
      </c>
      <c r="Q35" s="29">
        <f t="shared" si="1"/>
        <v>9.35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16.39041666666667</v>
      </c>
      <c r="C36" s="28">
        <f t="shared" si="2"/>
        <v>9.9025000000000034</v>
      </c>
      <c r="D36" s="28">
        <f t="shared" si="2"/>
        <v>17.713749999999997</v>
      </c>
      <c r="E36" s="28">
        <f t="shared" si="2"/>
        <v>4.5712500000000009</v>
      </c>
      <c r="F36" s="28">
        <f t="shared" si="2"/>
        <v>11.78</v>
      </c>
      <c r="G36" s="28">
        <f t="shared" si="2"/>
        <v>26.969166666666663</v>
      </c>
      <c r="H36" s="28">
        <f t="shared" si="2"/>
        <v>7.4208333333333343</v>
      </c>
      <c r="I36" s="28">
        <f t="shared" si="2"/>
        <v>2.11375</v>
      </c>
      <c r="J36" s="28">
        <f t="shared" si="2"/>
        <v>0.22291666666666668</v>
      </c>
      <c r="K36" s="28">
        <f t="shared" si="2"/>
        <v>284.85500000000008</v>
      </c>
      <c r="L36" s="28">
        <f t="shared" si="2"/>
        <v>23.725416666666664</v>
      </c>
      <c r="M36" s="28">
        <f t="shared" si="2"/>
        <v>97.712499999999991</v>
      </c>
      <c r="N36" s="28">
        <f t="shared" si="2"/>
        <v>141.77500000000001</v>
      </c>
      <c r="O36" s="28">
        <f t="shared" si="2"/>
        <v>0</v>
      </c>
      <c r="P36" s="28">
        <f t="shared" si="2"/>
        <v>0.66583333333333328</v>
      </c>
      <c r="Q36" s="28">
        <f t="shared" si="2"/>
        <v>9.1891666666666687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6.1390797208409342</v>
      </c>
      <c r="C37" s="28">
        <f t="shared" ref="C37:Q37" si="3">STDEV(C9:C32)</f>
        <v>3.6910576427006712</v>
      </c>
      <c r="D37" s="28">
        <f t="shared" si="3"/>
        <v>5.4750984207949509</v>
      </c>
      <c r="E37" s="28">
        <f t="shared" si="3"/>
        <v>0.31519921236935361</v>
      </c>
      <c r="F37" s="28">
        <f t="shared" si="3"/>
        <v>2.1914319321036415</v>
      </c>
      <c r="G37" s="28">
        <f t="shared" si="3"/>
        <v>16.587089771911447</v>
      </c>
      <c r="H37" s="28">
        <f t="shared" si="3"/>
        <v>1.5183484066767976</v>
      </c>
      <c r="I37" s="28">
        <f t="shared" si="3"/>
        <v>0.5286061449905185</v>
      </c>
      <c r="J37" s="28">
        <f t="shared" si="3"/>
        <v>0.1315618276429513</v>
      </c>
      <c r="K37" s="28">
        <f t="shared" si="3"/>
        <v>61.213136839563269</v>
      </c>
      <c r="L37" s="28">
        <f t="shared" si="3"/>
        <v>2.4945418315344567</v>
      </c>
      <c r="M37" s="28">
        <f t="shared" si="3"/>
        <v>2.2924512227516769</v>
      </c>
      <c r="N37" s="28">
        <f t="shared" si="3"/>
        <v>181.86865841327219</v>
      </c>
      <c r="O37" s="28">
        <f t="shared" si="3"/>
        <v>0</v>
      </c>
      <c r="P37" s="28">
        <f t="shared" si="3"/>
        <v>0.27904988905159978</v>
      </c>
      <c r="Q37" s="28">
        <f t="shared" si="3"/>
        <v>6.4868875545154706E-2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M28" sqref="M28"/>
    </sheetView>
  </sheetViews>
  <sheetFormatPr defaultColWidth="8.85546875" defaultRowHeight="15" x14ac:dyDescent="0.25"/>
  <cols>
    <col min="1" max="1" width="18.28515625" style="26" customWidth="1"/>
    <col min="2" max="2" width="1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07/10/2025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204</v>
      </c>
      <c r="B9" s="54">
        <v>18.899999999999999</v>
      </c>
      <c r="C9" s="54">
        <v>5.9</v>
      </c>
      <c r="D9" s="54">
        <v>16.809999999999999</v>
      </c>
      <c r="E9" s="54">
        <v>5.36</v>
      </c>
      <c r="F9" s="54">
        <v>4.9000000000000004</v>
      </c>
      <c r="G9" s="54">
        <v>27.1</v>
      </c>
      <c r="H9" s="54">
        <v>6.8</v>
      </c>
      <c r="I9" s="54">
        <v>2.86</v>
      </c>
      <c r="J9" s="54">
        <v>0.17</v>
      </c>
      <c r="K9" s="54">
        <v>331.06</v>
      </c>
      <c r="L9" s="54">
        <v>21.58</v>
      </c>
      <c r="M9" s="54">
        <v>98.25</v>
      </c>
      <c r="N9" s="54">
        <v>44.1</v>
      </c>
      <c r="O9" s="54">
        <v>0</v>
      </c>
      <c r="P9" s="54">
        <v>0.88</v>
      </c>
      <c r="Q9" s="54">
        <v>9.35</v>
      </c>
      <c r="R9" s="43"/>
      <c r="S9" s="43"/>
      <c r="T9" s="43"/>
      <c r="U9" s="43"/>
    </row>
    <row r="10" spans="1:21" s="11" customFormat="1" x14ac:dyDescent="0.25">
      <c r="A10" s="53" t="s">
        <v>205</v>
      </c>
      <c r="B10" s="54">
        <v>18.55</v>
      </c>
      <c r="C10" s="54">
        <v>5.61</v>
      </c>
      <c r="D10" s="54">
        <v>16.62</v>
      </c>
      <c r="E10" s="54">
        <v>5.33</v>
      </c>
      <c r="F10" s="54">
        <v>5.0999999999999996</v>
      </c>
      <c r="G10" s="54">
        <v>33.64</v>
      </c>
      <c r="H10" s="54">
        <v>6.21</v>
      </c>
      <c r="I10" s="54">
        <v>2.93</v>
      </c>
      <c r="J10" s="54">
        <v>0.52</v>
      </c>
      <c r="K10" s="54">
        <v>330.27</v>
      </c>
      <c r="L10" s="54">
        <v>21.82</v>
      </c>
      <c r="M10" s="54">
        <v>98.24</v>
      </c>
      <c r="N10" s="54">
        <v>44.4</v>
      </c>
      <c r="O10" s="54">
        <v>0</v>
      </c>
      <c r="P10" s="54">
        <v>0.87</v>
      </c>
      <c r="Q10" s="54">
        <v>9.3000000000000007</v>
      </c>
      <c r="R10" s="43"/>
      <c r="S10" s="43"/>
      <c r="T10" s="43"/>
      <c r="U10" s="43"/>
    </row>
    <row r="11" spans="1:21" s="11" customFormat="1" x14ac:dyDescent="0.25">
      <c r="A11" s="53" t="s">
        <v>206</v>
      </c>
      <c r="B11" s="54">
        <v>15.8</v>
      </c>
      <c r="C11" s="54">
        <v>8.31</v>
      </c>
      <c r="D11" s="54">
        <v>15.94</v>
      </c>
      <c r="E11" s="54">
        <v>5.5</v>
      </c>
      <c r="F11" s="54">
        <v>4.3</v>
      </c>
      <c r="G11" s="54">
        <v>31.87</v>
      </c>
      <c r="H11" s="54">
        <v>5.89</v>
      </c>
      <c r="I11" s="54">
        <v>2.99</v>
      </c>
      <c r="J11" s="54">
        <v>0.1</v>
      </c>
      <c r="K11" s="54">
        <v>325.25</v>
      </c>
      <c r="L11" s="54">
        <v>21.84</v>
      </c>
      <c r="M11" s="54">
        <v>98.21</v>
      </c>
      <c r="N11" s="54">
        <v>44.4</v>
      </c>
      <c r="O11" s="54">
        <v>0</v>
      </c>
      <c r="P11" s="54">
        <v>0.78</v>
      </c>
      <c r="Q11" s="54">
        <v>9.27</v>
      </c>
      <c r="R11" s="43"/>
      <c r="S11" s="43"/>
      <c r="T11" s="43"/>
      <c r="U11" s="43"/>
    </row>
    <row r="12" spans="1:21" s="11" customFormat="1" x14ac:dyDescent="0.25">
      <c r="A12" s="53" t="s">
        <v>207</v>
      </c>
      <c r="B12" s="54">
        <v>16.18</v>
      </c>
      <c r="C12" s="54">
        <v>8.84</v>
      </c>
      <c r="D12" s="54">
        <v>15.2</v>
      </c>
      <c r="E12" s="54">
        <v>5.24</v>
      </c>
      <c r="F12" s="54">
        <v>9.4</v>
      </c>
      <c r="G12" s="54">
        <v>24.13</v>
      </c>
      <c r="H12" s="54">
        <v>8.14</v>
      </c>
      <c r="I12" s="54">
        <v>2.94</v>
      </c>
      <c r="J12" s="54">
        <v>7.0000000000000007E-2</v>
      </c>
      <c r="K12" s="54">
        <v>299.92</v>
      </c>
      <c r="L12" s="54">
        <v>21.81</v>
      </c>
      <c r="M12" s="54">
        <v>98.25</v>
      </c>
      <c r="N12" s="54">
        <v>44.5</v>
      </c>
      <c r="O12" s="54">
        <v>0</v>
      </c>
      <c r="P12" s="54">
        <v>0.77</v>
      </c>
      <c r="Q12" s="54">
        <v>9.26</v>
      </c>
      <c r="R12" s="43"/>
      <c r="S12" s="43"/>
      <c r="T12" s="43"/>
      <c r="U12" s="43"/>
    </row>
    <row r="13" spans="1:21" s="11" customFormat="1" x14ac:dyDescent="0.25">
      <c r="A13" s="53" t="s">
        <v>208</v>
      </c>
      <c r="B13" s="54">
        <v>16.25</v>
      </c>
      <c r="C13" s="54">
        <v>10.3</v>
      </c>
      <c r="D13" s="54">
        <v>17.79</v>
      </c>
      <c r="E13" s="54">
        <v>5.51</v>
      </c>
      <c r="F13" s="54">
        <v>8.4</v>
      </c>
      <c r="G13" s="54">
        <v>27.46</v>
      </c>
      <c r="H13" s="54">
        <v>7.24</v>
      </c>
      <c r="I13" s="54">
        <v>2.81</v>
      </c>
      <c r="J13" s="54">
        <v>0.14000000000000001</v>
      </c>
      <c r="K13" s="54">
        <v>344.39</v>
      </c>
      <c r="L13" s="54">
        <v>21.85</v>
      </c>
      <c r="M13" s="54">
        <v>98.3</v>
      </c>
      <c r="N13" s="54">
        <v>44.4</v>
      </c>
      <c r="O13" s="54">
        <v>0</v>
      </c>
      <c r="P13" s="54">
        <v>0.71</v>
      </c>
      <c r="Q13" s="54">
        <v>9.26</v>
      </c>
      <c r="R13" s="43"/>
      <c r="S13" s="43"/>
      <c r="T13" s="43"/>
      <c r="U13" s="43"/>
    </row>
    <row r="14" spans="1:21" s="11" customFormat="1" x14ac:dyDescent="0.25">
      <c r="A14" s="53" t="s">
        <v>209</v>
      </c>
      <c r="B14" s="54">
        <v>19.239999999999998</v>
      </c>
      <c r="C14" s="54">
        <v>10.42</v>
      </c>
      <c r="D14" s="54">
        <v>19.52</v>
      </c>
      <c r="E14" s="54">
        <v>5.58</v>
      </c>
      <c r="F14" s="54">
        <v>5.6</v>
      </c>
      <c r="G14" s="54">
        <v>33.549999999999997</v>
      </c>
      <c r="H14" s="54">
        <v>6.36</v>
      </c>
      <c r="I14" s="54">
        <v>2.87</v>
      </c>
      <c r="J14" s="54">
        <v>0.09</v>
      </c>
      <c r="K14" s="54">
        <v>353.37</v>
      </c>
      <c r="L14" s="54">
        <v>21.86</v>
      </c>
      <c r="M14" s="54">
        <v>98.32</v>
      </c>
      <c r="N14" s="54">
        <v>46.7</v>
      </c>
      <c r="O14" s="54">
        <v>0</v>
      </c>
      <c r="P14" s="54">
        <v>0.72</v>
      </c>
      <c r="Q14" s="54">
        <v>9.25</v>
      </c>
      <c r="R14" s="43"/>
      <c r="S14" s="43"/>
      <c r="T14" s="43"/>
      <c r="U14" s="43"/>
    </row>
    <row r="15" spans="1:21" s="11" customFormat="1" x14ac:dyDescent="0.25">
      <c r="A15" s="53" t="s">
        <v>210</v>
      </c>
      <c r="B15" s="54">
        <v>20.63</v>
      </c>
      <c r="C15" s="54">
        <v>5.45</v>
      </c>
      <c r="D15" s="54">
        <v>19.39</v>
      </c>
      <c r="E15" s="54">
        <v>5.47</v>
      </c>
      <c r="F15" s="54">
        <v>4.3600000000000003</v>
      </c>
      <c r="G15" s="54">
        <v>49.34</v>
      </c>
      <c r="H15" s="54">
        <v>5.58</v>
      </c>
      <c r="I15" s="54">
        <v>2.97</v>
      </c>
      <c r="J15" s="54">
        <v>0.18</v>
      </c>
      <c r="K15" s="54">
        <v>322.23</v>
      </c>
      <c r="L15" s="54">
        <v>22.58</v>
      </c>
      <c r="M15" s="54">
        <v>98.33</v>
      </c>
      <c r="N15" s="54">
        <v>137.80000000000001</v>
      </c>
      <c r="O15" s="54">
        <v>0</v>
      </c>
      <c r="P15" s="54">
        <v>0.74</v>
      </c>
      <c r="Q15" s="54">
        <v>9.27</v>
      </c>
      <c r="R15" s="43"/>
      <c r="S15" s="43"/>
      <c r="T15" s="43"/>
      <c r="U15" s="43"/>
    </row>
    <row r="16" spans="1:21" s="11" customFormat="1" x14ac:dyDescent="0.25">
      <c r="A16" s="53" t="s">
        <v>211</v>
      </c>
      <c r="B16" s="54">
        <v>20.25</v>
      </c>
      <c r="C16" s="54">
        <v>6.7</v>
      </c>
      <c r="D16" s="54">
        <v>19.27</v>
      </c>
      <c r="E16" s="54">
        <v>5.32</v>
      </c>
      <c r="F16" s="54">
        <v>4.5999999999999996</v>
      </c>
      <c r="G16" s="54">
        <v>46.07</v>
      </c>
      <c r="H16" s="54">
        <v>8.5399999999999991</v>
      </c>
      <c r="I16" s="54">
        <v>3</v>
      </c>
      <c r="J16" s="54">
        <v>0.11</v>
      </c>
      <c r="K16" s="54">
        <v>289.93</v>
      </c>
      <c r="L16" s="54">
        <v>24.39</v>
      </c>
      <c r="M16" s="54">
        <v>98.25</v>
      </c>
      <c r="N16" s="54">
        <v>254.9</v>
      </c>
      <c r="O16" s="54">
        <v>0</v>
      </c>
      <c r="P16" s="54">
        <v>0.68</v>
      </c>
      <c r="Q16" s="54">
        <v>9.2899999999999991</v>
      </c>
      <c r="R16" s="43"/>
      <c r="S16" s="43"/>
      <c r="T16" s="43"/>
      <c r="U16" s="43"/>
    </row>
    <row r="17" spans="1:21" s="11" customFormat="1" x14ac:dyDescent="0.25">
      <c r="A17" s="53" t="s">
        <v>212</v>
      </c>
      <c r="B17" s="54">
        <v>19.28</v>
      </c>
      <c r="C17" s="54">
        <v>7.47</v>
      </c>
      <c r="D17" s="54">
        <v>18.61</v>
      </c>
      <c r="E17" s="54">
        <v>5.38</v>
      </c>
      <c r="F17" s="54">
        <v>14.9</v>
      </c>
      <c r="G17" s="54">
        <v>44.78</v>
      </c>
      <c r="H17" s="54">
        <v>7.14</v>
      </c>
      <c r="I17" s="54">
        <v>3.3</v>
      </c>
      <c r="J17" s="54">
        <v>0.14000000000000001</v>
      </c>
      <c r="K17" s="54">
        <v>284.68</v>
      </c>
      <c r="L17" s="54">
        <v>24.12</v>
      </c>
      <c r="M17" s="54">
        <v>98.23</v>
      </c>
      <c r="N17" s="54">
        <v>247.2</v>
      </c>
      <c r="O17" s="54">
        <v>0</v>
      </c>
      <c r="P17" s="54">
        <v>0.79</v>
      </c>
      <c r="Q17" s="54">
        <v>9.3000000000000007</v>
      </c>
      <c r="R17" s="43"/>
      <c r="S17" s="43"/>
      <c r="T17" s="43"/>
      <c r="U17" s="43"/>
    </row>
    <row r="18" spans="1:21" s="11" customFormat="1" x14ac:dyDescent="0.25">
      <c r="A18" s="53" t="s">
        <v>213</v>
      </c>
      <c r="B18" s="54">
        <v>18.52</v>
      </c>
      <c r="C18" s="54">
        <v>8.67</v>
      </c>
      <c r="D18" s="54">
        <v>18.12</v>
      </c>
      <c r="E18" s="54">
        <v>5.24</v>
      </c>
      <c r="F18" s="54">
        <v>12</v>
      </c>
      <c r="G18" s="54">
        <v>61.42</v>
      </c>
      <c r="H18" s="54">
        <v>6.22</v>
      </c>
      <c r="I18" s="54">
        <v>3.7</v>
      </c>
      <c r="J18" s="54">
        <v>0.36</v>
      </c>
      <c r="K18" s="54">
        <v>177.73</v>
      </c>
      <c r="L18" s="54">
        <v>24.96</v>
      </c>
      <c r="M18" s="54">
        <v>98.21</v>
      </c>
      <c r="N18" s="54">
        <v>457.7</v>
      </c>
      <c r="O18" s="54">
        <v>0</v>
      </c>
      <c r="P18" s="54">
        <v>0.71</v>
      </c>
      <c r="Q18" s="54">
        <v>9.31</v>
      </c>
      <c r="R18" s="43"/>
      <c r="S18" s="43"/>
      <c r="T18" s="43"/>
      <c r="U18" s="43"/>
    </row>
    <row r="19" spans="1:21" s="11" customFormat="1" x14ac:dyDescent="0.25">
      <c r="A19" s="53" t="s">
        <v>214</v>
      </c>
      <c r="B19" s="54">
        <v>18.45</v>
      </c>
      <c r="C19" s="54">
        <v>16.21</v>
      </c>
      <c r="D19" s="54">
        <v>17.93</v>
      </c>
      <c r="E19" s="54">
        <v>5.46</v>
      </c>
      <c r="F19" s="54">
        <v>15.6</v>
      </c>
      <c r="G19" s="54">
        <v>59.92</v>
      </c>
      <c r="H19" s="54">
        <v>5.6</v>
      </c>
      <c r="I19" s="54">
        <v>3.73</v>
      </c>
      <c r="J19" s="54">
        <v>0.19</v>
      </c>
      <c r="K19" s="54">
        <v>288.36</v>
      </c>
      <c r="L19" s="54">
        <v>28.57</v>
      </c>
      <c r="M19" s="54">
        <v>97.97</v>
      </c>
      <c r="N19" s="54">
        <v>755.5</v>
      </c>
      <c r="O19" s="54">
        <v>0</v>
      </c>
      <c r="P19" s="54">
        <v>0.7</v>
      </c>
      <c r="Q19" s="54">
        <v>9.2799999999999994</v>
      </c>
      <c r="R19" s="43"/>
      <c r="S19" s="43"/>
      <c r="T19" s="43"/>
      <c r="U19" s="43"/>
    </row>
    <row r="20" spans="1:21" s="11" customFormat="1" x14ac:dyDescent="0.25">
      <c r="A20" s="53" t="s">
        <v>215</v>
      </c>
      <c r="B20" s="54">
        <v>12</v>
      </c>
      <c r="C20" s="54">
        <v>23.54</v>
      </c>
      <c r="D20" s="54">
        <v>21.38</v>
      </c>
      <c r="E20" s="54">
        <v>5.49</v>
      </c>
      <c r="F20" s="54">
        <v>12.6</v>
      </c>
      <c r="G20" s="54">
        <v>40.28</v>
      </c>
      <c r="H20" s="54">
        <v>12.99</v>
      </c>
      <c r="I20" s="54">
        <v>2.91</v>
      </c>
      <c r="J20" s="54">
        <v>0.74</v>
      </c>
      <c r="K20" s="54">
        <v>343.5</v>
      </c>
      <c r="L20" s="54">
        <v>31</v>
      </c>
      <c r="M20" s="54">
        <v>88.56</v>
      </c>
      <c r="N20" s="54">
        <v>849.2</v>
      </c>
      <c r="O20" s="54">
        <v>0</v>
      </c>
      <c r="P20" s="54">
        <v>0.5</v>
      </c>
      <c r="Q20" s="54">
        <v>9.15</v>
      </c>
      <c r="R20" s="43"/>
      <c r="S20" s="43"/>
      <c r="T20" s="43"/>
      <c r="U20" s="43"/>
    </row>
    <row r="21" spans="1:21" s="11" customFormat="1" x14ac:dyDescent="0.25">
      <c r="A21" s="53" t="s">
        <v>216</v>
      </c>
      <c r="B21" s="54">
        <v>9.8800000000000008</v>
      </c>
      <c r="C21" s="54">
        <v>17.489999999999998</v>
      </c>
      <c r="D21" s="54">
        <v>16.84</v>
      </c>
      <c r="E21" s="54">
        <v>5.53</v>
      </c>
      <c r="F21" s="54">
        <v>11.5</v>
      </c>
      <c r="G21" s="54">
        <v>64.69</v>
      </c>
      <c r="H21" s="54">
        <v>10.53</v>
      </c>
      <c r="I21" s="54">
        <v>2.3199999999999998</v>
      </c>
      <c r="J21" s="54">
        <v>0.75</v>
      </c>
      <c r="K21" s="54">
        <v>336.02</v>
      </c>
      <c r="L21" s="54">
        <v>32.11</v>
      </c>
      <c r="M21" s="54">
        <v>75.25</v>
      </c>
      <c r="N21" s="54">
        <v>875.7</v>
      </c>
      <c r="O21" s="54">
        <v>0</v>
      </c>
      <c r="P21" s="54">
        <v>0.45</v>
      </c>
      <c r="Q21" s="54">
        <v>9.1199999999999992</v>
      </c>
      <c r="R21" s="43"/>
      <c r="S21" s="43"/>
      <c r="T21" s="43"/>
      <c r="U21" s="43"/>
    </row>
    <row r="22" spans="1:21" s="11" customFormat="1" x14ac:dyDescent="0.25">
      <c r="A22" s="53" t="s">
        <v>217</v>
      </c>
      <c r="B22" s="54">
        <v>10.68</v>
      </c>
      <c r="C22" s="54">
        <v>23.55</v>
      </c>
      <c r="D22" s="54">
        <v>20.67</v>
      </c>
      <c r="E22" s="54">
        <v>6.37</v>
      </c>
      <c r="F22" s="54">
        <v>12.6</v>
      </c>
      <c r="G22" s="54">
        <v>57.84</v>
      </c>
      <c r="H22" s="54">
        <v>8.5299999999999994</v>
      </c>
      <c r="I22" s="54">
        <v>1.99</v>
      </c>
      <c r="J22" s="54">
        <v>0.76</v>
      </c>
      <c r="K22" s="54">
        <v>345.14</v>
      </c>
      <c r="L22" s="54">
        <v>30.01</v>
      </c>
      <c r="M22" s="54">
        <v>80.33</v>
      </c>
      <c r="N22" s="54">
        <v>310.8</v>
      </c>
      <c r="O22" s="54">
        <v>0</v>
      </c>
      <c r="P22" s="54">
        <v>0.52</v>
      </c>
      <c r="Q22" s="54">
        <v>9.17</v>
      </c>
      <c r="R22" s="43"/>
      <c r="S22" s="43"/>
      <c r="T22" s="43"/>
      <c r="U22" s="43"/>
    </row>
    <row r="23" spans="1:21" s="11" customFormat="1" x14ac:dyDescent="0.25">
      <c r="A23" s="53" t="s">
        <v>218</v>
      </c>
      <c r="B23" s="54">
        <v>7.14</v>
      </c>
      <c r="C23" s="54">
        <v>17.91</v>
      </c>
      <c r="D23" s="54">
        <v>14.6</v>
      </c>
      <c r="E23" s="54">
        <v>5.82</v>
      </c>
      <c r="F23" s="54">
        <v>13.8</v>
      </c>
      <c r="G23" s="54">
        <v>42.15</v>
      </c>
      <c r="H23" s="54">
        <v>7.13</v>
      </c>
      <c r="I23" s="54">
        <v>1.72</v>
      </c>
      <c r="J23" s="54">
        <v>1.04</v>
      </c>
      <c r="K23" s="54">
        <v>148.66999999999999</v>
      </c>
      <c r="L23" s="54">
        <v>28.36</v>
      </c>
      <c r="M23" s="54">
        <v>96.64</v>
      </c>
      <c r="N23" s="54">
        <v>173.6</v>
      </c>
      <c r="O23" s="54">
        <v>0</v>
      </c>
      <c r="P23" s="54">
        <v>0.39</v>
      </c>
      <c r="Q23" s="54">
        <v>9.15</v>
      </c>
      <c r="R23" s="43"/>
      <c r="S23" s="43"/>
      <c r="T23" s="43"/>
      <c r="U23" s="43"/>
    </row>
    <row r="24" spans="1:21" s="11" customFormat="1" x14ac:dyDescent="0.25">
      <c r="A24" s="53" t="s">
        <v>219</v>
      </c>
      <c r="B24" s="54">
        <v>15.7</v>
      </c>
      <c r="C24" s="54">
        <v>28.72</v>
      </c>
      <c r="D24" s="54">
        <v>27.6</v>
      </c>
      <c r="E24" s="54">
        <v>5.56</v>
      </c>
      <c r="F24" s="54">
        <v>14.2</v>
      </c>
      <c r="G24" s="54">
        <v>62.1</v>
      </c>
      <c r="H24" s="54">
        <v>13.64</v>
      </c>
      <c r="I24" s="54">
        <v>1.6</v>
      </c>
      <c r="J24" s="54">
        <v>0.97</v>
      </c>
      <c r="K24" s="54">
        <v>145.75</v>
      </c>
      <c r="L24" s="54">
        <v>27.45</v>
      </c>
      <c r="M24" s="54">
        <v>94.06</v>
      </c>
      <c r="N24" s="54">
        <v>144.5</v>
      </c>
      <c r="O24" s="54">
        <v>0</v>
      </c>
      <c r="P24" s="54">
        <v>0.34</v>
      </c>
      <c r="Q24" s="54">
        <v>9.06</v>
      </c>
      <c r="R24" s="43"/>
      <c r="S24" s="43"/>
      <c r="T24" s="43"/>
      <c r="U24" s="43"/>
    </row>
    <row r="25" spans="1:21" s="11" customFormat="1" x14ac:dyDescent="0.25">
      <c r="A25" s="53" t="s">
        <v>220</v>
      </c>
      <c r="B25" s="54">
        <v>12.77</v>
      </c>
      <c r="C25" s="54">
        <v>23.29</v>
      </c>
      <c r="D25" s="54">
        <v>22.41</v>
      </c>
      <c r="E25" s="54">
        <v>4.3600000000000003</v>
      </c>
      <c r="F25" s="54">
        <v>12.6</v>
      </c>
      <c r="G25" s="54">
        <v>53.4</v>
      </c>
      <c r="H25" s="54">
        <v>10.7</v>
      </c>
      <c r="I25" s="54">
        <v>1.53</v>
      </c>
      <c r="J25" s="54">
        <v>1.01</v>
      </c>
      <c r="K25" s="54">
        <v>139.21</v>
      </c>
      <c r="L25" s="54">
        <v>27.54</v>
      </c>
      <c r="M25" s="54">
        <v>96.38</v>
      </c>
      <c r="N25" s="54">
        <v>98.9</v>
      </c>
      <c r="O25" s="54">
        <v>0</v>
      </c>
      <c r="P25" s="54">
        <v>0.28000000000000003</v>
      </c>
      <c r="Q25" s="54">
        <v>9.06</v>
      </c>
      <c r="R25" s="43"/>
      <c r="S25" s="43"/>
      <c r="T25" s="43"/>
      <c r="U25" s="43"/>
    </row>
    <row r="26" spans="1:21" s="11" customFormat="1" x14ac:dyDescent="0.25">
      <c r="A26" s="53" t="s">
        <v>221</v>
      </c>
      <c r="B26" s="54">
        <v>42.15</v>
      </c>
      <c r="C26" s="54">
        <v>29.15</v>
      </c>
      <c r="D26" s="54">
        <v>47.11</v>
      </c>
      <c r="E26" s="54">
        <v>4.37</v>
      </c>
      <c r="F26" s="54">
        <v>2.4</v>
      </c>
      <c r="G26" s="54">
        <v>47.2</v>
      </c>
      <c r="H26" s="54">
        <v>8.65</v>
      </c>
      <c r="I26" s="54">
        <v>1.43</v>
      </c>
      <c r="J26" s="54">
        <v>0.55000000000000004</v>
      </c>
      <c r="K26" s="54">
        <v>140.38999999999999</v>
      </c>
      <c r="L26" s="54">
        <v>26.93</v>
      </c>
      <c r="M26" s="54">
        <v>97.99</v>
      </c>
      <c r="N26" s="54">
        <v>59</v>
      </c>
      <c r="O26" s="54">
        <v>0</v>
      </c>
      <c r="P26" s="54">
        <v>0.47</v>
      </c>
      <c r="Q26" s="54">
        <v>9.07</v>
      </c>
      <c r="R26" s="43"/>
      <c r="S26" s="43"/>
      <c r="T26" s="43"/>
      <c r="U26" s="43"/>
    </row>
    <row r="27" spans="1:21" s="11" customFormat="1" x14ac:dyDescent="0.25">
      <c r="A27" s="53" t="s">
        <v>222</v>
      </c>
      <c r="B27" s="54">
        <v>18.420000000000002</v>
      </c>
      <c r="C27" s="54">
        <v>24.69</v>
      </c>
      <c r="D27" s="54">
        <v>26.82</v>
      </c>
      <c r="E27" s="54">
        <v>4.12</v>
      </c>
      <c r="F27" s="54">
        <v>12.3</v>
      </c>
      <c r="G27" s="54">
        <v>48.49</v>
      </c>
      <c r="H27" s="54">
        <v>7.34</v>
      </c>
      <c r="I27" s="54">
        <v>1.5</v>
      </c>
      <c r="J27" s="54">
        <v>0.56999999999999995</v>
      </c>
      <c r="K27" s="54">
        <v>140.26</v>
      </c>
      <c r="L27" s="54">
        <v>25.8</v>
      </c>
      <c r="M27" s="54">
        <v>97.99</v>
      </c>
      <c r="N27" s="54">
        <v>46.6</v>
      </c>
      <c r="O27" s="54">
        <v>0</v>
      </c>
      <c r="P27" s="54">
        <v>0.45</v>
      </c>
      <c r="Q27" s="54">
        <v>9.19</v>
      </c>
      <c r="R27" s="43"/>
      <c r="S27" s="43"/>
      <c r="T27" s="43"/>
      <c r="U27" s="43"/>
    </row>
    <row r="28" spans="1:21" s="11" customFormat="1" x14ac:dyDescent="0.25">
      <c r="A28" s="53" t="s">
        <v>223</v>
      </c>
      <c r="B28" s="54">
        <v>17.02</v>
      </c>
      <c r="C28" s="54">
        <v>31.69</v>
      </c>
      <c r="D28" s="54">
        <v>28.8</v>
      </c>
      <c r="E28" s="54">
        <v>4.3099999999999996</v>
      </c>
      <c r="F28" s="54">
        <v>11</v>
      </c>
      <c r="G28" s="54">
        <v>48.68</v>
      </c>
      <c r="H28" s="54">
        <v>8.3000000000000007</v>
      </c>
      <c r="I28" s="54">
        <v>1.63</v>
      </c>
      <c r="J28" s="54">
        <v>0.23</v>
      </c>
      <c r="K28" s="54">
        <v>330.32</v>
      </c>
      <c r="L28" s="54">
        <v>25.28</v>
      </c>
      <c r="M28" s="54">
        <v>98.03</v>
      </c>
      <c r="N28" s="54">
        <v>46.8</v>
      </c>
      <c r="O28" s="54">
        <v>0</v>
      </c>
      <c r="P28" s="54">
        <v>0.9</v>
      </c>
      <c r="Q28" s="54">
        <v>9.1999999999999993</v>
      </c>
      <c r="R28" s="43"/>
      <c r="S28" s="43"/>
      <c r="T28" s="43"/>
      <c r="U28" s="43"/>
    </row>
    <row r="29" spans="1:21" s="11" customFormat="1" x14ac:dyDescent="0.25">
      <c r="A29" s="53" t="s">
        <v>224</v>
      </c>
      <c r="B29" s="54">
        <v>26.29</v>
      </c>
      <c r="C29" s="54">
        <v>28.07</v>
      </c>
      <c r="D29" s="54">
        <v>34.43</v>
      </c>
      <c r="E29" s="54">
        <v>4.6900000000000004</v>
      </c>
      <c r="F29" s="54">
        <v>3</v>
      </c>
      <c r="G29" s="54">
        <v>55.96</v>
      </c>
      <c r="H29" s="54">
        <v>6.97</v>
      </c>
      <c r="I29" s="54">
        <v>1.79</v>
      </c>
      <c r="J29" s="54">
        <v>0.12</v>
      </c>
      <c r="K29" s="54">
        <v>322.43</v>
      </c>
      <c r="L29" s="54">
        <v>24.88</v>
      </c>
      <c r="M29" s="54">
        <v>98.13</v>
      </c>
      <c r="N29" s="54">
        <v>46.6</v>
      </c>
      <c r="O29" s="54">
        <v>0</v>
      </c>
      <c r="P29" s="54">
        <v>1.39</v>
      </c>
      <c r="Q29" s="54">
        <v>9.18</v>
      </c>
      <c r="R29" s="43"/>
      <c r="S29" s="43"/>
      <c r="T29" s="43"/>
      <c r="U29" s="43"/>
    </row>
    <row r="30" spans="1:21" s="11" customFormat="1" x14ac:dyDescent="0.25">
      <c r="A30" s="53" t="s">
        <v>225</v>
      </c>
      <c r="B30" s="54">
        <v>13.77</v>
      </c>
      <c r="C30" s="54">
        <v>23.98</v>
      </c>
      <c r="D30" s="54">
        <v>23.57</v>
      </c>
      <c r="E30" s="54">
        <v>4.3499999999999996</v>
      </c>
      <c r="F30" s="54">
        <v>9.9700000000000006</v>
      </c>
      <c r="G30" s="54">
        <v>68.3</v>
      </c>
      <c r="H30" s="54">
        <v>6.09</v>
      </c>
      <c r="I30" s="54">
        <v>1.95</v>
      </c>
      <c r="J30" s="54">
        <v>0.52</v>
      </c>
      <c r="K30" s="54">
        <v>256.7</v>
      </c>
      <c r="L30" s="54">
        <v>24.48</v>
      </c>
      <c r="M30" s="54">
        <v>98.17</v>
      </c>
      <c r="N30" s="54">
        <v>46.6</v>
      </c>
      <c r="O30" s="54">
        <v>0</v>
      </c>
      <c r="P30" s="54">
        <v>0.9</v>
      </c>
      <c r="Q30" s="54">
        <v>9.17</v>
      </c>
      <c r="R30" s="43"/>
      <c r="S30" s="43"/>
      <c r="T30" s="43"/>
      <c r="U30" s="43"/>
    </row>
    <row r="31" spans="1:21" s="11" customFormat="1" x14ac:dyDescent="0.25">
      <c r="A31" s="53" t="s">
        <v>226</v>
      </c>
      <c r="B31" s="54">
        <v>12.72</v>
      </c>
      <c r="C31" s="54">
        <v>23.98</v>
      </c>
      <c r="D31" s="54">
        <v>22.73</v>
      </c>
      <c r="E31" s="54">
        <v>4.08</v>
      </c>
      <c r="F31" s="54">
        <v>11.72</v>
      </c>
      <c r="G31" s="54">
        <v>64.69</v>
      </c>
      <c r="H31" s="54">
        <v>5.51</v>
      </c>
      <c r="I31" s="54">
        <v>2</v>
      </c>
      <c r="J31" s="54">
        <v>0.24</v>
      </c>
      <c r="K31" s="54">
        <v>239.64</v>
      </c>
      <c r="L31" s="54">
        <v>24.17</v>
      </c>
      <c r="M31" s="54">
        <v>98.2</v>
      </c>
      <c r="N31" s="54">
        <v>46.7</v>
      </c>
      <c r="O31" s="54">
        <v>0</v>
      </c>
      <c r="P31" s="54">
        <v>0.64</v>
      </c>
      <c r="Q31" s="54">
        <v>9.18</v>
      </c>
      <c r="R31" s="43"/>
      <c r="S31" s="43"/>
      <c r="T31" s="43"/>
      <c r="U31" s="43"/>
    </row>
    <row r="32" spans="1:21" s="11" customFormat="1" x14ac:dyDescent="0.25">
      <c r="A32" s="53" t="s">
        <v>227</v>
      </c>
      <c r="B32" s="54">
        <v>9.8000000000000007</v>
      </c>
      <c r="C32" s="54">
        <v>14.13</v>
      </c>
      <c r="D32" s="54">
        <v>15.24</v>
      </c>
      <c r="E32" s="54">
        <v>4.3600000000000003</v>
      </c>
      <c r="F32" s="54">
        <v>27.4</v>
      </c>
      <c r="G32" s="54">
        <v>54.75</v>
      </c>
      <c r="H32" s="54">
        <v>7.28</v>
      </c>
      <c r="I32" s="54">
        <v>2.0099999999999998</v>
      </c>
      <c r="J32" s="54">
        <v>0.11</v>
      </c>
      <c r="K32" s="54">
        <v>309.08999999999997</v>
      </c>
      <c r="L32" s="54">
        <v>23.75</v>
      </c>
      <c r="M32" s="54">
        <v>98.2</v>
      </c>
      <c r="N32" s="54">
        <v>46.6</v>
      </c>
      <c r="O32" s="54">
        <v>0</v>
      </c>
      <c r="P32" s="54">
        <v>0.49</v>
      </c>
      <c r="Q32" s="54">
        <v>9.18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7.14</v>
      </c>
      <c r="C34" s="28">
        <f t="shared" si="0"/>
        <v>5.45</v>
      </c>
      <c r="D34" s="28">
        <f t="shared" si="0"/>
        <v>14.6</v>
      </c>
      <c r="E34" s="28">
        <f t="shared" si="0"/>
        <v>4.08</v>
      </c>
      <c r="F34" s="28">
        <f t="shared" si="0"/>
        <v>2.4</v>
      </c>
      <c r="G34" s="28">
        <f t="shared" si="0"/>
        <v>24.13</v>
      </c>
      <c r="H34" s="28">
        <f t="shared" si="0"/>
        <v>5.51</v>
      </c>
      <c r="I34" s="28">
        <f t="shared" si="0"/>
        <v>1.43</v>
      </c>
      <c r="J34" s="28">
        <f t="shared" si="0"/>
        <v>7.0000000000000007E-2</v>
      </c>
      <c r="K34" s="28">
        <f t="shared" si="0"/>
        <v>139.21</v>
      </c>
      <c r="L34" s="28">
        <f t="shared" si="0"/>
        <v>21.58</v>
      </c>
      <c r="M34" s="28">
        <f t="shared" si="0"/>
        <v>75.25</v>
      </c>
      <c r="N34" s="28">
        <f t="shared" si="0"/>
        <v>44.1</v>
      </c>
      <c r="O34" s="28">
        <f t="shared" si="0"/>
        <v>0</v>
      </c>
      <c r="P34" s="28">
        <f t="shared" si="0"/>
        <v>0.28000000000000003</v>
      </c>
      <c r="Q34" s="28">
        <f t="shared" si="0"/>
        <v>9.06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42.15</v>
      </c>
      <c r="C35" s="29">
        <f t="shared" si="1"/>
        <v>31.69</v>
      </c>
      <c r="D35" s="29">
        <f t="shared" si="1"/>
        <v>47.11</v>
      </c>
      <c r="E35" s="29">
        <f t="shared" si="1"/>
        <v>6.37</v>
      </c>
      <c r="F35" s="29">
        <f t="shared" si="1"/>
        <v>27.4</v>
      </c>
      <c r="G35" s="29">
        <f t="shared" si="1"/>
        <v>68.3</v>
      </c>
      <c r="H35" s="29">
        <f t="shared" si="1"/>
        <v>13.64</v>
      </c>
      <c r="I35" s="29">
        <f t="shared" si="1"/>
        <v>3.73</v>
      </c>
      <c r="J35" s="29">
        <f t="shared" si="1"/>
        <v>1.04</v>
      </c>
      <c r="K35" s="29">
        <f t="shared" si="1"/>
        <v>353.37</v>
      </c>
      <c r="L35" s="29">
        <f t="shared" si="1"/>
        <v>32.11</v>
      </c>
      <c r="M35" s="29">
        <f t="shared" si="1"/>
        <v>98.33</v>
      </c>
      <c r="N35" s="29">
        <f t="shared" si="1"/>
        <v>875.7</v>
      </c>
      <c r="O35" s="29">
        <f t="shared" si="1"/>
        <v>0</v>
      </c>
      <c r="P35" s="29">
        <f t="shared" si="1"/>
        <v>1.39</v>
      </c>
      <c r="Q35" s="29">
        <f t="shared" si="1"/>
        <v>9.35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17.099583333333332</v>
      </c>
      <c r="C36" s="28">
        <f t="shared" si="2"/>
        <v>16.836250000000003</v>
      </c>
      <c r="D36" s="28">
        <f t="shared" si="2"/>
        <v>21.558333333333337</v>
      </c>
      <c r="E36" s="28">
        <f t="shared" si="2"/>
        <v>5.1166666666666663</v>
      </c>
      <c r="F36" s="28">
        <f t="shared" si="2"/>
        <v>10.177083333333334</v>
      </c>
      <c r="G36" s="28">
        <f t="shared" si="2"/>
        <v>47.825416666666676</v>
      </c>
      <c r="H36" s="28">
        <f t="shared" si="2"/>
        <v>7.8075000000000001</v>
      </c>
      <c r="I36" s="28">
        <f t="shared" si="2"/>
        <v>2.436666666666667</v>
      </c>
      <c r="J36" s="28">
        <f t="shared" si="2"/>
        <v>0.40333333333333327</v>
      </c>
      <c r="K36" s="28">
        <f t="shared" si="2"/>
        <v>272.67958333333337</v>
      </c>
      <c r="L36" s="28">
        <f t="shared" si="2"/>
        <v>25.297499999999999</v>
      </c>
      <c r="M36" s="28">
        <f t="shared" si="2"/>
        <v>95.770416666666634</v>
      </c>
      <c r="N36" s="28">
        <f t="shared" si="2"/>
        <v>204.71666666666673</v>
      </c>
      <c r="O36" s="28">
        <f t="shared" si="2"/>
        <v>0</v>
      </c>
      <c r="P36" s="28">
        <f t="shared" si="2"/>
        <v>0.66958333333333331</v>
      </c>
      <c r="Q36" s="28">
        <f t="shared" si="2"/>
        <v>9.2091666666666665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6.8546769049324627</v>
      </c>
      <c r="C37" s="28">
        <f t="shared" ref="C37:Q37" si="3">STDEV(C9:C32)</f>
        <v>8.8400156465039537</v>
      </c>
      <c r="D37" s="28">
        <f t="shared" si="3"/>
        <v>7.3237705106559403</v>
      </c>
      <c r="E37" s="28">
        <f t="shared" si="3"/>
        <v>0.61743978172608893</v>
      </c>
      <c r="F37" s="28">
        <f t="shared" si="3"/>
        <v>5.5079243144421648</v>
      </c>
      <c r="G37" s="28">
        <f t="shared" si="3"/>
        <v>13.086822107078504</v>
      </c>
      <c r="H37" s="28">
        <f t="shared" si="3"/>
        <v>2.1980589262979873</v>
      </c>
      <c r="I37" s="28">
        <f t="shared" si="3"/>
        <v>0.72132526985232936</v>
      </c>
      <c r="J37" s="28">
        <f t="shared" si="3"/>
        <v>0.32521119113674407</v>
      </c>
      <c r="K37" s="28">
        <f t="shared" si="3"/>
        <v>78.333021882282367</v>
      </c>
      <c r="L37" s="28">
        <f t="shared" si="3"/>
        <v>3.1050677371313591</v>
      </c>
      <c r="M37" s="28">
        <f t="shared" si="3"/>
        <v>5.9724472292182789</v>
      </c>
      <c r="N37" s="28">
        <f t="shared" si="3"/>
        <v>263.21349355305819</v>
      </c>
      <c r="O37" s="28">
        <f t="shared" si="3"/>
        <v>0</v>
      </c>
      <c r="P37" s="28">
        <f t="shared" si="3"/>
        <v>0.2393193094676189</v>
      </c>
      <c r="Q37" s="28">
        <f t="shared" si="3"/>
        <v>8.2668361366453127E-2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F22" sqref="F22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08/10/2025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228</v>
      </c>
      <c r="B9" s="54">
        <v>11.56</v>
      </c>
      <c r="C9" s="54">
        <v>10.89</v>
      </c>
      <c r="D9" s="54">
        <v>14.96</v>
      </c>
      <c r="E9" s="54">
        <v>4.16</v>
      </c>
      <c r="F9" s="54">
        <v>10.029999999999999</v>
      </c>
      <c r="G9" s="54">
        <v>48.15</v>
      </c>
      <c r="H9" s="54">
        <v>6.53</v>
      </c>
      <c r="I9" s="54">
        <v>1.95</v>
      </c>
      <c r="J9" s="54">
        <v>0.08</v>
      </c>
      <c r="K9" s="54">
        <v>357.78</v>
      </c>
      <c r="L9" s="54">
        <v>23.51</v>
      </c>
      <c r="M9" s="54">
        <v>98.2</v>
      </c>
      <c r="N9" s="54">
        <v>46.7</v>
      </c>
      <c r="O9" s="54">
        <v>0</v>
      </c>
      <c r="P9" s="54">
        <v>0.46</v>
      </c>
      <c r="Q9" s="54">
        <v>9.17</v>
      </c>
      <c r="R9" s="43"/>
      <c r="S9" s="43"/>
      <c r="T9" s="43"/>
      <c r="U9" s="43"/>
    </row>
    <row r="10" spans="1:21" s="11" customFormat="1" x14ac:dyDescent="0.25">
      <c r="A10" s="53" t="s">
        <v>229</v>
      </c>
      <c r="B10" s="54">
        <v>9.7899999999999991</v>
      </c>
      <c r="C10" s="54">
        <v>8.9</v>
      </c>
      <c r="D10" s="54">
        <v>12.5</v>
      </c>
      <c r="E10" s="54">
        <v>4.26</v>
      </c>
      <c r="F10" s="54">
        <v>11.3</v>
      </c>
      <c r="G10" s="54">
        <v>44.77</v>
      </c>
      <c r="H10" s="54">
        <v>5.99</v>
      </c>
      <c r="I10" s="54">
        <v>1.84</v>
      </c>
      <c r="J10" s="54">
        <v>0.25</v>
      </c>
      <c r="K10" s="54">
        <v>356.14</v>
      </c>
      <c r="L10" s="54">
        <v>23.2</v>
      </c>
      <c r="M10" s="54">
        <v>98.24</v>
      </c>
      <c r="N10" s="54">
        <v>46.7</v>
      </c>
      <c r="O10" s="54">
        <v>0</v>
      </c>
      <c r="P10" s="54">
        <v>0.41</v>
      </c>
      <c r="Q10" s="54">
        <v>9.1199999999999992</v>
      </c>
      <c r="R10" s="43"/>
      <c r="S10" s="43"/>
      <c r="T10" s="43"/>
      <c r="U10" s="43"/>
    </row>
    <row r="11" spans="1:21" s="11" customFormat="1" x14ac:dyDescent="0.25">
      <c r="A11" s="53" t="s">
        <v>230</v>
      </c>
      <c r="B11" s="54">
        <v>8.1199999999999992</v>
      </c>
      <c r="C11" s="54">
        <v>9.4</v>
      </c>
      <c r="D11" s="54">
        <v>11.09</v>
      </c>
      <c r="E11" s="54">
        <v>4.18</v>
      </c>
      <c r="F11" s="54">
        <v>12.8</v>
      </c>
      <c r="G11" s="54">
        <v>43.5</v>
      </c>
      <c r="H11" s="54">
        <v>5.88</v>
      </c>
      <c r="I11" s="54">
        <v>1.76</v>
      </c>
      <c r="J11" s="54">
        <v>0.05</v>
      </c>
      <c r="K11" s="54">
        <v>349.18</v>
      </c>
      <c r="L11" s="54">
        <v>22.94</v>
      </c>
      <c r="M11" s="54">
        <v>98.27</v>
      </c>
      <c r="N11" s="54">
        <v>46.8</v>
      </c>
      <c r="O11" s="54">
        <v>0</v>
      </c>
      <c r="P11" s="54">
        <v>0.43</v>
      </c>
      <c r="Q11" s="54">
        <v>9.1</v>
      </c>
      <c r="R11" s="43"/>
      <c r="S11" s="43"/>
      <c r="T11" s="43"/>
      <c r="U11" s="43"/>
    </row>
    <row r="12" spans="1:21" s="11" customFormat="1" x14ac:dyDescent="0.25">
      <c r="A12" s="53" t="s">
        <v>231</v>
      </c>
      <c r="B12" s="54">
        <v>11.35</v>
      </c>
      <c r="C12" s="54">
        <v>10.09</v>
      </c>
      <c r="D12" s="54">
        <v>13.52</v>
      </c>
      <c r="E12" s="54">
        <v>4.29</v>
      </c>
      <c r="F12" s="54">
        <v>13.6</v>
      </c>
      <c r="G12" s="54">
        <v>36.369999999999997</v>
      </c>
      <c r="H12" s="54">
        <v>8.25</v>
      </c>
      <c r="I12" s="54">
        <v>1.83</v>
      </c>
      <c r="J12" s="54">
        <v>0.53</v>
      </c>
      <c r="K12" s="54">
        <v>343.1</v>
      </c>
      <c r="L12" s="54">
        <v>22.81</v>
      </c>
      <c r="M12" s="54">
        <v>98.35</v>
      </c>
      <c r="N12" s="54">
        <v>46.7</v>
      </c>
      <c r="O12" s="54">
        <v>0</v>
      </c>
      <c r="P12" s="54">
        <v>0.44</v>
      </c>
      <c r="Q12" s="54">
        <v>9.1300000000000008</v>
      </c>
      <c r="R12" s="43"/>
      <c r="S12" s="43"/>
      <c r="T12" s="43"/>
      <c r="U12" s="43"/>
    </row>
    <row r="13" spans="1:21" s="11" customFormat="1" x14ac:dyDescent="0.25">
      <c r="A13" s="53" t="s">
        <v>232</v>
      </c>
      <c r="B13" s="54">
        <v>13.2</v>
      </c>
      <c r="C13" s="54">
        <v>9.24</v>
      </c>
      <c r="D13" s="54">
        <v>14.59</v>
      </c>
      <c r="E13" s="54">
        <v>4.0599999999999996</v>
      </c>
      <c r="F13" s="54">
        <v>12.6</v>
      </c>
      <c r="G13" s="54">
        <v>44.39</v>
      </c>
      <c r="H13" s="54">
        <v>7.33</v>
      </c>
      <c r="I13" s="54">
        <v>1.84</v>
      </c>
      <c r="J13" s="54">
        <v>0.2</v>
      </c>
      <c r="K13" s="54">
        <v>322.45999999999998</v>
      </c>
      <c r="L13" s="54">
        <v>22.82</v>
      </c>
      <c r="M13" s="54">
        <v>98.37</v>
      </c>
      <c r="N13" s="54">
        <v>46.8</v>
      </c>
      <c r="O13" s="54">
        <v>0</v>
      </c>
      <c r="P13" s="54">
        <v>0.47</v>
      </c>
      <c r="Q13" s="54">
        <v>9.14</v>
      </c>
      <c r="R13" s="43"/>
      <c r="S13" s="43"/>
      <c r="T13" s="43"/>
      <c r="U13" s="43"/>
    </row>
    <row r="14" spans="1:21" s="11" customFormat="1" x14ac:dyDescent="0.25">
      <c r="A14" s="53" t="s">
        <v>233</v>
      </c>
      <c r="B14" s="54">
        <v>14.19</v>
      </c>
      <c r="C14" s="54">
        <v>7.97</v>
      </c>
      <c r="D14" s="54">
        <v>14.95</v>
      </c>
      <c r="E14" s="54">
        <v>4.1100000000000003</v>
      </c>
      <c r="F14" s="54">
        <v>12.4</v>
      </c>
      <c r="G14" s="54">
        <v>46.41</v>
      </c>
      <c r="H14" s="54">
        <v>6.42</v>
      </c>
      <c r="I14" s="54">
        <v>1.82</v>
      </c>
      <c r="J14" s="54">
        <v>0.32</v>
      </c>
      <c r="K14" s="54">
        <v>331</v>
      </c>
      <c r="L14" s="54">
        <v>22.95</v>
      </c>
      <c r="M14" s="54">
        <v>98.35</v>
      </c>
      <c r="N14" s="54">
        <v>50.4</v>
      </c>
      <c r="O14" s="54">
        <v>0</v>
      </c>
      <c r="P14" s="54">
        <v>0.47</v>
      </c>
      <c r="Q14" s="54">
        <v>9.1199999999999992</v>
      </c>
      <c r="R14" s="43"/>
      <c r="S14" s="43"/>
      <c r="T14" s="43"/>
      <c r="U14" s="43"/>
    </row>
    <row r="15" spans="1:21" s="11" customFormat="1" x14ac:dyDescent="0.25">
      <c r="A15" s="53" t="s">
        <v>234</v>
      </c>
      <c r="B15" s="54">
        <v>19.329999999999998</v>
      </c>
      <c r="C15" s="54">
        <v>8.56</v>
      </c>
      <c r="D15" s="54">
        <v>19.98</v>
      </c>
      <c r="E15" s="54">
        <v>3.86</v>
      </c>
      <c r="F15" s="54">
        <v>13.6</v>
      </c>
      <c r="G15" s="54">
        <v>61.57</v>
      </c>
      <c r="H15" s="54">
        <v>5.62</v>
      </c>
      <c r="I15" s="54">
        <v>1.83</v>
      </c>
      <c r="J15" s="54">
        <v>0.47</v>
      </c>
      <c r="K15" s="54">
        <v>339.76</v>
      </c>
      <c r="L15" s="54">
        <v>23.92</v>
      </c>
      <c r="M15" s="54">
        <v>98.31</v>
      </c>
      <c r="N15" s="54">
        <v>146.9</v>
      </c>
      <c r="O15" s="54">
        <v>0</v>
      </c>
      <c r="P15" s="54">
        <v>0.52</v>
      </c>
      <c r="Q15" s="54">
        <v>9.17</v>
      </c>
      <c r="R15" s="43"/>
      <c r="S15" s="43"/>
      <c r="T15" s="43"/>
      <c r="U15" s="43"/>
    </row>
    <row r="16" spans="1:21" s="11" customFormat="1" x14ac:dyDescent="0.25">
      <c r="A16" s="53" t="s">
        <v>235</v>
      </c>
      <c r="B16" s="54">
        <v>28.37</v>
      </c>
      <c r="C16" s="54">
        <v>14.19</v>
      </c>
      <c r="D16" s="54">
        <v>30.02</v>
      </c>
      <c r="E16" s="54">
        <v>5.51</v>
      </c>
      <c r="F16" s="54">
        <v>12.2</v>
      </c>
      <c r="G16" s="54">
        <v>73.13</v>
      </c>
      <c r="H16" s="54">
        <v>8.65</v>
      </c>
      <c r="I16" s="54">
        <v>1.89</v>
      </c>
      <c r="J16" s="54">
        <v>0.71</v>
      </c>
      <c r="K16" s="54">
        <v>347.24</v>
      </c>
      <c r="L16" s="54">
        <v>29.78</v>
      </c>
      <c r="M16" s="54">
        <v>98.11</v>
      </c>
      <c r="N16" s="54">
        <v>369</v>
      </c>
      <c r="O16" s="54">
        <v>0</v>
      </c>
      <c r="P16" s="54">
        <v>0.9</v>
      </c>
      <c r="Q16" s="54">
        <v>9.27</v>
      </c>
      <c r="R16" s="43"/>
      <c r="S16" s="43"/>
      <c r="T16" s="43"/>
      <c r="U16" s="43"/>
    </row>
    <row r="17" spans="1:21" s="11" customFormat="1" x14ac:dyDescent="0.25">
      <c r="A17" s="53" t="s">
        <v>236</v>
      </c>
      <c r="B17" s="54">
        <v>29.46</v>
      </c>
      <c r="C17" s="54">
        <v>20.5</v>
      </c>
      <c r="D17" s="54">
        <v>32.42</v>
      </c>
      <c r="E17" s="54">
        <v>6.46</v>
      </c>
      <c r="F17" s="54">
        <v>14.6</v>
      </c>
      <c r="G17" s="54">
        <v>209.82</v>
      </c>
      <c r="H17" s="54">
        <v>7.21</v>
      </c>
      <c r="I17" s="54">
        <v>2.0299999999999998</v>
      </c>
      <c r="J17" s="54">
        <v>0.31</v>
      </c>
      <c r="K17" s="54">
        <v>342.46</v>
      </c>
      <c r="L17" s="54">
        <v>30.39</v>
      </c>
      <c r="M17" s="54">
        <v>84.92</v>
      </c>
      <c r="N17" s="54">
        <v>455.2</v>
      </c>
      <c r="O17" s="54">
        <v>0</v>
      </c>
      <c r="P17" s="54">
        <v>1.0900000000000001</v>
      </c>
      <c r="Q17" s="54">
        <v>9.36</v>
      </c>
      <c r="R17" s="43"/>
      <c r="S17" s="43"/>
      <c r="T17" s="43"/>
      <c r="U17" s="43"/>
    </row>
    <row r="18" spans="1:21" s="11" customFormat="1" x14ac:dyDescent="0.25">
      <c r="A18" s="53" t="s">
        <v>237</v>
      </c>
      <c r="B18" s="54">
        <v>22.11</v>
      </c>
      <c r="C18" s="54">
        <v>32.700000000000003</v>
      </c>
      <c r="D18" s="54">
        <v>34.81</v>
      </c>
      <c r="E18" s="54">
        <v>6.39</v>
      </c>
      <c r="F18" s="54">
        <v>15.6</v>
      </c>
      <c r="G18" s="54">
        <v>250.24</v>
      </c>
      <c r="H18" s="54">
        <v>6.2</v>
      </c>
      <c r="I18" s="54">
        <v>2.14</v>
      </c>
      <c r="J18" s="54">
        <v>0.44</v>
      </c>
      <c r="K18" s="54">
        <v>353.73</v>
      </c>
      <c r="L18" s="54">
        <v>29.46</v>
      </c>
      <c r="M18" s="54">
        <v>89.16</v>
      </c>
      <c r="N18" s="54">
        <v>458.8</v>
      </c>
      <c r="O18" s="54">
        <v>0</v>
      </c>
      <c r="P18" s="54">
        <v>1.27</v>
      </c>
      <c r="Q18" s="54">
        <v>9.36</v>
      </c>
      <c r="R18" s="43"/>
      <c r="S18" s="43"/>
      <c r="T18" s="43"/>
      <c r="U18" s="43"/>
    </row>
    <row r="19" spans="1:21" s="11" customFormat="1" x14ac:dyDescent="0.25">
      <c r="A19" s="53" t="s">
        <v>238</v>
      </c>
      <c r="B19" s="54">
        <v>15.62</v>
      </c>
      <c r="C19" s="54">
        <v>29.74</v>
      </c>
      <c r="D19" s="54">
        <v>25.23</v>
      </c>
      <c r="E19" s="54">
        <v>7.15</v>
      </c>
      <c r="F19" s="54">
        <v>14.3</v>
      </c>
      <c r="G19" s="54">
        <v>205.18</v>
      </c>
      <c r="H19" s="54">
        <v>5.54</v>
      </c>
      <c r="I19" s="54">
        <v>2.2599999999999998</v>
      </c>
      <c r="J19" s="54">
        <v>0.54</v>
      </c>
      <c r="K19" s="54">
        <v>282.97000000000003</v>
      </c>
      <c r="L19" s="54">
        <v>29.76</v>
      </c>
      <c r="M19" s="54">
        <v>88.42</v>
      </c>
      <c r="N19" s="54">
        <v>622.1</v>
      </c>
      <c r="O19" s="54">
        <v>0</v>
      </c>
      <c r="P19" s="54">
        <v>1.1299999999999999</v>
      </c>
      <c r="Q19" s="54">
        <v>9.35</v>
      </c>
      <c r="R19" s="43"/>
      <c r="S19" s="43"/>
      <c r="T19" s="43"/>
      <c r="U19" s="43"/>
    </row>
    <row r="20" spans="1:21" s="11" customFormat="1" x14ac:dyDescent="0.25">
      <c r="A20" s="53" t="s">
        <v>239</v>
      </c>
      <c r="B20" s="54">
        <v>18.579999999999998</v>
      </c>
      <c r="C20" s="54">
        <v>32.74</v>
      </c>
      <c r="D20" s="54">
        <v>32.01</v>
      </c>
      <c r="E20" s="54">
        <v>6.79</v>
      </c>
      <c r="F20" s="54">
        <v>12.6</v>
      </c>
      <c r="G20" s="54">
        <v>160.65</v>
      </c>
      <c r="H20" s="54">
        <v>11.01</v>
      </c>
      <c r="I20" s="54">
        <v>2.3199999999999998</v>
      </c>
      <c r="J20" s="54">
        <v>0.71</v>
      </c>
      <c r="K20" s="54">
        <v>155.58000000000001</v>
      </c>
      <c r="L20" s="54">
        <v>29.33</v>
      </c>
      <c r="M20" s="54">
        <v>93.64</v>
      </c>
      <c r="N20" s="54">
        <v>723.9</v>
      </c>
      <c r="O20" s="54">
        <v>0</v>
      </c>
      <c r="P20" s="54">
        <v>1.1499999999999999</v>
      </c>
      <c r="Q20" s="54">
        <v>9.2899999999999991</v>
      </c>
      <c r="R20" s="43"/>
      <c r="S20" s="43"/>
      <c r="T20" s="43"/>
      <c r="U20" s="43"/>
    </row>
    <row r="21" spans="1:21" s="11" customFormat="1" x14ac:dyDescent="0.25">
      <c r="A21" s="53" t="s">
        <v>240</v>
      </c>
      <c r="B21" s="54">
        <v>13.66</v>
      </c>
      <c r="C21" s="54">
        <v>16.739999999999998</v>
      </c>
      <c r="D21" s="54">
        <v>18.86</v>
      </c>
      <c r="E21" s="54">
        <v>6.96</v>
      </c>
      <c r="F21" s="54">
        <v>11.3</v>
      </c>
      <c r="G21" s="54">
        <v>156.9</v>
      </c>
      <c r="H21" s="54">
        <v>9.74</v>
      </c>
      <c r="I21" s="54">
        <v>2.31</v>
      </c>
      <c r="J21" s="54">
        <v>1.22</v>
      </c>
      <c r="K21" s="54">
        <v>337.7</v>
      </c>
      <c r="L21" s="54">
        <v>29.95</v>
      </c>
      <c r="M21" s="54">
        <v>87.14</v>
      </c>
      <c r="N21" s="54">
        <v>819.6</v>
      </c>
      <c r="O21" s="54">
        <v>0</v>
      </c>
      <c r="P21" s="54">
        <v>0.71</v>
      </c>
      <c r="Q21" s="54">
        <v>9.2799999999999994</v>
      </c>
      <c r="R21" s="43"/>
      <c r="S21" s="43"/>
      <c r="T21" s="43"/>
      <c r="U21" s="43"/>
    </row>
    <row r="22" spans="1:21" s="11" customFormat="1" x14ac:dyDescent="0.25">
      <c r="A22" s="53" t="s">
        <v>241</v>
      </c>
      <c r="B22" s="54">
        <v>6.07</v>
      </c>
      <c r="C22" s="54">
        <v>17.47</v>
      </c>
      <c r="D22" s="54">
        <v>14</v>
      </c>
      <c r="E22" s="54">
        <v>6.27</v>
      </c>
      <c r="F22" s="54">
        <v>20.6</v>
      </c>
      <c r="G22" s="54">
        <v>31.75</v>
      </c>
      <c r="H22" s="54">
        <v>7.97</v>
      </c>
      <c r="I22" s="54">
        <v>1.91</v>
      </c>
      <c r="J22" s="54">
        <v>1.36</v>
      </c>
      <c r="K22" s="54">
        <v>133.38</v>
      </c>
      <c r="L22" s="54">
        <v>29.03</v>
      </c>
      <c r="M22" s="54">
        <v>77.739999999999995</v>
      </c>
      <c r="N22" s="54">
        <v>736.6</v>
      </c>
      <c r="O22" s="54">
        <v>0</v>
      </c>
      <c r="P22" s="54">
        <v>0.4</v>
      </c>
      <c r="Q22" s="54">
        <v>9.09</v>
      </c>
      <c r="R22" s="43"/>
      <c r="S22" s="43"/>
      <c r="T22" s="43"/>
      <c r="U22" s="43"/>
    </row>
    <row r="23" spans="1:21" s="11" customFormat="1" x14ac:dyDescent="0.25">
      <c r="A23" s="53" t="s">
        <v>242</v>
      </c>
      <c r="B23" s="54">
        <v>13.18</v>
      </c>
      <c r="C23" s="54">
        <v>24.45</v>
      </c>
      <c r="D23" s="54">
        <v>23.11</v>
      </c>
      <c r="E23" s="54">
        <v>7.68</v>
      </c>
      <c r="F23" s="54">
        <v>13.58</v>
      </c>
      <c r="G23" s="54">
        <v>19.61</v>
      </c>
      <c r="H23" s="54">
        <v>6.74</v>
      </c>
      <c r="I23" s="54">
        <v>1.31</v>
      </c>
      <c r="J23" s="54">
        <v>0.56999999999999995</v>
      </c>
      <c r="K23" s="54">
        <v>336.86</v>
      </c>
      <c r="L23" s="54">
        <v>30.27</v>
      </c>
      <c r="M23" s="54">
        <v>77.88</v>
      </c>
      <c r="N23" s="54">
        <v>154.4</v>
      </c>
      <c r="O23" s="54">
        <v>0.2</v>
      </c>
      <c r="P23" s="54">
        <v>0.64</v>
      </c>
      <c r="Q23" s="54">
        <v>9.07</v>
      </c>
      <c r="R23" s="43"/>
      <c r="S23" s="43"/>
      <c r="T23" s="43"/>
      <c r="U23" s="43"/>
    </row>
    <row r="24" spans="1:21" s="11" customFormat="1" x14ac:dyDescent="0.25">
      <c r="A24" s="53" t="s">
        <v>243</v>
      </c>
      <c r="B24" s="54">
        <v>11.4</v>
      </c>
      <c r="C24" s="54">
        <v>30.85</v>
      </c>
      <c r="D24" s="54">
        <v>25.25</v>
      </c>
      <c r="E24" s="54">
        <v>7.1</v>
      </c>
      <c r="F24" s="54">
        <v>183.43</v>
      </c>
      <c r="G24" s="54">
        <v>38.26</v>
      </c>
      <c r="H24" s="54">
        <v>11.83</v>
      </c>
      <c r="I24" s="54">
        <v>1.32</v>
      </c>
      <c r="J24" s="54">
        <v>0.46</v>
      </c>
      <c r="K24" s="54">
        <v>133.5</v>
      </c>
      <c r="L24" s="54">
        <v>29.45</v>
      </c>
      <c r="M24" s="54">
        <v>86.55</v>
      </c>
      <c r="N24" s="54">
        <v>132.5</v>
      </c>
      <c r="O24" s="54">
        <v>0</v>
      </c>
      <c r="P24" s="54">
        <v>0.72</v>
      </c>
      <c r="Q24" s="54">
        <v>9.07</v>
      </c>
      <c r="R24" s="43"/>
      <c r="S24" s="43"/>
      <c r="T24" s="43"/>
      <c r="U24" s="43"/>
    </row>
    <row r="25" spans="1:21" s="11" customFormat="1" x14ac:dyDescent="0.25">
      <c r="A25" s="53" t="s">
        <v>244</v>
      </c>
      <c r="B25" s="54">
        <v>35.81</v>
      </c>
      <c r="C25" s="54">
        <v>30.96</v>
      </c>
      <c r="D25" s="54">
        <v>44.89</v>
      </c>
      <c r="E25" s="54">
        <v>6.03</v>
      </c>
      <c r="F25" s="54">
        <v>57.87</v>
      </c>
      <c r="G25" s="54">
        <v>28.87</v>
      </c>
      <c r="H25" s="54">
        <v>10.38</v>
      </c>
      <c r="I25" s="54">
        <v>1.82</v>
      </c>
      <c r="J25" s="54">
        <v>0.48</v>
      </c>
      <c r="K25" s="54">
        <v>338.69</v>
      </c>
      <c r="L25" s="54">
        <v>28.59</v>
      </c>
      <c r="M25" s="54">
        <v>85.64</v>
      </c>
      <c r="N25" s="54">
        <v>77.3</v>
      </c>
      <c r="O25" s="54">
        <v>0</v>
      </c>
      <c r="P25" s="54">
        <v>1.1000000000000001</v>
      </c>
      <c r="Q25" s="54">
        <v>9.2200000000000006</v>
      </c>
      <c r="R25" s="43"/>
      <c r="S25" s="43"/>
      <c r="T25" s="43"/>
      <c r="U25" s="43"/>
    </row>
    <row r="26" spans="1:21" s="11" customFormat="1" x14ac:dyDescent="0.25">
      <c r="A26" s="53" t="s">
        <v>245</v>
      </c>
      <c r="B26" s="54">
        <v>32.4</v>
      </c>
      <c r="C26" s="54">
        <v>36.840000000000003</v>
      </c>
      <c r="D26" s="54">
        <v>44.02</v>
      </c>
      <c r="E26" s="54">
        <v>5.74</v>
      </c>
      <c r="F26" s="54">
        <v>12.23</v>
      </c>
      <c r="G26" s="54">
        <v>32.700000000000003</v>
      </c>
      <c r="H26" s="54">
        <v>8.42</v>
      </c>
      <c r="I26" s="54">
        <v>1.98</v>
      </c>
      <c r="J26" s="54">
        <v>0.1</v>
      </c>
      <c r="K26" s="54">
        <v>353.77</v>
      </c>
      <c r="L26" s="54">
        <v>27.26</v>
      </c>
      <c r="M26" s="54">
        <v>91.88</v>
      </c>
      <c r="N26" s="54">
        <v>55.7</v>
      </c>
      <c r="O26" s="54">
        <v>0</v>
      </c>
      <c r="P26" s="54">
        <v>1.48</v>
      </c>
      <c r="Q26" s="54">
        <v>9.24</v>
      </c>
      <c r="R26" s="43"/>
      <c r="S26" s="43"/>
      <c r="T26" s="43"/>
      <c r="U26" s="43"/>
    </row>
    <row r="27" spans="1:21" s="11" customFormat="1" x14ac:dyDescent="0.25">
      <c r="A27" s="53" t="s">
        <v>246</v>
      </c>
      <c r="B27" s="54">
        <v>61.61</v>
      </c>
      <c r="C27" s="54">
        <v>32.4</v>
      </c>
      <c r="D27" s="54">
        <v>66.33</v>
      </c>
      <c r="E27" s="54">
        <v>5.79</v>
      </c>
      <c r="F27" s="54">
        <v>7.95</v>
      </c>
      <c r="G27" s="54">
        <v>34.54</v>
      </c>
      <c r="H27" s="54">
        <v>7.05</v>
      </c>
      <c r="I27" s="54">
        <v>2.34</v>
      </c>
      <c r="J27" s="54">
        <v>0.62</v>
      </c>
      <c r="K27" s="54">
        <v>280.49</v>
      </c>
      <c r="L27" s="54">
        <v>26.6</v>
      </c>
      <c r="M27" s="54">
        <v>97.94</v>
      </c>
      <c r="N27" s="54">
        <v>44.4</v>
      </c>
      <c r="O27" s="54">
        <v>0</v>
      </c>
      <c r="P27" s="54">
        <v>2.42</v>
      </c>
      <c r="Q27" s="54">
        <v>9.2799999999999994</v>
      </c>
      <c r="R27" s="43"/>
      <c r="S27" s="43"/>
      <c r="T27" s="43"/>
      <c r="U27" s="43"/>
    </row>
    <row r="28" spans="1:21" s="11" customFormat="1" x14ac:dyDescent="0.25">
      <c r="A28" s="53" t="s">
        <v>247</v>
      </c>
      <c r="B28" s="54">
        <v>13.58</v>
      </c>
      <c r="C28" s="54">
        <v>21.5</v>
      </c>
      <c r="D28" s="54">
        <v>20.98</v>
      </c>
      <c r="E28" s="54">
        <v>5.01</v>
      </c>
      <c r="F28" s="54">
        <v>3.95</v>
      </c>
      <c r="G28" s="54">
        <v>32.03</v>
      </c>
      <c r="H28" s="54">
        <v>14.15</v>
      </c>
      <c r="I28" s="54">
        <v>2.36</v>
      </c>
      <c r="J28" s="54">
        <v>0.39</v>
      </c>
      <c r="K28" s="54">
        <v>294.95</v>
      </c>
      <c r="L28" s="54">
        <v>25.29</v>
      </c>
      <c r="M28" s="54">
        <v>97.97</v>
      </c>
      <c r="N28" s="54">
        <v>44.1</v>
      </c>
      <c r="O28" s="54">
        <v>0</v>
      </c>
      <c r="P28" s="54">
        <v>0.63</v>
      </c>
      <c r="Q28" s="54">
        <v>9.27</v>
      </c>
      <c r="R28" s="43"/>
      <c r="S28" s="43"/>
      <c r="T28" s="43"/>
      <c r="U28" s="43"/>
    </row>
    <row r="29" spans="1:21" s="11" customFormat="1" x14ac:dyDescent="0.25">
      <c r="A29" s="53" t="s">
        <v>248</v>
      </c>
      <c r="B29" s="54">
        <v>48.9</v>
      </c>
      <c r="C29" s="54">
        <v>22.86</v>
      </c>
      <c r="D29" s="54">
        <v>49.02</v>
      </c>
      <c r="E29" s="54">
        <v>4.84</v>
      </c>
      <c r="F29" s="54">
        <v>3.26</v>
      </c>
      <c r="G29" s="54">
        <v>25.47</v>
      </c>
      <c r="H29" s="54">
        <v>11.34</v>
      </c>
      <c r="I29" s="54">
        <v>2.3199999999999998</v>
      </c>
      <c r="J29" s="54">
        <v>0.11</v>
      </c>
      <c r="K29" s="54">
        <v>344.07</v>
      </c>
      <c r="L29" s="54">
        <v>25.01</v>
      </c>
      <c r="M29" s="54">
        <v>97.98</v>
      </c>
      <c r="N29" s="54">
        <v>44.1</v>
      </c>
      <c r="O29" s="54">
        <v>0</v>
      </c>
      <c r="P29" s="54">
        <v>1.83</v>
      </c>
      <c r="Q29" s="54">
        <v>9.2799999999999994</v>
      </c>
      <c r="R29" s="43"/>
      <c r="S29" s="43"/>
      <c r="T29" s="43"/>
      <c r="U29" s="43"/>
    </row>
    <row r="30" spans="1:21" s="11" customFormat="1" x14ac:dyDescent="0.25">
      <c r="A30" s="53" t="s">
        <v>249</v>
      </c>
      <c r="B30" s="54">
        <v>34.24</v>
      </c>
      <c r="C30" s="54">
        <v>18.55</v>
      </c>
      <c r="D30" s="54">
        <v>37.15</v>
      </c>
      <c r="E30" s="54">
        <v>4.9400000000000004</v>
      </c>
      <c r="F30" s="54">
        <v>5.07</v>
      </c>
      <c r="G30" s="54">
        <v>35.590000000000003</v>
      </c>
      <c r="H30" s="54">
        <v>9.1</v>
      </c>
      <c r="I30" s="54">
        <v>2.42</v>
      </c>
      <c r="J30" s="54">
        <v>0.16</v>
      </c>
      <c r="K30" s="54">
        <v>154.91</v>
      </c>
      <c r="L30" s="54">
        <v>24.79</v>
      </c>
      <c r="M30" s="54">
        <v>97.99</v>
      </c>
      <c r="N30" s="54">
        <v>44</v>
      </c>
      <c r="O30" s="54">
        <v>0</v>
      </c>
      <c r="P30" s="54">
        <v>1.03</v>
      </c>
      <c r="Q30" s="54">
        <v>9.35</v>
      </c>
      <c r="R30" s="43"/>
      <c r="S30" s="43"/>
      <c r="T30" s="43"/>
      <c r="U30" s="43"/>
    </row>
    <row r="31" spans="1:21" s="11" customFormat="1" x14ac:dyDescent="0.25">
      <c r="A31" s="53" t="s">
        <v>250</v>
      </c>
      <c r="B31" s="54">
        <v>22.21</v>
      </c>
      <c r="C31" s="54">
        <v>17.87</v>
      </c>
      <c r="D31" s="54">
        <v>23.66</v>
      </c>
      <c r="E31" s="54">
        <v>4.8499999999999996</v>
      </c>
      <c r="F31" s="54">
        <v>3.55</v>
      </c>
      <c r="G31" s="54">
        <v>29.51</v>
      </c>
      <c r="H31" s="54">
        <v>7.52</v>
      </c>
      <c r="I31" s="54">
        <v>2.41</v>
      </c>
      <c r="J31" s="54">
        <v>0.16</v>
      </c>
      <c r="K31" s="54">
        <v>342.99</v>
      </c>
      <c r="L31" s="54">
        <v>24.26</v>
      </c>
      <c r="M31" s="54">
        <v>98.01</v>
      </c>
      <c r="N31" s="54">
        <v>44.1</v>
      </c>
      <c r="O31" s="54">
        <v>0</v>
      </c>
      <c r="P31" s="54">
        <v>0.88</v>
      </c>
      <c r="Q31" s="54">
        <v>9.36</v>
      </c>
      <c r="R31" s="43"/>
      <c r="S31" s="43"/>
      <c r="T31" s="43"/>
      <c r="U31" s="43"/>
    </row>
    <row r="32" spans="1:21" s="11" customFormat="1" x14ac:dyDescent="0.25">
      <c r="A32" s="53" t="s">
        <v>251</v>
      </c>
      <c r="B32" s="54">
        <v>13.38</v>
      </c>
      <c r="C32" s="54">
        <v>18.350000000000001</v>
      </c>
      <c r="D32" s="54">
        <v>20.309999999999999</v>
      </c>
      <c r="E32" s="54">
        <v>4.46</v>
      </c>
      <c r="F32" s="54">
        <v>2.4700000000000002</v>
      </c>
      <c r="G32" s="54">
        <v>22.67</v>
      </c>
      <c r="H32" s="54">
        <v>7.25</v>
      </c>
      <c r="I32" s="54">
        <v>2.3199999999999998</v>
      </c>
      <c r="J32" s="54">
        <v>0.28999999999999998</v>
      </c>
      <c r="K32" s="54">
        <v>332.51</v>
      </c>
      <c r="L32" s="54">
        <v>23.92</v>
      </c>
      <c r="M32" s="54">
        <v>98.02</v>
      </c>
      <c r="N32" s="54">
        <v>43.9</v>
      </c>
      <c r="O32" s="54">
        <v>0</v>
      </c>
      <c r="P32" s="54">
        <v>0.47</v>
      </c>
      <c r="Q32" s="54">
        <v>9.31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6.07</v>
      </c>
      <c r="C34" s="28">
        <f t="shared" si="0"/>
        <v>7.97</v>
      </c>
      <c r="D34" s="28">
        <f t="shared" si="0"/>
        <v>11.09</v>
      </c>
      <c r="E34" s="28">
        <f t="shared" si="0"/>
        <v>3.86</v>
      </c>
      <c r="F34" s="28">
        <f t="shared" si="0"/>
        <v>2.4700000000000002</v>
      </c>
      <c r="G34" s="28">
        <f t="shared" si="0"/>
        <v>19.61</v>
      </c>
      <c r="H34" s="28">
        <f t="shared" si="0"/>
        <v>5.54</v>
      </c>
      <c r="I34" s="28">
        <f t="shared" si="0"/>
        <v>1.31</v>
      </c>
      <c r="J34" s="28">
        <f t="shared" si="0"/>
        <v>0.05</v>
      </c>
      <c r="K34" s="28">
        <f t="shared" si="0"/>
        <v>133.38</v>
      </c>
      <c r="L34" s="28">
        <f t="shared" si="0"/>
        <v>22.81</v>
      </c>
      <c r="M34" s="28">
        <f t="shared" si="0"/>
        <v>77.739999999999995</v>
      </c>
      <c r="N34" s="28">
        <f t="shared" si="0"/>
        <v>43.9</v>
      </c>
      <c r="O34" s="28">
        <f t="shared" si="0"/>
        <v>0</v>
      </c>
      <c r="P34" s="28">
        <f t="shared" si="0"/>
        <v>0.4</v>
      </c>
      <c r="Q34" s="28">
        <f t="shared" si="0"/>
        <v>9.07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61.61</v>
      </c>
      <c r="C35" s="29">
        <f t="shared" si="1"/>
        <v>36.840000000000003</v>
      </c>
      <c r="D35" s="29">
        <f t="shared" si="1"/>
        <v>66.33</v>
      </c>
      <c r="E35" s="29">
        <f t="shared" si="1"/>
        <v>7.68</v>
      </c>
      <c r="F35" s="29">
        <f t="shared" si="1"/>
        <v>183.43</v>
      </c>
      <c r="G35" s="29">
        <f t="shared" si="1"/>
        <v>250.24</v>
      </c>
      <c r="H35" s="29">
        <f t="shared" si="1"/>
        <v>14.15</v>
      </c>
      <c r="I35" s="29">
        <f t="shared" si="1"/>
        <v>2.42</v>
      </c>
      <c r="J35" s="29">
        <f t="shared" si="1"/>
        <v>1.36</v>
      </c>
      <c r="K35" s="29">
        <f t="shared" si="1"/>
        <v>357.78</v>
      </c>
      <c r="L35" s="29">
        <f t="shared" si="1"/>
        <v>30.39</v>
      </c>
      <c r="M35" s="29">
        <f t="shared" si="1"/>
        <v>98.37</v>
      </c>
      <c r="N35" s="29">
        <f t="shared" si="1"/>
        <v>819.6</v>
      </c>
      <c r="O35" s="29">
        <f t="shared" si="1"/>
        <v>0.2</v>
      </c>
      <c r="P35" s="29">
        <f t="shared" si="1"/>
        <v>2.42</v>
      </c>
      <c r="Q35" s="29">
        <f t="shared" si="1"/>
        <v>9.36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21.171666666666663</v>
      </c>
      <c r="C36" s="28">
        <f t="shared" si="2"/>
        <v>20.15666666666667</v>
      </c>
      <c r="D36" s="28">
        <f t="shared" si="2"/>
        <v>26.819166666666661</v>
      </c>
      <c r="E36" s="28">
        <f t="shared" si="2"/>
        <v>5.4537499999999994</v>
      </c>
      <c r="F36" s="28">
        <f t="shared" si="2"/>
        <v>20.037083333333335</v>
      </c>
      <c r="G36" s="28">
        <f t="shared" si="2"/>
        <v>71.336666666666659</v>
      </c>
      <c r="H36" s="28">
        <f t="shared" si="2"/>
        <v>8.1716666666666669</v>
      </c>
      <c r="I36" s="28">
        <f t="shared" si="2"/>
        <v>2.0137500000000004</v>
      </c>
      <c r="J36" s="28">
        <f t="shared" si="2"/>
        <v>0.43874999999999997</v>
      </c>
      <c r="K36" s="28">
        <f t="shared" si="2"/>
        <v>302.71749999999992</v>
      </c>
      <c r="L36" s="28">
        <f t="shared" si="2"/>
        <v>26.470416666666662</v>
      </c>
      <c r="M36" s="28">
        <f t="shared" si="2"/>
        <v>93.211666666666687</v>
      </c>
      <c r="N36" s="28">
        <f t="shared" si="2"/>
        <v>220.86249999999998</v>
      </c>
      <c r="O36" s="28">
        <f t="shared" si="2"/>
        <v>8.3333333333333332E-3</v>
      </c>
      <c r="P36" s="28">
        <f t="shared" si="2"/>
        <v>0.87708333333333333</v>
      </c>
      <c r="Q36" s="28">
        <f t="shared" si="2"/>
        <v>9.2249999999999996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13.580464443190222</v>
      </c>
      <c r="C37" s="28">
        <f t="shared" ref="C37:Q37" si="3">STDEV(C9:C32)</f>
        <v>9.3059979100281982</v>
      </c>
      <c r="D37" s="28">
        <f t="shared" si="3"/>
        <v>13.761276456424579</v>
      </c>
      <c r="E37" s="28">
        <f t="shared" si="3"/>
        <v>1.1838948708468149</v>
      </c>
      <c r="F37" s="28">
        <f t="shared" si="3"/>
        <v>36.369438852249786</v>
      </c>
      <c r="G37" s="28">
        <f t="shared" si="3"/>
        <v>68.561168669118814</v>
      </c>
      <c r="H37" s="28">
        <f t="shared" si="3"/>
        <v>2.2367283302154539</v>
      </c>
      <c r="I37" s="28">
        <f t="shared" si="3"/>
        <v>0.31412836617341905</v>
      </c>
      <c r="J37" s="28">
        <f t="shared" si="3"/>
        <v>0.3286244387429676</v>
      </c>
      <c r="K37" s="28">
        <f t="shared" si="3"/>
        <v>75.371870098690991</v>
      </c>
      <c r="L37" s="28">
        <f t="shared" si="3"/>
        <v>2.9240048164575896</v>
      </c>
      <c r="M37" s="28">
        <f t="shared" si="3"/>
        <v>6.8045922260131686</v>
      </c>
      <c r="N37" s="28">
        <f t="shared" si="3"/>
        <v>264.22061567939778</v>
      </c>
      <c r="O37" s="28">
        <f t="shared" si="3"/>
        <v>4.0824829046386311E-2</v>
      </c>
      <c r="P37" s="28">
        <f t="shared" si="3"/>
        <v>0.50515154133204887</v>
      </c>
      <c r="Q37" s="28">
        <f t="shared" si="3"/>
        <v>0.10151033359262947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14" sqref="G14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09/10/2025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252</v>
      </c>
      <c r="B9" s="54">
        <v>14.6</v>
      </c>
      <c r="C9" s="54">
        <v>10.54</v>
      </c>
      <c r="D9" s="54">
        <v>16.37</v>
      </c>
      <c r="E9" s="54">
        <v>4.43</v>
      </c>
      <c r="F9" s="54">
        <v>4.7699999999999996</v>
      </c>
      <c r="G9" s="54">
        <v>22.75</v>
      </c>
      <c r="H9" s="54">
        <v>6.64</v>
      </c>
      <c r="I9" s="54">
        <v>2.2000000000000002</v>
      </c>
      <c r="J9" s="54">
        <v>0.08</v>
      </c>
      <c r="K9" s="54">
        <v>306.12</v>
      </c>
      <c r="L9" s="54">
        <v>23.51</v>
      </c>
      <c r="M9" s="54">
        <v>98.01</v>
      </c>
      <c r="N9" s="54">
        <v>43.9</v>
      </c>
      <c r="O9" s="54">
        <v>0</v>
      </c>
      <c r="P9" s="54">
        <v>0.52</v>
      </c>
      <c r="Q9" s="54">
        <v>9.2899999999999991</v>
      </c>
      <c r="R9" s="43"/>
      <c r="S9" s="43"/>
      <c r="T9" s="43"/>
      <c r="U9" s="43"/>
    </row>
    <row r="10" spans="1:21" s="11" customFormat="1" x14ac:dyDescent="0.25">
      <c r="A10" s="53" t="s">
        <v>253</v>
      </c>
      <c r="B10" s="54">
        <v>11.3</v>
      </c>
      <c r="C10" s="54">
        <v>9.11</v>
      </c>
      <c r="D10" s="54">
        <v>13.64</v>
      </c>
      <c r="E10" s="54">
        <v>4.34</v>
      </c>
      <c r="F10" s="54">
        <v>3.71</v>
      </c>
      <c r="G10" s="54">
        <v>24.27</v>
      </c>
      <c r="H10" s="54">
        <v>5.86</v>
      </c>
      <c r="I10" s="54">
        <v>2.08</v>
      </c>
      <c r="J10" s="54">
        <v>0.26</v>
      </c>
      <c r="K10" s="54">
        <v>329.94</v>
      </c>
      <c r="L10" s="54">
        <v>23.35</v>
      </c>
      <c r="M10" s="54">
        <v>98.02</v>
      </c>
      <c r="N10" s="54">
        <v>43.8</v>
      </c>
      <c r="O10" s="54">
        <v>0</v>
      </c>
      <c r="P10" s="54">
        <v>0.43</v>
      </c>
      <c r="Q10" s="54">
        <v>9.2799999999999994</v>
      </c>
      <c r="R10" s="43"/>
      <c r="S10" s="43"/>
      <c r="T10" s="43"/>
      <c r="U10" s="43"/>
    </row>
    <row r="11" spans="1:21" s="11" customFormat="1" x14ac:dyDescent="0.25">
      <c r="A11" s="53" t="s">
        <v>254</v>
      </c>
      <c r="B11" s="54">
        <v>11.24</v>
      </c>
      <c r="C11" s="54">
        <v>8.27</v>
      </c>
      <c r="D11" s="54">
        <v>12.93</v>
      </c>
      <c r="E11" s="54">
        <v>4.46</v>
      </c>
      <c r="F11" s="54">
        <v>3.3</v>
      </c>
      <c r="G11" s="54">
        <v>12.37</v>
      </c>
      <c r="H11" s="54">
        <v>5.34</v>
      </c>
      <c r="I11" s="54">
        <v>2.02</v>
      </c>
      <c r="J11" s="54">
        <v>0.25</v>
      </c>
      <c r="K11" s="54">
        <v>322.05</v>
      </c>
      <c r="L11" s="54">
        <v>23.04</v>
      </c>
      <c r="M11" s="54">
        <v>98</v>
      </c>
      <c r="N11" s="54">
        <v>44.1</v>
      </c>
      <c r="O11" s="54">
        <v>0</v>
      </c>
      <c r="P11" s="54">
        <v>0.41</v>
      </c>
      <c r="Q11" s="54">
        <v>9.26</v>
      </c>
      <c r="R11" s="43"/>
      <c r="S11" s="43"/>
      <c r="T11" s="43"/>
      <c r="U11" s="43"/>
    </row>
    <row r="12" spans="1:21" s="11" customFormat="1" x14ac:dyDescent="0.25">
      <c r="A12" s="53" t="s">
        <v>255</v>
      </c>
      <c r="B12" s="54">
        <v>15.62</v>
      </c>
      <c r="C12" s="54">
        <v>7.81</v>
      </c>
      <c r="D12" s="54">
        <v>16.440000000000001</v>
      </c>
      <c r="E12" s="54">
        <v>4.3099999999999996</v>
      </c>
      <c r="F12" s="54">
        <v>3.36</v>
      </c>
      <c r="G12" s="54">
        <v>11.75</v>
      </c>
      <c r="H12" s="54">
        <v>9.49</v>
      </c>
      <c r="I12" s="54">
        <v>1.92</v>
      </c>
      <c r="J12" s="54">
        <v>0.54</v>
      </c>
      <c r="K12" s="54">
        <v>343.6</v>
      </c>
      <c r="L12" s="54">
        <v>22.91</v>
      </c>
      <c r="M12" s="54">
        <v>98.03</v>
      </c>
      <c r="N12" s="54">
        <v>44</v>
      </c>
      <c r="O12" s="54">
        <v>0</v>
      </c>
      <c r="P12" s="54">
        <v>0.48</v>
      </c>
      <c r="Q12" s="54">
        <v>9.2200000000000006</v>
      </c>
      <c r="R12" s="43"/>
      <c r="S12" s="43"/>
      <c r="T12" s="43"/>
      <c r="U12" s="43"/>
    </row>
    <row r="13" spans="1:21" s="11" customFormat="1" x14ac:dyDescent="0.25">
      <c r="A13" s="53" t="s">
        <v>256</v>
      </c>
      <c r="B13" s="54">
        <v>14.83</v>
      </c>
      <c r="C13" s="54">
        <v>7.96</v>
      </c>
      <c r="D13" s="54">
        <v>15.09</v>
      </c>
      <c r="E13" s="54">
        <v>4.12</v>
      </c>
      <c r="F13" s="54">
        <v>4.22</v>
      </c>
      <c r="G13" s="54">
        <v>23.02</v>
      </c>
      <c r="H13" s="54">
        <v>8.65</v>
      </c>
      <c r="I13" s="54">
        <v>1.8</v>
      </c>
      <c r="J13" s="54">
        <v>0.59</v>
      </c>
      <c r="K13" s="54">
        <v>342.34</v>
      </c>
      <c r="L13" s="54">
        <v>22.8</v>
      </c>
      <c r="M13" s="54">
        <v>98.06</v>
      </c>
      <c r="N13" s="54">
        <v>43.9</v>
      </c>
      <c r="O13" s="54">
        <v>0</v>
      </c>
      <c r="P13" s="54">
        <v>0.43</v>
      </c>
      <c r="Q13" s="54">
        <v>9.19</v>
      </c>
      <c r="R13" s="43"/>
      <c r="S13" s="43"/>
      <c r="T13" s="43"/>
      <c r="U13" s="43"/>
    </row>
    <row r="14" spans="1:21" s="11" customFormat="1" x14ac:dyDescent="0.25">
      <c r="A14" s="53" t="s">
        <v>257</v>
      </c>
      <c r="B14" s="54">
        <v>18.309999999999999</v>
      </c>
      <c r="C14" s="54">
        <v>9.9600000000000009</v>
      </c>
      <c r="D14" s="54">
        <v>18.66</v>
      </c>
      <c r="E14" s="54">
        <v>4.47</v>
      </c>
      <c r="F14" s="54">
        <v>3.74</v>
      </c>
      <c r="G14" s="54">
        <v>23.45</v>
      </c>
      <c r="H14" s="54">
        <v>7.87</v>
      </c>
      <c r="I14" s="54">
        <v>1.72</v>
      </c>
      <c r="J14" s="54">
        <v>0.76</v>
      </c>
      <c r="K14" s="54">
        <v>337.46</v>
      </c>
      <c r="L14" s="54">
        <v>22.77</v>
      </c>
      <c r="M14" s="54">
        <v>98.03</v>
      </c>
      <c r="N14" s="54">
        <v>47.8</v>
      </c>
      <c r="O14" s="54">
        <v>0</v>
      </c>
      <c r="P14" s="54">
        <v>0.56999999999999995</v>
      </c>
      <c r="Q14" s="54">
        <v>9.25</v>
      </c>
      <c r="R14" s="43"/>
      <c r="S14" s="43"/>
      <c r="T14" s="43"/>
      <c r="U14" s="43"/>
    </row>
    <row r="15" spans="1:21" s="11" customFormat="1" x14ac:dyDescent="0.25">
      <c r="A15" s="53" t="s">
        <v>258</v>
      </c>
      <c r="B15" s="54">
        <v>19.97</v>
      </c>
      <c r="C15" s="54">
        <v>9.85</v>
      </c>
      <c r="D15" s="54">
        <v>20.29</v>
      </c>
      <c r="E15" s="54">
        <v>4.7300000000000004</v>
      </c>
      <c r="F15" s="54">
        <v>3.45</v>
      </c>
      <c r="G15" s="54">
        <v>32.159999999999997</v>
      </c>
      <c r="H15" s="54">
        <v>6.66</v>
      </c>
      <c r="I15" s="54">
        <v>1.77</v>
      </c>
      <c r="J15" s="54">
        <v>1</v>
      </c>
      <c r="K15" s="54">
        <v>338.28</v>
      </c>
      <c r="L15" s="54">
        <v>24.66</v>
      </c>
      <c r="M15" s="54">
        <v>98.04</v>
      </c>
      <c r="N15" s="54">
        <v>153.9</v>
      </c>
      <c r="O15" s="54">
        <v>0</v>
      </c>
      <c r="P15" s="54">
        <v>0.63</v>
      </c>
      <c r="Q15" s="54">
        <v>9.2799999999999994</v>
      </c>
      <c r="R15" s="43"/>
      <c r="S15" s="43"/>
      <c r="T15" s="43"/>
      <c r="U15" s="43"/>
    </row>
    <row r="16" spans="1:21" s="11" customFormat="1" x14ac:dyDescent="0.25">
      <c r="A16" s="53" t="s">
        <v>259</v>
      </c>
      <c r="B16" s="54">
        <v>27.18</v>
      </c>
      <c r="C16" s="54">
        <v>12.18</v>
      </c>
      <c r="D16" s="54">
        <v>28.13</v>
      </c>
      <c r="E16" s="54">
        <v>5.28</v>
      </c>
      <c r="F16" s="54">
        <v>4.3600000000000003</v>
      </c>
      <c r="G16" s="54">
        <v>37.42</v>
      </c>
      <c r="H16" s="54">
        <v>8.58</v>
      </c>
      <c r="I16" s="54">
        <v>1.82</v>
      </c>
      <c r="J16" s="54">
        <v>1.01</v>
      </c>
      <c r="K16" s="54">
        <v>341.57</v>
      </c>
      <c r="L16" s="54">
        <v>29.66</v>
      </c>
      <c r="M16" s="54">
        <v>97.83</v>
      </c>
      <c r="N16" s="54">
        <v>342.8</v>
      </c>
      <c r="O16" s="54">
        <v>0</v>
      </c>
      <c r="P16" s="54">
        <v>0.8</v>
      </c>
      <c r="Q16" s="54">
        <v>9.3000000000000007</v>
      </c>
      <c r="R16" s="43"/>
      <c r="S16" s="43"/>
      <c r="T16" s="43"/>
      <c r="U16" s="43"/>
    </row>
    <row r="17" spans="1:21" s="11" customFormat="1" x14ac:dyDescent="0.25">
      <c r="A17" s="53" t="s">
        <v>260</v>
      </c>
      <c r="B17" s="54">
        <v>26.36</v>
      </c>
      <c r="C17" s="54">
        <v>14.88</v>
      </c>
      <c r="D17" s="54">
        <v>28.85</v>
      </c>
      <c r="E17" s="54">
        <v>6.42</v>
      </c>
      <c r="F17" s="54">
        <v>6.11</v>
      </c>
      <c r="G17" s="54">
        <v>49.73</v>
      </c>
      <c r="H17" s="54">
        <v>9.58</v>
      </c>
      <c r="I17" s="54">
        <v>1.96</v>
      </c>
      <c r="J17" s="54">
        <v>1.44</v>
      </c>
      <c r="K17" s="54">
        <v>340.45</v>
      </c>
      <c r="L17" s="54">
        <v>32.32</v>
      </c>
      <c r="M17" s="54">
        <v>79.63</v>
      </c>
      <c r="N17" s="54">
        <v>549.9</v>
      </c>
      <c r="O17" s="54">
        <v>0</v>
      </c>
      <c r="P17" s="54">
        <v>0.79</v>
      </c>
      <c r="Q17" s="54">
        <v>9.3699999999999992</v>
      </c>
      <c r="R17" s="43"/>
      <c r="S17" s="43"/>
      <c r="T17" s="43"/>
      <c r="U17" s="43"/>
    </row>
    <row r="18" spans="1:21" s="11" customFormat="1" x14ac:dyDescent="0.25">
      <c r="A18" s="53" t="s">
        <v>261</v>
      </c>
      <c r="B18" s="54">
        <v>26.6</v>
      </c>
      <c r="C18" s="54">
        <v>18</v>
      </c>
      <c r="D18" s="54">
        <v>30.05</v>
      </c>
      <c r="E18" s="54">
        <v>7.05</v>
      </c>
      <c r="F18" s="54">
        <v>8.4</v>
      </c>
      <c r="G18" s="54">
        <v>52.74</v>
      </c>
      <c r="H18" s="54">
        <v>8.65</v>
      </c>
      <c r="I18" s="54">
        <v>2.0699999999999998</v>
      </c>
      <c r="J18" s="54">
        <v>0.78</v>
      </c>
      <c r="K18" s="54">
        <v>337.38</v>
      </c>
      <c r="L18" s="54">
        <v>33.119999999999997</v>
      </c>
      <c r="M18" s="54">
        <v>76.94</v>
      </c>
      <c r="N18" s="54">
        <v>637.5</v>
      </c>
      <c r="O18" s="54">
        <v>0</v>
      </c>
      <c r="P18" s="54">
        <v>1</v>
      </c>
      <c r="Q18" s="54">
        <v>9.42</v>
      </c>
      <c r="R18" s="43"/>
      <c r="S18" s="43"/>
      <c r="T18" s="43"/>
      <c r="U18" s="43"/>
    </row>
    <row r="19" spans="1:21" s="11" customFormat="1" x14ac:dyDescent="0.25">
      <c r="A19" s="53" t="s">
        <v>262</v>
      </c>
      <c r="B19" s="54">
        <v>24.36</v>
      </c>
      <c r="C19" s="54">
        <v>24.06</v>
      </c>
      <c r="D19" s="54">
        <v>29.32</v>
      </c>
      <c r="E19" s="54">
        <v>7.21</v>
      </c>
      <c r="F19" s="54">
        <v>10.35</v>
      </c>
      <c r="G19" s="54">
        <v>50</v>
      </c>
      <c r="H19" s="54">
        <v>7.21</v>
      </c>
      <c r="I19" s="54">
        <v>2.15</v>
      </c>
      <c r="J19" s="54">
        <v>0.81</v>
      </c>
      <c r="K19" s="54">
        <v>347.55</v>
      </c>
      <c r="L19" s="54">
        <v>31.13</v>
      </c>
      <c r="M19" s="54">
        <v>82.85</v>
      </c>
      <c r="N19" s="54">
        <v>600.5</v>
      </c>
      <c r="O19" s="54">
        <v>0</v>
      </c>
      <c r="P19" s="54">
        <v>0.82</v>
      </c>
      <c r="Q19" s="54">
        <v>9.4499999999999993</v>
      </c>
      <c r="R19" s="43"/>
      <c r="S19" s="43"/>
      <c r="T19" s="43"/>
      <c r="U19" s="43"/>
    </row>
    <row r="20" spans="1:21" s="11" customFormat="1" x14ac:dyDescent="0.25">
      <c r="A20" s="53" t="s">
        <v>263</v>
      </c>
      <c r="B20" s="54">
        <v>17.23</v>
      </c>
      <c r="C20" s="54">
        <v>18.5</v>
      </c>
      <c r="D20" s="54">
        <v>23.49</v>
      </c>
      <c r="E20" s="54">
        <v>6.86</v>
      </c>
      <c r="F20" s="54">
        <v>16.71</v>
      </c>
      <c r="G20" s="54">
        <v>43.12</v>
      </c>
      <c r="H20" s="54">
        <v>8.94</v>
      </c>
      <c r="I20" s="54">
        <v>2.16</v>
      </c>
      <c r="J20" s="54">
        <v>0.45</v>
      </c>
      <c r="K20" s="54">
        <v>137.61000000000001</v>
      </c>
      <c r="L20" s="54">
        <v>29.52</v>
      </c>
      <c r="M20" s="54">
        <v>87.98</v>
      </c>
      <c r="N20" s="54">
        <v>424.6</v>
      </c>
      <c r="O20" s="54">
        <v>0</v>
      </c>
      <c r="P20" s="54">
        <v>0.68</v>
      </c>
      <c r="Q20" s="54">
        <v>9.44</v>
      </c>
      <c r="R20" s="43"/>
      <c r="S20" s="43"/>
      <c r="T20" s="43"/>
      <c r="U20" s="43"/>
    </row>
    <row r="21" spans="1:21" s="11" customFormat="1" x14ac:dyDescent="0.25">
      <c r="A21" s="53" t="s">
        <v>264</v>
      </c>
      <c r="B21" s="54">
        <v>18.260000000000002</v>
      </c>
      <c r="C21" s="54">
        <v>31.41</v>
      </c>
      <c r="D21" s="54">
        <v>30.87</v>
      </c>
      <c r="E21" s="54">
        <v>6.67</v>
      </c>
      <c r="F21" s="54">
        <v>11.91</v>
      </c>
      <c r="G21" s="54">
        <v>41.15</v>
      </c>
      <c r="H21" s="54">
        <v>9.51</v>
      </c>
      <c r="I21" s="54">
        <v>2.08</v>
      </c>
      <c r="J21" s="54">
        <v>1.27</v>
      </c>
      <c r="K21" s="54">
        <v>340.91</v>
      </c>
      <c r="L21" s="54">
        <v>30.49</v>
      </c>
      <c r="M21" s="54">
        <v>97.96</v>
      </c>
      <c r="N21" s="54">
        <v>352.9</v>
      </c>
      <c r="O21" s="54">
        <v>0.2</v>
      </c>
      <c r="P21" s="54">
        <v>0.91</v>
      </c>
      <c r="Q21" s="54">
        <v>9.34</v>
      </c>
      <c r="R21" s="43"/>
      <c r="S21" s="43"/>
      <c r="T21" s="43"/>
      <c r="U21" s="43"/>
    </row>
    <row r="22" spans="1:21" s="11" customFormat="1" x14ac:dyDescent="0.25">
      <c r="A22" s="53" t="s">
        <v>265</v>
      </c>
      <c r="B22" s="54">
        <v>27.06</v>
      </c>
      <c r="C22" s="54">
        <v>30.63</v>
      </c>
      <c r="D22" s="54">
        <v>37.700000000000003</v>
      </c>
      <c r="E22" s="54">
        <v>5.24</v>
      </c>
      <c r="F22" s="54">
        <v>8.16</v>
      </c>
      <c r="G22" s="54">
        <v>35.81</v>
      </c>
      <c r="H22" s="54">
        <v>9.8800000000000008</v>
      </c>
      <c r="I22" s="54">
        <v>2.0499999999999998</v>
      </c>
      <c r="J22" s="54">
        <v>0.44</v>
      </c>
      <c r="K22" s="54">
        <v>334.47</v>
      </c>
      <c r="L22" s="54">
        <v>29.42</v>
      </c>
      <c r="M22" s="54">
        <v>97.87</v>
      </c>
      <c r="N22" s="54">
        <v>325.7</v>
      </c>
      <c r="O22" s="54">
        <v>0</v>
      </c>
      <c r="P22" s="54">
        <v>0.98</v>
      </c>
      <c r="Q22" s="54">
        <v>9.3000000000000007</v>
      </c>
      <c r="R22" s="43"/>
      <c r="S22" s="43"/>
      <c r="T22" s="43"/>
      <c r="U22" s="43"/>
    </row>
    <row r="23" spans="1:21" s="11" customFormat="1" x14ac:dyDescent="0.25">
      <c r="A23" s="53" t="s">
        <v>266</v>
      </c>
      <c r="B23" s="54">
        <v>18.36</v>
      </c>
      <c r="C23" s="54">
        <v>25.88</v>
      </c>
      <c r="D23" s="54">
        <v>27.72</v>
      </c>
      <c r="E23" s="54">
        <v>6.72</v>
      </c>
      <c r="F23" s="54">
        <v>13.13</v>
      </c>
      <c r="G23" s="54">
        <v>34.869999999999997</v>
      </c>
      <c r="H23" s="54">
        <v>8.09</v>
      </c>
      <c r="I23" s="54">
        <v>2.09</v>
      </c>
      <c r="J23" s="54">
        <v>1.1499999999999999</v>
      </c>
      <c r="K23" s="54">
        <v>343.99</v>
      </c>
      <c r="L23" s="54">
        <v>29.25</v>
      </c>
      <c r="M23" s="54">
        <v>91.63</v>
      </c>
      <c r="N23" s="54">
        <v>220.6</v>
      </c>
      <c r="O23" s="54">
        <v>0</v>
      </c>
      <c r="P23" s="54">
        <v>0.83</v>
      </c>
      <c r="Q23" s="54">
        <v>9.2899999999999991</v>
      </c>
      <c r="R23" s="43"/>
      <c r="S23" s="43"/>
      <c r="T23" s="43"/>
      <c r="U23" s="43"/>
    </row>
    <row r="24" spans="1:21" s="11" customFormat="1" x14ac:dyDescent="0.25">
      <c r="A24" s="53" t="s">
        <v>267</v>
      </c>
      <c r="B24" s="54">
        <v>25.15</v>
      </c>
      <c r="C24" s="54">
        <v>21.8</v>
      </c>
      <c r="D24" s="54">
        <v>31.28</v>
      </c>
      <c r="E24" s="54">
        <v>7.9</v>
      </c>
      <c r="F24" s="54">
        <v>14.84</v>
      </c>
      <c r="G24" s="54">
        <v>37.9</v>
      </c>
      <c r="H24" s="54">
        <v>10.49</v>
      </c>
      <c r="I24" s="54">
        <v>2.08</v>
      </c>
      <c r="J24" s="54">
        <v>1.1100000000000001</v>
      </c>
      <c r="K24" s="54">
        <v>344.85</v>
      </c>
      <c r="L24" s="54">
        <v>29.23</v>
      </c>
      <c r="M24" s="54">
        <v>85.02</v>
      </c>
      <c r="N24" s="54">
        <v>174.1</v>
      </c>
      <c r="O24" s="54">
        <v>0</v>
      </c>
      <c r="P24" s="54">
        <v>0.87</v>
      </c>
      <c r="Q24" s="54">
        <v>9.32</v>
      </c>
      <c r="R24" s="43"/>
      <c r="S24" s="43"/>
      <c r="T24" s="43"/>
      <c r="U24" s="43"/>
    </row>
    <row r="25" spans="1:21" s="11" customFormat="1" x14ac:dyDescent="0.25">
      <c r="A25" s="53" t="s">
        <v>268</v>
      </c>
      <c r="B25" s="54">
        <v>10.28</v>
      </c>
      <c r="C25" s="54">
        <v>19.95</v>
      </c>
      <c r="D25" s="54">
        <v>18.66</v>
      </c>
      <c r="E25" s="54">
        <v>6.96</v>
      </c>
      <c r="F25" s="54">
        <v>16.39</v>
      </c>
      <c r="G25" s="54">
        <v>38.76</v>
      </c>
      <c r="H25" s="54">
        <v>8.5</v>
      </c>
      <c r="I25" s="54">
        <v>2.0499999999999998</v>
      </c>
      <c r="J25" s="54">
        <v>0.4</v>
      </c>
      <c r="K25" s="54">
        <v>140.46</v>
      </c>
      <c r="L25" s="54">
        <v>28.49</v>
      </c>
      <c r="M25" s="54">
        <v>93.28</v>
      </c>
      <c r="N25" s="54">
        <v>125.1</v>
      </c>
      <c r="O25" s="54">
        <v>0</v>
      </c>
      <c r="P25" s="54">
        <v>0.6</v>
      </c>
      <c r="Q25" s="54">
        <v>9.31</v>
      </c>
      <c r="R25" s="43"/>
      <c r="S25" s="43"/>
      <c r="T25" s="43"/>
      <c r="U25" s="43"/>
    </row>
    <row r="26" spans="1:21" s="11" customFormat="1" x14ac:dyDescent="0.25">
      <c r="A26" s="53" t="s">
        <v>269</v>
      </c>
      <c r="B26" s="54">
        <v>9.74</v>
      </c>
      <c r="C26" s="54">
        <v>18.309999999999999</v>
      </c>
      <c r="D26" s="54">
        <v>16.25</v>
      </c>
      <c r="E26" s="54">
        <v>6.36</v>
      </c>
      <c r="F26" s="54">
        <v>11.17</v>
      </c>
      <c r="G26" s="54">
        <v>34.130000000000003</v>
      </c>
      <c r="H26" s="54">
        <v>7.1</v>
      </c>
      <c r="I26" s="54">
        <v>1.96</v>
      </c>
      <c r="J26" s="54">
        <v>0.43</v>
      </c>
      <c r="K26" s="54">
        <v>176.37</v>
      </c>
      <c r="L26" s="54">
        <v>26.76</v>
      </c>
      <c r="M26" s="54">
        <v>97.82</v>
      </c>
      <c r="N26" s="54">
        <v>77.3</v>
      </c>
      <c r="O26" s="54">
        <v>0</v>
      </c>
      <c r="P26" s="54">
        <v>0.56000000000000005</v>
      </c>
      <c r="Q26" s="54">
        <v>9.2200000000000006</v>
      </c>
      <c r="R26" s="43"/>
      <c r="S26" s="43"/>
      <c r="T26" s="43"/>
      <c r="U26" s="43"/>
    </row>
    <row r="27" spans="1:21" s="11" customFormat="1" x14ac:dyDescent="0.25">
      <c r="A27" s="53" t="s">
        <v>270</v>
      </c>
      <c r="B27" s="54">
        <v>11.71</v>
      </c>
      <c r="C27" s="54">
        <v>25.04</v>
      </c>
      <c r="D27" s="54">
        <v>20.61</v>
      </c>
      <c r="E27" s="54">
        <v>6.21</v>
      </c>
      <c r="F27" s="54">
        <v>6.69</v>
      </c>
      <c r="G27" s="54">
        <v>30.02</v>
      </c>
      <c r="H27" s="54">
        <v>6.24</v>
      </c>
      <c r="I27" s="54">
        <v>1.87</v>
      </c>
      <c r="J27" s="54">
        <v>0.44</v>
      </c>
      <c r="K27" s="54">
        <v>318.76</v>
      </c>
      <c r="L27" s="54">
        <v>25.7</v>
      </c>
      <c r="M27" s="54">
        <v>97.85</v>
      </c>
      <c r="N27" s="54">
        <v>42.1</v>
      </c>
      <c r="O27" s="54">
        <v>0</v>
      </c>
      <c r="P27" s="54">
        <v>0.67</v>
      </c>
      <c r="Q27" s="54">
        <v>9.16</v>
      </c>
      <c r="R27" s="43"/>
      <c r="S27" s="43"/>
      <c r="T27" s="43"/>
      <c r="U27" s="43"/>
    </row>
    <row r="28" spans="1:21" s="11" customFormat="1" x14ac:dyDescent="0.25">
      <c r="A28" s="53" t="s">
        <v>271</v>
      </c>
      <c r="B28" s="54">
        <v>11.1</v>
      </c>
      <c r="C28" s="54">
        <v>18.72</v>
      </c>
      <c r="D28" s="54">
        <v>17.13</v>
      </c>
      <c r="E28" s="54">
        <v>6.23</v>
      </c>
      <c r="F28" s="54">
        <v>9</v>
      </c>
      <c r="G28" s="54">
        <v>26.44</v>
      </c>
      <c r="H28" s="54">
        <v>7.32</v>
      </c>
      <c r="I28" s="54">
        <v>1.83</v>
      </c>
      <c r="J28" s="54">
        <v>0.26</v>
      </c>
      <c r="K28" s="54">
        <v>316.3</v>
      </c>
      <c r="L28" s="54">
        <v>24.77</v>
      </c>
      <c r="M28" s="54">
        <v>97.95</v>
      </c>
      <c r="N28" s="54">
        <v>41.8</v>
      </c>
      <c r="O28" s="54">
        <v>0</v>
      </c>
      <c r="P28" s="54">
        <v>0.64</v>
      </c>
      <c r="Q28" s="54">
        <v>9.17</v>
      </c>
      <c r="R28" s="43"/>
      <c r="S28" s="43"/>
      <c r="T28" s="43"/>
      <c r="U28" s="43"/>
    </row>
    <row r="29" spans="1:21" s="11" customFormat="1" x14ac:dyDescent="0.25">
      <c r="A29" s="53" t="s">
        <v>272</v>
      </c>
      <c r="B29" s="54">
        <v>28.76</v>
      </c>
      <c r="C29" s="54">
        <v>25.13</v>
      </c>
      <c r="D29" s="54">
        <v>36.200000000000003</v>
      </c>
      <c r="E29" s="54">
        <v>5.87</v>
      </c>
      <c r="F29" s="54">
        <v>6.94</v>
      </c>
      <c r="G29" s="54">
        <v>24</v>
      </c>
      <c r="H29" s="54">
        <v>6.35</v>
      </c>
      <c r="I29" s="54">
        <v>1.83</v>
      </c>
      <c r="J29" s="54">
        <v>0.17</v>
      </c>
      <c r="K29" s="54">
        <v>312.19</v>
      </c>
      <c r="L29" s="54">
        <v>24.36</v>
      </c>
      <c r="M29" s="54">
        <v>98.02</v>
      </c>
      <c r="N29" s="54">
        <v>41.5</v>
      </c>
      <c r="O29" s="54">
        <v>0</v>
      </c>
      <c r="P29" s="54">
        <v>0.93</v>
      </c>
      <c r="Q29" s="54">
        <v>9.16</v>
      </c>
      <c r="R29" s="43"/>
      <c r="S29" s="43"/>
      <c r="T29" s="43"/>
      <c r="U29" s="43"/>
    </row>
    <row r="30" spans="1:21" s="11" customFormat="1" x14ac:dyDescent="0.25">
      <c r="A30" s="53" t="s">
        <v>273</v>
      </c>
      <c r="B30" s="54">
        <v>17.22</v>
      </c>
      <c r="C30" s="54">
        <v>12.61</v>
      </c>
      <c r="D30" s="54">
        <v>19.88</v>
      </c>
      <c r="E30" s="54">
        <v>5.95</v>
      </c>
      <c r="F30" s="54">
        <v>4.7</v>
      </c>
      <c r="G30" s="54">
        <v>26.81</v>
      </c>
      <c r="H30" s="54">
        <v>5.7</v>
      </c>
      <c r="I30" s="54">
        <v>1.84</v>
      </c>
      <c r="J30" s="54">
        <v>1.23</v>
      </c>
      <c r="K30" s="54">
        <v>334.28</v>
      </c>
      <c r="L30" s="54">
        <v>23.97</v>
      </c>
      <c r="M30" s="54">
        <v>97.9</v>
      </c>
      <c r="N30" s="54">
        <v>42.4</v>
      </c>
      <c r="O30" s="54">
        <v>0</v>
      </c>
      <c r="P30" s="54">
        <v>0.74</v>
      </c>
      <c r="Q30" s="54">
        <v>9.16</v>
      </c>
      <c r="R30" s="43"/>
      <c r="S30" s="43"/>
      <c r="T30" s="43"/>
      <c r="U30" s="43"/>
    </row>
    <row r="31" spans="1:21" s="11" customFormat="1" x14ac:dyDescent="0.25">
      <c r="A31" s="53" t="s">
        <v>274</v>
      </c>
      <c r="B31" s="54">
        <v>15.16</v>
      </c>
      <c r="C31" s="54">
        <v>15.37</v>
      </c>
      <c r="D31" s="54">
        <v>18.39</v>
      </c>
      <c r="E31" s="54">
        <v>5.71</v>
      </c>
      <c r="F31" s="54">
        <v>2.27</v>
      </c>
      <c r="G31" s="54">
        <v>25.15</v>
      </c>
      <c r="H31" s="54">
        <v>5.25</v>
      </c>
      <c r="I31" s="54">
        <v>1.82</v>
      </c>
      <c r="J31" s="54">
        <v>0.33</v>
      </c>
      <c r="K31" s="54">
        <v>336.79</v>
      </c>
      <c r="L31" s="54">
        <v>22.97</v>
      </c>
      <c r="M31" s="54">
        <v>97.95</v>
      </c>
      <c r="N31" s="54">
        <v>41.5</v>
      </c>
      <c r="O31" s="54">
        <v>0</v>
      </c>
      <c r="P31" s="54">
        <v>0.68</v>
      </c>
      <c r="Q31" s="54">
        <v>9.18</v>
      </c>
      <c r="R31" s="43"/>
      <c r="S31" s="43"/>
      <c r="T31" s="43"/>
      <c r="U31" s="43"/>
    </row>
    <row r="32" spans="1:21" s="11" customFormat="1" x14ac:dyDescent="0.25">
      <c r="A32" s="53" t="s">
        <v>275</v>
      </c>
      <c r="B32" s="54">
        <v>12.45</v>
      </c>
      <c r="C32" s="54">
        <v>15.72</v>
      </c>
      <c r="D32" s="54">
        <v>15.23</v>
      </c>
      <c r="E32" s="54">
        <v>5.63</v>
      </c>
      <c r="F32" s="54">
        <v>3.01</v>
      </c>
      <c r="G32" s="54">
        <v>20.5</v>
      </c>
      <c r="H32" s="54">
        <v>8.3699999999999992</v>
      </c>
      <c r="I32" s="54">
        <v>1.83</v>
      </c>
      <c r="J32" s="54">
        <v>0.14000000000000001</v>
      </c>
      <c r="K32" s="54">
        <v>253.14</v>
      </c>
      <c r="L32" s="54">
        <v>22.69</v>
      </c>
      <c r="M32" s="54">
        <v>98.04</v>
      </c>
      <c r="N32" s="54">
        <v>41.1</v>
      </c>
      <c r="O32" s="54">
        <v>0</v>
      </c>
      <c r="P32" s="54">
        <v>0.65</v>
      </c>
      <c r="Q32" s="54">
        <v>9.1999999999999993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9.74</v>
      </c>
      <c r="C34" s="28">
        <f t="shared" si="0"/>
        <v>7.81</v>
      </c>
      <c r="D34" s="28">
        <f t="shared" si="0"/>
        <v>12.93</v>
      </c>
      <c r="E34" s="28">
        <f t="shared" si="0"/>
        <v>4.12</v>
      </c>
      <c r="F34" s="28">
        <f t="shared" si="0"/>
        <v>2.27</v>
      </c>
      <c r="G34" s="28">
        <f t="shared" si="0"/>
        <v>11.75</v>
      </c>
      <c r="H34" s="28">
        <f t="shared" si="0"/>
        <v>5.25</v>
      </c>
      <c r="I34" s="28">
        <f t="shared" si="0"/>
        <v>1.72</v>
      </c>
      <c r="J34" s="28">
        <f t="shared" si="0"/>
        <v>0.08</v>
      </c>
      <c r="K34" s="28">
        <f t="shared" si="0"/>
        <v>137.61000000000001</v>
      </c>
      <c r="L34" s="28">
        <f t="shared" si="0"/>
        <v>22.69</v>
      </c>
      <c r="M34" s="28">
        <f t="shared" si="0"/>
        <v>76.94</v>
      </c>
      <c r="N34" s="28">
        <f t="shared" si="0"/>
        <v>41.1</v>
      </c>
      <c r="O34" s="28">
        <f t="shared" si="0"/>
        <v>0</v>
      </c>
      <c r="P34" s="28">
        <f t="shared" si="0"/>
        <v>0.41</v>
      </c>
      <c r="Q34" s="28">
        <f t="shared" si="0"/>
        <v>9.16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28.76</v>
      </c>
      <c r="C35" s="29">
        <f t="shared" si="1"/>
        <v>31.41</v>
      </c>
      <c r="D35" s="29">
        <f t="shared" si="1"/>
        <v>37.700000000000003</v>
      </c>
      <c r="E35" s="29">
        <f t="shared" si="1"/>
        <v>7.9</v>
      </c>
      <c r="F35" s="29">
        <f t="shared" si="1"/>
        <v>16.71</v>
      </c>
      <c r="G35" s="29">
        <f t="shared" si="1"/>
        <v>52.74</v>
      </c>
      <c r="H35" s="29">
        <f t="shared" si="1"/>
        <v>10.49</v>
      </c>
      <c r="I35" s="29">
        <f t="shared" si="1"/>
        <v>2.2000000000000002</v>
      </c>
      <c r="J35" s="29">
        <f t="shared" si="1"/>
        <v>1.44</v>
      </c>
      <c r="K35" s="29">
        <f t="shared" si="1"/>
        <v>347.55</v>
      </c>
      <c r="L35" s="29">
        <f t="shared" si="1"/>
        <v>33.119999999999997</v>
      </c>
      <c r="M35" s="29">
        <f t="shared" si="1"/>
        <v>98.06</v>
      </c>
      <c r="N35" s="29">
        <f t="shared" si="1"/>
        <v>637.5</v>
      </c>
      <c r="O35" s="29">
        <f t="shared" si="1"/>
        <v>0.2</v>
      </c>
      <c r="P35" s="29">
        <f t="shared" si="1"/>
        <v>1</v>
      </c>
      <c r="Q35" s="29">
        <f t="shared" si="1"/>
        <v>9.4499999999999993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18.035416666666663</v>
      </c>
      <c r="C36" s="28">
        <f t="shared" si="2"/>
        <v>17.153750000000002</v>
      </c>
      <c r="D36" s="28">
        <f t="shared" si="2"/>
        <v>22.632499999999997</v>
      </c>
      <c r="E36" s="28">
        <f t="shared" si="2"/>
        <v>5.7970833333333331</v>
      </c>
      <c r="F36" s="28">
        <f t="shared" si="2"/>
        <v>7.5287499999999987</v>
      </c>
      <c r="G36" s="28">
        <f t="shared" si="2"/>
        <v>31.596666666666664</v>
      </c>
      <c r="H36" s="28">
        <f t="shared" si="2"/>
        <v>7.7612499999999995</v>
      </c>
      <c r="I36" s="28">
        <f t="shared" si="2"/>
        <v>1.958333333333333</v>
      </c>
      <c r="J36" s="28">
        <f t="shared" si="2"/>
        <v>0.63916666666666666</v>
      </c>
      <c r="K36" s="28">
        <f t="shared" si="2"/>
        <v>307.36916666666667</v>
      </c>
      <c r="L36" s="28">
        <f t="shared" si="2"/>
        <v>26.537083333333339</v>
      </c>
      <c r="M36" s="28">
        <f t="shared" si="2"/>
        <v>94.279583333333321</v>
      </c>
      <c r="N36" s="28">
        <f t="shared" si="2"/>
        <v>187.61666666666667</v>
      </c>
      <c r="O36" s="28">
        <f t="shared" si="2"/>
        <v>8.3333333333333332E-3</v>
      </c>
      <c r="P36" s="28">
        <f t="shared" si="2"/>
        <v>0.69249999999999989</v>
      </c>
      <c r="Q36" s="28">
        <f t="shared" si="2"/>
        <v>9.2733333333333317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6.2367417490968515</v>
      </c>
      <c r="C37" s="28">
        <f t="shared" ref="C37:Q37" si="3">STDEV(C9:C32)</f>
        <v>7.1939399693497927</v>
      </c>
      <c r="D37" s="28">
        <f t="shared" si="3"/>
        <v>7.3749459835899653</v>
      </c>
      <c r="E37" s="28">
        <f t="shared" si="3"/>
        <v>1.0933135878828584</v>
      </c>
      <c r="F37" s="28">
        <f t="shared" si="3"/>
        <v>4.4719097296831478</v>
      </c>
      <c r="G37" s="28">
        <f t="shared" si="3"/>
        <v>11.050423822943028</v>
      </c>
      <c r="H37" s="28">
        <f t="shared" si="3"/>
        <v>1.5281341635272536</v>
      </c>
      <c r="I37" s="28">
        <f t="shared" si="3"/>
        <v>0.14125729428389106</v>
      </c>
      <c r="J37" s="28">
        <f t="shared" si="3"/>
        <v>0.40363475382176128</v>
      </c>
      <c r="K37" s="28">
        <f t="shared" si="3"/>
        <v>63.625462357022791</v>
      </c>
      <c r="L37" s="28">
        <f t="shared" si="3"/>
        <v>3.4766143940517091</v>
      </c>
      <c r="M37" s="28">
        <f t="shared" si="3"/>
        <v>6.6272490713434955</v>
      </c>
      <c r="N37" s="28">
        <f t="shared" si="3"/>
        <v>197.7797845797335</v>
      </c>
      <c r="O37" s="28">
        <f t="shared" si="3"/>
        <v>4.0824829046386311E-2</v>
      </c>
      <c r="P37" s="28">
        <f t="shared" si="3"/>
        <v>0.17617308682582378</v>
      </c>
      <c r="Q37" s="28">
        <f t="shared" si="3"/>
        <v>8.7609145178118006E-2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16" sqref="G16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10/10/2025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276</v>
      </c>
      <c r="B9" s="54">
        <v>13.26</v>
      </c>
      <c r="C9" s="54">
        <v>19.29</v>
      </c>
      <c r="D9" s="54">
        <v>19.190000000000001</v>
      </c>
      <c r="E9" s="54">
        <v>6.02</v>
      </c>
      <c r="F9" s="54">
        <v>2.35</v>
      </c>
      <c r="G9" s="54">
        <v>20.36</v>
      </c>
      <c r="H9" s="54">
        <v>7.46</v>
      </c>
      <c r="I9" s="54">
        <v>1.79</v>
      </c>
      <c r="J9" s="54">
        <v>0.52</v>
      </c>
      <c r="K9" s="54">
        <v>340.48</v>
      </c>
      <c r="L9" s="54">
        <v>22.81</v>
      </c>
      <c r="M9" s="54">
        <v>98.03</v>
      </c>
      <c r="N9" s="54">
        <v>41.3</v>
      </c>
      <c r="O9" s="54">
        <v>0</v>
      </c>
      <c r="P9" s="54">
        <v>0.63</v>
      </c>
      <c r="Q9" s="54">
        <v>9.2100000000000009</v>
      </c>
      <c r="R9" s="43"/>
      <c r="S9" s="43"/>
      <c r="T9" s="43"/>
      <c r="U9" s="43"/>
    </row>
    <row r="10" spans="1:21" s="11" customFormat="1" x14ac:dyDescent="0.25">
      <c r="A10" s="53" t="s">
        <v>277</v>
      </c>
      <c r="B10" s="54">
        <v>13.78</v>
      </c>
      <c r="C10" s="54">
        <v>16.89</v>
      </c>
      <c r="D10" s="54">
        <v>17.54</v>
      </c>
      <c r="E10" s="54">
        <v>6.53</v>
      </c>
      <c r="F10" s="54">
        <v>2.25</v>
      </c>
      <c r="G10" s="54">
        <v>20.8</v>
      </c>
      <c r="H10" s="54">
        <v>6.56</v>
      </c>
      <c r="I10" s="54">
        <v>1.83</v>
      </c>
      <c r="J10" s="54">
        <v>1.02</v>
      </c>
      <c r="K10" s="54">
        <v>339.71</v>
      </c>
      <c r="L10" s="54">
        <v>22.8</v>
      </c>
      <c r="M10" s="54">
        <v>98.01</v>
      </c>
      <c r="N10" s="54">
        <v>41.9</v>
      </c>
      <c r="O10" s="54">
        <v>0</v>
      </c>
      <c r="P10" s="54">
        <v>0.7</v>
      </c>
      <c r="Q10" s="54">
        <v>9.2100000000000009</v>
      </c>
      <c r="R10" s="43"/>
      <c r="S10" s="43"/>
      <c r="T10" s="43"/>
      <c r="U10" s="43"/>
    </row>
    <row r="11" spans="1:21" s="11" customFormat="1" x14ac:dyDescent="0.25">
      <c r="A11" s="53" t="s">
        <v>278</v>
      </c>
      <c r="B11" s="54">
        <v>12.39</v>
      </c>
      <c r="C11" s="54">
        <v>8.27</v>
      </c>
      <c r="D11" s="54">
        <v>14.22</v>
      </c>
      <c r="E11" s="54">
        <v>6.09</v>
      </c>
      <c r="F11" s="54">
        <v>2.1</v>
      </c>
      <c r="G11" s="54">
        <v>28.94</v>
      </c>
      <c r="H11" s="54">
        <v>6.01</v>
      </c>
      <c r="I11" s="54">
        <v>1.86</v>
      </c>
      <c r="J11" s="54">
        <v>0.83</v>
      </c>
      <c r="K11" s="54">
        <v>350.32</v>
      </c>
      <c r="L11" s="54">
        <v>22.24</v>
      </c>
      <c r="M11" s="54">
        <v>97.99</v>
      </c>
      <c r="N11" s="54">
        <v>41.5</v>
      </c>
      <c r="O11" s="54">
        <v>0</v>
      </c>
      <c r="P11" s="54">
        <v>0.67</v>
      </c>
      <c r="Q11" s="54">
        <v>9.18</v>
      </c>
      <c r="R11" s="43"/>
      <c r="S11" s="43"/>
      <c r="T11" s="43"/>
      <c r="U11" s="43"/>
    </row>
    <row r="12" spans="1:21" s="11" customFormat="1" x14ac:dyDescent="0.25">
      <c r="A12" s="53" t="s">
        <v>279</v>
      </c>
      <c r="B12" s="54">
        <v>11.17</v>
      </c>
      <c r="C12" s="54">
        <v>14.07</v>
      </c>
      <c r="D12" s="54">
        <v>15.68</v>
      </c>
      <c r="E12" s="54">
        <v>6.92</v>
      </c>
      <c r="F12" s="54">
        <v>2.1</v>
      </c>
      <c r="G12" s="54">
        <v>25.51</v>
      </c>
      <c r="H12" s="54">
        <v>9</v>
      </c>
      <c r="I12" s="54">
        <v>1.96</v>
      </c>
      <c r="J12" s="54">
        <v>0.2</v>
      </c>
      <c r="K12" s="54">
        <v>354.13</v>
      </c>
      <c r="L12" s="54">
        <v>21.76</v>
      </c>
      <c r="M12" s="54">
        <v>98.06</v>
      </c>
      <c r="N12" s="54">
        <v>41.2</v>
      </c>
      <c r="O12" s="54">
        <v>0</v>
      </c>
      <c r="P12" s="54">
        <v>0.94</v>
      </c>
      <c r="Q12" s="54">
        <v>9.18</v>
      </c>
      <c r="R12" s="43"/>
      <c r="S12" s="43"/>
      <c r="T12" s="43"/>
      <c r="U12" s="43"/>
    </row>
    <row r="13" spans="1:21" s="11" customFormat="1" x14ac:dyDescent="0.25">
      <c r="A13" s="53" t="s">
        <v>280</v>
      </c>
      <c r="B13" s="54">
        <v>15.14</v>
      </c>
      <c r="C13" s="54">
        <v>13.48</v>
      </c>
      <c r="D13" s="54">
        <v>18.46</v>
      </c>
      <c r="E13" s="54">
        <v>6.91</v>
      </c>
      <c r="F13" s="54">
        <v>2.1</v>
      </c>
      <c r="G13" s="54">
        <v>76.42</v>
      </c>
      <c r="H13" s="54">
        <v>7.45</v>
      </c>
      <c r="I13" s="54">
        <v>2.1</v>
      </c>
      <c r="J13" s="54">
        <v>0.06</v>
      </c>
      <c r="K13" s="54">
        <v>355.95</v>
      </c>
      <c r="L13" s="54">
        <v>21.65</v>
      </c>
      <c r="M13" s="54">
        <v>98.09</v>
      </c>
      <c r="N13" s="54">
        <v>41.2</v>
      </c>
      <c r="O13" s="54">
        <v>0</v>
      </c>
      <c r="P13" s="54">
        <v>0.93</v>
      </c>
      <c r="Q13" s="54">
        <v>9.2100000000000009</v>
      </c>
      <c r="R13" s="43"/>
      <c r="S13" s="43"/>
      <c r="T13" s="43"/>
      <c r="U13" s="43"/>
    </row>
    <row r="14" spans="1:21" s="11" customFormat="1" x14ac:dyDescent="0.25">
      <c r="A14" s="53" t="s">
        <v>281</v>
      </c>
      <c r="B14" s="54">
        <v>18.04</v>
      </c>
      <c r="C14" s="54">
        <v>13.52</v>
      </c>
      <c r="D14" s="54">
        <v>20.21</v>
      </c>
      <c r="E14" s="54">
        <v>6.59</v>
      </c>
      <c r="F14" s="54">
        <v>2.1</v>
      </c>
      <c r="G14" s="54">
        <v>52.22</v>
      </c>
      <c r="H14" s="54">
        <v>6.37</v>
      </c>
      <c r="I14" s="54">
        <v>2.13</v>
      </c>
      <c r="J14" s="54">
        <v>0.12</v>
      </c>
      <c r="K14" s="54">
        <v>353.25</v>
      </c>
      <c r="L14" s="54">
        <v>21.61</v>
      </c>
      <c r="M14" s="54">
        <v>98.17</v>
      </c>
      <c r="N14" s="54">
        <v>44.9</v>
      </c>
      <c r="O14" s="54">
        <v>0</v>
      </c>
      <c r="P14" s="54">
        <v>0.84</v>
      </c>
      <c r="Q14" s="54">
        <v>9.2200000000000006</v>
      </c>
      <c r="R14" s="43"/>
      <c r="S14" s="43"/>
      <c r="T14" s="43"/>
      <c r="U14" s="43"/>
    </row>
    <row r="15" spans="1:21" s="11" customFormat="1" x14ac:dyDescent="0.25">
      <c r="A15" s="53" t="s">
        <v>282</v>
      </c>
      <c r="B15" s="54">
        <v>24.85</v>
      </c>
      <c r="C15" s="54">
        <v>10.82</v>
      </c>
      <c r="D15" s="54">
        <v>25.58</v>
      </c>
      <c r="E15" s="54">
        <v>6.28</v>
      </c>
      <c r="F15" s="54">
        <v>2.13</v>
      </c>
      <c r="G15" s="54">
        <v>43.91</v>
      </c>
      <c r="H15" s="54">
        <v>5.67</v>
      </c>
      <c r="I15" s="54">
        <v>2.1</v>
      </c>
      <c r="J15" s="54">
        <v>0.32</v>
      </c>
      <c r="K15" s="54">
        <v>337.12</v>
      </c>
      <c r="L15" s="54">
        <v>23.03</v>
      </c>
      <c r="M15" s="54">
        <v>98.15</v>
      </c>
      <c r="N15" s="54">
        <v>127.6</v>
      </c>
      <c r="O15" s="54">
        <v>0</v>
      </c>
      <c r="P15" s="54">
        <v>0.93</v>
      </c>
      <c r="Q15" s="54">
        <v>9.24</v>
      </c>
      <c r="R15" s="43"/>
      <c r="S15" s="43"/>
      <c r="T15" s="43"/>
      <c r="U15" s="43"/>
    </row>
    <row r="16" spans="1:21" s="11" customFormat="1" x14ac:dyDescent="0.25">
      <c r="A16" s="53" t="s">
        <v>283</v>
      </c>
      <c r="B16" s="54">
        <v>21.48</v>
      </c>
      <c r="C16" s="54">
        <v>10.35</v>
      </c>
      <c r="D16" s="54">
        <v>22.15</v>
      </c>
      <c r="E16" s="54">
        <v>6.45</v>
      </c>
      <c r="F16" s="54">
        <v>3.08</v>
      </c>
      <c r="G16" s="54">
        <v>44.93</v>
      </c>
      <c r="H16" s="54">
        <v>11.84</v>
      </c>
      <c r="I16" s="54">
        <v>2.16</v>
      </c>
      <c r="J16" s="54">
        <v>0.48</v>
      </c>
      <c r="K16" s="54">
        <v>341.22</v>
      </c>
      <c r="L16" s="54">
        <v>24.13</v>
      </c>
      <c r="M16" s="54">
        <v>98.06</v>
      </c>
      <c r="N16" s="54">
        <v>136.5</v>
      </c>
      <c r="O16" s="54">
        <v>0</v>
      </c>
      <c r="P16" s="54">
        <v>0.76</v>
      </c>
      <c r="Q16" s="54">
        <v>9.3000000000000007</v>
      </c>
      <c r="R16" s="43"/>
      <c r="S16" s="43"/>
      <c r="T16" s="43"/>
      <c r="U16" s="43"/>
    </row>
    <row r="17" spans="1:21" s="11" customFormat="1" x14ac:dyDescent="0.25">
      <c r="A17" s="53" t="s">
        <v>284</v>
      </c>
      <c r="B17" s="54">
        <v>23.76</v>
      </c>
      <c r="C17" s="54">
        <v>11.65</v>
      </c>
      <c r="D17" s="54">
        <v>25.09</v>
      </c>
      <c r="E17" s="54">
        <v>5.94</v>
      </c>
      <c r="F17" s="54">
        <v>6.46</v>
      </c>
      <c r="G17" s="54">
        <v>46.65</v>
      </c>
      <c r="H17" s="54">
        <v>10.1</v>
      </c>
      <c r="I17" s="54">
        <v>2.17</v>
      </c>
      <c r="J17" s="54">
        <v>0.64</v>
      </c>
      <c r="K17" s="54">
        <v>133.72</v>
      </c>
      <c r="L17" s="54">
        <v>24.84</v>
      </c>
      <c r="M17" s="54">
        <v>98.13</v>
      </c>
      <c r="N17" s="54">
        <v>259.10000000000002</v>
      </c>
      <c r="O17" s="54">
        <v>0</v>
      </c>
      <c r="P17" s="54">
        <v>0.62</v>
      </c>
      <c r="Q17" s="54">
        <v>9.35</v>
      </c>
      <c r="R17" s="43"/>
      <c r="S17" s="43"/>
      <c r="T17" s="43"/>
      <c r="U17" s="43"/>
    </row>
    <row r="18" spans="1:21" s="11" customFormat="1" x14ac:dyDescent="0.25">
      <c r="A18" s="53" t="s">
        <v>285</v>
      </c>
      <c r="B18" s="54">
        <v>18.309999999999999</v>
      </c>
      <c r="C18" s="54">
        <v>11.73</v>
      </c>
      <c r="D18" s="54">
        <v>20.81</v>
      </c>
      <c r="E18" s="54">
        <v>6.55</v>
      </c>
      <c r="F18" s="54">
        <v>9.4499999999999993</v>
      </c>
      <c r="G18" s="54">
        <v>22.53</v>
      </c>
      <c r="H18" s="54">
        <v>8.2200000000000006</v>
      </c>
      <c r="I18" s="54">
        <v>2.2400000000000002</v>
      </c>
      <c r="J18" s="54">
        <v>0.97</v>
      </c>
      <c r="K18" s="54">
        <v>138.94999999999999</v>
      </c>
      <c r="L18" s="54">
        <v>26.24</v>
      </c>
      <c r="M18" s="54">
        <v>97.99</v>
      </c>
      <c r="N18" s="54">
        <v>464.9</v>
      </c>
      <c r="O18" s="54">
        <v>0</v>
      </c>
      <c r="P18" s="54">
        <v>0.56000000000000005</v>
      </c>
      <c r="Q18" s="54">
        <v>9.35</v>
      </c>
      <c r="R18" s="43"/>
      <c r="S18" s="43"/>
      <c r="T18" s="43"/>
      <c r="U18" s="43"/>
    </row>
    <row r="19" spans="1:21" s="11" customFormat="1" x14ac:dyDescent="0.25">
      <c r="A19" s="53" t="s">
        <v>286</v>
      </c>
      <c r="B19" s="54">
        <v>16.78</v>
      </c>
      <c r="C19" s="54">
        <v>12.87</v>
      </c>
      <c r="D19" s="54">
        <v>19.79</v>
      </c>
      <c r="E19" s="54">
        <v>6.51</v>
      </c>
      <c r="F19" s="54">
        <v>8.0500000000000007</v>
      </c>
      <c r="G19" s="54">
        <v>26.82</v>
      </c>
      <c r="H19" s="54">
        <v>6.91</v>
      </c>
      <c r="I19" s="54">
        <v>2.06</v>
      </c>
      <c r="J19" s="54">
        <v>0.67</v>
      </c>
      <c r="K19" s="54">
        <v>132.28</v>
      </c>
      <c r="L19" s="54">
        <v>28.03</v>
      </c>
      <c r="M19" s="54">
        <v>96.85</v>
      </c>
      <c r="N19" s="54">
        <v>427.6</v>
      </c>
      <c r="O19" s="54">
        <v>0</v>
      </c>
      <c r="P19" s="54">
        <v>0.57999999999999996</v>
      </c>
      <c r="Q19" s="54">
        <v>9.31</v>
      </c>
      <c r="R19" s="43"/>
      <c r="S19" s="43"/>
      <c r="T19" s="43"/>
      <c r="U19" s="43"/>
    </row>
    <row r="20" spans="1:21" s="11" customFormat="1" x14ac:dyDescent="0.25">
      <c r="A20" s="53" t="s">
        <v>287</v>
      </c>
      <c r="B20" s="54">
        <v>17.11</v>
      </c>
      <c r="C20" s="54">
        <v>15.23</v>
      </c>
      <c r="D20" s="54">
        <v>21.68</v>
      </c>
      <c r="E20" s="54">
        <v>6.48</v>
      </c>
      <c r="F20" s="54">
        <v>12.76</v>
      </c>
      <c r="G20" s="54">
        <v>23.6</v>
      </c>
      <c r="H20" s="54">
        <v>9.5</v>
      </c>
      <c r="I20" s="54">
        <v>1.99</v>
      </c>
      <c r="J20" s="54">
        <v>0.11</v>
      </c>
      <c r="K20" s="54">
        <v>352.85</v>
      </c>
      <c r="L20" s="54">
        <v>28.48</v>
      </c>
      <c r="M20" s="54">
        <v>89.37</v>
      </c>
      <c r="N20" s="54">
        <v>415.7</v>
      </c>
      <c r="O20" s="54">
        <v>0</v>
      </c>
      <c r="P20" s="54">
        <v>0.6</v>
      </c>
      <c r="Q20" s="54">
        <v>9.27</v>
      </c>
      <c r="R20" s="43"/>
      <c r="S20" s="43"/>
      <c r="T20" s="43"/>
      <c r="U20" s="43"/>
    </row>
    <row r="21" spans="1:21" s="11" customFormat="1" x14ac:dyDescent="0.25">
      <c r="A21" s="53" t="s">
        <v>288</v>
      </c>
      <c r="B21" s="54">
        <v>16.93</v>
      </c>
      <c r="C21" s="54">
        <v>22.16</v>
      </c>
      <c r="D21" s="54">
        <v>23.73</v>
      </c>
      <c r="E21" s="54">
        <v>6.59</v>
      </c>
      <c r="F21" s="54">
        <v>13.78</v>
      </c>
      <c r="G21" s="54">
        <v>34.6</v>
      </c>
      <c r="H21" s="54">
        <v>8.4</v>
      </c>
      <c r="I21" s="54">
        <v>1.96</v>
      </c>
      <c r="J21" s="54">
        <v>0.42</v>
      </c>
      <c r="K21" s="54">
        <v>348.9</v>
      </c>
      <c r="L21" s="54">
        <v>28.39</v>
      </c>
      <c r="M21" s="54">
        <v>95.03</v>
      </c>
      <c r="N21" s="54">
        <v>292.7</v>
      </c>
      <c r="O21" s="54">
        <v>0</v>
      </c>
      <c r="P21" s="54">
        <v>0.6</v>
      </c>
      <c r="Q21" s="54">
        <v>9.23</v>
      </c>
      <c r="R21" s="43"/>
      <c r="S21" s="43"/>
      <c r="T21" s="43"/>
      <c r="U21" s="43"/>
    </row>
    <row r="22" spans="1:21" s="11" customFormat="1" x14ac:dyDescent="0.25">
      <c r="A22" s="53" t="s">
        <v>289</v>
      </c>
      <c r="B22" s="54">
        <v>18.3</v>
      </c>
      <c r="C22" s="54">
        <v>31.48</v>
      </c>
      <c r="D22" s="54">
        <v>30.14</v>
      </c>
      <c r="E22" s="54">
        <v>9.35</v>
      </c>
      <c r="F22" s="54">
        <v>14.05</v>
      </c>
      <c r="G22" s="54">
        <v>16.68</v>
      </c>
      <c r="H22" s="54">
        <v>7.54</v>
      </c>
      <c r="I22" s="54">
        <v>1.88</v>
      </c>
      <c r="J22" s="54">
        <v>0.86</v>
      </c>
      <c r="K22" s="54">
        <v>352.35</v>
      </c>
      <c r="L22" s="54">
        <v>29.33</v>
      </c>
      <c r="M22" s="54">
        <v>97.46</v>
      </c>
      <c r="N22" s="54">
        <v>297.10000000000002</v>
      </c>
      <c r="O22" s="54">
        <v>0</v>
      </c>
      <c r="P22" s="54">
        <v>0.68</v>
      </c>
      <c r="Q22" s="54">
        <v>9.31</v>
      </c>
      <c r="R22" s="43"/>
      <c r="S22" s="43"/>
      <c r="T22" s="43"/>
      <c r="U22" s="43"/>
    </row>
    <row r="23" spans="1:21" s="11" customFormat="1" x14ac:dyDescent="0.25">
      <c r="A23" s="53" t="s">
        <v>290</v>
      </c>
      <c r="B23" s="54">
        <v>10.119999999999999</v>
      </c>
      <c r="C23" s="54">
        <v>31.11</v>
      </c>
      <c r="D23" s="54">
        <v>22.19</v>
      </c>
      <c r="E23" s="54">
        <v>6.74</v>
      </c>
      <c r="F23" s="54">
        <v>11.46</v>
      </c>
      <c r="G23" s="54">
        <v>31.61</v>
      </c>
      <c r="H23" s="54">
        <v>7.17</v>
      </c>
      <c r="I23" s="54">
        <v>1.96</v>
      </c>
      <c r="J23" s="54">
        <v>1.3</v>
      </c>
      <c r="K23" s="54">
        <v>333.88</v>
      </c>
      <c r="L23" s="54">
        <v>29.73</v>
      </c>
      <c r="M23" s="54">
        <v>98.02</v>
      </c>
      <c r="N23" s="54">
        <v>206.7</v>
      </c>
      <c r="O23" s="54">
        <v>0</v>
      </c>
      <c r="P23" s="54">
        <v>0.68</v>
      </c>
      <c r="Q23" s="54">
        <v>9.2799999999999994</v>
      </c>
      <c r="R23" s="43"/>
      <c r="S23" s="43"/>
      <c r="T23" s="43"/>
      <c r="U23" s="43"/>
    </row>
    <row r="24" spans="1:21" s="11" customFormat="1" x14ac:dyDescent="0.25">
      <c r="A24" s="53" t="s">
        <v>291</v>
      </c>
      <c r="B24" s="54">
        <v>11.87</v>
      </c>
      <c r="C24" s="54">
        <v>29.21</v>
      </c>
      <c r="D24" s="54">
        <v>23.97</v>
      </c>
      <c r="E24" s="54">
        <v>7.92</v>
      </c>
      <c r="F24" s="54">
        <v>12.05</v>
      </c>
      <c r="G24" s="54">
        <v>31.3</v>
      </c>
      <c r="H24" s="54">
        <v>13.76</v>
      </c>
      <c r="I24" s="54">
        <v>1.81</v>
      </c>
      <c r="J24" s="54">
        <v>1.43</v>
      </c>
      <c r="K24" s="54">
        <v>337.27</v>
      </c>
      <c r="L24" s="54">
        <v>28.71</v>
      </c>
      <c r="M24" s="54">
        <v>94.57</v>
      </c>
      <c r="N24" s="54">
        <v>213.9</v>
      </c>
      <c r="O24" s="54">
        <v>0</v>
      </c>
      <c r="P24" s="54">
        <v>0.77</v>
      </c>
      <c r="Q24" s="54">
        <v>9.24</v>
      </c>
      <c r="R24" s="43"/>
      <c r="S24" s="43"/>
      <c r="T24" s="43"/>
      <c r="U24" s="43"/>
    </row>
    <row r="25" spans="1:21" s="11" customFormat="1" x14ac:dyDescent="0.25">
      <c r="A25" s="53" t="s">
        <v>292</v>
      </c>
      <c r="B25" s="54">
        <v>7.55</v>
      </c>
      <c r="C25" s="54">
        <v>21.9</v>
      </c>
      <c r="D25" s="54">
        <v>16.91</v>
      </c>
      <c r="E25" s="54">
        <v>7.1</v>
      </c>
      <c r="F25" s="54">
        <v>13.31</v>
      </c>
      <c r="G25" s="54">
        <v>51.16</v>
      </c>
      <c r="H25" s="54">
        <v>11.47</v>
      </c>
      <c r="I25" s="54">
        <v>1.82</v>
      </c>
      <c r="J25" s="54">
        <v>1.07</v>
      </c>
      <c r="K25" s="54">
        <v>121.71</v>
      </c>
      <c r="L25" s="54">
        <v>26.22</v>
      </c>
      <c r="M25" s="54">
        <v>98.08</v>
      </c>
      <c r="N25" s="54">
        <v>162.69999999999999</v>
      </c>
      <c r="O25" s="54">
        <v>0</v>
      </c>
      <c r="P25" s="54">
        <v>0.56000000000000005</v>
      </c>
      <c r="Q25" s="54">
        <v>9.19</v>
      </c>
      <c r="R25" s="43"/>
      <c r="S25" s="43"/>
      <c r="T25" s="43"/>
      <c r="U25" s="43"/>
    </row>
    <row r="26" spans="1:21" s="11" customFormat="1" x14ac:dyDescent="0.25">
      <c r="A26" s="53" t="s">
        <v>293</v>
      </c>
      <c r="B26" s="54">
        <v>7.68</v>
      </c>
      <c r="C26" s="54">
        <v>19.8</v>
      </c>
      <c r="D26" s="54">
        <v>16.510000000000002</v>
      </c>
      <c r="E26" s="54">
        <v>5.84</v>
      </c>
      <c r="F26" s="54">
        <v>8.75</v>
      </c>
      <c r="G26" s="54">
        <v>27.76</v>
      </c>
      <c r="H26" s="54">
        <v>9.18</v>
      </c>
      <c r="I26" s="54">
        <v>1.77</v>
      </c>
      <c r="J26" s="54">
        <v>0.9</v>
      </c>
      <c r="K26" s="54">
        <v>129.31</v>
      </c>
      <c r="L26" s="54">
        <v>25.35</v>
      </c>
      <c r="M26" s="54">
        <v>98.03</v>
      </c>
      <c r="N26" s="54">
        <v>73.400000000000006</v>
      </c>
      <c r="O26" s="54">
        <v>0</v>
      </c>
      <c r="P26" s="54">
        <v>0.51</v>
      </c>
      <c r="Q26" s="54">
        <v>9.16</v>
      </c>
      <c r="R26" s="43"/>
      <c r="S26" s="43"/>
      <c r="T26" s="43"/>
      <c r="U26" s="43"/>
    </row>
    <row r="27" spans="1:21" s="11" customFormat="1" x14ac:dyDescent="0.25">
      <c r="A27" s="53" t="s">
        <v>294</v>
      </c>
      <c r="B27" s="54">
        <v>8.81</v>
      </c>
      <c r="C27" s="54">
        <v>19.239999999999998</v>
      </c>
      <c r="D27" s="54">
        <v>17.11</v>
      </c>
      <c r="E27" s="54">
        <v>5.49</v>
      </c>
      <c r="F27" s="54">
        <v>4.45</v>
      </c>
      <c r="G27" s="54">
        <v>16.95</v>
      </c>
      <c r="H27" s="54">
        <v>7.58</v>
      </c>
      <c r="I27" s="54">
        <v>1.66</v>
      </c>
      <c r="J27" s="54">
        <v>0.47</v>
      </c>
      <c r="K27" s="54">
        <v>135.47</v>
      </c>
      <c r="L27" s="54">
        <v>23.43</v>
      </c>
      <c r="M27" s="54">
        <v>98.05</v>
      </c>
      <c r="N27" s="54">
        <v>41.5</v>
      </c>
      <c r="O27" s="54">
        <v>0</v>
      </c>
      <c r="P27" s="54">
        <v>0.6</v>
      </c>
      <c r="Q27" s="54">
        <v>9.14</v>
      </c>
      <c r="R27" s="43"/>
      <c r="S27" s="43"/>
      <c r="T27" s="43"/>
      <c r="U27" s="43"/>
    </row>
    <row r="28" spans="1:21" s="11" customFormat="1" x14ac:dyDescent="0.25">
      <c r="A28" s="53" t="s">
        <v>295</v>
      </c>
      <c r="B28" s="54">
        <v>18.899999999999999</v>
      </c>
      <c r="C28" s="54">
        <v>20.100000000000001</v>
      </c>
      <c r="D28" s="54">
        <v>25.65</v>
      </c>
      <c r="E28" s="54">
        <v>5.19</v>
      </c>
      <c r="F28" s="54">
        <v>3.84</v>
      </c>
      <c r="G28" s="54">
        <v>12.29</v>
      </c>
      <c r="H28" s="54">
        <v>7.56</v>
      </c>
      <c r="I28" s="54">
        <v>1.69</v>
      </c>
      <c r="J28" s="54">
        <v>0.27</v>
      </c>
      <c r="K28" s="54">
        <v>338.74</v>
      </c>
      <c r="L28" s="54">
        <v>23.57</v>
      </c>
      <c r="M28" s="54">
        <v>98.06</v>
      </c>
      <c r="N28" s="54">
        <v>41.6</v>
      </c>
      <c r="O28" s="54">
        <v>0</v>
      </c>
      <c r="P28" s="54">
        <v>0.93</v>
      </c>
      <c r="Q28" s="54">
        <v>9.11</v>
      </c>
      <c r="R28" s="43"/>
      <c r="S28" s="43"/>
      <c r="T28" s="43"/>
      <c r="U28" s="43"/>
    </row>
    <row r="29" spans="1:21" s="11" customFormat="1" x14ac:dyDescent="0.25">
      <c r="A29" s="53" t="s">
        <v>296</v>
      </c>
      <c r="B29" s="54">
        <v>24.82</v>
      </c>
      <c r="C29" s="54">
        <v>28.23</v>
      </c>
      <c r="D29" s="54">
        <v>31.86</v>
      </c>
      <c r="E29" s="54">
        <v>5.47</v>
      </c>
      <c r="F29" s="54">
        <v>3.25</v>
      </c>
      <c r="G29" s="54">
        <v>21.18</v>
      </c>
      <c r="H29" s="54">
        <v>9.2899999999999991</v>
      </c>
      <c r="I29" s="54">
        <v>1.95</v>
      </c>
      <c r="J29" s="54">
        <v>0.13</v>
      </c>
      <c r="K29" s="54">
        <v>287.52999999999997</v>
      </c>
      <c r="L29" s="54">
        <v>23.42</v>
      </c>
      <c r="M29" s="54">
        <v>98.21</v>
      </c>
      <c r="N29" s="54">
        <v>41.5</v>
      </c>
      <c r="O29" s="54">
        <v>0</v>
      </c>
      <c r="P29" s="54">
        <v>1.24</v>
      </c>
      <c r="Q29" s="54">
        <v>9.15</v>
      </c>
      <c r="R29" s="43"/>
      <c r="S29" s="43"/>
      <c r="T29" s="43"/>
      <c r="U29" s="43"/>
    </row>
    <row r="30" spans="1:21" s="11" customFormat="1" x14ac:dyDescent="0.25">
      <c r="A30" s="53" t="s">
        <v>297</v>
      </c>
      <c r="B30" s="54">
        <v>25.65</v>
      </c>
      <c r="C30" s="54">
        <v>22.01</v>
      </c>
      <c r="D30" s="54">
        <v>30.26</v>
      </c>
      <c r="E30" s="54">
        <v>5.65</v>
      </c>
      <c r="F30" s="54">
        <v>3.87</v>
      </c>
      <c r="G30" s="54">
        <v>30.23</v>
      </c>
      <c r="H30" s="54">
        <v>9.2899999999999991</v>
      </c>
      <c r="I30" s="54">
        <v>2.1</v>
      </c>
      <c r="J30" s="54">
        <v>0.26</v>
      </c>
      <c r="K30" s="54">
        <v>331.83</v>
      </c>
      <c r="L30" s="54">
        <v>23.2</v>
      </c>
      <c r="M30" s="54">
        <v>98.25</v>
      </c>
      <c r="N30" s="54">
        <v>41.4</v>
      </c>
      <c r="O30" s="54">
        <v>0</v>
      </c>
      <c r="P30" s="54">
        <v>1.06</v>
      </c>
      <c r="Q30" s="54">
        <v>9.24</v>
      </c>
      <c r="R30" s="43"/>
      <c r="S30" s="43"/>
      <c r="T30" s="43"/>
      <c r="U30" s="43"/>
    </row>
    <row r="31" spans="1:21" s="11" customFormat="1" x14ac:dyDescent="0.25">
      <c r="A31" s="53" t="s">
        <v>298</v>
      </c>
      <c r="B31" s="54">
        <v>18.09</v>
      </c>
      <c r="C31" s="54">
        <v>17.239999999999998</v>
      </c>
      <c r="D31" s="54">
        <v>23.51</v>
      </c>
      <c r="E31" s="54">
        <v>5.67</v>
      </c>
      <c r="F31" s="54">
        <v>5.33</v>
      </c>
      <c r="G31" s="54">
        <v>36.630000000000003</v>
      </c>
      <c r="H31" s="54">
        <v>7.66</v>
      </c>
      <c r="I31" s="54">
        <v>2.21</v>
      </c>
      <c r="J31" s="54">
        <v>0.55000000000000004</v>
      </c>
      <c r="K31" s="54">
        <v>335.17</v>
      </c>
      <c r="L31" s="54">
        <v>23.23</v>
      </c>
      <c r="M31" s="54">
        <v>98.28</v>
      </c>
      <c r="N31" s="54">
        <v>41.4</v>
      </c>
      <c r="O31" s="54">
        <v>0</v>
      </c>
      <c r="P31" s="54">
        <v>0.84</v>
      </c>
      <c r="Q31" s="54">
        <v>9.2899999999999991</v>
      </c>
      <c r="R31" s="43"/>
      <c r="S31" s="43"/>
      <c r="T31" s="43"/>
      <c r="U31" s="43"/>
    </row>
    <row r="32" spans="1:21" s="11" customFormat="1" x14ac:dyDescent="0.25">
      <c r="A32" s="53" t="s">
        <v>299</v>
      </c>
      <c r="B32" s="54">
        <v>16.03</v>
      </c>
      <c r="C32" s="54">
        <v>13.56</v>
      </c>
      <c r="D32" s="54">
        <v>18.010000000000002</v>
      </c>
      <c r="E32" s="54">
        <v>5.52</v>
      </c>
      <c r="F32" s="54">
        <v>5.17</v>
      </c>
      <c r="G32" s="54">
        <v>35.4</v>
      </c>
      <c r="H32" s="54">
        <v>8.6999999999999993</v>
      </c>
      <c r="I32" s="54">
        <v>2.2400000000000002</v>
      </c>
      <c r="J32" s="54">
        <v>0.65</v>
      </c>
      <c r="K32" s="54">
        <v>337.16</v>
      </c>
      <c r="L32" s="54">
        <v>22.99</v>
      </c>
      <c r="M32" s="54">
        <v>98.42</v>
      </c>
      <c r="N32" s="54">
        <v>41.5</v>
      </c>
      <c r="O32" s="54">
        <v>0</v>
      </c>
      <c r="P32" s="54">
        <v>0.75</v>
      </c>
      <c r="Q32" s="54">
        <v>9.2799999999999994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7.55</v>
      </c>
      <c r="C34" s="28">
        <f t="shared" si="0"/>
        <v>8.27</v>
      </c>
      <c r="D34" s="28">
        <f t="shared" si="0"/>
        <v>14.22</v>
      </c>
      <c r="E34" s="28">
        <f t="shared" si="0"/>
        <v>5.19</v>
      </c>
      <c r="F34" s="28">
        <f t="shared" si="0"/>
        <v>2.1</v>
      </c>
      <c r="G34" s="28">
        <f t="shared" si="0"/>
        <v>12.29</v>
      </c>
      <c r="H34" s="28">
        <f t="shared" si="0"/>
        <v>5.67</v>
      </c>
      <c r="I34" s="28">
        <f t="shared" si="0"/>
        <v>1.66</v>
      </c>
      <c r="J34" s="28">
        <f t="shared" si="0"/>
        <v>0.06</v>
      </c>
      <c r="K34" s="28">
        <f t="shared" si="0"/>
        <v>121.71</v>
      </c>
      <c r="L34" s="28">
        <f t="shared" si="0"/>
        <v>21.61</v>
      </c>
      <c r="M34" s="28">
        <f t="shared" si="0"/>
        <v>89.37</v>
      </c>
      <c r="N34" s="28">
        <f t="shared" si="0"/>
        <v>41.2</v>
      </c>
      <c r="O34" s="28">
        <f t="shared" si="0"/>
        <v>0</v>
      </c>
      <c r="P34" s="28">
        <f t="shared" si="0"/>
        <v>0.51</v>
      </c>
      <c r="Q34" s="28">
        <f t="shared" si="0"/>
        <v>9.11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25.65</v>
      </c>
      <c r="C35" s="29">
        <f t="shared" si="1"/>
        <v>31.48</v>
      </c>
      <c r="D35" s="29">
        <f t="shared" si="1"/>
        <v>31.86</v>
      </c>
      <c r="E35" s="29">
        <f t="shared" si="1"/>
        <v>9.35</v>
      </c>
      <c r="F35" s="29">
        <f t="shared" si="1"/>
        <v>14.05</v>
      </c>
      <c r="G35" s="29">
        <f t="shared" si="1"/>
        <v>76.42</v>
      </c>
      <c r="H35" s="29">
        <f t="shared" si="1"/>
        <v>13.76</v>
      </c>
      <c r="I35" s="29">
        <f t="shared" si="1"/>
        <v>2.2400000000000002</v>
      </c>
      <c r="J35" s="29">
        <f t="shared" si="1"/>
        <v>1.43</v>
      </c>
      <c r="K35" s="29">
        <f t="shared" si="1"/>
        <v>355.95</v>
      </c>
      <c r="L35" s="29">
        <f t="shared" si="1"/>
        <v>29.73</v>
      </c>
      <c r="M35" s="29">
        <f t="shared" si="1"/>
        <v>98.42</v>
      </c>
      <c r="N35" s="29">
        <f t="shared" si="1"/>
        <v>464.9</v>
      </c>
      <c r="O35" s="29">
        <f t="shared" si="1"/>
        <v>0</v>
      </c>
      <c r="P35" s="29">
        <f t="shared" si="1"/>
        <v>1.24</v>
      </c>
      <c r="Q35" s="29">
        <f t="shared" si="1"/>
        <v>9.35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16.284166666666664</v>
      </c>
      <c r="C36" s="28">
        <f t="shared" si="2"/>
        <v>18.092083333333331</v>
      </c>
      <c r="D36" s="28">
        <f t="shared" si="2"/>
        <v>21.677083333333332</v>
      </c>
      <c r="E36" s="28">
        <f t="shared" si="2"/>
        <v>6.4083333333333341</v>
      </c>
      <c r="F36" s="28">
        <f t="shared" si="2"/>
        <v>6.4266666666666659</v>
      </c>
      <c r="G36" s="28">
        <f t="shared" si="2"/>
        <v>32.43666666666666</v>
      </c>
      <c r="H36" s="28">
        <f t="shared" si="2"/>
        <v>8.4454166666666666</v>
      </c>
      <c r="I36" s="28">
        <f t="shared" si="2"/>
        <v>1.9766666666666668</v>
      </c>
      <c r="J36" s="28">
        <f t="shared" si="2"/>
        <v>0.59375000000000011</v>
      </c>
      <c r="K36" s="28">
        <f t="shared" si="2"/>
        <v>288.30416666666673</v>
      </c>
      <c r="L36" s="28">
        <f t="shared" si="2"/>
        <v>24.799583333333334</v>
      </c>
      <c r="M36" s="28">
        <f t="shared" si="2"/>
        <v>97.39</v>
      </c>
      <c r="N36" s="28">
        <f t="shared" si="2"/>
        <v>149.11666666666665</v>
      </c>
      <c r="O36" s="28">
        <f t="shared" si="2"/>
        <v>0</v>
      </c>
      <c r="P36" s="28">
        <f t="shared" si="2"/>
        <v>0.74916666666666654</v>
      </c>
      <c r="Q36" s="28">
        <f t="shared" si="2"/>
        <v>9.2354166666666675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5.3621393497182757</v>
      </c>
      <c r="C37" s="28">
        <f t="shared" ref="C37:Q37" si="3">STDEV(C9:C32)</f>
        <v>6.7211069088142184</v>
      </c>
      <c r="D37" s="28">
        <f t="shared" si="3"/>
        <v>4.7566013434573025</v>
      </c>
      <c r="E37" s="28">
        <f t="shared" si="3"/>
        <v>0.88678543391121023</v>
      </c>
      <c r="F37" s="28">
        <f t="shared" si="3"/>
        <v>4.3858583678897345</v>
      </c>
      <c r="G37" s="28">
        <f t="shared" si="3"/>
        <v>14.440172125514747</v>
      </c>
      <c r="H37" s="28">
        <f t="shared" si="3"/>
        <v>1.9288360517402108</v>
      </c>
      <c r="I37" s="28">
        <f t="shared" si="3"/>
        <v>0.17429776287987042</v>
      </c>
      <c r="J37" s="28">
        <f t="shared" si="3"/>
        <v>0.38730745566977037</v>
      </c>
      <c r="K37" s="28">
        <f t="shared" si="3"/>
        <v>93.226059004637676</v>
      </c>
      <c r="L37" s="28">
        <f t="shared" si="3"/>
        <v>2.6572484611074474</v>
      </c>
      <c r="M37" s="28">
        <f t="shared" si="3"/>
        <v>1.9583311440012423</v>
      </c>
      <c r="N37" s="28">
        <f t="shared" si="3"/>
        <v>140.70732395469955</v>
      </c>
      <c r="O37" s="28">
        <f t="shared" si="3"/>
        <v>0</v>
      </c>
      <c r="P37" s="28">
        <f t="shared" si="3"/>
        <v>0.18206345445826197</v>
      </c>
      <c r="Q37" s="28">
        <f t="shared" si="3"/>
        <v>6.5273948906107174E-2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L17" sqref="L17"/>
    </sheetView>
  </sheetViews>
  <sheetFormatPr defaultColWidth="8.85546875" defaultRowHeight="15" x14ac:dyDescent="0.25"/>
  <cols>
    <col min="1" max="1" width="18.28515625" style="26" customWidth="1"/>
    <col min="2" max="2" width="14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5.5" customHeight="1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11/10/2025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300</v>
      </c>
      <c r="B9" s="54">
        <v>12.72</v>
      </c>
      <c r="C9" s="54">
        <v>10.95</v>
      </c>
      <c r="D9" s="54">
        <v>15.92</v>
      </c>
      <c r="E9" s="54">
        <v>5.41</v>
      </c>
      <c r="F9" s="54">
        <v>4.7300000000000004</v>
      </c>
      <c r="G9" s="54">
        <v>31.39</v>
      </c>
      <c r="H9" s="54">
        <v>8.1</v>
      </c>
      <c r="I9" s="54">
        <v>2.25</v>
      </c>
      <c r="J9" s="54">
        <v>0.28999999999999998</v>
      </c>
      <c r="K9" s="54">
        <v>322.14</v>
      </c>
      <c r="L9" s="54">
        <v>22.67</v>
      </c>
      <c r="M9" s="54">
        <v>98.32</v>
      </c>
      <c r="N9" s="54">
        <v>41.5</v>
      </c>
      <c r="O9" s="54">
        <v>0</v>
      </c>
      <c r="P9" s="54">
        <v>0.72</v>
      </c>
      <c r="Q9" s="54">
        <v>9.23</v>
      </c>
      <c r="R9" s="43"/>
      <c r="S9" s="43"/>
      <c r="T9" s="43"/>
      <c r="U9" s="43"/>
    </row>
    <row r="10" spans="1:21" s="11" customFormat="1" x14ac:dyDescent="0.25">
      <c r="A10" s="53" t="s">
        <v>301</v>
      </c>
      <c r="B10" s="54">
        <v>12.95</v>
      </c>
      <c r="C10" s="54">
        <v>11.51</v>
      </c>
      <c r="D10" s="54">
        <v>15.05</v>
      </c>
      <c r="E10" s="54">
        <v>5.28</v>
      </c>
      <c r="F10" s="54">
        <v>5.87</v>
      </c>
      <c r="G10" s="54">
        <v>28.32</v>
      </c>
      <c r="H10" s="54">
        <v>6.83</v>
      </c>
      <c r="I10" s="54">
        <v>2.17</v>
      </c>
      <c r="J10" s="54">
        <v>0.74</v>
      </c>
      <c r="K10" s="54">
        <v>337.77</v>
      </c>
      <c r="L10" s="54">
        <v>22.61</v>
      </c>
      <c r="M10" s="54">
        <v>98.46</v>
      </c>
      <c r="N10" s="54">
        <v>41.5</v>
      </c>
      <c r="O10" s="54">
        <v>0</v>
      </c>
      <c r="P10" s="54">
        <v>0.59</v>
      </c>
      <c r="Q10" s="54">
        <v>9.1999999999999993</v>
      </c>
      <c r="R10" s="43"/>
      <c r="S10" s="43"/>
      <c r="T10" s="43"/>
      <c r="U10" s="43"/>
    </row>
    <row r="11" spans="1:21" s="11" customFormat="1" x14ac:dyDescent="0.25">
      <c r="A11" s="53" t="s">
        <v>302</v>
      </c>
      <c r="B11" s="54">
        <v>12.6</v>
      </c>
      <c r="C11" s="54">
        <v>13.24</v>
      </c>
      <c r="D11" s="54">
        <v>15.76</v>
      </c>
      <c r="E11" s="54">
        <v>6.04</v>
      </c>
      <c r="F11" s="54">
        <v>2.84</v>
      </c>
      <c r="G11" s="54">
        <v>29.57</v>
      </c>
      <c r="H11" s="54">
        <v>5.99</v>
      </c>
      <c r="I11" s="54">
        <v>2.37</v>
      </c>
      <c r="J11" s="54">
        <v>0.81</v>
      </c>
      <c r="K11" s="54">
        <v>340.67</v>
      </c>
      <c r="L11" s="54">
        <v>22.38</v>
      </c>
      <c r="M11" s="54">
        <v>98.44</v>
      </c>
      <c r="N11" s="54">
        <v>41.5</v>
      </c>
      <c r="O11" s="54">
        <v>0</v>
      </c>
      <c r="P11" s="54">
        <v>0.6</v>
      </c>
      <c r="Q11" s="54">
        <v>9.2100000000000009</v>
      </c>
      <c r="R11" s="43"/>
      <c r="S11" s="43"/>
      <c r="T11" s="43"/>
      <c r="U11" s="43"/>
    </row>
    <row r="12" spans="1:21" s="11" customFormat="1" x14ac:dyDescent="0.25">
      <c r="A12" s="53" t="s">
        <v>303</v>
      </c>
      <c r="B12" s="54">
        <v>13.38</v>
      </c>
      <c r="C12" s="54">
        <v>14.52</v>
      </c>
      <c r="D12" s="54">
        <v>17.73</v>
      </c>
      <c r="E12" s="54">
        <v>6.37</v>
      </c>
      <c r="F12" s="54">
        <v>2.13</v>
      </c>
      <c r="G12" s="54">
        <v>36.979999999999997</v>
      </c>
      <c r="H12" s="54">
        <v>7.48</v>
      </c>
      <c r="I12" s="54">
        <v>2.62</v>
      </c>
      <c r="J12" s="54">
        <v>0.63</v>
      </c>
      <c r="K12" s="54">
        <v>336.77</v>
      </c>
      <c r="L12" s="54">
        <v>22.15</v>
      </c>
      <c r="M12" s="54">
        <v>98.49</v>
      </c>
      <c r="N12" s="54">
        <v>41.5</v>
      </c>
      <c r="O12" s="54">
        <v>0</v>
      </c>
      <c r="P12" s="54">
        <v>0.69</v>
      </c>
      <c r="Q12" s="54">
        <v>9.2100000000000009</v>
      </c>
      <c r="R12" s="43"/>
      <c r="S12" s="43"/>
      <c r="T12" s="43"/>
      <c r="U12" s="43"/>
    </row>
    <row r="13" spans="1:21" s="11" customFormat="1" x14ac:dyDescent="0.25">
      <c r="A13" s="53" t="s">
        <v>304</v>
      </c>
      <c r="B13" s="54">
        <v>14.39</v>
      </c>
      <c r="C13" s="54">
        <v>8.6199999999999992</v>
      </c>
      <c r="D13" s="54">
        <v>15.92</v>
      </c>
      <c r="E13" s="54">
        <v>6.21</v>
      </c>
      <c r="F13" s="54">
        <v>2.63</v>
      </c>
      <c r="G13" s="54">
        <v>54.24</v>
      </c>
      <c r="H13" s="54">
        <v>6.54</v>
      </c>
      <c r="I13" s="54">
        <v>2.57</v>
      </c>
      <c r="J13" s="54">
        <v>0.41</v>
      </c>
      <c r="K13" s="54">
        <v>348.07</v>
      </c>
      <c r="L13" s="54">
        <v>21.94</v>
      </c>
      <c r="M13" s="54">
        <v>98.45</v>
      </c>
      <c r="N13" s="54">
        <v>41.5</v>
      </c>
      <c r="O13" s="54">
        <v>0</v>
      </c>
      <c r="P13" s="54">
        <v>0.65</v>
      </c>
      <c r="Q13" s="54">
        <v>9.1999999999999993</v>
      </c>
      <c r="R13" s="43"/>
      <c r="S13" s="43"/>
      <c r="T13" s="43"/>
      <c r="U13" s="43"/>
    </row>
    <row r="14" spans="1:21" s="11" customFormat="1" x14ac:dyDescent="0.25">
      <c r="A14" s="53" t="s">
        <v>305</v>
      </c>
      <c r="B14" s="54">
        <v>15.75</v>
      </c>
      <c r="C14" s="54">
        <v>8.3000000000000007</v>
      </c>
      <c r="D14" s="54">
        <v>16.920000000000002</v>
      </c>
      <c r="E14" s="54">
        <v>6.15</v>
      </c>
      <c r="F14" s="54">
        <v>2.1</v>
      </c>
      <c r="G14" s="54">
        <v>52.03</v>
      </c>
      <c r="H14" s="54">
        <v>5.89</v>
      </c>
      <c r="I14" s="54">
        <v>2.57</v>
      </c>
      <c r="J14" s="54">
        <v>0.3</v>
      </c>
      <c r="K14" s="54">
        <v>339.73</v>
      </c>
      <c r="L14" s="54">
        <v>21.82</v>
      </c>
      <c r="M14" s="54">
        <v>98.41</v>
      </c>
      <c r="N14" s="54">
        <v>46.6</v>
      </c>
      <c r="O14" s="54">
        <v>0</v>
      </c>
      <c r="P14" s="54">
        <v>0.62</v>
      </c>
      <c r="Q14" s="54">
        <v>9.1999999999999993</v>
      </c>
      <c r="R14" s="43"/>
      <c r="S14" s="43"/>
      <c r="T14" s="43"/>
      <c r="U14" s="43"/>
    </row>
    <row r="15" spans="1:21" s="11" customFormat="1" x14ac:dyDescent="0.25">
      <c r="A15" s="53" t="s">
        <v>306</v>
      </c>
      <c r="B15" s="54">
        <v>24.87</v>
      </c>
      <c r="C15" s="54">
        <v>10.62</v>
      </c>
      <c r="D15" s="54">
        <v>25.49</v>
      </c>
      <c r="E15" s="54">
        <v>5.95</v>
      </c>
      <c r="F15" s="54">
        <v>2.1</v>
      </c>
      <c r="G15" s="54">
        <v>49.19</v>
      </c>
      <c r="H15" s="54">
        <v>5.44</v>
      </c>
      <c r="I15" s="54">
        <v>2.56</v>
      </c>
      <c r="J15" s="54">
        <v>0.62</v>
      </c>
      <c r="K15" s="54">
        <v>342.75</v>
      </c>
      <c r="L15" s="54">
        <v>22.28</v>
      </c>
      <c r="M15" s="54">
        <v>98.45</v>
      </c>
      <c r="N15" s="54">
        <v>84</v>
      </c>
      <c r="O15" s="54">
        <v>0</v>
      </c>
      <c r="P15" s="54">
        <v>0.57999999999999996</v>
      </c>
      <c r="Q15" s="54">
        <v>9.27</v>
      </c>
      <c r="R15" s="43"/>
      <c r="S15" s="43"/>
      <c r="T15" s="43"/>
      <c r="U15" s="43"/>
    </row>
    <row r="16" spans="1:21" s="11" customFormat="1" x14ac:dyDescent="0.25">
      <c r="A16" s="53" t="s">
        <v>307</v>
      </c>
      <c r="B16" s="54">
        <v>24.93</v>
      </c>
      <c r="C16" s="54">
        <v>10.51</v>
      </c>
      <c r="D16" s="54">
        <v>24.79</v>
      </c>
      <c r="E16" s="54">
        <v>6.76</v>
      </c>
      <c r="F16" s="54">
        <v>2.1</v>
      </c>
      <c r="G16" s="54">
        <v>48.02</v>
      </c>
      <c r="H16" s="54">
        <v>6.58</v>
      </c>
      <c r="I16" s="54">
        <v>2.5099999999999998</v>
      </c>
      <c r="J16" s="54">
        <v>0.76</v>
      </c>
      <c r="K16" s="54">
        <v>345.46</v>
      </c>
      <c r="L16" s="54">
        <v>23.56</v>
      </c>
      <c r="M16" s="54">
        <v>98.4</v>
      </c>
      <c r="N16" s="54">
        <v>122.5</v>
      </c>
      <c r="O16" s="54">
        <v>0</v>
      </c>
      <c r="P16" s="54">
        <v>0.76</v>
      </c>
      <c r="Q16" s="54">
        <v>9.32</v>
      </c>
      <c r="R16" s="43"/>
      <c r="S16" s="43"/>
      <c r="T16" s="43"/>
      <c r="U16" s="43"/>
    </row>
    <row r="17" spans="1:21" s="11" customFormat="1" x14ac:dyDescent="0.25">
      <c r="A17" s="53" t="s">
        <v>308</v>
      </c>
      <c r="B17" s="54">
        <v>23.9</v>
      </c>
      <c r="C17" s="54">
        <v>12.34</v>
      </c>
      <c r="D17" s="54">
        <v>25.61</v>
      </c>
      <c r="E17" s="54">
        <v>7.69</v>
      </c>
      <c r="F17" s="54">
        <v>2.39</v>
      </c>
      <c r="G17" s="54">
        <v>55.6</v>
      </c>
      <c r="H17" s="54">
        <v>6.09</v>
      </c>
      <c r="I17" s="54">
        <v>2.5099999999999998</v>
      </c>
      <c r="J17" s="54">
        <v>0.54</v>
      </c>
      <c r="K17" s="54">
        <v>343.02</v>
      </c>
      <c r="L17" s="54">
        <v>24.88</v>
      </c>
      <c r="M17" s="54">
        <v>98.27</v>
      </c>
      <c r="N17" s="54">
        <v>240.4</v>
      </c>
      <c r="O17" s="54">
        <v>0</v>
      </c>
      <c r="P17" s="54">
        <v>0.83</v>
      </c>
      <c r="Q17" s="54">
        <v>9.39</v>
      </c>
      <c r="R17" s="43"/>
      <c r="S17" s="43"/>
      <c r="T17" s="43"/>
      <c r="U17" s="43"/>
    </row>
    <row r="18" spans="1:21" s="11" customFormat="1" x14ac:dyDescent="0.25">
      <c r="A18" s="53" t="s">
        <v>309</v>
      </c>
      <c r="B18" s="54">
        <v>24.44</v>
      </c>
      <c r="C18" s="54">
        <v>17.61</v>
      </c>
      <c r="D18" s="54">
        <v>28.8</v>
      </c>
      <c r="E18" s="54">
        <v>8.2100000000000009</v>
      </c>
      <c r="F18" s="54">
        <v>7.19</v>
      </c>
      <c r="G18" s="54">
        <v>59.27</v>
      </c>
      <c r="H18" s="54">
        <v>5.73</v>
      </c>
      <c r="I18" s="54">
        <v>2.44</v>
      </c>
      <c r="J18" s="54">
        <v>0.71</v>
      </c>
      <c r="K18" s="54">
        <v>342.09</v>
      </c>
      <c r="L18" s="54">
        <v>30.09</v>
      </c>
      <c r="M18" s="54">
        <v>97.18</v>
      </c>
      <c r="N18" s="54">
        <v>553.20000000000005</v>
      </c>
      <c r="O18" s="54">
        <v>0</v>
      </c>
      <c r="P18" s="54">
        <v>0.84</v>
      </c>
      <c r="Q18" s="54">
        <v>9.39</v>
      </c>
      <c r="R18" s="43"/>
      <c r="S18" s="43"/>
      <c r="T18" s="43"/>
      <c r="U18" s="43"/>
    </row>
    <row r="19" spans="1:21" s="11" customFormat="1" x14ac:dyDescent="0.25">
      <c r="A19" s="53" t="s">
        <v>310</v>
      </c>
      <c r="B19" s="54">
        <v>18.04</v>
      </c>
      <c r="C19" s="54">
        <v>23.8</v>
      </c>
      <c r="D19" s="54">
        <v>26.9</v>
      </c>
      <c r="E19" s="54">
        <v>9.24</v>
      </c>
      <c r="F19" s="54">
        <v>10.1</v>
      </c>
      <c r="G19" s="54">
        <v>52.51</v>
      </c>
      <c r="H19" s="54">
        <v>5.68</v>
      </c>
      <c r="I19" s="54">
        <v>2.42</v>
      </c>
      <c r="J19" s="54">
        <v>1.1299999999999999</v>
      </c>
      <c r="K19" s="54">
        <v>337.59</v>
      </c>
      <c r="L19" s="54">
        <v>30.3</v>
      </c>
      <c r="M19" s="54">
        <v>87.24</v>
      </c>
      <c r="N19" s="54">
        <v>415.1</v>
      </c>
      <c r="O19" s="54">
        <v>0</v>
      </c>
      <c r="P19" s="54">
        <v>0.87</v>
      </c>
      <c r="Q19" s="54">
        <v>9.3699999999999992</v>
      </c>
      <c r="R19" s="43"/>
      <c r="S19" s="43"/>
      <c r="T19" s="43"/>
      <c r="U19" s="43"/>
    </row>
    <row r="20" spans="1:21" s="11" customFormat="1" x14ac:dyDescent="0.25">
      <c r="A20" s="53" t="s">
        <v>311</v>
      </c>
      <c r="B20" s="54">
        <v>18.61</v>
      </c>
      <c r="C20" s="54">
        <v>25.42</v>
      </c>
      <c r="D20" s="54">
        <v>27.6</v>
      </c>
      <c r="E20" s="54">
        <v>10.42</v>
      </c>
      <c r="F20" s="54">
        <v>10.83</v>
      </c>
      <c r="G20" s="54">
        <v>61.21</v>
      </c>
      <c r="H20" s="54">
        <v>10.07</v>
      </c>
      <c r="I20" s="54">
        <v>2.4300000000000002</v>
      </c>
      <c r="J20" s="54">
        <v>1.03</v>
      </c>
      <c r="K20" s="54">
        <v>338.61</v>
      </c>
      <c r="L20" s="54">
        <v>29.25</v>
      </c>
      <c r="M20" s="54">
        <v>83.57</v>
      </c>
      <c r="N20" s="54">
        <v>452.8</v>
      </c>
      <c r="O20" s="54">
        <v>0</v>
      </c>
      <c r="P20" s="54">
        <v>0.86</v>
      </c>
      <c r="Q20" s="54">
        <v>9.26</v>
      </c>
      <c r="R20" s="43"/>
      <c r="S20" s="43"/>
      <c r="T20" s="43"/>
      <c r="U20" s="43"/>
    </row>
    <row r="21" spans="1:21" s="11" customFormat="1" x14ac:dyDescent="0.25">
      <c r="A21" s="53" t="s">
        <v>312</v>
      </c>
      <c r="B21" s="54">
        <v>12.54</v>
      </c>
      <c r="C21" s="54">
        <v>22.28</v>
      </c>
      <c r="D21" s="54">
        <v>20.65</v>
      </c>
      <c r="E21" s="54">
        <v>9.9</v>
      </c>
      <c r="F21" s="54">
        <v>11.13</v>
      </c>
      <c r="G21" s="54">
        <v>62.92</v>
      </c>
      <c r="H21" s="54">
        <v>9.77</v>
      </c>
      <c r="I21" s="54">
        <v>2.44</v>
      </c>
      <c r="J21" s="54">
        <v>1.21</v>
      </c>
      <c r="K21" s="54">
        <v>340.66</v>
      </c>
      <c r="L21" s="54">
        <v>30.54</v>
      </c>
      <c r="M21" s="54">
        <v>76.67</v>
      </c>
      <c r="N21" s="54">
        <v>512.29999999999995</v>
      </c>
      <c r="O21" s="54">
        <v>0</v>
      </c>
      <c r="P21" s="54">
        <v>0.81</v>
      </c>
      <c r="Q21" s="54">
        <v>9.3000000000000007</v>
      </c>
      <c r="R21" s="43"/>
      <c r="S21" s="43"/>
      <c r="T21" s="43"/>
      <c r="U21" s="43"/>
    </row>
    <row r="22" spans="1:21" s="11" customFormat="1" x14ac:dyDescent="0.25">
      <c r="A22" s="53" t="s">
        <v>313</v>
      </c>
      <c r="B22" s="54">
        <v>10.31</v>
      </c>
      <c r="C22" s="54">
        <v>18.66</v>
      </c>
      <c r="D22" s="54">
        <v>17.850000000000001</v>
      </c>
      <c r="E22" s="54">
        <v>8.44</v>
      </c>
      <c r="F22" s="54">
        <v>12.93</v>
      </c>
      <c r="G22" s="54">
        <v>59.94</v>
      </c>
      <c r="H22" s="54">
        <v>9.1300000000000008</v>
      </c>
      <c r="I22" s="54">
        <v>2.23</v>
      </c>
      <c r="J22" s="54">
        <v>1.26</v>
      </c>
      <c r="K22" s="54">
        <v>336.45</v>
      </c>
      <c r="L22" s="54">
        <v>30.38</v>
      </c>
      <c r="M22" s="54">
        <v>79.94</v>
      </c>
      <c r="N22" s="54">
        <v>312.7</v>
      </c>
      <c r="O22" s="54">
        <v>0</v>
      </c>
      <c r="P22" s="54">
        <v>0.67</v>
      </c>
      <c r="Q22" s="54">
        <v>9.18</v>
      </c>
      <c r="R22" s="43"/>
      <c r="S22" s="43"/>
      <c r="T22" s="43"/>
      <c r="U22" s="43"/>
    </row>
    <row r="23" spans="1:21" s="11" customFormat="1" x14ac:dyDescent="0.25">
      <c r="A23" s="53" t="s">
        <v>314</v>
      </c>
      <c r="B23" s="54">
        <v>12.98</v>
      </c>
      <c r="C23" s="54">
        <v>14.78</v>
      </c>
      <c r="D23" s="54">
        <v>17.100000000000001</v>
      </c>
      <c r="E23" s="54">
        <v>7.71</v>
      </c>
      <c r="F23" s="54">
        <v>11.4</v>
      </c>
      <c r="G23" s="54">
        <v>54.68</v>
      </c>
      <c r="H23" s="54">
        <v>8.07</v>
      </c>
      <c r="I23" s="54">
        <v>2.1</v>
      </c>
      <c r="J23" s="54">
        <v>2.2599999999999998</v>
      </c>
      <c r="K23" s="54">
        <v>335.65</v>
      </c>
      <c r="L23" s="54">
        <v>29.99</v>
      </c>
      <c r="M23" s="54">
        <v>91.98</v>
      </c>
      <c r="N23" s="54">
        <v>275.3</v>
      </c>
      <c r="O23" s="54">
        <v>0</v>
      </c>
      <c r="P23" s="54">
        <v>0.65</v>
      </c>
      <c r="Q23" s="54">
        <v>9.1199999999999992</v>
      </c>
      <c r="R23" s="43"/>
      <c r="S23" s="43"/>
      <c r="T23" s="43"/>
      <c r="U23" s="43"/>
    </row>
    <row r="24" spans="1:21" s="11" customFormat="1" x14ac:dyDescent="0.25">
      <c r="A24" s="53" t="s">
        <v>315</v>
      </c>
      <c r="B24" s="54">
        <v>10.69</v>
      </c>
      <c r="C24" s="54">
        <v>19.579999999999998</v>
      </c>
      <c r="D24" s="54">
        <v>16.87</v>
      </c>
      <c r="E24" s="54">
        <v>7.46</v>
      </c>
      <c r="F24" s="54">
        <v>14.79</v>
      </c>
      <c r="G24" s="54">
        <v>46.22</v>
      </c>
      <c r="H24" s="54">
        <v>7.95</v>
      </c>
      <c r="I24" s="54">
        <v>1.88</v>
      </c>
      <c r="J24" s="54">
        <v>1.94</v>
      </c>
      <c r="K24" s="54">
        <v>336.47</v>
      </c>
      <c r="L24" s="54">
        <v>27.13</v>
      </c>
      <c r="M24" s="54">
        <v>97.93</v>
      </c>
      <c r="N24" s="54">
        <v>179.9</v>
      </c>
      <c r="O24" s="54">
        <v>0</v>
      </c>
      <c r="P24" s="54">
        <v>0.5</v>
      </c>
      <c r="Q24" s="54">
        <v>9.1300000000000008</v>
      </c>
      <c r="R24" s="43"/>
      <c r="S24" s="43"/>
      <c r="T24" s="43"/>
      <c r="U24" s="43"/>
    </row>
    <row r="25" spans="1:21" s="11" customFormat="1" x14ac:dyDescent="0.25">
      <c r="A25" s="53" t="s">
        <v>316</v>
      </c>
      <c r="B25" s="54">
        <v>11.08</v>
      </c>
      <c r="C25" s="54">
        <v>18.04</v>
      </c>
      <c r="D25" s="54">
        <v>18.260000000000002</v>
      </c>
      <c r="E25" s="54">
        <v>6.85</v>
      </c>
      <c r="F25" s="54">
        <v>9.92</v>
      </c>
      <c r="G25" s="54">
        <v>35.880000000000003</v>
      </c>
      <c r="H25" s="54">
        <v>6.72</v>
      </c>
      <c r="I25" s="54">
        <v>1.69</v>
      </c>
      <c r="J25" s="54">
        <v>0.64</v>
      </c>
      <c r="K25" s="54">
        <v>323.58</v>
      </c>
      <c r="L25" s="54">
        <v>24.94</v>
      </c>
      <c r="M25" s="54">
        <v>97.97</v>
      </c>
      <c r="N25" s="54">
        <v>117.4</v>
      </c>
      <c r="O25" s="54">
        <v>0</v>
      </c>
      <c r="P25" s="54">
        <v>0.51</v>
      </c>
      <c r="Q25" s="54">
        <v>9.1199999999999992</v>
      </c>
      <c r="R25" s="43"/>
      <c r="S25" s="43"/>
      <c r="T25" s="43"/>
      <c r="U25" s="43"/>
    </row>
    <row r="26" spans="1:21" s="11" customFormat="1" x14ac:dyDescent="0.25">
      <c r="A26" s="53" t="s">
        <v>317</v>
      </c>
      <c r="B26" s="54">
        <v>12.25</v>
      </c>
      <c r="C26" s="54">
        <v>23.84</v>
      </c>
      <c r="D26" s="54">
        <v>22.27</v>
      </c>
      <c r="E26" s="54">
        <v>6.18</v>
      </c>
      <c r="F26" s="54">
        <v>10.199999999999999</v>
      </c>
      <c r="G26" s="54">
        <v>18.77</v>
      </c>
      <c r="H26" s="54">
        <v>5.86</v>
      </c>
      <c r="I26" s="54">
        <v>1.58</v>
      </c>
      <c r="J26" s="54">
        <v>0.82</v>
      </c>
      <c r="K26" s="54">
        <v>133.77000000000001</v>
      </c>
      <c r="L26" s="54">
        <v>23.98</v>
      </c>
      <c r="M26" s="54">
        <v>98.05</v>
      </c>
      <c r="N26" s="54">
        <v>52.3</v>
      </c>
      <c r="O26" s="54">
        <v>0</v>
      </c>
      <c r="P26" s="54">
        <v>0.52</v>
      </c>
      <c r="Q26" s="54">
        <v>9.1</v>
      </c>
      <c r="R26" s="43"/>
      <c r="S26" s="43"/>
      <c r="T26" s="43"/>
      <c r="U26" s="43"/>
    </row>
    <row r="27" spans="1:21" s="11" customFormat="1" x14ac:dyDescent="0.25">
      <c r="A27" s="53" t="s">
        <v>318</v>
      </c>
      <c r="B27" s="54">
        <v>11.22</v>
      </c>
      <c r="C27" s="54">
        <v>18.059999999999999</v>
      </c>
      <c r="D27" s="54">
        <v>18.440000000000001</v>
      </c>
      <c r="E27" s="54">
        <v>5.57</v>
      </c>
      <c r="F27" s="54">
        <v>5.87</v>
      </c>
      <c r="G27" s="54">
        <v>25.75</v>
      </c>
      <c r="H27" s="54">
        <v>5.3</v>
      </c>
      <c r="I27" s="54">
        <v>1.58</v>
      </c>
      <c r="J27" s="54">
        <v>0.5</v>
      </c>
      <c r="K27" s="54">
        <v>334.72</v>
      </c>
      <c r="L27" s="54">
        <v>23.14</v>
      </c>
      <c r="M27" s="54">
        <v>98.13</v>
      </c>
      <c r="N27" s="54">
        <v>41.7</v>
      </c>
      <c r="O27" s="54">
        <v>0</v>
      </c>
      <c r="P27" s="54">
        <v>0.52</v>
      </c>
      <c r="Q27" s="54">
        <v>9.1199999999999992</v>
      </c>
      <c r="R27" s="43"/>
      <c r="S27" s="43"/>
      <c r="T27" s="43"/>
      <c r="U27" s="43"/>
    </row>
    <row r="28" spans="1:21" s="11" customFormat="1" x14ac:dyDescent="0.25">
      <c r="A28" s="53" t="s">
        <v>319</v>
      </c>
      <c r="B28" s="54">
        <v>15.1</v>
      </c>
      <c r="C28" s="54">
        <v>13.2</v>
      </c>
      <c r="D28" s="54">
        <v>19</v>
      </c>
      <c r="E28" s="54">
        <v>5.96</v>
      </c>
      <c r="F28" s="54">
        <v>4.22</v>
      </c>
      <c r="G28" s="54">
        <v>25.36</v>
      </c>
      <c r="H28" s="54">
        <v>8.4</v>
      </c>
      <c r="I28" s="54">
        <v>1.72</v>
      </c>
      <c r="J28" s="54">
        <v>0.82</v>
      </c>
      <c r="K28" s="54">
        <v>333.35</v>
      </c>
      <c r="L28" s="54">
        <v>22.7</v>
      </c>
      <c r="M28" s="54">
        <v>98.09</v>
      </c>
      <c r="N28" s="54">
        <v>41.5</v>
      </c>
      <c r="O28" s="54">
        <v>0</v>
      </c>
      <c r="P28" s="54">
        <v>0.55000000000000004</v>
      </c>
      <c r="Q28" s="54">
        <v>9.19</v>
      </c>
      <c r="R28" s="43"/>
      <c r="S28" s="43"/>
      <c r="T28" s="43"/>
      <c r="U28" s="43"/>
    </row>
    <row r="29" spans="1:21" s="11" customFormat="1" x14ac:dyDescent="0.25">
      <c r="A29" s="53" t="s">
        <v>320</v>
      </c>
      <c r="B29" s="54">
        <v>19.489999999999998</v>
      </c>
      <c r="C29" s="54">
        <v>13.25</v>
      </c>
      <c r="D29" s="54">
        <v>22.09</v>
      </c>
      <c r="E29" s="54">
        <v>6.57</v>
      </c>
      <c r="F29" s="54">
        <v>2.12</v>
      </c>
      <c r="G29" s="54">
        <v>25.47</v>
      </c>
      <c r="H29" s="54">
        <v>7.31</v>
      </c>
      <c r="I29" s="54">
        <v>1.94</v>
      </c>
      <c r="J29" s="54">
        <v>0.83</v>
      </c>
      <c r="K29" s="54">
        <v>334.94</v>
      </c>
      <c r="L29" s="54">
        <v>22.31</v>
      </c>
      <c r="M29" s="54">
        <v>98.07</v>
      </c>
      <c r="N29" s="54">
        <v>41.7</v>
      </c>
      <c r="O29" s="54">
        <v>0</v>
      </c>
      <c r="P29" s="54">
        <v>0.65</v>
      </c>
      <c r="Q29" s="54">
        <v>9.24</v>
      </c>
      <c r="R29" s="43"/>
      <c r="S29" s="43"/>
      <c r="T29" s="43"/>
      <c r="U29" s="43"/>
    </row>
    <row r="30" spans="1:21" s="11" customFormat="1" x14ac:dyDescent="0.25">
      <c r="A30" s="53" t="s">
        <v>321</v>
      </c>
      <c r="B30" s="54">
        <v>20.62</v>
      </c>
      <c r="C30" s="54">
        <v>11.4</v>
      </c>
      <c r="D30" s="54">
        <v>22.43</v>
      </c>
      <c r="E30" s="54">
        <v>6.67</v>
      </c>
      <c r="F30" s="54">
        <v>2.1</v>
      </c>
      <c r="G30" s="54">
        <v>31.83</v>
      </c>
      <c r="H30" s="54">
        <v>6.55</v>
      </c>
      <c r="I30" s="54">
        <v>2.16</v>
      </c>
      <c r="J30" s="54">
        <v>0.49</v>
      </c>
      <c r="K30" s="54">
        <v>341.63</v>
      </c>
      <c r="L30" s="54">
        <v>22.11</v>
      </c>
      <c r="M30" s="54">
        <v>98.12</v>
      </c>
      <c r="N30" s="54">
        <v>41.7</v>
      </c>
      <c r="O30" s="54">
        <v>0</v>
      </c>
      <c r="P30" s="54">
        <v>0.65</v>
      </c>
      <c r="Q30" s="54">
        <v>9.2799999999999994</v>
      </c>
      <c r="R30" s="43"/>
      <c r="S30" s="43"/>
      <c r="T30" s="43"/>
      <c r="U30" s="43"/>
    </row>
    <row r="31" spans="1:21" s="11" customFormat="1" x14ac:dyDescent="0.25">
      <c r="A31" s="53" t="s">
        <v>322</v>
      </c>
      <c r="B31" s="54">
        <v>19.96</v>
      </c>
      <c r="C31" s="54">
        <v>11.96</v>
      </c>
      <c r="D31" s="54">
        <v>20.89</v>
      </c>
      <c r="E31" s="54">
        <v>5.87</v>
      </c>
      <c r="F31" s="54">
        <v>2.15</v>
      </c>
      <c r="G31" s="54">
        <v>35</v>
      </c>
      <c r="H31" s="54">
        <v>6.01</v>
      </c>
      <c r="I31" s="54">
        <v>2.19</v>
      </c>
      <c r="J31" s="54">
        <v>0.63</v>
      </c>
      <c r="K31" s="54">
        <v>335.92</v>
      </c>
      <c r="L31" s="54">
        <v>21.6</v>
      </c>
      <c r="M31" s="54">
        <v>98.14</v>
      </c>
      <c r="N31" s="54">
        <v>41.5</v>
      </c>
      <c r="O31" s="54">
        <v>0</v>
      </c>
      <c r="P31" s="54">
        <v>0.63</v>
      </c>
      <c r="Q31" s="54">
        <v>9.31</v>
      </c>
      <c r="R31" s="43"/>
      <c r="S31" s="43"/>
      <c r="T31" s="43"/>
      <c r="U31" s="43"/>
    </row>
    <row r="32" spans="1:21" s="11" customFormat="1" x14ac:dyDescent="0.25">
      <c r="A32" s="53" t="s">
        <v>323</v>
      </c>
      <c r="B32" s="54">
        <v>19.34</v>
      </c>
      <c r="C32" s="54">
        <v>10.63</v>
      </c>
      <c r="D32" s="54">
        <v>20.149999999999999</v>
      </c>
      <c r="E32" s="54">
        <v>5.93</v>
      </c>
      <c r="F32" s="54">
        <v>2.1</v>
      </c>
      <c r="G32" s="54">
        <v>30.72</v>
      </c>
      <c r="H32" s="54">
        <v>9.6</v>
      </c>
      <c r="I32" s="54">
        <v>2.21</v>
      </c>
      <c r="J32" s="54">
        <v>0.74</v>
      </c>
      <c r="K32" s="54">
        <v>342.02</v>
      </c>
      <c r="L32" s="54">
        <v>21.38</v>
      </c>
      <c r="M32" s="54">
        <v>98.07</v>
      </c>
      <c r="N32" s="54">
        <v>41.5</v>
      </c>
      <c r="O32" s="54">
        <v>0</v>
      </c>
      <c r="P32" s="54">
        <v>0.61</v>
      </c>
      <c r="Q32" s="54">
        <v>9.34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10.31</v>
      </c>
      <c r="C34" s="28">
        <f t="shared" si="0"/>
        <v>8.3000000000000007</v>
      </c>
      <c r="D34" s="28">
        <f t="shared" si="0"/>
        <v>15.05</v>
      </c>
      <c r="E34" s="28">
        <f t="shared" si="0"/>
        <v>5.28</v>
      </c>
      <c r="F34" s="28">
        <f t="shared" si="0"/>
        <v>2.1</v>
      </c>
      <c r="G34" s="28">
        <f t="shared" si="0"/>
        <v>18.77</v>
      </c>
      <c r="H34" s="28">
        <f t="shared" si="0"/>
        <v>5.3</v>
      </c>
      <c r="I34" s="28">
        <f t="shared" si="0"/>
        <v>1.58</v>
      </c>
      <c r="J34" s="28">
        <f t="shared" si="0"/>
        <v>0.28999999999999998</v>
      </c>
      <c r="K34" s="28">
        <f t="shared" si="0"/>
        <v>133.77000000000001</v>
      </c>
      <c r="L34" s="28">
        <f t="shared" si="0"/>
        <v>21.38</v>
      </c>
      <c r="M34" s="28">
        <f t="shared" si="0"/>
        <v>76.67</v>
      </c>
      <c r="N34" s="28">
        <f t="shared" si="0"/>
        <v>41.5</v>
      </c>
      <c r="O34" s="28">
        <f t="shared" si="0"/>
        <v>0</v>
      </c>
      <c r="P34" s="28">
        <f t="shared" si="0"/>
        <v>0.5</v>
      </c>
      <c r="Q34" s="28">
        <f t="shared" si="0"/>
        <v>9.1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24.93</v>
      </c>
      <c r="C35" s="29">
        <f t="shared" si="1"/>
        <v>25.42</v>
      </c>
      <c r="D35" s="29">
        <f t="shared" si="1"/>
        <v>28.8</v>
      </c>
      <c r="E35" s="29">
        <f t="shared" si="1"/>
        <v>10.42</v>
      </c>
      <c r="F35" s="29">
        <f t="shared" si="1"/>
        <v>14.79</v>
      </c>
      <c r="G35" s="29">
        <f t="shared" si="1"/>
        <v>62.92</v>
      </c>
      <c r="H35" s="29">
        <f t="shared" si="1"/>
        <v>10.07</v>
      </c>
      <c r="I35" s="29">
        <f t="shared" si="1"/>
        <v>2.62</v>
      </c>
      <c r="J35" s="29">
        <f t="shared" si="1"/>
        <v>2.2599999999999998</v>
      </c>
      <c r="K35" s="29">
        <f t="shared" si="1"/>
        <v>348.07</v>
      </c>
      <c r="L35" s="29">
        <f t="shared" si="1"/>
        <v>30.54</v>
      </c>
      <c r="M35" s="29">
        <f t="shared" si="1"/>
        <v>98.49</v>
      </c>
      <c r="N35" s="29">
        <f t="shared" si="1"/>
        <v>553.20000000000005</v>
      </c>
      <c r="O35" s="29">
        <f t="shared" si="1"/>
        <v>0</v>
      </c>
      <c r="P35" s="29">
        <f t="shared" si="1"/>
        <v>0.87</v>
      </c>
      <c r="Q35" s="29">
        <f t="shared" si="1"/>
        <v>9.39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16.34</v>
      </c>
      <c r="C36" s="28">
        <f t="shared" si="2"/>
        <v>15.129999999999997</v>
      </c>
      <c r="D36" s="28">
        <f t="shared" si="2"/>
        <v>20.520416666666666</v>
      </c>
      <c r="E36" s="28">
        <f t="shared" si="2"/>
        <v>6.9516666666666653</v>
      </c>
      <c r="F36" s="28">
        <f t="shared" si="2"/>
        <v>5.9974999999999996</v>
      </c>
      <c r="G36" s="28">
        <f t="shared" si="2"/>
        <v>42.119583333333338</v>
      </c>
      <c r="H36" s="28">
        <f t="shared" si="2"/>
        <v>7.1287500000000001</v>
      </c>
      <c r="I36" s="28">
        <f t="shared" si="2"/>
        <v>2.2141666666666664</v>
      </c>
      <c r="J36" s="28">
        <f t="shared" si="2"/>
        <v>0.83791666666666631</v>
      </c>
      <c r="K36" s="28">
        <f t="shared" si="2"/>
        <v>329.32625000000002</v>
      </c>
      <c r="L36" s="28">
        <f t="shared" si="2"/>
        <v>24.755416666666665</v>
      </c>
      <c r="M36" s="28">
        <f t="shared" si="2"/>
        <v>95.201666666666654</v>
      </c>
      <c r="N36" s="28">
        <f t="shared" si="2"/>
        <v>159.23333333333335</v>
      </c>
      <c r="O36" s="28">
        <f t="shared" si="2"/>
        <v>0</v>
      </c>
      <c r="P36" s="28">
        <f t="shared" si="2"/>
        <v>0.66166666666666674</v>
      </c>
      <c r="Q36" s="28">
        <f t="shared" si="2"/>
        <v>9.2366666666666681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4.8694156421127417</v>
      </c>
      <c r="C37" s="28">
        <f t="shared" ref="C37:Q37" si="3">STDEV(C9:C32)</f>
        <v>5.0567157239698171</v>
      </c>
      <c r="D37" s="28">
        <f t="shared" si="3"/>
        <v>4.1558345357347735</v>
      </c>
      <c r="E37" s="28">
        <f t="shared" si="3"/>
        <v>1.4087634623149645</v>
      </c>
      <c r="F37" s="28">
        <f t="shared" si="3"/>
        <v>4.2499138098677198</v>
      </c>
      <c r="G37" s="28">
        <f t="shared" si="3"/>
        <v>13.814228795345191</v>
      </c>
      <c r="H37" s="28">
        <f t="shared" si="3"/>
        <v>1.4487995405492267</v>
      </c>
      <c r="I37" s="28">
        <f t="shared" si="3"/>
        <v>0.32690800017697647</v>
      </c>
      <c r="J37" s="28">
        <f t="shared" si="3"/>
        <v>0.46572037856904341</v>
      </c>
      <c r="K37" s="28">
        <f t="shared" si="3"/>
        <v>42.061176647572388</v>
      </c>
      <c r="L37" s="28">
        <f t="shared" si="3"/>
        <v>3.3933079655809739</v>
      </c>
      <c r="M37" s="28">
        <f t="shared" si="3"/>
        <v>6.4462410122803986</v>
      </c>
      <c r="N37" s="28">
        <f t="shared" si="3"/>
        <v>169.49610144719287</v>
      </c>
      <c r="O37" s="28">
        <f t="shared" si="3"/>
        <v>0</v>
      </c>
      <c r="P37" s="28">
        <f t="shared" si="3"/>
        <v>0.11461340185186826</v>
      </c>
      <c r="Q37" s="28">
        <f t="shared" si="3"/>
        <v>8.775790149816913E-2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12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13" sqref="G1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12/10/2025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324</v>
      </c>
      <c r="B9" s="54">
        <v>17.239999999999998</v>
      </c>
      <c r="C9" s="54">
        <v>12.65</v>
      </c>
      <c r="D9" s="54">
        <v>18.59</v>
      </c>
      <c r="E9" s="54">
        <v>6.64</v>
      </c>
      <c r="F9" s="54">
        <v>2.1</v>
      </c>
      <c r="G9" s="54">
        <v>29.36</v>
      </c>
      <c r="H9" s="54">
        <v>7.87</v>
      </c>
      <c r="I9" s="54">
        <v>2.16</v>
      </c>
      <c r="J9" s="54">
        <v>0.78</v>
      </c>
      <c r="K9" s="54">
        <v>338.73</v>
      </c>
      <c r="L9" s="54">
        <v>21.22</v>
      </c>
      <c r="M9" s="54">
        <v>98.08</v>
      </c>
      <c r="N9" s="54">
        <v>41.5</v>
      </c>
      <c r="O9" s="54">
        <v>0</v>
      </c>
      <c r="P9" s="54">
        <v>0.57999999999999996</v>
      </c>
      <c r="Q9" s="54">
        <v>9.34</v>
      </c>
      <c r="R9" s="43"/>
      <c r="S9" s="43"/>
      <c r="T9" s="43"/>
      <c r="U9" s="43"/>
    </row>
    <row r="10" spans="1:21" s="11" customFormat="1" x14ac:dyDescent="0.25">
      <c r="A10" s="53" t="s">
        <v>325</v>
      </c>
      <c r="B10" s="54">
        <v>16.46</v>
      </c>
      <c r="C10" s="54">
        <v>12.56</v>
      </c>
      <c r="D10" s="54">
        <v>18.37</v>
      </c>
      <c r="E10" s="54">
        <v>6.58</v>
      </c>
      <c r="F10" s="54">
        <v>2.1</v>
      </c>
      <c r="G10" s="54">
        <v>32.03</v>
      </c>
      <c r="H10" s="54">
        <v>6.67</v>
      </c>
      <c r="I10" s="54">
        <v>2.0299999999999998</v>
      </c>
      <c r="J10" s="54">
        <v>0.42</v>
      </c>
      <c r="K10" s="54">
        <v>340.13</v>
      </c>
      <c r="L10" s="54">
        <v>21.3</v>
      </c>
      <c r="M10" s="54">
        <v>98.13</v>
      </c>
      <c r="N10" s="54">
        <v>41.9</v>
      </c>
      <c r="O10" s="54">
        <v>0</v>
      </c>
      <c r="P10" s="54">
        <v>0.62</v>
      </c>
      <c r="Q10" s="54">
        <v>9.34</v>
      </c>
      <c r="R10" s="43"/>
      <c r="S10" s="43"/>
      <c r="T10" s="43"/>
      <c r="U10" s="43"/>
    </row>
    <row r="11" spans="1:21" s="11" customFormat="1" x14ac:dyDescent="0.25">
      <c r="A11" s="53" t="s">
        <v>326</v>
      </c>
      <c r="B11" s="54">
        <v>18.84</v>
      </c>
      <c r="C11" s="54">
        <v>9.9700000000000006</v>
      </c>
      <c r="D11" s="54">
        <v>17.489999999999998</v>
      </c>
      <c r="E11" s="54">
        <v>6.25</v>
      </c>
      <c r="F11" s="54">
        <v>2.1</v>
      </c>
      <c r="G11" s="54">
        <v>34.39</v>
      </c>
      <c r="H11" s="54">
        <v>5.82</v>
      </c>
      <c r="I11" s="54">
        <v>1.95</v>
      </c>
      <c r="J11" s="54">
        <v>0.56999999999999995</v>
      </c>
      <c r="K11" s="54">
        <v>340.66</v>
      </c>
      <c r="L11" s="54">
        <v>21.5</v>
      </c>
      <c r="M11" s="54">
        <v>98.11</v>
      </c>
      <c r="N11" s="54">
        <v>41.9</v>
      </c>
      <c r="O11" s="54">
        <v>0</v>
      </c>
      <c r="P11" s="54">
        <v>0.65</v>
      </c>
      <c r="Q11" s="54">
        <v>9.3000000000000007</v>
      </c>
      <c r="R11" s="43"/>
      <c r="S11" s="43"/>
      <c r="T11" s="43"/>
      <c r="U11" s="43"/>
    </row>
    <row r="12" spans="1:21" s="11" customFormat="1" x14ac:dyDescent="0.25">
      <c r="A12" s="53" t="s">
        <v>327</v>
      </c>
      <c r="B12" s="54">
        <v>17.13</v>
      </c>
      <c r="C12" s="54">
        <v>10.029999999999999</v>
      </c>
      <c r="D12" s="54">
        <v>18.100000000000001</v>
      </c>
      <c r="E12" s="54">
        <v>6.46</v>
      </c>
      <c r="F12" s="54">
        <v>2.1</v>
      </c>
      <c r="G12" s="54">
        <v>42.88</v>
      </c>
      <c r="H12" s="54">
        <v>8.57</v>
      </c>
      <c r="I12" s="54">
        <v>1.93</v>
      </c>
      <c r="J12" s="54">
        <v>0.66</v>
      </c>
      <c r="K12" s="54">
        <v>341.72</v>
      </c>
      <c r="L12" s="54">
        <v>21.58</v>
      </c>
      <c r="M12" s="54">
        <v>98.25</v>
      </c>
      <c r="N12" s="54">
        <v>41.9</v>
      </c>
      <c r="O12" s="54">
        <v>0</v>
      </c>
      <c r="P12" s="54">
        <v>0.65</v>
      </c>
      <c r="Q12" s="54">
        <v>9.3000000000000007</v>
      </c>
      <c r="R12" s="43"/>
      <c r="S12" s="43"/>
      <c r="T12" s="43"/>
      <c r="U12" s="43"/>
    </row>
    <row r="13" spans="1:21" s="11" customFormat="1" x14ac:dyDescent="0.25">
      <c r="A13" s="53" t="s">
        <v>328</v>
      </c>
      <c r="B13" s="54">
        <v>17.899999999999999</v>
      </c>
      <c r="C13" s="54">
        <v>11.61</v>
      </c>
      <c r="D13" s="54">
        <v>19.54</v>
      </c>
      <c r="E13" s="54">
        <v>6.96</v>
      </c>
      <c r="F13" s="54">
        <v>2.1</v>
      </c>
      <c r="G13" s="54">
        <v>41.94</v>
      </c>
      <c r="H13" s="54">
        <v>7.77</v>
      </c>
      <c r="I13" s="54">
        <v>2.17</v>
      </c>
      <c r="J13" s="54">
        <v>0.47</v>
      </c>
      <c r="K13" s="54">
        <v>341.89</v>
      </c>
      <c r="L13" s="54">
        <v>21.47</v>
      </c>
      <c r="M13" s="54">
        <v>98.23</v>
      </c>
      <c r="N13" s="54">
        <v>41.8</v>
      </c>
      <c r="O13" s="54">
        <v>0</v>
      </c>
      <c r="P13" s="54">
        <v>0.65</v>
      </c>
      <c r="Q13" s="54">
        <v>9.33</v>
      </c>
      <c r="R13" s="43"/>
      <c r="S13" s="43"/>
      <c r="T13" s="43"/>
      <c r="U13" s="43"/>
    </row>
    <row r="14" spans="1:21" s="11" customFormat="1" x14ac:dyDescent="0.25">
      <c r="A14" s="53" t="s">
        <v>329</v>
      </c>
      <c r="B14" s="54">
        <v>16.670000000000002</v>
      </c>
      <c r="C14" s="54">
        <v>10.35</v>
      </c>
      <c r="D14" s="54">
        <v>18.77</v>
      </c>
      <c r="E14" s="54">
        <v>6.66</v>
      </c>
      <c r="F14" s="54">
        <v>2.1</v>
      </c>
      <c r="G14" s="54">
        <v>39.93</v>
      </c>
      <c r="H14" s="54">
        <v>6.6</v>
      </c>
      <c r="I14" s="54">
        <v>2.16</v>
      </c>
      <c r="J14" s="54">
        <v>0.16</v>
      </c>
      <c r="K14" s="54">
        <v>351.26</v>
      </c>
      <c r="L14" s="54">
        <v>21.08</v>
      </c>
      <c r="M14" s="54">
        <v>98.2</v>
      </c>
      <c r="N14" s="54">
        <v>44.1</v>
      </c>
      <c r="O14" s="54">
        <v>0</v>
      </c>
      <c r="P14" s="54">
        <v>0.61</v>
      </c>
      <c r="Q14" s="54">
        <v>9.34</v>
      </c>
      <c r="R14" s="43"/>
      <c r="S14" s="43"/>
      <c r="T14" s="43"/>
      <c r="U14" s="43"/>
    </row>
    <row r="15" spans="1:21" s="11" customFormat="1" x14ac:dyDescent="0.25">
      <c r="A15" s="53" t="s">
        <v>330</v>
      </c>
      <c r="B15" s="54">
        <v>20.239999999999998</v>
      </c>
      <c r="C15" s="54">
        <v>5.75</v>
      </c>
      <c r="D15" s="54">
        <v>18.71</v>
      </c>
      <c r="E15" s="54">
        <v>6.22</v>
      </c>
      <c r="F15" s="54">
        <v>2.1</v>
      </c>
      <c r="G15" s="54">
        <v>40.049999999999997</v>
      </c>
      <c r="H15" s="54">
        <v>5.77</v>
      </c>
      <c r="I15" s="54">
        <v>2.12</v>
      </c>
      <c r="J15" s="54">
        <v>0.57999999999999996</v>
      </c>
      <c r="K15" s="54">
        <v>341.21</v>
      </c>
      <c r="L15" s="54">
        <v>22.14</v>
      </c>
      <c r="M15" s="54">
        <v>98.13</v>
      </c>
      <c r="N15" s="54">
        <v>119.6</v>
      </c>
      <c r="O15" s="54">
        <v>0</v>
      </c>
      <c r="P15" s="54">
        <v>0.62</v>
      </c>
      <c r="Q15" s="54">
        <v>9.32</v>
      </c>
      <c r="R15" s="43"/>
      <c r="S15" s="43"/>
      <c r="T15" s="43"/>
      <c r="U15" s="43"/>
    </row>
    <row r="16" spans="1:21" s="11" customFormat="1" x14ac:dyDescent="0.25">
      <c r="A16" s="53" t="s">
        <v>331</v>
      </c>
      <c r="B16" s="54">
        <v>22.02</v>
      </c>
      <c r="C16" s="54">
        <v>9.23</v>
      </c>
      <c r="D16" s="54">
        <v>21.2</v>
      </c>
      <c r="E16" s="54">
        <v>7.28</v>
      </c>
      <c r="F16" s="54">
        <v>2.1</v>
      </c>
      <c r="G16" s="54">
        <v>39.03</v>
      </c>
      <c r="H16" s="54">
        <v>11.68</v>
      </c>
      <c r="I16" s="54">
        <v>2.11</v>
      </c>
      <c r="J16" s="54">
        <v>0.7</v>
      </c>
      <c r="K16" s="54">
        <v>347.85</v>
      </c>
      <c r="L16" s="54">
        <v>25.9</v>
      </c>
      <c r="M16" s="54">
        <v>97.99</v>
      </c>
      <c r="N16" s="54">
        <v>328.2</v>
      </c>
      <c r="O16" s="54">
        <v>0</v>
      </c>
      <c r="P16" s="54">
        <v>0.62</v>
      </c>
      <c r="Q16" s="54">
        <v>9.33</v>
      </c>
      <c r="R16" s="43"/>
      <c r="S16" s="43"/>
      <c r="T16" s="43"/>
      <c r="U16" s="43"/>
    </row>
    <row r="17" spans="1:21" s="11" customFormat="1" x14ac:dyDescent="0.25">
      <c r="A17" s="53" t="s">
        <v>332</v>
      </c>
      <c r="B17" s="54">
        <v>33.24</v>
      </c>
      <c r="C17" s="54">
        <v>12.72</v>
      </c>
      <c r="D17" s="54">
        <v>32.96</v>
      </c>
      <c r="E17" s="54">
        <v>10.35</v>
      </c>
      <c r="F17" s="54">
        <v>2.71</v>
      </c>
      <c r="G17" s="54">
        <v>40.71</v>
      </c>
      <c r="H17" s="54">
        <v>9.36</v>
      </c>
      <c r="I17" s="54">
        <v>2.11</v>
      </c>
      <c r="J17" s="54">
        <v>0.89</v>
      </c>
      <c r="K17" s="54">
        <v>353.78</v>
      </c>
      <c r="L17" s="54">
        <v>27.72</v>
      </c>
      <c r="M17" s="54">
        <v>80.69</v>
      </c>
      <c r="N17" s="54">
        <v>557.70000000000005</v>
      </c>
      <c r="O17" s="54">
        <v>0</v>
      </c>
      <c r="P17" s="54">
        <v>0.61</v>
      </c>
      <c r="Q17" s="54">
        <v>9.41</v>
      </c>
      <c r="R17" s="43"/>
      <c r="S17" s="43"/>
      <c r="T17" s="43"/>
      <c r="U17" s="43"/>
    </row>
    <row r="18" spans="1:21" s="11" customFormat="1" x14ac:dyDescent="0.25">
      <c r="A18" s="53" t="s">
        <v>333</v>
      </c>
      <c r="B18" s="54">
        <v>25.44</v>
      </c>
      <c r="C18" s="54">
        <v>13.63</v>
      </c>
      <c r="D18" s="54">
        <v>26.7</v>
      </c>
      <c r="E18" s="54">
        <v>11.5</v>
      </c>
      <c r="F18" s="54">
        <v>4.49</v>
      </c>
      <c r="G18" s="54">
        <v>39.68</v>
      </c>
      <c r="H18" s="54">
        <v>7.92</v>
      </c>
      <c r="I18" s="54">
        <v>2.11</v>
      </c>
      <c r="J18" s="54">
        <v>0.54</v>
      </c>
      <c r="K18" s="54">
        <v>128.88999999999999</v>
      </c>
      <c r="L18" s="54">
        <v>28.99</v>
      </c>
      <c r="M18" s="54">
        <v>82.11</v>
      </c>
      <c r="N18" s="54">
        <v>700.9</v>
      </c>
      <c r="O18" s="54">
        <v>0</v>
      </c>
      <c r="P18" s="54">
        <v>0.53</v>
      </c>
      <c r="Q18" s="54">
        <v>9.48</v>
      </c>
      <c r="R18" s="43"/>
      <c r="S18" s="43"/>
      <c r="T18" s="43"/>
      <c r="U18" s="43"/>
    </row>
    <row r="19" spans="1:21" s="11" customFormat="1" x14ac:dyDescent="0.25">
      <c r="A19" s="53" t="s">
        <v>334</v>
      </c>
      <c r="B19" s="54">
        <v>23.59</v>
      </c>
      <c r="C19" s="54">
        <v>13.59</v>
      </c>
      <c r="D19" s="54">
        <v>25.68</v>
      </c>
      <c r="E19" s="54">
        <v>11.77</v>
      </c>
      <c r="F19" s="54">
        <v>6.32</v>
      </c>
      <c r="G19" s="54">
        <v>37.46</v>
      </c>
      <c r="H19" s="54">
        <v>7.34</v>
      </c>
      <c r="I19" s="54">
        <v>2.0499999999999998</v>
      </c>
      <c r="J19" s="54">
        <v>0.53</v>
      </c>
      <c r="K19" s="54">
        <v>126.22</v>
      </c>
      <c r="L19" s="54">
        <v>28.68</v>
      </c>
      <c r="M19" s="54">
        <v>84.2</v>
      </c>
      <c r="N19" s="54">
        <v>698.3</v>
      </c>
      <c r="O19" s="54">
        <v>0</v>
      </c>
      <c r="P19" s="54">
        <v>0.53</v>
      </c>
      <c r="Q19" s="54">
        <v>9.4700000000000006</v>
      </c>
      <c r="R19" s="43"/>
      <c r="S19" s="43"/>
      <c r="T19" s="43"/>
      <c r="U19" s="43"/>
    </row>
    <row r="20" spans="1:21" s="11" customFormat="1" x14ac:dyDescent="0.25">
      <c r="A20" s="53" t="s">
        <v>335</v>
      </c>
      <c r="B20" s="54">
        <v>17.27</v>
      </c>
      <c r="C20" s="54">
        <v>16.53</v>
      </c>
      <c r="D20" s="54">
        <v>21.9</v>
      </c>
      <c r="E20" s="54">
        <v>11.69</v>
      </c>
      <c r="F20" s="54">
        <v>9.0500000000000007</v>
      </c>
      <c r="G20" s="54">
        <v>34.58</v>
      </c>
      <c r="H20" s="54">
        <v>9.65</v>
      </c>
      <c r="I20" s="54">
        <v>1.96</v>
      </c>
      <c r="J20" s="54">
        <v>0.73</v>
      </c>
      <c r="K20" s="54">
        <v>352.44</v>
      </c>
      <c r="L20" s="54">
        <v>28.84</v>
      </c>
      <c r="M20" s="54">
        <v>80.47</v>
      </c>
      <c r="N20" s="54">
        <v>551.9</v>
      </c>
      <c r="O20" s="54">
        <v>0</v>
      </c>
      <c r="P20" s="54">
        <v>0.53</v>
      </c>
      <c r="Q20" s="54">
        <v>9.41</v>
      </c>
      <c r="R20" s="43"/>
      <c r="S20" s="43"/>
      <c r="T20" s="43"/>
      <c r="U20" s="43"/>
    </row>
    <row r="21" spans="1:21" s="11" customFormat="1" x14ac:dyDescent="0.25">
      <c r="A21" s="53" t="s">
        <v>336</v>
      </c>
      <c r="B21" s="54">
        <v>12.79</v>
      </c>
      <c r="C21" s="54">
        <v>16.149999999999999</v>
      </c>
      <c r="D21" s="54">
        <v>18.7</v>
      </c>
      <c r="E21" s="54">
        <v>12.79</v>
      </c>
      <c r="F21" s="54">
        <v>19.190000000000001</v>
      </c>
      <c r="G21" s="54">
        <v>34.729999999999997</v>
      </c>
      <c r="H21" s="54">
        <v>9.1</v>
      </c>
      <c r="I21" s="54">
        <v>1.88</v>
      </c>
      <c r="J21" s="54">
        <v>0.66</v>
      </c>
      <c r="K21" s="54">
        <v>340.41</v>
      </c>
      <c r="L21" s="54">
        <v>28.99</v>
      </c>
      <c r="M21" s="54">
        <v>73.86</v>
      </c>
      <c r="N21" s="54">
        <v>658.4</v>
      </c>
      <c r="O21" s="54">
        <v>0</v>
      </c>
      <c r="P21" s="54">
        <v>0.5</v>
      </c>
      <c r="Q21" s="54">
        <v>9.34</v>
      </c>
      <c r="R21" s="43"/>
      <c r="S21" s="43"/>
      <c r="T21" s="43"/>
      <c r="U21" s="43"/>
    </row>
    <row r="22" spans="1:21" s="11" customFormat="1" x14ac:dyDescent="0.25">
      <c r="A22" s="53" t="s">
        <v>337</v>
      </c>
      <c r="B22" s="54">
        <v>14.58</v>
      </c>
      <c r="C22" s="54">
        <v>19.55</v>
      </c>
      <c r="D22" s="54">
        <v>21.44</v>
      </c>
      <c r="E22" s="54">
        <v>11.29</v>
      </c>
      <c r="F22" s="54">
        <v>13.79</v>
      </c>
      <c r="G22" s="54">
        <v>33.43</v>
      </c>
      <c r="H22" s="54">
        <v>8</v>
      </c>
      <c r="I22" s="54">
        <v>1.82</v>
      </c>
      <c r="J22" s="54">
        <v>0.6</v>
      </c>
      <c r="K22" s="54">
        <v>132.15</v>
      </c>
      <c r="L22" s="54">
        <v>28.64</v>
      </c>
      <c r="M22" s="54">
        <v>74.09</v>
      </c>
      <c r="N22" s="54">
        <v>250.2</v>
      </c>
      <c r="O22" s="54">
        <v>0</v>
      </c>
      <c r="P22" s="54">
        <v>0.52</v>
      </c>
      <c r="Q22" s="54">
        <v>9.26</v>
      </c>
      <c r="R22" s="43"/>
      <c r="S22" s="43"/>
      <c r="T22" s="43"/>
      <c r="U22" s="43"/>
    </row>
    <row r="23" spans="1:21" s="11" customFormat="1" x14ac:dyDescent="0.25">
      <c r="A23" s="53" t="s">
        <v>338</v>
      </c>
      <c r="B23" s="54">
        <v>11.56</v>
      </c>
      <c r="C23" s="54">
        <v>22.84</v>
      </c>
      <c r="D23" s="54">
        <v>21.07</v>
      </c>
      <c r="E23" s="54">
        <v>9.89</v>
      </c>
      <c r="F23" s="54">
        <v>13.19</v>
      </c>
      <c r="G23" s="54">
        <v>31.88</v>
      </c>
      <c r="H23" s="54">
        <v>6.75</v>
      </c>
      <c r="I23" s="54">
        <v>1.81</v>
      </c>
      <c r="J23" s="54">
        <v>0.59</v>
      </c>
      <c r="K23" s="54">
        <v>182.64</v>
      </c>
      <c r="L23" s="54">
        <v>28.32</v>
      </c>
      <c r="M23" s="54">
        <v>75.84</v>
      </c>
      <c r="N23" s="54">
        <v>202.1</v>
      </c>
      <c r="O23" s="54">
        <v>0</v>
      </c>
      <c r="P23" s="54">
        <v>0.56999999999999995</v>
      </c>
      <c r="Q23" s="54">
        <v>9.23</v>
      </c>
      <c r="R23" s="43"/>
      <c r="S23" s="43"/>
      <c r="T23" s="43"/>
      <c r="U23" s="43"/>
    </row>
    <row r="24" spans="1:21" s="11" customFormat="1" x14ac:dyDescent="0.25">
      <c r="A24" s="53" t="s">
        <v>339</v>
      </c>
      <c r="B24" s="54">
        <v>13.42</v>
      </c>
      <c r="C24" s="54">
        <v>27.22</v>
      </c>
      <c r="D24" s="54">
        <v>24.99</v>
      </c>
      <c r="E24" s="54">
        <v>9.44</v>
      </c>
      <c r="F24" s="54">
        <v>12.5</v>
      </c>
      <c r="G24" s="54">
        <v>31.29</v>
      </c>
      <c r="H24" s="54">
        <v>10.43</v>
      </c>
      <c r="I24" s="54">
        <v>1.76</v>
      </c>
      <c r="J24" s="54">
        <v>0.52</v>
      </c>
      <c r="K24" s="54">
        <v>337.93</v>
      </c>
      <c r="L24" s="54">
        <v>27.78</v>
      </c>
      <c r="M24" s="54">
        <v>75.61</v>
      </c>
      <c r="N24" s="54">
        <v>118.7</v>
      </c>
      <c r="O24" s="54">
        <v>0</v>
      </c>
      <c r="P24" s="54">
        <v>0.63</v>
      </c>
      <c r="Q24" s="54">
        <v>9.17</v>
      </c>
      <c r="R24" s="43"/>
      <c r="S24" s="43"/>
      <c r="T24" s="43"/>
      <c r="U24" s="43"/>
    </row>
    <row r="25" spans="1:21" s="11" customFormat="1" x14ac:dyDescent="0.25">
      <c r="A25" s="53" t="s">
        <v>340</v>
      </c>
      <c r="B25" s="54">
        <v>18.37</v>
      </c>
      <c r="C25" s="54">
        <v>29.51</v>
      </c>
      <c r="D25" s="54">
        <v>30.15</v>
      </c>
      <c r="E25" s="54">
        <v>7.55</v>
      </c>
      <c r="F25" s="54">
        <v>10.93</v>
      </c>
      <c r="G25" s="54">
        <v>28.49</v>
      </c>
      <c r="H25" s="54">
        <v>8.73</v>
      </c>
      <c r="I25" s="54">
        <v>1.74</v>
      </c>
      <c r="J25" s="54">
        <v>0.38</v>
      </c>
      <c r="K25" s="54">
        <v>339.22</v>
      </c>
      <c r="L25" s="54">
        <v>27.53</v>
      </c>
      <c r="M25" s="54">
        <v>75.98</v>
      </c>
      <c r="N25" s="54">
        <v>86.3</v>
      </c>
      <c r="O25" s="54">
        <v>0</v>
      </c>
      <c r="P25" s="54">
        <v>0.74</v>
      </c>
      <c r="Q25" s="54">
        <v>9.1199999999999992</v>
      </c>
      <c r="R25" s="43"/>
      <c r="S25" s="43"/>
      <c r="T25" s="43"/>
      <c r="U25" s="43"/>
    </row>
    <row r="26" spans="1:21" s="11" customFormat="1" x14ac:dyDescent="0.25">
      <c r="A26" s="53" t="s">
        <v>341</v>
      </c>
      <c r="B26" s="54">
        <v>22.42</v>
      </c>
      <c r="C26" s="54">
        <v>40.450000000000003</v>
      </c>
      <c r="D26" s="54">
        <v>39.119999999999997</v>
      </c>
      <c r="E26" s="54">
        <v>8.17</v>
      </c>
      <c r="F26" s="54">
        <v>11.22</v>
      </c>
      <c r="G26" s="54">
        <v>31.78</v>
      </c>
      <c r="H26" s="54">
        <v>7.27</v>
      </c>
      <c r="I26" s="54">
        <v>1.72</v>
      </c>
      <c r="J26" s="54">
        <v>0.18</v>
      </c>
      <c r="K26" s="54">
        <v>330.58</v>
      </c>
      <c r="L26" s="54">
        <v>26.69</v>
      </c>
      <c r="M26" s="54">
        <v>88.22</v>
      </c>
      <c r="N26" s="54">
        <v>54.9</v>
      </c>
      <c r="O26" s="54">
        <v>0</v>
      </c>
      <c r="P26" s="54">
        <v>1.33</v>
      </c>
      <c r="Q26" s="54">
        <v>9.15</v>
      </c>
      <c r="R26" s="43"/>
      <c r="S26" s="43"/>
      <c r="T26" s="43"/>
      <c r="U26" s="43"/>
    </row>
    <row r="27" spans="1:21" s="11" customFormat="1" x14ac:dyDescent="0.25">
      <c r="A27" s="53" t="s">
        <v>342</v>
      </c>
      <c r="B27" s="54">
        <v>23.3</v>
      </c>
      <c r="C27" s="54">
        <v>42.04</v>
      </c>
      <c r="D27" s="54">
        <v>40.65</v>
      </c>
      <c r="E27" s="54">
        <v>8.33</v>
      </c>
      <c r="F27" s="54">
        <v>2.68</v>
      </c>
      <c r="G27" s="54">
        <v>30.76</v>
      </c>
      <c r="H27" s="54">
        <v>6.24</v>
      </c>
      <c r="I27" s="54">
        <v>1.93</v>
      </c>
      <c r="J27" s="54">
        <v>7.0000000000000007E-2</v>
      </c>
      <c r="K27" s="54">
        <v>303.24</v>
      </c>
      <c r="L27" s="54">
        <v>25.46</v>
      </c>
      <c r="M27" s="54">
        <v>96.36</v>
      </c>
      <c r="N27" s="54">
        <v>41.9</v>
      </c>
      <c r="O27" s="54">
        <v>0</v>
      </c>
      <c r="P27" s="54">
        <v>1.37</v>
      </c>
      <c r="Q27" s="54">
        <v>9.1999999999999993</v>
      </c>
      <c r="R27" s="43"/>
      <c r="S27" s="43"/>
      <c r="T27" s="43"/>
      <c r="U27" s="43"/>
    </row>
    <row r="28" spans="1:21" s="11" customFormat="1" x14ac:dyDescent="0.25">
      <c r="A28" s="53" t="s">
        <v>343</v>
      </c>
      <c r="B28" s="54">
        <v>23.24</v>
      </c>
      <c r="C28" s="54">
        <v>44.44</v>
      </c>
      <c r="D28" s="54">
        <v>38.79</v>
      </c>
      <c r="E28" s="54">
        <v>7.7</v>
      </c>
      <c r="F28" s="54">
        <v>2.2799999999999998</v>
      </c>
      <c r="G28" s="54">
        <v>39.74</v>
      </c>
      <c r="H28" s="54">
        <v>6.73</v>
      </c>
      <c r="I28" s="54">
        <v>2.29</v>
      </c>
      <c r="J28" s="54">
        <v>0.09</v>
      </c>
      <c r="K28" s="54">
        <v>308.08999999999997</v>
      </c>
      <c r="L28" s="54">
        <v>24.9</v>
      </c>
      <c r="M28" s="54">
        <v>98.14</v>
      </c>
      <c r="N28" s="54">
        <v>41.9</v>
      </c>
      <c r="O28" s="54">
        <v>0</v>
      </c>
      <c r="P28" s="54">
        <v>1.73</v>
      </c>
      <c r="Q28" s="54">
        <v>9.2100000000000009</v>
      </c>
      <c r="R28" s="43"/>
      <c r="S28" s="43"/>
      <c r="T28" s="43"/>
      <c r="U28" s="43"/>
    </row>
    <row r="29" spans="1:21" s="11" customFormat="1" x14ac:dyDescent="0.25">
      <c r="A29" s="53" t="s">
        <v>344</v>
      </c>
      <c r="B29" s="54">
        <v>27.01</v>
      </c>
      <c r="C29" s="54">
        <v>44.92</v>
      </c>
      <c r="D29" s="54">
        <v>45.13</v>
      </c>
      <c r="E29" s="54">
        <v>6.86</v>
      </c>
      <c r="F29" s="54">
        <v>2.1</v>
      </c>
      <c r="G29" s="54">
        <v>40.97</v>
      </c>
      <c r="H29" s="54">
        <v>6.52</v>
      </c>
      <c r="I29" s="54">
        <v>2.54</v>
      </c>
      <c r="J29" s="54">
        <v>0.06</v>
      </c>
      <c r="K29" s="54">
        <v>311.89999999999998</v>
      </c>
      <c r="L29" s="54">
        <v>24.57</v>
      </c>
      <c r="M29" s="54">
        <v>98.24</v>
      </c>
      <c r="N29" s="54">
        <v>41.7</v>
      </c>
      <c r="O29" s="54">
        <v>0</v>
      </c>
      <c r="P29" s="54">
        <v>1.55</v>
      </c>
      <c r="Q29" s="54">
        <v>9.23</v>
      </c>
      <c r="R29" s="43"/>
      <c r="S29" s="43"/>
      <c r="T29" s="43"/>
      <c r="U29" s="43"/>
    </row>
    <row r="30" spans="1:21" s="11" customFormat="1" x14ac:dyDescent="0.25">
      <c r="A30" s="53" t="s">
        <v>345</v>
      </c>
      <c r="B30" s="54">
        <v>34.54</v>
      </c>
      <c r="C30" s="54">
        <v>43.11</v>
      </c>
      <c r="D30" s="54">
        <v>46.73</v>
      </c>
      <c r="E30" s="54">
        <v>6.54</v>
      </c>
      <c r="F30" s="54">
        <v>2.69</v>
      </c>
      <c r="G30" s="54">
        <v>43.64</v>
      </c>
      <c r="H30" s="54">
        <v>6.45</v>
      </c>
      <c r="I30" s="54">
        <v>2.79</v>
      </c>
      <c r="J30" s="54">
        <v>0.16</v>
      </c>
      <c r="K30" s="54">
        <v>338.77</v>
      </c>
      <c r="L30" s="54">
        <v>24.2</v>
      </c>
      <c r="M30" s="54">
        <v>98.3</v>
      </c>
      <c r="N30" s="54">
        <v>41.7</v>
      </c>
      <c r="O30" s="54">
        <v>0</v>
      </c>
      <c r="P30" s="54">
        <v>1.67</v>
      </c>
      <c r="Q30" s="54">
        <v>9.2799999999999994</v>
      </c>
      <c r="R30" s="43"/>
      <c r="S30" s="43"/>
      <c r="T30" s="43"/>
      <c r="U30" s="43"/>
    </row>
    <row r="31" spans="1:21" s="11" customFormat="1" x14ac:dyDescent="0.25">
      <c r="A31" s="53" t="s">
        <v>346</v>
      </c>
      <c r="B31" s="54">
        <v>40.090000000000003</v>
      </c>
      <c r="C31" s="54">
        <v>34.729999999999997</v>
      </c>
      <c r="D31" s="54">
        <v>50.29</v>
      </c>
      <c r="E31" s="54">
        <v>6.28</v>
      </c>
      <c r="F31" s="54">
        <v>3.13</v>
      </c>
      <c r="G31" s="54">
        <v>45.03</v>
      </c>
      <c r="H31" s="54">
        <v>5.82</v>
      </c>
      <c r="I31" s="54">
        <v>3.01</v>
      </c>
      <c r="J31" s="54">
        <v>0.22</v>
      </c>
      <c r="K31" s="54">
        <v>338.95</v>
      </c>
      <c r="L31" s="54">
        <v>23.73</v>
      </c>
      <c r="M31" s="54">
        <v>98.31</v>
      </c>
      <c r="N31" s="54">
        <v>41.7</v>
      </c>
      <c r="O31" s="54">
        <v>0</v>
      </c>
      <c r="P31" s="54">
        <v>1.68</v>
      </c>
      <c r="Q31" s="54">
        <v>9.4</v>
      </c>
      <c r="R31" s="43"/>
      <c r="S31" s="43"/>
      <c r="T31" s="43"/>
      <c r="U31" s="43"/>
    </row>
    <row r="32" spans="1:21" s="11" customFormat="1" x14ac:dyDescent="0.25">
      <c r="A32" s="53" t="s">
        <v>347</v>
      </c>
      <c r="B32" s="54">
        <v>23.4</v>
      </c>
      <c r="C32" s="54">
        <v>28.56</v>
      </c>
      <c r="D32" s="54">
        <v>33.69</v>
      </c>
      <c r="E32" s="54">
        <v>6.59</v>
      </c>
      <c r="F32" s="54">
        <v>3.69</v>
      </c>
      <c r="G32" s="54">
        <v>42.87</v>
      </c>
      <c r="H32" s="54">
        <v>8.82</v>
      </c>
      <c r="I32" s="54">
        <v>3.11</v>
      </c>
      <c r="J32" s="54">
        <v>0.08</v>
      </c>
      <c r="K32" s="54">
        <v>341.02</v>
      </c>
      <c r="L32" s="54">
        <v>23.26</v>
      </c>
      <c r="M32" s="54">
        <v>98.32</v>
      </c>
      <c r="N32" s="54">
        <v>41.8</v>
      </c>
      <c r="O32" s="54">
        <v>0</v>
      </c>
      <c r="P32" s="54">
        <v>1.1000000000000001</v>
      </c>
      <c r="Q32" s="54">
        <v>9.41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11.56</v>
      </c>
      <c r="C34" s="28">
        <f t="shared" si="0"/>
        <v>5.75</v>
      </c>
      <c r="D34" s="28">
        <f t="shared" si="0"/>
        <v>17.489999999999998</v>
      </c>
      <c r="E34" s="28">
        <f t="shared" si="0"/>
        <v>6.22</v>
      </c>
      <c r="F34" s="28">
        <f t="shared" si="0"/>
        <v>2.1</v>
      </c>
      <c r="G34" s="28">
        <f t="shared" si="0"/>
        <v>28.49</v>
      </c>
      <c r="H34" s="28">
        <f t="shared" si="0"/>
        <v>5.77</v>
      </c>
      <c r="I34" s="28">
        <f t="shared" si="0"/>
        <v>1.72</v>
      </c>
      <c r="J34" s="28">
        <f t="shared" si="0"/>
        <v>0.06</v>
      </c>
      <c r="K34" s="28">
        <f t="shared" si="0"/>
        <v>126.22</v>
      </c>
      <c r="L34" s="28">
        <f t="shared" si="0"/>
        <v>21.08</v>
      </c>
      <c r="M34" s="28">
        <f t="shared" si="0"/>
        <v>73.86</v>
      </c>
      <c r="N34" s="28">
        <f t="shared" si="0"/>
        <v>41.5</v>
      </c>
      <c r="O34" s="28">
        <f t="shared" si="0"/>
        <v>0</v>
      </c>
      <c r="P34" s="28">
        <f t="shared" si="0"/>
        <v>0.5</v>
      </c>
      <c r="Q34" s="28">
        <f t="shared" si="0"/>
        <v>9.1199999999999992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40.090000000000003</v>
      </c>
      <c r="C35" s="29">
        <f t="shared" si="1"/>
        <v>44.92</v>
      </c>
      <c r="D35" s="29">
        <f t="shared" si="1"/>
        <v>50.29</v>
      </c>
      <c r="E35" s="29">
        <f t="shared" si="1"/>
        <v>12.79</v>
      </c>
      <c r="F35" s="29">
        <f t="shared" si="1"/>
        <v>19.190000000000001</v>
      </c>
      <c r="G35" s="29">
        <f t="shared" si="1"/>
        <v>45.03</v>
      </c>
      <c r="H35" s="29">
        <f t="shared" si="1"/>
        <v>11.68</v>
      </c>
      <c r="I35" s="29">
        <f t="shared" si="1"/>
        <v>3.11</v>
      </c>
      <c r="J35" s="29">
        <f t="shared" si="1"/>
        <v>0.89</v>
      </c>
      <c r="K35" s="29">
        <f t="shared" si="1"/>
        <v>353.78</v>
      </c>
      <c r="L35" s="29">
        <f t="shared" si="1"/>
        <v>28.99</v>
      </c>
      <c r="M35" s="29">
        <f t="shared" si="1"/>
        <v>98.32</v>
      </c>
      <c r="N35" s="29">
        <f t="shared" si="1"/>
        <v>700.9</v>
      </c>
      <c r="O35" s="29">
        <f t="shared" si="1"/>
        <v>0</v>
      </c>
      <c r="P35" s="29">
        <f t="shared" si="1"/>
        <v>1.73</v>
      </c>
      <c r="Q35" s="29">
        <f t="shared" si="1"/>
        <v>9.48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21.28166666666667</v>
      </c>
      <c r="C36" s="28">
        <f t="shared" si="2"/>
        <v>22.172500000000003</v>
      </c>
      <c r="D36" s="28">
        <f t="shared" si="2"/>
        <v>27.864999999999998</v>
      </c>
      <c r="E36" s="28">
        <f t="shared" si="2"/>
        <v>8.324583333333333</v>
      </c>
      <c r="F36" s="28">
        <f t="shared" si="2"/>
        <v>5.6983333333333333</v>
      </c>
      <c r="G36" s="28">
        <f t="shared" si="2"/>
        <v>36.943749999999994</v>
      </c>
      <c r="H36" s="28">
        <f t="shared" si="2"/>
        <v>7.7450000000000001</v>
      </c>
      <c r="I36" s="28">
        <f t="shared" si="2"/>
        <v>2.1358333333333328</v>
      </c>
      <c r="J36" s="28">
        <f t="shared" si="2"/>
        <v>0.44333333333333341</v>
      </c>
      <c r="K36" s="28">
        <f t="shared" si="2"/>
        <v>304.57</v>
      </c>
      <c r="L36" s="28">
        <f t="shared" si="2"/>
        <v>25.187083333333334</v>
      </c>
      <c r="M36" s="28">
        <f t="shared" si="2"/>
        <v>90.160833333333315</v>
      </c>
      <c r="N36" s="28">
        <f t="shared" si="2"/>
        <v>201.29166666666663</v>
      </c>
      <c r="O36" s="28">
        <f t="shared" si="2"/>
        <v>0</v>
      </c>
      <c r="P36" s="28">
        <f t="shared" si="2"/>
        <v>0.85791666666666677</v>
      </c>
      <c r="Q36" s="28">
        <f t="shared" si="2"/>
        <v>9.3070833333333329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7.0300223678700648</v>
      </c>
      <c r="C37" s="28">
        <f t="shared" ref="C37:Q37" si="3">STDEV(C9:C32)</f>
        <v>13.084407996111077</v>
      </c>
      <c r="D37" s="28">
        <f t="shared" si="3"/>
        <v>10.451362299386785</v>
      </c>
      <c r="E37" s="28">
        <f t="shared" si="3"/>
        <v>2.1584917825561236</v>
      </c>
      <c r="F37" s="28">
        <f t="shared" si="3"/>
        <v>5.0508911539722741</v>
      </c>
      <c r="G37" s="28">
        <f t="shared" si="3"/>
        <v>5.0192055602975669</v>
      </c>
      <c r="H37" s="28">
        <f t="shared" si="3"/>
        <v>1.5508230633805498</v>
      </c>
      <c r="I37" s="28">
        <f t="shared" si="3"/>
        <v>0.37554501457350925</v>
      </c>
      <c r="J37" s="28">
        <f t="shared" si="3"/>
        <v>0.25422801587938909</v>
      </c>
      <c r="K37" s="28">
        <f t="shared" si="3"/>
        <v>75.730068808493314</v>
      </c>
      <c r="L37" s="28">
        <f t="shared" si="3"/>
        <v>2.9662792960742679</v>
      </c>
      <c r="M37" s="28">
        <f t="shared" si="3"/>
        <v>10.012178634767565</v>
      </c>
      <c r="N37" s="28">
        <f t="shared" si="3"/>
        <v>240.17463015692249</v>
      </c>
      <c r="O37" s="28">
        <f t="shared" si="3"/>
        <v>0</v>
      </c>
      <c r="P37" s="28">
        <f t="shared" si="3"/>
        <v>0.4339803558634448</v>
      </c>
      <c r="Q37" s="28">
        <f t="shared" si="3"/>
        <v>9.7064710224749121E-2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13" sqref="H13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13/10/2025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348</v>
      </c>
      <c r="B9" s="54">
        <v>15.2</v>
      </c>
      <c r="C9" s="54">
        <v>21.69</v>
      </c>
      <c r="D9" s="54">
        <v>22.13</v>
      </c>
      <c r="E9" s="54">
        <v>5.9</v>
      </c>
      <c r="F9" s="54">
        <v>2.34</v>
      </c>
      <c r="G9" s="54">
        <v>44.82</v>
      </c>
      <c r="H9" s="54">
        <v>7.48</v>
      </c>
      <c r="I9" s="54">
        <v>3.17</v>
      </c>
      <c r="J9" s="54">
        <v>0.31</v>
      </c>
      <c r="K9" s="54">
        <v>354.08</v>
      </c>
      <c r="L9" s="54">
        <v>23.16</v>
      </c>
      <c r="M9" s="54">
        <v>98.35</v>
      </c>
      <c r="N9" s="54">
        <v>41.8</v>
      </c>
      <c r="O9" s="54">
        <v>0</v>
      </c>
      <c r="P9" s="54">
        <v>1.1000000000000001</v>
      </c>
      <c r="Q9" s="54">
        <v>9.3699999999999992</v>
      </c>
      <c r="R9" s="43"/>
      <c r="S9" s="43"/>
      <c r="T9" s="43"/>
      <c r="U9" s="43"/>
    </row>
    <row r="10" spans="1:21" s="11" customFormat="1" x14ac:dyDescent="0.25">
      <c r="A10" s="53" t="s">
        <v>349</v>
      </c>
      <c r="B10" s="54">
        <v>15.31</v>
      </c>
      <c r="C10" s="54">
        <v>16.11</v>
      </c>
      <c r="D10" s="54">
        <v>20.69</v>
      </c>
      <c r="E10" s="54">
        <v>7.26</v>
      </c>
      <c r="F10" s="54">
        <v>2.46</v>
      </c>
      <c r="G10" s="54">
        <v>48.45</v>
      </c>
      <c r="H10" s="54">
        <v>6.32</v>
      </c>
      <c r="I10" s="54">
        <v>3.3</v>
      </c>
      <c r="J10" s="54">
        <v>0.87</v>
      </c>
      <c r="K10" s="54">
        <v>340.46</v>
      </c>
      <c r="L10" s="54">
        <v>23.06</v>
      </c>
      <c r="M10" s="54">
        <v>98.39</v>
      </c>
      <c r="N10" s="54">
        <v>41.7</v>
      </c>
      <c r="O10" s="54">
        <v>0</v>
      </c>
      <c r="P10" s="54">
        <v>1.01</v>
      </c>
      <c r="Q10" s="54">
        <v>9.32</v>
      </c>
      <c r="R10" s="43"/>
      <c r="S10" s="43"/>
      <c r="T10" s="43"/>
      <c r="U10" s="43"/>
    </row>
    <row r="11" spans="1:21" s="11" customFormat="1" x14ac:dyDescent="0.25">
      <c r="A11" s="53" t="s">
        <v>350</v>
      </c>
      <c r="B11" s="54">
        <v>14.75</v>
      </c>
      <c r="C11" s="54">
        <v>16.87</v>
      </c>
      <c r="D11" s="54">
        <v>18.96</v>
      </c>
      <c r="E11" s="54">
        <v>8.36</v>
      </c>
      <c r="F11" s="54">
        <v>4.55</v>
      </c>
      <c r="G11" s="54">
        <v>55.8</v>
      </c>
      <c r="H11" s="54">
        <v>6.42</v>
      </c>
      <c r="I11" s="54">
        <v>3.37</v>
      </c>
      <c r="J11" s="54">
        <v>0.49</v>
      </c>
      <c r="K11" s="54">
        <v>333.43</v>
      </c>
      <c r="L11" s="54">
        <v>22.98</v>
      </c>
      <c r="M11" s="54">
        <v>98.32</v>
      </c>
      <c r="N11" s="54">
        <v>41.8</v>
      </c>
      <c r="O11" s="54">
        <v>0</v>
      </c>
      <c r="P11" s="54">
        <v>0.91</v>
      </c>
      <c r="Q11" s="54">
        <v>9.3000000000000007</v>
      </c>
      <c r="R11" s="43"/>
      <c r="S11" s="43"/>
      <c r="T11" s="43"/>
      <c r="U11" s="43"/>
    </row>
    <row r="12" spans="1:21" s="11" customFormat="1" x14ac:dyDescent="0.25">
      <c r="A12" s="53" t="s">
        <v>351</v>
      </c>
      <c r="B12" s="54">
        <v>11.92</v>
      </c>
      <c r="C12" s="54">
        <v>11.62</v>
      </c>
      <c r="D12" s="54">
        <v>15.46</v>
      </c>
      <c r="E12" s="54">
        <v>7.73</v>
      </c>
      <c r="F12" s="54">
        <v>3.39</v>
      </c>
      <c r="G12" s="54">
        <v>58.47</v>
      </c>
      <c r="H12" s="54">
        <v>7.94</v>
      </c>
      <c r="I12" s="54">
        <v>3.28</v>
      </c>
      <c r="J12" s="54">
        <v>0.42</v>
      </c>
      <c r="K12" s="54">
        <v>332.85</v>
      </c>
      <c r="L12" s="54">
        <v>22.47</v>
      </c>
      <c r="M12" s="54">
        <v>98.33</v>
      </c>
      <c r="N12" s="54">
        <v>41.9</v>
      </c>
      <c r="O12" s="54">
        <v>0</v>
      </c>
      <c r="P12" s="54">
        <v>0.75</v>
      </c>
      <c r="Q12" s="54">
        <v>9.2899999999999991</v>
      </c>
      <c r="R12" s="43"/>
      <c r="S12" s="43"/>
      <c r="T12" s="43"/>
      <c r="U12" s="43"/>
    </row>
    <row r="13" spans="1:21" s="11" customFormat="1" x14ac:dyDescent="0.25">
      <c r="A13" s="53" t="s">
        <v>352</v>
      </c>
      <c r="B13" s="54">
        <v>15.09</v>
      </c>
      <c r="C13" s="54">
        <v>10.220000000000001</v>
      </c>
      <c r="D13" s="54">
        <v>17.38</v>
      </c>
      <c r="E13" s="54">
        <v>6.13</v>
      </c>
      <c r="F13" s="54">
        <v>3.18</v>
      </c>
      <c r="G13" s="54">
        <v>50.93</v>
      </c>
      <c r="H13" s="54">
        <v>6.79</v>
      </c>
      <c r="I13" s="54">
        <v>3.09</v>
      </c>
      <c r="J13" s="54">
        <v>0.11</v>
      </c>
      <c r="K13" s="54">
        <v>288.26</v>
      </c>
      <c r="L13" s="54">
        <v>22.1</v>
      </c>
      <c r="M13" s="54">
        <v>98.39</v>
      </c>
      <c r="N13" s="54">
        <v>41.7</v>
      </c>
      <c r="O13" s="54">
        <v>0</v>
      </c>
      <c r="P13" s="54">
        <v>0.83</v>
      </c>
      <c r="Q13" s="54">
        <v>9.25</v>
      </c>
      <c r="R13" s="43"/>
      <c r="S13" s="43"/>
      <c r="T13" s="43"/>
      <c r="U13" s="43"/>
    </row>
    <row r="14" spans="1:21" s="11" customFormat="1" x14ac:dyDescent="0.25">
      <c r="A14" s="53" t="s">
        <v>353</v>
      </c>
      <c r="B14" s="54">
        <v>17.97</v>
      </c>
      <c r="C14" s="54">
        <v>18.25</v>
      </c>
      <c r="D14" s="54">
        <v>23.95</v>
      </c>
      <c r="E14" s="54">
        <v>5.66</v>
      </c>
      <c r="F14" s="54">
        <v>2.81</v>
      </c>
      <c r="G14" s="54">
        <v>42.86</v>
      </c>
      <c r="H14" s="54">
        <v>6.03</v>
      </c>
      <c r="I14" s="54">
        <v>2.95</v>
      </c>
      <c r="J14" s="54">
        <v>0.14000000000000001</v>
      </c>
      <c r="K14" s="54">
        <v>320.27999999999997</v>
      </c>
      <c r="L14" s="54">
        <v>22.07</v>
      </c>
      <c r="M14" s="54">
        <v>98.35</v>
      </c>
      <c r="N14" s="54">
        <v>45.4</v>
      </c>
      <c r="O14" s="54">
        <v>0</v>
      </c>
      <c r="P14" s="54">
        <v>0.72</v>
      </c>
      <c r="Q14" s="54">
        <v>9.2200000000000006</v>
      </c>
      <c r="R14" s="43"/>
      <c r="S14" s="43"/>
      <c r="T14" s="43"/>
      <c r="U14" s="43"/>
    </row>
    <row r="15" spans="1:21" s="11" customFormat="1" x14ac:dyDescent="0.25">
      <c r="A15" s="53" t="s">
        <v>354</v>
      </c>
      <c r="B15" s="54">
        <v>26.3</v>
      </c>
      <c r="C15" s="54">
        <v>13.25</v>
      </c>
      <c r="D15" s="54">
        <v>27.32</v>
      </c>
      <c r="E15" s="54">
        <v>5.92</v>
      </c>
      <c r="F15" s="54">
        <v>2.1</v>
      </c>
      <c r="G15" s="54">
        <v>40.799999999999997</v>
      </c>
      <c r="H15" s="54">
        <v>5.51</v>
      </c>
      <c r="I15" s="54">
        <v>2.83</v>
      </c>
      <c r="J15" s="54">
        <v>0.09</v>
      </c>
      <c r="K15" s="54">
        <v>333.08</v>
      </c>
      <c r="L15" s="54">
        <v>22.93</v>
      </c>
      <c r="M15" s="54">
        <v>98.34</v>
      </c>
      <c r="N15" s="54">
        <v>100.6</v>
      </c>
      <c r="O15" s="54">
        <v>0</v>
      </c>
      <c r="P15" s="54">
        <v>0.73</v>
      </c>
      <c r="Q15" s="54">
        <v>9.27</v>
      </c>
      <c r="R15" s="43"/>
      <c r="S15" s="43"/>
      <c r="T15" s="43"/>
      <c r="U15" s="43"/>
    </row>
    <row r="16" spans="1:21" s="11" customFormat="1" x14ac:dyDescent="0.25">
      <c r="A16" s="53" t="s">
        <v>355</v>
      </c>
      <c r="B16" s="54">
        <v>28.03</v>
      </c>
      <c r="C16" s="54">
        <v>15.78</v>
      </c>
      <c r="D16" s="54">
        <v>29.87</v>
      </c>
      <c r="E16" s="54">
        <v>6.09</v>
      </c>
      <c r="F16" s="54">
        <v>2.72</v>
      </c>
      <c r="G16" s="54">
        <v>38.01</v>
      </c>
      <c r="H16" s="54">
        <v>7.28</v>
      </c>
      <c r="I16" s="54">
        <v>2.77</v>
      </c>
      <c r="J16" s="54">
        <v>0.19</v>
      </c>
      <c r="K16" s="54">
        <v>334.69</v>
      </c>
      <c r="L16" s="54">
        <v>26.67</v>
      </c>
      <c r="M16" s="54">
        <v>98.29</v>
      </c>
      <c r="N16" s="54">
        <v>361.2</v>
      </c>
      <c r="O16" s="54">
        <v>0</v>
      </c>
      <c r="P16" s="54">
        <v>0.7</v>
      </c>
      <c r="Q16" s="54">
        <v>9.36</v>
      </c>
      <c r="R16" s="43"/>
      <c r="S16" s="43"/>
      <c r="T16" s="43"/>
      <c r="U16" s="43"/>
    </row>
    <row r="17" spans="1:21" s="11" customFormat="1" x14ac:dyDescent="0.25">
      <c r="A17" s="53" t="s">
        <v>356</v>
      </c>
      <c r="B17" s="54">
        <v>20.37</v>
      </c>
      <c r="C17" s="54">
        <v>14.79</v>
      </c>
      <c r="D17" s="54">
        <v>24.06</v>
      </c>
      <c r="E17" s="54">
        <v>6.83</v>
      </c>
      <c r="F17" s="54">
        <v>12.33</v>
      </c>
      <c r="G17" s="54">
        <v>46.81</v>
      </c>
      <c r="H17" s="54">
        <v>6.59</v>
      </c>
      <c r="I17" s="54">
        <v>2.74</v>
      </c>
      <c r="J17" s="54">
        <v>0.57999999999999996</v>
      </c>
      <c r="K17" s="54">
        <v>130.63</v>
      </c>
      <c r="L17" s="54">
        <v>28.61</v>
      </c>
      <c r="M17" s="54">
        <v>82.82</v>
      </c>
      <c r="N17" s="54">
        <v>570.70000000000005</v>
      </c>
      <c r="O17" s="54">
        <v>0</v>
      </c>
      <c r="P17" s="54">
        <v>0.64</v>
      </c>
      <c r="Q17" s="54">
        <v>9.3800000000000008</v>
      </c>
      <c r="R17" s="43"/>
      <c r="S17" s="43"/>
      <c r="T17" s="43"/>
      <c r="U17" s="43"/>
    </row>
    <row r="18" spans="1:21" s="11" customFormat="1" x14ac:dyDescent="0.25">
      <c r="A18" s="53" t="s">
        <v>357</v>
      </c>
      <c r="B18" s="54">
        <v>12.5</v>
      </c>
      <c r="C18" s="54">
        <v>13.17</v>
      </c>
      <c r="D18" s="54">
        <v>16.88</v>
      </c>
      <c r="E18" s="54">
        <v>8.58</v>
      </c>
      <c r="F18" s="54">
        <v>12.13</v>
      </c>
      <c r="G18" s="54">
        <v>43.18</v>
      </c>
      <c r="H18" s="54">
        <v>6.1</v>
      </c>
      <c r="I18" s="54">
        <v>2.66</v>
      </c>
      <c r="J18" s="54">
        <v>1.05</v>
      </c>
      <c r="K18" s="54">
        <v>131.13999999999999</v>
      </c>
      <c r="L18" s="54">
        <v>29.3</v>
      </c>
      <c r="M18" s="54">
        <v>82.94</v>
      </c>
      <c r="N18" s="54">
        <v>690.7</v>
      </c>
      <c r="O18" s="54">
        <v>0</v>
      </c>
      <c r="P18" s="54">
        <v>0.56000000000000005</v>
      </c>
      <c r="Q18" s="54">
        <v>9.33</v>
      </c>
      <c r="R18" s="43"/>
      <c r="S18" s="43"/>
      <c r="T18" s="43"/>
      <c r="U18" s="43"/>
    </row>
    <row r="19" spans="1:21" s="11" customFormat="1" x14ac:dyDescent="0.25">
      <c r="A19" s="53" t="s">
        <v>358</v>
      </c>
      <c r="B19" s="54">
        <v>10.26</v>
      </c>
      <c r="C19" s="54">
        <v>12.83</v>
      </c>
      <c r="D19" s="54">
        <v>14.13</v>
      </c>
      <c r="E19" s="54">
        <v>8.44</v>
      </c>
      <c r="F19" s="54">
        <v>14.99</v>
      </c>
      <c r="G19" s="54">
        <v>35.270000000000003</v>
      </c>
      <c r="H19" s="54">
        <v>5.74</v>
      </c>
      <c r="I19" s="54">
        <v>2.5099999999999998</v>
      </c>
      <c r="J19" s="54">
        <v>1.07</v>
      </c>
      <c r="K19" s="54">
        <v>131.38</v>
      </c>
      <c r="L19" s="54">
        <v>28.8</v>
      </c>
      <c r="M19" s="54">
        <v>69.7</v>
      </c>
      <c r="N19" s="54">
        <v>816.3</v>
      </c>
      <c r="O19" s="54">
        <v>0</v>
      </c>
      <c r="P19" s="54">
        <v>0.4</v>
      </c>
      <c r="Q19" s="54">
        <v>9.24</v>
      </c>
      <c r="R19" s="43"/>
      <c r="S19" s="43"/>
      <c r="T19" s="43"/>
      <c r="U19" s="43"/>
    </row>
    <row r="20" spans="1:21" s="11" customFormat="1" x14ac:dyDescent="0.25">
      <c r="A20" s="53" t="s">
        <v>359</v>
      </c>
      <c r="B20" s="54">
        <v>10.4</v>
      </c>
      <c r="C20" s="54">
        <v>12.04</v>
      </c>
      <c r="D20" s="54">
        <v>14.63</v>
      </c>
      <c r="E20" s="54">
        <v>8.6</v>
      </c>
      <c r="F20" s="54">
        <v>13.84</v>
      </c>
      <c r="G20" s="54">
        <v>27.23</v>
      </c>
      <c r="H20" s="54">
        <v>6.42</v>
      </c>
      <c r="I20" s="54">
        <v>2.4500000000000002</v>
      </c>
      <c r="J20" s="54">
        <v>1.23</v>
      </c>
      <c r="K20" s="54">
        <v>129.62</v>
      </c>
      <c r="L20" s="54">
        <v>29.53</v>
      </c>
      <c r="M20" s="54">
        <v>64.900000000000006</v>
      </c>
      <c r="N20" s="54">
        <v>847.8</v>
      </c>
      <c r="O20" s="54">
        <v>0</v>
      </c>
      <c r="P20" s="54">
        <v>0.38</v>
      </c>
      <c r="Q20" s="54">
        <v>9.16</v>
      </c>
      <c r="R20" s="43"/>
      <c r="S20" s="43"/>
      <c r="T20" s="43"/>
      <c r="U20" s="43"/>
    </row>
    <row r="21" spans="1:21" s="11" customFormat="1" x14ac:dyDescent="0.25">
      <c r="A21" s="53" t="s">
        <v>360</v>
      </c>
      <c r="B21" s="54">
        <v>7.85</v>
      </c>
      <c r="C21" s="54">
        <v>14.61</v>
      </c>
      <c r="D21" s="54">
        <v>13.18</v>
      </c>
      <c r="E21" s="54">
        <v>7.43</v>
      </c>
      <c r="F21" s="54">
        <v>13.08</v>
      </c>
      <c r="G21" s="54">
        <v>23.85</v>
      </c>
      <c r="H21" s="54">
        <v>6.11</v>
      </c>
      <c r="I21" s="54">
        <v>2.29</v>
      </c>
      <c r="J21" s="54">
        <v>0.95</v>
      </c>
      <c r="K21" s="54">
        <v>138.55000000000001</v>
      </c>
      <c r="L21" s="54">
        <v>29.09</v>
      </c>
      <c r="M21" s="54">
        <v>65.87</v>
      </c>
      <c r="N21" s="54">
        <v>612.9</v>
      </c>
      <c r="O21" s="54">
        <v>0</v>
      </c>
      <c r="P21" s="54">
        <v>0.26</v>
      </c>
      <c r="Q21" s="54">
        <v>9.1300000000000008</v>
      </c>
      <c r="R21" s="43"/>
      <c r="S21" s="43"/>
      <c r="T21" s="43"/>
      <c r="U21" s="43"/>
    </row>
    <row r="22" spans="1:21" s="11" customFormat="1" x14ac:dyDescent="0.25">
      <c r="A22" s="53" t="s">
        <v>361</v>
      </c>
      <c r="B22" s="54">
        <v>9.35</v>
      </c>
      <c r="C22" s="54">
        <v>13.79</v>
      </c>
      <c r="D22" s="54">
        <v>14.71</v>
      </c>
      <c r="E22" s="54">
        <v>6.93</v>
      </c>
      <c r="F22" s="54">
        <v>17.149999999999999</v>
      </c>
      <c r="G22" s="54">
        <v>21.1</v>
      </c>
      <c r="H22" s="54">
        <v>5.88</v>
      </c>
      <c r="I22" s="54">
        <v>2.0699999999999998</v>
      </c>
      <c r="J22" s="54">
        <v>0.98</v>
      </c>
      <c r="K22" s="54">
        <v>129.66</v>
      </c>
      <c r="L22" s="54">
        <v>29.44</v>
      </c>
      <c r="M22" s="54">
        <v>66.709999999999994</v>
      </c>
      <c r="N22" s="54">
        <v>328</v>
      </c>
      <c r="O22" s="54">
        <v>0</v>
      </c>
      <c r="P22" s="54">
        <v>0.41</v>
      </c>
      <c r="Q22" s="54">
        <v>9.0500000000000007</v>
      </c>
      <c r="R22" s="43"/>
      <c r="S22" s="43"/>
      <c r="T22" s="43"/>
      <c r="U22" s="43"/>
    </row>
    <row r="23" spans="1:21" s="11" customFormat="1" x14ac:dyDescent="0.25">
      <c r="A23" s="53" t="s">
        <v>362</v>
      </c>
      <c r="B23" s="54">
        <v>8.26</v>
      </c>
      <c r="C23" s="54">
        <v>14.7</v>
      </c>
      <c r="D23" s="54">
        <v>13.8</v>
      </c>
      <c r="E23" s="54">
        <v>7</v>
      </c>
      <c r="F23" s="54">
        <v>13.3</v>
      </c>
      <c r="G23" s="54">
        <v>21.82</v>
      </c>
      <c r="H23" s="54">
        <v>6.19</v>
      </c>
      <c r="I23" s="54">
        <v>1.83</v>
      </c>
      <c r="J23" s="54">
        <v>0.81</v>
      </c>
      <c r="K23" s="54">
        <v>131.94</v>
      </c>
      <c r="L23" s="54">
        <v>29.17</v>
      </c>
      <c r="M23" s="54">
        <v>62.27</v>
      </c>
      <c r="N23" s="54">
        <v>171.2</v>
      </c>
      <c r="O23" s="54">
        <v>0</v>
      </c>
      <c r="P23" s="54">
        <v>0.36</v>
      </c>
      <c r="Q23" s="54">
        <v>9.0299999999999994</v>
      </c>
      <c r="R23" s="43"/>
      <c r="S23" s="43"/>
      <c r="T23" s="43"/>
      <c r="U23" s="43"/>
    </row>
    <row r="24" spans="1:21" s="11" customFormat="1" x14ac:dyDescent="0.25">
      <c r="A24" s="53" t="s">
        <v>363</v>
      </c>
      <c r="B24" s="54">
        <v>10.99</v>
      </c>
      <c r="C24" s="54">
        <v>18.14</v>
      </c>
      <c r="D24" s="54">
        <v>18.29</v>
      </c>
      <c r="E24" s="54">
        <v>7.32</v>
      </c>
      <c r="F24" s="54">
        <v>13.38</v>
      </c>
      <c r="G24" s="54">
        <v>18.48</v>
      </c>
      <c r="H24" s="54">
        <v>6.89</v>
      </c>
      <c r="I24" s="54">
        <v>1.75</v>
      </c>
      <c r="J24" s="54">
        <v>0.83</v>
      </c>
      <c r="K24" s="54">
        <v>131.19999999999999</v>
      </c>
      <c r="L24" s="54">
        <v>28.81</v>
      </c>
      <c r="M24" s="54">
        <v>63.98</v>
      </c>
      <c r="N24" s="54">
        <v>124.1</v>
      </c>
      <c r="O24" s="54">
        <v>0</v>
      </c>
      <c r="P24" s="54">
        <v>0.37</v>
      </c>
      <c r="Q24" s="54">
        <v>9.0299999999999994</v>
      </c>
      <c r="R24" s="43"/>
      <c r="S24" s="43"/>
      <c r="T24" s="43"/>
      <c r="U24" s="43"/>
    </row>
    <row r="25" spans="1:21" s="11" customFormat="1" x14ac:dyDescent="0.25">
      <c r="A25" s="53" t="s">
        <v>364</v>
      </c>
      <c r="B25" s="54">
        <v>11.62</v>
      </c>
      <c r="C25" s="54">
        <v>18.37</v>
      </c>
      <c r="D25" s="54">
        <v>18.72</v>
      </c>
      <c r="E25" s="54">
        <v>6.76</v>
      </c>
      <c r="F25" s="54">
        <v>8.81</v>
      </c>
      <c r="G25" s="54">
        <v>19.63</v>
      </c>
      <c r="H25" s="54">
        <v>6.55</v>
      </c>
      <c r="I25" s="54">
        <v>1.7</v>
      </c>
      <c r="J25" s="54">
        <v>0.46</v>
      </c>
      <c r="K25" s="54">
        <v>140.88</v>
      </c>
      <c r="L25" s="54">
        <v>28.15</v>
      </c>
      <c r="M25" s="54">
        <v>65.55</v>
      </c>
      <c r="N25" s="54">
        <v>86.1</v>
      </c>
      <c r="O25" s="54">
        <v>0</v>
      </c>
      <c r="P25" s="54">
        <v>0.41</v>
      </c>
      <c r="Q25" s="54">
        <v>9.06</v>
      </c>
      <c r="R25" s="43"/>
      <c r="S25" s="43"/>
      <c r="T25" s="43"/>
      <c r="U25" s="43"/>
    </row>
    <row r="26" spans="1:21" s="11" customFormat="1" x14ac:dyDescent="0.25">
      <c r="A26" s="53" t="s">
        <v>365</v>
      </c>
      <c r="B26" s="54">
        <v>7.08</v>
      </c>
      <c r="C26" s="54">
        <v>21.33</v>
      </c>
      <c r="D26" s="54">
        <v>16.82</v>
      </c>
      <c r="E26" s="54">
        <v>6.81</v>
      </c>
      <c r="F26" s="54">
        <v>5.69</v>
      </c>
      <c r="G26" s="54">
        <v>19.63</v>
      </c>
      <c r="H26" s="54">
        <v>6.12</v>
      </c>
      <c r="I26" s="54">
        <v>1.73</v>
      </c>
      <c r="J26" s="54">
        <v>0.33</v>
      </c>
      <c r="K26" s="54">
        <v>146.66999999999999</v>
      </c>
      <c r="L26" s="54">
        <v>27.2</v>
      </c>
      <c r="M26" s="54">
        <v>74.040000000000006</v>
      </c>
      <c r="N26" s="54">
        <v>50.7</v>
      </c>
      <c r="O26" s="54">
        <v>0</v>
      </c>
      <c r="P26" s="54">
        <v>0.56999999999999995</v>
      </c>
      <c r="Q26" s="54">
        <v>9.06</v>
      </c>
      <c r="R26" s="43"/>
      <c r="S26" s="43"/>
      <c r="T26" s="43"/>
      <c r="U26" s="43"/>
    </row>
    <row r="27" spans="1:21" s="11" customFormat="1" x14ac:dyDescent="0.25">
      <c r="A27" s="53" t="s">
        <v>366</v>
      </c>
      <c r="B27" s="54">
        <v>6.78</v>
      </c>
      <c r="C27" s="54">
        <v>27.81</v>
      </c>
      <c r="D27" s="54">
        <v>19.96</v>
      </c>
      <c r="E27" s="54">
        <v>6.41</v>
      </c>
      <c r="F27" s="54">
        <v>4.37</v>
      </c>
      <c r="G27" s="54">
        <v>21.53</v>
      </c>
      <c r="H27" s="54">
        <v>5.64</v>
      </c>
      <c r="I27" s="54">
        <v>1.75</v>
      </c>
      <c r="J27" s="54">
        <v>0.36</v>
      </c>
      <c r="K27" s="54">
        <v>133.53</v>
      </c>
      <c r="L27" s="54">
        <v>26.33</v>
      </c>
      <c r="M27" s="54">
        <v>82.4</v>
      </c>
      <c r="N27" s="54">
        <v>40.299999999999997</v>
      </c>
      <c r="O27" s="54">
        <v>0</v>
      </c>
      <c r="P27" s="54">
        <v>0.66</v>
      </c>
      <c r="Q27" s="54">
        <v>9.0299999999999994</v>
      </c>
      <c r="R27" s="43"/>
      <c r="S27" s="43"/>
      <c r="T27" s="43"/>
      <c r="U27" s="43"/>
    </row>
    <row r="28" spans="1:21" s="11" customFormat="1" x14ac:dyDescent="0.25">
      <c r="A28" s="53" t="s">
        <v>367</v>
      </c>
      <c r="B28" s="54">
        <v>8.1300000000000008</v>
      </c>
      <c r="C28" s="54">
        <v>25.33</v>
      </c>
      <c r="D28" s="54">
        <v>19.75</v>
      </c>
      <c r="E28" s="54">
        <v>6.4</v>
      </c>
      <c r="F28" s="54">
        <v>10.19</v>
      </c>
      <c r="G28" s="54">
        <v>20.63</v>
      </c>
      <c r="H28" s="54">
        <v>8.68</v>
      </c>
      <c r="I28" s="54">
        <v>1.73</v>
      </c>
      <c r="J28" s="54">
        <v>0.5</v>
      </c>
      <c r="K28" s="54">
        <v>141.41999999999999</v>
      </c>
      <c r="L28" s="54">
        <v>25.86</v>
      </c>
      <c r="M28" s="54">
        <v>95.82</v>
      </c>
      <c r="N28" s="54">
        <v>40.4</v>
      </c>
      <c r="O28" s="54">
        <v>0</v>
      </c>
      <c r="P28" s="54">
        <v>0.79</v>
      </c>
      <c r="Q28" s="54">
        <v>9.0399999999999991</v>
      </c>
      <c r="R28" s="43"/>
      <c r="S28" s="43"/>
      <c r="T28" s="43"/>
      <c r="U28" s="43"/>
    </row>
    <row r="29" spans="1:21" s="11" customFormat="1" x14ac:dyDescent="0.25">
      <c r="A29" s="53" t="s">
        <v>368</v>
      </c>
      <c r="B29" s="54">
        <v>8.32</v>
      </c>
      <c r="C29" s="54">
        <v>21.59</v>
      </c>
      <c r="D29" s="54">
        <v>17.95</v>
      </c>
      <c r="E29" s="54">
        <v>6.62</v>
      </c>
      <c r="F29" s="54">
        <v>9.94</v>
      </c>
      <c r="G29" s="54">
        <v>23.58</v>
      </c>
      <c r="H29" s="54">
        <v>8.5</v>
      </c>
      <c r="I29" s="54">
        <v>1.82</v>
      </c>
      <c r="J29" s="54">
        <v>0.41</v>
      </c>
      <c r="K29" s="54">
        <v>148.03</v>
      </c>
      <c r="L29" s="54">
        <v>25.28</v>
      </c>
      <c r="M29" s="54">
        <v>98.19</v>
      </c>
      <c r="N29" s="54">
        <v>40.299999999999997</v>
      </c>
      <c r="O29" s="54">
        <v>0</v>
      </c>
      <c r="P29" s="54">
        <v>0.63</v>
      </c>
      <c r="Q29" s="54">
        <v>9.09</v>
      </c>
      <c r="R29" s="43"/>
      <c r="S29" s="43"/>
      <c r="T29" s="43"/>
      <c r="U29" s="43"/>
    </row>
    <row r="30" spans="1:21" s="11" customFormat="1" x14ac:dyDescent="0.25">
      <c r="A30" s="53" t="s">
        <v>369</v>
      </c>
      <c r="B30" s="54">
        <v>8.3800000000000008</v>
      </c>
      <c r="C30" s="54">
        <v>21.03</v>
      </c>
      <c r="D30" s="54">
        <v>17.7</v>
      </c>
      <c r="E30" s="54">
        <v>6.65</v>
      </c>
      <c r="F30" s="54">
        <v>9.4</v>
      </c>
      <c r="G30" s="54">
        <v>25.91</v>
      </c>
      <c r="H30" s="54">
        <v>7.1</v>
      </c>
      <c r="I30" s="54">
        <v>1.9</v>
      </c>
      <c r="J30" s="54">
        <v>0.38</v>
      </c>
      <c r="K30" s="54">
        <v>138.66999999999999</v>
      </c>
      <c r="L30" s="54">
        <v>24.83</v>
      </c>
      <c r="M30" s="54">
        <v>98.2</v>
      </c>
      <c r="N30" s="54">
        <v>40.299999999999997</v>
      </c>
      <c r="O30" s="54">
        <v>0</v>
      </c>
      <c r="P30" s="54">
        <v>0.62</v>
      </c>
      <c r="Q30" s="54">
        <v>9.1</v>
      </c>
      <c r="R30" s="43"/>
      <c r="S30" s="43"/>
      <c r="T30" s="43"/>
      <c r="U30" s="43"/>
    </row>
    <row r="31" spans="1:21" s="11" customFormat="1" x14ac:dyDescent="0.25">
      <c r="A31" s="53" t="s">
        <v>370</v>
      </c>
      <c r="B31" s="54">
        <v>13.93</v>
      </c>
      <c r="C31" s="54">
        <v>28.57</v>
      </c>
      <c r="D31" s="54">
        <v>26.1</v>
      </c>
      <c r="E31" s="54">
        <v>7.08</v>
      </c>
      <c r="F31" s="54">
        <v>6.64</v>
      </c>
      <c r="G31" s="54">
        <v>26.12</v>
      </c>
      <c r="H31" s="54">
        <v>6.13</v>
      </c>
      <c r="I31" s="54">
        <v>1.94</v>
      </c>
      <c r="J31" s="54">
        <v>0.36</v>
      </c>
      <c r="K31" s="54">
        <v>138.51</v>
      </c>
      <c r="L31" s="54">
        <v>24.49</v>
      </c>
      <c r="M31" s="54">
        <v>98.2</v>
      </c>
      <c r="N31" s="54">
        <v>40.299999999999997</v>
      </c>
      <c r="O31" s="54">
        <v>0</v>
      </c>
      <c r="P31" s="54">
        <v>0.73</v>
      </c>
      <c r="Q31" s="54">
        <v>9.0500000000000007</v>
      </c>
      <c r="R31" s="43"/>
      <c r="S31" s="43"/>
      <c r="T31" s="43"/>
      <c r="U31" s="43"/>
    </row>
    <row r="32" spans="1:21" s="11" customFormat="1" x14ac:dyDescent="0.25">
      <c r="A32" s="53" t="s">
        <v>371</v>
      </c>
      <c r="B32" s="54">
        <v>8.01</v>
      </c>
      <c r="C32" s="54">
        <v>23.56</v>
      </c>
      <c r="D32" s="54">
        <v>18.73</v>
      </c>
      <c r="E32" s="54">
        <v>6.89</v>
      </c>
      <c r="F32" s="54">
        <v>4.26</v>
      </c>
      <c r="G32" s="54">
        <v>25.45</v>
      </c>
      <c r="H32" s="54">
        <v>10.93</v>
      </c>
      <c r="I32" s="54">
        <v>1.97</v>
      </c>
      <c r="J32" s="54">
        <v>0.35</v>
      </c>
      <c r="K32" s="54">
        <v>173.05</v>
      </c>
      <c r="L32" s="54">
        <v>23.99</v>
      </c>
      <c r="M32" s="54">
        <v>98.19</v>
      </c>
      <c r="N32" s="54">
        <v>40.4</v>
      </c>
      <c r="O32" s="54">
        <v>0</v>
      </c>
      <c r="P32" s="54">
        <v>0.53</v>
      </c>
      <c r="Q32" s="54">
        <v>9.0500000000000007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6.78</v>
      </c>
      <c r="C34" s="28">
        <f t="shared" si="0"/>
        <v>10.220000000000001</v>
      </c>
      <c r="D34" s="28">
        <f t="shared" si="0"/>
        <v>13.18</v>
      </c>
      <c r="E34" s="28">
        <f t="shared" si="0"/>
        <v>5.66</v>
      </c>
      <c r="F34" s="28">
        <f t="shared" si="0"/>
        <v>2.1</v>
      </c>
      <c r="G34" s="28">
        <f t="shared" si="0"/>
        <v>18.48</v>
      </c>
      <c r="H34" s="28">
        <f t="shared" si="0"/>
        <v>5.51</v>
      </c>
      <c r="I34" s="28">
        <f t="shared" si="0"/>
        <v>1.7</v>
      </c>
      <c r="J34" s="28">
        <f t="shared" si="0"/>
        <v>0.09</v>
      </c>
      <c r="K34" s="28">
        <f t="shared" si="0"/>
        <v>129.62</v>
      </c>
      <c r="L34" s="28">
        <f t="shared" si="0"/>
        <v>22.07</v>
      </c>
      <c r="M34" s="28">
        <f t="shared" si="0"/>
        <v>62.27</v>
      </c>
      <c r="N34" s="28">
        <f t="shared" si="0"/>
        <v>40.299999999999997</v>
      </c>
      <c r="O34" s="28">
        <f t="shared" si="0"/>
        <v>0</v>
      </c>
      <c r="P34" s="28">
        <f t="shared" si="0"/>
        <v>0.26</v>
      </c>
      <c r="Q34" s="28">
        <f t="shared" si="0"/>
        <v>9.0299999999999994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28.03</v>
      </c>
      <c r="C35" s="29">
        <f t="shared" si="1"/>
        <v>28.57</v>
      </c>
      <c r="D35" s="29">
        <f t="shared" si="1"/>
        <v>29.87</v>
      </c>
      <c r="E35" s="29">
        <f t="shared" si="1"/>
        <v>8.6</v>
      </c>
      <c r="F35" s="29">
        <f t="shared" si="1"/>
        <v>17.149999999999999</v>
      </c>
      <c r="G35" s="29">
        <f t="shared" si="1"/>
        <v>58.47</v>
      </c>
      <c r="H35" s="29">
        <f t="shared" si="1"/>
        <v>10.93</v>
      </c>
      <c r="I35" s="29">
        <f t="shared" si="1"/>
        <v>3.37</v>
      </c>
      <c r="J35" s="29">
        <f t="shared" si="1"/>
        <v>1.23</v>
      </c>
      <c r="K35" s="29">
        <f t="shared" si="1"/>
        <v>354.08</v>
      </c>
      <c r="L35" s="29">
        <f t="shared" si="1"/>
        <v>29.53</v>
      </c>
      <c r="M35" s="29">
        <f t="shared" si="1"/>
        <v>98.39</v>
      </c>
      <c r="N35" s="29">
        <f t="shared" si="1"/>
        <v>847.8</v>
      </c>
      <c r="O35" s="29">
        <f t="shared" si="1"/>
        <v>0</v>
      </c>
      <c r="P35" s="29">
        <f t="shared" si="1"/>
        <v>1.1000000000000001</v>
      </c>
      <c r="Q35" s="29">
        <f t="shared" si="1"/>
        <v>9.3800000000000008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12.783333333333331</v>
      </c>
      <c r="C36" s="28">
        <f t="shared" si="2"/>
        <v>17.727083333333329</v>
      </c>
      <c r="D36" s="28">
        <f t="shared" si="2"/>
        <v>19.215416666666666</v>
      </c>
      <c r="E36" s="28">
        <f t="shared" si="2"/>
        <v>6.991666666666668</v>
      </c>
      <c r="F36" s="28">
        <f t="shared" si="2"/>
        <v>8.0437499999999993</v>
      </c>
      <c r="G36" s="28">
        <f t="shared" si="2"/>
        <v>33.348333333333336</v>
      </c>
      <c r="H36" s="28">
        <f t="shared" si="2"/>
        <v>6.8058333333333323</v>
      </c>
      <c r="I36" s="28">
        <f t="shared" si="2"/>
        <v>2.4</v>
      </c>
      <c r="J36" s="28">
        <f t="shared" si="2"/>
        <v>0.55291666666666672</v>
      </c>
      <c r="K36" s="28">
        <f t="shared" si="2"/>
        <v>202.16708333333335</v>
      </c>
      <c r="L36" s="28">
        <f t="shared" si="2"/>
        <v>26.013333333333335</v>
      </c>
      <c r="M36" s="28">
        <f t="shared" si="2"/>
        <v>85.689166666666679</v>
      </c>
      <c r="N36" s="28">
        <f t="shared" si="2"/>
        <v>219.02500000000001</v>
      </c>
      <c r="O36" s="28">
        <f t="shared" si="2"/>
        <v>0</v>
      </c>
      <c r="P36" s="28">
        <f t="shared" si="2"/>
        <v>0.62791666666666679</v>
      </c>
      <c r="Q36" s="28">
        <f t="shared" si="2"/>
        <v>9.175416666666667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5.7054258437009802</v>
      </c>
      <c r="C37" s="28">
        <f t="shared" ref="C37:Q37" si="3">STDEV(C9:C32)</f>
        <v>5.138817728323084</v>
      </c>
      <c r="D37" s="28">
        <f t="shared" si="3"/>
        <v>4.4276865872024862</v>
      </c>
      <c r="E37" s="28">
        <f t="shared" si="3"/>
        <v>0.85322236597330681</v>
      </c>
      <c r="F37" s="28">
        <f t="shared" si="3"/>
        <v>4.8434337554547247</v>
      </c>
      <c r="G37" s="28">
        <f t="shared" si="3"/>
        <v>12.901113759357505</v>
      </c>
      <c r="H37" s="28">
        <f t="shared" si="3"/>
        <v>1.2161768916913649</v>
      </c>
      <c r="I37" s="28">
        <f t="shared" si="3"/>
        <v>0.5926359686218412</v>
      </c>
      <c r="J37" s="28">
        <f t="shared" si="3"/>
        <v>0.334761162968293</v>
      </c>
      <c r="K37" s="28">
        <f t="shared" si="3"/>
        <v>93.10641501642165</v>
      </c>
      <c r="L37" s="28">
        <f t="shared" si="3"/>
        <v>2.7230348584951169</v>
      </c>
      <c r="M37" s="28">
        <f t="shared" si="3"/>
        <v>14.800235578814283</v>
      </c>
      <c r="N37" s="28">
        <f t="shared" si="3"/>
        <v>274.70209674576881</v>
      </c>
      <c r="O37" s="28">
        <f t="shared" si="3"/>
        <v>0</v>
      </c>
      <c r="P37" s="28">
        <f t="shared" si="3"/>
        <v>0.21526483520389997</v>
      </c>
      <c r="Q37" s="28">
        <f t="shared" si="3"/>
        <v>0.12833309806114326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16" sqref="H16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14/10/2025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372</v>
      </c>
      <c r="B9" s="52">
        <v>7.09</v>
      </c>
      <c r="C9" s="52">
        <v>15.76</v>
      </c>
      <c r="D9" s="52">
        <v>13.87</v>
      </c>
      <c r="E9" s="52">
        <v>6.87</v>
      </c>
      <c r="F9" s="52">
        <v>6.47</v>
      </c>
      <c r="G9" s="52">
        <v>26.13</v>
      </c>
      <c r="H9" s="52">
        <v>8.81</v>
      </c>
      <c r="I9" s="52">
        <v>1.95</v>
      </c>
      <c r="J9" s="52">
        <v>0.12</v>
      </c>
      <c r="K9" s="52">
        <v>276.87</v>
      </c>
      <c r="L9" s="52">
        <v>23.6</v>
      </c>
      <c r="M9" s="52">
        <v>98.17</v>
      </c>
      <c r="N9" s="52">
        <v>40.4</v>
      </c>
      <c r="O9" s="52">
        <v>0</v>
      </c>
      <c r="P9" s="52">
        <v>0.52</v>
      </c>
      <c r="Q9" s="52">
        <v>9.08</v>
      </c>
      <c r="R9" s="43"/>
      <c r="S9" s="43"/>
      <c r="T9" s="43"/>
      <c r="U9" s="43"/>
    </row>
    <row r="10" spans="1:21" s="11" customFormat="1" x14ac:dyDescent="0.25">
      <c r="A10" s="51" t="s">
        <v>373</v>
      </c>
      <c r="B10" s="52">
        <v>6.51</v>
      </c>
      <c r="C10" s="52">
        <v>16.149999999999999</v>
      </c>
      <c r="D10" s="52">
        <v>13.26</v>
      </c>
      <c r="E10" s="52">
        <v>6.33</v>
      </c>
      <c r="F10" s="52">
        <v>4.55</v>
      </c>
      <c r="G10" s="52">
        <v>25.98</v>
      </c>
      <c r="H10" s="52">
        <v>7.32</v>
      </c>
      <c r="I10" s="52">
        <v>1.9</v>
      </c>
      <c r="J10" s="52">
        <v>0.14000000000000001</v>
      </c>
      <c r="K10" s="52">
        <v>356.16</v>
      </c>
      <c r="L10" s="52">
        <v>23.15</v>
      </c>
      <c r="M10" s="52">
        <v>98.2</v>
      </c>
      <c r="N10" s="52">
        <v>40.4</v>
      </c>
      <c r="O10" s="52">
        <v>0</v>
      </c>
      <c r="P10" s="52">
        <v>0.48</v>
      </c>
      <c r="Q10" s="52">
        <v>9.09</v>
      </c>
      <c r="R10" s="43"/>
      <c r="S10" s="43"/>
      <c r="T10" s="43"/>
      <c r="U10" s="43"/>
    </row>
    <row r="11" spans="1:21" s="11" customFormat="1" x14ac:dyDescent="0.25">
      <c r="A11" s="51" t="s">
        <v>374</v>
      </c>
      <c r="B11" s="52">
        <v>6.76</v>
      </c>
      <c r="C11" s="52">
        <v>9.86</v>
      </c>
      <c r="D11" s="52">
        <v>10.18</v>
      </c>
      <c r="E11" s="52">
        <v>6.1</v>
      </c>
      <c r="F11" s="52">
        <v>2.54</v>
      </c>
      <c r="G11" s="52">
        <v>26.49</v>
      </c>
      <c r="H11" s="52">
        <v>6.28</v>
      </c>
      <c r="I11" s="52">
        <v>1.87</v>
      </c>
      <c r="J11" s="52">
        <v>0.1</v>
      </c>
      <c r="K11" s="52">
        <v>156</v>
      </c>
      <c r="L11" s="52">
        <v>22.69</v>
      </c>
      <c r="M11" s="52">
        <v>98.26</v>
      </c>
      <c r="N11" s="52">
        <v>40.4</v>
      </c>
      <c r="O11" s="52">
        <v>0</v>
      </c>
      <c r="P11" s="52">
        <v>0.48</v>
      </c>
      <c r="Q11" s="52">
        <v>9.0399999999999991</v>
      </c>
      <c r="R11" s="43"/>
      <c r="S11" s="43"/>
      <c r="T11" s="43"/>
      <c r="U11" s="43"/>
    </row>
    <row r="12" spans="1:21" s="11" customFormat="1" x14ac:dyDescent="0.25">
      <c r="A12" s="51" t="s">
        <v>375</v>
      </c>
      <c r="B12" s="52">
        <v>7.2</v>
      </c>
      <c r="C12" s="52">
        <v>12.32</v>
      </c>
      <c r="D12" s="52">
        <v>11.73</v>
      </c>
      <c r="E12" s="52">
        <v>5.62</v>
      </c>
      <c r="F12" s="52">
        <v>2.13</v>
      </c>
      <c r="G12" s="52">
        <v>25.95</v>
      </c>
      <c r="H12" s="52">
        <v>13.65</v>
      </c>
      <c r="I12" s="52">
        <v>1.85</v>
      </c>
      <c r="J12" s="52">
        <v>0.1</v>
      </c>
      <c r="K12" s="52">
        <v>296.25</v>
      </c>
      <c r="L12" s="52">
        <v>22.37</v>
      </c>
      <c r="M12" s="52">
        <v>98.31</v>
      </c>
      <c r="N12" s="52">
        <v>40.4</v>
      </c>
      <c r="O12" s="52">
        <v>0</v>
      </c>
      <c r="P12" s="52">
        <v>0.48</v>
      </c>
      <c r="Q12" s="52">
        <v>9.0299999999999994</v>
      </c>
      <c r="R12" s="43"/>
      <c r="S12" s="43"/>
      <c r="T12" s="43"/>
      <c r="U12" s="43"/>
    </row>
    <row r="13" spans="1:21" s="11" customFormat="1" x14ac:dyDescent="0.25">
      <c r="A13" s="51" t="s">
        <v>376</v>
      </c>
      <c r="B13" s="52">
        <v>7.44</v>
      </c>
      <c r="C13" s="52">
        <v>12.13</v>
      </c>
      <c r="D13" s="52">
        <v>12.16</v>
      </c>
      <c r="E13" s="52">
        <v>5.73</v>
      </c>
      <c r="F13" s="52">
        <v>2.44</v>
      </c>
      <c r="G13" s="52">
        <v>25.71</v>
      </c>
      <c r="H13" s="52">
        <v>10.71</v>
      </c>
      <c r="I13" s="52">
        <v>1.89</v>
      </c>
      <c r="J13" s="52">
        <v>0.09</v>
      </c>
      <c r="K13" s="52">
        <v>315.99</v>
      </c>
      <c r="L13" s="52">
        <v>21.96</v>
      </c>
      <c r="M13" s="52">
        <v>98.35</v>
      </c>
      <c r="N13" s="52">
        <v>40.4</v>
      </c>
      <c r="O13" s="52">
        <v>0</v>
      </c>
      <c r="P13" s="52">
        <v>0.47</v>
      </c>
      <c r="Q13" s="52">
        <v>9.08</v>
      </c>
      <c r="R13" s="43"/>
      <c r="S13" s="43"/>
      <c r="T13" s="43"/>
      <c r="U13" s="43"/>
    </row>
    <row r="14" spans="1:21" s="11" customFormat="1" x14ac:dyDescent="0.25">
      <c r="A14" s="51" t="s">
        <v>377</v>
      </c>
      <c r="B14" s="52">
        <v>10.26</v>
      </c>
      <c r="C14" s="52">
        <v>13.36</v>
      </c>
      <c r="D14" s="52">
        <v>15.21</v>
      </c>
      <c r="E14" s="52">
        <v>5.49</v>
      </c>
      <c r="F14" s="52">
        <v>2.1</v>
      </c>
      <c r="G14" s="52">
        <v>27.74</v>
      </c>
      <c r="H14" s="52">
        <v>8.65</v>
      </c>
      <c r="I14" s="52">
        <v>1.91</v>
      </c>
      <c r="J14" s="52">
        <v>0.17</v>
      </c>
      <c r="K14" s="52">
        <v>271.11</v>
      </c>
      <c r="L14" s="52">
        <v>21.72</v>
      </c>
      <c r="M14" s="52">
        <v>98.43</v>
      </c>
      <c r="N14" s="52">
        <v>43.7</v>
      </c>
      <c r="O14" s="52">
        <v>0</v>
      </c>
      <c r="P14" s="52">
        <v>0.53</v>
      </c>
      <c r="Q14" s="52">
        <v>9.1</v>
      </c>
      <c r="R14" s="43"/>
      <c r="S14" s="43"/>
      <c r="T14" s="43"/>
      <c r="U14" s="43"/>
    </row>
    <row r="15" spans="1:21" s="11" customFormat="1" x14ac:dyDescent="0.25">
      <c r="A15" s="51" t="s">
        <v>378</v>
      </c>
      <c r="B15" s="52">
        <v>11.89</v>
      </c>
      <c r="C15" s="52">
        <v>13.06</v>
      </c>
      <c r="D15" s="52">
        <v>15.19</v>
      </c>
      <c r="E15" s="52">
        <v>5.65</v>
      </c>
      <c r="F15" s="52">
        <v>5.26</v>
      </c>
      <c r="G15" s="52">
        <v>30.78</v>
      </c>
      <c r="H15" s="52">
        <v>7.21</v>
      </c>
      <c r="I15" s="52">
        <v>1.96</v>
      </c>
      <c r="J15" s="52">
        <v>0.27</v>
      </c>
      <c r="K15" s="52">
        <v>307.16000000000003</v>
      </c>
      <c r="L15" s="52">
        <v>23.5</v>
      </c>
      <c r="M15" s="52">
        <v>98.43</v>
      </c>
      <c r="N15" s="52">
        <v>157.69999999999999</v>
      </c>
      <c r="O15" s="52">
        <v>0</v>
      </c>
      <c r="P15" s="52">
        <v>0.56000000000000005</v>
      </c>
      <c r="Q15" s="52">
        <v>9.09</v>
      </c>
      <c r="R15" s="43"/>
      <c r="S15" s="43"/>
      <c r="T15" s="43"/>
      <c r="U15" s="43"/>
    </row>
    <row r="16" spans="1:21" s="11" customFormat="1" x14ac:dyDescent="0.25">
      <c r="A16" s="51" t="s">
        <v>379</v>
      </c>
      <c r="B16" s="52">
        <v>12.53</v>
      </c>
      <c r="C16" s="52">
        <v>13.59</v>
      </c>
      <c r="D16" s="52">
        <v>16.52</v>
      </c>
      <c r="E16" s="52">
        <v>5.38</v>
      </c>
      <c r="F16" s="52">
        <v>5.67</v>
      </c>
      <c r="G16" s="52">
        <v>33.17</v>
      </c>
      <c r="H16" s="52">
        <v>9.69</v>
      </c>
      <c r="I16" s="52">
        <v>2.29</v>
      </c>
      <c r="J16" s="52">
        <v>0.53</v>
      </c>
      <c r="K16" s="52">
        <v>211.2</v>
      </c>
      <c r="L16" s="52">
        <v>26.33</v>
      </c>
      <c r="M16" s="52">
        <v>98.29</v>
      </c>
      <c r="N16" s="52">
        <v>295.60000000000002</v>
      </c>
      <c r="O16" s="52">
        <v>0</v>
      </c>
      <c r="P16" s="52">
        <v>0.57999999999999996</v>
      </c>
      <c r="Q16" s="52">
        <v>9.1199999999999992</v>
      </c>
      <c r="R16" s="43"/>
      <c r="S16" s="43"/>
      <c r="T16" s="43"/>
      <c r="U16" s="43"/>
    </row>
    <row r="17" spans="1:21" s="11" customFormat="1" x14ac:dyDescent="0.25">
      <c r="A17" s="51" t="s">
        <v>380</v>
      </c>
      <c r="B17" s="52">
        <v>15.48</v>
      </c>
      <c r="C17" s="52">
        <v>15.3</v>
      </c>
      <c r="D17" s="52">
        <v>20.18</v>
      </c>
      <c r="E17" s="52">
        <v>5.88</v>
      </c>
      <c r="F17" s="52">
        <v>7.22</v>
      </c>
      <c r="G17" s="52">
        <v>36.909999999999997</v>
      </c>
      <c r="H17" s="52">
        <v>7.94</v>
      </c>
      <c r="I17" s="52">
        <v>2.37</v>
      </c>
      <c r="J17" s="52">
        <v>0.91</v>
      </c>
      <c r="K17" s="52">
        <v>332.55</v>
      </c>
      <c r="L17" s="52">
        <v>26.5</v>
      </c>
      <c r="M17" s="52">
        <v>92.97</v>
      </c>
      <c r="N17" s="52">
        <v>323.2</v>
      </c>
      <c r="O17" s="52">
        <v>0</v>
      </c>
      <c r="P17" s="52">
        <v>0.64</v>
      </c>
      <c r="Q17" s="52">
        <v>9.15</v>
      </c>
      <c r="R17" s="43"/>
      <c r="S17" s="43"/>
      <c r="T17" s="43"/>
      <c r="U17" s="43"/>
    </row>
    <row r="18" spans="1:21" s="11" customFormat="1" x14ac:dyDescent="0.25">
      <c r="A18" s="51" t="s">
        <v>381</v>
      </c>
      <c r="B18" s="52">
        <v>15.48</v>
      </c>
      <c r="C18" s="52">
        <v>15.37</v>
      </c>
      <c r="D18" s="52">
        <v>20.45</v>
      </c>
      <c r="E18" s="52">
        <v>6.43</v>
      </c>
      <c r="F18" s="52">
        <v>6.38</v>
      </c>
      <c r="G18" s="52">
        <v>36.46</v>
      </c>
      <c r="H18" s="52">
        <v>6.71</v>
      </c>
      <c r="I18" s="52">
        <v>2.36</v>
      </c>
      <c r="J18" s="52">
        <v>0.31</v>
      </c>
      <c r="K18" s="52">
        <v>346.98</v>
      </c>
      <c r="L18" s="52">
        <v>30.21</v>
      </c>
      <c r="M18" s="52">
        <v>81.83</v>
      </c>
      <c r="N18" s="52">
        <v>718.6</v>
      </c>
      <c r="O18" s="52">
        <v>0</v>
      </c>
      <c r="P18" s="52">
        <v>0.61</v>
      </c>
      <c r="Q18" s="52">
        <v>9.18</v>
      </c>
      <c r="R18" s="43"/>
      <c r="S18" s="43"/>
      <c r="T18" s="43"/>
      <c r="U18" s="43"/>
    </row>
    <row r="19" spans="1:21" s="11" customFormat="1" x14ac:dyDescent="0.25">
      <c r="A19" s="51" t="s">
        <v>382</v>
      </c>
      <c r="B19" s="52">
        <v>9.5299999999999994</v>
      </c>
      <c r="C19" s="52">
        <v>12.49</v>
      </c>
      <c r="D19" s="52">
        <v>14.17</v>
      </c>
      <c r="E19" s="52">
        <v>6.91</v>
      </c>
      <c r="F19" s="52">
        <v>10.51</v>
      </c>
      <c r="G19" s="52">
        <v>35.770000000000003</v>
      </c>
      <c r="H19" s="52">
        <v>9.85</v>
      </c>
      <c r="I19" s="52">
        <v>2.37</v>
      </c>
      <c r="J19" s="52">
        <v>0.87</v>
      </c>
      <c r="K19" s="52">
        <v>132.88</v>
      </c>
      <c r="L19" s="52">
        <v>29.2</v>
      </c>
      <c r="M19" s="52">
        <v>70.8</v>
      </c>
      <c r="N19" s="52">
        <v>826.7</v>
      </c>
      <c r="O19" s="52">
        <v>0</v>
      </c>
      <c r="P19" s="52">
        <v>0.51</v>
      </c>
      <c r="Q19" s="52">
        <v>9.18</v>
      </c>
      <c r="R19" s="43"/>
      <c r="S19" s="43"/>
      <c r="T19" s="43"/>
      <c r="U19" s="43"/>
    </row>
    <row r="20" spans="1:21" s="11" customFormat="1" x14ac:dyDescent="0.25">
      <c r="A20" s="51" t="s">
        <v>383</v>
      </c>
      <c r="B20" s="52">
        <v>9.07</v>
      </c>
      <c r="C20" s="52">
        <v>10.45</v>
      </c>
      <c r="D20" s="52">
        <v>12.4</v>
      </c>
      <c r="E20" s="52">
        <v>6.31</v>
      </c>
      <c r="F20" s="52">
        <v>15.17</v>
      </c>
      <c r="G20" s="52">
        <v>38.24</v>
      </c>
      <c r="H20" s="52">
        <v>10.55</v>
      </c>
      <c r="I20" s="52">
        <v>2.31</v>
      </c>
      <c r="J20" s="52">
        <v>1.02</v>
      </c>
      <c r="K20" s="52">
        <v>140.28</v>
      </c>
      <c r="L20" s="52">
        <v>29.32</v>
      </c>
      <c r="M20" s="52">
        <v>66.06</v>
      </c>
      <c r="N20" s="52">
        <v>899.1</v>
      </c>
      <c r="O20" s="52">
        <v>0</v>
      </c>
      <c r="P20" s="52">
        <v>0.48</v>
      </c>
      <c r="Q20" s="52">
        <v>9.09</v>
      </c>
      <c r="R20" s="43"/>
      <c r="S20" s="43"/>
      <c r="T20" s="43"/>
      <c r="U20" s="43"/>
    </row>
    <row r="21" spans="1:21" s="11" customFormat="1" x14ac:dyDescent="0.25">
      <c r="A21" s="51" t="s">
        <v>384</v>
      </c>
      <c r="B21" s="52">
        <v>8.02</v>
      </c>
      <c r="C21" s="52">
        <v>10.85</v>
      </c>
      <c r="D21" s="52">
        <v>12.1</v>
      </c>
      <c r="E21" s="52">
        <v>6.53</v>
      </c>
      <c r="F21" s="52">
        <v>12.17</v>
      </c>
      <c r="G21" s="52">
        <v>33.78</v>
      </c>
      <c r="H21" s="52">
        <v>9.7100000000000009</v>
      </c>
      <c r="I21" s="52">
        <v>2.13</v>
      </c>
      <c r="J21" s="52">
        <v>0.86</v>
      </c>
      <c r="K21" s="52">
        <v>138.24</v>
      </c>
      <c r="L21" s="52">
        <v>29.69</v>
      </c>
      <c r="M21" s="52">
        <v>59.89</v>
      </c>
      <c r="N21" s="52">
        <v>826.7</v>
      </c>
      <c r="O21" s="52">
        <v>0</v>
      </c>
      <c r="P21" s="52">
        <v>0.42</v>
      </c>
      <c r="Q21" s="52">
        <v>9.0500000000000007</v>
      </c>
      <c r="R21" s="43"/>
      <c r="S21" s="43"/>
      <c r="T21" s="43"/>
      <c r="U21" s="43"/>
    </row>
    <row r="22" spans="1:21" s="11" customFormat="1" x14ac:dyDescent="0.25">
      <c r="A22" s="51" t="s">
        <v>385</v>
      </c>
      <c r="B22" s="52">
        <v>7.44</v>
      </c>
      <c r="C22" s="52">
        <v>14.65</v>
      </c>
      <c r="D22" s="52">
        <v>13.62</v>
      </c>
      <c r="E22" s="52">
        <v>6.06</v>
      </c>
      <c r="F22" s="52">
        <v>13.1</v>
      </c>
      <c r="G22" s="52">
        <v>42.03</v>
      </c>
      <c r="H22" s="52">
        <v>8.76</v>
      </c>
      <c r="I22" s="52">
        <v>1.93</v>
      </c>
      <c r="J22" s="52">
        <v>1.22</v>
      </c>
      <c r="K22" s="52">
        <v>134.74</v>
      </c>
      <c r="L22" s="52">
        <v>29.07</v>
      </c>
      <c r="M22" s="52">
        <v>62.02</v>
      </c>
      <c r="N22" s="52">
        <v>274.7</v>
      </c>
      <c r="O22" s="52">
        <v>0</v>
      </c>
      <c r="P22" s="52">
        <v>0.34</v>
      </c>
      <c r="Q22" s="52">
        <v>9.0399999999999991</v>
      </c>
      <c r="R22" s="43"/>
      <c r="S22" s="43"/>
      <c r="T22" s="43"/>
      <c r="U22" s="43"/>
    </row>
    <row r="23" spans="1:21" s="11" customFormat="1" x14ac:dyDescent="0.25">
      <c r="A23" s="51" t="s">
        <v>386</v>
      </c>
      <c r="B23" s="52">
        <v>8.68</v>
      </c>
      <c r="C23" s="52">
        <v>14.24</v>
      </c>
      <c r="D23" s="52">
        <v>13.55</v>
      </c>
      <c r="E23" s="52">
        <v>6.33</v>
      </c>
      <c r="F23" s="52">
        <v>12.1</v>
      </c>
      <c r="G23" s="52">
        <v>39.020000000000003</v>
      </c>
      <c r="H23" s="52">
        <v>8.11</v>
      </c>
      <c r="I23" s="52">
        <v>1.74</v>
      </c>
      <c r="J23" s="52">
        <v>0.76</v>
      </c>
      <c r="K23" s="52">
        <v>136.25</v>
      </c>
      <c r="L23" s="52">
        <v>29.04</v>
      </c>
      <c r="M23" s="52">
        <v>59.72</v>
      </c>
      <c r="N23" s="52">
        <v>169.4</v>
      </c>
      <c r="O23" s="52">
        <v>0</v>
      </c>
      <c r="P23" s="52">
        <v>0.37</v>
      </c>
      <c r="Q23" s="52">
        <v>9.0500000000000007</v>
      </c>
      <c r="R23" s="43"/>
      <c r="S23" s="43"/>
      <c r="T23" s="43"/>
      <c r="U23" s="43"/>
    </row>
    <row r="24" spans="1:21" s="11" customFormat="1" x14ac:dyDescent="0.25">
      <c r="A24" s="51" t="s">
        <v>387</v>
      </c>
      <c r="B24" s="52">
        <v>10.1</v>
      </c>
      <c r="C24" s="52">
        <v>19.559999999999999</v>
      </c>
      <c r="D24" s="52">
        <v>18.32</v>
      </c>
      <c r="E24" s="52">
        <v>6.15</v>
      </c>
      <c r="F24" s="52">
        <v>11.42</v>
      </c>
      <c r="G24" s="52">
        <v>35.75</v>
      </c>
      <c r="H24" s="52">
        <v>10.25</v>
      </c>
      <c r="I24" s="52">
        <v>1.65</v>
      </c>
      <c r="J24" s="52">
        <v>0.91</v>
      </c>
      <c r="K24" s="52">
        <v>142.91</v>
      </c>
      <c r="L24" s="52">
        <v>28.46</v>
      </c>
      <c r="M24" s="52">
        <v>62.1</v>
      </c>
      <c r="N24" s="52">
        <v>122.1</v>
      </c>
      <c r="O24" s="52">
        <v>0</v>
      </c>
      <c r="P24" s="52">
        <v>0.41</v>
      </c>
      <c r="Q24" s="52">
        <v>9.0299999999999994</v>
      </c>
      <c r="R24" s="43"/>
      <c r="S24" s="43"/>
      <c r="T24" s="43"/>
      <c r="U24" s="43"/>
    </row>
    <row r="25" spans="1:21" s="11" customFormat="1" x14ac:dyDescent="0.25">
      <c r="A25" s="51" t="s">
        <v>388</v>
      </c>
      <c r="B25" s="52">
        <v>15.42</v>
      </c>
      <c r="C25" s="52">
        <v>17.059999999999999</v>
      </c>
      <c r="D25" s="52">
        <v>21.28</v>
      </c>
      <c r="E25" s="52">
        <v>5.75</v>
      </c>
      <c r="F25" s="52">
        <v>10.72</v>
      </c>
      <c r="G25" s="52">
        <v>34.270000000000003</v>
      </c>
      <c r="H25" s="52">
        <v>9.75</v>
      </c>
      <c r="I25" s="52">
        <v>1.52</v>
      </c>
      <c r="J25" s="52">
        <v>0.62</v>
      </c>
      <c r="K25" s="52">
        <v>156.86000000000001</v>
      </c>
      <c r="L25" s="52">
        <v>28.01</v>
      </c>
      <c r="M25" s="52">
        <v>65.599999999999994</v>
      </c>
      <c r="N25" s="52">
        <v>83.5</v>
      </c>
      <c r="O25" s="52">
        <v>0</v>
      </c>
      <c r="P25" s="52">
        <v>0.41</v>
      </c>
      <c r="Q25" s="52">
        <v>9.01</v>
      </c>
      <c r="R25" s="43"/>
      <c r="S25" s="43"/>
      <c r="T25" s="43"/>
      <c r="U25" s="43"/>
    </row>
    <row r="26" spans="1:21" s="11" customFormat="1" x14ac:dyDescent="0.25">
      <c r="A26" s="51" t="s">
        <v>389</v>
      </c>
      <c r="B26" s="52">
        <v>27.58</v>
      </c>
      <c r="C26" s="52">
        <v>30.31</v>
      </c>
      <c r="D26" s="52">
        <v>37.950000000000003</v>
      </c>
      <c r="E26" s="52">
        <v>5.72</v>
      </c>
      <c r="F26" s="52">
        <v>4.47</v>
      </c>
      <c r="G26" s="52">
        <v>36.5</v>
      </c>
      <c r="H26" s="52">
        <v>9.56</v>
      </c>
      <c r="I26" s="52">
        <v>1.5</v>
      </c>
      <c r="J26" s="52">
        <v>0.16</v>
      </c>
      <c r="K26" s="52">
        <v>238.69</v>
      </c>
      <c r="L26" s="52">
        <v>27.22</v>
      </c>
      <c r="M26" s="52">
        <v>79.5</v>
      </c>
      <c r="N26" s="52">
        <v>53</v>
      </c>
      <c r="O26" s="52">
        <v>0</v>
      </c>
      <c r="P26" s="52">
        <v>1.01</v>
      </c>
      <c r="Q26" s="52">
        <v>9.07</v>
      </c>
      <c r="R26" s="43"/>
      <c r="S26" s="43"/>
      <c r="T26" s="43"/>
      <c r="U26" s="43"/>
    </row>
    <row r="27" spans="1:21" s="11" customFormat="1" x14ac:dyDescent="0.25">
      <c r="A27" s="51" t="s">
        <v>390</v>
      </c>
      <c r="B27" s="52">
        <v>23.54</v>
      </c>
      <c r="C27" s="52">
        <v>28.8</v>
      </c>
      <c r="D27" s="52">
        <v>33.08</v>
      </c>
      <c r="E27" s="52">
        <v>5.94</v>
      </c>
      <c r="F27" s="52">
        <v>4.5</v>
      </c>
      <c r="G27" s="52">
        <v>45.32</v>
      </c>
      <c r="H27" s="52">
        <v>9.2100000000000009</v>
      </c>
      <c r="I27" s="52">
        <v>1.56</v>
      </c>
      <c r="J27" s="52">
        <v>0.15</v>
      </c>
      <c r="K27" s="52">
        <v>288.17</v>
      </c>
      <c r="L27" s="52">
        <v>26.15</v>
      </c>
      <c r="M27" s="52">
        <v>89.26</v>
      </c>
      <c r="N27" s="52">
        <v>41.6</v>
      </c>
      <c r="O27" s="52">
        <v>0</v>
      </c>
      <c r="P27" s="52">
        <v>1.1000000000000001</v>
      </c>
      <c r="Q27" s="52">
        <v>9.15</v>
      </c>
      <c r="R27" s="43"/>
      <c r="S27" s="43"/>
      <c r="T27" s="43"/>
      <c r="U27" s="43"/>
    </row>
    <row r="28" spans="1:21" s="11" customFormat="1" x14ac:dyDescent="0.25">
      <c r="A28" s="51" t="s">
        <v>391</v>
      </c>
      <c r="B28" s="52">
        <v>12.6</v>
      </c>
      <c r="C28" s="52">
        <v>26.47</v>
      </c>
      <c r="D28" s="52">
        <v>23.93</v>
      </c>
      <c r="E28" s="52">
        <v>5.98</v>
      </c>
      <c r="F28" s="52">
        <v>5.99</v>
      </c>
      <c r="G28" s="52">
        <v>46.49</v>
      </c>
      <c r="H28" s="52">
        <v>9.98</v>
      </c>
      <c r="I28" s="52">
        <v>1.83</v>
      </c>
      <c r="J28" s="52">
        <v>0.15</v>
      </c>
      <c r="K28" s="52">
        <v>243.27</v>
      </c>
      <c r="L28" s="52">
        <v>25.68</v>
      </c>
      <c r="M28" s="52">
        <v>93.86</v>
      </c>
      <c r="N28" s="52">
        <v>41.5</v>
      </c>
      <c r="O28" s="52">
        <v>0</v>
      </c>
      <c r="P28" s="52">
        <v>0.94</v>
      </c>
      <c r="Q28" s="52">
        <v>9.17</v>
      </c>
      <c r="R28" s="43"/>
      <c r="S28" s="43"/>
      <c r="T28" s="43"/>
      <c r="U28" s="43"/>
    </row>
    <row r="29" spans="1:21" s="11" customFormat="1" x14ac:dyDescent="0.25">
      <c r="A29" s="51" t="s">
        <v>392</v>
      </c>
      <c r="B29" s="52">
        <v>17.3</v>
      </c>
      <c r="C29" s="52">
        <v>30.5</v>
      </c>
      <c r="D29" s="52">
        <v>25.8</v>
      </c>
      <c r="E29" s="52">
        <v>5.93</v>
      </c>
      <c r="F29" s="52">
        <v>7.45</v>
      </c>
      <c r="G29" s="52">
        <v>54.63</v>
      </c>
      <c r="H29" s="52">
        <v>9.27</v>
      </c>
      <c r="I29" s="52">
        <v>2.02</v>
      </c>
      <c r="J29" s="52">
        <v>0.26</v>
      </c>
      <c r="K29" s="52">
        <v>143.41999999999999</v>
      </c>
      <c r="L29" s="52">
        <v>25.26</v>
      </c>
      <c r="M29" s="52">
        <v>95.38</v>
      </c>
      <c r="N29" s="52">
        <v>41.8</v>
      </c>
      <c r="O29" s="52">
        <v>0</v>
      </c>
      <c r="P29" s="52">
        <v>0.95</v>
      </c>
      <c r="Q29" s="52">
        <v>9.1300000000000008</v>
      </c>
      <c r="R29" s="43"/>
      <c r="S29" s="43"/>
      <c r="T29" s="43"/>
      <c r="U29" s="43"/>
    </row>
    <row r="30" spans="1:21" s="11" customFormat="1" x14ac:dyDescent="0.25">
      <c r="A30" s="51" t="s">
        <v>393</v>
      </c>
      <c r="B30" s="52">
        <v>17.670000000000002</v>
      </c>
      <c r="C30" s="52">
        <v>38.17</v>
      </c>
      <c r="D30" s="52">
        <v>34.11</v>
      </c>
      <c r="E30" s="52">
        <v>5.63</v>
      </c>
      <c r="F30" s="52">
        <v>6.75</v>
      </c>
      <c r="G30" s="52">
        <v>56.11</v>
      </c>
      <c r="H30" s="52">
        <v>8.56</v>
      </c>
      <c r="I30" s="52">
        <v>2.1</v>
      </c>
      <c r="J30" s="52">
        <v>0.34</v>
      </c>
      <c r="K30" s="52">
        <v>253.14</v>
      </c>
      <c r="L30" s="52">
        <v>24.86</v>
      </c>
      <c r="M30" s="52">
        <v>96.54</v>
      </c>
      <c r="N30" s="52">
        <v>41.9</v>
      </c>
      <c r="O30" s="52">
        <v>0</v>
      </c>
      <c r="P30" s="52">
        <v>1.1599999999999999</v>
      </c>
      <c r="Q30" s="52">
        <v>9.14</v>
      </c>
      <c r="R30" s="43"/>
      <c r="S30" s="43"/>
      <c r="T30" s="43"/>
      <c r="U30" s="43"/>
    </row>
    <row r="31" spans="1:21" s="11" customFormat="1" x14ac:dyDescent="0.25">
      <c r="A31" s="51" t="s">
        <v>394</v>
      </c>
      <c r="B31" s="52">
        <v>7.45</v>
      </c>
      <c r="C31" s="52">
        <v>20.21</v>
      </c>
      <c r="D31" s="52">
        <v>15.89</v>
      </c>
      <c r="E31" s="52">
        <v>6.03</v>
      </c>
      <c r="F31" s="52">
        <v>9.08</v>
      </c>
      <c r="G31" s="52">
        <v>56.89</v>
      </c>
      <c r="H31" s="52">
        <v>7.91</v>
      </c>
      <c r="I31" s="52">
        <v>2.15</v>
      </c>
      <c r="J31" s="52">
        <v>0.41</v>
      </c>
      <c r="K31" s="52">
        <v>147</v>
      </c>
      <c r="L31" s="52">
        <v>24.59</v>
      </c>
      <c r="M31" s="52">
        <v>98.04</v>
      </c>
      <c r="N31" s="52">
        <v>41.8</v>
      </c>
      <c r="O31" s="52">
        <v>0</v>
      </c>
      <c r="P31" s="52">
        <v>0.64</v>
      </c>
      <c r="Q31" s="52">
        <v>9.15</v>
      </c>
      <c r="R31" s="43"/>
      <c r="S31" s="43"/>
      <c r="T31" s="43"/>
      <c r="U31" s="43"/>
    </row>
    <row r="32" spans="1:21" s="11" customFormat="1" x14ac:dyDescent="0.25">
      <c r="A32" s="51" t="s">
        <v>395</v>
      </c>
      <c r="B32" s="52">
        <v>6.74</v>
      </c>
      <c r="C32" s="52">
        <v>17.350000000000001</v>
      </c>
      <c r="D32" s="52">
        <v>14.47</v>
      </c>
      <c r="E32" s="52">
        <v>6.88</v>
      </c>
      <c r="F32" s="52">
        <v>9.4600000000000009</v>
      </c>
      <c r="G32" s="52">
        <v>53.69</v>
      </c>
      <c r="H32" s="52">
        <v>10.97</v>
      </c>
      <c r="I32" s="52">
        <v>2.12</v>
      </c>
      <c r="J32" s="52">
        <v>0.37</v>
      </c>
      <c r="K32" s="52">
        <v>138.07</v>
      </c>
      <c r="L32" s="52">
        <v>24.29</v>
      </c>
      <c r="M32" s="52">
        <v>98.35</v>
      </c>
      <c r="N32" s="52">
        <v>41.9</v>
      </c>
      <c r="O32" s="52">
        <v>0</v>
      </c>
      <c r="P32" s="52">
        <v>0.61</v>
      </c>
      <c r="Q32" s="52">
        <v>9.15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6.51</v>
      </c>
      <c r="C34" s="28">
        <f t="shared" si="0"/>
        <v>9.86</v>
      </c>
      <c r="D34" s="28">
        <f t="shared" si="0"/>
        <v>10.18</v>
      </c>
      <c r="E34" s="28">
        <f t="shared" si="0"/>
        <v>5.38</v>
      </c>
      <c r="F34" s="28">
        <f t="shared" si="0"/>
        <v>2.1</v>
      </c>
      <c r="G34" s="28">
        <f t="shared" si="0"/>
        <v>25.71</v>
      </c>
      <c r="H34" s="28">
        <f t="shared" si="0"/>
        <v>6.28</v>
      </c>
      <c r="I34" s="28">
        <f t="shared" si="0"/>
        <v>1.5</v>
      </c>
      <c r="J34" s="28">
        <f t="shared" si="0"/>
        <v>0.09</v>
      </c>
      <c r="K34" s="28">
        <f t="shared" si="0"/>
        <v>132.88</v>
      </c>
      <c r="L34" s="28">
        <f t="shared" si="0"/>
        <v>21.72</v>
      </c>
      <c r="M34" s="28">
        <f t="shared" si="0"/>
        <v>59.72</v>
      </c>
      <c r="N34" s="28">
        <f t="shared" si="0"/>
        <v>40.4</v>
      </c>
      <c r="O34" s="28">
        <f t="shared" si="0"/>
        <v>0</v>
      </c>
      <c r="P34" s="28">
        <f t="shared" si="0"/>
        <v>0.34</v>
      </c>
      <c r="Q34" s="28">
        <f t="shared" si="0"/>
        <v>9.01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27.58</v>
      </c>
      <c r="C35" s="29">
        <f t="shared" si="1"/>
        <v>38.17</v>
      </c>
      <c r="D35" s="29">
        <f t="shared" si="1"/>
        <v>37.950000000000003</v>
      </c>
      <c r="E35" s="29">
        <f t="shared" si="1"/>
        <v>6.91</v>
      </c>
      <c r="F35" s="29">
        <f t="shared" si="1"/>
        <v>15.17</v>
      </c>
      <c r="G35" s="29">
        <f t="shared" si="1"/>
        <v>56.89</v>
      </c>
      <c r="H35" s="29">
        <f t="shared" si="1"/>
        <v>13.65</v>
      </c>
      <c r="I35" s="29">
        <f t="shared" si="1"/>
        <v>2.37</v>
      </c>
      <c r="J35" s="29">
        <f t="shared" si="1"/>
        <v>1.22</v>
      </c>
      <c r="K35" s="29">
        <f t="shared" si="1"/>
        <v>356.16</v>
      </c>
      <c r="L35" s="29">
        <f t="shared" si="1"/>
        <v>30.21</v>
      </c>
      <c r="M35" s="29">
        <f t="shared" si="1"/>
        <v>98.43</v>
      </c>
      <c r="N35" s="29">
        <f t="shared" si="1"/>
        <v>899.1</v>
      </c>
      <c r="O35" s="29">
        <f t="shared" si="1"/>
        <v>0</v>
      </c>
      <c r="P35" s="29">
        <f t="shared" si="1"/>
        <v>1.1599999999999999</v>
      </c>
      <c r="Q35" s="29">
        <f t="shared" si="1"/>
        <v>9.18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11.740833333333335</v>
      </c>
      <c r="C36" s="28">
        <f t="shared" si="2"/>
        <v>17.833749999999998</v>
      </c>
      <c r="D36" s="28">
        <f t="shared" si="2"/>
        <v>18.309166666666666</v>
      </c>
      <c r="E36" s="28">
        <f t="shared" si="2"/>
        <v>6.0679166666666662</v>
      </c>
      <c r="F36" s="28">
        <f t="shared" si="2"/>
        <v>7.4020833333333336</v>
      </c>
      <c r="G36" s="28">
        <f t="shared" si="2"/>
        <v>37.658749999999998</v>
      </c>
      <c r="H36" s="28">
        <f t="shared" si="2"/>
        <v>9.1420833333333338</v>
      </c>
      <c r="I36" s="28">
        <f t="shared" si="2"/>
        <v>1.97</v>
      </c>
      <c r="J36" s="28">
        <f t="shared" si="2"/>
        <v>0.45166666666666666</v>
      </c>
      <c r="K36" s="28">
        <f t="shared" si="2"/>
        <v>221.00791666666672</v>
      </c>
      <c r="L36" s="28">
        <f t="shared" si="2"/>
        <v>25.952916666666663</v>
      </c>
      <c r="M36" s="28">
        <f t="shared" si="2"/>
        <v>85.764999999999986</v>
      </c>
      <c r="N36" s="28">
        <f t="shared" si="2"/>
        <v>218.60416666666666</v>
      </c>
      <c r="O36" s="28">
        <f t="shared" si="2"/>
        <v>0</v>
      </c>
      <c r="P36" s="28">
        <f t="shared" si="2"/>
        <v>0.61249999999999993</v>
      </c>
      <c r="Q36" s="28">
        <f t="shared" si="2"/>
        <v>9.0987500000000008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5.5716455431022363</v>
      </c>
      <c r="C37" s="28">
        <f t="shared" ref="C37:Q37" si="3">STDEV(C9:C32)</f>
        <v>7.5059650554104946</v>
      </c>
      <c r="D37" s="28">
        <f t="shared" si="3"/>
        <v>7.6014082886669465</v>
      </c>
      <c r="E37" s="28">
        <f t="shared" si="3"/>
        <v>0.43493107066739217</v>
      </c>
      <c r="F37" s="28">
        <f t="shared" si="3"/>
        <v>3.7460204729897013</v>
      </c>
      <c r="G37" s="28">
        <f t="shared" si="3"/>
        <v>9.9785401530963824</v>
      </c>
      <c r="H37" s="28">
        <f t="shared" si="3"/>
        <v>1.5845284010150122</v>
      </c>
      <c r="I37" s="28">
        <f t="shared" si="3"/>
        <v>0.26357079735317979</v>
      </c>
      <c r="J37" s="28">
        <f t="shared" si="3"/>
        <v>0.35183576537512695</v>
      </c>
      <c r="K37" s="28">
        <f t="shared" si="3"/>
        <v>80.578460601219575</v>
      </c>
      <c r="L37" s="28">
        <f t="shared" si="3"/>
        <v>2.7102438189158091</v>
      </c>
      <c r="M37" s="28">
        <f t="shared" si="3"/>
        <v>15.394317415710743</v>
      </c>
      <c r="N37" s="28">
        <f t="shared" si="3"/>
        <v>288.23358504362648</v>
      </c>
      <c r="O37" s="28">
        <f t="shared" si="3"/>
        <v>0</v>
      </c>
      <c r="P37" s="28">
        <f t="shared" si="3"/>
        <v>0.23686815264853675</v>
      </c>
      <c r="Q37" s="28">
        <f t="shared" si="3"/>
        <v>5.2196326707337808E-2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6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E10" sqref="E1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15/10/2025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3" t="s">
        <v>396</v>
      </c>
      <c r="B9" s="54">
        <v>7.29</v>
      </c>
      <c r="C9" s="54">
        <v>18.45</v>
      </c>
      <c r="D9" s="54">
        <v>15.48</v>
      </c>
      <c r="E9" s="54">
        <v>6.46</v>
      </c>
      <c r="F9" s="54">
        <v>10.17</v>
      </c>
      <c r="G9" s="54">
        <v>53.2</v>
      </c>
      <c r="H9" s="54">
        <v>10.9</v>
      </c>
      <c r="I9" s="54">
        <v>2.09</v>
      </c>
      <c r="J9" s="54">
        <v>0.33</v>
      </c>
      <c r="K9" s="54">
        <v>146.85</v>
      </c>
      <c r="L9" s="54">
        <v>23.8</v>
      </c>
      <c r="M9" s="54">
        <v>98.4</v>
      </c>
      <c r="N9" s="54">
        <v>42</v>
      </c>
      <c r="O9" s="54">
        <v>0</v>
      </c>
      <c r="P9" s="54">
        <v>0.54</v>
      </c>
      <c r="Q9" s="54">
        <v>9.08</v>
      </c>
      <c r="R9" s="43"/>
      <c r="S9" s="43"/>
      <c r="T9" s="43"/>
      <c r="U9" s="43"/>
    </row>
    <row r="10" spans="1:21" s="11" customFormat="1" x14ac:dyDescent="0.25">
      <c r="A10" s="53" t="s">
        <v>397</v>
      </c>
      <c r="B10" s="54">
        <v>8.66</v>
      </c>
      <c r="C10" s="54">
        <v>17.399999999999999</v>
      </c>
      <c r="D10" s="54">
        <v>16.04</v>
      </c>
      <c r="E10" s="54">
        <v>5.8</v>
      </c>
      <c r="F10" s="54">
        <v>3.24</v>
      </c>
      <c r="G10" s="54">
        <v>50.36</v>
      </c>
      <c r="H10" s="54">
        <v>10.33</v>
      </c>
      <c r="I10" s="54">
        <v>2.12</v>
      </c>
      <c r="J10" s="54">
        <v>0.09</v>
      </c>
      <c r="K10" s="54">
        <v>347.16</v>
      </c>
      <c r="L10" s="54">
        <v>23.3</v>
      </c>
      <c r="M10" s="54">
        <v>98.54</v>
      </c>
      <c r="N10" s="54">
        <v>42.3</v>
      </c>
      <c r="O10" s="54">
        <v>0</v>
      </c>
      <c r="P10" s="54">
        <v>0.55000000000000004</v>
      </c>
      <c r="Q10" s="54">
        <v>9.0500000000000007</v>
      </c>
      <c r="R10" s="43"/>
      <c r="S10" s="43"/>
      <c r="T10" s="43"/>
      <c r="U10" s="43"/>
    </row>
    <row r="11" spans="1:21" s="11" customFormat="1" x14ac:dyDescent="0.25">
      <c r="A11" s="53" t="s">
        <v>398</v>
      </c>
      <c r="B11" s="54">
        <v>8.34</v>
      </c>
      <c r="C11" s="54">
        <v>15.44</v>
      </c>
      <c r="D11" s="54">
        <v>14.76</v>
      </c>
      <c r="E11" s="54">
        <v>5.62</v>
      </c>
      <c r="F11" s="54">
        <v>2.8</v>
      </c>
      <c r="G11" s="54">
        <v>52.53</v>
      </c>
      <c r="H11" s="54">
        <v>9.5</v>
      </c>
      <c r="I11" s="54">
        <v>1.95</v>
      </c>
      <c r="J11" s="54">
        <v>0.21</v>
      </c>
      <c r="K11" s="54">
        <v>333.1</v>
      </c>
      <c r="L11" s="54">
        <v>22.46</v>
      </c>
      <c r="M11" s="54">
        <v>98.55</v>
      </c>
      <c r="N11" s="54">
        <v>42.3</v>
      </c>
      <c r="O11" s="54">
        <v>0</v>
      </c>
      <c r="P11" s="54">
        <v>0.61</v>
      </c>
      <c r="Q11" s="54">
        <v>9.08</v>
      </c>
      <c r="R11" s="43"/>
      <c r="S11" s="43"/>
      <c r="T11" s="43"/>
      <c r="U11" s="43"/>
    </row>
    <row r="12" spans="1:21" s="11" customFormat="1" x14ac:dyDescent="0.25">
      <c r="A12" s="53" t="s">
        <v>399</v>
      </c>
      <c r="B12" s="54">
        <v>10.029999999999999</v>
      </c>
      <c r="C12" s="54">
        <v>14.26</v>
      </c>
      <c r="D12" s="54">
        <v>15.33</v>
      </c>
      <c r="E12" s="54">
        <v>5.45</v>
      </c>
      <c r="F12" s="54">
        <v>2.35</v>
      </c>
      <c r="G12" s="54">
        <v>59</v>
      </c>
      <c r="H12" s="54">
        <v>8.82</v>
      </c>
      <c r="I12" s="54">
        <v>1.9</v>
      </c>
      <c r="J12" s="54">
        <v>0.15</v>
      </c>
      <c r="K12" s="54">
        <v>352.61</v>
      </c>
      <c r="L12" s="54">
        <v>21.79</v>
      </c>
      <c r="M12" s="54">
        <v>98.57</v>
      </c>
      <c r="N12" s="54">
        <v>42.3</v>
      </c>
      <c r="O12" s="54">
        <v>0</v>
      </c>
      <c r="P12" s="54">
        <v>0.56999999999999995</v>
      </c>
      <c r="Q12" s="54">
        <v>9.11</v>
      </c>
      <c r="R12" s="43"/>
      <c r="S12" s="43"/>
      <c r="T12" s="43"/>
      <c r="U12" s="43"/>
    </row>
    <row r="13" spans="1:21" s="11" customFormat="1" x14ac:dyDescent="0.25">
      <c r="A13" s="53" t="s">
        <v>400</v>
      </c>
      <c r="B13" s="54">
        <v>22.5</v>
      </c>
      <c r="C13" s="54">
        <v>15.59</v>
      </c>
      <c r="D13" s="54">
        <v>26.19</v>
      </c>
      <c r="E13" s="54">
        <v>5.65</v>
      </c>
      <c r="F13" s="54">
        <v>2.1800000000000002</v>
      </c>
      <c r="G13" s="54">
        <v>60.64</v>
      </c>
      <c r="H13" s="54">
        <v>7.99</v>
      </c>
      <c r="I13" s="54">
        <v>1.86</v>
      </c>
      <c r="J13" s="54">
        <v>0.12</v>
      </c>
      <c r="K13" s="54">
        <v>344.04</v>
      </c>
      <c r="L13" s="54">
        <v>21.92</v>
      </c>
      <c r="M13" s="54">
        <v>98.42</v>
      </c>
      <c r="N13" s="54">
        <v>42.4</v>
      </c>
      <c r="O13" s="54">
        <v>0.2</v>
      </c>
      <c r="P13" s="54">
        <v>0.62</v>
      </c>
      <c r="Q13" s="54">
        <v>9.1</v>
      </c>
      <c r="R13" s="43"/>
      <c r="S13" s="43"/>
      <c r="T13" s="43"/>
      <c r="U13" s="43"/>
    </row>
    <row r="14" spans="1:21" s="11" customFormat="1" x14ac:dyDescent="0.25">
      <c r="A14" s="53" t="s">
        <v>401</v>
      </c>
      <c r="B14" s="54">
        <v>13.1</v>
      </c>
      <c r="C14" s="54">
        <v>13.78</v>
      </c>
      <c r="D14" s="54">
        <v>16.09</v>
      </c>
      <c r="E14" s="54">
        <v>5.6</v>
      </c>
      <c r="F14" s="54">
        <v>2.13</v>
      </c>
      <c r="G14" s="54">
        <v>64.22</v>
      </c>
      <c r="H14" s="54">
        <v>7.45</v>
      </c>
      <c r="I14" s="54">
        <v>2.06</v>
      </c>
      <c r="J14" s="54">
        <v>0.41</v>
      </c>
      <c r="K14" s="54">
        <v>345.55</v>
      </c>
      <c r="L14" s="54">
        <v>21.83</v>
      </c>
      <c r="M14" s="54">
        <v>98.5</v>
      </c>
      <c r="N14" s="54">
        <v>45.5</v>
      </c>
      <c r="O14" s="54">
        <v>0</v>
      </c>
      <c r="P14" s="54">
        <v>0.62</v>
      </c>
      <c r="Q14" s="54">
        <v>9.1</v>
      </c>
      <c r="R14" s="43"/>
      <c r="S14" s="43"/>
      <c r="T14" s="43"/>
      <c r="U14" s="43"/>
    </row>
    <row r="15" spans="1:21" s="11" customFormat="1" x14ac:dyDescent="0.25">
      <c r="A15" s="53" t="s">
        <v>402</v>
      </c>
      <c r="B15" s="54">
        <v>12.49</v>
      </c>
      <c r="C15" s="54">
        <v>14.83</v>
      </c>
      <c r="D15" s="54">
        <v>17.16</v>
      </c>
      <c r="E15" s="54">
        <v>5.69</v>
      </c>
      <c r="F15" s="54">
        <v>2.79</v>
      </c>
      <c r="G15" s="54">
        <v>66.8</v>
      </c>
      <c r="H15" s="54">
        <v>7.08</v>
      </c>
      <c r="I15" s="54">
        <v>2.13</v>
      </c>
      <c r="J15" s="54">
        <v>0.22</v>
      </c>
      <c r="K15" s="54">
        <v>324.94</v>
      </c>
      <c r="L15" s="54">
        <v>23.73</v>
      </c>
      <c r="M15" s="54">
        <v>98.49</v>
      </c>
      <c r="N15" s="54">
        <v>162.30000000000001</v>
      </c>
      <c r="O15" s="54">
        <v>0</v>
      </c>
      <c r="P15" s="54">
        <v>0.68</v>
      </c>
      <c r="Q15" s="54">
        <v>9.15</v>
      </c>
      <c r="R15" s="43"/>
      <c r="S15" s="43"/>
      <c r="T15" s="43"/>
      <c r="U15" s="43"/>
    </row>
    <row r="16" spans="1:21" s="11" customFormat="1" x14ac:dyDescent="0.25">
      <c r="A16" s="53" t="s">
        <v>403</v>
      </c>
      <c r="B16" s="54">
        <v>15.31</v>
      </c>
      <c r="C16" s="54">
        <v>19.059999999999999</v>
      </c>
      <c r="D16" s="54">
        <v>21.55</v>
      </c>
      <c r="E16" s="54">
        <v>5.94</v>
      </c>
      <c r="F16" s="54">
        <v>7.07</v>
      </c>
      <c r="G16" s="54">
        <v>67.099999999999994</v>
      </c>
      <c r="H16" s="54">
        <v>9.24</v>
      </c>
      <c r="I16" s="54">
        <v>2.14</v>
      </c>
      <c r="J16" s="54">
        <v>0.21</v>
      </c>
      <c r="K16" s="54">
        <v>268.83999999999997</v>
      </c>
      <c r="L16" s="54">
        <v>27.44</v>
      </c>
      <c r="M16" s="54">
        <v>98.2</v>
      </c>
      <c r="N16" s="54">
        <v>379.2</v>
      </c>
      <c r="O16" s="54">
        <v>0</v>
      </c>
      <c r="P16" s="54">
        <v>0.66</v>
      </c>
      <c r="Q16" s="54">
        <v>9.19</v>
      </c>
      <c r="R16" s="43"/>
      <c r="S16" s="43"/>
      <c r="T16" s="43"/>
      <c r="U16" s="43"/>
    </row>
    <row r="17" spans="1:21" s="11" customFormat="1" x14ac:dyDescent="0.25">
      <c r="A17" s="53" t="s">
        <v>404</v>
      </c>
      <c r="B17" s="54">
        <v>11.4</v>
      </c>
      <c r="C17" s="54">
        <v>14.71</v>
      </c>
      <c r="D17" s="54">
        <v>16.809999999999999</v>
      </c>
      <c r="E17" s="54">
        <v>5.61</v>
      </c>
      <c r="F17" s="54">
        <v>13.63</v>
      </c>
      <c r="G17" s="54">
        <v>76.39</v>
      </c>
      <c r="H17" s="54">
        <v>8.5299999999999994</v>
      </c>
      <c r="I17" s="54">
        <v>2.15</v>
      </c>
      <c r="J17" s="54">
        <v>0.75</v>
      </c>
      <c r="K17" s="54">
        <v>135.57</v>
      </c>
      <c r="L17" s="54">
        <v>28.54</v>
      </c>
      <c r="M17" s="54">
        <v>77.400000000000006</v>
      </c>
      <c r="N17" s="54">
        <v>584.29999999999995</v>
      </c>
      <c r="O17" s="54">
        <v>0</v>
      </c>
      <c r="P17" s="54">
        <v>0.66</v>
      </c>
      <c r="Q17" s="54">
        <v>9.19</v>
      </c>
      <c r="R17" s="43"/>
      <c r="S17" s="43"/>
      <c r="T17" s="43"/>
      <c r="U17" s="43"/>
    </row>
    <row r="18" spans="1:21" s="11" customFormat="1" x14ac:dyDescent="0.25">
      <c r="A18" s="53" t="s">
        <v>405</v>
      </c>
      <c r="B18" s="54">
        <v>9.99</v>
      </c>
      <c r="C18" s="54">
        <v>14.79</v>
      </c>
      <c r="D18" s="54">
        <v>15.74</v>
      </c>
      <c r="E18" s="54">
        <v>6.61</v>
      </c>
      <c r="F18" s="54">
        <v>12.89</v>
      </c>
      <c r="G18" s="54">
        <v>73.05</v>
      </c>
      <c r="H18" s="54">
        <v>8.0399999999999991</v>
      </c>
      <c r="I18" s="54">
        <v>2.16</v>
      </c>
      <c r="J18" s="54">
        <v>1.24</v>
      </c>
      <c r="K18" s="54">
        <v>129.06</v>
      </c>
      <c r="L18" s="54">
        <v>28.66</v>
      </c>
      <c r="M18" s="54">
        <v>75.64</v>
      </c>
      <c r="N18" s="54">
        <v>715.9</v>
      </c>
      <c r="O18" s="54">
        <v>0</v>
      </c>
      <c r="P18" s="54">
        <v>0.61</v>
      </c>
      <c r="Q18" s="54">
        <v>9.1300000000000008</v>
      </c>
      <c r="R18" s="43"/>
      <c r="S18" s="43"/>
      <c r="T18" s="43"/>
      <c r="U18" s="43"/>
    </row>
    <row r="19" spans="1:21" s="11" customFormat="1" x14ac:dyDescent="0.25">
      <c r="A19" s="53" t="s">
        <v>406</v>
      </c>
      <c r="B19" s="54">
        <v>7.81</v>
      </c>
      <c r="C19" s="54">
        <v>10.69</v>
      </c>
      <c r="D19" s="54">
        <v>11.54</v>
      </c>
      <c r="E19" s="54">
        <v>7.12</v>
      </c>
      <c r="F19" s="54">
        <v>15.34</v>
      </c>
      <c r="G19" s="54">
        <v>67.69</v>
      </c>
      <c r="H19" s="54">
        <v>7.68</v>
      </c>
      <c r="I19" s="54">
        <v>2.17</v>
      </c>
      <c r="J19" s="54">
        <v>1.01</v>
      </c>
      <c r="K19" s="54">
        <v>134.86000000000001</v>
      </c>
      <c r="L19" s="54">
        <v>29.55</v>
      </c>
      <c r="M19" s="54">
        <v>71.290000000000006</v>
      </c>
      <c r="N19" s="54">
        <v>810.9</v>
      </c>
      <c r="O19" s="54">
        <v>0</v>
      </c>
      <c r="P19" s="54">
        <v>0.56000000000000005</v>
      </c>
      <c r="Q19" s="54">
        <v>9.07</v>
      </c>
      <c r="R19" s="43"/>
      <c r="S19" s="43"/>
      <c r="T19" s="43"/>
      <c r="U19" s="43"/>
    </row>
    <row r="20" spans="1:21" s="11" customFormat="1" x14ac:dyDescent="0.25">
      <c r="A20" s="53" t="s">
        <v>407</v>
      </c>
      <c r="B20" s="54">
        <v>6.89</v>
      </c>
      <c r="C20" s="54">
        <v>11.7</v>
      </c>
      <c r="D20" s="54">
        <v>11.63</v>
      </c>
      <c r="E20" s="54">
        <v>6.69</v>
      </c>
      <c r="F20" s="54">
        <v>14.25</v>
      </c>
      <c r="G20" s="54">
        <v>58.71</v>
      </c>
      <c r="H20" s="54">
        <v>9.92</v>
      </c>
      <c r="I20" s="54">
        <v>2.23</v>
      </c>
      <c r="J20" s="54">
        <v>1.06</v>
      </c>
      <c r="K20" s="54">
        <v>129.04</v>
      </c>
      <c r="L20" s="54">
        <v>29.99</v>
      </c>
      <c r="M20" s="54">
        <v>64.510000000000005</v>
      </c>
      <c r="N20" s="54">
        <v>752.3</v>
      </c>
      <c r="O20" s="54">
        <v>0</v>
      </c>
      <c r="P20" s="54">
        <v>0.5</v>
      </c>
      <c r="Q20" s="54">
        <v>9.06</v>
      </c>
      <c r="R20" s="43"/>
      <c r="S20" s="43"/>
      <c r="T20" s="43"/>
      <c r="U20" s="43"/>
    </row>
    <row r="21" spans="1:21" s="11" customFormat="1" x14ac:dyDescent="0.25">
      <c r="A21" s="53" t="s">
        <v>408</v>
      </c>
      <c r="B21" s="54">
        <v>5.36</v>
      </c>
      <c r="C21" s="54">
        <v>12.89</v>
      </c>
      <c r="D21" s="54">
        <v>11.03</v>
      </c>
      <c r="E21" s="54">
        <v>6.92</v>
      </c>
      <c r="F21" s="54">
        <v>16.600000000000001</v>
      </c>
      <c r="G21" s="54">
        <v>35.93</v>
      </c>
      <c r="H21" s="54">
        <v>9.3699999999999992</v>
      </c>
      <c r="I21" s="54">
        <v>2.08</v>
      </c>
      <c r="J21" s="54">
        <v>1.1599999999999999</v>
      </c>
      <c r="K21" s="54">
        <v>132.04</v>
      </c>
      <c r="L21" s="54">
        <v>29.86</v>
      </c>
      <c r="M21" s="54">
        <v>60.84</v>
      </c>
      <c r="N21" s="54">
        <v>705.5</v>
      </c>
      <c r="O21" s="54">
        <v>0</v>
      </c>
      <c r="P21" s="54">
        <v>0.36</v>
      </c>
      <c r="Q21" s="54">
        <v>9.0399999999999991</v>
      </c>
      <c r="R21" s="43"/>
      <c r="S21" s="43"/>
      <c r="T21" s="43"/>
      <c r="U21" s="43"/>
    </row>
    <row r="22" spans="1:21" s="11" customFormat="1" x14ac:dyDescent="0.25">
      <c r="A22" s="53" t="s">
        <v>409</v>
      </c>
      <c r="B22" s="54">
        <v>6.71</v>
      </c>
      <c r="C22" s="54">
        <v>14.16</v>
      </c>
      <c r="D22" s="54">
        <v>12.77</v>
      </c>
      <c r="E22" s="54">
        <v>7.07</v>
      </c>
      <c r="F22" s="54">
        <v>15.73</v>
      </c>
      <c r="G22" s="54">
        <v>46.14</v>
      </c>
      <c r="H22" s="54">
        <v>8.74</v>
      </c>
      <c r="I22" s="54">
        <v>1.38</v>
      </c>
      <c r="J22" s="54">
        <v>1.1200000000000001</v>
      </c>
      <c r="K22" s="54">
        <v>127.43</v>
      </c>
      <c r="L22" s="54">
        <v>29.37</v>
      </c>
      <c r="M22" s="54">
        <v>58.2</v>
      </c>
      <c r="N22" s="54">
        <v>301.7</v>
      </c>
      <c r="O22" s="54">
        <v>0</v>
      </c>
      <c r="P22" s="54">
        <v>0.4</v>
      </c>
      <c r="Q22" s="54">
        <v>9.01</v>
      </c>
      <c r="R22" s="43"/>
      <c r="S22" s="43"/>
      <c r="T22" s="43"/>
      <c r="U22" s="43"/>
    </row>
    <row r="23" spans="1:21" s="11" customFormat="1" x14ac:dyDescent="0.25">
      <c r="A23" s="53" t="s">
        <v>410</v>
      </c>
      <c r="B23" s="54">
        <v>12.02</v>
      </c>
      <c r="C23" s="54">
        <v>18.41</v>
      </c>
      <c r="D23" s="54">
        <v>19.07</v>
      </c>
      <c r="E23" s="54">
        <v>7.46</v>
      </c>
      <c r="F23" s="54">
        <v>12.16</v>
      </c>
      <c r="G23" s="54">
        <v>41.31</v>
      </c>
      <c r="H23" s="54">
        <v>8.1</v>
      </c>
      <c r="I23" s="54">
        <v>1.1100000000000001</v>
      </c>
      <c r="J23" s="54">
        <v>0.92</v>
      </c>
      <c r="K23" s="54">
        <v>129.88</v>
      </c>
      <c r="L23" s="54">
        <v>29.65</v>
      </c>
      <c r="M23" s="54">
        <v>57.67</v>
      </c>
      <c r="N23" s="54">
        <v>174.2</v>
      </c>
      <c r="O23" s="54">
        <v>0</v>
      </c>
      <c r="P23" s="54">
        <v>0.54</v>
      </c>
      <c r="Q23" s="54">
        <v>8.98</v>
      </c>
      <c r="R23" s="43"/>
      <c r="S23" s="43"/>
      <c r="T23" s="43"/>
      <c r="U23" s="43"/>
    </row>
    <row r="24" spans="1:21" s="11" customFormat="1" x14ac:dyDescent="0.25">
      <c r="A24" s="53" t="s">
        <v>411</v>
      </c>
      <c r="B24" s="54">
        <v>6.63</v>
      </c>
      <c r="C24" s="54">
        <v>16.489999999999998</v>
      </c>
      <c r="D24" s="54">
        <v>13.82</v>
      </c>
      <c r="E24" s="54">
        <v>6.8</v>
      </c>
      <c r="F24" s="54">
        <v>13.52</v>
      </c>
      <c r="G24" s="54">
        <v>33.28</v>
      </c>
      <c r="H24" s="54">
        <v>9.6</v>
      </c>
      <c r="I24" s="54">
        <v>1.18</v>
      </c>
      <c r="J24" s="54">
        <v>0.9</v>
      </c>
      <c r="K24" s="54">
        <v>132.24</v>
      </c>
      <c r="L24" s="54">
        <v>28.86</v>
      </c>
      <c r="M24" s="54">
        <v>59.55</v>
      </c>
      <c r="N24" s="54">
        <v>129.4</v>
      </c>
      <c r="O24" s="54">
        <v>0</v>
      </c>
      <c r="P24" s="54">
        <v>0.37</v>
      </c>
      <c r="Q24" s="54">
        <v>8.99</v>
      </c>
      <c r="R24" s="43"/>
      <c r="S24" s="43"/>
      <c r="T24" s="43"/>
      <c r="U24" s="43"/>
    </row>
    <row r="25" spans="1:21" s="11" customFormat="1" x14ac:dyDescent="0.25">
      <c r="A25" s="53" t="s">
        <v>412</v>
      </c>
      <c r="B25" s="54">
        <v>17.22</v>
      </c>
      <c r="C25" s="54">
        <v>25.98</v>
      </c>
      <c r="D25" s="54">
        <v>27.39</v>
      </c>
      <c r="E25" s="54">
        <v>7.74</v>
      </c>
      <c r="F25" s="54">
        <v>9.3800000000000008</v>
      </c>
      <c r="G25" s="54">
        <v>38.270000000000003</v>
      </c>
      <c r="H25" s="54">
        <v>9.26</v>
      </c>
      <c r="I25" s="54">
        <v>0.89</v>
      </c>
      <c r="J25" s="54">
        <v>0.77</v>
      </c>
      <c r="K25" s="54">
        <v>131.63</v>
      </c>
      <c r="L25" s="54">
        <v>28.44</v>
      </c>
      <c r="M25" s="54">
        <v>64.63</v>
      </c>
      <c r="N25" s="54">
        <v>85.7</v>
      </c>
      <c r="O25" s="54">
        <v>0</v>
      </c>
      <c r="P25" s="54">
        <v>0.59</v>
      </c>
      <c r="Q25" s="54">
        <v>9.0399999999999991</v>
      </c>
      <c r="R25" s="43"/>
      <c r="S25" s="43"/>
      <c r="T25" s="43"/>
      <c r="U25" s="43"/>
    </row>
    <row r="26" spans="1:21" s="11" customFormat="1" x14ac:dyDescent="0.25">
      <c r="A26" s="53" t="s">
        <v>413</v>
      </c>
      <c r="B26" s="54">
        <v>13.47</v>
      </c>
      <c r="C26" s="54">
        <v>39.08</v>
      </c>
      <c r="D26" s="54">
        <v>32.869999999999997</v>
      </c>
      <c r="E26" s="54">
        <v>8.24</v>
      </c>
      <c r="F26" s="54">
        <v>8.3800000000000008</v>
      </c>
      <c r="G26" s="54">
        <v>38.869999999999997</v>
      </c>
      <c r="H26" s="54">
        <v>8.68</v>
      </c>
      <c r="I26" s="54">
        <v>1.23</v>
      </c>
      <c r="J26" s="54">
        <v>0.42</v>
      </c>
      <c r="K26" s="54">
        <v>297.72000000000003</v>
      </c>
      <c r="L26" s="54">
        <v>27.39</v>
      </c>
      <c r="M26" s="54">
        <v>73.13</v>
      </c>
      <c r="N26" s="54">
        <v>52.9</v>
      </c>
      <c r="O26" s="54">
        <v>0</v>
      </c>
      <c r="P26" s="54">
        <v>1.39</v>
      </c>
      <c r="Q26" s="54">
        <v>9.0399999999999991</v>
      </c>
      <c r="R26" s="43"/>
      <c r="S26" s="43"/>
      <c r="T26" s="43"/>
      <c r="U26" s="43"/>
    </row>
    <row r="27" spans="1:21" s="11" customFormat="1" x14ac:dyDescent="0.25">
      <c r="A27" s="53" t="s">
        <v>414</v>
      </c>
      <c r="B27" s="54">
        <v>10.81</v>
      </c>
      <c r="C27" s="54">
        <v>36.46</v>
      </c>
      <c r="D27" s="54">
        <v>27.72</v>
      </c>
      <c r="E27" s="54">
        <v>9.93</v>
      </c>
      <c r="F27" s="54">
        <v>5.3</v>
      </c>
      <c r="G27" s="54">
        <v>41.61</v>
      </c>
      <c r="H27" s="54">
        <v>8.77</v>
      </c>
      <c r="I27" s="54">
        <v>1.55</v>
      </c>
      <c r="J27" s="54">
        <v>0.12</v>
      </c>
      <c r="K27" s="54">
        <v>136.75</v>
      </c>
      <c r="L27" s="54">
        <v>26.59</v>
      </c>
      <c r="M27" s="54">
        <v>85.29</v>
      </c>
      <c r="N27" s="54">
        <v>44.9</v>
      </c>
      <c r="O27" s="54">
        <v>0</v>
      </c>
      <c r="P27" s="54">
        <v>1.27</v>
      </c>
      <c r="Q27" s="54">
        <v>9.0399999999999991</v>
      </c>
      <c r="R27" s="43"/>
      <c r="S27" s="43"/>
      <c r="T27" s="43"/>
      <c r="U27" s="43"/>
    </row>
    <row r="28" spans="1:21" s="11" customFormat="1" x14ac:dyDescent="0.25">
      <c r="A28" s="53" t="s">
        <v>415</v>
      </c>
      <c r="B28" s="54">
        <v>5.29</v>
      </c>
      <c r="C28" s="54">
        <v>30.45</v>
      </c>
      <c r="D28" s="54">
        <v>20.149999999999999</v>
      </c>
      <c r="E28" s="54">
        <v>10.1</v>
      </c>
      <c r="F28" s="54">
        <v>12.76</v>
      </c>
      <c r="G28" s="54">
        <v>47.01</v>
      </c>
      <c r="H28" s="54">
        <v>11.12</v>
      </c>
      <c r="I28" s="54">
        <v>1.83</v>
      </c>
      <c r="J28" s="54">
        <v>0.41</v>
      </c>
      <c r="K28" s="54">
        <v>153.79</v>
      </c>
      <c r="L28" s="54">
        <v>26.06</v>
      </c>
      <c r="M28" s="54">
        <v>90.65</v>
      </c>
      <c r="N28" s="54">
        <v>44.8</v>
      </c>
      <c r="O28" s="54">
        <v>0</v>
      </c>
      <c r="P28" s="54">
        <v>0.99</v>
      </c>
      <c r="Q28" s="54">
        <v>9.0399999999999991</v>
      </c>
      <c r="R28" s="43"/>
      <c r="S28" s="43"/>
      <c r="T28" s="43"/>
      <c r="U28" s="43"/>
    </row>
    <row r="29" spans="1:21" s="11" customFormat="1" x14ac:dyDescent="0.25">
      <c r="A29" s="53" t="s">
        <v>416</v>
      </c>
      <c r="B29" s="54">
        <v>7.54</v>
      </c>
      <c r="C29" s="54">
        <v>38.44</v>
      </c>
      <c r="D29" s="54">
        <v>26.14</v>
      </c>
      <c r="E29" s="54">
        <v>9.69</v>
      </c>
      <c r="F29" s="54">
        <v>9.58</v>
      </c>
      <c r="G29" s="54">
        <v>59.5</v>
      </c>
      <c r="H29" s="54">
        <v>9.8000000000000007</v>
      </c>
      <c r="I29" s="54">
        <v>2.0299999999999998</v>
      </c>
      <c r="J29" s="54">
        <v>0.2</v>
      </c>
      <c r="K29" s="54">
        <v>217.87</v>
      </c>
      <c r="L29" s="54">
        <v>25.75</v>
      </c>
      <c r="M29" s="54">
        <v>91.36</v>
      </c>
      <c r="N29" s="54">
        <v>44.9</v>
      </c>
      <c r="O29" s="54">
        <v>0</v>
      </c>
      <c r="P29" s="54">
        <v>1.22</v>
      </c>
      <c r="Q29" s="54">
        <v>9.0500000000000007</v>
      </c>
      <c r="R29" s="43"/>
      <c r="S29" s="43"/>
      <c r="T29" s="43"/>
      <c r="U29" s="43"/>
    </row>
    <row r="30" spans="1:21" s="11" customFormat="1" x14ac:dyDescent="0.25">
      <c r="A30" s="53" t="s">
        <v>417</v>
      </c>
      <c r="B30" s="54">
        <v>6.47</v>
      </c>
      <c r="C30" s="54">
        <v>27.72</v>
      </c>
      <c r="D30" s="54">
        <v>19.670000000000002</v>
      </c>
      <c r="E30" s="54">
        <v>9.08</v>
      </c>
      <c r="F30" s="54">
        <v>6.88</v>
      </c>
      <c r="G30" s="54">
        <v>71.58</v>
      </c>
      <c r="H30" s="54">
        <v>8.64</v>
      </c>
      <c r="I30" s="54">
        <v>2.2000000000000002</v>
      </c>
      <c r="J30" s="54">
        <v>0.12</v>
      </c>
      <c r="K30" s="54">
        <v>143.46</v>
      </c>
      <c r="L30" s="54">
        <v>25.29</v>
      </c>
      <c r="M30" s="54">
        <v>94.98</v>
      </c>
      <c r="N30" s="54">
        <v>44.9</v>
      </c>
      <c r="O30" s="54">
        <v>0</v>
      </c>
      <c r="P30" s="54">
        <v>0.98</v>
      </c>
      <c r="Q30" s="54">
        <v>9.0500000000000007</v>
      </c>
      <c r="R30" s="43"/>
      <c r="S30" s="43"/>
      <c r="T30" s="43"/>
      <c r="U30" s="43"/>
    </row>
    <row r="31" spans="1:21" s="11" customFormat="1" x14ac:dyDescent="0.25">
      <c r="A31" s="53" t="s">
        <v>418</v>
      </c>
      <c r="B31" s="54">
        <v>7.68</v>
      </c>
      <c r="C31" s="54">
        <v>39.15</v>
      </c>
      <c r="D31" s="54">
        <v>26.61</v>
      </c>
      <c r="E31" s="54">
        <v>7.44</v>
      </c>
      <c r="F31" s="54">
        <v>6.4</v>
      </c>
      <c r="G31" s="54">
        <v>74.94</v>
      </c>
      <c r="H31" s="54">
        <v>7.86</v>
      </c>
      <c r="I31" s="54">
        <v>2.2799999999999998</v>
      </c>
      <c r="J31" s="54">
        <v>0.17</v>
      </c>
      <c r="K31" s="54">
        <v>237.51</v>
      </c>
      <c r="L31" s="54">
        <v>24.89</v>
      </c>
      <c r="M31" s="54">
        <v>95.12</v>
      </c>
      <c r="N31" s="54">
        <v>44.9</v>
      </c>
      <c r="O31" s="54">
        <v>0</v>
      </c>
      <c r="P31" s="54">
        <v>0.9</v>
      </c>
      <c r="Q31" s="54">
        <v>9.0399999999999991</v>
      </c>
      <c r="R31" s="43"/>
      <c r="S31" s="43"/>
      <c r="T31" s="43"/>
      <c r="U31" s="43"/>
    </row>
    <row r="32" spans="1:21" s="11" customFormat="1" x14ac:dyDescent="0.25">
      <c r="A32" s="53" t="s">
        <v>419</v>
      </c>
      <c r="B32" s="54">
        <v>6.41</v>
      </c>
      <c r="C32" s="54">
        <v>24.45</v>
      </c>
      <c r="D32" s="54">
        <v>17.23</v>
      </c>
      <c r="E32" s="54">
        <v>7.14</v>
      </c>
      <c r="F32" s="54">
        <v>8.44</v>
      </c>
      <c r="G32" s="54">
        <v>68.16</v>
      </c>
      <c r="H32" s="54">
        <v>11.84</v>
      </c>
      <c r="I32" s="54">
        <v>2.31</v>
      </c>
      <c r="J32" s="54">
        <v>0.17</v>
      </c>
      <c r="K32" s="54">
        <v>169.27</v>
      </c>
      <c r="L32" s="54">
        <v>24.42</v>
      </c>
      <c r="M32" s="54">
        <v>93.5</v>
      </c>
      <c r="N32" s="54">
        <v>44.8</v>
      </c>
      <c r="O32" s="54">
        <v>0</v>
      </c>
      <c r="P32" s="54">
        <v>0.67</v>
      </c>
      <c r="Q32" s="54">
        <v>9.0299999999999994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5.29</v>
      </c>
      <c r="C34" s="28">
        <f t="shared" si="0"/>
        <v>10.69</v>
      </c>
      <c r="D34" s="28">
        <f t="shared" si="0"/>
        <v>11.03</v>
      </c>
      <c r="E34" s="28">
        <f t="shared" si="0"/>
        <v>5.45</v>
      </c>
      <c r="F34" s="28">
        <f t="shared" si="0"/>
        <v>2.13</v>
      </c>
      <c r="G34" s="28">
        <f t="shared" si="0"/>
        <v>33.28</v>
      </c>
      <c r="H34" s="28">
        <f t="shared" si="0"/>
        <v>7.08</v>
      </c>
      <c r="I34" s="28">
        <f t="shared" si="0"/>
        <v>0.89</v>
      </c>
      <c r="J34" s="28">
        <f t="shared" si="0"/>
        <v>0.09</v>
      </c>
      <c r="K34" s="28">
        <f t="shared" si="0"/>
        <v>127.43</v>
      </c>
      <c r="L34" s="28">
        <f t="shared" si="0"/>
        <v>21.79</v>
      </c>
      <c r="M34" s="28">
        <f t="shared" si="0"/>
        <v>57.67</v>
      </c>
      <c r="N34" s="28">
        <f t="shared" si="0"/>
        <v>42</v>
      </c>
      <c r="O34" s="28">
        <f t="shared" si="0"/>
        <v>0</v>
      </c>
      <c r="P34" s="28">
        <f t="shared" si="0"/>
        <v>0.36</v>
      </c>
      <c r="Q34" s="28">
        <f t="shared" si="0"/>
        <v>8.98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22.5</v>
      </c>
      <c r="C35" s="29">
        <f t="shared" si="1"/>
        <v>39.15</v>
      </c>
      <c r="D35" s="29">
        <f t="shared" si="1"/>
        <v>32.869999999999997</v>
      </c>
      <c r="E35" s="29">
        <f t="shared" si="1"/>
        <v>10.1</v>
      </c>
      <c r="F35" s="29">
        <f t="shared" si="1"/>
        <v>16.600000000000001</v>
      </c>
      <c r="G35" s="29">
        <f t="shared" si="1"/>
        <v>76.39</v>
      </c>
      <c r="H35" s="29">
        <f t="shared" si="1"/>
        <v>11.84</v>
      </c>
      <c r="I35" s="29">
        <f t="shared" si="1"/>
        <v>2.31</v>
      </c>
      <c r="J35" s="29">
        <f t="shared" si="1"/>
        <v>1.24</v>
      </c>
      <c r="K35" s="29">
        <f t="shared" si="1"/>
        <v>352.61</v>
      </c>
      <c r="L35" s="29">
        <f t="shared" si="1"/>
        <v>29.99</v>
      </c>
      <c r="M35" s="29">
        <f t="shared" si="1"/>
        <v>98.57</v>
      </c>
      <c r="N35" s="29">
        <f t="shared" si="1"/>
        <v>810.9</v>
      </c>
      <c r="O35" s="29">
        <f t="shared" si="1"/>
        <v>0.2</v>
      </c>
      <c r="P35" s="29">
        <f t="shared" si="1"/>
        <v>1.39</v>
      </c>
      <c r="Q35" s="29">
        <f t="shared" si="1"/>
        <v>9.19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9.975833333333334</v>
      </c>
      <c r="C36" s="28">
        <f t="shared" si="2"/>
        <v>21.01583333333333</v>
      </c>
      <c r="D36" s="28">
        <f t="shared" si="2"/>
        <v>18.866250000000001</v>
      </c>
      <c r="E36" s="28">
        <f t="shared" si="2"/>
        <v>7.0770833333333316</v>
      </c>
      <c r="F36" s="28">
        <f t="shared" si="2"/>
        <v>8.9154166666666672</v>
      </c>
      <c r="G36" s="28">
        <f t="shared" si="2"/>
        <v>56.095416666666665</v>
      </c>
      <c r="H36" s="28">
        <f t="shared" si="2"/>
        <v>9.0525000000000002</v>
      </c>
      <c r="I36" s="28">
        <f t="shared" si="2"/>
        <v>1.87625</v>
      </c>
      <c r="J36" s="28">
        <f t="shared" si="2"/>
        <v>0.5116666666666666</v>
      </c>
      <c r="K36" s="28">
        <f t="shared" si="2"/>
        <v>208.38375000000005</v>
      </c>
      <c r="L36" s="28">
        <f t="shared" si="2"/>
        <v>26.232499999999991</v>
      </c>
      <c r="M36" s="28">
        <f t="shared" si="2"/>
        <v>83.392916666666679</v>
      </c>
      <c r="N36" s="28">
        <f t="shared" si="2"/>
        <v>224.17916666666656</v>
      </c>
      <c r="O36" s="28">
        <f t="shared" si="2"/>
        <v>8.3333333333333332E-3</v>
      </c>
      <c r="P36" s="28">
        <f t="shared" si="2"/>
        <v>0.70250000000000012</v>
      </c>
      <c r="Q36" s="28">
        <f t="shared" si="2"/>
        <v>9.0691666666666659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4.1710710924139125</v>
      </c>
      <c r="C37" s="28">
        <f t="shared" ref="C37:Q37" si="3">STDEV(C9:C32)</f>
        <v>9.3254788508205557</v>
      </c>
      <c r="D37" s="28">
        <f t="shared" si="3"/>
        <v>6.0050274679891613</v>
      </c>
      <c r="E37" s="28">
        <f t="shared" si="3"/>
        <v>1.4299816939134382</v>
      </c>
      <c r="F37" s="28">
        <f t="shared" si="3"/>
        <v>4.8053068301497728</v>
      </c>
      <c r="G37" s="28">
        <f t="shared" si="3"/>
        <v>13.398817916442152</v>
      </c>
      <c r="H37" s="28">
        <f t="shared" si="3"/>
        <v>1.192725231669415</v>
      </c>
      <c r="I37" s="28">
        <f t="shared" si="3"/>
        <v>0.41620242253228129</v>
      </c>
      <c r="J37" s="28">
        <f t="shared" si="3"/>
        <v>0.40322252640087158</v>
      </c>
      <c r="K37" s="28">
        <f t="shared" si="3"/>
        <v>90.928366636815355</v>
      </c>
      <c r="L37" s="28">
        <f t="shared" si="3"/>
        <v>2.8337335182007575</v>
      </c>
      <c r="M37" s="28">
        <f t="shared" si="3"/>
        <v>15.796980856058031</v>
      </c>
      <c r="N37" s="28">
        <f t="shared" si="3"/>
        <v>272.70626015863695</v>
      </c>
      <c r="O37" s="28">
        <f t="shared" si="3"/>
        <v>4.0824829046386311E-2</v>
      </c>
      <c r="P37" s="28">
        <f t="shared" si="3"/>
        <v>0.27850923019596246</v>
      </c>
      <c r="Q37" s="28">
        <f t="shared" si="3"/>
        <v>5.4686193048565084E-2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J17" sqref="J1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16/10/2025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3" t="s">
        <v>420</v>
      </c>
      <c r="B9" s="54">
        <v>7.96</v>
      </c>
      <c r="C9" s="54">
        <v>23.07</v>
      </c>
      <c r="D9" s="54">
        <v>17.149999999999999</v>
      </c>
      <c r="E9" s="54">
        <v>6.6</v>
      </c>
      <c r="F9" s="54">
        <v>9.32</v>
      </c>
      <c r="G9" s="54">
        <v>67.28</v>
      </c>
      <c r="H9" s="54">
        <v>10.1</v>
      </c>
      <c r="I9" s="54">
        <v>2.2999999999999998</v>
      </c>
      <c r="J9" s="54">
        <v>0.25</v>
      </c>
      <c r="K9" s="54">
        <v>332.73</v>
      </c>
      <c r="L9" s="54">
        <v>24.24</v>
      </c>
      <c r="M9" s="54">
        <v>98.01</v>
      </c>
      <c r="N9" s="54">
        <v>45.2</v>
      </c>
      <c r="O9" s="54">
        <v>0</v>
      </c>
      <c r="P9" s="54">
        <v>0.7</v>
      </c>
      <c r="Q9" s="54">
        <v>9.0500000000000007</v>
      </c>
      <c r="R9" s="43"/>
      <c r="S9" s="43"/>
      <c r="T9" s="43"/>
      <c r="U9" s="43"/>
    </row>
    <row r="10" spans="1:21" s="11" customFormat="1" x14ac:dyDescent="0.25">
      <c r="A10" s="53" t="s">
        <v>421</v>
      </c>
      <c r="B10" s="54">
        <v>6.15</v>
      </c>
      <c r="C10" s="54">
        <v>20.57</v>
      </c>
      <c r="D10" s="54">
        <v>15.38</v>
      </c>
      <c r="E10" s="54">
        <v>5.98</v>
      </c>
      <c r="F10" s="54">
        <v>5.34</v>
      </c>
      <c r="G10" s="54">
        <v>71.38</v>
      </c>
      <c r="H10" s="54">
        <v>8.89</v>
      </c>
      <c r="I10" s="54">
        <v>2.27</v>
      </c>
      <c r="J10" s="54">
        <v>0.2</v>
      </c>
      <c r="K10" s="54">
        <v>337.4</v>
      </c>
      <c r="L10" s="54">
        <v>22.89</v>
      </c>
      <c r="M10" s="54">
        <v>98.06</v>
      </c>
      <c r="N10" s="54">
        <v>44.9</v>
      </c>
      <c r="O10" s="54">
        <v>0</v>
      </c>
      <c r="P10" s="54">
        <v>0.65</v>
      </c>
      <c r="Q10" s="54">
        <v>9.07</v>
      </c>
      <c r="R10" s="43"/>
      <c r="S10" s="43"/>
      <c r="T10" s="43"/>
      <c r="U10" s="43"/>
    </row>
    <row r="11" spans="1:21" s="11" customFormat="1" x14ac:dyDescent="0.25">
      <c r="A11" s="53" t="s">
        <v>422</v>
      </c>
      <c r="B11" s="54">
        <v>6.59</v>
      </c>
      <c r="C11" s="54">
        <v>17.87</v>
      </c>
      <c r="D11" s="54">
        <v>14.38</v>
      </c>
      <c r="E11" s="54">
        <v>5.66</v>
      </c>
      <c r="F11" s="54">
        <v>4.7699999999999996</v>
      </c>
      <c r="G11" s="54">
        <v>73.52</v>
      </c>
      <c r="H11" s="54">
        <v>8.0299999999999994</v>
      </c>
      <c r="I11" s="54">
        <v>2.29</v>
      </c>
      <c r="J11" s="54">
        <v>0.18</v>
      </c>
      <c r="K11" s="54">
        <v>335.21</v>
      </c>
      <c r="L11" s="54">
        <v>22.68</v>
      </c>
      <c r="M11" s="54">
        <v>98.1</v>
      </c>
      <c r="N11" s="54">
        <v>44.9</v>
      </c>
      <c r="O11" s="54">
        <v>0</v>
      </c>
      <c r="P11" s="54">
        <v>0.68</v>
      </c>
      <c r="Q11" s="54">
        <v>9.06</v>
      </c>
      <c r="R11" s="43"/>
      <c r="S11" s="43"/>
      <c r="T11" s="43"/>
      <c r="U11" s="43"/>
    </row>
    <row r="12" spans="1:21" s="11" customFormat="1" x14ac:dyDescent="0.25">
      <c r="A12" s="53" t="s">
        <v>423</v>
      </c>
      <c r="B12" s="54">
        <v>6.95</v>
      </c>
      <c r="C12" s="54">
        <v>12.89</v>
      </c>
      <c r="D12" s="54">
        <v>12.22</v>
      </c>
      <c r="E12" s="54">
        <v>5.23</v>
      </c>
      <c r="F12" s="54">
        <v>5.47</v>
      </c>
      <c r="G12" s="54">
        <v>75.25</v>
      </c>
      <c r="H12" s="54">
        <v>13.59</v>
      </c>
      <c r="I12" s="54">
        <v>2.2599999999999998</v>
      </c>
      <c r="J12" s="54">
        <v>0.21</v>
      </c>
      <c r="K12" s="54">
        <v>357.62</v>
      </c>
      <c r="L12" s="54">
        <v>22.98</v>
      </c>
      <c r="M12" s="54">
        <v>98.08</v>
      </c>
      <c r="N12" s="54">
        <v>44.9</v>
      </c>
      <c r="O12" s="54">
        <v>0</v>
      </c>
      <c r="P12" s="54">
        <v>0.63</v>
      </c>
      <c r="Q12" s="54">
        <v>9.0299999999999994</v>
      </c>
      <c r="R12" s="43"/>
      <c r="S12" s="43"/>
      <c r="T12" s="43"/>
      <c r="U12" s="43"/>
    </row>
    <row r="13" spans="1:21" s="11" customFormat="1" x14ac:dyDescent="0.25">
      <c r="A13" s="53" t="s">
        <v>424</v>
      </c>
      <c r="B13" s="54">
        <v>16.010000000000002</v>
      </c>
      <c r="C13" s="54">
        <v>19.29</v>
      </c>
      <c r="D13" s="54">
        <v>22.91</v>
      </c>
      <c r="E13" s="54">
        <v>5.0999999999999996</v>
      </c>
      <c r="F13" s="54">
        <v>2.98</v>
      </c>
      <c r="G13" s="54">
        <v>65.53</v>
      </c>
      <c r="H13" s="54">
        <v>11.79</v>
      </c>
      <c r="I13" s="54">
        <v>2.2599999999999998</v>
      </c>
      <c r="J13" s="54">
        <v>0.19</v>
      </c>
      <c r="K13" s="54">
        <v>345.65</v>
      </c>
      <c r="L13" s="54">
        <v>22.5</v>
      </c>
      <c r="M13" s="54">
        <v>98.15</v>
      </c>
      <c r="N13" s="54">
        <v>44.9</v>
      </c>
      <c r="O13" s="54">
        <v>0</v>
      </c>
      <c r="P13" s="54">
        <v>0.65</v>
      </c>
      <c r="Q13" s="54">
        <v>9.0399999999999991</v>
      </c>
      <c r="R13" s="43"/>
      <c r="S13" s="43"/>
      <c r="T13" s="43"/>
      <c r="U13" s="43"/>
    </row>
    <row r="14" spans="1:21" s="11" customFormat="1" x14ac:dyDescent="0.25">
      <c r="A14" s="53" t="s">
        <v>425</v>
      </c>
      <c r="B14" s="54">
        <v>14.61</v>
      </c>
      <c r="C14" s="54">
        <v>19.170000000000002</v>
      </c>
      <c r="D14" s="54">
        <v>21.65</v>
      </c>
      <c r="E14" s="54">
        <v>5.12</v>
      </c>
      <c r="F14" s="54">
        <v>2.15</v>
      </c>
      <c r="G14" s="54">
        <v>66.14</v>
      </c>
      <c r="H14" s="54">
        <v>10.07</v>
      </c>
      <c r="I14" s="54">
        <v>2.27</v>
      </c>
      <c r="J14" s="54">
        <v>0.14000000000000001</v>
      </c>
      <c r="K14" s="54">
        <v>323.8</v>
      </c>
      <c r="L14" s="54">
        <v>21.95</v>
      </c>
      <c r="M14" s="54">
        <v>98.18</v>
      </c>
      <c r="N14" s="54">
        <v>48.1</v>
      </c>
      <c r="O14" s="54">
        <v>0</v>
      </c>
      <c r="P14" s="54">
        <v>0.73</v>
      </c>
      <c r="Q14" s="54">
        <v>9.1199999999999992</v>
      </c>
      <c r="R14" s="43"/>
      <c r="S14" s="43"/>
      <c r="T14" s="43"/>
      <c r="U14" s="43"/>
    </row>
    <row r="15" spans="1:21" s="11" customFormat="1" x14ac:dyDescent="0.25">
      <c r="A15" s="53" t="s">
        <v>426</v>
      </c>
      <c r="B15" s="54">
        <v>25.49</v>
      </c>
      <c r="C15" s="54">
        <v>22.76</v>
      </c>
      <c r="D15" s="54">
        <v>30.08</v>
      </c>
      <c r="E15" s="54">
        <v>5.2</v>
      </c>
      <c r="F15" s="54">
        <v>2.41</v>
      </c>
      <c r="G15" s="54">
        <v>75.290000000000006</v>
      </c>
      <c r="H15" s="54">
        <v>8.86</v>
      </c>
      <c r="I15" s="54">
        <v>2.37</v>
      </c>
      <c r="J15" s="54">
        <v>0.32</v>
      </c>
      <c r="K15" s="54">
        <v>347.45</v>
      </c>
      <c r="L15" s="54">
        <v>23.99</v>
      </c>
      <c r="M15" s="54">
        <v>98.17</v>
      </c>
      <c r="N15" s="54">
        <v>155.1</v>
      </c>
      <c r="O15" s="54">
        <v>0</v>
      </c>
      <c r="P15" s="54">
        <v>0.86</v>
      </c>
      <c r="Q15" s="54">
        <v>9.14</v>
      </c>
      <c r="R15" s="43"/>
      <c r="S15" s="43"/>
      <c r="T15" s="43"/>
      <c r="U15" s="43"/>
    </row>
    <row r="16" spans="1:21" s="11" customFormat="1" x14ac:dyDescent="0.25">
      <c r="A16" s="53" t="s">
        <v>427</v>
      </c>
      <c r="B16" s="54">
        <v>11.31</v>
      </c>
      <c r="C16" s="54">
        <v>17.739999999999998</v>
      </c>
      <c r="D16" s="54">
        <v>16.78</v>
      </c>
      <c r="E16" s="54">
        <v>5.64</v>
      </c>
      <c r="F16" s="54">
        <v>9.16</v>
      </c>
      <c r="G16" s="54">
        <v>76.12</v>
      </c>
      <c r="H16" s="54">
        <v>11.59</v>
      </c>
      <c r="I16" s="54">
        <v>2.39</v>
      </c>
      <c r="J16" s="54">
        <v>0.43</v>
      </c>
      <c r="K16" s="54">
        <v>129.22999999999999</v>
      </c>
      <c r="L16" s="54">
        <v>26.92</v>
      </c>
      <c r="M16" s="54">
        <v>97.98</v>
      </c>
      <c r="N16" s="54">
        <v>351.4</v>
      </c>
      <c r="O16" s="54">
        <v>0</v>
      </c>
      <c r="P16" s="54">
        <v>0.68</v>
      </c>
      <c r="Q16" s="54">
        <v>9.15</v>
      </c>
      <c r="R16" s="43"/>
      <c r="S16" s="43"/>
      <c r="T16" s="43"/>
      <c r="U16" s="43"/>
    </row>
    <row r="17" spans="1:21" s="11" customFormat="1" x14ac:dyDescent="0.25">
      <c r="A17" s="53" t="s">
        <v>428</v>
      </c>
      <c r="B17" s="54">
        <v>16.149999999999999</v>
      </c>
      <c r="C17" s="54">
        <v>18.64</v>
      </c>
      <c r="D17" s="54">
        <v>22.57</v>
      </c>
      <c r="E17" s="54">
        <v>6.49</v>
      </c>
      <c r="F17" s="54">
        <v>9.9499999999999993</v>
      </c>
      <c r="G17" s="54">
        <v>79.010000000000005</v>
      </c>
      <c r="H17" s="54">
        <v>9.93</v>
      </c>
      <c r="I17" s="54">
        <v>2.38</v>
      </c>
      <c r="J17" s="54">
        <v>0.34</v>
      </c>
      <c r="K17" s="54">
        <v>118.93</v>
      </c>
      <c r="L17" s="54">
        <v>29.72</v>
      </c>
      <c r="M17" s="54">
        <v>76.680000000000007</v>
      </c>
      <c r="N17" s="54">
        <v>529.79999999999995</v>
      </c>
      <c r="O17" s="54">
        <v>0</v>
      </c>
      <c r="P17" s="54">
        <v>0.71</v>
      </c>
      <c r="Q17" s="54">
        <v>9.1300000000000008</v>
      </c>
      <c r="R17" s="43"/>
      <c r="S17" s="43"/>
      <c r="T17" s="43"/>
      <c r="U17" s="43"/>
    </row>
    <row r="18" spans="1:21" s="11" customFormat="1" x14ac:dyDescent="0.25">
      <c r="A18" s="53" t="s">
        <v>429</v>
      </c>
      <c r="B18" s="54">
        <v>10.01</v>
      </c>
      <c r="C18" s="54">
        <v>17.66</v>
      </c>
      <c r="D18" s="54">
        <v>15.57</v>
      </c>
      <c r="E18" s="54">
        <v>7.69</v>
      </c>
      <c r="F18" s="54">
        <v>15.26</v>
      </c>
      <c r="G18" s="54">
        <v>79.19</v>
      </c>
      <c r="H18" s="54">
        <v>8.76</v>
      </c>
      <c r="I18" s="54">
        <v>2.38</v>
      </c>
      <c r="J18" s="54">
        <v>1.1299999999999999</v>
      </c>
      <c r="K18" s="54">
        <v>127.34</v>
      </c>
      <c r="L18" s="54">
        <v>29.47</v>
      </c>
      <c r="M18" s="54">
        <v>72.39</v>
      </c>
      <c r="N18" s="54">
        <v>665.9</v>
      </c>
      <c r="O18" s="54">
        <v>0</v>
      </c>
      <c r="P18" s="54">
        <v>0.61</v>
      </c>
      <c r="Q18" s="54">
        <v>9.1300000000000008</v>
      </c>
      <c r="R18" s="43"/>
      <c r="S18" s="43"/>
      <c r="T18" s="43"/>
      <c r="U18" s="43"/>
    </row>
    <row r="19" spans="1:21" s="11" customFormat="1" x14ac:dyDescent="0.25">
      <c r="A19" s="53" t="s">
        <v>430</v>
      </c>
      <c r="B19" s="54">
        <v>6.6</v>
      </c>
      <c r="C19" s="54">
        <v>16.16</v>
      </c>
      <c r="D19" s="54">
        <v>13.74</v>
      </c>
      <c r="E19" s="54">
        <v>8.99</v>
      </c>
      <c r="F19" s="54">
        <v>17.71</v>
      </c>
      <c r="G19" s="54">
        <v>59.92</v>
      </c>
      <c r="H19" s="54">
        <v>7.95</v>
      </c>
      <c r="I19" s="54">
        <v>2.2799999999999998</v>
      </c>
      <c r="J19" s="54">
        <v>0.75</v>
      </c>
      <c r="K19" s="54">
        <v>128.77000000000001</v>
      </c>
      <c r="L19" s="54">
        <v>29.52</v>
      </c>
      <c r="M19" s="54">
        <v>67.510000000000005</v>
      </c>
      <c r="N19" s="54">
        <v>662.1</v>
      </c>
      <c r="O19" s="54">
        <v>0</v>
      </c>
      <c r="P19" s="54">
        <v>0.52</v>
      </c>
      <c r="Q19" s="54">
        <v>9.0500000000000007</v>
      </c>
      <c r="R19" s="43"/>
      <c r="S19" s="43"/>
      <c r="T19" s="43"/>
      <c r="U19" s="43"/>
    </row>
    <row r="20" spans="1:21" s="11" customFormat="1" x14ac:dyDescent="0.25">
      <c r="A20" s="53" t="s">
        <v>431</v>
      </c>
      <c r="B20" s="54">
        <v>5.79</v>
      </c>
      <c r="C20" s="54">
        <v>14.94</v>
      </c>
      <c r="D20" s="54">
        <v>12.45</v>
      </c>
      <c r="E20" s="54">
        <v>10.26</v>
      </c>
      <c r="F20" s="54">
        <v>17.690000000000001</v>
      </c>
      <c r="G20" s="54">
        <v>68</v>
      </c>
      <c r="H20" s="54">
        <v>10.82</v>
      </c>
      <c r="I20" s="54">
        <v>2.14</v>
      </c>
      <c r="J20" s="54">
        <v>1.0900000000000001</v>
      </c>
      <c r="K20" s="54">
        <v>133.03</v>
      </c>
      <c r="L20" s="54">
        <v>29.54</v>
      </c>
      <c r="M20" s="54">
        <v>64.14</v>
      </c>
      <c r="N20" s="54">
        <v>608</v>
      </c>
      <c r="O20" s="54">
        <v>0</v>
      </c>
      <c r="P20" s="54">
        <v>0.51</v>
      </c>
      <c r="Q20" s="54">
        <v>9</v>
      </c>
      <c r="R20" s="43"/>
      <c r="S20" s="43"/>
      <c r="T20" s="43"/>
      <c r="U20" s="43"/>
    </row>
    <row r="21" spans="1:21" s="11" customFormat="1" x14ac:dyDescent="0.25">
      <c r="A21" s="53" t="s">
        <v>432</v>
      </c>
      <c r="B21" s="54">
        <v>5.7</v>
      </c>
      <c r="C21" s="54">
        <v>14.79</v>
      </c>
      <c r="D21" s="54">
        <v>11.88</v>
      </c>
      <c r="E21" s="54">
        <v>10.89</v>
      </c>
      <c r="F21" s="54">
        <v>21.21</v>
      </c>
      <c r="G21" s="54">
        <v>48.75</v>
      </c>
      <c r="H21" s="54">
        <v>10.45</v>
      </c>
      <c r="I21" s="54">
        <v>1.93</v>
      </c>
      <c r="J21" s="54">
        <v>0.87</v>
      </c>
      <c r="K21" s="54">
        <v>153.52000000000001</v>
      </c>
      <c r="L21" s="54">
        <v>29.85</v>
      </c>
      <c r="M21" s="54">
        <v>62.56</v>
      </c>
      <c r="N21" s="54">
        <v>730.2</v>
      </c>
      <c r="O21" s="54">
        <v>0</v>
      </c>
      <c r="P21" s="54">
        <v>0.42</v>
      </c>
      <c r="Q21" s="54">
        <v>8.9700000000000006</v>
      </c>
      <c r="R21" s="43"/>
      <c r="S21" s="43"/>
      <c r="T21" s="43"/>
      <c r="U21" s="43"/>
    </row>
    <row r="22" spans="1:21" s="11" customFormat="1" x14ac:dyDescent="0.25">
      <c r="A22" s="53" t="s">
        <v>433</v>
      </c>
      <c r="B22" s="54">
        <v>10.94</v>
      </c>
      <c r="C22" s="54">
        <v>19.149999999999999</v>
      </c>
      <c r="D22" s="54">
        <v>17.579999999999998</v>
      </c>
      <c r="E22" s="54">
        <v>11.99</v>
      </c>
      <c r="F22" s="54">
        <v>19.97</v>
      </c>
      <c r="G22" s="54">
        <v>70.27</v>
      </c>
      <c r="H22" s="54">
        <v>9.57</v>
      </c>
      <c r="I22" s="54">
        <v>1.48</v>
      </c>
      <c r="J22" s="54">
        <v>0.6</v>
      </c>
      <c r="K22" s="54">
        <v>125.75</v>
      </c>
      <c r="L22" s="54">
        <v>29.97</v>
      </c>
      <c r="M22" s="54">
        <v>58.25</v>
      </c>
      <c r="N22" s="54">
        <v>329.7</v>
      </c>
      <c r="O22" s="54">
        <v>0</v>
      </c>
      <c r="P22" s="54">
        <v>0.44</v>
      </c>
      <c r="Q22" s="54">
        <v>9.02</v>
      </c>
      <c r="R22" s="43"/>
      <c r="S22" s="43"/>
      <c r="T22" s="43"/>
      <c r="U22" s="43"/>
    </row>
    <row r="23" spans="1:21" s="11" customFormat="1" x14ac:dyDescent="0.25">
      <c r="A23" s="53" t="s">
        <v>434</v>
      </c>
      <c r="B23" s="54">
        <v>10.44</v>
      </c>
      <c r="C23" s="54">
        <v>18.7</v>
      </c>
      <c r="D23" s="54">
        <v>18.14</v>
      </c>
      <c r="E23" s="54">
        <v>11.82</v>
      </c>
      <c r="F23" s="54">
        <v>16.68</v>
      </c>
      <c r="G23" s="54">
        <v>63.29</v>
      </c>
      <c r="H23" s="54">
        <v>8.51</v>
      </c>
      <c r="I23" s="54">
        <v>1.45</v>
      </c>
      <c r="J23" s="54">
        <v>1</v>
      </c>
      <c r="K23" s="54">
        <v>129.91999999999999</v>
      </c>
      <c r="L23" s="54">
        <v>29.65</v>
      </c>
      <c r="M23" s="54">
        <v>58.14</v>
      </c>
      <c r="N23" s="54">
        <v>205.5</v>
      </c>
      <c r="O23" s="54">
        <v>0</v>
      </c>
      <c r="P23" s="54">
        <v>0.47</v>
      </c>
      <c r="Q23" s="54">
        <v>9.0500000000000007</v>
      </c>
      <c r="R23" s="43"/>
      <c r="S23" s="43"/>
      <c r="T23" s="43"/>
      <c r="U23" s="43"/>
    </row>
    <row r="24" spans="1:21" s="11" customFormat="1" x14ac:dyDescent="0.25">
      <c r="A24" s="53" t="s">
        <v>435</v>
      </c>
      <c r="B24" s="54">
        <v>8.7799999999999994</v>
      </c>
      <c r="C24" s="54">
        <v>27.82</v>
      </c>
      <c r="D24" s="54">
        <v>21.57</v>
      </c>
      <c r="E24" s="54">
        <v>11.32</v>
      </c>
      <c r="F24" s="54">
        <v>13.53</v>
      </c>
      <c r="G24" s="54">
        <v>56.6</v>
      </c>
      <c r="H24" s="54">
        <v>9.33</v>
      </c>
      <c r="I24" s="54">
        <v>1.3</v>
      </c>
      <c r="J24" s="54">
        <v>0.6</v>
      </c>
      <c r="K24" s="54">
        <v>135.69999999999999</v>
      </c>
      <c r="L24" s="54">
        <v>29.11</v>
      </c>
      <c r="M24" s="54">
        <v>63.27</v>
      </c>
      <c r="N24" s="54">
        <v>150.30000000000001</v>
      </c>
      <c r="O24" s="54">
        <v>0</v>
      </c>
      <c r="P24" s="54">
        <v>0.55000000000000004</v>
      </c>
      <c r="Q24" s="54">
        <v>9.06</v>
      </c>
      <c r="R24" s="43"/>
      <c r="S24" s="43"/>
      <c r="T24" s="43"/>
      <c r="U24" s="43"/>
    </row>
    <row r="25" spans="1:21" s="11" customFormat="1" x14ac:dyDescent="0.25">
      <c r="A25" s="53" t="s">
        <v>436</v>
      </c>
      <c r="B25" s="54">
        <v>9.8800000000000008</v>
      </c>
      <c r="C25" s="54">
        <v>34.14</v>
      </c>
      <c r="D25" s="54">
        <v>25.76</v>
      </c>
      <c r="E25" s="54">
        <v>9.69</v>
      </c>
      <c r="F25" s="54">
        <v>13.03</v>
      </c>
      <c r="G25" s="54">
        <v>60.56</v>
      </c>
      <c r="H25" s="54">
        <v>10.18</v>
      </c>
      <c r="I25" s="54">
        <v>1.33</v>
      </c>
      <c r="J25" s="54">
        <v>0.61</v>
      </c>
      <c r="K25" s="54">
        <v>182.95</v>
      </c>
      <c r="L25" s="54">
        <v>28.06</v>
      </c>
      <c r="M25" s="54">
        <v>70.22</v>
      </c>
      <c r="N25" s="54">
        <v>87.5</v>
      </c>
      <c r="O25" s="54">
        <v>0</v>
      </c>
      <c r="P25" s="54">
        <v>0.8</v>
      </c>
      <c r="Q25" s="54">
        <v>9.02</v>
      </c>
      <c r="R25" s="43"/>
      <c r="S25" s="43"/>
      <c r="T25" s="43"/>
      <c r="U25" s="43"/>
    </row>
    <row r="26" spans="1:21" s="11" customFormat="1" x14ac:dyDescent="0.25">
      <c r="A26" s="53" t="s">
        <v>437</v>
      </c>
      <c r="B26" s="54">
        <v>11.99</v>
      </c>
      <c r="C26" s="54">
        <v>37.28</v>
      </c>
      <c r="D26" s="54">
        <v>29.1</v>
      </c>
      <c r="E26" s="54">
        <v>9.4</v>
      </c>
      <c r="F26" s="54">
        <v>10.98</v>
      </c>
      <c r="G26" s="54">
        <v>57.55</v>
      </c>
      <c r="H26" s="54">
        <v>9.23</v>
      </c>
      <c r="I26" s="54">
        <v>1.44</v>
      </c>
      <c r="J26" s="54">
        <v>0.22</v>
      </c>
      <c r="K26" s="54">
        <v>159.58000000000001</v>
      </c>
      <c r="L26" s="54">
        <v>27.07</v>
      </c>
      <c r="M26" s="54">
        <v>80.86</v>
      </c>
      <c r="N26" s="54">
        <v>55</v>
      </c>
      <c r="O26" s="54">
        <v>0</v>
      </c>
      <c r="P26" s="54">
        <v>0.89</v>
      </c>
      <c r="Q26" s="54">
        <v>9.0399999999999991</v>
      </c>
      <c r="R26" s="43"/>
      <c r="S26" s="43"/>
      <c r="T26" s="43"/>
      <c r="U26" s="43"/>
    </row>
    <row r="27" spans="1:21" s="11" customFormat="1" x14ac:dyDescent="0.25">
      <c r="A27" s="53" t="s">
        <v>438</v>
      </c>
      <c r="B27" s="54">
        <v>11.08</v>
      </c>
      <c r="C27" s="54">
        <v>34.35</v>
      </c>
      <c r="D27" s="54">
        <v>26.84</v>
      </c>
      <c r="E27" s="54">
        <v>8.41</v>
      </c>
      <c r="F27" s="54">
        <v>7.2</v>
      </c>
      <c r="G27" s="54">
        <v>69.540000000000006</v>
      </c>
      <c r="H27" s="54">
        <v>9.81</v>
      </c>
      <c r="I27" s="54">
        <v>1.62</v>
      </c>
      <c r="J27" s="54">
        <v>0.31</v>
      </c>
      <c r="K27" s="54">
        <v>155.91999999999999</v>
      </c>
      <c r="L27" s="54">
        <v>26.17</v>
      </c>
      <c r="M27" s="54">
        <v>86.84</v>
      </c>
      <c r="N27" s="54">
        <v>44.9</v>
      </c>
      <c r="O27" s="54">
        <v>0</v>
      </c>
      <c r="P27" s="54">
        <v>0.92</v>
      </c>
      <c r="Q27" s="54">
        <v>9.09</v>
      </c>
      <c r="R27" s="43"/>
      <c r="S27" s="43"/>
      <c r="T27" s="43"/>
      <c r="U27" s="43"/>
    </row>
    <row r="28" spans="1:21" s="11" customFormat="1" x14ac:dyDescent="0.25">
      <c r="A28" s="53" t="s">
        <v>439</v>
      </c>
      <c r="B28" s="54">
        <v>5.74</v>
      </c>
      <c r="C28" s="54">
        <v>23.18</v>
      </c>
      <c r="D28" s="54">
        <v>16.079999999999998</v>
      </c>
      <c r="E28" s="54">
        <v>8.1300000000000008</v>
      </c>
      <c r="F28" s="54">
        <v>7.73</v>
      </c>
      <c r="G28" s="54">
        <v>68.42</v>
      </c>
      <c r="H28" s="54">
        <v>8.82</v>
      </c>
      <c r="I28" s="54">
        <v>1.75</v>
      </c>
      <c r="J28" s="54">
        <v>0.39</v>
      </c>
      <c r="K28" s="54">
        <v>186.15</v>
      </c>
      <c r="L28" s="54">
        <v>25.89</v>
      </c>
      <c r="M28" s="54">
        <v>88.09</v>
      </c>
      <c r="N28" s="54">
        <v>44.9</v>
      </c>
      <c r="O28" s="54">
        <v>0</v>
      </c>
      <c r="P28" s="54">
        <v>0.69</v>
      </c>
      <c r="Q28" s="54">
        <v>9.09</v>
      </c>
      <c r="R28" s="43"/>
      <c r="S28" s="43"/>
      <c r="T28" s="43"/>
      <c r="U28" s="43"/>
    </row>
    <row r="29" spans="1:21" s="11" customFormat="1" x14ac:dyDescent="0.25">
      <c r="A29" s="53" t="s">
        <v>440</v>
      </c>
      <c r="B29" s="54">
        <v>7.45</v>
      </c>
      <c r="C29" s="54">
        <v>35.1</v>
      </c>
      <c r="D29" s="54">
        <v>23.61</v>
      </c>
      <c r="E29" s="54">
        <v>7.66</v>
      </c>
      <c r="F29" s="54">
        <v>4.28</v>
      </c>
      <c r="G29" s="54">
        <v>67.86</v>
      </c>
      <c r="H29" s="54">
        <v>8.0500000000000007</v>
      </c>
      <c r="I29" s="54">
        <v>1.87</v>
      </c>
      <c r="J29" s="54">
        <v>0.27</v>
      </c>
      <c r="K29" s="54">
        <v>138.44999999999999</v>
      </c>
      <c r="L29" s="54">
        <v>25.6</v>
      </c>
      <c r="M29" s="54">
        <v>89.39</v>
      </c>
      <c r="N29" s="54">
        <v>44.9</v>
      </c>
      <c r="O29" s="54">
        <v>0</v>
      </c>
      <c r="P29" s="54">
        <v>0.89</v>
      </c>
      <c r="Q29" s="54">
        <v>9.0500000000000007</v>
      </c>
      <c r="R29" s="43"/>
      <c r="S29" s="43"/>
      <c r="T29" s="43"/>
      <c r="U29" s="43"/>
    </row>
    <row r="30" spans="1:21" s="11" customFormat="1" x14ac:dyDescent="0.25">
      <c r="A30" s="53" t="s">
        <v>441</v>
      </c>
      <c r="B30" s="54">
        <v>7.74</v>
      </c>
      <c r="C30" s="54">
        <v>33.9</v>
      </c>
      <c r="D30" s="54">
        <v>23.44</v>
      </c>
      <c r="E30" s="54">
        <v>6.88</v>
      </c>
      <c r="F30" s="54">
        <v>3.89</v>
      </c>
      <c r="G30" s="54">
        <v>67.989999999999995</v>
      </c>
      <c r="H30" s="54">
        <v>7.53</v>
      </c>
      <c r="I30" s="54">
        <v>2.04</v>
      </c>
      <c r="J30" s="54">
        <v>0.28000000000000003</v>
      </c>
      <c r="K30" s="54">
        <v>150.04</v>
      </c>
      <c r="L30" s="54">
        <v>25.19</v>
      </c>
      <c r="M30" s="54">
        <v>91.8</v>
      </c>
      <c r="N30" s="54">
        <v>44.9</v>
      </c>
      <c r="O30" s="54">
        <v>0</v>
      </c>
      <c r="P30" s="54">
        <v>0.72</v>
      </c>
      <c r="Q30" s="54">
        <v>9.0399999999999991</v>
      </c>
      <c r="R30" s="43"/>
      <c r="S30" s="43"/>
      <c r="T30" s="43"/>
      <c r="U30" s="43"/>
    </row>
    <row r="31" spans="1:21" s="11" customFormat="1" x14ac:dyDescent="0.25">
      <c r="A31" s="53" t="s">
        <v>442</v>
      </c>
      <c r="B31" s="54">
        <v>9.69</v>
      </c>
      <c r="C31" s="54">
        <v>43.58</v>
      </c>
      <c r="D31" s="54">
        <v>30.54</v>
      </c>
      <c r="E31" s="54">
        <v>8.11</v>
      </c>
      <c r="F31" s="54">
        <v>4.7699999999999996</v>
      </c>
      <c r="G31" s="54">
        <v>65.36</v>
      </c>
      <c r="H31" s="54">
        <v>7.17</v>
      </c>
      <c r="I31" s="54">
        <v>2.02</v>
      </c>
      <c r="J31" s="54">
        <v>0.24</v>
      </c>
      <c r="K31" s="54">
        <v>140.24</v>
      </c>
      <c r="L31" s="54">
        <v>24.86</v>
      </c>
      <c r="M31" s="54">
        <v>91.68</v>
      </c>
      <c r="N31" s="54">
        <v>44.9</v>
      </c>
      <c r="O31" s="54">
        <v>0</v>
      </c>
      <c r="P31" s="54">
        <v>0.71</v>
      </c>
      <c r="Q31" s="54">
        <v>9.08</v>
      </c>
      <c r="R31" s="43"/>
      <c r="S31" s="43"/>
      <c r="T31" s="43"/>
      <c r="U31" s="43"/>
    </row>
    <row r="32" spans="1:21" s="11" customFormat="1" x14ac:dyDescent="0.25">
      <c r="A32" s="53" t="s">
        <v>443</v>
      </c>
      <c r="B32" s="54">
        <v>20.39</v>
      </c>
      <c r="C32" s="54">
        <v>32.44</v>
      </c>
      <c r="D32" s="54">
        <v>33.299999999999997</v>
      </c>
      <c r="E32" s="54">
        <v>8.32</v>
      </c>
      <c r="F32" s="54">
        <v>3.44</v>
      </c>
      <c r="G32" s="54">
        <v>64.55</v>
      </c>
      <c r="H32" s="54">
        <v>9.23</v>
      </c>
      <c r="I32" s="54">
        <v>2.0499999999999998</v>
      </c>
      <c r="J32" s="54">
        <v>0.14000000000000001</v>
      </c>
      <c r="K32" s="54">
        <v>338.2</v>
      </c>
      <c r="L32" s="54">
        <v>24.51</v>
      </c>
      <c r="M32" s="54">
        <v>98.03</v>
      </c>
      <c r="N32" s="54">
        <v>44.9</v>
      </c>
      <c r="O32" s="54">
        <v>0</v>
      </c>
      <c r="P32" s="54">
        <v>1.03</v>
      </c>
      <c r="Q32" s="54">
        <v>9.1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5.7</v>
      </c>
      <c r="C34" s="28">
        <f t="shared" si="0"/>
        <v>12.89</v>
      </c>
      <c r="D34" s="28">
        <f t="shared" si="0"/>
        <v>11.88</v>
      </c>
      <c r="E34" s="28">
        <f t="shared" si="0"/>
        <v>5.0999999999999996</v>
      </c>
      <c r="F34" s="28">
        <f t="shared" si="0"/>
        <v>2.15</v>
      </c>
      <c r="G34" s="28">
        <f t="shared" si="0"/>
        <v>48.75</v>
      </c>
      <c r="H34" s="28">
        <f t="shared" si="0"/>
        <v>7.17</v>
      </c>
      <c r="I34" s="28">
        <f t="shared" si="0"/>
        <v>1.3</v>
      </c>
      <c r="J34" s="28">
        <f t="shared" si="0"/>
        <v>0.14000000000000001</v>
      </c>
      <c r="K34" s="28">
        <f t="shared" si="0"/>
        <v>118.93</v>
      </c>
      <c r="L34" s="28">
        <f t="shared" si="0"/>
        <v>21.95</v>
      </c>
      <c r="M34" s="28">
        <f t="shared" si="0"/>
        <v>58.14</v>
      </c>
      <c r="N34" s="28">
        <f t="shared" si="0"/>
        <v>44.9</v>
      </c>
      <c r="O34" s="28">
        <f t="shared" si="0"/>
        <v>0</v>
      </c>
      <c r="P34" s="28">
        <f t="shared" si="0"/>
        <v>0.42</v>
      </c>
      <c r="Q34" s="28">
        <f t="shared" si="0"/>
        <v>8.9700000000000006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25.49</v>
      </c>
      <c r="C35" s="29">
        <f t="shared" si="1"/>
        <v>43.58</v>
      </c>
      <c r="D35" s="29">
        <f t="shared" si="1"/>
        <v>33.299999999999997</v>
      </c>
      <c r="E35" s="29">
        <f t="shared" si="1"/>
        <v>11.99</v>
      </c>
      <c r="F35" s="29">
        <f t="shared" si="1"/>
        <v>21.21</v>
      </c>
      <c r="G35" s="29">
        <f t="shared" si="1"/>
        <v>79.19</v>
      </c>
      <c r="H35" s="29">
        <f t="shared" si="1"/>
        <v>13.59</v>
      </c>
      <c r="I35" s="29">
        <f t="shared" si="1"/>
        <v>2.39</v>
      </c>
      <c r="J35" s="29">
        <f t="shared" si="1"/>
        <v>1.1299999999999999</v>
      </c>
      <c r="K35" s="29">
        <f t="shared" si="1"/>
        <v>357.62</v>
      </c>
      <c r="L35" s="29">
        <f t="shared" si="1"/>
        <v>29.97</v>
      </c>
      <c r="M35" s="29">
        <f t="shared" si="1"/>
        <v>98.18</v>
      </c>
      <c r="N35" s="29">
        <f t="shared" si="1"/>
        <v>730.2</v>
      </c>
      <c r="O35" s="29">
        <f t="shared" si="1"/>
        <v>0</v>
      </c>
      <c r="P35" s="29">
        <f t="shared" si="1"/>
        <v>1.03</v>
      </c>
      <c r="Q35" s="29">
        <f t="shared" si="1"/>
        <v>9.15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10.56</v>
      </c>
      <c r="C36" s="28">
        <f t="shared" si="2"/>
        <v>23.966250000000002</v>
      </c>
      <c r="D36" s="28">
        <f t="shared" si="2"/>
        <v>20.529999999999998</v>
      </c>
      <c r="E36" s="28">
        <f t="shared" si="2"/>
        <v>7.940833333333333</v>
      </c>
      <c r="F36" s="28">
        <f t="shared" si="2"/>
        <v>9.5383333333333322</v>
      </c>
      <c r="G36" s="28">
        <f t="shared" si="2"/>
        <v>67.390416666666653</v>
      </c>
      <c r="H36" s="28">
        <f t="shared" si="2"/>
        <v>9.5108333333333324</v>
      </c>
      <c r="I36" s="28">
        <f t="shared" si="2"/>
        <v>1.9945833333333329</v>
      </c>
      <c r="J36" s="28">
        <f t="shared" si="2"/>
        <v>0.44833333333333331</v>
      </c>
      <c r="K36" s="28">
        <f t="shared" si="2"/>
        <v>208.89916666666662</v>
      </c>
      <c r="L36" s="28">
        <f t="shared" si="2"/>
        <v>26.347083333333341</v>
      </c>
      <c r="M36" s="28">
        <f t="shared" si="2"/>
        <v>83.524166666666659</v>
      </c>
      <c r="N36" s="28">
        <f t="shared" si="2"/>
        <v>211.36666666666656</v>
      </c>
      <c r="O36" s="28">
        <f t="shared" si="2"/>
        <v>0</v>
      </c>
      <c r="P36" s="28">
        <f t="shared" si="2"/>
        <v>0.68583333333333352</v>
      </c>
      <c r="Q36" s="28">
        <f t="shared" si="2"/>
        <v>9.0658333333333339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4.9454669626093821</v>
      </c>
      <c r="C37" s="28">
        <f t="shared" ref="C37:Q37" si="3">STDEV(C9:C32)</f>
        <v>8.5621918224452109</v>
      </c>
      <c r="D37" s="28">
        <f t="shared" si="3"/>
        <v>6.3558449648643442</v>
      </c>
      <c r="E37" s="28">
        <f t="shared" si="3"/>
        <v>2.2268654450022205</v>
      </c>
      <c r="F37" s="28">
        <f t="shared" si="3"/>
        <v>5.9931951750128336</v>
      </c>
      <c r="G37" s="28">
        <f t="shared" si="3"/>
        <v>7.3433628590525712</v>
      </c>
      <c r="H37" s="28">
        <f t="shared" si="3"/>
        <v>1.4646231646716421</v>
      </c>
      <c r="I37" s="28">
        <f t="shared" si="3"/>
        <v>0.37234835450348158</v>
      </c>
      <c r="J37" s="28">
        <f t="shared" si="3"/>
        <v>0.31033875833923197</v>
      </c>
      <c r="K37" s="28">
        <f t="shared" si="3"/>
        <v>96.042406481479034</v>
      </c>
      <c r="L37" s="28">
        <f t="shared" si="3"/>
        <v>2.7796222439101452</v>
      </c>
      <c r="M37" s="28">
        <f t="shared" si="3"/>
        <v>15.078476141627322</v>
      </c>
      <c r="N37" s="28">
        <f t="shared" si="3"/>
        <v>242.21629512315718</v>
      </c>
      <c r="O37" s="28">
        <f t="shared" si="3"/>
        <v>0</v>
      </c>
      <c r="P37" s="28">
        <f t="shared" si="3"/>
        <v>0.15750546344331212</v>
      </c>
      <c r="Q37" s="28">
        <f t="shared" si="3"/>
        <v>4.5865272139231965E-2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1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12" sqref="G1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17/10/2025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3" t="s">
        <v>444</v>
      </c>
      <c r="B9" s="54">
        <v>14.19</v>
      </c>
      <c r="C9" s="54">
        <v>26.56</v>
      </c>
      <c r="D9" s="54">
        <v>23.38</v>
      </c>
      <c r="E9" s="54">
        <v>6.18</v>
      </c>
      <c r="F9" s="54">
        <v>2.15</v>
      </c>
      <c r="G9" s="54">
        <v>73.45</v>
      </c>
      <c r="H9" s="54">
        <v>8.94</v>
      </c>
      <c r="I9" s="54">
        <v>2.15</v>
      </c>
      <c r="J9" s="54">
        <v>0.19</v>
      </c>
      <c r="K9" s="54">
        <v>337.07</v>
      </c>
      <c r="L9" s="54">
        <v>23.51</v>
      </c>
      <c r="M9" s="54">
        <v>97.99</v>
      </c>
      <c r="N9" s="54">
        <v>44.9</v>
      </c>
      <c r="O9" s="54">
        <v>0</v>
      </c>
      <c r="P9" s="54">
        <v>0.92</v>
      </c>
      <c r="Q9" s="54">
        <v>9.1199999999999992</v>
      </c>
      <c r="R9" s="43"/>
      <c r="S9" s="43"/>
      <c r="T9" s="43"/>
      <c r="U9" s="43"/>
    </row>
    <row r="10" spans="1:21" s="11" customFormat="1" x14ac:dyDescent="0.25">
      <c r="A10" s="53" t="s">
        <v>445</v>
      </c>
      <c r="B10" s="54">
        <v>10.56</v>
      </c>
      <c r="C10" s="54">
        <v>21.26</v>
      </c>
      <c r="D10" s="54">
        <v>18.52</v>
      </c>
      <c r="E10" s="54">
        <v>5.59</v>
      </c>
      <c r="F10" s="54">
        <v>4.07</v>
      </c>
      <c r="G10" s="54">
        <v>85.55</v>
      </c>
      <c r="H10" s="54">
        <v>9.07</v>
      </c>
      <c r="I10" s="54">
        <v>2.2000000000000002</v>
      </c>
      <c r="J10" s="54">
        <v>0.11</v>
      </c>
      <c r="K10" s="54">
        <v>352.46</v>
      </c>
      <c r="L10" s="54">
        <v>23.32</v>
      </c>
      <c r="M10" s="54">
        <v>97.93</v>
      </c>
      <c r="N10" s="54">
        <v>44.8</v>
      </c>
      <c r="O10" s="54">
        <v>0</v>
      </c>
      <c r="P10" s="54">
        <v>0.69</v>
      </c>
      <c r="Q10" s="54">
        <v>9.11</v>
      </c>
      <c r="R10" s="43"/>
      <c r="S10" s="43"/>
      <c r="T10" s="43"/>
      <c r="U10" s="43"/>
    </row>
    <row r="11" spans="1:21" s="11" customFormat="1" x14ac:dyDescent="0.25">
      <c r="A11" s="53" t="s">
        <v>446</v>
      </c>
      <c r="B11" s="54">
        <v>7.62</v>
      </c>
      <c r="C11" s="54">
        <v>19.82</v>
      </c>
      <c r="D11" s="54">
        <v>16.149999999999999</v>
      </c>
      <c r="E11" s="54">
        <v>5.07</v>
      </c>
      <c r="F11" s="54">
        <v>2.85</v>
      </c>
      <c r="G11" s="54">
        <v>78.430000000000007</v>
      </c>
      <c r="H11" s="54">
        <v>8.58</v>
      </c>
      <c r="I11" s="54">
        <v>2.2000000000000002</v>
      </c>
      <c r="J11" s="54">
        <v>0.16</v>
      </c>
      <c r="K11" s="54">
        <v>329.31</v>
      </c>
      <c r="L11" s="54">
        <v>23.22</v>
      </c>
      <c r="M11" s="54">
        <v>97.91</v>
      </c>
      <c r="N11" s="54">
        <v>45</v>
      </c>
      <c r="O11" s="54">
        <v>0</v>
      </c>
      <c r="P11" s="54">
        <v>0.64</v>
      </c>
      <c r="Q11" s="54">
        <v>9.11</v>
      </c>
      <c r="R11" s="43"/>
      <c r="S11" s="43"/>
      <c r="T11" s="43"/>
      <c r="U11" s="43"/>
    </row>
    <row r="12" spans="1:21" s="11" customFormat="1" x14ac:dyDescent="0.25">
      <c r="A12" s="53" t="s">
        <v>447</v>
      </c>
      <c r="B12" s="54">
        <v>10.67</v>
      </c>
      <c r="C12" s="54">
        <v>17.34</v>
      </c>
      <c r="D12" s="54">
        <v>16.11</v>
      </c>
      <c r="E12" s="54">
        <v>5.07</v>
      </c>
      <c r="F12" s="54">
        <v>2.3199999999999998</v>
      </c>
      <c r="G12" s="54">
        <v>72.75</v>
      </c>
      <c r="H12" s="54">
        <v>11.42</v>
      </c>
      <c r="I12" s="54">
        <v>2.1800000000000002</v>
      </c>
      <c r="J12" s="54">
        <v>0.23</v>
      </c>
      <c r="K12" s="54">
        <v>334.88</v>
      </c>
      <c r="L12" s="54">
        <v>22.56</v>
      </c>
      <c r="M12" s="54">
        <v>98</v>
      </c>
      <c r="N12" s="54">
        <v>44.9</v>
      </c>
      <c r="O12" s="54">
        <v>0</v>
      </c>
      <c r="P12" s="54">
        <v>0.59</v>
      </c>
      <c r="Q12" s="54">
        <v>9.15</v>
      </c>
      <c r="R12" s="43"/>
      <c r="S12" s="43"/>
      <c r="T12" s="43"/>
      <c r="U12" s="43"/>
    </row>
    <row r="13" spans="1:21" s="11" customFormat="1" x14ac:dyDescent="0.25">
      <c r="A13" s="53" t="s">
        <v>448</v>
      </c>
      <c r="B13" s="54">
        <v>16.62</v>
      </c>
      <c r="C13" s="54">
        <v>17.11</v>
      </c>
      <c r="D13" s="54">
        <v>22.26</v>
      </c>
      <c r="E13" s="54">
        <v>4.82</v>
      </c>
      <c r="F13" s="54">
        <v>2.31</v>
      </c>
      <c r="G13" s="54">
        <v>71.25</v>
      </c>
      <c r="H13" s="54">
        <v>10.37</v>
      </c>
      <c r="I13" s="54">
        <v>2.21</v>
      </c>
      <c r="J13" s="54">
        <v>0.32</v>
      </c>
      <c r="K13" s="54">
        <v>336.98</v>
      </c>
      <c r="L13" s="54">
        <v>21.89</v>
      </c>
      <c r="M13" s="54">
        <v>97.95</v>
      </c>
      <c r="N13" s="54">
        <v>44.6</v>
      </c>
      <c r="O13" s="54">
        <v>0</v>
      </c>
      <c r="P13" s="54">
        <v>0.66</v>
      </c>
      <c r="Q13" s="54">
        <v>9.16</v>
      </c>
      <c r="R13" s="43"/>
      <c r="S13" s="43"/>
      <c r="T13" s="43"/>
      <c r="U13" s="43"/>
    </row>
    <row r="14" spans="1:21" s="11" customFormat="1" x14ac:dyDescent="0.25">
      <c r="A14" s="53" t="s">
        <v>449</v>
      </c>
      <c r="B14" s="54">
        <v>13.41</v>
      </c>
      <c r="C14" s="54">
        <v>16.8</v>
      </c>
      <c r="D14" s="54">
        <v>17.36</v>
      </c>
      <c r="E14" s="54">
        <v>4.74</v>
      </c>
      <c r="F14" s="54">
        <v>2.1</v>
      </c>
      <c r="G14" s="54">
        <v>72.77</v>
      </c>
      <c r="H14" s="54">
        <v>9.0299999999999994</v>
      </c>
      <c r="I14" s="54">
        <v>2.2000000000000002</v>
      </c>
      <c r="J14" s="54">
        <v>0.26</v>
      </c>
      <c r="K14" s="54">
        <v>343.46</v>
      </c>
      <c r="L14" s="54">
        <v>21.94</v>
      </c>
      <c r="M14" s="54">
        <v>97.94</v>
      </c>
      <c r="N14" s="54">
        <v>47.7</v>
      </c>
      <c r="O14" s="54">
        <v>0</v>
      </c>
      <c r="P14" s="54">
        <v>0.64</v>
      </c>
      <c r="Q14" s="54">
        <v>9.14</v>
      </c>
      <c r="R14" s="43"/>
      <c r="S14" s="43"/>
      <c r="T14" s="43"/>
      <c r="U14" s="43"/>
    </row>
    <row r="15" spans="1:21" s="11" customFormat="1" x14ac:dyDescent="0.25">
      <c r="A15" s="53" t="s">
        <v>450</v>
      </c>
      <c r="B15" s="54">
        <v>18.190000000000001</v>
      </c>
      <c r="C15" s="54">
        <v>17.350000000000001</v>
      </c>
      <c r="D15" s="54">
        <v>23.65</v>
      </c>
      <c r="E15" s="54">
        <v>4.66</v>
      </c>
      <c r="F15" s="54">
        <v>2.1</v>
      </c>
      <c r="G15" s="54">
        <v>72.040000000000006</v>
      </c>
      <c r="H15" s="54">
        <v>8.14</v>
      </c>
      <c r="I15" s="54">
        <v>2.2799999999999998</v>
      </c>
      <c r="J15" s="54">
        <v>0.16</v>
      </c>
      <c r="K15" s="54">
        <v>352.88</v>
      </c>
      <c r="L15" s="54">
        <v>23.41</v>
      </c>
      <c r="M15" s="54">
        <v>97.9</v>
      </c>
      <c r="N15" s="54">
        <v>135.19999999999999</v>
      </c>
      <c r="O15" s="54">
        <v>0</v>
      </c>
      <c r="P15" s="54">
        <v>0.86</v>
      </c>
      <c r="Q15" s="54">
        <v>9.14</v>
      </c>
      <c r="R15" s="43"/>
      <c r="S15" s="43"/>
      <c r="T15" s="43"/>
      <c r="U15" s="43"/>
    </row>
    <row r="16" spans="1:21" s="11" customFormat="1" x14ac:dyDescent="0.25">
      <c r="A16" s="53" t="s">
        <v>451</v>
      </c>
      <c r="B16" s="54">
        <v>24.34</v>
      </c>
      <c r="C16" s="54">
        <v>17.82</v>
      </c>
      <c r="D16" s="54">
        <v>28.78</v>
      </c>
      <c r="E16" s="54">
        <v>5.38</v>
      </c>
      <c r="F16" s="54">
        <v>6.24</v>
      </c>
      <c r="G16" s="54">
        <v>81.150000000000006</v>
      </c>
      <c r="H16" s="54">
        <v>9.82</v>
      </c>
      <c r="I16" s="54">
        <v>2.39</v>
      </c>
      <c r="J16" s="54">
        <v>0.69</v>
      </c>
      <c r="K16" s="54">
        <v>132.71</v>
      </c>
      <c r="L16" s="54">
        <v>25.49</v>
      </c>
      <c r="M16" s="54">
        <v>97.74</v>
      </c>
      <c r="N16" s="54">
        <v>310.5</v>
      </c>
      <c r="O16" s="54">
        <v>0</v>
      </c>
      <c r="P16" s="54">
        <v>0.74</v>
      </c>
      <c r="Q16" s="54">
        <v>9.1999999999999993</v>
      </c>
      <c r="R16" s="43"/>
      <c r="S16" s="43"/>
      <c r="T16" s="43"/>
      <c r="U16" s="43"/>
    </row>
    <row r="17" spans="1:21" s="11" customFormat="1" x14ac:dyDescent="0.25">
      <c r="A17" s="53" t="s">
        <v>452</v>
      </c>
      <c r="B17" s="54">
        <v>14.19</v>
      </c>
      <c r="C17" s="54">
        <v>18.649999999999999</v>
      </c>
      <c r="D17" s="54">
        <v>18.920000000000002</v>
      </c>
      <c r="E17" s="54">
        <v>7.76</v>
      </c>
      <c r="F17" s="54">
        <v>8.1999999999999993</v>
      </c>
      <c r="G17" s="54">
        <v>78.14</v>
      </c>
      <c r="H17" s="54">
        <v>8.77</v>
      </c>
      <c r="I17" s="54">
        <v>2.37</v>
      </c>
      <c r="J17" s="54">
        <v>0.36</v>
      </c>
      <c r="K17" s="54">
        <v>134.83000000000001</v>
      </c>
      <c r="L17" s="54">
        <v>29.36</v>
      </c>
      <c r="M17" s="54">
        <v>79.239999999999995</v>
      </c>
      <c r="N17" s="54">
        <v>490.9</v>
      </c>
      <c r="O17" s="54">
        <v>0</v>
      </c>
      <c r="P17" s="54">
        <v>0.63</v>
      </c>
      <c r="Q17" s="54">
        <v>9.2100000000000009</v>
      </c>
      <c r="R17" s="43"/>
      <c r="S17" s="43"/>
      <c r="T17" s="43"/>
      <c r="U17" s="43"/>
    </row>
    <row r="18" spans="1:21" s="11" customFormat="1" x14ac:dyDescent="0.25">
      <c r="A18" s="53" t="s">
        <v>453</v>
      </c>
      <c r="B18" s="54">
        <v>14.26</v>
      </c>
      <c r="C18" s="54">
        <v>25.43</v>
      </c>
      <c r="D18" s="54">
        <v>24.72</v>
      </c>
      <c r="E18" s="54">
        <v>9.4600000000000009</v>
      </c>
      <c r="F18" s="54">
        <v>6.76</v>
      </c>
      <c r="G18" s="54">
        <v>76.239999999999995</v>
      </c>
      <c r="H18" s="54">
        <v>8.06</v>
      </c>
      <c r="I18" s="54">
        <v>2.33</v>
      </c>
      <c r="J18" s="54">
        <v>0.69</v>
      </c>
      <c r="K18" s="54">
        <v>352.25</v>
      </c>
      <c r="L18" s="54">
        <v>30.46</v>
      </c>
      <c r="M18" s="54">
        <v>75.989999999999995</v>
      </c>
      <c r="N18" s="54">
        <v>646.1</v>
      </c>
      <c r="O18" s="54">
        <v>0</v>
      </c>
      <c r="P18" s="54">
        <v>0.66</v>
      </c>
      <c r="Q18" s="54">
        <v>9.19</v>
      </c>
      <c r="R18" s="43"/>
      <c r="S18" s="43"/>
      <c r="T18" s="43"/>
      <c r="U18" s="43"/>
    </row>
    <row r="19" spans="1:21" s="11" customFormat="1" x14ac:dyDescent="0.25">
      <c r="A19" s="53" t="s">
        <v>454</v>
      </c>
      <c r="B19" s="54">
        <v>12.32</v>
      </c>
      <c r="C19" s="54">
        <v>16.5</v>
      </c>
      <c r="D19" s="54">
        <v>18.5</v>
      </c>
      <c r="E19" s="54">
        <v>12.27</v>
      </c>
      <c r="F19" s="54">
        <v>12.44</v>
      </c>
      <c r="G19" s="54">
        <v>78.459999999999994</v>
      </c>
      <c r="H19" s="54">
        <v>7.58</v>
      </c>
      <c r="I19" s="54">
        <v>2.2200000000000002</v>
      </c>
      <c r="J19" s="54">
        <v>0.96</v>
      </c>
      <c r="K19" s="54">
        <v>132.04</v>
      </c>
      <c r="L19" s="54">
        <v>30.63</v>
      </c>
      <c r="M19" s="54">
        <v>61.76</v>
      </c>
      <c r="N19" s="54">
        <v>703</v>
      </c>
      <c r="O19" s="54">
        <v>0</v>
      </c>
      <c r="P19" s="54">
        <v>0.6</v>
      </c>
      <c r="Q19" s="54">
        <v>9.16</v>
      </c>
      <c r="R19" s="43"/>
      <c r="S19" s="43"/>
      <c r="T19" s="43"/>
      <c r="U19" s="43"/>
    </row>
    <row r="20" spans="1:21" s="11" customFormat="1" x14ac:dyDescent="0.25">
      <c r="A20" s="53" t="s">
        <v>455</v>
      </c>
      <c r="B20" s="54">
        <v>12.25</v>
      </c>
      <c r="C20" s="54">
        <v>17.100000000000001</v>
      </c>
      <c r="D20" s="54">
        <v>19.149999999999999</v>
      </c>
      <c r="E20" s="54">
        <v>15.9</v>
      </c>
      <c r="F20" s="54">
        <v>13.66</v>
      </c>
      <c r="G20" s="54">
        <v>69.38</v>
      </c>
      <c r="H20" s="54">
        <v>10.46</v>
      </c>
      <c r="I20" s="54">
        <v>2.11</v>
      </c>
      <c r="J20" s="54">
        <v>0.66</v>
      </c>
      <c r="K20" s="54">
        <v>351.94</v>
      </c>
      <c r="L20" s="54">
        <v>30.59</v>
      </c>
      <c r="M20" s="54">
        <v>55.03</v>
      </c>
      <c r="N20" s="54">
        <v>694.5</v>
      </c>
      <c r="O20" s="54">
        <v>0</v>
      </c>
      <c r="P20" s="54">
        <v>0.55000000000000004</v>
      </c>
      <c r="Q20" s="54">
        <v>9.11</v>
      </c>
      <c r="R20" s="43"/>
      <c r="S20" s="43"/>
      <c r="T20" s="43"/>
      <c r="U20" s="43"/>
    </row>
    <row r="21" spans="1:21" s="11" customFormat="1" x14ac:dyDescent="0.25">
      <c r="A21" s="53" t="s">
        <v>456</v>
      </c>
      <c r="B21" s="54">
        <v>9</v>
      </c>
      <c r="C21" s="54">
        <v>16.47</v>
      </c>
      <c r="D21" s="54">
        <v>14.7</v>
      </c>
      <c r="E21" s="54">
        <v>13.66</v>
      </c>
      <c r="F21" s="54">
        <v>13.61</v>
      </c>
      <c r="G21" s="54">
        <v>70.11</v>
      </c>
      <c r="H21" s="54">
        <v>9.58</v>
      </c>
      <c r="I21" s="54">
        <v>1.97</v>
      </c>
      <c r="J21" s="54">
        <v>0.37</v>
      </c>
      <c r="K21" s="54">
        <v>131.83000000000001</v>
      </c>
      <c r="L21" s="54">
        <v>31.51</v>
      </c>
      <c r="M21" s="54">
        <v>51.24</v>
      </c>
      <c r="N21" s="54">
        <v>703.8</v>
      </c>
      <c r="O21" s="54">
        <v>0</v>
      </c>
      <c r="P21" s="54">
        <v>0.59</v>
      </c>
      <c r="Q21" s="54">
        <v>9.11</v>
      </c>
      <c r="R21" s="43"/>
      <c r="S21" s="43"/>
      <c r="T21" s="43"/>
      <c r="U21" s="43"/>
    </row>
    <row r="22" spans="1:21" s="11" customFormat="1" x14ac:dyDescent="0.25">
      <c r="A22" s="53" t="s">
        <v>457</v>
      </c>
      <c r="B22" s="54">
        <v>7.95</v>
      </c>
      <c r="C22" s="54">
        <v>21.87</v>
      </c>
      <c r="D22" s="54">
        <v>17.8</v>
      </c>
      <c r="E22" s="54">
        <v>15.35</v>
      </c>
      <c r="F22" s="54">
        <v>17.27</v>
      </c>
      <c r="G22" s="54">
        <v>69.55</v>
      </c>
      <c r="H22" s="54">
        <v>8.94</v>
      </c>
      <c r="I22" s="54">
        <v>1.9</v>
      </c>
      <c r="J22" s="54">
        <v>0.38</v>
      </c>
      <c r="K22" s="54">
        <v>129.54</v>
      </c>
      <c r="L22" s="54">
        <v>30.22</v>
      </c>
      <c r="M22" s="54">
        <v>53.96</v>
      </c>
      <c r="N22" s="54">
        <v>288</v>
      </c>
      <c r="O22" s="54">
        <v>0</v>
      </c>
      <c r="P22" s="54">
        <v>0.54</v>
      </c>
      <c r="Q22" s="54">
        <v>9.09</v>
      </c>
      <c r="R22" s="43"/>
      <c r="S22" s="43"/>
      <c r="T22" s="43"/>
      <c r="U22" s="43"/>
    </row>
    <row r="23" spans="1:21" s="11" customFormat="1" x14ac:dyDescent="0.25">
      <c r="A23" s="53" t="s">
        <v>458</v>
      </c>
      <c r="B23" s="54">
        <v>12.17</v>
      </c>
      <c r="C23" s="54">
        <v>26.5</v>
      </c>
      <c r="D23" s="54">
        <v>23.6</v>
      </c>
      <c r="E23" s="54">
        <v>20.2</v>
      </c>
      <c r="F23" s="54">
        <v>17.36</v>
      </c>
      <c r="G23" s="54">
        <v>71.59</v>
      </c>
      <c r="H23" s="54">
        <v>8.64</v>
      </c>
      <c r="I23" s="54">
        <v>1.79</v>
      </c>
      <c r="J23" s="54">
        <v>0.88</v>
      </c>
      <c r="K23" s="54">
        <v>342.24</v>
      </c>
      <c r="L23" s="54">
        <v>29.99</v>
      </c>
      <c r="M23" s="54">
        <v>52.34</v>
      </c>
      <c r="N23" s="54">
        <v>191.5</v>
      </c>
      <c r="O23" s="54">
        <v>0</v>
      </c>
      <c r="P23" s="54">
        <v>0.63</v>
      </c>
      <c r="Q23" s="54">
        <v>9.0399999999999991</v>
      </c>
      <c r="R23" s="43"/>
      <c r="S23" s="43"/>
      <c r="T23" s="43"/>
      <c r="U23" s="43"/>
    </row>
    <row r="24" spans="1:21" s="11" customFormat="1" x14ac:dyDescent="0.25">
      <c r="A24" s="53" t="s">
        <v>459</v>
      </c>
      <c r="B24" s="54">
        <v>9.66</v>
      </c>
      <c r="C24" s="54">
        <v>25.94</v>
      </c>
      <c r="D24" s="54">
        <v>21.22</v>
      </c>
      <c r="E24" s="54">
        <v>21.43</v>
      </c>
      <c r="F24" s="54">
        <v>17.489999999999998</v>
      </c>
      <c r="G24" s="54">
        <v>78.27</v>
      </c>
      <c r="H24" s="54">
        <v>9.07</v>
      </c>
      <c r="I24" s="54">
        <v>1.72</v>
      </c>
      <c r="J24" s="54">
        <v>0.28000000000000003</v>
      </c>
      <c r="K24" s="54">
        <v>134.09</v>
      </c>
      <c r="L24" s="54">
        <v>29.69</v>
      </c>
      <c r="M24" s="54">
        <v>52.11</v>
      </c>
      <c r="N24" s="54">
        <v>144.4</v>
      </c>
      <c r="O24" s="54">
        <v>0</v>
      </c>
      <c r="P24" s="54">
        <v>0.62</v>
      </c>
      <c r="Q24" s="54">
        <v>9.0500000000000007</v>
      </c>
      <c r="R24" s="43"/>
      <c r="S24" s="43"/>
      <c r="T24" s="43"/>
      <c r="U24" s="43"/>
    </row>
    <row r="25" spans="1:21" s="11" customFormat="1" x14ac:dyDescent="0.25">
      <c r="A25" s="53" t="s">
        <v>460</v>
      </c>
      <c r="B25" s="54">
        <v>9.0399999999999991</v>
      </c>
      <c r="C25" s="54">
        <v>32.33</v>
      </c>
      <c r="D25" s="54">
        <v>24.14</v>
      </c>
      <c r="E25" s="54">
        <v>20.63</v>
      </c>
      <c r="F25" s="54">
        <v>20.94</v>
      </c>
      <c r="G25" s="54">
        <v>75.13</v>
      </c>
      <c r="H25" s="54">
        <v>8.5</v>
      </c>
      <c r="I25" s="54">
        <v>1.68</v>
      </c>
      <c r="J25" s="54">
        <v>0.66</v>
      </c>
      <c r="K25" s="54">
        <v>145.37</v>
      </c>
      <c r="L25" s="54">
        <v>28.24</v>
      </c>
      <c r="M25" s="54">
        <v>60.9</v>
      </c>
      <c r="N25" s="54">
        <v>90</v>
      </c>
      <c r="O25" s="54">
        <v>0</v>
      </c>
      <c r="P25" s="54">
        <v>0.72</v>
      </c>
      <c r="Q25" s="54">
        <v>9.07</v>
      </c>
      <c r="R25" s="43"/>
      <c r="S25" s="43"/>
      <c r="T25" s="43"/>
      <c r="U25" s="43"/>
    </row>
    <row r="26" spans="1:21" s="11" customFormat="1" x14ac:dyDescent="0.25">
      <c r="A26" s="53" t="s">
        <v>461</v>
      </c>
      <c r="B26" s="54">
        <v>6.96</v>
      </c>
      <c r="C26" s="54">
        <v>27.74</v>
      </c>
      <c r="D26" s="54">
        <v>20.07</v>
      </c>
      <c r="E26" s="54">
        <v>16.62</v>
      </c>
      <c r="F26" s="54">
        <v>17.149999999999999</v>
      </c>
      <c r="G26" s="54">
        <v>70.91</v>
      </c>
      <c r="H26" s="54">
        <v>8.08</v>
      </c>
      <c r="I26" s="54">
        <v>1.69</v>
      </c>
      <c r="J26" s="54">
        <v>0.49</v>
      </c>
      <c r="K26" s="54">
        <v>131.85</v>
      </c>
      <c r="L26" s="54">
        <v>27.18</v>
      </c>
      <c r="M26" s="54">
        <v>65.53</v>
      </c>
      <c r="N26" s="54">
        <v>52.8</v>
      </c>
      <c r="O26" s="54">
        <v>0</v>
      </c>
      <c r="P26" s="54">
        <v>0.51</v>
      </c>
      <c r="Q26" s="54">
        <v>9.07</v>
      </c>
      <c r="R26" s="43"/>
      <c r="S26" s="43"/>
      <c r="T26" s="43"/>
      <c r="U26" s="43"/>
    </row>
    <row r="27" spans="1:21" s="11" customFormat="1" x14ac:dyDescent="0.25">
      <c r="A27" s="53" t="s">
        <v>462</v>
      </c>
      <c r="B27" s="54">
        <v>5.89</v>
      </c>
      <c r="C27" s="54">
        <v>35.83</v>
      </c>
      <c r="D27" s="54">
        <v>22.74</v>
      </c>
      <c r="E27" s="54">
        <v>11.89</v>
      </c>
      <c r="F27" s="54">
        <v>8.5299999999999994</v>
      </c>
      <c r="G27" s="54">
        <v>72.11</v>
      </c>
      <c r="H27" s="54">
        <v>7.78</v>
      </c>
      <c r="I27" s="54">
        <v>1.69</v>
      </c>
      <c r="J27" s="54">
        <v>0.43</v>
      </c>
      <c r="K27" s="54">
        <v>120.59</v>
      </c>
      <c r="L27" s="54">
        <v>26.61</v>
      </c>
      <c r="M27" s="54">
        <v>70.63</v>
      </c>
      <c r="N27" s="54">
        <v>42.4</v>
      </c>
      <c r="O27" s="54">
        <v>0</v>
      </c>
      <c r="P27" s="54">
        <v>0.56000000000000005</v>
      </c>
      <c r="Q27" s="54">
        <v>9.0500000000000007</v>
      </c>
      <c r="R27" s="43"/>
      <c r="S27" s="43"/>
      <c r="T27" s="43"/>
      <c r="U27" s="43"/>
    </row>
    <row r="28" spans="1:21" s="11" customFormat="1" x14ac:dyDescent="0.25">
      <c r="A28" s="53" t="s">
        <v>463</v>
      </c>
      <c r="B28" s="54">
        <v>6.11</v>
      </c>
      <c r="C28" s="54">
        <v>39.28</v>
      </c>
      <c r="D28" s="54">
        <v>24.9</v>
      </c>
      <c r="E28" s="54">
        <v>9.94</v>
      </c>
      <c r="F28" s="54">
        <v>7.1</v>
      </c>
      <c r="G28" s="54">
        <v>69.8</v>
      </c>
      <c r="H28" s="54">
        <v>9.82</v>
      </c>
      <c r="I28" s="54">
        <v>1.73</v>
      </c>
      <c r="J28" s="54">
        <v>0.21</v>
      </c>
      <c r="K28" s="54">
        <v>140.5</v>
      </c>
      <c r="L28" s="54">
        <v>25.91</v>
      </c>
      <c r="M28" s="54">
        <v>76.650000000000006</v>
      </c>
      <c r="N28" s="54">
        <v>42.5</v>
      </c>
      <c r="O28" s="54">
        <v>0</v>
      </c>
      <c r="P28" s="54">
        <v>0.97</v>
      </c>
      <c r="Q28" s="54">
        <v>9.02</v>
      </c>
      <c r="R28" s="43"/>
      <c r="S28" s="43"/>
      <c r="T28" s="43"/>
      <c r="U28" s="43"/>
    </row>
    <row r="29" spans="1:21" s="11" customFormat="1" x14ac:dyDescent="0.25">
      <c r="A29" s="53" t="s">
        <v>464</v>
      </c>
      <c r="B29" s="54">
        <v>24.67</v>
      </c>
      <c r="C29" s="54">
        <v>40.880000000000003</v>
      </c>
      <c r="D29" s="54">
        <v>41.14</v>
      </c>
      <c r="E29" s="54">
        <v>9.25</v>
      </c>
      <c r="F29" s="54">
        <v>5.61</v>
      </c>
      <c r="G29" s="54">
        <v>70.849999999999994</v>
      </c>
      <c r="H29" s="54">
        <v>9.58</v>
      </c>
      <c r="I29" s="54">
        <v>1.89</v>
      </c>
      <c r="J29" s="54">
        <v>0.31</v>
      </c>
      <c r="K29" s="54">
        <v>324.55</v>
      </c>
      <c r="L29" s="54">
        <v>25.36</v>
      </c>
      <c r="M29" s="54">
        <v>78.05</v>
      </c>
      <c r="N29" s="54">
        <v>42.5</v>
      </c>
      <c r="O29" s="54">
        <v>0</v>
      </c>
      <c r="P29" s="54">
        <v>1.31</v>
      </c>
      <c r="Q29" s="54">
        <v>9.07</v>
      </c>
      <c r="R29" s="43"/>
      <c r="S29" s="43"/>
      <c r="T29" s="43"/>
      <c r="U29" s="43"/>
    </row>
    <row r="30" spans="1:21" s="11" customFormat="1" x14ac:dyDescent="0.25">
      <c r="A30" s="53" t="s">
        <v>465</v>
      </c>
      <c r="B30" s="54">
        <v>17.899999999999999</v>
      </c>
      <c r="C30" s="54">
        <v>48.19</v>
      </c>
      <c r="D30" s="54">
        <v>39.54</v>
      </c>
      <c r="E30" s="54">
        <v>8.8800000000000008</v>
      </c>
      <c r="F30" s="54">
        <v>2.12</v>
      </c>
      <c r="G30" s="54">
        <v>73.989999999999995</v>
      </c>
      <c r="H30" s="54">
        <v>9.01</v>
      </c>
      <c r="I30" s="54">
        <v>2.16</v>
      </c>
      <c r="J30" s="54">
        <v>0.1</v>
      </c>
      <c r="K30" s="54">
        <v>339.97</v>
      </c>
      <c r="L30" s="54">
        <v>25.08</v>
      </c>
      <c r="M30" s="54">
        <v>82.48</v>
      </c>
      <c r="N30" s="54">
        <v>42.6</v>
      </c>
      <c r="O30" s="54">
        <v>0</v>
      </c>
      <c r="P30" s="54">
        <v>0.91</v>
      </c>
      <c r="Q30" s="54">
        <v>9.14</v>
      </c>
      <c r="R30" s="43"/>
      <c r="S30" s="43"/>
      <c r="T30" s="43"/>
      <c r="U30" s="43"/>
    </row>
    <row r="31" spans="1:21" s="11" customFormat="1" x14ac:dyDescent="0.25">
      <c r="A31" s="53" t="s">
        <v>466</v>
      </c>
      <c r="B31" s="54">
        <v>91.7</v>
      </c>
      <c r="C31" s="54">
        <v>38.89</v>
      </c>
      <c r="D31" s="54">
        <v>85.94</v>
      </c>
      <c r="E31" s="54">
        <v>8.2100000000000009</v>
      </c>
      <c r="F31" s="54">
        <v>2.1</v>
      </c>
      <c r="G31" s="54">
        <v>80.790000000000006</v>
      </c>
      <c r="H31" s="54">
        <v>8.39</v>
      </c>
      <c r="I31" s="54">
        <v>2.37</v>
      </c>
      <c r="J31" s="54">
        <v>0.18</v>
      </c>
      <c r="K31" s="54">
        <v>341.22</v>
      </c>
      <c r="L31" s="54">
        <v>24.14</v>
      </c>
      <c r="M31" s="54">
        <v>96.93</v>
      </c>
      <c r="N31" s="54">
        <v>42.6</v>
      </c>
      <c r="O31" s="54">
        <v>0</v>
      </c>
      <c r="P31" s="54">
        <v>1.71</v>
      </c>
      <c r="Q31" s="54">
        <v>9.2899999999999991</v>
      </c>
      <c r="R31" s="43"/>
      <c r="S31" s="43"/>
      <c r="T31" s="43"/>
      <c r="U31" s="43"/>
    </row>
    <row r="32" spans="1:21" s="11" customFormat="1" x14ac:dyDescent="0.25">
      <c r="A32" s="53" t="s">
        <v>467</v>
      </c>
      <c r="B32" s="54">
        <v>84.72</v>
      </c>
      <c r="C32" s="54">
        <v>32.9</v>
      </c>
      <c r="D32" s="54">
        <v>77.33</v>
      </c>
      <c r="E32" s="54">
        <v>7.03</v>
      </c>
      <c r="F32" s="54">
        <v>2.1</v>
      </c>
      <c r="G32" s="54">
        <v>101.02</v>
      </c>
      <c r="H32" s="54">
        <v>10.96</v>
      </c>
      <c r="I32" s="54">
        <v>2.63</v>
      </c>
      <c r="J32" s="54">
        <v>0.16</v>
      </c>
      <c r="K32" s="54">
        <v>352.3</v>
      </c>
      <c r="L32" s="54">
        <v>23.02</v>
      </c>
      <c r="M32" s="54">
        <v>97.73</v>
      </c>
      <c r="N32" s="54">
        <v>42.4</v>
      </c>
      <c r="O32" s="54">
        <v>0</v>
      </c>
      <c r="P32" s="54">
        <v>1.43</v>
      </c>
      <c r="Q32" s="54">
        <v>9.5299999999999994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5.89</v>
      </c>
      <c r="C34" s="28">
        <f t="shared" si="0"/>
        <v>16.47</v>
      </c>
      <c r="D34" s="28">
        <f t="shared" si="0"/>
        <v>14.7</v>
      </c>
      <c r="E34" s="28">
        <f t="shared" si="0"/>
        <v>4.66</v>
      </c>
      <c r="F34" s="28">
        <f t="shared" si="0"/>
        <v>2.1</v>
      </c>
      <c r="G34" s="28">
        <f t="shared" si="0"/>
        <v>69.38</v>
      </c>
      <c r="H34" s="28">
        <f t="shared" si="0"/>
        <v>7.58</v>
      </c>
      <c r="I34" s="28">
        <f t="shared" si="0"/>
        <v>1.68</v>
      </c>
      <c r="J34" s="28">
        <f t="shared" si="0"/>
        <v>0.1</v>
      </c>
      <c r="K34" s="28">
        <f t="shared" si="0"/>
        <v>120.59</v>
      </c>
      <c r="L34" s="28">
        <f t="shared" si="0"/>
        <v>21.89</v>
      </c>
      <c r="M34" s="28">
        <f t="shared" si="0"/>
        <v>51.24</v>
      </c>
      <c r="N34" s="28">
        <f t="shared" si="0"/>
        <v>42.4</v>
      </c>
      <c r="O34" s="28">
        <f t="shared" si="0"/>
        <v>0</v>
      </c>
      <c r="P34" s="28">
        <f t="shared" si="0"/>
        <v>0.51</v>
      </c>
      <c r="Q34" s="28">
        <f t="shared" si="0"/>
        <v>9.02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91.7</v>
      </c>
      <c r="C35" s="29">
        <f t="shared" si="1"/>
        <v>48.19</v>
      </c>
      <c r="D35" s="29">
        <f t="shared" si="1"/>
        <v>85.94</v>
      </c>
      <c r="E35" s="29">
        <f t="shared" si="1"/>
        <v>21.43</v>
      </c>
      <c r="F35" s="29">
        <f t="shared" si="1"/>
        <v>20.94</v>
      </c>
      <c r="G35" s="29">
        <f t="shared" si="1"/>
        <v>101.02</v>
      </c>
      <c r="H35" s="29">
        <f t="shared" si="1"/>
        <v>11.42</v>
      </c>
      <c r="I35" s="29">
        <f t="shared" si="1"/>
        <v>2.63</v>
      </c>
      <c r="J35" s="29">
        <f t="shared" si="1"/>
        <v>0.96</v>
      </c>
      <c r="K35" s="29">
        <f t="shared" si="1"/>
        <v>352.88</v>
      </c>
      <c r="L35" s="29">
        <f t="shared" si="1"/>
        <v>31.51</v>
      </c>
      <c r="M35" s="29">
        <f t="shared" si="1"/>
        <v>98</v>
      </c>
      <c r="N35" s="29">
        <f t="shared" si="1"/>
        <v>703.8</v>
      </c>
      <c r="O35" s="29">
        <f t="shared" si="1"/>
        <v>0</v>
      </c>
      <c r="P35" s="29">
        <f t="shared" si="1"/>
        <v>1.71</v>
      </c>
      <c r="Q35" s="29">
        <f t="shared" si="1"/>
        <v>9.5299999999999994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18.93291666666666</v>
      </c>
      <c r="C36" s="28">
        <f t="shared" si="2"/>
        <v>25.77333333333333</v>
      </c>
      <c r="D36" s="28">
        <f t="shared" si="2"/>
        <v>27.525833333333335</v>
      </c>
      <c r="E36" s="28">
        <f t="shared" si="2"/>
        <v>10.41625</v>
      </c>
      <c r="F36" s="28">
        <f t="shared" si="2"/>
        <v>8.1908333333333339</v>
      </c>
      <c r="G36" s="28">
        <f t="shared" si="2"/>
        <v>75.57208333333331</v>
      </c>
      <c r="H36" s="28">
        <f t="shared" si="2"/>
        <v>9.1079166666666698</v>
      </c>
      <c r="I36" s="28">
        <f t="shared" si="2"/>
        <v>2.085833333333333</v>
      </c>
      <c r="J36" s="28">
        <f t="shared" si="2"/>
        <v>0.38500000000000006</v>
      </c>
      <c r="K36" s="28">
        <f t="shared" si="2"/>
        <v>255.20250000000007</v>
      </c>
      <c r="L36" s="28">
        <f t="shared" si="2"/>
        <v>26.388750000000002</v>
      </c>
      <c r="M36" s="28">
        <f t="shared" si="2"/>
        <v>78.913750000000007</v>
      </c>
      <c r="N36" s="28">
        <f t="shared" si="2"/>
        <v>207.39999999999998</v>
      </c>
      <c r="O36" s="28">
        <f t="shared" si="2"/>
        <v>0</v>
      </c>
      <c r="P36" s="28">
        <f t="shared" si="2"/>
        <v>0.77833333333333332</v>
      </c>
      <c r="Q36" s="28">
        <f t="shared" si="2"/>
        <v>9.1387499999999999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21.939610293230846</v>
      </c>
      <c r="C37" s="28">
        <f t="shared" ref="C37:Q37" si="3">STDEV(C9:C32)</f>
        <v>9.3616663634979798</v>
      </c>
      <c r="D37" s="28">
        <f t="shared" si="3"/>
        <v>17.903998804412542</v>
      </c>
      <c r="E37" s="28">
        <f t="shared" si="3"/>
        <v>5.4336550373774584</v>
      </c>
      <c r="F37" s="28">
        <f t="shared" si="3"/>
        <v>6.3356718985279725</v>
      </c>
      <c r="G37" s="28">
        <f t="shared" si="3"/>
        <v>6.9160500030673244</v>
      </c>
      <c r="H37" s="28">
        <f t="shared" si="3"/>
        <v>0.98726666661770601</v>
      </c>
      <c r="I37" s="28">
        <f t="shared" si="3"/>
        <v>0.26795386797417514</v>
      </c>
      <c r="J37" s="28">
        <f t="shared" si="3"/>
        <v>0.24731602736439107</v>
      </c>
      <c r="K37" s="28">
        <f t="shared" si="3"/>
        <v>105.51987973630941</v>
      </c>
      <c r="L37" s="28">
        <f t="shared" si="3"/>
        <v>3.2399574775792459</v>
      </c>
      <c r="M37" s="28">
        <f t="shared" si="3"/>
        <v>18.469578233102528</v>
      </c>
      <c r="N37" s="28">
        <f t="shared" si="3"/>
        <v>245.58344548371358</v>
      </c>
      <c r="O37" s="28">
        <f t="shared" si="3"/>
        <v>0</v>
      </c>
      <c r="P37" s="28">
        <f t="shared" si="3"/>
        <v>0.3047117906519517</v>
      </c>
      <c r="Q37" s="28">
        <f t="shared" si="3"/>
        <v>0.10389428155163501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15" sqref="H15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18/10/2025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468</v>
      </c>
      <c r="B9" s="54">
        <v>32.35</v>
      </c>
      <c r="C9" s="54">
        <v>23.08</v>
      </c>
      <c r="D9" s="54">
        <v>38</v>
      </c>
      <c r="E9" s="54">
        <v>6.83</v>
      </c>
      <c r="F9" s="54">
        <v>8.0299999999999994</v>
      </c>
      <c r="G9" s="54">
        <v>106.55</v>
      </c>
      <c r="H9" s="54">
        <v>9.7799999999999994</v>
      </c>
      <c r="I9" s="54">
        <v>2.75</v>
      </c>
      <c r="J9" s="54">
        <v>0.18</v>
      </c>
      <c r="K9" s="54">
        <v>337.21</v>
      </c>
      <c r="L9" s="54">
        <v>23.43</v>
      </c>
      <c r="M9" s="54">
        <v>97.21</v>
      </c>
      <c r="N9" s="54">
        <v>42.4</v>
      </c>
      <c r="O9" s="54">
        <v>0</v>
      </c>
      <c r="P9" s="54">
        <v>1.18</v>
      </c>
      <c r="Q9" s="54">
        <v>9.59</v>
      </c>
      <c r="R9" s="43"/>
      <c r="S9" s="43"/>
      <c r="T9" s="43"/>
      <c r="U9" s="43"/>
    </row>
    <row r="10" spans="1:21" s="11" customFormat="1" x14ac:dyDescent="0.25">
      <c r="A10" s="53" t="s">
        <v>469</v>
      </c>
      <c r="B10" s="54">
        <v>15.83</v>
      </c>
      <c r="C10" s="54">
        <v>14.98</v>
      </c>
      <c r="D10" s="54">
        <v>19.87</v>
      </c>
      <c r="E10" s="54">
        <v>7.47</v>
      </c>
      <c r="F10" s="54">
        <v>6.94</v>
      </c>
      <c r="G10" s="54">
        <v>101.95</v>
      </c>
      <c r="H10" s="54">
        <v>8.66</v>
      </c>
      <c r="I10" s="54">
        <v>2.75</v>
      </c>
      <c r="J10" s="54">
        <v>0.15</v>
      </c>
      <c r="K10" s="54">
        <v>311.64999999999998</v>
      </c>
      <c r="L10" s="54">
        <v>23.38</v>
      </c>
      <c r="M10" s="54">
        <v>90.48</v>
      </c>
      <c r="N10" s="54">
        <v>42.6</v>
      </c>
      <c r="O10" s="54">
        <v>0</v>
      </c>
      <c r="P10" s="54">
        <v>0.54</v>
      </c>
      <c r="Q10" s="54">
        <v>9.58</v>
      </c>
      <c r="R10" s="43"/>
      <c r="S10" s="43"/>
      <c r="T10" s="43"/>
      <c r="U10" s="43"/>
    </row>
    <row r="11" spans="1:21" s="11" customFormat="1" x14ac:dyDescent="0.25">
      <c r="A11" s="53" t="s">
        <v>470</v>
      </c>
      <c r="B11" s="54">
        <v>19.93</v>
      </c>
      <c r="C11" s="54">
        <v>12.47</v>
      </c>
      <c r="D11" s="54">
        <v>19.87</v>
      </c>
      <c r="E11" s="54">
        <v>6.99</v>
      </c>
      <c r="F11" s="54">
        <v>3.08</v>
      </c>
      <c r="G11" s="54">
        <v>84.32</v>
      </c>
      <c r="H11" s="54">
        <v>7.88</v>
      </c>
      <c r="I11" s="54">
        <v>2.66</v>
      </c>
      <c r="J11" s="54">
        <v>0.2</v>
      </c>
      <c r="K11" s="54">
        <v>343.04</v>
      </c>
      <c r="L11" s="54">
        <v>22.36</v>
      </c>
      <c r="M11" s="54">
        <v>97.77</v>
      </c>
      <c r="N11" s="54">
        <v>42.6</v>
      </c>
      <c r="O11" s="54">
        <v>0</v>
      </c>
      <c r="P11" s="54">
        <v>0.72</v>
      </c>
      <c r="Q11" s="54">
        <v>9.52</v>
      </c>
      <c r="R11" s="43"/>
      <c r="S11" s="43"/>
      <c r="T11" s="43"/>
      <c r="U11" s="43"/>
    </row>
    <row r="12" spans="1:21" s="11" customFormat="1" x14ac:dyDescent="0.25">
      <c r="A12" s="53" t="s">
        <v>471</v>
      </c>
      <c r="B12" s="54">
        <v>19.18</v>
      </c>
      <c r="C12" s="54">
        <v>12.93</v>
      </c>
      <c r="D12" s="54">
        <v>19.2</v>
      </c>
      <c r="E12" s="54">
        <v>6.09</v>
      </c>
      <c r="F12" s="54">
        <v>2.1</v>
      </c>
      <c r="G12" s="54">
        <v>70.45</v>
      </c>
      <c r="H12" s="54">
        <v>11.42</v>
      </c>
      <c r="I12" s="54">
        <v>2.56</v>
      </c>
      <c r="J12" s="54">
        <v>7.0000000000000007E-2</v>
      </c>
      <c r="K12" s="54">
        <v>285.16000000000003</v>
      </c>
      <c r="L12" s="54">
        <v>21.92</v>
      </c>
      <c r="M12" s="54">
        <v>97.83</v>
      </c>
      <c r="N12" s="54">
        <v>42.3</v>
      </c>
      <c r="O12" s="54">
        <v>0</v>
      </c>
      <c r="P12" s="54">
        <v>0.71</v>
      </c>
      <c r="Q12" s="54">
        <v>9.44</v>
      </c>
      <c r="R12" s="43"/>
      <c r="S12" s="43"/>
      <c r="T12" s="43"/>
      <c r="U12" s="43"/>
    </row>
    <row r="13" spans="1:21" s="11" customFormat="1" x14ac:dyDescent="0.25">
      <c r="A13" s="53" t="s">
        <v>472</v>
      </c>
      <c r="B13" s="54">
        <v>19.27</v>
      </c>
      <c r="C13" s="54">
        <v>10.86</v>
      </c>
      <c r="D13" s="54">
        <v>19.3</v>
      </c>
      <c r="E13" s="54">
        <v>5.92</v>
      </c>
      <c r="F13" s="54">
        <v>2.1</v>
      </c>
      <c r="G13" s="54">
        <v>74.260000000000005</v>
      </c>
      <c r="H13" s="54">
        <v>11.85</v>
      </c>
      <c r="I13" s="54">
        <v>2.4700000000000002</v>
      </c>
      <c r="J13" s="54">
        <v>0.1</v>
      </c>
      <c r="K13" s="54">
        <v>322.24</v>
      </c>
      <c r="L13" s="54">
        <v>21.52</v>
      </c>
      <c r="M13" s="54">
        <v>97.85</v>
      </c>
      <c r="N13" s="54">
        <v>42.3</v>
      </c>
      <c r="O13" s="54">
        <v>0</v>
      </c>
      <c r="P13" s="54">
        <v>0.72</v>
      </c>
      <c r="Q13" s="54">
        <v>9.36</v>
      </c>
      <c r="R13" s="43"/>
      <c r="S13" s="43"/>
      <c r="T13" s="43"/>
      <c r="U13" s="43"/>
    </row>
    <row r="14" spans="1:21" s="11" customFormat="1" x14ac:dyDescent="0.25">
      <c r="A14" s="53" t="s">
        <v>473</v>
      </c>
      <c r="B14" s="54">
        <v>20.52</v>
      </c>
      <c r="C14" s="54">
        <v>14.57</v>
      </c>
      <c r="D14" s="54">
        <v>21.66</v>
      </c>
      <c r="E14" s="54">
        <v>6.07</v>
      </c>
      <c r="F14" s="54">
        <v>2.25</v>
      </c>
      <c r="G14" s="54">
        <v>95.31</v>
      </c>
      <c r="H14" s="54">
        <v>10.11</v>
      </c>
      <c r="I14" s="54">
        <v>2.48</v>
      </c>
      <c r="J14" s="54">
        <v>0.18</v>
      </c>
      <c r="K14" s="54">
        <v>355.19</v>
      </c>
      <c r="L14" s="54">
        <v>21.41</v>
      </c>
      <c r="M14" s="54">
        <v>97.78</v>
      </c>
      <c r="N14" s="54">
        <v>45</v>
      </c>
      <c r="O14" s="54">
        <v>0</v>
      </c>
      <c r="P14" s="54">
        <v>0.71</v>
      </c>
      <c r="Q14" s="54">
        <v>9.36</v>
      </c>
      <c r="R14" s="43"/>
      <c r="S14" s="43"/>
      <c r="T14" s="43"/>
      <c r="U14" s="43"/>
    </row>
    <row r="15" spans="1:21" s="11" customFormat="1" x14ac:dyDescent="0.25">
      <c r="A15" s="53" t="s">
        <v>474</v>
      </c>
      <c r="B15" s="54">
        <v>28.25</v>
      </c>
      <c r="C15" s="54">
        <v>17.59</v>
      </c>
      <c r="D15" s="54">
        <v>30.02</v>
      </c>
      <c r="E15" s="54">
        <v>6.41</v>
      </c>
      <c r="F15" s="54">
        <v>2.1</v>
      </c>
      <c r="G15" s="54">
        <v>92.19</v>
      </c>
      <c r="H15" s="54">
        <v>8.89</v>
      </c>
      <c r="I15" s="54">
        <v>2.62</v>
      </c>
      <c r="J15" s="54">
        <v>0.24</v>
      </c>
      <c r="K15" s="54">
        <v>344.33</v>
      </c>
      <c r="L15" s="54">
        <v>23.12</v>
      </c>
      <c r="M15" s="54">
        <v>97.82</v>
      </c>
      <c r="N15" s="54">
        <v>131.9</v>
      </c>
      <c r="O15" s="54">
        <v>0</v>
      </c>
      <c r="P15" s="54">
        <v>0.78</v>
      </c>
      <c r="Q15" s="54">
        <v>9.39</v>
      </c>
      <c r="R15" s="43"/>
      <c r="S15" s="43"/>
      <c r="T15" s="43"/>
      <c r="U15" s="43"/>
    </row>
    <row r="16" spans="1:21" s="11" customFormat="1" x14ac:dyDescent="0.25">
      <c r="A16" s="53" t="s">
        <v>475</v>
      </c>
      <c r="B16" s="54">
        <v>18.84</v>
      </c>
      <c r="C16" s="54">
        <v>10.23</v>
      </c>
      <c r="D16" s="54">
        <v>20.46</v>
      </c>
      <c r="E16" s="54">
        <v>6.13</v>
      </c>
      <c r="F16" s="54">
        <v>2.2000000000000002</v>
      </c>
      <c r="G16" s="54">
        <v>104.96</v>
      </c>
      <c r="H16" s="54">
        <v>9.52</v>
      </c>
      <c r="I16" s="54">
        <v>2.5299999999999998</v>
      </c>
      <c r="J16" s="54">
        <v>0.59</v>
      </c>
      <c r="K16" s="54">
        <v>135.22999999999999</v>
      </c>
      <c r="L16" s="54">
        <v>24.84</v>
      </c>
      <c r="M16" s="54">
        <v>93.02</v>
      </c>
      <c r="N16" s="54">
        <v>315.60000000000002</v>
      </c>
      <c r="O16" s="54">
        <v>0</v>
      </c>
      <c r="P16" s="54">
        <v>0.66</v>
      </c>
      <c r="Q16" s="54">
        <v>9.4</v>
      </c>
      <c r="R16" s="43"/>
      <c r="S16" s="43"/>
      <c r="T16" s="43"/>
      <c r="U16" s="43"/>
    </row>
    <row r="17" spans="1:21" s="11" customFormat="1" x14ac:dyDescent="0.25">
      <c r="A17" s="53" t="s">
        <v>476</v>
      </c>
      <c r="B17" s="54">
        <v>14.42</v>
      </c>
      <c r="C17" s="54">
        <v>14.78</v>
      </c>
      <c r="D17" s="54">
        <v>18.95</v>
      </c>
      <c r="E17" s="54">
        <v>7.77</v>
      </c>
      <c r="F17" s="54">
        <v>4.0999999999999996</v>
      </c>
      <c r="G17" s="54">
        <v>90.03</v>
      </c>
      <c r="H17" s="54">
        <v>8.5500000000000007</v>
      </c>
      <c r="I17" s="54">
        <v>2.5099999999999998</v>
      </c>
      <c r="J17" s="54">
        <v>0.71</v>
      </c>
      <c r="K17" s="54">
        <v>130.33000000000001</v>
      </c>
      <c r="L17" s="54">
        <v>27.01</v>
      </c>
      <c r="M17" s="54">
        <v>72.930000000000007</v>
      </c>
      <c r="N17" s="54">
        <v>518.6</v>
      </c>
      <c r="O17" s="54">
        <v>0</v>
      </c>
      <c r="P17" s="54">
        <v>0.61</v>
      </c>
      <c r="Q17" s="54">
        <v>9.31</v>
      </c>
      <c r="R17" s="43"/>
      <c r="S17" s="43"/>
      <c r="T17" s="43"/>
      <c r="U17" s="43"/>
    </row>
    <row r="18" spans="1:21" s="11" customFormat="1" x14ac:dyDescent="0.25">
      <c r="A18" s="53" t="s">
        <v>477</v>
      </c>
      <c r="B18" s="54">
        <v>15.84</v>
      </c>
      <c r="C18" s="54">
        <v>16.25</v>
      </c>
      <c r="D18" s="54">
        <v>19.89</v>
      </c>
      <c r="E18" s="54">
        <v>11.96</v>
      </c>
      <c r="F18" s="54">
        <v>4.3600000000000003</v>
      </c>
      <c r="G18" s="54">
        <v>81.680000000000007</v>
      </c>
      <c r="H18" s="54">
        <v>7.9</v>
      </c>
      <c r="I18" s="54">
        <v>2.4300000000000002</v>
      </c>
      <c r="J18" s="54">
        <v>0.42</v>
      </c>
      <c r="K18" s="54">
        <v>137.07</v>
      </c>
      <c r="L18" s="54">
        <v>29.51</v>
      </c>
      <c r="M18" s="54">
        <v>60.23</v>
      </c>
      <c r="N18" s="54">
        <v>689.6</v>
      </c>
      <c r="O18" s="54">
        <v>0</v>
      </c>
      <c r="P18" s="54">
        <v>0.6</v>
      </c>
      <c r="Q18" s="54">
        <v>9.24</v>
      </c>
      <c r="R18" s="43"/>
      <c r="S18" s="43"/>
      <c r="T18" s="43"/>
      <c r="U18" s="43"/>
    </row>
    <row r="19" spans="1:21" s="11" customFormat="1" x14ac:dyDescent="0.25">
      <c r="A19" s="53" t="s">
        <v>478</v>
      </c>
      <c r="B19" s="54">
        <v>10.46</v>
      </c>
      <c r="C19" s="54">
        <v>15.86</v>
      </c>
      <c r="D19" s="54">
        <v>16.559999999999999</v>
      </c>
      <c r="E19" s="54">
        <v>15.56</v>
      </c>
      <c r="F19" s="54">
        <v>8</v>
      </c>
      <c r="G19" s="54">
        <v>77.13</v>
      </c>
      <c r="H19" s="54">
        <v>7.46</v>
      </c>
      <c r="I19" s="54">
        <v>2.4</v>
      </c>
      <c r="J19" s="54">
        <v>0.76</v>
      </c>
      <c r="K19" s="54">
        <v>140.44</v>
      </c>
      <c r="L19" s="54">
        <v>30.07</v>
      </c>
      <c r="M19" s="54">
        <v>44.11</v>
      </c>
      <c r="N19" s="54">
        <v>753.7</v>
      </c>
      <c r="O19" s="54">
        <v>0</v>
      </c>
      <c r="P19" s="54">
        <v>0.53</v>
      </c>
      <c r="Q19" s="54">
        <v>9.23</v>
      </c>
      <c r="R19" s="43"/>
      <c r="S19" s="43"/>
      <c r="T19" s="43"/>
      <c r="U19" s="43"/>
    </row>
    <row r="20" spans="1:21" s="11" customFormat="1" x14ac:dyDescent="0.25">
      <c r="A20" s="53" t="s">
        <v>479</v>
      </c>
      <c r="B20" s="54">
        <v>10.57</v>
      </c>
      <c r="C20" s="54">
        <v>21.83</v>
      </c>
      <c r="D20" s="54">
        <v>18.91</v>
      </c>
      <c r="E20" s="54">
        <v>14.16</v>
      </c>
      <c r="F20" s="54">
        <v>10.02</v>
      </c>
      <c r="G20" s="54">
        <v>64.28</v>
      </c>
      <c r="H20" s="54">
        <v>7.15</v>
      </c>
      <c r="I20" s="54">
        <v>2.34</v>
      </c>
      <c r="J20" s="54">
        <v>0.65</v>
      </c>
      <c r="K20" s="54">
        <v>350.79</v>
      </c>
      <c r="L20" s="54">
        <v>32.119999999999997</v>
      </c>
      <c r="M20" s="54">
        <v>41</v>
      </c>
      <c r="N20" s="54">
        <v>765.9</v>
      </c>
      <c r="O20" s="54">
        <v>0</v>
      </c>
      <c r="P20" s="54">
        <v>0.53</v>
      </c>
      <c r="Q20" s="54">
        <v>9.18</v>
      </c>
      <c r="R20" s="43"/>
      <c r="S20" s="43"/>
      <c r="T20" s="43"/>
      <c r="U20" s="43"/>
    </row>
    <row r="21" spans="1:21" s="11" customFormat="1" x14ac:dyDescent="0.25">
      <c r="A21" s="53" t="s">
        <v>480</v>
      </c>
      <c r="B21" s="54">
        <v>10.47</v>
      </c>
      <c r="C21" s="54">
        <v>24.25</v>
      </c>
      <c r="D21" s="54">
        <v>19.62</v>
      </c>
      <c r="E21" s="54">
        <v>16.14</v>
      </c>
      <c r="F21" s="54">
        <v>21.12</v>
      </c>
      <c r="G21" s="54">
        <v>61.4</v>
      </c>
      <c r="H21" s="54">
        <v>7.02</v>
      </c>
      <c r="I21" s="54">
        <v>2.2200000000000002</v>
      </c>
      <c r="J21" s="54">
        <v>0.61</v>
      </c>
      <c r="K21" s="54">
        <v>336.03</v>
      </c>
      <c r="L21" s="54">
        <v>32.97</v>
      </c>
      <c r="M21" s="54">
        <v>42.09</v>
      </c>
      <c r="N21" s="54">
        <v>693.3</v>
      </c>
      <c r="O21" s="54">
        <v>0</v>
      </c>
      <c r="P21" s="54">
        <v>0.54</v>
      </c>
      <c r="Q21" s="54">
        <v>9.09</v>
      </c>
      <c r="R21" s="43"/>
      <c r="S21" s="43"/>
      <c r="T21" s="43"/>
      <c r="U21" s="43"/>
    </row>
    <row r="22" spans="1:21" s="11" customFormat="1" x14ac:dyDescent="0.25">
      <c r="A22" s="53" t="s">
        <v>481</v>
      </c>
      <c r="B22" s="54">
        <v>11.06</v>
      </c>
      <c r="C22" s="54">
        <v>29.6</v>
      </c>
      <c r="D22" s="54">
        <v>24.34</v>
      </c>
      <c r="E22" s="54">
        <v>21.63</v>
      </c>
      <c r="F22" s="54">
        <v>12.01</v>
      </c>
      <c r="G22" s="54">
        <v>65.78</v>
      </c>
      <c r="H22" s="54">
        <v>8.67</v>
      </c>
      <c r="I22" s="54">
        <v>2.11</v>
      </c>
      <c r="J22" s="54">
        <v>1.02</v>
      </c>
      <c r="K22" s="54">
        <v>340.28</v>
      </c>
      <c r="L22" s="54">
        <v>31.18</v>
      </c>
      <c r="M22" s="54">
        <v>40.99</v>
      </c>
      <c r="N22" s="54">
        <v>286.5</v>
      </c>
      <c r="O22" s="54">
        <v>0</v>
      </c>
      <c r="P22" s="54">
        <v>0.66</v>
      </c>
      <c r="Q22" s="54">
        <v>9.0500000000000007</v>
      </c>
      <c r="R22" s="43"/>
      <c r="S22" s="43"/>
      <c r="T22" s="43"/>
      <c r="U22" s="43"/>
    </row>
    <row r="23" spans="1:21" s="11" customFormat="1" x14ac:dyDescent="0.25">
      <c r="A23" s="53" t="s">
        <v>482</v>
      </c>
      <c r="B23" s="54">
        <v>14.01</v>
      </c>
      <c r="C23" s="54">
        <v>21.2</v>
      </c>
      <c r="D23" s="54">
        <v>21.01</v>
      </c>
      <c r="E23" s="54">
        <v>17.16</v>
      </c>
      <c r="F23" s="54">
        <v>11.03</v>
      </c>
      <c r="G23" s="54">
        <v>72.64</v>
      </c>
      <c r="H23" s="54">
        <v>8.3800000000000008</v>
      </c>
      <c r="I23" s="54">
        <v>2.06</v>
      </c>
      <c r="J23" s="54">
        <v>1.49</v>
      </c>
      <c r="K23" s="54">
        <v>335.63</v>
      </c>
      <c r="L23" s="54">
        <v>30.84</v>
      </c>
      <c r="M23" s="54">
        <v>36.159999999999997</v>
      </c>
      <c r="N23" s="54">
        <v>158.69999999999999</v>
      </c>
      <c r="O23" s="54">
        <v>0</v>
      </c>
      <c r="P23" s="54">
        <v>0.54</v>
      </c>
      <c r="Q23" s="54">
        <v>9.1</v>
      </c>
      <c r="R23" s="43"/>
      <c r="S23" s="43"/>
      <c r="T23" s="43"/>
      <c r="U23" s="43"/>
    </row>
    <row r="24" spans="1:21" s="11" customFormat="1" x14ac:dyDescent="0.25">
      <c r="A24" s="53" t="s">
        <v>483</v>
      </c>
      <c r="B24" s="54">
        <v>11.15</v>
      </c>
      <c r="C24" s="54">
        <v>23.94</v>
      </c>
      <c r="D24" s="54">
        <v>21.45</v>
      </c>
      <c r="E24" s="54">
        <v>12.77</v>
      </c>
      <c r="F24" s="54">
        <v>10.52</v>
      </c>
      <c r="G24" s="54">
        <v>65.16</v>
      </c>
      <c r="H24" s="54">
        <v>8.06</v>
      </c>
      <c r="I24" s="54">
        <v>2.0299999999999998</v>
      </c>
      <c r="J24" s="54">
        <v>1.5</v>
      </c>
      <c r="K24" s="54">
        <v>337.04</v>
      </c>
      <c r="L24" s="54">
        <v>29.36</v>
      </c>
      <c r="M24" s="54">
        <v>35.06</v>
      </c>
      <c r="N24" s="54">
        <v>112.2</v>
      </c>
      <c r="O24" s="54">
        <v>0</v>
      </c>
      <c r="P24" s="54">
        <v>0.57999999999999996</v>
      </c>
      <c r="Q24" s="54">
        <v>9.14</v>
      </c>
      <c r="R24" s="43"/>
      <c r="S24" s="43"/>
      <c r="T24" s="43"/>
      <c r="U24" s="43"/>
    </row>
    <row r="25" spans="1:21" s="11" customFormat="1" x14ac:dyDescent="0.25">
      <c r="A25" s="53" t="s">
        <v>484</v>
      </c>
      <c r="B25" s="54">
        <v>15.62</v>
      </c>
      <c r="C25" s="54">
        <v>28.79</v>
      </c>
      <c r="D25" s="54">
        <v>26.13</v>
      </c>
      <c r="E25" s="54">
        <v>14.59</v>
      </c>
      <c r="F25" s="54">
        <v>9.2899999999999991</v>
      </c>
      <c r="G25" s="54">
        <v>59.97</v>
      </c>
      <c r="H25" s="54">
        <v>7.82</v>
      </c>
      <c r="I25" s="54">
        <v>2</v>
      </c>
      <c r="J25" s="54">
        <v>0.94</v>
      </c>
      <c r="K25" s="54">
        <v>337.38</v>
      </c>
      <c r="L25" s="54">
        <v>28.21</v>
      </c>
      <c r="M25" s="54">
        <v>40.090000000000003</v>
      </c>
      <c r="N25" s="54">
        <v>83.6</v>
      </c>
      <c r="O25" s="54">
        <v>0</v>
      </c>
      <c r="P25" s="54">
        <v>0.69</v>
      </c>
      <c r="Q25" s="54">
        <v>9.1300000000000008</v>
      </c>
      <c r="R25" s="43"/>
      <c r="S25" s="43"/>
      <c r="T25" s="43"/>
      <c r="U25" s="43"/>
    </row>
    <row r="26" spans="1:21" s="11" customFormat="1" x14ac:dyDescent="0.25">
      <c r="A26" s="53" t="s">
        <v>485</v>
      </c>
      <c r="B26" s="54">
        <v>18.989999999999998</v>
      </c>
      <c r="C26" s="54">
        <v>36.619999999999997</v>
      </c>
      <c r="D26" s="54">
        <v>34.36</v>
      </c>
      <c r="E26" s="54">
        <v>20.399999999999999</v>
      </c>
      <c r="F26" s="54">
        <v>5.95</v>
      </c>
      <c r="G26" s="54">
        <v>59.59</v>
      </c>
      <c r="H26" s="54">
        <v>7.64</v>
      </c>
      <c r="I26" s="54">
        <v>2.0499999999999998</v>
      </c>
      <c r="J26" s="54">
        <v>0.4</v>
      </c>
      <c r="K26" s="54">
        <v>332.98</v>
      </c>
      <c r="L26" s="54">
        <v>27.01</v>
      </c>
      <c r="M26" s="54">
        <v>49.61</v>
      </c>
      <c r="N26" s="54">
        <v>55</v>
      </c>
      <c r="O26" s="54">
        <v>0</v>
      </c>
      <c r="P26" s="54">
        <v>0.93</v>
      </c>
      <c r="Q26" s="54">
        <v>9.1300000000000008</v>
      </c>
      <c r="R26" s="43"/>
      <c r="S26" s="43"/>
      <c r="T26" s="43"/>
      <c r="U26" s="43"/>
    </row>
    <row r="27" spans="1:21" s="11" customFormat="1" x14ac:dyDescent="0.25">
      <c r="A27" s="53" t="s">
        <v>486</v>
      </c>
      <c r="B27" s="54">
        <v>9.6999999999999993</v>
      </c>
      <c r="C27" s="54">
        <v>30.56</v>
      </c>
      <c r="D27" s="54">
        <v>21.91</v>
      </c>
      <c r="E27" s="54">
        <v>19.559999999999999</v>
      </c>
      <c r="F27" s="54">
        <v>8.32</v>
      </c>
      <c r="G27" s="54">
        <v>60.17</v>
      </c>
      <c r="H27" s="54">
        <v>7.51</v>
      </c>
      <c r="I27" s="54">
        <v>2.19</v>
      </c>
      <c r="J27" s="54">
        <v>0.15</v>
      </c>
      <c r="K27" s="54">
        <v>178.64</v>
      </c>
      <c r="L27" s="54">
        <v>25.32</v>
      </c>
      <c r="M27" s="54">
        <v>56.09</v>
      </c>
      <c r="N27" s="54">
        <v>45</v>
      </c>
      <c r="O27" s="54">
        <v>0</v>
      </c>
      <c r="P27" s="54">
        <v>0.85</v>
      </c>
      <c r="Q27" s="54">
        <v>9.1300000000000008</v>
      </c>
      <c r="R27" s="43"/>
      <c r="S27" s="43"/>
      <c r="T27" s="43"/>
      <c r="U27" s="43"/>
    </row>
    <row r="28" spans="1:21" s="11" customFormat="1" x14ac:dyDescent="0.25">
      <c r="A28" s="53" t="s">
        <v>487</v>
      </c>
      <c r="B28" s="54">
        <v>6.57</v>
      </c>
      <c r="C28" s="54">
        <v>23.34</v>
      </c>
      <c r="D28" s="54">
        <v>17.46</v>
      </c>
      <c r="E28" s="54">
        <v>10.75</v>
      </c>
      <c r="F28" s="54">
        <v>7.64</v>
      </c>
      <c r="G28" s="54">
        <v>58.26</v>
      </c>
      <c r="H28" s="54">
        <v>7.99</v>
      </c>
      <c r="I28" s="54">
        <v>2.27</v>
      </c>
      <c r="J28" s="54">
        <v>0.44</v>
      </c>
      <c r="K28" s="54">
        <v>136.27000000000001</v>
      </c>
      <c r="L28" s="54">
        <v>24.93</v>
      </c>
      <c r="M28" s="54">
        <v>66.489999999999995</v>
      </c>
      <c r="N28" s="54">
        <v>45.1</v>
      </c>
      <c r="O28" s="54">
        <v>0</v>
      </c>
      <c r="P28" s="54">
        <v>0.63</v>
      </c>
      <c r="Q28" s="54">
        <v>9.14</v>
      </c>
      <c r="R28" s="43"/>
      <c r="S28" s="43"/>
      <c r="T28" s="43"/>
      <c r="U28" s="43"/>
    </row>
    <row r="29" spans="1:21" s="11" customFormat="1" x14ac:dyDescent="0.25">
      <c r="A29" s="53" t="s">
        <v>488</v>
      </c>
      <c r="B29" s="54">
        <v>8.2200000000000006</v>
      </c>
      <c r="C29" s="54">
        <v>35.729999999999997</v>
      </c>
      <c r="D29" s="54">
        <v>25.26</v>
      </c>
      <c r="E29" s="54">
        <v>10.49</v>
      </c>
      <c r="F29" s="54">
        <v>4.7300000000000004</v>
      </c>
      <c r="G29" s="54">
        <v>60.8</v>
      </c>
      <c r="H29" s="54">
        <v>8.06</v>
      </c>
      <c r="I29" s="54">
        <v>2.38</v>
      </c>
      <c r="J29" s="54">
        <v>0.08</v>
      </c>
      <c r="K29" s="54">
        <v>308.41000000000003</v>
      </c>
      <c r="L29" s="54">
        <v>24.24</v>
      </c>
      <c r="M29" s="54">
        <v>71.010000000000005</v>
      </c>
      <c r="N29" s="54">
        <v>45.1</v>
      </c>
      <c r="O29" s="54">
        <v>0</v>
      </c>
      <c r="P29" s="54">
        <v>0.9</v>
      </c>
      <c r="Q29" s="54">
        <v>9.1199999999999992</v>
      </c>
      <c r="R29" s="43"/>
      <c r="S29" s="43"/>
      <c r="T29" s="43"/>
      <c r="U29" s="43"/>
    </row>
    <row r="30" spans="1:21" s="11" customFormat="1" x14ac:dyDescent="0.25">
      <c r="A30" s="53" t="s">
        <v>489</v>
      </c>
      <c r="B30" s="54">
        <v>8.67</v>
      </c>
      <c r="C30" s="54">
        <v>37.299999999999997</v>
      </c>
      <c r="D30" s="54">
        <v>26.44</v>
      </c>
      <c r="E30" s="54">
        <v>10.02</v>
      </c>
      <c r="F30" s="54">
        <v>2.29</v>
      </c>
      <c r="G30" s="54">
        <v>66.58</v>
      </c>
      <c r="H30" s="54">
        <v>8.0500000000000007</v>
      </c>
      <c r="I30" s="54">
        <v>2.48</v>
      </c>
      <c r="J30" s="54">
        <v>0.11</v>
      </c>
      <c r="K30" s="54">
        <v>164.6</v>
      </c>
      <c r="L30" s="54">
        <v>23.62</v>
      </c>
      <c r="M30" s="54">
        <v>70.510000000000005</v>
      </c>
      <c r="N30" s="54">
        <v>45</v>
      </c>
      <c r="O30" s="54">
        <v>0</v>
      </c>
      <c r="P30" s="54">
        <v>0.84</v>
      </c>
      <c r="Q30" s="54">
        <v>9.09</v>
      </c>
      <c r="R30" s="43"/>
      <c r="S30" s="43"/>
      <c r="T30" s="43"/>
      <c r="U30" s="43"/>
    </row>
    <row r="31" spans="1:21" s="11" customFormat="1" x14ac:dyDescent="0.25">
      <c r="A31" s="53" t="s">
        <v>490</v>
      </c>
      <c r="B31" s="54">
        <v>7.26</v>
      </c>
      <c r="C31" s="54">
        <v>20.83</v>
      </c>
      <c r="D31" s="54">
        <v>16.39</v>
      </c>
      <c r="E31" s="54">
        <v>8.66</v>
      </c>
      <c r="F31" s="54">
        <v>5.62</v>
      </c>
      <c r="G31" s="54">
        <v>70.83</v>
      </c>
      <c r="H31" s="54">
        <v>7.99</v>
      </c>
      <c r="I31" s="54">
        <v>2.52</v>
      </c>
      <c r="J31" s="54">
        <v>0.21</v>
      </c>
      <c r="K31" s="54">
        <v>307</v>
      </c>
      <c r="L31" s="54">
        <v>23.23</v>
      </c>
      <c r="M31" s="54">
        <v>74.150000000000006</v>
      </c>
      <c r="N31" s="54">
        <v>45</v>
      </c>
      <c r="O31" s="54">
        <v>0</v>
      </c>
      <c r="P31" s="54">
        <v>0.7</v>
      </c>
      <c r="Q31" s="54">
        <v>9.08</v>
      </c>
      <c r="R31" s="43"/>
      <c r="S31" s="43"/>
      <c r="T31" s="43"/>
      <c r="U31" s="43"/>
    </row>
    <row r="32" spans="1:21" s="11" customFormat="1" x14ac:dyDescent="0.25">
      <c r="A32" s="53" t="s">
        <v>491</v>
      </c>
      <c r="B32" s="54">
        <v>8.44</v>
      </c>
      <c r="C32" s="54">
        <v>28.58</v>
      </c>
      <c r="D32" s="54">
        <v>21.21</v>
      </c>
      <c r="E32" s="54">
        <v>8.2100000000000009</v>
      </c>
      <c r="F32" s="54">
        <v>3.8</v>
      </c>
      <c r="G32" s="54">
        <v>52.05</v>
      </c>
      <c r="H32" s="54">
        <v>8.84</v>
      </c>
      <c r="I32" s="54">
        <v>2.64</v>
      </c>
      <c r="J32" s="54">
        <v>0.19</v>
      </c>
      <c r="K32" s="54">
        <v>354.52</v>
      </c>
      <c r="L32" s="54">
        <v>22.77</v>
      </c>
      <c r="M32" s="54">
        <v>79.540000000000006</v>
      </c>
      <c r="N32" s="54">
        <v>45.2</v>
      </c>
      <c r="O32" s="54">
        <v>0</v>
      </c>
      <c r="P32" s="54">
        <v>0.81</v>
      </c>
      <c r="Q32" s="54">
        <v>9.1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6.57</v>
      </c>
      <c r="C34" s="28">
        <f t="shared" si="0"/>
        <v>10.23</v>
      </c>
      <c r="D34" s="28">
        <f t="shared" si="0"/>
        <v>16.39</v>
      </c>
      <c r="E34" s="28">
        <f t="shared" si="0"/>
        <v>5.92</v>
      </c>
      <c r="F34" s="28">
        <f t="shared" si="0"/>
        <v>2.1</v>
      </c>
      <c r="G34" s="28">
        <f t="shared" si="0"/>
        <v>52.05</v>
      </c>
      <c r="H34" s="28">
        <f t="shared" si="0"/>
        <v>7.02</v>
      </c>
      <c r="I34" s="28">
        <f t="shared" si="0"/>
        <v>2</v>
      </c>
      <c r="J34" s="28">
        <f t="shared" si="0"/>
        <v>7.0000000000000007E-2</v>
      </c>
      <c r="K34" s="28">
        <f t="shared" si="0"/>
        <v>130.33000000000001</v>
      </c>
      <c r="L34" s="28">
        <f t="shared" si="0"/>
        <v>21.41</v>
      </c>
      <c r="M34" s="28">
        <f t="shared" si="0"/>
        <v>35.06</v>
      </c>
      <c r="N34" s="28">
        <f t="shared" si="0"/>
        <v>42.3</v>
      </c>
      <c r="O34" s="28">
        <f t="shared" si="0"/>
        <v>0</v>
      </c>
      <c r="P34" s="28">
        <f t="shared" si="0"/>
        <v>0.53</v>
      </c>
      <c r="Q34" s="28">
        <f t="shared" si="0"/>
        <v>9.0500000000000007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32.35</v>
      </c>
      <c r="C35" s="29">
        <f t="shared" si="1"/>
        <v>37.299999999999997</v>
      </c>
      <c r="D35" s="29">
        <f t="shared" si="1"/>
        <v>38</v>
      </c>
      <c r="E35" s="29">
        <f t="shared" si="1"/>
        <v>21.63</v>
      </c>
      <c r="F35" s="29">
        <f t="shared" si="1"/>
        <v>21.12</v>
      </c>
      <c r="G35" s="29">
        <f t="shared" si="1"/>
        <v>106.55</v>
      </c>
      <c r="H35" s="29">
        <f t="shared" si="1"/>
        <v>11.85</v>
      </c>
      <c r="I35" s="29">
        <f t="shared" si="1"/>
        <v>2.75</v>
      </c>
      <c r="J35" s="29">
        <f t="shared" si="1"/>
        <v>1.5</v>
      </c>
      <c r="K35" s="29">
        <f t="shared" si="1"/>
        <v>355.19</v>
      </c>
      <c r="L35" s="29">
        <f t="shared" si="1"/>
        <v>32.97</v>
      </c>
      <c r="M35" s="29">
        <f t="shared" si="1"/>
        <v>97.85</v>
      </c>
      <c r="N35" s="29">
        <f t="shared" si="1"/>
        <v>765.9</v>
      </c>
      <c r="O35" s="29">
        <f t="shared" si="1"/>
        <v>0</v>
      </c>
      <c r="P35" s="29">
        <f t="shared" si="1"/>
        <v>1.18</v>
      </c>
      <c r="Q35" s="29">
        <f t="shared" si="1"/>
        <v>9.59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14.817500000000001</v>
      </c>
      <c r="C36" s="28">
        <f t="shared" si="2"/>
        <v>21.923749999999998</v>
      </c>
      <c r="D36" s="28">
        <f t="shared" si="2"/>
        <v>22.427916666666672</v>
      </c>
      <c r="E36" s="28">
        <f t="shared" si="2"/>
        <v>11.322500000000003</v>
      </c>
      <c r="F36" s="28">
        <f t="shared" si="2"/>
        <v>6.5666666666666664</v>
      </c>
      <c r="G36" s="28">
        <f t="shared" si="2"/>
        <v>74.847500000000011</v>
      </c>
      <c r="H36" s="28">
        <f t="shared" si="2"/>
        <v>8.5500000000000007</v>
      </c>
      <c r="I36" s="28">
        <f t="shared" si="2"/>
        <v>2.3937500000000003</v>
      </c>
      <c r="J36" s="28">
        <f t="shared" si="2"/>
        <v>0.47458333333333336</v>
      </c>
      <c r="K36" s="28">
        <f t="shared" si="2"/>
        <v>277.56083333333339</v>
      </c>
      <c r="L36" s="28">
        <f t="shared" si="2"/>
        <v>26.015416666666663</v>
      </c>
      <c r="M36" s="28">
        <f t="shared" si="2"/>
        <v>68.742499999999993</v>
      </c>
      <c r="N36" s="28">
        <f t="shared" si="2"/>
        <v>212.17500000000004</v>
      </c>
      <c r="O36" s="28">
        <f t="shared" si="2"/>
        <v>0</v>
      </c>
      <c r="P36" s="28">
        <f t="shared" si="2"/>
        <v>0.70666666666666667</v>
      </c>
      <c r="Q36" s="28">
        <f t="shared" si="2"/>
        <v>9.2458333333333336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6.5250828747027469</v>
      </c>
      <c r="C37" s="28">
        <f t="shared" ref="C37:Q37" si="3">STDEV(C9:C32)</f>
        <v>8.2171876139351223</v>
      </c>
      <c r="D37" s="28">
        <f t="shared" si="3"/>
        <v>5.360155723862678</v>
      </c>
      <c r="E37" s="28">
        <f t="shared" si="3"/>
        <v>4.9962213983038763</v>
      </c>
      <c r="F37" s="28">
        <f t="shared" si="3"/>
        <v>4.4533452659737742</v>
      </c>
      <c r="G37" s="28">
        <f t="shared" si="3"/>
        <v>16.12094054058392</v>
      </c>
      <c r="H37" s="28">
        <f t="shared" si="3"/>
        <v>1.223498192106123</v>
      </c>
      <c r="I37" s="28">
        <f t="shared" si="3"/>
        <v>0.23047800045915923</v>
      </c>
      <c r="J37" s="28">
        <f t="shared" si="3"/>
        <v>0.42035160403463762</v>
      </c>
      <c r="K37" s="28">
        <f t="shared" si="3"/>
        <v>88.106821426516248</v>
      </c>
      <c r="L37" s="28">
        <f t="shared" si="3"/>
        <v>3.6475447122052294</v>
      </c>
      <c r="M37" s="28">
        <f t="shared" si="3"/>
        <v>23.541156051920431</v>
      </c>
      <c r="N37" s="28">
        <f t="shared" si="3"/>
        <v>261.22425856123994</v>
      </c>
      <c r="O37" s="28">
        <f t="shared" si="3"/>
        <v>0</v>
      </c>
      <c r="P37" s="28">
        <f t="shared" si="3"/>
        <v>0.15591710915591092</v>
      </c>
      <c r="Q37" s="28">
        <f t="shared" si="3"/>
        <v>0.16911320280308928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12" sqref="G1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19/10/2025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3" t="s">
        <v>492</v>
      </c>
      <c r="B9" s="54">
        <v>7.37</v>
      </c>
      <c r="C9" s="54">
        <v>27.15</v>
      </c>
      <c r="D9" s="54">
        <v>19.88</v>
      </c>
      <c r="E9" s="54">
        <v>6.79</v>
      </c>
      <c r="F9" s="54">
        <v>2.85</v>
      </c>
      <c r="G9" s="54">
        <v>51.57</v>
      </c>
      <c r="H9" s="54">
        <v>8.77</v>
      </c>
      <c r="I9" s="54">
        <v>2.77</v>
      </c>
      <c r="J9" s="54">
        <v>0.12</v>
      </c>
      <c r="K9" s="54">
        <v>314.85000000000002</v>
      </c>
      <c r="L9" s="54">
        <v>21.92</v>
      </c>
      <c r="M9" s="54">
        <v>88.41</v>
      </c>
      <c r="N9" s="54">
        <v>45.3</v>
      </c>
      <c r="O9" s="54">
        <v>0</v>
      </c>
      <c r="P9" s="54">
        <v>0.78</v>
      </c>
      <c r="Q9" s="54">
        <v>9.11</v>
      </c>
      <c r="R9" s="43"/>
      <c r="S9" s="43"/>
      <c r="T9" s="43"/>
      <c r="U9" s="43"/>
    </row>
    <row r="10" spans="1:21" s="11" customFormat="1" x14ac:dyDescent="0.25">
      <c r="A10" s="53" t="s">
        <v>493</v>
      </c>
      <c r="B10" s="54">
        <v>7.26</v>
      </c>
      <c r="C10" s="54">
        <v>13.93</v>
      </c>
      <c r="D10" s="54">
        <v>12.9</v>
      </c>
      <c r="E10" s="54">
        <v>6.2</v>
      </c>
      <c r="F10" s="54">
        <v>2.17</v>
      </c>
      <c r="G10" s="54">
        <v>53.37</v>
      </c>
      <c r="H10" s="54">
        <v>8.7100000000000009</v>
      </c>
      <c r="I10" s="54">
        <v>2.89</v>
      </c>
      <c r="J10" s="54">
        <v>0.14000000000000001</v>
      </c>
      <c r="K10" s="54">
        <v>321.66000000000003</v>
      </c>
      <c r="L10" s="54">
        <v>21.77</v>
      </c>
      <c r="M10" s="54">
        <v>91.2</v>
      </c>
      <c r="N10" s="54">
        <v>45.3</v>
      </c>
      <c r="O10" s="54">
        <v>0</v>
      </c>
      <c r="P10" s="54">
        <v>0.73</v>
      </c>
      <c r="Q10" s="54">
        <v>9.07</v>
      </c>
      <c r="R10" s="43"/>
      <c r="S10" s="43"/>
      <c r="T10" s="43"/>
      <c r="U10" s="43"/>
    </row>
    <row r="11" spans="1:21" s="11" customFormat="1" x14ac:dyDescent="0.25">
      <c r="A11" s="53" t="s">
        <v>494</v>
      </c>
      <c r="B11" s="54">
        <v>7.6</v>
      </c>
      <c r="C11" s="54">
        <v>12.31</v>
      </c>
      <c r="D11" s="54">
        <v>12.42</v>
      </c>
      <c r="E11" s="54">
        <v>5.24</v>
      </c>
      <c r="F11" s="54">
        <v>2.1</v>
      </c>
      <c r="G11" s="54">
        <v>54.62</v>
      </c>
      <c r="H11" s="54">
        <v>8.7100000000000009</v>
      </c>
      <c r="I11" s="54">
        <v>2.91</v>
      </c>
      <c r="J11" s="54">
        <v>0.06</v>
      </c>
      <c r="K11" s="54">
        <v>339.49</v>
      </c>
      <c r="L11" s="54">
        <v>20.66</v>
      </c>
      <c r="M11" s="54">
        <v>97.59</v>
      </c>
      <c r="N11" s="54">
        <v>45.3</v>
      </c>
      <c r="O11" s="54">
        <v>0</v>
      </c>
      <c r="P11" s="54">
        <v>0.71</v>
      </c>
      <c r="Q11" s="54">
        <v>9.06</v>
      </c>
      <c r="R11" s="43"/>
      <c r="S11" s="43"/>
      <c r="T11" s="43"/>
      <c r="U11" s="43"/>
    </row>
    <row r="12" spans="1:21" s="11" customFormat="1" x14ac:dyDescent="0.25">
      <c r="A12" s="53" t="s">
        <v>495</v>
      </c>
      <c r="B12" s="54">
        <v>8.17</v>
      </c>
      <c r="C12" s="54">
        <v>15.5</v>
      </c>
      <c r="D12" s="54">
        <v>14.61</v>
      </c>
      <c r="E12" s="54">
        <v>5.07</v>
      </c>
      <c r="F12" s="54">
        <v>2.58</v>
      </c>
      <c r="G12" s="54">
        <v>50.74</v>
      </c>
      <c r="H12" s="54">
        <v>9.02</v>
      </c>
      <c r="I12" s="54">
        <v>2.92</v>
      </c>
      <c r="J12" s="54">
        <v>0.18</v>
      </c>
      <c r="K12" s="54">
        <v>337.47</v>
      </c>
      <c r="L12" s="54">
        <v>20.37</v>
      </c>
      <c r="M12" s="54">
        <v>97.78</v>
      </c>
      <c r="N12" s="54">
        <v>44.9</v>
      </c>
      <c r="O12" s="54">
        <v>0</v>
      </c>
      <c r="P12" s="54">
        <v>0.69</v>
      </c>
      <c r="Q12" s="54">
        <v>9.08</v>
      </c>
      <c r="R12" s="43"/>
      <c r="S12" s="43"/>
      <c r="T12" s="43"/>
      <c r="U12" s="43"/>
    </row>
    <row r="13" spans="1:21" s="11" customFormat="1" x14ac:dyDescent="0.25">
      <c r="A13" s="53" t="s">
        <v>496</v>
      </c>
      <c r="B13" s="54">
        <v>10.91</v>
      </c>
      <c r="C13" s="54">
        <v>19.899999999999999</v>
      </c>
      <c r="D13" s="54">
        <v>17.43</v>
      </c>
      <c r="E13" s="54">
        <v>5.53</v>
      </c>
      <c r="F13" s="54">
        <v>2.1</v>
      </c>
      <c r="G13" s="54">
        <v>53.02</v>
      </c>
      <c r="H13" s="54">
        <v>8.9499999999999993</v>
      </c>
      <c r="I13" s="54">
        <v>2.98</v>
      </c>
      <c r="J13" s="54">
        <v>7.0000000000000007E-2</v>
      </c>
      <c r="K13" s="54">
        <v>145.34</v>
      </c>
      <c r="L13" s="54">
        <v>20.059999999999999</v>
      </c>
      <c r="M13" s="54">
        <v>97.83</v>
      </c>
      <c r="N13" s="54">
        <v>44.9</v>
      </c>
      <c r="O13" s="54">
        <v>0</v>
      </c>
      <c r="P13" s="54">
        <v>0.82</v>
      </c>
      <c r="Q13" s="54">
        <v>9.1</v>
      </c>
      <c r="R13" s="43"/>
      <c r="S13" s="43"/>
      <c r="T13" s="43"/>
      <c r="U13" s="43"/>
    </row>
    <row r="14" spans="1:21" s="11" customFormat="1" x14ac:dyDescent="0.25">
      <c r="A14" s="53" t="s">
        <v>497</v>
      </c>
      <c r="B14" s="54">
        <v>10.78</v>
      </c>
      <c r="C14" s="54">
        <v>11.98</v>
      </c>
      <c r="D14" s="54">
        <v>13.79</v>
      </c>
      <c r="E14" s="54">
        <v>5.07</v>
      </c>
      <c r="F14" s="54">
        <v>2.1</v>
      </c>
      <c r="G14" s="54">
        <v>68.83</v>
      </c>
      <c r="H14" s="54">
        <v>8.8800000000000008</v>
      </c>
      <c r="I14" s="54">
        <v>3.07</v>
      </c>
      <c r="J14" s="54">
        <v>0.56999999999999995</v>
      </c>
      <c r="K14" s="54">
        <v>342.03</v>
      </c>
      <c r="L14" s="54">
        <v>20.04</v>
      </c>
      <c r="M14" s="54">
        <v>97.81</v>
      </c>
      <c r="N14" s="54">
        <v>47.8</v>
      </c>
      <c r="O14" s="54">
        <v>0</v>
      </c>
      <c r="P14" s="54">
        <v>0.77</v>
      </c>
      <c r="Q14" s="54">
        <v>9.11</v>
      </c>
      <c r="R14" s="43"/>
      <c r="S14" s="43"/>
      <c r="T14" s="43"/>
      <c r="U14" s="43"/>
    </row>
    <row r="15" spans="1:21" s="11" customFormat="1" x14ac:dyDescent="0.25">
      <c r="A15" s="53" t="s">
        <v>498</v>
      </c>
      <c r="B15" s="54">
        <v>14.49</v>
      </c>
      <c r="C15" s="54">
        <v>9.4499999999999993</v>
      </c>
      <c r="D15" s="54">
        <v>16.21</v>
      </c>
      <c r="E15" s="54">
        <v>4.9800000000000004</v>
      </c>
      <c r="F15" s="54">
        <v>2.1</v>
      </c>
      <c r="G15" s="54">
        <v>71.45</v>
      </c>
      <c r="H15" s="54">
        <v>8.81</v>
      </c>
      <c r="I15" s="54">
        <v>3.01</v>
      </c>
      <c r="J15" s="54">
        <v>0.34</v>
      </c>
      <c r="K15" s="54">
        <v>344.44</v>
      </c>
      <c r="L15" s="54">
        <v>22.01</v>
      </c>
      <c r="M15" s="54">
        <v>97.8</v>
      </c>
      <c r="N15" s="54">
        <v>163.4</v>
      </c>
      <c r="O15" s="54">
        <v>0</v>
      </c>
      <c r="P15" s="54">
        <v>0.8</v>
      </c>
      <c r="Q15" s="54">
        <v>9.18</v>
      </c>
      <c r="R15" s="43"/>
      <c r="S15" s="43"/>
      <c r="T15" s="43"/>
      <c r="U15" s="43"/>
    </row>
    <row r="16" spans="1:21" s="11" customFormat="1" x14ac:dyDescent="0.25">
      <c r="A16" s="53" t="s">
        <v>499</v>
      </c>
      <c r="B16" s="54">
        <v>19.34</v>
      </c>
      <c r="C16" s="54">
        <v>13.1</v>
      </c>
      <c r="D16" s="54">
        <v>22.35</v>
      </c>
      <c r="E16" s="54">
        <v>5.88</v>
      </c>
      <c r="F16" s="54">
        <v>2.1</v>
      </c>
      <c r="G16" s="54">
        <v>72.95</v>
      </c>
      <c r="H16" s="54">
        <v>9.0299999999999994</v>
      </c>
      <c r="I16" s="54">
        <v>2.99</v>
      </c>
      <c r="J16" s="54">
        <v>0.5</v>
      </c>
      <c r="K16" s="54">
        <v>339.01</v>
      </c>
      <c r="L16" s="54">
        <v>26.54</v>
      </c>
      <c r="M16" s="54">
        <v>74.89</v>
      </c>
      <c r="N16" s="54">
        <v>379.8</v>
      </c>
      <c r="O16" s="54">
        <v>0</v>
      </c>
      <c r="P16" s="54">
        <v>0.78</v>
      </c>
      <c r="Q16" s="54">
        <v>9.26</v>
      </c>
      <c r="R16" s="43"/>
      <c r="S16" s="43"/>
      <c r="T16" s="43"/>
      <c r="U16" s="43"/>
    </row>
    <row r="17" spans="1:21" s="11" customFormat="1" x14ac:dyDescent="0.25">
      <c r="A17" s="53" t="s">
        <v>500</v>
      </c>
      <c r="B17" s="54">
        <v>17.420000000000002</v>
      </c>
      <c r="C17" s="54">
        <v>16.54</v>
      </c>
      <c r="D17" s="54">
        <v>21.39</v>
      </c>
      <c r="E17" s="54">
        <v>8.25</v>
      </c>
      <c r="F17" s="54">
        <v>2.2000000000000002</v>
      </c>
      <c r="G17" s="54">
        <v>72.45</v>
      </c>
      <c r="H17" s="54">
        <v>8.9499999999999993</v>
      </c>
      <c r="I17" s="54">
        <v>2.95</v>
      </c>
      <c r="J17" s="54">
        <v>0.71</v>
      </c>
      <c r="K17" s="54">
        <v>358.08</v>
      </c>
      <c r="L17" s="54">
        <v>31.09</v>
      </c>
      <c r="M17" s="54">
        <v>47.68</v>
      </c>
      <c r="N17" s="54">
        <v>572</v>
      </c>
      <c r="O17" s="54">
        <v>0</v>
      </c>
      <c r="P17" s="54">
        <v>0.77</v>
      </c>
      <c r="Q17" s="54">
        <v>9.31</v>
      </c>
      <c r="R17" s="43"/>
      <c r="S17" s="43"/>
      <c r="T17" s="43"/>
      <c r="U17" s="43"/>
    </row>
    <row r="18" spans="1:21" s="11" customFormat="1" x14ac:dyDescent="0.25">
      <c r="A18" s="53" t="s">
        <v>501</v>
      </c>
      <c r="B18" s="54">
        <v>16.14</v>
      </c>
      <c r="C18" s="54">
        <v>16.649999999999999</v>
      </c>
      <c r="D18" s="54">
        <v>21.42</v>
      </c>
      <c r="E18" s="54">
        <v>9.07</v>
      </c>
      <c r="F18" s="54">
        <v>2.14</v>
      </c>
      <c r="G18" s="54">
        <v>62.96</v>
      </c>
      <c r="H18" s="54">
        <v>8.8800000000000008</v>
      </c>
      <c r="I18" s="54">
        <v>2.89</v>
      </c>
      <c r="J18" s="54">
        <v>0.79</v>
      </c>
      <c r="K18" s="54">
        <v>340.88</v>
      </c>
      <c r="L18" s="54">
        <v>31.94</v>
      </c>
      <c r="M18" s="54">
        <v>45.3</v>
      </c>
      <c r="N18" s="54">
        <v>731.7</v>
      </c>
      <c r="O18" s="54">
        <v>0</v>
      </c>
      <c r="P18" s="54">
        <v>0.74</v>
      </c>
      <c r="Q18" s="54">
        <v>9.3000000000000007</v>
      </c>
      <c r="R18" s="43"/>
      <c r="S18" s="43"/>
      <c r="T18" s="43"/>
      <c r="U18" s="43"/>
    </row>
    <row r="19" spans="1:21" s="11" customFormat="1" x14ac:dyDescent="0.25">
      <c r="A19" s="53" t="s">
        <v>502</v>
      </c>
      <c r="B19" s="54">
        <v>15.98</v>
      </c>
      <c r="C19" s="54">
        <v>16.03</v>
      </c>
      <c r="D19" s="54">
        <v>20.329999999999998</v>
      </c>
      <c r="E19" s="54">
        <v>8.5500000000000007</v>
      </c>
      <c r="F19" s="54">
        <v>3.05</v>
      </c>
      <c r="G19" s="54">
        <v>58.7</v>
      </c>
      <c r="H19" s="54">
        <v>8.82</v>
      </c>
      <c r="I19" s="54">
        <v>2.81</v>
      </c>
      <c r="J19" s="54">
        <v>1.02</v>
      </c>
      <c r="K19" s="54">
        <v>337.87</v>
      </c>
      <c r="L19" s="54">
        <v>33.22</v>
      </c>
      <c r="M19" s="54">
        <v>37.94</v>
      </c>
      <c r="N19" s="54">
        <v>792.1</v>
      </c>
      <c r="O19" s="54">
        <v>0</v>
      </c>
      <c r="P19" s="54">
        <v>0.71</v>
      </c>
      <c r="Q19" s="54">
        <v>9.27</v>
      </c>
      <c r="R19" s="43"/>
      <c r="S19" s="43"/>
      <c r="T19" s="43"/>
      <c r="U19" s="43"/>
    </row>
    <row r="20" spans="1:21" s="11" customFormat="1" x14ac:dyDescent="0.25">
      <c r="A20" s="53" t="s">
        <v>503</v>
      </c>
      <c r="B20" s="54">
        <v>12.13</v>
      </c>
      <c r="C20" s="54">
        <v>16.579999999999998</v>
      </c>
      <c r="D20" s="54">
        <v>17.03</v>
      </c>
      <c r="E20" s="54">
        <v>10.39</v>
      </c>
      <c r="F20" s="54">
        <v>12.08</v>
      </c>
      <c r="G20" s="54">
        <v>51.72</v>
      </c>
      <c r="H20" s="54">
        <v>9.27</v>
      </c>
      <c r="I20" s="54">
        <v>2.66</v>
      </c>
      <c r="J20" s="54">
        <v>0.84</v>
      </c>
      <c r="K20" s="54">
        <v>130.74</v>
      </c>
      <c r="L20" s="54">
        <v>31.11</v>
      </c>
      <c r="M20" s="54">
        <v>43.65</v>
      </c>
      <c r="N20" s="54">
        <v>824.6</v>
      </c>
      <c r="O20" s="54">
        <v>0</v>
      </c>
      <c r="P20" s="54">
        <v>0.62</v>
      </c>
      <c r="Q20" s="54">
        <v>9.2200000000000006</v>
      </c>
      <c r="R20" s="43"/>
      <c r="S20" s="43"/>
      <c r="T20" s="43"/>
      <c r="U20" s="43"/>
    </row>
    <row r="21" spans="1:21" s="11" customFormat="1" x14ac:dyDescent="0.25">
      <c r="A21" s="53" t="s">
        <v>504</v>
      </c>
      <c r="B21" s="54">
        <v>10.220000000000001</v>
      </c>
      <c r="C21" s="54">
        <v>20.27</v>
      </c>
      <c r="D21" s="54">
        <v>18.62</v>
      </c>
      <c r="E21" s="54">
        <v>12.5</v>
      </c>
      <c r="F21" s="54">
        <v>16.72</v>
      </c>
      <c r="G21" s="54">
        <v>44.82</v>
      </c>
      <c r="H21" s="54">
        <v>9.1999999999999993</v>
      </c>
      <c r="I21" s="54">
        <v>2.4900000000000002</v>
      </c>
      <c r="J21" s="54">
        <v>0.63</v>
      </c>
      <c r="K21" s="54">
        <v>140.18</v>
      </c>
      <c r="L21" s="54">
        <v>31.12</v>
      </c>
      <c r="M21" s="54">
        <v>40.590000000000003</v>
      </c>
      <c r="N21" s="54">
        <v>753.7</v>
      </c>
      <c r="O21" s="54">
        <v>0</v>
      </c>
      <c r="P21" s="54">
        <v>0.51</v>
      </c>
      <c r="Q21" s="54">
        <v>9.16</v>
      </c>
      <c r="R21" s="43"/>
      <c r="S21" s="43"/>
      <c r="T21" s="43"/>
      <c r="U21" s="43"/>
    </row>
    <row r="22" spans="1:21" s="11" customFormat="1" x14ac:dyDescent="0.25">
      <c r="A22" s="53" t="s">
        <v>505</v>
      </c>
      <c r="B22" s="54">
        <v>8.31</v>
      </c>
      <c r="C22" s="54">
        <v>22.94</v>
      </c>
      <c r="D22" s="54">
        <v>18.03</v>
      </c>
      <c r="E22" s="54">
        <v>12.68</v>
      </c>
      <c r="F22" s="54">
        <v>19.13</v>
      </c>
      <c r="G22" s="54">
        <v>40.54</v>
      </c>
      <c r="H22" s="54">
        <v>9</v>
      </c>
      <c r="I22" s="54">
        <v>2.4700000000000002</v>
      </c>
      <c r="J22" s="54">
        <v>0.56999999999999995</v>
      </c>
      <c r="K22" s="54">
        <v>127.85</v>
      </c>
      <c r="L22" s="54">
        <v>30.23</v>
      </c>
      <c r="M22" s="54">
        <v>43.43</v>
      </c>
      <c r="N22" s="54">
        <v>375</v>
      </c>
      <c r="O22" s="54">
        <v>0</v>
      </c>
      <c r="P22" s="54">
        <v>0.54</v>
      </c>
      <c r="Q22" s="54">
        <v>9.1300000000000008</v>
      </c>
      <c r="R22" s="43"/>
      <c r="S22" s="43"/>
      <c r="T22" s="43"/>
      <c r="U22" s="43"/>
    </row>
    <row r="23" spans="1:21" s="11" customFormat="1" x14ac:dyDescent="0.25">
      <c r="A23" s="53" t="s">
        <v>506</v>
      </c>
      <c r="B23" s="54">
        <v>8.4</v>
      </c>
      <c r="C23" s="54">
        <v>23.82</v>
      </c>
      <c r="D23" s="54">
        <v>18.52</v>
      </c>
      <c r="E23" s="54">
        <v>13.87</v>
      </c>
      <c r="F23" s="54">
        <v>21.03</v>
      </c>
      <c r="G23" s="54">
        <v>41.11</v>
      </c>
      <c r="H23" s="54">
        <v>9.4600000000000009</v>
      </c>
      <c r="I23" s="54">
        <v>2.48</v>
      </c>
      <c r="J23" s="54">
        <v>0.65</v>
      </c>
      <c r="K23" s="54">
        <v>357.94</v>
      </c>
      <c r="L23" s="54">
        <v>29.61</v>
      </c>
      <c r="M23" s="54">
        <v>44.77</v>
      </c>
      <c r="N23" s="54">
        <v>166.8</v>
      </c>
      <c r="O23" s="54">
        <v>0</v>
      </c>
      <c r="P23" s="54">
        <v>0.57999999999999996</v>
      </c>
      <c r="Q23" s="54">
        <v>9.08</v>
      </c>
      <c r="R23" s="43"/>
      <c r="S23" s="43"/>
      <c r="T23" s="43"/>
      <c r="U23" s="43"/>
    </row>
    <row r="24" spans="1:21" s="11" customFormat="1" x14ac:dyDescent="0.25">
      <c r="A24" s="53" t="s">
        <v>507</v>
      </c>
      <c r="B24" s="54">
        <v>8.69</v>
      </c>
      <c r="C24" s="54">
        <v>25.47</v>
      </c>
      <c r="D24" s="54">
        <v>18.89</v>
      </c>
      <c r="E24" s="54">
        <v>13.54</v>
      </c>
      <c r="F24" s="54">
        <v>21.26</v>
      </c>
      <c r="G24" s="54">
        <v>42.35</v>
      </c>
      <c r="H24" s="54">
        <v>10.69</v>
      </c>
      <c r="I24" s="54">
        <v>2.06</v>
      </c>
      <c r="J24" s="54">
        <v>0.8</v>
      </c>
      <c r="K24" s="54">
        <v>338.53</v>
      </c>
      <c r="L24" s="54">
        <v>29.01</v>
      </c>
      <c r="M24" s="54">
        <v>47.3</v>
      </c>
      <c r="N24" s="54">
        <v>117.7</v>
      </c>
      <c r="O24" s="54">
        <v>0</v>
      </c>
      <c r="P24" s="54">
        <v>0.62</v>
      </c>
      <c r="Q24" s="54">
        <v>9.0500000000000007</v>
      </c>
      <c r="R24" s="43"/>
      <c r="S24" s="43"/>
      <c r="T24" s="43"/>
      <c r="U24" s="43"/>
    </row>
    <row r="25" spans="1:21" s="11" customFormat="1" x14ac:dyDescent="0.25">
      <c r="A25" s="53" t="s">
        <v>508</v>
      </c>
      <c r="B25" s="54">
        <v>8.4</v>
      </c>
      <c r="C25" s="54">
        <v>34.24</v>
      </c>
      <c r="D25" s="54">
        <v>24.23</v>
      </c>
      <c r="E25" s="54">
        <v>14.63</v>
      </c>
      <c r="F25" s="54">
        <v>17.96</v>
      </c>
      <c r="G25" s="54">
        <v>41.52</v>
      </c>
      <c r="H25" s="54">
        <v>10.57</v>
      </c>
      <c r="I25" s="54">
        <v>1.96</v>
      </c>
      <c r="J25" s="54">
        <v>0.28999999999999998</v>
      </c>
      <c r="K25" s="54">
        <v>341.79</v>
      </c>
      <c r="L25" s="54">
        <v>28.19</v>
      </c>
      <c r="M25" s="54">
        <v>53.98</v>
      </c>
      <c r="N25" s="54">
        <v>81.2</v>
      </c>
      <c r="O25" s="54">
        <v>0</v>
      </c>
      <c r="P25" s="54">
        <v>0.68</v>
      </c>
      <c r="Q25" s="54">
        <v>9.07</v>
      </c>
      <c r="R25" s="43"/>
      <c r="S25" s="43"/>
      <c r="T25" s="43"/>
      <c r="U25" s="43"/>
    </row>
    <row r="26" spans="1:21" s="11" customFormat="1" x14ac:dyDescent="0.25">
      <c r="A26" s="53" t="s">
        <v>509</v>
      </c>
      <c r="B26" s="54">
        <v>28.42</v>
      </c>
      <c r="C26" s="54">
        <v>47.29</v>
      </c>
      <c r="D26" s="54">
        <v>47.5</v>
      </c>
      <c r="E26" s="54">
        <v>17.489999999999998</v>
      </c>
      <c r="F26" s="54">
        <v>14.78</v>
      </c>
      <c r="G26" s="54">
        <v>42.36</v>
      </c>
      <c r="H26" s="54">
        <v>9.4600000000000009</v>
      </c>
      <c r="I26" s="54">
        <v>1.95</v>
      </c>
      <c r="J26" s="54">
        <v>0.33</v>
      </c>
      <c r="K26" s="54">
        <v>340.33</v>
      </c>
      <c r="L26" s="54">
        <v>26.83</v>
      </c>
      <c r="M26" s="54">
        <v>64.7</v>
      </c>
      <c r="N26" s="54">
        <v>49.7</v>
      </c>
      <c r="O26" s="54">
        <v>0</v>
      </c>
      <c r="P26" s="54">
        <v>1.41</v>
      </c>
      <c r="Q26" s="54">
        <v>9.1</v>
      </c>
      <c r="R26" s="43"/>
      <c r="S26" s="43"/>
      <c r="T26" s="43"/>
      <c r="U26" s="43"/>
    </row>
    <row r="27" spans="1:21" s="11" customFormat="1" x14ac:dyDescent="0.25">
      <c r="A27" s="53" t="s">
        <v>510</v>
      </c>
      <c r="B27" s="54">
        <v>17.05</v>
      </c>
      <c r="C27" s="54">
        <v>43.81</v>
      </c>
      <c r="D27" s="54">
        <v>36.56</v>
      </c>
      <c r="E27" s="54">
        <v>17.7</v>
      </c>
      <c r="F27" s="54">
        <v>4.57</v>
      </c>
      <c r="G27" s="54">
        <v>45.83</v>
      </c>
      <c r="H27" s="54">
        <v>8.6</v>
      </c>
      <c r="I27" s="54">
        <v>2.2599999999999998</v>
      </c>
      <c r="J27" s="54">
        <v>0.56000000000000005</v>
      </c>
      <c r="K27" s="54">
        <v>338.05</v>
      </c>
      <c r="L27" s="54">
        <v>25.76</v>
      </c>
      <c r="M27" s="54">
        <v>69.709999999999994</v>
      </c>
      <c r="N27" s="54">
        <v>40.5</v>
      </c>
      <c r="O27" s="54">
        <v>0</v>
      </c>
      <c r="P27" s="54">
        <v>1.61</v>
      </c>
      <c r="Q27" s="54">
        <v>9.14</v>
      </c>
      <c r="R27" s="43"/>
      <c r="S27" s="43"/>
      <c r="T27" s="43"/>
      <c r="U27" s="43"/>
    </row>
    <row r="28" spans="1:21" s="11" customFormat="1" x14ac:dyDescent="0.25">
      <c r="A28" s="53" t="s">
        <v>511</v>
      </c>
      <c r="B28" s="54">
        <v>19.05</v>
      </c>
      <c r="C28" s="54">
        <v>48.78</v>
      </c>
      <c r="D28" s="54">
        <v>40.770000000000003</v>
      </c>
      <c r="E28" s="54">
        <v>31.6</v>
      </c>
      <c r="F28" s="54">
        <v>2.11</v>
      </c>
      <c r="G28" s="54">
        <v>53.16</v>
      </c>
      <c r="H28" s="54">
        <v>11.15</v>
      </c>
      <c r="I28" s="54">
        <v>2.81</v>
      </c>
      <c r="J28" s="54">
        <v>0.35</v>
      </c>
      <c r="K28" s="54">
        <v>334.93</v>
      </c>
      <c r="L28" s="54">
        <v>25.01</v>
      </c>
      <c r="M28" s="54">
        <v>68.97</v>
      </c>
      <c r="N28" s="54">
        <v>40.299999999999997</v>
      </c>
      <c r="O28" s="54">
        <v>0</v>
      </c>
      <c r="P28" s="54">
        <v>1.9</v>
      </c>
      <c r="Q28" s="54">
        <v>9.17</v>
      </c>
      <c r="R28" s="43"/>
      <c r="S28" s="43"/>
      <c r="T28" s="43"/>
      <c r="U28" s="43"/>
    </row>
    <row r="29" spans="1:21" s="11" customFormat="1" x14ac:dyDescent="0.25">
      <c r="A29" s="53" t="s">
        <v>512</v>
      </c>
      <c r="B29" s="54">
        <v>28.21</v>
      </c>
      <c r="C29" s="54">
        <v>37.28</v>
      </c>
      <c r="D29" s="54">
        <v>41.17</v>
      </c>
      <c r="E29" s="54">
        <v>24.16</v>
      </c>
      <c r="F29" s="54">
        <v>3.07</v>
      </c>
      <c r="G29" s="54">
        <v>76.06</v>
      </c>
      <c r="H29" s="54">
        <v>9.8800000000000008</v>
      </c>
      <c r="I29" s="54">
        <v>3.31</v>
      </c>
      <c r="J29" s="54">
        <v>0.38</v>
      </c>
      <c r="K29" s="54">
        <v>339.33</v>
      </c>
      <c r="L29" s="54">
        <v>24.81</v>
      </c>
      <c r="M29" s="54">
        <v>70.319999999999993</v>
      </c>
      <c r="N29" s="54">
        <v>40.4</v>
      </c>
      <c r="O29" s="54">
        <v>0</v>
      </c>
      <c r="P29" s="54">
        <v>1.93</v>
      </c>
      <c r="Q29" s="54">
        <v>9.23</v>
      </c>
      <c r="R29" s="43"/>
      <c r="S29" s="43"/>
      <c r="T29" s="43"/>
      <c r="U29" s="43"/>
    </row>
    <row r="30" spans="1:21" s="11" customFormat="1" x14ac:dyDescent="0.25">
      <c r="A30" s="53" t="s">
        <v>513</v>
      </c>
      <c r="B30" s="54">
        <v>29.59</v>
      </c>
      <c r="C30" s="54">
        <v>33.42</v>
      </c>
      <c r="D30" s="54">
        <v>39.93</v>
      </c>
      <c r="E30" s="54">
        <v>17.440000000000001</v>
      </c>
      <c r="F30" s="54">
        <v>3</v>
      </c>
      <c r="G30" s="54">
        <v>92.01</v>
      </c>
      <c r="H30" s="54">
        <v>23.03</v>
      </c>
      <c r="I30" s="54">
        <v>3.62</v>
      </c>
      <c r="J30" s="54">
        <v>0.31</v>
      </c>
      <c r="K30" s="54">
        <v>328.22</v>
      </c>
      <c r="L30" s="54">
        <v>24.63</v>
      </c>
      <c r="M30" s="54">
        <v>81.3</v>
      </c>
      <c r="N30" s="54">
        <v>40.6</v>
      </c>
      <c r="O30" s="54">
        <v>0</v>
      </c>
      <c r="P30" s="54">
        <v>1.43</v>
      </c>
      <c r="Q30" s="54">
        <v>9.31</v>
      </c>
      <c r="R30" s="43"/>
      <c r="S30" s="43"/>
      <c r="T30" s="43"/>
      <c r="U30" s="43"/>
    </row>
    <row r="31" spans="1:21" s="11" customFormat="1" x14ac:dyDescent="0.25">
      <c r="A31" s="53" t="s">
        <v>514</v>
      </c>
      <c r="B31" s="54">
        <v>24.86</v>
      </c>
      <c r="C31" s="54">
        <v>29.47</v>
      </c>
      <c r="D31" s="54">
        <v>34.85</v>
      </c>
      <c r="E31" s="54">
        <v>12.51</v>
      </c>
      <c r="F31" s="54">
        <v>2.8</v>
      </c>
      <c r="G31" s="54">
        <v>98.02</v>
      </c>
      <c r="H31" s="54">
        <v>16.84</v>
      </c>
      <c r="I31" s="54">
        <v>3.73</v>
      </c>
      <c r="J31" s="54">
        <v>0.39</v>
      </c>
      <c r="K31" s="54">
        <v>337.35</v>
      </c>
      <c r="L31" s="54">
        <v>23.98</v>
      </c>
      <c r="M31" s="54">
        <v>87.11</v>
      </c>
      <c r="N31" s="54">
        <v>40.4</v>
      </c>
      <c r="O31" s="54">
        <v>0</v>
      </c>
      <c r="P31" s="54">
        <v>1.34</v>
      </c>
      <c r="Q31" s="54">
        <v>9.32</v>
      </c>
      <c r="R31" s="43"/>
      <c r="S31" s="43"/>
      <c r="T31" s="43"/>
      <c r="U31" s="43"/>
    </row>
    <row r="32" spans="1:21" s="11" customFormat="1" x14ac:dyDescent="0.25">
      <c r="A32" s="53" t="s">
        <v>515</v>
      </c>
      <c r="B32" s="54">
        <v>13.94</v>
      </c>
      <c r="C32" s="54">
        <v>26.09</v>
      </c>
      <c r="D32" s="54">
        <v>22.08</v>
      </c>
      <c r="E32" s="54">
        <v>10.45</v>
      </c>
      <c r="F32" s="54">
        <v>3.11</v>
      </c>
      <c r="G32" s="54">
        <v>95.99</v>
      </c>
      <c r="H32" s="54">
        <v>20.25</v>
      </c>
      <c r="I32" s="54">
        <v>3.74</v>
      </c>
      <c r="J32" s="54">
        <v>0.52</v>
      </c>
      <c r="K32" s="54">
        <v>337.83</v>
      </c>
      <c r="L32" s="54">
        <v>23.68</v>
      </c>
      <c r="M32" s="54">
        <v>91.44</v>
      </c>
      <c r="N32" s="54">
        <v>40.5</v>
      </c>
      <c r="O32" s="54">
        <v>0</v>
      </c>
      <c r="P32" s="54">
        <v>1.1399999999999999</v>
      </c>
      <c r="Q32" s="54">
        <v>9.2899999999999991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7.26</v>
      </c>
      <c r="C34" s="28">
        <f t="shared" si="0"/>
        <v>9.4499999999999993</v>
      </c>
      <c r="D34" s="28">
        <f t="shared" si="0"/>
        <v>12.42</v>
      </c>
      <c r="E34" s="28">
        <f t="shared" si="0"/>
        <v>4.9800000000000004</v>
      </c>
      <c r="F34" s="28">
        <f t="shared" si="0"/>
        <v>2.1</v>
      </c>
      <c r="G34" s="28">
        <f t="shared" si="0"/>
        <v>40.54</v>
      </c>
      <c r="H34" s="28">
        <f t="shared" si="0"/>
        <v>8.6</v>
      </c>
      <c r="I34" s="28">
        <f t="shared" si="0"/>
        <v>1.95</v>
      </c>
      <c r="J34" s="28">
        <f t="shared" si="0"/>
        <v>0.06</v>
      </c>
      <c r="K34" s="28">
        <f t="shared" si="0"/>
        <v>127.85</v>
      </c>
      <c r="L34" s="28">
        <f t="shared" si="0"/>
        <v>20.04</v>
      </c>
      <c r="M34" s="28">
        <f t="shared" si="0"/>
        <v>37.94</v>
      </c>
      <c r="N34" s="28">
        <f t="shared" si="0"/>
        <v>40.299999999999997</v>
      </c>
      <c r="O34" s="28">
        <f t="shared" si="0"/>
        <v>0</v>
      </c>
      <c r="P34" s="28">
        <f t="shared" si="0"/>
        <v>0.51</v>
      </c>
      <c r="Q34" s="28">
        <f t="shared" si="0"/>
        <v>9.0500000000000007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29.59</v>
      </c>
      <c r="C35" s="29">
        <f t="shared" si="1"/>
        <v>48.78</v>
      </c>
      <c r="D35" s="29">
        <f t="shared" si="1"/>
        <v>47.5</v>
      </c>
      <c r="E35" s="29">
        <f t="shared" si="1"/>
        <v>31.6</v>
      </c>
      <c r="F35" s="29">
        <f t="shared" si="1"/>
        <v>21.26</v>
      </c>
      <c r="G35" s="29">
        <f t="shared" si="1"/>
        <v>98.02</v>
      </c>
      <c r="H35" s="29">
        <f t="shared" si="1"/>
        <v>23.03</v>
      </c>
      <c r="I35" s="29">
        <f t="shared" si="1"/>
        <v>3.74</v>
      </c>
      <c r="J35" s="29">
        <f t="shared" si="1"/>
        <v>1.02</v>
      </c>
      <c r="K35" s="29">
        <f t="shared" si="1"/>
        <v>358.08</v>
      </c>
      <c r="L35" s="29">
        <f t="shared" si="1"/>
        <v>33.22</v>
      </c>
      <c r="M35" s="29">
        <f t="shared" si="1"/>
        <v>97.83</v>
      </c>
      <c r="N35" s="29">
        <f t="shared" si="1"/>
        <v>824.6</v>
      </c>
      <c r="O35" s="29">
        <f t="shared" si="1"/>
        <v>0</v>
      </c>
      <c r="P35" s="29">
        <f t="shared" si="1"/>
        <v>1.93</v>
      </c>
      <c r="Q35" s="29">
        <f t="shared" si="1"/>
        <v>9.32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14.697083333333333</v>
      </c>
      <c r="C36" s="28">
        <f t="shared" si="2"/>
        <v>24.25</v>
      </c>
      <c r="D36" s="28">
        <f t="shared" si="2"/>
        <v>23.787916666666671</v>
      </c>
      <c r="E36" s="28">
        <f t="shared" si="2"/>
        <v>11.649583333333332</v>
      </c>
      <c r="F36" s="28">
        <f t="shared" si="2"/>
        <v>6.9629166666666684</v>
      </c>
      <c r="G36" s="28">
        <f t="shared" si="2"/>
        <v>59.839583333333337</v>
      </c>
      <c r="H36" s="28">
        <f t="shared" si="2"/>
        <v>10.622083333333334</v>
      </c>
      <c r="I36" s="28">
        <f t="shared" si="2"/>
        <v>2.8220833333333331</v>
      </c>
      <c r="J36" s="28">
        <f t="shared" si="2"/>
        <v>0.46333333333333337</v>
      </c>
      <c r="K36" s="28">
        <f t="shared" si="2"/>
        <v>304.75791666666663</v>
      </c>
      <c r="L36" s="28">
        <f t="shared" si="2"/>
        <v>25.982916666666664</v>
      </c>
      <c r="M36" s="28">
        <f t="shared" si="2"/>
        <v>70.062499999999986</v>
      </c>
      <c r="N36" s="28">
        <f t="shared" si="2"/>
        <v>230.16249999999999</v>
      </c>
      <c r="O36" s="28">
        <f t="shared" si="2"/>
        <v>0</v>
      </c>
      <c r="P36" s="28">
        <f t="shared" si="2"/>
        <v>0.94208333333333316</v>
      </c>
      <c r="Q36" s="28">
        <f t="shared" si="2"/>
        <v>9.1716666666666651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7.1270278451677926</v>
      </c>
      <c r="C37" s="28">
        <f t="shared" ref="C37:Q37" si="3">STDEV(C9:C32)</f>
        <v>11.438241731710487</v>
      </c>
      <c r="D37" s="28">
        <f t="shared" si="3"/>
        <v>10.278105044077982</v>
      </c>
      <c r="E37" s="28">
        <f t="shared" si="3"/>
        <v>6.6126752326032214</v>
      </c>
      <c r="F37" s="28">
        <f t="shared" si="3"/>
        <v>7.1768380340277043</v>
      </c>
      <c r="G37" s="28">
        <f t="shared" si="3"/>
        <v>17.556988322297041</v>
      </c>
      <c r="H37" s="28">
        <f t="shared" si="3"/>
        <v>3.8076581632817037</v>
      </c>
      <c r="I37" s="28">
        <f t="shared" si="3"/>
        <v>0.48969359689563041</v>
      </c>
      <c r="J37" s="28">
        <f t="shared" si="3"/>
        <v>0.26074586439117575</v>
      </c>
      <c r="K37" s="28">
        <f t="shared" si="3"/>
        <v>77.641913993116518</v>
      </c>
      <c r="L37" s="28">
        <f t="shared" si="3"/>
        <v>4.2049241105354644</v>
      </c>
      <c r="M37" s="28">
        <f t="shared" si="3"/>
        <v>22.248747741995686</v>
      </c>
      <c r="N37" s="28">
        <f t="shared" si="3"/>
        <v>283.70434520664367</v>
      </c>
      <c r="O37" s="28">
        <f t="shared" si="3"/>
        <v>0</v>
      </c>
      <c r="P37" s="28">
        <f t="shared" si="3"/>
        <v>0.42497037407398164</v>
      </c>
      <c r="Q37" s="28">
        <f t="shared" si="3"/>
        <v>9.3141625060123259E-2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J14" sqref="J14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20/10/2025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516</v>
      </c>
      <c r="B9" s="54">
        <v>11.14</v>
      </c>
      <c r="C9" s="54">
        <v>18.04</v>
      </c>
      <c r="D9" s="54">
        <v>17.190000000000001</v>
      </c>
      <c r="E9" s="54">
        <v>8.9499999999999993</v>
      </c>
      <c r="F9" s="54">
        <v>3.2</v>
      </c>
      <c r="G9" s="54">
        <v>90.25</v>
      </c>
      <c r="H9" s="54">
        <v>19.91</v>
      </c>
      <c r="I9" s="54">
        <v>3.66</v>
      </c>
      <c r="J9" s="54">
        <v>0.52</v>
      </c>
      <c r="K9" s="54">
        <v>340.99</v>
      </c>
      <c r="L9" s="54">
        <v>23.63</v>
      </c>
      <c r="M9" s="54">
        <v>92.49</v>
      </c>
      <c r="N9" s="54">
        <v>40.6</v>
      </c>
      <c r="O9" s="54">
        <v>0</v>
      </c>
      <c r="P9" s="54">
        <v>1.1200000000000001</v>
      </c>
      <c r="Q9" s="54">
        <v>9.24</v>
      </c>
      <c r="R9" s="43"/>
      <c r="S9" s="43"/>
      <c r="T9" s="43"/>
      <c r="U9" s="43"/>
    </row>
    <row r="10" spans="1:21" s="11" customFormat="1" x14ac:dyDescent="0.25">
      <c r="A10" s="53" t="s">
        <v>517</v>
      </c>
      <c r="B10" s="54">
        <v>8.81</v>
      </c>
      <c r="C10" s="54">
        <v>18.43</v>
      </c>
      <c r="D10" s="54">
        <v>16.600000000000001</v>
      </c>
      <c r="E10" s="54">
        <v>9.99</v>
      </c>
      <c r="F10" s="54">
        <v>7.38</v>
      </c>
      <c r="G10" s="54">
        <v>86.13</v>
      </c>
      <c r="H10" s="54">
        <v>18.57</v>
      </c>
      <c r="I10" s="54">
        <v>3.54</v>
      </c>
      <c r="J10" s="54">
        <v>0.31</v>
      </c>
      <c r="K10" s="54">
        <v>339.53</v>
      </c>
      <c r="L10" s="54">
        <v>23.11</v>
      </c>
      <c r="M10" s="54">
        <v>94.34</v>
      </c>
      <c r="N10" s="54">
        <v>40.4</v>
      </c>
      <c r="O10" s="54">
        <v>0</v>
      </c>
      <c r="P10" s="54">
        <v>0.83</v>
      </c>
      <c r="Q10" s="54">
        <v>9.19</v>
      </c>
      <c r="R10" s="43"/>
      <c r="S10" s="43"/>
      <c r="T10" s="43"/>
      <c r="U10" s="43"/>
    </row>
    <row r="11" spans="1:21" s="11" customFormat="1" x14ac:dyDescent="0.25">
      <c r="A11" s="53" t="s">
        <v>518</v>
      </c>
      <c r="B11" s="54">
        <v>7.61</v>
      </c>
      <c r="C11" s="54">
        <v>20.190000000000001</v>
      </c>
      <c r="D11" s="54">
        <v>16.62</v>
      </c>
      <c r="E11" s="54">
        <v>9.93</v>
      </c>
      <c r="F11" s="54">
        <v>6.27</v>
      </c>
      <c r="G11" s="54">
        <v>79.91</v>
      </c>
      <c r="H11" s="54">
        <v>17.5</v>
      </c>
      <c r="I11" s="54">
        <v>3.47</v>
      </c>
      <c r="J11" s="54">
        <v>0.15</v>
      </c>
      <c r="K11" s="54">
        <v>325.38</v>
      </c>
      <c r="L11" s="54">
        <v>22.97</v>
      </c>
      <c r="M11" s="54">
        <v>97.53</v>
      </c>
      <c r="N11" s="54">
        <v>40.6</v>
      </c>
      <c r="O11" s="54">
        <v>0</v>
      </c>
      <c r="P11" s="54">
        <v>0.96</v>
      </c>
      <c r="Q11" s="54">
        <v>9.17</v>
      </c>
      <c r="R11" s="43"/>
      <c r="S11" s="43"/>
      <c r="T11" s="43"/>
      <c r="U11" s="43"/>
    </row>
    <row r="12" spans="1:21" s="11" customFormat="1" x14ac:dyDescent="0.25">
      <c r="A12" s="53" t="s">
        <v>519</v>
      </c>
      <c r="B12" s="54">
        <v>8.99</v>
      </c>
      <c r="C12" s="54">
        <v>19.649999999999999</v>
      </c>
      <c r="D12" s="54">
        <v>16.18</v>
      </c>
      <c r="E12" s="54">
        <v>10.85</v>
      </c>
      <c r="F12" s="54">
        <v>2.1</v>
      </c>
      <c r="G12" s="54">
        <v>92.46</v>
      </c>
      <c r="H12" s="54">
        <v>21.69</v>
      </c>
      <c r="I12" s="54">
        <v>3.45</v>
      </c>
      <c r="J12" s="54">
        <v>0.43</v>
      </c>
      <c r="K12" s="54">
        <v>344.38</v>
      </c>
      <c r="L12" s="54">
        <v>22.77</v>
      </c>
      <c r="M12" s="54">
        <v>96.92</v>
      </c>
      <c r="N12" s="54">
        <v>40.799999999999997</v>
      </c>
      <c r="O12" s="54">
        <v>0</v>
      </c>
      <c r="P12" s="54">
        <v>0.96</v>
      </c>
      <c r="Q12" s="54">
        <v>9.17</v>
      </c>
      <c r="R12" s="43"/>
      <c r="S12" s="43"/>
      <c r="T12" s="43"/>
      <c r="U12" s="43"/>
    </row>
    <row r="13" spans="1:21" s="11" customFormat="1" x14ac:dyDescent="0.25">
      <c r="A13" s="53" t="s">
        <v>520</v>
      </c>
      <c r="B13" s="54">
        <v>9.9499999999999993</v>
      </c>
      <c r="C13" s="54">
        <v>14.12</v>
      </c>
      <c r="D13" s="54">
        <v>15.02</v>
      </c>
      <c r="E13" s="54">
        <v>8.2100000000000009</v>
      </c>
      <c r="F13" s="54">
        <v>2.12</v>
      </c>
      <c r="G13" s="54">
        <v>89.93</v>
      </c>
      <c r="H13" s="54">
        <v>19.690000000000001</v>
      </c>
      <c r="I13" s="54">
        <v>3.39</v>
      </c>
      <c r="J13" s="54">
        <v>0.42</v>
      </c>
      <c r="K13" s="54">
        <v>343.98</v>
      </c>
      <c r="L13" s="54">
        <v>22.69</v>
      </c>
      <c r="M13" s="54">
        <v>97.74</v>
      </c>
      <c r="N13" s="54">
        <v>40.799999999999997</v>
      </c>
      <c r="O13" s="54">
        <v>0</v>
      </c>
      <c r="P13" s="54">
        <v>0.86</v>
      </c>
      <c r="Q13" s="54">
        <v>9.1199999999999992</v>
      </c>
      <c r="R13" s="43"/>
      <c r="S13" s="43"/>
      <c r="T13" s="43"/>
      <c r="U13" s="43"/>
    </row>
    <row r="14" spans="1:21" s="11" customFormat="1" x14ac:dyDescent="0.25">
      <c r="A14" s="53" t="s">
        <v>521</v>
      </c>
      <c r="B14" s="54">
        <v>13.41</v>
      </c>
      <c r="C14" s="54">
        <v>17.12</v>
      </c>
      <c r="D14" s="54">
        <v>18.72</v>
      </c>
      <c r="E14" s="54">
        <v>8.18</v>
      </c>
      <c r="F14" s="54">
        <v>3.43</v>
      </c>
      <c r="G14" s="54">
        <v>82.48</v>
      </c>
      <c r="H14" s="54">
        <v>18.43</v>
      </c>
      <c r="I14" s="54">
        <v>3.21</v>
      </c>
      <c r="J14" s="54">
        <v>0.55000000000000004</v>
      </c>
      <c r="K14" s="54">
        <v>342.36</v>
      </c>
      <c r="L14" s="54">
        <v>22.81</v>
      </c>
      <c r="M14" s="54">
        <v>97.75</v>
      </c>
      <c r="N14" s="54">
        <v>41.5</v>
      </c>
      <c r="O14" s="54">
        <v>0</v>
      </c>
      <c r="P14" s="54">
        <v>0.83</v>
      </c>
      <c r="Q14" s="54">
        <v>9.1199999999999992</v>
      </c>
      <c r="R14" s="43"/>
      <c r="S14" s="43"/>
      <c r="T14" s="43"/>
      <c r="U14" s="43"/>
    </row>
    <row r="15" spans="1:21" s="11" customFormat="1" x14ac:dyDescent="0.25">
      <c r="A15" s="53" t="s">
        <v>522</v>
      </c>
      <c r="B15" s="54">
        <v>17.04</v>
      </c>
      <c r="C15" s="54">
        <v>19.579999999999998</v>
      </c>
      <c r="D15" s="54">
        <v>23.9</v>
      </c>
      <c r="E15" s="54">
        <v>11.46</v>
      </c>
      <c r="F15" s="54">
        <v>3.18</v>
      </c>
      <c r="G15" s="54">
        <v>82.07</v>
      </c>
      <c r="H15" s="54">
        <v>17.399999999999999</v>
      </c>
      <c r="I15" s="54">
        <v>3.2</v>
      </c>
      <c r="J15" s="54">
        <v>0.75</v>
      </c>
      <c r="K15" s="54">
        <v>340.67</v>
      </c>
      <c r="L15" s="54">
        <v>23.25</v>
      </c>
      <c r="M15" s="54">
        <v>97.71</v>
      </c>
      <c r="N15" s="54">
        <v>70</v>
      </c>
      <c r="O15" s="54">
        <v>0</v>
      </c>
      <c r="P15" s="54">
        <v>0.86</v>
      </c>
      <c r="Q15" s="54">
        <v>9.18</v>
      </c>
      <c r="R15" s="43"/>
      <c r="S15" s="43"/>
      <c r="T15" s="43"/>
      <c r="U15" s="43"/>
    </row>
    <row r="16" spans="1:21" s="11" customFormat="1" x14ac:dyDescent="0.25">
      <c r="A16" s="53" t="s">
        <v>523</v>
      </c>
      <c r="B16" s="54">
        <v>13.73</v>
      </c>
      <c r="C16" s="54">
        <v>21.25</v>
      </c>
      <c r="D16" s="54">
        <v>22.11</v>
      </c>
      <c r="E16" s="54">
        <v>12</v>
      </c>
      <c r="F16" s="54">
        <v>2.27</v>
      </c>
      <c r="G16" s="54">
        <v>84.47</v>
      </c>
      <c r="H16" s="54">
        <v>18.809999999999999</v>
      </c>
      <c r="I16" s="54">
        <v>3.32</v>
      </c>
      <c r="J16" s="54">
        <v>0.52</v>
      </c>
      <c r="K16" s="54">
        <v>336.76</v>
      </c>
      <c r="L16" s="54">
        <v>23.74</v>
      </c>
      <c r="M16" s="54">
        <v>96.66</v>
      </c>
      <c r="N16" s="54">
        <v>129.80000000000001</v>
      </c>
      <c r="O16" s="54">
        <v>0</v>
      </c>
      <c r="P16" s="54">
        <v>0.91</v>
      </c>
      <c r="Q16" s="54">
        <v>9.2100000000000009</v>
      </c>
      <c r="R16" s="43"/>
      <c r="S16" s="43"/>
      <c r="T16" s="43"/>
      <c r="U16" s="43"/>
    </row>
    <row r="17" spans="1:21" s="11" customFormat="1" x14ac:dyDescent="0.25">
      <c r="A17" s="53" t="s">
        <v>524</v>
      </c>
      <c r="B17" s="54">
        <v>14.03</v>
      </c>
      <c r="C17" s="54">
        <v>12.58</v>
      </c>
      <c r="D17" s="54">
        <v>17.059999999999999</v>
      </c>
      <c r="E17" s="54">
        <v>8.68</v>
      </c>
      <c r="F17" s="54">
        <v>4.26</v>
      </c>
      <c r="G17" s="54">
        <v>94.5</v>
      </c>
      <c r="H17" s="54">
        <v>18.600000000000001</v>
      </c>
      <c r="I17" s="54">
        <v>3.31</v>
      </c>
      <c r="J17" s="54">
        <v>0.69</v>
      </c>
      <c r="K17" s="54">
        <v>314.13</v>
      </c>
      <c r="L17" s="54">
        <v>25.03</v>
      </c>
      <c r="M17" s="54">
        <v>97.33</v>
      </c>
      <c r="N17" s="54">
        <v>252.6</v>
      </c>
      <c r="O17" s="54">
        <v>0</v>
      </c>
      <c r="P17" s="54">
        <v>0.81</v>
      </c>
      <c r="Q17" s="54">
        <v>9.19</v>
      </c>
      <c r="R17" s="43"/>
      <c r="S17" s="43"/>
      <c r="T17" s="43"/>
      <c r="U17" s="43"/>
    </row>
    <row r="18" spans="1:21" s="11" customFormat="1" x14ac:dyDescent="0.25">
      <c r="A18" s="53" t="s">
        <v>525</v>
      </c>
      <c r="B18" s="54">
        <v>10.62</v>
      </c>
      <c r="C18" s="54">
        <v>18.79</v>
      </c>
      <c r="D18" s="54">
        <v>15.45</v>
      </c>
      <c r="E18" s="54">
        <v>8.09</v>
      </c>
      <c r="F18" s="54">
        <v>8.98</v>
      </c>
      <c r="G18" s="54">
        <v>87.37</v>
      </c>
      <c r="H18" s="54">
        <v>20.25</v>
      </c>
      <c r="I18" s="54">
        <v>3.15</v>
      </c>
      <c r="J18" s="54">
        <v>0.61</v>
      </c>
      <c r="K18" s="54">
        <v>132.47999999999999</v>
      </c>
      <c r="L18" s="54">
        <v>28.09</v>
      </c>
      <c r="M18" s="54">
        <v>96.58</v>
      </c>
      <c r="N18" s="54">
        <v>630.1</v>
      </c>
      <c r="O18" s="54">
        <v>0</v>
      </c>
      <c r="P18" s="54">
        <v>0.68</v>
      </c>
      <c r="Q18" s="54">
        <v>9.18</v>
      </c>
      <c r="R18" s="43"/>
      <c r="S18" s="43"/>
      <c r="T18" s="43"/>
      <c r="U18" s="43"/>
    </row>
    <row r="19" spans="1:21" s="11" customFormat="1" x14ac:dyDescent="0.25">
      <c r="A19" s="53" t="s">
        <v>526</v>
      </c>
      <c r="B19" s="54">
        <v>8.67</v>
      </c>
      <c r="C19" s="54">
        <v>16.14</v>
      </c>
      <c r="D19" s="54">
        <v>15.08</v>
      </c>
      <c r="E19" s="54">
        <v>8.27</v>
      </c>
      <c r="F19" s="54">
        <v>10.6</v>
      </c>
      <c r="G19" s="54">
        <v>15.08</v>
      </c>
      <c r="H19" s="54">
        <v>20.21</v>
      </c>
      <c r="I19" s="54">
        <v>2.29</v>
      </c>
      <c r="J19" s="54">
        <v>1.38</v>
      </c>
      <c r="K19" s="54">
        <v>320.93</v>
      </c>
      <c r="L19" s="54">
        <v>29.31</v>
      </c>
      <c r="M19" s="54">
        <v>74.19</v>
      </c>
      <c r="N19" s="54">
        <v>671.8</v>
      </c>
      <c r="O19" s="54">
        <v>0</v>
      </c>
      <c r="P19" s="54">
        <v>0.43</v>
      </c>
      <c r="Q19" s="54">
        <v>9.07</v>
      </c>
      <c r="R19" s="43"/>
      <c r="S19" s="43"/>
      <c r="T19" s="43"/>
      <c r="U19" s="43"/>
    </row>
    <row r="20" spans="1:21" s="11" customFormat="1" x14ac:dyDescent="0.25">
      <c r="A20" s="53" t="s">
        <v>527</v>
      </c>
      <c r="B20" s="54">
        <v>6.14</v>
      </c>
      <c r="C20" s="54">
        <v>11.53</v>
      </c>
      <c r="D20" s="54">
        <v>10.95</v>
      </c>
      <c r="E20" s="54">
        <v>7.59</v>
      </c>
      <c r="F20" s="54">
        <v>10.01</v>
      </c>
      <c r="G20" s="54">
        <v>19.89</v>
      </c>
      <c r="H20" s="54">
        <v>13.38</v>
      </c>
      <c r="I20" s="54">
        <v>2.06</v>
      </c>
      <c r="J20" s="54">
        <v>2.12</v>
      </c>
      <c r="K20" s="54">
        <v>131.9</v>
      </c>
      <c r="L20" s="54">
        <v>28.83</v>
      </c>
      <c r="M20" s="54">
        <v>73.37</v>
      </c>
      <c r="N20" s="54">
        <v>764</v>
      </c>
      <c r="O20" s="54">
        <v>0</v>
      </c>
      <c r="P20" s="54">
        <v>0.23</v>
      </c>
      <c r="Q20" s="54">
        <v>9.06</v>
      </c>
      <c r="R20" s="43"/>
      <c r="S20" s="43"/>
      <c r="T20" s="43"/>
      <c r="U20" s="43"/>
    </row>
    <row r="21" spans="1:21" s="11" customFormat="1" x14ac:dyDescent="0.25">
      <c r="A21" s="53" t="s">
        <v>528</v>
      </c>
      <c r="B21" s="54">
        <v>5.67</v>
      </c>
      <c r="C21" s="54">
        <v>9.32</v>
      </c>
      <c r="D21" s="54">
        <v>9.41</v>
      </c>
      <c r="E21" s="54">
        <v>7.19</v>
      </c>
      <c r="F21" s="54">
        <v>9.94</v>
      </c>
      <c r="G21" s="54">
        <v>2.02</v>
      </c>
      <c r="H21" s="54">
        <v>10.25</v>
      </c>
      <c r="I21" s="54">
        <v>1.73</v>
      </c>
      <c r="J21" s="54">
        <v>1.59</v>
      </c>
      <c r="K21" s="54">
        <v>127.58</v>
      </c>
      <c r="L21" s="54">
        <v>28.93</v>
      </c>
      <c r="M21" s="54">
        <v>71.92</v>
      </c>
      <c r="N21" s="54">
        <v>741.1</v>
      </c>
      <c r="O21" s="54">
        <v>0</v>
      </c>
      <c r="P21" s="54">
        <v>0.21</v>
      </c>
      <c r="Q21" s="54">
        <v>9.0299999999999994</v>
      </c>
      <c r="R21" s="43"/>
      <c r="S21" s="43"/>
      <c r="T21" s="43"/>
      <c r="U21" s="43"/>
    </row>
    <row r="22" spans="1:21" s="11" customFormat="1" x14ac:dyDescent="0.25">
      <c r="A22" s="53" t="s">
        <v>529</v>
      </c>
      <c r="B22" s="54">
        <v>6.93</v>
      </c>
      <c r="C22" s="54">
        <v>11.2</v>
      </c>
      <c r="D22" s="54">
        <v>11.22</v>
      </c>
      <c r="E22" s="54">
        <v>6.75</v>
      </c>
      <c r="F22" s="54">
        <v>13.57</v>
      </c>
      <c r="G22" s="54">
        <v>51.66</v>
      </c>
      <c r="H22" s="54">
        <v>10.66</v>
      </c>
      <c r="I22" s="54">
        <v>1.44</v>
      </c>
      <c r="J22" s="54">
        <v>1.1200000000000001</v>
      </c>
      <c r="K22" s="54">
        <v>127.01</v>
      </c>
      <c r="L22" s="54">
        <v>29.33</v>
      </c>
      <c r="M22" s="54">
        <v>69.45</v>
      </c>
      <c r="N22" s="54">
        <v>612.6</v>
      </c>
      <c r="O22" s="54">
        <v>0</v>
      </c>
      <c r="P22" s="54">
        <v>0.28999999999999998</v>
      </c>
      <c r="Q22" s="54">
        <v>8.98</v>
      </c>
      <c r="R22" s="43"/>
      <c r="S22" s="43"/>
      <c r="T22" s="43"/>
      <c r="U22" s="43"/>
    </row>
    <row r="23" spans="1:21" s="11" customFormat="1" x14ac:dyDescent="0.25">
      <c r="A23" s="53" t="s">
        <v>530</v>
      </c>
      <c r="B23" s="54">
        <v>9.08</v>
      </c>
      <c r="C23" s="54">
        <v>11.87</v>
      </c>
      <c r="D23" s="54">
        <v>13.48</v>
      </c>
      <c r="E23" s="54">
        <v>6.7</v>
      </c>
      <c r="F23" s="54">
        <v>9.74</v>
      </c>
      <c r="G23" s="54">
        <v>40.090000000000003</v>
      </c>
      <c r="H23" s="54">
        <v>7.46</v>
      </c>
      <c r="I23" s="54">
        <v>1.26</v>
      </c>
      <c r="J23" s="54">
        <v>1.3</v>
      </c>
      <c r="K23" s="54">
        <v>191.13</v>
      </c>
      <c r="L23" s="54">
        <v>28.9</v>
      </c>
      <c r="M23" s="54">
        <v>68.05</v>
      </c>
      <c r="N23" s="54">
        <v>158.6</v>
      </c>
      <c r="O23" s="54">
        <v>0</v>
      </c>
      <c r="P23" s="54">
        <v>0.41</v>
      </c>
      <c r="Q23" s="54">
        <v>9</v>
      </c>
      <c r="R23" s="43"/>
      <c r="S23" s="43"/>
      <c r="T23" s="43"/>
      <c r="U23" s="43"/>
    </row>
    <row r="24" spans="1:21" s="11" customFormat="1" x14ac:dyDescent="0.25">
      <c r="A24" s="53" t="s">
        <v>531</v>
      </c>
      <c r="B24" s="54">
        <v>7.54</v>
      </c>
      <c r="C24" s="54">
        <v>12.96</v>
      </c>
      <c r="D24" s="54">
        <v>12.82</v>
      </c>
      <c r="E24" s="54">
        <v>6.73</v>
      </c>
      <c r="F24" s="54">
        <v>8.07</v>
      </c>
      <c r="G24" s="54">
        <v>34.53</v>
      </c>
      <c r="H24" s="54">
        <v>6.13</v>
      </c>
      <c r="I24" s="54">
        <v>1.22</v>
      </c>
      <c r="J24" s="54">
        <v>1.18</v>
      </c>
      <c r="K24" s="54">
        <v>128.49</v>
      </c>
      <c r="L24" s="54">
        <v>28.87</v>
      </c>
      <c r="M24" s="54">
        <v>72.67</v>
      </c>
      <c r="N24" s="54">
        <v>131</v>
      </c>
      <c r="O24" s="54">
        <v>0</v>
      </c>
      <c r="P24" s="54">
        <v>0.3</v>
      </c>
      <c r="Q24" s="54">
        <v>9.01</v>
      </c>
      <c r="R24" s="43"/>
      <c r="S24" s="43"/>
      <c r="T24" s="43"/>
      <c r="U24" s="43"/>
    </row>
    <row r="25" spans="1:21" s="11" customFormat="1" x14ac:dyDescent="0.25">
      <c r="A25" s="53" t="s">
        <v>532</v>
      </c>
      <c r="B25" s="54">
        <v>5.49</v>
      </c>
      <c r="C25" s="54">
        <v>11.07</v>
      </c>
      <c r="D25" s="54">
        <v>10.19</v>
      </c>
      <c r="E25" s="54">
        <v>5.96</v>
      </c>
      <c r="F25" s="54">
        <v>10.42</v>
      </c>
      <c r="G25" s="54">
        <v>28.36</v>
      </c>
      <c r="H25" s="54">
        <v>14.29</v>
      </c>
      <c r="I25" s="54">
        <v>1.24</v>
      </c>
      <c r="J25" s="54">
        <v>1.05</v>
      </c>
      <c r="K25" s="54">
        <v>129.12</v>
      </c>
      <c r="L25" s="54">
        <v>27.73</v>
      </c>
      <c r="M25" s="54">
        <v>73.819999999999993</v>
      </c>
      <c r="N25" s="54">
        <v>83.2</v>
      </c>
      <c r="O25" s="54">
        <v>0</v>
      </c>
      <c r="P25" s="54">
        <v>0.26</v>
      </c>
      <c r="Q25" s="54">
        <v>9.02</v>
      </c>
      <c r="R25" s="43"/>
      <c r="S25" s="43"/>
      <c r="T25" s="43"/>
      <c r="U25" s="43"/>
    </row>
    <row r="26" spans="1:21" s="11" customFormat="1" x14ac:dyDescent="0.25">
      <c r="A26" s="53" t="s">
        <v>533</v>
      </c>
      <c r="B26" s="54">
        <v>5.72</v>
      </c>
      <c r="C26" s="54">
        <v>16.100000000000001</v>
      </c>
      <c r="D26" s="54">
        <v>13</v>
      </c>
      <c r="E26" s="54">
        <v>6.11</v>
      </c>
      <c r="F26" s="54">
        <v>11.55</v>
      </c>
      <c r="G26" s="54">
        <v>29.4</v>
      </c>
      <c r="H26" s="54">
        <v>12.71</v>
      </c>
      <c r="I26" s="54">
        <v>1.1299999999999999</v>
      </c>
      <c r="J26" s="54">
        <v>0.72</v>
      </c>
      <c r="K26" s="54">
        <v>139.91</v>
      </c>
      <c r="L26" s="54">
        <v>27.09</v>
      </c>
      <c r="M26" s="54">
        <v>87.33</v>
      </c>
      <c r="N26" s="54">
        <v>51.5</v>
      </c>
      <c r="O26" s="54">
        <v>0</v>
      </c>
      <c r="P26" s="54">
        <v>0.5</v>
      </c>
      <c r="Q26" s="54">
        <v>8.98</v>
      </c>
      <c r="R26" s="43"/>
      <c r="S26" s="43"/>
      <c r="T26" s="43"/>
      <c r="U26" s="43"/>
    </row>
    <row r="27" spans="1:21" s="11" customFormat="1" x14ac:dyDescent="0.25">
      <c r="A27" s="53" t="s">
        <v>534</v>
      </c>
      <c r="B27" s="54">
        <v>5.66</v>
      </c>
      <c r="C27" s="54">
        <v>13.81</v>
      </c>
      <c r="D27" s="54">
        <v>11.65</v>
      </c>
      <c r="E27" s="54">
        <v>7.39</v>
      </c>
      <c r="F27" s="54">
        <v>10.57</v>
      </c>
      <c r="G27" s="54">
        <v>33.020000000000003</v>
      </c>
      <c r="H27" s="54">
        <v>12</v>
      </c>
      <c r="I27" s="54">
        <v>1.26</v>
      </c>
      <c r="J27" s="54">
        <v>0.68</v>
      </c>
      <c r="K27" s="54">
        <v>135.72</v>
      </c>
      <c r="L27" s="54">
        <v>25.98</v>
      </c>
      <c r="M27" s="54">
        <v>90.56</v>
      </c>
      <c r="N27" s="54">
        <v>42.3</v>
      </c>
      <c r="O27" s="54">
        <v>0</v>
      </c>
      <c r="P27" s="54">
        <v>0.4</v>
      </c>
      <c r="Q27" s="54">
        <v>8.98</v>
      </c>
      <c r="R27" s="43"/>
      <c r="S27" s="43"/>
      <c r="T27" s="43"/>
      <c r="U27" s="43"/>
    </row>
    <row r="28" spans="1:21" s="11" customFormat="1" x14ac:dyDescent="0.25">
      <c r="A28" s="53" t="s">
        <v>535</v>
      </c>
      <c r="B28" s="54">
        <v>5.18</v>
      </c>
      <c r="C28" s="54">
        <v>13.33</v>
      </c>
      <c r="D28" s="54">
        <v>11.12</v>
      </c>
      <c r="E28" s="54">
        <v>7.37</v>
      </c>
      <c r="F28" s="54">
        <v>10.45</v>
      </c>
      <c r="G28" s="54">
        <v>33.1</v>
      </c>
      <c r="H28" s="54">
        <v>10.199999999999999</v>
      </c>
      <c r="I28" s="54">
        <v>1.37</v>
      </c>
      <c r="J28" s="54">
        <v>0.84</v>
      </c>
      <c r="K28" s="54">
        <v>136.97999999999999</v>
      </c>
      <c r="L28" s="54">
        <v>25.63</v>
      </c>
      <c r="M28" s="54">
        <v>94.52</v>
      </c>
      <c r="N28" s="54">
        <v>42</v>
      </c>
      <c r="O28" s="54">
        <v>0</v>
      </c>
      <c r="P28" s="54">
        <v>0.42</v>
      </c>
      <c r="Q28" s="54">
        <v>9.0299999999999994</v>
      </c>
      <c r="R28" s="43"/>
      <c r="S28" s="43"/>
      <c r="T28" s="43"/>
      <c r="U28" s="43"/>
    </row>
    <row r="29" spans="1:21" s="11" customFormat="1" x14ac:dyDescent="0.25">
      <c r="A29" s="53" t="s">
        <v>536</v>
      </c>
      <c r="B29" s="54">
        <v>5.44</v>
      </c>
      <c r="C29" s="54">
        <v>13.05</v>
      </c>
      <c r="D29" s="54">
        <v>10.94</v>
      </c>
      <c r="E29" s="54">
        <v>7.04</v>
      </c>
      <c r="F29" s="54">
        <v>8.4600000000000009</v>
      </c>
      <c r="G29" s="54">
        <v>34.82</v>
      </c>
      <c r="H29" s="54">
        <v>8.94</v>
      </c>
      <c r="I29" s="54">
        <v>1.48</v>
      </c>
      <c r="J29" s="54">
        <v>0.98</v>
      </c>
      <c r="K29" s="54">
        <v>126.75</v>
      </c>
      <c r="L29" s="54">
        <v>25.58</v>
      </c>
      <c r="M29" s="54">
        <v>95.56</v>
      </c>
      <c r="N29" s="54">
        <v>42</v>
      </c>
      <c r="O29" s="54">
        <v>0</v>
      </c>
      <c r="P29" s="54">
        <v>0.43</v>
      </c>
      <c r="Q29" s="54">
        <v>9.0500000000000007</v>
      </c>
      <c r="R29" s="43"/>
      <c r="S29" s="43"/>
      <c r="T29" s="43"/>
      <c r="U29" s="43"/>
    </row>
    <row r="30" spans="1:21" s="11" customFormat="1" x14ac:dyDescent="0.25">
      <c r="A30" s="53" t="s">
        <v>537</v>
      </c>
      <c r="B30" s="54">
        <v>5.79</v>
      </c>
      <c r="C30" s="54">
        <v>10.54</v>
      </c>
      <c r="D30" s="54">
        <v>10.07</v>
      </c>
      <c r="E30" s="54">
        <v>6.79</v>
      </c>
      <c r="F30" s="54">
        <v>8.5399999999999991</v>
      </c>
      <c r="G30" s="54">
        <v>57.09</v>
      </c>
      <c r="H30" s="54">
        <v>9.69</v>
      </c>
      <c r="I30" s="54">
        <v>1.5</v>
      </c>
      <c r="J30" s="54">
        <v>0.56000000000000005</v>
      </c>
      <c r="K30" s="54">
        <v>152.62</v>
      </c>
      <c r="L30" s="54">
        <v>25.14</v>
      </c>
      <c r="M30" s="54">
        <v>97.7</v>
      </c>
      <c r="N30" s="54">
        <v>42.3</v>
      </c>
      <c r="O30" s="54">
        <v>0</v>
      </c>
      <c r="P30" s="54">
        <v>0.38</v>
      </c>
      <c r="Q30" s="54">
        <v>9.01</v>
      </c>
      <c r="R30" s="43"/>
      <c r="S30" s="43"/>
      <c r="T30" s="43"/>
      <c r="U30" s="43"/>
    </row>
    <row r="31" spans="1:21" s="11" customFormat="1" x14ac:dyDescent="0.25">
      <c r="A31" s="53" t="s">
        <v>538</v>
      </c>
      <c r="B31" s="54">
        <v>6.54</v>
      </c>
      <c r="C31" s="54">
        <v>10.14</v>
      </c>
      <c r="D31" s="54">
        <v>9.98</v>
      </c>
      <c r="E31" s="54">
        <v>6.32</v>
      </c>
      <c r="F31" s="54">
        <v>4.46</v>
      </c>
      <c r="G31" s="54">
        <v>68.53</v>
      </c>
      <c r="H31" s="54">
        <v>8.2799999999999994</v>
      </c>
      <c r="I31" s="54">
        <v>1.47</v>
      </c>
      <c r="J31" s="54">
        <v>0.54</v>
      </c>
      <c r="K31" s="54">
        <v>176.84</v>
      </c>
      <c r="L31" s="54">
        <v>23.96</v>
      </c>
      <c r="M31" s="54">
        <v>97.75</v>
      </c>
      <c r="N31" s="54">
        <v>42.1</v>
      </c>
      <c r="O31" s="54">
        <v>0</v>
      </c>
      <c r="P31" s="54">
        <v>0.37</v>
      </c>
      <c r="Q31" s="54">
        <v>9</v>
      </c>
      <c r="R31" s="43"/>
      <c r="S31" s="43"/>
      <c r="T31" s="43"/>
      <c r="U31" s="43"/>
    </row>
    <row r="32" spans="1:21" s="11" customFormat="1" x14ac:dyDescent="0.25">
      <c r="A32" s="53" t="s">
        <v>539</v>
      </c>
      <c r="B32" s="54">
        <v>6.44</v>
      </c>
      <c r="C32" s="54">
        <v>10.08</v>
      </c>
      <c r="D32" s="54">
        <v>10.43</v>
      </c>
      <c r="E32" s="54">
        <v>6.31</v>
      </c>
      <c r="F32" s="54">
        <v>3.43</v>
      </c>
      <c r="G32" s="54">
        <v>71.88</v>
      </c>
      <c r="H32" s="54">
        <v>7.3</v>
      </c>
      <c r="I32" s="54">
        <v>1.45</v>
      </c>
      <c r="J32" s="54">
        <v>0.4</v>
      </c>
      <c r="K32" s="54">
        <v>177.89</v>
      </c>
      <c r="L32" s="54">
        <v>23.18</v>
      </c>
      <c r="M32" s="54">
        <v>97.73</v>
      </c>
      <c r="N32" s="54">
        <v>41.9</v>
      </c>
      <c r="O32" s="54">
        <v>0</v>
      </c>
      <c r="P32" s="54">
        <v>0.31</v>
      </c>
      <c r="Q32" s="54">
        <v>9.0299999999999994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5.18</v>
      </c>
      <c r="C34" s="28">
        <f t="shared" si="0"/>
        <v>9.32</v>
      </c>
      <c r="D34" s="28">
        <f t="shared" si="0"/>
        <v>9.41</v>
      </c>
      <c r="E34" s="28">
        <f t="shared" si="0"/>
        <v>5.96</v>
      </c>
      <c r="F34" s="28">
        <f t="shared" si="0"/>
        <v>2.1</v>
      </c>
      <c r="G34" s="28">
        <f t="shared" si="0"/>
        <v>2.02</v>
      </c>
      <c r="H34" s="28">
        <f t="shared" si="0"/>
        <v>6.13</v>
      </c>
      <c r="I34" s="28">
        <f t="shared" si="0"/>
        <v>1.1299999999999999</v>
      </c>
      <c r="J34" s="28">
        <f t="shared" si="0"/>
        <v>0.15</v>
      </c>
      <c r="K34" s="28">
        <f t="shared" si="0"/>
        <v>126.75</v>
      </c>
      <c r="L34" s="28">
        <f t="shared" si="0"/>
        <v>22.69</v>
      </c>
      <c r="M34" s="28">
        <f t="shared" si="0"/>
        <v>68.05</v>
      </c>
      <c r="N34" s="28">
        <f t="shared" si="0"/>
        <v>40.4</v>
      </c>
      <c r="O34" s="28">
        <f t="shared" si="0"/>
        <v>0</v>
      </c>
      <c r="P34" s="28">
        <f t="shared" si="0"/>
        <v>0.21</v>
      </c>
      <c r="Q34" s="28">
        <f t="shared" si="0"/>
        <v>8.98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17.04</v>
      </c>
      <c r="C35" s="29">
        <f t="shared" si="1"/>
        <v>21.25</v>
      </c>
      <c r="D35" s="29">
        <f t="shared" si="1"/>
        <v>23.9</v>
      </c>
      <c r="E35" s="29">
        <f t="shared" si="1"/>
        <v>12</v>
      </c>
      <c r="F35" s="29">
        <f t="shared" si="1"/>
        <v>13.57</v>
      </c>
      <c r="G35" s="29">
        <f t="shared" si="1"/>
        <v>94.5</v>
      </c>
      <c r="H35" s="29">
        <f t="shared" si="1"/>
        <v>21.69</v>
      </c>
      <c r="I35" s="29">
        <f t="shared" si="1"/>
        <v>3.66</v>
      </c>
      <c r="J35" s="29">
        <f t="shared" si="1"/>
        <v>2.12</v>
      </c>
      <c r="K35" s="29">
        <f t="shared" si="1"/>
        <v>344.38</v>
      </c>
      <c r="L35" s="29">
        <f t="shared" si="1"/>
        <v>29.33</v>
      </c>
      <c r="M35" s="29">
        <f t="shared" si="1"/>
        <v>97.75</v>
      </c>
      <c r="N35" s="29">
        <f t="shared" si="1"/>
        <v>764</v>
      </c>
      <c r="O35" s="29">
        <f t="shared" si="1"/>
        <v>0</v>
      </c>
      <c r="P35" s="29">
        <f t="shared" si="1"/>
        <v>1.1200000000000001</v>
      </c>
      <c r="Q35" s="29">
        <f t="shared" si="1"/>
        <v>9.24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8.567499999999999</v>
      </c>
      <c r="C36" s="28">
        <f t="shared" si="2"/>
        <v>14.620416666666666</v>
      </c>
      <c r="D36" s="28">
        <f t="shared" si="2"/>
        <v>14.132916666666665</v>
      </c>
      <c r="E36" s="28">
        <f t="shared" si="2"/>
        <v>8.0358333333333327</v>
      </c>
      <c r="F36" s="28">
        <f t="shared" si="2"/>
        <v>7.208333333333333</v>
      </c>
      <c r="G36" s="28">
        <f t="shared" si="2"/>
        <v>57.876666666666665</v>
      </c>
      <c r="H36" s="28">
        <f t="shared" si="2"/>
        <v>14.264583333333333</v>
      </c>
      <c r="I36" s="28">
        <f t="shared" si="2"/>
        <v>2.2749999999999999</v>
      </c>
      <c r="J36" s="28">
        <f t="shared" si="2"/>
        <v>0.80874999999999997</v>
      </c>
      <c r="K36" s="28">
        <f t="shared" si="2"/>
        <v>223.48041666666668</v>
      </c>
      <c r="L36" s="28">
        <f t="shared" si="2"/>
        <v>25.689583333333331</v>
      </c>
      <c r="M36" s="28">
        <f t="shared" si="2"/>
        <v>88.736249999999998</v>
      </c>
      <c r="N36" s="28">
        <f t="shared" si="2"/>
        <v>199.73333333333335</v>
      </c>
      <c r="O36" s="28">
        <f t="shared" si="2"/>
        <v>0</v>
      </c>
      <c r="P36" s="28">
        <f t="shared" si="2"/>
        <v>0.57333333333333336</v>
      </c>
      <c r="Q36" s="28">
        <f t="shared" si="2"/>
        <v>9.0841666666666665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3.2807650883928567</v>
      </c>
      <c r="C37" s="28">
        <f t="shared" ref="C37:Q37" si="3">STDEV(C9:C32)</f>
        <v>3.7184422628728262</v>
      </c>
      <c r="D37" s="28">
        <f t="shared" si="3"/>
        <v>3.9046844543965209</v>
      </c>
      <c r="E37" s="28">
        <f t="shared" si="3"/>
        <v>1.7134656380428654</v>
      </c>
      <c r="F37" s="28">
        <f t="shared" si="3"/>
        <v>3.5279340754299389</v>
      </c>
      <c r="G37" s="28">
        <f t="shared" si="3"/>
        <v>29.277117740454013</v>
      </c>
      <c r="H37" s="28">
        <f t="shared" si="3"/>
        <v>5.0359144751920972</v>
      </c>
      <c r="I37" s="28">
        <f t="shared" si="3"/>
        <v>0.98258310855489239</v>
      </c>
      <c r="J37" s="28">
        <f t="shared" si="3"/>
        <v>0.45751039427488993</v>
      </c>
      <c r="K37" s="28">
        <f t="shared" si="3"/>
        <v>97.835996019921765</v>
      </c>
      <c r="L37" s="28">
        <f t="shared" si="3"/>
        <v>2.4936048276003726</v>
      </c>
      <c r="M37" s="28">
        <f t="shared" si="3"/>
        <v>11.36280385349685</v>
      </c>
      <c r="N37" s="28">
        <f t="shared" si="3"/>
        <v>260.19748130095786</v>
      </c>
      <c r="O37" s="28">
        <f t="shared" si="3"/>
        <v>0</v>
      </c>
      <c r="P37" s="28">
        <f t="shared" si="3"/>
        <v>0.28380438251766282</v>
      </c>
      <c r="Q37" s="28">
        <f t="shared" si="3"/>
        <v>8.6170542059572586E-2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3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13" sqref="G1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21/10/2025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3" t="s">
        <v>540</v>
      </c>
      <c r="B9" s="54">
        <v>6.5</v>
      </c>
      <c r="C9" s="54">
        <v>8.93</v>
      </c>
      <c r="D9" s="54">
        <v>9.64</v>
      </c>
      <c r="E9" s="54">
        <v>6.99</v>
      </c>
      <c r="F9" s="54">
        <v>2.1</v>
      </c>
      <c r="G9" s="54">
        <v>67.56</v>
      </c>
      <c r="H9" s="54">
        <v>18.66</v>
      </c>
      <c r="I9" s="54">
        <v>1.37</v>
      </c>
      <c r="J9" s="54">
        <v>0.37</v>
      </c>
      <c r="K9" s="54">
        <v>153.52000000000001</v>
      </c>
      <c r="L9" s="54">
        <v>23.03</v>
      </c>
      <c r="M9" s="54">
        <v>97.73</v>
      </c>
      <c r="N9" s="54">
        <v>41.8</v>
      </c>
      <c r="O9" s="54">
        <v>0</v>
      </c>
      <c r="P9" s="54">
        <v>0.28999999999999998</v>
      </c>
      <c r="Q9" s="54">
        <v>9.0500000000000007</v>
      </c>
      <c r="R9" s="43"/>
      <c r="S9" s="43"/>
      <c r="T9" s="43"/>
      <c r="U9" s="43"/>
    </row>
    <row r="10" spans="1:21" s="11" customFormat="1" x14ac:dyDescent="0.25">
      <c r="A10" s="53" t="s">
        <v>541</v>
      </c>
      <c r="B10" s="54">
        <v>7.06</v>
      </c>
      <c r="C10" s="54">
        <v>7.7</v>
      </c>
      <c r="D10" s="54">
        <v>9.56</v>
      </c>
      <c r="E10" s="54">
        <v>6.37</v>
      </c>
      <c r="F10" s="54">
        <v>2.1</v>
      </c>
      <c r="G10" s="54">
        <v>49.28</v>
      </c>
      <c r="H10" s="54">
        <v>15.2</v>
      </c>
      <c r="I10" s="54">
        <v>1.33</v>
      </c>
      <c r="J10" s="54">
        <v>0.82</v>
      </c>
      <c r="K10" s="54">
        <v>125.53</v>
      </c>
      <c r="L10" s="54">
        <v>22.76</v>
      </c>
      <c r="M10" s="54">
        <v>97.73</v>
      </c>
      <c r="N10" s="54">
        <v>41.8</v>
      </c>
      <c r="O10" s="54">
        <v>0</v>
      </c>
      <c r="P10" s="54">
        <v>0.31</v>
      </c>
      <c r="Q10" s="54">
        <v>9.0399999999999991</v>
      </c>
      <c r="R10" s="43"/>
      <c r="S10" s="43"/>
      <c r="T10" s="43"/>
      <c r="U10" s="43"/>
    </row>
    <row r="11" spans="1:21" s="11" customFormat="1" x14ac:dyDescent="0.25">
      <c r="A11" s="53" t="s">
        <v>542</v>
      </c>
      <c r="B11" s="54">
        <v>6.98</v>
      </c>
      <c r="C11" s="54">
        <v>6.83</v>
      </c>
      <c r="D11" s="54">
        <v>9.11</v>
      </c>
      <c r="E11" s="54">
        <v>6.08</v>
      </c>
      <c r="F11" s="54">
        <v>2.4500000000000002</v>
      </c>
      <c r="G11" s="54">
        <v>40.97</v>
      </c>
      <c r="H11" s="54">
        <v>14.69</v>
      </c>
      <c r="I11" s="54">
        <v>1.24</v>
      </c>
      <c r="J11" s="54">
        <v>0.87</v>
      </c>
      <c r="K11" s="54">
        <v>125.17</v>
      </c>
      <c r="L11" s="54">
        <v>22.39</v>
      </c>
      <c r="M11" s="54">
        <v>97.75</v>
      </c>
      <c r="N11" s="54">
        <v>41.7</v>
      </c>
      <c r="O11" s="54">
        <v>0</v>
      </c>
      <c r="P11" s="54">
        <v>0.26</v>
      </c>
      <c r="Q11" s="54">
        <v>9.0299999999999994</v>
      </c>
      <c r="R11" s="43"/>
      <c r="S11" s="43"/>
      <c r="T11" s="43"/>
      <c r="U11" s="43"/>
    </row>
    <row r="12" spans="1:21" s="11" customFormat="1" x14ac:dyDescent="0.25">
      <c r="A12" s="53" t="s">
        <v>543</v>
      </c>
      <c r="B12" s="54">
        <v>7.21</v>
      </c>
      <c r="C12" s="54">
        <v>7.01</v>
      </c>
      <c r="D12" s="54">
        <v>9.39</v>
      </c>
      <c r="E12" s="54">
        <v>5.82</v>
      </c>
      <c r="F12" s="54">
        <v>2.1</v>
      </c>
      <c r="G12" s="54">
        <v>32.630000000000003</v>
      </c>
      <c r="H12" s="54">
        <v>13.96</v>
      </c>
      <c r="I12" s="54">
        <v>1.18</v>
      </c>
      <c r="J12" s="54">
        <v>0.69</v>
      </c>
      <c r="K12" s="54">
        <v>127.24</v>
      </c>
      <c r="L12" s="54">
        <v>22.28</v>
      </c>
      <c r="M12" s="54">
        <v>97.73</v>
      </c>
      <c r="N12" s="54">
        <v>41.8</v>
      </c>
      <c r="O12" s="54">
        <v>0</v>
      </c>
      <c r="P12" s="54">
        <v>0.27</v>
      </c>
      <c r="Q12" s="54">
        <v>9.0299999999999994</v>
      </c>
      <c r="R12" s="43"/>
      <c r="S12" s="43"/>
      <c r="T12" s="43"/>
      <c r="U12" s="43"/>
    </row>
    <row r="13" spans="1:21" s="11" customFormat="1" x14ac:dyDescent="0.25">
      <c r="A13" s="53" t="s">
        <v>544</v>
      </c>
      <c r="B13" s="54">
        <v>7.27</v>
      </c>
      <c r="C13" s="54">
        <v>7.85</v>
      </c>
      <c r="D13" s="54">
        <v>9.73</v>
      </c>
      <c r="E13" s="54">
        <v>5.81</v>
      </c>
      <c r="F13" s="54">
        <v>2.1</v>
      </c>
      <c r="G13" s="54">
        <v>29.6</v>
      </c>
      <c r="H13" s="54">
        <v>13.07</v>
      </c>
      <c r="I13" s="54">
        <v>1.1499999999999999</v>
      </c>
      <c r="J13" s="54">
        <v>0.34</v>
      </c>
      <c r="K13" s="54">
        <v>136.07</v>
      </c>
      <c r="L13" s="54">
        <v>21.88</v>
      </c>
      <c r="M13" s="54">
        <v>97.8</v>
      </c>
      <c r="N13" s="54">
        <v>41.9</v>
      </c>
      <c r="O13" s="54">
        <v>0</v>
      </c>
      <c r="P13" s="54">
        <v>0.24</v>
      </c>
      <c r="Q13" s="54">
        <v>9.06</v>
      </c>
      <c r="R13" s="43"/>
      <c r="S13" s="43"/>
      <c r="T13" s="43"/>
      <c r="U13" s="43"/>
    </row>
    <row r="14" spans="1:21" s="11" customFormat="1" x14ac:dyDescent="0.25">
      <c r="A14" s="53" t="s">
        <v>545</v>
      </c>
      <c r="B14" s="54">
        <v>8.8800000000000008</v>
      </c>
      <c r="C14" s="54">
        <v>7.53</v>
      </c>
      <c r="D14" s="54">
        <v>10.9</v>
      </c>
      <c r="E14" s="54">
        <v>5.91</v>
      </c>
      <c r="F14" s="54">
        <v>2.1</v>
      </c>
      <c r="G14" s="54">
        <v>23.36</v>
      </c>
      <c r="H14" s="54">
        <v>14.88</v>
      </c>
      <c r="I14" s="54">
        <v>1.1399999999999999</v>
      </c>
      <c r="J14" s="54">
        <v>0.17</v>
      </c>
      <c r="K14" s="54">
        <v>278.14</v>
      </c>
      <c r="L14" s="54">
        <v>21.45</v>
      </c>
      <c r="M14" s="54">
        <v>97.85</v>
      </c>
      <c r="N14" s="54">
        <v>44.3</v>
      </c>
      <c r="O14" s="54">
        <v>0</v>
      </c>
      <c r="P14" s="54">
        <v>0.26</v>
      </c>
      <c r="Q14" s="54">
        <v>9.07</v>
      </c>
      <c r="R14" s="43"/>
      <c r="S14" s="43"/>
      <c r="T14" s="43"/>
      <c r="U14" s="43"/>
    </row>
    <row r="15" spans="1:21" s="11" customFormat="1" x14ac:dyDescent="0.25">
      <c r="A15" s="53" t="s">
        <v>546</v>
      </c>
      <c r="B15" s="54">
        <v>9.36</v>
      </c>
      <c r="C15" s="54">
        <v>6.92</v>
      </c>
      <c r="D15" s="54">
        <v>10.93</v>
      </c>
      <c r="E15" s="54">
        <v>5.67</v>
      </c>
      <c r="F15" s="54">
        <v>2.12</v>
      </c>
      <c r="G15" s="54">
        <v>20.91</v>
      </c>
      <c r="H15" s="54">
        <v>13.71</v>
      </c>
      <c r="I15" s="54">
        <v>1.1200000000000001</v>
      </c>
      <c r="J15" s="54">
        <v>0.22</v>
      </c>
      <c r="K15" s="54">
        <v>240.16</v>
      </c>
      <c r="L15" s="54">
        <v>23.56</v>
      </c>
      <c r="M15" s="54">
        <v>97.72</v>
      </c>
      <c r="N15" s="54">
        <v>199.5</v>
      </c>
      <c r="O15" s="54">
        <v>0</v>
      </c>
      <c r="P15" s="54">
        <v>0.28999999999999998</v>
      </c>
      <c r="Q15" s="54">
        <v>9.0500000000000007</v>
      </c>
      <c r="R15" s="43"/>
      <c r="S15" s="43"/>
      <c r="T15" s="43"/>
      <c r="U15" s="43"/>
    </row>
    <row r="16" spans="1:21" s="11" customFormat="1" x14ac:dyDescent="0.25">
      <c r="A16" s="53" t="s">
        <v>547</v>
      </c>
      <c r="B16" s="54">
        <v>9.4</v>
      </c>
      <c r="C16" s="54">
        <v>6.65</v>
      </c>
      <c r="D16" s="54">
        <v>10.9</v>
      </c>
      <c r="E16" s="54">
        <v>5.87</v>
      </c>
      <c r="F16" s="54">
        <v>3.39</v>
      </c>
      <c r="G16" s="54">
        <v>24.71</v>
      </c>
      <c r="H16" s="54">
        <v>13.26</v>
      </c>
      <c r="I16" s="54">
        <v>1.1499999999999999</v>
      </c>
      <c r="J16" s="54">
        <v>1.06</v>
      </c>
      <c r="K16" s="54">
        <v>137.38999999999999</v>
      </c>
      <c r="L16" s="54">
        <v>25.73</v>
      </c>
      <c r="M16" s="54">
        <v>96.86</v>
      </c>
      <c r="N16" s="54">
        <v>405.8</v>
      </c>
      <c r="O16" s="54">
        <v>0</v>
      </c>
      <c r="P16" s="54">
        <v>0.28000000000000003</v>
      </c>
      <c r="Q16" s="54">
        <v>9.07</v>
      </c>
      <c r="R16" s="43"/>
      <c r="S16" s="43"/>
      <c r="T16" s="43"/>
      <c r="U16" s="43"/>
    </row>
    <row r="17" spans="1:21" s="11" customFormat="1" x14ac:dyDescent="0.25">
      <c r="A17" s="53" t="s">
        <v>548</v>
      </c>
      <c r="B17" s="54">
        <v>10.35</v>
      </c>
      <c r="C17" s="54">
        <v>8.19</v>
      </c>
      <c r="D17" s="54">
        <v>11.96</v>
      </c>
      <c r="E17" s="54">
        <v>7.87</v>
      </c>
      <c r="F17" s="54">
        <v>4.92</v>
      </c>
      <c r="G17" s="54">
        <v>22.42</v>
      </c>
      <c r="H17" s="54">
        <v>12.67</v>
      </c>
      <c r="I17" s="54">
        <v>1.1599999999999999</v>
      </c>
      <c r="J17" s="54">
        <v>0.96</v>
      </c>
      <c r="K17" s="54">
        <v>144.12</v>
      </c>
      <c r="L17" s="54">
        <v>28.02</v>
      </c>
      <c r="M17" s="54">
        <v>86.36</v>
      </c>
      <c r="N17" s="54">
        <v>562.5</v>
      </c>
      <c r="O17" s="54">
        <v>0</v>
      </c>
      <c r="P17" s="54">
        <v>0.3</v>
      </c>
      <c r="Q17" s="54">
        <v>9.1</v>
      </c>
      <c r="R17" s="43"/>
      <c r="S17" s="43"/>
      <c r="T17" s="43"/>
      <c r="U17" s="43"/>
    </row>
    <row r="18" spans="1:21" s="11" customFormat="1" x14ac:dyDescent="0.25">
      <c r="A18" s="53" t="s">
        <v>549</v>
      </c>
      <c r="B18" s="54">
        <v>8.41</v>
      </c>
      <c r="C18" s="54">
        <v>7.62</v>
      </c>
      <c r="D18" s="54">
        <v>10.73</v>
      </c>
      <c r="E18" s="54">
        <v>8.23</v>
      </c>
      <c r="F18" s="54">
        <v>6.72</v>
      </c>
      <c r="G18" s="54">
        <v>18.04</v>
      </c>
      <c r="H18" s="54">
        <v>12.84</v>
      </c>
      <c r="I18" s="54">
        <v>1.19</v>
      </c>
      <c r="J18" s="54">
        <v>1.26</v>
      </c>
      <c r="K18" s="54">
        <v>126.54</v>
      </c>
      <c r="L18" s="54">
        <v>28.32</v>
      </c>
      <c r="M18" s="54">
        <v>81.58</v>
      </c>
      <c r="N18" s="54">
        <v>726</v>
      </c>
      <c r="O18" s="54">
        <v>0</v>
      </c>
      <c r="P18" s="54">
        <v>0.27</v>
      </c>
      <c r="Q18" s="54">
        <v>9.11</v>
      </c>
      <c r="R18" s="43"/>
      <c r="S18" s="43"/>
      <c r="T18" s="43"/>
      <c r="U18" s="43"/>
    </row>
    <row r="19" spans="1:21" s="11" customFormat="1" x14ac:dyDescent="0.25">
      <c r="A19" s="53" t="s">
        <v>550</v>
      </c>
      <c r="B19" s="54">
        <v>7.71</v>
      </c>
      <c r="C19" s="54">
        <v>6.91</v>
      </c>
      <c r="D19" s="54">
        <v>9.7899999999999991</v>
      </c>
      <c r="E19" s="54">
        <v>7.07</v>
      </c>
      <c r="F19" s="54">
        <v>8.27</v>
      </c>
      <c r="G19" s="54">
        <v>15.54</v>
      </c>
      <c r="H19" s="54">
        <v>12.43</v>
      </c>
      <c r="I19" s="54">
        <v>1.18</v>
      </c>
      <c r="J19" s="54">
        <v>1.49</v>
      </c>
      <c r="K19" s="54">
        <v>127.63</v>
      </c>
      <c r="L19" s="54">
        <v>28.16</v>
      </c>
      <c r="M19" s="54">
        <v>80.87</v>
      </c>
      <c r="N19" s="54">
        <v>775.5</v>
      </c>
      <c r="O19" s="54">
        <v>0</v>
      </c>
      <c r="P19" s="54">
        <v>0.27</v>
      </c>
      <c r="Q19" s="54">
        <v>9.09</v>
      </c>
      <c r="R19" s="43"/>
      <c r="S19" s="43"/>
      <c r="T19" s="43"/>
      <c r="U19" s="43"/>
    </row>
    <row r="20" spans="1:21" s="11" customFormat="1" x14ac:dyDescent="0.25">
      <c r="A20" s="53" t="s">
        <v>551</v>
      </c>
      <c r="B20" s="54">
        <v>6.69</v>
      </c>
      <c r="C20" s="54">
        <v>7.7</v>
      </c>
      <c r="D20" s="54">
        <v>9.32</v>
      </c>
      <c r="E20" s="54">
        <v>6.65</v>
      </c>
      <c r="F20" s="54">
        <v>13.45</v>
      </c>
      <c r="G20" s="54">
        <v>17.600000000000001</v>
      </c>
      <c r="H20" s="54">
        <v>12.51</v>
      </c>
      <c r="I20" s="54">
        <v>1.1200000000000001</v>
      </c>
      <c r="J20" s="54">
        <v>1.26</v>
      </c>
      <c r="K20" s="54">
        <v>125.07</v>
      </c>
      <c r="L20" s="54">
        <v>27.51</v>
      </c>
      <c r="M20" s="54">
        <v>82.69</v>
      </c>
      <c r="N20" s="54">
        <v>455.9</v>
      </c>
      <c r="O20" s="54">
        <v>0</v>
      </c>
      <c r="P20" s="54">
        <v>0.27</v>
      </c>
      <c r="Q20" s="54">
        <v>9.02</v>
      </c>
      <c r="R20" s="43"/>
      <c r="S20" s="43"/>
      <c r="T20" s="43"/>
      <c r="U20" s="43"/>
    </row>
    <row r="21" spans="1:21" s="11" customFormat="1" x14ac:dyDescent="0.25">
      <c r="A21" s="53" t="s">
        <v>552</v>
      </c>
      <c r="B21" s="54">
        <v>6</v>
      </c>
      <c r="C21" s="54">
        <v>7.37</v>
      </c>
      <c r="D21" s="54">
        <v>8.66</v>
      </c>
      <c r="E21" s="54">
        <v>6.8</v>
      </c>
      <c r="F21" s="54">
        <v>10.199999999999999</v>
      </c>
      <c r="G21" s="54">
        <v>22.83</v>
      </c>
      <c r="H21" s="54">
        <v>13.17</v>
      </c>
      <c r="I21" s="54">
        <v>1.08</v>
      </c>
      <c r="J21" s="54">
        <v>1.55</v>
      </c>
      <c r="K21" s="54">
        <v>125.94</v>
      </c>
      <c r="L21" s="54">
        <v>28.27</v>
      </c>
      <c r="M21" s="54">
        <v>81.239999999999995</v>
      </c>
      <c r="N21" s="54">
        <v>496.9</v>
      </c>
      <c r="O21" s="54">
        <v>0</v>
      </c>
      <c r="P21" s="54">
        <v>0.28999999999999998</v>
      </c>
      <c r="Q21" s="54">
        <v>9</v>
      </c>
      <c r="R21" s="43"/>
      <c r="S21" s="43"/>
      <c r="T21" s="43"/>
      <c r="U21" s="43"/>
    </row>
    <row r="22" spans="1:21" s="11" customFormat="1" x14ac:dyDescent="0.25">
      <c r="A22" s="53" t="s">
        <v>553</v>
      </c>
      <c r="B22" s="54">
        <v>6.49</v>
      </c>
      <c r="C22" s="54">
        <v>8.6</v>
      </c>
      <c r="D22" s="54">
        <v>9.6999999999999993</v>
      </c>
      <c r="E22" s="54">
        <v>7</v>
      </c>
      <c r="F22" s="54">
        <v>11.91</v>
      </c>
      <c r="G22" s="54">
        <v>23.62</v>
      </c>
      <c r="H22" s="54">
        <v>16.670000000000002</v>
      </c>
      <c r="I22" s="54">
        <v>1.1000000000000001</v>
      </c>
      <c r="J22" s="54">
        <v>1.29</v>
      </c>
      <c r="K22" s="54">
        <v>132.22</v>
      </c>
      <c r="L22" s="54">
        <v>28.16</v>
      </c>
      <c r="M22" s="54">
        <v>79.680000000000007</v>
      </c>
      <c r="N22" s="54">
        <v>294.8</v>
      </c>
      <c r="O22" s="54">
        <v>0</v>
      </c>
      <c r="P22" s="54">
        <v>0.3</v>
      </c>
      <c r="Q22" s="54">
        <v>9.01</v>
      </c>
      <c r="R22" s="43"/>
      <c r="S22" s="43"/>
      <c r="T22" s="43"/>
      <c r="U22" s="43"/>
    </row>
    <row r="23" spans="1:21" s="11" customFormat="1" x14ac:dyDescent="0.25">
      <c r="A23" s="53" t="s">
        <v>554</v>
      </c>
      <c r="B23" s="54">
        <v>5.93</v>
      </c>
      <c r="C23" s="54">
        <v>9.74</v>
      </c>
      <c r="D23" s="54">
        <v>9.7100000000000009</v>
      </c>
      <c r="E23" s="54">
        <v>8.02</v>
      </c>
      <c r="F23" s="54">
        <v>12.83</v>
      </c>
      <c r="G23" s="54">
        <v>23.42</v>
      </c>
      <c r="H23" s="54">
        <v>15.08</v>
      </c>
      <c r="I23" s="54">
        <v>1.1200000000000001</v>
      </c>
      <c r="J23" s="54">
        <v>0.99</v>
      </c>
      <c r="K23" s="54">
        <v>137.27000000000001</v>
      </c>
      <c r="L23" s="54">
        <v>28.47</v>
      </c>
      <c r="M23" s="54">
        <v>77.69</v>
      </c>
      <c r="N23" s="54">
        <v>239.6</v>
      </c>
      <c r="O23" s="54">
        <v>0</v>
      </c>
      <c r="P23" s="54">
        <v>0.36</v>
      </c>
      <c r="Q23" s="54">
        <v>9</v>
      </c>
      <c r="R23" s="43"/>
      <c r="S23" s="43"/>
      <c r="T23" s="43"/>
      <c r="U23" s="43"/>
    </row>
    <row r="24" spans="1:21" s="11" customFormat="1" x14ac:dyDescent="0.25">
      <c r="A24" s="53" t="s">
        <v>555</v>
      </c>
      <c r="B24" s="54">
        <v>6.84</v>
      </c>
      <c r="C24" s="54">
        <v>11.85</v>
      </c>
      <c r="D24" s="54">
        <v>11.68</v>
      </c>
      <c r="E24" s="54">
        <v>8.1300000000000008</v>
      </c>
      <c r="F24" s="54">
        <v>14.75</v>
      </c>
      <c r="G24" s="54">
        <v>27.09</v>
      </c>
      <c r="H24" s="54">
        <v>14.48</v>
      </c>
      <c r="I24" s="54">
        <v>1.1100000000000001</v>
      </c>
      <c r="J24" s="54">
        <v>0.65</v>
      </c>
      <c r="K24" s="54">
        <v>137.34</v>
      </c>
      <c r="L24" s="54">
        <v>28.07</v>
      </c>
      <c r="M24" s="54">
        <v>79.16</v>
      </c>
      <c r="N24" s="54">
        <v>135.19999999999999</v>
      </c>
      <c r="O24" s="54">
        <v>0</v>
      </c>
      <c r="P24" s="54">
        <v>0.41</v>
      </c>
      <c r="Q24" s="54">
        <v>8.9700000000000006</v>
      </c>
      <c r="R24" s="43"/>
      <c r="S24" s="43"/>
      <c r="T24" s="43"/>
      <c r="U24" s="43"/>
    </row>
    <row r="25" spans="1:21" s="11" customFormat="1" x14ac:dyDescent="0.25">
      <c r="A25" s="53" t="s">
        <v>556</v>
      </c>
      <c r="B25" s="54">
        <v>5.79</v>
      </c>
      <c r="C25" s="54">
        <v>12.1</v>
      </c>
      <c r="D25" s="54">
        <v>10.93</v>
      </c>
      <c r="E25" s="54">
        <v>6.01</v>
      </c>
      <c r="F25" s="54">
        <v>11.5</v>
      </c>
      <c r="G25" s="54">
        <v>29.1</v>
      </c>
      <c r="H25" s="54">
        <v>13.44</v>
      </c>
      <c r="I25" s="54">
        <v>1.1499999999999999</v>
      </c>
      <c r="J25" s="54">
        <v>0.42</v>
      </c>
      <c r="K25" s="54">
        <v>319.68</v>
      </c>
      <c r="L25" s="54">
        <v>27.54</v>
      </c>
      <c r="M25" s="54">
        <v>83.52</v>
      </c>
      <c r="N25" s="54">
        <v>77.7</v>
      </c>
      <c r="O25" s="54">
        <v>0</v>
      </c>
      <c r="P25" s="54">
        <v>0.42</v>
      </c>
      <c r="Q25" s="54">
        <v>8.9700000000000006</v>
      </c>
      <c r="R25" s="43"/>
      <c r="S25" s="43"/>
      <c r="T25" s="43"/>
      <c r="U25" s="43"/>
    </row>
    <row r="26" spans="1:21" s="11" customFormat="1" x14ac:dyDescent="0.25">
      <c r="A26" s="53" t="s">
        <v>557</v>
      </c>
      <c r="B26" s="54">
        <v>6.78</v>
      </c>
      <c r="C26" s="54">
        <v>15.55</v>
      </c>
      <c r="D26" s="54">
        <v>13.56</v>
      </c>
      <c r="E26" s="54">
        <v>6.35</v>
      </c>
      <c r="F26" s="54">
        <v>11.71</v>
      </c>
      <c r="G26" s="54">
        <v>29.62</v>
      </c>
      <c r="H26" s="54">
        <v>16.12</v>
      </c>
      <c r="I26" s="54">
        <v>1.29</v>
      </c>
      <c r="J26" s="54">
        <v>0.82</v>
      </c>
      <c r="K26" s="54">
        <v>317.7</v>
      </c>
      <c r="L26" s="54">
        <v>26.77</v>
      </c>
      <c r="M26" s="54">
        <v>93.19</v>
      </c>
      <c r="N26" s="54">
        <v>50.1</v>
      </c>
      <c r="O26" s="54">
        <v>0</v>
      </c>
      <c r="P26" s="54">
        <v>0.57999999999999996</v>
      </c>
      <c r="Q26" s="54">
        <v>9</v>
      </c>
      <c r="R26" s="43"/>
      <c r="S26" s="43"/>
      <c r="T26" s="43"/>
      <c r="U26" s="43"/>
    </row>
    <row r="27" spans="1:21" s="11" customFormat="1" x14ac:dyDescent="0.25">
      <c r="A27" s="53" t="s">
        <v>558</v>
      </c>
      <c r="B27" s="54">
        <v>6.46</v>
      </c>
      <c r="C27" s="54">
        <v>16.05</v>
      </c>
      <c r="D27" s="54">
        <v>13.57</v>
      </c>
      <c r="E27" s="54">
        <v>5.73</v>
      </c>
      <c r="F27" s="54">
        <v>4.29</v>
      </c>
      <c r="G27" s="54">
        <v>37.14</v>
      </c>
      <c r="H27" s="54">
        <v>14.58</v>
      </c>
      <c r="I27" s="54">
        <v>1.35</v>
      </c>
      <c r="J27" s="54">
        <v>0.52</v>
      </c>
      <c r="K27" s="54">
        <v>311.39</v>
      </c>
      <c r="L27" s="54">
        <v>24.17</v>
      </c>
      <c r="M27" s="54">
        <v>97.55</v>
      </c>
      <c r="N27" s="54">
        <v>40.9</v>
      </c>
      <c r="O27" s="54">
        <v>0</v>
      </c>
      <c r="P27" s="54">
        <v>0.46</v>
      </c>
      <c r="Q27" s="54">
        <v>9.02</v>
      </c>
      <c r="R27" s="43"/>
      <c r="S27" s="43"/>
      <c r="T27" s="43"/>
      <c r="U27" s="43"/>
    </row>
    <row r="28" spans="1:21" s="11" customFormat="1" x14ac:dyDescent="0.25">
      <c r="A28" s="53" t="s">
        <v>559</v>
      </c>
      <c r="B28" s="54">
        <v>7.98</v>
      </c>
      <c r="C28" s="54">
        <v>26.07</v>
      </c>
      <c r="D28" s="54">
        <v>20.02</v>
      </c>
      <c r="E28" s="54">
        <v>6.6</v>
      </c>
      <c r="F28" s="54">
        <v>4.79</v>
      </c>
      <c r="G28" s="54">
        <v>37.07</v>
      </c>
      <c r="H28" s="54">
        <v>13.51</v>
      </c>
      <c r="I28" s="54">
        <v>1.46</v>
      </c>
      <c r="J28" s="54">
        <v>0.15</v>
      </c>
      <c r="K28" s="54">
        <v>154.71</v>
      </c>
      <c r="L28" s="54">
        <v>24.93</v>
      </c>
      <c r="M28" s="54">
        <v>97.7</v>
      </c>
      <c r="N28" s="54">
        <v>38.5</v>
      </c>
      <c r="O28" s="54">
        <v>0</v>
      </c>
      <c r="P28" s="54">
        <v>0.96</v>
      </c>
      <c r="Q28" s="54">
        <v>8.99</v>
      </c>
      <c r="R28" s="43"/>
      <c r="S28" s="43"/>
      <c r="T28" s="43"/>
      <c r="U28" s="43"/>
    </row>
    <row r="29" spans="1:21" s="11" customFormat="1" x14ac:dyDescent="0.25">
      <c r="A29" s="53" t="s">
        <v>560</v>
      </c>
      <c r="B29" s="54">
        <v>5.85</v>
      </c>
      <c r="C29" s="54">
        <v>20.69</v>
      </c>
      <c r="D29" s="54">
        <v>15.34</v>
      </c>
      <c r="E29" s="54">
        <v>8.8800000000000008</v>
      </c>
      <c r="F29" s="54">
        <v>10.46</v>
      </c>
      <c r="G29" s="54">
        <v>68.510000000000005</v>
      </c>
      <c r="H29" s="54">
        <v>12.76</v>
      </c>
      <c r="I29" s="54">
        <v>1.61</v>
      </c>
      <c r="J29" s="54">
        <v>0.33</v>
      </c>
      <c r="K29" s="54">
        <v>141.46</v>
      </c>
      <c r="L29" s="54">
        <v>25.29</v>
      </c>
      <c r="M29" s="54">
        <v>91.38</v>
      </c>
      <c r="N29" s="54">
        <v>38.9</v>
      </c>
      <c r="O29" s="54">
        <v>0</v>
      </c>
      <c r="P29" s="54">
        <v>0.64</v>
      </c>
      <c r="Q29" s="54">
        <v>9</v>
      </c>
      <c r="R29" s="43"/>
      <c r="S29" s="43"/>
      <c r="T29" s="43"/>
      <c r="U29" s="43"/>
    </row>
    <row r="30" spans="1:21" s="11" customFormat="1" x14ac:dyDescent="0.25">
      <c r="A30" s="53" t="s">
        <v>561</v>
      </c>
      <c r="B30" s="54">
        <v>5.7</v>
      </c>
      <c r="C30" s="54">
        <v>17.600000000000001</v>
      </c>
      <c r="D30" s="54">
        <v>13.72</v>
      </c>
      <c r="E30" s="54">
        <v>8.9</v>
      </c>
      <c r="F30" s="54">
        <v>10.91</v>
      </c>
      <c r="G30" s="54">
        <v>86.23</v>
      </c>
      <c r="H30" s="54">
        <v>14.73</v>
      </c>
      <c r="I30" s="54">
        <v>1.7</v>
      </c>
      <c r="J30" s="54">
        <v>0.54</v>
      </c>
      <c r="K30" s="54">
        <v>142.30000000000001</v>
      </c>
      <c r="L30" s="54">
        <v>25.24</v>
      </c>
      <c r="M30" s="54">
        <v>89.89</v>
      </c>
      <c r="N30" s="54">
        <v>38.9</v>
      </c>
      <c r="O30" s="54">
        <v>0</v>
      </c>
      <c r="P30" s="54">
        <v>0.56000000000000005</v>
      </c>
      <c r="Q30" s="54">
        <v>9.0299999999999994</v>
      </c>
      <c r="R30" s="43"/>
      <c r="S30" s="43"/>
      <c r="T30" s="43"/>
      <c r="U30" s="43"/>
    </row>
    <row r="31" spans="1:21" s="11" customFormat="1" x14ac:dyDescent="0.25">
      <c r="A31" s="53" t="s">
        <v>562</v>
      </c>
      <c r="B31" s="54">
        <v>5.63</v>
      </c>
      <c r="C31" s="54">
        <v>16.89</v>
      </c>
      <c r="D31" s="54">
        <v>12.98</v>
      </c>
      <c r="E31" s="54">
        <v>8.5299999999999994</v>
      </c>
      <c r="F31" s="54">
        <v>10.89</v>
      </c>
      <c r="G31" s="54">
        <v>89.89</v>
      </c>
      <c r="H31" s="54">
        <v>13.68</v>
      </c>
      <c r="I31" s="54">
        <v>1.77</v>
      </c>
      <c r="J31" s="54">
        <v>0.56999999999999995</v>
      </c>
      <c r="K31" s="54">
        <v>132.86000000000001</v>
      </c>
      <c r="L31" s="54">
        <v>25.11</v>
      </c>
      <c r="M31" s="54">
        <v>91.16</v>
      </c>
      <c r="N31" s="54">
        <v>39</v>
      </c>
      <c r="O31" s="54">
        <v>0</v>
      </c>
      <c r="P31" s="54">
        <v>0.55000000000000004</v>
      </c>
      <c r="Q31" s="54">
        <v>9.0399999999999991</v>
      </c>
      <c r="R31" s="43"/>
      <c r="S31" s="43"/>
      <c r="T31" s="43"/>
      <c r="U31" s="43"/>
    </row>
    <row r="32" spans="1:21" s="11" customFormat="1" x14ac:dyDescent="0.25">
      <c r="A32" s="53" t="s">
        <v>563</v>
      </c>
      <c r="B32" s="54">
        <v>6.28</v>
      </c>
      <c r="C32" s="54">
        <v>18.13</v>
      </c>
      <c r="D32" s="54">
        <v>14.48</v>
      </c>
      <c r="E32" s="54">
        <v>10.49</v>
      </c>
      <c r="F32" s="54">
        <v>8.9</v>
      </c>
      <c r="G32" s="54">
        <v>90.49</v>
      </c>
      <c r="H32" s="54">
        <v>12.99</v>
      </c>
      <c r="I32" s="54">
        <v>1.81</v>
      </c>
      <c r="J32" s="54">
        <v>0.43</v>
      </c>
      <c r="K32" s="54">
        <v>145.68</v>
      </c>
      <c r="L32" s="54">
        <v>24.91</v>
      </c>
      <c r="M32" s="54">
        <v>95.34</v>
      </c>
      <c r="N32" s="54">
        <v>38.9</v>
      </c>
      <c r="O32" s="54">
        <v>0</v>
      </c>
      <c r="P32" s="54">
        <v>0.56999999999999995</v>
      </c>
      <c r="Q32" s="54">
        <v>9.0500000000000007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5.63</v>
      </c>
      <c r="C34" s="28">
        <f t="shared" si="0"/>
        <v>6.65</v>
      </c>
      <c r="D34" s="28">
        <f t="shared" si="0"/>
        <v>8.66</v>
      </c>
      <c r="E34" s="28">
        <f t="shared" si="0"/>
        <v>5.67</v>
      </c>
      <c r="F34" s="28">
        <f t="shared" si="0"/>
        <v>2.1</v>
      </c>
      <c r="G34" s="28">
        <f t="shared" si="0"/>
        <v>15.54</v>
      </c>
      <c r="H34" s="28">
        <f t="shared" si="0"/>
        <v>12.43</v>
      </c>
      <c r="I34" s="28">
        <f t="shared" si="0"/>
        <v>1.08</v>
      </c>
      <c r="J34" s="28">
        <f t="shared" si="0"/>
        <v>0.15</v>
      </c>
      <c r="K34" s="28">
        <f t="shared" si="0"/>
        <v>125.07</v>
      </c>
      <c r="L34" s="28">
        <f t="shared" si="0"/>
        <v>21.45</v>
      </c>
      <c r="M34" s="28">
        <f t="shared" si="0"/>
        <v>77.69</v>
      </c>
      <c r="N34" s="28">
        <f t="shared" si="0"/>
        <v>38.5</v>
      </c>
      <c r="O34" s="28">
        <f t="shared" si="0"/>
        <v>0</v>
      </c>
      <c r="P34" s="28">
        <f t="shared" si="0"/>
        <v>0.24</v>
      </c>
      <c r="Q34" s="28">
        <f t="shared" si="0"/>
        <v>8.9700000000000006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10.35</v>
      </c>
      <c r="C35" s="29">
        <f t="shared" si="1"/>
        <v>26.07</v>
      </c>
      <c r="D35" s="29">
        <f t="shared" si="1"/>
        <v>20.02</v>
      </c>
      <c r="E35" s="29">
        <f t="shared" si="1"/>
        <v>10.49</v>
      </c>
      <c r="F35" s="29">
        <f t="shared" si="1"/>
        <v>14.75</v>
      </c>
      <c r="G35" s="29">
        <f t="shared" si="1"/>
        <v>90.49</v>
      </c>
      <c r="H35" s="29">
        <f t="shared" si="1"/>
        <v>18.66</v>
      </c>
      <c r="I35" s="29">
        <f t="shared" si="1"/>
        <v>1.81</v>
      </c>
      <c r="J35" s="29">
        <f t="shared" si="1"/>
        <v>1.55</v>
      </c>
      <c r="K35" s="29">
        <f t="shared" si="1"/>
        <v>319.68</v>
      </c>
      <c r="L35" s="29">
        <f t="shared" si="1"/>
        <v>28.47</v>
      </c>
      <c r="M35" s="29">
        <f t="shared" si="1"/>
        <v>97.85</v>
      </c>
      <c r="N35" s="29">
        <f t="shared" si="1"/>
        <v>775.5</v>
      </c>
      <c r="O35" s="29">
        <f t="shared" si="1"/>
        <v>0</v>
      </c>
      <c r="P35" s="29">
        <f t="shared" si="1"/>
        <v>0.96</v>
      </c>
      <c r="Q35" s="29">
        <f t="shared" si="1"/>
        <v>9.11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7.1479166666666645</v>
      </c>
      <c r="C36" s="28">
        <f t="shared" si="2"/>
        <v>11.270000000000001</v>
      </c>
      <c r="D36" s="28">
        <f t="shared" si="2"/>
        <v>11.512916666666669</v>
      </c>
      <c r="E36" s="28">
        <f t="shared" si="2"/>
        <v>7.0741666666666667</v>
      </c>
      <c r="F36" s="28">
        <f t="shared" si="2"/>
        <v>7.29</v>
      </c>
      <c r="G36" s="28">
        <f t="shared" si="2"/>
        <v>38.651250000000005</v>
      </c>
      <c r="H36" s="28">
        <f t="shared" si="2"/>
        <v>14.128749999999998</v>
      </c>
      <c r="I36" s="28">
        <f t="shared" si="2"/>
        <v>1.2866666666666664</v>
      </c>
      <c r="J36" s="28">
        <f t="shared" si="2"/>
        <v>0.74041666666666661</v>
      </c>
      <c r="K36" s="28">
        <f t="shared" si="2"/>
        <v>168.54708333333332</v>
      </c>
      <c r="L36" s="28">
        <f t="shared" si="2"/>
        <v>25.500833333333333</v>
      </c>
      <c r="M36" s="28">
        <f t="shared" si="2"/>
        <v>90.423750000000027</v>
      </c>
      <c r="N36" s="28">
        <f t="shared" si="2"/>
        <v>204.49583333333328</v>
      </c>
      <c r="O36" s="28">
        <f t="shared" si="2"/>
        <v>0</v>
      </c>
      <c r="P36" s="28">
        <f t="shared" si="2"/>
        <v>0.39208333333333334</v>
      </c>
      <c r="Q36" s="28">
        <f t="shared" si="2"/>
        <v>9.033333333333335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1.3042338386183379</v>
      </c>
      <c r="C37" s="28">
        <f t="shared" ref="C37:Q37" si="3">STDEV(C9:C32)</f>
        <v>5.3970893927230321</v>
      </c>
      <c r="D37" s="28">
        <f t="shared" si="3"/>
        <v>2.6107877857686477</v>
      </c>
      <c r="E37" s="28">
        <f t="shared" si="3"/>
        <v>1.2811201507195571</v>
      </c>
      <c r="F37" s="28">
        <f t="shared" si="3"/>
        <v>4.4343736384316328</v>
      </c>
      <c r="G37" s="28">
        <f t="shared" si="3"/>
        <v>23.745172564306518</v>
      </c>
      <c r="H37" s="28">
        <f t="shared" si="3"/>
        <v>1.4905216842784799</v>
      </c>
      <c r="I37" s="28">
        <f t="shared" si="3"/>
        <v>0.223191605473019</v>
      </c>
      <c r="J37" s="28">
        <f t="shared" si="3"/>
        <v>0.41909300790559861</v>
      </c>
      <c r="K37" s="28">
        <f t="shared" si="3"/>
        <v>67.483968239753551</v>
      </c>
      <c r="L37" s="28">
        <f t="shared" si="3"/>
        <v>2.3869699123195582</v>
      </c>
      <c r="M37" s="28">
        <f t="shared" si="3"/>
        <v>7.6260125842266095</v>
      </c>
      <c r="N37" s="28">
        <f t="shared" si="3"/>
        <v>236.96648539250307</v>
      </c>
      <c r="O37" s="28">
        <f t="shared" si="3"/>
        <v>0</v>
      </c>
      <c r="P37" s="28">
        <f t="shared" si="3"/>
        <v>0.17395599560175298</v>
      </c>
      <c r="Q37" s="28">
        <f t="shared" si="3"/>
        <v>3.7954969505256099E-2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M49" sqref="M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22/10/2025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3" t="s">
        <v>564</v>
      </c>
      <c r="B9" s="54">
        <v>5.39</v>
      </c>
      <c r="C9" s="54">
        <v>17.84</v>
      </c>
      <c r="D9" s="54">
        <v>13.45</v>
      </c>
      <c r="E9" s="54">
        <v>10.69</v>
      </c>
      <c r="F9" s="54">
        <v>9.01</v>
      </c>
      <c r="G9" s="54">
        <v>98.47</v>
      </c>
      <c r="H9" s="54">
        <v>12.54</v>
      </c>
      <c r="I9" s="54">
        <v>1.87</v>
      </c>
      <c r="J9" s="54">
        <v>0.59</v>
      </c>
      <c r="K9" s="54">
        <v>140.22</v>
      </c>
      <c r="L9" s="54">
        <v>24.66</v>
      </c>
      <c r="M9" s="54">
        <v>92.87</v>
      </c>
      <c r="N9" s="54">
        <v>38.9</v>
      </c>
      <c r="O9" s="54">
        <v>0</v>
      </c>
      <c r="P9" s="54">
        <v>0.52</v>
      </c>
      <c r="Q9" s="54">
        <v>8.99</v>
      </c>
      <c r="R9" s="43"/>
      <c r="S9" s="43"/>
      <c r="T9" s="43"/>
      <c r="U9" s="43"/>
    </row>
    <row r="10" spans="1:21" s="11" customFormat="1" x14ac:dyDescent="0.25">
      <c r="A10" s="53" t="s">
        <v>565</v>
      </c>
      <c r="B10" s="54">
        <v>5.34</v>
      </c>
      <c r="C10" s="54">
        <v>11.5</v>
      </c>
      <c r="D10" s="54">
        <v>10.18</v>
      </c>
      <c r="E10" s="54">
        <v>7.51</v>
      </c>
      <c r="F10" s="54">
        <v>6.35</v>
      </c>
      <c r="G10" s="54">
        <v>86.13</v>
      </c>
      <c r="H10" s="54">
        <v>15</v>
      </c>
      <c r="I10" s="54">
        <v>1.87</v>
      </c>
      <c r="J10" s="54">
        <v>0.16</v>
      </c>
      <c r="K10" s="54">
        <v>204.12</v>
      </c>
      <c r="L10" s="54">
        <v>24.45</v>
      </c>
      <c r="M10" s="54">
        <v>96.58</v>
      </c>
      <c r="N10" s="54">
        <v>39.200000000000003</v>
      </c>
      <c r="O10" s="54">
        <v>0</v>
      </c>
      <c r="P10" s="54">
        <v>0.44</v>
      </c>
      <c r="Q10" s="54">
        <v>9</v>
      </c>
      <c r="R10" s="43"/>
      <c r="S10" s="43"/>
      <c r="T10" s="43"/>
      <c r="U10" s="43"/>
    </row>
    <row r="11" spans="1:21" s="11" customFormat="1" x14ac:dyDescent="0.25">
      <c r="A11" s="53" t="s">
        <v>566</v>
      </c>
      <c r="B11" s="54">
        <v>5.28</v>
      </c>
      <c r="C11" s="54">
        <v>11.64</v>
      </c>
      <c r="D11" s="54">
        <v>10.23</v>
      </c>
      <c r="E11" s="54">
        <v>7.39</v>
      </c>
      <c r="F11" s="54">
        <v>7.8</v>
      </c>
      <c r="G11" s="54">
        <v>76.86</v>
      </c>
      <c r="H11" s="54">
        <v>14.2</v>
      </c>
      <c r="I11" s="54">
        <v>1.86</v>
      </c>
      <c r="J11" s="54">
        <v>0.28000000000000003</v>
      </c>
      <c r="K11" s="54">
        <v>321.7</v>
      </c>
      <c r="L11" s="54">
        <v>23.95</v>
      </c>
      <c r="M11" s="54">
        <v>97.75</v>
      </c>
      <c r="N11" s="54">
        <v>39.200000000000003</v>
      </c>
      <c r="O11" s="54">
        <v>0</v>
      </c>
      <c r="P11" s="54">
        <v>0.45</v>
      </c>
      <c r="Q11" s="54">
        <v>9.01</v>
      </c>
      <c r="R11" s="43"/>
      <c r="S11" s="43"/>
      <c r="T11" s="43"/>
      <c r="U11" s="43"/>
    </row>
    <row r="12" spans="1:21" s="11" customFormat="1" x14ac:dyDescent="0.25">
      <c r="A12" s="53" t="s">
        <v>567</v>
      </c>
      <c r="B12" s="54">
        <v>5.82</v>
      </c>
      <c r="C12" s="54">
        <v>9.86</v>
      </c>
      <c r="D12" s="54">
        <v>9.49</v>
      </c>
      <c r="E12" s="54">
        <v>6.58</v>
      </c>
      <c r="F12" s="54">
        <v>6.04</v>
      </c>
      <c r="G12" s="54">
        <v>72.83</v>
      </c>
      <c r="H12" s="54">
        <v>13.62</v>
      </c>
      <c r="I12" s="54">
        <v>1.89</v>
      </c>
      <c r="J12" s="54">
        <v>0.11</v>
      </c>
      <c r="K12" s="54">
        <v>292.27999999999997</v>
      </c>
      <c r="L12" s="54">
        <v>23.4</v>
      </c>
      <c r="M12" s="54">
        <v>97.75</v>
      </c>
      <c r="N12" s="54">
        <v>38.9</v>
      </c>
      <c r="O12" s="54">
        <v>0</v>
      </c>
      <c r="P12" s="54">
        <v>0.45</v>
      </c>
      <c r="Q12" s="54">
        <v>9.02</v>
      </c>
      <c r="R12" s="43"/>
      <c r="S12" s="43"/>
      <c r="T12" s="43"/>
      <c r="U12" s="43"/>
    </row>
    <row r="13" spans="1:21" s="11" customFormat="1" x14ac:dyDescent="0.25">
      <c r="A13" s="53" t="s">
        <v>568</v>
      </c>
      <c r="B13" s="54">
        <v>6.13</v>
      </c>
      <c r="C13" s="54">
        <v>9.23</v>
      </c>
      <c r="D13" s="54">
        <v>9.5299999999999994</v>
      </c>
      <c r="E13" s="54">
        <v>6.16</v>
      </c>
      <c r="F13" s="54">
        <v>3.67</v>
      </c>
      <c r="G13" s="54">
        <v>68.84</v>
      </c>
      <c r="H13" s="54">
        <v>13.02</v>
      </c>
      <c r="I13" s="54">
        <v>1.92</v>
      </c>
      <c r="J13" s="54">
        <v>0.19</v>
      </c>
      <c r="K13" s="54">
        <v>282.06</v>
      </c>
      <c r="L13" s="54">
        <v>22.84</v>
      </c>
      <c r="M13" s="54">
        <v>97.81</v>
      </c>
      <c r="N13" s="54">
        <v>38.799999999999997</v>
      </c>
      <c r="O13" s="54">
        <v>0</v>
      </c>
      <c r="P13" s="54">
        <v>0.46</v>
      </c>
      <c r="Q13" s="54">
        <v>8.98</v>
      </c>
      <c r="R13" s="43"/>
      <c r="S13" s="43"/>
      <c r="T13" s="43"/>
      <c r="U13" s="43"/>
    </row>
    <row r="14" spans="1:21" s="11" customFormat="1" x14ac:dyDescent="0.25">
      <c r="A14" s="53" t="s">
        <v>569</v>
      </c>
      <c r="B14" s="54">
        <v>7.58</v>
      </c>
      <c r="C14" s="54">
        <v>10.37</v>
      </c>
      <c r="D14" s="54">
        <v>11.5</v>
      </c>
      <c r="E14" s="54">
        <v>5.69</v>
      </c>
      <c r="F14" s="54">
        <v>2.11</v>
      </c>
      <c r="G14" s="54">
        <v>66.25</v>
      </c>
      <c r="H14" s="54">
        <v>15.04</v>
      </c>
      <c r="I14" s="54">
        <v>1.97</v>
      </c>
      <c r="J14" s="54">
        <v>0.24</v>
      </c>
      <c r="K14" s="54">
        <v>339.07</v>
      </c>
      <c r="L14" s="54">
        <v>22.46</v>
      </c>
      <c r="M14" s="54">
        <v>97.89</v>
      </c>
      <c r="N14" s="54">
        <v>40.9</v>
      </c>
      <c r="O14" s="54">
        <v>0</v>
      </c>
      <c r="P14" s="54">
        <v>0.51</v>
      </c>
      <c r="Q14" s="54">
        <v>8.99</v>
      </c>
      <c r="R14" s="43"/>
      <c r="S14" s="43"/>
      <c r="T14" s="43"/>
      <c r="U14" s="43"/>
    </row>
    <row r="15" spans="1:21" s="11" customFormat="1" x14ac:dyDescent="0.25">
      <c r="A15" s="53" t="s">
        <v>570</v>
      </c>
      <c r="B15" s="54">
        <v>10.28</v>
      </c>
      <c r="C15" s="54">
        <v>11.02</v>
      </c>
      <c r="D15" s="54">
        <v>14</v>
      </c>
      <c r="E15" s="54">
        <v>5.66</v>
      </c>
      <c r="F15" s="54">
        <v>2.16</v>
      </c>
      <c r="G15" s="54">
        <v>68.39</v>
      </c>
      <c r="H15" s="54">
        <v>14.21</v>
      </c>
      <c r="I15" s="54">
        <v>2.02</v>
      </c>
      <c r="J15" s="54">
        <v>0.22</v>
      </c>
      <c r="K15" s="54">
        <v>296.98</v>
      </c>
      <c r="L15" s="54">
        <v>23.17</v>
      </c>
      <c r="M15" s="54">
        <v>97.88</v>
      </c>
      <c r="N15" s="54">
        <v>138.30000000000001</v>
      </c>
      <c r="O15" s="54">
        <v>0</v>
      </c>
      <c r="P15" s="54">
        <v>0.6</v>
      </c>
      <c r="Q15" s="54">
        <v>9.0399999999999991</v>
      </c>
      <c r="R15" s="43"/>
      <c r="S15" s="43"/>
      <c r="T15" s="43"/>
      <c r="U15" s="43"/>
    </row>
    <row r="16" spans="1:21" s="11" customFormat="1" x14ac:dyDescent="0.25">
      <c r="A16" s="53" t="s">
        <v>571</v>
      </c>
      <c r="B16" s="54">
        <v>9.69</v>
      </c>
      <c r="C16" s="54">
        <v>11</v>
      </c>
      <c r="D16" s="54">
        <v>13.51</v>
      </c>
      <c r="E16" s="54">
        <v>5.46</v>
      </c>
      <c r="F16" s="54">
        <v>5.21</v>
      </c>
      <c r="G16" s="54">
        <v>73.75</v>
      </c>
      <c r="H16" s="54">
        <v>13.22</v>
      </c>
      <c r="I16" s="54">
        <v>2.0499999999999998</v>
      </c>
      <c r="J16" s="54">
        <v>0.64</v>
      </c>
      <c r="K16" s="54">
        <v>138.01</v>
      </c>
      <c r="L16" s="54">
        <v>26.23</v>
      </c>
      <c r="M16" s="54">
        <v>97.74</v>
      </c>
      <c r="N16" s="54">
        <v>340.9</v>
      </c>
      <c r="O16" s="54">
        <v>0</v>
      </c>
      <c r="P16" s="54">
        <v>0.53</v>
      </c>
      <c r="Q16" s="54">
        <v>9.06</v>
      </c>
      <c r="R16" s="43"/>
      <c r="S16" s="43"/>
      <c r="T16" s="43"/>
      <c r="U16" s="43"/>
    </row>
    <row r="17" spans="1:21" s="11" customFormat="1" x14ac:dyDescent="0.25">
      <c r="A17" s="53" t="s">
        <v>572</v>
      </c>
      <c r="B17" s="54">
        <v>8.33</v>
      </c>
      <c r="C17" s="54">
        <v>10.55</v>
      </c>
      <c r="D17" s="54">
        <v>11.93</v>
      </c>
      <c r="E17" s="54">
        <v>6.34</v>
      </c>
      <c r="F17" s="54">
        <v>5.5</v>
      </c>
      <c r="G17" s="54">
        <v>70.37</v>
      </c>
      <c r="H17" s="54">
        <v>12.55</v>
      </c>
      <c r="I17" s="54">
        <v>2.09</v>
      </c>
      <c r="J17" s="54">
        <v>0.62</v>
      </c>
      <c r="K17" s="54">
        <v>128.43</v>
      </c>
      <c r="L17" s="54">
        <v>28.27</v>
      </c>
      <c r="M17" s="54">
        <v>83.07</v>
      </c>
      <c r="N17" s="54">
        <v>535.5</v>
      </c>
      <c r="O17" s="54">
        <v>0</v>
      </c>
      <c r="P17" s="54">
        <v>0.53</v>
      </c>
      <c r="Q17" s="54">
        <v>9.0500000000000007</v>
      </c>
      <c r="R17" s="43"/>
      <c r="S17" s="43"/>
      <c r="T17" s="43"/>
      <c r="U17" s="43"/>
    </row>
    <row r="18" spans="1:21" s="11" customFormat="1" x14ac:dyDescent="0.25">
      <c r="A18" s="53" t="s">
        <v>573</v>
      </c>
      <c r="B18" s="54">
        <v>7.84</v>
      </c>
      <c r="C18" s="54">
        <v>10.07</v>
      </c>
      <c r="D18" s="54">
        <v>11.55</v>
      </c>
      <c r="E18" s="54">
        <v>6.1</v>
      </c>
      <c r="F18" s="54">
        <v>6.2</v>
      </c>
      <c r="G18" s="54">
        <v>65.77</v>
      </c>
      <c r="H18" s="54">
        <v>16.53</v>
      </c>
      <c r="I18" s="54">
        <v>2.1</v>
      </c>
      <c r="J18" s="54">
        <v>0.74</v>
      </c>
      <c r="K18" s="54">
        <v>134.72999999999999</v>
      </c>
      <c r="L18" s="54">
        <v>29.4</v>
      </c>
      <c r="M18" s="54">
        <v>75.900000000000006</v>
      </c>
      <c r="N18" s="54">
        <v>691.3</v>
      </c>
      <c r="O18" s="54">
        <v>0</v>
      </c>
      <c r="P18" s="54">
        <v>0.5</v>
      </c>
      <c r="Q18" s="54">
        <v>9.02</v>
      </c>
      <c r="R18" s="43"/>
      <c r="S18" s="43"/>
      <c r="T18" s="43"/>
      <c r="U18" s="43"/>
    </row>
    <row r="19" spans="1:21" s="11" customFormat="1" x14ac:dyDescent="0.25">
      <c r="A19" s="53" t="s">
        <v>574</v>
      </c>
      <c r="B19" s="54">
        <v>6.92</v>
      </c>
      <c r="C19" s="54">
        <v>9.7799999999999994</v>
      </c>
      <c r="D19" s="54">
        <v>10.66</v>
      </c>
      <c r="E19" s="54">
        <v>6.91</v>
      </c>
      <c r="F19" s="54">
        <v>8.69</v>
      </c>
      <c r="G19" s="54">
        <v>59.87</v>
      </c>
      <c r="H19" s="54">
        <v>14.87</v>
      </c>
      <c r="I19" s="54">
        <v>2.09</v>
      </c>
      <c r="J19" s="54">
        <v>1.1200000000000001</v>
      </c>
      <c r="K19" s="54">
        <v>132.97</v>
      </c>
      <c r="L19" s="54">
        <v>29.86</v>
      </c>
      <c r="M19" s="54">
        <v>64.989999999999995</v>
      </c>
      <c r="N19" s="54">
        <v>759.7</v>
      </c>
      <c r="O19" s="54">
        <v>0</v>
      </c>
      <c r="P19" s="54">
        <v>0.45</v>
      </c>
      <c r="Q19" s="54">
        <v>9.02</v>
      </c>
      <c r="R19" s="43"/>
      <c r="S19" s="43"/>
      <c r="T19" s="43"/>
      <c r="U19" s="43"/>
    </row>
    <row r="20" spans="1:21" s="11" customFormat="1" x14ac:dyDescent="0.25">
      <c r="A20" s="53" t="s">
        <v>575</v>
      </c>
      <c r="B20" s="54">
        <v>6.44</v>
      </c>
      <c r="C20" s="54">
        <v>8.5500000000000007</v>
      </c>
      <c r="D20" s="54">
        <v>9.51</v>
      </c>
      <c r="E20" s="54">
        <v>6.79</v>
      </c>
      <c r="F20" s="54">
        <v>10.17</v>
      </c>
      <c r="G20" s="54">
        <v>48.09</v>
      </c>
      <c r="H20" s="54">
        <v>13.71</v>
      </c>
      <c r="I20" s="54">
        <v>2.02</v>
      </c>
      <c r="J20" s="54">
        <v>1.22</v>
      </c>
      <c r="K20" s="54">
        <v>129.82</v>
      </c>
      <c r="L20" s="54">
        <v>29.8</v>
      </c>
      <c r="M20" s="54">
        <v>65.209999999999994</v>
      </c>
      <c r="N20" s="54">
        <v>751.9</v>
      </c>
      <c r="O20" s="54">
        <v>0</v>
      </c>
      <c r="P20" s="54">
        <v>0.42</v>
      </c>
      <c r="Q20" s="54">
        <v>9.0399999999999991</v>
      </c>
      <c r="R20" s="43"/>
      <c r="S20" s="43"/>
      <c r="T20" s="43"/>
      <c r="U20" s="43"/>
    </row>
    <row r="21" spans="1:21" s="11" customFormat="1" x14ac:dyDescent="0.25">
      <c r="A21" s="53" t="s">
        <v>576</v>
      </c>
      <c r="B21" s="54">
        <v>6.76</v>
      </c>
      <c r="C21" s="54">
        <v>11.19</v>
      </c>
      <c r="D21" s="54">
        <v>10.57</v>
      </c>
      <c r="E21" s="54">
        <v>6.59</v>
      </c>
      <c r="F21" s="54">
        <v>9.2200000000000006</v>
      </c>
      <c r="G21" s="54">
        <v>40.57</v>
      </c>
      <c r="H21" s="54">
        <v>12.9</v>
      </c>
      <c r="I21" s="54">
        <v>1.91</v>
      </c>
      <c r="J21" s="54">
        <v>0.98</v>
      </c>
      <c r="K21" s="54">
        <v>161.44999999999999</v>
      </c>
      <c r="L21" s="54">
        <v>30.06</v>
      </c>
      <c r="M21" s="54">
        <v>62.11</v>
      </c>
      <c r="N21" s="54">
        <v>748.2</v>
      </c>
      <c r="O21" s="54">
        <v>0</v>
      </c>
      <c r="P21" s="54">
        <v>0.42</v>
      </c>
      <c r="Q21" s="54">
        <v>9.0299999999999994</v>
      </c>
      <c r="R21" s="43"/>
      <c r="S21" s="43"/>
      <c r="T21" s="43"/>
      <c r="U21" s="43"/>
    </row>
    <row r="22" spans="1:21" s="11" customFormat="1" x14ac:dyDescent="0.25">
      <c r="A22" s="53" t="s">
        <v>577</v>
      </c>
      <c r="B22" s="54">
        <v>7.35</v>
      </c>
      <c r="C22" s="54">
        <v>10.95</v>
      </c>
      <c r="D22" s="54">
        <v>11.61</v>
      </c>
      <c r="E22" s="54">
        <v>6.74</v>
      </c>
      <c r="F22" s="54">
        <v>10.72</v>
      </c>
      <c r="G22" s="54">
        <v>29.88</v>
      </c>
      <c r="H22" s="54">
        <v>15.15</v>
      </c>
      <c r="I22" s="54">
        <v>1.76</v>
      </c>
      <c r="J22" s="54">
        <v>1.29</v>
      </c>
      <c r="K22" s="54">
        <v>134.01</v>
      </c>
      <c r="L22" s="54">
        <v>29.78</v>
      </c>
      <c r="M22" s="54">
        <v>59.76</v>
      </c>
      <c r="N22" s="54">
        <v>285</v>
      </c>
      <c r="O22" s="54">
        <v>0</v>
      </c>
      <c r="P22" s="54">
        <v>0.37</v>
      </c>
      <c r="Q22" s="54">
        <v>8.99</v>
      </c>
      <c r="R22" s="43"/>
      <c r="S22" s="43"/>
      <c r="T22" s="43"/>
      <c r="U22" s="43"/>
    </row>
    <row r="23" spans="1:21" s="11" customFormat="1" x14ac:dyDescent="0.25">
      <c r="A23" s="53" t="s">
        <v>578</v>
      </c>
      <c r="B23" s="54">
        <v>6.66</v>
      </c>
      <c r="C23" s="54">
        <v>10.15</v>
      </c>
      <c r="D23" s="54">
        <v>10.07</v>
      </c>
      <c r="E23" s="54">
        <v>6.22</v>
      </c>
      <c r="F23" s="54">
        <v>10.41</v>
      </c>
      <c r="G23" s="54">
        <v>20.239999999999998</v>
      </c>
      <c r="H23" s="54">
        <v>13.99</v>
      </c>
      <c r="I23" s="54">
        <v>1.66</v>
      </c>
      <c r="J23" s="54">
        <v>1.1100000000000001</v>
      </c>
      <c r="K23" s="54">
        <v>129.78</v>
      </c>
      <c r="L23" s="54">
        <v>29.41</v>
      </c>
      <c r="M23" s="54">
        <v>54.5</v>
      </c>
      <c r="N23" s="54">
        <v>166.3</v>
      </c>
      <c r="O23" s="54">
        <v>0</v>
      </c>
      <c r="P23" s="54">
        <v>0.3</v>
      </c>
      <c r="Q23" s="54">
        <v>8.98</v>
      </c>
      <c r="R23" s="43"/>
      <c r="S23" s="43"/>
      <c r="T23" s="43"/>
      <c r="U23" s="43"/>
    </row>
    <row r="24" spans="1:21" s="11" customFormat="1" x14ac:dyDescent="0.25">
      <c r="A24" s="53" t="s">
        <v>579</v>
      </c>
      <c r="B24" s="54">
        <v>5.7</v>
      </c>
      <c r="C24" s="54">
        <v>11.07</v>
      </c>
      <c r="D24" s="54">
        <v>10.07</v>
      </c>
      <c r="E24" s="54">
        <v>6.8</v>
      </c>
      <c r="F24" s="54">
        <v>8.92</v>
      </c>
      <c r="G24" s="54">
        <v>31.1</v>
      </c>
      <c r="H24" s="54">
        <v>13.21</v>
      </c>
      <c r="I24" s="54">
        <v>1.56</v>
      </c>
      <c r="J24" s="54">
        <v>1.26</v>
      </c>
      <c r="K24" s="54">
        <v>129.07</v>
      </c>
      <c r="L24" s="54">
        <v>29.04</v>
      </c>
      <c r="M24" s="54">
        <v>51.14</v>
      </c>
      <c r="N24" s="54">
        <v>101.5</v>
      </c>
      <c r="O24" s="54">
        <v>0</v>
      </c>
      <c r="P24" s="54">
        <v>0.24</v>
      </c>
      <c r="Q24" s="54">
        <v>8.99</v>
      </c>
      <c r="R24" s="43"/>
      <c r="S24" s="43"/>
      <c r="T24" s="43"/>
      <c r="U24" s="43"/>
    </row>
    <row r="25" spans="1:21" s="11" customFormat="1" x14ac:dyDescent="0.25">
      <c r="A25" s="53" t="s">
        <v>580</v>
      </c>
      <c r="B25" s="54">
        <v>5.82</v>
      </c>
      <c r="C25" s="54">
        <v>15.53</v>
      </c>
      <c r="D25" s="54">
        <v>12.78</v>
      </c>
      <c r="E25" s="54">
        <v>6.79</v>
      </c>
      <c r="F25" s="54">
        <v>9.3699999999999992</v>
      </c>
      <c r="G25" s="54">
        <v>27.47</v>
      </c>
      <c r="H25" s="54">
        <v>12.68</v>
      </c>
      <c r="I25" s="54">
        <v>1.46</v>
      </c>
      <c r="J25" s="54">
        <v>1.1599999999999999</v>
      </c>
      <c r="K25" s="54">
        <v>124.61</v>
      </c>
      <c r="L25" s="54">
        <v>28.62</v>
      </c>
      <c r="M25" s="54">
        <v>55.55</v>
      </c>
      <c r="N25" s="54">
        <v>74</v>
      </c>
      <c r="O25" s="54">
        <v>0</v>
      </c>
      <c r="P25" s="54">
        <v>0.27</v>
      </c>
      <c r="Q25" s="54">
        <v>9</v>
      </c>
      <c r="R25" s="43"/>
      <c r="S25" s="43"/>
      <c r="T25" s="43"/>
      <c r="U25" s="43"/>
    </row>
    <row r="26" spans="1:21" s="11" customFormat="1" x14ac:dyDescent="0.25">
      <c r="A26" s="53" t="s">
        <v>581</v>
      </c>
      <c r="B26" s="54">
        <v>5.35</v>
      </c>
      <c r="C26" s="54">
        <v>14.26</v>
      </c>
      <c r="D26" s="54">
        <v>11.51</v>
      </c>
      <c r="E26" s="54">
        <v>7.28</v>
      </c>
      <c r="F26" s="54">
        <v>10.039999999999999</v>
      </c>
      <c r="G26" s="54">
        <v>26.67</v>
      </c>
      <c r="H26" s="54">
        <v>14.51</v>
      </c>
      <c r="I26" s="54">
        <v>1.47</v>
      </c>
      <c r="J26" s="54">
        <v>1.07</v>
      </c>
      <c r="K26" s="54">
        <v>136.22</v>
      </c>
      <c r="L26" s="54">
        <v>27.79</v>
      </c>
      <c r="M26" s="54">
        <v>64.489999999999995</v>
      </c>
      <c r="N26" s="54">
        <v>47</v>
      </c>
      <c r="O26" s="54">
        <v>0</v>
      </c>
      <c r="P26" s="54">
        <v>0.35</v>
      </c>
      <c r="Q26" s="54">
        <v>8.99</v>
      </c>
      <c r="R26" s="43"/>
      <c r="S26" s="43"/>
      <c r="T26" s="43"/>
      <c r="U26" s="43"/>
    </row>
    <row r="27" spans="1:21" s="11" customFormat="1" x14ac:dyDescent="0.25">
      <c r="A27" s="53" t="s">
        <v>582</v>
      </c>
      <c r="B27" s="54">
        <v>5.22</v>
      </c>
      <c r="C27" s="54">
        <v>21.62</v>
      </c>
      <c r="D27" s="54">
        <v>15.46</v>
      </c>
      <c r="E27" s="54">
        <v>8.4</v>
      </c>
      <c r="F27" s="54">
        <v>8.1300000000000008</v>
      </c>
      <c r="G27" s="54">
        <v>28.51</v>
      </c>
      <c r="H27" s="54">
        <v>14.4</v>
      </c>
      <c r="I27" s="54">
        <v>1.51</v>
      </c>
      <c r="J27" s="54">
        <v>0.44</v>
      </c>
      <c r="K27" s="54">
        <v>147.06</v>
      </c>
      <c r="L27" s="54">
        <v>26.81</v>
      </c>
      <c r="M27" s="54">
        <v>71.290000000000006</v>
      </c>
      <c r="N27" s="54">
        <v>39.1</v>
      </c>
      <c r="O27" s="54">
        <v>0</v>
      </c>
      <c r="P27" s="54">
        <v>0.56999999999999995</v>
      </c>
      <c r="Q27" s="54">
        <v>8.98</v>
      </c>
      <c r="R27" s="43"/>
      <c r="S27" s="43"/>
      <c r="T27" s="43"/>
      <c r="U27" s="43"/>
    </row>
    <row r="28" spans="1:21" s="11" customFormat="1" x14ac:dyDescent="0.25">
      <c r="A28" s="53" t="s">
        <v>583</v>
      </c>
      <c r="B28" s="54">
        <v>8</v>
      </c>
      <c r="C28" s="54">
        <v>26.93</v>
      </c>
      <c r="D28" s="54">
        <v>20.49</v>
      </c>
      <c r="E28" s="54">
        <v>10.15</v>
      </c>
      <c r="F28" s="54">
        <v>4.22</v>
      </c>
      <c r="G28" s="54">
        <v>39.85</v>
      </c>
      <c r="H28" s="54">
        <v>13.91</v>
      </c>
      <c r="I28" s="54">
        <v>1.64</v>
      </c>
      <c r="J28" s="54">
        <v>0.17</v>
      </c>
      <c r="K28" s="54">
        <v>308.5</v>
      </c>
      <c r="L28" s="54">
        <v>26.12</v>
      </c>
      <c r="M28" s="54">
        <v>81.349999999999994</v>
      </c>
      <c r="N28" s="54">
        <v>39</v>
      </c>
      <c r="O28" s="54">
        <v>0</v>
      </c>
      <c r="P28" s="54">
        <v>0.91</v>
      </c>
      <c r="Q28" s="54">
        <v>9.01</v>
      </c>
      <c r="R28" s="43"/>
      <c r="S28" s="43"/>
      <c r="T28" s="43"/>
      <c r="U28" s="43"/>
    </row>
    <row r="29" spans="1:21" s="11" customFormat="1" x14ac:dyDescent="0.25">
      <c r="A29" s="53" t="s">
        <v>584</v>
      </c>
      <c r="B29" s="54">
        <v>12.69</v>
      </c>
      <c r="C29" s="54">
        <v>30.53</v>
      </c>
      <c r="D29" s="54">
        <v>26.13</v>
      </c>
      <c r="E29" s="54">
        <v>9.52</v>
      </c>
      <c r="F29" s="54">
        <v>3.04</v>
      </c>
      <c r="G29" s="54">
        <v>63.84</v>
      </c>
      <c r="H29" s="54">
        <v>13.04</v>
      </c>
      <c r="I29" s="54">
        <v>1.83</v>
      </c>
      <c r="J29" s="54">
        <v>0.24</v>
      </c>
      <c r="K29" s="54">
        <v>340.41</v>
      </c>
      <c r="L29" s="54">
        <v>25.32</v>
      </c>
      <c r="M29" s="54">
        <v>83.89</v>
      </c>
      <c r="N29" s="54">
        <v>38.9</v>
      </c>
      <c r="O29" s="54">
        <v>0</v>
      </c>
      <c r="P29" s="54">
        <v>0.98</v>
      </c>
      <c r="Q29" s="54">
        <v>9.0399999999999991</v>
      </c>
      <c r="R29" s="43"/>
      <c r="S29" s="43"/>
      <c r="T29" s="43"/>
      <c r="U29" s="43"/>
    </row>
    <row r="30" spans="1:21" s="11" customFormat="1" x14ac:dyDescent="0.25">
      <c r="A30" s="53" t="s">
        <v>585</v>
      </c>
      <c r="B30" s="54">
        <v>6.52</v>
      </c>
      <c r="C30" s="54">
        <v>24.18</v>
      </c>
      <c r="D30" s="54">
        <v>17.86</v>
      </c>
      <c r="E30" s="54">
        <v>10.07</v>
      </c>
      <c r="F30" s="54">
        <v>5.35</v>
      </c>
      <c r="G30" s="54">
        <v>80.52</v>
      </c>
      <c r="H30" s="54">
        <v>14.95</v>
      </c>
      <c r="I30" s="54">
        <v>1.91</v>
      </c>
      <c r="J30" s="54">
        <v>0.64</v>
      </c>
      <c r="K30" s="54">
        <v>132.84</v>
      </c>
      <c r="L30" s="54">
        <v>25.34</v>
      </c>
      <c r="M30" s="54">
        <v>81.83</v>
      </c>
      <c r="N30" s="54">
        <v>38.799999999999997</v>
      </c>
      <c r="O30" s="54">
        <v>0</v>
      </c>
      <c r="P30" s="54">
        <v>0.52</v>
      </c>
      <c r="Q30" s="54">
        <v>9.0500000000000007</v>
      </c>
      <c r="R30" s="43"/>
      <c r="S30" s="43"/>
      <c r="T30" s="43"/>
      <c r="U30" s="43"/>
    </row>
    <row r="31" spans="1:21" s="11" customFormat="1" x14ac:dyDescent="0.25">
      <c r="A31" s="53" t="s">
        <v>586</v>
      </c>
      <c r="B31" s="54">
        <v>6.15</v>
      </c>
      <c r="C31" s="54">
        <v>22.41</v>
      </c>
      <c r="D31" s="54">
        <v>16.059999999999999</v>
      </c>
      <c r="E31" s="54">
        <v>9.9700000000000006</v>
      </c>
      <c r="F31" s="54">
        <v>8.8800000000000008</v>
      </c>
      <c r="G31" s="54">
        <v>85.3</v>
      </c>
      <c r="H31" s="54">
        <v>13.84</v>
      </c>
      <c r="I31" s="54">
        <v>1.99</v>
      </c>
      <c r="J31" s="54">
        <v>0.97</v>
      </c>
      <c r="K31" s="54">
        <v>127.74</v>
      </c>
      <c r="L31" s="54">
        <v>25.11</v>
      </c>
      <c r="M31" s="54">
        <v>79.17</v>
      </c>
      <c r="N31" s="54">
        <v>38.9</v>
      </c>
      <c r="O31" s="54">
        <v>0</v>
      </c>
      <c r="P31" s="54">
        <v>0.51</v>
      </c>
      <c r="Q31" s="54">
        <v>9.02</v>
      </c>
      <c r="R31" s="43"/>
      <c r="S31" s="43"/>
      <c r="T31" s="43"/>
      <c r="U31" s="43"/>
    </row>
    <row r="32" spans="1:21" s="11" customFormat="1" x14ac:dyDescent="0.25">
      <c r="A32" s="53" t="s">
        <v>587</v>
      </c>
      <c r="B32" s="54">
        <v>5.98</v>
      </c>
      <c r="C32" s="54">
        <v>13.84</v>
      </c>
      <c r="D32" s="54">
        <v>11.91</v>
      </c>
      <c r="E32" s="54">
        <v>8.67</v>
      </c>
      <c r="F32" s="54">
        <v>6.82</v>
      </c>
      <c r="G32" s="54">
        <v>78.459999999999994</v>
      </c>
      <c r="H32" s="54">
        <v>13.1</v>
      </c>
      <c r="I32" s="54">
        <v>2.02</v>
      </c>
      <c r="J32" s="54">
        <v>0.78</v>
      </c>
      <c r="K32" s="54">
        <v>119.32</v>
      </c>
      <c r="L32" s="54">
        <v>24.83</v>
      </c>
      <c r="M32" s="54">
        <v>76.88</v>
      </c>
      <c r="N32" s="54">
        <v>38.9</v>
      </c>
      <c r="O32" s="54">
        <v>0</v>
      </c>
      <c r="P32" s="54">
        <v>0.47</v>
      </c>
      <c r="Q32" s="54">
        <v>9.01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5.22</v>
      </c>
      <c r="C34" s="28">
        <f t="shared" si="0"/>
        <v>8.5500000000000007</v>
      </c>
      <c r="D34" s="28">
        <f t="shared" si="0"/>
        <v>9.49</v>
      </c>
      <c r="E34" s="28">
        <f t="shared" si="0"/>
        <v>5.46</v>
      </c>
      <c r="F34" s="28">
        <f t="shared" si="0"/>
        <v>2.11</v>
      </c>
      <c r="G34" s="28">
        <f t="shared" si="0"/>
        <v>20.239999999999998</v>
      </c>
      <c r="H34" s="28">
        <f t="shared" si="0"/>
        <v>12.54</v>
      </c>
      <c r="I34" s="28">
        <f t="shared" si="0"/>
        <v>1.46</v>
      </c>
      <c r="J34" s="28">
        <f t="shared" si="0"/>
        <v>0.11</v>
      </c>
      <c r="K34" s="28">
        <f t="shared" si="0"/>
        <v>119.32</v>
      </c>
      <c r="L34" s="28">
        <f t="shared" si="0"/>
        <v>22.46</v>
      </c>
      <c r="M34" s="28">
        <f t="shared" si="0"/>
        <v>51.14</v>
      </c>
      <c r="N34" s="28">
        <f t="shared" si="0"/>
        <v>38.799999999999997</v>
      </c>
      <c r="O34" s="28">
        <f t="shared" si="0"/>
        <v>0</v>
      </c>
      <c r="P34" s="28">
        <f t="shared" si="0"/>
        <v>0.24</v>
      </c>
      <c r="Q34" s="28">
        <f t="shared" si="0"/>
        <v>8.98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12.69</v>
      </c>
      <c r="C35" s="29">
        <f t="shared" si="1"/>
        <v>30.53</v>
      </c>
      <c r="D35" s="29">
        <f t="shared" si="1"/>
        <v>26.13</v>
      </c>
      <c r="E35" s="29">
        <f t="shared" si="1"/>
        <v>10.69</v>
      </c>
      <c r="F35" s="29">
        <f t="shared" si="1"/>
        <v>10.72</v>
      </c>
      <c r="G35" s="29">
        <f t="shared" si="1"/>
        <v>98.47</v>
      </c>
      <c r="H35" s="29">
        <f t="shared" si="1"/>
        <v>16.53</v>
      </c>
      <c r="I35" s="29">
        <f t="shared" si="1"/>
        <v>2.1</v>
      </c>
      <c r="J35" s="29">
        <f t="shared" si="1"/>
        <v>1.29</v>
      </c>
      <c r="K35" s="29">
        <f t="shared" si="1"/>
        <v>340.41</v>
      </c>
      <c r="L35" s="29">
        <f t="shared" si="1"/>
        <v>30.06</v>
      </c>
      <c r="M35" s="29">
        <f t="shared" si="1"/>
        <v>97.89</v>
      </c>
      <c r="N35" s="29">
        <f t="shared" si="1"/>
        <v>759.7</v>
      </c>
      <c r="O35" s="29">
        <f t="shared" si="1"/>
        <v>0</v>
      </c>
      <c r="P35" s="29">
        <f t="shared" si="1"/>
        <v>0.98</v>
      </c>
      <c r="Q35" s="29">
        <f t="shared" si="1"/>
        <v>9.06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6.9683333333333328</v>
      </c>
      <c r="C36" s="28">
        <f t="shared" si="2"/>
        <v>14.33625</v>
      </c>
      <c r="D36" s="28">
        <f t="shared" si="2"/>
        <v>12.919166666666667</v>
      </c>
      <c r="E36" s="28">
        <f t="shared" si="2"/>
        <v>7.4366666666666665</v>
      </c>
      <c r="F36" s="28">
        <f t="shared" si="2"/>
        <v>7.0012499999999989</v>
      </c>
      <c r="G36" s="28">
        <f t="shared" si="2"/>
        <v>58.667916666666663</v>
      </c>
      <c r="H36" s="28">
        <f t="shared" si="2"/>
        <v>13.924583333333336</v>
      </c>
      <c r="I36" s="28">
        <f t="shared" si="2"/>
        <v>1.8529166666666665</v>
      </c>
      <c r="J36" s="28">
        <f t="shared" si="2"/>
        <v>0.67666666666666664</v>
      </c>
      <c r="K36" s="28">
        <f t="shared" si="2"/>
        <v>188.80833333333331</v>
      </c>
      <c r="L36" s="28">
        <f t="shared" si="2"/>
        <v>26.530000000000012</v>
      </c>
      <c r="M36" s="28">
        <f t="shared" si="2"/>
        <v>78.641666666666652</v>
      </c>
      <c r="N36" s="28">
        <f t="shared" si="2"/>
        <v>212.87916666666663</v>
      </c>
      <c r="O36" s="28">
        <f t="shared" si="2"/>
        <v>0</v>
      </c>
      <c r="P36" s="28">
        <f t="shared" si="2"/>
        <v>0.49041666666666672</v>
      </c>
      <c r="Q36" s="28">
        <f t="shared" si="2"/>
        <v>9.0129166666666674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1.8201186455992295</v>
      </c>
      <c r="C37" s="28">
        <f t="shared" ref="C37:Q37" si="3">STDEV(C9:C32)</f>
        <v>6.2050139701345755</v>
      </c>
      <c r="D37" s="28">
        <f t="shared" si="3"/>
        <v>3.9587019355456308</v>
      </c>
      <c r="E37" s="28">
        <f t="shared" si="3"/>
        <v>1.5851118919953033</v>
      </c>
      <c r="F37" s="28">
        <f t="shared" si="3"/>
        <v>2.6651198072425455</v>
      </c>
      <c r="G37" s="28">
        <f t="shared" si="3"/>
        <v>22.758251246939903</v>
      </c>
      <c r="H37" s="28">
        <f t="shared" si="3"/>
        <v>1.0044552023973934</v>
      </c>
      <c r="I37" s="28">
        <f t="shared" si="3"/>
        <v>0.20191429879523273</v>
      </c>
      <c r="J37" s="28">
        <f t="shared" si="3"/>
        <v>0.41047868839099116</v>
      </c>
      <c r="K37" s="28">
        <f t="shared" si="3"/>
        <v>82.914110440533165</v>
      </c>
      <c r="L37" s="28">
        <f t="shared" si="3"/>
        <v>2.5579390481231257</v>
      </c>
      <c r="M37" s="28">
        <f t="shared" si="3"/>
        <v>16.051708202926111</v>
      </c>
      <c r="N37" s="28">
        <f t="shared" si="3"/>
        <v>268.64526469445468</v>
      </c>
      <c r="O37" s="28">
        <f t="shared" si="3"/>
        <v>0</v>
      </c>
      <c r="P37" s="28">
        <f t="shared" si="3"/>
        <v>0.16685008023780579</v>
      </c>
      <c r="Q37" s="28">
        <f t="shared" si="3"/>
        <v>2.4579802006254235E-2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S32" sqref="S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23/10/2025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3" t="s">
        <v>588</v>
      </c>
      <c r="B9" s="54">
        <v>6.37</v>
      </c>
      <c r="C9" s="54">
        <v>15.17</v>
      </c>
      <c r="D9" s="54">
        <v>13.03</v>
      </c>
      <c r="E9" s="54">
        <v>8.14</v>
      </c>
      <c r="F9" s="54">
        <v>5.42</v>
      </c>
      <c r="G9" s="54">
        <v>66.36</v>
      </c>
      <c r="H9" s="54">
        <v>12.6</v>
      </c>
      <c r="I9" s="54">
        <v>1.99</v>
      </c>
      <c r="J9" s="54">
        <v>0.22</v>
      </c>
      <c r="K9" s="54">
        <v>255.04</v>
      </c>
      <c r="L9" s="54">
        <v>24.34</v>
      </c>
      <c r="M9" s="54">
        <v>84.48</v>
      </c>
      <c r="N9" s="54">
        <v>39.1</v>
      </c>
      <c r="O9" s="54">
        <v>0</v>
      </c>
      <c r="P9" s="54">
        <v>0.45</v>
      </c>
      <c r="Q9" s="54">
        <v>9.0399999999999991</v>
      </c>
      <c r="R9" s="43"/>
      <c r="S9" s="43"/>
      <c r="T9" s="43"/>
      <c r="U9" s="43"/>
    </row>
    <row r="10" spans="1:21" s="11" customFormat="1" x14ac:dyDescent="0.25">
      <c r="A10" s="53" t="s">
        <v>589</v>
      </c>
      <c r="B10" s="54">
        <v>6.03</v>
      </c>
      <c r="C10" s="54">
        <v>9.9600000000000009</v>
      </c>
      <c r="D10" s="54">
        <v>10.039999999999999</v>
      </c>
      <c r="E10" s="54">
        <v>7.8</v>
      </c>
      <c r="F10" s="54">
        <v>4.6500000000000004</v>
      </c>
      <c r="G10" s="54">
        <v>57.97</v>
      </c>
      <c r="H10" s="54">
        <v>15.07</v>
      </c>
      <c r="I10" s="54">
        <v>1.91</v>
      </c>
      <c r="J10" s="54">
        <v>0.4</v>
      </c>
      <c r="K10" s="54">
        <v>145.27000000000001</v>
      </c>
      <c r="L10" s="54">
        <v>23.78</v>
      </c>
      <c r="M10" s="54">
        <v>85.57</v>
      </c>
      <c r="N10" s="54">
        <v>38.9</v>
      </c>
      <c r="O10" s="54">
        <v>0</v>
      </c>
      <c r="P10" s="54">
        <v>0.45</v>
      </c>
      <c r="Q10" s="54">
        <v>9.0500000000000007</v>
      </c>
      <c r="R10" s="43"/>
      <c r="S10" s="43"/>
      <c r="T10" s="43"/>
      <c r="U10" s="43"/>
    </row>
    <row r="11" spans="1:21" s="11" customFormat="1" x14ac:dyDescent="0.25">
      <c r="A11" s="53" t="s">
        <v>590</v>
      </c>
      <c r="B11" s="54">
        <v>5.89</v>
      </c>
      <c r="C11" s="54">
        <v>9.1999999999999993</v>
      </c>
      <c r="D11" s="54">
        <v>9.2100000000000009</v>
      </c>
      <c r="E11" s="54">
        <v>7.28</v>
      </c>
      <c r="F11" s="54">
        <v>4.99</v>
      </c>
      <c r="G11" s="54">
        <v>56.27</v>
      </c>
      <c r="H11" s="54">
        <v>14.45</v>
      </c>
      <c r="I11" s="54">
        <v>1.87</v>
      </c>
      <c r="J11" s="54">
        <v>0.13</v>
      </c>
      <c r="K11" s="54">
        <v>312.11</v>
      </c>
      <c r="L11" s="54">
        <v>23.48</v>
      </c>
      <c r="M11" s="54">
        <v>91.53</v>
      </c>
      <c r="N11" s="54">
        <v>39.1</v>
      </c>
      <c r="O11" s="54">
        <v>0</v>
      </c>
      <c r="P11" s="54">
        <v>0.45</v>
      </c>
      <c r="Q11" s="54">
        <v>9.01</v>
      </c>
      <c r="R11" s="43"/>
      <c r="S11" s="43"/>
      <c r="T11" s="43"/>
      <c r="U11" s="43"/>
    </row>
    <row r="12" spans="1:21" s="11" customFormat="1" x14ac:dyDescent="0.25">
      <c r="A12" s="53" t="s">
        <v>591</v>
      </c>
      <c r="B12" s="54">
        <v>7.89</v>
      </c>
      <c r="C12" s="54">
        <v>11.07</v>
      </c>
      <c r="D12" s="54">
        <v>12.11</v>
      </c>
      <c r="E12" s="54">
        <v>6.56</v>
      </c>
      <c r="F12" s="54">
        <v>2.5099999999999998</v>
      </c>
      <c r="G12" s="54">
        <v>52.98</v>
      </c>
      <c r="H12" s="54">
        <v>14.95</v>
      </c>
      <c r="I12" s="54">
        <v>1.83</v>
      </c>
      <c r="J12" s="54">
        <v>0.53</v>
      </c>
      <c r="K12" s="54">
        <v>340.76</v>
      </c>
      <c r="L12" s="54">
        <v>22.77</v>
      </c>
      <c r="M12" s="54">
        <v>97.77</v>
      </c>
      <c r="N12" s="54">
        <v>38.9</v>
      </c>
      <c r="O12" s="54">
        <v>0</v>
      </c>
      <c r="P12" s="54">
        <v>0.47</v>
      </c>
      <c r="Q12" s="54">
        <v>9.01</v>
      </c>
      <c r="R12" s="43"/>
      <c r="S12" s="43"/>
      <c r="T12" s="43"/>
      <c r="U12" s="43"/>
    </row>
    <row r="13" spans="1:21" s="11" customFormat="1" x14ac:dyDescent="0.25">
      <c r="A13" s="53" t="s">
        <v>592</v>
      </c>
      <c r="B13" s="54">
        <v>7.84</v>
      </c>
      <c r="C13" s="54">
        <v>11.19</v>
      </c>
      <c r="D13" s="54">
        <v>11.89</v>
      </c>
      <c r="E13" s="54">
        <v>6.45</v>
      </c>
      <c r="F13" s="54">
        <v>3.74</v>
      </c>
      <c r="G13" s="54">
        <v>41.95</v>
      </c>
      <c r="H13" s="54">
        <v>14.28</v>
      </c>
      <c r="I13" s="54">
        <v>1.81</v>
      </c>
      <c r="J13" s="54">
        <v>0.33</v>
      </c>
      <c r="K13" s="54">
        <v>331.96</v>
      </c>
      <c r="L13" s="54">
        <v>22.33</v>
      </c>
      <c r="M13" s="54">
        <v>97.78</v>
      </c>
      <c r="N13" s="54">
        <v>38.9</v>
      </c>
      <c r="O13" s="54">
        <v>0</v>
      </c>
      <c r="P13" s="54">
        <v>0.52</v>
      </c>
      <c r="Q13" s="54">
        <v>9.0299999999999994</v>
      </c>
      <c r="R13" s="43"/>
      <c r="S13" s="43"/>
      <c r="T13" s="43"/>
      <c r="U13" s="43"/>
    </row>
    <row r="14" spans="1:21" s="11" customFormat="1" x14ac:dyDescent="0.25">
      <c r="A14" s="53" t="s">
        <v>593</v>
      </c>
      <c r="B14" s="54">
        <v>8.7899999999999991</v>
      </c>
      <c r="C14" s="54">
        <v>10.81</v>
      </c>
      <c r="D14" s="54">
        <v>12.6</v>
      </c>
      <c r="E14" s="54">
        <v>6.52</v>
      </c>
      <c r="F14" s="54">
        <v>2.2400000000000002</v>
      </c>
      <c r="G14" s="54">
        <v>46.21</v>
      </c>
      <c r="H14" s="54">
        <v>13.76</v>
      </c>
      <c r="I14" s="54">
        <v>1.78</v>
      </c>
      <c r="J14" s="54">
        <v>0.22</v>
      </c>
      <c r="K14" s="54">
        <v>327.56</v>
      </c>
      <c r="L14" s="54">
        <v>21.92</v>
      </c>
      <c r="M14" s="54">
        <v>97.83</v>
      </c>
      <c r="N14" s="54">
        <v>41.4</v>
      </c>
      <c r="O14" s="54">
        <v>0</v>
      </c>
      <c r="P14" s="54">
        <v>0.51</v>
      </c>
      <c r="Q14" s="54">
        <v>9.0500000000000007</v>
      </c>
      <c r="R14" s="43"/>
      <c r="S14" s="43"/>
      <c r="T14" s="43"/>
      <c r="U14" s="43"/>
    </row>
    <row r="15" spans="1:21" s="11" customFormat="1" x14ac:dyDescent="0.25">
      <c r="A15" s="53" t="s">
        <v>594</v>
      </c>
      <c r="B15" s="54">
        <v>8.8000000000000007</v>
      </c>
      <c r="C15" s="54">
        <v>14.38</v>
      </c>
      <c r="D15" s="54">
        <v>13.5</v>
      </c>
      <c r="E15" s="54">
        <v>6.4</v>
      </c>
      <c r="F15" s="54">
        <v>3.86</v>
      </c>
      <c r="G15" s="54">
        <v>52.89</v>
      </c>
      <c r="H15" s="54">
        <v>12.93</v>
      </c>
      <c r="I15" s="54">
        <v>1.83</v>
      </c>
      <c r="J15" s="54">
        <v>0.15</v>
      </c>
      <c r="K15" s="54">
        <v>274.66000000000003</v>
      </c>
      <c r="L15" s="54">
        <v>23.5</v>
      </c>
      <c r="M15" s="54">
        <v>97.8</v>
      </c>
      <c r="N15" s="54">
        <v>151.69999999999999</v>
      </c>
      <c r="O15" s="54">
        <v>0</v>
      </c>
      <c r="P15" s="54">
        <v>0.53</v>
      </c>
      <c r="Q15" s="54">
        <v>9.06</v>
      </c>
      <c r="R15" s="43"/>
      <c r="S15" s="43"/>
      <c r="T15" s="43"/>
      <c r="U15" s="43"/>
    </row>
    <row r="16" spans="1:21" s="11" customFormat="1" x14ac:dyDescent="0.25">
      <c r="A16" s="53" t="s">
        <v>595</v>
      </c>
      <c r="B16" s="54">
        <v>9.49</v>
      </c>
      <c r="C16" s="54">
        <v>13.3</v>
      </c>
      <c r="D16" s="54">
        <v>14.56</v>
      </c>
      <c r="E16" s="54">
        <v>6.1</v>
      </c>
      <c r="F16" s="54">
        <v>8.2100000000000009</v>
      </c>
      <c r="G16" s="54">
        <v>69.95</v>
      </c>
      <c r="H16" s="54">
        <v>12.39</v>
      </c>
      <c r="I16" s="54">
        <v>1.92</v>
      </c>
      <c r="J16" s="54">
        <v>0.98</v>
      </c>
      <c r="K16" s="54">
        <v>249.29</v>
      </c>
      <c r="L16" s="54">
        <v>26.52</v>
      </c>
      <c r="M16" s="54">
        <v>85.71</v>
      </c>
      <c r="N16" s="54">
        <v>378.7</v>
      </c>
      <c r="O16" s="54">
        <v>0</v>
      </c>
      <c r="P16" s="54">
        <v>0.55000000000000004</v>
      </c>
      <c r="Q16" s="54">
        <v>9.0299999999999994</v>
      </c>
      <c r="R16" s="43"/>
      <c r="S16" s="43"/>
      <c r="T16" s="43"/>
      <c r="U16" s="43"/>
    </row>
    <row r="17" spans="1:21" s="11" customFormat="1" x14ac:dyDescent="0.25">
      <c r="A17" s="53" t="s">
        <v>596</v>
      </c>
      <c r="B17" s="54">
        <v>8.26</v>
      </c>
      <c r="C17" s="54">
        <v>12.34</v>
      </c>
      <c r="D17" s="54">
        <v>12.68</v>
      </c>
      <c r="E17" s="54">
        <v>7.46</v>
      </c>
      <c r="F17" s="54">
        <v>7.77</v>
      </c>
      <c r="G17" s="54">
        <v>76.069999999999993</v>
      </c>
      <c r="H17" s="54">
        <v>12.03</v>
      </c>
      <c r="I17" s="54">
        <v>1.93</v>
      </c>
      <c r="J17" s="54">
        <v>0.94</v>
      </c>
      <c r="K17" s="54">
        <v>134.83000000000001</v>
      </c>
      <c r="L17" s="54">
        <v>29.31</v>
      </c>
      <c r="M17" s="54">
        <v>71.099999999999994</v>
      </c>
      <c r="N17" s="54">
        <v>575.20000000000005</v>
      </c>
      <c r="O17" s="54">
        <v>0</v>
      </c>
      <c r="P17" s="54">
        <v>0.51</v>
      </c>
      <c r="Q17" s="54">
        <v>9.0399999999999991</v>
      </c>
      <c r="R17" s="43"/>
      <c r="S17" s="43"/>
      <c r="T17" s="43"/>
      <c r="U17" s="43"/>
    </row>
    <row r="18" spans="1:21" s="11" customFormat="1" x14ac:dyDescent="0.25">
      <c r="A18" s="53" t="s">
        <v>597</v>
      </c>
      <c r="B18" s="54">
        <v>7.48</v>
      </c>
      <c r="C18" s="54">
        <v>10.82</v>
      </c>
      <c r="D18" s="54">
        <v>11.36</v>
      </c>
      <c r="E18" s="54">
        <v>8.43</v>
      </c>
      <c r="F18" s="54">
        <v>7.16</v>
      </c>
      <c r="G18" s="54">
        <v>71.739999999999995</v>
      </c>
      <c r="H18" s="54">
        <v>14.4</v>
      </c>
      <c r="I18" s="54">
        <v>1.89</v>
      </c>
      <c r="J18" s="54">
        <v>0.91</v>
      </c>
      <c r="K18" s="54">
        <v>130.81</v>
      </c>
      <c r="L18" s="54">
        <v>29.49</v>
      </c>
      <c r="M18" s="54">
        <v>64.81</v>
      </c>
      <c r="N18" s="54">
        <v>731.7</v>
      </c>
      <c r="O18" s="54">
        <v>0</v>
      </c>
      <c r="P18" s="54">
        <v>0.47</v>
      </c>
      <c r="Q18" s="54">
        <v>9.07</v>
      </c>
      <c r="R18" s="43"/>
      <c r="S18" s="43"/>
      <c r="T18" s="43"/>
      <c r="U18" s="43"/>
    </row>
    <row r="19" spans="1:21" s="11" customFormat="1" x14ac:dyDescent="0.25">
      <c r="A19" s="53" t="s">
        <v>598</v>
      </c>
      <c r="B19" s="54">
        <v>8.06</v>
      </c>
      <c r="C19" s="54">
        <v>12.99</v>
      </c>
      <c r="D19" s="54">
        <v>12.94</v>
      </c>
      <c r="E19" s="54">
        <v>9.2899999999999991</v>
      </c>
      <c r="F19" s="54">
        <v>8.6300000000000008</v>
      </c>
      <c r="G19" s="54">
        <v>64.02</v>
      </c>
      <c r="H19" s="54">
        <v>13.74</v>
      </c>
      <c r="I19" s="54">
        <v>1.83</v>
      </c>
      <c r="J19" s="54">
        <v>0.9</v>
      </c>
      <c r="K19" s="54">
        <v>326.52</v>
      </c>
      <c r="L19" s="54">
        <v>30.39</v>
      </c>
      <c r="M19" s="54">
        <v>61.12</v>
      </c>
      <c r="N19" s="54">
        <v>788.6</v>
      </c>
      <c r="O19" s="54">
        <v>0</v>
      </c>
      <c r="P19" s="54">
        <v>0.47</v>
      </c>
      <c r="Q19" s="54">
        <v>9.06</v>
      </c>
      <c r="R19" s="43"/>
      <c r="S19" s="43"/>
      <c r="T19" s="43"/>
      <c r="U19" s="43"/>
    </row>
    <row r="20" spans="1:21" s="11" customFormat="1" x14ac:dyDescent="0.25">
      <c r="A20" s="53" t="s">
        <v>599</v>
      </c>
      <c r="B20" s="54">
        <v>7.28</v>
      </c>
      <c r="C20" s="54">
        <v>10.72</v>
      </c>
      <c r="D20" s="54">
        <v>11</v>
      </c>
      <c r="E20" s="54">
        <v>10.210000000000001</v>
      </c>
      <c r="F20" s="54">
        <v>10.97</v>
      </c>
      <c r="G20" s="54">
        <v>55.62</v>
      </c>
      <c r="H20" s="54">
        <v>13.19</v>
      </c>
      <c r="I20" s="54">
        <v>1.77</v>
      </c>
      <c r="J20" s="54">
        <v>1.1299999999999999</v>
      </c>
      <c r="K20" s="54">
        <v>128.72</v>
      </c>
      <c r="L20" s="54">
        <v>30.37</v>
      </c>
      <c r="M20" s="54">
        <v>53.82</v>
      </c>
      <c r="N20" s="54">
        <v>809.9</v>
      </c>
      <c r="O20" s="54">
        <v>0</v>
      </c>
      <c r="P20" s="54">
        <v>0.47</v>
      </c>
      <c r="Q20" s="54">
        <v>9.01</v>
      </c>
      <c r="R20" s="43"/>
      <c r="S20" s="43"/>
      <c r="T20" s="43"/>
      <c r="U20" s="43"/>
    </row>
    <row r="21" spans="1:21" s="11" customFormat="1" x14ac:dyDescent="0.25">
      <c r="A21" s="53" t="s">
        <v>600</v>
      </c>
      <c r="B21" s="54">
        <v>6.38</v>
      </c>
      <c r="C21" s="54">
        <v>11.95</v>
      </c>
      <c r="D21" s="54">
        <v>11.36</v>
      </c>
      <c r="E21" s="54">
        <v>10.210000000000001</v>
      </c>
      <c r="F21" s="54">
        <v>12.92</v>
      </c>
      <c r="G21" s="54">
        <v>50.58</v>
      </c>
      <c r="H21" s="54">
        <v>12.8</v>
      </c>
      <c r="I21" s="54">
        <v>1.67</v>
      </c>
      <c r="J21" s="54">
        <v>1.29</v>
      </c>
      <c r="K21" s="54">
        <v>141.25</v>
      </c>
      <c r="L21" s="54">
        <v>30.42</v>
      </c>
      <c r="M21" s="54">
        <v>51.79</v>
      </c>
      <c r="N21" s="54">
        <v>766.7</v>
      </c>
      <c r="O21" s="54">
        <v>0</v>
      </c>
      <c r="P21" s="54">
        <v>0.38</v>
      </c>
      <c r="Q21" s="54">
        <v>9</v>
      </c>
      <c r="R21" s="43"/>
      <c r="S21" s="43"/>
      <c r="T21" s="43"/>
      <c r="U21" s="43"/>
    </row>
    <row r="22" spans="1:21" s="11" customFormat="1" x14ac:dyDescent="0.25">
      <c r="A22" s="53" t="s">
        <v>601</v>
      </c>
      <c r="B22" s="54">
        <v>6.27</v>
      </c>
      <c r="C22" s="54">
        <v>13.2</v>
      </c>
      <c r="D22" s="54">
        <v>11.92</v>
      </c>
      <c r="E22" s="54">
        <v>9.06</v>
      </c>
      <c r="F22" s="54">
        <v>11.46</v>
      </c>
      <c r="G22" s="54">
        <v>43.8</v>
      </c>
      <c r="H22" s="54">
        <v>14.61</v>
      </c>
      <c r="I22" s="54">
        <v>1.57</v>
      </c>
      <c r="J22" s="54">
        <v>0.69</v>
      </c>
      <c r="K22" s="54">
        <v>135.22999999999999</v>
      </c>
      <c r="L22" s="54">
        <v>30.29</v>
      </c>
      <c r="M22" s="54">
        <v>51.33</v>
      </c>
      <c r="N22" s="54">
        <v>395.8</v>
      </c>
      <c r="O22" s="54">
        <v>0</v>
      </c>
      <c r="P22" s="54">
        <v>0.36</v>
      </c>
      <c r="Q22" s="54">
        <v>9.01</v>
      </c>
      <c r="R22" s="43"/>
      <c r="S22" s="43"/>
      <c r="T22" s="43"/>
      <c r="U22" s="43"/>
    </row>
    <row r="23" spans="1:21" s="11" customFormat="1" x14ac:dyDescent="0.25">
      <c r="A23" s="53" t="s">
        <v>602</v>
      </c>
      <c r="B23" s="54">
        <v>8.9499999999999993</v>
      </c>
      <c r="C23" s="54">
        <v>13.73</v>
      </c>
      <c r="D23" s="54">
        <v>14.35</v>
      </c>
      <c r="E23" s="54">
        <v>9.92</v>
      </c>
      <c r="F23" s="54">
        <v>11.92</v>
      </c>
      <c r="G23" s="54">
        <v>38.64</v>
      </c>
      <c r="H23" s="54">
        <v>14.1</v>
      </c>
      <c r="I23" s="54">
        <v>1.45</v>
      </c>
      <c r="J23" s="54">
        <v>1.04</v>
      </c>
      <c r="K23" s="54">
        <v>129.13999999999999</v>
      </c>
      <c r="L23" s="54">
        <v>29.56</v>
      </c>
      <c r="M23" s="54">
        <v>51.38</v>
      </c>
      <c r="N23" s="54">
        <v>152.4</v>
      </c>
      <c r="O23" s="54">
        <v>0</v>
      </c>
      <c r="P23" s="54">
        <v>0.36</v>
      </c>
      <c r="Q23" s="54">
        <v>9.02</v>
      </c>
      <c r="R23" s="43"/>
      <c r="S23" s="43"/>
      <c r="T23" s="43"/>
      <c r="U23" s="43"/>
    </row>
    <row r="24" spans="1:21" s="11" customFormat="1" x14ac:dyDescent="0.25">
      <c r="A24" s="53" t="s">
        <v>603</v>
      </c>
      <c r="B24" s="54">
        <v>7.85</v>
      </c>
      <c r="C24" s="54">
        <v>12.1</v>
      </c>
      <c r="D24" s="54">
        <v>11.77</v>
      </c>
      <c r="E24" s="54">
        <v>9.6999999999999993</v>
      </c>
      <c r="F24" s="54">
        <v>11.12</v>
      </c>
      <c r="G24" s="54">
        <v>31.74</v>
      </c>
      <c r="H24" s="54">
        <v>13.51</v>
      </c>
      <c r="I24" s="54">
        <v>1.4</v>
      </c>
      <c r="J24" s="54">
        <v>0.78</v>
      </c>
      <c r="K24" s="54">
        <v>137.57</v>
      </c>
      <c r="L24" s="54">
        <v>29.03</v>
      </c>
      <c r="M24" s="54">
        <v>50.95</v>
      </c>
      <c r="N24" s="54">
        <v>101.4</v>
      </c>
      <c r="O24" s="54">
        <v>0</v>
      </c>
      <c r="P24" s="54">
        <v>0.3</v>
      </c>
      <c r="Q24" s="54">
        <v>9.01</v>
      </c>
      <c r="R24" s="43"/>
      <c r="S24" s="43"/>
      <c r="T24" s="43"/>
      <c r="U24" s="43"/>
    </row>
    <row r="25" spans="1:21" s="11" customFormat="1" x14ac:dyDescent="0.25">
      <c r="A25" s="53" t="s">
        <v>604</v>
      </c>
      <c r="B25" s="54">
        <v>6.33</v>
      </c>
      <c r="C25" s="54">
        <v>16.510000000000002</v>
      </c>
      <c r="D25" s="54">
        <v>13.7</v>
      </c>
      <c r="E25" s="54">
        <v>8.15</v>
      </c>
      <c r="F25" s="54">
        <v>10.52</v>
      </c>
      <c r="G25" s="54">
        <v>23.21</v>
      </c>
      <c r="H25" s="54">
        <v>12.91</v>
      </c>
      <c r="I25" s="54">
        <v>1.29</v>
      </c>
      <c r="J25" s="54">
        <v>0.68</v>
      </c>
      <c r="K25" s="54">
        <v>131.04</v>
      </c>
      <c r="L25" s="54">
        <v>28.65</v>
      </c>
      <c r="M25" s="54">
        <v>58.75</v>
      </c>
      <c r="N25" s="54">
        <v>72.5</v>
      </c>
      <c r="O25" s="54">
        <v>0</v>
      </c>
      <c r="P25" s="54">
        <v>0.34</v>
      </c>
      <c r="Q25" s="54">
        <v>8.99</v>
      </c>
      <c r="R25" s="43"/>
      <c r="S25" s="43"/>
      <c r="T25" s="43"/>
      <c r="U25" s="43"/>
    </row>
    <row r="26" spans="1:21" s="11" customFormat="1" x14ac:dyDescent="0.25">
      <c r="A26" s="53" t="s">
        <v>605</v>
      </c>
      <c r="B26" s="54">
        <v>5.76</v>
      </c>
      <c r="C26" s="54">
        <v>17.13</v>
      </c>
      <c r="D26" s="54">
        <v>13.57</v>
      </c>
      <c r="E26" s="54">
        <v>8.25</v>
      </c>
      <c r="F26" s="54">
        <v>7.39</v>
      </c>
      <c r="G26" s="54">
        <v>197.35</v>
      </c>
      <c r="H26" s="54">
        <v>13.55</v>
      </c>
      <c r="I26" s="54">
        <v>1.25</v>
      </c>
      <c r="J26" s="54">
        <v>0.65</v>
      </c>
      <c r="K26" s="54">
        <v>128.37</v>
      </c>
      <c r="L26" s="54">
        <v>27.81</v>
      </c>
      <c r="M26" s="54">
        <v>66.010000000000005</v>
      </c>
      <c r="N26" s="54">
        <v>47.8</v>
      </c>
      <c r="O26" s="54">
        <v>0</v>
      </c>
      <c r="P26" s="54">
        <v>0.45</v>
      </c>
      <c r="Q26" s="54">
        <v>8.99</v>
      </c>
      <c r="R26" s="43"/>
      <c r="S26" s="43"/>
      <c r="T26" s="43"/>
      <c r="U26" s="43"/>
    </row>
    <row r="27" spans="1:21" s="11" customFormat="1" x14ac:dyDescent="0.25">
      <c r="A27" s="53" t="s">
        <v>606</v>
      </c>
      <c r="B27" s="54">
        <v>5.31</v>
      </c>
      <c r="C27" s="54">
        <v>19.66</v>
      </c>
      <c r="D27" s="54">
        <v>14.19</v>
      </c>
      <c r="E27" s="54">
        <v>7.76</v>
      </c>
      <c r="F27" s="54">
        <v>4.54</v>
      </c>
      <c r="G27" s="54">
        <v>77.7</v>
      </c>
      <c r="H27" s="54">
        <v>13.24</v>
      </c>
      <c r="I27" s="54">
        <v>1.35</v>
      </c>
      <c r="J27" s="54">
        <v>0.21</v>
      </c>
      <c r="K27" s="54">
        <v>138.72999999999999</v>
      </c>
      <c r="L27" s="54">
        <v>26.87</v>
      </c>
      <c r="M27" s="54">
        <v>70.86</v>
      </c>
      <c r="N27" s="54">
        <v>39.799999999999997</v>
      </c>
      <c r="O27" s="54">
        <v>0</v>
      </c>
      <c r="P27" s="54">
        <v>0.55000000000000004</v>
      </c>
      <c r="Q27" s="54">
        <v>9.01</v>
      </c>
      <c r="R27" s="43"/>
      <c r="S27" s="43"/>
      <c r="T27" s="43"/>
      <c r="U27" s="43"/>
    </row>
    <row r="28" spans="1:21" s="11" customFormat="1" x14ac:dyDescent="0.25">
      <c r="A28" s="53" t="s">
        <v>607</v>
      </c>
      <c r="B28" s="54">
        <v>5.77</v>
      </c>
      <c r="C28" s="54">
        <v>19.82</v>
      </c>
      <c r="D28" s="54">
        <v>14.93</v>
      </c>
      <c r="E28" s="54">
        <v>8.11</v>
      </c>
      <c r="F28" s="54">
        <v>3.59</v>
      </c>
      <c r="G28" s="54">
        <v>70.599999999999994</v>
      </c>
      <c r="H28" s="54">
        <v>12.84</v>
      </c>
      <c r="I28" s="54">
        <v>1.44</v>
      </c>
      <c r="J28" s="54">
        <v>0.56000000000000005</v>
      </c>
      <c r="K28" s="54">
        <v>140.13999999999999</v>
      </c>
      <c r="L28" s="54">
        <v>26.51</v>
      </c>
      <c r="M28" s="54">
        <v>72.02</v>
      </c>
      <c r="N28" s="54">
        <v>39.9</v>
      </c>
      <c r="O28" s="54">
        <v>0</v>
      </c>
      <c r="P28" s="54">
        <v>0.5</v>
      </c>
      <c r="Q28" s="54">
        <v>9.02</v>
      </c>
      <c r="R28" s="43"/>
      <c r="S28" s="43"/>
      <c r="T28" s="43"/>
      <c r="U28" s="43"/>
    </row>
    <row r="29" spans="1:21" s="11" customFormat="1" x14ac:dyDescent="0.25">
      <c r="A29" s="53" t="s">
        <v>608</v>
      </c>
      <c r="B29" s="54">
        <v>11.86</v>
      </c>
      <c r="C29" s="54">
        <v>28.11</v>
      </c>
      <c r="D29" s="54">
        <v>23.89</v>
      </c>
      <c r="E29" s="54">
        <v>9.82</v>
      </c>
      <c r="F29" s="54">
        <v>2.13</v>
      </c>
      <c r="G29" s="54">
        <v>48.89</v>
      </c>
      <c r="H29" s="54">
        <v>12.54</v>
      </c>
      <c r="I29" s="54">
        <v>1.53</v>
      </c>
      <c r="J29" s="54">
        <v>0.31</v>
      </c>
      <c r="K29" s="54">
        <v>141.69</v>
      </c>
      <c r="L29" s="54">
        <v>25.96</v>
      </c>
      <c r="M29" s="54">
        <v>80.31</v>
      </c>
      <c r="N29" s="54">
        <v>39.799999999999997</v>
      </c>
      <c r="O29" s="54">
        <v>0</v>
      </c>
      <c r="P29" s="54">
        <v>0.74</v>
      </c>
      <c r="Q29" s="54">
        <v>9.01</v>
      </c>
      <c r="R29" s="43"/>
      <c r="S29" s="43"/>
      <c r="T29" s="43"/>
      <c r="U29" s="43"/>
    </row>
    <row r="30" spans="1:21" s="11" customFormat="1" x14ac:dyDescent="0.25">
      <c r="A30" s="53" t="s">
        <v>609</v>
      </c>
      <c r="B30" s="54">
        <v>6.84</v>
      </c>
      <c r="C30" s="54">
        <v>24.65</v>
      </c>
      <c r="D30" s="54">
        <v>17.829999999999998</v>
      </c>
      <c r="E30" s="54">
        <v>8.6</v>
      </c>
      <c r="F30" s="54">
        <v>2.46</v>
      </c>
      <c r="G30" s="54">
        <v>82.17</v>
      </c>
      <c r="H30" s="54">
        <v>14.92</v>
      </c>
      <c r="I30" s="54">
        <v>1.63</v>
      </c>
      <c r="J30" s="54">
        <v>0.56000000000000005</v>
      </c>
      <c r="K30" s="54">
        <v>137.5</v>
      </c>
      <c r="L30" s="54">
        <v>25.52</v>
      </c>
      <c r="M30" s="54">
        <v>82.64</v>
      </c>
      <c r="N30" s="54">
        <v>39.799999999999997</v>
      </c>
      <c r="O30" s="54">
        <v>0</v>
      </c>
      <c r="P30" s="54">
        <v>0.54</v>
      </c>
      <c r="Q30" s="54">
        <v>9.02</v>
      </c>
      <c r="R30" s="43"/>
      <c r="S30" s="43"/>
      <c r="T30" s="43"/>
      <c r="U30" s="43"/>
    </row>
    <row r="31" spans="1:21" s="11" customFormat="1" x14ac:dyDescent="0.25">
      <c r="A31" s="53" t="s">
        <v>610</v>
      </c>
      <c r="B31" s="54">
        <v>6.82</v>
      </c>
      <c r="C31" s="54">
        <v>19.690000000000001</v>
      </c>
      <c r="D31" s="54">
        <v>15.65</v>
      </c>
      <c r="E31" s="54">
        <v>7.22</v>
      </c>
      <c r="F31" s="54">
        <v>4.09</v>
      </c>
      <c r="G31" s="54">
        <v>68.94</v>
      </c>
      <c r="H31" s="54">
        <v>14.59</v>
      </c>
      <c r="I31" s="54">
        <v>1.67</v>
      </c>
      <c r="J31" s="54">
        <v>0.72</v>
      </c>
      <c r="K31" s="54">
        <v>127.17</v>
      </c>
      <c r="L31" s="54">
        <v>25.09</v>
      </c>
      <c r="M31" s="54">
        <v>85.32</v>
      </c>
      <c r="N31" s="54">
        <v>39.700000000000003</v>
      </c>
      <c r="O31" s="54">
        <v>0</v>
      </c>
      <c r="P31" s="54">
        <v>0.43</v>
      </c>
      <c r="Q31" s="54">
        <v>9.07</v>
      </c>
      <c r="R31" s="43"/>
      <c r="S31" s="43"/>
      <c r="T31" s="43"/>
      <c r="U31" s="43"/>
    </row>
    <row r="32" spans="1:21" s="11" customFormat="1" x14ac:dyDescent="0.25">
      <c r="A32" s="53" t="s">
        <v>611</v>
      </c>
      <c r="B32" s="54">
        <v>6.23</v>
      </c>
      <c r="C32" s="54">
        <v>19.22</v>
      </c>
      <c r="D32" s="54">
        <v>15.04</v>
      </c>
      <c r="E32" s="54">
        <v>6.83</v>
      </c>
      <c r="F32" s="54">
        <v>3.25</v>
      </c>
      <c r="G32" s="54">
        <v>63.71</v>
      </c>
      <c r="H32" s="54">
        <v>13.73</v>
      </c>
      <c r="I32" s="54">
        <v>1.7</v>
      </c>
      <c r="J32" s="54">
        <v>0.36</v>
      </c>
      <c r="K32" s="54">
        <v>344.05</v>
      </c>
      <c r="L32" s="54">
        <v>24.75</v>
      </c>
      <c r="M32" s="54">
        <v>89.89</v>
      </c>
      <c r="N32" s="54">
        <v>40</v>
      </c>
      <c r="O32" s="54">
        <v>0</v>
      </c>
      <c r="P32" s="54">
        <v>0.41</v>
      </c>
      <c r="Q32" s="54">
        <v>9.07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5.31</v>
      </c>
      <c r="C34" s="28">
        <f t="shared" si="0"/>
        <v>9.1999999999999993</v>
      </c>
      <c r="D34" s="28">
        <f t="shared" si="0"/>
        <v>9.2100000000000009</v>
      </c>
      <c r="E34" s="28">
        <f t="shared" si="0"/>
        <v>6.1</v>
      </c>
      <c r="F34" s="28">
        <f t="shared" si="0"/>
        <v>2.13</v>
      </c>
      <c r="G34" s="28">
        <f t="shared" si="0"/>
        <v>23.21</v>
      </c>
      <c r="H34" s="28">
        <f t="shared" si="0"/>
        <v>12.03</v>
      </c>
      <c r="I34" s="28">
        <f t="shared" si="0"/>
        <v>1.25</v>
      </c>
      <c r="J34" s="28">
        <f t="shared" si="0"/>
        <v>0.13</v>
      </c>
      <c r="K34" s="28">
        <f t="shared" si="0"/>
        <v>127.17</v>
      </c>
      <c r="L34" s="28">
        <f t="shared" si="0"/>
        <v>21.92</v>
      </c>
      <c r="M34" s="28">
        <f t="shared" si="0"/>
        <v>50.95</v>
      </c>
      <c r="N34" s="28">
        <f t="shared" si="0"/>
        <v>38.9</v>
      </c>
      <c r="O34" s="28">
        <f t="shared" si="0"/>
        <v>0</v>
      </c>
      <c r="P34" s="28">
        <f t="shared" si="0"/>
        <v>0.3</v>
      </c>
      <c r="Q34" s="28">
        <f t="shared" si="0"/>
        <v>8.99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11.86</v>
      </c>
      <c r="C35" s="29">
        <f t="shared" si="1"/>
        <v>28.11</v>
      </c>
      <c r="D35" s="29">
        <f t="shared" si="1"/>
        <v>23.89</v>
      </c>
      <c r="E35" s="29">
        <f t="shared" si="1"/>
        <v>10.210000000000001</v>
      </c>
      <c r="F35" s="29">
        <f t="shared" si="1"/>
        <v>12.92</v>
      </c>
      <c r="G35" s="29">
        <f t="shared" si="1"/>
        <v>197.35</v>
      </c>
      <c r="H35" s="29">
        <f t="shared" si="1"/>
        <v>15.07</v>
      </c>
      <c r="I35" s="29">
        <f t="shared" si="1"/>
        <v>1.99</v>
      </c>
      <c r="J35" s="29">
        <f t="shared" si="1"/>
        <v>1.29</v>
      </c>
      <c r="K35" s="29">
        <f t="shared" si="1"/>
        <v>344.05</v>
      </c>
      <c r="L35" s="29">
        <f t="shared" si="1"/>
        <v>30.42</v>
      </c>
      <c r="M35" s="29">
        <f t="shared" si="1"/>
        <v>97.83</v>
      </c>
      <c r="N35" s="29">
        <f t="shared" si="1"/>
        <v>809.9</v>
      </c>
      <c r="O35" s="29">
        <f t="shared" si="1"/>
        <v>0</v>
      </c>
      <c r="P35" s="29">
        <f t="shared" si="1"/>
        <v>0.74</v>
      </c>
      <c r="Q35" s="29">
        <f t="shared" si="1"/>
        <v>9.07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7.3562500000000002</v>
      </c>
      <c r="C36" s="28">
        <f t="shared" si="2"/>
        <v>14.904999999999996</v>
      </c>
      <c r="D36" s="28">
        <f t="shared" si="2"/>
        <v>13.463333333333333</v>
      </c>
      <c r="E36" s="28">
        <f t="shared" si="2"/>
        <v>8.0945833333333344</v>
      </c>
      <c r="F36" s="28">
        <f t="shared" si="2"/>
        <v>6.480833333333333</v>
      </c>
      <c r="G36" s="28">
        <f t="shared" si="2"/>
        <v>62.890000000000008</v>
      </c>
      <c r="H36" s="28">
        <f t="shared" si="2"/>
        <v>13.630416666666669</v>
      </c>
      <c r="I36" s="28">
        <f t="shared" si="2"/>
        <v>1.6795833333333334</v>
      </c>
      <c r="J36" s="28">
        <f t="shared" si="2"/>
        <v>0.61208333333333342</v>
      </c>
      <c r="K36" s="28">
        <f t="shared" si="2"/>
        <v>199.55875</v>
      </c>
      <c r="L36" s="28">
        <f t="shared" si="2"/>
        <v>26.610833333333343</v>
      </c>
      <c r="M36" s="28">
        <f t="shared" si="2"/>
        <v>75.023750000000007</v>
      </c>
      <c r="N36" s="28">
        <f t="shared" si="2"/>
        <v>226.98749999999998</v>
      </c>
      <c r="O36" s="28">
        <f t="shared" si="2"/>
        <v>0</v>
      </c>
      <c r="P36" s="28">
        <f t="shared" si="2"/>
        <v>0.46708333333333335</v>
      </c>
      <c r="Q36" s="28">
        <f t="shared" si="2"/>
        <v>9.0283333333333342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1.5144831590778487</v>
      </c>
      <c r="C37" s="28">
        <f t="shared" ref="C37:Q37" si="3">STDEV(C9:C32)</f>
        <v>4.8260227571131535</v>
      </c>
      <c r="D37" s="28">
        <f t="shared" si="3"/>
        <v>2.9183835112679382</v>
      </c>
      <c r="E37" s="28">
        <f t="shared" si="3"/>
        <v>1.2956951438502353</v>
      </c>
      <c r="F37" s="28">
        <f t="shared" si="3"/>
        <v>3.5052481356893446</v>
      </c>
      <c r="G37" s="28">
        <f t="shared" si="3"/>
        <v>32.278078979528722</v>
      </c>
      <c r="H37" s="28">
        <f t="shared" si="3"/>
        <v>0.89307227014959145</v>
      </c>
      <c r="I37" s="28">
        <f t="shared" si="3"/>
        <v>0.22109370759076502</v>
      </c>
      <c r="J37" s="28">
        <f t="shared" si="3"/>
        <v>0.33518300214589658</v>
      </c>
      <c r="K37" s="28">
        <f t="shared" si="3"/>
        <v>87.814807224834126</v>
      </c>
      <c r="L37" s="28">
        <f t="shared" si="3"/>
        <v>2.8543375332330365</v>
      </c>
      <c r="M37" s="28">
        <f t="shared" si="3"/>
        <v>16.745190824856788</v>
      </c>
      <c r="N37" s="28">
        <f t="shared" si="3"/>
        <v>285.77137762858467</v>
      </c>
      <c r="O37" s="28">
        <f t="shared" si="3"/>
        <v>0</v>
      </c>
      <c r="P37" s="28">
        <f t="shared" si="3"/>
        <v>8.9805546776822329E-2</v>
      </c>
      <c r="Q37" s="28">
        <f t="shared" si="3"/>
        <v>2.5309676215726981E-2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15" sqref="G15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24/10/2025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3" t="s">
        <v>612</v>
      </c>
      <c r="B9" s="54">
        <v>6.07</v>
      </c>
      <c r="C9" s="54">
        <v>13.31</v>
      </c>
      <c r="D9" s="54">
        <v>11.57</v>
      </c>
      <c r="E9" s="54">
        <v>5.25</v>
      </c>
      <c r="F9" s="54">
        <v>2.2599999999999998</v>
      </c>
      <c r="G9" s="54">
        <v>55.9</v>
      </c>
      <c r="H9" s="54">
        <v>12.94</v>
      </c>
      <c r="I9" s="54">
        <v>1.7</v>
      </c>
      <c r="J9" s="54">
        <v>0.13</v>
      </c>
      <c r="K9" s="54">
        <v>279.52999999999997</v>
      </c>
      <c r="L9" s="54">
        <v>23.96</v>
      </c>
      <c r="M9" s="54">
        <v>93.13</v>
      </c>
      <c r="N9" s="54">
        <v>39.799999999999997</v>
      </c>
      <c r="O9" s="54">
        <v>0</v>
      </c>
      <c r="P9" s="54">
        <v>0.4</v>
      </c>
      <c r="Q9" s="54">
        <v>9.0500000000000007</v>
      </c>
      <c r="R9" s="43"/>
      <c r="S9" s="43"/>
      <c r="T9" s="43"/>
      <c r="U9" s="43"/>
    </row>
    <row r="10" spans="1:21" s="11" customFormat="1" x14ac:dyDescent="0.25">
      <c r="A10" s="53" t="s">
        <v>613</v>
      </c>
      <c r="B10" s="54">
        <v>6.59</v>
      </c>
      <c r="C10" s="54">
        <v>11.9</v>
      </c>
      <c r="D10" s="54">
        <v>11.49</v>
      </c>
      <c r="E10" s="54">
        <v>4.7300000000000004</v>
      </c>
      <c r="F10" s="54">
        <v>2.2799999999999998</v>
      </c>
      <c r="G10" s="54">
        <v>46.13</v>
      </c>
      <c r="H10" s="54">
        <v>15.72</v>
      </c>
      <c r="I10" s="54">
        <v>1.67</v>
      </c>
      <c r="J10" s="54">
        <v>0.17</v>
      </c>
      <c r="K10" s="54">
        <v>335.2</v>
      </c>
      <c r="L10" s="54">
        <v>23.56</v>
      </c>
      <c r="M10" s="54">
        <v>97.82</v>
      </c>
      <c r="N10" s="54">
        <v>39.799999999999997</v>
      </c>
      <c r="O10" s="54">
        <v>0</v>
      </c>
      <c r="P10" s="54">
        <v>0.41</v>
      </c>
      <c r="Q10" s="54">
        <v>9.02</v>
      </c>
      <c r="R10" s="43"/>
      <c r="S10" s="43"/>
      <c r="T10" s="43"/>
      <c r="U10" s="43"/>
    </row>
    <row r="11" spans="1:21" s="11" customFormat="1" x14ac:dyDescent="0.25">
      <c r="A11" s="53" t="s">
        <v>614</v>
      </c>
      <c r="B11" s="54">
        <v>7.43</v>
      </c>
      <c r="C11" s="54">
        <v>10.32</v>
      </c>
      <c r="D11" s="54">
        <v>11.35</v>
      </c>
      <c r="E11" s="54">
        <v>4.62</v>
      </c>
      <c r="F11" s="54">
        <v>2.14</v>
      </c>
      <c r="G11" s="54">
        <v>36.53</v>
      </c>
      <c r="H11" s="54">
        <v>15.39</v>
      </c>
      <c r="I11" s="54">
        <v>1.63</v>
      </c>
      <c r="J11" s="54">
        <v>0.16</v>
      </c>
      <c r="K11" s="54">
        <v>330.47</v>
      </c>
      <c r="L11" s="54">
        <v>22.78</v>
      </c>
      <c r="M11" s="54">
        <v>97.83</v>
      </c>
      <c r="N11" s="54">
        <v>39.799999999999997</v>
      </c>
      <c r="O11" s="54">
        <v>0</v>
      </c>
      <c r="P11" s="54">
        <v>0.4</v>
      </c>
      <c r="Q11" s="54">
        <v>9.0399999999999991</v>
      </c>
      <c r="R11" s="43"/>
      <c r="S11" s="43"/>
      <c r="T11" s="43"/>
      <c r="U11" s="43"/>
    </row>
    <row r="12" spans="1:21" s="11" customFormat="1" x14ac:dyDescent="0.25">
      <c r="A12" s="53" t="s">
        <v>615</v>
      </c>
      <c r="B12" s="54">
        <v>7.27</v>
      </c>
      <c r="C12" s="54">
        <v>12.14</v>
      </c>
      <c r="D12" s="54">
        <v>12.04</v>
      </c>
      <c r="E12" s="54">
        <v>4.43</v>
      </c>
      <c r="F12" s="54">
        <v>2.1</v>
      </c>
      <c r="G12" s="54">
        <v>33.5</v>
      </c>
      <c r="H12" s="54">
        <v>14.07</v>
      </c>
      <c r="I12" s="54">
        <v>1.62</v>
      </c>
      <c r="J12" s="54">
        <v>0.17</v>
      </c>
      <c r="K12" s="54">
        <v>345.09</v>
      </c>
      <c r="L12" s="54">
        <v>22.38</v>
      </c>
      <c r="M12" s="54">
        <v>97.88</v>
      </c>
      <c r="N12" s="54">
        <v>39.9</v>
      </c>
      <c r="O12" s="54">
        <v>0</v>
      </c>
      <c r="P12" s="54">
        <v>0.38</v>
      </c>
      <c r="Q12" s="54">
        <v>9.06</v>
      </c>
      <c r="R12" s="43"/>
      <c r="S12" s="43"/>
      <c r="T12" s="43"/>
      <c r="U12" s="43"/>
    </row>
    <row r="13" spans="1:21" s="11" customFormat="1" x14ac:dyDescent="0.25">
      <c r="A13" s="53" t="s">
        <v>616</v>
      </c>
      <c r="B13" s="54">
        <v>11.7</v>
      </c>
      <c r="C13" s="54">
        <v>14.36</v>
      </c>
      <c r="D13" s="54">
        <v>14.73</v>
      </c>
      <c r="E13" s="54">
        <v>4.41</v>
      </c>
      <c r="F13" s="54">
        <v>2.1</v>
      </c>
      <c r="G13" s="54">
        <v>43.42</v>
      </c>
      <c r="H13" s="54">
        <v>13.15</v>
      </c>
      <c r="I13" s="54">
        <v>1.65</v>
      </c>
      <c r="J13" s="54">
        <v>0.18</v>
      </c>
      <c r="K13" s="54">
        <v>345.76</v>
      </c>
      <c r="L13" s="54">
        <v>22.2</v>
      </c>
      <c r="M13" s="54">
        <v>97.9</v>
      </c>
      <c r="N13" s="54">
        <v>39.9</v>
      </c>
      <c r="O13" s="54">
        <v>0</v>
      </c>
      <c r="P13" s="54">
        <v>0.45</v>
      </c>
      <c r="Q13" s="54">
        <v>9.06</v>
      </c>
      <c r="R13" s="43"/>
      <c r="S13" s="43"/>
      <c r="T13" s="43"/>
      <c r="U13" s="43"/>
    </row>
    <row r="14" spans="1:21" s="11" customFormat="1" x14ac:dyDescent="0.25">
      <c r="A14" s="53" t="s">
        <v>617</v>
      </c>
      <c r="B14" s="54">
        <v>14.96</v>
      </c>
      <c r="C14" s="54">
        <v>11.58</v>
      </c>
      <c r="D14" s="54">
        <v>16.78</v>
      </c>
      <c r="E14" s="54">
        <v>4.16</v>
      </c>
      <c r="F14" s="54">
        <v>2.1</v>
      </c>
      <c r="G14" s="54">
        <v>55.38</v>
      </c>
      <c r="H14" s="54">
        <v>14.37</v>
      </c>
      <c r="I14" s="54">
        <v>1.68</v>
      </c>
      <c r="J14" s="54">
        <v>0.46</v>
      </c>
      <c r="K14" s="54">
        <v>339.35</v>
      </c>
      <c r="L14" s="54">
        <v>22.08</v>
      </c>
      <c r="M14" s="54">
        <v>97.92</v>
      </c>
      <c r="N14" s="54">
        <v>41.9</v>
      </c>
      <c r="O14" s="54">
        <v>0</v>
      </c>
      <c r="P14" s="54">
        <v>0.47</v>
      </c>
      <c r="Q14" s="54">
        <v>9.06</v>
      </c>
      <c r="R14" s="43"/>
      <c r="S14" s="43"/>
      <c r="T14" s="43"/>
      <c r="U14" s="43"/>
    </row>
    <row r="15" spans="1:21" s="11" customFormat="1" x14ac:dyDescent="0.25">
      <c r="A15" s="53" t="s">
        <v>618</v>
      </c>
      <c r="B15" s="54">
        <v>11.58</v>
      </c>
      <c r="C15" s="54">
        <v>12.36</v>
      </c>
      <c r="D15" s="54">
        <v>15.3</v>
      </c>
      <c r="E15" s="54">
        <v>4.18</v>
      </c>
      <c r="F15" s="54">
        <v>2.8</v>
      </c>
      <c r="G15" s="54">
        <v>61.55</v>
      </c>
      <c r="H15" s="54">
        <v>13.53</v>
      </c>
      <c r="I15" s="54">
        <v>1.73</v>
      </c>
      <c r="J15" s="54">
        <v>0.24</v>
      </c>
      <c r="K15" s="54">
        <v>339.38</v>
      </c>
      <c r="L15" s="54">
        <v>23.22</v>
      </c>
      <c r="M15" s="54">
        <v>97.9</v>
      </c>
      <c r="N15" s="54">
        <v>159.9</v>
      </c>
      <c r="O15" s="54">
        <v>0</v>
      </c>
      <c r="P15" s="54">
        <v>0.48</v>
      </c>
      <c r="Q15" s="54">
        <v>9.1</v>
      </c>
      <c r="R15" s="43"/>
      <c r="S15" s="43"/>
      <c r="T15" s="43"/>
      <c r="U15" s="43"/>
    </row>
    <row r="16" spans="1:21" s="11" customFormat="1" x14ac:dyDescent="0.25">
      <c r="A16" s="53" t="s">
        <v>619</v>
      </c>
      <c r="B16" s="54">
        <v>11.57</v>
      </c>
      <c r="C16" s="54">
        <v>13.32</v>
      </c>
      <c r="D16" s="54">
        <v>15.96</v>
      </c>
      <c r="E16" s="54">
        <v>5.41</v>
      </c>
      <c r="F16" s="54">
        <v>4.55</v>
      </c>
      <c r="G16" s="54">
        <v>66.56</v>
      </c>
      <c r="H16" s="54">
        <v>12.88</v>
      </c>
      <c r="I16" s="54">
        <v>1.81</v>
      </c>
      <c r="J16" s="54">
        <v>0.15</v>
      </c>
      <c r="K16" s="54">
        <v>332.12</v>
      </c>
      <c r="L16" s="54">
        <v>27.67</v>
      </c>
      <c r="M16" s="54">
        <v>94.63</v>
      </c>
      <c r="N16" s="54">
        <v>374.9</v>
      </c>
      <c r="O16" s="54">
        <v>0</v>
      </c>
      <c r="P16" s="54">
        <v>0.49</v>
      </c>
      <c r="Q16" s="54">
        <v>9.1300000000000008</v>
      </c>
      <c r="R16" s="43"/>
      <c r="S16" s="43"/>
      <c r="T16" s="43"/>
      <c r="U16" s="43"/>
    </row>
    <row r="17" spans="1:21" s="11" customFormat="1" x14ac:dyDescent="0.25">
      <c r="A17" s="53" t="s">
        <v>620</v>
      </c>
      <c r="B17" s="54">
        <v>10.5</v>
      </c>
      <c r="C17" s="54">
        <v>12.01</v>
      </c>
      <c r="D17" s="54">
        <v>14.7</v>
      </c>
      <c r="E17" s="54">
        <v>6.18</v>
      </c>
      <c r="F17" s="54">
        <v>10.98</v>
      </c>
      <c r="G17" s="54">
        <v>80.790000000000006</v>
      </c>
      <c r="H17" s="54">
        <v>12.43</v>
      </c>
      <c r="I17" s="54">
        <v>1.82</v>
      </c>
      <c r="J17" s="54">
        <v>1.01</v>
      </c>
      <c r="K17" s="54">
        <v>130.27000000000001</v>
      </c>
      <c r="L17" s="54">
        <v>28.21</v>
      </c>
      <c r="M17" s="54">
        <v>78.11</v>
      </c>
      <c r="N17" s="54">
        <v>579.9</v>
      </c>
      <c r="O17" s="54">
        <v>0</v>
      </c>
      <c r="P17" s="54">
        <v>0.45</v>
      </c>
      <c r="Q17" s="54">
        <v>9.1300000000000008</v>
      </c>
      <c r="R17" s="43"/>
      <c r="S17" s="43"/>
      <c r="T17" s="43"/>
      <c r="U17" s="43"/>
    </row>
    <row r="18" spans="1:21" s="11" customFormat="1" x14ac:dyDescent="0.25">
      <c r="A18" s="53" t="s">
        <v>621</v>
      </c>
      <c r="B18" s="54">
        <v>7.7</v>
      </c>
      <c r="C18" s="54">
        <v>10.25</v>
      </c>
      <c r="D18" s="54">
        <v>11.37</v>
      </c>
      <c r="E18" s="54">
        <v>7.25</v>
      </c>
      <c r="F18" s="54">
        <v>7.91</v>
      </c>
      <c r="G18" s="54">
        <v>61.74</v>
      </c>
      <c r="H18" s="54">
        <v>14.82</v>
      </c>
      <c r="I18" s="54">
        <v>1.81</v>
      </c>
      <c r="J18" s="54">
        <v>0.9</v>
      </c>
      <c r="K18" s="54">
        <v>135.44</v>
      </c>
      <c r="L18" s="54">
        <v>29.02</v>
      </c>
      <c r="M18" s="54">
        <v>75.010000000000005</v>
      </c>
      <c r="N18" s="54">
        <v>678</v>
      </c>
      <c r="O18" s="54">
        <v>0</v>
      </c>
      <c r="P18" s="54">
        <v>0.42</v>
      </c>
      <c r="Q18" s="54">
        <v>9.08</v>
      </c>
      <c r="R18" s="43"/>
      <c r="S18" s="43"/>
      <c r="T18" s="43"/>
      <c r="U18" s="43"/>
    </row>
    <row r="19" spans="1:21" s="11" customFormat="1" x14ac:dyDescent="0.25">
      <c r="A19" s="53" t="s">
        <v>622</v>
      </c>
      <c r="B19" s="54">
        <v>5.94</v>
      </c>
      <c r="C19" s="54">
        <v>12.6</v>
      </c>
      <c r="D19" s="54">
        <v>11.34</v>
      </c>
      <c r="E19" s="54">
        <v>6.18</v>
      </c>
      <c r="F19" s="54">
        <v>6.77</v>
      </c>
      <c r="G19" s="54">
        <v>26.44</v>
      </c>
      <c r="H19" s="54">
        <v>14.55</v>
      </c>
      <c r="I19" s="54">
        <v>1.7</v>
      </c>
      <c r="J19" s="54">
        <v>0.69</v>
      </c>
      <c r="K19" s="54">
        <v>140.02000000000001</v>
      </c>
      <c r="L19" s="54">
        <v>30.18</v>
      </c>
      <c r="M19" s="54">
        <v>63.06</v>
      </c>
      <c r="N19" s="54">
        <v>826.3</v>
      </c>
      <c r="O19" s="54">
        <v>0</v>
      </c>
      <c r="P19" s="54">
        <v>0.25</v>
      </c>
      <c r="Q19" s="54">
        <v>9.01</v>
      </c>
      <c r="R19" s="43"/>
      <c r="S19" s="43"/>
      <c r="T19" s="43"/>
      <c r="U19" s="43"/>
    </row>
    <row r="20" spans="1:21" s="11" customFormat="1" x14ac:dyDescent="0.25">
      <c r="A20" s="53" t="s">
        <v>623</v>
      </c>
      <c r="B20" s="54">
        <v>7.81</v>
      </c>
      <c r="C20" s="54">
        <v>11.99</v>
      </c>
      <c r="D20" s="54">
        <v>12.02</v>
      </c>
      <c r="E20" s="54">
        <v>5.15</v>
      </c>
      <c r="F20" s="54">
        <v>6.7</v>
      </c>
      <c r="G20" s="54">
        <v>52.78</v>
      </c>
      <c r="H20" s="54">
        <v>14.01</v>
      </c>
      <c r="I20" s="54">
        <v>0.81</v>
      </c>
      <c r="J20" s="54">
        <v>0.94</v>
      </c>
      <c r="K20" s="54">
        <v>148.77000000000001</v>
      </c>
      <c r="L20" s="54">
        <v>31.02</v>
      </c>
      <c r="M20" s="54">
        <v>58.17</v>
      </c>
      <c r="N20" s="54">
        <v>891.3</v>
      </c>
      <c r="O20" s="54">
        <v>0</v>
      </c>
      <c r="P20" s="54">
        <v>0.23</v>
      </c>
      <c r="Q20" s="54">
        <v>9</v>
      </c>
      <c r="R20" s="43"/>
      <c r="S20" s="43"/>
      <c r="T20" s="43"/>
      <c r="U20" s="43"/>
    </row>
    <row r="21" spans="1:21" s="11" customFormat="1" x14ac:dyDescent="0.25">
      <c r="A21" s="53" t="s">
        <v>624</v>
      </c>
      <c r="B21" s="54">
        <v>7.9</v>
      </c>
      <c r="C21" s="54">
        <v>12.78</v>
      </c>
      <c r="D21" s="54">
        <v>12.52</v>
      </c>
      <c r="E21" s="54">
        <v>5.24</v>
      </c>
      <c r="F21" s="54">
        <v>7.74</v>
      </c>
      <c r="G21" s="54">
        <v>26.13</v>
      </c>
      <c r="H21" s="54">
        <v>13.11</v>
      </c>
      <c r="I21" s="54">
        <v>0.88</v>
      </c>
      <c r="J21" s="54">
        <v>0.82</v>
      </c>
      <c r="K21" s="54">
        <v>142.19999999999999</v>
      </c>
      <c r="L21" s="54">
        <v>30.75</v>
      </c>
      <c r="M21" s="54">
        <v>58.91</v>
      </c>
      <c r="N21" s="54">
        <v>741.7</v>
      </c>
      <c r="O21" s="54">
        <v>0</v>
      </c>
      <c r="P21" s="54">
        <v>0.24</v>
      </c>
      <c r="Q21" s="54">
        <v>9</v>
      </c>
      <c r="R21" s="43"/>
      <c r="S21" s="43"/>
      <c r="T21" s="43"/>
      <c r="U21" s="43"/>
    </row>
    <row r="22" spans="1:21" s="11" customFormat="1" x14ac:dyDescent="0.25">
      <c r="A22" s="53" t="s">
        <v>625</v>
      </c>
      <c r="B22" s="54">
        <v>10.06</v>
      </c>
      <c r="C22" s="54">
        <v>13.58</v>
      </c>
      <c r="D22" s="54">
        <v>15.16</v>
      </c>
      <c r="E22" s="54">
        <v>5</v>
      </c>
      <c r="F22" s="54">
        <v>8.27</v>
      </c>
      <c r="G22" s="54">
        <v>37.090000000000003</v>
      </c>
      <c r="H22" s="54">
        <v>17.7</v>
      </c>
      <c r="I22" s="54">
        <v>0.91</v>
      </c>
      <c r="J22" s="54">
        <v>0.62</v>
      </c>
      <c r="K22" s="54">
        <v>340.77</v>
      </c>
      <c r="L22" s="54">
        <v>31.23</v>
      </c>
      <c r="M22" s="54">
        <v>55.69</v>
      </c>
      <c r="N22" s="54">
        <v>557.70000000000005</v>
      </c>
      <c r="O22" s="54">
        <v>0</v>
      </c>
      <c r="P22" s="54">
        <v>0.39</v>
      </c>
      <c r="Q22" s="54">
        <v>9</v>
      </c>
      <c r="R22" s="43"/>
      <c r="S22" s="43"/>
      <c r="T22" s="43"/>
      <c r="U22" s="43"/>
    </row>
    <row r="23" spans="1:21" s="11" customFormat="1" x14ac:dyDescent="0.25">
      <c r="A23" s="53" t="s">
        <v>626</v>
      </c>
      <c r="B23" s="54">
        <v>16.190000000000001</v>
      </c>
      <c r="C23" s="54">
        <v>17.37</v>
      </c>
      <c r="D23" s="54">
        <v>21.74</v>
      </c>
      <c r="E23" s="54">
        <v>6.34</v>
      </c>
      <c r="F23" s="54">
        <v>6.8</v>
      </c>
      <c r="G23" s="54">
        <v>38.26</v>
      </c>
      <c r="H23" s="54">
        <v>16.29</v>
      </c>
      <c r="I23" s="54">
        <v>0.91</v>
      </c>
      <c r="J23" s="54">
        <v>0.78</v>
      </c>
      <c r="K23" s="54">
        <v>330.39</v>
      </c>
      <c r="L23" s="54">
        <v>30.05</v>
      </c>
      <c r="M23" s="54">
        <v>57.1</v>
      </c>
      <c r="N23" s="54">
        <v>123.1</v>
      </c>
      <c r="O23" s="54">
        <v>0</v>
      </c>
      <c r="P23" s="54">
        <v>0.45</v>
      </c>
      <c r="Q23" s="54">
        <v>9.01</v>
      </c>
      <c r="R23" s="43"/>
      <c r="S23" s="43"/>
      <c r="T23" s="43"/>
      <c r="U23" s="43"/>
    </row>
    <row r="24" spans="1:21" s="11" customFormat="1" x14ac:dyDescent="0.25">
      <c r="A24" s="53" t="s">
        <v>627</v>
      </c>
      <c r="B24" s="54">
        <v>10.74</v>
      </c>
      <c r="C24" s="54">
        <v>15.74</v>
      </c>
      <c r="D24" s="54">
        <v>16.48</v>
      </c>
      <c r="E24" s="54">
        <v>7.38</v>
      </c>
      <c r="F24" s="54">
        <v>6.75</v>
      </c>
      <c r="G24" s="54">
        <v>20.75</v>
      </c>
      <c r="H24" s="54">
        <v>15.25</v>
      </c>
      <c r="I24" s="54">
        <v>0.99</v>
      </c>
      <c r="J24" s="54">
        <v>0.39</v>
      </c>
      <c r="K24" s="54">
        <v>142.04</v>
      </c>
      <c r="L24" s="54">
        <v>29.54</v>
      </c>
      <c r="M24" s="54">
        <v>54.5</v>
      </c>
      <c r="N24" s="54">
        <v>113.3</v>
      </c>
      <c r="O24" s="54">
        <v>0</v>
      </c>
      <c r="P24" s="54">
        <v>0.39</v>
      </c>
      <c r="Q24" s="54">
        <v>9.02</v>
      </c>
      <c r="R24" s="43"/>
      <c r="S24" s="43"/>
      <c r="T24" s="43"/>
      <c r="U24" s="43"/>
    </row>
    <row r="25" spans="1:21" s="11" customFormat="1" x14ac:dyDescent="0.25">
      <c r="A25" s="53" t="s">
        <v>628</v>
      </c>
      <c r="B25" s="54">
        <v>14.39</v>
      </c>
      <c r="C25" s="54">
        <v>21.59</v>
      </c>
      <c r="D25" s="54">
        <v>22.82</v>
      </c>
      <c r="E25" s="54">
        <v>8.94</v>
      </c>
      <c r="F25" s="54">
        <v>8.8800000000000008</v>
      </c>
      <c r="G25" s="54">
        <v>44.13</v>
      </c>
      <c r="H25" s="54">
        <v>13.98</v>
      </c>
      <c r="I25" s="54">
        <v>1.1599999999999999</v>
      </c>
      <c r="J25" s="54">
        <v>0.52</v>
      </c>
      <c r="K25" s="54">
        <v>331.83</v>
      </c>
      <c r="L25" s="54">
        <v>28.76</v>
      </c>
      <c r="M25" s="54">
        <v>56.76</v>
      </c>
      <c r="N25" s="54">
        <v>66.8</v>
      </c>
      <c r="O25" s="54">
        <v>0</v>
      </c>
      <c r="P25" s="54">
        <v>0.48</v>
      </c>
      <c r="Q25" s="54">
        <v>9.0500000000000007</v>
      </c>
      <c r="R25" s="43"/>
      <c r="S25" s="43"/>
      <c r="T25" s="43"/>
      <c r="U25" s="43"/>
    </row>
    <row r="26" spans="1:21" s="11" customFormat="1" x14ac:dyDescent="0.25">
      <c r="A26" s="53" t="s">
        <v>629</v>
      </c>
      <c r="B26" s="54">
        <v>7.62</v>
      </c>
      <c r="C26" s="54">
        <v>23.77</v>
      </c>
      <c r="D26" s="54">
        <v>18.53</v>
      </c>
      <c r="E26" s="54">
        <v>9.7200000000000006</v>
      </c>
      <c r="F26" s="54">
        <v>5.69</v>
      </c>
      <c r="G26" s="54">
        <v>30.43</v>
      </c>
      <c r="H26" s="54">
        <v>13.08</v>
      </c>
      <c r="I26" s="54">
        <v>1.31</v>
      </c>
      <c r="J26" s="54">
        <v>0.51</v>
      </c>
      <c r="K26" s="54">
        <v>155</v>
      </c>
      <c r="L26" s="54">
        <v>27.92</v>
      </c>
      <c r="M26" s="54">
        <v>63.05</v>
      </c>
      <c r="N26" s="54">
        <v>46.8</v>
      </c>
      <c r="O26" s="54">
        <v>0</v>
      </c>
      <c r="P26" s="54">
        <v>0.51</v>
      </c>
      <c r="Q26" s="54">
        <v>9.0299999999999994</v>
      </c>
      <c r="R26" s="43"/>
      <c r="S26" s="43"/>
      <c r="T26" s="43"/>
      <c r="U26" s="43"/>
    </row>
    <row r="27" spans="1:21" s="11" customFormat="1" x14ac:dyDescent="0.25">
      <c r="A27" s="53" t="s">
        <v>630</v>
      </c>
      <c r="B27" s="54">
        <v>5.97</v>
      </c>
      <c r="C27" s="54">
        <v>26.74</v>
      </c>
      <c r="D27" s="54">
        <v>18.760000000000002</v>
      </c>
      <c r="E27" s="54">
        <v>8.5</v>
      </c>
      <c r="F27" s="54">
        <v>3.88</v>
      </c>
      <c r="G27" s="54">
        <v>41.19</v>
      </c>
      <c r="H27" s="54">
        <v>12.5</v>
      </c>
      <c r="I27" s="54">
        <v>1.47</v>
      </c>
      <c r="J27" s="54">
        <v>0.45</v>
      </c>
      <c r="K27" s="54">
        <v>349.95</v>
      </c>
      <c r="L27" s="54">
        <v>27.15</v>
      </c>
      <c r="M27" s="54">
        <v>69.89</v>
      </c>
      <c r="N27" s="54">
        <v>40</v>
      </c>
      <c r="O27" s="54">
        <v>0</v>
      </c>
      <c r="P27" s="54">
        <v>0.62</v>
      </c>
      <c r="Q27" s="54">
        <v>9.02</v>
      </c>
      <c r="R27" s="43"/>
      <c r="S27" s="43"/>
      <c r="T27" s="43"/>
      <c r="U27" s="43"/>
    </row>
    <row r="28" spans="1:21" s="11" customFormat="1" x14ac:dyDescent="0.25">
      <c r="A28" s="53" t="s">
        <v>631</v>
      </c>
      <c r="B28" s="54">
        <v>21.4</v>
      </c>
      <c r="C28" s="54">
        <v>32.83</v>
      </c>
      <c r="D28" s="54">
        <v>34.31</v>
      </c>
      <c r="E28" s="54">
        <v>7.82</v>
      </c>
      <c r="F28" s="54">
        <v>2.2999999999999998</v>
      </c>
      <c r="G28" s="54">
        <v>47.28</v>
      </c>
      <c r="H28" s="54">
        <v>12.27</v>
      </c>
      <c r="I28" s="54">
        <v>1.58</v>
      </c>
      <c r="J28" s="54">
        <v>0.25</v>
      </c>
      <c r="K28" s="54">
        <v>351.6</v>
      </c>
      <c r="L28" s="54">
        <v>26.54</v>
      </c>
      <c r="M28" s="54">
        <v>73.75</v>
      </c>
      <c r="N28" s="54">
        <v>40</v>
      </c>
      <c r="O28" s="54">
        <v>0</v>
      </c>
      <c r="P28" s="54">
        <v>1.33</v>
      </c>
      <c r="Q28" s="54">
        <v>9.0500000000000007</v>
      </c>
      <c r="R28" s="43"/>
      <c r="S28" s="43"/>
      <c r="T28" s="43"/>
      <c r="U28" s="43"/>
    </row>
    <row r="29" spans="1:21" s="11" customFormat="1" x14ac:dyDescent="0.25">
      <c r="A29" s="53" t="s">
        <v>632</v>
      </c>
      <c r="B29" s="54">
        <v>7.71</v>
      </c>
      <c r="C29" s="54">
        <v>26.38</v>
      </c>
      <c r="D29" s="54">
        <v>19.41</v>
      </c>
      <c r="E29" s="54">
        <v>7.64</v>
      </c>
      <c r="F29" s="54">
        <v>2.2000000000000002</v>
      </c>
      <c r="G29" s="54">
        <v>57.85</v>
      </c>
      <c r="H29" s="54">
        <v>11.96</v>
      </c>
      <c r="I29" s="54">
        <v>1.73</v>
      </c>
      <c r="J29" s="54">
        <v>0.41</v>
      </c>
      <c r="K29" s="54">
        <v>144.41999999999999</v>
      </c>
      <c r="L29" s="54">
        <v>26.1</v>
      </c>
      <c r="M29" s="54">
        <v>77.510000000000005</v>
      </c>
      <c r="N29" s="54">
        <v>39.9</v>
      </c>
      <c r="O29" s="54">
        <v>0</v>
      </c>
      <c r="P29" s="54">
        <v>0.72</v>
      </c>
      <c r="Q29" s="54">
        <v>9.07</v>
      </c>
      <c r="R29" s="43"/>
      <c r="S29" s="43"/>
      <c r="T29" s="43"/>
      <c r="U29" s="43"/>
    </row>
    <row r="30" spans="1:21" s="11" customFormat="1" x14ac:dyDescent="0.25">
      <c r="A30" s="53" t="s">
        <v>633</v>
      </c>
      <c r="B30" s="54">
        <v>15.57</v>
      </c>
      <c r="C30" s="54">
        <v>26.45</v>
      </c>
      <c r="D30" s="54">
        <v>26.31</v>
      </c>
      <c r="E30" s="54">
        <v>8.7899999999999991</v>
      </c>
      <c r="F30" s="54">
        <v>2.2799999999999998</v>
      </c>
      <c r="G30" s="54">
        <v>54.75</v>
      </c>
      <c r="H30" s="54">
        <v>14.26</v>
      </c>
      <c r="I30" s="54">
        <v>1.84</v>
      </c>
      <c r="J30" s="54">
        <v>0.33</v>
      </c>
      <c r="K30" s="54">
        <v>180.42</v>
      </c>
      <c r="L30" s="54">
        <v>25.76</v>
      </c>
      <c r="M30" s="54">
        <v>82.36</v>
      </c>
      <c r="N30" s="54">
        <v>40.1</v>
      </c>
      <c r="O30" s="54">
        <v>0</v>
      </c>
      <c r="P30" s="54">
        <v>0.88</v>
      </c>
      <c r="Q30" s="54">
        <v>9.1</v>
      </c>
      <c r="R30" s="43"/>
      <c r="S30" s="43"/>
      <c r="T30" s="43"/>
      <c r="U30" s="43"/>
    </row>
    <row r="31" spans="1:21" s="11" customFormat="1" x14ac:dyDescent="0.25">
      <c r="A31" s="53" t="s">
        <v>634</v>
      </c>
      <c r="B31" s="54">
        <v>9.58</v>
      </c>
      <c r="C31" s="54">
        <v>21.46</v>
      </c>
      <c r="D31" s="54">
        <v>18.46</v>
      </c>
      <c r="E31" s="54">
        <v>7.6</v>
      </c>
      <c r="F31" s="54">
        <v>3.4</v>
      </c>
      <c r="G31" s="54">
        <v>59.88</v>
      </c>
      <c r="H31" s="54">
        <v>13.61</v>
      </c>
      <c r="I31" s="54">
        <v>1.86</v>
      </c>
      <c r="J31" s="54">
        <v>0.28000000000000003</v>
      </c>
      <c r="K31" s="54">
        <v>139.27000000000001</v>
      </c>
      <c r="L31" s="54">
        <v>25.48</v>
      </c>
      <c r="M31" s="54">
        <v>86.88</v>
      </c>
      <c r="N31" s="54">
        <v>40.200000000000003</v>
      </c>
      <c r="O31" s="54">
        <v>0</v>
      </c>
      <c r="P31" s="54">
        <v>0.61</v>
      </c>
      <c r="Q31" s="54">
        <v>9.08</v>
      </c>
      <c r="R31" s="43"/>
      <c r="S31" s="43"/>
      <c r="T31" s="43"/>
      <c r="U31" s="43"/>
    </row>
    <row r="32" spans="1:21" s="11" customFormat="1" x14ac:dyDescent="0.25">
      <c r="A32" s="53" t="s">
        <v>635</v>
      </c>
      <c r="B32" s="54">
        <v>7.96</v>
      </c>
      <c r="C32" s="54">
        <v>20.84</v>
      </c>
      <c r="D32" s="54">
        <v>17.27</v>
      </c>
      <c r="E32" s="54">
        <v>7.29</v>
      </c>
      <c r="F32" s="54">
        <v>2.58</v>
      </c>
      <c r="G32" s="54">
        <v>61.46</v>
      </c>
      <c r="H32" s="54">
        <v>13.55</v>
      </c>
      <c r="I32" s="54">
        <v>1.84</v>
      </c>
      <c r="J32" s="54">
        <v>0.53</v>
      </c>
      <c r="K32" s="54">
        <v>139.91999999999999</v>
      </c>
      <c r="L32" s="54">
        <v>25.03</v>
      </c>
      <c r="M32" s="54">
        <v>89.08</v>
      </c>
      <c r="N32" s="54">
        <v>40</v>
      </c>
      <c r="O32" s="54">
        <v>0</v>
      </c>
      <c r="P32" s="54">
        <v>0.51</v>
      </c>
      <c r="Q32" s="54">
        <v>9.07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5.94</v>
      </c>
      <c r="C34" s="28">
        <f t="shared" si="0"/>
        <v>10.25</v>
      </c>
      <c r="D34" s="28">
        <f t="shared" si="0"/>
        <v>11.34</v>
      </c>
      <c r="E34" s="28">
        <f t="shared" si="0"/>
        <v>4.16</v>
      </c>
      <c r="F34" s="28">
        <f t="shared" si="0"/>
        <v>2.1</v>
      </c>
      <c r="G34" s="28">
        <f t="shared" si="0"/>
        <v>20.75</v>
      </c>
      <c r="H34" s="28">
        <f t="shared" si="0"/>
        <v>11.96</v>
      </c>
      <c r="I34" s="28">
        <f t="shared" si="0"/>
        <v>0.81</v>
      </c>
      <c r="J34" s="28">
        <f t="shared" si="0"/>
        <v>0.13</v>
      </c>
      <c r="K34" s="28">
        <f t="shared" si="0"/>
        <v>130.27000000000001</v>
      </c>
      <c r="L34" s="28">
        <f t="shared" si="0"/>
        <v>22.08</v>
      </c>
      <c r="M34" s="28">
        <f t="shared" si="0"/>
        <v>54.5</v>
      </c>
      <c r="N34" s="28">
        <f t="shared" si="0"/>
        <v>39.799999999999997</v>
      </c>
      <c r="O34" s="28">
        <f t="shared" si="0"/>
        <v>0</v>
      </c>
      <c r="P34" s="28">
        <f t="shared" si="0"/>
        <v>0.23</v>
      </c>
      <c r="Q34" s="28">
        <f t="shared" si="0"/>
        <v>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21.4</v>
      </c>
      <c r="C35" s="29">
        <f t="shared" si="1"/>
        <v>32.83</v>
      </c>
      <c r="D35" s="29">
        <f t="shared" si="1"/>
        <v>34.31</v>
      </c>
      <c r="E35" s="29">
        <f t="shared" si="1"/>
        <v>9.7200000000000006</v>
      </c>
      <c r="F35" s="29">
        <f t="shared" si="1"/>
        <v>10.98</v>
      </c>
      <c r="G35" s="29">
        <f t="shared" si="1"/>
        <v>80.790000000000006</v>
      </c>
      <c r="H35" s="29">
        <f t="shared" si="1"/>
        <v>17.7</v>
      </c>
      <c r="I35" s="29">
        <f t="shared" si="1"/>
        <v>1.86</v>
      </c>
      <c r="J35" s="29">
        <f t="shared" si="1"/>
        <v>1.01</v>
      </c>
      <c r="K35" s="29">
        <f t="shared" si="1"/>
        <v>351.6</v>
      </c>
      <c r="L35" s="29">
        <f t="shared" si="1"/>
        <v>31.23</v>
      </c>
      <c r="M35" s="29">
        <f t="shared" si="1"/>
        <v>97.92</v>
      </c>
      <c r="N35" s="29">
        <f t="shared" si="1"/>
        <v>891.3</v>
      </c>
      <c r="O35" s="29">
        <f t="shared" si="1"/>
        <v>0</v>
      </c>
      <c r="P35" s="29">
        <f t="shared" si="1"/>
        <v>1.33</v>
      </c>
      <c r="Q35" s="29">
        <f t="shared" si="1"/>
        <v>9.1300000000000008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10.175416666666669</v>
      </c>
      <c r="C36" s="28">
        <f t="shared" si="2"/>
        <v>16.902916666666666</v>
      </c>
      <c r="D36" s="28">
        <f t="shared" si="2"/>
        <v>16.684166666666666</v>
      </c>
      <c r="E36" s="28">
        <f t="shared" si="2"/>
        <v>6.3420833333333313</v>
      </c>
      <c r="F36" s="28">
        <f t="shared" si="2"/>
        <v>4.7275</v>
      </c>
      <c r="G36" s="28">
        <f t="shared" si="2"/>
        <v>47.49666666666667</v>
      </c>
      <c r="H36" s="28">
        <f t="shared" si="2"/>
        <v>13.975833333333329</v>
      </c>
      <c r="I36" s="28">
        <f t="shared" si="2"/>
        <v>1.5045833333333334</v>
      </c>
      <c r="J36" s="28">
        <f t="shared" si="2"/>
        <v>0.46208333333333323</v>
      </c>
      <c r="K36" s="28">
        <f t="shared" si="2"/>
        <v>247.88375000000005</v>
      </c>
      <c r="L36" s="28">
        <f t="shared" si="2"/>
        <v>26.69125</v>
      </c>
      <c r="M36" s="28">
        <f t="shared" si="2"/>
        <v>78.118333333333325</v>
      </c>
      <c r="N36" s="28">
        <f t="shared" si="2"/>
        <v>235.04166666666666</v>
      </c>
      <c r="O36" s="28">
        <f t="shared" si="2"/>
        <v>0</v>
      </c>
      <c r="P36" s="28">
        <f t="shared" si="2"/>
        <v>0.49833333333333329</v>
      </c>
      <c r="Q36" s="28">
        <f t="shared" si="2"/>
        <v>9.0516666666666676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3.926978016309703</v>
      </c>
      <c r="C37" s="28">
        <f t="shared" ref="C37:Q37" si="3">STDEV(C9:C32)</f>
        <v>6.4251323648464354</v>
      </c>
      <c r="D37" s="28">
        <f t="shared" si="3"/>
        <v>5.5041509369049768</v>
      </c>
      <c r="E37" s="28">
        <f t="shared" si="3"/>
        <v>1.6939790542482858</v>
      </c>
      <c r="F37" s="28">
        <f t="shared" si="3"/>
        <v>2.7509686041228392</v>
      </c>
      <c r="G37" s="28">
        <f t="shared" si="3"/>
        <v>14.783996243490316</v>
      </c>
      <c r="H37" s="28">
        <f t="shared" si="3"/>
        <v>1.3790636920268282</v>
      </c>
      <c r="I37" s="28">
        <f t="shared" si="3"/>
        <v>0.35701636994092689</v>
      </c>
      <c r="J37" s="28">
        <f t="shared" si="3"/>
        <v>0.27495421226193251</v>
      </c>
      <c r="K37" s="28">
        <f t="shared" si="3"/>
        <v>97.714818947014308</v>
      </c>
      <c r="L37" s="28">
        <f t="shared" si="3"/>
        <v>3.0372159913745067</v>
      </c>
      <c r="M37" s="28">
        <f t="shared" si="3"/>
        <v>16.591241709084876</v>
      </c>
      <c r="N37" s="28">
        <f t="shared" si="3"/>
        <v>296.97769923106972</v>
      </c>
      <c r="O37" s="28">
        <f t="shared" si="3"/>
        <v>0</v>
      </c>
      <c r="P37" s="28">
        <f t="shared" si="3"/>
        <v>0.22781889578207132</v>
      </c>
      <c r="Q37" s="28">
        <f t="shared" si="3"/>
        <v>3.8748539009391507E-2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L14" sqref="L14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25/10/2025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3" t="s">
        <v>636</v>
      </c>
      <c r="B9" s="54">
        <v>6.28</v>
      </c>
      <c r="C9" s="54">
        <v>13.86</v>
      </c>
      <c r="D9" s="54">
        <v>11.88</v>
      </c>
      <c r="E9" s="54">
        <v>6.05</v>
      </c>
      <c r="F9" s="54">
        <v>4.51</v>
      </c>
      <c r="G9" s="54">
        <v>57.68</v>
      </c>
      <c r="H9" s="54">
        <v>13.44</v>
      </c>
      <c r="I9" s="54">
        <v>1.81</v>
      </c>
      <c r="J9" s="54">
        <v>0.4</v>
      </c>
      <c r="K9" s="54">
        <v>133.22</v>
      </c>
      <c r="L9" s="54">
        <v>25.05</v>
      </c>
      <c r="M9" s="54">
        <v>90.24</v>
      </c>
      <c r="N9" s="54">
        <v>40.200000000000003</v>
      </c>
      <c r="O9" s="54">
        <v>0</v>
      </c>
      <c r="P9" s="54">
        <v>0.41</v>
      </c>
      <c r="Q9" s="54">
        <v>9.08</v>
      </c>
      <c r="R9" s="43"/>
      <c r="S9" s="43"/>
      <c r="T9" s="43"/>
      <c r="U9" s="43"/>
    </row>
    <row r="10" spans="1:21" s="11" customFormat="1" x14ac:dyDescent="0.25">
      <c r="A10" s="53" t="s">
        <v>637</v>
      </c>
      <c r="B10" s="54">
        <v>5.71</v>
      </c>
      <c r="C10" s="54">
        <v>10.36</v>
      </c>
      <c r="D10" s="54">
        <v>9.93</v>
      </c>
      <c r="E10" s="54">
        <v>5.86</v>
      </c>
      <c r="F10" s="54">
        <v>4.32</v>
      </c>
      <c r="G10" s="54">
        <v>45.77</v>
      </c>
      <c r="H10" s="54">
        <v>15.63</v>
      </c>
      <c r="I10" s="54">
        <v>1.87</v>
      </c>
      <c r="J10" s="54">
        <v>0.39</v>
      </c>
      <c r="K10" s="54">
        <v>126.72</v>
      </c>
      <c r="L10" s="54">
        <v>24.72</v>
      </c>
      <c r="M10" s="54">
        <v>91.86</v>
      </c>
      <c r="N10" s="54">
        <v>40.299999999999997</v>
      </c>
      <c r="O10" s="54">
        <v>0</v>
      </c>
      <c r="P10" s="54">
        <v>0.35</v>
      </c>
      <c r="Q10" s="54">
        <v>9.08</v>
      </c>
      <c r="R10" s="43"/>
      <c r="S10" s="43"/>
      <c r="T10" s="43"/>
      <c r="U10" s="43"/>
    </row>
    <row r="11" spans="1:21" s="11" customFormat="1" x14ac:dyDescent="0.25">
      <c r="A11" s="53" t="s">
        <v>638</v>
      </c>
      <c r="B11" s="54">
        <v>6.63</v>
      </c>
      <c r="C11" s="54">
        <v>11.19</v>
      </c>
      <c r="D11" s="54">
        <v>10.43</v>
      </c>
      <c r="E11" s="54">
        <v>5.73</v>
      </c>
      <c r="F11" s="54">
        <v>2.54</v>
      </c>
      <c r="G11" s="54">
        <v>42.73</v>
      </c>
      <c r="H11" s="54">
        <v>14.84</v>
      </c>
      <c r="I11" s="54">
        <v>1.94</v>
      </c>
      <c r="J11" s="54">
        <v>0.4</v>
      </c>
      <c r="K11" s="54">
        <v>135.83000000000001</v>
      </c>
      <c r="L11" s="54">
        <v>24.52</v>
      </c>
      <c r="M11" s="54">
        <v>92.76</v>
      </c>
      <c r="N11" s="54">
        <v>40.1</v>
      </c>
      <c r="O11" s="54">
        <v>0</v>
      </c>
      <c r="P11" s="54">
        <v>0.39</v>
      </c>
      <c r="Q11" s="54">
        <v>9.08</v>
      </c>
      <c r="R11" s="43"/>
      <c r="S11" s="43"/>
      <c r="T11" s="43"/>
      <c r="U11" s="43"/>
    </row>
    <row r="12" spans="1:21" s="11" customFormat="1" x14ac:dyDescent="0.25">
      <c r="A12" s="53" t="s">
        <v>639</v>
      </c>
      <c r="B12" s="54">
        <v>9.61</v>
      </c>
      <c r="C12" s="54">
        <v>13.75</v>
      </c>
      <c r="D12" s="54">
        <v>14.89</v>
      </c>
      <c r="E12" s="54">
        <v>5.38</v>
      </c>
      <c r="F12" s="54">
        <v>2.12</v>
      </c>
      <c r="G12" s="54">
        <v>39.130000000000003</v>
      </c>
      <c r="H12" s="54">
        <v>14.34</v>
      </c>
      <c r="I12" s="54">
        <v>1.69</v>
      </c>
      <c r="J12" s="54">
        <v>0.13</v>
      </c>
      <c r="K12" s="54">
        <v>348.78</v>
      </c>
      <c r="L12" s="54">
        <v>24.32</v>
      </c>
      <c r="M12" s="54">
        <v>97.38</v>
      </c>
      <c r="N12" s="54">
        <v>40.200000000000003</v>
      </c>
      <c r="O12" s="54">
        <v>0</v>
      </c>
      <c r="P12" s="54">
        <v>0.37</v>
      </c>
      <c r="Q12" s="54">
        <v>9.0500000000000007</v>
      </c>
      <c r="R12" s="43"/>
      <c r="S12" s="43"/>
      <c r="T12" s="43"/>
      <c r="U12" s="43"/>
    </row>
    <row r="13" spans="1:21" s="11" customFormat="1" x14ac:dyDescent="0.25">
      <c r="A13" s="53" t="s">
        <v>640</v>
      </c>
      <c r="B13" s="54">
        <v>9.56</v>
      </c>
      <c r="C13" s="54">
        <v>17.57</v>
      </c>
      <c r="D13" s="54">
        <v>16.84</v>
      </c>
      <c r="E13" s="54">
        <v>5.25</v>
      </c>
      <c r="F13" s="54">
        <v>2.78</v>
      </c>
      <c r="G13" s="54">
        <v>41</v>
      </c>
      <c r="H13" s="54">
        <v>13.61</v>
      </c>
      <c r="I13" s="54">
        <v>1.68</v>
      </c>
      <c r="J13" s="54">
        <v>0.17</v>
      </c>
      <c r="K13" s="54">
        <v>213</v>
      </c>
      <c r="L13" s="54">
        <v>24.16</v>
      </c>
      <c r="M13" s="54">
        <v>96.61</v>
      </c>
      <c r="N13" s="54">
        <v>40.200000000000003</v>
      </c>
      <c r="O13" s="54">
        <v>0</v>
      </c>
      <c r="P13" s="54">
        <v>0.35</v>
      </c>
      <c r="Q13" s="54">
        <v>9.0299999999999994</v>
      </c>
      <c r="R13" s="43"/>
      <c r="S13" s="43"/>
      <c r="T13" s="43"/>
      <c r="U13" s="43"/>
    </row>
    <row r="14" spans="1:21" s="11" customFormat="1" x14ac:dyDescent="0.25">
      <c r="A14" s="53" t="s">
        <v>641</v>
      </c>
      <c r="B14" s="54">
        <v>7.16</v>
      </c>
      <c r="C14" s="54">
        <v>11.24</v>
      </c>
      <c r="D14" s="54">
        <v>10.9</v>
      </c>
      <c r="E14" s="54">
        <v>5.13</v>
      </c>
      <c r="F14" s="54">
        <v>3.46</v>
      </c>
      <c r="G14" s="54">
        <v>34.5</v>
      </c>
      <c r="H14" s="54">
        <v>14.74</v>
      </c>
      <c r="I14" s="54">
        <v>1.72</v>
      </c>
      <c r="J14" s="54">
        <v>0.46</v>
      </c>
      <c r="K14" s="54">
        <v>163.5</v>
      </c>
      <c r="L14" s="54">
        <v>23.98</v>
      </c>
      <c r="M14" s="54">
        <v>97.91</v>
      </c>
      <c r="N14" s="54">
        <v>42</v>
      </c>
      <c r="O14" s="54">
        <v>0</v>
      </c>
      <c r="P14" s="54">
        <v>0.36</v>
      </c>
      <c r="Q14" s="54">
        <v>9.06</v>
      </c>
      <c r="R14" s="43"/>
      <c r="S14" s="43"/>
      <c r="T14" s="43"/>
      <c r="U14" s="43"/>
    </row>
    <row r="15" spans="1:21" s="11" customFormat="1" x14ac:dyDescent="0.25">
      <c r="A15" s="53" t="s">
        <v>642</v>
      </c>
      <c r="B15" s="54">
        <v>7.13</v>
      </c>
      <c r="C15" s="54">
        <v>13.08</v>
      </c>
      <c r="D15" s="54">
        <v>12.12</v>
      </c>
      <c r="E15" s="54">
        <v>5.12</v>
      </c>
      <c r="F15" s="54">
        <v>2.2599999999999998</v>
      </c>
      <c r="G15" s="54">
        <v>33.89</v>
      </c>
      <c r="H15" s="54">
        <v>13.62</v>
      </c>
      <c r="I15" s="54">
        <v>1.74</v>
      </c>
      <c r="J15" s="54">
        <v>0.19</v>
      </c>
      <c r="K15" s="54">
        <v>178.62</v>
      </c>
      <c r="L15" s="54">
        <v>23.96</v>
      </c>
      <c r="M15" s="54">
        <v>97.93</v>
      </c>
      <c r="N15" s="54">
        <v>65.8</v>
      </c>
      <c r="O15" s="54">
        <v>0</v>
      </c>
      <c r="P15" s="54">
        <v>0.35</v>
      </c>
      <c r="Q15" s="54">
        <v>9.06</v>
      </c>
      <c r="R15" s="43"/>
      <c r="S15" s="43"/>
      <c r="T15" s="43"/>
      <c r="U15" s="43"/>
    </row>
    <row r="16" spans="1:21" s="11" customFormat="1" x14ac:dyDescent="0.25">
      <c r="A16" s="53" t="s">
        <v>643</v>
      </c>
      <c r="B16" s="54">
        <v>10.119999999999999</v>
      </c>
      <c r="C16" s="54">
        <v>15.66</v>
      </c>
      <c r="D16" s="54">
        <v>16.3</v>
      </c>
      <c r="E16" s="54">
        <v>5.24</v>
      </c>
      <c r="F16" s="54">
        <v>2.82</v>
      </c>
      <c r="G16" s="54">
        <v>37.340000000000003</v>
      </c>
      <c r="H16" s="54">
        <v>12.89</v>
      </c>
      <c r="I16" s="54">
        <v>1.72</v>
      </c>
      <c r="J16" s="54">
        <v>0.33</v>
      </c>
      <c r="K16" s="54">
        <v>133.15</v>
      </c>
      <c r="L16" s="54">
        <v>24.95</v>
      </c>
      <c r="M16" s="54">
        <v>97.91</v>
      </c>
      <c r="N16" s="54">
        <v>133</v>
      </c>
      <c r="O16" s="54">
        <v>0</v>
      </c>
      <c r="P16" s="54">
        <v>0.43</v>
      </c>
      <c r="Q16" s="54">
        <v>9.0299999999999994</v>
      </c>
      <c r="R16" s="43"/>
      <c r="S16" s="43"/>
      <c r="T16" s="43"/>
      <c r="U16" s="43"/>
    </row>
    <row r="17" spans="1:21" s="11" customFormat="1" x14ac:dyDescent="0.25">
      <c r="A17" s="53" t="s">
        <v>644</v>
      </c>
      <c r="B17" s="54">
        <v>8.3800000000000008</v>
      </c>
      <c r="C17" s="54">
        <v>10.81</v>
      </c>
      <c r="D17" s="54">
        <v>11.85</v>
      </c>
      <c r="E17" s="54">
        <v>5.14</v>
      </c>
      <c r="F17" s="54">
        <v>3.72</v>
      </c>
      <c r="G17" s="54">
        <v>40.28</v>
      </c>
      <c r="H17" s="54">
        <v>12.4</v>
      </c>
      <c r="I17" s="54">
        <v>1.73</v>
      </c>
      <c r="J17" s="54">
        <v>0.54</v>
      </c>
      <c r="K17" s="54">
        <v>130.36000000000001</v>
      </c>
      <c r="L17" s="54">
        <v>25.75</v>
      </c>
      <c r="M17" s="54">
        <v>97.89</v>
      </c>
      <c r="N17" s="54">
        <v>230.1</v>
      </c>
      <c r="O17" s="54">
        <v>0</v>
      </c>
      <c r="P17" s="54">
        <v>0.41</v>
      </c>
      <c r="Q17" s="54">
        <v>9.0500000000000007</v>
      </c>
      <c r="R17" s="43"/>
      <c r="S17" s="43"/>
      <c r="T17" s="43"/>
      <c r="U17" s="43"/>
    </row>
    <row r="18" spans="1:21" s="11" customFormat="1" x14ac:dyDescent="0.25">
      <c r="A18" s="53" t="s">
        <v>645</v>
      </c>
      <c r="B18" s="54">
        <v>14.65</v>
      </c>
      <c r="C18" s="54">
        <v>15</v>
      </c>
      <c r="D18" s="54">
        <v>19.37</v>
      </c>
      <c r="E18" s="54">
        <v>6.14</v>
      </c>
      <c r="F18" s="54">
        <v>5.17</v>
      </c>
      <c r="G18" s="54">
        <v>67.180000000000007</v>
      </c>
      <c r="H18" s="54">
        <v>14.8</v>
      </c>
      <c r="I18" s="54">
        <v>1.57</v>
      </c>
      <c r="J18" s="54">
        <v>0.2</v>
      </c>
      <c r="K18" s="54">
        <v>115.26</v>
      </c>
      <c r="L18" s="54">
        <v>26.53</v>
      </c>
      <c r="M18" s="54">
        <v>95.71</v>
      </c>
      <c r="N18" s="54">
        <v>240.1</v>
      </c>
      <c r="O18" s="54">
        <v>0</v>
      </c>
      <c r="P18" s="54">
        <v>0.63</v>
      </c>
      <c r="Q18" s="54">
        <v>9.08</v>
      </c>
      <c r="R18" s="43"/>
      <c r="S18" s="43"/>
      <c r="T18" s="43"/>
      <c r="U18" s="43"/>
    </row>
    <row r="19" spans="1:21" s="11" customFormat="1" x14ac:dyDescent="0.25">
      <c r="A19" s="53" t="s">
        <v>646</v>
      </c>
      <c r="B19" s="54">
        <v>9.43</v>
      </c>
      <c r="C19" s="54">
        <v>23.32</v>
      </c>
      <c r="D19" s="54">
        <v>19.48</v>
      </c>
      <c r="E19" s="54">
        <v>7.6</v>
      </c>
      <c r="F19" s="54">
        <v>7.45</v>
      </c>
      <c r="G19" s="54">
        <v>65.62</v>
      </c>
      <c r="H19" s="54">
        <v>13.97</v>
      </c>
      <c r="I19" s="54">
        <v>1.91</v>
      </c>
      <c r="J19" s="54">
        <v>0.37</v>
      </c>
      <c r="K19" s="54">
        <v>344.9</v>
      </c>
      <c r="L19" s="54">
        <v>27.26</v>
      </c>
      <c r="M19" s="54">
        <v>88.7</v>
      </c>
      <c r="N19" s="54">
        <v>240.8</v>
      </c>
      <c r="O19" s="54">
        <v>0</v>
      </c>
      <c r="P19" s="54">
        <v>0.71</v>
      </c>
      <c r="Q19" s="54">
        <v>9.1</v>
      </c>
      <c r="R19" s="43"/>
      <c r="S19" s="43"/>
      <c r="T19" s="43"/>
      <c r="U19" s="43"/>
    </row>
    <row r="20" spans="1:21" s="11" customFormat="1" x14ac:dyDescent="0.25">
      <c r="A20" s="53" t="s">
        <v>647</v>
      </c>
      <c r="B20" s="54">
        <v>6.93</v>
      </c>
      <c r="C20" s="54">
        <v>19.04</v>
      </c>
      <c r="D20" s="54">
        <v>14.51</v>
      </c>
      <c r="E20" s="54">
        <v>8.0299999999999994</v>
      </c>
      <c r="F20" s="54">
        <v>8.2200000000000006</v>
      </c>
      <c r="G20" s="54">
        <v>65.39</v>
      </c>
      <c r="H20" s="54">
        <v>13.6</v>
      </c>
      <c r="I20" s="54">
        <v>2.6</v>
      </c>
      <c r="J20" s="54">
        <v>0.84</v>
      </c>
      <c r="K20" s="54">
        <v>130.54</v>
      </c>
      <c r="L20" s="54">
        <v>29.06</v>
      </c>
      <c r="M20" s="54">
        <v>86.12</v>
      </c>
      <c r="N20" s="54">
        <v>601.5</v>
      </c>
      <c r="O20" s="54">
        <v>0</v>
      </c>
      <c r="P20" s="54">
        <v>0.57999999999999996</v>
      </c>
      <c r="Q20" s="54">
        <v>9.1300000000000008</v>
      </c>
      <c r="R20" s="43"/>
      <c r="S20" s="43"/>
      <c r="T20" s="43"/>
      <c r="U20" s="43"/>
    </row>
    <row r="21" spans="1:21" s="11" customFormat="1" x14ac:dyDescent="0.25">
      <c r="A21" s="53" t="s">
        <v>648</v>
      </c>
      <c r="B21" s="54">
        <v>8.64</v>
      </c>
      <c r="C21" s="54">
        <v>14.6</v>
      </c>
      <c r="D21" s="54">
        <v>14.55</v>
      </c>
      <c r="E21" s="54">
        <v>8.15</v>
      </c>
      <c r="F21" s="54">
        <v>10.09</v>
      </c>
      <c r="G21" s="54">
        <v>47.25</v>
      </c>
      <c r="H21" s="54">
        <v>13.13</v>
      </c>
      <c r="I21" s="54">
        <v>2.5299999999999998</v>
      </c>
      <c r="J21" s="54">
        <v>1.1599999999999999</v>
      </c>
      <c r="K21" s="54">
        <v>128.86000000000001</v>
      </c>
      <c r="L21" s="54">
        <v>29.77</v>
      </c>
      <c r="M21" s="54">
        <v>66.58</v>
      </c>
      <c r="N21" s="54">
        <v>708.6</v>
      </c>
      <c r="O21" s="54">
        <v>0</v>
      </c>
      <c r="P21" s="54">
        <v>0.43</v>
      </c>
      <c r="Q21" s="54">
        <v>9.08</v>
      </c>
      <c r="R21" s="43"/>
      <c r="S21" s="43"/>
      <c r="T21" s="43"/>
      <c r="U21" s="43"/>
    </row>
    <row r="22" spans="1:21" s="11" customFormat="1" x14ac:dyDescent="0.25">
      <c r="A22" s="53" t="s">
        <v>649</v>
      </c>
      <c r="B22" s="54">
        <v>7.6</v>
      </c>
      <c r="C22" s="54">
        <v>12.69</v>
      </c>
      <c r="D22" s="54">
        <v>12.72</v>
      </c>
      <c r="E22" s="54">
        <v>7.14</v>
      </c>
      <c r="F22" s="54">
        <v>8.25</v>
      </c>
      <c r="G22" s="54">
        <v>30.16</v>
      </c>
      <c r="H22" s="54">
        <v>14.06</v>
      </c>
      <c r="I22" s="54">
        <v>2.08</v>
      </c>
      <c r="J22" s="54">
        <v>1.04</v>
      </c>
      <c r="K22" s="54">
        <v>130.02000000000001</v>
      </c>
      <c r="L22" s="54">
        <v>29.88</v>
      </c>
      <c r="M22" s="54">
        <v>59.26</v>
      </c>
      <c r="N22" s="54">
        <v>273.3</v>
      </c>
      <c r="O22" s="54">
        <v>0</v>
      </c>
      <c r="P22" s="54">
        <v>0.42</v>
      </c>
      <c r="Q22" s="54">
        <v>9.0299999999999994</v>
      </c>
      <c r="R22" s="43"/>
      <c r="S22" s="43"/>
      <c r="T22" s="43"/>
      <c r="U22" s="43"/>
    </row>
    <row r="23" spans="1:21" s="11" customFormat="1" x14ac:dyDescent="0.25">
      <c r="A23" s="53" t="s">
        <v>650</v>
      </c>
      <c r="B23" s="54">
        <v>10.45</v>
      </c>
      <c r="C23" s="54">
        <v>15.89</v>
      </c>
      <c r="D23" s="54">
        <v>16.649999999999999</v>
      </c>
      <c r="E23" s="54">
        <v>7.58</v>
      </c>
      <c r="F23" s="54">
        <v>8.42</v>
      </c>
      <c r="G23" s="54">
        <v>55.41</v>
      </c>
      <c r="H23" s="54">
        <v>13.86</v>
      </c>
      <c r="I23" s="54">
        <v>1.81</v>
      </c>
      <c r="J23" s="54">
        <v>0.55000000000000004</v>
      </c>
      <c r="K23" s="54">
        <v>130.63</v>
      </c>
      <c r="L23" s="54">
        <v>28.86</v>
      </c>
      <c r="M23" s="54">
        <v>63.02</v>
      </c>
      <c r="N23" s="54">
        <v>187.2</v>
      </c>
      <c r="O23" s="54">
        <v>0</v>
      </c>
      <c r="P23" s="54">
        <v>0.45</v>
      </c>
      <c r="Q23" s="54">
        <v>9.0500000000000007</v>
      </c>
      <c r="R23" s="43"/>
      <c r="S23" s="43"/>
      <c r="T23" s="43"/>
      <c r="U23" s="43"/>
    </row>
    <row r="24" spans="1:21" s="11" customFormat="1" x14ac:dyDescent="0.25">
      <c r="A24" s="53" t="s">
        <v>651</v>
      </c>
      <c r="B24" s="54">
        <v>9.9</v>
      </c>
      <c r="C24" s="54">
        <v>15.49</v>
      </c>
      <c r="D24" s="54">
        <v>16.04</v>
      </c>
      <c r="E24" s="54">
        <v>7.37</v>
      </c>
      <c r="F24" s="54">
        <v>11.34</v>
      </c>
      <c r="G24" s="54">
        <v>33.51</v>
      </c>
      <c r="H24" s="54">
        <v>13.79</v>
      </c>
      <c r="I24" s="54">
        <v>1.71</v>
      </c>
      <c r="J24" s="54">
        <v>0.87</v>
      </c>
      <c r="K24" s="54">
        <v>140.11000000000001</v>
      </c>
      <c r="L24" s="54">
        <v>27.99</v>
      </c>
      <c r="M24" s="54">
        <v>71.13</v>
      </c>
      <c r="N24" s="54">
        <v>110.9</v>
      </c>
      <c r="O24" s="54">
        <v>0</v>
      </c>
      <c r="P24" s="54">
        <v>0.51</v>
      </c>
      <c r="Q24" s="54">
        <v>9.06</v>
      </c>
      <c r="R24" s="43"/>
      <c r="S24" s="43"/>
      <c r="T24" s="43"/>
      <c r="U24" s="43"/>
    </row>
    <row r="25" spans="1:21" s="11" customFormat="1" x14ac:dyDescent="0.25">
      <c r="A25" s="53" t="s">
        <v>652</v>
      </c>
      <c r="B25" s="54">
        <v>7.51</v>
      </c>
      <c r="C25" s="54">
        <v>17.03</v>
      </c>
      <c r="D25" s="54">
        <v>14.92</v>
      </c>
      <c r="E25" s="54">
        <v>7.1</v>
      </c>
      <c r="F25" s="54">
        <v>11.1</v>
      </c>
      <c r="G25" s="54">
        <v>34.130000000000003</v>
      </c>
      <c r="H25" s="54">
        <v>13.88</v>
      </c>
      <c r="I25" s="54">
        <v>1.64</v>
      </c>
      <c r="J25" s="54">
        <v>0.97</v>
      </c>
      <c r="K25" s="54">
        <v>133.66</v>
      </c>
      <c r="L25" s="54">
        <v>27.32</v>
      </c>
      <c r="M25" s="54">
        <v>73.010000000000005</v>
      </c>
      <c r="N25" s="54">
        <v>84.6</v>
      </c>
      <c r="O25" s="54">
        <v>0</v>
      </c>
      <c r="P25" s="54">
        <v>0.46</v>
      </c>
      <c r="Q25" s="54">
        <v>9.02</v>
      </c>
      <c r="R25" s="43"/>
      <c r="S25" s="43"/>
      <c r="T25" s="43"/>
      <c r="U25" s="43"/>
    </row>
    <row r="26" spans="1:21" s="11" customFormat="1" x14ac:dyDescent="0.25">
      <c r="A26" s="53" t="s">
        <v>653</v>
      </c>
      <c r="B26" s="54">
        <v>11.12</v>
      </c>
      <c r="C26" s="54">
        <v>28.53</v>
      </c>
      <c r="D26" s="54">
        <v>23.83</v>
      </c>
      <c r="E26" s="54">
        <v>7.3</v>
      </c>
      <c r="F26" s="54">
        <v>6.28</v>
      </c>
      <c r="G26" s="54">
        <v>29.87</v>
      </c>
      <c r="H26" s="54">
        <v>13.75</v>
      </c>
      <c r="I26" s="54">
        <v>1.61</v>
      </c>
      <c r="J26" s="54">
        <v>0.22</v>
      </c>
      <c r="K26" s="54">
        <v>249.09</v>
      </c>
      <c r="L26" s="54">
        <v>26.98</v>
      </c>
      <c r="M26" s="54">
        <v>75.91</v>
      </c>
      <c r="N26" s="54">
        <v>46.1</v>
      </c>
      <c r="O26" s="54">
        <v>0</v>
      </c>
      <c r="P26" s="54">
        <v>1.03</v>
      </c>
      <c r="Q26" s="54">
        <v>8.99</v>
      </c>
      <c r="R26" s="43"/>
      <c r="S26" s="43"/>
      <c r="T26" s="43"/>
      <c r="U26" s="43"/>
    </row>
    <row r="27" spans="1:21" s="11" customFormat="1" x14ac:dyDescent="0.25">
      <c r="A27" s="53" t="s">
        <v>654</v>
      </c>
      <c r="B27" s="54">
        <v>15.6</v>
      </c>
      <c r="C27" s="54">
        <v>30.75</v>
      </c>
      <c r="D27" s="54">
        <v>28.58</v>
      </c>
      <c r="E27" s="54">
        <v>7.46</v>
      </c>
      <c r="F27" s="54">
        <v>2.93</v>
      </c>
      <c r="G27" s="54">
        <v>67.650000000000006</v>
      </c>
      <c r="H27" s="54">
        <v>13.4</v>
      </c>
      <c r="I27" s="54">
        <v>1.89</v>
      </c>
      <c r="J27" s="54">
        <v>7.0000000000000007E-2</v>
      </c>
      <c r="K27" s="54">
        <v>266.83</v>
      </c>
      <c r="L27" s="54">
        <v>26.5</v>
      </c>
      <c r="M27" s="54">
        <v>81.97</v>
      </c>
      <c r="N27" s="54">
        <v>41.5</v>
      </c>
      <c r="O27" s="54">
        <v>0</v>
      </c>
      <c r="P27" s="54">
        <v>1.1399999999999999</v>
      </c>
      <c r="Q27" s="54">
        <v>9.07</v>
      </c>
      <c r="R27" s="43"/>
      <c r="S27" s="43"/>
      <c r="T27" s="43"/>
      <c r="U27" s="43"/>
    </row>
    <row r="28" spans="1:21" s="11" customFormat="1" x14ac:dyDescent="0.25">
      <c r="A28" s="53" t="s">
        <v>655</v>
      </c>
      <c r="B28" s="54">
        <v>20.170000000000002</v>
      </c>
      <c r="C28" s="54">
        <v>25.3</v>
      </c>
      <c r="D28" s="54">
        <v>27.06</v>
      </c>
      <c r="E28" s="54">
        <v>7.39</v>
      </c>
      <c r="F28" s="54">
        <v>3.49</v>
      </c>
      <c r="G28" s="54">
        <v>71.650000000000006</v>
      </c>
      <c r="H28" s="54">
        <v>13.13</v>
      </c>
      <c r="I28" s="54">
        <v>1.93</v>
      </c>
      <c r="J28" s="54">
        <v>0.45</v>
      </c>
      <c r="K28" s="54">
        <v>334.31</v>
      </c>
      <c r="L28" s="54">
        <v>26.04</v>
      </c>
      <c r="M28" s="54">
        <v>89.11</v>
      </c>
      <c r="N28" s="54">
        <v>41.3</v>
      </c>
      <c r="O28" s="54">
        <v>0</v>
      </c>
      <c r="P28" s="54">
        <v>1.1299999999999999</v>
      </c>
      <c r="Q28" s="54">
        <v>9.11</v>
      </c>
      <c r="R28" s="43"/>
      <c r="S28" s="43"/>
      <c r="T28" s="43"/>
      <c r="U28" s="43"/>
    </row>
    <row r="29" spans="1:21" s="11" customFormat="1" x14ac:dyDescent="0.25">
      <c r="A29" s="53" t="s">
        <v>656</v>
      </c>
      <c r="B29" s="54">
        <v>28.03</v>
      </c>
      <c r="C29" s="54">
        <v>28.78</v>
      </c>
      <c r="D29" s="54">
        <v>34.68</v>
      </c>
      <c r="E29" s="54">
        <v>7.11</v>
      </c>
      <c r="F29" s="54">
        <v>3.28</v>
      </c>
      <c r="G29" s="54">
        <v>78.739999999999995</v>
      </c>
      <c r="H29" s="54">
        <v>12.94</v>
      </c>
      <c r="I29" s="54">
        <v>2.14</v>
      </c>
      <c r="J29" s="54">
        <v>0.5</v>
      </c>
      <c r="K29" s="54">
        <v>334.77</v>
      </c>
      <c r="L29" s="54">
        <v>26.03</v>
      </c>
      <c r="M29" s="54">
        <v>92.8</v>
      </c>
      <c r="N29" s="54">
        <v>41.5</v>
      </c>
      <c r="O29" s="54">
        <v>0</v>
      </c>
      <c r="P29" s="54">
        <v>1.07</v>
      </c>
      <c r="Q29" s="54">
        <v>9.14</v>
      </c>
      <c r="R29" s="43"/>
      <c r="S29" s="43"/>
      <c r="T29" s="43"/>
      <c r="U29" s="43"/>
    </row>
    <row r="30" spans="1:21" s="11" customFormat="1" x14ac:dyDescent="0.25">
      <c r="A30" s="53" t="s">
        <v>657</v>
      </c>
      <c r="B30" s="54">
        <v>20.3</v>
      </c>
      <c r="C30" s="54">
        <v>30.65</v>
      </c>
      <c r="D30" s="54">
        <v>32.299999999999997</v>
      </c>
      <c r="E30" s="54">
        <v>6.72</v>
      </c>
      <c r="F30" s="54">
        <v>3.73</v>
      </c>
      <c r="G30" s="54">
        <v>80.84</v>
      </c>
      <c r="H30" s="54">
        <v>14.29</v>
      </c>
      <c r="I30" s="54">
        <v>2.2599999999999998</v>
      </c>
      <c r="J30" s="54">
        <v>0.11</v>
      </c>
      <c r="K30" s="54">
        <v>235.79</v>
      </c>
      <c r="L30" s="54">
        <v>25.75</v>
      </c>
      <c r="M30" s="54">
        <v>94.27</v>
      </c>
      <c r="N30" s="54">
        <v>41.5</v>
      </c>
      <c r="O30" s="54">
        <v>0</v>
      </c>
      <c r="P30" s="54">
        <v>0.9</v>
      </c>
      <c r="Q30" s="54">
        <v>9.16</v>
      </c>
      <c r="R30" s="43"/>
      <c r="S30" s="43"/>
      <c r="T30" s="43"/>
      <c r="U30" s="43"/>
    </row>
    <row r="31" spans="1:21" s="11" customFormat="1" x14ac:dyDescent="0.25">
      <c r="A31" s="53" t="s">
        <v>658</v>
      </c>
      <c r="B31" s="54">
        <v>14.95</v>
      </c>
      <c r="C31" s="54">
        <v>29</v>
      </c>
      <c r="D31" s="54">
        <v>27.14</v>
      </c>
      <c r="E31" s="54">
        <v>7.12</v>
      </c>
      <c r="F31" s="54">
        <v>7.34</v>
      </c>
      <c r="G31" s="54">
        <v>81.319999999999993</v>
      </c>
      <c r="H31" s="54">
        <v>14.36</v>
      </c>
      <c r="I31" s="54">
        <v>2.3199999999999998</v>
      </c>
      <c r="J31" s="54">
        <v>0.56999999999999995</v>
      </c>
      <c r="K31" s="54">
        <v>335.77</v>
      </c>
      <c r="L31" s="54">
        <v>25.4</v>
      </c>
      <c r="M31" s="54">
        <v>97.04</v>
      </c>
      <c r="N31" s="54">
        <v>41.5</v>
      </c>
      <c r="O31" s="54">
        <v>0</v>
      </c>
      <c r="P31" s="54">
        <v>0.81</v>
      </c>
      <c r="Q31" s="54">
        <v>9.19</v>
      </c>
      <c r="R31" s="43"/>
      <c r="S31" s="43"/>
      <c r="T31" s="43"/>
      <c r="U31" s="43"/>
    </row>
    <row r="32" spans="1:21" s="11" customFormat="1" x14ac:dyDescent="0.25">
      <c r="A32" s="53" t="s">
        <v>659</v>
      </c>
      <c r="B32" s="54">
        <v>8.59</v>
      </c>
      <c r="C32" s="54">
        <v>16.59</v>
      </c>
      <c r="D32" s="54">
        <v>15.12</v>
      </c>
      <c r="E32" s="54">
        <v>6.9</v>
      </c>
      <c r="F32" s="54">
        <v>5.1100000000000003</v>
      </c>
      <c r="G32" s="54">
        <v>78.91</v>
      </c>
      <c r="H32" s="54">
        <v>13.79</v>
      </c>
      <c r="I32" s="54">
        <v>2.2999999999999998</v>
      </c>
      <c r="J32" s="54">
        <v>0.35</v>
      </c>
      <c r="K32" s="54">
        <v>182.05</v>
      </c>
      <c r="L32" s="54">
        <v>25.11</v>
      </c>
      <c r="M32" s="54">
        <v>97.32</v>
      </c>
      <c r="N32" s="54">
        <v>41.5</v>
      </c>
      <c r="O32" s="54">
        <v>0</v>
      </c>
      <c r="P32" s="54">
        <v>0.53</v>
      </c>
      <c r="Q32" s="54">
        <v>9.1999999999999993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5.71</v>
      </c>
      <c r="C34" s="28">
        <f t="shared" si="0"/>
        <v>10.36</v>
      </c>
      <c r="D34" s="28">
        <f t="shared" si="0"/>
        <v>9.93</v>
      </c>
      <c r="E34" s="28">
        <f t="shared" si="0"/>
        <v>5.12</v>
      </c>
      <c r="F34" s="28">
        <f t="shared" si="0"/>
        <v>2.12</v>
      </c>
      <c r="G34" s="28">
        <f t="shared" si="0"/>
        <v>29.87</v>
      </c>
      <c r="H34" s="28">
        <f t="shared" si="0"/>
        <v>12.4</v>
      </c>
      <c r="I34" s="28">
        <f t="shared" si="0"/>
        <v>1.57</v>
      </c>
      <c r="J34" s="28">
        <f t="shared" si="0"/>
        <v>7.0000000000000007E-2</v>
      </c>
      <c r="K34" s="28">
        <f t="shared" si="0"/>
        <v>115.26</v>
      </c>
      <c r="L34" s="28">
        <f t="shared" si="0"/>
        <v>23.96</v>
      </c>
      <c r="M34" s="28">
        <f t="shared" si="0"/>
        <v>59.26</v>
      </c>
      <c r="N34" s="28">
        <f t="shared" si="0"/>
        <v>40.1</v>
      </c>
      <c r="O34" s="28">
        <f t="shared" si="0"/>
        <v>0</v>
      </c>
      <c r="P34" s="28">
        <f t="shared" si="0"/>
        <v>0.35</v>
      </c>
      <c r="Q34" s="28">
        <f t="shared" si="0"/>
        <v>8.99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28.03</v>
      </c>
      <c r="C35" s="29">
        <f t="shared" si="1"/>
        <v>30.75</v>
      </c>
      <c r="D35" s="29">
        <f t="shared" si="1"/>
        <v>34.68</v>
      </c>
      <c r="E35" s="29">
        <f t="shared" si="1"/>
        <v>8.15</v>
      </c>
      <c r="F35" s="29">
        <f t="shared" si="1"/>
        <v>11.34</v>
      </c>
      <c r="G35" s="29">
        <f t="shared" si="1"/>
        <v>81.319999999999993</v>
      </c>
      <c r="H35" s="29">
        <f t="shared" si="1"/>
        <v>15.63</v>
      </c>
      <c r="I35" s="29">
        <f t="shared" si="1"/>
        <v>2.6</v>
      </c>
      <c r="J35" s="29">
        <f t="shared" si="1"/>
        <v>1.1599999999999999</v>
      </c>
      <c r="K35" s="29">
        <f t="shared" si="1"/>
        <v>348.78</v>
      </c>
      <c r="L35" s="29">
        <f t="shared" si="1"/>
        <v>29.88</v>
      </c>
      <c r="M35" s="29">
        <f t="shared" si="1"/>
        <v>97.93</v>
      </c>
      <c r="N35" s="29">
        <f t="shared" si="1"/>
        <v>708.6</v>
      </c>
      <c r="O35" s="29">
        <f t="shared" si="1"/>
        <v>0</v>
      </c>
      <c r="P35" s="29">
        <f t="shared" si="1"/>
        <v>1.1399999999999999</v>
      </c>
      <c r="Q35" s="29">
        <f t="shared" si="1"/>
        <v>9.1999999999999993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11.018749999999999</v>
      </c>
      <c r="C36" s="28">
        <f t="shared" si="2"/>
        <v>18.340833333333329</v>
      </c>
      <c r="D36" s="28">
        <f t="shared" si="2"/>
        <v>18.00375</v>
      </c>
      <c r="E36" s="28">
        <f t="shared" si="2"/>
        <v>6.5837500000000011</v>
      </c>
      <c r="F36" s="28">
        <f t="shared" si="2"/>
        <v>5.4470833333333344</v>
      </c>
      <c r="G36" s="28">
        <f t="shared" si="2"/>
        <v>52.497916666666661</v>
      </c>
      <c r="H36" s="28">
        <f t="shared" si="2"/>
        <v>13.844166666666668</v>
      </c>
      <c r="I36" s="28">
        <f t="shared" si="2"/>
        <v>1.925</v>
      </c>
      <c r="J36" s="28">
        <f t="shared" si="2"/>
        <v>0.47</v>
      </c>
      <c r="K36" s="28">
        <f t="shared" si="2"/>
        <v>198.15708333333339</v>
      </c>
      <c r="L36" s="28">
        <f t="shared" si="2"/>
        <v>26.245416666666667</v>
      </c>
      <c r="M36" s="28">
        <f t="shared" si="2"/>
        <v>87.184999999999988</v>
      </c>
      <c r="N36" s="28">
        <f t="shared" si="2"/>
        <v>142.24166666666667</v>
      </c>
      <c r="O36" s="28">
        <f t="shared" si="2"/>
        <v>0</v>
      </c>
      <c r="P36" s="28">
        <f t="shared" si="2"/>
        <v>0.59250000000000003</v>
      </c>
      <c r="Q36" s="28">
        <f t="shared" si="2"/>
        <v>9.0804166666666664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5.4256927528036556</v>
      </c>
      <c r="C37" s="28">
        <f t="shared" ref="C37:Q37" si="3">STDEV(C9:C32)</f>
        <v>6.8531363284435018</v>
      </c>
      <c r="D37" s="28">
        <f t="shared" si="3"/>
        <v>7.1333038948667964</v>
      </c>
      <c r="E37" s="28">
        <f t="shared" si="3"/>
        <v>1.0105220884791868</v>
      </c>
      <c r="F37" s="28">
        <f t="shared" si="3"/>
        <v>2.8868856081411938</v>
      </c>
      <c r="G37" s="28">
        <f t="shared" si="3"/>
        <v>17.989343217139965</v>
      </c>
      <c r="H37" s="28">
        <f t="shared" si="3"/>
        <v>0.72367970735718434</v>
      </c>
      <c r="I37" s="28">
        <f t="shared" si="3"/>
        <v>0.29163705853859612</v>
      </c>
      <c r="J37" s="28">
        <f t="shared" si="3"/>
        <v>0.30501603664183891</v>
      </c>
      <c r="K37" s="28">
        <f t="shared" si="3"/>
        <v>84.994321471657841</v>
      </c>
      <c r="L37" s="28">
        <f t="shared" si="3"/>
        <v>1.8143126118789972</v>
      </c>
      <c r="M37" s="28">
        <f t="shared" si="3"/>
        <v>12.296784662808427</v>
      </c>
      <c r="N37" s="28">
        <f t="shared" si="3"/>
        <v>176.98046788980059</v>
      </c>
      <c r="O37" s="28">
        <f t="shared" si="3"/>
        <v>0</v>
      </c>
      <c r="P37" s="28">
        <f t="shared" si="3"/>
        <v>0.2705911403157748</v>
      </c>
      <c r="Q37" s="28">
        <f t="shared" si="3"/>
        <v>5.2542253527966376E-2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R36" sqref="R36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26/10/2025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49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7"/>
      <c r="B8" s="58" t="s">
        <v>22</v>
      </c>
      <c r="C8" s="58" t="s">
        <v>22</v>
      </c>
      <c r="D8" s="29" t="s">
        <v>42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660</v>
      </c>
      <c r="B9" s="54">
        <v>8.2899999999999991</v>
      </c>
      <c r="C9" s="54">
        <v>12.13</v>
      </c>
      <c r="D9" s="54">
        <v>12.23</v>
      </c>
      <c r="E9" s="54">
        <v>5.84</v>
      </c>
      <c r="F9" s="54">
        <v>4.7</v>
      </c>
      <c r="G9" s="54">
        <v>72.459999999999994</v>
      </c>
      <c r="H9" s="54">
        <v>13.18</v>
      </c>
      <c r="I9" s="54">
        <v>2.27</v>
      </c>
      <c r="J9" s="54">
        <v>0.49</v>
      </c>
      <c r="K9" s="54">
        <v>162.15</v>
      </c>
      <c r="L9" s="54">
        <v>24.84</v>
      </c>
      <c r="M9" s="54">
        <v>98.08</v>
      </c>
      <c r="N9" s="54">
        <v>41.9</v>
      </c>
      <c r="O9" s="54">
        <v>0</v>
      </c>
      <c r="P9" s="54">
        <v>0.56000000000000005</v>
      </c>
      <c r="Q9" s="54">
        <v>9.16</v>
      </c>
      <c r="R9" s="43"/>
      <c r="S9" s="43"/>
      <c r="T9" s="43"/>
      <c r="U9" s="43"/>
    </row>
    <row r="10" spans="1:21" s="11" customFormat="1" x14ac:dyDescent="0.25">
      <c r="A10" s="53" t="s">
        <v>661</v>
      </c>
      <c r="B10" s="54">
        <v>11.23</v>
      </c>
      <c r="C10" s="54">
        <v>10.27</v>
      </c>
      <c r="D10" s="54">
        <v>14</v>
      </c>
      <c r="E10" s="54">
        <v>4.78</v>
      </c>
      <c r="F10" s="54">
        <v>2.1</v>
      </c>
      <c r="G10" s="54">
        <v>72.78</v>
      </c>
      <c r="H10" s="54">
        <v>17.760000000000002</v>
      </c>
      <c r="I10" s="54">
        <v>2.19</v>
      </c>
      <c r="J10" s="54">
        <v>0.11</v>
      </c>
      <c r="K10" s="54">
        <v>356.52</v>
      </c>
      <c r="L10" s="54">
        <v>23.37</v>
      </c>
      <c r="M10" s="54">
        <v>98.14</v>
      </c>
      <c r="N10" s="54">
        <v>40.799999999999997</v>
      </c>
      <c r="O10" s="54">
        <v>0</v>
      </c>
      <c r="P10" s="54">
        <v>0.51</v>
      </c>
      <c r="Q10" s="54">
        <v>9.09</v>
      </c>
      <c r="R10" s="43"/>
      <c r="S10" s="43"/>
      <c r="T10" s="43"/>
      <c r="U10" s="43"/>
    </row>
    <row r="11" spans="1:21" s="11" customFormat="1" x14ac:dyDescent="0.25">
      <c r="A11" s="53" t="s">
        <v>662</v>
      </c>
      <c r="B11" s="54">
        <v>8.32</v>
      </c>
      <c r="C11" s="54">
        <v>10.65</v>
      </c>
      <c r="D11" s="54">
        <v>11.44</v>
      </c>
      <c r="E11" s="54">
        <v>4.59</v>
      </c>
      <c r="F11" s="54">
        <v>2.37</v>
      </c>
      <c r="G11" s="54">
        <v>69.760000000000005</v>
      </c>
      <c r="H11" s="54">
        <v>17.39</v>
      </c>
      <c r="I11" s="54">
        <v>2.1</v>
      </c>
      <c r="J11" s="54">
        <v>0.08</v>
      </c>
      <c r="K11" s="54">
        <v>347.29</v>
      </c>
      <c r="L11" s="54">
        <v>23.46</v>
      </c>
      <c r="M11" s="54">
        <v>98.15</v>
      </c>
      <c r="N11" s="54">
        <v>41.4</v>
      </c>
      <c r="O11" s="54">
        <v>0</v>
      </c>
      <c r="P11" s="54">
        <v>0.59</v>
      </c>
      <c r="Q11" s="54">
        <v>9.08</v>
      </c>
      <c r="R11" s="43"/>
      <c r="S11" s="43"/>
      <c r="T11" s="43"/>
      <c r="U11" s="43"/>
    </row>
    <row r="12" spans="1:21" s="11" customFormat="1" x14ac:dyDescent="0.25">
      <c r="A12" s="53" t="s">
        <v>663</v>
      </c>
      <c r="B12" s="54">
        <v>11.77</v>
      </c>
      <c r="C12" s="54">
        <v>7.92</v>
      </c>
      <c r="D12" s="54">
        <v>13.49</v>
      </c>
      <c r="E12" s="54">
        <v>4.62</v>
      </c>
      <c r="F12" s="54">
        <v>2.29</v>
      </c>
      <c r="G12" s="54">
        <v>63.69</v>
      </c>
      <c r="H12" s="54">
        <v>15.47</v>
      </c>
      <c r="I12" s="54">
        <v>2.0499999999999998</v>
      </c>
      <c r="J12" s="54">
        <v>0.24</v>
      </c>
      <c r="K12" s="54">
        <v>331.23</v>
      </c>
      <c r="L12" s="54">
        <v>23.1</v>
      </c>
      <c r="M12" s="54">
        <v>98.15</v>
      </c>
      <c r="N12" s="54">
        <v>41.2</v>
      </c>
      <c r="O12" s="54">
        <v>0</v>
      </c>
      <c r="P12" s="54">
        <v>0.55000000000000004</v>
      </c>
      <c r="Q12" s="54">
        <v>9.1199999999999992</v>
      </c>
      <c r="R12" s="43"/>
      <c r="S12" s="43"/>
      <c r="T12" s="43"/>
      <c r="U12" s="43"/>
    </row>
    <row r="13" spans="1:21" s="11" customFormat="1" x14ac:dyDescent="0.25">
      <c r="A13" s="53" t="s">
        <v>664</v>
      </c>
      <c r="B13" s="54">
        <v>13.18</v>
      </c>
      <c r="C13" s="54">
        <v>9.75</v>
      </c>
      <c r="D13" s="54">
        <v>15.15</v>
      </c>
      <c r="E13" s="54">
        <v>4.51</v>
      </c>
      <c r="F13" s="54">
        <v>2.39</v>
      </c>
      <c r="G13" s="54">
        <v>59.59</v>
      </c>
      <c r="H13" s="54">
        <v>14.13</v>
      </c>
      <c r="I13" s="54">
        <v>1.98</v>
      </c>
      <c r="J13" s="54">
        <v>0.66</v>
      </c>
      <c r="K13" s="54">
        <v>342.37</v>
      </c>
      <c r="L13" s="54">
        <v>23.27</v>
      </c>
      <c r="M13" s="54">
        <v>98.17</v>
      </c>
      <c r="N13" s="54">
        <v>41.1</v>
      </c>
      <c r="O13" s="54">
        <v>0</v>
      </c>
      <c r="P13" s="54">
        <v>0.57999999999999996</v>
      </c>
      <c r="Q13" s="54">
        <v>9.1300000000000008</v>
      </c>
      <c r="R13" s="43"/>
      <c r="S13" s="43"/>
      <c r="T13" s="43"/>
      <c r="U13" s="43"/>
    </row>
    <row r="14" spans="1:21" s="11" customFormat="1" x14ac:dyDescent="0.25">
      <c r="A14" s="53" t="s">
        <v>665</v>
      </c>
      <c r="B14" s="54">
        <v>12.73</v>
      </c>
      <c r="C14" s="54">
        <v>16.170000000000002</v>
      </c>
      <c r="D14" s="54">
        <v>17.82</v>
      </c>
      <c r="E14" s="54">
        <v>4.9000000000000004</v>
      </c>
      <c r="F14" s="54">
        <v>2.4900000000000002</v>
      </c>
      <c r="G14" s="54">
        <v>63.55</v>
      </c>
      <c r="H14" s="54">
        <v>15.67</v>
      </c>
      <c r="I14" s="54">
        <v>2.04</v>
      </c>
      <c r="J14" s="54">
        <v>0.4</v>
      </c>
      <c r="K14" s="54">
        <v>341.35</v>
      </c>
      <c r="L14" s="54">
        <v>23.4</v>
      </c>
      <c r="M14" s="54">
        <v>98.13</v>
      </c>
      <c r="N14" s="54">
        <v>43</v>
      </c>
      <c r="O14" s="54">
        <v>0</v>
      </c>
      <c r="P14" s="54">
        <v>0.71</v>
      </c>
      <c r="Q14" s="54">
        <v>9.1199999999999992</v>
      </c>
      <c r="R14" s="43"/>
      <c r="S14" s="43"/>
      <c r="T14" s="43"/>
      <c r="U14" s="43"/>
    </row>
    <row r="15" spans="1:21" s="11" customFormat="1" x14ac:dyDescent="0.25">
      <c r="A15" s="53" t="s">
        <v>666</v>
      </c>
      <c r="B15" s="54">
        <v>16.14</v>
      </c>
      <c r="C15" s="54">
        <v>16.43</v>
      </c>
      <c r="D15" s="54">
        <v>21.13</v>
      </c>
      <c r="E15" s="54">
        <v>6.44</v>
      </c>
      <c r="F15" s="54">
        <v>4.01</v>
      </c>
      <c r="G15" s="54">
        <v>74.53</v>
      </c>
      <c r="H15" s="54">
        <v>14.27</v>
      </c>
      <c r="I15" s="54">
        <v>2.08</v>
      </c>
      <c r="J15" s="54">
        <v>0.76</v>
      </c>
      <c r="K15" s="54">
        <v>339.45</v>
      </c>
      <c r="L15" s="54">
        <v>23.68</v>
      </c>
      <c r="M15" s="54">
        <v>98.07</v>
      </c>
      <c r="N15" s="54">
        <v>75.400000000000006</v>
      </c>
      <c r="O15" s="54">
        <v>0</v>
      </c>
      <c r="P15" s="54">
        <v>0.7</v>
      </c>
      <c r="Q15" s="54">
        <v>9.11</v>
      </c>
      <c r="R15" s="43"/>
      <c r="S15" s="43"/>
      <c r="T15" s="43"/>
      <c r="U15" s="43"/>
    </row>
    <row r="16" spans="1:21" s="11" customFormat="1" x14ac:dyDescent="0.25">
      <c r="A16" s="53" t="s">
        <v>667</v>
      </c>
      <c r="B16" s="54">
        <v>16.059999999999999</v>
      </c>
      <c r="C16" s="54">
        <v>18.39</v>
      </c>
      <c r="D16" s="54">
        <v>20.170000000000002</v>
      </c>
      <c r="E16" s="54">
        <v>8.01</v>
      </c>
      <c r="F16" s="54">
        <v>3.26</v>
      </c>
      <c r="G16" s="54">
        <v>82.18</v>
      </c>
      <c r="H16" s="54">
        <v>13.29</v>
      </c>
      <c r="I16" s="54">
        <v>2.38</v>
      </c>
      <c r="J16" s="54">
        <v>0.86</v>
      </c>
      <c r="K16" s="54">
        <v>343.24</v>
      </c>
      <c r="L16" s="54">
        <v>24.46</v>
      </c>
      <c r="M16" s="54">
        <v>98.04</v>
      </c>
      <c r="N16" s="54">
        <v>148.5</v>
      </c>
      <c r="O16" s="54">
        <v>0</v>
      </c>
      <c r="P16" s="54">
        <v>0.86</v>
      </c>
      <c r="Q16" s="54">
        <v>9.18</v>
      </c>
      <c r="R16" s="43"/>
      <c r="S16" s="43"/>
      <c r="T16" s="43"/>
      <c r="U16" s="43"/>
    </row>
    <row r="17" spans="1:21" s="11" customFormat="1" x14ac:dyDescent="0.25">
      <c r="A17" s="53" t="s">
        <v>668</v>
      </c>
      <c r="B17" s="54">
        <v>15.3</v>
      </c>
      <c r="C17" s="54">
        <v>13.43</v>
      </c>
      <c r="D17" s="54">
        <v>19.29</v>
      </c>
      <c r="E17" s="54">
        <v>8.1</v>
      </c>
      <c r="F17" s="54">
        <v>5.98</v>
      </c>
      <c r="G17" s="54">
        <v>94.57</v>
      </c>
      <c r="H17" s="54">
        <v>12.6</v>
      </c>
      <c r="I17" s="54">
        <v>2.4500000000000002</v>
      </c>
      <c r="J17" s="54">
        <v>1.01</v>
      </c>
      <c r="K17" s="54">
        <v>334.29</v>
      </c>
      <c r="L17" s="54">
        <v>26.78</v>
      </c>
      <c r="M17" s="54">
        <v>97.96</v>
      </c>
      <c r="N17" s="54">
        <v>322.8</v>
      </c>
      <c r="O17" s="54">
        <v>0</v>
      </c>
      <c r="P17" s="54">
        <v>0.73</v>
      </c>
      <c r="Q17" s="54">
        <v>9.2200000000000006</v>
      </c>
      <c r="R17" s="43"/>
      <c r="S17" s="43"/>
      <c r="T17" s="43"/>
      <c r="U17" s="43"/>
    </row>
    <row r="18" spans="1:21" s="11" customFormat="1" x14ac:dyDescent="0.25">
      <c r="A18" s="53" t="s">
        <v>669</v>
      </c>
      <c r="B18" s="54">
        <v>12.51</v>
      </c>
      <c r="C18" s="54">
        <v>12.43</v>
      </c>
      <c r="D18" s="54">
        <v>15.76</v>
      </c>
      <c r="E18" s="54">
        <v>6.7</v>
      </c>
      <c r="F18" s="54">
        <v>5.97</v>
      </c>
      <c r="G18" s="54">
        <v>104.17</v>
      </c>
      <c r="H18" s="54">
        <v>14.56</v>
      </c>
      <c r="I18" s="54">
        <v>2.46</v>
      </c>
      <c r="J18" s="54">
        <v>0.66</v>
      </c>
      <c r="K18" s="54">
        <v>132.58000000000001</v>
      </c>
      <c r="L18" s="54">
        <v>27.16</v>
      </c>
      <c r="M18" s="54">
        <v>97.96</v>
      </c>
      <c r="N18" s="54">
        <v>375.4</v>
      </c>
      <c r="O18" s="54">
        <v>0</v>
      </c>
      <c r="P18" s="54">
        <v>0.7</v>
      </c>
      <c r="Q18" s="54">
        <v>9.2100000000000009</v>
      </c>
      <c r="R18" s="43"/>
      <c r="S18" s="43"/>
      <c r="T18" s="43"/>
      <c r="U18" s="43"/>
    </row>
    <row r="19" spans="1:21" s="11" customFormat="1" x14ac:dyDescent="0.25">
      <c r="A19" s="53" t="s">
        <v>670</v>
      </c>
      <c r="B19" s="54">
        <v>9.5399999999999991</v>
      </c>
      <c r="C19" s="54">
        <v>12.59</v>
      </c>
      <c r="D19" s="54">
        <v>14.23</v>
      </c>
      <c r="E19" s="54">
        <v>6.62</v>
      </c>
      <c r="F19" s="54">
        <v>8.91</v>
      </c>
      <c r="G19" s="54">
        <v>99.98</v>
      </c>
      <c r="H19" s="54">
        <v>14.25</v>
      </c>
      <c r="I19" s="54">
        <v>2.4</v>
      </c>
      <c r="J19" s="54">
        <v>0.74</v>
      </c>
      <c r="K19" s="54">
        <v>137.19</v>
      </c>
      <c r="L19" s="54">
        <v>29.5</v>
      </c>
      <c r="M19" s="54">
        <v>95.11</v>
      </c>
      <c r="N19" s="54">
        <v>635.6</v>
      </c>
      <c r="O19" s="54">
        <v>0</v>
      </c>
      <c r="P19" s="54">
        <v>0.62</v>
      </c>
      <c r="Q19" s="54">
        <v>9.15</v>
      </c>
      <c r="R19" s="43"/>
      <c r="S19" s="43"/>
      <c r="T19" s="43"/>
      <c r="U19" s="43"/>
    </row>
    <row r="20" spans="1:21" s="11" customFormat="1" x14ac:dyDescent="0.25">
      <c r="A20" s="53" t="s">
        <v>671</v>
      </c>
      <c r="B20" s="54">
        <v>9.27</v>
      </c>
      <c r="C20" s="54">
        <v>11.96</v>
      </c>
      <c r="D20" s="54">
        <v>13.38</v>
      </c>
      <c r="E20" s="54">
        <v>6.39</v>
      </c>
      <c r="F20" s="54">
        <v>9.44</v>
      </c>
      <c r="G20" s="54">
        <v>89.92</v>
      </c>
      <c r="H20" s="54">
        <v>14.18</v>
      </c>
      <c r="I20" s="54">
        <v>2.3199999999999998</v>
      </c>
      <c r="J20" s="54">
        <v>0.93</v>
      </c>
      <c r="K20" s="54">
        <v>147.94</v>
      </c>
      <c r="L20" s="54">
        <v>29.48</v>
      </c>
      <c r="M20" s="54">
        <v>80.760000000000005</v>
      </c>
      <c r="N20" s="54">
        <v>844.5</v>
      </c>
      <c r="O20" s="54">
        <v>0</v>
      </c>
      <c r="P20" s="54">
        <v>0.56000000000000005</v>
      </c>
      <c r="Q20" s="54">
        <v>9.1</v>
      </c>
      <c r="R20" s="43"/>
      <c r="S20" s="43"/>
      <c r="T20" s="43"/>
      <c r="U20" s="43"/>
    </row>
    <row r="21" spans="1:21" s="11" customFormat="1" x14ac:dyDescent="0.25">
      <c r="A21" s="53" t="s">
        <v>672</v>
      </c>
      <c r="B21" s="54">
        <v>7.69</v>
      </c>
      <c r="C21" s="54">
        <v>10.24</v>
      </c>
      <c r="D21" s="54">
        <v>11.25</v>
      </c>
      <c r="E21" s="54">
        <v>5.82</v>
      </c>
      <c r="F21" s="54">
        <v>6.76</v>
      </c>
      <c r="G21" s="54">
        <v>67.099999999999994</v>
      </c>
      <c r="H21" s="54">
        <v>13.23</v>
      </c>
      <c r="I21" s="54">
        <v>2.2200000000000002</v>
      </c>
      <c r="J21" s="54">
        <v>0.87</v>
      </c>
      <c r="K21" s="54">
        <v>162.12</v>
      </c>
      <c r="L21" s="54">
        <v>29.95</v>
      </c>
      <c r="M21" s="54">
        <v>64.709999999999994</v>
      </c>
      <c r="N21" s="54">
        <v>701.7</v>
      </c>
      <c r="O21" s="54">
        <v>0</v>
      </c>
      <c r="P21" s="54">
        <v>0.52</v>
      </c>
      <c r="Q21" s="54">
        <v>9.07</v>
      </c>
      <c r="R21" s="43"/>
      <c r="S21" s="43"/>
      <c r="T21" s="43"/>
      <c r="U21" s="43"/>
    </row>
    <row r="22" spans="1:21" s="11" customFormat="1" x14ac:dyDescent="0.25">
      <c r="A22" s="53" t="s">
        <v>673</v>
      </c>
      <c r="B22" s="54">
        <v>9.09</v>
      </c>
      <c r="C22" s="54">
        <v>13.88</v>
      </c>
      <c r="D22" s="54">
        <v>14.54</v>
      </c>
      <c r="E22" s="54">
        <v>5.96</v>
      </c>
      <c r="F22" s="54">
        <v>8.67</v>
      </c>
      <c r="G22" s="54">
        <v>42.71</v>
      </c>
      <c r="H22" s="54">
        <v>14.9</v>
      </c>
      <c r="I22" s="54">
        <v>2.0699999999999998</v>
      </c>
      <c r="J22" s="54">
        <v>1.35</v>
      </c>
      <c r="K22" s="54">
        <v>336.56</v>
      </c>
      <c r="L22" s="54">
        <v>31.03</v>
      </c>
      <c r="M22" s="54">
        <v>71.12</v>
      </c>
      <c r="N22" s="54">
        <v>342.7</v>
      </c>
      <c r="O22" s="54">
        <v>0</v>
      </c>
      <c r="P22" s="54">
        <v>0.57999999999999996</v>
      </c>
      <c r="Q22" s="54">
        <v>9.06</v>
      </c>
      <c r="R22" s="43"/>
      <c r="S22" s="43"/>
      <c r="T22" s="43"/>
      <c r="U22" s="43"/>
    </row>
    <row r="23" spans="1:21" s="11" customFormat="1" x14ac:dyDescent="0.25">
      <c r="A23" s="53" t="s">
        <v>674</v>
      </c>
      <c r="B23" s="54">
        <v>11.15</v>
      </c>
      <c r="C23" s="54">
        <v>14.72</v>
      </c>
      <c r="D23" s="54">
        <v>15.88</v>
      </c>
      <c r="E23" s="54">
        <v>9.86</v>
      </c>
      <c r="F23" s="54">
        <v>4.91</v>
      </c>
      <c r="G23" s="54">
        <v>42.51</v>
      </c>
      <c r="H23" s="54">
        <v>16.05</v>
      </c>
      <c r="I23" s="54">
        <v>1.95</v>
      </c>
      <c r="J23" s="54">
        <v>1.66</v>
      </c>
      <c r="K23" s="54">
        <v>339.94</v>
      </c>
      <c r="L23" s="54">
        <v>29.74</v>
      </c>
      <c r="M23" s="54">
        <v>83.18</v>
      </c>
      <c r="N23" s="54">
        <v>178.9</v>
      </c>
      <c r="O23" s="54">
        <v>0</v>
      </c>
      <c r="P23" s="54">
        <v>0.59</v>
      </c>
      <c r="Q23" s="54">
        <v>9.0399999999999991</v>
      </c>
      <c r="R23" s="43"/>
      <c r="S23" s="43"/>
      <c r="T23" s="43"/>
      <c r="U23" s="43"/>
    </row>
    <row r="24" spans="1:21" s="11" customFormat="1" x14ac:dyDescent="0.25">
      <c r="A24" s="53" t="s">
        <v>675</v>
      </c>
      <c r="B24" s="54">
        <v>18.829999999999998</v>
      </c>
      <c r="C24" s="54">
        <v>18.489999999999998</v>
      </c>
      <c r="D24" s="54">
        <v>24.75</v>
      </c>
      <c r="E24" s="54">
        <v>10.34</v>
      </c>
      <c r="F24" s="54">
        <v>5.04</v>
      </c>
      <c r="G24" s="54">
        <v>65.19</v>
      </c>
      <c r="H24" s="54">
        <v>16.25</v>
      </c>
      <c r="I24" s="54">
        <v>2.04</v>
      </c>
      <c r="J24" s="54">
        <v>1.32</v>
      </c>
      <c r="K24" s="54">
        <v>338.18</v>
      </c>
      <c r="L24" s="54">
        <v>28.41</v>
      </c>
      <c r="M24" s="54">
        <v>89.99</v>
      </c>
      <c r="N24" s="54">
        <v>109.7</v>
      </c>
      <c r="O24" s="54">
        <v>0</v>
      </c>
      <c r="P24" s="54">
        <v>0.8</v>
      </c>
      <c r="Q24" s="54">
        <v>9.08</v>
      </c>
      <c r="R24" s="43"/>
      <c r="S24" s="43"/>
      <c r="T24" s="43"/>
      <c r="U24" s="43"/>
    </row>
    <row r="25" spans="1:21" s="11" customFormat="1" x14ac:dyDescent="0.25">
      <c r="A25" s="53" t="s">
        <v>676</v>
      </c>
      <c r="B25" s="54">
        <v>17.37</v>
      </c>
      <c r="C25" s="54">
        <v>18.149999999999999</v>
      </c>
      <c r="D25" s="54">
        <v>22.19</v>
      </c>
      <c r="E25" s="54">
        <v>11.57</v>
      </c>
      <c r="F25" s="54">
        <v>7.39</v>
      </c>
      <c r="G25" s="54">
        <v>69.17</v>
      </c>
      <c r="H25" s="54">
        <v>14.67</v>
      </c>
      <c r="I25" s="54">
        <v>2.14</v>
      </c>
      <c r="J25" s="54">
        <v>1.26</v>
      </c>
      <c r="K25" s="54">
        <v>336.8</v>
      </c>
      <c r="L25" s="54">
        <v>27.82</v>
      </c>
      <c r="M25" s="54">
        <v>91.35</v>
      </c>
      <c r="N25" s="54">
        <v>75.099999999999994</v>
      </c>
      <c r="O25" s="54">
        <v>0</v>
      </c>
      <c r="P25" s="54">
        <v>0.84</v>
      </c>
      <c r="Q25" s="54">
        <v>9.18</v>
      </c>
      <c r="R25" s="43"/>
      <c r="S25" s="43"/>
      <c r="T25" s="43"/>
      <c r="U25" s="43"/>
    </row>
    <row r="26" spans="1:21" s="11" customFormat="1" x14ac:dyDescent="0.25">
      <c r="A26" s="53" t="s">
        <v>677</v>
      </c>
      <c r="B26" s="54">
        <v>23.02</v>
      </c>
      <c r="C26" s="54">
        <v>18.559999999999999</v>
      </c>
      <c r="D26" s="54">
        <v>26.73</v>
      </c>
      <c r="E26" s="54">
        <v>7.93</v>
      </c>
      <c r="F26" s="54">
        <v>3.16</v>
      </c>
      <c r="G26" s="54">
        <v>48.44</v>
      </c>
      <c r="H26" s="54">
        <v>16.149999999999999</v>
      </c>
      <c r="I26" s="54">
        <v>2.2599999999999998</v>
      </c>
      <c r="J26" s="54">
        <v>0.35</v>
      </c>
      <c r="K26" s="54">
        <v>338.59</v>
      </c>
      <c r="L26" s="54">
        <v>26.57</v>
      </c>
      <c r="M26" s="54">
        <v>94.11</v>
      </c>
      <c r="N26" s="54">
        <v>46</v>
      </c>
      <c r="O26" s="54">
        <v>0</v>
      </c>
      <c r="P26" s="54">
        <v>1.0900000000000001</v>
      </c>
      <c r="Q26" s="54">
        <v>9.23</v>
      </c>
      <c r="R26" s="43"/>
      <c r="S26" s="43"/>
      <c r="T26" s="43"/>
      <c r="U26" s="43"/>
    </row>
    <row r="27" spans="1:21" s="11" customFormat="1" x14ac:dyDescent="0.25">
      <c r="A27" s="53" t="s">
        <v>678</v>
      </c>
      <c r="B27" s="54">
        <v>24.51</v>
      </c>
      <c r="C27" s="54">
        <v>23.49</v>
      </c>
      <c r="D27" s="54">
        <v>28.45</v>
      </c>
      <c r="E27" s="54">
        <v>7.19</v>
      </c>
      <c r="F27" s="54">
        <v>2.38</v>
      </c>
      <c r="G27" s="54">
        <v>53.01</v>
      </c>
      <c r="H27" s="54">
        <v>14.6</v>
      </c>
      <c r="I27" s="54">
        <v>2.34</v>
      </c>
      <c r="J27" s="54">
        <v>0.22</v>
      </c>
      <c r="K27" s="54">
        <v>327.51</v>
      </c>
      <c r="L27" s="54">
        <v>25.58</v>
      </c>
      <c r="M27" s="54">
        <v>97.27</v>
      </c>
      <c r="N27" s="54">
        <v>39.6</v>
      </c>
      <c r="O27" s="54">
        <v>0</v>
      </c>
      <c r="P27" s="54">
        <v>1.17</v>
      </c>
      <c r="Q27" s="54">
        <v>9.24</v>
      </c>
      <c r="R27" s="43"/>
      <c r="S27" s="43"/>
      <c r="T27" s="43"/>
      <c r="U27" s="43"/>
    </row>
    <row r="28" spans="1:21" s="11" customFormat="1" x14ac:dyDescent="0.25">
      <c r="A28" s="53" t="s">
        <v>679</v>
      </c>
      <c r="B28" s="54">
        <v>25.33</v>
      </c>
      <c r="C28" s="54">
        <v>16.39</v>
      </c>
      <c r="D28" s="54">
        <v>28.31</v>
      </c>
      <c r="E28" s="54">
        <v>6.95</v>
      </c>
      <c r="F28" s="54">
        <v>2.29</v>
      </c>
      <c r="G28" s="54">
        <v>57.37</v>
      </c>
      <c r="H28" s="54">
        <v>13.52</v>
      </c>
      <c r="I28" s="54">
        <v>2.44</v>
      </c>
      <c r="J28" s="54">
        <v>0.56000000000000005</v>
      </c>
      <c r="K28" s="54">
        <v>337.3</v>
      </c>
      <c r="L28" s="54">
        <v>25.11</v>
      </c>
      <c r="M28" s="54">
        <v>97.37</v>
      </c>
      <c r="N28" s="54">
        <v>39.6</v>
      </c>
      <c r="O28" s="54">
        <v>0</v>
      </c>
      <c r="P28" s="54">
        <v>1.1100000000000001</v>
      </c>
      <c r="Q28" s="54">
        <v>9.27</v>
      </c>
      <c r="R28" s="43"/>
      <c r="S28" s="43"/>
      <c r="T28" s="43"/>
      <c r="U28" s="43"/>
    </row>
    <row r="29" spans="1:21" s="11" customFormat="1" x14ac:dyDescent="0.25">
      <c r="A29" s="53" t="s">
        <v>680</v>
      </c>
      <c r="B29" s="54">
        <v>29.06</v>
      </c>
      <c r="C29" s="54">
        <v>17.260000000000002</v>
      </c>
      <c r="D29" s="54">
        <v>30.91</v>
      </c>
      <c r="E29" s="54">
        <v>6.5</v>
      </c>
      <c r="F29" s="54">
        <v>2.13</v>
      </c>
      <c r="G29" s="54">
        <v>59.41</v>
      </c>
      <c r="H29" s="54">
        <v>12.77</v>
      </c>
      <c r="I29" s="54">
        <v>2.58</v>
      </c>
      <c r="J29" s="54">
        <v>0.09</v>
      </c>
      <c r="K29" s="54">
        <v>300.77</v>
      </c>
      <c r="L29" s="54">
        <v>24.61</v>
      </c>
      <c r="M29" s="54">
        <v>97.94</v>
      </c>
      <c r="N29" s="54">
        <v>39.5</v>
      </c>
      <c r="O29" s="54">
        <v>0</v>
      </c>
      <c r="P29" s="54">
        <v>1.07</v>
      </c>
      <c r="Q29" s="54">
        <v>9.34</v>
      </c>
      <c r="R29" s="43"/>
      <c r="S29" s="43"/>
      <c r="T29" s="43"/>
      <c r="U29" s="43"/>
    </row>
    <row r="30" spans="1:21" s="11" customFormat="1" x14ac:dyDescent="0.25">
      <c r="A30" s="53" t="s">
        <v>681</v>
      </c>
      <c r="B30" s="54">
        <v>43.81</v>
      </c>
      <c r="C30" s="54">
        <v>14.53</v>
      </c>
      <c r="D30" s="54">
        <v>39.42</v>
      </c>
      <c r="E30" s="54">
        <v>6.53</v>
      </c>
      <c r="F30" s="54">
        <v>2.23</v>
      </c>
      <c r="G30" s="54">
        <v>56.37</v>
      </c>
      <c r="H30" s="54">
        <v>16.04</v>
      </c>
      <c r="I30" s="54">
        <v>2.76</v>
      </c>
      <c r="J30" s="54">
        <v>0.21</v>
      </c>
      <c r="K30" s="54">
        <v>329.97</v>
      </c>
      <c r="L30" s="54">
        <v>24.39</v>
      </c>
      <c r="M30" s="54">
        <v>97.98</v>
      </c>
      <c r="N30" s="54">
        <v>39.299999999999997</v>
      </c>
      <c r="O30" s="54">
        <v>0</v>
      </c>
      <c r="P30" s="54">
        <v>0.96</v>
      </c>
      <c r="Q30" s="54">
        <v>9.4499999999999993</v>
      </c>
      <c r="R30" s="43"/>
      <c r="S30" s="43"/>
      <c r="T30" s="43"/>
      <c r="U30" s="43"/>
    </row>
    <row r="31" spans="1:21" s="11" customFormat="1" x14ac:dyDescent="0.25">
      <c r="A31" s="53" t="s">
        <v>682</v>
      </c>
      <c r="B31" s="54">
        <v>40.630000000000003</v>
      </c>
      <c r="C31" s="54">
        <v>8.9600000000000009</v>
      </c>
      <c r="D31" s="54">
        <v>35.69</v>
      </c>
      <c r="E31" s="54">
        <v>6.35</v>
      </c>
      <c r="F31" s="54">
        <v>2.4300000000000002</v>
      </c>
      <c r="G31" s="54">
        <v>60.28</v>
      </c>
      <c r="H31" s="54">
        <v>14.7</v>
      </c>
      <c r="I31" s="54">
        <v>2.67</v>
      </c>
      <c r="J31" s="54">
        <v>0.59</v>
      </c>
      <c r="K31" s="54">
        <v>337.84</v>
      </c>
      <c r="L31" s="54">
        <v>24.07</v>
      </c>
      <c r="M31" s="54">
        <v>98.05</v>
      </c>
      <c r="N31" s="54">
        <v>39.4</v>
      </c>
      <c r="O31" s="54">
        <v>0</v>
      </c>
      <c r="P31" s="54">
        <v>0.83</v>
      </c>
      <c r="Q31" s="54">
        <v>9.52</v>
      </c>
      <c r="R31" s="43"/>
      <c r="S31" s="43"/>
      <c r="T31" s="43"/>
      <c r="U31" s="43"/>
    </row>
    <row r="32" spans="1:21" s="11" customFormat="1" x14ac:dyDescent="0.25">
      <c r="A32" s="53" t="s">
        <v>683</v>
      </c>
      <c r="B32" s="54">
        <v>25.14</v>
      </c>
      <c r="C32" s="54">
        <v>8.1</v>
      </c>
      <c r="D32" s="54">
        <v>24.01</v>
      </c>
      <c r="E32" s="54">
        <v>6.76</v>
      </c>
      <c r="F32" s="54">
        <v>2.83</v>
      </c>
      <c r="G32" s="54">
        <v>63.38</v>
      </c>
      <c r="H32" s="54">
        <v>14.43</v>
      </c>
      <c r="I32" s="54">
        <v>2.63</v>
      </c>
      <c r="J32" s="54">
        <v>0.55000000000000004</v>
      </c>
      <c r="K32" s="54">
        <v>334.84</v>
      </c>
      <c r="L32" s="54">
        <v>23.59</v>
      </c>
      <c r="M32" s="54">
        <v>98.1</v>
      </c>
      <c r="N32" s="54">
        <v>39.299999999999997</v>
      </c>
      <c r="O32" s="54">
        <v>0</v>
      </c>
      <c r="P32" s="54">
        <v>0.88</v>
      </c>
      <c r="Q32" s="54">
        <v>9.5299999999999994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7.69</v>
      </c>
      <c r="C34" s="28">
        <f t="shared" si="0"/>
        <v>7.92</v>
      </c>
      <c r="D34" s="28">
        <f t="shared" si="0"/>
        <v>11.25</v>
      </c>
      <c r="E34" s="28">
        <f t="shared" si="0"/>
        <v>4.51</v>
      </c>
      <c r="F34" s="28">
        <f t="shared" si="0"/>
        <v>2.1</v>
      </c>
      <c r="G34" s="28">
        <f t="shared" si="0"/>
        <v>42.51</v>
      </c>
      <c r="H34" s="28">
        <f t="shared" si="0"/>
        <v>12.6</v>
      </c>
      <c r="I34" s="28">
        <f t="shared" si="0"/>
        <v>1.95</v>
      </c>
      <c r="J34" s="28">
        <f t="shared" si="0"/>
        <v>0.08</v>
      </c>
      <c r="K34" s="28">
        <f t="shared" si="0"/>
        <v>132.58000000000001</v>
      </c>
      <c r="L34" s="28">
        <f t="shared" si="0"/>
        <v>23.1</v>
      </c>
      <c r="M34" s="28">
        <f t="shared" si="0"/>
        <v>64.709999999999994</v>
      </c>
      <c r="N34" s="28">
        <f t="shared" si="0"/>
        <v>39.299999999999997</v>
      </c>
      <c r="O34" s="28">
        <f t="shared" si="0"/>
        <v>0</v>
      </c>
      <c r="P34" s="28">
        <f t="shared" si="0"/>
        <v>0.51</v>
      </c>
      <c r="Q34" s="28">
        <f t="shared" si="0"/>
        <v>9.0399999999999991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43.81</v>
      </c>
      <c r="C35" s="29">
        <f t="shared" si="1"/>
        <v>23.49</v>
      </c>
      <c r="D35" s="29">
        <f t="shared" si="1"/>
        <v>39.42</v>
      </c>
      <c r="E35" s="29">
        <f t="shared" si="1"/>
        <v>11.57</v>
      </c>
      <c r="F35" s="29">
        <f t="shared" si="1"/>
        <v>9.44</v>
      </c>
      <c r="G35" s="29">
        <f t="shared" si="1"/>
        <v>104.17</v>
      </c>
      <c r="H35" s="29">
        <f t="shared" si="1"/>
        <v>17.760000000000002</v>
      </c>
      <c r="I35" s="29">
        <f t="shared" si="1"/>
        <v>2.76</v>
      </c>
      <c r="J35" s="29">
        <f t="shared" si="1"/>
        <v>1.66</v>
      </c>
      <c r="K35" s="29">
        <f t="shared" si="1"/>
        <v>356.52</v>
      </c>
      <c r="L35" s="29">
        <f t="shared" si="1"/>
        <v>31.03</v>
      </c>
      <c r="M35" s="29">
        <f t="shared" si="1"/>
        <v>98.17</v>
      </c>
      <c r="N35" s="29">
        <f t="shared" si="1"/>
        <v>844.5</v>
      </c>
      <c r="O35" s="29">
        <f t="shared" si="1"/>
        <v>0</v>
      </c>
      <c r="P35" s="29">
        <f t="shared" si="1"/>
        <v>1.17</v>
      </c>
      <c r="Q35" s="29">
        <f t="shared" si="1"/>
        <v>9.5299999999999994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17.498750000000001</v>
      </c>
      <c r="C36" s="28">
        <f t="shared" si="2"/>
        <v>13.953749999999999</v>
      </c>
      <c r="D36" s="28">
        <f t="shared" si="2"/>
        <v>20.425833333333333</v>
      </c>
      <c r="E36" s="28">
        <f t="shared" si="2"/>
        <v>6.8024999999999984</v>
      </c>
      <c r="F36" s="28">
        <f t="shared" si="2"/>
        <v>4.3387500000000001</v>
      </c>
      <c r="G36" s="28">
        <f t="shared" si="2"/>
        <v>68.004999999999995</v>
      </c>
      <c r="H36" s="28">
        <f t="shared" si="2"/>
        <v>14.7525</v>
      </c>
      <c r="I36" s="28">
        <f t="shared" si="2"/>
        <v>2.2841666666666662</v>
      </c>
      <c r="J36" s="28">
        <f t="shared" si="2"/>
        <v>0.66541666666666677</v>
      </c>
      <c r="K36" s="28">
        <f t="shared" si="2"/>
        <v>297.3341666666667</v>
      </c>
      <c r="L36" s="28">
        <f t="shared" si="2"/>
        <v>25.973750000000006</v>
      </c>
      <c r="M36" s="28">
        <f t="shared" si="2"/>
        <v>93.245416666666657</v>
      </c>
      <c r="N36" s="28">
        <f t="shared" si="2"/>
        <v>180.93333333333337</v>
      </c>
      <c r="O36" s="28">
        <f t="shared" si="2"/>
        <v>0</v>
      </c>
      <c r="P36" s="28">
        <f t="shared" si="2"/>
        <v>0.75458333333333327</v>
      </c>
      <c r="Q36" s="28">
        <f t="shared" si="2"/>
        <v>9.1950000000000003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9.8170735533647591</v>
      </c>
      <c r="C37" s="28">
        <f t="shared" ref="C37:Q37" si="3">STDEV(C9:C32)</f>
        <v>3.9682115262913245</v>
      </c>
      <c r="D37" s="28">
        <f t="shared" si="3"/>
        <v>7.8787926225028722</v>
      </c>
      <c r="E37" s="28">
        <f t="shared" si="3"/>
        <v>1.8072228273862951</v>
      </c>
      <c r="F37" s="28">
        <f t="shared" si="3"/>
        <v>2.4082815675696332</v>
      </c>
      <c r="G37" s="28">
        <f t="shared" si="3"/>
        <v>16.452534098456415</v>
      </c>
      <c r="H37" s="28">
        <f t="shared" si="3"/>
        <v>1.3721333754413236</v>
      </c>
      <c r="I37" s="28">
        <f t="shared" si="3"/>
        <v>0.23091343506334494</v>
      </c>
      <c r="J37" s="28">
        <f t="shared" si="3"/>
        <v>0.4335292895843787</v>
      </c>
      <c r="K37" s="28">
        <f t="shared" si="3"/>
        <v>78.833979868353921</v>
      </c>
      <c r="L37" s="28">
        <f t="shared" si="3"/>
        <v>2.5601542285403518</v>
      </c>
      <c r="M37" s="28">
        <f t="shared" si="3"/>
        <v>9.1793781067965732</v>
      </c>
      <c r="N37" s="28">
        <f t="shared" si="3"/>
        <v>236.42945205092673</v>
      </c>
      <c r="O37" s="28">
        <f t="shared" si="3"/>
        <v>0</v>
      </c>
      <c r="P37" s="28">
        <f t="shared" si="3"/>
        <v>0.20527773692089071</v>
      </c>
      <c r="Q37" s="28">
        <f t="shared" si="3"/>
        <v>0.13900265871714379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1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S12" sqref="S1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27/10/2025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3" t="s">
        <v>684</v>
      </c>
      <c r="B9" s="54">
        <v>25.55</v>
      </c>
      <c r="C9" s="54">
        <v>7.47</v>
      </c>
      <c r="D9" s="54">
        <v>23.17</v>
      </c>
      <c r="E9" s="54">
        <v>6.72</v>
      </c>
      <c r="F9" s="54">
        <v>2.92</v>
      </c>
      <c r="G9" s="54">
        <v>67.36</v>
      </c>
      <c r="H9" s="54">
        <v>14.46</v>
      </c>
      <c r="I9" s="54">
        <v>2.56</v>
      </c>
      <c r="J9" s="54">
        <v>0.64</v>
      </c>
      <c r="K9" s="54">
        <v>337.71</v>
      </c>
      <c r="L9" s="54">
        <v>23.1</v>
      </c>
      <c r="M9" s="54">
        <v>98.13</v>
      </c>
      <c r="N9" s="54">
        <v>39.299999999999997</v>
      </c>
      <c r="O9" s="54">
        <v>0</v>
      </c>
      <c r="P9" s="54">
        <v>0.66</v>
      </c>
      <c r="Q9" s="54">
        <v>9.51</v>
      </c>
      <c r="R9" s="43"/>
      <c r="S9" s="43"/>
      <c r="T9" s="43"/>
      <c r="U9" s="43"/>
    </row>
    <row r="10" spans="1:21" s="11" customFormat="1" x14ac:dyDescent="0.25">
      <c r="A10" s="53" t="s">
        <v>685</v>
      </c>
      <c r="B10" s="54">
        <v>18.86</v>
      </c>
      <c r="C10" s="54">
        <v>5.56</v>
      </c>
      <c r="D10" s="54">
        <v>17.53</v>
      </c>
      <c r="E10" s="54">
        <v>6.29</v>
      </c>
      <c r="F10" s="54">
        <v>2.54</v>
      </c>
      <c r="G10" s="54">
        <v>62.05</v>
      </c>
      <c r="H10" s="54">
        <v>17.170000000000002</v>
      </c>
      <c r="I10" s="54">
        <v>2.4500000000000002</v>
      </c>
      <c r="J10" s="54">
        <v>0.42</v>
      </c>
      <c r="K10" s="54">
        <v>333.51</v>
      </c>
      <c r="L10" s="54">
        <v>22.8</v>
      </c>
      <c r="M10" s="54">
        <v>98.15</v>
      </c>
      <c r="N10" s="54">
        <v>39.299999999999997</v>
      </c>
      <c r="O10" s="54">
        <v>0</v>
      </c>
      <c r="P10" s="54">
        <v>0.64</v>
      </c>
      <c r="Q10" s="54">
        <v>9.49</v>
      </c>
      <c r="R10" s="43"/>
      <c r="S10" s="43"/>
      <c r="T10" s="43"/>
      <c r="U10" s="43"/>
    </row>
    <row r="11" spans="1:21" s="11" customFormat="1" x14ac:dyDescent="0.25">
      <c r="A11" s="53" t="s">
        <v>686</v>
      </c>
      <c r="B11" s="54">
        <v>18.23</v>
      </c>
      <c r="C11" s="54">
        <v>6.12</v>
      </c>
      <c r="D11" s="54">
        <v>16.760000000000002</v>
      </c>
      <c r="E11" s="54">
        <v>6.17</v>
      </c>
      <c r="F11" s="54">
        <v>2.16</v>
      </c>
      <c r="G11" s="54">
        <v>56.48</v>
      </c>
      <c r="H11" s="54">
        <v>15.32</v>
      </c>
      <c r="I11" s="54">
        <v>2.36</v>
      </c>
      <c r="J11" s="54">
        <v>0.26</v>
      </c>
      <c r="K11" s="54">
        <v>277.02999999999997</v>
      </c>
      <c r="L11" s="54">
        <v>22.53</v>
      </c>
      <c r="M11" s="54">
        <v>98.15</v>
      </c>
      <c r="N11" s="54">
        <v>39.299999999999997</v>
      </c>
      <c r="O11" s="54">
        <v>0</v>
      </c>
      <c r="P11" s="54">
        <v>0.67</v>
      </c>
      <c r="Q11" s="54">
        <v>9.4499999999999993</v>
      </c>
      <c r="R11" s="43"/>
      <c r="S11" s="43"/>
      <c r="T11" s="43"/>
      <c r="U11" s="43"/>
    </row>
    <row r="12" spans="1:21" s="11" customFormat="1" x14ac:dyDescent="0.25">
      <c r="A12" s="53" t="s">
        <v>687</v>
      </c>
      <c r="B12" s="54">
        <v>16.329999999999998</v>
      </c>
      <c r="C12" s="54">
        <v>4.8499999999999996</v>
      </c>
      <c r="D12" s="54">
        <v>15.62</v>
      </c>
      <c r="E12" s="54">
        <v>5.95</v>
      </c>
      <c r="F12" s="54">
        <v>3.25</v>
      </c>
      <c r="G12" s="54">
        <v>56.88</v>
      </c>
      <c r="H12" s="54">
        <v>14.02</v>
      </c>
      <c r="I12" s="54">
        <v>2.2799999999999998</v>
      </c>
      <c r="J12" s="54">
        <v>0.38</v>
      </c>
      <c r="K12" s="54">
        <v>167.43</v>
      </c>
      <c r="L12" s="54">
        <v>22.54</v>
      </c>
      <c r="M12" s="54">
        <v>98.13</v>
      </c>
      <c r="N12" s="54">
        <v>39.299999999999997</v>
      </c>
      <c r="O12" s="54">
        <v>0</v>
      </c>
      <c r="P12" s="54">
        <v>0.62</v>
      </c>
      <c r="Q12" s="54">
        <v>9.39</v>
      </c>
      <c r="R12" s="43"/>
      <c r="S12" s="43"/>
      <c r="T12" s="43"/>
      <c r="U12" s="43"/>
    </row>
    <row r="13" spans="1:21" s="11" customFormat="1" x14ac:dyDescent="0.25">
      <c r="A13" s="53" t="s">
        <v>688</v>
      </c>
      <c r="B13" s="54">
        <v>15.02</v>
      </c>
      <c r="C13" s="54">
        <v>5.9</v>
      </c>
      <c r="D13" s="54">
        <v>15.12</v>
      </c>
      <c r="E13" s="54">
        <v>6.15</v>
      </c>
      <c r="F13" s="54">
        <v>3.15</v>
      </c>
      <c r="G13" s="54">
        <v>54.88</v>
      </c>
      <c r="H13" s="54">
        <v>13.12</v>
      </c>
      <c r="I13" s="54">
        <v>2.16</v>
      </c>
      <c r="J13" s="54">
        <v>0.4</v>
      </c>
      <c r="K13" s="54">
        <v>180.41</v>
      </c>
      <c r="L13" s="54">
        <v>22.32</v>
      </c>
      <c r="M13" s="54">
        <v>98.13</v>
      </c>
      <c r="N13" s="54">
        <v>39.299999999999997</v>
      </c>
      <c r="O13" s="54">
        <v>0</v>
      </c>
      <c r="P13" s="54">
        <v>0.59</v>
      </c>
      <c r="Q13" s="54">
        <v>9.31</v>
      </c>
      <c r="R13" s="43"/>
      <c r="S13" s="43"/>
      <c r="T13" s="43"/>
      <c r="U13" s="43"/>
    </row>
    <row r="14" spans="1:21" s="11" customFormat="1" x14ac:dyDescent="0.25">
      <c r="A14" s="53" t="s">
        <v>689</v>
      </c>
      <c r="B14" s="54">
        <v>13.84</v>
      </c>
      <c r="C14" s="54">
        <v>7.98</v>
      </c>
      <c r="D14" s="54">
        <v>14.57</v>
      </c>
      <c r="E14" s="54">
        <v>6.27</v>
      </c>
      <c r="F14" s="54">
        <v>3.86</v>
      </c>
      <c r="G14" s="54">
        <v>51.36</v>
      </c>
      <c r="H14" s="54">
        <v>14.19</v>
      </c>
      <c r="I14" s="54">
        <v>2.2400000000000002</v>
      </c>
      <c r="J14" s="54">
        <v>0.56999999999999995</v>
      </c>
      <c r="K14" s="54">
        <v>135.49</v>
      </c>
      <c r="L14" s="54">
        <v>22.04</v>
      </c>
      <c r="M14" s="54">
        <v>98.18</v>
      </c>
      <c r="N14" s="54">
        <v>40.799999999999997</v>
      </c>
      <c r="O14" s="54">
        <v>0</v>
      </c>
      <c r="P14" s="54">
        <v>0.56000000000000005</v>
      </c>
      <c r="Q14" s="54">
        <v>9.25</v>
      </c>
      <c r="R14" s="43"/>
      <c r="S14" s="43"/>
      <c r="T14" s="43"/>
      <c r="U14" s="43"/>
    </row>
    <row r="15" spans="1:21" s="11" customFormat="1" x14ac:dyDescent="0.25">
      <c r="A15" s="53" t="s">
        <v>690</v>
      </c>
      <c r="B15" s="54">
        <v>12.1</v>
      </c>
      <c r="C15" s="54">
        <v>8.26</v>
      </c>
      <c r="D15" s="54">
        <v>13.66</v>
      </c>
      <c r="E15" s="54">
        <v>6.9</v>
      </c>
      <c r="F15" s="54">
        <v>2.16</v>
      </c>
      <c r="G15" s="54">
        <v>49.98</v>
      </c>
      <c r="H15" s="54">
        <v>13.3</v>
      </c>
      <c r="I15" s="54">
        <v>2.1800000000000002</v>
      </c>
      <c r="J15" s="54">
        <v>0.84</v>
      </c>
      <c r="K15" s="54">
        <v>130.61000000000001</v>
      </c>
      <c r="L15" s="54">
        <v>22.74</v>
      </c>
      <c r="M15" s="54">
        <v>98.15</v>
      </c>
      <c r="N15" s="54">
        <v>116.4</v>
      </c>
      <c r="O15" s="54">
        <v>0</v>
      </c>
      <c r="P15" s="54">
        <v>0.52</v>
      </c>
      <c r="Q15" s="54">
        <v>9.25</v>
      </c>
      <c r="R15" s="43"/>
      <c r="S15" s="43"/>
      <c r="T15" s="43"/>
      <c r="U15" s="43"/>
    </row>
    <row r="16" spans="1:21" s="11" customFormat="1" x14ac:dyDescent="0.25">
      <c r="A16" s="53" t="s">
        <v>691</v>
      </c>
      <c r="B16" s="54">
        <v>15.73</v>
      </c>
      <c r="C16" s="54">
        <v>15.78</v>
      </c>
      <c r="D16" s="54">
        <v>20.190000000000001</v>
      </c>
      <c r="E16" s="54">
        <v>6.73</v>
      </c>
      <c r="F16" s="54">
        <v>3.73</v>
      </c>
      <c r="G16" s="54">
        <v>48.57</v>
      </c>
      <c r="H16" s="54">
        <v>12.7</v>
      </c>
      <c r="I16" s="54">
        <v>2.14</v>
      </c>
      <c r="J16" s="54">
        <v>0.3</v>
      </c>
      <c r="K16" s="54">
        <v>135.36000000000001</v>
      </c>
      <c r="L16" s="54">
        <v>26.21</v>
      </c>
      <c r="M16" s="54">
        <v>98.05</v>
      </c>
      <c r="N16" s="54">
        <v>331</v>
      </c>
      <c r="O16" s="54">
        <v>0</v>
      </c>
      <c r="P16" s="54">
        <v>0.49</v>
      </c>
      <c r="Q16" s="54">
        <v>9.24</v>
      </c>
      <c r="R16" s="43"/>
      <c r="S16" s="43"/>
      <c r="T16" s="43"/>
      <c r="U16" s="43"/>
    </row>
    <row r="17" spans="1:21" s="11" customFormat="1" x14ac:dyDescent="0.25">
      <c r="A17" s="53" t="s">
        <v>692</v>
      </c>
      <c r="B17" s="54">
        <v>12.02</v>
      </c>
      <c r="C17" s="54">
        <v>13.64</v>
      </c>
      <c r="D17" s="54">
        <v>16.760000000000002</v>
      </c>
      <c r="E17" s="54">
        <v>6.91</v>
      </c>
      <c r="F17" s="54">
        <v>7.14</v>
      </c>
      <c r="G17" s="54">
        <v>41.91</v>
      </c>
      <c r="H17" s="54">
        <v>12.29</v>
      </c>
      <c r="I17" s="54">
        <v>1.8</v>
      </c>
      <c r="J17" s="54">
        <v>1.06</v>
      </c>
      <c r="K17" s="54">
        <v>130.80000000000001</v>
      </c>
      <c r="L17" s="54">
        <v>27.07</v>
      </c>
      <c r="M17" s="54">
        <v>92.42</v>
      </c>
      <c r="N17" s="54">
        <v>505.6</v>
      </c>
      <c r="O17" s="54">
        <v>0</v>
      </c>
      <c r="P17" s="54">
        <v>0.42</v>
      </c>
      <c r="Q17" s="54">
        <v>9.14</v>
      </c>
      <c r="R17" s="43"/>
      <c r="S17" s="43"/>
      <c r="T17" s="43"/>
      <c r="U17" s="43"/>
    </row>
    <row r="18" spans="1:21" s="11" customFormat="1" x14ac:dyDescent="0.25">
      <c r="A18" s="53" t="s">
        <v>693</v>
      </c>
      <c r="B18" s="54">
        <v>6.9</v>
      </c>
      <c r="C18" s="54">
        <v>10.59</v>
      </c>
      <c r="D18" s="54">
        <v>11.07</v>
      </c>
      <c r="E18" s="54">
        <v>6.69</v>
      </c>
      <c r="F18" s="54">
        <v>8.5500000000000007</v>
      </c>
      <c r="G18" s="54">
        <v>37.74</v>
      </c>
      <c r="H18" s="54">
        <v>15.5</v>
      </c>
      <c r="I18" s="54">
        <v>1.64</v>
      </c>
      <c r="J18" s="54">
        <v>1.17</v>
      </c>
      <c r="K18" s="54">
        <v>125.86</v>
      </c>
      <c r="L18" s="54">
        <v>28.21</v>
      </c>
      <c r="M18" s="54">
        <v>83.6</v>
      </c>
      <c r="N18" s="54">
        <v>690.5</v>
      </c>
      <c r="O18" s="54">
        <v>0</v>
      </c>
      <c r="P18" s="54">
        <v>0.26</v>
      </c>
      <c r="Q18" s="54">
        <v>9.0299999999999994</v>
      </c>
      <c r="R18" s="43"/>
      <c r="S18" s="43"/>
      <c r="T18" s="43"/>
      <c r="U18" s="43"/>
    </row>
    <row r="19" spans="1:21" s="11" customFormat="1" x14ac:dyDescent="0.25">
      <c r="A19" s="53" t="s">
        <v>694</v>
      </c>
      <c r="B19" s="54">
        <v>7.9</v>
      </c>
      <c r="C19" s="54">
        <v>9.25</v>
      </c>
      <c r="D19" s="54">
        <v>11.16</v>
      </c>
      <c r="E19" s="54">
        <v>5.97</v>
      </c>
      <c r="F19" s="54">
        <v>7.29</v>
      </c>
      <c r="G19" s="54">
        <v>33.46</v>
      </c>
      <c r="H19" s="54">
        <v>14.45</v>
      </c>
      <c r="I19" s="54">
        <v>1.21</v>
      </c>
      <c r="J19" s="54">
        <v>1.27</v>
      </c>
      <c r="K19" s="54">
        <v>120.39</v>
      </c>
      <c r="L19" s="54">
        <v>28.24</v>
      </c>
      <c r="M19" s="54">
        <v>75.84</v>
      </c>
      <c r="N19" s="54">
        <v>756.5</v>
      </c>
      <c r="O19" s="54">
        <v>0</v>
      </c>
      <c r="P19" s="54">
        <v>0.17</v>
      </c>
      <c r="Q19" s="54">
        <v>8.98</v>
      </c>
      <c r="R19" s="43"/>
      <c r="S19" s="43"/>
      <c r="T19" s="43"/>
      <c r="U19" s="43"/>
    </row>
    <row r="20" spans="1:21" s="11" customFormat="1" x14ac:dyDescent="0.25">
      <c r="A20" s="53" t="s">
        <v>695</v>
      </c>
      <c r="B20" s="54">
        <v>5.59</v>
      </c>
      <c r="C20" s="54">
        <v>9.0500000000000007</v>
      </c>
      <c r="D20" s="54">
        <v>9.1999999999999993</v>
      </c>
      <c r="E20" s="54">
        <v>5.8</v>
      </c>
      <c r="F20" s="54">
        <v>6.38</v>
      </c>
      <c r="G20" s="54">
        <v>45.18</v>
      </c>
      <c r="H20" s="54">
        <v>13.35</v>
      </c>
      <c r="I20" s="54">
        <v>0.99</v>
      </c>
      <c r="J20" s="54">
        <v>1.41</v>
      </c>
      <c r="K20" s="54">
        <v>125.32</v>
      </c>
      <c r="L20" s="54">
        <v>29.43</v>
      </c>
      <c r="M20" s="54">
        <v>68.510000000000005</v>
      </c>
      <c r="N20" s="54">
        <v>822.5</v>
      </c>
      <c r="O20" s="54">
        <v>0</v>
      </c>
      <c r="P20" s="54">
        <v>0.14000000000000001</v>
      </c>
      <c r="Q20" s="54">
        <v>9</v>
      </c>
      <c r="R20" s="43"/>
      <c r="S20" s="43"/>
      <c r="T20" s="43"/>
      <c r="U20" s="43"/>
    </row>
    <row r="21" spans="1:21" s="11" customFormat="1" x14ac:dyDescent="0.25">
      <c r="A21" s="53" t="s">
        <v>696</v>
      </c>
      <c r="B21" s="54">
        <v>5.98</v>
      </c>
      <c r="C21" s="54">
        <v>8.91</v>
      </c>
      <c r="D21" s="54">
        <v>9.4499999999999993</v>
      </c>
      <c r="E21" s="54">
        <v>5.7</v>
      </c>
      <c r="F21" s="54">
        <v>6.47</v>
      </c>
      <c r="G21" s="54">
        <v>36.78</v>
      </c>
      <c r="H21" s="54">
        <v>12.64</v>
      </c>
      <c r="I21" s="54">
        <v>0.7</v>
      </c>
      <c r="J21" s="54">
        <v>1.44</v>
      </c>
      <c r="K21" s="54">
        <v>126.9</v>
      </c>
      <c r="L21" s="54">
        <v>29.25</v>
      </c>
      <c r="M21" s="54">
        <v>61.62</v>
      </c>
      <c r="N21" s="54">
        <v>719.6</v>
      </c>
      <c r="O21" s="54">
        <v>0</v>
      </c>
      <c r="P21" s="54">
        <v>0.12</v>
      </c>
      <c r="Q21" s="54">
        <v>8.9600000000000009</v>
      </c>
      <c r="R21" s="43"/>
      <c r="S21" s="43"/>
      <c r="T21" s="43"/>
      <c r="U21" s="43"/>
    </row>
    <row r="22" spans="1:21" s="11" customFormat="1" x14ac:dyDescent="0.25">
      <c r="A22" s="53" t="s">
        <v>697</v>
      </c>
      <c r="B22" s="54">
        <v>7.73</v>
      </c>
      <c r="C22" s="54">
        <v>10.82</v>
      </c>
      <c r="D22" s="54">
        <v>11.85</v>
      </c>
      <c r="E22" s="54">
        <v>5.48</v>
      </c>
      <c r="F22" s="54">
        <v>7.73</v>
      </c>
      <c r="G22" s="54">
        <v>23.96</v>
      </c>
      <c r="H22" s="54">
        <v>15.5</v>
      </c>
      <c r="I22" s="54">
        <v>0.75</v>
      </c>
      <c r="J22" s="54">
        <v>1.02</v>
      </c>
      <c r="K22" s="54">
        <v>130.46</v>
      </c>
      <c r="L22" s="54">
        <v>29.72</v>
      </c>
      <c r="M22" s="54">
        <v>62.68</v>
      </c>
      <c r="N22" s="54">
        <v>488.4</v>
      </c>
      <c r="O22" s="54">
        <v>0</v>
      </c>
      <c r="P22" s="54">
        <v>0.26</v>
      </c>
      <c r="Q22" s="54">
        <v>8.9499999999999993</v>
      </c>
      <c r="R22" s="43"/>
      <c r="S22" s="43"/>
      <c r="T22" s="43"/>
      <c r="U22" s="43"/>
    </row>
    <row r="23" spans="1:21" s="11" customFormat="1" x14ac:dyDescent="0.25">
      <c r="A23" s="53" t="s">
        <v>698</v>
      </c>
      <c r="B23" s="54">
        <v>6.59</v>
      </c>
      <c r="C23" s="54">
        <v>10.31</v>
      </c>
      <c r="D23" s="54">
        <v>10.37</v>
      </c>
      <c r="E23" s="54">
        <v>5.51</v>
      </c>
      <c r="F23" s="54">
        <v>7.69</v>
      </c>
      <c r="G23" s="54">
        <v>18.43</v>
      </c>
      <c r="H23" s="54">
        <v>15.69</v>
      </c>
      <c r="I23" s="54">
        <v>0.75</v>
      </c>
      <c r="J23" s="54">
        <v>1.29</v>
      </c>
      <c r="K23" s="54">
        <v>131.52000000000001</v>
      </c>
      <c r="L23" s="54">
        <v>28.59</v>
      </c>
      <c r="M23" s="54">
        <v>66.069999999999993</v>
      </c>
      <c r="N23" s="54">
        <v>187.1</v>
      </c>
      <c r="O23" s="54">
        <v>0</v>
      </c>
      <c r="P23" s="54">
        <v>0.23</v>
      </c>
      <c r="Q23" s="54">
        <v>9</v>
      </c>
      <c r="R23" s="43"/>
      <c r="S23" s="43"/>
      <c r="T23" s="43"/>
      <c r="U23" s="43"/>
    </row>
    <row r="24" spans="1:21" s="11" customFormat="1" x14ac:dyDescent="0.25">
      <c r="A24" s="53" t="s">
        <v>699</v>
      </c>
      <c r="B24" s="54">
        <v>15.11</v>
      </c>
      <c r="C24" s="54">
        <v>12.62</v>
      </c>
      <c r="D24" s="54">
        <v>18.71</v>
      </c>
      <c r="E24" s="54">
        <v>6.01</v>
      </c>
      <c r="F24" s="54">
        <v>6.7</v>
      </c>
      <c r="G24" s="54">
        <v>11.34</v>
      </c>
      <c r="H24" s="54">
        <v>7.29</v>
      </c>
      <c r="I24" s="54">
        <v>0.85</v>
      </c>
      <c r="J24" s="54">
        <v>1.29</v>
      </c>
      <c r="K24" s="54">
        <v>128.5</v>
      </c>
      <c r="L24" s="54">
        <v>28.07</v>
      </c>
      <c r="M24" s="54">
        <v>69.34</v>
      </c>
      <c r="N24" s="54">
        <v>141.4</v>
      </c>
      <c r="O24" s="54">
        <v>0</v>
      </c>
      <c r="P24" s="54">
        <v>0.32</v>
      </c>
      <c r="Q24" s="54">
        <v>9.35</v>
      </c>
      <c r="R24" s="43"/>
      <c r="S24" s="43"/>
      <c r="T24" s="43"/>
      <c r="U24" s="43"/>
    </row>
    <row r="25" spans="1:21" s="11" customFormat="1" x14ac:dyDescent="0.25">
      <c r="A25" s="53" t="s">
        <v>700</v>
      </c>
      <c r="B25" s="54">
        <v>14.92</v>
      </c>
      <c r="C25" s="54">
        <v>10.87</v>
      </c>
      <c r="D25" s="54">
        <v>17.399999999999999</v>
      </c>
      <c r="E25" s="54">
        <v>6.14</v>
      </c>
      <c r="F25" s="54">
        <v>8.3800000000000008</v>
      </c>
      <c r="G25" s="54">
        <v>21.62</v>
      </c>
      <c r="H25" s="54">
        <v>9.8000000000000007</v>
      </c>
      <c r="I25" s="54">
        <v>0.86</v>
      </c>
      <c r="J25" s="54">
        <v>0.74</v>
      </c>
      <c r="K25" s="54">
        <v>137.02000000000001</v>
      </c>
      <c r="L25" s="54">
        <v>27.57</v>
      </c>
      <c r="M25" s="54">
        <v>76.849999999999994</v>
      </c>
      <c r="N25" s="54">
        <v>84.8</v>
      </c>
      <c r="O25" s="54">
        <v>0</v>
      </c>
      <c r="P25" s="54">
        <v>0.36</v>
      </c>
      <c r="Q25" s="54">
        <v>9.2799999999999994</v>
      </c>
      <c r="R25" s="43"/>
      <c r="S25" s="43"/>
      <c r="T25" s="43"/>
      <c r="U25" s="43"/>
    </row>
    <row r="26" spans="1:21" s="11" customFormat="1" x14ac:dyDescent="0.25">
      <c r="A26" s="53" t="s">
        <v>701</v>
      </c>
      <c r="B26" s="54">
        <v>10.5</v>
      </c>
      <c r="C26" s="54">
        <v>13.8</v>
      </c>
      <c r="D26" s="54">
        <v>15.39</v>
      </c>
      <c r="E26" s="54">
        <v>5.5</v>
      </c>
      <c r="F26" s="54">
        <v>6.23</v>
      </c>
      <c r="G26" s="54">
        <v>16.239999999999998</v>
      </c>
      <c r="H26" s="54">
        <v>12.45</v>
      </c>
      <c r="I26" s="54">
        <v>0.84</v>
      </c>
      <c r="J26" s="54">
        <v>0.38</v>
      </c>
      <c r="K26" s="54">
        <v>151.65</v>
      </c>
      <c r="L26" s="54">
        <v>26.75</v>
      </c>
      <c r="M26" s="54">
        <v>83.12</v>
      </c>
      <c r="N26" s="54">
        <v>51.1</v>
      </c>
      <c r="O26" s="54">
        <v>0</v>
      </c>
      <c r="P26" s="54">
        <v>0.43</v>
      </c>
      <c r="Q26" s="54">
        <v>9.08</v>
      </c>
      <c r="R26" s="43"/>
      <c r="S26" s="43"/>
      <c r="T26" s="43"/>
      <c r="U26" s="43"/>
    </row>
    <row r="27" spans="1:21" s="11" customFormat="1" x14ac:dyDescent="0.25">
      <c r="A27" s="53" t="s">
        <v>702</v>
      </c>
      <c r="B27" s="54">
        <v>18.22</v>
      </c>
      <c r="C27" s="54">
        <v>18.350000000000001</v>
      </c>
      <c r="D27" s="54">
        <v>24.16</v>
      </c>
      <c r="E27" s="54">
        <v>5.66</v>
      </c>
      <c r="F27" s="54">
        <v>5.32</v>
      </c>
      <c r="G27" s="54">
        <v>28.23</v>
      </c>
      <c r="H27" s="54">
        <v>10.96</v>
      </c>
      <c r="I27" s="54">
        <v>1</v>
      </c>
      <c r="J27" s="54">
        <v>0.15</v>
      </c>
      <c r="K27" s="54">
        <v>349.22</v>
      </c>
      <c r="L27" s="54">
        <v>26.15</v>
      </c>
      <c r="M27" s="54">
        <v>88.99</v>
      </c>
      <c r="N27" s="54">
        <v>43.8</v>
      </c>
      <c r="O27" s="54">
        <v>0</v>
      </c>
      <c r="P27" s="54">
        <v>0.72</v>
      </c>
      <c r="Q27" s="54">
        <v>9.07</v>
      </c>
      <c r="R27" s="43"/>
      <c r="S27" s="43"/>
      <c r="T27" s="43"/>
      <c r="U27" s="43"/>
    </row>
    <row r="28" spans="1:21" s="11" customFormat="1" x14ac:dyDescent="0.25">
      <c r="A28" s="53" t="s">
        <v>703</v>
      </c>
      <c r="B28" s="54">
        <v>12.03</v>
      </c>
      <c r="C28" s="54">
        <v>16.25</v>
      </c>
      <c r="D28" s="54">
        <v>17.5</v>
      </c>
      <c r="E28" s="54">
        <v>6.08</v>
      </c>
      <c r="F28" s="54">
        <v>4.82</v>
      </c>
      <c r="G28" s="54">
        <v>34.35</v>
      </c>
      <c r="H28" s="54">
        <v>9.92</v>
      </c>
      <c r="I28" s="54">
        <v>1.23</v>
      </c>
      <c r="J28" s="54">
        <v>0.37</v>
      </c>
      <c r="K28" s="54">
        <v>164</v>
      </c>
      <c r="L28" s="54">
        <v>25.76</v>
      </c>
      <c r="M28" s="54">
        <v>93.07</v>
      </c>
      <c r="N28" s="54">
        <v>44.1</v>
      </c>
      <c r="O28" s="54">
        <v>0</v>
      </c>
      <c r="P28" s="54">
        <v>0.71</v>
      </c>
      <c r="Q28" s="54">
        <v>9.1</v>
      </c>
      <c r="R28" s="43"/>
      <c r="S28" s="43"/>
      <c r="T28" s="43"/>
      <c r="U28" s="43"/>
    </row>
    <row r="29" spans="1:21" s="11" customFormat="1" x14ac:dyDescent="0.25">
      <c r="A29" s="53" t="s">
        <v>704</v>
      </c>
      <c r="B29" s="54">
        <v>10.95</v>
      </c>
      <c r="C29" s="54">
        <v>15.43</v>
      </c>
      <c r="D29" s="54">
        <v>16.309999999999999</v>
      </c>
      <c r="E29" s="54">
        <v>6.23</v>
      </c>
      <c r="F29" s="54">
        <v>4.59</v>
      </c>
      <c r="G29" s="54">
        <v>39.270000000000003</v>
      </c>
      <c r="H29" s="54">
        <v>9.1999999999999993</v>
      </c>
      <c r="I29" s="54">
        <v>1.41</v>
      </c>
      <c r="J29" s="54">
        <v>0.63</v>
      </c>
      <c r="K29" s="54">
        <v>134.08000000000001</v>
      </c>
      <c r="L29" s="54">
        <v>25.46</v>
      </c>
      <c r="M29" s="54">
        <v>97.25</v>
      </c>
      <c r="N29" s="54">
        <v>44.2</v>
      </c>
      <c r="O29" s="54">
        <v>0</v>
      </c>
      <c r="P29" s="54">
        <v>0.56999999999999995</v>
      </c>
      <c r="Q29" s="54">
        <v>9.1199999999999992</v>
      </c>
      <c r="R29" s="43"/>
      <c r="S29" s="43"/>
      <c r="T29" s="43"/>
      <c r="U29" s="43"/>
    </row>
    <row r="30" spans="1:21" s="11" customFormat="1" x14ac:dyDescent="0.25">
      <c r="A30" s="53" t="s">
        <v>705</v>
      </c>
      <c r="B30" s="54">
        <v>9.07</v>
      </c>
      <c r="C30" s="54">
        <v>9.14</v>
      </c>
      <c r="D30" s="54">
        <v>11.9</v>
      </c>
      <c r="E30" s="54">
        <v>5.58</v>
      </c>
      <c r="F30" s="54">
        <v>4.72</v>
      </c>
      <c r="G30" s="54">
        <v>32.630000000000003</v>
      </c>
      <c r="H30" s="54">
        <v>12.75</v>
      </c>
      <c r="I30" s="54">
        <v>1.43</v>
      </c>
      <c r="J30" s="54">
        <v>1.74</v>
      </c>
      <c r="K30" s="54">
        <v>131.08000000000001</v>
      </c>
      <c r="L30" s="54">
        <v>25.01</v>
      </c>
      <c r="M30" s="54">
        <v>98.05</v>
      </c>
      <c r="N30" s="54">
        <v>44.5</v>
      </c>
      <c r="O30" s="54">
        <v>0</v>
      </c>
      <c r="P30" s="54">
        <v>0.47</v>
      </c>
      <c r="Q30" s="54">
        <v>9.09</v>
      </c>
      <c r="R30" s="43"/>
      <c r="S30" s="43"/>
      <c r="T30" s="43"/>
      <c r="U30" s="43"/>
    </row>
    <row r="31" spans="1:21" s="11" customFormat="1" x14ac:dyDescent="0.25">
      <c r="A31" s="53" t="s">
        <v>706</v>
      </c>
      <c r="B31" s="54">
        <v>9.59</v>
      </c>
      <c r="C31" s="54">
        <v>13.48</v>
      </c>
      <c r="D31" s="54">
        <v>14.71</v>
      </c>
      <c r="E31" s="54">
        <v>6.22</v>
      </c>
      <c r="F31" s="54">
        <v>2.74</v>
      </c>
      <c r="G31" s="54">
        <v>30.21</v>
      </c>
      <c r="H31" s="54">
        <v>11.18</v>
      </c>
      <c r="I31" s="54">
        <v>1.42</v>
      </c>
      <c r="J31" s="54">
        <v>1.08</v>
      </c>
      <c r="K31" s="54">
        <v>126.88</v>
      </c>
      <c r="L31" s="54">
        <v>24.2</v>
      </c>
      <c r="M31" s="54">
        <v>98.29</v>
      </c>
      <c r="N31" s="54">
        <v>44.1</v>
      </c>
      <c r="O31" s="54">
        <v>0</v>
      </c>
      <c r="P31" s="54">
        <v>0.45</v>
      </c>
      <c r="Q31" s="54">
        <v>9.07</v>
      </c>
      <c r="R31" s="43"/>
      <c r="S31" s="43"/>
      <c r="T31" s="43"/>
      <c r="U31" s="43"/>
    </row>
    <row r="32" spans="1:21" s="11" customFormat="1" x14ac:dyDescent="0.25">
      <c r="A32" s="53" t="s">
        <v>707</v>
      </c>
      <c r="B32" s="54">
        <v>10.29</v>
      </c>
      <c r="C32" s="54">
        <v>11.17</v>
      </c>
      <c r="D32" s="54">
        <v>14.09</v>
      </c>
      <c r="E32" s="54">
        <v>5.98</v>
      </c>
      <c r="F32" s="54">
        <v>2.25</v>
      </c>
      <c r="G32" s="54">
        <v>24.57</v>
      </c>
      <c r="H32" s="54">
        <v>10.19</v>
      </c>
      <c r="I32" s="54">
        <v>1.39</v>
      </c>
      <c r="J32" s="54">
        <v>1.1200000000000001</v>
      </c>
      <c r="K32" s="54">
        <v>131.82</v>
      </c>
      <c r="L32" s="54">
        <v>23.95</v>
      </c>
      <c r="M32" s="54">
        <v>98.05</v>
      </c>
      <c r="N32" s="54">
        <v>44.1</v>
      </c>
      <c r="O32" s="54">
        <v>0</v>
      </c>
      <c r="P32" s="54">
        <v>0.4</v>
      </c>
      <c r="Q32" s="54">
        <v>9.11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5.59</v>
      </c>
      <c r="C34" s="28">
        <f t="shared" si="0"/>
        <v>4.8499999999999996</v>
      </c>
      <c r="D34" s="28">
        <f t="shared" si="0"/>
        <v>9.1999999999999993</v>
      </c>
      <c r="E34" s="28">
        <f t="shared" si="0"/>
        <v>5.48</v>
      </c>
      <c r="F34" s="28">
        <f t="shared" si="0"/>
        <v>2.16</v>
      </c>
      <c r="G34" s="28">
        <f t="shared" si="0"/>
        <v>11.34</v>
      </c>
      <c r="H34" s="28">
        <f t="shared" si="0"/>
        <v>7.29</v>
      </c>
      <c r="I34" s="28">
        <f t="shared" si="0"/>
        <v>0.7</v>
      </c>
      <c r="J34" s="28">
        <f t="shared" si="0"/>
        <v>0.15</v>
      </c>
      <c r="K34" s="28">
        <f t="shared" si="0"/>
        <v>120.39</v>
      </c>
      <c r="L34" s="28">
        <f t="shared" si="0"/>
        <v>22.04</v>
      </c>
      <c r="M34" s="28">
        <f t="shared" si="0"/>
        <v>61.62</v>
      </c>
      <c r="N34" s="28">
        <f t="shared" si="0"/>
        <v>39.299999999999997</v>
      </c>
      <c r="O34" s="28">
        <f t="shared" si="0"/>
        <v>0</v>
      </c>
      <c r="P34" s="28">
        <f t="shared" si="0"/>
        <v>0.12</v>
      </c>
      <c r="Q34" s="28">
        <f t="shared" si="0"/>
        <v>8.9499999999999993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25.55</v>
      </c>
      <c r="C35" s="29">
        <f t="shared" si="1"/>
        <v>18.350000000000001</v>
      </c>
      <c r="D35" s="29">
        <f t="shared" si="1"/>
        <v>24.16</v>
      </c>
      <c r="E35" s="29">
        <f t="shared" si="1"/>
        <v>6.91</v>
      </c>
      <c r="F35" s="29">
        <f t="shared" si="1"/>
        <v>8.5500000000000007</v>
      </c>
      <c r="G35" s="29">
        <f t="shared" si="1"/>
        <v>67.36</v>
      </c>
      <c r="H35" s="29">
        <f t="shared" si="1"/>
        <v>17.170000000000002</v>
      </c>
      <c r="I35" s="29">
        <f t="shared" si="1"/>
        <v>2.56</v>
      </c>
      <c r="J35" s="29">
        <f t="shared" si="1"/>
        <v>1.74</v>
      </c>
      <c r="K35" s="29">
        <f t="shared" si="1"/>
        <v>349.22</v>
      </c>
      <c r="L35" s="29">
        <f t="shared" si="1"/>
        <v>29.72</v>
      </c>
      <c r="M35" s="29">
        <f t="shared" si="1"/>
        <v>98.29</v>
      </c>
      <c r="N35" s="29">
        <f t="shared" si="1"/>
        <v>822.5</v>
      </c>
      <c r="O35" s="29">
        <f t="shared" si="1"/>
        <v>0</v>
      </c>
      <c r="P35" s="29">
        <f t="shared" si="1"/>
        <v>0.72</v>
      </c>
      <c r="Q35" s="29">
        <f t="shared" si="1"/>
        <v>9.51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12.460416666666665</v>
      </c>
      <c r="C36" s="28">
        <f t="shared" si="2"/>
        <v>10.65</v>
      </c>
      <c r="D36" s="28">
        <f t="shared" si="2"/>
        <v>15.27708333333333</v>
      </c>
      <c r="E36" s="28">
        <f t="shared" si="2"/>
        <v>6.1099999999999994</v>
      </c>
      <c r="F36" s="28">
        <f t="shared" si="2"/>
        <v>5.0320833333333335</v>
      </c>
      <c r="G36" s="28">
        <f t="shared" si="2"/>
        <v>38.478333333333339</v>
      </c>
      <c r="H36" s="28">
        <f t="shared" si="2"/>
        <v>12.81</v>
      </c>
      <c r="I36" s="28">
        <f t="shared" si="2"/>
        <v>1.5266666666666666</v>
      </c>
      <c r="J36" s="28">
        <f t="shared" si="2"/>
        <v>0.83208333333333317</v>
      </c>
      <c r="K36" s="28">
        <f t="shared" si="2"/>
        <v>168.4604166666667</v>
      </c>
      <c r="L36" s="28">
        <f t="shared" si="2"/>
        <v>25.737916666666674</v>
      </c>
      <c r="M36" s="28">
        <f t="shared" si="2"/>
        <v>87.450833333333307</v>
      </c>
      <c r="N36" s="28">
        <f t="shared" si="2"/>
        <v>224.87500000000009</v>
      </c>
      <c r="O36" s="28">
        <f t="shared" si="2"/>
        <v>0</v>
      </c>
      <c r="P36" s="28">
        <f t="shared" si="2"/>
        <v>0.44916666666666671</v>
      </c>
      <c r="Q36" s="28">
        <f t="shared" si="2"/>
        <v>9.1758333333333315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4.9112669747328423</v>
      </c>
      <c r="C37" s="28">
        <f t="shared" ref="C37:Q37" si="3">STDEV(C9:C32)</f>
        <v>3.6501768867203941</v>
      </c>
      <c r="D37" s="28">
        <f t="shared" si="3"/>
        <v>3.9280501625756097</v>
      </c>
      <c r="E37" s="28">
        <f t="shared" si="3"/>
        <v>0.43724433523563483</v>
      </c>
      <c r="F37" s="28">
        <f t="shared" si="3"/>
        <v>2.1461917317134946</v>
      </c>
      <c r="G37" s="28">
        <f t="shared" si="3"/>
        <v>15.256504433723721</v>
      </c>
      <c r="H37" s="28">
        <f t="shared" si="3"/>
        <v>2.3937218609993289</v>
      </c>
      <c r="I37" s="28">
        <f t="shared" si="3"/>
        <v>0.62738703585077604</v>
      </c>
      <c r="J37" s="28">
        <f t="shared" si="3"/>
        <v>0.45176926745241663</v>
      </c>
      <c r="K37" s="28">
        <f t="shared" si="3"/>
        <v>73.599030976558353</v>
      </c>
      <c r="L37" s="28">
        <f t="shared" si="3"/>
        <v>2.5617317158629178</v>
      </c>
      <c r="M37" s="28">
        <f t="shared" si="3"/>
        <v>13.376387345086988</v>
      </c>
      <c r="N37" s="28">
        <f t="shared" si="3"/>
        <v>274.48884391680218</v>
      </c>
      <c r="O37" s="28">
        <f t="shared" si="3"/>
        <v>0</v>
      </c>
      <c r="P37" s="28">
        <f t="shared" si="3"/>
        <v>0.18460101904346043</v>
      </c>
      <c r="Q37" s="28">
        <f t="shared" si="3"/>
        <v>0.17171555516043954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66929133858267698" right="2.63779527559055" top="0.196850393700787" bottom="2.0866141732283499" header="0.31496062992126" footer="0.15748031496063"/>
  <pageSetup paperSize="9"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Q42" sqref="Q4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28/10/2025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708</v>
      </c>
      <c r="B9" s="54">
        <v>7.82</v>
      </c>
      <c r="C9" s="54">
        <v>12.14</v>
      </c>
      <c r="D9" s="54">
        <v>11.93</v>
      </c>
      <c r="E9" s="54">
        <v>5.73</v>
      </c>
      <c r="F9" s="54">
        <v>4.21</v>
      </c>
      <c r="G9" s="54">
        <v>24.53</v>
      </c>
      <c r="H9" s="54">
        <v>9.39</v>
      </c>
      <c r="I9" s="54">
        <v>1.35</v>
      </c>
      <c r="J9" s="54">
        <v>0.92</v>
      </c>
      <c r="K9" s="54">
        <v>135.15</v>
      </c>
      <c r="L9" s="54">
        <v>23.76</v>
      </c>
      <c r="M9" s="54">
        <v>98.06</v>
      </c>
      <c r="N9" s="54">
        <v>44.1</v>
      </c>
      <c r="O9" s="54">
        <v>0</v>
      </c>
      <c r="P9" s="54">
        <v>0.4</v>
      </c>
      <c r="Q9" s="54">
        <v>9.11</v>
      </c>
      <c r="R9" s="43"/>
      <c r="S9" s="43"/>
      <c r="T9" s="43"/>
      <c r="U9" s="43"/>
    </row>
    <row r="10" spans="1:21" s="11" customFormat="1" x14ac:dyDescent="0.25">
      <c r="A10" s="53" t="s">
        <v>709</v>
      </c>
      <c r="B10" s="54">
        <v>8.2799999999999994</v>
      </c>
      <c r="C10" s="54">
        <v>6.88</v>
      </c>
      <c r="D10" s="54">
        <v>9.91</v>
      </c>
      <c r="E10" s="54">
        <v>5.27</v>
      </c>
      <c r="F10" s="54">
        <v>3.54</v>
      </c>
      <c r="G10" s="54">
        <v>18.73</v>
      </c>
      <c r="H10" s="54">
        <v>12.23</v>
      </c>
      <c r="I10" s="54">
        <v>1.32</v>
      </c>
      <c r="J10" s="54">
        <v>0.44</v>
      </c>
      <c r="K10" s="54">
        <v>137.36000000000001</v>
      </c>
      <c r="L10" s="54">
        <v>23.37</v>
      </c>
      <c r="M10" s="54">
        <v>98.08</v>
      </c>
      <c r="N10" s="54">
        <v>43.9</v>
      </c>
      <c r="O10" s="54">
        <v>0</v>
      </c>
      <c r="P10" s="54">
        <v>0.36</v>
      </c>
      <c r="Q10" s="54">
        <v>9.07</v>
      </c>
      <c r="R10" s="43"/>
      <c r="S10" s="43"/>
      <c r="T10" s="43"/>
      <c r="U10" s="43"/>
    </row>
    <row r="11" spans="1:21" s="11" customFormat="1" x14ac:dyDescent="0.25">
      <c r="A11" s="53" t="s">
        <v>710</v>
      </c>
      <c r="B11" s="54">
        <v>8.35</v>
      </c>
      <c r="C11" s="54">
        <v>6.16</v>
      </c>
      <c r="D11" s="54">
        <v>9.92</v>
      </c>
      <c r="E11" s="54">
        <v>4.6900000000000004</v>
      </c>
      <c r="F11" s="54">
        <v>4.0599999999999996</v>
      </c>
      <c r="G11" s="54">
        <v>14.1</v>
      </c>
      <c r="H11" s="54">
        <v>11.9</v>
      </c>
      <c r="I11" s="54">
        <v>1.28</v>
      </c>
      <c r="J11" s="54">
        <v>7.0000000000000007E-2</v>
      </c>
      <c r="K11" s="54">
        <v>287.93</v>
      </c>
      <c r="L11" s="54">
        <v>23.39</v>
      </c>
      <c r="M11" s="54">
        <v>98.08</v>
      </c>
      <c r="N11" s="54">
        <v>44</v>
      </c>
      <c r="O11" s="54">
        <v>0</v>
      </c>
      <c r="P11" s="54">
        <v>0.34</v>
      </c>
      <c r="Q11" s="54">
        <v>9.0500000000000007</v>
      </c>
      <c r="R11" s="43"/>
      <c r="S11" s="43"/>
      <c r="T11" s="43"/>
      <c r="U11" s="43"/>
    </row>
    <row r="12" spans="1:21" s="11" customFormat="1" x14ac:dyDescent="0.25">
      <c r="A12" s="53" t="s">
        <v>711</v>
      </c>
      <c r="B12" s="54">
        <v>8.49</v>
      </c>
      <c r="C12" s="54">
        <v>6.77</v>
      </c>
      <c r="D12" s="54">
        <v>10.050000000000001</v>
      </c>
      <c r="E12" s="54">
        <v>4.55</v>
      </c>
      <c r="F12" s="54">
        <v>3.11</v>
      </c>
      <c r="G12" s="54">
        <v>13.11</v>
      </c>
      <c r="H12" s="54">
        <v>11.5</v>
      </c>
      <c r="I12" s="54">
        <v>1.24</v>
      </c>
      <c r="J12" s="54">
        <v>0.2</v>
      </c>
      <c r="K12" s="54">
        <v>305.54000000000002</v>
      </c>
      <c r="L12" s="54">
        <v>23.07</v>
      </c>
      <c r="M12" s="54">
        <v>98.13</v>
      </c>
      <c r="N12" s="54">
        <v>44.1</v>
      </c>
      <c r="O12" s="54">
        <v>0</v>
      </c>
      <c r="P12" s="54">
        <v>0.35</v>
      </c>
      <c r="Q12" s="54">
        <v>9.06</v>
      </c>
      <c r="R12" s="43"/>
      <c r="S12" s="43"/>
      <c r="T12" s="43"/>
      <c r="U12" s="43"/>
    </row>
    <row r="13" spans="1:21" s="11" customFormat="1" x14ac:dyDescent="0.25">
      <c r="A13" s="53" t="s">
        <v>712</v>
      </c>
      <c r="B13" s="54">
        <v>10.3</v>
      </c>
      <c r="C13" s="54">
        <v>7.41</v>
      </c>
      <c r="D13" s="54">
        <v>11.86</v>
      </c>
      <c r="E13" s="54">
        <v>4.58</v>
      </c>
      <c r="F13" s="54">
        <v>2.27</v>
      </c>
      <c r="G13" s="54">
        <v>11.79</v>
      </c>
      <c r="H13" s="54">
        <v>10.59</v>
      </c>
      <c r="I13" s="54">
        <v>1.18</v>
      </c>
      <c r="J13" s="54">
        <v>0.18</v>
      </c>
      <c r="K13" s="54">
        <v>331.28</v>
      </c>
      <c r="L13" s="54">
        <v>22.98</v>
      </c>
      <c r="M13" s="54">
        <v>98.15</v>
      </c>
      <c r="N13" s="54">
        <v>43.9</v>
      </c>
      <c r="O13" s="54">
        <v>0</v>
      </c>
      <c r="P13" s="54">
        <v>0.32</v>
      </c>
      <c r="Q13" s="54">
        <v>9.09</v>
      </c>
      <c r="R13" s="43"/>
      <c r="S13" s="43"/>
      <c r="T13" s="43"/>
      <c r="U13" s="43"/>
    </row>
    <row r="14" spans="1:21" s="11" customFormat="1" x14ac:dyDescent="0.25">
      <c r="A14" s="53" t="s">
        <v>713</v>
      </c>
      <c r="B14" s="54">
        <v>12.5</v>
      </c>
      <c r="C14" s="54">
        <v>7.5</v>
      </c>
      <c r="D14" s="54">
        <v>13.55</v>
      </c>
      <c r="E14" s="54">
        <v>4.3899999999999997</v>
      </c>
      <c r="F14" s="54">
        <v>2.72</v>
      </c>
      <c r="G14" s="54">
        <v>8.7799999999999994</v>
      </c>
      <c r="H14" s="54">
        <v>13.06</v>
      </c>
      <c r="I14" s="54">
        <v>1.1299999999999999</v>
      </c>
      <c r="J14" s="54">
        <v>0.16</v>
      </c>
      <c r="K14" s="54">
        <v>320.47000000000003</v>
      </c>
      <c r="L14" s="54">
        <v>22.92</v>
      </c>
      <c r="M14" s="54">
        <v>98.15</v>
      </c>
      <c r="N14" s="54">
        <v>44.6</v>
      </c>
      <c r="O14" s="54">
        <v>0</v>
      </c>
      <c r="P14" s="54">
        <v>0.34</v>
      </c>
      <c r="Q14" s="54">
        <v>9.08</v>
      </c>
      <c r="R14" s="43"/>
      <c r="S14" s="43"/>
      <c r="T14" s="43"/>
      <c r="U14" s="43"/>
    </row>
    <row r="15" spans="1:21" s="11" customFormat="1" x14ac:dyDescent="0.25">
      <c r="A15" s="53" t="s">
        <v>714</v>
      </c>
      <c r="B15" s="54">
        <v>14.31</v>
      </c>
      <c r="C15" s="54">
        <v>7.84</v>
      </c>
      <c r="D15" s="54">
        <v>15.04</v>
      </c>
      <c r="E15" s="54">
        <v>4.59</v>
      </c>
      <c r="F15" s="54">
        <v>2.99</v>
      </c>
      <c r="G15" s="54">
        <v>6.12</v>
      </c>
      <c r="H15" s="54">
        <v>12.02</v>
      </c>
      <c r="I15" s="54">
        <v>1.17</v>
      </c>
      <c r="J15" s="54">
        <v>0.21</v>
      </c>
      <c r="K15" s="54">
        <v>336.84</v>
      </c>
      <c r="L15" s="54">
        <v>23.19</v>
      </c>
      <c r="M15" s="54">
        <v>98.15</v>
      </c>
      <c r="N15" s="54">
        <v>70.900000000000006</v>
      </c>
      <c r="O15" s="54">
        <v>0</v>
      </c>
      <c r="P15" s="54">
        <v>0.38</v>
      </c>
      <c r="Q15" s="54">
        <v>9.08</v>
      </c>
      <c r="R15" s="43"/>
      <c r="S15" s="43"/>
      <c r="T15" s="43"/>
      <c r="U15" s="43"/>
    </row>
    <row r="16" spans="1:21" s="11" customFormat="1" x14ac:dyDescent="0.25">
      <c r="A16" s="53" t="s">
        <v>715</v>
      </c>
      <c r="B16" s="54">
        <v>15.31</v>
      </c>
      <c r="C16" s="54">
        <v>8.0500000000000007</v>
      </c>
      <c r="D16" s="54">
        <v>16.21</v>
      </c>
      <c r="E16" s="54">
        <v>4.62</v>
      </c>
      <c r="F16" s="54">
        <v>2.4500000000000002</v>
      </c>
      <c r="G16" s="54">
        <v>21.94</v>
      </c>
      <c r="H16" s="54">
        <v>11.03</v>
      </c>
      <c r="I16" s="54">
        <v>1.25</v>
      </c>
      <c r="J16" s="54">
        <v>0.21</v>
      </c>
      <c r="K16" s="54">
        <v>342.29</v>
      </c>
      <c r="L16" s="54">
        <v>23.88</v>
      </c>
      <c r="M16" s="54">
        <v>98.1</v>
      </c>
      <c r="N16" s="54">
        <v>100.9</v>
      </c>
      <c r="O16" s="54">
        <v>0</v>
      </c>
      <c r="P16" s="54">
        <v>0.45</v>
      </c>
      <c r="Q16" s="54">
        <v>9.14</v>
      </c>
      <c r="R16" s="43"/>
      <c r="S16" s="43"/>
      <c r="T16" s="43"/>
      <c r="U16" s="43"/>
    </row>
    <row r="17" spans="1:21" s="11" customFormat="1" x14ac:dyDescent="0.25">
      <c r="A17" s="53" t="s">
        <v>716</v>
      </c>
      <c r="B17" s="54">
        <v>14.38</v>
      </c>
      <c r="C17" s="54">
        <v>7.66</v>
      </c>
      <c r="D17" s="54">
        <v>14.99</v>
      </c>
      <c r="E17" s="54">
        <v>5.89</v>
      </c>
      <c r="F17" s="54">
        <v>3.16</v>
      </c>
      <c r="G17" s="54">
        <v>35.299999999999997</v>
      </c>
      <c r="H17" s="54">
        <v>9.9700000000000006</v>
      </c>
      <c r="I17" s="54">
        <v>1.34</v>
      </c>
      <c r="J17" s="54">
        <v>0.68</v>
      </c>
      <c r="K17" s="54">
        <v>135.66999999999999</v>
      </c>
      <c r="L17" s="54">
        <v>24.79</v>
      </c>
      <c r="M17" s="54">
        <v>98.03</v>
      </c>
      <c r="N17" s="54">
        <v>213.9</v>
      </c>
      <c r="O17" s="54">
        <v>0</v>
      </c>
      <c r="P17" s="54">
        <v>0.48</v>
      </c>
      <c r="Q17" s="54">
        <v>9.18</v>
      </c>
      <c r="R17" s="43"/>
      <c r="S17" s="43"/>
      <c r="T17" s="43"/>
      <c r="U17" s="43"/>
    </row>
    <row r="18" spans="1:21" s="11" customFormat="1" x14ac:dyDescent="0.25">
      <c r="A18" s="53" t="s">
        <v>717</v>
      </c>
      <c r="B18" s="54">
        <v>13.46</v>
      </c>
      <c r="C18" s="54">
        <v>8.4</v>
      </c>
      <c r="D18" s="54">
        <v>14.77</v>
      </c>
      <c r="E18" s="54">
        <v>6.28</v>
      </c>
      <c r="F18" s="54">
        <v>3.61</v>
      </c>
      <c r="G18" s="54">
        <v>33.979999999999997</v>
      </c>
      <c r="H18" s="54">
        <v>9.2799999999999994</v>
      </c>
      <c r="I18" s="54">
        <v>1.42</v>
      </c>
      <c r="J18" s="54">
        <v>0.66</v>
      </c>
      <c r="K18" s="54">
        <v>162.26</v>
      </c>
      <c r="L18" s="54">
        <v>24.81</v>
      </c>
      <c r="M18" s="54">
        <v>98.05</v>
      </c>
      <c r="N18" s="54">
        <v>221.8</v>
      </c>
      <c r="O18" s="54">
        <v>0</v>
      </c>
      <c r="P18" s="54">
        <v>0.52</v>
      </c>
      <c r="Q18" s="54">
        <v>9.19</v>
      </c>
      <c r="R18" s="43"/>
      <c r="S18" s="43"/>
      <c r="T18" s="43"/>
      <c r="U18" s="43"/>
    </row>
    <row r="19" spans="1:21" s="11" customFormat="1" x14ac:dyDescent="0.25">
      <c r="A19" s="53" t="s">
        <v>718</v>
      </c>
      <c r="B19" s="54">
        <v>15.28</v>
      </c>
      <c r="C19" s="54">
        <v>10.98</v>
      </c>
      <c r="D19" s="54">
        <v>17.64</v>
      </c>
      <c r="E19" s="54">
        <v>6.13</v>
      </c>
      <c r="F19" s="54">
        <v>7.08</v>
      </c>
      <c r="G19" s="54">
        <v>36.549999999999997</v>
      </c>
      <c r="H19" s="54">
        <v>8.9600000000000009</v>
      </c>
      <c r="I19" s="54">
        <v>1.65</v>
      </c>
      <c r="J19" s="54">
        <v>0.44</v>
      </c>
      <c r="K19" s="54">
        <v>344.63</v>
      </c>
      <c r="L19" s="54">
        <v>25.97</v>
      </c>
      <c r="M19" s="54">
        <v>98.06</v>
      </c>
      <c r="N19" s="54">
        <v>320.60000000000002</v>
      </c>
      <c r="O19" s="54">
        <v>0</v>
      </c>
      <c r="P19" s="54">
        <v>0.62</v>
      </c>
      <c r="Q19" s="54">
        <v>9.15</v>
      </c>
      <c r="R19" s="43"/>
      <c r="S19" s="43"/>
      <c r="T19" s="43"/>
      <c r="U19" s="43"/>
    </row>
    <row r="20" spans="1:21" s="11" customFormat="1" x14ac:dyDescent="0.25">
      <c r="A20" s="53" t="s">
        <v>719</v>
      </c>
      <c r="B20" s="54">
        <v>13.73</v>
      </c>
      <c r="C20" s="54">
        <v>10.49</v>
      </c>
      <c r="D20" s="54">
        <v>16.21</v>
      </c>
      <c r="E20" s="54">
        <v>6.32</v>
      </c>
      <c r="F20" s="54">
        <v>5.27</v>
      </c>
      <c r="G20" s="54">
        <v>44.9</v>
      </c>
      <c r="H20" s="54">
        <v>10.119999999999999</v>
      </c>
      <c r="I20" s="54">
        <v>1.78</v>
      </c>
      <c r="J20" s="54">
        <v>0.34</v>
      </c>
      <c r="K20" s="54">
        <v>306.07</v>
      </c>
      <c r="L20" s="54">
        <v>26.77</v>
      </c>
      <c r="M20" s="54">
        <v>96.2</v>
      </c>
      <c r="N20" s="54">
        <v>376.5</v>
      </c>
      <c r="O20" s="54">
        <v>0</v>
      </c>
      <c r="P20" s="54">
        <v>0.62</v>
      </c>
      <c r="Q20" s="54">
        <v>9.15</v>
      </c>
      <c r="R20" s="43"/>
      <c r="S20" s="43"/>
      <c r="T20" s="43"/>
      <c r="U20" s="43"/>
    </row>
    <row r="21" spans="1:21" s="11" customFormat="1" x14ac:dyDescent="0.25">
      <c r="A21" s="53" t="s">
        <v>720</v>
      </c>
      <c r="B21" s="54">
        <v>13.02</v>
      </c>
      <c r="C21" s="54">
        <v>9.91</v>
      </c>
      <c r="D21" s="54">
        <v>15.47</v>
      </c>
      <c r="E21" s="54">
        <v>6.31</v>
      </c>
      <c r="F21" s="54">
        <v>6.85</v>
      </c>
      <c r="G21" s="54">
        <v>45.81</v>
      </c>
      <c r="H21" s="54">
        <v>10.09</v>
      </c>
      <c r="I21" s="54">
        <v>1.8</v>
      </c>
      <c r="J21" s="54">
        <v>0.55000000000000004</v>
      </c>
      <c r="K21" s="54">
        <v>139.13999999999999</v>
      </c>
      <c r="L21" s="54">
        <v>26.99</v>
      </c>
      <c r="M21" s="54">
        <v>92.2</v>
      </c>
      <c r="N21" s="54">
        <v>347</v>
      </c>
      <c r="O21" s="54">
        <v>0</v>
      </c>
      <c r="P21" s="54">
        <v>0.6</v>
      </c>
      <c r="Q21" s="54">
        <v>9.16</v>
      </c>
      <c r="R21" s="43"/>
      <c r="S21" s="43"/>
      <c r="T21" s="43"/>
      <c r="U21" s="43"/>
    </row>
    <row r="22" spans="1:21" s="11" customFormat="1" x14ac:dyDescent="0.25">
      <c r="A22" s="53" t="s">
        <v>721</v>
      </c>
      <c r="B22" s="54">
        <v>11.27</v>
      </c>
      <c r="C22" s="54">
        <v>11.08</v>
      </c>
      <c r="D22" s="54">
        <v>14.65</v>
      </c>
      <c r="E22" s="54">
        <v>6.6</v>
      </c>
      <c r="F22" s="54">
        <v>5.77</v>
      </c>
      <c r="G22" s="54">
        <v>38.380000000000003</v>
      </c>
      <c r="H22" s="54">
        <v>11.51</v>
      </c>
      <c r="I22" s="54">
        <v>1.77</v>
      </c>
      <c r="J22" s="54">
        <v>0.69</v>
      </c>
      <c r="K22" s="54">
        <v>347.38</v>
      </c>
      <c r="L22" s="54">
        <v>26.92</v>
      </c>
      <c r="M22" s="54">
        <v>96.03</v>
      </c>
      <c r="N22" s="54">
        <v>273.8</v>
      </c>
      <c r="O22" s="54">
        <v>0</v>
      </c>
      <c r="P22" s="54">
        <v>0.5</v>
      </c>
      <c r="Q22" s="54">
        <v>9.16</v>
      </c>
      <c r="R22" s="43"/>
      <c r="S22" s="43"/>
      <c r="T22" s="43"/>
      <c r="U22" s="43"/>
    </row>
    <row r="23" spans="1:21" s="11" customFormat="1" x14ac:dyDescent="0.25">
      <c r="A23" s="53" t="s">
        <v>722</v>
      </c>
      <c r="B23" s="54">
        <v>10.57</v>
      </c>
      <c r="C23" s="54">
        <v>10.220000000000001</v>
      </c>
      <c r="D23" s="54">
        <v>13.59</v>
      </c>
      <c r="E23" s="54">
        <v>6.5</v>
      </c>
      <c r="F23" s="54">
        <v>6.51</v>
      </c>
      <c r="G23" s="54">
        <v>42.87</v>
      </c>
      <c r="H23" s="54">
        <v>10.43</v>
      </c>
      <c r="I23" s="54">
        <v>1.73</v>
      </c>
      <c r="J23" s="54">
        <v>0.21</v>
      </c>
      <c r="K23" s="54">
        <v>343.59</v>
      </c>
      <c r="L23" s="54">
        <v>27.18</v>
      </c>
      <c r="M23" s="54">
        <v>85.9</v>
      </c>
      <c r="N23" s="54">
        <v>251.9</v>
      </c>
      <c r="O23" s="54">
        <v>0</v>
      </c>
      <c r="P23" s="54">
        <v>0.5</v>
      </c>
      <c r="Q23" s="54">
        <v>9.1300000000000008</v>
      </c>
      <c r="R23" s="43"/>
      <c r="S23" s="43"/>
      <c r="T23" s="43"/>
      <c r="U23" s="43"/>
    </row>
    <row r="24" spans="1:21" s="11" customFormat="1" x14ac:dyDescent="0.25">
      <c r="A24" s="53" t="s">
        <v>723</v>
      </c>
      <c r="B24" s="54">
        <v>10.27</v>
      </c>
      <c r="C24" s="54">
        <v>11.99</v>
      </c>
      <c r="D24" s="54">
        <v>13.99</v>
      </c>
      <c r="E24" s="54">
        <v>6.41</v>
      </c>
      <c r="F24" s="54">
        <v>8.8800000000000008</v>
      </c>
      <c r="G24" s="54">
        <v>43.06</v>
      </c>
      <c r="H24" s="54">
        <v>10.9</v>
      </c>
      <c r="I24" s="54">
        <v>1.66</v>
      </c>
      <c r="J24" s="54">
        <v>0.24</v>
      </c>
      <c r="K24" s="54">
        <v>304.45</v>
      </c>
      <c r="L24" s="54">
        <v>26.55</v>
      </c>
      <c r="M24" s="54">
        <v>90.43</v>
      </c>
      <c r="N24" s="54">
        <v>120.8</v>
      </c>
      <c r="O24" s="54">
        <v>0</v>
      </c>
      <c r="P24" s="54">
        <v>0.49</v>
      </c>
      <c r="Q24" s="54">
        <v>9.07</v>
      </c>
      <c r="R24" s="43"/>
      <c r="S24" s="43"/>
      <c r="T24" s="43"/>
      <c r="U24" s="43"/>
    </row>
    <row r="25" spans="1:21" s="11" customFormat="1" x14ac:dyDescent="0.25">
      <c r="A25" s="53" t="s">
        <v>724</v>
      </c>
      <c r="B25" s="54">
        <v>8.92</v>
      </c>
      <c r="C25" s="54">
        <v>11.36</v>
      </c>
      <c r="D25" s="54">
        <v>12.77</v>
      </c>
      <c r="E25" s="54">
        <v>6.05</v>
      </c>
      <c r="F25" s="54">
        <v>7.54</v>
      </c>
      <c r="G25" s="54">
        <v>37.090000000000003</v>
      </c>
      <c r="H25" s="54">
        <v>10.38</v>
      </c>
      <c r="I25" s="54">
        <v>1.6</v>
      </c>
      <c r="J25" s="54">
        <v>0.48</v>
      </c>
      <c r="K25" s="54">
        <v>136.63999999999999</v>
      </c>
      <c r="L25" s="54">
        <v>26.43</v>
      </c>
      <c r="M25" s="54">
        <v>89.09</v>
      </c>
      <c r="N25" s="54">
        <v>103.7</v>
      </c>
      <c r="O25" s="54">
        <v>0</v>
      </c>
      <c r="P25" s="54">
        <v>0.45</v>
      </c>
      <c r="Q25" s="54">
        <v>9.06</v>
      </c>
      <c r="R25" s="43"/>
      <c r="S25" s="43"/>
      <c r="T25" s="43"/>
      <c r="U25" s="43"/>
    </row>
    <row r="26" spans="1:21" s="11" customFormat="1" x14ac:dyDescent="0.25">
      <c r="A26" s="53" t="s">
        <v>725</v>
      </c>
      <c r="B26" s="54">
        <v>13.61</v>
      </c>
      <c r="C26" s="54">
        <v>12.71</v>
      </c>
      <c r="D26" s="54">
        <v>16.96</v>
      </c>
      <c r="E26" s="54">
        <v>6.22</v>
      </c>
      <c r="F26" s="54">
        <v>5.68</v>
      </c>
      <c r="G26" s="54">
        <v>31.93</v>
      </c>
      <c r="H26" s="54">
        <v>12.08</v>
      </c>
      <c r="I26" s="54">
        <v>1.53</v>
      </c>
      <c r="J26" s="54">
        <v>0.56999999999999995</v>
      </c>
      <c r="K26" s="54">
        <v>216.96</v>
      </c>
      <c r="L26" s="54">
        <v>25.73</v>
      </c>
      <c r="M26" s="54">
        <v>96.13</v>
      </c>
      <c r="N26" s="54">
        <v>45.9</v>
      </c>
      <c r="O26" s="54">
        <v>0</v>
      </c>
      <c r="P26" s="54">
        <v>0.55000000000000004</v>
      </c>
      <c r="Q26" s="54">
        <v>9.07</v>
      </c>
      <c r="R26" s="43"/>
      <c r="S26" s="43"/>
      <c r="T26" s="43"/>
      <c r="U26" s="43"/>
    </row>
    <row r="27" spans="1:21" s="11" customFormat="1" x14ac:dyDescent="0.25">
      <c r="A27" s="53" t="s">
        <v>726</v>
      </c>
      <c r="B27" s="54">
        <v>13.67</v>
      </c>
      <c r="C27" s="54">
        <v>13.96</v>
      </c>
      <c r="D27" s="54">
        <v>18.079999999999998</v>
      </c>
      <c r="E27" s="54">
        <v>6.35</v>
      </c>
      <c r="F27" s="54">
        <v>4.51</v>
      </c>
      <c r="G27" s="54">
        <v>31.33</v>
      </c>
      <c r="H27" s="54">
        <v>10.7</v>
      </c>
      <c r="I27" s="54">
        <v>1.6</v>
      </c>
      <c r="J27" s="54">
        <v>0.31</v>
      </c>
      <c r="K27" s="54">
        <v>321.24</v>
      </c>
      <c r="L27" s="54">
        <v>25.02</v>
      </c>
      <c r="M27" s="54">
        <v>98.27</v>
      </c>
      <c r="N27" s="54">
        <v>41.6</v>
      </c>
      <c r="O27" s="54">
        <v>0</v>
      </c>
      <c r="P27" s="54">
        <v>0.79</v>
      </c>
      <c r="Q27" s="54">
        <v>9.09</v>
      </c>
      <c r="R27" s="43"/>
      <c r="S27" s="43"/>
      <c r="T27" s="43"/>
      <c r="U27" s="43"/>
    </row>
    <row r="28" spans="1:21" s="11" customFormat="1" x14ac:dyDescent="0.25">
      <c r="A28" s="53" t="s">
        <v>727</v>
      </c>
      <c r="B28" s="54">
        <v>11.41</v>
      </c>
      <c r="C28" s="54">
        <v>11.05</v>
      </c>
      <c r="D28" s="54">
        <v>14.23</v>
      </c>
      <c r="E28" s="54">
        <v>6.28</v>
      </c>
      <c r="F28" s="54">
        <v>4.6900000000000004</v>
      </c>
      <c r="G28" s="54">
        <v>40.200000000000003</v>
      </c>
      <c r="H28" s="54">
        <v>11.19</v>
      </c>
      <c r="I28" s="54">
        <v>1.71</v>
      </c>
      <c r="J28" s="54">
        <v>0.55000000000000004</v>
      </c>
      <c r="K28" s="54">
        <v>171.57</v>
      </c>
      <c r="L28" s="54">
        <v>24.24</v>
      </c>
      <c r="M28" s="54">
        <v>98.25</v>
      </c>
      <c r="N28" s="54">
        <v>41.9</v>
      </c>
      <c r="O28" s="54">
        <v>0</v>
      </c>
      <c r="P28" s="54">
        <v>0.49</v>
      </c>
      <c r="Q28" s="54">
        <v>9.09</v>
      </c>
      <c r="R28" s="43"/>
      <c r="S28" s="43"/>
      <c r="T28" s="43"/>
      <c r="U28" s="43"/>
    </row>
    <row r="29" spans="1:21" s="11" customFormat="1" x14ac:dyDescent="0.25">
      <c r="A29" s="53" t="s">
        <v>728</v>
      </c>
      <c r="B29" s="54">
        <v>11.91</v>
      </c>
      <c r="C29" s="54">
        <v>9.43</v>
      </c>
      <c r="D29" s="54">
        <v>13.62</v>
      </c>
      <c r="E29" s="54">
        <v>5.67</v>
      </c>
      <c r="F29" s="54">
        <v>3.6</v>
      </c>
      <c r="G29" s="54">
        <v>29.91</v>
      </c>
      <c r="H29" s="54">
        <v>10.08</v>
      </c>
      <c r="I29" s="54">
        <v>1.71</v>
      </c>
      <c r="J29" s="54">
        <v>0.71</v>
      </c>
      <c r="K29" s="54">
        <v>145.11000000000001</v>
      </c>
      <c r="L29" s="54">
        <v>23.78</v>
      </c>
      <c r="M29" s="54">
        <v>98.25</v>
      </c>
      <c r="N29" s="54">
        <v>41.2</v>
      </c>
      <c r="O29" s="54">
        <v>0</v>
      </c>
      <c r="P29" s="54">
        <v>0.48</v>
      </c>
      <c r="Q29" s="54">
        <v>9.1</v>
      </c>
      <c r="R29" s="43"/>
      <c r="S29" s="43"/>
      <c r="T29" s="43"/>
      <c r="U29" s="43"/>
    </row>
    <row r="30" spans="1:21" s="11" customFormat="1" x14ac:dyDescent="0.25">
      <c r="A30" s="53" t="s">
        <v>729</v>
      </c>
      <c r="B30" s="54">
        <v>14</v>
      </c>
      <c r="C30" s="54">
        <v>7.79</v>
      </c>
      <c r="D30" s="54">
        <v>15.28</v>
      </c>
      <c r="E30" s="54">
        <v>5.71</v>
      </c>
      <c r="F30" s="54">
        <v>2.4700000000000002</v>
      </c>
      <c r="G30" s="54">
        <v>20.99</v>
      </c>
      <c r="H30" s="54">
        <v>9.86</v>
      </c>
      <c r="I30" s="54">
        <v>1.67</v>
      </c>
      <c r="J30" s="54">
        <v>0.23</v>
      </c>
      <c r="K30" s="54">
        <v>308.39999999999998</v>
      </c>
      <c r="L30" s="54">
        <v>23.58</v>
      </c>
      <c r="M30" s="54">
        <v>98.25</v>
      </c>
      <c r="N30" s="54">
        <v>41.4</v>
      </c>
      <c r="O30" s="54">
        <v>0</v>
      </c>
      <c r="P30" s="54">
        <v>0.44</v>
      </c>
      <c r="Q30" s="54">
        <v>9.15</v>
      </c>
      <c r="R30" s="43"/>
      <c r="S30" s="43"/>
      <c r="T30" s="43"/>
      <c r="U30" s="43"/>
    </row>
    <row r="31" spans="1:21" s="11" customFormat="1" x14ac:dyDescent="0.25">
      <c r="A31" s="53" t="s">
        <v>730</v>
      </c>
      <c r="B31" s="54">
        <v>14.17</v>
      </c>
      <c r="C31" s="54">
        <v>7.5</v>
      </c>
      <c r="D31" s="54">
        <v>15.28</v>
      </c>
      <c r="E31" s="54">
        <v>6.16</v>
      </c>
      <c r="F31" s="54">
        <v>2.15</v>
      </c>
      <c r="G31" s="54">
        <v>15.51</v>
      </c>
      <c r="H31" s="54">
        <v>9.25</v>
      </c>
      <c r="I31" s="54">
        <v>1.6</v>
      </c>
      <c r="J31" s="54">
        <v>0.37</v>
      </c>
      <c r="K31" s="54">
        <v>282.79000000000002</v>
      </c>
      <c r="L31" s="54">
        <v>23.13</v>
      </c>
      <c r="M31" s="54">
        <v>98.02</v>
      </c>
      <c r="N31" s="54">
        <v>41.5</v>
      </c>
      <c r="O31" s="54">
        <v>0</v>
      </c>
      <c r="P31" s="54">
        <v>0.41</v>
      </c>
      <c r="Q31" s="54">
        <v>9.19</v>
      </c>
      <c r="R31" s="43"/>
      <c r="S31" s="43"/>
      <c r="T31" s="43"/>
      <c r="U31" s="43"/>
    </row>
    <row r="32" spans="1:21" s="11" customFormat="1" x14ac:dyDescent="0.25">
      <c r="A32" s="53" t="s">
        <v>731</v>
      </c>
      <c r="B32" s="54">
        <v>13.94</v>
      </c>
      <c r="C32" s="54">
        <v>6.26</v>
      </c>
      <c r="D32" s="54">
        <v>14.27</v>
      </c>
      <c r="E32" s="54">
        <v>5.85</v>
      </c>
      <c r="F32" s="54">
        <v>3.35</v>
      </c>
      <c r="G32" s="54">
        <v>15.73</v>
      </c>
      <c r="H32" s="54">
        <v>8.83</v>
      </c>
      <c r="I32" s="54">
        <v>1.55</v>
      </c>
      <c r="J32" s="54">
        <v>0.49</v>
      </c>
      <c r="K32" s="54">
        <v>155.79</v>
      </c>
      <c r="L32" s="54">
        <v>22.8</v>
      </c>
      <c r="M32" s="54">
        <v>98.05</v>
      </c>
      <c r="N32" s="54">
        <v>41.5</v>
      </c>
      <c r="O32" s="54">
        <v>0</v>
      </c>
      <c r="P32" s="54">
        <v>0.42</v>
      </c>
      <c r="Q32" s="54">
        <v>9.17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7.82</v>
      </c>
      <c r="C34" s="28">
        <f t="shared" si="0"/>
        <v>6.16</v>
      </c>
      <c r="D34" s="28">
        <f t="shared" si="0"/>
        <v>9.91</v>
      </c>
      <c r="E34" s="28">
        <f t="shared" si="0"/>
        <v>4.3899999999999997</v>
      </c>
      <c r="F34" s="28">
        <f t="shared" si="0"/>
        <v>2.15</v>
      </c>
      <c r="G34" s="28">
        <f t="shared" si="0"/>
        <v>6.12</v>
      </c>
      <c r="H34" s="28">
        <f t="shared" si="0"/>
        <v>8.83</v>
      </c>
      <c r="I34" s="28">
        <f t="shared" si="0"/>
        <v>1.1299999999999999</v>
      </c>
      <c r="J34" s="28">
        <f t="shared" si="0"/>
        <v>7.0000000000000007E-2</v>
      </c>
      <c r="K34" s="28">
        <f t="shared" si="0"/>
        <v>135.15</v>
      </c>
      <c r="L34" s="28">
        <f t="shared" si="0"/>
        <v>22.8</v>
      </c>
      <c r="M34" s="28">
        <f t="shared" si="0"/>
        <v>85.9</v>
      </c>
      <c r="N34" s="28">
        <f t="shared" si="0"/>
        <v>41.2</v>
      </c>
      <c r="O34" s="28">
        <f t="shared" si="0"/>
        <v>0</v>
      </c>
      <c r="P34" s="28">
        <f t="shared" si="0"/>
        <v>0.32</v>
      </c>
      <c r="Q34" s="28">
        <f t="shared" si="0"/>
        <v>9.0500000000000007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15.31</v>
      </c>
      <c r="C35" s="29">
        <f t="shared" si="1"/>
        <v>13.96</v>
      </c>
      <c r="D35" s="29">
        <f t="shared" si="1"/>
        <v>18.079999999999998</v>
      </c>
      <c r="E35" s="29">
        <f t="shared" si="1"/>
        <v>6.6</v>
      </c>
      <c r="F35" s="29">
        <f t="shared" si="1"/>
        <v>8.8800000000000008</v>
      </c>
      <c r="G35" s="29">
        <f t="shared" si="1"/>
        <v>45.81</v>
      </c>
      <c r="H35" s="29">
        <f t="shared" si="1"/>
        <v>13.06</v>
      </c>
      <c r="I35" s="29">
        <f t="shared" si="1"/>
        <v>1.8</v>
      </c>
      <c r="J35" s="29">
        <f t="shared" si="1"/>
        <v>0.92</v>
      </c>
      <c r="K35" s="29">
        <f t="shared" si="1"/>
        <v>347.38</v>
      </c>
      <c r="L35" s="29">
        <f t="shared" si="1"/>
        <v>27.18</v>
      </c>
      <c r="M35" s="29">
        <f t="shared" si="1"/>
        <v>98.27</v>
      </c>
      <c r="N35" s="29">
        <f t="shared" si="1"/>
        <v>376.5</v>
      </c>
      <c r="O35" s="29">
        <f t="shared" si="1"/>
        <v>0</v>
      </c>
      <c r="P35" s="29">
        <f t="shared" si="1"/>
        <v>0.79</v>
      </c>
      <c r="Q35" s="29">
        <f t="shared" si="1"/>
        <v>9.19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12.040416666666667</v>
      </c>
      <c r="C36" s="28">
        <f t="shared" si="2"/>
        <v>9.3141666666666687</v>
      </c>
      <c r="D36" s="28">
        <f t="shared" si="2"/>
        <v>14.177916666666667</v>
      </c>
      <c r="E36" s="28">
        <f t="shared" si="2"/>
        <v>5.7145833333333327</v>
      </c>
      <c r="F36" s="28">
        <f t="shared" si="2"/>
        <v>4.4362500000000002</v>
      </c>
      <c r="G36" s="28">
        <f t="shared" si="2"/>
        <v>27.61</v>
      </c>
      <c r="H36" s="28">
        <f t="shared" si="2"/>
        <v>10.639583333333336</v>
      </c>
      <c r="I36" s="28">
        <f t="shared" si="2"/>
        <v>1.5016666666666669</v>
      </c>
      <c r="J36" s="28">
        <f t="shared" si="2"/>
        <v>0.41291666666666665</v>
      </c>
      <c r="K36" s="28">
        <f t="shared" si="2"/>
        <v>250.77291666666665</v>
      </c>
      <c r="L36" s="28">
        <f t="shared" si="2"/>
        <v>24.635416666666668</v>
      </c>
      <c r="M36" s="28">
        <f t="shared" si="2"/>
        <v>96.421250000000001</v>
      </c>
      <c r="N36" s="28">
        <f t="shared" si="2"/>
        <v>123.39166666666667</v>
      </c>
      <c r="O36" s="28">
        <f t="shared" si="2"/>
        <v>0</v>
      </c>
      <c r="P36" s="28">
        <f t="shared" si="2"/>
        <v>0.47083333333333344</v>
      </c>
      <c r="Q36" s="28">
        <f t="shared" si="2"/>
        <v>9.1162499999999991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2.3974705496067923</v>
      </c>
      <c r="C37" s="28">
        <f t="shared" ref="C37:Q37" si="3">STDEV(C9:C32)</f>
        <v>2.2406655002605671</v>
      </c>
      <c r="D37" s="28">
        <f t="shared" si="3"/>
        <v>2.247473904025445</v>
      </c>
      <c r="E37" s="28">
        <f t="shared" si="3"/>
        <v>0.73860019877007899</v>
      </c>
      <c r="F37" s="28">
        <f t="shared" si="3"/>
        <v>1.8685121086040608</v>
      </c>
      <c r="G37" s="28">
        <f t="shared" si="3"/>
        <v>12.501900725054989</v>
      </c>
      <c r="H37" s="28">
        <f t="shared" si="3"/>
        <v>1.1320066030175302</v>
      </c>
      <c r="I37" s="28">
        <f t="shared" si="3"/>
        <v>0.21932042603314961</v>
      </c>
      <c r="J37" s="28">
        <f t="shared" si="3"/>
        <v>0.22012800953015987</v>
      </c>
      <c r="K37" s="28">
        <f t="shared" si="3"/>
        <v>86.957052591903349</v>
      </c>
      <c r="L37" s="28">
        <f t="shared" si="3"/>
        <v>1.5352608592018167</v>
      </c>
      <c r="M37" s="28">
        <f t="shared" si="3"/>
        <v>3.413038060782184</v>
      </c>
      <c r="N37" s="28">
        <f t="shared" si="3"/>
        <v>113.74534072317812</v>
      </c>
      <c r="O37" s="28">
        <f t="shared" si="3"/>
        <v>0</v>
      </c>
      <c r="P37" s="28">
        <f t="shared" si="3"/>
        <v>0.11025333147551228</v>
      </c>
      <c r="Q37" s="28">
        <f t="shared" si="3"/>
        <v>4.5665370763375054E-2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topLeftCell="A13" workbookViewId="0">
      <selection activeCell="N32" sqref="N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29/10/2025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732</v>
      </c>
      <c r="B9" s="54">
        <v>12.84</v>
      </c>
      <c r="C9" s="54">
        <v>5.71</v>
      </c>
      <c r="D9" s="54">
        <v>13.02</v>
      </c>
      <c r="E9" s="54">
        <v>5.35</v>
      </c>
      <c r="F9" s="54">
        <v>2.23</v>
      </c>
      <c r="G9" s="54">
        <v>19.579999999999998</v>
      </c>
      <c r="H9" s="54">
        <v>8.93</v>
      </c>
      <c r="I9" s="54">
        <v>1.44</v>
      </c>
      <c r="J9" s="54">
        <v>0.31</v>
      </c>
      <c r="K9" s="54">
        <v>271.62</v>
      </c>
      <c r="L9" s="54">
        <v>22.61</v>
      </c>
      <c r="M9" s="54">
        <v>98.04</v>
      </c>
      <c r="N9" s="54">
        <v>41.1</v>
      </c>
      <c r="O9" s="54">
        <v>0</v>
      </c>
      <c r="P9" s="54">
        <v>0.36</v>
      </c>
      <c r="Q9" s="54">
        <v>9.15</v>
      </c>
      <c r="R9" s="43"/>
      <c r="S9" s="43"/>
      <c r="T9" s="43"/>
      <c r="U9" s="43"/>
    </row>
    <row r="10" spans="1:21" s="11" customFormat="1" x14ac:dyDescent="0.25">
      <c r="A10" s="53" t="s">
        <v>733</v>
      </c>
      <c r="B10" s="54">
        <v>12.08</v>
      </c>
      <c r="C10" s="54">
        <v>6.31</v>
      </c>
      <c r="D10" s="54">
        <v>12.45</v>
      </c>
      <c r="E10" s="54">
        <v>5.51</v>
      </c>
      <c r="F10" s="54">
        <v>2.1</v>
      </c>
      <c r="G10" s="54">
        <v>14.94</v>
      </c>
      <c r="H10" s="54">
        <v>11.51</v>
      </c>
      <c r="I10" s="54">
        <v>1.38</v>
      </c>
      <c r="J10" s="54">
        <v>0.51</v>
      </c>
      <c r="K10" s="54">
        <v>173.61</v>
      </c>
      <c r="L10" s="54">
        <v>22.41</v>
      </c>
      <c r="M10" s="54">
        <v>98.05</v>
      </c>
      <c r="N10" s="54">
        <v>41.1</v>
      </c>
      <c r="O10" s="54">
        <v>0</v>
      </c>
      <c r="P10" s="54">
        <v>0.41</v>
      </c>
      <c r="Q10" s="54">
        <v>9.14</v>
      </c>
      <c r="R10" s="43"/>
      <c r="S10" s="43"/>
      <c r="T10" s="43"/>
      <c r="U10" s="43"/>
    </row>
    <row r="11" spans="1:21" s="11" customFormat="1" x14ac:dyDescent="0.25">
      <c r="A11" s="53" t="s">
        <v>734</v>
      </c>
      <c r="B11" s="54">
        <v>10.8</v>
      </c>
      <c r="C11" s="54">
        <v>6.4</v>
      </c>
      <c r="D11" s="54">
        <v>11.82</v>
      </c>
      <c r="E11" s="54">
        <v>5.86</v>
      </c>
      <c r="F11" s="54">
        <v>2.1</v>
      </c>
      <c r="G11" s="54">
        <v>10.9</v>
      </c>
      <c r="H11" s="54">
        <v>10.79</v>
      </c>
      <c r="I11" s="54">
        <v>1.29</v>
      </c>
      <c r="J11" s="54">
        <v>0.24</v>
      </c>
      <c r="K11" s="54">
        <v>259.99</v>
      </c>
      <c r="L11" s="54">
        <v>22.41</v>
      </c>
      <c r="M11" s="54">
        <v>98.03</v>
      </c>
      <c r="N11" s="54">
        <v>41.1</v>
      </c>
      <c r="O11" s="54">
        <v>0</v>
      </c>
      <c r="P11" s="54">
        <v>0.38</v>
      </c>
      <c r="Q11" s="54">
        <v>9.14</v>
      </c>
      <c r="R11" s="43"/>
      <c r="S11" s="43"/>
      <c r="T11" s="43"/>
      <c r="U11" s="43"/>
    </row>
    <row r="12" spans="1:21" s="11" customFormat="1" x14ac:dyDescent="0.25">
      <c r="A12" s="53" t="s">
        <v>735</v>
      </c>
      <c r="B12" s="54">
        <v>10.55</v>
      </c>
      <c r="C12" s="54">
        <v>6.33</v>
      </c>
      <c r="D12" s="54">
        <v>11.58</v>
      </c>
      <c r="E12" s="54">
        <v>5.78</v>
      </c>
      <c r="F12" s="54">
        <v>2.15</v>
      </c>
      <c r="G12" s="54">
        <v>16.36</v>
      </c>
      <c r="H12" s="54">
        <v>10.029999999999999</v>
      </c>
      <c r="I12" s="54">
        <v>1.3</v>
      </c>
      <c r="J12" s="54">
        <v>0.23</v>
      </c>
      <c r="K12" s="54">
        <v>308.12</v>
      </c>
      <c r="L12" s="54">
        <v>22.19</v>
      </c>
      <c r="M12" s="54">
        <v>98.07</v>
      </c>
      <c r="N12" s="54">
        <v>41.3</v>
      </c>
      <c r="O12" s="54">
        <v>0</v>
      </c>
      <c r="P12" s="54">
        <v>0.37</v>
      </c>
      <c r="Q12" s="54">
        <v>9.1300000000000008</v>
      </c>
      <c r="R12" s="43"/>
      <c r="S12" s="43"/>
      <c r="T12" s="43"/>
      <c r="U12" s="43"/>
    </row>
    <row r="13" spans="1:21" s="11" customFormat="1" x14ac:dyDescent="0.25">
      <c r="A13" s="53" t="s">
        <v>736</v>
      </c>
      <c r="B13" s="54">
        <v>10.99</v>
      </c>
      <c r="C13" s="54">
        <v>6.58</v>
      </c>
      <c r="D13" s="54">
        <v>12.25</v>
      </c>
      <c r="E13" s="54">
        <v>5.45</v>
      </c>
      <c r="F13" s="54">
        <v>2.11</v>
      </c>
      <c r="G13" s="54">
        <v>14.63</v>
      </c>
      <c r="H13" s="54">
        <v>9.32</v>
      </c>
      <c r="I13" s="54">
        <v>1.31</v>
      </c>
      <c r="J13" s="54">
        <v>0.21</v>
      </c>
      <c r="K13" s="54">
        <v>309.8</v>
      </c>
      <c r="L13" s="54">
        <v>22.15</v>
      </c>
      <c r="M13" s="54">
        <v>98.08</v>
      </c>
      <c r="N13" s="54">
        <v>41.1</v>
      </c>
      <c r="O13" s="54">
        <v>0</v>
      </c>
      <c r="P13" s="54">
        <v>0.37</v>
      </c>
      <c r="Q13" s="54">
        <v>9.09</v>
      </c>
      <c r="R13" s="43"/>
      <c r="S13" s="43"/>
      <c r="T13" s="43"/>
      <c r="U13" s="43"/>
    </row>
    <row r="14" spans="1:21" s="11" customFormat="1" x14ac:dyDescent="0.25">
      <c r="A14" s="53" t="s">
        <v>737</v>
      </c>
      <c r="B14" s="54">
        <v>11.41</v>
      </c>
      <c r="C14" s="54">
        <v>6.34</v>
      </c>
      <c r="D14" s="54">
        <v>12.02</v>
      </c>
      <c r="E14" s="54">
        <v>5.41</v>
      </c>
      <c r="F14" s="54">
        <v>2.4500000000000002</v>
      </c>
      <c r="G14" s="54">
        <v>11.62</v>
      </c>
      <c r="H14" s="54">
        <v>13.25</v>
      </c>
      <c r="I14" s="54">
        <v>1.3</v>
      </c>
      <c r="J14" s="54">
        <v>0.4</v>
      </c>
      <c r="K14" s="54">
        <v>216.18</v>
      </c>
      <c r="L14" s="54">
        <v>22.34</v>
      </c>
      <c r="M14" s="54">
        <v>98.08</v>
      </c>
      <c r="N14" s="54">
        <v>42.3</v>
      </c>
      <c r="O14" s="54">
        <v>0</v>
      </c>
      <c r="P14" s="54">
        <v>0.36</v>
      </c>
      <c r="Q14" s="54">
        <v>9.1</v>
      </c>
      <c r="R14" s="43"/>
      <c r="S14" s="43"/>
      <c r="T14" s="43"/>
      <c r="U14" s="43"/>
    </row>
    <row r="15" spans="1:21" s="11" customFormat="1" x14ac:dyDescent="0.25">
      <c r="A15" s="53" t="s">
        <v>738</v>
      </c>
      <c r="B15" s="54">
        <v>12.8</v>
      </c>
      <c r="C15" s="54">
        <v>6.99</v>
      </c>
      <c r="D15" s="54">
        <v>13.87</v>
      </c>
      <c r="E15" s="54">
        <v>5.3</v>
      </c>
      <c r="F15" s="54">
        <v>2.2200000000000002</v>
      </c>
      <c r="G15" s="54">
        <v>8.6300000000000008</v>
      </c>
      <c r="H15" s="54">
        <v>11.52</v>
      </c>
      <c r="I15" s="54">
        <v>1.27</v>
      </c>
      <c r="J15" s="54">
        <v>0.15</v>
      </c>
      <c r="K15" s="54">
        <v>336.16</v>
      </c>
      <c r="L15" s="54">
        <v>22.44</v>
      </c>
      <c r="M15" s="54">
        <v>98.08</v>
      </c>
      <c r="N15" s="54">
        <v>59.5</v>
      </c>
      <c r="O15" s="54">
        <v>0</v>
      </c>
      <c r="P15" s="54">
        <v>0.34</v>
      </c>
      <c r="Q15" s="54">
        <v>9.14</v>
      </c>
      <c r="R15" s="43"/>
      <c r="S15" s="43"/>
      <c r="T15" s="43"/>
      <c r="U15" s="43"/>
    </row>
    <row r="16" spans="1:21" s="11" customFormat="1" x14ac:dyDescent="0.25">
      <c r="A16" s="53" t="s">
        <v>739</v>
      </c>
      <c r="B16" s="54">
        <v>14.57</v>
      </c>
      <c r="C16" s="54">
        <v>7.04</v>
      </c>
      <c r="D16" s="54">
        <v>15.28</v>
      </c>
      <c r="E16" s="54">
        <v>5.92</v>
      </c>
      <c r="F16" s="54">
        <v>2.1</v>
      </c>
      <c r="G16" s="54">
        <v>16.95</v>
      </c>
      <c r="H16" s="54">
        <v>10.32</v>
      </c>
      <c r="I16" s="54">
        <v>1.27</v>
      </c>
      <c r="J16" s="54">
        <v>0.12</v>
      </c>
      <c r="K16" s="54">
        <v>335.42</v>
      </c>
      <c r="L16" s="54">
        <v>22.86</v>
      </c>
      <c r="M16" s="54">
        <v>98.05</v>
      </c>
      <c r="N16" s="54">
        <v>84.8</v>
      </c>
      <c r="O16" s="54">
        <v>0</v>
      </c>
      <c r="P16" s="54">
        <v>0.36</v>
      </c>
      <c r="Q16" s="54">
        <v>9.17</v>
      </c>
      <c r="R16" s="43"/>
      <c r="S16" s="43"/>
      <c r="T16" s="43"/>
      <c r="U16" s="43"/>
    </row>
    <row r="17" spans="1:21" s="11" customFormat="1" x14ac:dyDescent="0.25">
      <c r="A17" s="53" t="s">
        <v>740</v>
      </c>
      <c r="B17" s="54">
        <v>15.07</v>
      </c>
      <c r="C17" s="54">
        <v>6.49</v>
      </c>
      <c r="D17" s="54">
        <v>15.15</v>
      </c>
      <c r="E17" s="54">
        <v>5.41</v>
      </c>
      <c r="F17" s="54">
        <v>2.8</v>
      </c>
      <c r="G17" s="54">
        <v>28.4</v>
      </c>
      <c r="H17" s="54">
        <v>9.4700000000000006</v>
      </c>
      <c r="I17" s="54">
        <v>1.29</v>
      </c>
      <c r="J17" s="54">
        <v>0.43</v>
      </c>
      <c r="K17" s="54">
        <v>316.70999999999998</v>
      </c>
      <c r="L17" s="54">
        <v>23.15</v>
      </c>
      <c r="M17" s="54">
        <v>98.04</v>
      </c>
      <c r="N17" s="54">
        <v>92.6</v>
      </c>
      <c r="O17" s="54">
        <v>0</v>
      </c>
      <c r="P17" s="54">
        <v>0.38</v>
      </c>
      <c r="Q17" s="54">
        <v>9.17</v>
      </c>
      <c r="R17" s="43"/>
      <c r="S17" s="43"/>
      <c r="T17" s="43"/>
      <c r="U17" s="43"/>
    </row>
    <row r="18" spans="1:21" s="11" customFormat="1" x14ac:dyDescent="0.25">
      <c r="A18" s="53" t="s">
        <v>741</v>
      </c>
      <c r="B18" s="54">
        <v>15.43</v>
      </c>
      <c r="C18" s="54">
        <v>6.72</v>
      </c>
      <c r="D18" s="54">
        <v>15.75</v>
      </c>
      <c r="E18" s="54">
        <v>5.43</v>
      </c>
      <c r="F18" s="54">
        <v>3.71</v>
      </c>
      <c r="G18" s="54">
        <v>21.01</v>
      </c>
      <c r="H18" s="54">
        <v>12.84</v>
      </c>
      <c r="I18" s="54">
        <v>1.33</v>
      </c>
      <c r="J18" s="54">
        <v>0.53</v>
      </c>
      <c r="K18" s="54">
        <v>184.77</v>
      </c>
      <c r="L18" s="54">
        <v>24.07</v>
      </c>
      <c r="M18" s="54">
        <v>98.03</v>
      </c>
      <c r="N18" s="54">
        <v>176.7</v>
      </c>
      <c r="O18" s="54">
        <v>0</v>
      </c>
      <c r="P18" s="54">
        <v>0.39</v>
      </c>
      <c r="Q18" s="54">
        <v>9.19</v>
      </c>
      <c r="R18" s="43"/>
      <c r="S18" s="43"/>
      <c r="T18" s="43"/>
      <c r="U18" s="43"/>
    </row>
    <row r="19" spans="1:21" s="11" customFormat="1" x14ac:dyDescent="0.25">
      <c r="A19" s="53" t="s">
        <v>742</v>
      </c>
      <c r="B19" s="54">
        <v>15.31</v>
      </c>
      <c r="C19" s="54">
        <v>6.86</v>
      </c>
      <c r="D19" s="54">
        <v>15.28</v>
      </c>
      <c r="E19" s="54">
        <v>5.54</v>
      </c>
      <c r="F19" s="54">
        <v>4.8899999999999997</v>
      </c>
      <c r="G19" s="54">
        <v>24.19</v>
      </c>
      <c r="H19" s="54">
        <v>11.38</v>
      </c>
      <c r="I19" s="54">
        <v>1.37</v>
      </c>
      <c r="J19" s="54">
        <v>1.04</v>
      </c>
      <c r="K19" s="54">
        <v>129.88</v>
      </c>
      <c r="L19" s="54">
        <v>25.55</v>
      </c>
      <c r="M19" s="54">
        <v>97.97</v>
      </c>
      <c r="N19" s="54">
        <v>434.8</v>
      </c>
      <c r="O19" s="54">
        <v>0</v>
      </c>
      <c r="P19" s="54">
        <v>0.41</v>
      </c>
      <c r="Q19" s="54">
        <v>9.2100000000000009</v>
      </c>
      <c r="R19" s="43"/>
      <c r="S19" s="43"/>
      <c r="T19" s="43"/>
      <c r="U19" s="43"/>
    </row>
    <row r="20" spans="1:21" s="11" customFormat="1" x14ac:dyDescent="0.25">
      <c r="A20" s="53" t="s">
        <v>743</v>
      </c>
      <c r="B20" s="54">
        <v>11.84</v>
      </c>
      <c r="C20" s="54">
        <v>7.53</v>
      </c>
      <c r="D20" s="54">
        <v>13.02</v>
      </c>
      <c r="E20" s="54">
        <v>6.15</v>
      </c>
      <c r="F20" s="54">
        <v>6.51</v>
      </c>
      <c r="G20" s="54">
        <v>18.46</v>
      </c>
      <c r="H20" s="54">
        <v>10.55</v>
      </c>
      <c r="I20" s="54">
        <v>1.35</v>
      </c>
      <c r="J20" s="54">
        <v>1</v>
      </c>
      <c r="K20" s="54">
        <v>131.66999999999999</v>
      </c>
      <c r="L20" s="54">
        <v>26.8</v>
      </c>
      <c r="M20" s="54">
        <v>95</v>
      </c>
      <c r="N20" s="54">
        <v>430.9</v>
      </c>
      <c r="O20" s="54">
        <v>0</v>
      </c>
      <c r="P20" s="54">
        <v>0.34</v>
      </c>
      <c r="Q20" s="54">
        <v>9.19</v>
      </c>
      <c r="R20" s="43"/>
      <c r="S20" s="43"/>
      <c r="T20" s="43"/>
      <c r="U20" s="43"/>
    </row>
    <row r="21" spans="1:21" s="11" customFormat="1" x14ac:dyDescent="0.25">
      <c r="A21" s="53" t="s">
        <v>744</v>
      </c>
      <c r="B21" s="54">
        <v>8.58</v>
      </c>
      <c r="C21" s="54">
        <v>9.52</v>
      </c>
      <c r="D21" s="54">
        <v>11.1</v>
      </c>
      <c r="E21" s="54">
        <v>6.06</v>
      </c>
      <c r="F21" s="54">
        <v>7.94</v>
      </c>
      <c r="G21" s="54">
        <v>12.96</v>
      </c>
      <c r="H21" s="54">
        <v>9.84</v>
      </c>
      <c r="I21" s="54">
        <v>1.27</v>
      </c>
      <c r="J21" s="54">
        <v>1.45</v>
      </c>
      <c r="K21" s="54">
        <v>129.37</v>
      </c>
      <c r="L21" s="54">
        <v>27.21</v>
      </c>
      <c r="M21" s="54">
        <v>92.42</v>
      </c>
      <c r="N21" s="54">
        <v>414.4</v>
      </c>
      <c r="O21" s="54">
        <v>0</v>
      </c>
      <c r="P21" s="54">
        <v>0.24</v>
      </c>
      <c r="Q21" s="54">
        <v>9.1300000000000008</v>
      </c>
      <c r="R21" s="43"/>
      <c r="S21" s="43"/>
      <c r="T21" s="43"/>
      <c r="U21" s="43"/>
    </row>
    <row r="22" spans="1:21" s="11" customFormat="1" x14ac:dyDescent="0.25">
      <c r="A22" s="53" t="s">
        <v>745</v>
      </c>
      <c r="B22" s="54">
        <v>8.25</v>
      </c>
      <c r="C22" s="54">
        <v>9.15</v>
      </c>
      <c r="D22" s="54">
        <v>11.23</v>
      </c>
      <c r="E22" s="54">
        <v>5.83</v>
      </c>
      <c r="F22" s="54">
        <v>7.2</v>
      </c>
      <c r="G22" s="54">
        <v>12.96</v>
      </c>
      <c r="H22" s="54">
        <v>16.579999999999998</v>
      </c>
      <c r="I22" s="54">
        <v>0.83</v>
      </c>
      <c r="J22" s="54">
        <v>1.45</v>
      </c>
      <c r="K22" s="54">
        <v>127.58</v>
      </c>
      <c r="L22" s="54">
        <v>27.14</v>
      </c>
      <c r="M22" s="54">
        <v>92.5</v>
      </c>
      <c r="N22" s="54">
        <v>261.3</v>
      </c>
      <c r="O22" s="54">
        <v>0</v>
      </c>
      <c r="P22" s="54">
        <v>0.26</v>
      </c>
      <c r="Q22" s="54">
        <v>8.98</v>
      </c>
      <c r="R22" s="43"/>
      <c r="S22" s="43"/>
      <c r="T22" s="43"/>
      <c r="U22" s="43"/>
    </row>
    <row r="23" spans="1:21" s="11" customFormat="1" x14ac:dyDescent="0.25">
      <c r="A23" s="53" t="s">
        <v>746</v>
      </c>
      <c r="B23" s="54">
        <v>7.27</v>
      </c>
      <c r="C23" s="54">
        <v>8.8699999999999992</v>
      </c>
      <c r="D23" s="54">
        <v>10.199999999999999</v>
      </c>
      <c r="E23" s="54">
        <v>5.75</v>
      </c>
      <c r="F23" s="54">
        <v>8.86</v>
      </c>
      <c r="G23" s="54">
        <v>56.58</v>
      </c>
      <c r="H23" s="54">
        <v>14.67</v>
      </c>
      <c r="I23" s="54">
        <v>0.84</v>
      </c>
      <c r="J23" s="54">
        <v>2.15</v>
      </c>
      <c r="K23" s="54">
        <v>127.35</v>
      </c>
      <c r="L23" s="54">
        <v>27.02</v>
      </c>
      <c r="M23" s="54">
        <v>91.69</v>
      </c>
      <c r="N23" s="54">
        <v>220.5</v>
      </c>
      <c r="O23" s="54">
        <v>0</v>
      </c>
      <c r="P23" s="54">
        <v>0.27</v>
      </c>
      <c r="Q23" s="54">
        <v>9.02</v>
      </c>
      <c r="R23" s="43"/>
      <c r="S23" s="43"/>
      <c r="T23" s="43"/>
      <c r="U23" s="43"/>
    </row>
    <row r="24" spans="1:21" s="11" customFormat="1" x14ac:dyDescent="0.25">
      <c r="A24" s="53" t="s">
        <v>747</v>
      </c>
      <c r="B24" s="54">
        <v>7.92</v>
      </c>
      <c r="C24" s="54">
        <v>8.9</v>
      </c>
      <c r="D24" s="54">
        <v>10.96</v>
      </c>
      <c r="E24" s="54">
        <v>5.49</v>
      </c>
      <c r="F24" s="54">
        <v>7.1</v>
      </c>
      <c r="G24" s="54">
        <v>50.07</v>
      </c>
      <c r="H24" s="54">
        <v>12.52</v>
      </c>
      <c r="I24" s="54">
        <v>0.84</v>
      </c>
      <c r="J24" s="54">
        <v>0.87</v>
      </c>
      <c r="K24" s="54">
        <v>139.37</v>
      </c>
      <c r="L24" s="54">
        <v>27.3</v>
      </c>
      <c r="M24" s="54">
        <v>94.06</v>
      </c>
      <c r="N24" s="54">
        <v>145.4</v>
      </c>
      <c r="O24" s="54">
        <v>0</v>
      </c>
      <c r="P24" s="54">
        <v>0.28999999999999998</v>
      </c>
      <c r="Q24" s="54">
        <v>9.08</v>
      </c>
      <c r="R24" s="43"/>
      <c r="S24" s="43"/>
      <c r="T24" s="43"/>
      <c r="U24" s="43"/>
    </row>
    <row r="25" spans="1:21" s="11" customFormat="1" x14ac:dyDescent="0.25">
      <c r="A25" s="53" t="s">
        <v>748</v>
      </c>
      <c r="B25" s="54">
        <v>8.26</v>
      </c>
      <c r="C25" s="54">
        <v>8.24</v>
      </c>
      <c r="D25" s="54">
        <v>10.93</v>
      </c>
      <c r="E25" s="54">
        <v>5.65</v>
      </c>
      <c r="F25" s="54">
        <v>5.19</v>
      </c>
      <c r="G25" s="54">
        <v>35.43</v>
      </c>
      <c r="H25" s="54">
        <v>11.01</v>
      </c>
      <c r="I25" s="54">
        <v>0.86</v>
      </c>
      <c r="J25" s="54">
        <v>1.19</v>
      </c>
      <c r="K25" s="54">
        <v>129.76</v>
      </c>
      <c r="L25" s="54">
        <v>26.43</v>
      </c>
      <c r="M25" s="54">
        <v>94.01</v>
      </c>
      <c r="N25" s="54">
        <v>74.3</v>
      </c>
      <c r="O25" s="54">
        <v>0</v>
      </c>
      <c r="P25" s="54">
        <v>0.28999999999999998</v>
      </c>
      <c r="Q25" s="54">
        <v>9.08</v>
      </c>
      <c r="R25" s="43"/>
      <c r="S25" s="43"/>
      <c r="T25" s="43"/>
      <c r="U25" s="43"/>
    </row>
    <row r="26" spans="1:21" s="11" customFormat="1" x14ac:dyDescent="0.25">
      <c r="A26" s="53" t="s">
        <v>749</v>
      </c>
      <c r="B26" s="54">
        <v>10.49</v>
      </c>
      <c r="C26" s="54">
        <v>8.4700000000000006</v>
      </c>
      <c r="D26" s="54">
        <v>14.64</v>
      </c>
      <c r="E26" s="54">
        <v>6.04</v>
      </c>
      <c r="F26" s="54">
        <v>4.93</v>
      </c>
      <c r="G26" s="54">
        <v>28.56</v>
      </c>
      <c r="H26" s="54">
        <v>11.83</v>
      </c>
      <c r="I26" s="54">
        <v>0.9</v>
      </c>
      <c r="J26" s="54">
        <v>0.52</v>
      </c>
      <c r="K26" s="54">
        <v>136.9</v>
      </c>
      <c r="L26" s="54">
        <v>25.96</v>
      </c>
      <c r="M26" s="54">
        <v>97.96</v>
      </c>
      <c r="N26" s="54">
        <v>44</v>
      </c>
      <c r="O26" s="54">
        <v>0</v>
      </c>
      <c r="P26" s="54">
        <v>0.35</v>
      </c>
      <c r="Q26" s="54">
        <v>9.02</v>
      </c>
      <c r="R26" s="43"/>
      <c r="S26" s="43"/>
      <c r="T26" s="43"/>
      <c r="U26" s="43"/>
    </row>
    <row r="27" spans="1:21" s="11" customFormat="1" x14ac:dyDescent="0.25">
      <c r="A27" s="53" t="s">
        <v>750</v>
      </c>
      <c r="B27" s="54">
        <v>9.5399999999999991</v>
      </c>
      <c r="C27" s="54">
        <v>9.27</v>
      </c>
      <c r="D27" s="54">
        <v>12.44</v>
      </c>
      <c r="E27" s="54">
        <v>5.68</v>
      </c>
      <c r="F27" s="54">
        <v>4.82</v>
      </c>
      <c r="G27" s="54">
        <v>22.73</v>
      </c>
      <c r="H27" s="54">
        <v>13.47</v>
      </c>
      <c r="I27" s="54">
        <v>1.01</v>
      </c>
      <c r="J27" s="54">
        <v>0.34</v>
      </c>
      <c r="K27" s="54">
        <v>139.46</v>
      </c>
      <c r="L27" s="54">
        <v>25.11</v>
      </c>
      <c r="M27" s="54">
        <v>98</v>
      </c>
      <c r="N27" s="54">
        <v>40.4</v>
      </c>
      <c r="O27" s="54">
        <v>0</v>
      </c>
      <c r="P27" s="54">
        <v>0.38</v>
      </c>
      <c r="Q27" s="54">
        <v>9.0299999999999994</v>
      </c>
      <c r="R27" s="43"/>
      <c r="S27" s="43"/>
      <c r="T27" s="43"/>
      <c r="U27" s="43"/>
    </row>
    <row r="28" spans="1:21" s="11" customFormat="1" x14ac:dyDescent="0.25">
      <c r="A28" s="53" t="s">
        <v>751</v>
      </c>
      <c r="B28" s="54">
        <v>11.28</v>
      </c>
      <c r="C28" s="54">
        <v>10.69</v>
      </c>
      <c r="D28" s="54">
        <v>14.09</v>
      </c>
      <c r="E28" s="54">
        <v>5.8</v>
      </c>
      <c r="F28" s="54">
        <v>4.28</v>
      </c>
      <c r="G28" s="54">
        <v>22.73</v>
      </c>
      <c r="H28" s="54">
        <v>12.36</v>
      </c>
      <c r="I28" s="54">
        <v>1.06</v>
      </c>
      <c r="J28" s="54">
        <v>0.48</v>
      </c>
      <c r="K28" s="54">
        <v>143.19999999999999</v>
      </c>
      <c r="L28" s="54">
        <v>24.63</v>
      </c>
      <c r="M28" s="54">
        <v>98.05</v>
      </c>
      <c r="N28" s="54">
        <v>40.5</v>
      </c>
      <c r="O28" s="54">
        <v>0</v>
      </c>
      <c r="P28" s="54">
        <v>0.49</v>
      </c>
      <c r="Q28" s="54">
        <v>9.1</v>
      </c>
      <c r="R28" s="43"/>
      <c r="S28" s="43"/>
      <c r="T28" s="43"/>
      <c r="U28" s="43"/>
    </row>
    <row r="29" spans="1:21" s="11" customFormat="1" x14ac:dyDescent="0.25">
      <c r="A29" s="53" t="s">
        <v>752</v>
      </c>
      <c r="B29" s="54">
        <v>11.71</v>
      </c>
      <c r="C29" s="54">
        <v>9.8699999999999992</v>
      </c>
      <c r="D29" s="54">
        <v>13.97</v>
      </c>
      <c r="E29" s="54">
        <v>5.72</v>
      </c>
      <c r="F29" s="54">
        <v>3.32</v>
      </c>
      <c r="G29" s="54">
        <v>21.46</v>
      </c>
      <c r="H29" s="54">
        <v>10.91</v>
      </c>
      <c r="I29" s="54">
        <v>1.1499999999999999</v>
      </c>
      <c r="J29" s="54">
        <v>0.5</v>
      </c>
      <c r="K29" s="54">
        <v>135.06</v>
      </c>
      <c r="L29" s="54">
        <v>24.42</v>
      </c>
      <c r="M29" s="54">
        <v>98.06</v>
      </c>
      <c r="N29" s="54">
        <v>40.4</v>
      </c>
      <c r="O29" s="54">
        <v>0</v>
      </c>
      <c r="P29" s="54">
        <v>0.43</v>
      </c>
      <c r="Q29" s="54">
        <v>9.1300000000000008</v>
      </c>
      <c r="R29" s="43"/>
      <c r="S29" s="43"/>
      <c r="T29" s="43"/>
      <c r="U29" s="43"/>
    </row>
    <row r="30" spans="1:21" s="11" customFormat="1" x14ac:dyDescent="0.25">
      <c r="A30" s="53" t="s">
        <v>753</v>
      </c>
      <c r="B30" s="54">
        <v>11.29</v>
      </c>
      <c r="C30" s="54">
        <v>8.24</v>
      </c>
      <c r="D30" s="54">
        <v>13.16</v>
      </c>
      <c r="E30" s="54">
        <v>5.95</v>
      </c>
      <c r="F30" s="54">
        <v>4.28</v>
      </c>
      <c r="G30" s="54">
        <v>19.739999999999998</v>
      </c>
      <c r="H30" s="54">
        <v>13.23</v>
      </c>
      <c r="I30" s="54">
        <v>1.2</v>
      </c>
      <c r="J30" s="54">
        <v>0.54</v>
      </c>
      <c r="K30" s="54">
        <v>135.74</v>
      </c>
      <c r="L30" s="54">
        <v>23.92</v>
      </c>
      <c r="M30" s="54">
        <v>98.07</v>
      </c>
      <c r="N30" s="54">
        <v>40.4</v>
      </c>
      <c r="O30" s="54">
        <v>0</v>
      </c>
      <c r="P30" s="54">
        <v>0.43</v>
      </c>
      <c r="Q30" s="54">
        <v>9.1199999999999992</v>
      </c>
      <c r="R30" s="43"/>
      <c r="S30" s="43"/>
      <c r="T30" s="43"/>
      <c r="U30" s="43"/>
    </row>
    <row r="31" spans="1:21" s="11" customFormat="1" x14ac:dyDescent="0.25">
      <c r="A31" s="53" t="s">
        <v>754</v>
      </c>
      <c r="B31" s="54">
        <v>10.5</v>
      </c>
      <c r="C31" s="54">
        <v>7.05</v>
      </c>
      <c r="D31" s="54">
        <v>11.94</v>
      </c>
      <c r="E31" s="54">
        <v>5.59</v>
      </c>
      <c r="F31" s="54">
        <v>3.73</v>
      </c>
      <c r="G31" s="54">
        <v>14.91</v>
      </c>
      <c r="H31" s="54">
        <v>12.47</v>
      </c>
      <c r="I31" s="54">
        <v>1.24</v>
      </c>
      <c r="J31" s="54">
        <v>1</v>
      </c>
      <c r="K31" s="54">
        <v>133.32</v>
      </c>
      <c r="L31" s="54">
        <v>23.71</v>
      </c>
      <c r="M31" s="54">
        <v>98.12</v>
      </c>
      <c r="N31" s="54">
        <v>40.4</v>
      </c>
      <c r="O31" s="54">
        <v>0</v>
      </c>
      <c r="P31" s="54">
        <v>0.43</v>
      </c>
      <c r="Q31" s="54">
        <v>9.08</v>
      </c>
      <c r="R31" s="43"/>
      <c r="S31" s="43"/>
      <c r="T31" s="43"/>
      <c r="U31" s="43"/>
    </row>
    <row r="32" spans="1:21" s="11" customFormat="1" x14ac:dyDescent="0.25">
      <c r="A32" s="53" t="s">
        <v>755</v>
      </c>
      <c r="B32" s="54">
        <v>10.25</v>
      </c>
      <c r="C32" s="54">
        <v>6.05</v>
      </c>
      <c r="D32" s="54">
        <v>11.18</v>
      </c>
      <c r="E32" s="54">
        <v>5.93</v>
      </c>
      <c r="F32" s="54">
        <v>3.86</v>
      </c>
      <c r="G32" s="54">
        <v>15.21</v>
      </c>
      <c r="H32" s="54">
        <v>11.54</v>
      </c>
      <c r="I32" s="54">
        <v>1.23</v>
      </c>
      <c r="J32" s="54">
        <v>1.42</v>
      </c>
      <c r="K32" s="54">
        <v>133.18</v>
      </c>
      <c r="L32" s="54">
        <v>23.42</v>
      </c>
      <c r="M32" s="54">
        <v>98.12</v>
      </c>
      <c r="N32" s="54">
        <v>40.4</v>
      </c>
      <c r="O32" s="54">
        <v>0</v>
      </c>
      <c r="P32" s="54">
        <v>0.36</v>
      </c>
      <c r="Q32" s="54">
        <v>9.11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7.27</v>
      </c>
      <c r="C34" s="28">
        <f t="shared" si="0"/>
        <v>5.71</v>
      </c>
      <c r="D34" s="28">
        <f t="shared" si="0"/>
        <v>10.199999999999999</v>
      </c>
      <c r="E34" s="28">
        <f t="shared" si="0"/>
        <v>5.3</v>
      </c>
      <c r="F34" s="28">
        <f t="shared" si="0"/>
        <v>2.1</v>
      </c>
      <c r="G34" s="28">
        <f t="shared" si="0"/>
        <v>8.6300000000000008</v>
      </c>
      <c r="H34" s="28">
        <f t="shared" si="0"/>
        <v>8.93</v>
      </c>
      <c r="I34" s="28">
        <f t="shared" si="0"/>
        <v>0.83</v>
      </c>
      <c r="J34" s="28">
        <f t="shared" si="0"/>
        <v>0.12</v>
      </c>
      <c r="K34" s="28">
        <f t="shared" si="0"/>
        <v>127.35</v>
      </c>
      <c r="L34" s="28">
        <f t="shared" si="0"/>
        <v>22.15</v>
      </c>
      <c r="M34" s="28">
        <f t="shared" si="0"/>
        <v>91.69</v>
      </c>
      <c r="N34" s="28">
        <f t="shared" si="0"/>
        <v>40.4</v>
      </c>
      <c r="O34" s="28">
        <f t="shared" si="0"/>
        <v>0</v>
      </c>
      <c r="P34" s="28">
        <f t="shared" si="0"/>
        <v>0.24</v>
      </c>
      <c r="Q34" s="28">
        <f t="shared" si="0"/>
        <v>8.98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15.43</v>
      </c>
      <c r="C35" s="29">
        <f t="shared" si="1"/>
        <v>10.69</v>
      </c>
      <c r="D35" s="29">
        <f t="shared" si="1"/>
        <v>15.75</v>
      </c>
      <c r="E35" s="29">
        <f t="shared" si="1"/>
        <v>6.15</v>
      </c>
      <c r="F35" s="29">
        <f t="shared" si="1"/>
        <v>8.86</v>
      </c>
      <c r="G35" s="29">
        <f t="shared" si="1"/>
        <v>56.58</v>
      </c>
      <c r="H35" s="29">
        <f t="shared" si="1"/>
        <v>16.579999999999998</v>
      </c>
      <c r="I35" s="29">
        <f t="shared" si="1"/>
        <v>1.44</v>
      </c>
      <c r="J35" s="29">
        <f t="shared" si="1"/>
        <v>2.15</v>
      </c>
      <c r="K35" s="29">
        <f t="shared" si="1"/>
        <v>336.16</v>
      </c>
      <c r="L35" s="29">
        <f t="shared" si="1"/>
        <v>27.3</v>
      </c>
      <c r="M35" s="29">
        <f t="shared" si="1"/>
        <v>98.12</v>
      </c>
      <c r="N35" s="29">
        <f t="shared" si="1"/>
        <v>434.8</v>
      </c>
      <c r="O35" s="29">
        <f t="shared" si="1"/>
        <v>0</v>
      </c>
      <c r="P35" s="29">
        <f t="shared" si="1"/>
        <v>0.49</v>
      </c>
      <c r="Q35" s="29">
        <f t="shared" si="1"/>
        <v>9.2100000000000009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11.209583333333333</v>
      </c>
      <c r="C36" s="28">
        <f t="shared" si="2"/>
        <v>7.6508333333333356</v>
      </c>
      <c r="D36" s="28">
        <f t="shared" si="2"/>
        <v>12.805416666666668</v>
      </c>
      <c r="E36" s="28">
        <f t="shared" si="2"/>
        <v>5.6916666666666673</v>
      </c>
      <c r="F36" s="28">
        <f t="shared" si="2"/>
        <v>4.2033333333333331</v>
      </c>
      <c r="G36" s="28">
        <f t="shared" si="2"/>
        <v>21.62541666666667</v>
      </c>
      <c r="H36" s="28">
        <f t="shared" si="2"/>
        <v>11.680833333333334</v>
      </c>
      <c r="I36" s="28">
        <f t="shared" si="2"/>
        <v>1.1804166666666662</v>
      </c>
      <c r="J36" s="28">
        <f t="shared" si="2"/>
        <v>0.71166666666666656</v>
      </c>
      <c r="K36" s="28">
        <f t="shared" si="2"/>
        <v>191.00916666666663</v>
      </c>
      <c r="L36" s="28">
        <f t="shared" si="2"/>
        <v>24.385416666666661</v>
      </c>
      <c r="M36" s="28">
        <f t="shared" si="2"/>
        <v>96.857500000000002</v>
      </c>
      <c r="N36" s="28">
        <f t="shared" si="2"/>
        <v>122.07083333333337</v>
      </c>
      <c r="O36" s="28">
        <f t="shared" si="2"/>
        <v>0</v>
      </c>
      <c r="P36" s="28">
        <f t="shared" si="2"/>
        <v>0.36208333333333331</v>
      </c>
      <c r="Q36" s="28">
        <f t="shared" si="2"/>
        <v>9.1125000000000025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2.3178090838711047</v>
      </c>
      <c r="C37" s="28">
        <f t="shared" ref="C37:Q37" si="3">STDEV(C9:C32)</f>
        <v>1.4028322799953901</v>
      </c>
      <c r="D37" s="28">
        <f t="shared" si="3"/>
        <v>1.6190200449027858</v>
      </c>
      <c r="E37" s="28">
        <f t="shared" si="3"/>
        <v>0.24481877355312848</v>
      </c>
      <c r="F37" s="28">
        <f t="shared" si="3"/>
        <v>2.0516243123049054</v>
      </c>
      <c r="G37" s="28">
        <f t="shared" si="3"/>
        <v>11.621420993398223</v>
      </c>
      <c r="H37" s="28">
        <f t="shared" si="3"/>
        <v>1.7867943524566539</v>
      </c>
      <c r="I37" s="28">
        <f t="shared" si="3"/>
        <v>0.19499117408491973</v>
      </c>
      <c r="J37" s="28">
        <f t="shared" si="3"/>
        <v>0.52231646800921705</v>
      </c>
      <c r="K37" s="28">
        <f t="shared" si="3"/>
        <v>79.142425708980312</v>
      </c>
      <c r="L37" s="28">
        <f t="shared" si="3"/>
        <v>1.861899402239007</v>
      </c>
      <c r="M37" s="28">
        <f t="shared" si="3"/>
        <v>2.1908430975907121</v>
      </c>
      <c r="N37" s="28">
        <f t="shared" si="3"/>
        <v>132.68132622833608</v>
      </c>
      <c r="O37" s="28">
        <f t="shared" si="3"/>
        <v>0</v>
      </c>
      <c r="P37" s="28">
        <f t="shared" si="3"/>
        <v>5.970792436422527E-2</v>
      </c>
      <c r="Q37" s="28">
        <f t="shared" si="3"/>
        <v>5.8328157120240767E-2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topLeftCell="A19" workbookViewId="0">
      <selection activeCell="I32" sqref="I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30/10/2025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3" t="s">
        <v>756</v>
      </c>
      <c r="B9" s="54">
        <v>8.86</v>
      </c>
      <c r="C9" s="54">
        <v>5.34</v>
      </c>
      <c r="D9" s="54">
        <v>9.75</v>
      </c>
      <c r="E9" s="54">
        <v>5.1100000000000003</v>
      </c>
      <c r="F9" s="54">
        <v>2.63</v>
      </c>
      <c r="G9" s="54">
        <v>13.58</v>
      </c>
      <c r="H9" s="54">
        <v>10.33</v>
      </c>
      <c r="I9" s="54">
        <v>1.1499999999999999</v>
      </c>
      <c r="J9" s="54">
        <v>1.68</v>
      </c>
      <c r="K9" s="54">
        <v>129.85</v>
      </c>
      <c r="L9" s="54">
        <v>23.06</v>
      </c>
      <c r="M9" s="54">
        <v>98.15</v>
      </c>
      <c r="N9" s="54">
        <v>40.4</v>
      </c>
      <c r="O9" s="54">
        <v>0</v>
      </c>
      <c r="P9" s="54">
        <v>0.33</v>
      </c>
      <c r="Q9" s="54">
        <v>9.1300000000000008</v>
      </c>
      <c r="R9" s="43"/>
      <c r="S9" s="43"/>
      <c r="T9" s="43"/>
      <c r="U9" s="43"/>
    </row>
    <row r="10" spans="1:21" s="11" customFormat="1" x14ac:dyDescent="0.25">
      <c r="A10" s="53" t="s">
        <v>757</v>
      </c>
      <c r="B10" s="54">
        <v>8.65</v>
      </c>
      <c r="C10" s="54">
        <v>5.38</v>
      </c>
      <c r="D10" s="54">
        <v>9.59</v>
      </c>
      <c r="E10" s="54">
        <v>5.16</v>
      </c>
      <c r="F10" s="54">
        <v>2.42</v>
      </c>
      <c r="G10" s="54">
        <v>9.89</v>
      </c>
      <c r="H10" s="54">
        <v>12.25</v>
      </c>
      <c r="I10" s="54">
        <v>1.02</v>
      </c>
      <c r="J10" s="54">
        <v>1.55</v>
      </c>
      <c r="K10" s="54">
        <v>126.4</v>
      </c>
      <c r="L10" s="54">
        <v>22.74</v>
      </c>
      <c r="M10" s="54">
        <v>98.2</v>
      </c>
      <c r="N10" s="54">
        <v>40.4</v>
      </c>
      <c r="O10" s="54">
        <v>0</v>
      </c>
      <c r="P10" s="54">
        <v>0.32</v>
      </c>
      <c r="Q10" s="54">
        <v>9.11</v>
      </c>
      <c r="R10" s="43"/>
      <c r="S10" s="43"/>
      <c r="T10" s="43"/>
      <c r="U10" s="43"/>
    </row>
    <row r="11" spans="1:21" s="11" customFormat="1" x14ac:dyDescent="0.25">
      <c r="A11" s="53" t="s">
        <v>758</v>
      </c>
      <c r="B11" s="54">
        <v>8.6199999999999992</v>
      </c>
      <c r="C11" s="54">
        <v>5.17</v>
      </c>
      <c r="D11" s="54">
        <v>9.44</v>
      </c>
      <c r="E11" s="54">
        <v>5.04</v>
      </c>
      <c r="F11" s="54">
        <v>2.61</v>
      </c>
      <c r="G11" s="54">
        <v>7.63</v>
      </c>
      <c r="H11" s="54">
        <v>11.51</v>
      </c>
      <c r="I11" s="54">
        <v>0.93</v>
      </c>
      <c r="J11" s="54">
        <v>1.38</v>
      </c>
      <c r="K11" s="54">
        <v>121.13</v>
      </c>
      <c r="L11" s="54">
        <v>22.66</v>
      </c>
      <c r="M11" s="54">
        <v>98.22</v>
      </c>
      <c r="N11" s="54">
        <v>40.299999999999997</v>
      </c>
      <c r="O11" s="54">
        <v>0</v>
      </c>
      <c r="P11" s="54">
        <v>0.31</v>
      </c>
      <c r="Q11" s="54">
        <v>9.0299999999999994</v>
      </c>
      <c r="R11" s="43"/>
      <c r="S11" s="43"/>
      <c r="T11" s="43"/>
      <c r="U11" s="43"/>
    </row>
    <row r="12" spans="1:21" s="11" customFormat="1" x14ac:dyDescent="0.25">
      <c r="A12" s="53" t="s">
        <v>759</v>
      </c>
      <c r="B12" s="54">
        <v>8.1199999999999992</v>
      </c>
      <c r="C12" s="54">
        <v>5.07</v>
      </c>
      <c r="D12" s="54">
        <v>9.1199999999999992</v>
      </c>
      <c r="E12" s="54">
        <v>4.8899999999999997</v>
      </c>
      <c r="F12" s="54">
        <v>2.8</v>
      </c>
      <c r="G12" s="54">
        <v>5.34</v>
      </c>
      <c r="H12" s="54">
        <v>11.9</v>
      </c>
      <c r="I12" s="54">
        <v>0.87</v>
      </c>
      <c r="J12" s="54">
        <v>1.41</v>
      </c>
      <c r="K12" s="54">
        <v>122.45</v>
      </c>
      <c r="L12" s="54">
        <v>22.51</v>
      </c>
      <c r="M12" s="54">
        <v>98.23</v>
      </c>
      <c r="N12" s="54">
        <v>40.4</v>
      </c>
      <c r="O12" s="54">
        <v>0</v>
      </c>
      <c r="P12" s="54">
        <v>0.26</v>
      </c>
      <c r="Q12" s="54">
        <v>9.02</v>
      </c>
      <c r="R12" s="43"/>
      <c r="S12" s="43"/>
      <c r="T12" s="43"/>
      <c r="U12" s="43"/>
    </row>
    <row r="13" spans="1:21" s="11" customFormat="1" x14ac:dyDescent="0.25">
      <c r="A13" s="53" t="s">
        <v>760</v>
      </c>
      <c r="B13" s="54">
        <v>7.68</v>
      </c>
      <c r="C13" s="54">
        <v>5.79</v>
      </c>
      <c r="D13" s="54">
        <v>9.07</v>
      </c>
      <c r="E13" s="54">
        <v>4.8</v>
      </c>
      <c r="F13" s="54">
        <v>2.71</v>
      </c>
      <c r="G13" s="54">
        <v>3.74</v>
      </c>
      <c r="H13" s="54">
        <v>10.58</v>
      </c>
      <c r="I13" s="54">
        <v>0.8</v>
      </c>
      <c r="J13" s="54">
        <v>1.48</v>
      </c>
      <c r="K13" s="54">
        <v>121.01</v>
      </c>
      <c r="L13" s="54">
        <v>22.45</v>
      </c>
      <c r="M13" s="54">
        <v>98.22</v>
      </c>
      <c r="N13" s="54">
        <v>40.1</v>
      </c>
      <c r="O13" s="54">
        <v>0</v>
      </c>
      <c r="P13" s="54">
        <v>0.23</v>
      </c>
      <c r="Q13" s="54">
        <v>9.07</v>
      </c>
      <c r="R13" s="43"/>
      <c r="S13" s="43"/>
      <c r="T13" s="43"/>
      <c r="U13" s="43"/>
    </row>
    <row r="14" spans="1:21" s="11" customFormat="1" x14ac:dyDescent="0.25">
      <c r="A14" s="53" t="s">
        <v>761</v>
      </c>
      <c r="B14" s="54">
        <v>7.89</v>
      </c>
      <c r="C14" s="54">
        <v>6.26</v>
      </c>
      <c r="D14" s="54">
        <v>9.3699999999999992</v>
      </c>
      <c r="E14" s="54">
        <v>4.76</v>
      </c>
      <c r="F14" s="54">
        <v>2.1</v>
      </c>
      <c r="G14" s="54">
        <v>2.68</v>
      </c>
      <c r="H14" s="54">
        <v>9.77</v>
      </c>
      <c r="I14" s="54">
        <v>0.73</v>
      </c>
      <c r="J14" s="54">
        <v>1.35</v>
      </c>
      <c r="K14" s="54">
        <v>119.28</v>
      </c>
      <c r="L14" s="54">
        <v>22.48</v>
      </c>
      <c r="M14" s="54">
        <v>98.15</v>
      </c>
      <c r="N14" s="54">
        <v>43</v>
      </c>
      <c r="O14" s="54">
        <v>0</v>
      </c>
      <c r="P14" s="54">
        <v>0.23</v>
      </c>
      <c r="Q14" s="54">
        <v>9.07</v>
      </c>
      <c r="R14" s="43"/>
      <c r="S14" s="43"/>
      <c r="T14" s="43"/>
      <c r="U14" s="43"/>
    </row>
    <row r="15" spans="1:21" s="11" customFormat="1" x14ac:dyDescent="0.25">
      <c r="A15" s="53" t="s">
        <v>762</v>
      </c>
      <c r="B15" s="54">
        <v>8.09</v>
      </c>
      <c r="C15" s="54">
        <v>5.65</v>
      </c>
      <c r="D15" s="54">
        <v>9.39</v>
      </c>
      <c r="E15" s="54">
        <v>5.05</v>
      </c>
      <c r="F15" s="54">
        <v>2.1</v>
      </c>
      <c r="G15" s="54">
        <v>2.0099999999999998</v>
      </c>
      <c r="H15" s="54">
        <v>9.1300000000000008</v>
      </c>
      <c r="I15" s="54">
        <v>0.69</v>
      </c>
      <c r="J15" s="54">
        <v>1.01</v>
      </c>
      <c r="K15" s="54">
        <v>105.83</v>
      </c>
      <c r="L15" s="54">
        <v>22.39</v>
      </c>
      <c r="M15" s="54">
        <v>98.22</v>
      </c>
      <c r="N15" s="54">
        <v>52.2</v>
      </c>
      <c r="O15" s="54">
        <v>0</v>
      </c>
      <c r="P15" s="54">
        <v>0.23</v>
      </c>
      <c r="Q15" s="54">
        <v>9.02</v>
      </c>
      <c r="R15" s="43"/>
      <c r="S15" s="43"/>
      <c r="T15" s="43"/>
      <c r="U15" s="43"/>
    </row>
    <row r="16" spans="1:21" s="11" customFormat="1" x14ac:dyDescent="0.25">
      <c r="A16" s="53" t="s">
        <v>763</v>
      </c>
      <c r="B16" s="54">
        <v>8.14</v>
      </c>
      <c r="C16" s="54">
        <v>5.66</v>
      </c>
      <c r="D16" s="54">
        <v>9.42</v>
      </c>
      <c r="E16" s="54">
        <v>4.96</v>
      </c>
      <c r="F16" s="54">
        <v>2.23</v>
      </c>
      <c r="G16" s="54">
        <v>1.46</v>
      </c>
      <c r="H16" s="54">
        <v>8.75</v>
      </c>
      <c r="I16" s="54">
        <v>0.7</v>
      </c>
      <c r="J16" s="54">
        <v>1.29</v>
      </c>
      <c r="K16" s="54">
        <v>117.16</v>
      </c>
      <c r="L16" s="54">
        <v>21.65</v>
      </c>
      <c r="M16" s="54">
        <v>98.23</v>
      </c>
      <c r="N16" s="54">
        <v>91.9</v>
      </c>
      <c r="O16" s="54">
        <v>0</v>
      </c>
      <c r="P16" s="54">
        <v>0.24</v>
      </c>
      <c r="Q16" s="54">
        <v>9.01</v>
      </c>
      <c r="R16" s="43"/>
      <c r="S16" s="43"/>
      <c r="T16" s="43"/>
      <c r="U16" s="43"/>
    </row>
    <row r="17" spans="1:21" s="11" customFormat="1" x14ac:dyDescent="0.25">
      <c r="A17" s="53" t="s">
        <v>764</v>
      </c>
      <c r="B17" s="54">
        <v>8.01</v>
      </c>
      <c r="C17" s="54">
        <v>6.61</v>
      </c>
      <c r="D17" s="54">
        <v>9.8699999999999992</v>
      </c>
      <c r="E17" s="54">
        <v>5.05</v>
      </c>
      <c r="F17" s="54">
        <v>2.14</v>
      </c>
      <c r="G17" s="54">
        <v>2.63</v>
      </c>
      <c r="H17" s="54">
        <v>8.9700000000000006</v>
      </c>
      <c r="I17" s="54">
        <v>0.71</v>
      </c>
      <c r="J17" s="54">
        <v>1.1299999999999999</v>
      </c>
      <c r="K17" s="54">
        <v>116.41</v>
      </c>
      <c r="L17" s="54">
        <v>22.25</v>
      </c>
      <c r="M17" s="54">
        <v>98.23</v>
      </c>
      <c r="N17" s="54">
        <v>166.5</v>
      </c>
      <c r="O17" s="54">
        <v>0</v>
      </c>
      <c r="P17" s="54">
        <v>0.25</v>
      </c>
      <c r="Q17" s="54">
        <v>9.06</v>
      </c>
      <c r="R17" s="43"/>
      <c r="S17" s="43"/>
      <c r="T17" s="43"/>
      <c r="U17" s="43"/>
    </row>
    <row r="18" spans="1:21" s="11" customFormat="1" x14ac:dyDescent="0.25">
      <c r="A18" s="53" t="s">
        <v>765</v>
      </c>
      <c r="B18" s="54">
        <v>7.94</v>
      </c>
      <c r="C18" s="54">
        <v>6.65</v>
      </c>
      <c r="D18" s="54">
        <v>9.77</v>
      </c>
      <c r="E18" s="54">
        <v>5.44</v>
      </c>
      <c r="F18" s="54">
        <v>2.13</v>
      </c>
      <c r="G18" s="54">
        <v>2.42</v>
      </c>
      <c r="H18" s="54">
        <v>10.24</v>
      </c>
      <c r="I18" s="54">
        <v>0.73</v>
      </c>
      <c r="J18" s="54">
        <v>0.81</v>
      </c>
      <c r="K18" s="54">
        <v>119.54</v>
      </c>
      <c r="L18" s="54">
        <v>23.45</v>
      </c>
      <c r="M18" s="54">
        <v>98.15</v>
      </c>
      <c r="N18" s="54">
        <v>208.6</v>
      </c>
      <c r="O18" s="54">
        <v>0</v>
      </c>
      <c r="P18" s="54">
        <v>0.26</v>
      </c>
      <c r="Q18" s="54">
        <v>9.07</v>
      </c>
      <c r="R18" s="43"/>
      <c r="S18" s="43"/>
      <c r="T18" s="43"/>
      <c r="U18" s="43"/>
    </row>
    <row r="19" spans="1:21" s="11" customFormat="1" x14ac:dyDescent="0.25">
      <c r="A19" s="53" t="s">
        <v>766</v>
      </c>
      <c r="B19" s="54">
        <v>7.17</v>
      </c>
      <c r="C19" s="54">
        <v>7.59</v>
      </c>
      <c r="D19" s="54">
        <v>9.7100000000000009</v>
      </c>
      <c r="E19" s="54">
        <v>5.2</v>
      </c>
      <c r="F19" s="54">
        <v>2.86</v>
      </c>
      <c r="G19" s="54">
        <v>1.91</v>
      </c>
      <c r="H19" s="54">
        <v>9.69</v>
      </c>
      <c r="I19" s="54">
        <v>0.75</v>
      </c>
      <c r="J19" s="54">
        <v>0.66</v>
      </c>
      <c r="K19" s="54">
        <v>138.01</v>
      </c>
      <c r="L19" s="54">
        <v>23.58</v>
      </c>
      <c r="M19" s="54">
        <v>98.08</v>
      </c>
      <c r="N19" s="54">
        <v>162.4</v>
      </c>
      <c r="O19" s="54">
        <v>0</v>
      </c>
      <c r="P19" s="54">
        <v>0.25</v>
      </c>
      <c r="Q19" s="54">
        <v>9.0500000000000007</v>
      </c>
      <c r="R19" s="43"/>
      <c r="S19" s="43"/>
      <c r="T19" s="43"/>
      <c r="U19" s="43"/>
    </row>
    <row r="20" spans="1:21" s="11" customFormat="1" x14ac:dyDescent="0.25">
      <c r="A20" s="53" t="s">
        <v>767</v>
      </c>
      <c r="B20" s="54">
        <v>7.02</v>
      </c>
      <c r="C20" s="54">
        <v>6.83</v>
      </c>
      <c r="D20" s="54">
        <v>9.19</v>
      </c>
      <c r="E20" s="54">
        <v>5.08</v>
      </c>
      <c r="F20" s="54">
        <v>2.12</v>
      </c>
      <c r="G20" s="54">
        <v>3.2</v>
      </c>
      <c r="H20" s="54">
        <v>9.69</v>
      </c>
      <c r="I20" s="54">
        <v>0.79</v>
      </c>
      <c r="J20" s="54">
        <v>1.06</v>
      </c>
      <c r="K20" s="54">
        <v>173.69</v>
      </c>
      <c r="L20" s="54">
        <v>24.99</v>
      </c>
      <c r="M20" s="54">
        <v>97.62</v>
      </c>
      <c r="N20" s="54">
        <v>303.5</v>
      </c>
      <c r="O20" s="54">
        <v>0</v>
      </c>
      <c r="P20" s="54">
        <v>0.23</v>
      </c>
      <c r="Q20" s="54">
        <v>9.02</v>
      </c>
      <c r="R20" s="43"/>
      <c r="S20" s="43"/>
      <c r="T20" s="43"/>
      <c r="U20" s="43"/>
    </row>
    <row r="21" spans="1:21" s="11" customFormat="1" x14ac:dyDescent="0.25">
      <c r="A21" s="53" t="s">
        <v>768</v>
      </c>
      <c r="B21" s="54">
        <v>4.3099999999999996</v>
      </c>
      <c r="C21" s="54">
        <v>8.74</v>
      </c>
      <c r="D21" s="54">
        <v>8.02</v>
      </c>
      <c r="E21" s="54">
        <v>5.36</v>
      </c>
      <c r="F21" s="54">
        <v>3.2</v>
      </c>
      <c r="G21" s="54">
        <v>30.28</v>
      </c>
      <c r="H21" s="54">
        <v>21.37</v>
      </c>
      <c r="I21" s="54">
        <v>0.76</v>
      </c>
      <c r="J21" s="54">
        <v>1.18</v>
      </c>
      <c r="K21" s="54">
        <v>156.63</v>
      </c>
      <c r="L21" s="54">
        <v>25.21</v>
      </c>
      <c r="M21" s="54">
        <v>97.95</v>
      </c>
      <c r="N21" s="54">
        <v>239.7</v>
      </c>
      <c r="O21" s="54">
        <v>0</v>
      </c>
      <c r="P21" s="54">
        <v>0.23</v>
      </c>
      <c r="Q21" s="54">
        <v>8.99</v>
      </c>
      <c r="R21" s="43"/>
      <c r="S21" s="43"/>
      <c r="T21" s="43"/>
      <c r="U21" s="43"/>
    </row>
    <row r="22" spans="1:21" s="11" customFormat="1" x14ac:dyDescent="0.25">
      <c r="A22" s="53" t="s">
        <v>769</v>
      </c>
      <c r="B22" s="54">
        <v>5.14</v>
      </c>
      <c r="C22" s="54">
        <v>9.8800000000000008</v>
      </c>
      <c r="D22" s="54">
        <v>9.2799999999999994</v>
      </c>
      <c r="E22" s="54">
        <v>4.9800000000000004</v>
      </c>
      <c r="F22" s="54">
        <v>3.68</v>
      </c>
      <c r="G22" s="54">
        <v>30.28</v>
      </c>
      <c r="H22" s="54">
        <v>21.37</v>
      </c>
      <c r="I22" s="54">
        <v>0.68</v>
      </c>
      <c r="J22" s="54">
        <v>1.1200000000000001</v>
      </c>
      <c r="K22" s="54">
        <v>153.80000000000001</v>
      </c>
      <c r="L22" s="54">
        <v>25.64</v>
      </c>
      <c r="M22" s="54">
        <v>97.34</v>
      </c>
      <c r="N22" s="54">
        <v>223.8</v>
      </c>
      <c r="O22" s="54">
        <v>0</v>
      </c>
      <c r="P22" s="54">
        <v>0.23</v>
      </c>
      <c r="Q22" s="54">
        <v>9.0299999999999994</v>
      </c>
      <c r="R22" s="43"/>
      <c r="S22" s="43"/>
      <c r="T22" s="43"/>
      <c r="U22" s="43"/>
    </row>
    <row r="23" spans="1:21" s="11" customFormat="1" x14ac:dyDescent="0.25">
      <c r="A23" s="53" t="s">
        <v>770</v>
      </c>
      <c r="B23" s="54">
        <v>6.78</v>
      </c>
      <c r="C23" s="54">
        <v>10.39</v>
      </c>
      <c r="D23" s="54">
        <v>10.87</v>
      </c>
      <c r="E23" s="54">
        <v>5.1100000000000003</v>
      </c>
      <c r="F23" s="54">
        <v>2.86</v>
      </c>
      <c r="G23" s="54">
        <v>29.53</v>
      </c>
      <c r="H23" s="54">
        <v>12.26</v>
      </c>
      <c r="I23" s="54">
        <v>0.71</v>
      </c>
      <c r="J23" s="54">
        <v>1.1499999999999999</v>
      </c>
      <c r="K23" s="54">
        <v>144.38</v>
      </c>
      <c r="L23" s="54">
        <v>25.42</v>
      </c>
      <c r="M23" s="54">
        <v>97.06</v>
      </c>
      <c r="N23" s="54">
        <v>93.7</v>
      </c>
      <c r="O23" s="54">
        <v>0</v>
      </c>
      <c r="P23" s="54">
        <v>0.24</v>
      </c>
      <c r="Q23" s="54">
        <v>9.0399999999999991</v>
      </c>
      <c r="R23" s="43"/>
      <c r="S23" s="43"/>
      <c r="T23" s="43"/>
      <c r="U23" s="43"/>
    </row>
    <row r="24" spans="1:21" s="11" customFormat="1" x14ac:dyDescent="0.25">
      <c r="A24" s="53" t="s">
        <v>771</v>
      </c>
      <c r="B24" s="54">
        <v>6.61</v>
      </c>
      <c r="C24" s="54">
        <v>12.01</v>
      </c>
      <c r="D24" s="54">
        <v>11.57</v>
      </c>
      <c r="E24" s="54">
        <v>5.17</v>
      </c>
      <c r="F24" s="54">
        <v>8.9600000000000009</v>
      </c>
      <c r="G24" s="54">
        <v>22.98</v>
      </c>
      <c r="H24" s="54">
        <v>12.11</v>
      </c>
      <c r="I24" s="54">
        <v>0.69</v>
      </c>
      <c r="J24" s="54">
        <v>1.29</v>
      </c>
      <c r="K24" s="54">
        <v>138.43</v>
      </c>
      <c r="L24" s="54">
        <v>25.07</v>
      </c>
      <c r="M24" s="54">
        <v>97.97</v>
      </c>
      <c r="N24" s="54">
        <v>81.400000000000006</v>
      </c>
      <c r="O24" s="54">
        <v>0</v>
      </c>
      <c r="P24" s="54">
        <v>0.24</v>
      </c>
      <c r="Q24" s="54">
        <v>9.02</v>
      </c>
      <c r="R24" s="43"/>
      <c r="S24" s="43"/>
      <c r="T24" s="43"/>
      <c r="U24" s="43"/>
    </row>
    <row r="25" spans="1:21" s="11" customFormat="1" x14ac:dyDescent="0.25">
      <c r="A25" s="53" t="s">
        <v>772</v>
      </c>
      <c r="B25" s="54">
        <v>5.09</v>
      </c>
      <c r="C25" s="54">
        <v>11.83</v>
      </c>
      <c r="D25" s="54">
        <v>10.26</v>
      </c>
      <c r="E25" s="54">
        <v>5.18</v>
      </c>
      <c r="F25" s="54">
        <v>10.36</v>
      </c>
      <c r="G25" s="54">
        <v>22.98</v>
      </c>
      <c r="H25" s="54">
        <v>8.69</v>
      </c>
      <c r="I25" s="54">
        <v>0.59</v>
      </c>
      <c r="J25" s="54">
        <v>1.27</v>
      </c>
      <c r="K25" s="54">
        <v>138.44999999999999</v>
      </c>
      <c r="L25" s="54">
        <v>24.57</v>
      </c>
      <c r="M25" s="54">
        <v>97.98</v>
      </c>
      <c r="N25" s="54">
        <v>61.4</v>
      </c>
      <c r="O25" s="54">
        <v>0</v>
      </c>
      <c r="P25" s="54">
        <v>0.11</v>
      </c>
      <c r="Q25" s="54">
        <v>9</v>
      </c>
      <c r="R25" s="43"/>
      <c r="S25" s="43"/>
      <c r="T25" s="43"/>
      <c r="U25" s="43"/>
    </row>
    <row r="26" spans="1:21" s="11" customFormat="1" x14ac:dyDescent="0.25">
      <c r="A26" s="53" t="s">
        <v>773</v>
      </c>
      <c r="B26" s="54">
        <v>4.22</v>
      </c>
      <c r="C26" s="54">
        <v>10.42</v>
      </c>
      <c r="D26" s="54">
        <v>8.5</v>
      </c>
      <c r="E26" s="54">
        <v>4.91</v>
      </c>
      <c r="F26" s="54">
        <v>8.4700000000000006</v>
      </c>
      <c r="G26" s="54">
        <v>15.85</v>
      </c>
      <c r="H26" s="54">
        <v>8.48</v>
      </c>
      <c r="I26" s="54">
        <v>0.51</v>
      </c>
      <c r="J26" s="54">
        <v>1.39</v>
      </c>
      <c r="K26" s="54">
        <v>136.19</v>
      </c>
      <c r="L26" s="54">
        <v>24.39</v>
      </c>
      <c r="M26" s="54">
        <v>98.06</v>
      </c>
      <c r="N26" s="54">
        <v>42.2</v>
      </c>
      <c r="O26" s="54">
        <v>0</v>
      </c>
      <c r="P26" s="54">
        <v>0.06</v>
      </c>
      <c r="Q26" s="54">
        <v>9.02</v>
      </c>
      <c r="R26" s="43"/>
      <c r="S26" s="43"/>
      <c r="T26" s="43"/>
      <c r="U26" s="43"/>
    </row>
    <row r="27" spans="1:21" s="11" customFormat="1" x14ac:dyDescent="0.25">
      <c r="A27" s="53" t="s">
        <v>774</v>
      </c>
      <c r="B27" s="54">
        <v>5.0999999999999996</v>
      </c>
      <c r="C27" s="54">
        <v>11.38</v>
      </c>
      <c r="D27" s="54">
        <v>9.8699999999999992</v>
      </c>
      <c r="E27" s="54">
        <v>4.79</v>
      </c>
      <c r="F27" s="54">
        <v>7.6</v>
      </c>
      <c r="G27" s="54">
        <v>17.16</v>
      </c>
      <c r="H27" s="54">
        <v>6.09</v>
      </c>
      <c r="I27" s="54">
        <v>0.62</v>
      </c>
      <c r="J27" s="54">
        <v>1.67</v>
      </c>
      <c r="K27" s="54">
        <v>139.96</v>
      </c>
      <c r="L27" s="54">
        <v>23.66</v>
      </c>
      <c r="M27" s="54">
        <v>98.07</v>
      </c>
      <c r="N27" s="54">
        <v>40.299999999999997</v>
      </c>
      <c r="O27" s="54">
        <v>0</v>
      </c>
      <c r="P27" s="54">
        <v>0.1</v>
      </c>
      <c r="Q27" s="54">
        <v>9.0399999999999991</v>
      </c>
      <c r="R27" s="43"/>
      <c r="S27" s="43"/>
      <c r="T27" s="43"/>
      <c r="U27" s="43"/>
    </row>
    <row r="28" spans="1:21" s="11" customFormat="1" x14ac:dyDescent="0.25">
      <c r="A28" s="53" t="s">
        <v>775</v>
      </c>
      <c r="B28" s="54">
        <v>5.0999999999999996</v>
      </c>
      <c r="C28" s="54">
        <v>7.3</v>
      </c>
      <c r="D28" s="54">
        <v>7.52</v>
      </c>
      <c r="E28" s="54">
        <v>5.22</v>
      </c>
      <c r="F28" s="54">
        <v>5.8</v>
      </c>
      <c r="G28" s="54">
        <v>17.16</v>
      </c>
      <c r="H28" s="54">
        <v>4.99</v>
      </c>
      <c r="I28" s="54">
        <v>0.66</v>
      </c>
      <c r="J28" s="54">
        <v>1.22</v>
      </c>
      <c r="K28" s="54">
        <v>136.71</v>
      </c>
      <c r="L28" s="54">
        <v>23.66</v>
      </c>
      <c r="M28" s="54">
        <v>98.05</v>
      </c>
      <c r="N28" s="54">
        <v>40.4</v>
      </c>
      <c r="O28" s="54">
        <v>0</v>
      </c>
      <c r="P28" s="54">
        <v>0.18</v>
      </c>
      <c r="Q28" s="54">
        <v>9.02</v>
      </c>
      <c r="R28" s="43"/>
      <c r="S28" s="43"/>
      <c r="T28" s="43"/>
      <c r="U28" s="43"/>
    </row>
    <row r="29" spans="1:21" s="11" customFormat="1" x14ac:dyDescent="0.25">
      <c r="A29" s="53" t="s">
        <v>776</v>
      </c>
      <c r="B29" s="54">
        <v>6.74</v>
      </c>
      <c r="C29" s="54">
        <v>8.33</v>
      </c>
      <c r="D29" s="54">
        <v>9.76</v>
      </c>
      <c r="E29" s="54">
        <v>5.15</v>
      </c>
      <c r="F29" s="54">
        <v>7.33</v>
      </c>
      <c r="G29" s="54">
        <v>14.44</v>
      </c>
      <c r="H29" s="54">
        <v>4.13</v>
      </c>
      <c r="I29" s="54">
        <v>0.74</v>
      </c>
      <c r="J29" s="54">
        <v>1.22</v>
      </c>
      <c r="K29" s="54">
        <v>136.69999999999999</v>
      </c>
      <c r="L29" s="54">
        <v>23.57</v>
      </c>
      <c r="M29" s="54">
        <v>98.03</v>
      </c>
      <c r="N29" s="54">
        <v>40.4</v>
      </c>
      <c r="O29" s="54">
        <v>0</v>
      </c>
      <c r="P29" s="54">
        <v>0.19</v>
      </c>
      <c r="Q29" s="54">
        <v>9.01</v>
      </c>
      <c r="R29" s="43"/>
      <c r="S29" s="43"/>
      <c r="T29" s="43"/>
      <c r="U29" s="43"/>
    </row>
    <row r="30" spans="1:21" s="11" customFormat="1" x14ac:dyDescent="0.25">
      <c r="A30" s="53" t="s">
        <v>777</v>
      </c>
      <c r="B30" s="54">
        <v>8.58</v>
      </c>
      <c r="C30" s="54">
        <v>7.34</v>
      </c>
      <c r="D30" s="54">
        <v>10.64</v>
      </c>
      <c r="E30" s="54">
        <v>4.99</v>
      </c>
      <c r="F30" s="54">
        <v>6.51</v>
      </c>
      <c r="G30" s="54">
        <v>10.11</v>
      </c>
      <c r="H30" s="54">
        <v>3.26</v>
      </c>
      <c r="I30" s="54">
        <v>0.77</v>
      </c>
      <c r="J30" s="54">
        <v>1.25</v>
      </c>
      <c r="K30" s="54">
        <v>135.47</v>
      </c>
      <c r="L30" s="54">
        <v>23.28</v>
      </c>
      <c r="M30" s="54">
        <v>98.05</v>
      </c>
      <c r="N30" s="54">
        <v>40.5</v>
      </c>
      <c r="O30" s="54">
        <v>0</v>
      </c>
      <c r="P30" s="54">
        <v>0.19</v>
      </c>
      <c r="Q30" s="54">
        <v>9.0500000000000007</v>
      </c>
      <c r="R30" s="43"/>
      <c r="S30" s="43"/>
      <c r="T30" s="43"/>
      <c r="U30" s="43"/>
    </row>
    <row r="31" spans="1:21" s="11" customFormat="1" x14ac:dyDescent="0.25">
      <c r="A31" s="53" t="s">
        <v>778</v>
      </c>
      <c r="B31" s="54">
        <v>6</v>
      </c>
      <c r="C31" s="54">
        <v>6.41</v>
      </c>
      <c r="D31" s="54">
        <v>8.09</v>
      </c>
      <c r="E31" s="54">
        <v>5.13</v>
      </c>
      <c r="F31" s="54">
        <v>6.02</v>
      </c>
      <c r="G31" s="54">
        <v>11.22</v>
      </c>
      <c r="H31" s="54">
        <v>2.36</v>
      </c>
      <c r="I31" s="54">
        <v>0.77</v>
      </c>
      <c r="J31" s="54">
        <v>0.83</v>
      </c>
      <c r="K31" s="54">
        <v>140.49</v>
      </c>
      <c r="L31" s="54">
        <v>23.06</v>
      </c>
      <c r="M31" s="54">
        <v>98.1</v>
      </c>
      <c r="N31" s="54">
        <v>40.5</v>
      </c>
      <c r="O31" s="54">
        <v>0</v>
      </c>
      <c r="P31" s="54">
        <v>0.19</v>
      </c>
      <c r="Q31" s="54">
        <v>9.08</v>
      </c>
      <c r="R31" s="43"/>
      <c r="S31" s="43"/>
      <c r="T31" s="43"/>
      <c r="U31" s="43"/>
    </row>
    <row r="32" spans="1:21" s="11" customFormat="1" x14ac:dyDescent="0.25">
      <c r="A32" s="53" t="s">
        <v>779</v>
      </c>
      <c r="B32" s="54">
        <v>5.94</v>
      </c>
      <c r="C32" s="54">
        <v>5.97</v>
      </c>
      <c r="D32" s="54">
        <v>7.72</v>
      </c>
      <c r="E32" s="54">
        <v>5.34</v>
      </c>
      <c r="F32" s="54">
        <v>5.6</v>
      </c>
      <c r="G32" s="54">
        <v>11.22</v>
      </c>
      <c r="H32" s="54">
        <v>1.79</v>
      </c>
      <c r="I32" s="54">
        <v>0.75</v>
      </c>
      <c r="J32" s="54">
        <v>0.81</v>
      </c>
      <c r="K32" s="54">
        <v>139.05000000000001</v>
      </c>
      <c r="L32" s="54">
        <v>22.55</v>
      </c>
      <c r="M32" s="54">
        <v>98.13</v>
      </c>
      <c r="N32" s="54">
        <v>40.4</v>
      </c>
      <c r="O32" s="54">
        <v>0</v>
      </c>
      <c r="P32" s="54">
        <v>0.21</v>
      </c>
      <c r="Q32" s="54">
        <v>9.08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4.22</v>
      </c>
      <c r="C34" s="28">
        <f t="shared" si="0"/>
        <v>5.07</v>
      </c>
      <c r="D34" s="28">
        <f t="shared" si="0"/>
        <v>7.52</v>
      </c>
      <c r="E34" s="28">
        <f t="shared" si="0"/>
        <v>4.76</v>
      </c>
      <c r="F34" s="28">
        <f t="shared" si="0"/>
        <v>2.1</v>
      </c>
      <c r="G34" s="28">
        <f t="shared" si="0"/>
        <v>1.46</v>
      </c>
      <c r="H34" s="28">
        <f t="shared" si="0"/>
        <v>1.79</v>
      </c>
      <c r="I34" s="28">
        <f t="shared" si="0"/>
        <v>0.51</v>
      </c>
      <c r="J34" s="28">
        <f t="shared" si="0"/>
        <v>0.66</v>
      </c>
      <c r="K34" s="28">
        <f t="shared" si="0"/>
        <v>105.83</v>
      </c>
      <c r="L34" s="28">
        <f t="shared" si="0"/>
        <v>21.65</v>
      </c>
      <c r="M34" s="28">
        <f t="shared" si="0"/>
        <v>97.06</v>
      </c>
      <c r="N34" s="28">
        <f t="shared" si="0"/>
        <v>40.1</v>
      </c>
      <c r="O34" s="28">
        <f t="shared" si="0"/>
        <v>0</v>
      </c>
      <c r="P34" s="28">
        <f t="shared" si="0"/>
        <v>0.06</v>
      </c>
      <c r="Q34" s="28">
        <f t="shared" si="0"/>
        <v>8.99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8.86</v>
      </c>
      <c r="C35" s="29">
        <f t="shared" si="1"/>
        <v>12.01</v>
      </c>
      <c r="D35" s="29">
        <f t="shared" si="1"/>
        <v>11.57</v>
      </c>
      <c r="E35" s="29">
        <f t="shared" si="1"/>
        <v>5.44</v>
      </c>
      <c r="F35" s="29">
        <f t="shared" si="1"/>
        <v>10.36</v>
      </c>
      <c r="G35" s="29">
        <f t="shared" si="1"/>
        <v>30.28</v>
      </c>
      <c r="H35" s="29">
        <f t="shared" si="1"/>
        <v>21.37</v>
      </c>
      <c r="I35" s="29">
        <f t="shared" si="1"/>
        <v>1.1499999999999999</v>
      </c>
      <c r="J35" s="29">
        <f t="shared" si="1"/>
        <v>1.68</v>
      </c>
      <c r="K35" s="29">
        <f t="shared" si="1"/>
        <v>173.69</v>
      </c>
      <c r="L35" s="29">
        <f t="shared" si="1"/>
        <v>25.64</v>
      </c>
      <c r="M35" s="29">
        <f t="shared" si="1"/>
        <v>98.23</v>
      </c>
      <c r="N35" s="29">
        <f t="shared" si="1"/>
        <v>303.5</v>
      </c>
      <c r="O35" s="29">
        <f t="shared" si="1"/>
        <v>0</v>
      </c>
      <c r="P35" s="29">
        <f t="shared" si="1"/>
        <v>0.33</v>
      </c>
      <c r="Q35" s="29">
        <f t="shared" si="1"/>
        <v>9.1300000000000008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6.9083333333333341</v>
      </c>
      <c r="C36" s="28">
        <f t="shared" si="2"/>
        <v>7.583333333333333</v>
      </c>
      <c r="D36" s="28">
        <f t="shared" si="2"/>
        <v>9.4079166666666652</v>
      </c>
      <c r="E36" s="28">
        <f t="shared" si="2"/>
        <v>5.0779166666666669</v>
      </c>
      <c r="F36" s="28">
        <f t="shared" si="2"/>
        <v>4.3849999999999998</v>
      </c>
      <c r="G36" s="28">
        <f t="shared" si="2"/>
        <v>12.070833333333335</v>
      </c>
      <c r="H36" s="28">
        <f t="shared" si="2"/>
        <v>9.5712499999999974</v>
      </c>
      <c r="I36" s="28">
        <f t="shared" si="2"/>
        <v>0.75499999999999989</v>
      </c>
      <c r="J36" s="28">
        <f t="shared" si="2"/>
        <v>1.2170833333333329</v>
      </c>
      <c r="K36" s="28">
        <f t="shared" si="2"/>
        <v>133.6258333333333</v>
      </c>
      <c r="L36" s="28">
        <f t="shared" si="2"/>
        <v>23.512083333333333</v>
      </c>
      <c r="M36" s="28">
        <f t="shared" si="2"/>
        <v>98.020416666666677</v>
      </c>
      <c r="N36" s="28">
        <f t="shared" si="2"/>
        <v>92.266666666666694</v>
      </c>
      <c r="O36" s="28">
        <f t="shared" si="2"/>
        <v>0</v>
      </c>
      <c r="P36" s="28">
        <f t="shared" si="2"/>
        <v>0.22125000000000003</v>
      </c>
      <c r="Q36" s="28">
        <f t="shared" si="2"/>
        <v>9.0433333333333348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1.4702075176407963</v>
      </c>
      <c r="C37" s="28">
        <f t="shared" ref="C37:Q37" si="3">STDEV(C9:C32)</f>
        <v>2.2465038860738535</v>
      </c>
      <c r="D37" s="28">
        <f t="shared" si="3"/>
        <v>0.95881711166582173</v>
      </c>
      <c r="E37" s="28">
        <f t="shared" si="3"/>
        <v>0.17557307822414425</v>
      </c>
      <c r="F37" s="28">
        <f t="shared" si="3"/>
        <v>2.5984861813722633</v>
      </c>
      <c r="G37" s="28">
        <f t="shared" si="3"/>
        <v>9.5340086539971587</v>
      </c>
      <c r="H37" s="28">
        <f t="shared" si="3"/>
        <v>4.7951763013334112</v>
      </c>
      <c r="I37" s="28">
        <f t="shared" si="3"/>
        <v>0.13367709309149209</v>
      </c>
      <c r="J37" s="28">
        <f t="shared" si="3"/>
        <v>0.2643528466580839</v>
      </c>
      <c r="K37" s="28">
        <f t="shared" si="3"/>
        <v>14.918845367569688</v>
      </c>
      <c r="L37" s="28">
        <f t="shared" si="3"/>
        <v>1.1389353501775499</v>
      </c>
      <c r="M37" s="28">
        <f t="shared" si="3"/>
        <v>0.28866226943800799</v>
      </c>
      <c r="N37" s="28">
        <f t="shared" si="3"/>
        <v>79.360211620218053</v>
      </c>
      <c r="O37" s="28">
        <f t="shared" si="3"/>
        <v>0</v>
      </c>
      <c r="P37" s="28">
        <f t="shared" si="3"/>
        <v>6.3746270138116623E-2</v>
      </c>
      <c r="Q37" s="28">
        <f t="shared" si="3"/>
        <v>3.4724589291297438E-2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topLeftCell="A22" workbookViewId="0">
      <selection activeCell="H12" sqref="H12"/>
    </sheetView>
  </sheetViews>
  <sheetFormatPr defaultRowHeight="15" x14ac:dyDescent="0.25"/>
  <cols>
    <col min="1" max="1" width="12.5703125" bestFit="1" customWidth="1"/>
    <col min="2" max="2" width="16.5703125" bestFit="1" customWidth="1"/>
  </cols>
  <sheetData>
    <row r="1" spans="1:22" ht="39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21"/>
    </row>
    <row r="2" spans="1:22" x14ac:dyDescent="0.25">
      <c r="A2" s="14" t="s">
        <v>0</v>
      </c>
      <c r="B2" s="38" t="str">
        <f>$A$9</f>
        <v>31/10/2025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O2" s="21"/>
      <c r="P2" s="39" t="s">
        <v>7</v>
      </c>
      <c r="Q2" s="12"/>
      <c r="R2" s="8" t="s">
        <v>8</v>
      </c>
      <c r="S2" s="11"/>
      <c r="T2" s="11"/>
      <c r="U2" s="11"/>
      <c r="V2" s="21"/>
    </row>
    <row r="3" spans="1:22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  <c r="V3" s="21"/>
    </row>
    <row r="4" spans="1:22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  <c r="V4" s="21"/>
    </row>
    <row r="5" spans="1:22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21"/>
    </row>
    <row r="6" spans="1:22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  <c r="V6" s="21"/>
    </row>
    <row r="7" spans="1:22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  <c r="V7" s="21"/>
    </row>
    <row r="8" spans="1:22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  <c r="V8" s="21"/>
    </row>
    <row r="9" spans="1:22" x14ac:dyDescent="0.25">
      <c r="A9" s="53" t="s">
        <v>780</v>
      </c>
      <c r="B9" s="54">
        <v>5.78</v>
      </c>
      <c r="C9" s="54">
        <v>5.31</v>
      </c>
      <c r="D9" s="54">
        <v>7.41</v>
      </c>
      <c r="E9" s="54">
        <v>4.2</v>
      </c>
      <c r="F9" s="54">
        <v>6.39</v>
      </c>
      <c r="G9" s="54">
        <v>10.77</v>
      </c>
      <c r="H9" s="54">
        <v>1.6</v>
      </c>
      <c r="I9" s="54">
        <v>0.72</v>
      </c>
      <c r="J9" s="54">
        <v>0.45</v>
      </c>
      <c r="K9" s="54">
        <v>139.32</v>
      </c>
      <c r="L9" s="54">
        <v>22.3</v>
      </c>
      <c r="M9" s="54">
        <v>98.13</v>
      </c>
      <c r="N9" s="54">
        <v>40.299999999999997</v>
      </c>
      <c r="O9" s="54">
        <v>0</v>
      </c>
      <c r="P9" s="54">
        <v>0.18</v>
      </c>
      <c r="Q9" s="54">
        <v>9.02</v>
      </c>
      <c r="R9" s="43"/>
      <c r="S9" s="43"/>
      <c r="T9" s="43"/>
      <c r="U9" s="43"/>
      <c r="V9" s="11"/>
    </row>
    <row r="10" spans="1:22" x14ac:dyDescent="0.25">
      <c r="A10" s="53" t="s">
        <v>781</v>
      </c>
      <c r="B10" s="54">
        <v>5.82</v>
      </c>
      <c r="C10" s="54">
        <v>5.27</v>
      </c>
      <c r="D10" s="54">
        <v>7.42</v>
      </c>
      <c r="E10" s="54">
        <v>3.84</v>
      </c>
      <c r="F10" s="54">
        <v>6.05</v>
      </c>
      <c r="G10" s="54">
        <v>9.31</v>
      </c>
      <c r="H10" s="54">
        <v>1.22</v>
      </c>
      <c r="I10" s="54">
        <v>0.7</v>
      </c>
      <c r="J10" s="54">
        <v>0.2</v>
      </c>
      <c r="K10" s="54">
        <v>163.82</v>
      </c>
      <c r="L10" s="54">
        <v>22.37</v>
      </c>
      <c r="M10" s="54">
        <v>98.13</v>
      </c>
      <c r="N10" s="54">
        <v>40.1</v>
      </c>
      <c r="O10" s="54">
        <v>0</v>
      </c>
      <c r="P10" s="54">
        <v>0.27</v>
      </c>
      <c r="Q10" s="54">
        <v>9</v>
      </c>
      <c r="R10" s="43"/>
      <c r="S10" s="43"/>
      <c r="T10" s="43"/>
      <c r="U10" s="43"/>
      <c r="V10" s="11"/>
    </row>
    <row r="11" spans="1:22" x14ac:dyDescent="0.25">
      <c r="A11" s="53" t="s">
        <v>782</v>
      </c>
      <c r="B11" s="54">
        <v>5.29</v>
      </c>
      <c r="C11" s="54">
        <v>5.27</v>
      </c>
      <c r="D11" s="54">
        <v>6.98</v>
      </c>
      <c r="E11" s="54">
        <v>3.85</v>
      </c>
      <c r="F11" s="54">
        <v>7.64</v>
      </c>
      <c r="G11" s="54">
        <v>10.17</v>
      </c>
      <c r="H11" s="54">
        <v>1.02</v>
      </c>
      <c r="I11" s="54">
        <v>0.69</v>
      </c>
      <c r="J11" s="54">
        <v>0.53</v>
      </c>
      <c r="K11" s="54">
        <v>181.68</v>
      </c>
      <c r="L11" s="54">
        <v>22.41</v>
      </c>
      <c r="M11" s="54">
        <v>98.15</v>
      </c>
      <c r="N11" s="54">
        <v>40.200000000000003</v>
      </c>
      <c r="O11" s="54">
        <v>0</v>
      </c>
      <c r="P11" s="54">
        <v>0.26</v>
      </c>
      <c r="Q11" s="54">
        <v>9.06</v>
      </c>
      <c r="R11" s="43"/>
      <c r="S11" s="43"/>
      <c r="T11" s="43"/>
      <c r="U11" s="43"/>
      <c r="V11" s="11"/>
    </row>
    <row r="12" spans="1:22" x14ac:dyDescent="0.25">
      <c r="A12" s="53" t="s">
        <v>783</v>
      </c>
      <c r="B12" s="54">
        <v>5.54</v>
      </c>
      <c r="C12" s="54">
        <v>5.25</v>
      </c>
      <c r="D12" s="54">
        <v>7.12</v>
      </c>
      <c r="E12" s="54">
        <v>4.0599999999999996</v>
      </c>
      <c r="F12" s="54">
        <v>5.98</v>
      </c>
      <c r="G12" s="54">
        <v>10.17</v>
      </c>
      <c r="H12" s="54">
        <v>1.02</v>
      </c>
      <c r="I12" s="54">
        <v>0.7</v>
      </c>
      <c r="J12" s="54">
        <v>0.15</v>
      </c>
      <c r="K12" s="54">
        <v>240.28</v>
      </c>
      <c r="L12" s="54">
        <v>22.23</v>
      </c>
      <c r="M12" s="54">
        <v>98.15</v>
      </c>
      <c r="N12" s="54">
        <v>40.299999999999997</v>
      </c>
      <c r="O12" s="54">
        <v>0</v>
      </c>
      <c r="P12" s="54">
        <v>0.27</v>
      </c>
      <c r="Q12" s="54">
        <v>9.06</v>
      </c>
      <c r="R12" s="43"/>
      <c r="S12" s="43"/>
      <c r="T12" s="43"/>
      <c r="U12" s="43"/>
      <c r="V12" s="11"/>
    </row>
    <row r="13" spans="1:22" x14ac:dyDescent="0.25">
      <c r="A13" s="53" t="s">
        <v>784</v>
      </c>
      <c r="B13" s="54">
        <v>5.81</v>
      </c>
      <c r="C13" s="54">
        <v>5.1100000000000003</v>
      </c>
      <c r="D13" s="54">
        <v>7.24</v>
      </c>
      <c r="E13" s="54">
        <v>4.0599999999999996</v>
      </c>
      <c r="F13" s="54">
        <v>5.61</v>
      </c>
      <c r="G13" s="54">
        <v>7.31</v>
      </c>
      <c r="H13" s="54">
        <v>1.1499999999999999</v>
      </c>
      <c r="I13" s="54">
        <v>0.7</v>
      </c>
      <c r="J13" s="54">
        <v>0.18</v>
      </c>
      <c r="K13" s="54">
        <v>210.34</v>
      </c>
      <c r="L13" s="54">
        <v>22.23</v>
      </c>
      <c r="M13" s="54">
        <v>98.17</v>
      </c>
      <c r="N13" s="54">
        <v>40.4</v>
      </c>
      <c r="O13" s="54">
        <v>0</v>
      </c>
      <c r="P13" s="54">
        <v>0.27</v>
      </c>
      <c r="Q13" s="54">
        <v>9</v>
      </c>
      <c r="R13" s="43"/>
      <c r="S13" s="43"/>
      <c r="T13" s="43"/>
      <c r="U13" s="43"/>
      <c r="V13" s="11"/>
    </row>
    <row r="14" spans="1:22" x14ac:dyDescent="0.25">
      <c r="A14" s="53" t="s">
        <v>785</v>
      </c>
      <c r="B14" s="54">
        <v>5.77</v>
      </c>
      <c r="C14" s="54">
        <v>5.41</v>
      </c>
      <c r="D14" s="54">
        <v>7.43</v>
      </c>
      <c r="E14" s="54">
        <v>3.94</v>
      </c>
      <c r="F14" s="54">
        <v>4.49</v>
      </c>
      <c r="G14" s="54">
        <v>5.12</v>
      </c>
      <c r="H14" s="54">
        <v>1.1499999999999999</v>
      </c>
      <c r="I14" s="54">
        <v>0.64</v>
      </c>
      <c r="J14" s="54">
        <v>0.44</v>
      </c>
      <c r="K14" s="54">
        <v>177.76</v>
      </c>
      <c r="L14" s="54">
        <v>22.22</v>
      </c>
      <c r="M14" s="54">
        <v>98.18</v>
      </c>
      <c r="N14" s="54">
        <v>40.9</v>
      </c>
      <c r="O14" s="54">
        <v>0</v>
      </c>
      <c r="P14" s="54">
        <v>0.25</v>
      </c>
      <c r="Q14" s="54">
        <v>9.01</v>
      </c>
      <c r="R14" s="43"/>
      <c r="S14" s="43"/>
      <c r="T14" s="43"/>
      <c r="U14" s="43"/>
      <c r="V14" s="11"/>
    </row>
    <row r="15" spans="1:22" x14ac:dyDescent="0.25">
      <c r="A15" s="53" t="s">
        <v>786</v>
      </c>
      <c r="B15" s="54">
        <v>5.81</v>
      </c>
      <c r="C15" s="54">
        <v>5.89</v>
      </c>
      <c r="D15" s="54">
        <v>7.62</v>
      </c>
      <c r="E15" s="54">
        <v>3.81</v>
      </c>
      <c r="F15" s="54">
        <v>6.75</v>
      </c>
      <c r="G15" s="54">
        <v>4.83</v>
      </c>
      <c r="H15" s="54">
        <v>1.0900000000000001</v>
      </c>
      <c r="I15" s="54">
        <v>0.62</v>
      </c>
      <c r="J15" s="54">
        <v>0.08</v>
      </c>
      <c r="K15" s="54">
        <v>246.83</v>
      </c>
      <c r="L15" s="54">
        <v>22.53</v>
      </c>
      <c r="M15" s="54">
        <v>98.18</v>
      </c>
      <c r="N15" s="54">
        <v>63.1</v>
      </c>
      <c r="O15" s="54">
        <v>0</v>
      </c>
      <c r="P15" s="54">
        <v>0.26</v>
      </c>
      <c r="Q15" s="54">
        <v>9.0299999999999994</v>
      </c>
      <c r="R15" s="43"/>
      <c r="S15" s="43"/>
      <c r="T15" s="43"/>
      <c r="U15" s="43"/>
      <c r="V15" s="11"/>
    </row>
    <row r="16" spans="1:22" x14ac:dyDescent="0.25">
      <c r="A16" s="53" t="s">
        <v>787</v>
      </c>
      <c r="B16" s="54">
        <v>5.77</v>
      </c>
      <c r="C16" s="54">
        <v>6.19</v>
      </c>
      <c r="D16" s="54">
        <v>7.81</v>
      </c>
      <c r="E16" s="54">
        <v>4</v>
      </c>
      <c r="F16" s="54">
        <v>6.5</v>
      </c>
      <c r="G16" s="54">
        <v>4.83</v>
      </c>
      <c r="H16" s="54">
        <v>0.97</v>
      </c>
      <c r="I16" s="54">
        <v>0.66</v>
      </c>
      <c r="J16" s="54">
        <v>0.09</v>
      </c>
      <c r="K16" s="54">
        <v>249.69</v>
      </c>
      <c r="L16" s="54">
        <v>22.63</v>
      </c>
      <c r="M16" s="54">
        <v>98.18</v>
      </c>
      <c r="N16" s="54">
        <v>67.8</v>
      </c>
      <c r="O16" s="54">
        <v>0</v>
      </c>
      <c r="P16" s="54">
        <v>0.28000000000000003</v>
      </c>
      <c r="Q16" s="54">
        <v>9.0399999999999991</v>
      </c>
      <c r="R16" s="43"/>
      <c r="S16" s="43"/>
      <c r="T16" s="43"/>
      <c r="U16" s="43"/>
      <c r="V16" s="11"/>
    </row>
    <row r="17" spans="1:22" x14ac:dyDescent="0.25">
      <c r="A17" s="53" t="s">
        <v>788</v>
      </c>
      <c r="B17" s="54">
        <v>6.26</v>
      </c>
      <c r="C17" s="54">
        <v>5.97</v>
      </c>
      <c r="D17" s="54">
        <v>7.81</v>
      </c>
      <c r="E17" s="54">
        <v>4.3</v>
      </c>
      <c r="F17" s="54">
        <v>5.91</v>
      </c>
      <c r="G17" s="54">
        <v>3.38</v>
      </c>
      <c r="H17" s="54">
        <v>0.94</v>
      </c>
      <c r="I17" s="54">
        <v>0.7</v>
      </c>
      <c r="J17" s="54">
        <v>0.12</v>
      </c>
      <c r="K17" s="54">
        <v>282.70999999999998</v>
      </c>
      <c r="L17" s="54">
        <v>23.02</v>
      </c>
      <c r="M17" s="54">
        <v>98.17</v>
      </c>
      <c r="N17" s="54">
        <v>110.5</v>
      </c>
      <c r="O17" s="54">
        <v>0</v>
      </c>
      <c r="P17" s="54">
        <v>0.28999999999999998</v>
      </c>
      <c r="Q17" s="54">
        <v>9.0500000000000007</v>
      </c>
      <c r="R17" s="43"/>
      <c r="S17" s="43"/>
      <c r="T17" s="43"/>
      <c r="U17" s="43"/>
      <c r="V17" s="11"/>
    </row>
    <row r="18" spans="1:22" x14ac:dyDescent="0.25">
      <c r="A18" s="53" t="s">
        <v>789</v>
      </c>
      <c r="B18" s="54">
        <v>6.94</v>
      </c>
      <c r="C18" s="54">
        <v>6.14</v>
      </c>
      <c r="D18" s="54">
        <v>8.33</v>
      </c>
      <c r="E18" s="54">
        <v>4.33</v>
      </c>
      <c r="F18" s="54">
        <v>5.13</v>
      </c>
      <c r="G18" s="54">
        <v>6.73</v>
      </c>
      <c r="H18" s="54">
        <v>0.95</v>
      </c>
      <c r="I18" s="54">
        <v>0.77</v>
      </c>
      <c r="J18" s="54">
        <v>0.28000000000000003</v>
      </c>
      <c r="K18" s="54">
        <v>307.76</v>
      </c>
      <c r="L18" s="54">
        <v>25.72</v>
      </c>
      <c r="M18" s="54">
        <v>98.12</v>
      </c>
      <c r="N18" s="54">
        <v>335.6</v>
      </c>
      <c r="O18" s="54">
        <v>0</v>
      </c>
      <c r="P18" s="54">
        <v>0.32</v>
      </c>
      <c r="Q18" s="54">
        <v>9.01</v>
      </c>
      <c r="R18" s="43"/>
      <c r="S18" s="43"/>
      <c r="T18" s="43"/>
      <c r="U18" s="43"/>
      <c r="V18" s="11"/>
    </row>
    <row r="19" spans="1:22" x14ac:dyDescent="0.25">
      <c r="A19" s="53" t="s">
        <v>790</v>
      </c>
      <c r="B19" s="54">
        <v>5.36</v>
      </c>
      <c r="C19" s="54">
        <v>8.17</v>
      </c>
      <c r="D19" s="54">
        <v>8.06</v>
      </c>
      <c r="E19" s="54">
        <v>4.17</v>
      </c>
      <c r="F19" s="54">
        <v>3.73</v>
      </c>
      <c r="G19" s="54">
        <v>9.7899999999999991</v>
      </c>
      <c r="H19" s="54">
        <v>0.95</v>
      </c>
      <c r="I19" s="54">
        <v>0.84</v>
      </c>
      <c r="J19" s="54">
        <v>0.28000000000000003</v>
      </c>
      <c r="K19" s="54">
        <v>299.08</v>
      </c>
      <c r="L19" s="54">
        <v>26.72</v>
      </c>
      <c r="M19" s="54">
        <v>97.03</v>
      </c>
      <c r="N19" s="54">
        <v>587.5</v>
      </c>
      <c r="O19" s="54">
        <v>0</v>
      </c>
      <c r="P19" s="54">
        <v>0.34</v>
      </c>
      <c r="Q19" s="54">
        <v>9</v>
      </c>
      <c r="R19" s="43"/>
      <c r="S19" s="43"/>
      <c r="T19" s="43"/>
      <c r="U19" s="43"/>
      <c r="V19" s="11"/>
    </row>
    <row r="20" spans="1:22" x14ac:dyDescent="0.25">
      <c r="A20" s="53" t="s">
        <v>791</v>
      </c>
      <c r="B20" s="54">
        <v>4.1399999999999997</v>
      </c>
      <c r="C20" s="54">
        <v>8.36</v>
      </c>
      <c r="D20" s="54">
        <v>7.69</v>
      </c>
      <c r="E20" s="54">
        <v>4.2</v>
      </c>
      <c r="F20" s="54">
        <v>4.5199999999999996</v>
      </c>
      <c r="G20" s="54">
        <v>13.8</v>
      </c>
      <c r="H20" s="54">
        <v>0.93</v>
      </c>
      <c r="I20" s="54">
        <v>0.87</v>
      </c>
      <c r="J20" s="54">
        <v>0.23</v>
      </c>
      <c r="K20" s="54">
        <v>299.93</v>
      </c>
      <c r="L20" s="54">
        <v>26.85</v>
      </c>
      <c r="M20" s="54">
        <v>97.16</v>
      </c>
      <c r="N20" s="54">
        <v>238.4</v>
      </c>
      <c r="O20" s="54">
        <v>0</v>
      </c>
      <c r="P20" s="54">
        <v>0.39</v>
      </c>
      <c r="Q20" s="54">
        <v>8.9700000000000006</v>
      </c>
      <c r="R20" s="43"/>
      <c r="S20" s="43"/>
      <c r="T20" s="43"/>
      <c r="U20" s="43"/>
      <c r="V20" s="11"/>
    </row>
    <row r="21" spans="1:22" x14ac:dyDescent="0.25">
      <c r="A21" s="53" t="s">
        <v>792</v>
      </c>
      <c r="B21" s="54">
        <v>4.22</v>
      </c>
      <c r="C21" s="54">
        <v>8.69</v>
      </c>
      <c r="D21" s="54">
        <v>7.82</v>
      </c>
      <c r="E21" s="54">
        <v>4.25</v>
      </c>
      <c r="F21" s="54">
        <v>5.64</v>
      </c>
      <c r="G21" s="54">
        <v>13.8</v>
      </c>
      <c r="H21" s="54">
        <v>0.98</v>
      </c>
      <c r="I21" s="54">
        <v>0.97</v>
      </c>
      <c r="J21" s="54">
        <v>0.16</v>
      </c>
      <c r="K21" s="54">
        <v>298.85000000000002</v>
      </c>
      <c r="L21" s="54">
        <v>25.79</v>
      </c>
      <c r="M21" s="54">
        <v>98.03</v>
      </c>
      <c r="N21" s="54">
        <v>249.5</v>
      </c>
      <c r="O21" s="54">
        <v>0</v>
      </c>
      <c r="P21" s="54">
        <v>0.39</v>
      </c>
      <c r="Q21" s="54">
        <v>8.9600000000000009</v>
      </c>
      <c r="R21" s="43"/>
      <c r="S21" s="43"/>
      <c r="T21" s="43"/>
      <c r="U21" s="43"/>
      <c r="V21" s="11"/>
    </row>
    <row r="22" spans="1:22" x14ac:dyDescent="0.25">
      <c r="A22" s="53" t="s">
        <v>793</v>
      </c>
      <c r="B22" s="54">
        <v>4.17</v>
      </c>
      <c r="C22" s="54">
        <v>8.18</v>
      </c>
      <c r="D22" s="54">
        <v>7.62</v>
      </c>
      <c r="E22" s="54">
        <v>4.3</v>
      </c>
      <c r="F22" s="54">
        <v>5.8</v>
      </c>
      <c r="G22" s="54">
        <v>18.190000000000001</v>
      </c>
      <c r="H22" s="54">
        <v>5.99</v>
      </c>
      <c r="I22" s="54">
        <v>1.01</v>
      </c>
      <c r="J22" s="54">
        <v>0.35</v>
      </c>
      <c r="K22" s="54">
        <v>306.29000000000002</v>
      </c>
      <c r="L22" s="54">
        <v>25.3</v>
      </c>
      <c r="M22" s="54">
        <v>98.2</v>
      </c>
      <c r="N22" s="54">
        <v>121.8</v>
      </c>
      <c r="O22" s="54">
        <v>0</v>
      </c>
      <c r="P22" s="54">
        <v>0.41</v>
      </c>
      <c r="Q22" s="54">
        <v>8.9700000000000006</v>
      </c>
      <c r="R22" s="43"/>
      <c r="S22" s="43"/>
      <c r="T22" s="43"/>
      <c r="U22" s="43"/>
      <c r="V22" s="11"/>
    </row>
    <row r="23" spans="1:22" x14ac:dyDescent="0.25">
      <c r="A23" s="53" t="s">
        <v>794</v>
      </c>
      <c r="B23" s="54">
        <v>4.45</v>
      </c>
      <c r="C23" s="54">
        <v>8.3000000000000007</v>
      </c>
      <c r="D23" s="54">
        <v>7.87</v>
      </c>
      <c r="E23" s="54">
        <v>4.09</v>
      </c>
      <c r="F23" s="54">
        <v>4.43</v>
      </c>
      <c r="G23" s="54">
        <v>18.78</v>
      </c>
      <c r="H23" s="54">
        <v>5.99</v>
      </c>
      <c r="I23" s="54">
        <v>1.05</v>
      </c>
      <c r="J23" s="54">
        <v>0.26</v>
      </c>
      <c r="K23" s="54">
        <v>301.27999999999997</v>
      </c>
      <c r="L23" s="54">
        <v>24.07</v>
      </c>
      <c r="M23" s="54">
        <v>98.19</v>
      </c>
      <c r="N23" s="54">
        <v>158.80000000000001</v>
      </c>
      <c r="O23" s="54">
        <v>0</v>
      </c>
      <c r="P23" s="54">
        <v>0.41</v>
      </c>
      <c r="Q23" s="54">
        <v>8.9700000000000006</v>
      </c>
      <c r="R23" s="43"/>
      <c r="S23" s="43"/>
      <c r="T23" s="43"/>
      <c r="U23" s="43"/>
      <c r="V23" s="11"/>
    </row>
    <row r="24" spans="1:22" x14ac:dyDescent="0.25">
      <c r="A24" s="53" t="s">
        <v>795</v>
      </c>
      <c r="B24" s="54">
        <v>4.6399999999999997</v>
      </c>
      <c r="C24" s="54">
        <v>8.39</v>
      </c>
      <c r="D24" s="54">
        <v>8.0500000000000007</v>
      </c>
      <c r="E24" s="54">
        <v>4.7699999999999996</v>
      </c>
      <c r="F24" s="54">
        <v>4.09</v>
      </c>
      <c r="G24" s="54">
        <v>20.68</v>
      </c>
      <c r="H24" s="54">
        <v>3.67</v>
      </c>
      <c r="I24" s="54">
        <v>1.1000000000000001</v>
      </c>
      <c r="J24" s="54">
        <v>0.2</v>
      </c>
      <c r="K24" s="54">
        <v>306.95999999999998</v>
      </c>
      <c r="L24" s="54">
        <v>24.61</v>
      </c>
      <c r="M24" s="54">
        <v>98.13</v>
      </c>
      <c r="N24" s="54">
        <v>141.5</v>
      </c>
      <c r="O24" s="54">
        <v>0</v>
      </c>
      <c r="P24" s="54">
        <v>0.41</v>
      </c>
      <c r="Q24" s="54">
        <v>8.98</v>
      </c>
      <c r="R24" s="43"/>
      <c r="S24" s="43"/>
      <c r="T24" s="43"/>
      <c r="U24" s="43"/>
      <c r="V24" s="11"/>
    </row>
    <row r="25" spans="1:22" x14ac:dyDescent="0.25">
      <c r="A25" s="53" t="s">
        <v>796</v>
      </c>
      <c r="B25" s="54">
        <v>6.71</v>
      </c>
      <c r="C25" s="54">
        <v>11.22</v>
      </c>
      <c r="D25" s="54">
        <v>11.24</v>
      </c>
      <c r="E25" s="54">
        <v>4.76</v>
      </c>
      <c r="F25" s="54">
        <v>7.67</v>
      </c>
      <c r="G25" s="54">
        <v>23</v>
      </c>
      <c r="H25" s="54">
        <v>3.86</v>
      </c>
      <c r="I25" s="54">
        <v>1.1000000000000001</v>
      </c>
      <c r="J25" s="54">
        <v>0.16</v>
      </c>
      <c r="K25" s="54">
        <v>304.14999999999998</v>
      </c>
      <c r="L25" s="54">
        <v>24.67</v>
      </c>
      <c r="M25" s="54">
        <v>98.1</v>
      </c>
      <c r="N25" s="54">
        <v>97.6</v>
      </c>
      <c r="O25" s="54">
        <v>0</v>
      </c>
      <c r="P25" s="54">
        <v>0.49</v>
      </c>
      <c r="Q25" s="54">
        <v>9.02</v>
      </c>
      <c r="R25" s="43"/>
      <c r="S25" s="43"/>
      <c r="T25" s="43"/>
      <c r="U25" s="43"/>
      <c r="V25" s="11"/>
    </row>
    <row r="26" spans="1:22" x14ac:dyDescent="0.25">
      <c r="A26" s="53" t="s">
        <v>797</v>
      </c>
      <c r="B26" s="54">
        <v>7.49</v>
      </c>
      <c r="C26" s="54">
        <v>11.19</v>
      </c>
      <c r="D26" s="54">
        <v>11.44</v>
      </c>
      <c r="E26" s="54">
        <v>4.93</v>
      </c>
      <c r="F26" s="54">
        <v>7.91</v>
      </c>
      <c r="G26" s="54">
        <v>26.06</v>
      </c>
      <c r="H26" s="54">
        <v>3.86</v>
      </c>
      <c r="I26" s="54">
        <v>1.26</v>
      </c>
      <c r="J26" s="54">
        <v>0.11</v>
      </c>
      <c r="K26" s="54">
        <v>297.63</v>
      </c>
      <c r="L26" s="54">
        <v>24.16</v>
      </c>
      <c r="M26" s="54">
        <v>98.12</v>
      </c>
      <c r="N26" s="54">
        <v>44.8</v>
      </c>
      <c r="O26" s="54">
        <v>0</v>
      </c>
      <c r="P26" s="54">
        <v>0.55000000000000004</v>
      </c>
      <c r="Q26" s="54">
        <v>9.07</v>
      </c>
      <c r="R26" s="43"/>
      <c r="S26" s="43"/>
      <c r="T26" s="43"/>
      <c r="U26" s="43"/>
      <c r="V26" s="11"/>
    </row>
    <row r="27" spans="1:22" x14ac:dyDescent="0.25">
      <c r="A27" s="53" t="s">
        <v>798</v>
      </c>
      <c r="B27" s="54">
        <v>9.1</v>
      </c>
      <c r="C27" s="54">
        <v>12.77</v>
      </c>
      <c r="D27" s="54">
        <v>13.97</v>
      </c>
      <c r="E27" s="54">
        <v>5.28</v>
      </c>
      <c r="F27" s="54">
        <v>7.34</v>
      </c>
      <c r="G27" s="54">
        <v>27.91</v>
      </c>
      <c r="H27" s="54">
        <v>4.0199999999999996</v>
      </c>
      <c r="I27" s="54">
        <v>1.42</v>
      </c>
      <c r="J27" s="54">
        <v>0.12</v>
      </c>
      <c r="K27" s="54">
        <v>312.83999999999997</v>
      </c>
      <c r="L27" s="54">
        <v>23.95</v>
      </c>
      <c r="M27" s="54">
        <v>98.13</v>
      </c>
      <c r="N27" s="54">
        <v>40</v>
      </c>
      <c r="O27" s="54">
        <v>0</v>
      </c>
      <c r="P27" s="54">
        <v>0.65</v>
      </c>
      <c r="Q27" s="54">
        <v>9.08</v>
      </c>
      <c r="R27" s="43"/>
      <c r="S27" s="43"/>
      <c r="T27" s="43"/>
      <c r="U27" s="43"/>
      <c r="V27" s="11"/>
    </row>
    <row r="28" spans="1:22" x14ac:dyDescent="0.25">
      <c r="A28" s="53" t="s">
        <v>799</v>
      </c>
      <c r="B28" s="54">
        <v>8.6199999999999992</v>
      </c>
      <c r="C28" s="54">
        <v>12.21</v>
      </c>
      <c r="D28" s="54">
        <v>11.95</v>
      </c>
      <c r="E28" s="54">
        <v>4.97</v>
      </c>
      <c r="F28" s="54">
        <v>7.05</v>
      </c>
      <c r="G28" s="54">
        <v>33.04</v>
      </c>
      <c r="H28" s="54">
        <v>4.7</v>
      </c>
      <c r="I28" s="54">
        <v>1.34</v>
      </c>
      <c r="J28" s="54">
        <v>7.0000000000000007E-2</v>
      </c>
      <c r="K28" s="54">
        <v>280.18</v>
      </c>
      <c r="L28" s="54">
        <v>23.81</v>
      </c>
      <c r="M28" s="54">
        <v>98.13</v>
      </c>
      <c r="N28" s="54">
        <v>40</v>
      </c>
      <c r="O28" s="54">
        <v>0</v>
      </c>
      <c r="P28" s="54">
        <v>0.54</v>
      </c>
      <c r="Q28" s="54">
        <v>9.06</v>
      </c>
      <c r="R28" s="43"/>
      <c r="S28" s="43"/>
      <c r="T28" s="43"/>
      <c r="U28" s="43"/>
      <c r="V28" s="11"/>
    </row>
    <row r="29" spans="1:22" x14ac:dyDescent="0.25">
      <c r="A29" s="53" t="s">
        <v>800</v>
      </c>
      <c r="B29" s="54">
        <v>12.48</v>
      </c>
      <c r="C29" s="54">
        <v>8.84</v>
      </c>
      <c r="D29" s="54">
        <v>14</v>
      </c>
      <c r="E29" s="54">
        <v>5.0599999999999996</v>
      </c>
      <c r="F29" s="54">
        <v>5.83</v>
      </c>
      <c r="G29" s="54">
        <v>33.04</v>
      </c>
      <c r="H29" s="54">
        <v>4.82</v>
      </c>
      <c r="I29" s="54">
        <v>1.33</v>
      </c>
      <c r="J29" s="54">
        <v>0.1</v>
      </c>
      <c r="K29" s="54">
        <v>310.98</v>
      </c>
      <c r="L29" s="54">
        <v>23.75</v>
      </c>
      <c r="M29" s="54">
        <v>98.1</v>
      </c>
      <c r="N29" s="54">
        <v>40</v>
      </c>
      <c r="O29" s="54">
        <v>0</v>
      </c>
      <c r="P29" s="54">
        <v>0.6</v>
      </c>
      <c r="Q29" s="54">
        <v>9.07</v>
      </c>
      <c r="R29" s="43"/>
      <c r="S29" s="43"/>
      <c r="T29" s="43"/>
      <c r="U29" s="43"/>
      <c r="V29" s="11"/>
    </row>
    <row r="30" spans="1:22" x14ac:dyDescent="0.25">
      <c r="A30" s="53" t="s">
        <v>801</v>
      </c>
      <c r="B30" s="54">
        <v>29.81</v>
      </c>
      <c r="C30" s="54">
        <v>14.16</v>
      </c>
      <c r="D30" s="54">
        <v>28.11</v>
      </c>
      <c r="E30" s="54">
        <v>5.2</v>
      </c>
      <c r="F30" s="54">
        <v>8.2100000000000009</v>
      </c>
      <c r="G30" s="54">
        <v>33.68</v>
      </c>
      <c r="H30" s="54">
        <v>6.12</v>
      </c>
      <c r="I30" s="54">
        <v>1.49</v>
      </c>
      <c r="J30" s="54">
        <v>0.1</v>
      </c>
      <c r="K30" s="54">
        <v>326.3</v>
      </c>
      <c r="L30" s="54">
        <v>23.63</v>
      </c>
      <c r="M30" s="54">
        <v>98.13</v>
      </c>
      <c r="N30" s="54">
        <v>40</v>
      </c>
      <c r="O30" s="54">
        <v>0</v>
      </c>
      <c r="P30" s="54">
        <v>0.84</v>
      </c>
      <c r="Q30" s="54">
        <v>9.18</v>
      </c>
      <c r="R30" s="43"/>
      <c r="S30" s="43"/>
      <c r="T30" s="43"/>
      <c r="U30" s="43"/>
      <c r="V30" s="11"/>
    </row>
    <row r="31" spans="1:22" x14ac:dyDescent="0.25">
      <c r="A31" s="53" t="s">
        <v>802</v>
      </c>
      <c r="B31" s="54">
        <v>12.25</v>
      </c>
      <c r="C31" s="54">
        <v>14.02</v>
      </c>
      <c r="D31" s="54">
        <v>15.75</v>
      </c>
      <c r="E31" s="54">
        <v>5.39</v>
      </c>
      <c r="F31" s="54">
        <v>7.46</v>
      </c>
      <c r="G31" s="54">
        <v>35.97</v>
      </c>
      <c r="H31" s="54">
        <v>7.57</v>
      </c>
      <c r="I31" s="54">
        <v>1.57</v>
      </c>
      <c r="J31" s="54">
        <v>0.14000000000000001</v>
      </c>
      <c r="K31" s="54">
        <v>259.06</v>
      </c>
      <c r="L31" s="54">
        <v>23.09</v>
      </c>
      <c r="M31" s="54">
        <v>98.17</v>
      </c>
      <c r="N31" s="54">
        <v>39.799999999999997</v>
      </c>
      <c r="O31" s="54">
        <v>0</v>
      </c>
      <c r="P31" s="54">
        <v>0.61</v>
      </c>
      <c r="Q31" s="54">
        <v>9.2200000000000006</v>
      </c>
      <c r="R31" s="43"/>
      <c r="S31" s="43"/>
      <c r="T31" s="43"/>
      <c r="U31" s="43"/>
      <c r="V31" s="11"/>
    </row>
    <row r="32" spans="1:22" x14ac:dyDescent="0.25">
      <c r="A32" s="53" t="s">
        <v>803</v>
      </c>
      <c r="B32" s="54">
        <v>12.06</v>
      </c>
      <c r="C32" s="54">
        <v>6.23</v>
      </c>
      <c r="D32" s="54">
        <v>12.89</v>
      </c>
      <c r="E32" s="54">
        <v>5.14</v>
      </c>
      <c r="F32" s="54">
        <v>5.61</v>
      </c>
      <c r="G32" s="54">
        <v>35.97</v>
      </c>
      <c r="H32" s="54">
        <v>8.0399999999999991</v>
      </c>
      <c r="I32" s="54">
        <v>1.58</v>
      </c>
      <c r="J32" s="54">
        <v>0.19</v>
      </c>
      <c r="K32" s="54">
        <v>167.85</v>
      </c>
      <c r="L32" s="54">
        <v>22.54</v>
      </c>
      <c r="M32" s="54">
        <v>98.22</v>
      </c>
      <c r="N32" s="54">
        <v>39.799999999999997</v>
      </c>
      <c r="O32" s="54">
        <v>0</v>
      </c>
      <c r="P32" s="54">
        <v>0.57999999999999996</v>
      </c>
      <c r="Q32" s="54">
        <v>9.18</v>
      </c>
      <c r="R32" s="43"/>
      <c r="S32" s="43"/>
      <c r="T32" s="43"/>
      <c r="U32" s="43"/>
      <c r="V32" s="11"/>
    </row>
    <row r="33" spans="1:22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  <c r="V33" s="21"/>
    </row>
    <row r="34" spans="1:22" x14ac:dyDescent="0.25">
      <c r="A34" s="27" t="s">
        <v>30</v>
      </c>
      <c r="B34" s="28">
        <f t="shared" ref="B34:Q34" si="0">MIN(B9:B32)</f>
        <v>4.1399999999999997</v>
      </c>
      <c r="C34" s="28">
        <f t="shared" si="0"/>
        <v>5.1100000000000003</v>
      </c>
      <c r="D34" s="28">
        <f t="shared" si="0"/>
        <v>6.98</v>
      </c>
      <c r="E34" s="28">
        <f t="shared" si="0"/>
        <v>3.81</v>
      </c>
      <c r="F34" s="28">
        <f t="shared" si="0"/>
        <v>3.73</v>
      </c>
      <c r="G34" s="28">
        <f t="shared" si="0"/>
        <v>3.38</v>
      </c>
      <c r="H34" s="28">
        <f t="shared" si="0"/>
        <v>0.93</v>
      </c>
      <c r="I34" s="28">
        <f t="shared" si="0"/>
        <v>0.62</v>
      </c>
      <c r="J34" s="28">
        <f t="shared" si="0"/>
        <v>7.0000000000000007E-2</v>
      </c>
      <c r="K34" s="28">
        <f t="shared" si="0"/>
        <v>139.32</v>
      </c>
      <c r="L34" s="28">
        <f t="shared" si="0"/>
        <v>22.22</v>
      </c>
      <c r="M34" s="28">
        <f t="shared" si="0"/>
        <v>97.03</v>
      </c>
      <c r="N34" s="28">
        <f t="shared" si="0"/>
        <v>39.799999999999997</v>
      </c>
      <c r="O34" s="28">
        <f t="shared" si="0"/>
        <v>0</v>
      </c>
      <c r="P34" s="28">
        <f t="shared" si="0"/>
        <v>0.18</v>
      </c>
      <c r="Q34" s="28">
        <f t="shared" si="0"/>
        <v>8.9600000000000009</v>
      </c>
      <c r="R34" s="28"/>
      <c r="S34" s="28"/>
      <c r="T34" s="28"/>
      <c r="U34" s="28"/>
      <c r="V34" s="21"/>
    </row>
    <row r="35" spans="1:22" x14ac:dyDescent="0.25">
      <c r="A35" s="27" t="s">
        <v>31</v>
      </c>
      <c r="B35" s="29">
        <f t="shared" ref="B35:Q35" si="1">MAX(B9:B32)</f>
        <v>29.81</v>
      </c>
      <c r="C35" s="29">
        <f t="shared" si="1"/>
        <v>14.16</v>
      </c>
      <c r="D35" s="29">
        <f t="shared" si="1"/>
        <v>28.11</v>
      </c>
      <c r="E35" s="29">
        <f t="shared" si="1"/>
        <v>5.39</v>
      </c>
      <c r="F35" s="29">
        <f t="shared" si="1"/>
        <v>8.2100000000000009</v>
      </c>
      <c r="G35" s="29">
        <f t="shared" si="1"/>
        <v>35.97</v>
      </c>
      <c r="H35" s="29">
        <f t="shared" si="1"/>
        <v>8.0399999999999991</v>
      </c>
      <c r="I35" s="29">
        <f t="shared" si="1"/>
        <v>1.58</v>
      </c>
      <c r="J35" s="29">
        <f t="shared" si="1"/>
        <v>0.53</v>
      </c>
      <c r="K35" s="29">
        <f t="shared" si="1"/>
        <v>326.3</v>
      </c>
      <c r="L35" s="29">
        <f t="shared" si="1"/>
        <v>26.85</v>
      </c>
      <c r="M35" s="29">
        <f t="shared" si="1"/>
        <v>98.22</v>
      </c>
      <c r="N35" s="29">
        <f t="shared" si="1"/>
        <v>587.5</v>
      </c>
      <c r="O35" s="29">
        <f t="shared" si="1"/>
        <v>0</v>
      </c>
      <c r="P35" s="29">
        <f t="shared" si="1"/>
        <v>0.84</v>
      </c>
      <c r="Q35" s="29">
        <f t="shared" si="1"/>
        <v>9.2200000000000006</v>
      </c>
      <c r="R35" s="29"/>
      <c r="S35" s="29"/>
      <c r="T35" s="29"/>
      <c r="U35" s="29"/>
      <c r="V35" s="21"/>
    </row>
    <row r="36" spans="1:22" x14ac:dyDescent="0.25">
      <c r="A36" s="27" t="s">
        <v>32</v>
      </c>
      <c r="B36" s="28">
        <f t="shared" ref="B36:Q36" si="2">AVERAGE(B9:B32)</f>
        <v>7.67875</v>
      </c>
      <c r="C36" s="28">
        <f t="shared" si="2"/>
        <v>8.1891666666666669</v>
      </c>
      <c r="D36" s="28">
        <f t="shared" si="2"/>
        <v>10.067916666666667</v>
      </c>
      <c r="E36" s="28">
        <f t="shared" si="2"/>
        <v>4.4541666666666666</v>
      </c>
      <c r="F36" s="28">
        <f t="shared" si="2"/>
        <v>6.0725000000000007</v>
      </c>
      <c r="G36" s="28">
        <f t="shared" si="2"/>
        <v>17.347083333333334</v>
      </c>
      <c r="H36" s="28">
        <f t="shared" si="2"/>
        <v>3.0254166666666662</v>
      </c>
      <c r="I36" s="28">
        <f t="shared" si="2"/>
        <v>0.99291666666666656</v>
      </c>
      <c r="J36" s="28">
        <f t="shared" si="2"/>
        <v>0.20791666666666667</v>
      </c>
      <c r="K36" s="28">
        <f t="shared" si="2"/>
        <v>261.31541666666675</v>
      </c>
      <c r="L36" s="28">
        <f t="shared" si="2"/>
        <v>23.775000000000006</v>
      </c>
      <c r="M36" s="28">
        <f t="shared" si="2"/>
        <v>98.058333333333337</v>
      </c>
      <c r="N36" s="28">
        <f t="shared" si="2"/>
        <v>112.44583333333337</v>
      </c>
      <c r="O36" s="28">
        <f t="shared" si="2"/>
        <v>0</v>
      </c>
      <c r="P36" s="28">
        <f t="shared" si="2"/>
        <v>0.41083333333333333</v>
      </c>
      <c r="Q36" s="28">
        <f t="shared" si="2"/>
        <v>9.0420833333333341</v>
      </c>
      <c r="R36" s="28"/>
      <c r="S36" s="28"/>
      <c r="T36" s="28"/>
      <c r="U36" s="28"/>
      <c r="V36" s="21"/>
    </row>
    <row r="37" spans="1:22" x14ac:dyDescent="0.25">
      <c r="A37" s="27" t="s">
        <v>38</v>
      </c>
      <c r="B37" s="28">
        <f>STDEV(B9:B32)</f>
        <v>5.3276092301045939</v>
      </c>
      <c r="C37" s="28">
        <f t="shared" ref="C37:Q37" si="3">STDEV(C9:C32)</f>
        <v>2.9427108423100705</v>
      </c>
      <c r="D37" s="28">
        <f t="shared" si="3"/>
        <v>4.6595101246213968</v>
      </c>
      <c r="E37" s="28">
        <f t="shared" si="3"/>
        <v>0.5117312190786395</v>
      </c>
      <c r="F37" s="28">
        <f t="shared" si="3"/>
        <v>1.2663856476980631</v>
      </c>
      <c r="G37" s="28">
        <f t="shared" si="3"/>
        <v>11.133168805193218</v>
      </c>
      <c r="H37" s="28">
        <f t="shared" si="3"/>
        <v>2.3925027448381275</v>
      </c>
      <c r="I37" s="28">
        <f t="shared" si="3"/>
        <v>0.32381528774860258</v>
      </c>
      <c r="J37" s="28">
        <f t="shared" si="3"/>
        <v>0.125350956593241</v>
      </c>
      <c r="K37" s="28">
        <f t="shared" si="3"/>
        <v>57.231938330238151</v>
      </c>
      <c r="L37" s="28">
        <f t="shared" si="3"/>
        <v>1.4553499504452081</v>
      </c>
      <c r="M37" s="28">
        <f t="shared" si="3"/>
        <v>0.29995168693100221</v>
      </c>
      <c r="N37" s="28">
        <f t="shared" si="3"/>
        <v>129.40542283901755</v>
      </c>
      <c r="O37" s="28">
        <f t="shared" si="3"/>
        <v>0</v>
      </c>
      <c r="P37" s="28">
        <f t="shared" si="3"/>
        <v>0.16389064929865962</v>
      </c>
      <c r="Q37" s="28">
        <f t="shared" si="3"/>
        <v>6.8650290012792881E-2</v>
      </c>
      <c r="R37" s="28"/>
      <c r="S37" s="28"/>
      <c r="T37" s="28"/>
      <c r="U37" s="28"/>
      <c r="V37" s="21"/>
    </row>
    <row r="38" spans="1:22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  <c r="V38" s="21"/>
    </row>
    <row r="39" spans="1:22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  <c r="V39" s="21"/>
    </row>
    <row r="40" spans="1:22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  <c r="V40" s="21"/>
    </row>
    <row r="41" spans="1:22" x14ac:dyDescent="0.25">
      <c r="A41" s="13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13"/>
      <c r="M41" s="21"/>
      <c r="N41" s="16"/>
      <c r="O41" s="16"/>
      <c r="P41" s="16"/>
      <c r="Q41" s="16"/>
      <c r="R41" s="16"/>
      <c r="S41" s="16"/>
      <c r="T41" s="16"/>
      <c r="U41" s="16"/>
      <c r="V41" s="21"/>
    </row>
    <row r="42" spans="1:22" x14ac:dyDescent="0.25">
      <c r="A42" s="13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</row>
    <row r="43" spans="1:22" x14ac:dyDescent="0.25">
      <c r="A43" s="14" t="s">
        <v>35</v>
      </c>
      <c r="B43" s="40" t="s">
        <v>40</v>
      </c>
      <c r="C43" s="4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</row>
    <row r="44" spans="1:22" x14ac:dyDescent="0.25">
      <c r="A44" s="13"/>
      <c r="B44" s="21"/>
      <c r="C44" s="21"/>
      <c r="D44" s="1"/>
      <c r="E44" s="1"/>
      <c r="F44" s="1"/>
      <c r="G44" s="1"/>
      <c r="H44" s="1"/>
      <c r="I44" s="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</row>
    <row r="45" spans="1:22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21"/>
    </row>
    <row r="46" spans="1:22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</row>
    <row r="47" spans="1:22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</row>
    <row r="48" spans="1:22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</row>
    <row r="49" spans="1:22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</row>
    <row r="50" spans="1:22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</row>
    <row r="51" spans="1:22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tabSelected="1" zoomScale="87" zoomScaleNormal="87" workbookViewId="0">
      <pane xSplit="1" ySplit="8" topLeftCell="B30" activePane="bottomRight" state="frozen"/>
      <selection activeCell="B2" sqref="B2"/>
      <selection pane="topRight" activeCell="B2" sqref="B2"/>
      <selection pane="bottomLeft" activeCell="B2" sqref="B2"/>
      <selection pane="bottomRight" activeCell="R38" sqref="R38"/>
    </sheetView>
  </sheetViews>
  <sheetFormatPr defaultColWidth="8.85546875" defaultRowHeight="15" x14ac:dyDescent="0.25"/>
  <cols>
    <col min="1" max="1" width="17.42578125" style="11" customWidth="1"/>
    <col min="2" max="2" width="17.85546875" style="11" customWidth="1"/>
    <col min="3" max="3" width="9.85546875" style="11" customWidth="1"/>
    <col min="4" max="4" width="12.5703125" style="11" customWidth="1"/>
    <col min="5" max="5" width="9.7109375" style="11" customWidth="1"/>
    <col min="6" max="6" width="8.85546875" style="11"/>
    <col min="7" max="7" width="11.28515625" style="11" customWidth="1"/>
    <col min="8" max="8" width="12.42578125" style="11" customWidth="1"/>
    <col min="9" max="9" width="13" style="11" customWidth="1"/>
    <col min="10" max="10" width="8.85546875" style="11"/>
    <col min="11" max="11" width="9.7109375" style="11" customWidth="1"/>
    <col min="12" max="12" width="11" style="11" customWidth="1"/>
    <col min="13" max="13" width="10" style="11" customWidth="1"/>
    <col min="14" max="15" width="8.85546875" style="11"/>
    <col min="16" max="16" width="11" style="11" customWidth="1"/>
    <col min="17" max="17" width="15.85546875" style="11" customWidth="1"/>
    <col min="18" max="18" width="8.85546875" style="11"/>
    <col min="19" max="19" width="12.140625" style="11" customWidth="1"/>
    <col min="20" max="20" width="12.7109375" style="11" customWidth="1"/>
    <col min="21" max="16384" width="8.85546875" style="11"/>
  </cols>
  <sheetData>
    <row r="1" spans="1:21" s="21" customFormat="1" ht="27.75" customHeight="1" x14ac:dyDescent="0.25">
      <c r="A1" s="14" t="s">
        <v>2</v>
      </c>
      <c r="B1" s="23" t="s">
        <v>59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01/10/2025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25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x14ac:dyDescent="0.25">
      <c r="A9" s="36" t="str">
        <f>'01'!$B$2</f>
        <v>01/10/2025 01:00</v>
      </c>
      <c r="B9" s="24">
        <f>'01'!B36</f>
        <v>16.922916666666669</v>
      </c>
      <c r="C9" s="24">
        <f>'01'!C36</f>
        <v>14.96</v>
      </c>
      <c r="D9" s="24">
        <f>'01'!D36</f>
        <v>19.919999999999998</v>
      </c>
      <c r="E9" s="24">
        <f>'01'!E36</f>
        <v>5.1062500000000002</v>
      </c>
      <c r="F9" s="24">
        <f>'01'!F36</f>
        <v>51.954999999999984</v>
      </c>
      <c r="G9" s="24">
        <f>'01'!G36</f>
        <v>40.157916666666658</v>
      </c>
      <c r="H9" s="24">
        <f>'01'!H36</f>
        <v>8.5749999999999993</v>
      </c>
      <c r="I9" s="24">
        <f>'01'!I36</f>
        <v>2.4970833333333329</v>
      </c>
      <c r="J9" s="24">
        <f>'01'!J36</f>
        <v>0.57708333333333339</v>
      </c>
      <c r="K9" s="24">
        <f>'01'!K36</f>
        <v>310.89083333333338</v>
      </c>
      <c r="L9" s="24">
        <f>'01'!L36</f>
        <v>25.904583333333335</v>
      </c>
      <c r="M9" s="24">
        <f>'01'!M36</f>
        <v>95.487083333333331</v>
      </c>
      <c r="N9" s="24">
        <f>'01'!N36</f>
        <v>184.1458333333334</v>
      </c>
      <c r="O9" s="24">
        <f>'01'!O36</f>
        <v>9.1666666666666674E-2</v>
      </c>
      <c r="P9" s="30">
        <f>'01'!$P$36</f>
        <v>0.68208333333333326</v>
      </c>
      <c r="Q9" s="24">
        <f>'01'!Q36</f>
        <v>9.2412500000000009</v>
      </c>
      <c r="R9" s="44"/>
      <c r="S9" s="44"/>
      <c r="T9" s="44"/>
      <c r="U9" s="45"/>
    </row>
    <row r="10" spans="1:21" s="34" customFormat="1" x14ac:dyDescent="0.25">
      <c r="A10" s="36" t="str">
        <f>'02'!$B$2</f>
        <v>02/10/2025 01:00</v>
      </c>
      <c r="B10" s="33">
        <f>'02'!B36</f>
        <v>20.600416666666671</v>
      </c>
      <c r="C10" s="33">
        <f>'02'!C36</f>
        <v>13.290416666666667</v>
      </c>
      <c r="D10" s="33">
        <f>'02'!D36</f>
        <v>22.479583333333334</v>
      </c>
      <c r="E10" s="33">
        <f>'02'!E36</f>
        <v>6.308749999999999</v>
      </c>
      <c r="F10" s="33">
        <f>'02'!F36</f>
        <v>61.305000000000014</v>
      </c>
      <c r="G10" s="33">
        <f>'02'!G36</f>
        <v>71.351666666666659</v>
      </c>
      <c r="H10" s="33">
        <f>'02'!H36</f>
        <v>8.65</v>
      </c>
      <c r="I10" s="33">
        <f>'02'!I36</f>
        <v>2.3087500000000003</v>
      </c>
      <c r="J10" s="33">
        <f>'02'!J36</f>
        <v>0.95124999999999982</v>
      </c>
      <c r="K10" s="33">
        <f>'02'!K36</f>
        <v>340.11874999999998</v>
      </c>
      <c r="L10" s="33">
        <f>'02'!L36</f>
        <v>26.139166666666664</v>
      </c>
      <c r="M10" s="33">
        <f>'02'!M36</f>
        <v>95.452500000000001</v>
      </c>
      <c r="N10" s="33">
        <f>'02'!N36</f>
        <v>183.84166666666661</v>
      </c>
      <c r="O10" s="33">
        <f>'02'!O36</f>
        <v>0</v>
      </c>
      <c r="P10" s="30">
        <f>'02'!$P$36</f>
        <v>0.78416666666666668</v>
      </c>
      <c r="Q10" s="33">
        <f>'02'!Q36</f>
        <v>9.3687500000000021</v>
      </c>
      <c r="R10" s="46"/>
      <c r="S10" s="46"/>
      <c r="T10" s="46"/>
      <c r="U10" s="46"/>
    </row>
    <row r="11" spans="1:21" s="34" customFormat="1" x14ac:dyDescent="0.25">
      <c r="A11" s="36" t="str">
        <f>'03'!$B$2</f>
        <v>03/10/2025 01:00</v>
      </c>
      <c r="B11" s="33">
        <f>'03'!B36</f>
        <v>14.025833333333333</v>
      </c>
      <c r="C11" s="33">
        <f>'03'!C36</f>
        <v>10.819583333333336</v>
      </c>
      <c r="D11" s="33">
        <f>'03'!D36</f>
        <v>16.518749999999994</v>
      </c>
      <c r="E11" s="33">
        <f>'03'!E36</f>
        <v>5.2237499999999999</v>
      </c>
      <c r="F11" s="33">
        <f>'03'!F36</f>
        <v>37.699583333333329</v>
      </c>
      <c r="G11" s="33">
        <f>'03'!G36</f>
        <v>61.881666666666668</v>
      </c>
      <c r="H11" s="33">
        <f>'03'!H36</f>
        <v>8.2404166666666665</v>
      </c>
      <c r="I11" s="33">
        <f>'03'!I36</f>
        <v>1.5270833333333333</v>
      </c>
      <c r="J11" s="33">
        <f>'03'!J36</f>
        <v>0.84041666666666659</v>
      </c>
      <c r="K11" s="33">
        <f>'03'!K36</f>
        <v>319.47499999999997</v>
      </c>
      <c r="L11" s="33">
        <f>'03'!L36</f>
        <v>24.071666666666669</v>
      </c>
      <c r="M11" s="33">
        <f>'03'!M36</f>
        <v>98.196666666666673</v>
      </c>
      <c r="N11" s="33">
        <f>'03'!N36</f>
        <v>149.47916666666666</v>
      </c>
      <c r="O11" s="33">
        <f>'03'!O36</f>
        <v>3.3333333333333333E-2</v>
      </c>
      <c r="P11" s="30">
        <f>'03'!$P$36</f>
        <v>0.57874999999999999</v>
      </c>
      <c r="Q11" s="33">
        <f>'03'!Q36</f>
        <v>9.1908333333333339</v>
      </c>
      <c r="R11" s="46"/>
      <c r="S11" s="46"/>
      <c r="T11" s="46"/>
      <c r="U11" s="46"/>
    </row>
    <row r="12" spans="1:21" s="34" customFormat="1" x14ac:dyDescent="0.25">
      <c r="A12" s="36" t="str">
        <f>'04'!$B$2</f>
        <v>04/10/2025 01:00</v>
      </c>
      <c r="B12" s="33">
        <f>'04'!B36</f>
        <v>10.289166666666668</v>
      </c>
      <c r="C12" s="33">
        <f>'04'!C36</f>
        <v>9.254999999999999</v>
      </c>
      <c r="D12" s="33">
        <f>'04'!D36</f>
        <v>12.842083333333333</v>
      </c>
      <c r="E12" s="33">
        <f>'04'!E36</f>
        <v>4.4204166666666671</v>
      </c>
      <c r="F12" s="33">
        <f>'04'!F36</f>
        <v>11.800000000000002</v>
      </c>
      <c r="G12" s="33">
        <f>'04'!G36</f>
        <v>22.27416666666667</v>
      </c>
      <c r="H12" s="33">
        <f>'04'!H36</f>
        <v>7.3608333333333329</v>
      </c>
      <c r="I12" s="33">
        <f>'04'!I36</f>
        <v>1.4941666666666666</v>
      </c>
      <c r="J12" s="33">
        <f>'04'!J36</f>
        <v>0.29666666666666669</v>
      </c>
      <c r="K12" s="33">
        <f>'04'!K36</f>
        <v>287.22583333333336</v>
      </c>
      <c r="L12" s="33">
        <f>'04'!L36</f>
        <v>25.394166666666667</v>
      </c>
      <c r="M12" s="33">
        <f>'04'!M36</f>
        <v>96.908749999999998</v>
      </c>
      <c r="N12" s="33">
        <f>'04'!N36</f>
        <v>186.53749999999999</v>
      </c>
      <c r="O12" s="33">
        <f>'04'!O36</f>
        <v>0</v>
      </c>
      <c r="P12" s="30">
        <f>'04'!$P$36</f>
        <v>0.45791666666666669</v>
      </c>
      <c r="Q12" s="33">
        <f>'04'!Q36</f>
        <v>9.0837500000000002</v>
      </c>
      <c r="R12" s="46"/>
      <c r="S12" s="46"/>
      <c r="T12" s="46"/>
      <c r="U12" s="46"/>
    </row>
    <row r="13" spans="1:21" s="34" customFormat="1" x14ac:dyDescent="0.25">
      <c r="A13" s="36" t="str">
        <f>'05'!$B$2</f>
        <v>05/10/2025 01:00</v>
      </c>
      <c r="B13" s="33">
        <f>'05'!B36</f>
        <v>12.895000000000001</v>
      </c>
      <c r="C13" s="33">
        <f>'05'!C36</f>
        <v>10.008750000000001</v>
      </c>
      <c r="D13" s="33">
        <f>'05'!D36</f>
        <v>15.293333333333335</v>
      </c>
      <c r="E13" s="33">
        <f>'05'!E36</f>
        <v>4.5583333333333336</v>
      </c>
      <c r="F13" s="33">
        <f>'05'!F36</f>
        <v>11.734583333333333</v>
      </c>
      <c r="G13" s="33">
        <f>'05'!G36</f>
        <v>26.012083333333333</v>
      </c>
      <c r="H13" s="33">
        <f>'05'!H36</f>
        <v>8.9962499999999999</v>
      </c>
      <c r="I13" s="33">
        <f>'05'!I36</f>
        <v>1.6624999999999996</v>
      </c>
      <c r="J13" s="33">
        <f>'05'!J36</f>
        <v>0.36041666666666661</v>
      </c>
      <c r="K13" s="33">
        <f>'05'!K36</f>
        <v>280.75416666666666</v>
      </c>
      <c r="L13" s="33">
        <f>'05'!L36</f>
        <v>24.241250000000004</v>
      </c>
      <c r="M13" s="33">
        <f>'05'!M36</f>
        <v>98.07416666666667</v>
      </c>
      <c r="N13" s="33">
        <f>'05'!N36</f>
        <v>172.48750000000004</v>
      </c>
      <c r="O13" s="33">
        <f>'05'!O36</f>
        <v>3.3333333333333333E-2</v>
      </c>
      <c r="P13" s="30">
        <f>'05'!$P$36</f>
        <v>0.49958333333333321</v>
      </c>
      <c r="Q13" s="33">
        <f>'05'!Q36</f>
        <v>9.1245833333333319</v>
      </c>
      <c r="R13" s="46"/>
      <c r="S13" s="46"/>
      <c r="T13" s="46"/>
      <c r="U13" s="46"/>
    </row>
    <row r="14" spans="1:21" s="34" customFormat="1" x14ac:dyDescent="0.25">
      <c r="A14" s="36" t="str">
        <f>'06'!$B$2</f>
        <v>06/10/2025 01:00</v>
      </c>
      <c r="B14" s="33">
        <f>'06'!B36</f>
        <v>16.39041666666667</v>
      </c>
      <c r="C14" s="33">
        <f>'06'!C36</f>
        <v>9.9025000000000034</v>
      </c>
      <c r="D14" s="33">
        <f>'06'!D36</f>
        <v>17.713749999999997</v>
      </c>
      <c r="E14" s="33">
        <f>'06'!E36</f>
        <v>4.5712500000000009</v>
      </c>
      <c r="F14" s="33">
        <f>'06'!F36</f>
        <v>11.78</v>
      </c>
      <c r="G14" s="33">
        <f>'06'!G36</f>
        <v>26.969166666666663</v>
      </c>
      <c r="H14" s="33">
        <f>'06'!H36</f>
        <v>7.4208333333333343</v>
      </c>
      <c r="I14" s="33">
        <f>'06'!I36</f>
        <v>2.11375</v>
      </c>
      <c r="J14" s="33">
        <f>'06'!J36</f>
        <v>0.22291666666666668</v>
      </c>
      <c r="K14" s="33">
        <f>'06'!K36</f>
        <v>284.85500000000008</v>
      </c>
      <c r="L14" s="33">
        <f>'06'!L36</f>
        <v>23.725416666666664</v>
      </c>
      <c r="M14" s="33">
        <f>'06'!M36</f>
        <v>97.712499999999991</v>
      </c>
      <c r="N14" s="33">
        <f>'06'!N36</f>
        <v>141.77500000000001</v>
      </c>
      <c r="O14" s="33">
        <f>'06'!O36</f>
        <v>0</v>
      </c>
      <c r="P14" s="30">
        <f>'06'!$P$36</f>
        <v>0.66583333333333328</v>
      </c>
      <c r="Q14" s="33">
        <f>'06'!Q36</f>
        <v>9.1891666666666687</v>
      </c>
      <c r="R14" s="46"/>
      <c r="S14" s="46"/>
      <c r="T14" s="46"/>
      <c r="U14" s="46"/>
    </row>
    <row r="15" spans="1:21" s="34" customFormat="1" x14ac:dyDescent="0.25">
      <c r="A15" s="36" t="str">
        <f>'07'!$B$2</f>
        <v>07/10/2025 01:00</v>
      </c>
      <c r="B15" s="33">
        <f>'07'!B36</f>
        <v>17.099583333333332</v>
      </c>
      <c r="C15" s="33">
        <f>'07'!C36</f>
        <v>16.836250000000003</v>
      </c>
      <c r="D15" s="33">
        <f>'07'!D36</f>
        <v>21.558333333333337</v>
      </c>
      <c r="E15" s="33">
        <f>'07'!E36</f>
        <v>5.1166666666666663</v>
      </c>
      <c r="F15" s="33">
        <f>'07'!F36</f>
        <v>10.177083333333334</v>
      </c>
      <c r="G15" s="33">
        <f>'07'!G36</f>
        <v>47.825416666666676</v>
      </c>
      <c r="H15" s="33">
        <f>'07'!H36</f>
        <v>7.8075000000000001</v>
      </c>
      <c r="I15" s="33">
        <f>'07'!I36</f>
        <v>2.436666666666667</v>
      </c>
      <c r="J15" s="33">
        <f>'07'!J36</f>
        <v>0.40333333333333327</v>
      </c>
      <c r="K15" s="33">
        <f>'07'!K36</f>
        <v>272.67958333333337</v>
      </c>
      <c r="L15" s="33">
        <f>'07'!L36</f>
        <v>25.297499999999999</v>
      </c>
      <c r="M15" s="33">
        <f>'07'!M36</f>
        <v>95.770416666666634</v>
      </c>
      <c r="N15" s="33">
        <f>'06'!N37</f>
        <v>181.86865841327219</v>
      </c>
      <c r="O15" s="33">
        <f>'06'!O37</f>
        <v>0</v>
      </c>
      <c r="P15" s="30">
        <f>'06'!$P$36</f>
        <v>0.66583333333333328</v>
      </c>
      <c r="Q15" s="33">
        <f>'07'!Q36</f>
        <v>9.2091666666666665</v>
      </c>
      <c r="R15" s="46"/>
      <c r="S15" s="46"/>
      <c r="T15" s="46"/>
      <c r="U15" s="46"/>
    </row>
    <row r="16" spans="1:21" s="34" customFormat="1" x14ac:dyDescent="0.25">
      <c r="A16" s="36" t="str">
        <f>'08'!$B$2</f>
        <v>08/10/2025 01:00</v>
      </c>
      <c r="B16" s="33">
        <f>'08'!B36</f>
        <v>21.171666666666663</v>
      </c>
      <c r="C16" s="33">
        <f>'08'!C36</f>
        <v>20.15666666666667</v>
      </c>
      <c r="D16" s="33">
        <f>'08'!D36</f>
        <v>26.819166666666661</v>
      </c>
      <c r="E16" s="33">
        <f>'08'!E36</f>
        <v>5.4537499999999994</v>
      </c>
      <c r="F16" s="33">
        <f>'08'!F36</f>
        <v>20.037083333333335</v>
      </c>
      <c r="G16" s="33">
        <f>'08'!G36</f>
        <v>71.336666666666659</v>
      </c>
      <c r="H16" s="33">
        <f>'08'!H36</f>
        <v>8.1716666666666669</v>
      </c>
      <c r="I16" s="33">
        <f>'08'!I36</f>
        <v>2.0137500000000004</v>
      </c>
      <c r="J16" s="33">
        <f>'08'!J36</f>
        <v>0.43874999999999997</v>
      </c>
      <c r="K16" s="33">
        <f>'08'!K36</f>
        <v>302.71749999999992</v>
      </c>
      <c r="L16" s="33">
        <f>'08'!L36</f>
        <v>26.470416666666662</v>
      </c>
      <c r="M16" s="33">
        <f>'08'!M36</f>
        <v>93.211666666666687</v>
      </c>
      <c r="N16" s="33">
        <f>'08'!N36</f>
        <v>220.86249999999998</v>
      </c>
      <c r="O16" s="33">
        <f>'08'!O36</f>
        <v>8.3333333333333332E-3</v>
      </c>
      <c r="P16" s="30">
        <f>'08'!$P$36</f>
        <v>0.87708333333333333</v>
      </c>
      <c r="Q16" s="33">
        <f>'08'!Q36</f>
        <v>9.2249999999999996</v>
      </c>
      <c r="R16" s="46"/>
      <c r="S16" s="46"/>
      <c r="T16" s="46"/>
      <c r="U16" s="46"/>
    </row>
    <row r="17" spans="1:24" s="34" customFormat="1" x14ac:dyDescent="0.25">
      <c r="A17" s="36" t="str">
        <f>'09'!$B$2</f>
        <v>09/10/2025 01:00</v>
      </c>
      <c r="B17" s="33">
        <f>'09'!B36</f>
        <v>18.035416666666663</v>
      </c>
      <c r="C17" s="33">
        <f>'09'!C36</f>
        <v>17.153750000000002</v>
      </c>
      <c r="D17" s="33">
        <f>'09'!D36</f>
        <v>22.632499999999997</v>
      </c>
      <c r="E17" s="33">
        <f>'09'!E36</f>
        <v>5.7970833333333331</v>
      </c>
      <c r="F17" s="33">
        <f>'09'!F36</f>
        <v>7.5287499999999987</v>
      </c>
      <c r="G17" s="33">
        <f>'09'!G36</f>
        <v>31.596666666666664</v>
      </c>
      <c r="H17" s="33">
        <f>'09'!H36</f>
        <v>7.7612499999999995</v>
      </c>
      <c r="I17" s="33">
        <f>'09'!I36</f>
        <v>1.958333333333333</v>
      </c>
      <c r="J17" s="33">
        <f>'09'!J36</f>
        <v>0.63916666666666666</v>
      </c>
      <c r="K17" s="33">
        <f>'09'!K36</f>
        <v>307.36916666666667</v>
      </c>
      <c r="L17" s="33">
        <f>'09'!L36</f>
        <v>26.537083333333339</v>
      </c>
      <c r="M17" s="33">
        <f>'09'!M36</f>
        <v>94.279583333333321</v>
      </c>
      <c r="N17" s="33">
        <f>'08'!N37</f>
        <v>264.22061567939778</v>
      </c>
      <c r="O17" s="33">
        <f>'08'!O37</f>
        <v>4.0824829046386311E-2</v>
      </c>
      <c r="P17" s="30">
        <f>'08'!$P$36</f>
        <v>0.87708333333333333</v>
      </c>
      <c r="Q17" s="33">
        <f>'09'!Q36</f>
        <v>9.2733333333333317</v>
      </c>
      <c r="R17" s="46"/>
      <c r="S17" s="46"/>
      <c r="T17" s="46"/>
      <c r="U17" s="46"/>
      <c r="V17" s="35"/>
      <c r="W17" s="35"/>
      <c r="X17" s="35"/>
    </row>
    <row r="18" spans="1:24" s="34" customFormat="1" x14ac:dyDescent="0.25">
      <c r="A18" s="36" t="str">
        <f>'10'!$B$2</f>
        <v>10/10/2025 01:00</v>
      </c>
      <c r="B18" s="33">
        <f>'10'!B36</f>
        <v>16.284166666666664</v>
      </c>
      <c r="C18" s="33">
        <f>'10'!C36</f>
        <v>18.092083333333331</v>
      </c>
      <c r="D18" s="33">
        <f>'10'!D36</f>
        <v>21.677083333333332</v>
      </c>
      <c r="E18" s="33">
        <f>'10'!E36</f>
        <v>6.4083333333333341</v>
      </c>
      <c r="F18" s="33">
        <f>'10'!F36</f>
        <v>6.4266666666666659</v>
      </c>
      <c r="G18" s="33">
        <f>'10'!G36</f>
        <v>32.43666666666666</v>
      </c>
      <c r="H18" s="33">
        <f>'10'!H36</f>
        <v>8.4454166666666666</v>
      </c>
      <c r="I18" s="33">
        <f>'10'!I36</f>
        <v>1.9766666666666668</v>
      </c>
      <c r="J18" s="33">
        <f>'10'!J36</f>
        <v>0.59375000000000011</v>
      </c>
      <c r="K18" s="33">
        <f>'10'!K36</f>
        <v>288.30416666666673</v>
      </c>
      <c r="L18" s="33">
        <f>'10'!L36</f>
        <v>24.799583333333334</v>
      </c>
      <c r="M18" s="33">
        <f>'10'!M36</f>
        <v>97.39</v>
      </c>
      <c r="N18" s="33">
        <f>'10'!N36</f>
        <v>149.11666666666665</v>
      </c>
      <c r="O18" s="33">
        <f>'10'!O36</f>
        <v>0</v>
      </c>
      <c r="P18" s="30">
        <f>'10'!$P$36</f>
        <v>0.74916666666666654</v>
      </c>
      <c r="Q18" s="33">
        <f>'10'!Q36</f>
        <v>9.2354166666666675</v>
      </c>
      <c r="R18" s="46"/>
      <c r="S18" s="46"/>
      <c r="T18" s="46"/>
      <c r="U18" s="46"/>
    </row>
    <row r="19" spans="1:24" s="34" customFormat="1" x14ac:dyDescent="0.25">
      <c r="A19" s="36" t="str">
        <f>'11'!$B$2</f>
        <v>11/10/2025 01:00</v>
      </c>
      <c r="B19" s="33">
        <f>'11'!B36</f>
        <v>16.34</v>
      </c>
      <c r="C19" s="33">
        <f>'11'!C36</f>
        <v>15.129999999999997</v>
      </c>
      <c r="D19" s="33">
        <f>'11'!D36</f>
        <v>20.520416666666666</v>
      </c>
      <c r="E19" s="33">
        <f>'11'!E36</f>
        <v>6.9516666666666653</v>
      </c>
      <c r="F19" s="33">
        <f>'11'!F36</f>
        <v>5.9974999999999996</v>
      </c>
      <c r="G19" s="33">
        <f>'11'!G36</f>
        <v>42.119583333333338</v>
      </c>
      <c r="H19" s="33">
        <f>'11'!H36</f>
        <v>7.1287500000000001</v>
      </c>
      <c r="I19" s="33">
        <f>'11'!I36</f>
        <v>2.2141666666666664</v>
      </c>
      <c r="J19" s="33">
        <f>'11'!J36</f>
        <v>0.83791666666666631</v>
      </c>
      <c r="K19" s="33">
        <f>'11'!K36</f>
        <v>329.32625000000002</v>
      </c>
      <c r="L19" s="33">
        <f>'11'!L36</f>
        <v>24.755416666666665</v>
      </c>
      <c r="M19" s="33">
        <f>'11'!M36</f>
        <v>95.201666666666654</v>
      </c>
      <c r="N19" s="33">
        <f>'11'!N36</f>
        <v>159.23333333333335</v>
      </c>
      <c r="O19" s="33">
        <f>'11'!O36</f>
        <v>0</v>
      </c>
      <c r="P19" s="33">
        <f>'11'!P36</f>
        <v>0.66166666666666674</v>
      </c>
      <c r="Q19" s="33">
        <f>'11'!Q36</f>
        <v>9.2366666666666681</v>
      </c>
      <c r="R19" s="46"/>
      <c r="S19" s="46"/>
      <c r="T19" s="46"/>
      <c r="U19" s="46"/>
    </row>
    <row r="20" spans="1:24" s="34" customFormat="1" x14ac:dyDescent="0.25">
      <c r="A20" s="36" t="str">
        <f>'12'!$B$2</f>
        <v>12/10/2025 01:00</v>
      </c>
      <c r="B20" s="33">
        <f>'12'!B36</f>
        <v>21.28166666666667</v>
      </c>
      <c r="C20" s="33">
        <f>'12'!C36</f>
        <v>22.172500000000003</v>
      </c>
      <c r="D20" s="33">
        <f>'12'!D36</f>
        <v>27.864999999999998</v>
      </c>
      <c r="E20" s="33">
        <f>'12'!E36</f>
        <v>8.324583333333333</v>
      </c>
      <c r="F20" s="33">
        <f>'12'!F36</f>
        <v>5.6983333333333333</v>
      </c>
      <c r="G20" s="33">
        <f>'12'!G36</f>
        <v>36.943749999999994</v>
      </c>
      <c r="H20" s="33">
        <f>'12'!H36</f>
        <v>7.7450000000000001</v>
      </c>
      <c r="I20" s="33">
        <f>'12'!I36</f>
        <v>2.1358333333333328</v>
      </c>
      <c r="J20" s="33">
        <f>'12'!J36</f>
        <v>0.44333333333333341</v>
      </c>
      <c r="K20" s="33">
        <f>'12'!K36</f>
        <v>304.57</v>
      </c>
      <c r="L20" s="33">
        <f>'12'!L36</f>
        <v>25.187083333333334</v>
      </c>
      <c r="M20" s="33">
        <f>'12'!M36</f>
        <v>90.160833333333315</v>
      </c>
      <c r="N20" s="33">
        <f>'12'!N36</f>
        <v>201.29166666666663</v>
      </c>
      <c r="O20" s="33">
        <f>'12'!O36</f>
        <v>0</v>
      </c>
      <c r="P20" s="33">
        <f>'12'!P36</f>
        <v>0.85791666666666677</v>
      </c>
      <c r="Q20" s="33">
        <f>'12'!Q36</f>
        <v>9.3070833333333329</v>
      </c>
      <c r="R20" s="46"/>
      <c r="S20" s="46"/>
      <c r="T20" s="46"/>
      <c r="U20" s="46"/>
    </row>
    <row r="21" spans="1:24" s="34" customFormat="1" x14ac:dyDescent="0.25">
      <c r="A21" s="36" t="str">
        <f>'13'!$B$2</f>
        <v>13/10/2025 01:00</v>
      </c>
      <c r="B21" s="33">
        <f>'13'!B36</f>
        <v>12.783333333333331</v>
      </c>
      <c r="C21" s="33">
        <f>'13'!C36</f>
        <v>17.727083333333329</v>
      </c>
      <c r="D21" s="33">
        <f>'13'!D36</f>
        <v>19.215416666666666</v>
      </c>
      <c r="E21" s="33">
        <f>'13'!E36</f>
        <v>6.991666666666668</v>
      </c>
      <c r="F21" s="33">
        <f>'13'!F36</f>
        <v>8.0437499999999993</v>
      </c>
      <c r="G21" s="33">
        <f>'13'!G36</f>
        <v>33.348333333333336</v>
      </c>
      <c r="H21" s="33">
        <f>'13'!H36</f>
        <v>6.8058333333333323</v>
      </c>
      <c r="I21" s="33">
        <f>'13'!I36</f>
        <v>2.4</v>
      </c>
      <c r="J21" s="33">
        <f>'13'!J36</f>
        <v>0.55291666666666672</v>
      </c>
      <c r="K21" s="33">
        <f>'13'!K36</f>
        <v>202.16708333333335</v>
      </c>
      <c r="L21" s="33">
        <f>'13'!L36</f>
        <v>26.013333333333335</v>
      </c>
      <c r="M21" s="33">
        <f>'13'!M36</f>
        <v>85.689166666666679</v>
      </c>
      <c r="N21" s="33">
        <f>'13'!N36</f>
        <v>219.02500000000001</v>
      </c>
      <c r="O21" s="33">
        <f>'13'!O36</f>
        <v>0</v>
      </c>
      <c r="P21" s="33">
        <f>'13'!P36</f>
        <v>0.62791666666666679</v>
      </c>
      <c r="Q21" s="33">
        <f>'13'!Q36</f>
        <v>9.175416666666667</v>
      </c>
      <c r="R21" s="46"/>
      <c r="S21" s="46"/>
      <c r="T21" s="46"/>
      <c r="U21" s="46"/>
    </row>
    <row r="22" spans="1:24" s="34" customFormat="1" x14ac:dyDescent="0.25">
      <c r="A22" s="36" t="str">
        <f>'14'!$B$2</f>
        <v>14/10/2025 01:00</v>
      </c>
      <c r="B22" s="30">
        <f>'14'!B36</f>
        <v>11.740833333333335</v>
      </c>
      <c r="C22" s="30">
        <f>'14'!C36</f>
        <v>17.833749999999998</v>
      </c>
      <c r="D22" s="30">
        <f>'14'!D36</f>
        <v>18.309166666666666</v>
      </c>
      <c r="E22" s="30">
        <f>'14'!E36</f>
        <v>6.0679166666666662</v>
      </c>
      <c r="F22" s="30">
        <f>'14'!F36</f>
        <v>7.4020833333333336</v>
      </c>
      <c r="G22" s="30">
        <f>'14'!G36</f>
        <v>37.658749999999998</v>
      </c>
      <c r="H22" s="30">
        <f>'14'!H36</f>
        <v>9.1420833333333338</v>
      </c>
      <c r="I22" s="30">
        <f>'14'!I36</f>
        <v>1.97</v>
      </c>
      <c r="J22" s="30">
        <f>'14'!J36</f>
        <v>0.45166666666666666</v>
      </c>
      <c r="K22" s="30">
        <f>'14'!K36</f>
        <v>221.00791666666672</v>
      </c>
      <c r="L22" s="30">
        <f>'14'!L36</f>
        <v>25.952916666666663</v>
      </c>
      <c r="M22" s="30">
        <f>'14'!M36</f>
        <v>85.764999999999986</v>
      </c>
      <c r="N22" s="30">
        <f>'14'!N36</f>
        <v>218.60416666666666</v>
      </c>
      <c r="O22" s="30">
        <f>'14'!O36</f>
        <v>0</v>
      </c>
      <c r="P22" s="30">
        <f>'14'!P36</f>
        <v>0.61249999999999993</v>
      </c>
      <c r="Q22" s="30">
        <f>'14'!Q36</f>
        <v>9.0987500000000008</v>
      </c>
      <c r="R22" s="47"/>
      <c r="S22" s="47"/>
      <c r="T22" s="47"/>
      <c r="U22" s="47"/>
    </row>
    <row r="23" spans="1:24" s="34" customFormat="1" x14ac:dyDescent="0.25">
      <c r="A23" s="36" t="str">
        <f>'15'!$B$2</f>
        <v>15/10/2025 01:00</v>
      </c>
      <c r="B23" s="33">
        <f>'15'!B36</f>
        <v>9.975833333333334</v>
      </c>
      <c r="C23" s="33">
        <f>'15'!C36</f>
        <v>21.01583333333333</v>
      </c>
      <c r="D23" s="33">
        <f>'15'!D36</f>
        <v>18.866250000000001</v>
      </c>
      <c r="E23" s="33">
        <f>'15'!E36</f>
        <v>7.0770833333333316</v>
      </c>
      <c r="F23" s="33">
        <f>'15'!F36</f>
        <v>8.9154166666666672</v>
      </c>
      <c r="G23" s="33">
        <f>'15'!G36</f>
        <v>56.095416666666665</v>
      </c>
      <c r="H23" s="33">
        <f>'15'!H36</f>
        <v>9.0525000000000002</v>
      </c>
      <c r="I23" s="33">
        <f>'15'!I36</f>
        <v>1.87625</v>
      </c>
      <c r="J23" s="33">
        <f>'15'!J36</f>
        <v>0.5116666666666666</v>
      </c>
      <c r="K23" s="33">
        <f>'15'!K36</f>
        <v>208.38375000000005</v>
      </c>
      <c r="L23" s="33">
        <f>'15'!L36</f>
        <v>26.232499999999991</v>
      </c>
      <c r="M23" s="33">
        <f>'15'!M36</f>
        <v>83.392916666666679</v>
      </c>
      <c r="N23" s="33">
        <f>'15'!N36</f>
        <v>224.17916666666656</v>
      </c>
      <c r="O23" s="33">
        <f>'15'!O36</f>
        <v>8.3333333333333332E-3</v>
      </c>
      <c r="P23" s="30">
        <f>'15'!P36</f>
        <v>0.70250000000000012</v>
      </c>
      <c r="Q23" s="30">
        <f>'15'!Q36</f>
        <v>9.0691666666666659</v>
      </c>
      <c r="R23" s="47"/>
      <c r="S23" s="47"/>
      <c r="T23" s="47"/>
      <c r="U23" s="46"/>
    </row>
    <row r="24" spans="1:24" s="34" customFormat="1" x14ac:dyDescent="0.25">
      <c r="A24" s="36" t="str">
        <f>'16'!$B$2</f>
        <v>16/10/2025 01:00</v>
      </c>
      <c r="B24" s="33">
        <f>'16'!B36</f>
        <v>10.56</v>
      </c>
      <c r="C24" s="33">
        <f>'16'!C36</f>
        <v>23.966250000000002</v>
      </c>
      <c r="D24" s="33">
        <f>'16'!D36</f>
        <v>20.529999999999998</v>
      </c>
      <c r="E24" s="33">
        <f>'16'!E36</f>
        <v>7.940833333333333</v>
      </c>
      <c r="F24" s="33">
        <f>'16'!F36</f>
        <v>9.5383333333333322</v>
      </c>
      <c r="G24" s="33">
        <f>'16'!G36</f>
        <v>67.390416666666653</v>
      </c>
      <c r="H24" s="33">
        <f>'16'!H36</f>
        <v>9.5108333333333324</v>
      </c>
      <c r="I24" s="33">
        <f>'16'!I36</f>
        <v>1.9945833333333329</v>
      </c>
      <c r="J24" s="33">
        <f>'16'!J36</f>
        <v>0.44833333333333331</v>
      </c>
      <c r="K24" s="33">
        <f>'16'!K36</f>
        <v>208.89916666666662</v>
      </c>
      <c r="L24" s="33">
        <f>'16'!L36</f>
        <v>26.347083333333341</v>
      </c>
      <c r="M24" s="33">
        <f>'16'!M36</f>
        <v>83.524166666666659</v>
      </c>
      <c r="N24" s="33">
        <f>'16'!N36</f>
        <v>211.36666666666656</v>
      </c>
      <c r="O24" s="33">
        <f>'16'!O36</f>
        <v>0</v>
      </c>
      <c r="P24" s="30">
        <f>'16'!P36</f>
        <v>0.68583333333333352</v>
      </c>
      <c r="Q24" s="30">
        <f>'16'!Q36</f>
        <v>9.0658333333333339</v>
      </c>
      <c r="R24" s="47"/>
      <c r="S24" s="47"/>
      <c r="T24" s="47"/>
      <c r="U24" s="46"/>
    </row>
    <row r="25" spans="1:24" s="34" customFormat="1" x14ac:dyDescent="0.25">
      <c r="A25" s="36" t="str">
        <f>'17'!$B$2</f>
        <v>17/10/2025 01:00</v>
      </c>
      <c r="B25" s="33">
        <f>'17'!B36</f>
        <v>18.93291666666666</v>
      </c>
      <c r="C25" s="33">
        <f>'17'!C36</f>
        <v>25.77333333333333</v>
      </c>
      <c r="D25" s="33">
        <f>'17'!D36</f>
        <v>27.525833333333335</v>
      </c>
      <c r="E25" s="33">
        <f>'17'!E36</f>
        <v>10.41625</v>
      </c>
      <c r="F25" s="33">
        <f>'17'!F36</f>
        <v>8.1908333333333339</v>
      </c>
      <c r="G25" s="33">
        <f>'17'!G36</f>
        <v>75.57208333333331</v>
      </c>
      <c r="H25" s="33">
        <f>'17'!H36</f>
        <v>9.1079166666666698</v>
      </c>
      <c r="I25" s="33">
        <f>'17'!I36</f>
        <v>2.085833333333333</v>
      </c>
      <c r="J25" s="33">
        <f>'17'!J36</f>
        <v>0.38500000000000006</v>
      </c>
      <c r="K25" s="33">
        <f>'17'!K36</f>
        <v>255.20250000000007</v>
      </c>
      <c r="L25" s="33">
        <f>'17'!L36</f>
        <v>26.388750000000002</v>
      </c>
      <c r="M25" s="33">
        <f>'17'!M36</f>
        <v>78.913750000000007</v>
      </c>
      <c r="N25" s="33">
        <f>'17'!N36</f>
        <v>207.39999999999998</v>
      </c>
      <c r="O25" s="33">
        <f>'17'!O36</f>
        <v>0</v>
      </c>
      <c r="P25" s="30">
        <f>'17'!P36</f>
        <v>0.77833333333333332</v>
      </c>
      <c r="Q25" s="30">
        <f>'17'!Q36</f>
        <v>9.1387499999999999</v>
      </c>
      <c r="R25" s="47"/>
      <c r="S25" s="47"/>
      <c r="T25" s="47"/>
      <c r="U25" s="46"/>
    </row>
    <row r="26" spans="1:24" s="34" customFormat="1" x14ac:dyDescent="0.25">
      <c r="A26" s="36" t="str">
        <f>'18'!$B$2</f>
        <v>18/10/2025 01:00</v>
      </c>
      <c r="B26" s="33">
        <f>'18'!B36</f>
        <v>14.817500000000001</v>
      </c>
      <c r="C26" s="33">
        <f>'18'!C36</f>
        <v>21.923749999999998</v>
      </c>
      <c r="D26" s="33">
        <f>'18'!D36</f>
        <v>22.427916666666672</v>
      </c>
      <c r="E26" s="33">
        <f>'18'!E36</f>
        <v>11.322500000000003</v>
      </c>
      <c r="F26" s="33">
        <f>'18'!F36</f>
        <v>6.5666666666666664</v>
      </c>
      <c r="G26" s="33">
        <f>'18'!G36</f>
        <v>74.847500000000011</v>
      </c>
      <c r="H26" s="33">
        <f>'18'!H36</f>
        <v>8.5500000000000007</v>
      </c>
      <c r="I26" s="33">
        <f>'18'!I36</f>
        <v>2.3937500000000003</v>
      </c>
      <c r="J26" s="33">
        <f>'18'!J36</f>
        <v>0.47458333333333336</v>
      </c>
      <c r="K26" s="33">
        <f>'18'!K36</f>
        <v>277.56083333333339</v>
      </c>
      <c r="L26" s="33">
        <f>'18'!L36</f>
        <v>26.015416666666663</v>
      </c>
      <c r="M26" s="33">
        <f>'18'!M36</f>
        <v>68.742499999999993</v>
      </c>
      <c r="N26" s="33">
        <f>'18'!N36</f>
        <v>212.17500000000004</v>
      </c>
      <c r="O26" s="33">
        <f>'18'!O36</f>
        <v>0</v>
      </c>
      <c r="P26" s="30">
        <f>'18'!P36</f>
        <v>0.70666666666666667</v>
      </c>
      <c r="Q26" s="30">
        <f>'18'!Q36</f>
        <v>9.2458333333333336</v>
      </c>
      <c r="R26" s="47"/>
      <c r="S26" s="47"/>
      <c r="T26" s="47"/>
      <c r="U26" s="46"/>
    </row>
    <row r="27" spans="1:24" s="34" customFormat="1" x14ac:dyDescent="0.25">
      <c r="A27" s="36" t="str">
        <f>'19'!$B$2</f>
        <v>19/10/2025 01:00</v>
      </c>
      <c r="B27" s="33">
        <f>'19'!B36</f>
        <v>14.697083333333333</v>
      </c>
      <c r="C27" s="33">
        <f>'19'!C36</f>
        <v>24.25</v>
      </c>
      <c r="D27" s="33">
        <f>'19'!D36</f>
        <v>23.787916666666671</v>
      </c>
      <c r="E27" s="33">
        <f>'19'!E36</f>
        <v>11.649583333333332</v>
      </c>
      <c r="F27" s="33">
        <f>'19'!F36</f>
        <v>6.9629166666666684</v>
      </c>
      <c r="G27" s="33">
        <f>'19'!G36</f>
        <v>59.839583333333337</v>
      </c>
      <c r="H27" s="33">
        <f>'19'!H36</f>
        <v>10.622083333333334</v>
      </c>
      <c r="I27" s="33">
        <f>'19'!I36</f>
        <v>2.8220833333333331</v>
      </c>
      <c r="J27" s="33">
        <f>'19'!J36</f>
        <v>0.46333333333333337</v>
      </c>
      <c r="K27" s="33">
        <f>'19'!K36</f>
        <v>304.75791666666663</v>
      </c>
      <c r="L27" s="33">
        <f>'19'!L36</f>
        <v>25.982916666666664</v>
      </c>
      <c r="M27" s="33">
        <f>'19'!M36</f>
        <v>70.062499999999986</v>
      </c>
      <c r="N27" s="33">
        <f>'19'!N36</f>
        <v>230.16249999999999</v>
      </c>
      <c r="O27" s="33">
        <f>'19'!O36</f>
        <v>0</v>
      </c>
      <c r="P27" s="30">
        <f>'19'!P36</f>
        <v>0.94208333333333316</v>
      </c>
      <c r="Q27" s="30">
        <f>'19'!Q36</f>
        <v>9.1716666666666651</v>
      </c>
      <c r="R27" s="47"/>
      <c r="S27" s="47"/>
      <c r="T27" s="47"/>
      <c r="U27" s="46"/>
    </row>
    <row r="28" spans="1:24" s="34" customFormat="1" x14ac:dyDescent="0.25">
      <c r="A28" s="36" t="str">
        <f>'20'!$B$2</f>
        <v>20/10/2025 01:00</v>
      </c>
      <c r="B28" s="33">
        <f>'20'!B36</f>
        <v>8.567499999999999</v>
      </c>
      <c r="C28" s="33">
        <f>'20'!C36</f>
        <v>14.620416666666666</v>
      </c>
      <c r="D28" s="33">
        <f>'20'!D36</f>
        <v>14.132916666666665</v>
      </c>
      <c r="E28" s="33">
        <f>'20'!E36</f>
        <v>8.0358333333333327</v>
      </c>
      <c r="F28" s="33">
        <f>'20'!F36</f>
        <v>7.208333333333333</v>
      </c>
      <c r="G28" s="33">
        <f>'20'!G36</f>
        <v>57.876666666666665</v>
      </c>
      <c r="H28" s="33">
        <f>'20'!H36</f>
        <v>14.264583333333333</v>
      </c>
      <c r="I28" s="33">
        <f>'20'!I36</f>
        <v>2.2749999999999999</v>
      </c>
      <c r="J28" s="33">
        <f>'20'!J36</f>
        <v>0.80874999999999997</v>
      </c>
      <c r="K28" s="33">
        <f>'20'!K36</f>
        <v>223.48041666666668</v>
      </c>
      <c r="L28" s="33">
        <f>'20'!L36</f>
        <v>25.689583333333331</v>
      </c>
      <c r="M28" s="33">
        <f>'20'!M36</f>
        <v>88.736249999999998</v>
      </c>
      <c r="N28" s="33">
        <f>'20'!N36</f>
        <v>199.73333333333335</v>
      </c>
      <c r="O28" s="33">
        <f>'20'!O36</f>
        <v>0</v>
      </c>
      <c r="P28" s="30">
        <f>'20'!P36</f>
        <v>0.57333333333333336</v>
      </c>
      <c r="Q28" s="30">
        <f>'20'!Q36</f>
        <v>9.0841666666666665</v>
      </c>
      <c r="R28" s="47"/>
      <c r="S28" s="47"/>
      <c r="T28" s="47"/>
      <c r="U28" s="46"/>
    </row>
    <row r="29" spans="1:24" s="34" customFormat="1" x14ac:dyDescent="0.25">
      <c r="A29" s="36" t="str">
        <f>'21'!$B$2</f>
        <v>21/10/2025 01:00</v>
      </c>
      <c r="B29" s="33">
        <f>'21'!B36</f>
        <v>7.1479166666666645</v>
      </c>
      <c r="C29" s="33">
        <f>'21'!C36</f>
        <v>11.270000000000001</v>
      </c>
      <c r="D29" s="33">
        <f>'21'!D36</f>
        <v>11.512916666666669</v>
      </c>
      <c r="E29" s="33">
        <f>'21'!E36</f>
        <v>7.0741666666666667</v>
      </c>
      <c r="F29" s="33">
        <f>'21'!F36</f>
        <v>7.29</v>
      </c>
      <c r="G29" s="33">
        <f>'21'!G36</f>
        <v>38.651250000000005</v>
      </c>
      <c r="H29" s="33">
        <f>'21'!H36</f>
        <v>14.128749999999998</v>
      </c>
      <c r="I29" s="33">
        <f>'21'!I36</f>
        <v>1.2866666666666664</v>
      </c>
      <c r="J29" s="33">
        <f>'21'!J36</f>
        <v>0.74041666666666661</v>
      </c>
      <c r="K29" s="33">
        <f>'21'!K36</f>
        <v>168.54708333333332</v>
      </c>
      <c r="L29" s="33">
        <f>'21'!L36</f>
        <v>25.500833333333333</v>
      </c>
      <c r="M29" s="33">
        <f>'21'!M36</f>
        <v>90.423750000000027</v>
      </c>
      <c r="N29" s="33">
        <f>'21'!N36</f>
        <v>204.49583333333328</v>
      </c>
      <c r="O29" s="33">
        <f>'21'!O36</f>
        <v>0</v>
      </c>
      <c r="P29" s="30">
        <f>'21'!P36</f>
        <v>0.39208333333333334</v>
      </c>
      <c r="Q29" s="30">
        <f>'21'!Q36</f>
        <v>9.033333333333335</v>
      </c>
      <c r="R29" s="47"/>
      <c r="S29" s="47"/>
      <c r="T29" s="47"/>
      <c r="U29" s="46"/>
    </row>
    <row r="30" spans="1:24" s="34" customFormat="1" x14ac:dyDescent="0.25">
      <c r="A30" s="36" t="str">
        <f>'22'!$B$2</f>
        <v>22/10/2025 01:00</v>
      </c>
      <c r="B30" s="33">
        <f>'22'!B36</f>
        <v>6.9683333333333328</v>
      </c>
      <c r="C30" s="33">
        <f>'22'!C36</f>
        <v>14.33625</v>
      </c>
      <c r="D30" s="33">
        <f>'22'!D36</f>
        <v>12.919166666666667</v>
      </c>
      <c r="E30" s="33">
        <f>'22'!E36</f>
        <v>7.4366666666666665</v>
      </c>
      <c r="F30" s="33">
        <f>'22'!F36</f>
        <v>7.0012499999999989</v>
      </c>
      <c r="G30" s="33">
        <f>'22'!G36</f>
        <v>58.667916666666663</v>
      </c>
      <c r="H30" s="33">
        <f>'22'!H36</f>
        <v>13.924583333333336</v>
      </c>
      <c r="I30" s="33">
        <f>'22'!I36</f>
        <v>1.8529166666666665</v>
      </c>
      <c r="J30" s="33">
        <f>'22'!J36</f>
        <v>0.67666666666666664</v>
      </c>
      <c r="K30" s="33">
        <f>'22'!K36</f>
        <v>188.80833333333331</v>
      </c>
      <c r="L30" s="33">
        <f>'22'!L36</f>
        <v>26.530000000000012</v>
      </c>
      <c r="M30" s="33">
        <f>'22'!M36</f>
        <v>78.641666666666652</v>
      </c>
      <c r="N30" s="33">
        <f>'22'!N36</f>
        <v>212.87916666666663</v>
      </c>
      <c r="O30" s="33">
        <f>'22'!O36</f>
        <v>0</v>
      </c>
      <c r="P30" s="30">
        <f>'22'!P36</f>
        <v>0.49041666666666672</v>
      </c>
      <c r="Q30" s="30">
        <f>'22'!Q36</f>
        <v>9.0129166666666674</v>
      </c>
      <c r="R30" s="47"/>
      <c r="S30" s="46"/>
      <c r="T30" s="46"/>
      <c r="U30" s="46"/>
    </row>
    <row r="31" spans="1:24" s="34" customFormat="1" x14ac:dyDescent="0.25">
      <c r="A31" s="36" t="str">
        <f>'23'!$B$2</f>
        <v>23/10/2025 01:00</v>
      </c>
      <c r="B31" s="33">
        <f>'23'!B36</f>
        <v>7.3562500000000002</v>
      </c>
      <c r="C31" s="33">
        <f>'23'!C36</f>
        <v>14.904999999999996</v>
      </c>
      <c r="D31" s="33">
        <f>'23'!D36</f>
        <v>13.463333333333333</v>
      </c>
      <c r="E31" s="33">
        <f>'23'!E36</f>
        <v>8.0945833333333344</v>
      </c>
      <c r="F31" s="33">
        <f>'23'!F36</f>
        <v>6.480833333333333</v>
      </c>
      <c r="G31" s="33">
        <f>'23'!G36</f>
        <v>62.890000000000008</v>
      </c>
      <c r="H31" s="33">
        <f>'23'!H36</f>
        <v>13.630416666666669</v>
      </c>
      <c r="I31" s="33">
        <f>'23'!I36</f>
        <v>1.6795833333333334</v>
      </c>
      <c r="J31" s="33">
        <f>'23'!J36</f>
        <v>0.61208333333333342</v>
      </c>
      <c r="K31" s="33">
        <f>'23'!K36</f>
        <v>199.55875</v>
      </c>
      <c r="L31" s="33">
        <f>'23'!L36</f>
        <v>26.610833333333343</v>
      </c>
      <c r="M31" s="33">
        <f>'23'!M36</f>
        <v>75.023750000000007</v>
      </c>
      <c r="N31" s="33">
        <f>'23'!N36</f>
        <v>226.98749999999998</v>
      </c>
      <c r="O31" s="33">
        <f>'23'!O36</f>
        <v>0</v>
      </c>
      <c r="P31" s="33">
        <f>'23'!P36</f>
        <v>0.46708333333333335</v>
      </c>
      <c r="Q31" s="33">
        <f>'23'!Q36</f>
        <v>9.0283333333333342</v>
      </c>
      <c r="R31" s="46"/>
      <c r="S31" s="46"/>
      <c r="T31" s="46"/>
      <c r="U31" s="46"/>
    </row>
    <row r="32" spans="1:24" s="34" customFormat="1" x14ac:dyDescent="0.25">
      <c r="A32" s="36" t="str">
        <f>'24'!$B$2</f>
        <v>24/10/2025 01:00</v>
      </c>
      <c r="B32" s="33">
        <f>'24'!B36</f>
        <v>10.175416666666669</v>
      </c>
      <c r="C32" s="33">
        <f>'24'!C36</f>
        <v>16.902916666666666</v>
      </c>
      <c r="D32" s="33">
        <f>'24'!D36</f>
        <v>16.684166666666666</v>
      </c>
      <c r="E32" s="33">
        <f>'24'!E36</f>
        <v>6.3420833333333313</v>
      </c>
      <c r="F32" s="33">
        <f>'24'!F36</f>
        <v>4.7275</v>
      </c>
      <c r="G32" s="33">
        <f>'24'!G36</f>
        <v>47.49666666666667</v>
      </c>
      <c r="H32" s="33">
        <f>'24'!H36</f>
        <v>13.975833333333329</v>
      </c>
      <c r="I32" s="33">
        <f>'24'!I36</f>
        <v>1.5045833333333334</v>
      </c>
      <c r="J32" s="33">
        <f>'24'!J36</f>
        <v>0.46208333333333323</v>
      </c>
      <c r="K32" s="33">
        <f>'24'!K36</f>
        <v>247.88375000000005</v>
      </c>
      <c r="L32" s="33">
        <f>'24'!L36</f>
        <v>26.69125</v>
      </c>
      <c r="M32" s="33">
        <f>'24'!M36</f>
        <v>78.118333333333325</v>
      </c>
      <c r="N32" s="33">
        <f>'24'!N36</f>
        <v>235.04166666666666</v>
      </c>
      <c r="O32" s="33">
        <f>'24'!O36</f>
        <v>0</v>
      </c>
      <c r="P32" s="33">
        <f>'24'!P36</f>
        <v>0.49833333333333329</v>
      </c>
      <c r="Q32" s="33">
        <f>'24'!Q36</f>
        <v>9.0516666666666676</v>
      </c>
      <c r="R32" s="46"/>
      <c r="S32" s="46"/>
      <c r="T32" s="46"/>
      <c r="U32" s="46"/>
    </row>
    <row r="33" spans="1:21" s="34" customFormat="1" x14ac:dyDescent="0.25">
      <c r="A33" s="36" t="str">
        <f>'25'!$B$2</f>
        <v>25/10/2025 01:00</v>
      </c>
      <c r="B33" s="33">
        <f>'25'!B36</f>
        <v>11.018749999999999</v>
      </c>
      <c r="C33" s="33">
        <f>'25'!C36</f>
        <v>18.340833333333329</v>
      </c>
      <c r="D33" s="33">
        <f>'25'!D36</f>
        <v>18.00375</v>
      </c>
      <c r="E33" s="33">
        <f>'25'!E36</f>
        <v>6.5837500000000011</v>
      </c>
      <c r="F33" s="33">
        <f>'25'!F36</f>
        <v>5.4470833333333344</v>
      </c>
      <c r="G33" s="33">
        <f>'25'!G36</f>
        <v>52.497916666666661</v>
      </c>
      <c r="H33" s="33">
        <f>'25'!H36</f>
        <v>13.844166666666668</v>
      </c>
      <c r="I33" s="33">
        <f>'25'!I36</f>
        <v>1.925</v>
      </c>
      <c r="J33" s="33">
        <f>'25'!J36</f>
        <v>0.47</v>
      </c>
      <c r="K33" s="33">
        <f>'25'!K36</f>
        <v>198.15708333333339</v>
      </c>
      <c r="L33" s="33">
        <f>'25'!L36</f>
        <v>26.245416666666667</v>
      </c>
      <c r="M33" s="33">
        <f>'25'!M36</f>
        <v>87.184999999999988</v>
      </c>
      <c r="N33" s="33">
        <f>'25'!N36</f>
        <v>142.24166666666667</v>
      </c>
      <c r="O33" s="33">
        <f>'25'!O36</f>
        <v>0</v>
      </c>
      <c r="P33" s="33">
        <f>'25'!P36</f>
        <v>0.59250000000000003</v>
      </c>
      <c r="Q33" s="33">
        <f>'25'!Q36</f>
        <v>9.0804166666666664</v>
      </c>
      <c r="R33" s="46"/>
      <c r="S33" s="46"/>
      <c r="T33" s="46"/>
      <c r="U33" s="46"/>
    </row>
    <row r="34" spans="1:21" s="34" customFormat="1" x14ac:dyDescent="0.25">
      <c r="A34" s="36" t="str">
        <f>'26'!$B$2</f>
        <v>26/10/2025 01:00</v>
      </c>
      <c r="B34" s="33">
        <f>'26'!B36</f>
        <v>17.498750000000001</v>
      </c>
      <c r="C34" s="33">
        <f>'26'!C36</f>
        <v>13.953749999999999</v>
      </c>
      <c r="D34" s="33">
        <f>'26'!D36</f>
        <v>20.425833333333333</v>
      </c>
      <c r="E34" s="33">
        <f>'26'!E36</f>
        <v>6.8024999999999984</v>
      </c>
      <c r="F34" s="33">
        <f>'26'!F36</f>
        <v>4.3387500000000001</v>
      </c>
      <c r="G34" s="33">
        <f>'26'!G36</f>
        <v>68.004999999999995</v>
      </c>
      <c r="H34" s="33">
        <f>'26'!H36</f>
        <v>14.7525</v>
      </c>
      <c r="I34" s="33">
        <f>'26'!I36</f>
        <v>2.2841666666666662</v>
      </c>
      <c r="J34" s="33">
        <f>'26'!J36</f>
        <v>0.66541666666666677</v>
      </c>
      <c r="K34" s="33">
        <f>'26'!K36</f>
        <v>297.3341666666667</v>
      </c>
      <c r="L34" s="33">
        <f>'26'!L36</f>
        <v>25.973750000000006</v>
      </c>
      <c r="M34" s="33">
        <f>'26'!M36</f>
        <v>93.245416666666657</v>
      </c>
      <c r="N34" s="33">
        <f>'26'!N36</f>
        <v>180.93333333333337</v>
      </c>
      <c r="O34" s="33">
        <f>'26'!O36</f>
        <v>0</v>
      </c>
      <c r="P34" s="33">
        <f>'26'!P36</f>
        <v>0.75458333333333327</v>
      </c>
      <c r="Q34" s="33">
        <f>'26'!Q36</f>
        <v>9.1950000000000003</v>
      </c>
      <c r="R34" s="46"/>
      <c r="S34" s="46"/>
      <c r="T34" s="46"/>
      <c r="U34" s="46"/>
    </row>
    <row r="35" spans="1:21" s="34" customFormat="1" x14ac:dyDescent="0.25">
      <c r="A35" s="36" t="str">
        <f>'27'!$B$2</f>
        <v>27/10/2025 01:00</v>
      </c>
      <c r="B35" s="33">
        <f>'27'!B36</f>
        <v>12.460416666666665</v>
      </c>
      <c r="C35" s="33">
        <f>'27'!C36</f>
        <v>10.65</v>
      </c>
      <c r="D35" s="33">
        <f>'27'!D36</f>
        <v>15.27708333333333</v>
      </c>
      <c r="E35" s="33">
        <f>'27'!E36</f>
        <v>6.1099999999999994</v>
      </c>
      <c r="F35" s="33">
        <f>'27'!F36</f>
        <v>5.0320833333333335</v>
      </c>
      <c r="G35" s="33">
        <f>'27'!G36</f>
        <v>38.478333333333339</v>
      </c>
      <c r="H35" s="33">
        <f>'27'!H36</f>
        <v>12.81</v>
      </c>
      <c r="I35" s="33">
        <f>'27'!I36</f>
        <v>1.5266666666666666</v>
      </c>
      <c r="J35" s="33">
        <f>'27'!J36</f>
        <v>0.83208333333333317</v>
      </c>
      <c r="K35" s="33">
        <f>'27'!K36</f>
        <v>168.4604166666667</v>
      </c>
      <c r="L35" s="33">
        <f>'27'!L36</f>
        <v>25.737916666666674</v>
      </c>
      <c r="M35" s="33">
        <f>'27'!M36</f>
        <v>87.450833333333307</v>
      </c>
      <c r="N35" s="33">
        <f>'27'!N36</f>
        <v>224.87500000000009</v>
      </c>
      <c r="O35" s="33">
        <f>'27'!O36</f>
        <v>0</v>
      </c>
      <c r="P35" s="30">
        <f>'27'!P36</f>
        <v>0.44916666666666671</v>
      </c>
      <c r="Q35" s="33">
        <f>'27'!Q36</f>
        <v>9.1758333333333315</v>
      </c>
      <c r="R35" s="46"/>
      <c r="S35" s="46"/>
      <c r="T35" s="46"/>
      <c r="U35" s="46"/>
    </row>
    <row r="36" spans="1:21" s="34" customFormat="1" x14ac:dyDescent="0.25">
      <c r="A36" s="36" t="str">
        <f>'28'!$B$2</f>
        <v>28/10/2025 01:00</v>
      </c>
      <c r="B36" s="33">
        <f>'28'!B36</f>
        <v>12.040416666666667</v>
      </c>
      <c r="C36" s="33">
        <f>'28'!C36</f>
        <v>9.3141666666666687</v>
      </c>
      <c r="D36" s="33">
        <f>'28'!D36</f>
        <v>14.177916666666667</v>
      </c>
      <c r="E36" s="33">
        <f>'28'!E36</f>
        <v>5.7145833333333327</v>
      </c>
      <c r="F36" s="33">
        <f>'28'!F36</f>
        <v>4.4362500000000002</v>
      </c>
      <c r="G36" s="33">
        <f>'28'!G36</f>
        <v>27.61</v>
      </c>
      <c r="H36" s="33">
        <f>'28'!H36</f>
        <v>10.639583333333336</v>
      </c>
      <c r="I36" s="33">
        <f>'28'!I36</f>
        <v>1.5016666666666669</v>
      </c>
      <c r="J36" s="33">
        <f>'28'!J36</f>
        <v>0.41291666666666665</v>
      </c>
      <c r="K36" s="33">
        <f>'28'!K36</f>
        <v>250.77291666666665</v>
      </c>
      <c r="L36" s="33">
        <f>'28'!L36</f>
        <v>24.635416666666668</v>
      </c>
      <c r="M36" s="33">
        <f>'28'!M36</f>
        <v>96.421250000000001</v>
      </c>
      <c r="N36" s="33">
        <f>'28'!N36</f>
        <v>123.39166666666667</v>
      </c>
      <c r="O36" s="33">
        <f>'28'!O36</f>
        <v>0</v>
      </c>
      <c r="P36" s="30">
        <f>'28'!P36</f>
        <v>0.47083333333333344</v>
      </c>
      <c r="Q36" s="33">
        <f>'28'!Q36</f>
        <v>9.1162499999999991</v>
      </c>
      <c r="R36" s="46"/>
      <c r="S36" s="46"/>
      <c r="T36" s="46"/>
      <c r="U36" s="46"/>
    </row>
    <row r="37" spans="1:21" s="34" customFormat="1" x14ac:dyDescent="0.25">
      <c r="A37" s="36" t="str">
        <f>'29'!$B$2</f>
        <v>29/10/2025 01:00</v>
      </c>
      <c r="B37" s="33">
        <f>'29'!B36</f>
        <v>11.209583333333333</v>
      </c>
      <c r="C37" s="33">
        <f>'29'!C36</f>
        <v>7.6508333333333356</v>
      </c>
      <c r="D37" s="33">
        <f>'29'!D36</f>
        <v>12.805416666666668</v>
      </c>
      <c r="E37" s="33">
        <f>'29'!E36</f>
        <v>5.6916666666666673</v>
      </c>
      <c r="F37" s="33">
        <f>'29'!F36</f>
        <v>4.2033333333333331</v>
      </c>
      <c r="G37" s="33">
        <f>'29'!G36</f>
        <v>21.62541666666667</v>
      </c>
      <c r="H37" s="33">
        <f>'29'!H36</f>
        <v>11.680833333333334</v>
      </c>
      <c r="I37" s="33">
        <f>'29'!I36</f>
        <v>1.1804166666666662</v>
      </c>
      <c r="J37" s="33">
        <f>'29'!J36</f>
        <v>0.71166666666666656</v>
      </c>
      <c r="K37" s="33">
        <f>'29'!K36</f>
        <v>191.00916666666663</v>
      </c>
      <c r="L37" s="33">
        <f>'29'!L36</f>
        <v>24.385416666666661</v>
      </c>
      <c r="M37" s="33">
        <f>'29'!M36</f>
        <v>96.857500000000002</v>
      </c>
      <c r="N37" s="33">
        <f>'29'!N36</f>
        <v>122.07083333333337</v>
      </c>
      <c r="O37" s="33">
        <f>'29'!O36</f>
        <v>0</v>
      </c>
      <c r="P37" s="33">
        <f>'29'!P36</f>
        <v>0.36208333333333331</v>
      </c>
      <c r="Q37" s="33">
        <f>'29'!Q36</f>
        <v>9.1125000000000025</v>
      </c>
      <c r="R37" s="46"/>
      <c r="S37" s="46"/>
      <c r="T37" s="46"/>
      <c r="U37" s="46"/>
    </row>
    <row r="38" spans="1:21" s="34" customFormat="1" x14ac:dyDescent="0.25">
      <c r="A38" s="36" t="str">
        <f>'30'!$B$2</f>
        <v>30/10/2025 01:00</v>
      </c>
      <c r="B38" s="33">
        <f>'30'!B36</f>
        <v>6.9083333333333341</v>
      </c>
      <c r="C38" s="33">
        <f>'30'!C36</f>
        <v>7.583333333333333</v>
      </c>
      <c r="D38" s="33">
        <f>'30'!D36</f>
        <v>9.4079166666666652</v>
      </c>
      <c r="E38" s="33">
        <f>'30'!E36</f>
        <v>5.0779166666666669</v>
      </c>
      <c r="F38" s="33">
        <f>'30'!F36</f>
        <v>4.3849999999999998</v>
      </c>
      <c r="G38" s="33">
        <f>'30'!G36</f>
        <v>12.070833333333335</v>
      </c>
      <c r="H38" s="33">
        <f>'30'!H36</f>
        <v>9.5712499999999974</v>
      </c>
      <c r="I38" s="33">
        <f>'30'!I36</f>
        <v>0.75499999999999989</v>
      </c>
      <c r="J38" s="33">
        <f>'30'!J36</f>
        <v>1.2170833333333329</v>
      </c>
      <c r="K38" s="33">
        <f>'30'!K36</f>
        <v>133.6258333333333</v>
      </c>
      <c r="L38" s="33">
        <f>'30'!L36</f>
        <v>23.512083333333333</v>
      </c>
      <c r="M38" s="33">
        <f>'30'!M36</f>
        <v>98.020416666666677</v>
      </c>
      <c r="N38" s="33">
        <f>'30'!N36</f>
        <v>92.266666666666694</v>
      </c>
      <c r="O38" s="33">
        <f>'30'!O36</f>
        <v>0</v>
      </c>
      <c r="P38" s="33">
        <f>'30'!P36</f>
        <v>0.22125000000000003</v>
      </c>
      <c r="Q38" s="33">
        <f>'30'!Q36</f>
        <v>9.0433333333333348</v>
      </c>
      <c r="R38" s="46"/>
      <c r="S38" s="46"/>
      <c r="T38" s="46"/>
      <c r="U38" s="46"/>
    </row>
    <row r="39" spans="1:21" x14ac:dyDescent="0.25">
      <c r="A39" s="36" t="str">
        <f>'31'!$B$2</f>
        <v>31/10/2025 01:00</v>
      </c>
      <c r="B39" s="33">
        <f>'30'!B37</f>
        <v>1.4702075176407963</v>
      </c>
      <c r="C39" s="33">
        <f>'30'!C37</f>
        <v>2.2465038860738535</v>
      </c>
      <c r="D39" s="33">
        <f>'30'!D37</f>
        <v>0.95881711166582173</v>
      </c>
      <c r="E39" s="33">
        <f>'30'!E37</f>
        <v>0.17557307822414425</v>
      </c>
      <c r="F39" s="33">
        <f>'30'!F37</f>
        <v>2.5984861813722633</v>
      </c>
      <c r="G39" s="33">
        <f>'30'!G37</f>
        <v>9.5340086539971587</v>
      </c>
      <c r="H39" s="33">
        <f>'30'!H37</f>
        <v>4.7951763013334112</v>
      </c>
      <c r="I39" s="33">
        <f>'30'!I37</f>
        <v>0.13367709309149209</v>
      </c>
      <c r="J39" s="33">
        <f>'30'!J37</f>
        <v>0.2643528466580839</v>
      </c>
      <c r="K39" s="33">
        <f>'30'!K37</f>
        <v>14.918845367569688</v>
      </c>
      <c r="L39" s="33">
        <f>'30'!L37</f>
        <v>1.1389353501775499</v>
      </c>
      <c r="M39" s="33">
        <f>'30'!M37</f>
        <v>0.28866226943800799</v>
      </c>
      <c r="N39" s="33">
        <f>'30'!N37</f>
        <v>79.360211620218053</v>
      </c>
      <c r="O39" s="33">
        <f>'30'!O37</f>
        <v>0</v>
      </c>
      <c r="P39" s="33">
        <f>'30'!P37</f>
        <v>6.3746270138116623E-2</v>
      </c>
      <c r="Q39" s="33">
        <f>'30'!Q37</f>
        <v>3.4724589291297438E-2</v>
      </c>
      <c r="R39" s="20"/>
      <c r="S39" s="20"/>
      <c r="T39" s="20"/>
      <c r="U39" s="48"/>
    </row>
    <row r="40" spans="1:21" s="21" customFormat="1" x14ac:dyDescent="0.25">
      <c r="A40" s="14" t="s">
        <v>30</v>
      </c>
      <c r="B40" s="15">
        <f t="shared" ref="B40:Q40" si="0">MIN(B9:B38)</f>
        <v>6.9083333333333341</v>
      </c>
      <c r="C40" s="15">
        <f t="shared" si="0"/>
        <v>7.583333333333333</v>
      </c>
      <c r="D40" s="15">
        <f t="shared" si="0"/>
        <v>9.4079166666666652</v>
      </c>
      <c r="E40" s="15">
        <f t="shared" si="0"/>
        <v>4.4204166666666671</v>
      </c>
      <c r="F40" s="15">
        <f t="shared" si="0"/>
        <v>4.2033333333333331</v>
      </c>
      <c r="G40" s="15">
        <f t="shared" si="0"/>
        <v>12.070833333333335</v>
      </c>
      <c r="H40" s="15">
        <f t="shared" si="0"/>
        <v>6.8058333333333323</v>
      </c>
      <c r="I40" s="15">
        <f t="shared" si="0"/>
        <v>0.75499999999999989</v>
      </c>
      <c r="J40" s="15">
        <f t="shared" si="0"/>
        <v>0.22291666666666668</v>
      </c>
      <c r="K40" s="15">
        <f t="shared" si="0"/>
        <v>133.6258333333333</v>
      </c>
      <c r="L40" s="15">
        <f t="shared" si="0"/>
        <v>23.512083333333333</v>
      </c>
      <c r="M40" s="15">
        <f t="shared" si="0"/>
        <v>68.742499999999993</v>
      </c>
      <c r="N40" s="15">
        <f t="shared" si="0"/>
        <v>92.266666666666694</v>
      </c>
      <c r="O40" s="15">
        <f t="shared" si="0"/>
        <v>0</v>
      </c>
      <c r="P40" s="15">
        <f t="shared" si="0"/>
        <v>0.22125000000000003</v>
      </c>
      <c r="Q40" s="15">
        <f t="shared" si="0"/>
        <v>9.0129166666666674</v>
      </c>
      <c r="R40" s="28"/>
      <c r="S40" s="28"/>
      <c r="T40" s="28"/>
      <c r="U40" s="28"/>
    </row>
    <row r="41" spans="1:21" s="21" customFormat="1" x14ac:dyDescent="0.25">
      <c r="A41" s="14" t="s">
        <v>31</v>
      </c>
      <c r="B41" s="15">
        <f t="shared" ref="B41:Q41" si="1">MAX(B9:B38)</f>
        <v>21.28166666666667</v>
      </c>
      <c r="C41" s="15">
        <f t="shared" si="1"/>
        <v>25.77333333333333</v>
      </c>
      <c r="D41" s="15">
        <f t="shared" si="1"/>
        <v>27.864999999999998</v>
      </c>
      <c r="E41" s="15">
        <f t="shared" si="1"/>
        <v>11.649583333333332</v>
      </c>
      <c r="F41" s="15">
        <f t="shared" si="1"/>
        <v>61.305000000000014</v>
      </c>
      <c r="G41" s="15">
        <f t="shared" si="1"/>
        <v>75.57208333333331</v>
      </c>
      <c r="H41" s="15">
        <f t="shared" si="1"/>
        <v>14.7525</v>
      </c>
      <c r="I41" s="15">
        <f t="shared" si="1"/>
        <v>2.8220833333333331</v>
      </c>
      <c r="J41" s="15">
        <f t="shared" si="1"/>
        <v>1.2170833333333329</v>
      </c>
      <c r="K41" s="15">
        <f t="shared" si="1"/>
        <v>340.11874999999998</v>
      </c>
      <c r="L41" s="15">
        <f t="shared" si="1"/>
        <v>26.69125</v>
      </c>
      <c r="M41" s="15">
        <f t="shared" si="1"/>
        <v>98.196666666666673</v>
      </c>
      <c r="N41" s="15">
        <f t="shared" si="1"/>
        <v>264.22061567939778</v>
      </c>
      <c r="O41" s="15">
        <f t="shared" si="1"/>
        <v>9.1666666666666674E-2</v>
      </c>
      <c r="P41" s="15">
        <f t="shared" si="1"/>
        <v>0.94208333333333316</v>
      </c>
      <c r="Q41" s="15">
        <f t="shared" si="1"/>
        <v>9.3687500000000021</v>
      </c>
      <c r="R41" s="28"/>
      <c r="S41" s="28"/>
      <c r="T41" s="28"/>
      <c r="U41" s="28"/>
    </row>
    <row r="42" spans="1:21" s="21" customFormat="1" x14ac:dyDescent="0.25">
      <c r="A42" s="14" t="s">
        <v>32</v>
      </c>
      <c r="B42" s="15">
        <f t="shared" ref="B42:Q42" si="2">AVERAGE(B9:B38)</f>
        <v>13.539847222222221</v>
      </c>
      <c r="C42" s="15">
        <f t="shared" si="2"/>
        <v>15.659833333333328</v>
      </c>
      <c r="D42" s="15">
        <f t="shared" si="2"/>
        <v>18.510430555555555</v>
      </c>
      <c r="E42" s="15">
        <f t="shared" si="2"/>
        <v>6.755680555555557</v>
      </c>
      <c r="F42" s="15">
        <f t="shared" si="2"/>
        <v>11.943666666666669</v>
      </c>
      <c r="G42" s="15">
        <f t="shared" si="2"/>
        <v>46.71758333333333</v>
      </c>
      <c r="H42" s="15">
        <f t="shared" si="2"/>
        <v>10.077222222222224</v>
      </c>
      <c r="I42" s="15">
        <f t="shared" si="2"/>
        <v>1.9217638888888886</v>
      </c>
      <c r="J42" s="15">
        <f t="shared" si="2"/>
        <v>0.58338888888888885</v>
      </c>
      <c r="K42" s="15">
        <f t="shared" si="2"/>
        <v>252.46344444444449</v>
      </c>
      <c r="L42" s="15">
        <f t="shared" si="2"/>
        <v>25.565624999999997</v>
      </c>
      <c r="M42" s="15">
        <f t="shared" si="2"/>
        <v>89.135333333333335</v>
      </c>
      <c r="N42" s="15">
        <f t="shared" si="2"/>
        <v>189.42297580308903</v>
      </c>
      <c r="O42" s="15">
        <f t="shared" si="2"/>
        <v>7.1941609682128769E-3</v>
      </c>
      <c r="P42" s="15">
        <f t="shared" si="2"/>
        <v>0.6228194444444447</v>
      </c>
      <c r="Q42" s="15">
        <f t="shared" si="2"/>
        <v>9.1528055555555543</v>
      </c>
      <c r="R42" s="28"/>
      <c r="S42" s="28"/>
      <c r="T42" s="28"/>
      <c r="U42" s="28"/>
    </row>
    <row r="43" spans="1:21" s="21" customFormat="1" x14ac:dyDescent="0.25">
      <c r="A43" s="14" t="s">
        <v>38</v>
      </c>
      <c r="B43" s="15">
        <f t="shared" ref="B43:Q43" si="3">STDEV(B9:B38)</f>
        <v>4.3059487824619511</v>
      </c>
      <c r="C43" s="15">
        <f t="shared" si="3"/>
        <v>5.1163482722738278</v>
      </c>
      <c r="D43" s="15">
        <f t="shared" si="3"/>
        <v>4.798294794198485</v>
      </c>
      <c r="E43" s="15">
        <f t="shared" si="3"/>
        <v>1.8395207191259157</v>
      </c>
      <c r="F43" s="15">
        <f t="shared" si="3"/>
        <v>13.751559696196832</v>
      </c>
      <c r="G43" s="15">
        <f t="shared" si="3"/>
        <v>17.974012756181811</v>
      </c>
      <c r="H43" s="15">
        <f t="shared" si="3"/>
        <v>2.5862019490427262</v>
      </c>
      <c r="I43" s="15">
        <f t="shared" si="3"/>
        <v>0.44612494066526853</v>
      </c>
      <c r="J43" s="15">
        <f t="shared" si="3"/>
        <v>0.21493602399904038</v>
      </c>
      <c r="K43" s="15">
        <f t="shared" si="3"/>
        <v>55.680429880870527</v>
      </c>
      <c r="L43" s="15">
        <f t="shared" si="3"/>
        <v>0.90912577969684083</v>
      </c>
      <c r="M43" s="15">
        <f t="shared" si="3"/>
        <v>8.6877066035688344</v>
      </c>
      <c r="N43" s="15">
        <f t="shared" si="3"/>
        <v>39.706493128399615</v>
      </c>
      <c r="O43" s="15">
        <f t="shared" si="3"/>
        <v>1.9367478067768062E-2</v>
      </c>
      <c r="P43" s="15">
        <f t="shared" si="3"/>
        <v>0.16988377405573449</v>
      </c>
      <c r="Q43" s="15">
        <f t="shared" si="3"/>
        <v>9.0465215085607883E-2</v>
      </c>
      <c r="R43" s="28"/>
      <c r="S43" s="28"/>
      <c r="T43" s="28"/>
      <c r="U43" s="28"/>
    </row>
    <row r="44" spans="1:21" s="21" customFormat="1" x14ac:dyDescent="0.25">
      <c r="A44" s="14" t="s">
        <v>33</v>
      </c>
      <c r="B44" s="12">
        <f>COUNT(B9:B39)</f>
        <v>31</v>
      </c>
      <c r="C44" s="12">
        <f t="shared" ref="C44:Q44" si="4">COUNT(C9:C39)</f>
        <v>31</v>
      </c>
      <c r="D44" s="12">
        <f t="shared" si="4"/>
        <v>31</v>
      </c>
      <c r="E44" s="12">
        <f t="shared" si="4"/>
        <v>31</v>
      </c>
      <c r="F44" s="12">
        <f t="shared" si="4"/>
        <v>31</v>
      </c>
      <c r="G44" s="12">
        <f t="shared" si="4"/>
        <v>31</v>
      </c>
      <c r="H44" s="12">
        <f t="shared" si="4"/>
        <v>31</v>
      </c>
      <c r="I44" s="12">
        <f t="shared" si="4"/>
        <v>31</v>
      </c>
      <c r="J44" s="12">
        <f t="shared" si="4"/>
        <v>31</v>
      </c>
      <c r="K44" s="12">
        <f t="shared" si="4"/>
        <v>31</v>
      </c>
      <c r="L44" s="12">
        <f t="shared" si="4"/>
        <v>31</v>
      </c>
      <c r="M44" s="12">
        <f t="shared" si="4"/>
        <v>31</v>
      </c>
      <c r="N44" s="12">
        <f t="shared" si="4"/>
        <v>31</v>
      </c>
      <c r="O44" s="12">
        <f t="shared" si="4"/>
        <v>31</v>
      </c>
      <c r="P44" s="12">
        <f t="shared" si="4"/>
        <v>31</v>
      </c>
      <c r="Q44" s="12">
        <f t="shared" si="4"/>
        <v>31</v>
      </c>
      <c r="R44" s="29"/>
      <c r="S44" s="29"/>
      <c r="T44" s="29"/>
      <c r="U44" s="29"/>
    </row>
    <row r="45" spans="1:21" s="21" customFormat="1" x14ac:dyDescent="0.25">
      <c r="A45" s="14" t="s">
        <v>34</v>
      </c>
      <c r="B45" s="12" t="str">
        <f>IF(B44&gt;=28,"&gt;90%",IF(B44&lt;=28,"&lt;90%"))</f>
        <v>&gt;90%</v>
      </c>
      <c r="C45" s="12" t="str">
        <f t="shared" ref="C45:Q45" si="5">IF(C44&gt;=28,"&gt;90%",IF(C44&lt;=28,"&lt;90%"))</f>
        <v>&gt;90%</v>
      </c>
      <c r="D45" s="12" t="str">
        <f t="shared" si="5"/>
        <v>&gt;90%</v>
      </c>
      <c r="E45" s="12" t="str">
        <f t="shared" si="5"/>
        <v>&gt;90%</v>
      </c>
      <c r="F45" s="12" t="str">
        <f t="shared" si="5"/>
        <v>&gt;90%</v>
      </c>
      <c r="G45" s="12" t="str">
        <f t="shared" si="5"/>
        <v>&gt;90%</v>
      </c>
      <c r="H45" s="12" t="str">
        <f t="shared" si="5"/>
        <v>&gt;90%</v>
      </c>
      <c r="I45" s="12" t="str">
        <f t="shared" si="5"/>
        <v>&gt;90%</v>
      </c>
      <c r="J45" s="12" t="str">
        <f t="shared" si="5"/>
        <v>&gt;90%</v>
      </c>
      <c r="K45" s="12" t="str">
        <f t="shared" si="5"/>
        <v>&gt;90%</v>
      </c>
      <c r="L45" s="12" t="str">
        <f t="shared" si="5"/>
        <v>&gt;90%</v>
      </c>
      <c r="M45" s="12" t="str">
        <f t="shared" si="5"/>
        <v>&gt;90%</v>
      </c>
      <c r="N45" s="12" t="str">
        <f t="shared" si="5"/>
        <v>&gt;90%</v>
      </c>
      <c r="O45" s="12" t="str">
        <f t="shared" si="5"/>
        <v>&gt;90%</v>
      </c>
      <c r="P45" s="12" t="str">
        <f t="shared" si="5"/>
        <v>&gt;90%</v>
      </c>
      <c r="Q45" s="12" t="str">
        <f t="shared" si="5"/>
        <v>&gt;90%</v>
      </c>
      <c r="R45" s="29"/>
      <c r="S45" s="29"/>
      <c r="T45" s="29"/>
      <c r="U45" s="29"/>
    </row>
    <row r="46" spans="1:21" s="21" customFormat="1" x14ac:dyDescent="0.25">
      <c r="A46" s="14" t="s">
        <v>1</v>
      </c>
      <c r="B46" s="12" t="str">
        <f>IF(B44&gt;=28,"OK",IF(B44&lt;=28,"LESS"))</f>
        <v>OK</v>
      </c>
      <c r="C46" s="12" t="str">
        <f t="shared" ref="C46:Q46" si="6">IF(C44&gt;=28,"OK",IF(C44&lt;=28,"LESS"))</f>
        <v>OK</v>
      </c>
      <c r="D46" s="12" t="str">
        <f t="shared" si="6"/>
        <v>OK</v>
      </c>
      <c r="E46" s="12" t="str">
        <f t="shared" si="6"/>
        <v>OK</v>
      </c>
      <c r="F46" s="12" t="str">
        <f t="shared" si="6"/>
        <v>OK</v>
      </c>
      <c r="G46" s="12" t="str">
        <f t="shared" si="6"/>
        <v>OK</v>
      </c>
      <c r="H46" s="12" t="str">
        <f t="shared" si="6"/>
        <v>OK</v>
      </c>
      <c r="I46" s="12" t="str">
        <f t="shared" si="6"/>
        <v>OK</v>
      </c>
      <c r="J46" s="12" t="str">
        <f t="shared" si="6"/>
        <v>OK</v>
      </c>
      <c r="K46" s="12" t="str">
        <f t="shared" si="6"/>
        <v>OK</v>
      </c>
      <c r="L46" s="12" t="str">
        <f t="shared" si="6"/>
        <v>OK</v>
      </c>
      <c r="M46" s="12" t="str">
        <f t="shared" si="6"/>
        <v>OK</v>
      </c>
      <c r="N46" s="12" t="str">
        <f t="shared" si="6"/>
        <v>OK</v>
      </c>
      <c r="O46" s="12" t="str">
        <f t="shared" si="6"/>
        <v>OK</v>
      </c>
      <c r="P46" s="12" t="str">
        <f t="shared" si="6"/>
        <v>OK</v>
      </c>
      <c r="Q46" s="12" t="str">
        <f t="shared" si="6"/>
        <v>OK</v>
      </c>
      <c r="R46" s="29"/>
      <c r="S46" s="29"/>
      <c r="T46" s="29"/>
      <c r="U46" s="29"/>
    </row>
    <row r="47" spans="1:21" x14ac:dyDescent="0.25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9" spans="1:16" x14ac:dyDescent="0.25">
      <c r="A49" s="14" t="s">
        <v>35</v>
      </c>
      <c r="B49" s="40" t="s">
        <v>41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x14ac:dyDescent="0.25">
      <c r="A50" s="13"/>
      <c r="B50" s="21"/>
      <c r="C50" s="21"/>
      <c r="D50" s="1"/>
      <c r="E50" s="1"/>
      <c r="F50" s="1"/>
      <c r="G50" s="1"/>
      <c r="H50" s="1"/>
      <c r="I50" s="1"/>
      <c r="J50" s="21"/>
      <c r="K50" s="21"/>
      <c r="L50" s="21"/>
      <c r="M50" s="21"/>
      <c r="N50" s="21"/>
      <c r="O50" s="21"/>
      <c r="P50" s="21"/>
    </row>
    <row r="51" spans="1:16" ht="15.75" x14ac:dyDescent="0.25">
      <c r="A51" s="17" t="s">
        <v>36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</row>
    <row r="52" spans="1:16" x14ac:dyDescent="0.25">
      <c r="A52" s="1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x14ac:dyDescent="0.2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x14ac:dyDescent="0.2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</sheetData>
  <mergeCells count="1">
    <mergeCell ref="B51:P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30</vt:lpstr>
    </vt:vector>
  </TitlesOfParts>
  <Manager/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2025-12-03T13:59:38Z</dcterms:modified>
  <cp:category/>
</cp:coreProperties>
</file>