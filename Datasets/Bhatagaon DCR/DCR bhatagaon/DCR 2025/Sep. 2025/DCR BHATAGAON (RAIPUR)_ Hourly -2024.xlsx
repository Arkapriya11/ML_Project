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</sheets>
  <calcPr calcId="144525"/>
</workbook>
</file>

<file path=xl/calcChain.xml><?xml version="1.0" encoding="utf-8"?>
<calcChain xmlns="http://schemas.openxmlformats.org/spreadsheetml/2006/main">
  <c r="N17" i="39" l="1"/>
  <c r="O17" i="39"/>
  <c r="P17" i="39"/>
  <c r="N15" i="39"/>
  <c r="O15" i="39"/>
  <c r="P15" i="39"/>
  <c r="H38" i="24"/>
  <c r="G38" i="24"/>
  <c r="C38" i="24"/>
  <c r="D38" i="24"/>
  <c r="B38" i="24"/>
  <c r="H38" i="23"/>
  <c r="G38" i="23"/>
  <c r="G38" i="13" l="1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B38" i="12"/>
  <c r="H38" i="2"/>
  <c r="G38" i="2"/>
  <c r="B2" i="20" l="1"/>
  <c r="D38" i="39"/>
  <c r="C38" i="39"/>
  <c r="D37" i="39"/>
  <c r="I34" i="39"/>
  <c r="H33" i="39"/>
  <c r="K31" i="39"/>
  <c r="J31" i="39"/>
  <c r="N30" i="39"/>
  <c r="M30" i="39"/>
  <c r="N29" i="39"/>
  <c r="L29" i="39"/>
  <c r="M28" i="39"/>
  <c r="N27" i="39"/>
  <c r="Q24" i="39"/>
  <c r="A24" i="39"/>
  <c r="B23" i="39"/>
  <c r="A23" i="39"/>
  <c r="E22" i="39"/>
  <c r="C22" i="39"/>
  <c r="D21" i="39"/>
  <c r="I20" i="39"/>
  <c r="O19" i="39"/>
  <c r="C19" i="39"/>
  <c r="B19" i="39"/>
  <c r="Q18" i="39"/>
  <c r="P18" i="39"/>
  <c r="N18" i="39"/>
  <c r="A18" i="39"/>
  <c r="K17" i="39"/>
  <c r="C17" i="39"/>
  <c r="N16" i="39"/>
  <c r="J16" i="39"/>
  <c r="C15" i="39"/>
  <c r="K14" i="39"/>
  <c r="I14" i="39"/>
  <c r="H14" i="39"/>
  <c r="L13" i="39"/>
  <c r="M12" i="39"/>
  <c r="P10" i="39"/>
  <c r="M9" i="39"/>
  <c r="Q40" i="41"/>
  <c r="Q39" i="41"/>
  <c r="Q38" i="4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E38" i="39" s="1"/>
  <c r="D36" i="41"/>
  <c r="C36" i="4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39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G37" i="39" s="1"/>
  <c r="F36" i="40"/>
  <c r="F37" i="39" s="1"/>
  <c r="E36" i="40"/>
  <c r="E37" i="39" s="1"/>
  <c r="D36" i="40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38" i="33"/>
  <c r="D40" i="33" s="1"/>
  <c r="C38" i="33"/>
  <c r="C40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40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H39" i="3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40" i="30" s="1"/>
  <c r="G38" i="30"/>
  <c r="G40" i="30" s="1"/>
  <c r="F38" i="30"/>
  <c r="F40" i="30" s="1"/>
  <c r="E38" i="30"/>
  <c r="E40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39" i="29" s="1"/>
  <c r="I38" i="29"/>
  <c r="I39" i="29" s="1"/>
  <c r="H38" i="29"/>
  <c r="H40" i="29" s="1"/>
  <c r="G38" i="29"/>
  <c r="G40" i="29" s="1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39" i="28" s="1"/>
  <c r="I38" i="28"/>
  <c r="I40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J36" i="28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39" i="27" s="1"/>
  <c r="K38" i="27"/>
  <c r="K39" i="27" s="1"/>
  <c r="J38" i="27"/>
  <c r="J40" i="27" s="1"/>
  <c r="I38" i="27"/>
  <c r="I40" i="27" s="1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M36" i="27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M36" i="26"/>
  <c r="M29" i="39" s="1"/>
  <c r="L36" i="26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J40" i="25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39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40" i="24"/>
  <c r="G40" i="24"/>
  <c r="F38" i="24"/>
  <c r="F40" i="24" s="1"/>
  <c r="E38" i="24"/>
  <c r="E40" i="24" s="1"/>
  <c r="D40" i="24"/>
  <c r="C40" i="24"/>
  <c r="B40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40" i="23"/>
  <c r="G40" i="23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40" i="21" s="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P39" i="19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38" i="19"/>
  <c r="H40" i="19" s="1"/>
  <c r="G38" i="19"/>
  <c r="G40" i="19" s="1"/>
  <c r="F38" i="19"/>
  <c r="F40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D36" i="19"/>
  <c r="D22" i="39" s="1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O40" i="18"/>
  <c r="O39" i="18"/>
  <c r="Q38" i="18"/>
  <c r="Q40" i="18" s="1"/>
  <c r="P38" i="18"/>
  <c r="P40" i="18" s="1"/>
  <c r="O38" i="18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39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L39" i="16"/>
  <c r="I39" i="16"/>
  <c r="D39" i="16"/>
  <c r="Q38" i="16"/>
  <c r="Q39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B36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O39" i="15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P36" i="15"/>
  <c r="O36" i="15"/>
  <c r="O18" i="39" s="1"/>
  <c r="N36" i="15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39" i="14" s="1"/>
  <c r="I38" i="14"/>
  <c r="I40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40" i="13"/>
  <c r="G40" i="13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M36" i="13"/>
  <c r="M16" i="39" s="1"/>
  <c r="L36" i="13"/>
  <c r="L16" i="39" s="1"/>
  <c r="K36" i="13"/>
  <c r="K16" i="39" s="1"/>
  <c r="J36" i="13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J40" i="12"/>
  <c r="Q40" i="12"/>
  <c r="P40" i="12"/>
  <c r="O40" i="12"/>
  <c r="N40" i="12"/>
  <c r="M40" i="12"/>
  <c r="L40" i="12"/>
  <c r="K40" i="12"/>
  <c r="J39" i="12"/>
  <c r="I40" i="12"/>
  <c r="H40" i="12"/>
  <c r="G40" i="12"/>
  <c r="F40" i="12"/>
  <c r="E40" i="12"/>
  <c r="D40" i="12"/>
  <c r="C40" i="12"/>
  <c r="B40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39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39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J36" i="11"/>
  <c r="J14" i="39" s="1"/>
  <c r="I36" i="11"/>
  <c r="H36" i="1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H40" i="10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39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39" i="9" s="1"/>
  <c r="H38" i="9"/>
  <c r="H40" i="9" s="1"/>
  <c r="G38" i="9"/>
  <c r="G40" i="9" s="1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K40" i="2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39" i="2" s="1"/>
  <c r="J38" i="2"/>
  <c r="J40" i="2" s="1"/>
  <c r="I38" i="2"/>
  <c r="I40" i="2" s="1"/>
  <c r="H40" i="2"/>
  <c r="G40" i="2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B39" i="41" l="1"/>
  <c r="P39" i="41"/>
  <c r="C39" i="41"/>
  <c r="D39" i="41"/>
  <c r="E39" i="41"/>
  <c r="F39" i="41"/>
  <c r="G39" i="41"/>
  <c r="H39" i="41"/>
  <c r="I39" i="41"/>
  <c r="J39" i="41"/>
  <c r="K39" i="41"/>
  <c r="L39" i="41"/>
  <c r="M39" i="41"/>
  <c r="N39" i="41"/>
  <c r="O39" i="41"/>
  <c r="B39" i="40"/>
  <c r="C39" i="40"/>
  <c r="D39" i="40"/>
  <c r="E39" i="40"/>
  <c r="F39" i="40"/>
  <c r="G39" i="40"/>
  <c r="H39" i="40"/>
  <c r="I39" i="40"/>
  <c r="J39" i="40"/>
  <c r="K39" i="40"/>
  <c r="L39" i="40"/>
  <c r="Q40" i="40"/>
  <c r="M39" i="40"/>
  <c r="N39" i="40"/>
  <c r="O39" i="40"/>
  <c r="P39" i="40"/>
  <c r="C39" i="33"/>
  <c r="D39" i="33"/>
  <c r="E39" i="33"/>
  <c r="F39" i="33"/>
  <c r="G39" i="33"/>
  <c r="H39" i="33"/>
  <c r="I39" i="33"/>
  <c r="J39" i="33"/>
  <c r="K39" i="33"/>
  <c r="L39" i="33"/>
  <c r="M39" i="33"/>
  <c r="N39" i="33"/>
  <c r="O39" i="33"/>
  <c r="P39" i="33"/>
  <c r="Q39" i="33"/>
  <c r="B39" i="33"/>
  <c r="E39" i="32"/>
  <c r="F39" i="32"/>
  <c r="G39" i="32"/>
  <c r="H39" i="32"/>
  <c r="I39" i="32"/>
  <c r="J39" i="32"/>
  <c r="K39" i="32"/>
  <c r="L39" i="32"/>
  <c r="M39" i="32"/>
  <c r="N39" i="32"/>
  <c r="O39" i="32"/>
  <c r="P39" i="32"/>
  <c r="Q39" i="32"/>
  <c r="B39" i="32"/>
  <c r="C39" i="32"/>
  <c r="D39" i="32"/>
  <c r="F39" i="31"/>
  <c r="G39" i="31"/>
  <c r="I39" i="31"/>
  <c r="J39" i="31"/>
  <c r="K39" i="31"/>
  <c r="L39" i="31"/>
  <c r="M39" i="31"/>
  <c r="N39" i="31"/>
  <c r="O39" i="31"/>
  <c r="P39" i="31"/>
  <c r="Q39" i="31"/>
  <c r="B39" i="31"/>
  <c r="C39" i="31"/>
  <c r="D39" i="31"/>
  <c r="E39" i="31"/>
  <c r="H39" i="30"/>
  <c r="I39" i="30"/>
  <c r="J39" i="30"/>
  <c r="K39" i="30"/>
  <c r="L39" i="30"/>
  <c r="M39" i="30"/>
  <c r="N39" i="30"/>
  <c r="O39" i="30"/>
  <c r="G39" i="30"/>
  <c r="P39" i="30"/>
  <c r="Q39" i="30"/>
  <c r="B39" i="30"/>
  <c r="C39" i="30"/>
  <c r="D39" i="30"/>
  <c r="E39" i="30"/>
  <c r="F39" i="30"/>
  <c r="K39" i="29"/>
  <c r="L39" i="29"/>
  <c r="I40" i="29"/>
  <c r="M39" i="29"/>
  <c r="N39" i="29"/>
  <c r="O39" i="29"/>
  <c r="P39" i="29"/>
  <c r="J40" i="29"/>
  <c r="Q39" i="29"/>
  <c r="B39" i="29"/>
  <c r="C39" i="29"/>
  <c r="D39" i="29"/>
  <c r="E39" i="29"/>
  <c r="F39" i="29"/>
  <c r="G39" i="29"/>
  <c r="H39" i="29"/>
  <c r="K39" i="28"/>
  <c r="L39" i="28"/>
  <c r="M39" i="28"/>
  <c r="N39" i="28"/>
  <c r="O39" i="28"/>
  <c r="P39" i="28"/>
  <c r="I39" i="28"/>
  <c r="J40" i="28"/>
  <c r="Q39" i="28"/>
  <c r="B39" i="28"/>
  <c r="C39" i="28"/>
  <c r="D39" i="28"/>
  <c r="E39" i="28"/>
  <c r="F39" i="28"/>
  <c r="G39" i="28"/>
  <c r="H39" i="28"/>
  <c r="I39" i="27"/>
  <c r="J39" i="27"/>
  <c r="M39" i="27"/>
  <c r="N39" i="27"/>
  <c r="O39" i="27"/>
  <c r="P39" i="27"/>
  <c r="Q39" i="27"/>
  <c r="L40" i="27"/>
  <c r="B39" i="27"/>
  <c r="C39" i="27"/>
  <c r="D39" i="27"/>
  <c r="K40" i="27"/>
  <c r="E39" i="27"/>
  <c r="F39" i="27"/>
  <c r="G39" i="27"/>
  <c r="H39" i="27"/>
  <c r="I39" i="26"/>
  <c r="J39" i="26"/>
  <c r="L39" i="26"/>
  <c r="M39" i="26"/>
  <c r="N39" i="26"/>
  <c r="O39" i="26"/>
  <c r="P39" i="26"/>
  <c r="Q39" i="26"/>
  <c r="B39" i="26"/>
  <c r="C39" i="26"/>
  <c r="D39" i="26"/>
  <c r="K39" i="26"/>
  <c r="E39" i="26"/>
  <c r="F39" i="26"/>
  <c r="G39" i="26"/>
  <c r="H39" i="26"/>
  <c r="K39" i="25"/>
  <c r="L39" i="25"/>
  <c r="M39" i="25"/>
  <c r="N39" i="25"/>
  <c r="O39" i="25"/>
  <c r="P39" i="25"/>
  <c r="Q39" i="25"/>
  <c r="B39" i="25"/>
  <c r="C39" i="25"/>
  <c r="D39" i="25"/>
  <c r="E39" i="25"/>
  <c r="F39" i="25"/>
  <c r="G39" i="25"/>
  <c r="H39" i="25"/>
  <c r="I39" i="25"/>
  <c r="K39" i="24"/>
  <c r="L39" i="24"/>
  <c r="M39" i="24"/>
  <c r="N39" i="24"/>
  <c r="O39" i="24"/>
  <c r="P39" i="24"/>
  <c r="Q39" i="24"/>
  <c r="B39" i="24"/>
  <c r="C39" i="24"/>
  <c r="D39" i="24"/>
  <c r="E39" i="24"/>
  <c r="F39" i="24"/>
  <c r="G39" i="24"/>
  <c r="H39" i="24"/>
  <c r="I39" i="24"/>
  <c r="J39" i="24"/>
  <c r="M39" i="23"/>
  <c r="N39" i="23"/>
  <c r="O39" i="23"/>
  <c r="P39" i="23"/>
  <c r="Q39" i="23"/>
  <c r="B39" i="23"/>
  <c r="C39" i="23"/>
  <c r="D39" i="23"/>
  <c r="E39" i="23"/>
  <c r="F39" i="23"/>
  <c r="G39" i="23"/>
  <c r="H39" i="23"/>
  <c r="I39" i="23"/>
  <c r="J39" i="23"/>
  <c r="K39" i="23"/>
  <c r="L39" i="23"/>
  <c r="O39" i="22"/>
  <c r="P39" i="22"/>
  <c r="Q39" i="22"/>
  <c r="B39" i="22"/>
  <c r="C39" i="22"/>
  <c r="D39" i="22"/>
  <c r="E39" i="22"/>
  <c r="F39" i="22"/>
  <c r="G39" i="22"/>
  <c r="H39" i="22"/>
  <c r="I39" i="22"/>
  <c r="J39" i="22"/>
  <c r="K39" i="22"/>
  <c r="L39" i="22"/>
  <c r="M39" i="22"/>
  <c r="N39" i="22"/>
  <c r="P39" i="21"/>
  <c r="Q39" i="21"/>
  <c r="B39" i="21"/>
  <c r="C39" i="21"/>
  <c r="O39" i="21"/>
  <c r="D39" i="21"/>
  <c r="E39" i="21"/>
  <c r="F39" i="21"/>
  <c r="G39" i="21"/>
  <c r="H39" i="21"/>
  <c r="I39" i="21"/>
  <c r="J39" i="21"/>
  <c r="K39" i="21"/>
  <c r="L39" i="21"/>
  <c r="M39" i="21"/>
  <c r="N39" i="21"/>
  <c r="P39" i="20"/>
  <c r="O39" i="20"/>
  <c r="Q39" i="20"/>
  <c r="B39" i="20"/>
  <c r="C39" i="20"/>
  <c r="D39" i="20"/>
  <c r="E39" i="20"/>
  <c r="F39" i="20"/>
  <c r="G39" i="20"/>
  <c r="H39" i="20"/>
  <c r="I39" i="20"/>
  <c r="J39" i="20"/>
  <c r="K39" i="20"/>
  <c r="L39" i="20"/>
  <c r="M39" i="20"/>
  <c r="N39" i="20"/>
  <c r="N39" i="19"/>
  <c r="O39" i="19"/>
  <c r="Q39" i="19"/>
  <c r="B39" i="19"/>
  <c r="C39" i="19"/>
  <c r="D39" i="19"/>
  <c r="E39" i="19"/>
  <c r="F39" i="19"/>
  <c r="G39" i="19"/>
  <c r="H39" i="19"/>
  <c r="I39" i="19"/>
  <c r="J39" i="19"/>
  <c r="K39" i="19"/>
  <c r="L39" i="19"/>
  <c r="M39" i="19"/>
  <c r="P39" i="18"/>
  <c r="Q39" i="18"/>
  <c r="B39" i="18"/>
  <c r="C39" i="18"/>
  <c r="D39" i="18"/>
  <c r="E39" i="18"/>
  <c r="F39" i="18"/>
  <c r="G39" i="18"/>
  <c r="H39" i="18"/>
  <c r="I39" i="18"/>
  <c r="J39" i="18"/>
  <c r="K39" i="18"/>
  <c r="L39" i="18"/>
  <c r="M39" i="18"/>
  <c r="N39" i="18"/>
  <c r="P39" i="17"/>
  <c r="Q39" i="17"/>
  <c r="B39" i="17"/>
  <c r="D40" i="17"/>
  <c r="C39" i="17"/>
  <c r="E39" i="17"/>
  <c r="F39" i="17"/>
  <c r="G39" i="17"/>
  <c r="H39" i="17"/>
  <c r="I39" i="17"/>
  <c r="J39" i="17"/>
  <c r="K39" i="17"/>
  <c r="L39" i="17"/>
  <c r="M39" i="17"/>
  <c r="N39" i="17"/>
  <c r="O39" i="17"/>
  <c r="O39" i="16"/>
  <c r="P39" i="16"/>
  <c r="Q40" i="16"/>
  <c r="B39" i="16"/>
  <c r="C39" i="16"/>
  <c r="E39" i="16"/>
  <c r="F39" i="16"/>
  <c r="G39" i="16"/>
  <c r="H39" i="16"/>
  <c r="J39" i="16"/>
  <c r="K39" i="16"/>
  <c r="M39" i="16"/>
  <c r="N39" i="16"/>
  <c r="M39" i="15"/>
  <c r="N39" i="15"/>
  <c r="P39" i="15"/>
  <c r="Q39" i="15"/>
  <c r="B39" i="15"/>
  <c r="C39" i="15"/>
  <c r="D39" i="15"/>
  <c r="E39" i="15"/>
  <c r="F39" i="15"/>
  <c r="G39" i="15"/>
  <c r="H39" i="15"/>
  <c r="I39" i="15"/>
  <c r="J39" i="15"/>
  <c r="K39" i="15"/>
  <c r="L39" i="15"/>
  <c r="J40" i="14"/>
  <c r="K39" i="14"/>
  <c r="L39" i="14"/>
  <c r="M39" i="14"/>
  <c r="N39" i="14"/>
  <c r="O39" i="14"/>
  <c r="P39" i="14"/>
  <c r="Q39" i="14"/>
  <c r="B39" i="14"/>
  <c r="C39" i="14"/>
  <c r="D39" i="14"/>
  <c r="E39" i="14"/>
  <c r="F39" i="14"/>
  <c r="G39" i="14"/>
  <c r="H39" i="14"/>
  <c r="I39" i="14"/>
  <c r="I39" i="13"/>
  <c r="J39" i="13"/>
  <c r="K39" i="13"/>
  <c r="L39" i="13"/>
  <c r="M39" i="13"/>
  <c r="N39" i="13"/>
  <c r="O39" i="13"/>
  <c r="P39" i="13"/>
  <c r="Q39" i="13"/>
  <c r="B39" i="13"/>
  <c r="C39" i="13"/>
  <c r="D39" i="13"/>
  <c r="E39" i="13"/>
  <c r="F39" i="13"/>
  <c r="G39" i="13"/>
  <c r="H39" i="13"/>
  <c r="H39" i="12"/>
  <c r="Q39" i="12"/>
  <c r="I39" i="12"/>
  <c r="K39" i="12"/>
  <c r="L39" i="12"/>
  <c r="M39" i="12"/>
  <c r="N39" i="12"/>
  <c r="O39" i="12"/>
  <c r="P39" i="12"/>
  <c r="B39" i="12"/>
  <c r="C39" i="12"/>
  <c r="D39" i="12"/>
  <c r="E39" i="12"/>
  <c r="F39" i="12"/>
  <c r="G39" i="12"/>
  <c r="G39" i="11"/>
  <c r="H39" i="11"/>
  <c r="I39" i="11"/>
  <c r="J39" i="11"/>
  <c r="K39" i="11"/>
  <c r="L39" i="11"/>
  <c r="M40" i="11"/>
  <c r="N39" i="11"/>
  <c r="O39" i="11"/>
  <c r="P39" i="11"/>
  <c r="Q39" i="11"/>
  <c r="B39" i="11"/>
  <c r="C39" i="11"/>
  <c r="D39" i="11"/>
  <c r="E40" i="11"/>
  <c r="F39" i="11"/>
  <c r="I39" i="10"/>
  <c r="J39" i="10"/>
  <c r="K39" i="10"/>
  <c r="L39" i="10"/>
  <c r="M39" i="10"/>
  <c r="N39" i="10"/>
  <c r="O39" i="10"/>
  <c r="P39" i="10"/>
  <c r="Q39" i="10"/>
  <c r="B39" i="10"/>
  <c r="C39" i="10"/>
  <c r="D39" i="10"/>
  <c r="E39" i="10"/>
  <c r="F39" i="10"/>
  <c r="G39" i="10"/>
  <c r="J39" i="9"/>
  <c r="K39" i="9"/>
  <c r="L39" i="9"/>
  <c r="I40" i="9"/>
  <c r="M39" i="9"/>
  <c r="N39" i="9"/>
  <c r="O39" i="9"/>
  <c r="P39" i="9"/>
  <c r="Q39" i="9"/>
  <c r="B39" i="9"/>
  <c r="C39" i="9"/>
  <c r="D39" i="9"/>
  <c r="E39" i="9"/>
  <c r="F39" i="9"/>
  <c r="G39" i="9"/>
  <c r="H39" i="9"/>
  <c r="K39" i="8"/>
  <c r="L39" i="8"/>
  <c r="M39" i="8"/>
  <c r="N39" i="8"/>
  <c r="O39" i="8"/>
  <c r="P39" i="8"/>
  <c r="Q39" i="8"/>
  <c r="B39" i="8"/>
  <c r="C39" i="8"/>
  <c r="D39" i="8"/>
  <c r="E39" i="8"/>
  <c r="F39" i="8"/>
  <c r="G39" i="8"/>
  <c r="H39" i="8"/>
  <c r="I39" i="8"/>
  <c r="J39" i="8"/>
  <c r="J39" i="3"/>
  <c r="K40" i="3"/>
  <c r="L39" i="3"/>
  <c r="M39" i="3"/>
  <c r="M44" i="39"/>
  <c r="M46" i="39" s="1"/>
  <c r="N39" i="3"/>
  <c r="O39" i="3"/>
  <c r="P39" i="3"/>
  <c r="Q39" i="3"/>
  <c r="B39" i="3"/>
  <c r="C39" i="3"/>
  <c r="D39" i="3"/>
  <c r="E39" i="3"/>
  <c r="F39" i="3"/>
  <c r="G39" i="3"/>
  <c r="H39" i="3"/>
  <c r="I39" i="3"/>
  <c r="O44" i="39"/>
  <c r="O43" i="39"/>
  <c r="O42" i="39"/>
  <c r="O41" i="39"/>
  <c r="O40" i="39"/>
  <c r="P40" i="39"/>
  <c r="P44" i="39"/>
  <c r="P42" i="39"/>
  <c r="P41" i="39"/>
  <c r="P43" i="39"/>
  <c r="N44" i="39"/>
  <c r="N43" i="39"/>
  <c r="N42" i="39"/>
  <c r="N41" i="39"/>
  <c r="N40" i="39"/>
  <c r="Q44" i="39"/>
  <c r="Q43" i="39"/>
  <c r="Q42" i="39"/>
  <c r="Q41" i="39"/>
  <c r="Q40" i="39"/>
  <c r="B44" i="39"/>
  <c r="B43" i="39"/>
  <c r="B42" i="39"/>
  <c r="B41" i="39"/>
  <c r="B40" i="39"/>
  <c r="C44" i="39"/>
  <c r="C43" i="39"/>
  <c r="C42" i="39"/>
  <c r="C41" i="39"/>
  <c r="C40" i="39"/>
  <c r="D44" i="39"/>
  <c r="D43" i="39"/>
  <c r="D42" i="39"/>
  <c r="D41" i="39"/>
  <c r="D40" i="39"/>
  <c r="E44" i="39"/>
  <c r="E43" i="39"/>
  <c r="E42" i="39"/>
  <c r="E41" i="39"/>
  <c r="E40" i="39"/>
  <c r="F44" i="39"/>
  <c r="F43" i="39"/>
  <c r="F42" i="39"/>
  <c r="F41" i="39"/>
  <c r="F40" i="39"/>
  <c r="G44" i="39"/>
  <c r="G43" i="39"/>
  <c r="G42" i="39"/>
  <c r="G41" i="39"/>
  <c r="G40" i="39"/>
  <c r="H44" i="39"/>
  <c r="H43" i="39"/>
  <c r="H42" i="39"/>
  <c r="H41" i="39"/>
  <c r="H40" i="39"/>
  <c r="I44" i="39"/>
  <c r="I43" i="39"/>
  <c r="I42" i="39"/>
  <c r="I41" i="39"/>
  <c r="I40" i="39"/>
  <c r="J44" i="39"/>
  <c r="J43" i="39"/>
  <c r="J42" i="39"/>
  <c r="J41" i="39"/>
  <c r="J40" i="39"/>
  <c r="K44" i="39"/>
  <c r="K43" i="39"/>
  <c r="K42" i="39"/>
  <c r="K41" i="39"/>
  <c r="K40" i="39"/>
  <c r="L44" i="39"/>
  <c r="L43" i="39"/>
  <c r="L42" i="39"/>
  <c r="L41" i="39"/>
  <c r="L40" i="39"/>
  <c r="N39" i="2"/>
  <c r="O39" i="2"/>
  <c r="P39" i="2"/>
  <c r="Q39" i="2"/>
  <c r="B39" i="2"/>
  <c r="C39" i="2"/>
  <c r="D39" i="2"/>
  <c r="E39" i="2"/>
  <c r="F39" i="2"/>
  <c r="G39" i="2"/>
  <c r="H39" i="2"/>
  <c r="M40" i="39"/>
  <c r="M41" i="39"/>
  <c r="M42" i="39"/>
  <c r="M43" i="39"/>
  <c r="I39" i="2"/>
  <c r="J39" i="2"/>
  <c r="L39" i="2"/>
  <c r="M39" i="2"/>
  <c r="M45" i="39" l="1"/>
  <c r="J46" i="39"/>
  <c r="J45" i="39"/>
  <c r="Q46" i="39"/>
  <c r="Q45" i="39"/>
  <c r="C46" i="39"/>
  <c r="C45" i="39"/>
  <c r="N46" i="39"/>
  <c r="N45" i="39"/>
  <c r="F46" i="39"/>
  <c r="F45" i="39"/>
  <c r="O46" i="39"/>
  <c r="O45" i="39"/>
  <c r="B46" i="39"/>
  <c r="B45" i="39"/>
  <c r="D46" i="39"/>
  <c r="D45" i="39"/>
  <c r="I46" i="39"/>
  <c r="I45" i="39"/>
  <c r="E46" i="39"/>
  <c r="E45" i="39"/>
  <c r="K46" i="39"/>
  <c r="K45" i="39"/>
  <c r="G46" i="39"/>
  <c r="G45" i="39"/>
  <c r="L46" i="39"/>
  <c r="L45" i="39"/>
  <c r="P46" i="39"/>
  <c r="P45" i="39"/>
  <c r="H46" i="39"/>
  <c r="H45" i="39"/>
</calcChain>
</file>

<file path=xl/sharedStrings.xml><?xml version="1.0" encoding="utf-8"?>
<sst xmlns="http://schemas.openxmlformats.org/spreadsheetml/2006/main" count="2857" uniqueCount="780">
  <si>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</si>
  <si>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</si>
  <si>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</si>
  <si>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</si>
  <si>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</si>
  <si>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</si>
  <si>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</si>
  <si>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</si>
  <si>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</si>
  <si>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</si>
  <si>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</si>
  <si>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</si>
  <si>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</si>
  <si>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</si>
  <si>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</si>
  <si>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</si>
  <si>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</si>
  <si>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</si>
  <si>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</si>
  <si>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</si>
  <si>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</si>
  <si>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</si>
  <si>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</si>
  <si>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</si>
  <si>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</si>
  <si>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</si>
  <si>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</si>
  <si>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</si>
  <si>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</si>
  <si>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</si>
  <si>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</si>
  <si>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</si>
  <si>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</si>
  <si>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</si>
  <si>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</si>
  <si>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</si>
  <si>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</si>
  <si>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</si>
  <si>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</si>
  <si>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</si>
  <si>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</si>
  <si>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</si>
  <si>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</si>
  <si>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</si>
  <si>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</si>
  <si>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</si>
  <si>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</si>
  <si>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</si>
  <si>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</si>
  <si>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</si>
  <si>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</si>
  <si>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</si>
  <si>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</si>
  <si>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</si>
  <si>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</si>
  <si>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</si>
  <si>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</si>
  <si>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</si>
  <si>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</si>
  <si>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</si>
  <si>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</si>
  <si>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</si>
  <si>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</si>
  <si>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</si>
  <si>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</si>
  <si>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</si>
  <si>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</si>
  <si>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</si>
  <si>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</si>
  <si>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</si>
  <si>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</si>
  <si>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</si>
  <si>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</si>
  <si>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</si>
  <si>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</si>
  <si>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</si>
  <si>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</si>
  <si>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</si>
  <si>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</si>
  <si>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</si>
  <si>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</si>
  <si>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</si>
  <si>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</si>
  <si>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</si>
  <si>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</si>
  <si>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</si>
  <si>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</si>
  <si>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</si>
  <si>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</si>
  <si>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</si>
  <si>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</si>
  <si>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</si>
  <si>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</si>
  <si>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</si>
  <si>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</si>
  <si>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</si>
  <si>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</si>
  <si>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</si>
  <si>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</si>
  <si>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</si>
  <si>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</si>
  <si>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</si>
  <si>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</si>
  <si>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</si>
  <si>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</si>
  <si>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</si>
  <si>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</si>
  <si>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</si>
  <si>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</si>
  <si>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</si>
  <si>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</si>
  <si>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</si>
  <si>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</si>
  <si>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</si>
  <si>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</si>
  <si>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</si>
  <si>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</si>
  <si>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</si>
  <si>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</si>
  <si>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</si>
  <si>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</si>
  <si>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</si>
  <si>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</si>
  <si>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</si>
  <si>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</si>
  <si>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</si>
  <si>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</si>
  <si>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</si>
  <si>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</si>
  <si>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</si>
  <si>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</si>
  <si>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</si>
  <si>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</si>
  <si>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</si>
  <si>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</si>
  <si>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</si>
  <si>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</si>
  <si>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</si>
  <si>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</si>
  <si>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</si>
  <si>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</si>
  <si>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</si>
  <si>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</si>
  <si>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</si>
  <si>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</si>
  <si>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</si>
  <si>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</si>
  <si>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</si>
  <si>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</si>
  <si>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</si>
  <si>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</si>
  <si>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</si>
  <si>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</si>
  <si>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</si>
  <si>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</si>
  <si>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</si>
  <si>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</si>
  <si>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</si>
  <si>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</si>
  <si>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</si>
  <si>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</si>
  <si>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</si>
  <si>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</si>
  <si>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</si>
  <si>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</si>
  <si>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</si>
  <si>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</si>
  <si>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</si>
  <si>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</si>
  <si>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</si>
  <si>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</si>
  <si>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</si>
  <si>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</si>
  <si>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</si>
  <si>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</si>
  <si>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</si>
  <si>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</si>
  <si>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</si>
  <si>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</si>
  <si>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</si>
  <si>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</si>
  <si>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</si>
  <si>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</si>
  <si>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</si>
  <si>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</si>
  <si>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</si>
  <si>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</si>
  <si>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</si>
  <si>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</si>
  <si>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</si>
  <si>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</si>
  <si>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</si>
  <si>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</si>
  <si>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</si>
  <si>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</si>
  <si>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</si>
  <si>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</si>
  <si>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</si>
  <si>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</si>
  <si>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</si>
  <si>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</si>
  <si>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</si>
  <si>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</si>
  <si>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</si>
  <si>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</si>
  <si>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</si>
  <si>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</si>
  <si>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</si>
  <si>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</si>
  <si>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</si>
  <si>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</si>
  <si>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</si>
  <si>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</si>
  <si>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</si>
  <si>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</si>
  <si>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</si>
  <si>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</si>
  <si>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</si>
  <si>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</si>
  <si>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</si>
  <si>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</si>
  <si>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</si>
  <si>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</si>
  <si>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</si>
  <si>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</si>
  <si>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</si>
  <si>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</si>
  <si>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</si>
  <si>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</si>
  <si>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</si>
  <si>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</si>
  <si>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</si>
  <si>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</si>
  <si>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</si>
  <si>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</si>
  <si>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</si>
  <si>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</si>
  <si>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</si>
  <si>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</si>
  <si>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</si>
  <si>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</si>
  <si>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</si>
  <si>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</si>
  <si>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</si>
  <si>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</si>
  <si>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</si>
  <si>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</si>
  <si>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</si>
  <si>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</si>
  <si>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</si>
  <si>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</si>
  <si>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</si>
  <si>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</si>
  <si>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</si>
  <si>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</si>
  <si>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</si>
  <si>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</si>
  <si>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</si>
  <si>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</si>
  <si>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</si>
  <si>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</si>
  <si>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</si>
  <si>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</si>
  <si>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</si>
  <si>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</si>
  <si>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</si>
  <si>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</si>
  <si>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</si>
  <si>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</si>
  <si>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</si>
  <si>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</si>
  <si>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</si>
  <si>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</si>
  <si>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</si>
  <si>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</si>
  <si>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</si>
  <si>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</si>
  <si>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</si>
  <si>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</si>
  <si>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</si>
  <si>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</si>
  <si>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</si>
  <si>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</si>
  <si>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</si>
  <si>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</si>
  <si>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</si>
  <si>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</si>
  <si>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</si>
  <si>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</si>
  <si>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</si>
  <si>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</si>
  <si>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</si>
  <si>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</si>
  <si>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</si>
  <si>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</si>
  <si>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</si>
  <si>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</si>
  <si>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</si>
  <si>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</si>
  <si>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</si>
  <si>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</si>
  <si>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</si>
  <si>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</si>
  <si>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</si>
  <si>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</si>
  <si>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</si>
  <si>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</si>
  <si>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</si>
  <si>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</si>
  <si>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</si>
  <si>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</si>
  <si>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</si>
  <si>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</si>
  <si>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</si>
  <si>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</si>
  <si>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</si>
  <si>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</si>
  <si>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</si>
  <si>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</si>
  <si>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</si>
  <si>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</si>
  <si>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</si>
  <si>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</si>
  <si>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11/09/2025 24:00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</si>
  <si>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</si>
  <si>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</si>
  <si>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</si>
  <si>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</si>
  <si>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</si>
  <si>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</si>
  <si>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</si>
  <si>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</si>
  <si>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</si>
  <si>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</si>
  <si>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</si>
  <si>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</si>
  <si>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</si>
  <si>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</si>
  <si>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</si>
  <si>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</si>
  <si>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</si>
  <si>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</si>
  <si>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</si>
  <si>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</si>
  <si>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</si>
  <si>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</si>
  <si>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</si>
  <si>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12/09/2025 24:00</t>
  </si>
  <si>
    <t>13/09/2025 01:00</t>
  </si>
  <si>
    <t>13/09/2025 02:00</t>
  </si>
  <si>
    <t>13/09/2025 03:00</t>
  </si>
  <si>
    <t>13/09/2025 04:00</t>
  </si>
  <si>
    <t>13/09/2025 05:00</t>
  </si>
  <si>
    <t>13/09/2025 06:00</t>
  </si>
  <si>
    <t>13/09/2025 07:00</t>
  </si>
  <si>
    <t>13/09/2025 08:00</t>
  </si>
  <si>
    <t>13/09/2025 09:00</t>
  </si>
  <si>
    <t>13/09/2025 10:00</t>
  </si>
  <si>
    <t>13/09/2025 11:00</t>
  </si>
  <si>
    <t>13/09/2025 12:00</t>
  </si>
  <si>
    <t>13/09/2025 13:00</t>
  </si>
  <si>
    <t>13/09/2025 14:00</t>
  </si>
  <si>
    <t>13/09/2025 15:00</t>
  </si>
  <si>
    <t>13/09/2025 16:00</t>
  </si>
  <si>
    <t>13/09/2025 17:00</t>
  </si>
  <si>
    <t>13/09/2025 18:00</t>
  </si>
  <si>
    <t>13/09/2025 19:00</t>
  </si>
  <si>
    <t>13/09/2025 20:00</t>
  </si>
  <si>
    <t>13/09/2025 21:00</t>
  </si>
  <si>
    <t>13/09/2025 22:00</t>
  </si>
  <si>
    <t>13/09/2025 23:00</t>
  </si>
  <si>
    <t>13/09/2025 24:00</t>
  </si>
  <si>
    <t>14/09/2025 01:00</t>
  </si>
  <si>
    <t>14/09/2025 02:00</t>
  </si>
  <si>
    <t>14/09/2025 03:00</t>
  </si>
  <si>
    <t>14/09/2025 04:00</t>
  </si>
  <si>
    <t>14/09/2025 05:00</t>
  </si>
  <si>
    <t>14/09/2025 06:00</t>
  </si>
  <si>
    <t>14/09/2025 07:00</t>
  </si>
  <si>
    <t>14/09/2025 08:00</t>
  </si>
  <si>
    <t>14/09/2025 09:00</t>
  </si>
  <si>
    <t>14/09/2025 10:00</t>
  </si>
  <si>
    <t>14/09/2025 11:00</t>
  </si>
  <si>
    <t>14/09/2025 12:00</t>
  </si>
  <si>
    <t>14/09/2025 13:00</t>
  </si>
  <si>
    <t>14/09/2025 14:00</t>
  </si>
  <si>
    <t>14/09/2025 15:00</t>
  </si>
  <si>
    <t>14/09/2025 16:00</t>
  </si>
  <si>
    <t>14/09/2025 17:00</t>
  </si>
  <si>
    <t>14/09/2025 18:00</t>
  </si>
  <si>
    <t>14/09/2025 19:00</t>
  </si>
  <si>
    <t>14/09/2025 20:00</t>
  </si>
  <si>
    <t>14/09/2025 21:00</t>
  </si>
  <si>
    <t>14/09/2025 22:00</t>
  </si>
  <si>
    <t>14/09/2025 23:00</t>
  </si>
  <si>
    <t>14/09/2025 24:00</t>
  </si>
  <si>
    <t>15/09/2025 01:00</t>
  </si>
  <si>
    <t>15/09/2025 02:00</t>
  </si>
  <si>
    <t>15/09/2025 03:00</t>
  </si>
  <si>
    <t>15/09/2025 04:00</t>
  </si>
  <si>
    <t>15/09/2025 05:00</t>
  </si>
  <si>
    <t>15/09/2025 06:00</t>
  </si>
  <si>
    <t>15/09/2025 07:00</t>
  </si>
  <si>
    <t>15/09/2025 08:00</t>
  </si>
  <si>
    <t>15/09/2025 09:00</t>
  </si>
  <si>
    <t>15/09/2025 10:00</t>
  </si>
  <si>
    <t>15/09/2025 11:00</t>
  </si>
  <si>
    <t>15/09/2025 12:00</t>
  </si>
  <si>
    <t>15/09/2025 13:00</t>
  </si>
  <si>
    <t>15/09/2025 14:00</t>
  </si>
  <si>
    <t>15/09/2025 15:00</t>
  </si>
  <si>
    <t>15/09/2025 16:00</t>
  </si>
  <si>
    <t>15/09/2025 17:00</t>
  </si>
  <si>
    <t>15/09/2025 18:00</t>
  </si>
  <si>
    <t>15/09/2025 19:00</t>
  </si>
  <si>
    <t>15/09/2025 20:00</t>
  </si>
  <si>
    <t>15/09/2025 21:00</t>
  </si>
  <si>
    <t>15/09/2025 22:00</t>
  </si>
  <si>
    <t>15/09/2025 23:00</t>
  </si>
  <si>
    <t>15/09/2025 24:00</t>
  </si>
  <si>
    <t>16/09/2025 01:00</t>
  </si>
  <si>
    <t>16/09/2025 02:00</t>
  </si>
  <si>
    <t>16/09/2025 03:00</t>
  </si>
  <si>
    <t>16/09/2025 04:00</t>
  </si>
  <si>
    <t>16/09/2025 05:00</t>
  </si>
  <si>
    <t>16/09/2025 06:00</t>
  </si>
  <si>
    <t>16/09/2025 07:00</t>
  </si>
  <si>
    <t>16/09/2025 08:00</t>
  </si>
  <si>
    <t>16/09/2025 09:00</t>
  </si>
  <si>
    <t>16/09/2025 10:00</t>
  </si>
  <si>
    <t>16/09/2025 11:00</t>
  </si>
  <si>
    <t>16/09/2025 12:00</t>
  </si>
  <si>
    <t>16/09/2025 13:00</t>
  </si>
  <si>
    <t>16/09/2025 14:00</t>
  </si>
  <si>
    <t>16/09/2025 15:00</t>
  </si>
  <si>
    <t>16/09/2025 16:00</t>
  </si>
  <si>
    <t>16/09/2025 17:00</t>
  </si>
  <si>
    <t>16/09/2025 18:00</t>
  </si>
  <si>
    <t>16/09/2025 19:00</t>
  </si>
  <si>
    <t>16/09/2025 20:00</t>
  </si>
  <si>
    <t>16/09/2025 21:00</t>
  </si>
  <si>
    <t>16/09/2025 22:00</t>
  </si>
  <si>
    <t>16/09/2025 23:00</t>
  </si>
  <si>
    <t>16/09/2025 24:00</t>
  </si>
  <si>
    <t>17/09/2025 01:00</t>
  </si>
  <si>
    <t>17/09/2025 02:00</t>
  </si>
  <si>
    <t>17/09/2025 03:00</t>
  </si>
  <si>
    <t>17/09/2025 04:00</t>
  </si>
  <si>
    <t>17/09/2025 05:00</t>
  </si>
  <si>
    <t>17/09/2025 06:00</t>
  </si>
  <si>
    <t>17/09/2025 07:00</t>
  </si>
  <si>
    <t>17/09/2025 08:00</t>
  </si>
  <si>
    <t>17/09/2025 09:00</t>
  </si>
  <si>
    <t>17/09/2025 10:00</t>
  </si>
  <si>
    <t>17/09/2025 11:00</t>
  </si>
  <si>
    <t>17/09/2025 12:00</t>
  </si>
  <si>
    <t>17/09/2025 13:00</t>
  </si>
  <si>
    <t>17/09/2025 14:00</t>
  </si>
  <si>
    <t>17/09/2025 15:00</t>
  </si>
  <si>
    <t>17/09/2025 16:00</t>
  </si>
  <si>
    <t>17/09/2025 17:00</t>
  </si>
  <si>
    <t>17/09/2025 18:00</t>
  </si>
  <si>
    <t>17/09/2025 19:00</t>
  </si>
  <si>
    <t>17/09/2025 20:00</t>
  </si>
  <si>
    <t>17/09/2025 21:00</t>
  </si>
  <si>
    <t>17/09/2025 22:00</t>
  </si>
  <si>
    <t>17/09/2025 23:00</t>
  </si>
  <si>
    <t>17/09/2025 24:00</t>
  </si>
  <si>
    <t>18/09/2025 01:00</t>
  </si>
  <si>
    <t>18/09/2025 02:00</t>
  </si>
  <si>
    <t>18/09/2025 03:00</t>
  </si>
  <si>
    <t>18/09/2025 04:00</t>
  </si>
  <si>
    <t>18/09/2025 05:00</t>
  </si>
  <si>
    <t>18/09/2025 06:00</t>
  </si>
  <si>
    <t>18/09/2025 07:00</t>
  </si>
  <si>
    <t>18/09/2025 08:00</t>
  </si>
  <si>
    <t>18/09/2025 09:00</t>
  </si>
  <si>
    <t>18/09/2025 10:00</t>
  </si>
  <si>
    <t>18/09/2025 11:00</t>
  </si>
  <si>
    <t>18/09/2025 12:00</t>
  </si>
  <si>
    <t>18/09/2025 13:00</t>
  </si>
  <si>
    <t>18/09/2025 14:00</t>
  </si>
  <si>
    <t>18/09/2025 15:00</t>
  </si>
  <si>
    <t>18/09/2025 16:00</t>
  </si>
  <si>
    <t>18/09/2025 17:00</t>
  </si>
  <si>
    <t>18/09/2025 18:00</t>
  </si>
  <si>
    <t>18/09/2025 19:00</t>
  </si>
  <si>
    <t>18/09/2025 20:00</t>
  </si>
  <si>
    <t>18/09/2025 21:00</t>
  </si>
  <si>
    <t>18/09/2025 22:00</t>
  </si>
  <si>
    <t>18/09/2025 23:00</t>
  </si>
  <si>
    <t>18/09/2025 24:00</t>
  </si>
  <si>
    <t>19/09/2025 01:00</t>
  </si>
  <si>
    <t>19/09/2025 02:00</t>
  </si>
  <si>
    <t>19/09/2025 03:00</t>
  </si>
  <si>
    <t>19/09/2025 04:00</t>
  </si>
  <si>
    <t>19/09/2025 05:00</t>
  </si>
  <si>
    <t>19/09/2025 06:00</t>
  </si>
  <si>
    <t>19/09/2025 07:00</t>
  </si>
  <si>
    <t>19/09/2025 08:00</t>
  </si>
  <si>
    <t>19/09/2025 09:00</t>
  </si>
  <si>
    <t>19/09/2025 10:00</t>
  </si>
  <si>
    <t>19/09/2025 11:00</t>
  </si>
  <si>
    <t>19/09/2025 12:00</t>
  </si>
  <si>
    <t>19/09/2025 13:00</t>
  </si>
  <si>
    <t>19/09/2025 14:00</t>
  </si>
  <si>
    <t>19/09/2025 15:00</t>
  </si>
  <si>
    <t>19/09/2025 16:00</t>
  </si>
  <si>
    <t>19/09/2025 17:00</t>
  </si>
  <si>
    <t>19/09/2025 18:00</t>
  </si>
  <si>
    <t>19/09/2025 19:00</t>
  </si>
  <si>
    <t>19/09/2025 20:00</t>
  </si>
  <si>
    <t>19/09/2025 21:00</t>
  </si>
  <si>
    <t>19/09/2025 22:00</t>
  </si>
  <si>
    <t>19/09/2025 23:00</t>
  </si>
  <si>
    <t>19/09/2025 24:00</t>
  </si>
  <si>
    <t>20/09/2025 01:00</t>
  </si>
  <si>
    <t>20/09/2025 02:00</t>
  </si>
  <si>
    <t>20/09/2025 03:00</t>
  </si>
  <si>
    <t>20/09/2025 04:00</t>
  </si>
  <si>
    <t>20/09/2025 05:00</t>
  </si>
  <si>
    <t>20/09/2025 06:00</t>
  </si>
  <si>
    <t>20/09/2025 07:00</t>
  </si>
  <si>
    <t>20/09/2025 08:00</t>
  </si>
  <si>
    <t>20/09/2025 09:00</t>
  </si>
  <si>
    <t>20/09/2025 10:00</t>
  </si>
  <si>
    <t>20/09/2025 11:00</t>
  </si>
  <si>
    <t>20/09/2025 12:00</t>
  </si>
  <si>
    <t>20/09/2025 13:00</t>
  </si>
  <si>
    <t>20/09/2025 14:00</t>
  </si>
  <si>
    <t>20/09/2025 15:00</t>
  </si>
  <si>
    <t>20/09/2025 16:00</t>
  </si>
  <si>
    <t>20/09/2025 17:00</t>
  </si>
  <si>
    <t>20/09/2025 18:00</t>
  </si>
  <si>
    <t>20/09/2025 19:00</t>
  </si>
  <si>
    <t>20/09/2025 20:00</t>
  </si>
  <si>
    <t>20/09/2025 21:00</t>
  </si>
  <si>
    <t>20/09/2025 22:00</t>
  </si>
  <si>
    <t>20/09/2025 23:00</t>
  </si>
  <si>
    <t>20/09/2025 24:00</t>
  </si>
  <si>
    <t>21/09/2025 01:00</t>
  </si>
  <si>
    <t>21/09/2025 02:00</t>
  </si>
  <si>
    <t>21/09/2025 03:00</t>
  </si>
  <si>
    <t>21/09/2025 04:00</t>
  </si>
  <si>
    <t>21/09/2025 05:00</t>
  </si>
  <si>
    <t>21/09/2025 06:00</t>
  </si>
  <si>
    <t>21/09/2025 07:00</t>
  </si>
  <si>
    <t>21/09/2025 08:00</t>
  </si>
  <si>
    <t>21/09/2025 09:00</t>
  </si>
  <si>
    <t>21/09/2025 10:00</t>
  </si>
  <si>
    <t>21/09/2025 11:00</t>
  </si>
  <si>
    <t>21/09/2025 12:00</t>
  </si>
  <si>
    <t>21/09/2025 13:00</t>
  </si>
  <si>
    <t>21/09/2025 14:00</t>
  </si>
  <si>
    <t>21/09/2025 15:00</t>
  </si>
  <si>
    <t>21/09/2025 16:00</t>
  </si>
  <si>
    <t>21/09/2025 17:00</t>
  </si>
  <si>
    <t>21/09/2025 18:00</t>
  </si>
  <si>
    <t>21/09/2025 19:00</t>
  </si>
  <si>
    <t>21/09/2025 20:00</t>
  </si>
  <si>
    <t>21/09/2025 21:00</t>
  </si>
  <si>
    <t>21/09/2025 22:00</t>
  </si>
  <si>
    <t>21/09/2025 23:00</t>
  </si>
  <si>
    <t>21/09/2025 24:00</t>
  </si>
  <si>
    <t>22/09/2025 01:00</t>
  </si>
  <si>
    <t>22/09/2025 02:00</t>
  </si>
  <si>
    <t>22/09/2025 03:00</t>
  </si>
  <si>
    <t>22/09/2025 04:00</t>
  </si>
  <si>
    <t>22/09/2025 05:00</t>
  </si>
  <si>
    <t>22/09/2025 06:00</t>
  </si>
  <si>
    <t>22/09/2025 07:00</t>
  </si>
  <si>
    <t>22/09/2025 08:00</t>
  </si>
  <si>
    <t>22/09/2025 09:00</t>
  </si>
  <si>
    <t>22/09/2025 10:00</t>
  </si>
  <si>
    <t>22/09/2025 11:00</t>
  </si>
  <si>
    <t>22/09/2025 12:00</t>
  </si>
  <si>
    <t>22/09/2025 13:00</t>
  </si>
  <si>
    <t>22/09/2025 14:00</t>
  </si>
  <si>
    <t>22/09/2025 15:00</t>
  </si>
  <si>
    <t>22/09/2025 16:00</t>
  </si>
  <si>
    <t>22/09/2025 17:00</t>
  </si>
  <si>
    <t>22/09/2025 18:00</t>
  </si>
  <si>
    <t>22/09/2025 19:00</t>
  </si>
  <si>
    <t>22/09/2025 20:00</t>
  </si>
  <si>
    <t>22/09/2025 21:00</t>
  </si>
  <si>
    <t>22/09/2025 22:00</t>
  </si>
  <si>
    <t>22/09/2025 23:00</t>
  </si>
  <si>
    <t>22/09/2025 24:00</t>
  </si>
  <si>
    <t>23/09/2025 01:00</t>
  </si>
  <si>
    <t>23/09/2025 02:00</t>
  </si>
  <si>
    <t>23/09/2025 03:00</t>
  </si>
  <si>
    <t>23/09/2025 04:00</t>
  </si>
  <si>
    <t>23/09/2025 05:00</t>
  </si>
  <si>
    <t>23/09/2025 06:00</t>
  </si>
  <si>
    <t>23/09/2025 07:00</t>
  </si>
  <si>
    <t>23/09/2025 08:00</t>
  </si>
  <si>
    <t>23/09/2025 09:00</t>
  </si>
  <si>
    <t>23/09/2025 10:00</t>
  </si>
  <si>
    <t>23/09/2025 11:00</t>
  </si>
  <si>
    <t>23/09/2025 12:00</t>
  </si>
  <si>
    <t>23/09/2025 13:00</t>
  </si>
  <si>
    <t>23/09/2025 14:00</t>
  </si>
  <si>
    <t>23/09/2025 15:00</t>
  </si>
  <si>
    <t>23/09/2025 16:00</t>
  </si>
  <si>
    <t>23/09/2025 17:00</t>
  </si>
  <si>
    <t>23/09/2025 18:00</t>
  </si>
  <si>
    <t>23/09/2025 19:00</t>
  </si>
  <si>
    <t>23/09/2025 20:00</t>
  </si>
  <si>
    <t>23/09/2025 21:00</t>
  </si>
  <si>
    <t>23/09/2025 22:00</t>
  </si>
  <si>
    <t>23/09/2025 23:00</t>
  </si>
  <si>
    <t>23/09/2025 24:00</t>
  </si>
  <si>
    <t>24/09/2025 01:00</t>
  </si>
  <si>
    <t>24/09/2025 02:00</t>
  </si>
  <si>
    <t>24/09/2025 03:00</t>
  </si>
  <si>
    <t>24/09/2025 04:00</t>
  </si>
  <si>
    <t>24/09/2025 05:00</t>
  </si>
  <si>
    <t>24/09/2025 06:00</t>
  </si>
  <si>
    <t>24/09/2025 07:00</t>
  </si>
  <si>
    <t>24/09/2025 08:00</t>
  </si>
  <si>
    <t>24/09/2025 09:00</t>
  </si>
  <si>
    <t>24/09/2025 10:00</t>
  </si>
  <si>
    <t>24/09/2025 11:00</t>
  </si>
  <si>
    <t>24/09/2025 12:00</t>
  </si>
  <si>
    <t>24/09/2025 13:00</t>
  </si>
  <si>
    <t>24/09/2025 14:00</t>
  </si>
  <si>
    <t>24/09/2025 15:00</t>
  </si>
  <si>
    <t>24/09/2025 16:00</t>
  </si>
  <si>
    <t>24/09/2025 17:00</t>
  </si>
  <si>
    <t>24/09/2025 18:00</t>
  </si>
  <si>
    <t>24/09/2025 19:00</t>
  </si>
  <si>
    <t>24/09/2025 20:00</t>
  </si>
  <si>
    <t>24/09/2025 21:00</t>
  </si>
  <si>
    <t>24/09/2025 22:00</t>
  </si>
  <si>
    <t>24/09/2025 23:00</t>
  </si>
  <si>
    <t>24/09/2025 24:00</t>
  </si>
  <si>
    <t>25/09/2025 01:00</t>
  </si>
  <si>
    <t>25/09/2025 02:00</t>
  </si>
  <si>
    <t>25/09/2025 03:00</t>
  </si>
  <si>
    <t>25/09/2025 04:00</t>
  </si>
  <si>
    <t>25/09/2025 05:00</t>
  </si>
  <si>
    <t>25/09/2025 06:00</t>
  </si>
  <si>
    <t>25/09/2025 07:00</t>
  </si>
  <si>
    <t>25/09/2025 08:00</t>
  </si>
  <si>
    <t>25/09/2025 09:00</t>
  </si>
  <si>
    <t>25/09/2025 10:00</t>
  </si>
  <si>
    <t>25/09/2025 11:00</t>
  </si>
  <si>
    <t>25/09/2025 12:00</t>
  </si>
  <si>
    <t>25/09/2025 13:00</t>
  </si>
  <si>
    <t>25/09/2025 14:00</t>
  </si>
  <si>
    <t>25/09/2025 15:00</t>
  </si>
  <si>
    <t>25/09/2025 16:00</t>
  </si>
  <si>
    <t>25/09/2025 17:00</t>
  </si>
  <si>
    <t>25/09/2025 18:00</t>
  </si>
  <si>
    <t>25/09/2025 19:00</t>
  </si>
  <si>
    <t>25/09/2025 20:00</t>
  </si>
  <si>
    <t>25/09/2025 21:00</t>
  </si>
  <si>
    <t>25/09/2025 22:00</t>
  </si>
  <si>
    <t>25/09/2025 23:00</t>
  </si>
  <si>
    <t>25/09/2025 24:00</t>
  </si>
  <si>
    <t>26/09/2025 01:00</t>
  </si>
  <si>
    <t>26/09/2025 02:00</t>
  </si>
  <si>
    <t>26/09/2025 03:00</t>
  </si>
  <si>
    <t>26/09/2025 04:00</t>
  </si>
  <si>
    <t>26/09/2025 05:00</t>
  </si>
  <si>
    <t>26/09/2025 06:00</t>
  </si>
  <si>
    <t>26/09/2025 07:00</t>
  </si>
  <si>
    <t>26/09/2025 08:00</t>
  </si>
  <si>
    <t>26/09/2025 09:00</t>
  </si>
  <si>
    <t>26/09/2025 10:00</t>
  </si>
  <si>
    <t>26/09/2025 11:00</t>
  </si>
  <si>
    <t>26/09/2025 12:00</t>
  </si>
  <si>
    <t>26/09/2025 13:00</t>
  </si>
  <si>
    <t>26/09/2025 14:00</t>
  </si>
  <si>
    <t>26/09/2025 15:00</t>
  </si>
  <si>
    <t>26/09/2025 16:00</t>
  </si>
  <si>
    <t>26/09/2025 17:00</t>
  </si>
  <si>
    <t>26/09/2025 18:00</t>
  </si>
  <si>
    <t>26/09/2025 19:00</t>
  </si>
  <si>
    <t>26/09/2025 20:00</t>
  </si>
  <si>
    <t>26/09/2025 21:00</t>
  </si>
  <si>
    <t>26/09/2025 22:00</t>
  </si>
  <si>
    <t>26/09/2025 23:00</t>
  </si>
  <si>
    <t>26/09/2025 24:00</t>
  </si>
  <si>
    <t>27/09/2025 01:00</t>
  </si>
  <si>
    <t>27/09/2025 02:00</t>
  </si>
  <si>
    <t>27/09/2025 03:00</t>
  </si>
  <si>
    <t>27/09/2025 04:00</t>
  </si>
  <si>
    <t>27/09/2025 05:00</t>
  </si>
  <si>
    <t>27/09/2025 06:00</t>
  </si>
  <si>
    <t>27/09/2025 07:00</t>
  </si>
  <si>
    <t>27/09/2025 08:00</t>
  </si>
  <si>
    <t>27/09/2025 09:00</t>
  </si>
  <si>
    <t>27/09/2025 10:00</t>
  </si>
  <si>
    <t>27/09/2025 11:00</t>
  </si>
  <si>
    <t>27/09/2025 12:00</t>
  </si>
  <si>
    <t>27/09/2025 13:00</t>
  </si>
  <si>
    <t>27/09/2025 14:00</t>
  </si>
  <si>
    <t>27/09/2025 15:00</t>
  </si>
  <si>
    <t>27/09/2025 16:00</t>
  </si>
  <si>
    <t>27/09/2025 17:00</t>
  </si>
  <si>
    <t>27/09/2025 18:00</t>
  </si>
  <si>
    <t>27/09/2025 19:00</t>
  </si>
  <si>
    <t>27/09/2025 20:00</t>
  </si>
  <si>
    <t>27/09/2025 21:00</t>
  </si>
  <si>
    <t>27/09/2025 22:00</t>
  </si>
  <si>
    <t>27/09/2025 23:00</t>
  </si>
  <si>
    <t>27/09/2025 24:00</t>
  </si>
  <si>
    <t>28/09/2025 01:00</t>
  </si>
  <si>
    <t>28/09/2025 02:00</t>
  </si>
  <si>
    <t>28/09/2025 03:00</t>
  </si>
  <si>
    <t>28/09/2025 04:00</t>
  </si>
  <si>
    <t>28/09/2025 05:00</t>
  </si>
  <si>
    <t>28/09/2025 06:00</t>
  </si>
  <si>
    <t>28/09/2025 07:00</t>
  </si>
  <si>
    <t>28/09/2025 08:00</t>
  </si>
  <si>
    <t>28/09/2025 09:00</t>
  </si>
  <si>
    <t>28/09/2025 10:00</t>
  </si>
  <si>
    <t>28/09/2025 11:00</t>
  </si>
  <si>
    <t>28/09/2025 12:00</t>
  </si>
  <si>
    <t>28/09/2025 13:00</t>
  </si>
  <si>
    <t>28/09/2025 14:00</t>
  </si>
  <si>
    <t>28/09/2025 15:00</t>
  </si>
  <si>
    <t>28/09/2025 16:00</t>
  </si>
  <si>
    <t>28/09/2025 17:00</t>
  </si>
  <si>
    <t>28/09/2025 18:00</t>
  </si>
  <si>
    <t>28/09/2025 19:00</t>
  </si>
  <si>
    <t>28/09/2025 20:00</t>
  </si>
  <si>
    <t>28/09/2025 21:00</t>
  </si>
  <si>
    <t>28/09/2025 22:00</t>
  </si>
  <si>
    <t>28/09/2025 23:00</t>
  </si>
  <si>
    <t>28/09/2025 24:00</t>
  </si>
  <si>
    <t>29/09/2025 01:00</t>
  </si>
  <si>
    <t>29/09/2025 02:00</t>
  </si>
  <si>
    <t>29/09/2025 03:00</t>
  </si>
  <si>
    <t>29/09/2025 04:00</t>
  </si>
  <si>
    <t>29/09/2025 05:00</t>
  </si>
  <si>
    <t>29/09/2025 06:00</t>
  </si>
  <si>
    <t>29/09/2025 07:00</t>
  </si>
  <si>
    <t>29/09/2025 08:00</t>
  </si>
  <si>
    <t>29/09/2025 09:00</t>
  </si>
  <si>
    <t>29/09/2025 10:00</t>
  </si>
  <si>
    <t>29/09/2025 11:00</t>
  </si>
  <si>
    <t>29/09/2025 12:00</t>
  </si>
  <si>
    <t>29/09/2025 13:00</t>
  </si>
  <si>
    <t>29/09/2025 14:00</t>
  </si>
  <si>
    <t>29/09/2025 15:00</t>
  </si>
  <si>
    <t>29/09/2025 16:00</t>
  </si>
  <si>
    <t>29/09/2025 17:00</t>
  </si>
  <si>
    <t>29/09/2025 18:00</t>
  </si>
  <si>
    <t>29/09/2025 19:00</t>
  </si>
  <si>
    <t>29/09/2025 20:00</t>
  </si>
  <si>
    <t>29/09/2025 21:00</t>
  </si>
  <si>
    <t>29/09/2025 22:00</t>
  </si>
  <si>
    <t>29/09/2025 23:00</t>
  </si>
  <si>
    <t>29/09/2025 24:00</t>
  </si>
  <si>
    <t>30/09/2025 01:00</t>
  </si>
  <si>
    <t>30/09/2025 02:00</t>
  </si>
  <si>
    <t>30/09/2025 03:00</t>
  </si>
  <si>
    <t>30/09/2025 04:00</t>
  </si>
  <si>
    <t>30/09/2025 05:00</t>
  </si>
  <si>
    <t>30/09/2025 06:00</t>
  </si>
  <si>
    <t>30/09/2025 07:00</t>
  </si>
  <si>
    <t>30/09/2025 08:00</t>
  </si>
  <si>
    <t>30/09/2025 09:00</t>
  </si>
  <si>
    <t>30/09/2025 10:00</t>
  </si>
  <si>
    <t>30/09/2025 11:00</t>
  </si>
  <si>
    <t>30/09/2025 12:00</t>
  </si>
  <si>
    <t>30/09/2025 13:00</t>
  </si>
  <si>
    <t>30/09/2025 14:00</t>
  </si>
  <si>
    <t>30/09/2025 15:00</t>
  </si>
  <si>
    <t>30/09/2025 16:00</t>
  </si>
  <si>
    <t>30/09/2025 17:00</t>
  </si>
  <si>
    <t>30/09/2025 18:00</t>
  </si>
  <si>
    <t>30/09/2025 19:00</t>
  </si>
  <si>
    <t>30/09/2025 20:00</t>
  </si>
  <si>
    <t>30/09/2025 21:00</t>
  </si>
  <si>
    <t>30/09/2025 22:00</t>
  </si>
  <si>
    <t>30/09/2025 23:00</t>
  </si>
  <si>
    <t>30/09/2025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</si>
</sst>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9" borderId="0" xfId="0" applyFont="1" applyFill="1" applyAlignment="1">
      <alignment horizontal="left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U32" sqref="A9:U32"/>
      <selection pane="topRight" activeCell="U32" sqref="A9:U32"/>
      <selection pane="bottomLeft" activeCell="U32" sqref="A9:U32"/>
      <selection pane="bottomRight" activeCell="R36" sqref="R36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60</v>
      </c>
      <c r="B9" s="51">
        <v>6.63</v>
      </c>
      <c r="C9" s="51">
        <v>6.45</v>
      </c>
      <c r="D9" s="51">
        <v>8.49</v>
      </c>
      <c r="E9" s="51">
        <v>4.8499999999999996</v>
      </c>
      <c r="F9" s="51">
        <v>6.7</v>
      </c>
      <c r="G9" s="51">
        <v>20.68</v>
      </c>
      <c r="H9" s="51">
        <v>4.96</v>
      </c>
      <c r="I9" s="51">
        <v>1.78</v>
      </c>
      <c r="J9" s="51">
        <v>0.1</v>
      </c>
      <c r="K9" s="51">
        <v>329.11</v>
      </c>
      <c r="L9" s="51">
        <v>24.65</v>
      </c>
      <c r="M9" s="51">
        <v>98.14</v>
      </c>
      <c r="N9" s="51">
        <v>30.8</v>
      </c>
      <c r="O9" s="51">
        <v>0</v>
      </c>
      <c r="P9" s="51">
        <v>0.34</v>
      </c>
      <c r="Q9" s="51">
        <v>9.5500000000000007</v>
      </c>
      <c r="R9" s="43"/>
      <c r="S9" s="43"/>
      <c r="T9" s="43"/>
      <c r="U9" s="43"/>
    </row>
    <row r="10" spans="1:21" s="11" customFormat="1" x14ac:dyDescent="0.25">
      <c r="A10" s="50" t="s">
        <v>61</v>
      </c>
      <c r="B10" s="51">
        <v>5.77</v>
      </c>
      <c r="C10" s="51">
        <v>6.18</v>
      </c>
      <c r="D10" s="51">
        <v>7.83</v>
      </c>
      <c r="E10" s="51">
        <v>4.57</v>
      </c>
      <c r="F10" s="51">
        <v>9.2799999999999994</v>
      </c>
      <c r="G10" s="51">
        <v>16.760000000000002</v>
      </c>
      <c r="H10" s="51">
        <v>4.1399999999999997</v>
      </c>
      <c r="I10" s="51">
        <v>1.53</v>
      </c>
      <c r="J10" s="51">
        <v>0.06</v>
      </c>
      <c r="K10" s="51">
        <v>305.12</v>
      </c>
      <c r="L10" s="51">
        <v>24.02</v>
      </c>
      <c r="M10" s="51">
        <v>98.16</v>
      </c>
      <c r="N10" s="51">
        <v>30.5</v>
      </c>
      <c r="O10" s="51">
        <v>0</v>
      </c>
      <c r="P10" s="51">
        <v>0.36</v>
      </c>
      <c r="Q10" s="51">
        <v>9.48</v>
      </c>
      <c r="R10" s="43"/>
      <c r="S10" s="43"/>
      <c r="T10" s="43"/>
      <c r="U10" s="43"/>
    </row>
    <row r="11" spans="1:21" s="11" customFormat="1" x14ac:dyDescent="0.25">
      <c r="A11" s="50" t="s">
        <v>62</v>
      </c>
      <c r="B11" s="51">
        <v>5.32</v>
      </c>
      <c r="C11" s="51">
        <v>6.38</v>
      </c>
      <c r="D11" s="51">
        <v>7.6</v>
      </c>
      <c r="E11" s="51">
        <v>4.6100000000000003</v>
      </c>
      <c r="F11" s="51">
        <v>9.08</v>
      </c>
      <c r="G11" s="51">
        <v>14.34</v>
      </c>
      <c r="H11" s="51">
        <v>2.94</v>
      </c>
      <c r="I11" s="51">
        <v>1.36</v>
      </c>
      <c r="J11" s="51">
        <v>0.09</v>
      </c>
      <c r="K11" s="51">
        <v>295.95999999999998</v>
      </c>
      <c r="L11" s="51">
        <v>23.8</v>
      </c>
      <c r="M11" s="51">
        <v>98.18</v>
      </c>
      <c r="N11" s="51">
        <v>30.6</v>
      </c>
      <c r="O11" s="51">
        <v>0</v>
      </c>
      <c r="P11" s="51">
        <v>0.28000000000000003</v>
      </c>
      <c r="Q11" s="51">
        <v>9.4600000000000009</v>
      </c>
      <c r="R11" s="43"/>
      <c r="S11" s="43"/>
      <c r="T11" s="43"/>
      <c r="U11" s="43"/>
    </row>
    <row r="12" spans="1:21" s="11" customFormat="1" x14ac:dyDescent="0.25">
      <c r="A12" s="50" t="s">
        <v>63</v>
      </c>
      <c r="B12" s="51">
        <v>5.29</v>
      </c>
      <c r="C12" s="51">
        <v>6.26</v>
      </c>
      <c r="D12" s="51">
        <v>7.52</v>
      </c>
      <c r="E12" s="51">
        <v>4.7300000000000004</v>
      </c>
      <c r="F12" s="51">
        <v>8.67</v>
      </c>
      <c r="G12" s="51">
        <v>10.99</v>
      </c>
      <c r="H12" s="51">
        <v>2.1</v>
      </c>
      <c r="I12" s="51">
        <v>1.24</v>
      </c>
      <c r="J12" s="51">
        <v>0.27</v>
      </c>
      <c r="K12" s="51">
        <v>269.11</v>
      </c>
      <c r="L12" s="51">
        <v>23.42</v>
      </c>
      <c r="M12" s="51">
        <v>98.19</v>
      </c>
      <c r="N12" s="51">
        <v>30.6</v>
      </c>
      <c r="O12" s="51">
        <v>0</v>
      </c>
      <c r="P12" s="51">
        <v>0.25</v>
      </c>
      <c r="Q12" s="51">
        <v>9.5</v>
      </c>
      <c r="R12" s="43"/>
      <c r="S12" s="43"/>
      <c r="T12" s="43"/>
      <c r="U12" s="43"/>
    </row>
    <row r="13" spans="1:21" s="11" customFormat="1" x14ac:dyDescent="0.25">
      <c r="A13" s="50" t="s">
        <v>64</v>
      </c>
      <c r="B13" s="51">
        <v>6.01</v>
      </c>
      <c r="C13" s="51">
        <v>7.14</v>
      </c>
      <c r="D13" s="51">
        <v>8.1199999999999992</v>
      </c>
      <c r="E13" s="51">
        <v>4.93</v>
      </c>
      <c r="F13" s="51">
        <v>9.26</v>
      </c>
      <c r="G13" s="51">
        <v>10.130000000000001</v>
      </c>
      <c r="H13" s="51">
        <v>1.67</v>
      </c>
      <c r="I13" s="51">
        <v>1.17</v>
      </c>
      <c r="J13" s="51">
        <v>0.78</v>
      </c>
      <c r="K13" s="51">
        <v>157.29</v>
      </c>
      <c r="L13" s="51">
        <v>23.05</v>
      </c>
      <c r="M13" s="51">
        <v>98.24</v>
      </c>
      <c r="N13" s="51">
        <v>30.7</v>
      </c>
      <c r="O13" s="51">
        <v>0</v>
      </c>
      <c r="P13" s="51">
        <v>0.28999999999999998</v>
      </c>
      <c r="Q13" s="51">
        <v>9.49</v>
      </c>
      <c r="R13" s="43"/>
      <c r="S13" s="43"/>
      <c r="T13" s="43"/>
      <c r="U13" s="43"/>
    </row>
    <row r="14" spans="1:21" s="11" customFormat="1" x14ac:dyDescent="0.25">
      <c r="A14" s="50" t="s">
        <v>65</v>
      </c>
      <c r="B14" s="51">
        <v>6.28</v>
      </c>
      <c r="C14" s="51">
        <v>6.4</v>
      </c>
      <c r="D14" s="51">
        <v>8.35</v>
      </c>
      <c r="E14" s="51">
        <v>4.58</v>
      </c>
      <c r="F14" s="51">
        <v>6.75</v>
      </c>
      <c r="G14" s="51">
        <v>9.75</v>
      </c>
      <c r="H14" s="51">
        <v>1.56</v>
      </c>
      <c r="I14" s="51">
        <v>1.1100000000000001</v>
      </c>
      <c r="J14" s="51">
        <v>0.32</v>
      </c>
      <c r="K14" s="51">
        <v>171.04</v>
      </c>
      <c r="L14" s="51">
        <v>23.06</v>
      </c>
      <c r="M14" s="51">
        <v>98.27</v>
      </c>
      <c r="N14" s="51">
        <v>38.700000000000003</v>
      </c>
      <c r="O14" s="51">
        <v>0</v>
      </c>
      <c r="P14" s="51">
        <v>0.25</v>
      </c>
      <c r="Q14" s="51">
        <v>9.48</v>
      </c>
      <c r="R14" s="43"/>
      <c r="S14" s="43"/>
      <c r="T14" s="43"/>
      <c r="U14" s="43"/>
    </row>
    <row r="15" spans="1:21" s="11" customFormat="1" x14ac:dyDescent="0.25">
      <c r="A15" s="50" t="s">
        <v>66</v>
      </c>
      <c r="B15" s="51">
        <v>6.69</v>
      </c>
      <c r="C15" s="51">
        <v>7.27</v>
      </c>
      <c r="D15" s="51">
        <v>9.02</v>
      </c>
      <c r="E15" s="51">
        <v>4.5199999999999996</v>
      </c>
      <c r="F15" s="51">
        <v>6.25</v>
      </c>
      <c r="G15" s="51">
        <v>8.82</v>
      </c>
      <c r="H15" s="51">
        <v>1.39</v>
      </c>
      <c r="I15" s="51">
        <v>0.97</v>
      </c>
      <c r="J15" s="51">
        <v>0.11</v>
      </c>
      <c r="K15" s="51">
        <v>282.89</v>
      </c>
      <c r="L15" s="51">
        <v>23.61</v>
      </c>
      <c r="M15" s="51">
        <v>98.27</v>
      </c>
      <c r="N15" s="51">
        <v>90</v>
      </c>
      <c r="O15" s="51">
        <v>0</v>
      </c>
      <c r="P15" s="51">
        <v>0.26</v>
      </c>
      <c r="Q15" s="51">
        <v>9.4700000000000006</v>
      </c>
      <c r="R15" s="43"/>
      <c r="S15" s="43"/>
      <c r="T15" s="43"/>
      <c r="U15" s="43"/>
    </row>
    <row r="16" spans="1:21" s="11" customFormat="1" x14ac:dyDescent="0.25">
      <c r="A16" s="50" t="s">
        <v>67</v>
      </c>
      <c r="B16" s="51">
        <v>8.83</v>
      </c>
      <c r="C16" s="51">
        <v>9.11</v>
      </c>
      <c r="D16" s="51">
        <v>11.85</v>
      </c>
      <c r="E16" s="51">
        <v>4.41</v>
      </c>
      <c r="F16" s="51">
        <v>5.1100000000000003</v>
      </c>
      <c r="G16" s="51">
        <v>12.87</v>
      </c>
      <c r="H16" s="51">
        <v>1.41</v>
      </c>
      <c r="I16" s="51">
        <v>0.98</v>
      </c>
      <c r="J16" s="51">
        <v>0.14000000000000001</v>
      </c>
      <c r="K16" s="51">
        <v>303.82</v>
      </c>
      <c r="L16" s="51">
        <v>24.63</v>
      </c>
      <c r="M16" s="51">
        <v>98.14</v>
      </c>
      <c r="N16" s="51">
        <v>163.1</v>
      </c>
      <c r="O16" s="51">
        <v>0</v>
      </c>
      <c r="P16" s="51">
        <v>0.28999999999999998</v>
      </c>
      <c r="Q16" s="51">
        <v>9.52</v>
      </c>
      <c r="R16" s="43"/>
      <c r="S16" s="43"/>
      <c r="T16" s="43"/>
      <c r="U16" s="43"/>
    </row>
    <row r="17" spans="1:21" s="11" customFormat="1" x14ac:dyDescent="0.25">
      <c r="A17" s="50" t="s">
        <v>68</v>
      </c>
      <c r="B17" s="51">
        <v>9.49</v>
      </c>
      <c r="C17" s="51">
        <v>9.1999999999999993</v>
      </c>
      <c r="D17" s="51">
        <v>11.69</v>
      </c>
      <c r="E17" s="51">
        <v>3.86</v>
      </c>
      <c r="F17" s="51">
        <v>5.08</v>
      </c>
      <c r="G17" s="51">
        <v>21.68</v>
      </c>
      <c r="H17" s="51">
        <v>1.31</v>
      </c>
      <c r="I17" s="51">
        <v>1.1399999999999999</v>
      </c>
      <c r="J17" s="51">
        <v>0.46</v>
      </c>
      <c r="K17" s="51">
        <v>323.85000000000002</v>
      </c>
      <c r="L17" s="51">
        <v>26.81</v>
      </c>
      <c r="M17" s="51">
        <v>98.07</v>
      </c>
      <c r="N17" s="51">
        <v>254.4</v>
      </c>
      <c r="O17" s="51">
        <v>0</v>
      </c>
      <c r="P17" s="51">
        <v>0.42</v>
      </c>
      <c r="Q17" s="51">
        <v>9.57</v>
      </c>
      <c r="R17" s="43"/>
      <c r="S17" s="43"/>
      <c r="T17" s="43"/>
      <c r="U17" s="43"/>
    </row>
    <row r="18" spans="1:21" s="11" customFormat="1" x14ac:dyDescent="0.25">
      <c r="A18" s="50" t="s">
        <v>69</v>
      </c>
      <c r="B18" s="51">
        <v>10.3</v>
      </c>
      <c r="C18" s="51">
        <v>8.8000000000000007</v>
      </c>
      <c r="D18" s="51">
        <v>12.83</v>
      </c>
      <c r="E18" s="51">
        <v>3.89</v>
      </c>
      <c r="F18" s="51">
        <v>5.81</v>
      </c>
      <c r="G18" s="51">
        <v>39.380000000000003</v>
      </c>
      <c r="H18" s="51">
        <v>1.26</v>
      </c>
      <c r="I18" s="51">
        <v>1.31</v>
      </c>
      <c r="J18" s="51">
        <v>0.36</v>
      </c>
      <c r="K18" s="51">
        <v>319.2</v>
      </c>
      <c r="L18" s="51">
        <v>29.12</v>
      </c>
      <c r="M18" s="51">
        <v>97.97</v>
      </c>
      <c r="N18" s="51">
        <v>325.89999999999998</v>
      </c>
      <c r="O18" s="51">
        <v>0</v>
      </c>
      <c r="P18" s="51">
        <v>0.42</v>
      </c>
      <c r="Q18" s="51">
        <v>9.59</v>
      </c>
      <c r="R18" s="43"/>
      <c r="S18" s="43"/>
      <c r="T18" s="43"/>
      <c r="U18" s="43"/>
    </row>
    <row r="19" spans="1:21" s="11" customFormat="1" x14ac:dyDescent="0.25">
      <c r="A19" s="50" t="s">
        <v>70</v>
      </c>
      <c r="B19" s="51">
        <v>12.73</v>
      </c>
      <c r="C19" s="51">
        <v>10.1</v>
      </c>
      <c r="D19" s="51">
        <v>15.48</v>
      </c>
      <c r="E19" s="51">
        <v>3.79</v>
      </c>
      <c r="F19" s="51">
        <v>8.98</v>
      </c>
      <c r="G19" s="51">
        <v>44.48</v>
      </c>
      <c r="H19" s="51">
        <v>1.36</v>
      </c>
      <c r="I19" s="51">
        <v>1.35</v>
      </c>
      <c r="J19" s="51">
        <v>0.78</v>
      </c>
      <c r="K19" s="51">
        <v>339.04</v>
      </c>
      <c r="L19" s="51">
        <v>29.89</v>
      </c>
      <c r="M19" s="51">
        <v>88.03</v>
      </c>
      <c r="N19" s="51">
        <v>357.2</v>
      </c>
      <c r="O19" s="51">
        <v>0</v>
      </c>
      <c r="P19" s="51">
        <v>0.49</v>
      </c>
      <c r="Q19" s="51">
        <v>9.6300000000000008</v>
      </c>
      <c r="R19" s="43"/>
      <c r="S19" s="43"/>
      <c r="T19" s="43"/>
      <c r="U19" s="43"/>
    </row>
    <row r="20" spans="1:21" s="11" customFormat="1" x14ac:dyDescent="0.25">
      <c r="A20" s="50" t="s">
        <v>71</v>
      </c>
      <c r="B20" s="51">
        <v>11.64</v>
      </c>
      <c r="C20" s="51">
        <v>10.49</v>
      </c>
      <c r="D20" s="51">
        <v>14.59</v>
      </c>
      <c r="E20" s="51">
        <v>3.8</v>
      </c>
      <c r="F20" s="51">
        <v>9.11</v>
      </c>
      <c r="G20" s="51">
        <v>43.83</v>
      </c>
      <c r="H20" s="51">
        <v>1.96</v>
      </c>
      <c r="I20" s="51">
        <v>1.38</v>
      </c>
      <c r="J20" s="51">
        <v>1.24</v>
      </c>
      <c r="K20" s="51">
        <v>336.54</v>
      </c>
      <c r="L20" s="51">
        <v>31.02</v>
      </c>
      <c r="M20" s="51">
        <v>80.59</v>
      </c>
      <c r="N20" s="51">
        <v>565</v>
      </c>
      <c r="O20" s="51">
        <v>0</v>
      </c>
      <c r="P20" s="51">
        <v>0.5</v>
      </c>
      <c r="Q20" s="51">
        <v>9.6199999999999992</v>
      </c>
      <c r="R20" s="43"/>
      <c r="S20" s="43"/>
      <c r="T20" s="43"/>
      <c r="U20" s="43"/>
    </row>
    <row r="21" spans="1:21" s="11" customFormat="1" x14ac:dyDescent="0.25">
      <c r="A21" s="50" t="s">
        <v>72</v>
      </c>
      <c r="B21" s="51">
        <v>10.3</v>
      </c>
      <c r="C21" s="51">
        <v>11.38</v>
      </c>
      <c r="D21" s="51">
        <v>13.18</v>
      </c>
      <c r="E21" s="51">
        <v>4.0599999999999996</v>
      </c>
      <c r="F21" s="51">
        <v>3.89</v>
      </c>
      <c r="G21" s="51">
        <v>43.78</v>
      </c>
      <c r="H21" s="51">
        <v>2.6</v>
      </c>
      <c r="I21" s="51">
        <v>1.39</v>
      </c>
      <c r="J21" s="51">
        <v>1.31</v>
      </c>
      <c r="K21" s="51">
        <v>337.59</v>
      </c>
      <c r="L21" s="51">
        <v>31.87</v>
      </c>
      <c r="M21" s="51">
        <v>74.010000000000005</v>
      </c>
      <c r="N21" s="51">
        <v>576</v>
      </c>
      <c r="O21" s="51">
        <v>0</v>
      </c>
      <c r="P21" s="51">
        <v>0.51</v>
      </c>
      <c r="Q21" s="51">
        <v>9.6199999999999992</v>
      </c>
      <c r="R21" s="43"/>
      <c r="S21" s="43"/>
      <c r="T21" s="43"/>
      <c r="U21" s="43"/>
    </row>
    <row r="22" spans="1:21" s="11" customFormat="1" x14ac:dyDescent="0.25">
      <c r="A22" s="50" t="s">
        <v>73</v>
      </c>
      <c r="B22" s="51">
        <v>13.47</v>
      </c>
      <c r="C22" s="51">
        <v>17.47</v>
      </c>
      <c r="D22" s="51">
        <v>19.649999999999999</v>
      </c>
      <c r="E22" s="51">
        <v>3.87</v>
      </c>
      <c r="F22" s="51">
        <v>10.96</v>
      </c>
      <c r="G22" s="18" t="s">
        <v>12</v>
      </c>
      <c r="H22" s="18" t="s">
        <v>12</v>
      </c>
      <c r="I22" s="51">
        <v>1.28</v>
      </c>
      <c r="J22" s="51">
        <v>1</v>
      </c>
      <c r="K22" s="51">
        <v>359.27</v>
      </c>
      <c r="L22" s="51">
        <v>31.58</v>
      </c>
      <c r="M22" s="51">
        <v>76.31</v>
      </c>
      <c r="N22" s="51">
        <v>306.3</v>
      </c>
      <c r="O22" s="51">
        <v>0</v>
      </c>
      <c r="P22" s="51">
        <v>0.66</v>
      </c>
      <c r="Q22" s="51">
        <v>9.5500000000000007</v>
      </c>
      <c r="R22" s="43"/>
      <c r="S22" s="43"/>
      <c r="T22" s="43"/>
      <c r="U22" s="43"/>
    </row>
    <row r="23" spans="1:21" s="11" customFormat="1" x14ac:dyDescent="0.25">
      <c r="A23" s="50" t="s">
        <v>74</v>
      </c>
      <c r="B23" s="51">
        <v>10.210000000000001</v>
      </c>
      <c r="C23" s="51">
        <v>16.87</v>
      </c>
      <c r="D23" s="51">
        <v>17</v>
      </c>
      <c r="E23" s="51">
        <v>3.76</v>
      </c>
      <c r="F23" s="51">
        <v>10.97</v>
      </c>
      <c r="G23" s="51">
        <v>118.7</v>
      </c>
      <c r="H23" s="18" t="s">
        <v>12</v>
      </c>
      <c r="I23" s="51">
        <v>1.1499999999999999</v>
      </c>
      <c r="J23" s="51">
        <v>0.66</v>
      </c>
      <c r="K23" s="51">
        <v>151.43</v>
      </c>
      <c r="L23" s="51">
        <v>29.19</v>
      </c>
      <c r="M23" s="51">
        <v>98.17</v>
      </c>
      <c r="N23" s="51">
        <v>115.5</v>
      </c>
      <c r="O23" s="51">
        <v>0</v>
      </c>
      <c r="P23" s="51">
        <v>0.62</v>
      </c>
      <c r="Q23" s="51">
        <v>9.56</v>
      </c>
      <c r="R23" s="43"/>
      <c r="S23" s="43"/>
      <c r="T23" s="43"/>
      <c r="U23" s="43"/>
    </row>
    <row r="24" spans="1:21" s="11" customFormat="1" x14ac:dyDescent="0.25">
      <c r="A24" s="50" t="s">
        <v>75</v>
      </c>
      <c r="B24" s="51">
        <v>6.92</v>
      </c>
      <c r="C24" s="51">
        <v>15.48</v>
      </c>
      <c r="D24" s="51">
        <v>13.01</v>
      </c>
      <c r="E24" s="51">
        <v>3.65</v>
      </c>
      <c r="F24" s="51">
        <v>7.71</v>
      </c>
      <c r="G24" s="51">
        <v>118.7</v>
      </c>
      <c r="H24" s="18" t="s">
        <v>12</v>
      </c>
      <c r="I24" s="51">
        <v>1.21</v>
      </c>
      <c r="J24" s="51">
        <v>0.55000000000000004</v>
      </c>
      <c r="K24" s="51">
        <v>329.22</v>
      </c>
      <c r="L24" s="51">
        <v>23.73</v>
      </c>
      <c r="M24" s="51">
        <v>98.21</v>
      </c>
      <c r="N24" s="51">
        <v>92.3</v>
      </c>
      <c r="O24" s="51">
        <v>3</v>
      </c>
      <c r="P24" s="51">
        <v>0.45</v>
      </c>
      <c r="Q24" s="51">
        <v>9.58</v>
      </c>
      <c r="R24" s="43"/>
      <c r="S24" s="43"/>
      <c r="T24" s="43"/>
      <c r="U24" s="43"/>
    </row>
    <row r="25" spans="1:21" s="11" customFormat="1" x14ac:dyDescent="0.25">
      <c r="A25" s="50" t="s">
        <v>76</v>
      </c>
      <c r="B25" s="51">
        <v>16.47</v>
      </c>
      <c r="C25" s="51">
        <v>17.7</v>
      </c>
      <c r="D25" s="51">
        <v>22.46</v>
      </c>
      <c r="E25" s="51">
        <v>3.7</v>
      </c>
      <c r="F25" s="51">
        <v>9.5500000000000007</v>
      </c>
      <c r="G25" s="51">
        <v>82.58</v>
      </c>
      <c r="H25" s="51">
        <v>20.2</v>
      </c>
      <c r="I25" s="51">
        <v>1.1499999999999999</v>
      </c>
      <c r="J25" s="51">
        <v>0.1</v>
      </c>
      <c r="K25" s="51">
        <v>275.57</v>
      </c>
      <c r="L25" s="51">
        <v>23.51</v>
      </c>
      <c r="M25" s="51">
        <v>98.2</v>
      </c>
      <c r="N25" s="51">
        <v>131.9</v>
      </c>
      <c r="O25" s="51">
        <v>0</v>
      </c>
      <c r="P25" s="51">
        <v>0.66</v>
      </c>
      <c r="Q25" s="51">
        <v>9.61</v>
      </c>
      <c r="R25" s="43"/>
      <c r="S25" s="43"/>
      <c r="T25" s="43"/>
      <c r="U25" s="43"/>
    </row>
    <row r="26" spans="1:21" s="11" customFormat="1" x14ac:dyDescent="0.25">
      <c r="A26" s="50" t="s">
        <v>77</v>
      </c>
      <c r="B26" s="51">
        <v>19.72</v>
      </c>
      <c r="C26" s="51">
        <v>15.44</v>
      </c>
      <c r="D26" s="51">
        <v>23.45</v>
      </c>
      <c r="E26" s="51">
        <v>3.91</v>
      </c>
      <c r="F26" s="51">
        <v>8.82</v>
      </c>
      <c r="G26" s="51">
        <v>52.92</v>
      </c>
      <c r="H26" s="51">
        <v>40.909999999999997</v>
      </c>
      <c r="I26" s="51">
        <v>1.1200000000000001</v>
      </c>
      <c r="J26" s="51">
        <v>0.24</v>
      </c>
      <c r="K26" s="51">
        <v>343.45</v>
      </c>
      <c r="L26" s="51">
        <v>24.12</v>
      </c>
      <c r="M26" s="51">
        <v>98.22</v>
      </c>
      <c r="N26" s="51">
        <v>84.5</v>
      </c>
      <c r="O26" s="51">
        <v>0</v>
      </c>
      <c r="P26" s="51">
        <v>0.98</v>
      </c>
      <c r="Q26" s="51">
        <v>9.6199999999999992</v>
      </c>
      <c r="R26" s="43"/>
      <c r="S26" s="43"/>
      <c r="T26" s="43"/>
      <c r="U26" s="43"/>
    </row>
    <row r="27" spans="1:21" s="11" customFormat="1" x14ac:dyDescent="0.25">
      <c r="A27" s="50" t="s">
        <v>78</v>
      </c>
      <c r="B27" s="51">
        <v>12.54</v>
      </c>
      <c r="C27" s="51">
        <v>17.760000000000002</v>
      </c>
      <c r="D27" s="51">
        <v>18.3</v>
      </c>
      <c r="E27" s="51">
        <v>4.0599999999999996</v>
      </c>
      <c r="F27" s="51">
        <v>6.15</v>
      </c>
      <c r="G27" s="51">
        <v>29.3</v>
      </c>
      <c r="H27" s="51">
        <v>40.909999999999997</v>
      </c>
      <c r="I27" s="51">
        <v>1.26</v>
      </c>
      <c r="J27" s="51">
        <v>7.0000000000000007E-2</v>
      </c>
      <c r="K27" s="51">
        <v>354.92</v>
      </c>
      <c r="L27" s="51">
        <v>24.12</v>
      </c>
      <c r="M27" s="51">
        <v>98.24</v>
      </c>
      <c r="N27" s="51">
        <v>32.700000000000003</v>
      </c>
      <c r="O27" s="51">
        <v>0</v>
      </c>
      <c r="P27" s="51">
        <v>0.88</v>
      </c>
      <c r="Q27" s="51">
        <v>9.6300000000000008</v>
      </c>
      <c r="R27" s="43"/>
      <c r="S27" s="43"/>
      <c r="T27" s="43"/>
      <c r="U27" s="43"/>
    </row>
    <row r="28" spans="1:21" s="11" customFormat="1" x14ac:dyDescent="0.25">
      <c r="A28" s="50" t="s">
        <v>79</v>
      </c>
      <c r="B28" s="51">
        <v>16.84</v>
      </c>
      <c r="C28" s="51">
        <v>13.6</v>
      </c>
      <c r="D28" s="51">
        <v>19.47</v>
      </c>
      <c r="E28" s="51">
        <v>4.0199999999999996</v>
      </c>
      <c r="F28" s="51">
        <v>5.31</v>
      </c>
      <c r="G28" s="51">
        <v>22.79</v>
      </c>
      <c r="H28" s="51">
        <v>23.32</v>
      </c>
      <c r="I28" s="51">
        <v>1.43</v>
      </c>
      <c r="J28" s="51">
        <v>0.06</v>
      </c>
      <c r="K28" s="51">
        <v>302.25</v>
      </c>
      <c r="L28" s="51">
        <v>24.15</v>
      </c>
      <c r="M28" s="51">
        <v>98.25</v>
      </c>
      <c r="N28" s="51">
        <v>31.3</v>
      </c>
      <c r="O28" s="51">
        <v>0</v>
      </c>
      <c r="P28" s="51">
        <v>0.9</v>
      </c>
      <c r="Q28" s="51">
        <v>9.6199999999999992</v>
      </c>
      <c r="R28" s="43"/>
      <c r="S28" s="43"/>
      <c r="T28" s="43"/>
      <c r="U28" s="43"/>
    </row>
    <row r="29" spans="1:21" s="11" customFormat="1" x14ac:dyDescent="0.25">
      <c r="A29" s="50" t="s">
        <v>80</v>
      </c>
      <c r="B29" s="51">
        <v>12.05</v>
      </c>
      <c r="C29" s="51">
        <v>16.239999999999998</v>
      </c>
      <c r="D29" s="51">
        <v>17.989999999999998</v>
      </c>
      <c r="E29" s="51">
        <v>3.98</v>
      </c>
      <c r="F29" s="51">
        <v>5.43</v>
      </c>
      <c r="G29" s="51">
        <v>27.46</v>
      </c>
      <c r="H29" s="51">
        <v>13.76</v>
      </c>
      <c r="I29" s="51">
        <v>1.57</v>
      </c>
      <c r="J29" s="51">
        <v>0.06</v>
      </c>
      <c r="K29" s="51">
        <v>346.58</v>
      </c>
      <c r="L29" s="51">
        <v>24.11</v>
      </c>
      <c r="M29" s="51">
        <v>98.26</v>
      </c>
      <c r="N29" s="51">
        <v>31.1</v>
      </c>
      <c r="O29" s="51">
        <v>0</v>
      </c>
      <c r="P29" s="51">
        <v>0.71</v>
      </c>
      <c r="Q29" s="51">
        <v>9.64</v>
      </c>
      <c r="R29" s="43"/>
      <c r="S29" s="43"/>
      <c r="T29" s="43"/>
      <c r="U29" s="43"/>
    </row>
    <row r="30" spans="1:21" s="11" customFormat="1" x14ac:dyDescent="0.25">
      <c r="A30" s="50" t="s">
        <v>81</v>
      </c>
      <c r="B30" s="51">
        <v>14.31</v>
      </c>
      <c r="C30" s="51">
        <v>15.56</v>
      </c>
      <c r="D30" s="51">
        <v>19.27</v>
      </c>
      <c r="E30" s="51">
        <v>3.96</v>
      </c>
      <c r="F30" s="51">
        <v>5.48</v>
      </c>
      <c r="G30" s="51">
        <v>27.46</v>
      </c>
      <c r="H30" s="51">
        <v>36.04</v>
      </c>
      <c r="I30" s="51">
        <v>1.62</v>
      </c>
      <c r="J30" s="51">
        <v>0.06</v>
      </c>
      <c r="K30" s="51">
        <v>304.89999999999998</v>
      </c>
      <c r="L30" s="51">
        <v>24.03</v>
      </c>
      <c r="M30" s="51">
        <v>98.32</v>
      </c>
      <c r="N30" s="51">
        <v>30.8</v>
      </c>
      <c r="O30" s="51">
        <v>0</v>
      </c>
      <c r="P30" s="51">
        <v>0.79</v>
      </c>
      <c r="Q30" s="51">
        <v>9.64</v>
      </c>
      <c r="R30" s="43"/>
      <c r="S30" s="43"/>
      <c r="T30" s="43"/>
      <c r="U30" s="43"/>
    </row>
    <row r="31" spans="1:21" s="11" customFormat="1" x14ac:dyDescent="0.25">
      <c r="A31" s="50" t="s">
        <v>82</v>
      </c>
      <c r="B31" s="51">
        <v>18.52</v>
      </c>
      <c r="C31" s="51">
        <v>15.62</v>
      </c>
      <c r="D31" s="51">
        <v>19.829999999999998</v>
      </c>
      <c r="E31" s="51">
        <v>3.79</v>
      </c>
      <c r="F31" s="51">
        <v>5.14</v>
      </c>
      <c r="G31" s="51">
        <v>31.15</v>
      </c>
      <c r="H31" s="51">
        <v>3248.78</v>
      </c>
      <c r="I31" s="51">
        <v>1.64</v>
      </c>
      <c r="J31" s="51">
        <v>7.0000000000000007E-2</v>
      </c>
      <c r="K31" s="51">
        <v>312.14999999999998</v>
      </c>
      <c r="L31" s="51">
        <v>24.12</v>
      </c>
      <c r="M31" s="51">
        <v>98.38</v>
      </c>
      <c r="N31" s="51">
        <v>30.8</v>
      </c>
      <c r="O31" s="51">
        <v>0</v>
      </c>
      <c r="P31" s="51">
        <v>0.7</v>
      </c>
      <c r="Q31" s="51">
        <v>9.65</v>
      </c>
      <c r="R31" s="43"/>
      <c r="S31" s="43"/>
      <c r="T31" s="43"/>
      <c r="U31" s="43"/>
    </row>
    <row r="32" spans="1:21" s="11" customFormat="1" x14ac:dyDescent="0.25">
      <c r="A32" s="50" t="s">
        <v>83</v>
      </c>
      <c r="B32" s="51">
        <v>10.86</v>
      </c>
      <c r="C32" s="51">
        <v>10.1</v>
      </c>
      <c r="D32" s="51">
        <v>13.81</v>
      </c>
      <c r="E32" s="51">
        <v>5.03</v>
      </c>
      <c r="F32" s="51">
        <v>5.68</v>
      </c>
      <c r="G32" s="51">
        <v>31.15</v>
      </c>
      <c r="H32" s="51">
        <v>3248.78</v>
      </c>
      <c r="I32" s="51">
        <v>1.72</v>
      </c>
      <c r="J32" s="51">
        <v>7.0000000000000007E-2</v>
      </c>
      <c r="K32" s="51">
        <v>292.88</v>
      </c>
      <c r="L32" s="51">
        <v>24.24</v>
      </c>
      <c r="M32" s="51">
        <v>98.38</v>
      </c>
      <c r="N32" s="51">
        <v>31.8</v>
      </c>
      <c r="O32" s="51">
        <v>0</v>
      </c>
      <c r="P32" s="51">
        <v>0.53</v>
      </c>
      <c r="Q32" s="51">
        <v>9.66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5.29</v>
      </c>
      <c r="C34" s="28">
        <f t="shared" si="0"/>
        <v>6.18</v>
      </c>
      <c r="D34" s="28">
        <f t="shared" si="0"/>
        <v>7.52</v>
      </c>
      <c r="E34" s="28">
        <f t="shared" si="0"/>
        <v>3.65</v>
      </c>
      <c r="F34" s="28">
        <f t="shared" si="0"/>
        <v>3.89</v>
      </c>
      <c r="G34" s="28">
        <f t="shared" si="0"/>
        <v>8.82</v>
      </c>
      <c r="H34" s="28">
        <f t="shared" si="0"/>
        <v>1.26</v>
      </c>
      <c r="I34" s="28">
        <f t="shared" si="0"/>
        <v>0.97</v>
      </c>
      <c r="J34" s="28">
        <f t="shared" si="0"/>
        <v>0.06</v>
      </c>
      <c r="K34" s="28">
        <f t="shared" si="0"/>
        <v>151.43</v>
      </c>
      <c r="L34" s="28">
        <f t="shared" si="0"/>
        <v>23.05</v>
      </c>
      <c r="M34" s="28">
        <f t="shared" si="0"/>
        <v>74.010000000000005</v>
      </c>
      <c r="N34" s="28">
        <f t="shared" si="0"/>
        <v>30.5</v>
      </c>
      <c r="O34" s="28">
        <f t="shared" si="0"/>
        <v>0</v>
      </c>
      <c r="P34" s="28">
        <f t="shared" si="0"/>
        <v>0.25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19.72</v>
      </c>
      <c r="C35" s="29">
        <f t="shared" si="1"/>
        <v>17.760000000000002</v>
      </c>
      <c r="D35" s="29">
        <f t="shared" si="1"/>
        <v>23.45</v>
      </c>
      <c r="E35" s="29">
        <f t="shared" si="1"/>
        <v>5.03</v>
      </c>
      <c r="F35" s="29">
        <f t="shared" si="1"/>
        <v>10.97</v>
      </c>
      <c r="G35" s="29">
        <f t="shared" si="1"/>
        <v>118.7</v>
      </c>
      <c r="H35" s="29">
        <f t="shared" si="1"/>
        <v>3248.78</v>
      </c>
      <c r="I35" s="29">
        <f t="shared" si="1"/>
        <v>1.78</v>
      </c>
      <c r="J35" s="29">
        <f t="shared" si="1"/>
        <v>1.31</v>
      </c>
      <c r="K35" s="29">
        <f t="shared" si="1"/>
        <v>359.27</v>
      </c>
      <c r="L35" s="29">
        <f t="shared" si="1"/>
        <v>31.87</v>
      </c>
      <c r="M35" s="29">
        <f t="shared" si="1"/>
        <v>98.38</v>
      </c>
      <c r="N35" s="29">
        <f t="shared" si="1"/>
        <v>576</v>
      </c>
      <c r="O35" s="29">
        <f t="shared" si="1"/>
        <v>3</v>
      </c>
      <c r="P35" s="29">
        <f t="shared" si="1"/>
        <v>0.98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10.71625</v>
      </c>
      <c r="C36" s="28">
        <f t="shared" si="2"/>
        <v>11.541666666666664</v>
      </c>
      <c r="D36" s="28">
        <f t="shared" si="2"/>
        <v>14.199583333333331</v>
      </c>
      <c r="E36" s="28">
        <f t="shared" si="2"/>
        <v>4.1804166666666669</v>
      </c>
      <c r="F36" s="28">
        <f t="shared" si="2"/>
        <v>7.2987499999999992</v>
      </c>
      <c r="G36" s="28">
        <f t="shared" si="2"/>
        <v>36.508695652173913</v>
      </c>
      <c r="H36" s="28">
        <f t="shared" si="2"/>
        <v>319.11238095238099</v>
      </c>
      <c r="I36" s="28">
        <f t="shared" si="2"/>
        <v>1.3275000000000001</v>
      </c>
      <c r="J36" s="28">
        <f t="shared" si="2"/>
        <v>0.37333333333333346</v>
      </c>
      <c r="K36" s="28">
        <f t="shared" si="2"/>
        <v>297.63249999999999</v>
      </c>
      <c r="L36" s="28">
        <f t="shared" si="2"/>
        <v>25.660416666666666</v>
      </c>
      <c r="M36" s="28">
        <f t="shared" si="2"/>
        <v>95.13333333333334</v>
      </c>
      <c r="N36" s="28">
        <f t="shared" si="2"/>
        <v>143.43750000000003</v>
      </c>
      <c r="O36" s="28">
        <f t="shared" si="2"/>
        <v>0.125</v>
      </c>
      <c r="P36" s="28">
        <f t="shared" si="2"/>
        <v>0.52250000000000008</v>
      </c>
      <c r="Q36" s="28">
        <f t="shared" si="2"/>
        <v>9.5724999999999998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4.2780865414951288</v>
      </c>
      <c r="C37" s="28">
        <f t="shared" ref="C37:Q37" si="3">STDEV(C9:C32)</f>
        <v>4.3107516409722519</v>
      </c>
      <c r="D37" s="28">
        <f t="shared" si="3"/>
        <v>5.0440007233446584</v>
      </c>
      <c r="E37" s="28">
        <f t="shared" si="3"/>
        <v>0.43421572645569256</v>
      </c>
      <c r="F37" s="28">
        <f t="shared" si="3"/>
        <v>2.0645123911092176</v>
      </c>
      <c r="G37" s="28">
        <f t="shared" si="3"/>
        <v>31.103019628960894</v>
      </c>
      <c r="H37" s="28">
        <f t="shared" si="3"/>
        <v>974.07707759142329</v>
      </c>
      <c r="I37" s="28">
        <f t="shared" si="3"/>
        <v>0.22370885582361805</v>
      </c>
      <c r="J37" s="28">
        <f t="shared" si="3"/>
        <v>0.39157060184835624</v>
      </c>
      <c r="K37" s="28">
        <f t="shared" si="3"/>
        <v>58.444079050721371</v>
      </c>
      <c r="L37" s="28">
        <f t="shared" si="3"/>
        <v>2.9622883034494714</v>
      </c>
      <c r="M37" s="28">
        <f t="shared" si="3"/>
        <v>7.3789987930887868</v>
      </c>
      <c r="N37" s="28">
        <f t="shared" si="3"/>
        <v>167.1727323628233</v>
      </c>
      <c r="O37" s="28">
        <f t="shared" si="3"/>
        <v>0.61237243569579447</v>
      </c>
      <c r="P37" s="28">
        <f t="shared" si="3"/>
        <v>0.22236378341338106</v>
      </c>
      <c r="Q37" s="28">
        <f t="shared" si="3"/>
        <v>6.4757071126399349E-2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9" sqref="B9:D32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84</v>
      </c>
      <c r="B9" s="51">
        <v>10.41</v>
      </c>
      <c r="C9" s="51">
        <v>18.170000000000002</v>
      </c>
      <c r="D9" s="51">
        <v>17.84</v>
      </c>
      <c r="E9" s="51">
        <v>5.19</v>
      </c>
      <c r="F9" s="51">
        <v>6.32</v>
      </c>
      <c r="G9" s="51">
        <v>29.33</v>
      </c>
      <c r="H9" s="51">
        <v>1.6</v>
      </c>
      <c r="I9" s="51">
        <v>1.57</v>
      </c>
      <c r="J9" s="51">
        <v>0.11</v>
      </c>
      <c r="K9" s="51">
        <v>297.48</v>
      </c>
      <c r="L9" s="51">
        <v>23.8</v>
      </c>
      <c r="M9" s="51">
        <v>98.39</v>
      </c>
      <c r="N9" s="51">
        <v>32.1</v>
      </c>
      <c r="O9" s="51">
        <v>0</v>
      </c>
      <c r="P9" s="51">
        <v>0.44</v>
      </c>
      <c r="Q9" s="51">
        <v>9.66</v>
      </c>
      <c r="R9" s="43"/>
      <c r="S9" s="43"/>
      <c r="T9" s="43"/>
      <c r="U9" s="43"/>
    </row>
    <row r="10" spans="1:21" s="11" customFormat="1" x14ac:dyDescent="0.25">
      <c r="A10" s="50" t="s">
        <v>85</v>
      </c>
      <c r="B10" s="51">
        <v>9.3800000000000008</v>
      </c>
      <c r="C10" s="51">
        <v>5.6</v>
      </c>
      <c r="D10" s="51">
        <v>10.44</v>
      </c>
      <c r="E10" s="51">
        <v>5.0599999999999996</v>
      </c>
      <c r="F10" s="51">
        <v>5.16</v>
      </c>
      <c r="G10" s="51">
        <v>28.67</v>
      </c>
      <c r="H10" s="51">
        <v>1.2</v>
      </c>
      <c r="I10" s="51">
        <v>1.47</v>
      </c>
      <c r="J10" s="51">
        <v>0.14000000000000001</v>
      </c>
      <c r="K10" s="51">
        <v>310.42</v>
      </c>
      <c r="L10" s="51">
        <v>23.32</v>
      </c>
      <c r="M10" s="51">
        <v>98.38</v>
      </c>
      <c r="N10" s="51">
        <v>31.1</v>
      </c>
      <c r="O10" s="51">
        <v>0</v>
      </c>
      <c r="P10" s="51">
        <v>0.41</v>
      </c>
      <c r="Q10" s="51">
        <v>9.65</v>
      </c>
      <c r="R10" s="43"/>
      <c r="S10" s="43"/>
      <c r="T10" s="43"/>
      <c r="U10" s="43"/>
    </row>
    <row r="11" spans="1:21" s="11" customFormat="1" x14ac:dyDescent="0.25">
      <c r="A11" s="50" t="s">
        <v>86</v>
      </c>
      <c r="B11" s="51">
        <v>7.92</v>
      </c>
      <c r="C11" s="51">
        <v>5.62</v>
      </c>
      <c r="D11" s="51">
        <v>9.09</v>
      </c>
      <c r="E11" s="51">
        <v>5.15</v>
      </c>
      <c r="F11" s="51">
        <v>4.72</v>
      </c>
      <c r="G11" s="51">
        <v>24.03</v>
      </c>
      <c r="H11" s="51">
        <v>1.2</v>
      </c>
      <c r="I11" s="51">
        <v>1.27</v>
      </c>
      <c r="J11" s="51">
        <v>0.11</v>
      </c>
      <c r="K11" s="51">
        <v>303.41000000000003</v>
      </c>
      <c r="L11" s="51">
        <v>22.99</v>
      </c>
      <c r="M11" s="51">
        <v>98.42</v>
      </c>
      <c r="N11" s="51">
        <v>31</v>
      </c>
      <c r="O11" s="51">
        <v>0</v>
      </c>
      <c r="P11" s="51">
        <v>0.34</v>
      </c>
      <c r="Q11" s="51">
        <v>9.61</v>
      </c>
      <c r="R11" s="43"/>
      <c r="S11" s="43"/>
      <c r="T11" s="43"/>
      <c r="U11" s="43"/>
    </row>
    <row r="12" spans="1:21" s="11" customFormat="1" x14ac:dyDescent="0.25">
      <c r="A12" s="50" t="s">
        <v>87</v>
      </c>
      <c r="B12" s="51">
        <v>7.41</v>
      </c>
      <c r="C12" s="51">
        <v>6.09</v>
      </c>
      <c r="D12" s="51">
        <v>8.8800000000000008</v>
      </c>
      <c r="E12" s="51">
        <v>5.15</v>
      </c>
      <c r="F12" s="51">
        <v>3.57</v>
      </c>
      <c r="G12" s="51">
        <v>21.71</v>
      </c>
      <c r="H12" s="51">
        <v>1.79</v>
      </c>
      <c r="I12" s="51">
        <v>1.04</v>
      </c>
      <c r="J12" s="51">
        <v>0.13</v>
      </c>
      <c r="K12" s="51">
        <v>297.56</v>
      </c>
      <c r="L12" s="51">
        <v>23.03</v>
      </c>
      <c r="M12" s="51">
        <v>98.42</v>
      </c>
      <c r="N12" s="51">
        <v>31</v>
      </c>
      <c r="O12" s="51">
        <v>0</v>
      </c>
      <c r="P12" s="51">
        <v>0.31</v>
      </c>
      <c r="Q12" s="51">
        <v>9.5399999999999991</v>
      </c>
      <c r="R12" s="43"/>
      <c r="S12" s="43"/>
      <c r="T12" s="43"/>
      <c r="U12" s="43"/>
    </row>
    <row r="13" spans="1:21" s="11" customFormat="1" x14ac:dyDescent="0.25">
      <c r="A13" s="50" t="s">
        <v>88</v>
      </c>
      <c r="B13" s="51">
        <v>7.07</v>
      </c>
      <c r="C13" s="51">
        <v>7.42</v>
      </c>
      <c r="D13" s="51">
        <v>9.5500000000000007</v>
      </c>
      <c r="E13" s="51">
        <v>4.91</v>
      </c>
      <c r="F13" s="51">
        <v>4.0999999999999996</v>
      </c>
      <c r="G13" s="51">
        <v>17.91</v>
      </c>
      <c r="H13" s="51">
        <v>3.02</v>
      </c>
      <c r="I13" s="51">
        <v>0.98</v>
      </c>
      <c r="J13" s="51">
        <v>0.12</v>
      </c>
      <c r="K13" s="51">
        <v>309.2</v>
      </c>
      <c r="L13" s="51">
        <v>23.14</v>
      </c>
      <c r="M13" s="51">
        <v>98.44</v>
      </c>
      <c r="N13" s="51">
        <v>30.9</v>
      </c>
      <c r="O13" s="51">
        <v>0</v>
      </c>
      <c r="P13" s="51">
        <v>0.28999999999999998</v>
      </c>
      <c r="Q13" s="51">
        <v>9.49</v>
      </c>
      <c r="R13" s="43"/>
      <c r="S13" s="43"/>
      <c r="T13" s="43"/>
      <c r="U13" s="43"/>
    </row>
    <row r="14" spans="1:21" s="11" customFormat="1" x14ac:dyDescent="0.25">
      <c r="A14" s="50" t="s">
        <v>89</v>
      </c>
      <c r="B14" s="51">
        <v>7.72</v>
      </c>
      <c r="C14" s="51">
        <v>8.49</v>
      </c>
      <c r="D14" s="51">
        <v>10.53</v>
      </c>
      <c r="E14" s="51">
        <v>5.08</v>
      </c>
      <c r="F14" s="51">
        <v>5.83</v>
      </c>
      <c r="G14" s="51">
        <v>13.99</v>
      </c>
      <c r="H14" s="51">
        <v>3.02</v>
      </c>
      <c r="I14" s="51">
        <v>1.07</v>
      </c>
      <c r="J14" s="51">
        <v>0.13</v>
      </c>
      <c r="K14" s="51">
        <v>325.99</v>
      </c>
      <c r="L14" s="51">
        <v>23.11</v>
      </c>
      <c r="M14" s="51">
        <v>98.45</v>
      </c>
      <c r="N14" s="51">
        <v>37.9</v>
      </c>
      <c r="O14" s="51">
        <v>0</v>
      </c>
      <c r="P14" s="51">
        <v>0.3</v>
      </c>
      <c r="Q14" s="51">
        <v>9.52</v>
      </c>
      <c r="R14" s="43"/>
      <c r="S14" s="43"/>
      <c r="T14" s="43"/>
      <c r="U14" s="43"/>
    </row>
    <row r="15" spans="1:21" s="11" customFormat="1" x14ac:dyDescent="0.25">
      <c r="A15" s="50" t="s">
        <v>90</v>
      </c>
      <c r="B15" s="51">
        <v>10.75</v>
      </c>
      <c r="C15" s="51">
        <v>9.75</v>
      </c>
      <c r="D15" s="51">
        <v>13.55</v>
      </c>
      <c r="E15" s="51">
        <v>5.07</v>
      </c>
      <c r="F15" s="51">
        <v>5.5</v>
      </c>
      <c r="G15" s="51">
        <v>15.24</v>
      </c>
      <c r="H15" s="51">
        <v>0.36</v>
      </c>
      <c r="I15" s="51">
        <v>1.32</v>
      </c>
      <c r="J15" s="51">
        <v>0.1</v>
      </c>
      <c r="K15" s="51">
        <v>318.08</v>
      </c>
      <c r="L15" s="51">
        <v>23.32</v>
      </c>
      <c r="M15" s="51">
        <v>98.48</v>
      </c>
      <c r="N15" s="51">
        <v>75.900000000000006</v>
      </c>
      <c r="O15" s="51">
        <v>0</v>
      </c>
      <c r="P15" s="51">
        <v>0.39</v>
      </c>
      <c r="Q15" s="51">
        <v>9.56</v>
      </c>
      <c r="R15" s="43"/>
      <c r="S15" s="43"/>
      <c r="T15" s="43"/>
      <c r="U15" s="43"/>
    </row>
    <row r="16" spans="1:21" s="11" customFormat="1" x14ac:dyDescent="0.25">
      <c r="A16" s="50" t="s">
        <v>91</v>
      </c>
      <c r="B16" s="51">
        <v>15</v>
      </c>
      <c r="C16" s="51">
        <v>8.06</v>
      </c>
      <c r="D16" s="51">
        <v>16.239999999999998</v>
      </c>
      <c r="E16" s="51">
        <v>5.12</v>
      </c>
      <c r="F16" s="51">
        <v>4.59</v>
      </c>
      <c r="G16" s="51">
        <v>21.01</v>
      </c>
      <c r="H16" s="51">
        <v>0.78</v>
      </c>
      <c r="I16" s="51">
        <v>1.46</v>
      </c>
      <c r="J16" s="51">
        <v>0.2</v>
      </c>
      <c r="K16" s="51">
        <v>324.64999999999998</v>
      </c>
      <c r="L16" s="51">
        <v>24.67</v>
      </c>
      <c r="M16" s="51">
        <v>98.44</v>
      </c>
      <c r="N16" s="51">
        <v>102.8</v>
      </c>
      <c r="O16" s="51">
        <v>0</v>
      </c>
      <c r="P16" s="51">
        <v>0.49</v>
      </c>
      <c r="Q16" s="51">
        <v>9.6</v>
      </c>
      <c r="R16" s="43"/>
      <c r="S16" s="43"/>
      <c r="T16" s="43"/>
      <c r="U16" s="43"/>
    </row>
    <row r="17" spans="1:21" s="11" customFormat="1" x14ac:dyDescent="0.25">
      <c r="A17" s="50" t="s">
        <v>92</v>
      </c>
      <c r="B17" s="51">
        <v>13.53</v>
      </c>
      <c r="C17" s="51">
        <v>7.37</v>
      </c>
      <c r="D17" s="51">
        <v>14.7</v>
      </c>
      <c r="E17" s="51">
        <v>4.8499999999999996</v>
      </c>
      <c r="F17" s="51">
        <v>5.84</v>
      </c>
      <c r="G17" s="51">
        <v>35.619999999999997</v>
      </c>
      <c r="H17" s="51">
        <v>1.2</v>
      </c>
      <c r="I17" s="51">
        <v>1.58</v>
      </c>
      <c r="J17" s="51">
        <v>0.85</v>
      </c>
      <c r="K17" s="51">
        <v>338.45</v>
      </c>
      <c r="L17" s="51">
        <v>27.61</v>
      </c>
      <c r="M17" s="51">
        <v>98.38</v>
      </c>
      <c r="N17" s="51">
        <v>405.1</v>
      </c>
      <c r="O17" s="51">
        <v>0</v>
      </c>
      <c r="P17" s="51">
        <v>0.47</v>
      </c>
      <c r="Q17" s="51">
        <v>9.6300000000000008</v>
      </c>
      <c r="R17" s="43"/>
      <c r="S17" s="43"/>
      <c r="T17" s="43"/>
      <c r="U17" s="43"/>
    </row>
    <row r="18" spans="1:21" s="11" customFormat="1" x14ac:dyDescent="0.25">
      <c r="A18" s="50" t="s">
        <v>93</v>
      </c>
      <c r="B18" s="51">
        <v>16.170000000000002</v>
      </c>
      <c r="C18" s="51">
        <v>8.61</v>
      </c>
      <c r="D18" s="51">
        <v>17</v>
      </c>
      <c r="E18" s="51">
        <v>4.63</v>
      </c>
      <c r="F18" s="51">
        <v>9.18</v>
      </c>
      <c r="G18" s="51">
        <v>38.520000000000003</v>
      </c>
      <c r="H18" s="51">
        <v>1.2</v>
      </c>
      <c r="I18" s="51">
        <v>1.57</v>
      </c>
      <c r="J18" s="51">
        <v>1.1000000000000001</v>
      </c>
      <c r="K18" s="51">
        <v>334.63</v>
      </c>
      <c r="L18" s="51">
        <v>29.5</v>
      </c>
      <c r="M18" s="51">
        <v>91.99</v>
      </c>
      <c r="N18" s="51">
        <v>364.7</v>
      </c>
      <c r="O18" s="51">
        <v>0</v>
      </c>
      <c r="P18" s="51">
        <v>0.52</v>
      </c>
      <c r="Q18" s="51">
        <v>9.6300000000000008</v>
      </c>
      <c r="R18" s="43"/>
      <c r="S18" s="43"/>
      <c r="T18" s="43"/>
      <c r="U18" s="43"/>
    </row>
    <row r="19" spans="1:21" s="11" customFormat="1" x14ac:dyDescent="0.25">
      <c r="A19" s="50" t="s">
        <v>94</v>
      </c>
      <c r="B19" s="51">
        <v>15.36</v>
      </c>
      <c r="C19" s="51">
        <v>7.81</v>
      </c>
      <c r="D19" s="51">
        <v>16.329999999999998</v>
      </c>
      <c r="E19" s="51">
        <v>4.63</v>
      </c>
      <c r="F19" s="51">
        <v>6.95</v>
      </c>
      <c r="G19" s="51">
        <v>38.520000000000003</v>
      </c>
      <c r="H19" s="51">
        <v>1.06</v>
      </c>
      <c r="I19" s="51">
        <v>1.61</v>
      </c>
      <c r="J19" s="51">
        <v>1.61</v>
      </c>
      <c r="K19" s="51">
        <v>337.5</v>
      </c>
      <c r="L19" s="51">
        <v>28.73</v>
      </c>
      <c r="M19" s="51">
        <v>94.75</v>
      </c>
      <c r="N19" s="51">
        <v>456.4</v>
      </c>
      <c r="O19" s="51">
        <v>0</v>
      </c>
      <c r="P19" s="51">
        <v>0.52</v>
      </c>
      <c r="Q19" s="51">
        <v>9.65</v>
      </c>
      <c r="R19" s="43"/>
      <c r="S19" s="43"/>
      <c r="T19" s="43"/>
      <c r="U19" s="43"/>
    </row>
    <row r="20" spans="1:21" s="11" customFormat="1" x14ac:dyDescent="0.25">
      <c r="A20" s="50" t="s">
        <v>95</v>
      </c>
      <c r="B20" s="51">
        <v>14.18</v>
      </c>
      <c r="C20" s="51">
        <v>7.34</v>
      </c>
      <c r="D20" s="51">
        <v>14.55</v>
      </c>
      <c r="E20" s="51">
        <v>4.76</v>
      </c>
      <c r="F20" s="51">
        <v>4.7</v>
      </c>
      <c r="G20" s="51">
        <v>40.06</v>
      </c>
      <c r="H20" s="51">
        <v>0.23</v>
      </c>
      <c r="I20" s="51">
        <v>1.6</v>
      </c>
      <c r="J20" s="51">
        <v>1.76</v>
      </c>
      <c r="K20" s="51">
        <v>338.58</v>
      </c>
      <c r="L20" s="51">
        <v>30.8</v>
      </c>
      <c r="M20" s="51">
        <v>93.98</v>
      </c>
      <c r="N20" s="51">
        <v>667.9</v>
      </c>
      <c r="O20" s="51">
        <v>0</v>
      </c>
      <c r="P20" s="51">
        <v>0.52</v>
      </c>
      <c r="Q20" s="51">
        <v>9.64</v>
      </c>
      <c r="R20" s="43"/>
      <c r="S20" s="43"/>
      <c r="T20" s="43"/>
      <c r="U20" s="43"/>
    </row>
    <row r="21" spans="1:21" s="11" customFormat="1" x14ac:dyDescent="0.25">
      <c r="A21" s="50" t="s">
        <v>96</v>
      </c>
      <c r="B21" s="51">
        <v>14.45</v>
      </c>
      <c r="C21" s="51">
        <v>9.16</v>
      </c>
      <c r="D21" s="51">
        <v>16.37</v>
      </c>
      <c r="E21" s="51">
        <v>4.3899999999999997</v>
      </c>
      <c r="F21" s="51">
        <v>9</v>
      </c>
      <c r="G21" s="51">
        <v>40.06</v>
      </c>
      <c r="H21" s="51">
        <v>0.06</v>
      </c>
      <c r="I21" s="51">
        <v>1.42</v>
      </c>
      <c r="J21" s="51">
        <v>1.78</v>
      </c>
      <c r="K21" s="51">
        <v>337.19</v>
      </c>
      <c r="L21" s="51">
        <v>31.1</v>
      </c>
      <c r="M21" s="51">
        <v>88.14</v>
      </c>
      <c r="N21" s="51">
        <v>724.8</v>
      </c>
      <c r="O21" s="51">
        <v>0</v>
      </c>
      <c r="P21" s="51">
        <v>0.52</v>
      </c>
      <c r="Q21" s="51">
        <v>9.64</v>
      </c>
      <c r="R21" s="43"/>
      <c r="S21" s="43"/>
      <c r="T21" s="43"/>
      <c r="U21" s="43"/>
    </row>
    <row r="22" spans="1:21" s="11" customFormat="1" x14ac:dyDescent="0.25">
      <c r="A22" s="50" t="s">
        <v>97</v>
      </c>
      <c r="B22" s="51">
        <v>14.86</v>
      </c>
      <c r="C22" s="51">
        <v>9.01</v>
      </c>
      <c r="D22" s="51">
        <v>16.62</v>
      </c>
      <c r="E22" s="51">
        <v>4.74</v>
      </c>
      <c r="F22" s="51">
        <v>9.84</v>
      </c>
      <c r="G22" s="51">
        <v>43.43</v>
      </c>
      <c r="H22" s="51">
        <v>0.01</v>
      </c>
      <c r="I22" s="51">
        <v>1.41</v>
      </c>
      <c r="J22" s="51">
        <v>1.28</v>
      </c>
      <c r="K22" s="51">
        <v>338.27</v>
      </c>
      <c r="L22" s="51">
        <v>30.71</v>
      </c>
      <c r="M22" s="51">
        <v>89.22</v>
      </c>
      <c r="N22" s="51">
        <v>278.2</v>
      </c>
      <c r="O22" s="51">
        <v>0</v>
      </c>
      <c r="P22" s="51">
        <v>0.51</v>
      </c>
      <c r="Q22" s="51">
        <v>9.6199999999999992</v>
      </c>
      <c r="R22" s="43"/>
      <c r="S22" s="43"/>
      <c r="T22" s="43"/>
      <c r="U22" s="43"/>
    </row>
    <row r="23" spans="1:21" s="11" customFormat="1" x14ac:dyDescent="0.25">
      <c r="A23" s="50" t="s">
        <v>98</v>
      </c>
      <c r="B23" s="51">
        <v>15.12</v>
      </c>
      <c r="C23" s="51">
        <v>9.94</v>
      </c>
      <c r="D23" s="51">
        <v>16.98</v>
      </c>
      <c r="E23" s="51">
        <v>4.58</v>
      </c>
      <c r="F23" s="51">
        <v>12.25</v>
      </c>
      <c r="G23" s="51">
        <v>43.43</v>
      </c>
      <c r="H23" s="51">
        <v>1.3</v>
      </c>
      <c r="I23" s="51">
        <v>1.39</v>
      </c>
      <c r="J23" s="51">
        <v>0.98</v>
      </c>
      <c r="K23" s="51">
        <v>337.31</v>
      </c>
      <c r="L23" s="51">
        <v>30.2</v>
      </c>
      <c r="M23" s="51">
        <v>88.86</v>
      </c>
      <c r="N23" s="51">
        <v>236.4</v>
      </c>
      <c r="O23" s="51">
        <v>0</v>
      </c>
      <c r="P23" s="51">
        <v>0.51</v>
      </c>
      <c r="Q23" s="51">
        <v>9.6300000000000008</v>
      </c>
      <c r="R23" s="43"/>
      <c r="S23" s="43"/>
      <c r="T23" s="43"/>
      <c r="U23" s="43"/>
    </row>
    <row r="24" spans="1:21" s="11" customFormat="1" x14ac:dyDescent="0.25">
      <c r="A24" s="50" t="s">
        <v>99</v>
      </c>
      <c r="B24" s="51">
        <v>12.08</v>
      </c>
      <c r="C24" s="51">
        <v>9.5399999999999991</v>
      </c>
      <c r="D24" s="51">
        <v>14.56</v>
      </c>
      <c r="E24" s="51">
        <v>4.74</v>
      </c>
      <c r="F24" s="51">
        <v>11.06</v>
      </c>
      <c r="G24" s="51">
        <v>42.68</v>
      </c>
      <c r="H24" s="51">
        <v>2.8</v>
      </c>
      <c r="I24" s="51">
        <v>1.4</v>
      </c>
      <c r="J24" s="51">
        <v>0.85</v>
      </c>
      <c r="K24" s="51">
        <v>335.17</v>
      </c>
      <c r="L24" s="51">
        <v>30.56</v>
      </c>
      <c r="M24" s="51">
        <v>85.93</v>
      </c>
      <c r="N24" s="51">
        <v>212.5</v>
      </c>
      <c r="O24" s="51">
        <v>0</v>
      </c>
      <c r="P24" s="51">
        <v>0.48</v>
      </c>
      <c r="Q24" s="51">
        <v>9.64</v>
      </c>
      <c r="R24" s="43"/>
      <c r="S24" s="43"/>
      <c r="T24" s="43"/>
      <c r="U24" s="43"/>
    </row>
    <row r="25" spans="1:21" s="11" customFormat="1" x14ac:dyDescent="0.25">
      <c r="A25" s="50" t="s">
        <v>100</v>
      </c>
      <c r="B25" s="51">
        <v>14.07</v>
      </c>
      <c r="C25" s="51">
        <v>18.690000000000001</v>
      </c>
      <c r="D25" s="51">
        <v>21</v>
      </c>
      <c r="E25" s="51">
        <v>5.67</v>
      </c>
      <c r="F25" s="51">
        <v>11.51</v>
      </c>
      <c r="G25" s="51">
        <v>47.36</v>
      </c>
      <c r="H25" s="51">
        <v>2.14</v>
      </c>
      <c r="I25" s="51">
        <v>1.39</v>
      </c>
      <c r="J25" s="51">
        <v>0.91</v>
      </c>
      <c r="K25" s="51">
        <v>339.03</v>
      </c>
      <c r="L25" s="51">
        <v>30.28</v>
      </c>
      <c r="M25" s="51">
        <v>98.48</v>
      </c>
      <c r="N25" s="51">
        <v>169.1</v>
      </c>
      <c r="O25" s="51">
        <v>0</v>
      </c>
      <c r="P25" s="51">
        <v>0.65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101</v>
      </c>
      <c r="B26" s="51">
        <v>24.47</v>
      </c>
      <c r="C26" s="51">
        <v>25.04</v>
      </c>
      <c r="D26" s="51">
        <v>32.71</v>
      </c>
      <c r="E26" s="51">
        <v>5.47</v>
      </c>
      <c r="F26" s="51">
        <v>15.3</v>
      </c>
      <c r="G26" s="51">
        <v>47.36</v>
      </c>
      <c r="H26" s="51">
        <v>2.14</v>
      </c>
      <c r="I26" s="51">
        <v>1.19</v>
      </c>
      <c r="J26" s="51">
        <v>0.57999999999999996</v>
      </c>
      <c r="K26" s="51">
        <v>341.28</v>
      </c>
      <c r="L26" s="51">
        <v>23.9</v>
      </c>
      <c r="M26" s="51">
        <v>98.58</v>
      </c>
      <c r="N26" s="51">
        <v>46.9</v>
      </c>
      <c r="O26" s="51">
        <v>0</v>
      </c>
      <c r="P26" s="51">
        <v>1.31</v>
      </c>
      <c r="Q26" s="51">
        <v>9.6300000000000008</v>
      </c>
      <c r="R26" s="43"/>
      <c r="S26" s="43"/>
      <c r="T26" s="43"/>
      <c r="U26" s="43"/>
    </row>
    <row r="27" spans="1:21" s="11" customFormat="1" x14ac:dyDescent="0.25">
      <c r="A27" s="50" t="s">
        <v>102</v>
      </c>
      <c r="B27" s="51">
        <v>27.16</v>
      </c>
      <c r="C27" s="51">
        <v>33.01</v>
      </c>
      <c r="D27" s="51">
        <v>39.03</v>
      </c>
      <c r="E27" s="51">
        <v>5.63</v>
      </c>
      <c r="F27" s="51">
        <v>6.14</v>
      </c>
      <c r="G27" s="51">
        <v>38.92</v>
      </c>
      <c r="H27" s="51">
        <v>2.14</v>
      </c>
      <c r="I27" s="51">
        <v>1.29</v>
      </c>
      <c r="J27" s="51">
        <v>0.11</v>
      </c>
      <c r="K27" s="51">
        <v>308.25</v>
      </c>
      <c r="L27" s="51">
        <v>24.43</v>
      </c>
      <c r="M27" s="51">
        <v>98.58</v>
      </c>
      <c r="N27" s="51">
        <v>33.5</v>
      </c>
      <c r="O27" s="51">
        <v>0</v>
      </c>
      <c r="P27" s="51">
        <v>0.92</v>
      </c>
      <c r="Q27" s="51">
        <v>9.64</v>
      </c>
      <c r="R27" s="43"/>
      <c r="S27" s="43"/>
      <c r="T27" s="43"/>
      <c r="U27" s="43"/>
    </row>
    <row r="28" spans="1:21" s="11" customFormat="1" x14ac:dyDescent="0.25">
      <c r="A28" s="50" t="s">
        <v>103</v>
      </c>
      <c r="B28" s="51">
        <v>20.25</v>
      </c>
      <c r="C28" s="51">
        <v>18.149999999999999</v>
      </c>
      <c r="D28" s="51">
        <v>25.72</v>
      </c>
      <c r="E28" s="51">
        <v>5.31</v>
      </c>
      <c r="F28" s="51">
        <v>9.24</v>
      </c>
      <c r="G28" s="51">
        <v>35.229999999999997</v>
      </c>
      <c r="H28" s="51">
        <v>4.6900000000000004</v>
      </c>
      <c r="I28" s="51">
        <v>1.51</v>
      </c>
      <c r="J28" s="51">
        <v>0.24</v>
      </c>
      <c r="K28" s="51">
        <v>202.79</v>
      </c>
      <c r="L28" s="51">
        <v>24.6</v>
      </c>
      <c r="M28" s="51">
        <v>98.65</v>
      </c>
      <c r="N28" s="51">
        <v>31.6</v>
      </c>
      <c r="O28" s="51">
        <v>0</v>
      </c>
      <c r="P28" s="51">
        <v>0.82</v>
      </c>
      <c r="Q28" s="51">
        <v>9.6300000000000008</v>
      </c>
      <c r="R28" s="43"/>
      <c r="S28" s="43"/>
      <c r="T28" s="43"/>
      <c r="U28" s="43"/>
    </row>
    <row r="29" spans="1:21" s="11" customFormat="1" x14ac:dyDescent="0.25">
      <c r="A29" s="50" t="s">
        <v>104</v>
      </c>
      <c r="B29" s="51">
        <v>23.63</v>
      </c>
      <c r="C29" s="51">
        <v>16.190000000000001</v>
      </c>
      <c r="D29" s="51">
        <v>27.41</v>
      </c>
      <c r="E29" s="51">
        <v>5.71</v>
      </c>
      <c r="F29" s="51">
        <v>6.62</v>
      </c>
      <c r="G29" s="51">
        <v>40.25</v>
      </c>
      <c r="H29" s="51">
        <v>3.47</v>
      </c>
      <c r="I29" s="51">
        <v>1.61</v>
      </c>
      <c r="J29" s="51">
        <v>0.61</v>
      </c>
      <c r="K29" s="51">
        <v>357.11</v>
      </c>
      <c r="L29" s="51">
        <v>24.63</v>
      </c>
      <c r="M29" s="51">
        <v>98.7</v>
      </c>
      <c r="N29" s="51">
        <v>36.700000000000003</v>
      </c>
      <c r="O29" s="51">
        <v>0.8</v>
      </c>
      <c r="P29" s="51">
        <v>1.1599999999999999</v>
      </c>
      <c r="Q29" s="51">
        <v>9.65</v>
      </c>
      <c r="R29" s="43"/>
      <c r="S29" s="43"/>
      <c r="T29" s="43"/>
      <c r="U29" s="43"/>
    </row>
    <row r="30" spans="1:21" s="11" customFormat="1" x14ac:dyDescent="0.25">
      <c r="A30" s="50" t="s">
        <v>105</v>
      </c>
      <c r="B30" s="51">
        <v>14.66</v>
      </c>
      <c r="C30" s="51">
        <v>10.58</v>
      </c>
      <c r="D30" s="51">
        <v>17.14</v>
      </c>
      <c r="E30" s="51">
        <v>5.43</v>
      </c>
      <c r="F30" s="51">
        <v>5.35</v>
      </c>
      <c r="G30" s="51">
        <v>40.25</v>
      </c>
      <c r="H30" s="51">
        <v>2.1</v>
      </c>
      <c r="I30" s="51">
        <v>1.56</v>
      </c>
      <c r="J30" s="51">
        <v>0.22</v>
      </c>
      <c r="K30" s="51">
        <v>351.32</v>
      </c>
      <c r="L30" s="51">
        <v>21.73</v>
      </c>
      <c r="M30" s="51">
        <v>98.67</v>
      </c>
      <c r="N30" s="51">
        <v>30.8</v>
      </c>
      <c r="O30" s="51">
        <v>0.2</v>
      </c>
      <c r="P30" s="51">
        <v>0.62</v>
      </c>
      <c r="Q30" s="51">
        <v>9.65</v>
      </c>
      <c r="R30" s="43"/>
      <c r="S30" s="43"/>
      <c r="T30" s="43"/>
      <c r="U30" s="43"/>
    </row>
    <row r="31" spans="1:21" s="11" customFormat="1" x14ac:dyDescent="0.25">
      <c r="A31" s="50" t="s">
        <v>106</v>
      </c>
      <c r="B31" s="51">
        <v>18.03</v>
      </c>
      <c r="C31" s="51">
        <v>11.89</v>
      </c>
      <c r="D31" s="51">
        <v>20.25</v>
      </c>
      <c r="E31" s="51">
        <v>5.21</v>
      </c>
      <c r="F31" s="51">
        <v>4.5199999999999996</v>
      </c>
      <c r="G31" s="51">
        <v>26.16</v>
      </c>
      <c r="H31" s="51">
        <v>1.6</v>
      </c>
      <c r="I31" s="51">
        <v>1.45</v>
      </c>
      <c r="J31" s="51">
        <v>0.21</v>
      </c>
      <c r="K31" s="51">
        <v>343.13</v>
      </c>
      <c r="L31" s="51">
        <v>21.81</v>
      </c>
      <c r="M31" s="51">
        <v>98.63</v>
      </c>
      <c r="N31" s="51">
        <v>31</v>
      </c>
      <c r="O31" s="51">
        <v>0</v>
      </c>
      <c r="P31" s="51">
        <v>0.66</v>
      </c>
      <c r="Q31" s="51">
        <v>9.64</v>
      </c>
      <c r="R31" s="43"/>
      <c r="S31" s="43"/>
      <c r="T31" s="43"/>
      <c r="U31" s="43"/>
    </row>
    <row r="32" spans="1:21" s="11" customFormat="1" x14ac:dyDescent="0.25">
      <c r="A32" s="50" t="s">
        <v>107</v>
      </c>
      <c r="B32" s="51">
        <v>12.8</v>
      </c>
      <c r="C32" s="51">
        <v>14.75</v>
      </c>
      <c r="D32" s="51">
        <v>17.22</v>
      </c>
      <c r="E32" s="51">
        <v>5.14</v>
      </c>
      <c r="F32" s="51">
        <v>6.42</v>
      </c>
      <c r="G32" s="51">
        <v>17.86</v>
      </c>
      <c r="H32" s="51">
        <v>0.5</v>
      </c>
      <c r="I32" s="51">
        <v>1.47</v>
      </c>
      <c r="J32" s="51">
        <v>0.25</v>
      </c>
      <c r="K32" s="51">
        <v>332.96</v>
      </c>
      <c r="L32" s="51">
        <v>21.78</v>
      </c>
      <c r="M32" s="51">
        <v>98.63</v>
      </c>
      <c r="N32" s="51">
        <v>31</v>
      </c>
      <c r="O32" s="51">
        <v>0</v>
      </c>
      <c r="P32" s="51">
        <v>0.53</v>
      </c>
      <c r="Q32" s="51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7.07</v>
      </c>
      <c r="C34" s="28">
        <f t="shared" si="0"/>
        <v>5.6</v>
      </c>
      <c r="D34" s="28">
        <f t="shared" si="0"/>
        <v>8.8800000000000008</v>
      </c>
      <c r="E34" s="28">
        <f t="shared" si="0"/>
        <v>4.3899999999999997</v>
      </c>
      <c r="F34" s="28">
        <f t="shared" si="0"/>
        <v>3.57</v>
      </c>
      <c r="G34" s="28">
        <f t="shared" si="0"/>
        <v>13.99</v>
      </c>
      <c r="H34" s="28">
        <f t="shared" si="0"/>
        <v>0.01</v>
      </c>
      <c r="I34" s="28">
        <f t="shared" si="0"/>
        <v>0.98</v>
      </c>
      <c r="J34" s="28">
        <f t="shared" si="0"/>
        <v>0.1</v>
      </c>
      <c r="K34" s="28">
        <f t="shared" si="0"/>
        <v>202.79</v>
      </c>
      <c r="L34" s="28">
        <f t="shared" si="0"/>
        <v>21.73</v>
      </c>
      <c r="M34" s="28">
        <f t="shared" si="0"/>
        <v>85.93</v>
      </c>
      <c r="N34" s="28">
        <f t="shared" si="0"/>
        <v>30.8</v>
      </c>
      <c r="O34" s="28">
        <f t="shared" si="0"/>
        <v>0</v>
      </c>
      <c r="P34" s="28">
        <f t="shared" si="0"/>
        <v>0.28999999999999998</v>
      </c>
      <c r="Q34" s="28">
        <f t="shared" si="0"/>
        <v>9.49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27.16</v>
      </c>
      <c r="C35" s="29">
        <f t="shared" si="1"/>
        <v>33.01</v>
      </c>
      <c r="D35" s="29">
        <f t="shared" si="1"/>
        <v>39.03</v>
      </c>
      <c r="E35" s="29">
        <f t="shared" si="1"/>
        <v>5.71</v>
      </c>
      <c r="F35" s="29">
        <f t="shared" si="1"/>
        <v>15.3</v>
      </c>
      <c r="G35" s="29">
        <f t="shared" si="1"/>
        <v>47.36</v>
      </c>
      <c r="H35" s="29">
        <f t="shared" si="1"/>
        <v>4.6900000000000004</v>
      </c>
      <c r="I35" s="29">
        <f t="shared" si="1"/>
        <v>1.61</v>
      </c>
      <c r="J35" s="29">
        <f t="shared" si="1"/>
        <v>1.78</v>
      </c>
      <c r="K35" s="29">
        <f t="shared" si="1"/>
        <v>357.11</v>
      </c>
      <c r="L35" s="29">
        <f t="shared" si="1"/>
        <v>31.1</v>
      </c>
      <c r="M35" s="29">
        <f t="shared" si="1"/>
        <v>98.7</v>
      </c>
      <c r="N35" s="29">
        <f t="shared" si="1"/>
        <v>724.8</v>
      </c>
      <c r="O35" s="29">
        <f t="shared" si="1"/>
        <v>0.8</v>
      </c>
      <c r="P35" s="29">
        <f t="shared" si="1"/>
        <v>1.31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14.436666666666669</v>
      </c>
      <c r="C36" s="28">
        <f t="shared" si="2"/>
        <v>11.928333333333333</v>
      </c>
      <c r="D36" s="28">
        <f t="shared" si="2"/>
        <v>17.654583333333335</v>
      </c>
      <c r="E36" s="28">
        <f t="shared" si="2"/>
        <v>5.067499999999999</v>
      </c>
      <c r="F36" s="28">
        <f t="shared" si="2"/>
        <v>7.237916666666667</v>
      </c>
      <c r="G36" s="28">
        <f t="shared" si="2"/>
        <v>32.81666666666667</v>
      </c>
      <c r="H36" s="28">
        <f t="shared" si="2"/>
        <v>1.6504166666666669</v>
      </c>
      <c r="I36" s="28">
        <f t="shared" si="2"/>
        <v>1.4012500000000001</v>
      </c>
      <c r="J36" s="28">
        <f t="shared" si="2"/>
        <v>0.59916666666666674</v>
      </c>
      <c r="K36" s="28">
        <f t="shared" si="2"/>
        <v>323.32333333333332</v>
      </c>
      <c r="L36" s="28">
        <f t="shared" si="2"/>
        <v>25.822916666666661</v>
      </c>
      <c r="M36" s="28">
        <f t="shared" si="2"/>
        <v>96.149583333333339</v>
      </c>
      <c r="N36" s="28">
        <f t="shared" si="2"/>
        <v>172.05416666666667</v>
      </c>
      <c r="O36" s="28">
        <f t="shared" si="2"/>
        <v>4.1666666666666664E-2</v>
      </c>
      <c r="P36" s="28">
        <f t="shared" si="2"/>
        <v>0.57041666666666668</v>
      </c>
      <c r="Q36" s="28">
        <f t="shared" si="2"/>
        <v>9.6179166666666642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5.3344594825543901</v>
      </c>
      <c r="C37" s="28">
        <f t="shared" ref="C37:Q37" si="3">STDEV(C9:C32)</f>
        <v>6.6890882375160334</v>
      </c>
      <c r="D37" s="28">
        <f t="shared" si="3"/>
        <v>7.322390901508375</v>
      </c>
      <c r="E37" s="28">
        <f t="shared" si="3"/>
        <v>0.35887808272569333</v>
      </c>
      <c r="F37" s="28">
        <f t="shared" si="3"/>
        <v>3.0154168781903694</v>
      </c>
      <c r="G37" s="28">
        <f t="shared" si="3"/>
        <v>10.632058439769164</v>
      </c>
      <c r="H37" s="28">
        <f t="shared" si="3"/>
        <v>1.1578821715478673</v>
      </c>
      <c r="I37" s="28">
        <f t="shared" si="3"/>
        <v>0.18262131167599338</v>
      </c>
      <c r="J37" s="28">
        <f t="shared" si="3"/>
        <v>0.56718923049402636</v>
      </c>
      <c r="K37" s="28">
        <f t="shared" si="3"/>
        <v>30.508521356537727</v>
      </c>
      <c r="L37" s="28">
        <f t="shared" si="3"/>
        <v>3.4213148745788606</v>
      </c>
      <c r="M37" s="28">
        <f t="shared" si="3"/>
        <v>4.1118635140251198</v>
      </c>
      <c r="N37" s="28">
        <f t="shared" si="3"/>
        <v>208.99177637069766</v>
      </c>
      <c r="O37" s="28">
        <f t="shared" si="3"/>
        <v>0.16659418713870483</v>
      </c>
      <c r="P37" s="28">
        <f t="shared" si="3"/>
        <v>0.2543274022519631</v>
      </c>
      <c r="Q37" s="28">
        <f t="shared" si="3"/>
        <v>4.4719334080235706E-2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2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J14" sqref="J14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108</v>
      </c>
      <c r="B9" s="51">
        <v>10.9</v>
      </c>
      <c r="C9" s="51">
        <v>8.14</v>
      </c>
      <c r="D9" s="51">
        <v>12.31</v>
      </c>
      <c r="E9" s="51">
        <v>4.01</v>
      </c>
      <c r="F9" s="51">
        <v>7.02</v>
      </c>
      <c r="G9" s="51">
        <v>12.75</v>
      </c>
      <c r="H9" s="51">
        <v>1.5</v>
      </c>
      <c r="I9" s="51">
        <v>1.53</v>
      </c>
      <c r="J9" s="51">
        <v>0.06</v>
      </c>
      <c r="K9" s="51">
        <v>251.63</v>
      </c>
      <c r="L9" s="51">
        <v>21.83</v>
      </c>
      <c r="M9" s="51">
        <v>98.65</v>
      </c>
      <c r="N9" s="51">
        <v>31</v>
      </c>
      <c r="O9" s="51">
        <v>0</v>
      </c>
      <c r="P9" s="51">
        <v>0.52</v>
      </c>
      <c r="Q9" s="51">
        <v>9.65</v>
      </c>
      <c r="R9" s="43"/>
      <c r="S9" s="43"/>
      <c r="T9" s="43"/>
      <c r="U9" s="43"/>
    </row>
    <row r="10" spans="1:21" s="11" customFormat="1" x14ac:dyDescent="0.25">
      <c r="A10" s="50" t="s">
        <v>109</v>
      </c>
      <c r="B10" s="51">
        <v>13.05</v>
      </c>
      <c r="C10" s="51">
        <v>6.38</v>
      </c>
      <c r="D10" s="51">
        <v>12.97</v>
      </c>
      <c r="E10" s="51">
        <v>3.98</v>
      </c>
      <c r="F10" s="51">
        <v>4.0999999999999996</v>
      </c>
      <c r="G10" s="51">
        <v>16.239999999999998</v>
      </c>
      <c r="H10" s="51">
        <v>2.6</v>
      </c>
      <c r="I10" s="51">
        <v>1.42</v>
      </c>
      <c r="J10" s="51">
        <v>0.06</v>
      </c>
      <c r="K10" s="51">
        <v>263.73</v>
      </c>
      <c r="L10" s="51">
        <v>21.77</v>
      </c>
      <c r="M10" s="51">
        <v>98.67</v>
      </c>
      <c r="N10" s="51">
        <v>31</v>
      </c>
      <c r="O10" s="51">
        <v>0</v>
      </c>
      <c r="P10" s="51">
        <v>0.53</v>
      </c>
      <c r="Q10" s="51">
        <v>9.65</v>
      </c>
      <c r="R10" s="43"/>
      <c r="S10" s="43"/>
      <c r="T10" s="43"/>
      <c r="U10" s="43"/>
    </row>
    <row r="11" spans="1:21" s="11" customFormat="1" x14ac:dyDescent="0.25">
      <c r="A11" s="50" t="s">
        <v>110</v>
      </c>
      <c r="B11" s="51">
        <v>11.25</v>
      </c>
      <c r="C11" s="51">
        <v>6.25</v>
      </c>
      <c r="D11" s="51">
        <v>11.87</v>
      </c>
      <c r="E11" s="51">
        <v>3.96</v>
      </c>
      <c r="F11" s="51">
        <v>4.47</v>
      </c>
      <c r="G11" s="51">
        <v>16.239999999999998</v>
      </c>
      <c r="H11" s="51">
        <v>2.4</v>
      </c>
      <c r="I11" s="51">
        <v>1.38</v>
      </c>
      <c r="J11" s="51">
        <v>7.0000000000000007E-2</v>
      </c>
      <c r="K11" s="51">
        <v>334.86</v>
      </c>
      <c r="L11" s="51">
        <v>21.91</v>
      </c>
      <c r="M11" s="51">
        <v>98.68</v>
      </c>
      <c r="N11" s="51">
        <v>31</v>
      </c>
      <c r="O11" s="51">
        <v>0</v>
      </c>
      <c r="P11" s="51">
        <v>0.51</v>
      </c>
      <c r="Q11" s="51">
        <v>9.65</v>
      </c>
      <c r="R11" s="43"/>
      <c r="S11" s="43"/>
      <c r="T11" s="43"/>
      <c r="U11" s="43"/>
    </row>
    <row r="12" spans="1:21" s="11" customFormat="1" x14ac:dyDescent="0.25">
      <c r="A12" s="50" t="s">
        <v>111</v>
      </c>
      <c r="B12" s="51">
        <v>9.92</v>
      </c>
      <c r="C12" s="51">
        <v>9.4600000000000009</v>
      </c>
      <c r="D12" s="51">
        <v>11.9</v>
      </c>
      <c r="E12" s="51">
        <v>3.89</v>
      </c>
      <c r="F12" s="51">
        <v>5.25</v>
      </c>
      <c r="G12" s="51">
        <v>12.4</v>
      </c>
      <c r="H12" s="51">
        <v>1.6</v>
      </c>
      <c r="I12" s="51">
        <v>1.25</v>
      </c>
      <c r="J12" s="51">
        <v>0.13</v>
      </c>
      <c r="K12" s="51">
        <v>316.95</v>
      </c>
      <c r="L12" s="51">
        <v>21.87</v>
      </c>
      <c r="M12" s="51">
        <v>98.7</v>
      </c>
      <c r="N12" s="51">
        <v>31</v>
      </c>
      <c r="O12" s="51">
        <v>0.4</v>
      </c>
      <c r="P12" s="51">
        <v>0.48</v>
      </c>
      <c r="Q12" s="51">
        <v>9.64</v>
      </c>
      <c r="R12" s="43"/>
      <c r="S12" s="43"/>
      <c r="T12" s="43"/>
      <c r="U12" s="43"/>
    </row>
    <row r="13" spans="1:21" s="11" customFormat="1" x14ac:dyDescent="0.25">
      <c r="A13" s="50" t="s">
        <v>112</v>
      </c>
      <c r="B13" s="51">
        <v>8.98</v>
      </c>
      <c r="C13" s="51">
        <v>9.02</v>
      </c>
      <c r="D13" s="51">
        <v>11.84</v>
      </c>
      <c r="E13" s="51">
        <v>4</v>
      </c>
      <c r="F13" s="51">
        <v>4.88</v>
      </c>
      <c r="G13" s="51">
        <v>12.89</v>
      </c>
      <c r="H13" s="51">
        <v>1.9</v>
      </c>
      <c r="I13" s="51">
        <v>1.19</v>
      </c>
      <c r="J13" s="51">
        <v>0.05</v>
      </c>
      <c r="K13" s="51">
        <v>201.47</v>
      </c>
      <c r="L13" s="51">
        <v>21.95</v>
      </c>
      <c r="M13" s="51">
        <v>98.74</v>
      </c>
      <c r="N13" s="51">
        <v>31</v>
      </c>
      <c r="O13" s="51">
        <v>0</v>
      </c>
      <c r="P13" s="51">
        <v>0.44</v>
      </c>
      <c r="Q13" s="51">
        <v>9.64</v>
      </c>
      <c r="R13" s="43"/>
      <c r="S13" s="43"/>
      <c r="T13" s="43"/>
      <c r="U13" s="43"/>
    </row>
    <row r="14" spans="1:21" s="11" customFormat="1" x14ac:dyDescent="0.25">
      <c r="A14" s="50" t="s">
        <v>113</v>
      </c>
      <c r="B14" s="51">
        <v>10.69</v>
      </c>
      <c r="C14" s="51">
        <v>7.73</v>
      </c>
      <c r="D14" s="51">
        <v>11.65</v>
      </c>
      <c r="E14" s="51">
        <v>4.24</v>
      </c>
      <c r="F14" s="51">
        <v>4.7699999999999996</v>
      </c>
      <c r="G14" s="51">
        <v>15.95</v>
      </c>
      <c r="H14" s="51">
        <v>1.5</v>
      </c>
      <c r="I14" s="51">
        <v>1.1499999999999999</v>
      </c>
      <c r="J14" s="51">
        <v>7.0000000000000007E-2</v>
      </c>
      <c r="K14" s="51">
        <v>326.51</v>
      </c>
      <c r="L14" s="51">
        <v>22.02</v>
      </c>
      <c r="M14" s="51">
        <v>98.77</v>
      </c>
      <c r="N14" s="51">
        <v>33.200000000000003</v>
      </c>
      <c r="O14" s="51">
        <v>0</v>
      </c>
      <c r="P14" s="51">
        <v>0.46</v>
      </c>
      <c r="Q14" s="51">
        <v>9.64</v>
      </c>
      <c r="R14" s="43"/>
      <c r="S14" s="43"/>
      <c r="T14" s="43"/>
      <c r="U14" s="43"/>
    </row>
    <row r="15" spans="1:21" s="11" customFormat="1" x14ac:dyDescent="0.25">
      <c r="A15" s="50" t="s">
        <v>114</v>
      </c>
      <c r="B15" s="51">
        <v>12.89</v>
      </c>
      <c r="C15" s="51">
        <v>10.48</v>
      </c>
      <c r="D15" s="51">
        <v>15.32</v>
      </c>
      <c r="E15" s="51">
        <v>4.1500000000000004</v>
      </c>
      <c r="F15" s="51">
        <v>5.1100000000000003</v>
      </c>
      <c r="G15" s="51">
        <v>15.95</v>
      </c>
      <c r="H15" s="51">
        <v>2.9</v>
      </c>
      <c r="I15" s="51">
        <v>1.1599999999999999</v>
      </c>
      <c r="J15" s="51">
        <v>0.38</v>
      </c>
      <c r="K15" s="51">
        <v>175.82</v>
      </c>
      <c r="L15" s="51">
        <v>22.38</v>
      </c>
      <c r="M15" s="51">
        <v>98.83</v>
      </c>
      <c r="N15" s="51">
        <v>69.3</v>
      </c>
      <c r="O15" s="51">
        <v>0</v>
      </c>
      <c r="P15" s="51">
        <v>0.41</v>
      </c>
      <c r="Q15" s="51">
        <v>9.65</v>
      </c>
      <c r="R15" s="43"/>
      <c r="S15" s="43"/>
      <c r="T15" s="43"/>
      <c r="U15" s="43"/>
    </row>
    <row r="16" spans="1:21" s="11" customFormat="1" x14ac:dyDescent="0.25">
      <c r="A16" s="50" t="s">
        <v>115</v>
      </c>
      <c r="B16" s="51">
        <v>12.22</v>
      </c>
      <c r="C16" s="51">
        <v>9.7100000000000009</v>
      </c>
      <c r="D16" s="51">
        <v>14.11</v>
      </c>
      <c r="E16" s="51">
        <v>4.67</v>
      </c>
      <c r="F16" s="51">
        <v>5.82</v>
      </c>
      <c r="G16" s="51">
        <v>14.23</v>
      </c>
      <c r="H16" s="51">
        <v>59.46</v>
      </c>
      <c r="I16" s="51">
        <v>1.1499999999999999</v>
      </c>
      <c r="J16" s="51">
        <v>0.27</v>
      </c>
      <c r="K16" s="51">
        <v>175.86</v>
      </c>
      <c r="L16" s="51">
        <v>22.49</v>
      </c>
      <c r="M16" s="51">
        <v>98.82</v>
      </c>
      <c r="N16" s="51">
        <v>95.2</v>
      </c>
      <c r="O16" s="51">
        <v>0</v>
      </c>
      <c r="P16" s="51">
        <v>0.36</v>
      </c>
      <c r="Q16" s="51">
        <v>9.65</v>
      </c>
      <c r="R16" s="43"/>
      <c r="S16" s="43"/>
      <c r="T16" s="43"/>
      <c r="U16" s="43"/>
    </row>
    <row r="17" spans="1:21" s="11" customFormat="1" x14ac:dyDescent="0.25">
      <c r="A17" s="50" t="s">
        <v>116</v>
      </c>
      <c r="B17" s="51">
        <v>11.68</v>
      </c>
      <c r="C17" s="51">
        <v>9.33</v>
      </c>
      <c r="D17" s="51">
        <v>13.88</v>
      </c>
      <c r="E17" s="51">
        <v>4.6399999999999997</v>
      </c>
      <c r="F17" s="51">
        <v>8.2799999999999994</v>
      </c>
      <c r="G17" s="51">
        <v>14.23</v>
      </c>
      <c r="H17" s="51">
        <v>59.46</v>
      </c>
      <c r="I17" s="51">
        <v>1.22</v>
      </c>
      <c r="J17" s="51">
        <v>0.37</v>
      </c>
      <c r="K17" s="51">
        <v>156.06</v>
      </c>
      <c r="L17" s="51">
        <v>23.72</v>
      </c>
      <c r="M17" s="51">
        <v>98.52</v>
      </c>
      <c r="N17" s="51">
        <v>289</v>
      </c>
      <c r="O17" s="51">
        <v>0</v>
      </c>
      <c r="P17" s="51">
        <v>0.34</v>
      </c>
      <c r="Q17" s="51">
        <v>9.64</v>
      </c>
      <c r="R17" s="43"/>
      <c r="S17" s="43"/>
      <c r="T17" s="43"/>
      <c r="U17" s="43"/>
    </row>
    <row r="18" spans="1:21" s="11" customFormat="1" x14ac:dyDescent="0.25">
      <c r="A18" s="50" t="s">
        <v>117</v>
      </c>
      <c r="B18" s="51">
        <v>11.27</v>
      </c>
      <c r="C18" s="51">
        <v>10.72</v>
      </c>
      <c r="D18" s="51">
        <v>13.36</v>
      </c>
      <c r="E18" s="51">
        <v>4.74</v>
      </c>
      <c r="F18" s="51">
        <v>9.1</v>
      </c>
      <c r="G18" s="51">
        <v>14.25</v>
      </c>
      <c r="H18" s="51">
        <v>2.38</v>
      </c>
      <c r="I18" s="51">
        <v>1.23</v>
      </c>
      <c r="J18" s="51">
        <v>0.42</v>
      </c>
      <c r="K18" s="51">
        <v>155.78</v>
      </c>
      <c r="L18" s="51">
        <v>25.23</v>
      </c>
      <c r="M18" s="51">
        <v>98.42</v>
      </c>
      <c r="N18" s="51">
        <v>285.10000000000002</v>
      </c>
      <c r="O18" s="51">
        <v>0</v>
      </c>
      <c r="P18" s="51">
        <v>0.34</v>
      </c>
      <c r="Q18" s="51">
        <v>9.64</v>
      </c>
      <c r="R18" s="43"/>
      <c r="S18" s="43"/>
      <c r="T18" s="43"/>
      <c r="U18" s="43"/>
    </row>
    <row r="19" spans="1:21" s="11" customFormat="1" x14ac:dyDescent="0.25">
      <c r="A19" s="50" t="s">
        <v>118</v>
      </c>
      <c r="B19" s="51">
        <v>10.14</v>
      </c>
      <c r="C19" s="51">
        <v>12.96</v>
      </c>
      <c r="D19" s="51">
        <v>13.85</v>
      </c>
      <c r="E19" s="51">
        <v>4.79</v>
      </c>
      <c r="F19" s="51">
        <v>10.76</v>
      </c>
      <c r="G19" s="51">
        <v>14.25</v>
      </c>
      <c r="H19" s="51">
        <v>0.48</v>
      </c>
      <c r="I19" s="51">
        <v>1.22</v>
      </c>
      <c r="J19" s="51">
        <v>0.46</v>
      </c>
      <c r="K19" s="51">
        <v>149.59</v>
      </c>
      <c r="L19" s="51">
        <v>26.34</v>
      </c>
      <c r="M19" s="51">
        <v>98.35</v>
      </c>
      <c r="N19" s="51">
        <v>421.6</v>
      </c>
      <c r="O19" s="51">
        <v>0</v>
      </c>
      <c r="P19" s="51">
        <v>0.28000000000000003</v>
      </c>
      <c r="Q19" s="51">
        <v>9.64</v>
      </c>
      <c r="R19" s="43"/>
      <c r="S19" s="43"/>
      <c r="T19" s="43"/>
      <c r="U19" s="43"/>
    </row>
    <row r="20" spans="1:21" s="11" customFormat="1" x14ac:dyDescent="0.25">
      <c r="A20" s="50" t="s">
        <v>119</v>
      </c>
      <c r="B20" s="51">
        <v>6.26</v>
      </c>
      <c r="C20" s="51">
        <v>15.51</v>
      </c>
      <c r="D20" s="51">
        <v>13.13</v>
      </c>
      <c r="E20" s="51">
        <v>4.6399999999999997</v>
      </c>
      <c r="F20" s="51">
        <v>11.52</v>
      </c>
      <c r="G20" s="51">
        <v>20.52</v>
      </c>
      <c r="H20" s="51">
        <v>0.48</v>
      </c>
      <c r="I20" s="51">
        <v>1.04</v>
      </c>
      <c r="J20" s="51">
        <v>0.87</v>
      </c>
      <c r="K20" s="51">
        <v>144.44</v>
      </c>
      <c r="L20" s="51">
        <v>27.11</v>
      </c>
      <c r="M20" s="51">
        <v>98.27</v>
      </c>
      <c r="N20" s="51">
        <v>393.2</v>
      </c>
      <c r="O20" s="51">
        <v>0</v>
      </c>
      <c r="P20" s="51">
        <v>0.17</v>
      </c>
      <c r="Q20" s="51">
        <v>9.5399999999999991</v>
      </c>
      <c r="R20" s="43"/>
      <c r="S20" s="43"/>
      <c r="T20" s="43"/>
      <c r="U20" s="43"/>
    </row>
    <row r="21" spans="1:21" s="11" customFormat="1" x14ac:dyDescent="0.25">
      <c r="A21" s="50" t="s">
        <v>120</v>
      </c>
      <c r="B21" s="51">
        <v>6.17</v>
      </c>
      <c r="C21" s="51">
        <v>13.85</v>
      </c>
      <c r="D21" s="51">
        <v>12.18</v>
      </c>
      <c r="E21" s="51">
        <v>4.6100000000000003</v>
      </c>
      <c r="F21" s="51">
        <v>14.29</v>
      </c>
      <c r="G21" s="51">
        <v>36.020000000000003</v>
      </c>
      <c r="H21" s="51">
        <v>0.48</v>
      </c>
      <c r="I21" s="51">
        <v>0.87</v>
      </c>
      <c r="J21" s="51">
        <v>0.5</v>
      </c>
      <c r="K21" s="51">
        <v>149.22</v>
      </c>
      <c r="L21" s="51">
        <v>27.26</v>
      </c>
      <c r="M21" s="51">
        <v>98.38</v>
      </c>
      <c r="N21" s="51">
        <v>290.3</v>
      </c>
      <c r="O21" s="51">
        <v>0</v>
      </c>
      <c r="P21" s="51">
        <v>0.19</v>
      </c>
      <c r="Q21" s="51">
        <v>9.49</v>
      </c>
      <c r="R21" s="43"/>
      <c r="S21" s="43"/>
      <c r="T21" s="43"/>
      <c r="U21" s="43"/>
    </row>
    <row r="22" spans="1:21" s="11" customFormat="1" x14ac:dyDescent="0.25">
      <c r="A22" s="50" t="s">
        <v>121</v>
      </c>
      <c r="B22" s="51">
        <v>17.02</v>
      </c>
      <c r="C22" s="51">
        <v>16.309999999999999</v>
      </c>
      <c r="D22" s="51">
        <v>22.13</v>
      </c>
      <c r="E22" s="51">
        <v>5.18</v>
      </c>
      <c r="F22" s="51">
        <v>15.81</v>
      </c>
      <c r="G22" s="51">
        <v>36.020000000000003</v>
      </c>
      <c r="H22" s="51">
        <v>1.9</v>
      </c>
      <c r="I22" s="51">
        <v>0.97</v>
      </c>
      <c r="J22" s="51">
        <v>0.33</v>
      </c>
      <c r="K22" s="51">
        <v>343.24</v>
      </c>
      <c r="L22" s="51">
        <v>28.24</v>
      </c>
      <c r="M22" s="51">
        <v>95.6</v>
      </c>
      <c r="N22" s="51">
        <v>254</v>
      </c>
      <c r="O22" s="51">
        <v>0</v>
      </c>
      <c r="P22" s="51">
        <v>0.56000000000000005</v>
      </c>
      <c r="Q22" s="51">
        <v>9.5399999999999991</v>
      </c>
      <c r="R22" s="43"/>
      <c r="S22" s="43"/>
      <c r="T22" s="43"/>
      <c r="U22" s="43"/>
    </row>
    <row r="23" spans="1:21" s="11" customFormat="1" x14ac:dyDescent="0.25">
      <c r="A23" s="50" t="s">
        <v>122</v>
      </c>
      <c r="B23" s="51">
        <v>7.75</v>
      </c>
      <c r="C23" s="51">
        <v>13.63</v>
      </c>
      <c r="D23" s="51">
        <v>13.13</v>
      </c>
      <c r="E23" s="51">
        <v>5.07</v>
      </c>
      <c r="F23" s="51">
        <v>12.99</v>
      </c>
      <c r="G23" s="51">
        <v>28.1</v>
      </c>
      <c r="H23" s="51">
        <v>1.45</v>
      </c>
      <c r="I23" s="51">
        <v>1.03</v>
      </c>
      <c r="J23" s="51">
        <v>0.24</v>
      </c>
      <c r="K23" s="51">
        <v>327.32</v>
      </c>
      <c r="L23" s="51">
        <v>29.34</v>
      </c>
      <c r="M23" s="51">
        <v>91.32</v>
      </c>
      <c r="N23" s="51">
        <v>250.9</v>
      </c>
      <c r="O23" s="51">
        <v>0</v>
      </c>
      <c r="P23" s="51">
        <v>0.32</v>
      </c>
      <c r="Q23" s="51">
        <v>9.5500000000000007</v>
      </c>
      <c r="R23" s="43"/>
      <c r="S23" s="43"/>
      <c r="T23" s="43"/>
      <c r="U23" s="43"/>
    </row>
    <row r="24" spans="1:21" s="11" customFormat="1" x14ac:dyDescent="0.25">
      <c r="A24" s="50" t="s">
        <v>123</v>
      </c>
      <c r="B24" s="51">
        <v>10.79</v>
      </c>
      <c r="C24" s="51">
        <v>15.59</v>
      </c>
      <c r="D24" s="51">
        <v>16.8</v>
      </c>
      <c r="E24" s="51">
        <v>4.96</v>
      </c>
      <c r="F24" s="51">
        <v>17.899999999999999</v>
      </c>
      <c r="G24" s="51">
        <v>54.62</v>
      </c>
      <c r="H24" s="51">
        <v>76.97</v>
      </c>
      <c r="I24" s="51">
        <v>1.02</v>
      </c>
      <c r="J24" s="51">
        <v>0.47</v>
      </c>
      <c r="K24" s="51">
        <v>340.82</v>
      </c>
      <c r="L24" s="51">
        <v>29.15</v>
      </c>
      <c r="M24" s="51">
        <v>88.29</v>
      </c>
      <c r="N24" s="51">
        <v>166.3</v>
      </c>
      <c r="O24" s="51">
        <v>0</v>
      </c>
      <c r="P24" s="51">
        <v>0.46</v>
      </c>
      <c r="Q24" s="51">
        <v>9.5</v>
      </c>
      <c r="R24" s="43"/>
      <c r="S24" s="43"/>
      <c r="T24" s="43"/>
      <c r="U24" s="43"/>
    </row>
    <row r="25" spans="1:21" s="11" customFormat="1" x14ac:dyDescent="0.25">
      <c r="A25" s="50" t="s">
        <v>124</v>
      </c>
      <c r="B25" s="51">
        <v>11.99</v>
      </c>
      <c r="C25" s="51">
        <v>24.3</v>
      </c>
      <c r="D25" s="51">
        <v>20.52</v>
      </c>
      <c r="E25" s="51">
        <v>4.46</v>
      </c>
      <c r="F25" s="51">
        <v>19.399999999999999</v>
      </c>
      <c r="G25" s="51">
        <v>56.45</v>
      </c>
      <c r="H25" s="51">
        <v>51.26</v>
      </c>
      <c r="I25" s="51">
        <v>1.05</v>
      </c>
      <c r="J25" s="51">
        <v>0.48</v>
      </c>
      <c r="K25" s="51">
        <v>340.53</v>
      </c>
      <c r="L25" s="51">
        <v>29.23</v>
      </c>
      <c r="M25" s="51">
        <v>93.88</v>
      </c>
      <c r="N25" s="51">
        <v>112.3</v>
      </c>
      <c r="O25" s="51">
        <v>0</v>
      </c>
      <c r="P25" s="51">
        <v>0.66</v>
      </c>
      <c r="Q25" s="51">
        <v>9.5500000000000007</v>
      </c>
      <c r="R25" s="43"/>
      <c r="S25" s="43"/>
      <c r="T25" s="43"/>
      <c r="U25" s="43"/>
    </row>
    <row r="26" spans="1:21" s="11" customFormat="1" x14ac:dyDescent="0.25">
      <c r="A26" s="50" t="s">
        <v>125</v>
      </c>
      <c r="B26" s="51">
        <v>19.29</v>
      </c>
      <c r="C26" s="51">
        <v>26.73</v>
      </c>
      <c r="D26" s="51">
        <v>29.43</v>
      </c>
      <c r="E26" s="51">
        <v>4.9400000000000004</v>
      </c>
      <c r="F26" s="51">
        <v>19.100000000000001</v>
      </c>
      <c r="G26" s="51">
        <v>56.45</v>
      </c>
      <c r="H26" s="51">
        <v>31.72</v>
      </c>
      <c r="I26" s="51">
        <v>1.24</v>
      </c>
      <c r="J26" s="51">
        <v>0.2</v>
      </c>
      <c r="K26" s="51">
        <v>328.79</v>
      </c>
      <c r="L26" s="51">
        <v>27.49</v>
      </c>
      <c r="M26" s="51">
        <v>98.05</v>
      </c>
      <c r="N26" s="51">
        <v>68</v>
      </c>
      <c r="O26" s="51">
        <v>0</v>
      </c>
      <c r="P26" s="51">
        <v>1.1299999999999999</v>
      </c>
      <c r="Q26" s="51">
        <v>9.57</v>
      </c>
      <c r="R26" s="43"/>
      <c r="S26" s="43"/>
      <c r="T26" s="43"/>
      <c r="U26" s="43"/>
    </row>
    <row r="27" spans="1:21" s="11" customFormat="1" x14ac:dyDescent="0.25">
      <c r="A27" s="50" t="s">
        <v>126</v>
      </c>
      <c r="B27" s="51">
        <v>25.07</v>
      </c>
      <c r="C27" s="51">
        <v>23.78</v>
      </c>
      <c r="D27" s="51">
        <v>32.03</v>
      </c>
      <c r="E27" s="51">
        <v>4.93</v>
      </c>
      <c r="F27" s="51">
        <v>13.21</v>
      </c>
      <c r="G27" s="51">
        <v>69.62</v>
      </c>
      <c r="H27" s="51">
        <v>19.309999999999999</v>
      </c>
      <c r="I27" s="51">
        <v>1.34</v>
      </c>
      <c r="J27" s="51">
        <v>0.56999999999999995</v>
      </c>
      <c r="K27" s="51">
        <v>343.68</v>
      </c>
      <c r="L27" s="51">
        <v>26.78</v>
      </c>
      <c r="M27" s="51">
        <v>98.38</v>
      </c>
      <c r="N27" s="51">
        <v>31.2</v>
      </c>
      <c r="O27" s="51">
        <v>0</v>
      </c>
      <c r="P27" s="51">
        <v>1.37</v>
      </c>
      <c r="Q27" s="51">
        <v>9.61</v>
      </c>
      <c r="R27" s="43"/>
      <c r="S27" s="43"/>
      <c r="T27" s="43"/>
      <c r="U27" s="43"/>
    </row>
    <row r="28" spans="1:21" s="11" customFormat="1" x14ac:dyDescent="0.25">
      <c r="A28" s="50" t="s">
        <v>127</v>
      </c>
      <c r="B28" s="51">
        <v>32.65</v>
      </c>
      <c r="C28" s="51">
        <v>29.11</v>
      </c>
      <c r="D28" s="51">
        <v>38.03</v>
      </c>
      <c r="E28" s="51">
        <v>5.31</v>
      </c>
      <c r="F28" s="51">
        <v>7.94</v>
      </c>
      <c r="G28" s="51">
        <v>78.81</v>
      </c>
      <c r="H28" s="51">
        <v>19.309999999999999</v>
      </c>
      <c r="I28" s="51">
        <v>1.67</v>
      </c>
      <c r="J28" s="51">
        <v>0.36</v>
      </c>
      <c r="K28" s="51">
        <v>344.96</v>
      </c>
      <c r="L28" s="51">
        <v>25.85</v>
      </c>
      <c r="M28" s="51">
        <v>98.1</v>
      </c>
      <c r="N28" s="51">
        <v>27.5</v>
      </c>
      <c r="O28" s="51">
        <v>0</v>
      </c>
      <c r="P28" s="51">
        <v>1.98</v>
      </c>
      <c r="Q28" s="51">
        <v>9.6199999999999992</v>
      </c>
      <c r="R28" s="43"/>
      <c r="S28" s="43"/>
      <c r="T28" s="43"/>
      <c r="U28" s="43"/>
    </row>
    <row r="29" spans="1:21" s="11" customFormat="1" x14ac:dyDescent="0.25">
      <c r="A29" s="50" t="s">
        <v>128</v>
      </c>
      <c r="B29" s="51">
        <v>31.2</v>
      </c>
      <c r="C29" s="51">
        <v>24.3</v>
      </c>
      <c r="D29" s="51">
        <v>35.86</v>
      </c>
      <c r="E29" s="51">
        <v>5.26</v>
      </c>
      <c r="F29" s="51">
        <v>5.47</v>
      </c>
      <c r="G29" s="51">
        <v>99.13</v>
      </c>
      <c r="H29" s="51">
        <v>11.39</v>
      </c>
      <c r="I29" s="51">
        <v>2.2200000000000002</v>
      </c>
      <c r="J29" s="51">
        <v>0.47</v>
      </c>
      <c r="K29" s="51">
        <v>353.49</v>
      </c>
      <c r="L29" s="51">
        <v>25.63</v>
      </c>
      <c r="M29" s="51">
        <v>98.05</v>
      </c>
      <c r="N29" s="51">
        <v>27.6</v>
      </c>
      <c r="O29" s="51">
        <v>0</v>
      </c>
      <c r="P29" s="51">
        <v>2.16</v>
      </c>
      <c r="Q29" s="51">
        <v>9.65</v>
      </c>
      <c r="R29" s="43"/>
      <c r="S29" s="43"/>
      <c r="T29" s="43"/>
      <c r="U29" s="43"/>
    </row>
    <row r="30" spans="1:21" s="11" customFormat="1" x14ac:dyDescent="0.25">
      <c r="A30" s="50" t="s">
        <v>129</v>
      </c>
      <c r="B30" s="51">
        <v>19.38</v>
      </c>
      <c r="C30" s="51">
        <v>10.89</v>
      </c>
      <c r="D30" s="51">
        <v>21.23</v>
      </c>
      <c r="E30" s="51">
        <v>4.8</v>
      </c>
      <c r="F30" s="51">
        <v>4.08</v>
      </c>
      <c r="G30" s="51">
        <v>99.13</v>
      </c>
      <c r="H30" s="51">
        <v>6.95</v>
      </c>
      <c r="I30" s="51">
        <v>2.66</v>
      </c>
      <c r="J30" s="51">
        <v>0.42</v>
      </c>
      <c r="K30" s="51">
        <v>324.54000000000002</v>
      </c>
      <c r="L30" s="51">
        <v>25.59</v>
      </c>
      <c r="M30" s="51">
        <v>98.18</v>
      </c>
      <c r="N30" s="51">
        <v>28.8</v>
      </c>
      <c r="O30" s="51">
        <v>0</v>
      </c>
      <c r="P30" s="51">
        <v>1.18</v>
      </c>
      <c r="Q30" s="51">
        <v>9.66</v>
      </c>
      <c r="R30" s="43"/>
      <c r="S30" s="43"/>
      <c r="T30" s="43"/>
      <c r="U30" s="43"/>
    </row>
    <row r="31" spans="1:21" s="11" customFormat="1" x14ac:dyDescent="0.25">
      <c r="A31" s="50" t="s">
        <v>130</v>
      </c>
      <c r="B31" s="51">
        <v>11.14</v>
      </c>
      <c r="C31" s="51">
        <v>9.07</v>
      </c>
      <c r="D31" s="51">
        <v>13.67</v>
      </c>
      <c r="E31" s="51">
        <v>4.7699999999999996</v>
      </c>
      <c r="F31" s="51">
        <v>4.9400000000000004</v>
      </c>
      <c r="G31" s="51">
        <v>94.09</v>
      </c>
      <c r="H31" s="51">
        <v>7.4</v>
      </c>
      <c r="I31" s="51">
        <v>2.5099999999999998</v>
      </c>
      <c r="J31" s="51">
        <v>0.17</v>
      </c>
      <c r="K31" s="51">
        <v>331.93</v>
      </c>
      <c r="L31" s="51">
        <v>23.01</v>
      </c>
      <c r="M31" s="51">
        <v>98.31</v>
      </c>
      <c r="N31" s="51">
        <v>28.1</v>
      </c>
      <c r="O31" s="51">
        <v>0</v>
      </c>
      <c r="P31" s="51">
        <v>0.81</v>
      </c>
      <c r="Q31" s="51">
        <v>9.64</v>
      </c>
      <c r="R31" s="43"/>
      <c r="S31" s="43"/>
      <c r="T31" s="43"/>
      <c r="U31" s="43"/>
    </row>
    <row r="32" spans="1:21" s="11" customFormat="1" x14ac:dyDescent="0.25">
      <c r="A32" s="50" t="s">
        <v>131</v>
      </c>
      <c r="B32" s="51">
        <v>10.88</v>
      </c>
      <c r="C32" s="51">
        <v>7.7</v>
      </c>
      <c r="D32" s="51">
        <v>12.72</v>
      </c>
      <c r="E32" s="51">
        <v>4.34</v>
      </c>
      <c r="F32" s="51">
        <v>3.43</v>
      </c>
      <c r="G32" s="51">
        <v>63.08</v>
      </c>
      <c r="H32" s="51">
        <v>7.43</v>
      </c>
      <c r="I32" s="51">
        <v>2.06</v>
      </c>
      <c r="J32" s="51">
        <v>0.24</v>
      </c>
      <c r="K32" s="51">
        <v>339.34</v>
      </c>
      <c r="L32" s="51">
        <v>23.06</v>
      </c>
      <c r="M32" s="51">
        <v>98.32</v>
      </c>
      <c r="N32" s="51">
        <v>27.4</v>
      </c>
      <c r="O32" s="51">
        <v>0</v>
      </c>
      <c r="P32" s="51">
        <v>0.81</v>
      </c>
      <c r="Q32" s="51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6.17</v>
      </c>
      <c r="C34" s="28">
        <f t="shared" si="0"/>
        <v>6.25</v>
      </c>
      <c r="D34" s="28">
        <f t="shared" si="0"/>
        <v>11.65</v>
      </c>
      <c r="E34" s="28">
        <f t="shared" si="0"/>
        <v>3.89</v>
      </c>
      <c r="F34" s="28">
        <f t="shared" si="0"/>
        <v>3.43</v>
      </c>
      <c r="G34" s="28">
        <f t="shared" si="0"/>
        <v>12.4</v>
      </c>
      <c r="H34" s="28">
        <f t="shared" si="0"/>
        <v>0.48</v>
      </c>
      <c r="I34" s="28">
        <f t="shared" si="0"/>
        <v>0.87</v>
      </c>
      <c r="J34" s="28">
        <f t="shared" si="0"/>
        <v>0.05</v>
      </c>
      <c r="K34" s="28">
        <f t="shared" si="0"/>
        <v>144.44</v>
      </c>
      <c r="L34" s="28">
        <f t="shared" si="0"/>
        <v>21.77</v>
      </c>
      <c r="M34" s="28">
        <f t="shared" si="0"/>
        <v>88.29</v>
      </c>
      <c r="N34" s="28">
        <f t="shared" si="0"/>
        <v>27.4</v>
      </c>
      <c r="O34" s="28">
        <f t="shared" si="0"/>
        <v>0</v>
      </c>
      <c r="P34" s="28">
        <f t="shared" si="0"/>
        <v>0.17</v>
      </c>
      <c r="Q34" s="28">
        <f t="shared" si="0"/>
        <v>9.49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32.65</v>
      </c>
      <c r="C35" s="29">
        <f t="shared" si="1"/>
        <v>29.11</v>
      </c>
      <c r="D35" s="29">
        <f t="shared" si="1"/>
        <v>38.03</v>
      </c>
      <c r="E35" s="29">
        <f t="shared" si="1"/>
        <v>5.31</v>
      </c>
      <c r="F35" s="29">
        <f t="shared" si="1"/>
        <v>19.399999999999999</v>
      </c>
      <c r="G35" s="29">
        <f t="shared" si="1"/>
        <v>99.13</v>
      </c>
      <c r="H35" s="29">
        <f t="shared" si="1"/>
        <v>76.97</v>
      </c>
      <c r="I35" s="29">
        <f t="shared" si="1"/>
        <v>2.66</v>
      </c>
      <c r="J35" s="29">
        <f t="shared" si="1"/>
        <v>0.87</v>
      </c>
      <c r="K35" s="29">
        <f t="shared" si="1"/>
        <v>353.49</v>
      </c>
      <c r="L35" s="29">
        <f t="shared" si="1"/>
        <v>29.34</v>
      </c>
      <c r="M35" s="29">
        <f t="shared" si="1"/>
        <v>98.83</v>
      </c>
      <c r="N35" s="29">
        <f t="shared" si="1"/>
        <v>421.6</v>
      </c>
      <c r="O35" s="29">
        <f t="shared" si="1"/>
        <v>0.4</v>
      </c>
      <c r="P35" s="29">
        <f t="shared" si="1"/>
        <v>2.16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13.857499999999996</v>
      </c>
      <c r="C36" s="28">
        <f t="shared" si="2"/>
        <v>13.789583333333333</v>
      </c>
      <c r="D36" s="28">
        <f t="shared" si="2"/>
        <v>17.663333333333334</v>
      </c>
      <c r="E36" s="28">
        <f t="shared" si="2"/>
        <v>4.5974999999999993</v>
      </c>
      <c r="F36" s="28">
        <f t="shared" si="2"/>
        <v>9.1516666666666673</v>
      </c>
      <c r="G36" s="28">
        <f t="shared" si="2"/>
        <v>39.642500000000005</v>
      </c>
      <c r="H36" s="28">
        <f t="shared" si="2"/>
        <v>15.50958333333333</v>
      </c>
      <c r="I36" s="28">
        <f t="shared" si="2"/>
        <v>1.3991666666666669</v>
      </c>
      <c r="J36" s="28">
        <f t="shared" si="2"/>
        <v>0.31916666666666671</v>
      </c>
      <c r="K36" s="28">
        <f t="shared" si="2"/>
        <v>271.69</v>
      </c>
      <c r="L36" s="28">
        <f t="shared" si="2"/>
        <v>24.96875</v>
      </c>
      <c r="M36" s="28">
        <f t="shared" si="2"/>
        <v>97.428333333333327</v>
      </c>
      <c r="N36" s="28">
        <f t="shared" si="2"/>
        <v>127.25000000000001</v>
      </c>
      <c r="O36" s="28">
        <f t="shared" si="2"/>
        <v>1.6666666666666666E-2</v>
      </c>
      <c r="P36" s="28">
        <f t="shared" si="2"/>
        <v>0.68625000000000014</v>
      </c>
      <c r="Q36" s="28">
        <f t="shared" si="2"/>
        <v>9.6100000000000012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7.0009920104535768</v>
      </c>
      <c r="C37" s="28">
        <f t="shared" ref="C37:Q37" si="3">STDEV(C9:C32)</f>
        <v>6.8611581473675711</v>
      </c>
      <c r="D37" s="28">
        <f t="shared" si="3"/>
        <v>8.0674675012706381</v>
      </c>
      <c r="E37" s="28">
        <f t="shared" si="3"/>
        <v>0.43784303321981766</v>
      </c>
      <c r="F37" s="28">
        <f t="shared" si="3"/>
        <v>5.169869787836868</v>
      </c>
      <c r="G37" s="28">
        <f t="shared" si="3"/>
        <v>30.445102161959881</v>
      </c>
      <c r="H37" s="28">
        <f t="shared" si="3"/>
        <v>22.778133770783558</v>
      </c>
      <c r="I37" s="28">
        <f t="shared" si="3"/>
        <v>0.48407614085485279</v>
      </c>
      <c r="J37" s="28">
        <f t="shared" si="3"/>
        <v>0.20181603044586796</v>
      </c>
      <c r="K37" s="28">
        <f t="shared" si="3"/>
        <v>82.07994888336404</v>
      </c>
      <c r="L37" s="28">
        <f t="shared" si="3"/>
        <v>2.6962587808004446</v>
      </c>
      <c r="M37" s="28">
        <f t="shared" si="3"/>
        <v>2.6317470915008507</v>
      </c>
      <c r="N37" s="28">
        <f t="shared" si="3"/>
        <v>130.18385326980422</v>
      </c>
      <c r="O37" s="28">
        <f t="shared" si="3"/>
        <v>8.1649658092772623E-2</v>
      </c>
      <c r="P37" s="28">
        <f t="shared" si="3"/>
        <v>0.52437799592345136</v>
      </c>
      <c r="Q37" s="28">
        <f t="shared" si="3"/>
        <v>5.2750437871663142E-2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2" sqref="G12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132</v>
      </c>
      <c r="B9" s="51">
        <v>11.34</v>
      </c>
      <c r="C9" s="51">
        <v>9.73</v>
      </c>
      <c r="D9" s="51">
        <v>13.9</v>
      </c>
      <c r="E9" s="51">
        <v>3.98</v>
      </c>
      <c r="F9" s="51">
        <v>4.9400000000000004</v>
      </c>
      <c r="G9" s="51">
        <v>44.98</v>
      </c>
      <c r="H9" s="51">
        <v>7.67</v>
      </c>
      <c r="I9" s="51">
        <v>1.85</v>
      </c>
      <c r="J9" s="51">
        <v>0.13</v>
      </c>
      <c r="K9" s="51">
        <v>320.76</v>
      </c>
      <c r="L9" s="51">
        <v>22.88</v>
      </c>
      <c r="M9" s="51">
        <v>98.37</v>
      </c>
      <c r="N9" s="51">
        <v>27.6</v>
      </c>
      <c r="O9" s="51">
        <v>0</v>
      </c>
      <c r="P9" s="51">
        <v>0.73</v>
      </c>
      <c r="Q9" s="51">
        <v>9.64</v>
      </c>
      <c r="R9" s="43"/>
      <c r="S9" s="43"/>
      <c r="T9" s="43"/>
      <c r="U9" s="43"/>
    </row>
    <row r="10" spans="1:21" s="11" customFormat="1" x14ac:dyDescent="0.25">
      <c r="A10" s="50" t="s">
        <v>133</v>
      </c>
      <c r="B10" s="51">
        <v>10.050000000000001</v>
      </c>
      <c r="C10" s="51">
        <v>7.42</v>
      </c>
      <c r="D10" s="51">
        <v>11.73</v>
      </c>
      <c r="E10" s="51">
        <v>4.21</v>
      </c>
      <c r="F10" s="51">
        <v>7.85</v>
      </c>
      <c r="G10" s="51">
        <v>36.1</v>
      </c>
      <c r="H10" s="51">
        <v>7.67</v>
      </c>
      <c r="I10" s="51">
        <v>1.86</v>
      </c>
      <c r="J10" s="51">
        <v>0.04</v>
      </c>
      <c r="K10" s="51">
        <v>286.27</v>
      </c>
      <c r="L10" s="51">
        <v>22.92</v>
      </c>
      <c r="M10" s="51">
        <v>98.37</v>
      </c>
      <c r="N10" s="51">
        <v>27.6</v>
      </c>
      <c r="O10" s="51">
        <v>0</v>
      </c>
      <c r="P10" s="51">
        <v>0.56999999999999995</v>
      </c>
      <c r="Q10" s="51">
        <v>9.64</v>
      </c>
      <c r="R10" s="43"/>
      <c r="S10" s="43"/>
      <c r="T10" s="43"/>
      <c r="U10" s="43"/>
    </row>
    <row r="11" spans="1:21" s="11" customFormat="1" x14ac:dyDescent="0.25">
      <c r="A11" s="50" t="s">
        <v>134</v>
      </c>
      <c r="B11" s="51">
        <v>8.0500000000000007</v>
      </c>
      <c r="C11" s="51">
        <v>6.22</v>
      </c>
      <c r="D11" s="51">
        <v>9.5</v>
      </c>
      <c r="E11" s="51">
        <v>4.33</v>
      </c>
      <c r="F11" s="51">
        <v>6.94</v>
      </c>
      <c r="G11" s="51">
        <v>26.24</v>
      </c>
      <c r="H11" s="51">
        <v>10.94</v>
      </c>
      <c r="I11" s="51">
        <v>1.82</v>
      </c>
      <c r="J11" s="51">
        <v>0.06</v>
      </c>
      <c r="K11" s="51">
        <v>324.58999999999997</v>
      </c>
      <c r="L11" s="51">
        <v>22.84</v>
      </c>
      <c r="M11" s="51">
        <v>98.38</v>
      </c>
      <c r="N11" s="51">
        <v>27.6</v>
      </c>
      <c r="O11" s="51">
        <v>0</v>
      </c>
      <c r="P11" s="51">
        <v>0.44</v>
      </c>
      <c r="Q11" s="51">
        <v>9.64</v>
      </c>
      <c r="R11" s="43"/>
      <c r="S11" s="43"/>
      <c r="T11" s="43"/>
      <c r="U11" s="43"/>
    </row>
    <row r="12" spans="1:21" s="11" customFormat="1" x14ac:dyDescent="0.25">
      <c r="A12" s="50" t="s">
        <v>135</v>
      </c>
      <c r="B12" s="51">
        <v>9.59</v>
      </c>
      <c r="C12" s="51">
        <v>5.49</v>
      </c>
      <c r="D12" s="51">
        <v>10.56</v>
      </c>
      <c r="E12" s="51">
        <v>4.32</v>
      </c>
      <c r="F12" s="51">
        <v>5.68</v>
      </c>
      <c r="G12" s="51">
        <v>17.41</v>
      </c>
      <c r="H12" s="51">
        <v>10.94</v>
      </c>
      <c r="I12" s="51">
        <v>1.68</v>
      </c>
      <c r="J12" s="51">
        <v>0.09</v>
      </c>
      <c r="K12" s="51">
        <v>326.08999999999997</v>
      </c>
      <c r="L12" s="51">
        <v>22.88</v>
      </c>
      <c r="M12" s="51">
        <v>98.39</v>
      </c>
      <c r="N12" s="51">
        <v>27.6</v>
      </c>
      <c r="O12" s="51">
        <v>0</v>
      </c>
      <c r="P12" s="51">
        <v>0.49</v>
      </c>
      <c r="Q12" s="51">
        <v>9.64</v>
      </c>
      <c r="R12" s="43"/>
      <c r="S12" s="43"/>
      <c r="T12" s="43"/>
      <c r="U12" s="43"/>
    </row>
    <row r="13" spans="1:21" s="11" customFormat="1" x14ac:dyDescent="0.25">
      <c r="A13" s="50" t="s">
        <v>136</v>
      </c>
      <c r="B13" s="51">
        <v>9.08</v>
      </c>
      <c r="C13" s="51">
        <v>6.15</v>
      </c>
      <c r="D13" s="51">
        <v>10.4</v>
      </c>
      <c r="E13" s="51">
        <v>4.03</v>
      </c>
      <c r="F13" s="51">
        <v>4.87</v>
      </c>
      <c r="G13" s="51">
        <v>15.62</v>
      </c>
      <c r="H13" s="51">
        <v>8.33</v>
      </c>
      <c r="I13" s="51">
        <v>1.51</v>
      </c>
      <c r="J13" s="51">
        <v>0.05</v>
      </c>
      <c r="K13" s="51">
        <v>327.20999999999998</v>
      </c>
      <c r="L13" s="51">
        <v>22.89</v>
      </c>
      <c r="M13" s="51">
        <v>98.4</v>
      </c>
      <c r="N13" s="51">
        <v>27.6</v>
      </c>
      <c r="O13" s="51">
        <v>0</v>
      </c>
      <c r="P13" s="51">
        <v>0.41</v>
      </c>
      <c r="Q13" s="51">
        <v>9.6</v>
      </c>
      <c r="R13" s="43"/>
      <c r="S13" s="43"/>
      <c r="T13" s="43"/>
      <c r="U13" s="43"/>
    </row>
    <row r="14" spans="1:21" s="11" customFormat="1" x14ac:dyDescent="0.25">
      <c r="A14" s="50" t="s">
        <v>137</v>
      </c>
      <c r="B14" s="51">
        <v>8.93</v>
      </c>
      <c r="C14" s="51">
        <v>6.07</v>
      </c>
      <c r="D14" s="51">
        <v>10.210000000000001</v>
      </c>
      <c r="E14" s="51">
        <v>4.03</v>
      </c>
      <c r="F14" s="51">
        <v>4.43</v>
      </c>
      <c r="G14" s="51">
        <v>15.62</v>
      </c>
      <c r="H14" s="51">
        <v>7.23</v>
      </c>
      <c r="I14" s="51">
        <v>1.39</v>
      </c>
      <c r="J14" s="51">
        <v>0.05</v>
      </c>
      <c r="K14" s="51">
        <v>264.39</v>
      </c>
      <c r="L14" s="51">
        <v>22.94</v>
      </c>
      <c r="M14" s="51">
        <v>98.4</v>
      </c>
      <c r="N14" s="51">
        <v>29.1</v>
      </c>
      <c r="O14" s="51">
        <v>0</v>
      </c>
      <c r="P14" s="51">
        <v>0.37</v>
      </c>
      <c r="Q14" s="51">
        <v>9.59</v>
      </c>
      <c r="R14" s="43"/>
      <c r="S14" s="43"/>
      <c r="T14" s="43"/>
      <c r="U14" s="43"/>
    </row>
    <row r="15" spans="1:21" s="11" customFormat="1" x14ac:dyDescent="0.25">
      <c r="A15" s="50" t="s">
        <v>138</v>
      </c>
      <c r="B15" s="51">
        <v>8.75</v>
      </c>
      <c r="C15" s="51">
        <v>7.3</v>
      </c>
      <c r="D15" s="51">
        <v>10.74</v>
      </c>
      <c r="E15" s="51">
        <v>4.04</v>
      </c>
      <c r="F15" s="51">
        <v>5.75</v>
      </c>
      <c r="G15" s="51">
        <v>13.76</v>
      </c>
      <c r="H15" s="51">
        <v>5.0599999999999996</v>
      </c>
      <c r="I15" s="51">
        <v>1.39</v>
      </c>
      <c r="J15" s="51">
        <v>0.06</v>
      </c>
      <c r="K15" s="51">
        <v>296.91000000000003</v>
      </c>
      <c r="L15" s="51">
        <v>23</v>
      </c>
      <c r="M15" s="51">
        <v>98.4</v>
      </c>
      <c r="N15" s="51">
        <v>54.7</v>
      </c>
      <c r="O15" s="51">
        <v>0</v>
      </c>
      <c r="P15" s="51">
        <v>0.31</v>
      </c>
      <c r="Q15" s="51">
        <v>9.6300000000000008</v>
      </c>
      <c r="R15" s="43"/>
      <c r="S15" s="43"/>
      <c r="T15" s="43"/>
      <c r="U15" s="43"/>
    </row>
    <row r="16" spans="1:21" s="11" customFormat="1" x14ac:dyDescent="0.25">
      <c r="A16" s="50" t="s">
        <v>139</v>
      </c>
      <c r="B16" s="51">
        <v>9.84</v>
      </c>
      <c r="C16" s="51">
        <v>7</v>
      </c>
      <c r="D16" s="51">
        <v>11.03</v>
      </c>
      <c r="E16" s="51">
        <v>5.42</v>
      </c>
      <c r="F16" s="51">
        <v>5.79</v>
      </c>
      <c r="G16" s="51">
        <v>10.119999999999999</v>
      </c>
      <c r="H16" s="51">
        <v>3.54</v>
      </c>
      <c r="I16" s="51">
        <v>1.37</v>
      </c>
      <c r="J16" s="51">
        <v>0.1</v>
      </c>
      <c r="K16" s="51">
        <v>321.55</v>
      </c>
      <c r="L16" s="51">
        <v>23.48</v>
      </c>
      <c r="M16" s="51">
        <v>98.4</v>
      </c>
      <c r="N16" s="51">
        <v>94.6</v>
      </c>
      <c r="O16" s="51">
        <v>0</v>
      </c>
      <c r="P16" s="51">
        <v>0.39</v>
      </c>
      <c r="Q16" s="51">
        <v>9.6300000000000008</v>
      </c>
      <c r="R16" s="43"/>
      <c r="S16" s="43"/>
      <c r="T16" s="43"/>
      <c r="U16" s="43"/>
    </row>
    <row r="17" spans="1:21" s="11" customFormat="1" x14ac:dyDescent="0.25">
      <c r="A17" s="50" t="s">
        <v>140</v>
      </c>
      <c r="B17" s="51">
        <v>10.37</v>
      </c>
      <c r="C17" s="51">
        <v>6.12</v>
      </c>
      <c r="D17" s="51">
        <v>11.18</v>
      </c>
      <c r="E17" s="51">
        <v>5.19</v>
      </c>
      <c r="F17" s="51">
        <v>3.51</v>
      </c>
      <c r="G17" s="51">
        <v>14.33</v>
      </c>
      <c r="H17" s="51">
        <v>2.48</v>
      </c>
      <c r="I17" s="51">
        <v>1.31</v>
      </c>
      <c r="J17" s="51">
        <v>0.16</v>
      </c>
      <c r="K17" s="51">
        <v>307.75</v>
      </c>
      <c r="L17" s="51">
        <v>23.99</v>
      </c>
      <c r="M17" s="51">
        <v>98.4</v>
      </c>
      <c r="N17" s="51">
        <v>162.19999999999999</v>
      </c>
      <c r="O17" s="51">
        <v>0</v>
      </c>
      <c r="P17" s="51">
        <v>0.4</v>
      </c>
      <c r="Q17" s="51">
        <v>9.61</v>
      </c>
      <c r="R17" s="43"/>
      <c r="S17" s="43"/>
      <c r="T17" s="43"/>
      <c r="U17" s="43"/>
    </row>
    <row r="18" spans="1:21" s="11" customFormat="1" x14ac:dyDescent="0.25">
      <c r="A18" s="50" t="s">
        <v>141</v>
      </c>
      <c r="B18" s="51">
        <v>9.9499999999999993</v>
      </c>
      <c r="C18" s="51">
        <v>6.62</v>
      </c>
      <c r="D18" s="51">
        <v>11.42</v>
      </c>
      <c r="E18" s="51">
        <v>4.8099999999999996</v>
      </c>
      <c r="F18" s="51">
        <v>3.67</v>
      </c>
      <c r="G18" s="51">
        <v>14.33</v>
      </c>
      <c r="H18" s="51">
        <v>1.79</v>
      </c>
      <c r="I18" s="51">
        <v>1.22</v>
      </c>
      <c r="J18" s="51">
        <v>0.1</v>
      </c>
      <c r="K18" s="51">
        <v>318.14</v>
      </c>
      <c r="L18" s="51">
        <v>24.52</v>
      </c>
      <c r="M18" s="51">
        <v>98.32</v>
      </c>
      <c r="N18" s="51">
        <v>290.5</v>
      </c>
      <c r="O18" s="51">
        <v>0</v>
      </c>
      <c r="P18" s="51">
        <v>0.36</v>
      </c>
      <c r="Q18" s="51">
        <v>9.59</v>
      </c>
      <c r="R18" s="43"/>
      <c r="S18" s="43"/>
      <c r="T18" s="43"/>
      <c r="U18" s="43"/>
    </row>
    <row r="19" spans="1:21" s="11" customFormat="1" x14ac:dyDescent="0.25">
      <c r="A19" s="50" t="s">
        <v>142</v>
      </c>
      <c r="B19" s="51">
        <v>9.48</v>
      </c>
      <c r="C19" s="51">
        <v>7.52</v>
      </c>
      <c r="D19" s="51">
        <v>11.54</v>
      </c>
      <c r="E19" s="51">
        <v>4.87</v>
      </c>
      <c r="F19" s="51">
        <v>5.36</v>
      </c>
      <c r="G19" s="51">
        <v>15.73</v>
      </c>
      <c r="H19" s="51">
        <v>5.69</v>
      </c>
      <c r="I19" s="51">
        <v>1.1599999999999999</v>
      </c>
      <c r="J19" s="51">
        <v>0.11</v>
      </c>
      <c r="K19" s="51">
        <v>287.37</v>
      </c>
      <c r="L19" s="51">
        <v>25.2</v>
      </c>
      <c r="M19" s="51">
        <v>98.06</v>
      </c>
      <c r="N19" s="51">
        <v>238.9</v>
      </c>
      <c r="O19" s="51">
        <v>0</v>
      </c>
      <c r="P19" s="51">
        <v>0.35</v>
      </c>
      <c r="Q19" s="51">
        <v>9.57</v>
      </c>
      <c r="R19" s="43"/>
      <c r="S19" s="43"/>
      <c r="T19" s="43"/>
      <c r="U19" s="43"/>
    </row>
    <row r="20" spans="1:21" s="11" customFormat="1" x14ac:dyDescent="0.25">
      <c r="A20" s="50" t="s">
        <v>143</v>
      </c>
      <c r="B20" s="51">
        <v>8.4</v>
      </c>
      <c r="C20" s="51">
        <v>7.36</v>
      </c>
      <c r="D20" s="51">
        <v>10.58</v>
      </c>
      <c r="E20" s="51">
        <v>4.8600000000000003</v>
      </c>
      <c r="F20" s="51">
        <v>5.77</v>
      </c>
      <c r="G20" s="51">
        <v>20.420000000000002</v>
      </c>
      <c r="H20" s="51">
        <v>5.69</v>
      </c>
      <c r="I20" s="51">
        <v>1.1200000000000001</v>
      </c>
      <c r="J20" s="51">
        <v>0.12</v>
      </c>
      <c r="K20" s="51">
        <v>231.93</v>
      </c>
      <c r="L20" s="51">
        <v>27.42</v>
      </c>
      <c r="M20" s="51">
        <v>98.03</v>
      </c>
      <c r="N20" s="51">
        <v>499.7</v>
      </c>
      <c r="O20" s="51">
        <v>0</v>
      </c>
      <c r="P20" s="51">
        <v>0.32</v>
      </c>
      <c r="Q20" s="51">
        <v>9.58</v>
      </c>
      <c r="R20" s="43"/>
      <c r="S20" s="43"/>
      <c r="T20" s="43"/>
      <c r="U20" s="43"/>
    </row>
    <row r="21" spans="1:21" s="11" customFormat="1" x14ac:dyDescent="0.25">
      <c r="A21" s="50" t="s">
        <v>144</v>
      </c>
      <c r="B21" s="51">
        <v>7.85</v>
      </c>
      <c r="C21" s="51">
        <v>7.46</v>
      </c>
      <c r="D21" s="51">
        <v>10.039999999999999</v>
      </c>
      <c r="E21" s="51">
        <v>5.16</v>
      </c>
      <c r="F21" s="51">
        <v>4.3499999999999996</v>
      </c>
      <c r="G21" s="51">
        <v>20.420000000000002</v>
      </c>
      <c r="H21" s="51">
        <v>4.04</v>
      </c>
      <c r="I21" s="51">
        <v>1.0900000000000001</v>
      </c>
      <c r="J21" s="51">
        <v>0.14000000000000001</v>
      </c>
      <c r="K21" s="51">
        <v>259.08999999999997</v>
      </c>
      <c r="L21" s="51">
        <v>26.79</v>
      </c>
      <c r="M21" s="51">
        <v>98.04</v>
      </c>
      <c r="N21" s="51">
        <v>399.4</v>
      </c>
      <c r="O21" s="51">
        <v>0</v>
      </c>
      <c r="P21" s="51">
        <v>0.31</v>
      </c>
      <c r="Q21" s="51">
        <v>9.56</v>
      </c>
      <c r="R21" s="43"/>
      <c r="S21" s="43"/>
      <c r="T21" s="43"/>
      <c r="U21" s="43"/>
    </row>
    <row r="22" spans="1:21" s="11" customFormat="1" x14ac:dyDescent="0.25">
      <c r="A22" s="50" t="s">
        <v>145</v>
      </c>
      <c r="B22" s="51">
        <v>6.93</v>
      </c>
      <c r="C22" s="51">
        <v>7.42</v>
      </c>
      <c r="D22" s="51">
        <v>9.3699999999999992</v>
      </c>
      <c r="E22" s="51">
        <v>5.04</v>
      </c>
      <c r="F22" s="51">
        <v>5.15</v>
      </c>
      <c r="G22" s="51">
        <v>19.97</v>
      </c>
      <c r="H22" s="51">
        <v>3.08</v>
      </c>
      <c r="I22" s="51">
        <v>1</v>
      </c>
      <c r="J22" s="51">
        <v>0.12</v>
      </c>
      <c r="K22" s="51">
        <v>285.49</v>
      </c>
      <c r="L22" s="51">
        <v>25.94</v>
      </c>
      <c r="M22" s="51">
        <v>98.04</v>
      </c>
      <c r="N22" s="51">
        <v>262.10000000000002</v>
      </c>
      <c r="O22" s="51">
        <v>0</v>
      </c>
      <c r="P22" s="51">
        <v>0.3</v>
      </c>
      <c r="Q22" s="51">
        <v>9.49</v>
      </c>
      <c r="R22" s="43"/>
      <c r="S22" s="43"/>
      <c r="T22" s="43"/>
      <c r="U22" s="43"/>
    </row>
    <row r="23" spans="1:21" s="11" customFormat="1" x14ac:dyDescent="0.25">
      <c r="A23" s="50" t="s">
        <v>146</v>
      </c>
      <c r="B23" s="51">
        <v>6.72</v>
      </c>
      <c r="C23" s="51">
        <v>7.72</v>
      </c>
      <c r="D23" s="51">
        <v>9.26</v>
      </c>
      <c r="E23" s="51">
        <v>4.7699999999999996</v>
      </c>
      <c r="F23" s="51">
        <v>5.34</v>
      </c>
      <c r="G23" s="51">
        <v>16.41</v>
      </c>
      <c r="H23" s="51">
        <v>7.32</v>
      </c>
      <c r="I23" s="51">
        <v>0.94</v>
      </c>
      <c r="J23" s="51">
        <v>0.14000000000000001</v>
      </c>
      <c r="K23" s="51">
        <v>290.33999999999997</v>
      </c>
      <c r="L23" s="51">
        <v>26.2</v>
      </c>
      <c r="M23" s="51">
        <v>98.02</v>
      </c>
      <c r="N23" s="51">
        <v>244.9</v>
      </c>
      <c r="O23" s="51">
        <v>0</v>
      </c>
      <c r="P23" s="51">
        <v>0.28000000000000003</v>
      </c>
      <c r="Q23" s="51">
        <v>9.48</v>
      </c>
      <c r="R23" s="43"/>
      <c r="S23" s="43"/>
      <c r="T23" s="43"/>
      <c r="U23" s="43"/>
    </row>
    <row r="24" spans="1:21" s="11" customFormat="1" x14ac:dyDescent="0.25">
      <c r="A24" s="50" t="s">
        <v>147</v>
      </c>
      <c r="B24" s="51">
        <v>7.61</v>
      </c>
      <c r="C24" s="51">
        <v>9.93</v>
      </c>
      <c r="D24" s="51">
        <v>11.19</v>
      </c>
      <c r="E24" s="51">
        <v>4.93</v>
      </c>
      <c r="F24" s="51">
        <v>8.1199999999999992</v>
      </c>
      <c r="G24" s="51">
        <v>18.23</v>
      </c>
      <c r="H24" s="51">
        <v>7.32</v>
      </c>
      <c r="I24" s="51">
        <v>0.89</v>
      </c>
      <c r="J24" s="51">
        <v>0.08</v>
      </c>
      <c r="K24" s="51">
        <v>229.8</v>
      </c>
      <c r="L24" s="51">
        <v>26.28</v>
      </c>
      <c r="M24" s="51">
        <v>98.1</v>
      </c>
      <c r="N24" s="51">
        <v>193.6</v>
      </c>
      <c r="O24" s="51">
        <v>0</v>
      </c>
      <c r="P24" s="51">
        <v>0.28000000000000003</v>
      </c>
      <c r="Q24" s="51">
        <v>9.5</v>
      </c>
      <c r="R24" s="43"/>
      <c r="S24" s="43"/>
      <c r="T24" s="43"/>
      <c r="U24" s="43"/>
    </row>
    <row r="25" spans="1:21" s="11" customFormat="1" x14ac:dyDescent="0.25">
      <c r="A25" s="50" t="s">
        <v>148</v>
      </c>
      <c r="B25" s="51">
        <v>6.41</v>
      </c>
      <c r="C25" s="51">
        <v>8.16</v>
      </c>
      <c r="D25" s="51">
        <v>9.25</v>
      </c>
      <c r="E25" s="51">
        <v>4.72</v>
      </c>
      <c r="F25" s="51">
        <v>8.81</v>
      </c>
      <c r="G25" s="51">
        <v>20.38</v>
      </c>
      <c r="H25" s="51">
        <v>5.58</v>
      </c>
      <c r="I25" s="51">
        <v>0.9</v>
      </c>
      <c r="J25" s="51">
        <v>0.16</v>
      </c>
      <c r="K25" s="51">
        <v>218.59</v>
      </c>
      <c r="L25" s="51">
        <v>26.31</v>
      </c>
      <c r="M25" s="51">
        <v>98.05</v>
      </c>
      <c r="N25" s="51">
        <v>147.80000000000001</v>
      </c>
      <c r="O25" s="51">
        <v>0</v>
      </c>
      <c r="P25" s="51">
        <v>0.25</v>
      </c>
      <c r="Q25" s="51">
        <v>9.5</v>
      </c>
      <c r="R25" s="43"/>
      <c r="S25" s="43"/>
      <c r="T25" s="43"/>
      <c r="U25" s="43"/>
    </row>
    <row r="26" spans="1:21" s="11" customFormat="1" x14ac:dyDescent="0.25">
      <c r="A26" s="50" t="s">
        <v>149</v>
      </c>
      <c r="B26" s="51">
        <v>7.03</v>
      </c>
      <c r="C26" s="51">
        <v>8.17</v>
      </c>
      <c r="D26" s="51">
        <v>9.91</v>
      </c>
      <c r="E26" s="51">
        <v>4.74</v>
      </c>
      <c r="F26" s="51">
        <v>6.26</v>
      </c>
      <c r="G26" s="51">
        <v>23.01</v>
      </c>
      <c r="H26" s="51">
        <v>3.91</v>
      </c>
      <c r="I26" s="51">
        <v>0.9</v>
      </c>
      <c r="J26" s="51">
        <v>0.1</v>
      </c>
      <c r="K26" s="51">
        <v>307.05</v>
      </c>
      <c r="L26" s="51">
        <v>25.64</v>
      </c>
      <c r="M26" s="51">
        <v>98.05</v>
      </c>
      <c r="N26" s="51">
        <v>76.8</v>
      </c>
      <c r="O26" s="51">
        <v>0</v>
      </c>
      <c r="P26" s="51">
        <v>0.28000000000000003</v>
      </c>
      <c r="Q26" s="51">
        <v>9.48</v>
      </c>
      <c r="R26" s="43"/>
      <c r="S26" s="43"/>
      <c r="T26" s="43"/>
      <c r="U26" s="43"/>
    </row>
    <row r="27" spans="1:21" s="11" customFormat="1" x14ac:dyDescent="0.25">
      <c r="A27" s="50" t="s">
        <v>150</v>
      </c>
      <c r="B27" s="51">
        <v>7.56</v>
      </c>
      <c r="C27" s="51">
        <v>9.41</v>
      </c>
      <c r="D27" s="51">
        <v>10.66</v>
      </c>
      <c r="E27" s="51">
        <v>4.55</v>
      </c>
      <c r="F27" s="51">
        <v>5.78</v>
      </c>
      <c r="G27" s="51">
        <v>24.06</v>
      </c>
      <c r="H27" s="51">
        <v>7.34</v>
      </c>
      <c r="I27" s="51">
        <v>0.92</v>
      </c>
      <c r="J27" s="51">
        <v>0.1</v>
      </c>
      <c r="K27" s="51">
        <v>319.66000000000003</v>
      </c>
      <c r="L27" s="51">
        <v>24.86</v>
      </c>
      <c r="M27" s="51">
        <v>98.13</v>
      </c>
      <c r="N27" s="51">
        <v>29.9</v>
      </c>
      <c r="O27" s="51">
        <v>0</v>
      </c>
      <c r="P27" s="51">
        <v>0.28999999999999998</v>
      </c>
      <c r="Q27" s="51">
        <v>9.48</v>
      </c>
      <c r="R27" s="43"/>
      <c r="S27" s="43"/>
      <c r="T27" s="43"/>
      <c r="U27" s="43"/>
    </row>
    <row r="28" spans="1:21" s="11" customFormat="1" x14ac:dyDescent="0.25">
      <c r="A28" s="50" t="s">
        <v>151</v>
      </c>
      <c r="B28" s="51">
        <v>8.0399999999999991</v>
      </c>
      <c r="C28" s="51">
        <v>12.98</v>
      </c>
      <c r="D28" s="51">
        <v>13.22</v>
      </c>
      <c r="E28" s="51">
        <v>4.8499999999999996</v>
      </c>
      <c r="F28" s="51">
        <v>8.5</v>
      </c>
      <c r="G28" s="51">
        <v>24.27</v>
      </c>
      <c r="H28" s="51">
        <v>7.34</v>
      </c>
      <c r="I28" s="51">
        <v>0.89</v>
      </c>
      <c r="J28" s="51">
        <v>7.0000000000000007E-2</v>
      </c>
      <c r="K28" s="51">
        <v>178.36</v>
      </c>
      <c r="L28" s="51">
        <v>24.21</v>
      </c>
      <c r="M28" s="51">
        <v>98.22</v>
      </c>
      <c r="N28" s="51">
        <v>43.3</v>
      </c>
      <c r="O28" s="51">
        <v>0</v>
      </c>
      <c r="P28" s="51">
        <v>0.39</v>
      </c>
      <c r="Q28" s="51">
        <v>9.49</v>
      </c>
      <c r="R28" s="43"/>
      <c r="S28" s="43"/>
      <c r="T28" s="43"/>
      <c r="U28" s="43"/>
    </row>
    <row r="29" spans="1:21" s="11" customFormat="1" x14ac:dyDescent="0.25">
      <c r="A29" s="50" t="s">
        <v>152</v>
      </c>
      <c r="B29" s="51">
        <v>8.98</v>
      </c>
      <c r="C29" s="51">
        <v>15.54</v>
      </c>
      <c r="D29" s="51">
        <v>15.18</v>
      </c>
      <c r="E29" s="51">
        <v>4.97</v>
      </c>
      <c r="F29" s="51">
        <v>8.09</v>
      </c>
      <c r="G29" s="51">
        <v>24.27</v>
      </c>
      <c r="H29" s="51">
        <v>5.14</v>
      </c>
      <c r="I29" s="51">
        <v>0.97</v>
      </c>
      <c r="J29" s="51">
        <v>0.66</v>
      </c>
      <c r="K29" s="51">
        <v>163.15</v>
      </c>
      <c r="L29" s="51">
        <v>24.01</v>
      </c>
      <c r="M29" s="51">
        <v>98.23</v>
      </c>
      <c r="N29" s="51">
        <v>44.9</v>
      </c>
      <c r="O29" s="51">
        <v>0</v>
      </c>
      <c r="P29" s="51">
        <v>0.4</v>
      </c>
      <c r="Q29" s="51">
        <v>9.51</v>
      </c>
      <c r="R29" s="43"/>
      <c r="S29" s="43"/>
      <c r="T29" s="43"/>
      <c r="U29" s="43"/>
    </row>
    <row r="30" spans="1:21" s="11" customFormat="1" x14ac:dyDescent="0.25">
      <c r="A30" s="50" t="s">
        <v>153</v>
      </c>
      <c r="B30" s="51">
        <v>9.4</v>
      </c>
      <c r="C30" s="51">
        <v>12.9</v>
      </c>
      <c r="D30" s="51">
        <v>14.28</v>
      </c>
      <c r="E30" s="51">
        <v>4.95</v>
      </c>
      <c r="F30" s="51">
        <v>6.46</v>
      </c>
      <c r="G30" s="51">
        <v>22.27</v>
      </c>
      <c r="H30" s="51">
        <v>3.6</v>
      </c>
      <c r="I30" s="51">
        <v>1.07</v>
      </c>
      <c r="J30" s="51">
        <v>0.3</v>
      </c>
      <c r="K30" s="51">
        <v>178.04</v>
      </c>
      <c r="L30" s="51">
        <v>23.8</v>
      </c>
      <c r="M30" s="51">
        <v>98.32</v>
      </c>
      <c r="N30" s="51">
        <v>46.4</v>
      </c>
      <c r="O30" s="51">
        <v>0</v>
      </c>
      <c r="P30" s="51">
        <v>0.38</v>
      </c>
      <c r="Q30" s="51">
        <v>9.5399999999999991</v>
      </c>
      <c r="R30" s="43"/>
      <c r="S30" s="43"/>
      <c r="T30" s="43"/>
      <c r="U30" s="43"/>
    </row>
    <row r="31" spans="1:21" s="11" customFormat="1" x14ac:dyDescent="0.25">
      <c r="A31" s="50" t="s">
        <v>154</v>
      </c>
      <c r="B31" s="51">
        <v>8.31</v>
      </c>
      <c r="C31" s="51">
        <v>9.23</v>
      </c>
      <c r="D31" s="51">
        <v>11.27</v>
      </c>
      <c r="E31" s="51">
        <v>5.08</v>
      </c>
      <c r="F31" s="51">
        <v>5.83</v>
      </c>
      <c r="G31" s="51">
        <v>16.489999999999998</v>
      </c>
      <c r="H31" s="51">
        <v>5.93</v>
      </c>
      <c r="I31" s="51">
        <v>1.02</v>
      </c>
      <c r="J31" s="51">
        <v>0.1</v>
      </c>
      <c r="K31" s="51">
        <v>226.4</v>
      </c>
      <c r="L31" s="51">
        <v>23.32</v>
      </c>
      <c r="M31" s="51">
        <v>98.35</v>
      </c>
      <c r="N31" s="51">
        <v>45.1</v>
      </c>
      <c r="O31" s="51">
        <v>0</v>
      </c>
      <c r="P31" s="51">
        <v>0.36</v>
      </c>
      <c r="Q31" s="51">
        <v>9.5299999999999994</v>
      </c>
      <c r="R31" s="43"/>
      <c r="S31" s="43"/>
      <c r="T31" s="43"/>
      <c r="U31" s="43"/>
    </row>
    <row r="32" spans="1:21" s="11" customFormat="1" x14ac:dyDescent="0.25">
      <c r="A32" s="50" t="s">
        <v>155</v>
      </c>
      <c r="B32" s="51">
        <v>8.1300000000000008</v>
      </c>
      <c r="C32" s="51">
        <v>7.45</v>
      </c>
      <c r="D32" s="51">
        <v>10.41</v>
      </c>
      <c r="E32" s="51">
        <v>5.65</v>
      </c>
      <c r="F32" s="51">
        <v>8.0500000000000007</v>
      </c>
      <c r="G32" s="51">
        <v>20.010000000000002</v>
      </c>
      <c r="H32" s="51">
        <v>5.93</v>
      </c>
      <c r="I32" s="51">
        <v>1.05</v>
      </c>
      <c r="J32" s="51">
        <v>0.11</v>
      </c>
      <c r="K32" s="51">
        <v>188.92</v>
      </c>
      <c r="L32" s="51">
        <v>23.01</v>
      </c>
      <c r="M32" s="51">
        <v>98.34</v>
      </c>
      <c r="N32" s="51">
        <v>48.1</v>
      </c>
      <c r="O32" s="51">
        <v>0</v>
      </c>
      <c r="P32" s="51">
        <v>0.33</v>
      </c>
      <c r="Q32" s="51">
        <v>9.5399999999999991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6.41</v>
      </c>
      <c r="C34" s="28">
        <f t="shared" si="0"/>
        <v>5.49</v>
      </c>
      <c r="D34" s="28">
        <f t="shared" si="0"/>
        <v>9.25</v>
      </c>
      <c r="E34" s="28">
        <f t="shared" si="0"/>
        <v>3.98</v>
      </c>
      <c r="F34" s="28">
        <f t="shared" si="0"/>
        <v>3.51</v>
      </c>
      <c r="G34" s="28">
        <f t="shared" si="0"/>
        <v>10.119999999999999</v>
      </c>
      <c r="H34" s="28">
        <f t="shared" si="0"/>
        <v>1.79</v>
      </c>
      <c r="I34" s="28">
        <f t="shared" si="0"/>
        <v>0.89</v>
      </c>
      <c r="J34" s="28">
        <f t="shared" si="0"/>
        <v>0.04</v>
      </c>
      <c r="K34" s="28">
        <f t="shared" si="0"/>
        <v>163.15</v>
      </c>
      <c r="L34" s="28">
        <f t="shared" si="0"/>
        <v>22.84</v>
      </c>
      <c r="M34" s="28">
        <f t="shared" si="0"/>
        <v>98.02</v>
      </c>
      <c r="N34" s="28">
        <f t="shared" si="0"/>
        <v>27.6</v>
      </c>
      <c r="O34" s="28">
        <f t="shared" si="0"/>
        <v>0</v>
      </c>
      <c r="P34" s="28">
        <f t="shared" si="0"/>
        <v>0.25</v>
      </c>
      <c r="Q34" s="28">
        <f t="shared" si="0"/>
        <v>9.48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11.34</v>
      </c>
      <c r="C35" s="29">
        <f t="shared" si="1"/>
        <v>15.54</v>
      </c>
      <c r="D35" s="29">
        <f t="shared" si="1"/>
        <v>15.18</v>
      </c>
      <c r="E35" s="29">
        <f t="shared" si="1"/>
        <v>5.65</v>
      </c>
      <c r="F35" s="29">
        <f t="shared" si="1"/>
        <v>8.81</v>
      </c>
      <c r="G35" s="29">
        <f t="shared" si="1"/>
        <v>44.98</v>
      </c>
      <c r="H35" s="29">
        <f t="shared" si="1"/>
        <v>10.94</v>
      </c>
      <c r="I35" s="29">
        <f t="shared" si="1"/>
        <v>1.86</v>
      </c>
      <c r="J35" s="29">
        <f t="shared" si="1"/>
        <v>0.66</v>
      </c>
      <c r="K35" s="29">
        <f t="shared" si="1"/>
        <v>327.20999999999998</v>
      </c>
      <c r="L35" s="29">
        <f t="shared" si="1"/>
        <v>27.42</v>
      </c>
      <c r="M35" s="29">
        <f t="shared" si="1"/>
        <v>98.4</v>
      </c>
      <c r="N35" s="29">
        <f t="shared" si="1"/>
        <v>499.7</v>
      </c>
      <c r="O35" s="29">
        <f t="shared" si="1"/>
        <v>0</v>
      </c>
      <c r="P35" s="29">
        <f t="shared" si="1"/>
        <v>0.73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8.6166666666666671</v>
      </c>
      <c r="C36" s="28">
        <f t="shared" si="2"/>
        <v>8.3070833333333294</v>
      </c>
      <c r="D36" s="28">
        <f t="shared" si="2"/>
        <v>11.117916666666668</v>
      </c>
      <c r="E36" s="28">
        <f t="shared" si="2"/>
        <v>4.729166666666667</v>
      </c>
      <c r="F36" s="28">
        <f t="shared" si="2"/>
        <v>6.054166666666668</v>
      </c>
      <c r="G36" s="28">
        <f t="shared" si="2"/>
        <v>20.602083333333336</v>
      </c>
      <c r="H36" s="28">
        <f t="shared" si="2"/>
        <v>5.9816666666666665</v>
      </c>
      <c r="I36" s="28">
        <f t="shared" si="2"/>
        <v>1.2216666666666669</v>
      </c>
      <c r="J36" s="28">
        <f t="shared" si="2"/>
        <v>0.13125000000000001</v>
      </c>
      <c r="K36" s="28">
        <f t="shared" si="2"/>
        <v>269.07708333333329</v>
      </c>
      <c r="L36" s="28">
        <f t="shared" si="2"/>
        <v>24.388750000000002</v>
      </c>
      <c r="M36" s="28">
        <f t="shared" si="2"/>
        <v>98.242083333333312</v>
      </c>
      <c r="N36" s="28">
        <f t="shared" si="2"/>
        <v>128.75000000000003</v>
      </c>
      <c r="O36" s="28">
        <f t="shared" si="2"/>
        <v>0</v>
      </c>
      <c r="P36" s="28">
        <f t="shared" si="2"/>
        <v>0.37458333333333332</v>
      </c>
      <c r="Q36" s="28">
        <f t="shared" si="2"/>
        <v>9.5608333333333313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1.2539803294576246</v>
      </c>
      <c r="C37" s="28">
        <f t="shared" ref="C37:Q37" si="3">STDEV(C9:C32)</f>
        <v>2.4601351662524462</v>
      </c>
      <c r="D37" s="28">
        <f t="shared" si="3"/>
        <v>1.5793613986469963</v>
      </c>
      <c r="E37" s="28">
        <f t="shared" si="3"/>
        <v>0.45646007174938014</v>
      </c>
      <c r="F37" s="28">
        <f t="shared" si="3"/>
        <v>1.5158550942179936</v>
      </c>
      <c r="G37" s="28">
        <f t="shared" si="3"/>
        <v>7.4413918632416349</v>
      </c>
      <c r="H37" s="28">
        <f t="shared" si="3"/>
        <v>2.3688057285708628</v>
      </c>
      <c r="I37" s="28">
        <f t="shared" si="3"/>
        <v>0.32129718962040482</v>
      </c>
      <c r="J37" s="28">
        <f t="shared" si="3"/>
        <v>0.12435267169032491</v>
      </c>
      <c r="K37" s="28">
        <f t="shared" si="3"/>
        <v>53.869199433859755</v>
      </c>
      <c r="L37" s="28">
        <f t="shared" si="3"/>
        <v>1.478907682981804</v>
      </c>
      <c r="M37" s="28">
        <f t="shared" si="3"/>
        <v>0.15435642454106596</v>
      </c>
      <c r="N37" s="28">
        <f t="shared" si="3"/>
        <v>132.02998012638608</v>
      </c>
      <c r="O37" s="28">
        <f t="shared" si="3"/>
        <v>0</v>
      </c>
      <c r="P37" s="28">
        <f t="shared" si="3"/>
        <v>0.10521114037007187</v>
      </c>
      <c r="Q37" s="28">
        <f t="shared" si="3"/>
        <v>5.9776152484056023E-2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9" sqref="B9:D32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156</v>
      </c>
      <c r="B9" s="51">
        <v>6.64</v>
      </c>
      <c r="C9" s="51">
        <v>7.01</v>
      </c>
      <c r="D9" s="51">
        <v>8.81</v>
      </c>
      <c r="E9" s="51">
        <v>5.86</v>
      </c>
      <c r="F9" s="51">
        <v>7.45</v>
      </c>
      <c r="G9" s="51">
        <v>22.38</v>
      </c>
      <c r="H9" s="51">
        <v>4.8</v>
      </c>
      <c r="I9" s="51">
        <v>0.92</v>
      </c>
      <c r="J9" s="51">
        <v>0.13</v>
      </c>
      <c r="K9" s="51">
        <v>154.49</v>
      </c>
      <c r="L9" s="51">
        <v>22.9</v>
      </c>
      <c r="M9" s="51">
        <v>98.47</v>
      </c>
      <c r="N9" s="51">
        <v>45</v>
      </c>
      <c r="O9" s="51">
        <v>0</v>
      </c>
      <c r="P9" s="51">
        <v>0.3</v>
      </c>
      <c r="Q9" s="51">
        <v>9.57</v>
      </c>
      <c r="R9" s="43"/>
      <c r="S9" s="43"/>
      <c r="T9" s="43"/>
      <c r="U9" s="43"/>
    </row>
    <row r="10" spans="1:21" s="11" customFormat="1" x14ac:dyDescent="0.25">
      <c r="A10" s="50" t="s">
        <v>157</v>
      </c>
      <c r="B10" s="51">
        <v>7.94</v>
      </c>
      <c r="C10" s="51">
        <v>6.06</v>
      </c>
      <c r="D10" s="51">
        <v>9.36</v>
      </c>
      <c r="E10" s="51">
        <v>6.05</v>
      </c>
      <c r="F10" s="51">
        <v>7.98</v>
      </c>
      <c r="G10" s="51">
        <v>22.38</v>
      </c>
      <c r="H10" s="51">
        <v>3.36</v>
      </c>
      <c r="I10" s="51">
        <v>0.89</v>
      </c>
      <c r="J10" s="51">
        <v>0.08</v>
      </c>
      <c r="K10" s="51">
        <v>192.62</v>
      </c>
      <c r="L10" s="51">
        <v>22.84</v>
      </c>
      <c r="M10" s="51">
        <v>98.58</v>
      </c>
      <c r="N10" s="51">
        <v>47.4</v>
      </c>
      <c r="O10" s="51">
        <v>0</v>
      </c>
      <c r="P10" s="51">
        <v>0.3</v>
      </c>
      <c r="Q10" s="51">
        <v>9.57</v>
      </c>
      <c r="R10" s="43"/>
      <c r="S10" s="43"/>
      <c r="T10" s="43"/>
      <c r="U10" s="43"/>
    </row>
    <row r="11" spans="1:21" s="11" customFormat="1" x14ac:dyDescent="0.25">
      <c r="A11" s="50" t="s">
        <v>158</v>
      </c>
      <c r="B11" s="51">
        <v>7.79</v>
      </c>
      <c r="C11" s="51">
        <v>5.52</v>
      </c>
      <c r="D11" s="51">
        <v>9.11</v>
      </c>
      <c r="E11" s="51">
        <v>5.9</v>
      </c>
      <c r="F11" s="51">
        <v>7.58</v>
      </c>
      <c r="G11" s="51">
        <v>16.079999999999998</v>
      </c>
      <c r="H11" s="51">
        <v>9.26</v>
      </c>
      <c r="I11" s="51">
        <v>0.85</v>
      </c>
      <c r="J11" s="51">
        <v>0.24</v>
      </c>
      <c r="K11" s="51">
        <v>131.35</v>
      </c>
      <c r="L11" s="51">
        <v>22.74</v>
      </c>
      <c r="M11" s="51">
        <v>98.7</v>
      </c>
      <c r="N11" s="51">
        <v>45.6</v>
      </c>
      <c r="O11" s="51">
        <v>0</v>
      </c>
      <c r="P11" s="51">
        <v>0.28999999999999998</v>
      </c>
      <c r="Q11" s="51">
        <v>9.5500000000000007</v>
      </c>
      <c r="R11" s="43"/>
      <c r="S11" s="43"/>
      <c r="T11" s="43"/>
      <c r="U11" s="43"/>
    </row>
    <row r="12" spans="1:21" s="11" customFormat="1" x14ac:dyDescent="0.25">
      <c r="A12" s="50" t="s">
        <v>159</v>
      </c>
      <c r="B12" s="51">
        <v>7.98</v>
      </c>
      <c r="C12" s="51">
        <v>5.85</v>
      </c>
      <c r="D12" s="51">
        <v>9.08</v>
      </c>
      <c r="E12" s="51">
        <v>5.9</v>
      </c>
      <c r="F12" s="51">
        <v>6.8</v>
      </c>
      <c r="G12" s="51">
        <v>13.8</v>
      </c>
      <c r="H12" s="51">
        <v>9.26</v>
      </c>
      <c r="I12" s="51">
        <v>0.9</v>
      </c>
      <c r="J12" s="51">
        <v>0.22</v>
      </c>
      <c r="K12" s="51">
        <v>204.43</v>
      </c>
      <c r="L12" s="51">
        <v>22.73</v>
      </c>
      <c r="M12" s="51">
        <v>98.77</v>
      </c>
      <c r="N12" s="51">
        <v>42.6</v>
      </c>
      <c r="O12" s="51">
        <v>0</v>
      </c>
      <c r="P12" s="51">
        <v>0.28999999999999998</v>
      </c>
      <c r="Q12" s="51">
        <v>9.5500000000000007</v>
      </c>
      <c r="R12" s="43"/>
      <c r="S12" s="43"/>
      <c r="T12" s="43"/>
      <c r="U12" s="43"/>
    </row>
    <row r="13" spans="1:21" s="11" customFormat="1" x14ac:dyDescent="0.25">
      <c r="A13" s="50" t="s">
        <v>160</v>
      </c>
      <c r="B13" s="51">
        <v>7.29</v>
      </c>
      <c r="C13" s="51">
        <v>6.9</v>
      </c>
      <c r="D13" s="51">
        <v>9.4499999999999993</v>
      </c>
      <c r="E13" s="51">
        <v>6.04</v>
      </c>
      <c r="F13" s="51">
        <v>8.2799999999999994</v>
      </c>
      <c r="G13" s="51">
        <v>16.739999999999998</v>
      </c>
      <c r="H13" s="51">
        <v>6.48</v>
      </c>
      <c r="I13" s="51">
        <v>0.89</v>
      </c>
      <c r="J13" s="51">
        <v>0.41</v>
      </c>
      <c r="K13" s="51">
        <v>136.07</v>
      </c>
      <c r="L13" s="51">
        <v>22.8</v>
      </c>
      <c r="M13" s="51">
        <v>98.65</v>
      </c>
      <c r="N13" s="51">
        <v>43.5</v>
      </c>
      <c r="O13" s="51">
        <v>0</v>
      </c>
      <c r="P13" s="51">
        <v>0.23</v>
      </c>
      <c r="Q13" s="51">
        <v>9.59</v>
      </c>
      <c r="R13" s="43"/>
      <c r="S13" s="43"/>
      <c r="T13" s="43"/>
      <c r="U13" s="43"/>
    </row>
    <row r="14" spans="1:21" s="11" customFormat="1" x14ac:dyDescent="0.25">
      <c r="A14" s="50" t="s">
        <v>161</v>
      </c>
      <c r="B14" s="51">
        <v>9.34</v>
      </c>
      <c r="C14" s="51">
        <v>9.9</v>
      </c>
      <c r="D14" s="51">
        <v>12.67</v>
      </c>
      <c r="E14" s="51">
        <v>6.07</v>
      </c>
      <c r="F14" s="51">
        <v>8.2100000000000009</v>
      </c>
      <c r="G14" s="51">
        <v>16.739999999999998</v>
      </c>
      <c r="H14" s="51">
        <v>4.54</v>
      </c>
      <c r="I14" s="51">
        <v>0.83</v>
      </c>
      <c r="J14" s="51">
        <v>0.37</v>
      </c>
      <c r="K14" s="51">
        <v>155.66999999999999</v>
      </c>
      <c r="L14" s="51">
        <v>22.82</v>
      </c>
      <c r="M14" s="51">
        <v>98.67</v>
      </c>
      <c r="N14" s="51">
        <v>50.4</v>
      </c>
      <c r="O14" s="51">
        <v>0</v>
      </c>
      <c r="P14" s="51">
        <v>0.26</v>
      </c>
      <c r="Q14" s="51">
        <v>9.6</v>
      </c>
      <c r="R14" s="43"/>
      <c r="S14" s="43"/>
      <c r="T14" s="43"/>
      <c r="U14" s="43"/>
    </row>
    <row r="15" spans="1:21" s="11" customFormat="1" x14ac:dyDescent="0.25">
      <c r="A15" s="50" t="s">
        <v>162</v>
      </c>
      <c r="B15" s="51">
        <v>11.56</v>
      </c>
      <c r="C15" s="51">
        <v>8.3800000000000008</v>
      </c>
      <c r="D15" s="51">
        <v>13.65</v>
      </c>
      <c r="E15" s="51">
        <v>6.07</v>
      </c>
      <c r="F15" s="51">
        <v>5.04</v>
      </c>
      <c r="G15" s="51">
        <v>13.79</v>
      </c>
      <c r="H15" s="51">
        <v>10.49</v>
      </c>
      <c r="I15" s="51">
        <v>0.83</v>
      </c>
      <c r="J15" s="51">
        <v>0.76</v>
      </c>
      <c r="K15" s="51">
        <v>157.86000000000001</v>
      </c>
      <c r="L15" s="51">
        <v>23.26</v>
      </c>
      <c r="M15" s="51">
        <v>98.68</v>
      </c>
      <c r="N15" s="51">
        <v>111.1</v>
      </c>
      <c r="O15" s="51">
        <v>0</v>
      </c>
      <c r="P15" s="51">
        <v>0.28000000000000003</v>
      </c>
      <c r="Q15" s="51">
        <v>9.59</v>
      </c>
      <c r="R15" s="43"/>
      <c r="S15" s="43"/>
      <c r="T15" s="43"/>
      <c r="U15" s="43"/>
    </row>
    <row r="16" spans="1:21" s="11" customFormat="1" x14ac:dyDescent="0.25">
      <c r="A16" s="50" t="s">
        <v>163</v>
      </c>
      <c r="B16" s="51">
        <v>10.71</v>
      </c>
      <c r="C16" s="51">
        <v>7.51</v>
      </c>
      <c r="D16" s="51">
        <v>12.44</v>
      </c>
      <c r="E16" s="51">
        <v>5.99</v>
      </c>
      <c r="F16" s="51">
        <v>5.16</v>
      </c>
      <c r="G16" s="51">
        <v>15.38</v>
      </c>
      <c r="H16" s="51">
        <v>10.49</v>
      </c>
      <c r="I16" s="51">
        <v>0.82</v>
      </c>
      <c r="J16" s="51">
        <v>1.04</v>
      </c>
      <c r="K16" s="51">
        <v>171.7</v>
      </c>
      <c r="L16" s="51">
        <v>23.61</v>
      </c>
      <c r="M16" s="51">
        <v>98.68</v>
      </c>
      <c r="N16" s="51">
        <v>173.1</v>
      </c>
      <c r="O16" s="51">
        <v>0</v>
      </c>
      <c r="P16" s="51">
        <v>0.27</v>
      </c>
      <c r="Q16" s="51">
        <v>9.6</v>
      </c>
      <c r="R16" s="43"/>
      <c r="S16" s="43"/>
      <c r="T16" s="43"/>
      <c r="U16" s="43"/>
    </row>
    <row r="17" spans="1:21" s="11" customFormat="1" x14ac:dyDescent="0.25">
      <c r="A17" s="50" t="s">
        <v>164</v>
      </c>
      <c r="B17" s="51">
        <v>11.11</v>
      </c>
      <c r="C17" s="51">
        <v>7.91</v>
      </c>
      <c r="D17" s="51">
        <v>12.94</v>
      </c>
      <c r="E17" s="51">
        <v>4.55</v>
      </c>
      <c r="F17" s="51">
        <v>7.85</v>
      </c>
      <c r="G17" s="51">
        <v>15.38</v>
      </c>
      <c r="H17" s="51">
        <v>7.34</v>
      </c>
      <c r="I17" s="51">
        <v>0.84</v>
      </c>
      <c r="J17" s="51">
        <v>1.04</v>
      </c>
      <c r="K17" s="51">
        <v>150.75</v>
      </c>
      <c r="L17" s="51">
        <v>24.06</v>
      </c>
      <c r="M17" s="51">
        <v>98.67</v>
      </c>
      <c r="N17" s="51">
        <v>229.4</v>
      </c>
      <c r="O17" s="51">
        <v>0</v>
      </c>
      <c r="P17" s="51">
        <v>0.28999999999999998</v>
      </c>
      <c r="Q17" s="51">
        <v>9.59</v>
      </c>
      <c r="R17" s="43"/>
      <c r="S17" s="43"/>
      <c r="T17" s="43"/>
      <c r="U17" s="43"/>
    </row>
    <row r="18" spans="1:21" s="11" customFormat="1" x14ac:dyDescent="0.25">
      <c r="A18" s="50" t="s">
        <v>165</v>
      </c>
      <c r="B18" s="51">
        <v>9.6999999999999993</v>
      </c>
      <c r="C18" s="51">
        <v>7.63</v>
      </c>
      <c r="D18" s="51">
        <v>11.5</v>
      </c>
      <c r="E18" s="51">
        <v>4.8</v>
      </c>
      <c r="F18" s="51">
        <v>9.4700000000000006</v>
      </c>
      <c r="G18" s="51">
        <v>14.18</v>
      </c>
      <c r="H18" s="51">
        <v>5.14</v>
      </c>
      <c r="I18" s="51">
        <v>0.83</v>
      </c>
      <c r="J18" s="51">
        <v>0.82</v>
      </c>
      <c r="K18" s="51">
        <v>145.26</v>
      </c>
      <c r="L18" s="51">
        <v>27.09</v>
      </c>
      <c r="M18" s="51">
        <v>98.6</v>
      </c>
      <c r="N18" s="51">
        <v>686.4</v>
      </c>
      <c r="O18" s="51">
        <v>0</v>
      </c>
      <c r="P18" s="51">
        <v>0.28000000000000003</v>
      </c>
      <c r="Q18" s="51">
        <v>9.58</v>
      </c>
      <c r="R18" s="43"/>
      <c r="S18" s="43"/>
      <c r="T18" s="43"/>
      <c r="U18" s="43"/>
    </row>
    <row r="19" spans="1:21" s="11" customFormat="1" x14ac:dyDescent="0.25">
      <c r="A19" s="50" t="s">
        <v>166</v>
      </c>
      <c r="B19" s="51">
        <v>9.0500000000000007</v>
      </c>
      <c r="C19" s="51">
        <v>7.22</v>
      </c>
      <c r="D19" s="51">
        <v>10.93</v>
      </c>
      <c r="E19" s="51">
        <v>4.79</v>
      </c>
      <c r="F19" s="51">
        <v>7.4</v>
      </c>
      <c r="G19" s="51">
        <v>17.350000000000001</v>
      </c>
      <c r="H19" s="51">
        <v>8.99</v>
      </c>
      <c r="I19" s="51">
        <v>0.83</v>
      </c>
      <c r="J19" s="51">
        <v>0.89</v>
      </c>
      <c r="K19" s="51">
        <v>144.19</v>
      </c>
      <c r="L19" s="51">
        <v>28.35</v>
      </c>
      <c r="M19" s="51">
        <v>97.03</v>
      </c>
      <c r="N19" s="51">
        <v>809.3</v>
      </c>
      <c r="O19" s="51">
        <v>0</v>
      </c>
      <c r="P19" s="51">
        <v>0.27</v>
      </c>
      <c r="Q19" s="51">
        <v>9.57</v>
      </c>
      <c r="R19" s="43"/>
      <c r="S19" s="43"/>
      <c r="T19" s="43"/>
      <c r="U19" s="43"/>
    </row>
    <row r="20" spans="1:21" s="11" customFormat="1" x14ac:dyDescent="0.25">
      <c r="A20" s="50" t="s">
        <v>167</v>
      </c>
      <c r="B20" s="51">
        <v>8.61</v>
      </c>
      <c r="C20" s="51">
        <v>8.49</v>
      </c>
      <c r="D20" s="51">
        <v>10.95</v>
      </c>
      <c r="E20" s="51">
        <v>4.67</v>
      </c>
      <c r="F20" s="51">
        <v>10.42</v>
      </c>
      <c r="G20" s="51">
        <v>17.350000000000001</v>
      </c>
      <c r="H20" s="51">
        <v>8.99</v>
      </c>
      <c r="I20" s="51">
        <v>0.82</v>
      </c>
      <c r="J20" s="51">
        <v>0.54</v>
      </c>
      <c r="K20" s="51">
        <v>213.17</v>
      </c>
      <c r="L20" s="51">
        <v>29.04</v>
      </c>
      <c r="M20" s="51">
        <v>91.44</v>
      </c>
      <c r="N20" s="51">
        <v>705.4</v>
      </c>
      <c r="O20" s="51">
        <v>0</v>
      </c>
      <c r="P20" s="51">
        <v>0.27</v>
      </c>
      <c r="Q20" s="51">
        <v>9.5399999999999991</v>
      </c>
      <c r="R20" s="43"/>
      <c r="S20" s="43"/>
      <c r="T20" s="43"/>
      <c r="U20" s="43"/>
    </row>
    <row r="21" spans="1:21" s="11" customFormat="1" x14ac:dyDescent="0.25">
      <c r="A21" s="50" t="s">
        <v>168</v>
      </c>
      <c r="B21" s="51">
        <v>7.71</v>
      </c>
      <c r="C21" s="51">
        <v>8.09</v>
      </c>
      <c r="D21" s="51">
        <v>10.24</v>
      </c>
      <c r="E21" s="51">
        <v>5.0599999999999996</v>
      </c>
      <c r="F21" s="51">
        <v>10.55</v>
      </c>
      <c r="G21" s="51">
        <v>22.91</v>
      </c>
      <c r="H21" s="51">
        <v>6.29</v>
      </c>
      <c r="I21" s="51">
        <v>0.8</v>
      </c>
      <c r="J21" s="51">
        <v>0.79</v>
      </c>
      <c r="K21" s="51">
        <v>253.2</v>
      </c>
      <c r="L21" s="51">
        <v>29.27</v>
      </c>
      <c r="M21" s="51">
        <v>88.84</v>
      </c>
      <c r="N21" s="51">
        <v>495.3</v>
      </c>
      <c r="O21" s="51">
        <v>0</v>
      </c>
      <c r="P21" s="51">
        <v>0.26</v>
      </c>
      <c r="Q21" s="51">
        <v>9.5299999999999994</v>
      </c>
      <c r="R21" s="43"/>
      <c r="S21" s="43"/>
      <c r="T21" s="43"/>
      <c r="U21" s="43"/>
    </row>
    <row r="22" spans="1:21" s="11" customFormat="1" x14ac:dyDescent="0.25">
      <c r="A22" s="50" t="s">
        <v>169</v>
      </c>
      <c r="B22" s="51">
        <v>8.51</v>
      </c>
      <c r="C22" s="51">
        <v>8.84</v>
      </c>
      <c r="D22" s="51">
        <v>11.45</v>
      </c>
      <c r="E22" s="51">
        <v>4.92</v>
      </c>
      <c r="F22" s="51">
        <v>5.67</v>
      </c>
      <c r="G22" s="51">
        <v>22.91</v>
      </c>
      <c r="H22" s="51">
        <v>4.41</v>
      </c>
      <c r="I22" s="51">
        <v>0.82</v>
      </c>
      <c r="J22" s="51">
        <v>0.21</v>
      </c>
      <c r="K22" s="51">
        <v>312.23</v>
      </c>
      <c r="L22" s="51">
        <v>29.72</v>
      </c>
      <c r="M22" s="51">
        <v>85.21</v>
      </c>
      <c r="N22" s="51">
        <v>364.2</v>
      </c>
      <c r="O22" s="51">
        <v>0</v>
      </c>
      <c r="P22" s="51">
        <v>0.25</v>
      </c>
      <c r="Q22" s="51">
        <v>9.52</v>
      </c>
      <c r="R22" s="43"/>
      <c r="S22" s="43"/>
      <c r="T22" s="43"/>
      <c r="U22" s="43"/>
    </row>
    <row r="23" spans="1:21" s="11" customFormat="1" x14ac:dyDescent="0.25">
      <c r="A23" s="50" t="s">
        <v>170</v>
      </c>
      <c r="B23" s="51">
        <v>8.39</v>
      </c>
      <c r="C23" s="51">
        <v>8.76</v>
      </c>
      <c r="D23" s="51">
        <v>11.23</v>
      </c>
      <c r="E23" s="51">
        <v>4.8899999999999997</v>
      </c>
      <c r="F23" s="51">
        <v>9.48</v>
      </c>
      <c r="G23" s="51">
        <v>28.07</v>
      </c>
      <c r="H23" s="51">
        <v>8.0299999999999994</v>
      </c>
      <c r="I23" s="51">
        <v>0.83</v>
      </c>
      <c r="J23" s="51">
        <v>0.14000000000000001</v>
      </c>
      <c r="K23" s="51">
        <v>334.31</v>
      </c>
      <c r="L23" s="51">
        <v>29.92</v>
      </c>
      <c r="M23" s="51">
        <v>82.57</v>
      </c>
      <c r="N23" s="51">
        <v>248</v>
      </c>
      <c r="O23" s="51">
        <v>0.2</v>
      </c>
      <c r="P23" s="51">
        <v>0.28000000000000003</v>
      </c>
      <c r="Q23" s="51">
        <v>9.49</v>
      </c>
      <c r="R23" s="43"/>
      <c r="S23" s="43"/>
      <c r="T23" s="43"/>
      <c r="U23" s="43"/>
    </row>
    <row r="24" spans="1:21" s="11" customFormat="1" x14ac:dyDescent="0.25">
      <c r="A24" s="50" t="s">
        <v>171</v>
      </c>
      <c r="B24" s="51">
        <v>8.58</v>
      </c>
      <c r="C24" s="51">
        <v>9.81</v>
      </c>
      <c r="D24" s="51">
        <v>12.01</v>
      </c>
      <c r="E24" s="51">
        <v>4.82</v>
      </c>
      <c r="F24" s="51">
        <v>10.84</v>
      </c>
      <c r="G24" s="51">
        <v>28.07</v>
      </c>
      <c r="H24" s="51">
        <v>8.0299999999999994</v>
      </c>
      <c r="I24" s="51">
        <v>0.82</v>
      </c>
      <c r="J24" s="51">
        <v>0.11</v>
      </c>
      <c r="K24" s="51">
        <v>299.66000000000003</v>
      </c>
      <c r="L24" s="51">
        <v>29.05</v>
      </c>
      <c r="M24" s="51">
        <v>83.12</v>
      </c>
      <c r="N24" s="51">
        <v>155.69999999999999</v>
      </c>
      <c r="O24" s="51">
        <v>0</v>
      </c>
      <c r="P24" s="51">
        <v>0.28000000000000003</v>
      </c>
      <c r="Q24" s="51">
        <v>9.48</v>
      </c>
      <c r="R24" s="43"/>
      <c r="S24" s="43"/>
      <c r="T24" s="43"/>
      <c r="U24" s="43"/>
    </row>
    <row r="25" spans="1:21" s="11" customFormat="1" x14ac:dyDescent="0.25">
      <c r="A25" s="50" t="s">
        <v>172</v>
      </c>
      <c r="B25" s="51">
        <v>8.67</v>
      </c>
      <c r="C25" s="51">
        <v>10.66</v>
      </c>
      <c r="D25" s="51">
        <v>12.52</v>
      </c>
      <c r="E25" s="51">
        <v>5.31</v>
      </c>
      <c r="F25" s="51">
        <v>14.34</v>
      </c>
      <c r="G25" s="51">
        <v>31.47</v>
      </c>
      <c r="H25" s="51">
        <v>5.62</v>
      </c>
      <c r="I25" s="51">
        <v>0.82</v>
      </c>
      <c r="J25" s="51">
        <v>0.12</v>
      </c>
      <c r="K25" s="51">
        <v>298.19</v>
      </c>
      <c r="L25" s="51">
        <v>28.39</v>
      </c>
      <c r="M25" s="51">
        <v>90.62</v>
      </c>
      <c r="N25" s="51">
        <v>95.9</v>
      </c>
      <c r="O25" s="51">
        <v>0</v>
      </c>
      <c r="P25" s="51">
        <v>0.28000000000000003</v>
      </c>
      <c r="Q25" s="51">
        <v>9.5</v>
      </c>
      <c r="R25" s="43"/>
      <c r="S25" s="43"/>
      <c r="T25" s="43"/>
      <c r="U25" s="43"/>
    </row>
    <row r="26" spans="1:21" s="11" customFormat="1" x14ac:dyDescent="0.25">
      <c r="A26" s="50" t="s">
        <v>173</v>
      </c>
      <c r="B26" s="51">
        <v>6.22</v>
      </c>
      <c r="C26" s="51">
        <v>11.98</v>
      </c>
      <c r="D26" s="51">
        <v>10.66</v>
      </c>
      <c r="E26" s="51">
        <v>5.13</v>
      </c>
      <c r="F26" s="51">
        <v>12.01</v>
      </c>
      <c r="G26" s="51">
        <v>31.47</v>
      </c>
      <c r="H26" s="51">
        <v>5.2</v>
      </c>
      <c r="I26" s="51">
        <v>0.8</v>
      </c>
      <c r="J26" s="51">
        <v>0.08</v>
      </c>
      <c r="K26" s="51">
        <v>233.59</v>
      </c>
      <c r="L26" s="51">
        <v>27.52</v>
      </c>
      <c r="M26" s="51">
        <v>95.38</v>
      </c>
      <c r="N26" s="51">
        <v>69.7</v>
      </c>
      <c r="O26" s="51">
        <v>0</v>
      </c>
      <c r="P26" s="51">
        <v>0.28000000000000003</v>
      </c>
      <c r="Q26" s="51">
        <v>9.4700000000000006</v>
      </c>
      <c r="R26" s="43"/>
      <c r="S26" s="43"/>
      <c r="T26" s="43"/>
      <c r="U26" s="43"/>
    </row>
    <row r="27" spans="1:21" s="11" customFormat="1" x14ac:dyDescent="0.25">
      <c r="A27" s="50" t="s">
        <v>174</v>
      </c>
      <c r="B27" s="51">
        <v>10.130000000000001</v>
      </c>
      <c r="C27" s="51">
        <v>14.03</v>
      </c>
      <c r="D27" s="51">
        <v>14.2</v>
      </c>
      <c r="E27" s="51">
        <v>5.45</v>
      </c>
      <c r="F27" s="51">
        <v>12.15</v>
      </c>
      <c r="G27" s="51">
        <v>36.43</v>
      </c>
      <c r="H27" s="51">
        <v>6.97</v>
      </c>
      <c r="I27" s="51">
        <v>0.85</v>
      </c>
      <c r="J27" s="51">
        <v>0.13</v>
      </c>
      <c r="K27" s="51">
        <v>330.34</v>
      </c>
      <c r="L27" s="51">
        <v>26.7</v>
      </c>
      <c r="M27" s="51">
        <v>98.32</v>
      </c>
      <c r="N27" s="51">
        <v>38.6</v>
      </c>
      <c r="O27" s="51">
        <v>0</v>
      </c>
      <c r="P27" s="51">
        <v>0.44</v>
      </c>
      <c r="Q27" s="51">
        <v>9.48</v>
      </c>
      <c r="R27" s="43"/>
      <c r="S27" s="43"/>
      <c r="T27" s="43"/>
      <c r="U27" s="43"/>
    </row>
    <row r="28" spans="1:21" s="11" customFormat="1" x14ac:dyDescent="0.25">
      <c r="A28" s="50" t="s">
        <v>175</v>
      </c>
      <c r="B28" s="51">
        <v>8.99</v>
      </c>
      <c r="C28" s="51">
        <v>13.11</v>
      </c>
      <c r="D28" s="51">
        <v>13.32</v>
      </c>
      <c r="E28" s="51">
        <v>5.22</v>
      </c>
      <c r="F28" s="51">
        <v>8.8800000000000008</v>
      </c>
      <c r="G28" s="51">
        <v>36.43</v>
      </c>
      <c r="H28" s="51">
        <v>6.97</v>
      </c>
      <c r="I28" s="51">
        <v>0.89</v>
      </c>
      <c r="J28" s="51">
        <v>0.39</v>
      </c>
      <c r="K28" s="51">
        <v>154.94999999999999</v>
      </c>
      <c r="L28" s="51">
        <v>25.61</v>
      </c>
      <c r="M28" s="51">
        <v>98.67</v>
      </c>
      <c r="N28" s="51">
        <v>35.9</v>
      </c>
      <c r="O28" s="51">
        <v>0</v>
      </c>
      <c r="P28" s="51">
        <v>0.47</v>
      </c>
      <c r="Q28" s="51">
        <v>9.5399999999999991</v>
      </c>
      <c r="R28" s="43"/>
      <c r="S28" s="43"/>
      <c r="T28" s="43"/>
      <c r="U28" s="43"/>
    </row>
    <row r="29" spans="1:21" s="11" customFormat="1" x14ac:dyDescent="0.25">
      <c r="A29" s="50" t="s">
        <v>176</v>
      </c>
      <c r="B29" s="51">
        <v>9.81</v>
      </c>
      <c r="C29" s="51">
        <v>13.82</v>
      </c>
      <c r="D29" s="51">
        <v>14.88</v>
      </c>
      <c r="E29" s="51">
        <v>5.5</v>
      </c>
      <c r="F29" s="51">
        <v>8.31</v>
      </c>
      <c r="G29" s="51">
        <v>33.979999999999997</v>
      </c>
      <c r="H29" s="51">
        <v>4.88</v>
      </c>
      <c r="I29" s="51">
        <v>0.89</v>
      </c>
      <c r="J29" s="51">
        <v>0.4</v>
      </c>
      <c r="K29" s="51">
        <v>166.74</v>
      </c>
      <c r="L29" s="51">
        <v>24.61</v>
      </c>
      <c r="M29" s="51">
        <v>98.75</v>
      </c>
      <c r="N29" s="51">
        <v>35.5</v>
      </c>
      <c r="O29" s="51">
        <v>0</v>
      </c>
      <c r="P29" s="51">
        <v>0.35</v>
      </c>
      <c r="Q29" s="51">
        <v>9.5500000000000007</v>
      </c>
      <c r="R29" s="43"/>
      <c r="S29" s="43"/>
      <c r="T29" s="43"/>
      <c r="U29" s="43"/>
    </row>
    <row r="30" spans="1:21" s="11" customFormat="1" x14ac:dyDescent="0.25">
      <c r="A30" s="50" t="s">
        <v>177</v>
      </c>
      <c r="B30" s="51">
        <v>13.89</v>
      </c>
      <c r="C30" s="51">
        <v>10.55</v>
      </c>
      <c r="D30" s="51">
        <v>16.510000000000002</v>
      </c>
      <c r="E30" s="51">
        <v>5.25</v>
      </c>
      <c r="F30" s="51">
        <v>7.26</v>
      </c>
      <c r="G30" s="51">
        <v>33.700000000000003</v>
      </c>
      <c r="H30" s="51">
        <v>3.42</v>
      </c>
      <c r="I30" s="51">
        <v>0.98</v>
      </c>
      <c r="J30" s="51">
        <v>0.53</v>
      </c>
      <c r="K30" s="51">
        <v>166.97</v>
      </c>
      <c r="L30" s="51">
        <v>24.41</v>
      </c>
      <c r="M30" s="51">
        <v>98.77</v>
      </c>
      <c r="N30" s="51">
        <v>35.4</v>
      </c>
      <c r="O30" s="51">
        <v>0</v>
      </c>
      <c r="P30" s="51">
        <v>0.36</v>
      </c>
      <c r="Q30" s="51">
        <v>9.57</v>
      </c>
      <c r="R30" s="43"/>
      <c r="S30" s="43"/>
      <c r="T30" s="43"/>
      <c r="U30" s="43"/>
    </row>
    <row r="31" spans="1:21" s="11" customFormat="1" x14ac:dyDescent="0.25">
      <c r="A31" s="50" t="s">
        <v>178</v>
      </c>
      <c r="B31" s="51">
        <v>8.68</v>
      </c>
      <c r="C31" s="51">
        <v>11.22</v>
      </c>
      <c r="D31" s="51">
        <v>12.82</v>
      </c>
      <c r="E31" s="51">
        <v>5.26</v>
      </c>
      <c r="F31" s="51">
        <v>6.52</v>
      </c>
      <c r="G31" s="51">
        <v>35.479999999999997</v>
      </c>
      <c r="H31" s="51">
        <v>7.45</v>
      </c>
      <c r="I31" s="51">
        <v>0.9</v>
      </c>
      <c r="J31" s="51">
        <v>0.55000000000000004</v>
      </c>
      <c r="K31" s="51">
        <v>148.02000000000001</v>
      </c>
      <c r="L31" s="51">
        <v>24.12</v>
      </c>
      <c r="M31" s="51">
        <v>98.69</v>
      </c>
      <c r="N31" s="51">
        <v>35.200000000000003</v>
      </c>
      <c r="O31" s="51">
        <v>0</v>
      </c>
      <c r="P31" s="51">
        <v>0.31</v>
      </c>
      <c r="Q31" s="51">
        <v>9.56</v>
      </c>
      <c r="R31" s="43"/>
      <c r="S31" s="43"/>
      <c r="T31" s="43"/>
      <c r="U31" s="43"/>
    </row>
    <row r="32" spans="1:21" s="11" customFormat="1" x14ac:dyDescent="0.25">
      <c r="A32" s="50" t="s">
        <v>179</v>
      </c>
      <c r="B32" s="51">
        <v>9.0299999999999994</v>
      </c>
      <c r="C32" s="51">
        <v>9.2799999999999994</v>
      </c>
      <c r="D32" s="51">
        <v>12.09</v>
      </c>
      <c r="E32" s="51">
        <v>5.5</v>
      </c>
      <c r="F32" s="51">
        <v>9.36</v>
      </c>
      <c r="G32" s="51">
        <v>35.479999999999997</v>
      </c>
      <c r="H32" s="51">
        <v>7.45</v>
      </c>
      <c r="I32" s="51">
        <v>0.9</v>
      </c>
      <c r="J32" s="51">
        <v>0.52</v>
      </c>
      <c r="K32" s="51">
        <v>145.44999999999999</v>
      </c>
      <c r="L32" s="51">
        <v>24.12</v>
      </c>
      <c r="M32" s="51">
        <v>98.66</v>
      </c>
      <c r="N32" s="51">
        <v>35.299999999999997</v>
      </c>
      <c r="O32" s="51">
        <v>0</v>
      </c>
      <c r="P32" s="51">
        <v>0.3</v>
      </c>
      <c r="Q32" s="51">
        <v>9.56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6.22</v>
      </c>
      <c r="C34" s="28">
        <f t="shared" si="0"/>
        <v>5.52</v>
      </c>
      <c r="D34" s="28">
        <f t="shared" si="0"/>
        <v>8.81</v>
      </c>
      <c r="E34" s="28">
        <f t="shared" si="0"/>
        <v>4.55</v>
      </c>
      <c r="F34" s="28">
        <f t="shared" si="0"/>
        <v>5.04</v>
      </c>
      <c r="G34" s="28">
        <f t="shared" si="0"/>
        <v>13.79</v>
      </c>
      <c r="H34" s="28">
        <f t="shared" si="0"/>
        <v>3.36</v>
      </c>
      <c r="I34" s="28">
        <f t="shared" si="0"/>
        <v>0.8</v>
      </c>
      <c r="J34" s="28">
        <f t="shared" si="0"/>
        <v>0.08</v>
      </c>
      <c r="K34" s="28">
        <f t="shared" si="0"/>
        <v>131.35</v>
      </c>
      <c r="L34" s="28">
        <f t="shared" si="0"/>
        <v>22.73</v>
      </c>
      <c r="M34" s="28">
        <f t="shared" si="0"/>
        <v>82.57</v>
      </c>
      <c r="N34" s="28">
        <f t="shared" si="0"/>
        <v>35.200000000000003</v>
      </c>
      <c r="O34" s="28">
        <f t="shared" si="0"/>
        <v>0</v>
      </c>
      <c r="P34" s="28">
        <f t="shared" si="0"/>
        <v>0.23</v>
      </c>
      <c r="Q34" s="28">
        <f t="shared" si="0"/>
        <v>9.4700000000000006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13.89</v>
      </c>
      <c r="C35" s="29">
        <f t="shared" si="1"/>
        <v>14.03</v>
      </c>
      <c r="D35" s="29">
        <f t="shared" si="1"/>
        <v>16.510000000000002</v>
      </c>
      <c r="E35" s="29">
        <f t="shared" si="1"/>
        <v>6.07</v>
      </c>
      <c r="F35" s="29">
        <f t="shared" si="1"/>
        <v>14.34</v>
      </c>
      <c r="G35" s="29">
        <f t="shared" si="1"/>
        <v>36.43</v>
      </c>
      <c r="H35" s="29">
        <f t="shared" si="1"/>
        <v>10.49</v>
      </c>
      <c r="I35" s="29">
        <f t="shared" si="1"/>
        <v>0.98</v>
      </c>
      <c r="J35" s="29">
        <f t="shared" si="1"/>
        <v>1.04</v>
      </c>
      <c r="K35" s="29">
        <f t="shared" si="1"/>
        <v>334.31</v>
      </c>
      <c r="L35" s="29">
        <f t="shared" si="1"/>
        <v>29.92</v>
      </c>
      <c r="M35" s="29">
        <f t="shared" si="1"/>
        <v>98.77</v>
      </c>
      <c r="N35" s="29">
        <f t="shared" si="1"/>
        <v>809.3</v>
      </c>
      <c r="O35" s="29">
        <f t="shared" si="1"/>
        <v>0.2</v>
      </c>
      <c r="P35" s="29">
        <f t="shared" si="1"/>
        <v>0.47</v>
      </c>
      <c r="Q35" s="29">
        <f t="shared" si="1"/>
        <v>9.6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9.0137499999999999</v>
      </c>
      <c r="C36" s="28">
        <f t="shared" si="2"/>
        <v>9.1054166666666649</v>
      </c>
      <c r="D36" s="28">
        <f t="shared" si="2"/>
        <v>11.784166666666664</v>
      </c>
      <c r="E36" s="28">
        <f t="shared" si="2"/>
        <v>5.375</v>
      </c>
      <c r="F36" s="28">
        <f t="shared" si="2"/>
        <v>8.6254166666666663</v>
      </c>
      <c r="G36" s="28">
        <f t="shared" si="2"/>
        <v>24.081250000000001</v>
      </c>
      <c r="H36" s="28">
        <f t="shared" si="2"/>
        <v>6.8274999999999979</v>
      </c>
      <c r="I36" s="28">
        <f t="shared" si="2"/>
        <v>0.85625000000000007</v>
      </c>
      <c r="J36" s="28">
        <f t="shared" si="2"/>
        <v>0.43791666666666673</v>
      </c>
      <c r="K36" s="28">
        <f t="shared" si="2"/>
        <v>200.05041666666671</v>
      </c>
      <c r="L36" s="28">
        <f t="shared" si="2"/>
        <v>25.653333333333332</v>
      </c>
      <c r="M36" s="28">
        <f t="shared" si="2"/>
        <v>95.522499999999994</v>
      </c>
      <c r="N36" s="28">
        <f t="shared" si="2"/>
        <v>193.07916666666665</v>
      </c>
      <c r="O36" s="28">
        <f t="shared" si="2"/>
        <v>8.3333333333333332E-3</v>
      </c>
      <c r="P36" s="28">
        <f t="shared" si="2"/>
        <v>0.29958333333333337</v>
      </c>
      <c r="Q36" s="28">
        <f t="shared" si="2"/>
        <v>9.5479166666666657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1.6556328423583677</v>
      </c>
      <c r="C37" s="28">
        <f t="shared" ref="C37:Q37" si="3">STDEV(C9:C32)</f>
        <v>2.420258662365173</v>
      </c>
      <c r="D37" s="28">
        <f t="shared" si="3"/>
        <v>1.9572738731441794</v>
      </c>
      <c r="E37" s="28">
        <f t="shared" si="3"/>
        <v>0.50573235746915035</v>
      </c>
      <c r="F37" s="28">
        <f t="shared" si="3"/>
        <v>2.2748625933978039</v>
      </c>
      <c r="G37" s="28">
        <f t="shared" si="3"/>
        <v>8.4142504962143452</v>
      </c>
      <c r="H37" s="28">
        <f t="shared" si="3"/>
        <v>2.1055232748344492</v>
      </c>
      <c r="I37" s="28">
        <f t="shared" si="3"/>
        <v>4.489722563327514E-2</v>
      </c>
      <c r="J37" s="28">
        <f t="shared" si="3"/>
        <v>0.31153168820141414</v>
      </c>
      <c r="K37" s="28">
        <f t="shared" si="3"/>
        <v>67.648910687535235</v>
      </c>
      <c r="L37" s="28">
        <f t="shared" si="3"/>
        <v>2.6433964756608721</v>
      </c>
      <c r="M37" s="28">
        <f t="shared" si="3"/>
        <v>5.4046833555642326</v>
      </c>
      <c r="N37" s="28">
        <f t="shared" si="3"/>
        <v>239.75195148893707</v>
      </c>
      <c r="O37" s="28">
        <f t="shared" si="3"/>
        <v>4.0824829046386311E-2</v>
      </c>
      <c r="P37" s="28">
        <f t="shared" si="3"/>
        <v>5.544124713656725E-2</v>
      </c>
      <c r="Q37" s="28">
        <f t="shared" si="3"/>
        <v>3.9670289689614849E-2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3" sqref="F13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180</v>
      </c>
      <c r="B9" s="51">
        <v>19.829999999999998</v>
      </c>
      <c r="C9" s="51">
        <v>9.1199999999999992</v>
      </c>
      <c r="D9" s="51">
        <v>20.37</v>
      </c>
      <c r="E9" s="51">
        <v>5.56</v>
      </c>
      <c r="F9" s="51">
        <v>7.82</v>
      </c>
      <c r="G9" s="51">
        <v>36.51</v>
      </c>
      <c r="H9" s="51">
        <v>5.21</v>
      </c>
      <c r="I9" s="51">
        <v>0.95</v>
      </c>
      <c r="J9" s="51">
        <v>0.11</v>
      </c>
      <c r="K9" s="51">
        <v>245.63</v>
      </c>
      <c r="L9" s="51">
        <v>23.86</v>
      </c>
      <c r="M9" s="51">
        <v>98.76</v>
      </c>
      <c r="N9" s="51">
        <v>35.4</v>
      </c>
      <c r="O9" s="51">
        <v>0</v>
      </c>
      <c r="P9" s="51">
        <v>0.28000000000000003</v>
      </c>
      <c r="Q9" s="51">
        <v>9.6199999999999992</v>
      </c>
      <c r="R9" s="43"/>
      <c r="S9" s="43"/>
      <c r="T9" s="43"/>
      <c r="U9" s="43"/>
    </row>
    <row r="10" spans="1:21" s="11" customFormat="1" x14ac:dyDescent="0.25">
      <c r="A10" s="50" t="s">
        <v>181</v>
      </c>
      <c r="B10" s="51">
        <v>8.0299999999999994</v>
      </c>
      <c r="C10" s="51">
        <v>8.0500000000000007</v>
      </c>
      <c r="D10" s="51">
        <v>10.6</v>
      </c>
      <c r="E10" s="51">
        <v>5.77</v>
      </c>
      <c r="F10" s="51">
        <v>7.43</v>
      </c>
      <c r="G10" s="51">
        <v>36.51</v>
      </c>
      <c r="H10" s="51">
        <v>3.65</v>
      </c>
      <c r="I10" s="51">
        <v>1</v>
      </c>
      <c r="J10" s="51">
        <v>0.34</v>
      </c>
      <c r="K10" s="51">
        <v>155.22</v>
      </c>
      <c r="L10" s="51">
        <v>23.53</v>
      </c>
      <c r="M10" s="51">
        <v>98.72</v>
      </c>
      <c r="N10" s="51">
        <v>35</v>
      </c>
      <c r="O10" s="51">
        <v>0</v>
      </c>
      <c r="P10" s="51">
        <v>0.25</v>
      </c>
      <c r="Q10" s="51">
        <v>9.65</v>
      </c>
      <c r="R10" s="43"/>
      <c r="S10" s="43"/>
      <c r="T10" s="43"/>
      <c r="U10" s="43"/>
    </row>
    <row r="11" spans="1:21" s="11" customFormat="1" x14ac:dyDescent="0.25">
      <c r="A11" s="50" t="s">
        <v>182</v>
      </c>
      <c r="B11" s="51">
        <v>8.4499999999999993</v>
      </c>
      <c r="C11" s="51">
        <v>7.34</v>
      </c>
      <c r="D11" s="51">
        <v>10.17</v>
      </c>
      <c r="E11" s="51">
        <v>5.7</v>
      </c>
      <c r="F11" s="51">
        <v>7.16</v>
      </c>
      <c r="G11" s="51">
        <v>23.84</v>
      </c>
      <c r="H11" s="51">
        <v>8.3800000000000008</v>
      </c>
      <c r="I11" s="51">
        <v>1.01</v>
      </c>
      <c r="J11" s="51">
        <v>0.22</v>
      </c>
      <c r="K11" s="51">
        <v>160.5</v>
      </c>
      <c r="L11" s="51">
        <v>23.49</v>
      </c>
      <c r="M11" s="51">
        <v>98.69</v>
      </c>
      <c r="N11" s="51">
        <v>35.1</v>
      </c>
      <c r="O11" s="51">
        <v>0</v>
      </c>
      <c r="P11" s="51">
        <v>0.26</v>
      </c>
      <c r="Q11" s="51">
        <v>9.6300000000000008</v>
      </c>
      <c r="R11" s="43"/>
      <c r="S11" s="43"/>
      <c r="T11" s="43"/>
      <c r="U11" s="43"/>
    </row>
    <row r="12" spans="1:21" s="11" customFormat="1" x14ac:dyDescent="0.25">
      <c r="A12" s="50" t="s">
        <v>183</v>
      </c>
      <c r="B12" s="51">
        <v>8.7899999999999991</v>
      </c>
      <c r="C12" s="51">
        <v>7.82</v>
      </c>
      <c r="D12" s="51">
        <v>10.25</v>
      </c>
      <c r="E12" s="51">
        <v>5.75</v>
      </c>
      <c r="F12" s="51">
        <v>5.73</v>
      </c>
      <c r="G12" s="51">
        <v>25.06</v>
      </c>
      <c r="H12" s="51">
        <v>8.3800000000000008</v>
      </c>
      <c r="I12" s="51">
        <v>0.97</v>
      </c>
      <c r="J12" s="51">
        <v>0.28999999999999998</v>
      </c>
      <c r="K12" s="51">
        <v>152.5</v>
      </c>
      <c r="L12" s="51">
        <v>23.64</v>
      </c>
      <c r="M12" s="51">
        <v>98.7</v>
      </c>
      <c r="N12" s="51">
        <v>35.1</v>
      </c>
      <c r="O12" s="51">
        <v>0</v>
      </c>
      <c r="P12" s="51">
        <v>0.26</v>
      </c>
      <c r="Q12" s="51">
        <v>9.61</v>
      </c>
      <c r="R12" s="43"/>
      <c r="S12" s="43"/>
      <c r="T12" s="43"/>
      <c r="U12" s="43"/>
    </row>
    <row r="13" spans="1:21" s="11" customFormat="1" x14ac:dyDescent="0.25">
      <c r="A13" s="50" t="s">
        <v>184</v>
      </c>
      <c r="B13" s="51">
        <v>9.6</v>
      </c>
      <c r="C13" s="51">
        <v>8.1</v>
      </c>
      <c r="D13" s="51">
        <v>11.7</v>
      </c>
      <c r="E13" s="51">
        <v>5.93</v>
      </c>
      <c r="F13" s="51">
        <v>5.04</v>
      </c>
      <c r="G13" s="51">
        <v>25.06</v>
      </c>
      <c r="H13" s="51">
        <v>6.73</v>
      </c>
      <c r="I13" s="51">
        <v>0.94</v>
      </c>
      <c r="J13" s="51">
        <v>0.57999999999999996</v>
      </c>
      <c r="K13" s="51">
        <v>146.94</v>
      </c>
      <c r="L13" s="51">
        <v>23.82</v>
      </c>
      <c r="M13" s="51">
        <v>98.64</v>
      </c>
      <c r="N13" s="51">
        <v>35.1</v>
      </c>
      <c r="O13" s="51">
        <v>0</v>
      </c>
      <c r="P13" s="51">
        <v>0.25</v>
      </c>
      <c r="Q13" s="51">
        <v>9.6</v>
      </c>
      <c r="R13" s="43"/>
      <c r="S13" s="43"/>
      <c r="T13" s="43"/>
      <c r="U13" s="43"/>
    </row>
    <row r="14" spans="1:21" s="11" customFormat="1" x14ac:dyDescent="0.25">
      <c r="A14" s="50" t="s">
        <v>185</v>
      </c>
      <c r="B14" s="51">
        <v>8.4600000000000009</v>
      </c>
      <c r="C14" s="51">
        <v>8.08</v>
      </c>
      <c r="D14" s="51">
        <v>10.94</v>
      </c>
      <c r="E14" s="51">
        <v>5.56</v>
      </c>
      <c r="F14" s="51">
        <v>6.27</v>
      </c>
      <c r="G14" s="51">
        <v>24.49</v>
      </c>
      <c r="H14" s="51">
        <v>5.21</v>
      </c>
      <c r="I14" s="51">
        <v>0.93</v>
      </c>
      <c r="J14" s="51">
        <v>0.57999999999999996</v>
      </c>
      <c r="K14" s="51">
        <v>155.53</v>
      </c>
      <c r="L14" s="51">
        <v>23.87</v>
      </c>
      <c r="M14" s="51">
        <v>98.58</v>
      </c>
      <c r="N14" s="51">
        <v>37.9</v>
      </c>
      <c r="O14" s="51">
        <v>0</v>
      </c>
      <c r="P14" s="51">
        <v>0.25</v>
      </c>
      <c r="Q14" s="51">
        <v>9.6300000000000008</v>
      </c>
      <c r="R14" s="43"/>
      <c r="S14" s="43"/>
      <c r="T14" s="43"/>
      <c r="U14" s="43"/>
    </row>
    <row r="15" spans="1:21" s="11" customFormat="1" x14ac:dyDescent="0.25">
      <c r="A15" s="50" t="s">
        <v>186</v>
      </c>
      <c r="B15" s="51">
        <v>12.04</v>
      </c>
      <c r="C15" s="51">
        <v>7.59</v>
      </c>
      <c r="D15" s="51">
        <v>12.28</v>
      </c>
      <c r="E15" s="51">
        <v>5.81</v>
      </c>
      <c r="F15" s="51">
        <v>4.33</v>
      </c>
      <c r="G15" s="51">
        <v>24.49</v>
      </c>
      <c r="H15" s="51">
        <v>10.58</v>
      </c>
      <c r="I15" s="51">
        <v>0.96</v>
      </c>
      <c r="J15" s="51">
        <v>0.59</v>
      </c>
      <c r="K15" s="51">
        <v>145.02000000000001</v>
      </c>
      <c r="L15" s="51">
        <v>24.18</v>
      </c>
      <c r="M15" s="51">
        <v>98.57</v>
      </c>
      <c r="N15" s="51">
        <v>96.4</v>
      </c>
      <c r="O15" s="51">
        <v>0</v>
      </c>
      <c r="P15" s="51">
        <v>0.28000000000000003</v>
      </c>
      <c r="Q15" s="51">
        <v>9.64</v>
      </c>
      <c r="R15" s="43"/>
      <c r="S15" s="43"/>
      <c r="T15" s="43"/>
      <c r="U15" s="43"/>
    </row>
    <row r="16" spans="1:21" s="11" customFormat="1" x14ac:dyDescent="0.25">
      <c r="A16" s="50" t="s">
        <v>187</v>
      </c>
      <c r="B16" s="51">
        <v>12.33</v>
      </c>
      <c r="C16" s="51">
        <v>7.26</v>
      </c>
      <c r="D16" s="51">
        <v>12.65</v>
      </c>
      <c r="E16" s="51">
        <v>5.71</v>
      </c>
      <c r="F16" s="51">
        <v>7.15</v>
      </c>
      <c r="G16" s="51">
        <v>23.48</v>
      </c>
      <c r="H16" s="51">
        <v>10.58</v>
      </c>
      <c r="I16" s="51">
        <v>0.99</v>
      </c>
      <c r="J16" s="51">
        <v>0.61</v>
      </c>
      <c r="K16" s="51">
        <v>148.79</v>
      </c>
      <c r="L16" s="51">
        <v>27.54</v>
      </c>
      <c r="M16" s="51">
        <v>98.53</v>
      </c>
      <c r="N16" s="51">
        <v>502.9</v>
      </c>
      <c r="O16" s="51">
        <v>0.2</v>
      </c>
      <c r="P16" s="51">
        <v>0.28999999999999998</v>
      </c>
      <c r="Q16" s="51">
        <v>9.6300000000000008</v>
      </c>
      <c r="R16" s="43"/>
      <c r="S16" s="43"/>
      <c r="T16" s="43"/>
      <c r="U16" s="43"/>
    </row>
    <row r="17" spans="1:21" s="11" customFormat="1" x14ac:dyDescent="0.25">
      <c r="A17" s="50" t="s">
        <v>188</v>
      </c>
      <c r="B17" s="51">
        <v>9.41</v>
      </c>
      <c r="C17" s="51">
        <v>7.36</v>
      </c>
      <c r="D17" s="51">
        <v>11.09</v>
      </c>
      <c r="E17" s="51">
        <v>4.87</v>
      </c>
      <c r="F17" s="51">
        <v>13.02</v>
      </c>
      <c r="G17" s="51">
        <v>25.15</v>
      </c>
      <c r="H17" s="51">
        <v>7.56</v>
      </c>
      <c r="I17" s="51">
        <v>1</v>
      </c>
      <c r="J17" s="51">
        <v>1.1399999999999999</v>
      </c>
      <c r="K17" s="51">
        <v>139.28</v>
      </c>
      <c r="L17" s="51">
        <v>29.22</v>
      </c>
      <c r="M17" s="51">
        <v>89.43</v>
      </c>
      <c r="N17" s="51">
        <v>596.20000000000005</v>
      </c>
      <c r="O17" s="51">
        <v>0</v>
      </c>
      <c r="P17" s="51">
        <v>0.25</v>
      </c>
      <c r="Q17" s="51">
        <v>9.6199999999999992</v>
      </c>
      <c r="R17" s="43"/>
      <c r="S17" s="43"/>
      <c r="T17" s="43"/>
      <c r="U17" s="43"/>
    </row>
    <row r="18" spans="1:21" s="11" customFormat="1" x14ac:dyDescent="0.25">
      <c r="A18" s="50" t="s">
        <v>189</v>
      </c>
      <c r="B18" s="51">
        <v>8.2100000000000009</v>
      </c>
      <c r="C18" s="51">
        <v>7.89</v>
      </c>
      <c r="D18" s="51">
        <v>10.58</v>
      </c>
      <c r="E18" s="51">
        <v>5.1100000000000003</v>
      </c>
      <c r="F18" s="51">
        <v>13.63</v>
      </c>
      <c r="G18" s="51">
        <v>25.15</v>
      </c>
      <c r="H18" s="51">
        <v>5.29</v>
      </c>
      <c r="I18" s="51">
        <v>0.97</v>
      </c>
      <c r="J18" s="51">
        <v>0.65</v>
      </c>
      <c r="K18" s="51">
        <v>145.71</v>
      </c>
      <c r="L18" s="51">
        <v>30.74</v>
      </c>
      <c r="M18" s="51">
        <v>85</v>
      </c>
      <c r="N18" s="51">
        <v>796.9</v>
      </c>
      <c r="O18" s="51">
        <v>0</v>
      </c>
      <c r="P18" s="51">
        <v>0.23</v>
      </c>
      <c r="Q18" s="51">
        <v>9.59</v>
      </c>
      <c r="R18" s="43"/>
      <c r="S18" s="43"/>
      <c r="T18" s="43"/>
      <c r="U18" s="43"/>
    </row>
    <row r="19" spans="1:21" s="11" customFormat="1" x14ac:dyDescent="0.25">
      <c r="A19" s="50" t="s">
        <v>190</v>
      </c>
      <c r="B19" s="51">
        <v>10.68</v>
      </c>
      <c r="C19" s="51">
        <v>8.32</v>
      </c>
      <c r="D19" s="51">
        <v>12.81</v>
      </c>
      <c r="E19" s="51">
        <v>5.27</v>
      </c>
      <c r="F19" s="51">
        <v>11.76</v>
      </c>
      <c r="G19" s="51">
        <v>25.33</v>
      </c>
      <c r="H19" s="51">
        <v>9.6300000000000008</v>
      </c>
      <c r="I19" s="51">
        <v>0.94</v>
      </c>
      <c r="J19" s="51">
        <v>0.16</v>
      </c>
      <c r="K19" s="51">
        <v>287.64999999999998</v>
      </c>
      <c r="L19" s="51">
        <v>30.79</v>
      </c>
      <c r="M19" s="51">
        <v>85.35</v>
      </c>
      <c r="N19" s="51">
        <v>873.6</v>
      </c>
      <c r="O19" s="51">
        <v>0</v>
      </c>
      <c r="P19" s="51">
        <v>0.28000000000000003</v>
      </c>
      <c r="Q19" s="51">
        <v>9.58</v>
      </c>
      <c r="R19" s="43"/>
      <c r="S19" s="43"/>
      <c r="T19" s="43"/>
      <c r="U19" s="43"/>
    </row>
    <row r="20" spans="1:21" s="11" customFormat="1" x14ac:dyDescent="0.25">
      <c r="A20" s="50" t="s">
        <v>191</v>
      </c>
      <c r="B20" s="51">
        <v>8.56</v>
      </c>
      <c r="C20" s="51">
        <v>8.56</v>
      </c>
      <c r="D20" s="51">
        <v>11.1</v>
      </c>
      <c r="E20" s="51">
        <v>4.95</v>
      </c>
      <c r="F20" s="51">
        <v>6.2</v>
      </c>
      <c r="G20" s="51">
        <v>28.84</v>
      </c>
      <c r="H20" s="51">
        <v>9.6300000000000008</v>
      </c>
      <c r="I20" s="51">
        <v>0.96</v>
      </c>
      <c r="J20" s="51">
        <v>0.35</v>
      </c>
      <c r="K20" s="51">
        <v>277.37</v>
      </c>
      <c r="L20" s="51">
        <v>31.41</v>
      </c>
      <c r="M20" s="51">
        <v>77.180000000000007</v>
      </c>
      <c r="N20" s="51">
        <v>996.6</v>
      </c>
      <c r="O20" s="51">
        <v>0</v>
      </c>
      <c r="P20" s="51">
        <v>0.28000000000000003</v>
      </c>
      <c r="Q20" s="51">
        <v>9.5500000000000007</v>
      </c>
      <c r="R20" s="43"/>
      <c r="S20" s="43"/>
      <c r="T20" s="43"/>
      <c r="U20" s="43"/>
    </row>
    <row r="21" spans="1:21" s="11" customFormat="1" x14ac:dyDescent="0.25">
      <c r="A21" s="50" t="s">
        <v>192</v>
      </c>
      <c r="B21" s="51">
        <v>8.1999999999999993</v>
      </c>
      <c r="C21" s="51">
        <v>9.33</v>
      </c>
      <c r="D21" s="51">
        <v>11.3</v>
      </c>
      <c r="E21" s="51">
        <v>5.01</v>
      </c>
      <c r="F21" s="51">
        <v>7.72</v>
      </c>
      <c r="G21" s="51">
        <v>29.92</v>
      </c>
      <c r="H21" s="51">
        <v>6.74</v>
      </c>
      <c r="I21" s="51">
        <v>0.94</v>
      </c>
      <c r="J21" s="51">
        <v>0.19</v>
      </c>
      <c r="K21" s="51">
        <v>328.04</v>
      </c>
      <c r="L21" s="51">
        <v>31.48</v>
      </c>
      <c r="M21" s="51">
        <v>76.12</v>
      </c>
      <c r="N21" s="51">
        <v>971.8</v>
      </c>
      <c r="O21" s="51">
        <v>0</v>
      </c>
      <c r="P21" s="51">
        <v>0.32</v>
      </c>
      <c r="Q21" s="51">
        <v>9.5</v>
      </c>
      <c r="R21" s="43"/>
      <c r="S21" s="43"/>
      <c r="T21" s="43"/>
      <c r="U21" s="43"/>
    </row>
    <row r="22" spans="1:21" s="11" customFormat="1" x14ac:dyDescent="0.25">
      <c r="A22" s="50" t="s">
        <v>193</v>
      </c>
      <c r="B22" s="51">
        <v>8.15</v>
      </c>
      <c r="C22" s="51">
        <v>9.39</v>
      </c>
      <c r="D22" s="51">
        <v>11.03</v>
      </c>
      <c r="E22" s="51">
        <v>4.93</v>
      </c>
      <c r="F22" s="51">
        <v>12.97</v>
      </c>
      <c r="G22" s="51">
        <v>29.92</v>
      </c>
      <c r="H22" s="51">
        <v>6.03</v>
      </c>
      <c r="I22" s="51">
        <v>0.87</v>
      </c>
      <c r="J22" s="51">
        <v>0.97</v>
      </c>
      <c r="K22" s="51">
        <v>162.69</v>
      </c>
      <c r="L22" s="51">
        <v>31.11</v>
      </c>
      <c r="M22" s="51">
        <v>70.37</v>
      </c>
      <c r="N22" s="51">
        <v>509.8</v>
      </c>
      <c r="O22" s="51">
        <v>0</v>
      </c>
      <c r="P22" s="51">
        <v>0.25</v>
      </c>
      <c r="Q22" s="51">
        <v>9.4600000000000009</v>
      </c>
      <c r="R22" s="43"/>
      <c r="S22" s="43"/>
      <c r="T22" s="43"/>
      <c r="U22" s="43"/>
    </row>
    <row r="23" spans="1:21" s="11" customFormat="1" x14ac:dyDescent="0.25">
      <c r="A23" s="50" t="s">
        <v>194</v>
      </c>
      <c r="B23" s="51">
        <v>6.63</v>
      </c>
      <c r="C23" s="51">
        <v>8.65</v>
      </c>
      <c r="D23" s="51">
        <v>9.83</v>
      </c>
      <c r="E23" s="51">
        <v>5.2</v>
      </c>
      <c r="F23" s="51">
        <v>14.93</v>
      </c>
      <c r="G23" s="51">
        <v>28.14</v>
      </c>
      <c r="H23" s="51">
        <v>6.98</v>
      </c>
      <c r="I23" s="51">
        <v>0.74</v>
      </c>
      <c r="J23" s="51">
        <v>0.63</v>
      </c>
      <c r="K23" s="51">
        <v>146.63999999999999</v>
      </c>
      <c r="L23" s="51">
        <v>30.66</v>
      </c>
      <c r="M23" s="51">
        <v>71.510000000000005</v>
      </c>
      <c r="N23" s="51">
        <v>227.9</v>
      </c>
      <c r="O23" s="51">
        <v>0</v>
      </c>
      <c r="P23" s="51">
        <v>0.23</v>
      </c>
      <c r="Q23" s="51">
        <v>9.48</v>
      </c>
      <c r="R23" s="43"/>
      <c r="S23" s="43"/>
      <c r="T23" s="43"/>
      <c r="U23" s="43"/>
    </row>
    <row r="24" spans="1:21" s="11" customFormat="1" x14ac:dyDescent="0.25">
      <c r="A24" s="50" t="s">
        <v>195</v>
      </c>
      <c r="B24" s="51">
        <v>6.72</v>
      </c>
      <c r="C24" s="51">
        <v>8.93</v>
      </c>
      <c r="D24" s="51">
        <v>9.8800000000000008</v>
      </c>
      <c r="E24" s="51">
        <v>5.18</v>
      </c>
      <c r="F24" s="51">
        <v>13.68</v>
      </c>
      <c r="G24" s="51">
        <v>27.65</v>
      </c>
      <c r="H24" s="51">
        <v>6.98</v>
      </c>
      <c r="I24" s="51">
        <v>0.81</v>
      </c>
      <c r="J24" s="51">
        <v>0.47</v>
      </c>
      <c r="K24" s="51">
        <v>148.61000000000001</v>
      </c>
      <c r="L24" s="51">
        <v>30.46</v>
      </c>
      <c r="M24" s="51">
        <v>70.97</v>
      </c>
      <c r="N24" s="51">
        <v>120.4</v>
      </c>
      <c r="O24" s="51">
        <v>0</v>
      </c>
      <c r="P24" s="51">
        <v>0.23</v>
      </c>
      <c r="Q24" s="51">
        <v>9.48</v>
      </c>
      <c r="R24" s="43"/>
      <c r="S24" s="43"/>
      <c r="T24" s="43"/>
      <c r="U24" s="43"/>
    </row>
    <row r="25" spans="1:21" s="11" customFormat="1" x14ac:dyDescent="0.25">
      <c r="A25" s="50" t="s">
        <v>196</v>
      </c>
      <c r="B25" s="51">
        <v>10.6</v>
      </c>
      <c r="C25" s="51">
        <v>13.94</v>
      </c>
      <c r="D25" s="51">
        <v>14.3</v>
      </c>
      <c r="E25" s="51">
        <v>4.34</v>
      </c>
      <c r="F25" s="51">
        <v>18.98</v>
      </c>
      <c r="G25" s="51">
        <v>37.380000000000003</v>
      </c>
      <c r="H25" s="51">
        <v>7.07</v>
      </c>
      <c r="I25" s="51">
        <v>0.81</v>
      </c>
      <c r="J25" s="51">
        <v>1.59</v>
      </c>
      <c r="K25" s="51">
        <v>351.75</v>
      </c>
      <c r="L25" s="51">
        <v>30.47</v>
      </c>
      <c r="M25" s="51">
        <v>77.08</v>
      </c>
      <c r="N25" s="51">
        <v>177.2</v>
      </c>
      <c r="O25" s="51">
        <v>0</v>
      </c>
      <c r="P25" s="51">
        <v>0.46</v>
      </c>
      <c r="Q25" s="51">
        <v>9.48</v>
      </c>
      <c r="R25" s="43"/>
      <c r="S25" s="43"/>
      <c r="T25" s="43"/>
      <c r="U25" s="43"/>
    </row>
    <row r="26" spans="1:21" s="11" customFormat="1" x14ac:dyDescent="0.25">
      <c r="A26" s="50" t="s">
        <v>197</v>
      </c>
      <c r="B26" s="51">
        <v>10.8</v>
      </c>
      <c r="C26" s="51">
        <v>18.23</v>
      </c>
      <c r="D26" s="51">
        <v>18.18</v>
      </c>
      <c r="E26" s="51">
        <v>4.04</v>
      </c>
      <c r="F26" s="51">
        <v>17.89</v>
      </c>
      <c r="G26" s="51">
        <v>40.58</v>
      </c>
      <c r="H26" s="51">
        <v>7.07</v>
      </c>
      <c r="I26" s="51">
        <v>0.92</v>
      </c>
      <c r="J26" s="51">
        <v>0.35</v>
      </c>
      <c r="K26" s="51">
        <v>125.72</v>
      </c>
      <c r="L26" s="51">
        <v>29.33</v>
      </c>
      <c r="M26" s="51">
        <v>90.4</v>
      </c>
      <c r="N26" s="51">
        <v>101.5</v>
      </c>
      <c r="O26" s="51">
        <v>0</v>
      </c>
      <c r="P26" s="51">
        <v>0.57999999999999996</v>
      </c>
      <c r="Q26" s="51">
        <v>9.49</v>
      </c>
      <c r="R26" s="43"/>
      <c r="S26" s="43"/>
      <c r="T26" s="43"/>
      <c r="U26" s="43"/>
    </row>
    <row r="27" spans="1:21" s="11" customFormat="1" x14ac:dyDescent="0.25">
      <c r="A27" s="50" t="s">
        <v>198</v>
      </c>
      <c r="B27" s="51">
        <v>14.32</v>
      </c>
      <c r="C27" s="51">
        <v>23.57</v>
      </c>
      <c r="D27" s="51">
        <v>23.62</v>
      </c>
      <c r="E27" s="51">
        <v>4.26</v>
      </c>
      <c r="F27" s="51">
        <v>15.36</v>
      </c>
      <c r="G27" s="51">
        <v>49.4</v>
      </c>
      <c r="H27" s="51">
        <v>8.5299999999999994</v>
      </c>
      <c r="I27" s="51">
        <v>1.01</v>
      </c>
      <c r="J27" s="51">
        <v>0.43</v>
      </c>
      <c r="K27" s="51">
        <v>141.04</v>
      </c>
      <c r="L27" s="51">
        <v>28.2</v>
      </c>
      <c r="M27" s="51">
        <v>95.56</v>
      </c>
      <c r="N27" s="51">
        <v>35.200000000000003</v>
      </c>
      <c r="O27" s="51">
        <v>0</v>
      </c>
      <c r="P27" s="51">
        <v>0.93</v>
      </c>
      <c r="Q27" s="51">
        <v>9.51</v>
      </c>
      <c r="R27" s="43"/>
      <c r="S27" s="43"/>
      <c r="T27" s="43"/>
      <c r="U27" s="43"/>
    </row>
    <row r="28" spans="1:21" s="11" customFormat="1" x14ac:dyDescent="0.25">
      <c r="A28" s="50" t="s">
        <v>199</v>
      </c>
      <c r="B28" s="51">
        <v>8.2200000000000006</v>
      </c>
      <c r="C28" s="51">
        <v>25.37</v>
      </c>
      <c r="D28" s="51">
        <v>19.84</v>
      </c>
      <c r="E28" s="51">
        <v>4.1900000000000004</v>
      </c>
      <c r="F28" s="51">
        <v>10.11</v>
      </c>
      <c r="G28" s="51">
        <v>52.41</v>
      </c>
      <c r="H28" s="51">
        <v>8.5299999999999994</v>
      </c>
      <c r="I28" s="51">
        <v>1.0900000000000001</v>
      </c>
      <c r="J28" s="51">
        <v>0.37</v>
      </c>
      <c r="K28" s="51">
        <v>321.38</v>
      </c>
      <c r="L28" s="51">
        <v>27.76</v>
      </c>
      <c r="M28" s="51">
        <v>98.19</v>
      </c>
      <c r="N28" s="51">
        <v>35.9</v>
      </c>
      <c r="O28" s="51">
        <v>0</v>
      </c>
      <c r="P28" s="51">
        <v>0.49</v>
      </c>
      <c r="Q28" s="51">
        <v>9.5399999999999991</v>
      </c>
      <c r="R28" s="43"/>
      <c r="S28" s="43"/>
      <c r="T28" s="43"/>
      <c r="U28" s="43"/>
    </row>
    <row r="29" spans="1:21" s="11" customFormat="1" x14ac:dyDescent="0.25">
      <c r="A29" s="50" t="s">
        <v>200</v>
      </c>
      <c r="B29" s="51">
        <v>17.190000000000001</v>
      </c>
      <c r="C29" s="51">
        <v>12.09</v>
      </c>
      <c r="D29" s="51">
        <v>20.09</v>
      </c>
      <c r="E29" s="51">
        <v>4.47</v>
      </c>
      <c r="F29" s="51">
        <v>7.3</v>
      </c>
      <c r="G29" s="51">
        <v>52.41</v>
      </c>
      <c r="H29" s="51">
        <v>5.97</v>
      </c>
      <c r="I29" s="51">
        <v>1.19</v>
      </c>
      <c r="J29" s="51">
        <v>1.04</v>
      </c>
      <c r="K29" s="51">
        <v>337.92</v>
      </c>
      <c r="L29" s="51">
        <v>27.01</v>
      </c>
      <c r="M29" s="51">
        <v>98.36</v>
      </c>
      <c r="N29" s="51">
        <v>36</v>
      </c>
      <c r="O29" s="51">
        <v>0</v>
      </c>
      <c r="P29" s="51">
        <v>0.7</v>
      </c>
      <c r="Q29" s="51">
        <v>9.57</v>
      </c>
      <c r="R29" s="43"/>
      <c r="S29" s="43"/>
      <c r="T29" s="43"/>
      <c r="U29" s="43"/>
    </row>
    <row r="30" spans="1:21" s="11" customFormat="1" x14ac:dyDescent="0.25">
      <c r="A30" s="50" t="s">
        <v>201</v>
      </c>
      <c r="B30" s="51">
        <v>25.87</v>
      </c>
      <c r="C30" s="51">
        <v>22.25</v>
      </c>
      <c r="D30" s="51">
        <v>26.53</v>
      </c>
      <c r="E30" s="51">
        <v>4.46</v>
      </c>
      <c r="F30" s="51">
        <v>5.58</v>
      </c>
      <c r="G30" s="51">
        <v>53.23</v>
      </c>
      <c r="H30" s="51">
        <v>4.18</v>
      </c>
      <c r="I30" s="51">
        <v>1.29</v>
      </c>
      <c r="J30" s="51">
        <v>0.97</v>
      </c>
      <c r="K30" s="51">
        <v>337.19</v>
      </c>
      <c r="L30" s="51">
        <v>26.16</v>
      </c>
      <c r="M30" s="51">
        <v>98.5</v>
      </c>
      <c r="N30" s="51">
        <v>37.9</v>
      </c>
      <c r="O30" s="51">
        <v>0</v>
      </c>
      <c r="P30" s="51">
        <v>0.89</v>
      </c>
      <c r="Q30" s="51">
        <v>9.6300000000000008</v>
      </c>
      <c r="R30" s="43"/>
      <c r="S30" s="43"/>
      <c r="T30" s="43"/>
      <c r="U30" s="43"/>
    </row>
    <row r="31" spans="1:21" s="11" customFormat="1" x14ac:dyDescent="0.25">
      <c r="A31" s="50" t="s">
        <v>202</v>
      </c>
      <c r="B31" s="51">
        <v>14.99</v>
      </c>
      <c r="C31" s="51">
        <v>16.920000000000002</v>
      </c>
      <c r="D31" s="51">
        <v>20.86</v>
      </c>
      <c r="E31" s="51">
        <v>4.0199999999999996</v>
      </c>
      <c r="F31" s="51">
        <v>8.44</v>
      </c>
      <c r="G31" s="51">
        <v>53.23</v>
      </c>
      <c r="H31" s="51">
        <v>8.1199999999999992</v>
      </c>
      <c r="I31" s="51">
        <v>1.43</v>
      </c>
      <c r="J31" s="51">
        <v>0.49</v>
      </c>
      <c r="K31" s="51">
        <v>166.1</v>
      </c>
      <c r="L31" s="51">
        <v>24.69</v>
      </c>
      <c r="M31" s="51">
        <v>98.37</v>
      </c>
      <c r="N31" s="51">
        <v>36.700000000000003</v>
      </c>
      <c r="O31" s="51">
        <v>0</v>
      </c>
      <c r="P31" s="51">
        <v>0.51</v>
      </c>
      <c r="Q31" s="51">
        <v>9.64</v>
      </c>
      <c r="R31" s="43"/>
      <c r="S31" s="43"/>
      <c r="T31" s="43"/>
      <c r="U31" s="43"/>
    </row>
    <row r="32" spans="1:21" s="11" customFormat="1" x14ac:dyDescent="0.25">
      <c r="A32" s="50" t="s">
        <v>203</v>
      </c>
      <c r="B32" s="51">
        <v>8.5500000000000007</v>
      </c>
      <c r="C32" s="51">
        <v>6.71</v>
      </c>
      <c r="D32" s="51">
        <v>10.31</v>
      </c>
      <c r="E32" s="51">
        <v>4.51</v>
      </c>
      <c r="F32" s="51">
        <v>10.32</v>
      </c>
      <c r="G32" s="51">
        <v>47.39</v>
      </c>
      <c r="H32" s="51">
        <v>8.1199999999999992</v>
      </c>
      <c r="I32" s="51">
        <v>1.42</v>
      </c>
      <c r="J32" s="51">
        <v>0.8</v>
      </c>
      <c r="K32" s="51">
        <v>236.8</v>
      </c>
      <c r="L32" s="51">
        <v>24.57</v>
      </c>
      <c r="M32" s="51">
        <v>98.35</v>
      </c>
      <c r="N32" s="51">
        <v>36.799999999999997</v>
      </c>
      <c r="O32" s="51">
        <v>0</v>
      </c>
      <c r="P32" s="51">
        <v>0.3</v>
      </c>
      <c r="Q32" s="51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6.63</v>
      </c>
      <c r="C34" s="28">
        <f t="shared" si="0"/>
        <v>6.71</v>
      </c>
      <c r="D34" s="28">
        <f t="shared" si="0"/>
        <v>9.83</v>
      </c>
      <c r="E34" s="28">
        <f t="shared" si="0"/>
        <v>4.0199999999999996</v>
      </c>
      <c r="F34" s="28">
        <f t="shared" si="0"/>
        <v>4.33</v>
      </c>
      <c r="G34" s="28">
        <f t="shared" si="0"/>
        <v>23.48</v>
      </c>
      <c r="H34" s="28">
        <f t="shared" si="0"/>
        <v>3.65</v>
      </c>
      <c r="I34" s="28">
        <f t="shared" si="0"/>
        <v>0.74</v>
      </c>
      <c r="J34" s="28">
        <f t="shared" si="0"/>
        <v>0.11</v>
      </c>
      <c r="K34" s="28">
        <f t="shared" si="0"/>
        <v>125.72</v>
      </c>
      <c r="L34" s="28">
        <f t="shared" si="0"/>
        <v>23.49</v>
      </c>
      <c r="M34" s="28">
        <f t="shared" si="0"/>
        <v>70.37</v>
      </c>
      <c r="N34" s="28">
        <f t="shared" si="0"/>
        <v>35</v>
      </c>
      <c r="O34" s="28">
        <f t="shared" si="0"/>
        <v>0</v>
      </c>
      <c r="P34" s="28">
        <f t="shared" si="0"/>
        <v>0.23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25.87</v>
      </c>
      <c r="C35" s="29">
        <f t="shared" si="1"/>
        <v>25.37</v>
      </c>
      <c r="D35" s="29">
        <f t="shared" si="1"/>
        <v>26.53</v>
      </c>
      <c r="E35" s="29">
        <f t="shared" si="1"/>
        <v>5.93</v>
      </c>
      <c r="F35" s="29">
        <f t="shared" si="1"/>
        <v>18.98</v>
      </c>
      <c r="G35" s="29">
        <f t="shared" si="1"/>
        <v>53.23</v>
      </c>
      <c r="H35" s="29">
        <f t="shared" si="1"/>
        <v>10.58</v>
      </c>
      <c r="I35" s="29">
        <f t="shared" si="1"/>
        <v>1.43</v>
      </c>
      <c r="J35" s="29">
        <f t="shared" si="1"/>
        <v>1.59</v>
      </c>
      <c r="K35" s="29">
        <f t="shared" si="1"/>
        <v>351.75</v>
      </c>
      <c r="L35" s="29">
        <f t="shared" si="1"/>
        <v>31.48</v>
      </c>
      <c r="M35" s="29">
        <f t="shared" si="1"/>
        <v>98.76</v>
      </c>
      <c r="N35" s="29">
        <f t="shared" si="1"/>
        <v>996.6</v>
      </c>
      <c r="O35" s="29">
        <f t="shared" si="1"/>
        <v>0.2</v>
      </c>
      <c r="P35" s="29">
        <f t="shared" si="1"/>
        <v>0.93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11.026249999999999</v>
      </c>
      <c r="C36" s="28">
        <f t="shared" si="2"/>
        <v>11.286250000000001</v>
      </c>
      <c r="D36" s="28">
        <f t="shared" si="2"/>
        <v>14.179583333333333</v>
      </c>
      <c r="E36" s="28">
        <f t="shared" si="2"/>
        <v>5.0250000000000004</v>
      </c>
      <c r="F36" s="28">
        <f t="shared" si="2"/>
        <v>9.9508333333333336</v>
      </c>
      <c r="G36" s="28">
        <f t="shared" si="2"/>
        <v>34.39875</v>
      </c>
      <c r="H36" s="28">
        <f t="shared" si="2"/>
        <v>7.2979166666666666</v>
      </c>
      <c r="I36" s="28">
        <f t="shared" si="2"/>
        <v>1.0058333333333334</v>
      </c>
      <c r="J36" s="28">
        <f t="shared" si="2"/>
        <v>0.58000000000000007</v>
      </c>
      <c r="K36" s="28">
        <f t="shared" si="2"/>
        <v>206.83416666666665</v>
      </c>
      <c r="L36" s="28">
        <f t="shared" si="2"/>
        <v>27.416250000000005</v>
      </c>
      <c r="M36" s="28">
        <f t="shared" si="2"/>
        <v>90.413749999999993</v>
      </c>
      <c r="N36" s="28">
        <f t="shared" si="2"/>
        <v>266.80416666666662</v>
      </c>
      <c r="O36" s="28">
        <f t="shared" si="2"/>
        <v>8.3333333333333332E-3</v>
      </c>
      <c r="P36" s="28">
        <f t="shared" si="2"/>
        <v>0.37708333333333338</v>
      </c>
      <c r="Q36" s="28">
        <f t="shared" si="2"/>
        <v>9.5737499999999969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4.5658199058924236</v>
      </c>
      <c r="C37" s="28">
        <f t="shared" ref="C37:Q37" si="3">STDEV(C9:C32)</f>
        <v>5.6499171309813487</v>
      </c>
      <c r="D37" s="28">
        <f t="shared" si="3"/>
        <v>5.0172341931860558</v>
      </c>
      <c r="E37" s="28">
        <f t="shared" si="3"/>
        <v>0.61849747811513212</v>
      </c>
      <c r="F37" s="28">
        <f t="shared" si="3"/>
        <v>4.2173646383439021</v>
      </c>
      <c r="G37" s="28">
        <f t="shared" si="3"/>
        <v>11.069772517398741</v>
      </c>
      <c r="H37" s="28">
        <f t="shared" si="3"/>
        <v>1.8569446133639687</v>
      </c>
      <c r="I37" s="28">
        <f t="shared" si="3"/>
        <v>0.17136070948039109</v>
      </c>
      <c r="J37" s="28">
        <f t="shared" si="3"/>
        <v>0.35628518132920223</v>
      </c>
      <c r="K37" s="28">
        <f t="shared" si="3"/>
        <v>80.189995847723893</v>
      </c>
      <c r="L37" s="28">
        <f t="shared" si="3"/>
        <v>3.0645033819952605</v>
      </c>
      <c r="M37" s="28">
        <f t="shared" si="3"/>
        <v>10.702808575932069</v>
      </c>
      <c r="N37" s="28">
        <f t="shared" si="3"/>
        <v>338.067831474005</v>
      </c>
      <c r="O37" s="28">
        <f t="shared" si="3"/>
        <v>4.0824829046386311E-2</v>
      </c>
      <c r="P37" s="28">
        <f t="shared" si="3"/>
        <v>0.20632349371307909</v>
      </c>
      <c r="Q37" s="28">
        <f t="shared" si="3"/>
        <v>6.4525862694905053E-2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M36" sqref="M36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204</v>
      </c>
      <c r="B9" s="51">
        <v>8.41</v>
      </c>
      <c r="C9" s="51">
        <v>6.45</v>
      </c>
      <c r="D9" s="51">
        <v>9.92</v>
      </c>
      <c r="E9" s="51">
        <v>5.08</v>
      </c>
      <c r="F9" s="51">
        <v>9.15</v>
      </c>
      <c r="G9" s="51">
        <v>39.21</v>
      </c>
      <c r="H9" s="51">
        <v>5.69</v>
      </c>
      <c r="I9" s="51">
        <v>1.35</v>
      </c>
      <c r="J9" s="51">
        <v>0.53</v>
      </c>
      <c r="K9" s="51">
        <v>253.37</v>
      </c>
      <c r="L9" s="51">
        <v>24.25</v>
      </c>
      <c r="M9" s="51">
        <v>98.38</v>
      </c>
      <c r="N9" s="51">
        <v>36.200000000000003</v>
      </c>
      <c r="O9" s="51">
        <v>0</v>
      </c>
      <c r="P9" s="51">
        <v>0.31</v>
      </c>
      <c r="Q9" s="51">
        <v>9.66</v>
      </c>
      <c r="R9" s="43"/>
      <c r="S9" s="43"/>
      <c r="T9" s="43"/>
      <c r="U9" s="43"/>
    </row>
    <row r="10" spans="1:21" s="11" customFormat="1" x14ac:dyDescent="0.25">
      <c r="A10" s="50" t="s">
        <v>205</v>
      </c>
      <c r="B10" s="51">
        <v>7.38</v>
      </c>
      <c r="C10" s="51">
        <v>5.92</v>
      </c>
      <c r="D10" s="51">
        <v>8.9600000000000009</v>
      </c>
      <c r="E10" s="51">
        <v>4.83</v>
      </c>
      <c r="F10" s="51">
        <v>9.6199999999999992</v>
      </c>
      <c r="G10" s="51">
        <v>32.44</v>
      </c>
      <c r="H10" s="51">
        <v>4.21</v>
      </c>
      <c r="I10" s="51">
        <v>1.26</v>
      </c>
      <c r="J10" s="51">
        <v>0.28999999999999998</v>
      </c>
      <c r="K10" s="51">
        <v>282.25</v>
      </c>
      <c r="L10" s="51">
        <v>24.23</v>
      </c>
      <c r="M10" s="51">
        <v>98.41</v>
      </c>
      <c r="N10" s="51">
        <v>36.1</v>
      </c>
      <c r="O10" s="51">
        <v>0</v>
      </c>
      <c r="P10" s="51">
        <v>0.23</v>
      </c>
      <c r="Q10" s="51">
        <v>9.64</v>
      </c>
      <c r="R10" s="43"/>
      <c r="S10" s="43"/>
      <c r="T10" s="43"/>
      <c r="U10" s="43"/>
    </row>
    <row r="11" spans="1:21" s="11" customFormat="1" x14ac:dyDescent="0.25">
      <c r="A11" s="50" t="s">
        <v>206</v>
      </c>
      <c r="B11" s="51">
        <v>7.81</v>
      </c>
      <c r="C11" s="51">
        <v>5.73</v>
      </c>
      <c r="D11" s="51">
        <v>9.1</v>
      </c>
      <c r="E11" s="51">
        <v>4.93</v>
      </c>
      <c r="F11" s="51">
        <v>7.84</v>
      </c>
      <c r="G11" s="51">
        <v>29</v>
      </c>
      <c r="H11" s="51">
        <v>9.1</v>
      </c>
      <c r="I11" s="51">
        <v>1.1399999999999999</v>
      </c>
      <c r="J11" s="51">
        <v>0.25</v>
      </c>
      <c r="K11" s="51">
        <v>208.38</v>
      </c>
      <c r="L11" s="51">
        <v>23.96</v>
      </c>
      <c r="M11" s="51">
        <v>98.43</v>
      </c>
      <c r="N11" s="51">
        <v>36</v>
      </c>
      <c r="O11" s="51">
        <v>0</v>
      </c>
      <c r="P11" s="51">
        <v>0.25</v>
      </c>
      <c r="Q11" s="51">
        <v>9.59</v>
      </c>
      <c r="R11" s="43"/>
      <c r="S11" s="43"/>
      <c r="T11" s="43"/>
      <c r="U11" s="43"/>
    </row>
    <row r="12" spans="1:21" s="11" customFormat="1" x14ac:dyDescent="0.25">
      <c r="A12" s="50" t="s">
        <v>207</v>
      </c>
      <c r="B12" s="51">
        <v>7.9</v>
      </c>
      <c r="C12" s="51">
        <v>5.99</v>
      </c>
      <c r="D12" s="51">
        <v>8.9700000000000006</v>
      </c>
      <c r="E12" s="51">
        <v>4.99</v>
      </c>
      <c r="F12" s="51">
        <v>8.24</v>
      </c>
      <c r="G12" s="51">
        <v>20.67</v>
      </c>
      <c r="H12" s="51">
        <v>9.1</v>
      </c>
      <c r="I12" s="51">
        <v>1.06</v>
      </c>
      <c r="J12" s="51">
        <v>0.2</v>
      </c>
      <c r="K12" s="51">
        <v>168.53</v>
      </c>
      <c r="L12" s="51">
        <v>23.67</v>
      </c>
      <c r="M12" s="51">
        <v>98.47</v>
      </c>
      <c r="N12" s="51">
        <v>35.9</v>
      </c>
      <c r="O12" s="51">
        <v>0</v>
      </c>
      <c r="P12" s="51">
        <v>0.24</v>
      </c>
      <c r="Q12" s="51">
        <v>9.57</v>
      </c>
      <c r="R12" s="43"/>
      <c r="S12" s="43"/>
      <c r="T12" s="43"/>
      <c r="U12" s="43"/>
    </row>
    <row r="13" spans="1:21" s="11" customFormat="1" x14ac:dyDescent="0.25">
      <c r="A13" s="50" t="s">
        <v>208</v>
      </c>
      <c r="B13" s="51">
        <v>7.2</v>
      </c>
      <c r="C13" s="51">
        <v>6.46</v>
      </c>
      <c r="D13" s="51">
        <v>9.0299999999999994</v>
      </c>
      <c r="E13" s="51">
        <v>4.76</v>
      </c>
      <c r="F13" s="51">
        <v>7.35</v>
      </c>
      <c r="G13" s="51">
        <v>20.309999999999999</v>
      </c>
      <c r="H13" s="51">
        <v>6.37</v>
      </c>
      <c r="I13" s="51">
        <v>1</v>
      </c>
      <c r="J13" s="51">
        <v>0.42</v>
      </c>
      <c r="K13" s="51">
        <v>297.58</v>
      </c>
      <c r="L13" s="51">
        <v>23.54</v>
      </c>
      <c r="M13" s="51">
        <v>98.48</v>
      </c>
      <c r="N13" s="51">
        <v>35.799999999999997</v>
      </c>
      <c r="O13" s="51">
        <v>0</v>
      </c>
      <c r="P13" s="51">
        <v>0.21</v>
      </c>
      <c r="Q13" s="51">
        <v>9.58</v>
      </c>
      <c r="R13" s="43"/>
      <c r="S13" s="43"/>
      <c r="T13" s="43"/>
      <c r="U13" s="43"/>
    </row>
    <row r="14" spans="1:21" s="11" customFormat="1" x14ac:dyDescent="0.25">
      <c r="A14" s="50" t="s">
        <v>209</v>
      </c>
      <c r="B14" s="51">
        <v>7.15</v>
      </c>
      <c r="C14" s="51">
        <v>7.21</v>
      </c>
      <c r="D14" s="51">
        <v>9.24</v>
      </c>
      <c r="E14" s="51">
        <v>5.0199999999999996</v>
      </c>
      <c r="F14" s="51">
        <v>6.24</v>
      </c>
      <c r="G14" s="51">
        <v>19.350000000000001</v>
      </c>
      <c r="H14" s="51">
        <v>4.46</v>
      </c>
      <c r="I14" s="51">
        <v>1.03</v>
      </c>
      <c r="J14" s="51">
        <v>0.22</v>
      </c>
      <c r="K14" s="51">
        <v>332.96</v>
      </c>
      <c r="L14" s="51">
        <v>23.61</v>
      </c>
      <c r="M14" s="51">
        <v>98.48</v>
      </c>
      <c r="N14" s="51">
        <v>42</v>
      </c>
      <c r="O14" s="51">
        <v>0</v>
      </c>
      <c r="P14" s="51">
        <v>0.25</v>
      </c>
      <c r="Q14" s="51">
        <v>9.57</v>
      </c>
      <c r="R14" s="43"/>
      <c r="S14" s="43"/>
      <c r="T14" s="43"/>
      <c r="U14" s="43"/>
    </row>
    <row r="15" spans="1:21" s="11" customFormat="1" x14ac:dyDescent="0.25">
      <c r="A15" s="50" t="s">
        <v>210</v>
      </c>
      <c r="B15" s="51">
        <v>18.53</v>
      </c>
      <c r="C15" s="51">
        <v>7.38</v>
      </c>
      <c r="D15" s="51">
        <v>17.84</v>
      </c>
      <c r="E15" s="51">
        <v>4.79</v>
      </c>
      <c r="F15" s="51">
        <v>5.04</v>
      </c>
      <c r="G15" s="51">
        <v>23.96</v>
      </c>
      <c r="H15" s="51">
        <v>8.73</v>
      </c>
      <c r="I15" s="51">
        <v>1.01</v>
      </c>
      <c r="J15" s="51">
        <v>0.06</v>
      </c>
      <c r="K15" s="51">
        <v>287.45</v>
      </c>
      <c r="L15" s="51">
        <v>25.15</v>
      </c>
      <c r="M15" s="51">
        <v>98.48</v>
      </c>
      <c r="N15" s="51">
        <v>159</v>
      </c>
      <c r="O15" s="51">
        <v>0</v>
      </c>
      <c r="P15" s="51">
        <v>0.33</v>
      </c>
      <c r="Q15" s="51">
        <v>9.5500000000000007</v>
      </c>
      <c r="R15" s="43"/>
      <c r="S15" s="43"/>
      <c r="T15" s="43"/>
      <c r="U15" s="43"/>
    </row>
    <row r="16" spans="1:21" s="11" customFormat="1" x14ac:dyDescent="0.25">
      <c r="A16" s="50" t="s">
        <v>211</v>
      </c>
      <c r="B16" s="51">
        <v>13.3</v>
      </c>
      <c r="C16" s="51">
        <v>8.5399999999999991</v>
      </c>
      <c r="D16" s="51">
        <v>13.92</v>
      </c>
      <c r="E16" s="51">
        <v>4.74</v>
      </c>
      <c r="F16" s="51">
        <v>6.37</v>
      </c>
      <c r="G16" s="51">
        <v>32.19</v>
      </c>
      <c r="H16" s="51">
        <v>8.73</v>
      </c>
      <c r="I16" s="51">
        <v>1.04</v>
      </c>
      <c r="J16" s="51">
        <v>0.12</v>
      </c>
      <c r="K16" s="51">
        <v>305.14999999999998</v>
      </c>
      <c r="L16" s="51">
        <v>26.86</v>
      </c>
      <c r="M16" s="51">
        <v>98.35</v>
      </c>
      <c r="N16" s="51">
        <v>301.60000000000002</v>
      </c>
      <c r="O16" s="51">
        <v>0</v>
      </c>
      <c r="P16" s="51">
        <v>0.4</v>
      </c>
      <c r="Q16" s="51">
        <v>9.59</v>
      </c>
      <c r="R16" s="43"/>
      <c r="S16" s="43"/>
      <c r="T16" s="43"/>
      <c r="U16" s="43"/>
    </row>
    <row r="17" spans="1:21" s="11" customFormat="1" x14ac:dyDescent="0.25">
      <c r="A17" s="50" t="s">
        <v>212</v>
      </c>
      <c r="B17" s="51">
        <v>13.3</v>
      </c>
      <c r="C17" s="51">
        <v>9.59</v>
      </c>
      <c r="D17" s="51">
        <v>15.67</v>
      </c>
      <c r="E17" s="51">
        <v>4.5599999999999996</v>
      </c>
      <c r="F17" s="51">
        <v>8.64</v>
      </c>
      <c r="G17" s="51">
        <v>41.05</v>
      </c>
      <c r="H17" s="51">
        <v>6.11</v>
      </c>
      <c r="I17" s="51">
        <v>1.35</v>
      </c>
      <c r="J17" s="51">
        <v>0.2</v>
      </c>
      <c r="K17" s="51">
        <v>330.6</v>
      </c>
      <c r="L17" s="51">
        <v>30.18</v>
      </c>
      <c r="M17" s="51">
        <v>92.43</v>
      </c>
      <c r="N17" s="51">
        <v>564.70000000000005</v>
      </c>
      <c r="O17" s="51">
        <v>0</v>
      </c>
      <c r="P17" s="51">
        <v>0.62</v>
      </c>
      <c r="Q17" s="51">
        <v>9.64</v>
      </c>
      <c r="R17" s="43"/>
      <c r="S17" s="43"/>
      <c r="T17" s="43"/>
      <c r="U17" s="43"/>
    </row>
    <row r="18" spans="1:21" s="11" customFormat="1" x14ac:dyDescent="0.25">
      <c r="A18" s="50" t="s">
        <v>213</v>
      </c>
      <c r="B18" s="51">
        <v>11.74</v>
      </c>
      <c r="C18" s="51">
        <v>9.76</v>
      </c>
      <c r="D18" s="51">
        <v>14.51</v>
      </c>
      <c r="E18" s="51">
        <v>4.6900000000000004</v>
      </c>
      <c r="F18" s="51">
        <v>8.73</v>
      </c>
      <c r="G18" s="51">
        <v>42.17</v>
      </c>
      <c r="H18" s="51">
        <v>4.28</v>
      </c>
      <c r="I18" s="51">
        <v>1.59</v>
      </c>
      <c r="J18" s="51">
        <v>0.27</v>
      </c>
      <c r="K18" s="51">
        <v>338.59</v>
      </c>
      <c r="L18" s="51">
        <v>32.409999999999997</v>
      </c>
      <c r="M18" s="51">
        <v>79.41</v>
      </c>
      <c r="N18" s="51">
        <v>781.4</v>
      </c>
      <c r="O18" s="51">
        <v>0</v>
      </c>
      <c r="P18" s="51">
        <v>0.5</v>
      </c>
      <c r="Q18" s="51">
        <v>9.6300000000000008</v>
      </c>
      <c r="R18" s="43"/>
      <c r="S18" s="43"/>
      <c r="T18" s="43"/>
      <c r="U18" s="43"/>
    </row>
    <row r="19" spans="1:21" s="11" customFormat="1" x14ac:dyDescent="0.25">
      <c r="A19" s="50" t="s">
        <v>214</v>
      </c>
      <c r="B19" s="51">
        <v>9.98</v>
      </c>
      <c r="C19" s="51">
        <v>13.91</v>
      </c>
      <c r="D19" s="51">
        <v>15.27</v>
      </c>
      <c r="E19" s="51">
        <v>4.6500000000000004</v>
      </c>
      <c r="F19" s="51">
        <v>13.05</v>
      </c>
      <c r="G19" s="51">
        <v>42.17</v>
      </c>
      <c r="H19" s="51">
        <v>10.5</v>
      </c>
      <c r="I19" s="51">
        <v>1.67</v>
      </c>
      <c r="J19" s="51">
        <v>0.2</v>
      </c>
      <c r="K19" s="51">
        <v>318.79000000000002</v>
      </c>
      <c r="L19" s="51">
        <v>32.119999999999997</v>
      </c>
      <c r="M19" s="51">
        <v>78.2</v>
      </c>
      <c r="N19" s="51">
        <v>772.6</v>
      </c>
      <c r="O19" s="51">
        <v>0</v>
      </c>
      <c r="P19" s="51">
        <v>0.62</v>
      </c>
      <c r="Q19" s="51">
        <v>9.6</v>
      </c>
      <c r="R19" s="43"/>
      <c r="S19" s="43"/>
      <c r="T19" s="43"/>
      <c r="U19" s="43"/>
    </row>
    <row r="20" spans="1:21" s="11" customFormat="1" x14ac:dyDescent="0.25">
      <c r="A20" s="50" t="s">
        <v>215</v>
      </c>
      <c r="B20" s="51">
        <v>9.73</v>
      </c>
      <c r="C20" s="51">
        <v>10.41</v>
      </c>
      <c r="D20" s="51">
        <v>13.24</v>
      </c>
      <c r="E20" s="51">
        <v>4.6500000000000004</v>
      </c>
      <c r="F20" s="51">
        <v>10.25</v>
      </c>
      <c r="G20" s="51">
        <v>46.96</v>
      </c>
      <c r="H20" s="51">
        <v>10.5</v>
      </c>
      <c r="I20" s="51">
        <v>1.96</v>
      </c>
      <c r="J20" s="51">
        <v>0.57999999999999996</v>
      </c>
      <c r="K20" s="51">
        <v>334.91</v>
      </c>
      <c r="L20" s="51">
        <v>31.91</v>
      </c>
      <c r="M20" s="51">
        <v>80.010000000000005</v>
      </c>
      <c r="N20" s="51">
        <v>651.20000000000005</v>
      </c>
      <c r="O20" s="51">
        <v>0</v>
      </c>
      <c r="P20" s="51">
        <v>0.54</v>
      </c>
      <c r="Q20" s="51">
        <v>9.5299999999999994</v>
      </c>
      <c r="R20" s="43"/>
      <c r="S20" s="43"/>
      <c r="T20" s="43"/>
      <c r="U20" s="43"/>
    </row>
    <row r="21" spans="1:21" s="11" customFormat="1" x14ac:dyDescent="0.25">
      <c r="A21" s="50" t="s">
        <v>216</v>
      </c>
      <c r="B21" s="51">
        <v>9.94</v>
      </c>
      <c r="C21" s="51">
        <v>11.09</v>
      </c>
      <c r="D21" s="51">
        <v>13.32</v>
      </c>
      <c r="E21" s="51">
        <v>4.67</v>
      </c>
      <c r="F21" s="51">
        <v>11.27</v>
      </c>
      <c r="G21" s="51">
        <v>50.6</v>
      </c>
      <c r="H21" s="51">
        <v>8.69</v>
      </c>
      <c r="I21" s="51">
        <v>2.08</v>
      </c>
      <c r="J21" s="51">
        <v>0.64</v>
      </c>
      <c r="K21" s="51">
        <v>328.18</v>
      </c>
      <c r="L21" s="51">
        <v>32.54</v>
      </c>
      <c r="M21" s="51">
        <v>72.25</v>
      </c>
      <c r="N21" s="51">
        <v>899.7</v>
      </c>
      <c r="O21" s="51">
        <v>0</v>
      </c>
      <c r="P21" s="51">
        <v>0.51</v>
      </c>
      <c r="Q21" s="51">
        <v>9.5</v>
      </c>
      <c r="R21" s="43"/>
      <c r="S21" s="43"/>
      <c r="T21" s="43"/>
      <c r="U21" s="43"/>
    </row>
    <row r="22" spans="1:21" s="11" customFormat="1" x14ac:dyDescent="0.25">
      <c r="A22" s="50" t="s">
        <v>217</v>
      </c>
      <c r="B22" s="51">
        <v>6.69</v>
      </c>
      <c r="C22" s="51">
        <v>13.56</v>
      </c>
      <c r="D22" s="51">
        <v>12.45</v>
      </c>
      <c r="E22" s="51">
        <v>4.72</v>
      </c>
      <c r="F22" s="51">
        <v>12.24</v>
      </c>
      <c r="G22" s="51">
        <v>50.6</v>
      </c>
      <c r="H22" s="51">
        <v>6.09</v>
      </c>
      <c r="I22" s="51">
        <v>2.02</v>
      </c>
      <c r="J22" s="51">
        <v>0.45</v>
      </c>
      <c r="K22" s="51">
        <v>324.77999999999997</v>
      </c>
      <c r="L22" s="51">
        <v>33.19</v>
      </c>
      <c r="M22" s="51">
        <v>68.83</v>
      </c>
      <c r="N22" s="51">
        <v>452.5</v>
      </c>
      <c r="O22" s="51">
        <v>0</v>
      </c>
      <c r="P22" s="51">
        <v>0.44</v>
      </c>
      <c r="Q22" s="51">
        <v>9.48</v>
      </c>
      <c r="R22" s="43"/>
      <c r="S22" s="43"/>
      <c r="T22" s="43"/>
      <c r="U22" s="43"/>
    </row>
    <row r="23" spans="1:21" s="11" customFormat="1" x14ac:dyDescent="0.25">
      <c r="A23" s="50" t="s">
        <v>218</v>
      </c>
      <c r="B23" s="51">
        <v>7.16</v>
      </c>
      <c r="C23" s="51">
        <v>11.18</v>
      </c>
      <c r="D23" s="51">
        <v>11.42</v>
      </c>
      <c r="E23" s="51">
        <v>4.5999999999999996</v>
      </c>
      <c r="F23" s="51">
        <v>9.1999999999999993</v>
      </c>
      <c r="G23" s="51">
        <v>49.62</v>
      </c>
      <c r="H23" s="51">
        <v>11.94</v>
      </c>
      <c r="I23" s="51">
        <v>1.85</v>
      </c>
      <c r="J23" s="51">
        <v>0.2</v>
      </c>
      <c r="K23" s="51">
        <v>316.82</v>
      </c>
      <c r="L23" s="51">
        <v>31.01</v>
      </c>
      <c r="M23" s="51">
        <v>73.13</v>
      </c>
      <c r="N23" s="51">
        <v>259.5</v>
      </c>
      <c r="O23" s="51">
        <v>0</v>
      </c>
      <c r="P23" s="51">
        <v>0.4</v>
      </c>
      <c r="Q23" s="51">
        <v>9.4700000000000006</v>
      </c>
      <c r="R23" s="43"/>
      <c r="S23" s="43"/>
      <c r="T23" s="43"/>
      <c r="U23" s="43"/>
    </row>
    <row r="24" spans="1:21" s="11" customFormat="1" x14ac:dyDescent="0.25">
      <c r="A24" s="50" t="s">
        <v>219</v>
      </c>
      <c r="B24" s="51">
        <v>7.47</v>
      </c>
      <c r="C24" s="51">
        <v>11.66</v>
      </c>
      <c r="D24" s="51">
        <v>12.08</v>
      </c>
      <c r="E24" s="51">
        <v>4.5199999999999996</v>
      </c>
      <c r="F24" s="51">
        <v>11.18</v>
      </c>
      <c r="G24" s="51">
        <v>41.48</v>
      </c>
      <c r="H24" s="51">
        <v>11.94</v>
      </c>
      <c r="I24" s="51">
        <v>1.6</v>
      </c>
      <c r="J24" s="51">
        <v>0.21</v>
      </c>
      <c r="K24" s="51">
        <v>317.12</v>
      </c>
      <c r="L24" s="51">
        <v>31</v>
      </c>
      <c r="M24" s="51">
        <v>74.45</v>
      </c>
      <c r="N24" s="51">
        <v>216.2</v>
      </c>
      <c r="O24" s="51">
        <v>0</v>
      </c>
      <c r="P24" s="51">
        <v>0.38</v>
      </c>
      <c r="Q24" s="51">
        <v>9.42</v>
      </c>
      <c r="R24" s="43"/>
      <c r="S24" s="43"/>
      <c r="T24" s="43"/>
      <c r="U24" s="43"/>
    </row>
    <row r="25" spans="1:21" s="11" customFormat="1" x14ac:dyDescent="0.25">
      <c r="A25" s="50" t="s">
        <v>220</v>
      </c>
      <c r="B25" s="51">
        <v>6.95</v>
      </c>
      <c r="C25" s="51">
        <v>13.82</v>
      </c>
      <c r="D25" s="51">
        <v>12.09</v>
      </c>
      <c r="E25" s="51">
        <v>4.82</v>
      </c>
      <c r="F25" s="51">
        <v>14.16</v>
      </c>
      <c r="G25" s="51">
        <v>38.840000000000003</v>
      </c>
      <c r="H25" s="51">
        <v>9.93</v>
      </c>
      <c r="I25" s="51">
        <v>1.46</v>
      </c>
      <c r="J25" s="51">
        <v>7.0000000000000007E-2</v>
      </c>
      <c r="K25" s="51">
        <v>276.39</v>
      </c>
      <c r="L25" s="51">
        <v>30.09</v>
      </c>
      <c r="M25" s="51">
        <v>81.78</v>
      </c>
      <c r="N25" s="51">
        <v>131.69999999999999</v>
      </c>
      <c r="O25" s="51">
        <v>0</v>
      </c>
      <c r="P25" s="51">
        <v>0.38</v>
      </c>
      <c r="Q25" s="51">
        <v>9.42</v>
      </c>
      <c r="R25" s="43"/>
      <c r="S25" s="43"/>
      <c r="T25" s="43"/>
      <c r="U25" s="43"/>
    </row>
    <row r="26" spans="1:21" s="11" customFormat="1" x14ac:dyDescent="0.25">
      <c r="A26" s="50" t="s">
        <v>221</v>
      </c>
      <c r="B26" s="51">
        <v>14.38</v>
      </c>
      <c r="C26" s="51">
        <v>22.89</v>
      </c>
      <c r="D26" s="51">
        <v>23.49</v>
      </c>
      <c r="E26" s="51">
        <v>4.83</v>
      </c>
      <c r="F26" s="51">
        <v>13.34</v>
      </c>
      <c r="G26" s="51">
        <v>46.63</v>
      </c>
      <c r="H26" s="51">
        <v>6.95</v>
      </c>
      <c r="I26" s="51">
        <v>1.64</v>
      </c>
      <c r="J26" s="51">
        <v>0.75</v>
      </c>
      <c r="K26" s="51">
        <v>321.01</v>
      </c>
      <c r="L26" s="51">
        <v>29.27</v>
      </c>
      <c r="M26" s="51">
        <v>92.64</v>
      </c>
      <c r="N26" s="51">
        <v>88.2</v>
      </c>
      <c r="O26" s="51">
        <v>0</v>
      </c>
      <c r="P26" s="51">
        <v>0.78</v>
      </c>
      <c r="Q26" s="51">
        <v>9.48</v>
      </c>
      <c r="R26" s="43"/>
      <c r="S26" s="43"/>
      <c r="T26" s="43"/>
      <c r="U26" s="43"/>
    </row>
    <row r="27" spans="1:21" s="11" customFormat="1" x14ac:dyDescent="0.25">
      <c r="A27" s="50" t="s">
        <v>222</v>
      </c>
      <c r="B27" s="51">
        <v>6.72</v>
      </c>
      <c r="C27" s="51">
        <v>12.73</v>
      </c>
      <c r="D27" s="51">
        <v>11.23</v>
      </c>
      <c r="E27" s="51">
        <v>4.96</v>
      </c>
      <c r="F27" s="51">
        <v>9.3000000000000007</v>
      </c>
      <c r="G27" s="51">
        <v>46.63</v>
      </c>
      <c r="H27" s="51">
        <v>8.2799999999999994</v>
      </c>
      <c r="I27" s="51">
        <v>1.83</v>
      </c>
      <c r="J27" s="51">
        <v>0.63</v>
      </c>
      <c r="K27" s="51">
        <v>342.97</v>
      </c>
      <c r="L27" s="51">
        <v>27.84</v>
      </c>
      <c r="M27" s="51">
        <v>98.51</v>
      </c>
      <c r="N27" s="51">
        <v>41.9</v>
      </c>
      <c r="O27" s="51">
        <v>5.4</v>
      </c>
      <c r="P27" s="51">
        <v>0.42</v>
      </c>
      <c r="Q27" s="51">
        <v>9.49</v>
      </c>
      <c r="R27" s="43"/>
      <c r="S27" s="43"/>
      <c r="T27" s="43"/>
      <c r="U27" s="43"/>
    </row>
    <row r="28" spans="1:21" s="11" customFormat="1" x14ac:dyDescent="0.25">
      <c r="A28" s="50" t="s">
        <v>223</v>
      </c>
      <c r="B28" s="51">
        <v>4.9800000000000004</v>
      </c>
      <c r="C28" s="51">
        <v>13.32</v>
      </c>
      <c r="D28" s="51">
        <v>10.8</v>
      </c>
      <c r="E28" s="51">
        <v>4.88</v>
      </c>
      <c r="F28" s="51">
        <v>4.59</v>
      </c>
      <c r="G28" s="51">
        <v>37.53</v>
      </c>
      <c r="H28" s="51">
        <v>8.2799999999999994</v>
      </c>
      <c r="I28" s="51">
        <v>1.85</v>
      </c>
      <c r="J28" s="51">
        <v>0.51</v>
      </c>
      <c r="K28" s="51">
        <v>166.41</v>
      </c>
      <c r="L28" s="51">
        <v>20.59</v>
      </c>
      <c r="M28" s="51">
        <v>98.45</v>
      </c>
      <c r="N28" s="51">
        <v>38</v>
      </c>
      <c r="O28" s="51">
        <v>3</v>
      </c>
      <c r="P28" s="51">
        <v>0.42</v>
      </c>
      <c r="Q28" s="51">
        <v>9.44</v>
      </c>
      <c r="R28" s="43"/>
      <c r="S28" s="43"/>
      <c r="T28" s="43"/>
      <c r="U28" s="43"/>
    </row>
    <row r="29" spans="1:21" s="11" customFormat="1" x14ac:dyDescent="0.25">
      <c r="A29" s="50" t="s">
        <v>224</v>
      </c>
      <c r="B29" s="51">
        <v>5.01</v>
      </c>
      <c r="C29" s="51">
        <v>4.5999999999999996</v>
      </c>
      <c r="D29" s="51">
        <v>6.42</v>
      </c>
      <c r="E29" s="51">
        <v>3.74</v>
      </c>
      <c r="F29" s="51">
        <v>8.43</v>
      </c>
      <c r="G29" s="51">
        <v>22.47</v>
      </c>
      <c r="H29" s="51">
        <v>7.66</v>
      </c>
      <c r="I29" s="51">
        <v>0</v>
      </c>
      <c r="J29" s="51">
        <v>0.27</v>
      </c>
      <c r="K29" s="51">
        <v>151.77000000000001</v>
      </c>
      <c r="L29" s="51">
        <v>21.22</v>
      </c>
      <c r="M29" s="51">
        <v>98.57</v>
      </c>
      <c r="N29" s="51">
        <v>29.9</v>
      </c>
      <c r="O29" s="51">
        <v>0</v>
      </c>
      <c r="P29" s="51">
        <v>0.25</v>
      </c>
      <c r="Q29" s="51">
        <v>9.44</v>
      </c>
      <c r="R29" s="43"/>
      <c r="S29" s="43"/>
      <c r="T29" s="43"/>
      <c r="U29" s="43"/>
    </row>
    <row r="30" spans="1:21" s="11" customFormat="1" x14ac:dyDescent="0.25">
      <c r="A30" s="50" t="s">
        <v>225</v>
      </c>
      <c r="B30" s="3" t="s">
        <v>4</v>
      </c>
      <c r="C30" s="3" t="s">
        <v>4</v>
      </c>
      <c r="D30" s="3" t="s">
        <v>4</v>
      </c>
      <c r="E30" s="3" t="s">
        <v>4</v>
      </c>
      <c r="F30" s="3" t="s">
        <v>4</v>
      </c>
      <c r="G30" s="3" t="s">
        <v>4</v>
      </c>
      <c r="H30" s="3" t="s">
        <v>4</v>
      </c>
      <c r="I30" s="3" t="s">
        <v>4</v>
      </c>
      <c r="J30" s="3" t="s">
        <v>4</v>
      </c>
      <c r="K30" s="3" t="s">
        <v>4</v>
      </c>
      <c r="L30" s="3" t="s">
        <v>4</v>
      </c>
      <c r="M30" s="3" t="s">
        <v>4</v>
      </c>
      <c r="N30" s="3" t="s">
        <v>4</v>
      </c>
      <c r="O30" s="3" t="s">
        <v>4</v>
      </c>
      <c r="P30" s="3" t="s">
        <v>4</v>
      </c>
      <c r="Q30" s="3" t="s">
        <v>4</v>
      </c>
      <c r="R30" s="43"/>
      <c r="S30" s="43"/>
      <c r="T30" s="43"/>
      <c r="U30" s="43"/>
    </row>
    <row r="31" spans="1:21" s="11" customFormat="1" x14ac:dyDescent="0.25">
      <c r="A31" s="50" t="s">
        <v>226</v>
      </c>
      <c r="B31" s="51">
        <v>12.17</v>
      </c>
      <c r="C31" s="51">
        <v>5.42</v>
      </c>
      <c r="D31" s="51">
        <v>12.59</v>
      </c>
      <c r="E31" s="51">
        <v>5.23</v>
      </c>
      <c r="F31" s="51">
        <v>5.16</v>
      </c>
      <c r="G31" s="51">
        <v>11.97</v>
      </c>
      <c r="H31" s="51">
        <v>4.21</v>
      </c>
      <c r="I31" s="51">
        <v>0</v>
      </c>
      <c r="J31" s="51">
        <v>0.44</v>
      </c>
      <c r="K31" s="51">
        <v>265.92</v>
      </c>
      <c r="L31" s="51">
        <v>22.59</v>
      </c>
      <c r="M31" s="51">
        <v>98.52</v>
      </c>
      <c r="N31" s="51">
        <v>30.2</v>
      </c>
      <c r="O31" s="51">
        <v>0</v>
      </c>
      <c r="P31" s="51">
        <v>0.36</v>
      </c>
      <c r="Q31" s="51">
        <v>9.4</v>
      </c>
      <c r="R31" s="43"/>
      <c r="S31" s="43"/>
      <c r="T31" s="43"/>
      <c r="U31" s="43"/>
    </row>
    <row r="32" spans="1:21" s="11" customFormat="1" x14ac:dyDescent="0.25">
      <c r="A32" s="50" t="s">
        <v>227</v>
      </c>
      <c r="B32" s="51">
        <v>14.33</v>
      </c>
      <c r="C32" s="51">
        <v>15.46</v>
      </c>
      <c r="D32" s="51">
        <v>18.420000000000002</v>
      </c>
      <c r="E32" s="51">
        <v>4.07</v>
      </c>
      <c r="F32" s="51">
        <v>2.87</v>
      </c>
      <c r="G32" s="51">
        <v>33.75</v>
      </c>
      <c r="H32" s="51">
        <v>22.43</v>
      </c>
      <c r="I32" s="51">
        <v>1.76</v>
      </c>
      <c r="J32" s="51">
        <v>0.06</v>
      </c>
      <c r="K32" s="51">
        <v>359.73</v>
      </c>
      <c r="L32" s="51">
        <v>22.78</v>
      </c>
      <c r="M32" s="51">
        <v>98.1</v>
      </c>
      <c r="N32" s="51">
        <v>30.4</v>
      </c>
      <c r="O32" s="51">
        <v>0</v>
      </c>
      <c r="P32" s="51">
        <v>0.28000000000000003</v>
      </c>
      <c r="Q32" s="51">
        <v>9.67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4.9800000000000004</v>
      </c>
      <c r="C34" s="28">
        <f t="shared" si="0"/>
        <v>4.5999999999999996</v>
      </c>
      <c r="D34" s="28">
        <f t="shared" si="0"/>
        <v>6.42</v>
      </c>
      <c r="E34" s="28">
        <f t="shared" si="0"/>
        <v>3.74</v>
      </c>
      <c r="F34" s="28">
        <f t="shared" si="0"/>
        <v>2.87</v>
      </c>
      <c r="G34" s="28">
        <f t="shared" si="0"/>
        <v>11.97</v>
      </c>
      <c r="H34" s="28">
        <f t="shared" si="0"/>
        <v>4.21</v>
      </c>
      <c r="I34" s="28">
        <f t="shared" si="0"/>
        <v>0</v>
      </c>
      <c r="J34" s="28">
        <f t="shared" si="0"/>
        <v>0.06</v>
      </c>
      <c r="K34" s="28">
        <f t="shared" si="0"/>
        <v>151.77000000000001</v>
      </c>
      <c r="L34" s="28">
        <f t="shared" si="0"/>
        <v>20.59</v>
      </c>
      <c r="M34" s="28">
        <f t="shared" si="0"/>
        <v>68.83</v>
      </c>
      <c r="N34" s="28">
        <f t="shared" si="0"/>
        <v>29.9</v>
      </c>
      <c r="O34" s="28">
        <f t="shared" si="0"/>
        <v>0</v>
      </c>
      <c r="P34" s="28">
        <f t="shared" si="0"/>
        <v>0.21</v>
      </c>
      <c r="Q34" s="28">
        <f t="shared" si="0"/>
        <v>9.4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18.53</v>
      </c>
      <c r="C35" s="29">
        <f t="shared" si="1"/>
        <v>22.89</v>
      </c>
      <c r="D35" s="29">
        <f t="shared" si="1"/>
        <v>23.49</v>
      </c>
      <c r="E35" s="29">
        <f t="shared" si="1"/>
        <v>5.23</v>
      </c>
      <c r="F35" s="29">
        <f t="shared" si="1"/>
        <v>14.16</v>
      </c>
      <c r="G35" s="29">
        <f t="shared" si="1"/>
        <v>50.6</v>
      </c>
      <c r="H35" s="29">
        <f t="shared" si="1"/>
        <v>22.43</v>
      </c>
      <c r="I35" s="29">
        <f t="shared" si="1"/>
        <v>2.08</v>
      </c>
      <c r="J35" s="29">
        <f t="shared" si="1"/>
        <v>0.75</v>
      </c>
      <c r="K35" s="29">
        <f t="shared" si="1"/>
        <v>359.73</v>
      </c>
      <c r="L35" s="29">
        <f t="shared" si="1"/>
        <v>33.19</v>
      </c>
      <c r="M35" s="29">
        <f t="shared" si="1"/>
        <v>98.57</v>
      </c>
      <c r="N35" s="29">
        <f t="shared" si="1"/>
        <v>899.7</v>
      </c>
      <c r="O35" s="29">
        <f t="shared" si="1"/>
        <v>5.4</v>
      </c>
      <c r="P35" s="29">
        <f t="shared" si="1"/>
        <v>0.78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9.4882608695652149</v>
      </c>
      <c r="C36" s="28">
        <f t="shared" si="2"/>
        <v>10.133913043478261</v>
      </c>
      <c r="D36" s="28">
        <f t="shared" si="2"/>
        <v>12.607826086956523</v>
      </c>
      <c r="E36" s="28">
        <f t="shared" si="2"/>
        <v>4.7273913043478242</v>
      </c>
      <c r="F36" s="28">
        <f t="shared" si="2"/>
        <v>8.7939130434782609</v>
      </c>
      <c r="G36" s="28">
        <f t="shared" si="2"/>
        <v>35.634782608695659</v>
      </c>
      <c r="H36" s="28">
        <f t="shared" si="2"/>
        <v>8.442608695652174</v>
      </c>
      <c r="I36" s="28">
        <f t="shared" si="2"/>
        <v>1.371739130434783</v>
      </c>
      <c r="J36" s="28">
        <f t="shared" si="2"/>
        <v>0.32913043478260873</v>
      </c>
      <c r="K36" s="28">
        <f t="shared" si="2"/>
        <v>288.24608695652171</v>
      </c>
      <c r="L36" s="28">
        <f t="shared" si="2"/>
        <v>27.130869565217395</v>
      </c>
      <c r="M36" s="28">
        <f t="shared" si="2"/>
        <v>90.11999999999999</v>
      </c>
      <c r="N36" s="28">
        <f t="shared" si="2"/>
        <v>246.55217391304339</v>
      </c>
      <c r="O36" s="28">
        <f t="shared" si="2"/>
        <v>0.36521739130434783</v>
      </c>
      <c r="P36" s="28">
        <f t="shared" si="2"/>
        <v>0.39652173913043476</v>
      </c>
      <c r="Q36" s="28">
        <f t="shared" si="2"/>
        <v>9.5373913043478247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3.4667874206191072</v>
      </c>
      <c r="C37" s="28">
        <f t="shared" ref="C37:Q37" si="3">STDEV(C9:C32)</f>
        <v>4.2922792622128112</v>
      </c>
      <c r="D37" s="28">
        <f t="shared" si="3"/>
        <v>3.8015618279880421</v>
      </c>
      <c r="E37" s="28">
        <f t="shared" si="3"/>
        <v>0.31592889578776406</v>
      </c>
      <c r="F37" s="28">
        <f t="shared" si="3"/>
        <v>2.9430113506877071</v>
      </c>
      <c r="G37" s="28">
        <f t="shared" si="3"/>
        <v>11.386547832486443</v>
      </c>
      <c r="H37" s="28">
        <f t="shared" si="3"/>
        <v>3.8532126116826237</v>
      </c>
      <c r="I37" s="28">
        <f t="shared" si="3"/>
        <v>0.5550647150960536</v>
      </c>
      <c r="J37" s="28">
        <f t="shared" si="3"/>
        <v>0.20212311827376764</v>
      </c>
      <c r="K37" s="28">
        <f t="shared" si="3"/>
        <v>60.166812109722684</v>
      </c>
      <c r="L37" s="28">
        <f t="shared" si="3"/>
        <v>4.1562011862270349</v>
      </c>
      <c r="M37" s="28">
        <f t="shared" si="3"/>
        <v>10.966085321240632</v>
      </c>
      <c r="N37" s="28">
        <f t="shared" si="3"/>
        <v>288.89770739133331</v>
      </c>
      <c r="O37" s="28">
        <f t="shared" si="3"/>
        <v>1.2629722143536053</v>
      </c>
      <c r="P37" s="28">
        <f t="shared" si="3"/>
        <v>0.14661665215024905</v>
      </c>
      <c r="Q37" s="28">
        <f t="shared" si="3"/>
        <v>8.4219269620996393E-2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</f>
        <v>24</v>
      </c>
      <c r="C38" s="32">
        <f t="shared" ref="C38:Q38" si="4">COUNT(C9:C32)+1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6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K37" sqref="K37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228</v>
      </c>
      <c r="B9" s="51">
        <v>11.27</v>
      </c>
      <c r="C9" s="51">
        <v>11.36</v>
      </c>
      <c r="D9" s="51">
        <v>12.98</v>
      </c>
      <c r="E9" s="51">
        <v>4</v>
      </c>
      <c r="F9" s="51">
        <v>7.02</v>
      </c>
      <c r="G9" s="51">
        <v>33.75</v>
      </c>
      <c r="H9" s="51">
        <v>22.43</v>
      </c>
      <c r="I9" s="51">
        <v>1.76</v>
      </c>
      <c r="J9" s="51">
        <v>0.25</v>
      </c>
      <c r="K9" s="51">
        <v>303.44</v>
      </c>
      <c r="L9" s="51">
        <v>22.83</v>
      </c>
      <c r="M9" s="51">
        <v>98.24</v>
      </c>
      <c r="N9" s="51">
        <v>30.2</v>
      </c>
      <c r="O9" s="51">
        <v>0</v>
      </c>
      <c r="P9" s="51">
        <v>0.13</v>
      </c>
      <c r="Q9" s="51">
        <v>9.52</v>
      </c>
      <c r="R9" s="43"/>
      <c r="S9" s="43"/>
      <c r="T9" s="43"/>
      <c r="U9" s="43"/>
    </row>
    <row r="10" spans="1:21" s="11" customFormat="1" x14ac:dyDescent="0.25">
      <c r="A10" s="50" t="s">
        <v>229</v>
      </c>
      <c r="B10" s="51">
        <v>9.65</v>
      </c>
      <c r="C10" s="51">
        <v>11.64</v>
      </c>
      <c r="D10" s="51">
        <v>12.58</v>
      </c>
      <c r="E10" s="51">
        <v>2.29</v>
      </c>
      <c r="F10" s="51">
        <v>7.74</v>
      </c>
      <c r="G10" s="51">
        <v>22.46</v>
      </c>
      <c r="H10" s="51">
        <v>15.03</v>
      </c>
      <c r="I10" s="51">
        <v>1.68</v>
      </c>
      <c r="J10" s="51">
        <v>0.66</v>
      </c>
      <c r="K10" s="51">
        <v>136.27000000000001</v>
      </c>
      <c r="L10" s="51">
        <v>22.77</v>
      </c>
      <c r="M10" s="51">
        <v>97.99</v>
      </c>
      <c r="N10" s="51">
        <v>30.3</v>
      </c>
      <c r="O10" s="51">
        <v>0</v>
      </c>
      <c r="P10" s="51">
        <v>0.28999999999999998</v>
      </c>
      <c r="Q10" s="51">
        <v>9.49</v>
      </c>
      <c r="R10" s="43"/>
      <c r="S10" s="43"/>
      <c r="T10" s="43"/>
      <c r="U10" s="43"/>
    </row>
    <row r="11" spans="1:21" s="11" customFormat="1" x14ac:dyDescent="0.25">
      <c r="A11" s="50" t="s">
        <v>230</v>
      </c>
      <c r="B11" s="51">
        <v>8.2200000000000006</v>
      </c>
      <c r="C11" s="51">
        <v>11.38</v>
      </c>
      <c r="D11" s="51">
        <v>12.53</v>
      </c>
      <c r="E11" s="51">
        <v>1.83</v>
      </c>
      <c r="F11" s="51">
        <v>7.28</v>
      </c>
      <c r="G11" s="51">
        <v>21.44</v>
      </c>
      <c r="H11" s="51">
        <v>12.28</v>
      </c>
      <c r="I11" s="51">
        <v>1.6</v>
      </c>
      <c r="J11" s="51">
        <v>0.35</v>
      </c>
      <c r="K11" s="51">
        <v>337.15</v>
      </c>
      <c r="L11" s="51">
        <v>22.81</v>
      </c>
      <c r="M11" s="51">
        <v>98.08</v>
      </c>
      <c r="N11" s="51">
        <v>30.2</v>
      </c>
      <c r="O11" s="51">
        <v>0</v>
      </c>
      <c r="P11" s="51">
        <v>0.26</v>
      </c>
      <c r="Q11" s="51">
        <v>9.49</v>
      </c>
      <c r="R11" s="43"/>
      <c r="S11" s="43"/>
      <c r="T11" s="43"/>
      <c r="U11" s="43"/>
    </row>
    <row r="12" spans="1:21" s="11" customFormat="1" x14ac:dyDescent="0.25">
      <c r="A12" s="50" t="s">
        <v>231</v>
      </c>
      <c r="B12" s="51">
        <v>9.16</v>
      </c>
      <c r="C12" s="51">
        <v>7.2</v>
      </c>
      <c r="D12" s="51">
        <v>10.11</v>
      </c>
      <c r="E12" s="51">
        <v>1.73</v>
      </c>
      <c r="F12" s="51">
        <v>6.49</v>
      </c>
      <c r="G12" s="51">
        <v>21.44</v>
      </c>
      <c r="H12" s="51">
        <v>12.28</v>
      </c>
      <c r="I12" s="51">
        <v>1.5</v>
      </c>
      <c r="J12" s="51">
        <v>7.0000000000000007E-2</v>
      </c>
      <c r="K12" s="51">
        <v>209.57</v>
      </c>
      <c r="L12" s="51">
        <v>22.79</v>
      </c>
      <c r="M12" s="51">
        <v>97.95</v>
      </c>
      <c r="N12" s="51">
        <v>30.3</v>
      </c>
      <c r="O12" s="51">
        <v>0</v>
      </c>
      <c r="P12" s="51">
        <v>0.31</v>
      </c>
      <c r="Q12" s="51">
        <v>9.43</v>
      </c>
      <c r="R12" s="43"/>
      <c r="S12" s="43"/>
      <c r="T12" s="43"/>
      <c r="U12" s="43"/>
    </row>
    <row r="13" spans="1:21" s="11" customFormat="1" x14ac:dyDescent="0.25">
      <c r="A13" s="50" t="s">
        <v>232</v>
      </c>
      <c r="B13" s="51">
        <v>9.31</v>
      </c>
      <c r="C13" s="51">
        <v>10.24</v>
      </c>
      <c r="D13" s="51">
        <v>12.82</v>
      </c>
      <c r="E13" s="51">
        <v>1.39</v>
      </c>
      <c r="F13" s="51">
        <v>4.66</v>
      </c>
      <c r="G13" s="51">
        <v>16.55</v>
      </c>
      <c r="H13" s="51">
        <v>11.12</v>
      </c>
      <c r="I13" s="51">
        <v>1.39</v>
      </c>
      <c r="J13" s="51">
        <v>0.09</v>
      </c>
      <c r="K13" s="51">
        <v>282.63</v>
      </c>
      <c r="L13" s="51">
        <v>22.77</v>
      </c>
      <c r="M13" s="51">
        <v>98.2</v>
      </c>
      <c r="N13" s="51">
        <v>30.1</v>
      </c>
      <c r="O13" s="51">
        <v>0</v>
      </c>
      <c r="P13" s="51">
        <v>0.31</v>
      </c>
      <c r="Q13" s="51">
        <v>9.39</v>
      </c>
      <c r="R13" s="43"/>
      <c r="S13" s="43"/>
      <c r="T13" s="43"/>
      <c r="U13" s="43"/>
    </row>
    <row r="14" spans="1:21" s="11" customFormat="1" x14ac:dyDescent="0.25">
      <c r="A14" s="50" t="s">
        <v>233</v>
      </c>
      <c r="B14" s="51">
        <v>9.49</v>
      </c>
      <c r="C14" s="51">
        <v>9.3000000000000007</v>
      </c>
      <c r="D14" s="51">
        <v>11.8</v>
      </c>
      <c r="E14" s="51">
        <v>1.1200000000000001</v>
      </c>
      <c r="F14" s="51">
        <v>3.29</v>
      </c>
      <c r="G14" s="51">
        <v>16.55</v>
      </c>
      <c r="H14" s="51">
        <v>8.0399999999999991</v>
      </c>
      <c r="I14" s="51">
        <v>1.3</v>
      </c>
      <c r="J14" s="51">
        <v>7.0000000000000007E-2</v>
      </c>
      <c r="K14" s="51">
        <v>306.72000000000003</v>
      </c>
      <c r="L14" s="51">
        <v>22.89</v>
      </c>
      <c r="M14" s="51">
        <v>98.3</v>
      </c>
      <c r="N14" s="51">
        <v>42.7</v>
      </c>
      <c r="O14" s="51">
        <v>0</v>
      </c>
      <c r="P14" s="51">
        <v>0.28000000000000003</v>
      </c>
      <c r="Q14" s="51">
        <v>9.41</v>
      </c>
      <c r="R14" s="43"/>
      <c r="S14" s="43"/>
      <c r="T14" s="43"/>
      <c r="U14" s="43"/>
    </row>
    <row r="15" spans="1:21" s="11" customFormat="1" x14ac:dyDescent="0.25">
      <c r="A15" s="50" t="s">
        <v>234</v>
      </c>
      <c r="B15" s="51">
        <v>11.03</v>
      </c>
      <c r="C15" s="51">
        <v>8.59</v>
      </c>
      <c r="D15" s="51">
        <v>12.99</v>
      </c>
      <c r="E15" s="51">
        <v>1.22</v>
      </c>
      <c r="F15" s="51">
        <v>4.08</v>
      </c>
      <c r="G15" s="51">
        <v>16.940000000000001</v>
      </c>
      <c r="H15" s="51">
        <v>9.3000000000000007</v>
      </c>
      <c r="I15" s="51">
        <v>1.23</v>
      </c>
      <c r="J15" s="51">
        <v>0.1</v>
      </c>
      <c r="K15" s="51">
        <v>140.76</v>
      </c>
      <c r="L15" s="51">
        <v>23.35</v>
      </c>
      <c r="M15" s="51">
        <v>98.24</v>
      </c>
      <c r="N15" s="51">
        <v>98.6</v>
      </c>
      <c r="O15" s="51">
        <v>0</v>
      </c>
      <c r="P15" s="51">
        <v>0.27</v>
      </c>
      <c r="Q15" s="51">
        <v>9.43</v>
      </c>
      <c r="R15" s="43"/>
      <c r="S15" s="43"/>
      <c r="T15" s="43"/>
      <c r="U15" s="43"/>
    </row>
    <row r="16" spans="1:21" s="11" customFormat="1" x14ac:dyDescent="0.25">
      <c r="A16" s="50" t="s">
        <v>235</v>
      </c>
      <c r="B16" s="51">
        <v>13.04</v>
      </c>
      <c r="C16" s="51">
        <v>8.15</v>
      </c>
      <c r="D16" s="51">
        <v>13.65</v>
      </c>
      <c r="E16" s="51">
        <v>3.29</v>
      </c>
      <c r="F16" s="51">
        <v>4.58</v>
      </c>
      <c r="G16" s="51">
        <v>16.940000000000001</v>
      </c>
      <c r="H16" s="51">
        <v>9.3000000000000007</v>
      </c>
      <c r="I16" s="51">
        <v>1.24</v>
      </c>
      <c r="J16" s="51">
        <v>0.16</v>
      </c>
      <c r="K16" s="51">
        <v>234.21</v>
      </c>
      <c r="L16" s="51">
        <v>25.38</v>
      </c>
      <c r="M16" s="51">
        <v>98.3</v>
      </c>
      <c r="N16" s="51">
        <v>309.3</v>
      </c>
      <c r="O16" s="51">
        <v>0.2</v>
      </c>
      <c r="P16" s="51">
        <v>0.28999999999999998</v>
      </c>
      <c r="Q16" s="51">
        <v>9.44</v>
      </c>
      <c r="R16" s="43"/>
      <c r="S16" s="43"/>
      <c r="T16" s="43"/>
      <c r="U16" s="43"/>
    </row>
    <row r="17" spans="1:21" s="11" customFormat="1" x14ac:dyDescent="0.25">
      <c r="A17" s="50" t="s">
        <v>236</v>
      </c>
      <c r="B17" s="51">
        <v>11.67</v>
      </c>
      <c r="C17" s="51">
        <v>9.73</v>
      </c>
      <c r="D17" s="51">
        <v>12.68</v>
      </c>
      <c r="E17" s="51">
        <v>3.75</v>
      </c>
      <c r="F17" s="51">
        <v>6.64</v>
      </c>
      <c r="G17" s="8" t="s">
        <v>8</v>
      </c>
      <c r="H17" s="8" t="s">
        <v>8</v>
      </c>
      <c r="I17" s="51">
        <v>1.42</v>
      </c>
      <c r="J17" s="51">
        <v>0.12</v>
      </c>
      <c r="K17" s="51">
        <v>303.57</v>
      </c>
      <c r="L17" s="51">
        <v>29.53</v>
      </c>
      <c r="M17" s="51">
        <v>98.25</v>
      </c>
      <c r="N17" s="51">
        <v>575.70000000000005</v>
      </c>
      <c r="O17" s="51">
        <v>0</v>
      </c>
      <c r="P17" s="51">
        <v>0.41</v>
      </c>
      <c r="Q17" s="51">
        <v>9.44</v>
      </c>
      <c r="R17" s="43"/>
      <c r="S17" s="43"/>
      <c r="T17" s="43"/>
      <c r="U17" s="43"/>
    </row>
    <row r="18" spans="1:21" s="11" customFormat="1" x14ac:dyDescent="0.25">
      <c r="A18" s="50" t="s">
        <v>237</v>
      </c>
      <c r="B18" s="51">
        <v>9.2899999999999991</v>
      </c>
      <c r="C18" s="51">
        <v>13.7</v>
      </c>
      <c r="D18" s="51">
        <v>13.72</v>
      </c>
      <c r="E18" s="51">
        <v>3.87</v>
      </c>
      <c r="F18" s="51">
        <v>5.73</v>
      </c>
      <c r="G18" s="51">
        <v>73.37</v>
      </c>
      <c r="H18" s="8" t="s">
        <v>8</v>
      </c>
      <c r="I18" s="51">
        <v>2.41</v>
      </c>
      <c r="J18" s="51">
        <v>0.17</v>
      </c>
      <c r="K18" s="51">
        <v>301.81</v>
      </c>
      <c r="L18" s="51">
        <v>30.57</v>
      </c>
      <c r="M18" s="51">
        <v>92.06</v>
      </c>
      <c r="N18" s="51">
        <v>556.1</v>
      </c>
      <c r="O18" s="51">
        <v>0.2</v>
      </c>
      <c r="P18" s="51">
        <v>0.6</v>
      </c>
      <c r="Q18" s="51">
        <v>9.32</v>
      </c>
      <c r="R18" s="43"/>
      <c r="S18" s="43"/>
      <c r="T18" s="43"/>
      <c r="U18" s="43"/>
    </row>
    <row r="19" spans="1:21" s="11" customFormat="1" x14ac:dyDescent="0.25">
      <c r="A19" s="50" t="s">
        <v>238</v>
      </c>
      <c r="B19" s="51">
        <v>7.85</v>
      </c>
      <c r="C19" s="51">
        <v>12.79</v>
      </c>
      <c r="D19" s="51">
        <v>12.44</v>
      </c>
      <c r="E19" s="51">
        <v>3.79</v>
      </c>
      <c r="F19" s="51">
        <v>12.08</v>
      </c>
      <c r="G19" s="51">
        <v>132.07</v>
      </c>
      <c r="H19" s="8" t="s">
        <v>8</v>
      </c>
      <c r="I19" s="51">
        <v>2.82</v>
      </c>
      <c r="J19" s="51">
        <v>0.18</v>
      </c>
      <c r="K19" s="51">
        <v>325.42</v>
      </c>
      <c r="L19" s="51">
        <v>31.94</v>
      </c>
      <c r="M19" s="51">
        <v>94.52</v>
      </c>
      <c r="N19" s="51">
        <v>927.6</v>
      </c>
      <c r="O19" s="51">
        <v>0</v>
      </c>
      <c r="P19" s="51">
        <v>0.59</v>
      </c>
      <c r="Q19" s="51">
        <v>9.2899999999999991</v>
      </c>
      <c r="R19" s="43"/>
      <c r="S19" s="43"/>
      <c r="T19" s="43"/>
      <c r="U19" s="43"/>
    </row>
    <row r="20" spans="1:21" s="11" customFormat="1" x14ac:dyDescent="0.25">
      <c r="A20" s="50" t="s">
        <v>239</v>
      </c>
      <c r="B20" s="51">
        <v>12.09</v>
      </c>
      <c r="C20" s="51">
        <v>13.7</v>
      </c>
      <c r="D20" s="51">
        <v>15.78</v>
      </c>
      <c r="E20" s="51">
        <v>4.03</v>
      </c>
      <c r="F20" s="51">
        <v>9.25</v>
      </c>
      <c r="G20" s="51">
        <v>100.5</v>
      </c>
      <c r="H20" s="8" t="s">
        <v>8</v>
      </c>
      <c r="I20" s="51">
        <v>2.8</v>
      </c>
      <c r="J20" s="51">
        <v>0.51</v>
      </c>
      <c r="K20" s="51">
        <v>330</v>
      </c>
      <c r="L20" s="51">
        <v>30.74</v>
      </c>
      <c r="M20" s="51">
        <v>90.74</v>
      </c>
      <c r="N20" s="51">
        <v>318.7</v>
      </c>
      <c r="O20" s="51">
        <v>0</v>
      </c>
      <c r="P20" s="51">
        <v>0.62</v>
      </c>
      <c r="Q20" s="51">
        <v>9.31</v>
      </c>
      <c r="R20" s="43"/>
      <c r="S20" s="43"/>
      <c r="T20" s="43"/>
      <c r="U20" s="43"/>
    </row>
    <row r="21" spans="1:21" s="11" customFormat="1" x14ac:dyDescent="0.25">
      <c r="A21" s="50" t="s">
        <v>240</v>
      </c>
      <c r="B21" s="51">
        <v>10.43</v>
      </c>
      <c r="C21" s="51">
        <v>9.92</v>
      </c>
      <c r="D21" s="51">
        <v>13.26</v>
      </c>
      <c r="E21" s="51">
        <v>4.17</v>
      </c>
      <c r="F21" s="51">
        <v>6.82</v>
      </c>
      <c r="G21" s="51">
        <v>79.25</v>
      </c>
      <c r="H21" s="8" t="s">
        <v>8</v>
      </c>
      <c r="I21" s="51">
        <v>2.7</v>
      </c>
      <c r="J21" s="51">
        <v>1.67</v>
      </c>
      <c r="K21" s="51">
        <v>339.22</v>
      </c>
      <c r="L21" s="51">
        <v>28.6</v>
      </c>
      <c r="M21" s="51">
        <v>98.57</v>
      </c>
      <c r="N21" s="51">
        <v>153</v>
      </c>
      <c r="O21" s="51">
        <v>0.8</v>
      </c>
      <c r="P21" s="51">
        <v>0.55000000000000004</v>
      </c>
      <c r="Q21" s="51">
        <v>9.31</v>
      </c>
      <c r="R21" s="43"/>
      <c r="S21" s="43"/>
      <c r="T21" s="43"/>
      <c r="U21" s="43"/>
    </row>
    <row r="22" spans="1:21" s="11" customFormat="1" x14ac:dyDescent="0.25">
      <c r="A22" s="50" t="s">
        <v>241</v>
      </c>
      <c r="B22" s="51">
        <v>12.95</v>
      </c>
      <c r="C22" s="51">
        <v>11.25</v>
      </c>
      <c r="D22" s="51">
        <v>15.84</v>
      </c>
      <c r="E22" s="51">
        <v>4.08</v>
      </c>
      <c r="F22" s="51">
        <v>6.26</v>
      </c>
      <c r="G22" s="51">
        <v>60.18</v>
      </c>
      <c r="H22" s="8" t="s">
        <v>8</v>
      </c>
      <c r="I22" s="51">
        <v>2.33</v>
      </c>
      <c r="J22" s="51">
        <v>0.85</v>
      </c>
      <c r="K22" s="51">
        <v>341.9</v>
      </c>
      <c r="L22" s="51">
        <v>24.38</v>
      </c>
      <c r="M22" s="51">
        <v>98.65</v>
      </c>
      <c r="N22" s="51">
        <v>258.10000000000002</v>
      </c>
      <c r="O22" s="51">
        <v>0.8</v>
      </c>
      <c r="P22" s="51">
        <v>0.56999999999999995</v>
      </c>
      <c r="Q22" s="51">
        <v>9.34</v>
      </c>
      <c r="R22" s="43"/>
      <c r="S22" s="43"/>
      <c r="T22" s="43"/>
      <c r="U22" s="43"/>
    </row>
    <row r="23" spans="1:21" s="11" customFormat="1" x14ac:dyDescent="0.25">
      <c r="A23" s="50" t="s">
        <v>242</v>
      </c>
      <c r="B23" s="51">
        <v>13.83</v>
      </c>
      <c r="C23" s="51">
        <v>11.49</v>
      </c>
      <c r="D23" s="51">
        <v>17.100000000000001</v>
      </c>
      <c r="E23" s="51">
        <v>4.05</v>
      </c>
      <c r="F23" s="51">
        <v>6.84</v>
      </c>
      <c r="G23" s="51">
        <v>49.32</v>
      </c>
      <c r="H23" s="8" t="s">
        <v>8</v>
      </c>
      <c r="I23" s="51">
        <v>2.1800000000000002</v>
      </c>
      <c r="J23" s="51">
        <v>0.98</v>
      </c>
      <c r="K23" s="51">
        <v>339.25</v>
      </c>
      <c r="L23" s="51">
        <v>26.35</v>
      </c>
      <c r="M23" s="51">
        <v>98.71</v>
      </c>
      <c r="N23" s="51">
        <v>280.8</v>
      </c>
      <c r="O23" s="51">
        <v>0</v>
      </c>
      <c r="P23" s="51">
        <v>0.56000000000000005</v>
      </c>
      <c r="Q23" s="51">
        <v>9.3800000000000008</v>
      </c>
      <c r="R23" s="43"/>
      <c r="S23" s="43"/>
      <c r="T23" s="43"/>
      <c r="U23" s="43"/>
    </row>
    <row r="24" spans="1:21" s="11" customFormat="1" x14ac:dyDescent="0.25">
      <c r="A24" s="50" t="s">
        <v>243</v>
      </c>
      <c r="B24" s="51">
        <v>14.15</v>
      </c>
      <c r="C24" s="51">
        <v>10.220000000000001</v>
      </c>
      <c r="D24" s="51">
        <v>16.64</v>
      </c>
      <c r="E24" s="51">
        <v>4.09</v>
      </c>
      <c r="F24" s="51">
        <v>9.2899999999999991</v>
      </c>
      <c r="G24" s="51">
        <v>43.36</v>
      </c>
      <c r="H24" s="8" t="s">
        <v>8</v>
      </c>
      <c r="I24" s="51">
        <v>2.1</v>
      </c>
      <c r="J24" s="51">
        <v>1.46</v>
      </c>
      <c r="K24" s="51">
        <v>340.24</v>
      </c>
      <c r="L24" s="51">
        <v>27.45</v>
      </c>
      <c r="M24" s="51">
        <v>98.51</v>
      </c>
      <c r="N24" s="51">
        <v>204.5</v>
      </c>
      <c r="O24" s="51">
        <v>0</v>
      </c>
      <c r="P24" s="51">
        <v>0.55000000000000004</v>
      </c>
      <c r="Q24" s="51">
        <v>9.44</v>
      </c>
      <c r="R24" s="43"/>
      <c r="S24" s="43"/>
      <c r="T24" s="43"/>
      <c r="U24" s="43"/>
    </row>
    <row r="25" spans="1:21" s="11" customFormat="1" x14ac:dyDescent="0.25">
      <c r="A25" s="50" t="s">
        <v>244</v>
      </c>
      <c r="B25" s="51">
        <v>24.49</v>
      </c>
      <c r="C25" s="51">
        <v>14.89</v>
      </c>
      <c r="D25" s="51">
        <v>27.39</v>
      </c>
      <c r="E25" s="51">
        <v>4.0599999999999996</v>
      </c>
      <c r="F25" s="51">
        <v>9.17</v>
      </c>
      <c r="G25" s="51">
        <v>53.21</v>
      </c>
      <c r="H25" s="8" t="s">
        <v>8</v>
      </c>
      <c r="I25" s="51">
        <v>1.99</v>
      </c>
      <c r="J25" s="51">
        <v>1.45</v>
      </c>
      <c r="K25" s="51">
        <v>339.26</v>
      </c>
      <c r="L25" s="51">
        <v>27.61</v>
      </c>
      <c r="M25" s="51">
        <v>98.49</v>
      </c>
      <c r="N25" s="51">
        <v>157.4</v>
      </c>
      <c r="O25" s="51">
        <v>0</v>
      </c>
      <c r="P25" s="51">
        <v>0.7</v>
      </c>
      <c r="Q25" s="51">
        <v>9.5299999999999994</v>
      </c>
      <c r="R25" s="43"/>
      <c r="S25" s="43"/>
      <c r="T25" s="43"/>
      <c r="U25" s="43"/>
    </row>
    <row r="26" spans="1:21" s="11" customFormat="1" x14ac:dyDescent="0.25">
      <c r="A26" s="50" t="s">
        <v>245</v>
      </c>
      <c r="B26" s="51">
        <v>36.44</v>
      </c>
      <c r="C26" s="51">
        <v>22.48</v>
      </c>
      <c r="D26" s="51">
        <v>38.5</v>
      </c>
      <c r="E26" s="51">
        <v>4.47</v>
      </c>
      <c r="F26" s="51">
        <v>6.84</v>
      </c>
      <c r="G26" s="51">
        <v>63.72</v>
      </c>
      <c r="H26" s="8" t="s">
        <v>8</v>
      </c>
      <c r="I26" s="51">
        <v>1.86</v>
      </c>
      <c r="J26" s="51">
        <v>0.51</v>
      </c>
      <c r="K26" s="51">
        <v>341.42</v>
      </c>
      <c r="L26" s="51">
        <v>26.78</v>
      </c>
      <c r="M26" s="51">
        <v>98.4</v>
      </c>
      <c r="N26" s="51">
        <v>42.8</v>
      </c>
      <c r="O26" s="51">
        <v>0</v>
      </c>
      <c r="P26" s="51">
        <v>1.72</v>
      </c>
      <c r="Q26" s="51">
        <v>9.61</v>
      </c>
      <c r="R26" s="43"/>
      <c r="S26" s="43"/>
      <c r="T26" s="43"/>
      <c r="U26" s="43"/>
    </row>
    <row r="27" spans="1:21" s="11" customFormat="1" x14ac:dyDescent="0.25">
      <c r="A27" s="50" t="s">
        <v>246</v>
      </c>
      <c r="B27" s="51">
        <v>42.36</v>
      </c>
      <c r="C27" s="51">
        <v>23.95</v>
      </c>
      <c r="D27" s="51">
        <v>44.6</v>
      </c>
      <c r="E27" s="51">
        <v>4.6900000000000004</v>
      </c>
      <c r="F27" s="51">
        <v>4.09</v>
      </c>
      <c r="G27" s="51">
        <v>73.58</v>
      </c>
      <c r="H27" s="8" t="s">
        <v>8</v>
      </c>
      <c r="I27" s="51">
        <v>2.17</v>
      </c>
      <c r="J27" s="51">
        <v>0.1</v>
      </c>
      <c r="K27" s="51">
        <v>355.93</v>
      </c>
      <c r="L27" s="51">
        <v>26.2</v>
      </c>
      <c r="M27" s="51">
        <v>98.35</v>
      </c>
      <c r="N27" s="51">
        <v>33.5</v>
      </c>
      <c r="O27" s="51">
        <v>0</v>
      </c>
      <c r="P27" s="51">
        <v>1.67</v>
      </c>
      <c r="Q27" s="51">
        <v>9.64</v>
      </c>
      <c r="R27" s="43"/>
      <c r="S27" s="43"/>
      <c r="T27" s="43"/>
      <c r="U27" s="43"/>
    </row>
    <row r="28" spans="1:21" s="11" customFormat="1" x14ac:dyDescent="0.25">
      <c r="A28" s="50" t="s">
        <v>247</v>
      </c>
      <c r="B28" s="51">
        <v>41.86</v>
      </c>
      <c r="C28" s="51">
        <v>14.78</v>
      </c>
      <c r="D28" s="51">
        <v>39.83</v>
      </c>
      <c r="E28" s="51">
        <v>4.6900000000000004</v>
      </c>
      <c r="F28" s="51">
        <v>3.48</v>
      </c>
      <c r="G28" s="51">
        <v>79.42</v>
      </c>
      <c r="H28" s="8" t="s">
        <v>8</v>
      </c>
      <c r="I28" s="51">
        <v>2.42</v>
      </c>
      <c r="J28" s="51">
        <v>0.38</v>
      </c>
      <c r="K28" s="51">
        <v>334.72</v>
      </c>
      <c r="L28" s="51">
        <v>25.72</v>
      </c>
      <c r="M28" s="51">
        <v>98.45</v>
      </c>
      <c r="N28" s="51">
        <v>32.5</v>
      </c>
      <c r="O28" s="51">
        <v>0</v>
      </c>
      <c r="P28" s="51">
        <v>2.06</v>
      </c>
      <c r="Q28" s="51">
        <v>9.65</v>
      </c>
      <c r="R28" s="43"/>
      <c r="S28" s="43"/>
      <c r="T28" s="43"/>
      <c r="U28" s="43"/>
    </row>
    <row r="29" spans="1:21" s="11" customFormat="1" x14ac:dyDescent="0.25">
      <c r="A29" s="50" t="s">
        <v>248</v>
      </c>
      <c r="B29" s="51">
        <v>42.67</v>
      </c>
      <c r="C29" s="51">
        <v>17.55</v>
      </c>
      <c r="D29" s="51">
        <v>41.49</v>
      </c>
      <c r="E29" s="51">
        <v>4.43</v>
      </c>
      <c r="F29" s="51">
        <v>3.03</v>
      </c>
      <c r="G29" s="51">
        <v>81.2</v>
      </c>
      <c r="H29" s="8" t="s">
        <v>8</v>
      </c>
      <c r="I29" s="51">
        <v>2.5499999999999998</v>
      </c>
      <c r="J29" s="51">
        <v>0.55000000000000004</v>
      </c>
      <c r="K29" s="51">
        <v>340.91</v>
      </c>
      <c r="L29" s="51">
        <v>25.52</v>
      </c>
      <c r="M29" s="51">
        <v>98.53</v>
      </c>
      <c r="N29" s="51">
        <v>32.5</v>
      </c>
      <c r="O29" s="51">
        <v>0</v>
      </c>
      <c r="P29" s="51">
        <v>1.44</v>
      </c>
      <c r="Q29" s="51">
        <v>9.66</v>
      </c>
      <c r="R29" s="43"/>
      <c r="S29" s="43"/>
      <c r="T29" s="43"/>
      <c r="U29" s="43"/>
    </row>
    <row r="30" spans="1:21" s="11" customFormat="1" x14ac:dyDescent="0.25">
      <c r="A30" s="50" t="s">
        <v>249</v>
      </c>
      <c r="B30" s="51">
        <v>82.11</v>
      </c>
      <c r="C30" s="51">
        <v>13.6</v>
      </c>
      <c r="D30" s="51">
        <v>66.38</v>
      </c>
      <c r="E30" s="51">
        <v>4.72</v>
      </c>
      <c r="F30" s="51">
        <v>3.45</v>
      </c>
      <c r="G30" s="51">
        <v>80.37</v>
      </c>
      <c r="H30" s="8" t="s">
        <v>8</v>
      </c>
      <c r="I30" s="51">
        <v>2.69</v>
      </c>
      <c r="J30" s="51">
        <v>0.11</v>
      </c>
      <c r="K30" s="51">
        <v>306.95</v>
      </c>
      <c r="L30" s="51">
        <v>24.85</v>
      </c>
      <c r="M30" s="51">
        <v>98.64</v>
      </c>
      <c r="N30" s="51">
        <v>32.299999999999997</v>
      </c>
      <c r="O30" s="51">
        <v>0</v>
      </c>
      <c r="P30" s="51">
        <v>2</v>
      </c>
      <c r="Q30" s="51">
        <v>9.68</v>
      </c>
      <c r="R30" s="43"/>
      <c r="S30" s="43"/>
      <c r="T30" s="43"/>
      <c r="U30" s="43"/>
    </row>
    <row r="31" spans="1:21" s="11" customFormat="1" x14ac:dyDescent="0.25">
      <c r="A31" s="50" t="s">
        <v>250</v>
      </c>
      <c r="B31" s="51">
        <v>22.49</v>
      </c>
      <c r="C31" s="51">
        <v>10.11</v>
      </c>
      <c r="D31" s="51">
        <v>20.68</v>
      </c>
      <c r="E31" s="51">
        <v>4.3600000000000003</v>
      </c>
      <c r="F31" s="51">
        <v>4.22</v>
      </c>
      <c r="G31" s="51">
        <v>80.19</v>
      </c>
      <c r="H31" s="8" t="s">
        <v>8</v>
      </c>
      <c r="I31" s="51">
        <v>2.72</v>
      </c>
      <c r="J31" s="51">
        <v>0.16</v>
      </c>
      <c r="K31" s="51">
        <v>279.57</v>
      </c>
      <c r="L31" s="51">
        <v>24.72</v>
      </c>
      <c r="M31" s="51">
        <v>98.69</v>
      </c>
      <c r="N31" s="51">
        <v>32.5</v>
      </c>
      <c r="O31" s="51">
        <v>0</v>
      </c>
      <c r="P31" s="51">
        <v>0.78</v>
      </c>
      <c r="Q31" s="51">
        <v>9.6999999999999993</v>
      </c>
      <c r="R31" s="43"/>
      <c r="S31" s="43"/>
      <c r="T31" s="43"/>
      <c r="U31" s="43"/>
    </row>
    <row r="32" spans="1:21" s="11" customFormat="1" x14ac:dyDescent="0.25">
      <c r="A32" s="50" t="s">
        <v>251</v>
      </c>
      <c r="B32" s="51">
        <v>20.13</v>
      </c>
      <c r="C32" s="51">
        <v>10.91</v>
      </c>
      <c r="D32" s="51">
        <v>20.61</v>
      </c>
      <c r="E32" s="51">
        <v>4.5</v>
      </c>
      <c r="F32" s="51">
        <v>5.36</v>
      </c>
      <c r="G32" s="51">
        <v>58.69</v>
      </c>
      <c r="H32" s="8" t="s">
        <v>8</v>
      </c>
      <c r="I32" s="51">
        <v>2.5099999999999998</v>
      </c>
      <c r="J32" s="51">
        <v>0.06</v>
      </c>
      <c r="K32" s="51">
        <v>318.87</v>
      </c>
      <c r="L32" s="51">
        <v>23.75</v>
      </c>
      <c r="M32" s="51">
        <v>98.74</v>
      </c>
      <c r="N32" s="51">
        <v>32.5</v>
      </c>
      <c r="O32" s="51">
        <v>0</v>
      </c>
      <c r="P32" s="51">
        <v>0.75</v>
      </c>
      <c r="Q32" s="51">
        <v>9.6999999999999993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7.85</v>
      </c>
      <c r="C34" s="28">
        <f t="shared" si="0"/>
        <v>7.2</v>
      </c>
      <c r="D34" s="28">
        <f t="shared" si="0"/>
        <v>10.11</v>
      </c>
      <c r="E34" s="28">
        <f t="shared" si="0"/>
        <v>1.1200000000000001</v>
      </c>
      <c r="F34" s="28">
        <f t="shared" si="0"/>
        <v>3.03</v>
      </c>
      <c r="G34" s="28">
        <f t="shared" si="0"/>
        <v>16.55</v>
      </c>
      <c r="H34" s="28">
        <f t="shared" si="0"/>
        <v>8.0399999999999991</v>
      </c>
      <c r="I34" s="28">
        <f t="shared" si="0"/>
        <v>1.23</v>
      </c>
      <c r="J34" s="28">
        <f t="shared" si="0"/>
        <v>0.06</v>
      </c>
      <c r="K34" s="28">
        <f t="shared" si="0"/>
        <v>136.27000000000001</v>
      </c>
      <c r="L34" s="28">
        <f t="shared" si="0"/>
        <v>22.77</v>
      </c>
      <c r="M34" s="28">
        <f t="shared" si="0"/>
        <v>90.74</v>
      </c>
      <c r="N34" s="28">
        <f t="shared" si="0"/>
        <v>30.1</v>
      </c>
      <c r="O34" s="28">
        <f t="shared" si="0"/>
        <v>0</v>
      </c>
      <c r="P34" s="28">
        <f t="shared" si="0"/>
        <v>0.13</v>
      </c>
      <c r="Q34" s="28">
        <f t="shared" si="0"/>
        <v>9.2899999999999991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82.11</v>
      </c>
      <c r="C35" s="29">
        <f t="shared" si="1"/>
        <v>23.95</v>
      </c>
      <c r="D35" s="29">
        <f t="shared" si="1"/>
        <v>66.38</v>
      </c>
      <c r="E35" s="29">
        <f t="shared" si="1"/>
        <v>4.72</v>
      </c>
      <c r="F35" s="29">
        <f t="shared" si="1"/>
        <v>12.08</v>
      </c>
      <c r="G35" s="29">
        <f t="shared" si="1"/>
        <v>132.07</v>
      </c>
      <c r="H35" s="29">
        <f t="shared" si="1"/>
        <v>22.43</v>
      </c>
      <c r="I35" s="29">
        <f t="shared" si="1"/>
        <v>2.82</v>
      </c>
      <c r="J35" s="29">
        <f t="shared" si="1"/>
        <v>1.67</v>
      </c>
      <c r="K35" s="29">
        <f t="shared" si="1"/>
        <v>355.93</v>
      </c>
      <c r="L35" s="29">
        <f t="shared" si="1"/>
        <v>31.94</v>
      </c>
      <c r="M35" s="29">
        <f t="shared" si="1"/>
        <v>98.74</v>
      </c>
      <c r="N35" s="29">
        <f t="shared" si="1"/>
        <v>927.6</v>
      </c>
      <c r="O35" s="29">
        <f t="shared" si="1"/>
        <v>0.8</v>
      </c>
      <c r="P35" s="29">
        <f t="shared" si="1"/>
        <v>2.06</v>
      </c>
      <c r="Q35" s="29">
        <f t="shared" si="1"/>
        <v>9.6999999999999993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20.249166666666671</v>
      </c>
      <c r="C36" s="28">
        <f t="shared" si="2"/>
        <v>12.45541666666667</v>
      </c>
      <c r="D36" s="28">
        <f t="shared" si="2"/>
        <v>21.516666666666666</v>
      </c>
      <c r="E36" s="28">
        <f t="shared" si="2"/>
        <v>3.5258333333333329</v>
      </c>
      <c r="F36" s="28">
        <f t="shared" si="2"/>
        <v>6.1537499999999996</v>
      </c>
      <c r="G36" s="28">
        <f t="shared" si="2"/>
        <v>55.413043478260867</v>
      </c>
      <c r="H36" s="28">
        <f t="shared" si="2"/>
        <v>12.4725</v>
      </c>
      <c r="I36" s="28">
        <f t="shared" si="2"/>
        <v>2.0570833333333334</v>
      </c>
      <c r="J36" s="28">
        <f t="shared" si="2"/>
        <v>0.45875000000000005</v>
      </c>
      <c r="K36" s="28">
        <f t="shared" si="2"/>
        <v>299.57458333333335</v>
      </c>
      <c r="L36" s="28">
        <f t="shared" si="2"/>
        <v>25.845833333333335</v>
      </c>
      <c r="M36" s="28">
        <f t="shared" si="2"/>
        <v>97.649999999999991</v>
      </c>
      <c r="N36" s="28">
        <f t="shared" si="2"/>
        <v>178.00833333333333</v>
      </c>
      <c r="O36" s="28">
        <f t="shared" si="2"/>
        <v>8.3333333333333329E-2</v>
      </c>
      <c r="P36" s="28">
        <f t="shared" si="2"/>
        <v>0.73791666666666667</v>
      </c>
      <c r="Q36" s="28">
        <f t="shared" si="2"/>
        <v>9.4833333333333325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17.502399069510606</v>
      </c>
      <c r="C37" s="28">
        <f t="shared" ref="C37:Q37" si="3">STDEV(C9:C32)</f>
        <v>4.0782274273604848</v>
      </c>
      <c r="D37" s="28">
        <f t="shared" si="3"/>
        <v>14.249978998204709</v>
      </c>
      <c r="E37" s="28">
        <f t="shared" si="3"/>
        <v>1.2007023910545283</v>
      </c>
      <c r="F37" s="28">
        <f t="shared" si="3"/>
        <v>2.2856562419842885</v>
      </c>
      <c r="G37" s="28">
        <f t="shared" si="3"/>
        <v>31.43690122289447</v>
      </c>
      <c r="H37" s="28">
        <f t="shared" si="3"/>
        <v>4.5883789543335896</v>
      </c>
      <c r="I37" s="28">
        <f t="shared" si="3"/>
        <v>0.54232574173178094</v>
      </c>
      <c r="J37" s="28">
        <f t="shared" si="3"/>
        <v>0.48558626601164329</v>
      </c>
      <c r="K37" s="28">
        <f t="shared" si="3"/>
        <v>60.615367184809479</v>
      </c>
      <c r="L37" s="28">
        <f t="shared" si="3"/>
        <v>2.81442389914133</v>
      </c>
      <c r="M37" s="28">
        <f t="shared" si="3"/>
        <v>2.1009231925202707</v>
      </c>
      <c r="N37" s="28">
        <f t="shared" si="3"/>
        <v>228.19429158097918</v>
      </c>
      <c r="O37" s="28">
        <f t="shared" si="3"/>
        <v>0.22778072344036163</v>
      </c>
      <c r="P37" s="28">
        <f t="shared" si="3"/>
        <v>0.58074898541277775</v>
      </c>
      <c r="Q37" s="28">
        <f t="shared" si="3"/>
        <v>0.13457393851536115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16" sqref="H16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252</v>
      </c>
      <c r="B9" s="51">
        <v>16.25</v>
      </c>
      <c r="C9" s="51">
        <v>11.79</v>
      </c>
      <c r="D9" s="51">
        <v>18.309999999999999</v>
      </c>
      <c r="E9" s="51">
        <v>5.07</v>
      </c>
      <c r="F9" s="51">
        <v>4.1399999999999997</v>
      </c>
      <c r="G9" s="51">
        <v>49.74</v>
      </c>
      <c r="H9" s="51">
        <v>1.6</v>
      </c>
      <c r="I9" s="51">
        <v>2.29</v>
      </c>
      <c r="J9" s="51">
        <v>0.08</v>
      </c>
      <c r="K9" s="51">
        <v>234.49</v>
      </c>
      <c r="L9" s="51">
        <v>23.83</v>
      </c>
      <c r="M9" s="51">
        <v>98.81</v>
      </c>
      <c r="N9" s="51">
        <v>32.4</v>
      </c>
      <c r="O9" s="51">
        <v>0</v>
      </c>
      <c r="P9" s="51">
        <v>0.68</v>
      </c>
      <c r="Q9" s="51">
        <v>9.68</v>
      </c>
      <c r="R9" s="43"/>
      <c r="S9" s="43"/>
      <c r="T9" s="43"/>
      <c r="U9" s="43"/>
    </row>
    <row r="10" spans="1:21" s="11" customFormat="1" x14ac:dyDescent="0.25">
      <c r="A10" s="50" t="s">
        <v>253</v>
      </c>
      <c r="B10" s="51">
        <v>12.91</v>
      </c>
      <c r="C10" s="51">
        <v>12.14</v>
      </c>
      <c r="D10" s="51">
        <v>15.77</v>
      </c>
      <c r="E10" s="51">
        <v>5.18</v>
      </c>
      <c r="F10" s="51">
        <v>5.77</v>
      </c>
      <c r="G10" s="51">
        <v>48.71</v>
      </c>
      <c r="H10" s="51">
        <v>1.58</v>
      </c>
      <c r="I10" s="51">
        <v>2.2999999999999998</v>
      </c>
      <c r="J10" s="51">
        <v>0.16</v>
      </c>
      <c r="K10" s="51">
        <v>180.75</v>
      </c>
      <c r="L10" s="51">
        <v>23.95</v>
      </c>
      <c r="M10" s="51">
        <v>98.82</v>
      </c>
      <c r="N10" s="51">
        <v>32.5</v>
      </c>
      <c r="O10" s="51">
        <v>0</v>
      </c>
      <c r="P10" s="51">
        <v>0.64</v>
      </c>
      <c r="Q10" s="51">
        <v>9.68</v>
      </c>
      <c r="R10" s="43"/>
      <c r="S10" s="43"/>
      <c r="T10" s="43"/>
      <c r="U10" s="43"/>
    </row>
    <row r="11" spans="1:21" s="11" customFormat="1" x14ac:dyDescent="0.25">
      <c r="A11" s="50" t="s">
        <v>254</v>
      </c>
      <c r="B11" s="51">
        <v>16.579999999999998</v>
      </c>
      <c r="C11" s="51">
        <v>5.36</v>
      </c>
      <c r="D11" s="51">
        <v>15.54</v>
      </c>
      <c r="E11" s="51">
        <v>5.0999999999999996</v>
      </c>
      <c r="F11" s="51">
        <v>8.48</v>
      </c>
      <c r="G11" s="51">
        <v>45.2</v>
      </c>
      <c r="H11" s="51">
        <v>1.2</v>
      </c>
      <c r="I11" s="51">
        <v>2.3199999999999998</v>
      </c>
      <c r="J11" s="51">
        <v>0.11</v>
      </c>
      <c r="K11" s="51">
        <v>218.79</v>
      </c>
      <c r="L11" s="51">
        <v>23.81</v>
      </c>
      <c r="M11" s="51">
        <v>98.73</v>
      </c>
      <c r="N11" s="51">
        <v>32.5</v>
      </c>
      <c r="O11" s="51">
        <v>0</v>
      </c>
      <c r="P11" s="51">
        <v>0.5</v>
      </c>
      <c r="Q11" s="51">
        <v>9.67</v>
      </c>
      <c r="R11" s="43"/>
      <c r="S11" s="43"/>
      <c r="T11" s="43"/>
      <c r="U11" s="43"/>
    </row>
    <row r="12" spans="1:21" s="11" customFormat="1" x14ac:dyDescent="0.25">
      <c r="A12" s="50" t="s">
        <v>255</v>
      </c>
      <c r="B12" s="51">
        <v>12.43</v>
      </c>
      <c r="C12" s="51">
        <v>6.82</v>
      </c>
      <c r="D12" s="51">
        <v>13.14</v>
      </c>
      <c r="E12" s="51">
        <v>5.2</v>
      </c>
      <c r="F12" s="51">
        <v>6.22</v>
      </c>
      <c r="G12" s="51">
        <v>35.979999999999997</v>
      </c>
      <c r="H12" s="51">
        <v>1.1000000000000001</v>
      </c>
      <c r="I12" s="51">
        <v>2.14</v>
      </c>
      <c r="J12" s="51">
        <v>7.0000000000000007E-2</v>
      </c>
      <c r="K12" s="51">
        <v>275.02999999999997</v>
      </c>
      <c r="L12" s="51">
        <v>23.46</v>
      </c>
      <c r="M12" s="51">
        <v>98.65</v>
      </c>
      <c r="N12" s="51">
        <v>32.5</v>
      </c>
      <c r="O12" s="51">
        <v>0</v>
      </c>
      <c r="P12" s="51">
        <v>0.42</v>
      </c>
      <c r="Q12" s="51">
        <v>9.66</v>
      </c>
      <c r="R12" s="43"/>
      <c r="S12" s="43"/>
      <c r="T12" s="43"/>
      <c r="U12" s="43"/>
    </row>
    <row r="13" spans="1:21" s="11" customFormat="1" x14ac:dyDescent="0.25">
      <c r="A13" s="50" t="s">
        <v>256</v>
      </c>
      <c r="B13" s="51">
        <v>12.97</v>
      </c>
      <c r="C13" s="51">
        <v>7.73</v>
      </c>
      <c r="D13" s="51">
        <v>13.1</v>
      </c>
      <c r="E13" s="51">
        <v>4.79</v>
      </c>
      <c r="F13" s="51">
        <v>5.1100000000000003</v>
      </c>
      <c r="G13" s="51">
        <v>24.07</v>
      </c>
      <c r="H13" s="51">
        <v>1.93</v>
      </c>
      <c r="I13" s="51">
        <v>1.92</v>
      </c>
      <c r="J13" s="51">
        <v>0.22</v>
      </c>
      <c r="K13" s="51">
        <v>182.94</v>
      </c>
      <c r="L13" s="51">
        <v>23.29</v>
      </c>
      <c r="M13" s="51">
        <v>98.64</v>
      </c>
      <c r="N13" s="51">
        <v>32.299999999999997</v>
      </c>
      <c r="O13" s="51">
        <v>0</v>
      </c>
      <c r="P13" s="51">
        <v>0.46</v>
      </c>
      <c r="Q13" s="51">
        <v>9.64</v>
      </c>
      <c r="R13" s="43"/>
      <c r="S13" s="43"/>
      <c r="T13" s="43"/>
      <c r="U13" s="43"/>
    </row>
    <row r="14" spans="1:21" s="11" customFormat="1" x14ac:dyDescent="0.25">
      <c r="A14" s="50" t="s">
        <v>257</v>
      </c>
      <c r="B14" s="51">
        <v>13.22</v>
      </c>
      <c r="C14" s="51">
        <v>7.79</v>
      </c>
      <c r="D14" s="51">
        <v>14.4</v>
      </c>
      <c r="E14" s="51">
        <v>4.91</v>
      </c>
      <c r="F14" s="51">
        <v>4.04</v>
      </c>
      <c r="G14" s="51">
        <v>24.19</v>
      </c>
      <c r="H14" s="51">
        <v>2.27</v>
      </c>
      <c r="I14" s="51">
        <v>1.75</v>
      </c>
      <c r="J14" s="51">
        <v>0.13</v>
      </c>
      <c r="K14" s="51">
        <v>262.73</v>
      </c>
      <c r="L14" s="51">
        <v>23.17</v>
      </c>
      <c r="M14" s="51">
        <v>98.63</v>
      </c>
      <c r="N14" s="51">
        <v>41.3</v>
      </c>
      <c r="O14" s="51">
        <v>0</v>
      </c>
      <c r="P14" s="51">
        <v>0.35</v>
      </c>
      <c r="Q14" s="51">
        <v>9.6199999999999992</v>
      </c>
      <c r="R14" s="43"/>
      <c r="S14" s="43"/>
      <c r="T14" s="43"/>
      <c r="U14" s="43"/>
    </row>
    <row r="15" spans="1:21" s="11" customFormat="1" x14ac:dyDescent="0.25">
      <c r="A15" s="50" t="s">
        <v>258</v>
      </c>
      <c r="B15" s="51">
        <v>19.11</v>
      </c>
      <c r="C15" s="51">
        <v>6.56</v>
      </c>
      <c r="D15" s="51">
        <v>18.54</v>
      </c>
      <c r="E15" s="51">
        <v>5.0599999999999996</v>
      </c>
      <c r="F15" s="51">
        <v>4.2</v>
      </c>
      <c r="G15" s="51">
        <v>22.49</v>
      </c>
      <c r="H15" s="51">
        <v>0.59</v>
      </c>
      <c r="I15" s="51">
        <v>1.73</v>
      </c>
      <c r="J15" s="51">
        <v>0.19</v>
      </c>
      <c r="K15" s="51">
        <v>275.2</v>
      </c>
      <c r="L15" s="51">
        <v>24.34</v>
      </c>
      <c r="M15" s="51">
        <v>98.5</v>
      </c>
      <c r="N15" s="51">
        <v>125.2</v>
      </c>
      <c r="O15" s="51">
        <v>0</v>
      </c>
      <c r="P15" s="51">
        <v>0.5</v>
      </c>
      <c r="Q15" s="51">
        <v>9.61</v>
      </c>
      <c r="R15" s="43"/>
      <c r="S15" s="43"/>
      <c r="T15" s="43"/>
      <c r="U15" s="43"/>
    </row>
    <row r="16" spans="1:21" s="11" customFormat="1" x14ac:dyDescent="0.25">
      <c r="A16" s="50" t="s">
        <v>259</v>
      </c>
      <c r="B16" s="51">
        <v>24.11</v>
      </c>
      <c r="C16" s="51">
        <v>8.34</v>
      </c>
      <c r="D16" s="51">
        <v>23.47</v>
      </c>
      <c r="E16" s="51">
        <v>5.47</v>
      </c>
      <c r="F16" s="51">
        <v>5.32</v>
      </c>
      <c r="G16" s="51">
        <v>27.93</v>
      </c>
      <c r="H16" s="51">
        <v>0.17</v>
      </c>
      <c r="I16" s="51">
        <v>1.7</v>
      </c>
      <c r="J16" s="51">
        <v>0.26</v>
      </c>
      <c r="K16" s="51">
        <v>354.09</v>
      </c>
      <c r="L16" s="51">
        <v>26.08</v>
      </c>
      <c r="M16" s="51">
        <v>98.45</v>
      </c>
      <c r="N16" s="51">
        <v>212.3</v>
      </c>
      <c r="O16" s="51">
        <v>0</v>
      </c>
      <c r="P16" s="51">
        <v>0.69</v>
      </c>
      <c r="Q16" s="51">
        <v>9.59</v>
      </c>
      <c r="R16" s="43"/>
      <c r="S16" s="43"/>
      <c r="T16" s="43"/>
      <c r="U16" s="43"/>
    </row>
    <row r="17" spans="1:21" s="11" customFormat="1" x14ac:dyDescent="0.25">
      <c r="A17" s="50" t="s">
        <v>260</v>
      </c>
      <c r="B17" s="51">
        <v>18.88</v>
      </c>
      <c r="C17" s="51">
        <v>9.73</v>
      </c>
      <c r="D17" s="51">
        <v>20.07</v>
      </c>
      <c r="E17" s="51">
        <v>5.05</v>
      </c>
      <c r="F17" s="51">
        <v>8.67</v>
      </c>
      <c r="G17" s="51">
        <v>34.14</v>
      </c>
      <c r="H17" s="51">
        <v>0.26</v>
      </c>
      <c r="I17" s="51">
        <v>1.61</v>
      </c>
      <c r="J17" s="51">
        <v>0.37</v>
      </c>
      <c r="K17" s="51">
        <v>354.59</v>
      </c>
      <c r="L17" s="51">
        <v>32.04</v>
      </c>
      <c r="M17" s="51">
        <v>97.9</v>
      </c>
      <c r="N17" s="51">
        <v>562</v>
      </c>
      <c r="O17" s="51">
        <v>0</v>
      </c>
      <c r="P17" s="51">
        <v>0.51</v>
      </c>
      <c r="Q17" s="51">
        <v>9.6199999999999992</v>
      </c>
      <c r="R17" s="43"/>
      <c r="S17" s="43"/>
      <c r="T17" s="43"/>
      <c r="U17" s="43"/>
    </row>
    <row r="18" spans="1:21" s="11" customFormat="1" x14ac:dyDescent="0.25">
      <c r="A18" s="50" t="s">
        <v>261</v>
      </c>
      <c r="B18" s="51">
        <v>17.239999999999998</v>
      </c>
      <c r="C18" s="51">
        <v>15.41</v>
      </c>
      <c r="D18" s="51">
        <v>20.93</v>
      </c>
      <c r="E18" s="51">
        <v>5.36</v>
      </c>
      <c r="F18" s="51">
        <v>12.53</v>
      </c>
      <c r="G18" s="51">
        <v>37.11</v>
      </c>
      <c r="H18" s="51">
        <v>0.6</v>
      </c>
      <c r="I18" s="51">
        <v>1.64</v>
      </c>
      <c r="J18" s="51">
        <v>0.43</v>
      </c>
      <c r="K18" s="51">
        <v>135.09</v>
      </c>
      <c r="L18" s="51">
        <v>32.79</v>
      </c>
      <c r="M18" s="51">
        <v>89.64</v>
      </c>
      <c r="N18" s="51">
        <v>609.9</v>
      </c>
      <c r="O18" s="51">
        <v>0</v>
      </c>
      <c r="P18" s="51">
        <v>0.57999999999999996</v>
      </c>
      <c r="Q18" s="51">
        <v>9.65</v>
      </c>
      <c r="R18" s="43"/>
      <c r="S18" s="43"/>
      <c r="T18" s="43"/>
      <c r="U18" s="43"/>
    </row>
    <row r="19" spans="1:21" s="11" customFormat="1" x14ac:dyDescent="0.25">
      <c r="A19" s="50" t="s">
        <v>262</v>
      </c>
      <c r="B19" s="51">
        <v>15.85</v>
      </c>
      <c r="C19" s="51">
        <v>18.079999999999998</v>
      </c>
      <c r="D19" s="51">
        <v>22.13</v>
      </c>
      <c r="E19" s="51">
        <v>5.48</v>
      </c>
      <c r="F19" s="51">
        <v>18.62</v>
      </c>
      <c r="G19" s="51">
        <v>37.29</v>
      </c>
      <c r="H19" s="51">
        <v>0.8</v>
      </c>
      <c r="I19" s="51">
        <v>1.68</v>
      </c>
      <c r="J19" s="51">
        <v>0.48</v>
      </c>
      <c r="K19" s="51">
        <v>338.47</v>
      </c>
      <c r="L19" s="51">
        <v>30.29</v>
      </c>
      <c r="M19" s="51">
        <v>87.18</v>
      </c>
      <c r="N19" s="51">
        <v>622.6</v>
      </c>
      <c r="O19" s="51">
        <v>0</v>
      </c>
      <c r="P19" s="51">
        <v>0.73</v>
      </c>
      <c r="Q19" s="51">
        <v>9.6300000000000008</v>
      </c>
      <c r="R19" s="43"/>
      <c r="S19" s="43"/>
      <c r="T19" s="43"/>
      <c r="U19" s="43"/>
    </row>
    <row r="20" spans="1:21" s="11" customFormat="1" x14ac:dyDescent="0.25">
      <c r="A20" s="50" t="s">
        <v>263</v>
      </c>
      <c r="B20" s="51">
        <v>9.25</v>
      </c>
      <c r="C20" s="51">
        <v>25.78</v>
      </c>
      <c r="D20" s="51">
        <v>20.89</v>
      </c>
      <c r="E20" s="51">
        <v>5.22</v>
      </c>
      <c r="F20" s="51">
        <v>15.75</v>
      </c>
      <c r="G20" s="51">
        <v>35.700000000000003</v>
      </c>
      <c r="H20" s="51">
        <v>0.59</v>
      </c>
      <c r="I20" s="51">
        <v>1.65</v>
      </c>
      <c r="J20" s="51">
        <v>0.52</v>
      </c>
      <c r="K20" s="51">
        <v>324.89</v>
      </c>
      <c r="L20" s="51">
        <v>30.23</v>
      </c>
      <c r="M20" s="51">
        <v>91</v>
      </c>
      <c r="N20" s="51">
        <v>376.8</v>
      </c>
      <c r="O20" s="51">
        <v>0</v>
      </c>
      <c r="P20" s="51">
        <v>0.7</v>
      </c>
      <c r="Q20" s="51">
        <v>9.23</v>
      </c>
      <c r="R20" s="43"/>
      <c r="S20" s="43"/>
      <c r="T20" s="43"/>
      <c r="U20" s="43"/>
    </row>
    <row r="21" spans="1:21" s="11" customFormat="1" x14ac:dyDescent="0.25">
      <c r="A21" s="50" t="s">
        <v>264</v>
      </c>
      <c r="B21" s="51">
        <v>15.98</v>
      </c>
      <c r="C21" s="51">
        <v>27.68</v>
      </c>
      <c r="D21" s="51">
        <v>27.28</v>
      </c>
      <c r="E21" s="51">
        <v>5.47</v>
      </c>
      <c r="F21" s="51">
        <v>14.26</v>
      </c>
      <c r="G21" s="51">
        <v>64.86</v>
      </c>
      <c r="H21" s="51">
        <v>0.24</v>
      </c>
      <c r="I21" s="51">
        <v>1.89</v>
      </c>
      <c r="J21" s="51">
        <v>0.19</v>
      </c>
      <c r="K21" s="51">
        <v>322.89999999999998</v>
      </c>
      <c r="L21" s="51">
        <v>30.69</v>
      </c>
      <c r="M21" s="51">
        <v>92.13</v>
      </c>
      <c r="N21" s="51">
        <v>605.4</v>
      </c>
      <c r="O21" s="51">
        <v>0</v>
      </c>
      <c r="P21" s="51">
        <v>0.92</v>
      </c>
      <c r="Q21" s="51">
        <v>9.34</v>
      </c>
      <c r="R21" s="43"/>
      <c r="S21" s="43"/>
      <c r="T21" s="43"/>
      <c r="U21" s="43"/>
    </row>
    <row r="22" spans="1:21" s="11" customFormat="1" x14ac:dyDescent="0.25">
      <c r="A22" s="50" t="s">
        <v>265</v>
      </c>
      <c r="B22" s="51">
        <v>11.45</v>
      </c>
      <c r="C22" s="51">
        <v>24.24</v>
      </c>
      <c r="D22" s="51">
        <v>21.65</v>
      </c>
      <c r="E22" s="51">
        <v>5.92</v>
      </c>
      <c r="F22" s="51">
        <v>25.3</v>
      </c>
      <c r="G22" s="51">
        <v>108.95</v>
      </c>
      <c r="H22" s="51">
        <v>11.41</v>
      </c>
      <c r="I22" s="51">
        <v>1.9</v>
      </c>
      <c r="J22" s="51">
        <v>0.74</v>
      </c>
      <c r="K22" s="51">
        <v>351.28</v>
      </c>
      <c r="L22" s="51">
        <v>32.03</v>
      </c>
      <c r="M22" s="51">
        <v>79.45</v>
      </c>
      <c r="N22" s="51">
        <v>326.8</v>
      </c>
      <c r="O22" s="51">
        <v>0</v>
      </c>
      <c r="P22" s="51">
        <v>0.75</v>
      </c>
      <c r="Q22" s="51">
        <v>9.3000000000000007</v>
      </c>
      <c r="R22" s="43"/>
      <c r="S22" s="43"/>
      <c r="T22" s="43"/>
      <c r="U22" s="43"/>
    </row>
    <row r="23" spans="1:21" s="11" customFormat="1" x14ac:dyDescent="0.25">
      <c r="A23" s="50" t="s">
        <v>266</v>
      </c>
      <c r="B23" s="51">
        <v>4.7699999999999996</v>
      </c>
      <c r="C23" s="51">
        <v>13.04</v>
      </c>
      <c r="D23" s="51">
        <v>10.64</v>
      </c>
      <c r="E23" s="51">
        <v>5.21</v>
      </c>
      <c r="F23" s="51">
        <v>25.31</v>
      </c>
      <c r="G23" s="51">
        <v>130.09</v>
      </c>
      <c r="H23" s="51">
        <v>6.28</v>
      </c>
      <c r="I23" s="51">
        <v>1.95</v>
      </c>
      <c r="J23" s="51">
        <v>0.85</v>
      </c>
      <c r="K23" s="51">
        <v>140.59</v>
      </c>
      <c r="L23" s="51">
        <v>30.38</v>
      </c>
      <c r="M23" s="51">
        <v>74.25</v>
      </c>
      <c r="N23" s="51">
        <v>227.6</v>
      </c>
      <c r="O23" s="51">
        <v>0</v>
      </c>
      <c r="P23" s="51">
        <v>0.3</v>
      </c>
      <c r="Q23" s="51">
        <v>9.3000000000000007</v>
      </c>
      <c r="R23" s="43"/>
      <c r="S23" s="43"/>
      <c r="T23" s="43"/>
      <c r="U23" s="43"/>
    </row>
    <row r="24" spans="1:21" s="11" customFormat="1" x14ac:dyDescent="0.25">
      <c r="A24" s="50" t="s">
        <v>267</v>
      </c>
      <c r="B24" s="51">
        <v>5.77</v>
      </c>
      <c r="C24" s="51">
        <v>15.39</v>
      </c>
      <c r="D24" s="51">
        <v>12.67</v>
      </c>
      <c r="E24" s="51">
        <v>5.53</v>
      </c>
      <c r="F24" s="51">
        <v>27.07</v>
      </c>
      <c r="G24" s="51">
        <v>91.84</v>
      </c>
      <c r="H24" s="51">
        <v>6.28</v>
      </c>
      <c r="I24" s="51">
        <v>1.88</v>
      </c>
      <c r="J24" s="51">
        <v>0.55000000000000004</v>
      </c>
      <c r="K24" s="51">
        <v>359.31</v>
      </c>
      <c r="L24" s="51">
        <v>30.68</v>
      </c>
      <c r="M24" s="51">
        <v>78.650000000000006</v>
      </c>
      <c r="N24" s="51">
        <v>189.1</v>
      </c>
      <c r="O24" s="51">
        <v>0</v>
      </c>
      <c r="P24" s="51">
        <v>0.45</v>
      </c>
      <c r="Q24" s="51">
        <v>9.2899999999999991</v>
      </c>
      <c r="R24" s="43"/>
      <c r="S24" s="43"/>
      <c r="T24" s="43"/>
      <c r="U24" s="43"/>
    </row>
    <row r="25" spans="1:21" s="11" customFormat="1" x14ac:dyDescent="0.25">
      <c r="A25" s="50" t="s">
        <v>268</v>
      </c>
      <c r="B25" s="51">
        <v>5.2</v>
      </c>
      <c r="C25" s="51">
        <v>18.71</v>
      </c>
      <c r="D25" s="51">
        <v>13.95</v>
      </c>
      <c r="E25" s="51">
        <v>4.34</v>
      </c>
      <c r="F25" s="51">
        <v>29.55</v>
      </c>
      <c r="G25" s="51">
        <v>80.91</v>
      </c>
      <c r="H25" s="51">
        <v>6.28</v>
      </c>
      <c r="I25" s="51">
        <v>1.68</v>
      </c>
      <c r="J25" s="51">
        <v>0.4</v>
      </c>
      <c r="K25" s="51">
        <v>127.11</v>
      </c>
      <c r="L25" s="51">
        <v>30.28</v>
      </c>
      <c r="M25" s="51">
        <v>79.61</v>
      </c>
      <c r="N25" s="51">
        <v>122</v>
      </c>
      <c r="O25" s="51">
        <v>0</v>
      </c>
      <c r="P25" s="51">
        <v>0.28000000000000003</v>
      </c>
      <c r="Q25" s="51">
        <v>9.25</v>
      </c>
      <c r="R25" s="43"/>
      <c r="S25" s="43"/>
      <c r="T25" s="43"/>
      <c r="U25" s="43"/>
    </row>
    <row r="26" spans="1:21" s="11" customFormat="1" x14ac:dyDescent="0.25">
      <c r="A26" s="50" t="s">
        <v>269</v>
      </c>
      <c r="B26" s="51">
        <v>8.0500000000000007</v>
      </c>
      <c r="C26" s="51">
        <v>23.71</v>
      </c>
      <c r="D26" s="51">
        <v>18.84</v>
      </c>
      <c r="E26" s="51">
        <v>4.83</v>
      </c>
      <c r="F26" s="51">
        <v>26.77</v>
      </c>
      <c r="G26" s="51">
        <v>77.31</v>
      </c>
      <c r="H26" s="51">
        <v>6.28</v>
      </c>
      <c r="I26" s="51">
        <v>1.56</v>
      </c>
      <c r="J26" s="51">
        <v>0.27</v>
      </c>
      <c r="K26" s="51">
        <v>346.94</v>
      </c>
      <c r="L26" s="51">
        <v>29.42</v>
      </c>
      <c r="M26" s="51">
        <v>82.75</v>
      </c>
      <c r="N26" s="51">
        <v>63.8</v>
      </c>
      <c r="O26" s="51">
        <v>0</v>
      </c>
      <c r="P26" s="51">
        <v>0.71</v>
      </c>
      <c r="Q26" s="51">
        <v>9.24</v>
      </c>
      <c r="R26" s="43"/>
      <c r="S26" s="43"/>
      <c r="T26" s="43"/>
      <c r="U26" s="43"/>
    </row>
    <row r="27" spans="1:21" s="11" customFormat="1" x14ac:dyDescent="0.25">
      <c r="A27" s="50" t="s">
        <v>270</v>
      </c>
      <c r="B27" s="51">
        <v>36.44</v>
      </c>
      <c r="C27" s="51">
        <v>38.22</v>
      </c>
      <c r="D27" s="51">
        <v>48.8</v>
      </c>
      <c r="E27" s="51">
        <v>4.87</v>
      </c>
      <c r="F27" s="51">
        <v>21.29</v>
      </c>
      <c r="G27" s="51">
        <v>95.32</v>
      </c>
      <c r="H27" s="51">
        <v>6.28</v>
      </c>
      <c r="I27" s="51">
        <v>1.49</v>
      </c>
      <c r="J27" s="51">
        <v>0.16</v>
      </c>
      <c r="K27" s="51">
        <v>333.25</v>
      </c>
      <c r="L27" s="51">
        <v>28.44</v>
      </c>
      <c r="M27" s="51">
        <v>97.74</v>
      </c>
      <c r="N27" s="51">
        <v>33</v>
      </c>
      <c r="O27" s="51">
        <v>0</v>
      </c>
      <c r="P27" s="51">
        <v>2.21</v>
      </c>
      <c r="Q27" s="51">
        <v>9.36</v>
      </c>
      <c r="R27" s="43"/>
      <c r="S27" s="43"/>
      <c r="T27" s="43"/>
      <c r="U27" s="43"/>
    </row>
    <row r="28" spans="1:21" s="11" customFormat="1" x14ac:dyDescent="0.25">
      <c r="A28" s="50" t="s">
        <v>271</v>
      </c>
      <c r="B28" s="51">
        <v>39.57</v>
      </c>
      <c r="C28" s="51">
        <v>37.68</v>
      </c>
      <c r="D28" s="51">
        <v>50.22</v>
      </c>
      <c r="E28" s="51">
        <v>4.87</v>
      </c>
      <c r="F28" s="51">
        <v>7.27</v>
      </c>
      <c r="G28" s="51">
        <v>117.23</v>
      </c>
      <c r="H28" s="51">
        <v>6.7</v>
      </c>
      <c r="I28" s="51">
        <v>1.96</v>
      </c>
      <c r="J28" s="51">
        <v>0.14000000000000001</v>
      </c>
      <c r="K28" s="51">
        <v>343.03</v>
      </c>
      <c r="L28" s="51">
        <v>27</v>
      </c>
      <c r="M28" s="51">
        <v>97.74</v>
      </c>
      <c r="N28" s="51">
        <v>32.299999999999997</v>
      </c>
      <c r="O28" s="51">
        <v>0</v>
      </c>
      <c r="P28" s="51">
        <v>1.79</v>
      </c>
      <c r="Q28" s="51">
        <v>9.51</v>
      </c>
      <c r="R28" s="43"/>
      <c r="S28" s="43"/>
      <c r="T28" s="43"/>
      <c r="U28" s="43"/>
    </row>
    <row r="29" spans="1:21" s="11" customFormat="1" x14ac:dyDescent="0.25">
      <c r="A29" s="50" t="s">
        <v>272</v>
      </c>
      <c r="B29" s="51">
        <v>45.95</v>
      </c>
      <c r="C29" s="51">
        <v>39.76</v>
      </c>
      <c r="D29" s="51">
        <v>54.6</v>
      </c>
      <c r="E29" s="51">
        <v>4.82</v>
      </c>
      <c r="F29" s="51">
        <v>4.7300000000000004</v>
      </c>
      <c r="G29" s="51">
        <v>125.65</v>
      </c>
      <c r="H29" s="51">
        <v>6.8</v>
      </c>
      <c r="I29" s="51">
        <v>2.3199999999999998</v>
      </c>
      <c r="J29" s="51">
        <v>7.0000000000000007E-2</v>
      </c>
      <c r="K29" s="51">
        <v>307.47000000000003</v>
      </c>
      <c r="L29" s="51">
        <v>27.08</v>
      </c>
      <c r="M29" s="51">
        <v>97.74</v>
      </c>
      <c r="N29" s="51">
        <v>32.5</v>
      </c>
      <c r="O29" s="51">
        <v>0</v>
      </c>
      <c r="P29" s="51">
        <v>1.88</v>
      </c>
      <c r="Q29" s="51">
        <v>9.6199999999999992</v>
      </c>
      <c r="R29" s="43"/>
      <c r="S29" s="43"/>
      <c r="T29" s="43"/>
      <c r="U29" s="43"/>
    </row>
    <row r="30" spans="1:21" s="11" customFormat="1" x14ac:dyDescent="0.25">
      <c r="A30" s="50" t="s">
        <v>273</v>
      </c>
      <c r="B30" s="51">
        <v>23.79</v>
      </c>
      <c r="C30" s="51">
        <v>41.88</v>
      </c>
      <c r="D30" s="51">
        <v>37.65</v>
      </c>
      <c r="E30" s="51">
        <v>4.47</v>
      </c>
      <c r="F30" s="51">
        <v>6.08</v>
      </c>
      <c r="G30" s="51">
        <v>124.12</v>
      </c>
      <c r="H30" s="51">
        <v>11.17</v>
      </c>
      <c r="I30" s="51">
        <v>2.62</v>
      </c>
      <c r="J30" s="51">
        <v>0.31</v>
      </c>
      <c r="K30" s="51">
        <v>317.99</v>
      </c>
      <c r="L30" s="51">
        <v>26.95</v>
      </c>
      <c r="M30" s="51">
        <v>97.77</v>
      </c>
      <c r="N30" s="51">
        <v>33.299999999999997</v>
      </c>
      <c r="O30" s="51">
        <v>0</v>
      </c>
      <c r="P30" s="51">
        <v>1.26</v>
      </c>
      <c r="Q30" s="51">
        <v>9.64</v>
      </c>
      <c r="R30" s="43"/>
      <c r="S30" s="43"/>
      <c r="T30" s="43"/>
      <c r="U30" s="43"/>
    </row>
    <row r="31" spans="1:21" s="11" customFormat="1" x14ac:dyDescent="0.25">
      <c r="A31" s="50" t="s">
        <v>274</v>
      </c>
      <c r="B31" s="51">
        <v>21.29</v>
      </c>
      <c r="C31" s="51">
        <v>24.5</v>
      </c>
      <c r="D31" s="51">
        <v>28.6</v>
      </c>
      <c r="E31" s="51">
        <v>4.0599999999999996</v>
      </c>
      <c r="F31" s="51">
        <v>9.07</v>
      </c>
      <c r="G31" s="51">
        <v>104.12</v>
      </c>
      <c r="H31" s="51">
        <v>6.37</v>
      </c>
      <c r="I31" s="51">
        <v>2.65</v>
      </c>
      <c r="J31" s="51">
        <v>0.31</v>
      </c>
      <c r="K31" s="51">
        <v>344.52</v>
      </c>
      <c r="L31" s="51">
        <v>25.49</v>
      </c>
      <c r="M31" s="51">
        <v>97.78</v>
      </c>
      <c r="N31" s="51">
        <v>32.799999999999997</v>
      </c>
      <c r="O31" s="51">
        <v>0</v>
      </c>
      <c r="P31" s="51">
        <v>1.44</v>
      </c>
      <c r="Q31" s="51">
        <v>9.64</v>
      </c>
      <c r="R31" s="43"/>
      <c r="S31" s="43"/>
      <c r="T31" s="43"/>
      <c r="U31" s="43"/>
    </row>
    <row r="32" spans="1:21" s="11" customFormat="1" x14ac:dyDescent="0.25">
      <c r="A32" s="50" t="s">
        <v>275</v>
      </c>
      <c r="B32" s="51">
        <v>13.88</v>
      </c>
      <c r="C32" s="51">
        <v>21.84</v>
      </c>
      <c r="D32" s="51">
        <v>20.079999999999998</v>
      </c>
      <c r="E32" s="51">
        <v>4.42</v>
      </c>
      <c r="F32" s="51">
        <v>8.25</v>
      </c>
      <c r="G32" s="51">
        <v>99.69</v>
      </c>
      <c r="H32" s="51">
        <v>6.28</v>
      </c>
      <c r="I32" s="51">
        <v>2.76</v>
      </c>
      <c r="J32" s="51">
        <v>0.87</v>
      </c>
      <c r="K32" s="51">
        <v>338.22</v>
      </c>
      <c r="L32" s="51">
        <v>25.22</v>
      </c>
      <c r="M32" s="51">
        <v>97.85</v>
      </c>
      <c r="N32" s="51">
        <v>32.6</v>
      </c>
      <c r="O32" s="51">
        <v>0</v>
      </c>
      <c r="P32" s="51">
        <v>1.23</v>
      </c>
      <c r="Q32" s="51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4.7699999999999996</v>
      </c>
      <c r="C34" s="28">
        <f t="shared" si="0"/>
        <v>5.36</v>
      </c>
      <c r="D34" s="28">
        <f t="shared" si="0"/>
        <v>10.64</v>
      </c>
      <c r="E34" s="28">
        <f t="shared" si="0"/>
        <v>4.0599999999999996</v>
      </c>
      <c r="F34" s="28">
        <f t="shared" si="0"/>
        <v>4.04</v>
      </c>
      <c r="G34" s="28">
        <f t="shared" si="0"/>
        <v>22.49</v>
      </c>
      <c r="H34" s="28">
        <f t="shared" si="0"/>
        <v>0.17</v>
      </c>
      <c r="I34" s="28">
        <f t="shared" si="0"/>
        <v>1.49</v>
      </c>
      <c r="J34" s="28">
        <f t="shared" si="0"/>
        <v>7.0000000000000007E-2</v>
      </c>
      <c r="K34" s="28">
        <f t="shared" si="0"/>
        <v>127.11</v>
      </c>
      <c r="L34" s="28">
        <f t="shared" si="0"/>
        <v>23.17</v>
      </c>
      <c r="M34" s="28">
        <f t="shared" si="0"/>
        <v>74.25</v>
      </c>
      <c r="N34" s="28">
        <f t="shared" si="0"/>
        <v>32.299999999999997</v>
      </c>
      <c r="O34" s="28">
        <f t="shared" si="0"/>
        <v>0</v>
      </c>
      <c r="P34" s="28">
        <f t="shared" si="0"/>
        <v>0.28000000000000003</v>
      </c>
      <c r="Q34" s="28">
        <f t="shared" si="0"/>
        <v>9.23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45.95</v>
      </c>
      <c r="C35" s="29">
        <f t="shared" si="1"/>
        <v>41.88</v>
      </c>
      <c r="D35" s="29">
        <f t="shared" si="1"/>
        <v>54.6</v>
      </c>
      <c r="E35" s="29">
        <f t="shared" si="1"/>
        <v>5.92</v>
      </c>
      <c r="F35" s="29">
        <f t="shared" si="1"/>
        <v>29.55</v>
      </c>
      <c r="G35" s="29">
        <f t="shared" si="1"/>
        <v>130.09</v>
      </c>
      <c r="H35" s="29">
        <f t="shared" si="1"/>
        <v>11.41</v>
      </c>
      <c r="I35" s="29">
        <f t="shared" si="1"/>
        <v>2.76</v>
      </c>
      <c r="J35" s="29">
        <f t="shared" si="1"/>
        <v>0.87</v>
      </c>
      <c r="K35" s="29">
        <f t="shared" si="1"/>
        <v>359.31</v>
      </c>
      <c r="L35" s="29">
        <f t="shared" si="1"/>
        <v>32.79</v>
      </c>
      <c r="M35" s="29">
        <f t="shared" si="1"/>
        <v>98.82</v>
      </c>
      <c r="N35" s="29">
        <f t="shared" si="1"/>
        <v>622.6</v>
      </c>
      <c r="O35" s="29">
        <f t="shared" si="1"/>
        <v>0</v>
      </c>
      <c r="P35" s="29">
        <f t="shared" si="1"/>
        <v>2.21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17.53916666666667</v>
      </c>
      <c r="C36" s="28">
        <f t="shared" si="2"/>
        <v>19.257499999999997</v>
      </c>
      <c r="D36" s="28">
        <f t="shared" si="2"/>
        <v>23.386250000000004</v>
      </c>
      <c r="E36" s="28">
        <f t="shared" si="2"/>
        <v>5.0291666666666668</v>
      </c>
      <c r="F36" s="28">
        <f t="shared" si="2"/>
        <v>12.658333333333333</v>
      </c>
      <c r="G36" s="28">
        <f t="shared" si="2"/>
        <v>68.443333333333328</v>
      </c>
      <c r="H36" s="28">
        <f t="shared" si="2"/>
        <v>3.8775000000000008</v>
      </c>
      <c r="I36" s="28">
        <f t="shared" si="2"/>
        <v>1.9745833333333334</v>
      </c>
      <c r="J36" s="28">
        <f t="shared" si="2"/>
        <v>0.32833333333333331</v>
      </c>
      <c r="K36" s="28">
        <f t="shared" si="2"/>
        <v>282.0695833333333</v>
      </c>
      <c r="L36" s="28">
        <f t="shared" si="2"/>
        <v>27.539166666666674</v>
      </c>
      <c r="M36" s="28">
        <f t="shared" si="2"/>
        <v>92.850416666666661</v>
      </c>
      <c r="N36" s="28">
        <f t="shared" si="2"/>
        <v>185.1458333333334</v>
      </c>
      <c r="O36" s="28">
        <f t="shared" si="2"/>
        <v>0</v>
      </c>
      <c r="P36" s="28">
        <f t="shared" si="2"/>
        <v>0.83250000000000002</v>
      </c>
      <c r="Q36" s="28">
        <f t="shared" si="2"/>
        <v>9.5166666666666657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10.443263656400777</v>
      </c>
      <c r="C37" s="28">
        <f t="shared" ref="C37:Q37" si="3">STDEV(C9:C32)</f>
        <v>11.389004327210413</v>
      </c>
      <c r="D37" s="28">
        <f t="shared" si="3"/>
        <v>12.286765171092226</v>
      </c>
      <c r="E37" s="28">
        <f t="shared" si="3"/>
        <v>0.42622627861232371</v>
      </c>
      <c r="F37" s="28">
        <f t="shared" si="3"/>
        <v>8.7307057669128803</v>
      </c>
      <c r="G37" s="28">
        <f t="shared" si="3"/>
        <v>37.401714406958803</v>
      </c>
      <c r="H37" s="28">
        <f t="shared" si="3"/>
        <v>3.4946459048092398</v>
      </c>
      <c r="I37" s="28">
        <f t="shared" si="3"/>
        <v>0.36728118793982872</v>
      </c>
      <c r="J37" s="28">
        <f t="shared" si="3"/>
        <v>0.23720595832876271</v>
      </c>
      <c r="K37" s="28">
        <f t="shared" si="3"/>
        <v>77.985326572942157</v>
      </c>
      <c r="L37" s="28">
        <f t="shared" si="3"/>
        <v>3.2279323260329891</v>
      </c>
      <c r="M37" s="28">
        <f t="shared" si="3"/>
        <v>8.0520143195010068</v>
      </c>
      <c r="N37" s="28">
        <f t="shared" si="3"/>
        <v>213.53217450094357</v>
      </c>
      <c r="O37" s="28">
        <f t="shared" si="3"/>
        <v>0</v>
      </c>
      <c r="P37" s="28">
        <f t="shared" si="3"/>
        <v>0.52854393918781595</v>
      </c>
      <c r="Q37" s="28">
        <f t="shared" si="3"/>
        <v>0.16985074436786796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9" sqref="F19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276</v>
      </c>
      <c r="B9" s="51">
        <v>14.63</v>
      </c>
      <c r="C9" s="51">
        <v>15.85</v>
      </c>
      <c r="D9" s="51">
        <v>17.73</v>
      </c>
      <c r="E9" s="51">
        <v>4.71</v>
      </c>
      <c r="F9" s="51">
        <v>9.23</v>
      </c>
      <c r="G9" s="51">
        <v>85.52</v>
      </c>
      <c r="H9" s="51">
        <v>6.28</v>
      </c>
      <c r="I9" s="51">
        <v>2.82</v>
      </c>
      <c r="J9" s="51">
        <v>0.81</v>
      </c>
      <c r="K9" s="51">
        <v>341.32</v>
      </c>
      <c r="L9" s="51">
        <v>25.03</v>
      </c>
      <c r="M9" s="51">
        <v>97.89</v>
      </c>
      <c r="N9" s="51">
        <v>32.700000000000003</v>
      </c>
      <c r="O9" s="51">
        <v>0</v>
      </c>
      <c r="P9" s="51">
        <v>0.9</v>
      </c>
      <c r="Q9" s="51">
        <v>9.64</v>
      </c>
      <c r="R9" s="43"/>
      <c r="S9" s="43"/>
      <c r="T9" s="43"/>
      <c r="U9" s="43"/>
    </row>
    <row r="10" spans="1:21" s="11" customFormat="1" x14ac:dyDescent="0.25">
      <c r="A10" s="50" t="s">
        <v>277</v>
      </c>
      <c r="B10" s="51">
        <v>11.05</v>
      </c>
      <c r="C10" s="51">
        <v>20.68</v>
      </c>
      <c r="D10" s="51">
        <v>18.23</v>
      </c>
      <c r="E10" s="51">
        <v>4.7</v>
      </c>
      <c r="F10" s="51">
        <v>6.16</v>
      </c>
      <c r="G10" s="51">
        <v>88.24</v>
      </c>
      <c r="H10" s="51">
        <v>11.99</v>
      </c>
      <c r="I10" s="51">
        <v>2.69</v>
      </c>
      <c r="J10" s="51">
        <v>0.24</v>
      </c>
      <c r="K10" s="51">
        <v>354.66</v>
      </c>
      <c r="L10" s="51">
        <v>24.98</v>
      </c>
      <c r="M10" s="51">
        <v>97.85</v>
      </c>
      <c r="N10" s="51">
        <v>32.9</v>
      </c>
      <c r="O10" s="51">
        <v>0</v>
      </c>
      <c r="P10" s="51">
        <v>0.56999999999999995</v>
      </c>
      <c r="Q10" s="51">
        <v>9.6199999999999992</v>
      </c>
      <c r="R10" s="43"/>
      <c r="S10" s="43"/>
      <c r="T10" s="43"/>
      <c r="U10" s="43"/>
    </row>
    <row r="11" spans="1:21" s="11" customFormat="1" x14ac:dyDescent="0.25">
      <c r="A11" s="50" t="s">
        <v>278</v>
      </c>
      <c r="B11" s="51">
        <v>10.25</v>
      </c>
      <c r="C11" s="51">
        <v>17.489999999999998</v>
      </c>
      <c r="D11" s="51">
        <v>17.34</v>
      </c>
      <c r="E11" s="51">
        <v>4.54</v>
      </c>
      <c r="F11" s="51">
        <v>8.1</v>
      </c>
      <c r="G11" s="51">
        <v>94.01</v>
      </c>
      <c r="H11" s="51">
        <v>166.92</v>
      </c>
      <c r="I11" s="51">
        <v>2.6</v>
      </c>
      <c r="J11" s="51">
        <v>0.24</v>
      </c>
      <c r="K11" s="51">
        <v>323.29000000000002</v>
      </c>
      <c r="L11" s="51">
        <v>24.75</v>
      </c>
      <c r="M11" s="51">
        <v>97.9</v>
      </c>
      <c r="N11" s="51">
        <v>32.9</v>
      </c>
      <c r="O11" s="51">
        <v>0</v>
      </c>
      <c r="P11" s="51">
        <v>0.64</v>
      </c>
      <c r="Q11" s="51">
        <v>9.59</v>
      </c>
      <c r="R11" s="43"/>
      <c r="S11" s="43"/>
      <c r="T11" s="43"/>
      <c r="U11" s="43"/>
    </row>
    <row r="12" spans="1:21" s="11" customFormat="1" x14ac:dyDescent="0.25">
      <c r="A12" s="50" t="s">
        <v>279</v>
      </c>
      <c r="B12" s="51">
        <v>9.0500000000000007</v>
      </c>
      <c r="C12" s="51">
        <v>11.33</v>
      </c>
      <c r="D12" s="51">
        <v>13.17</v>
      </c>
      <c r="E12" s="51">
        <v>4.67</v>
      </c>
      <c r="F12" s="51">
        <v>7.94</v>
      </c>
      <c r="G12" s="51">
        <v>94.98</v>
      </c>
      <c r="H12" s="51">
        <v>287.19</v>
      </c>
      <c r="I12" s="51">
        <v>2.46</v>
      </c>
      <c r="J12" s="51">
        <v>0.18</v>
      </c>
      <c r="K12" s="51">
        <v>339.25</v>
      </c>
      <c r="L12" s="51">
        <v>24.24</v>
      </c>
      <c r="M12" s="51">
        <v>97.93</v>
      </c>
      <c r="N12" s="51">
        <v>32.9</v>
      </c>
      <c r="O12" s="51">
        <v>0</v>
      </c>
      <c r="P12" s="51">
        <v>0.3</v>
      </c>
      <c r="Q12" s="51">
        <v>9.57</v>
      </c>
      <c r="R12" s="43"/>
      <c r="S12" s="43"/>
      <c r="T12" s="43"/>
      <c r="U12" s="43"/>
    </row>
    <row r="13" spans="1:21" s="11" customFormat="1" x14ac:dyDescent="0.25">
      <c r="A13" s="50" t="s">
        <v>280</v>
      </c>
      <c r="B13" s="51">
        <v>15.2</v>
      </c>
      <c r="C13" s="51">
        <v>13.57</v>
      </c>
      <c r="D13" s="51">
        <v>19.28</v>
      </c>
      <c r="E13" s="51">
        <v>4.72</v>
      </c>
      <c r="F13" s="51">
        <v>7.34</v>
      </c>
      <c r="G13" s="51">
        <v>76.61</v>
      </c>
      <c r="H13" s="51">
        <v>7.28</v>
      </c>
      <c r="I13" s="51">
        <v>2.2799999999999998</v>
      </c>
      <c r="J13" s="51">
        <v>0.33</v>
      </c>
      <c r="K13" s="51">
        <v>344.05</v>
      </c>
      <c r="L13" s="51">
        <v>24.25</v>
      </c>
      <c r="M13" s="51">
        <v>97.92</v>
      </c>
      <c r="N13" s="51">
        <v>33.299999999999997</v>
      </c>
      <c r="O13" s="51">
        <v>0</v>
      </c>
      <c r="P13" s="51">
        <v>0.48</v>
      </c>
      <c r="Q13" s="51">
        <v>9.5500000000000007</v>
      </c>
      <c r="R13" s="43"/>
      <c r="S13" s="43"/>
      <c r="T13" s="43"/>
      <c r="U13" s="43"/>
    </row>
    <row r="14" spans="1:21" s="11" customFormat="1" x14ac:dyDescent="0.25">
      <c r="A14" s="50" t="s">
        <v>281</v>
      </c>
      <c r="B14" s="51">
        <v>12.79</v>
      </c>
      <c r="C14" s="51">
        <v>13.08</v>
      </c>
      <c r="D14" s="51">
        <v>16.989999999999998</v>
      </c>
      <c r="E14" s="51">
        <v>4.57</v>
      </c>
      <c r="F14" s="51">
        <v>5.22</v>
      </c>
      <c r="G14" s="51">
        <v>71.260000000000005</v>
      </c>
      <c r="H14" s="51">
        <v>8.9</v>
      </c>
      <c r="I14" s="51">
        <v>2.09</v>
      </c>
      <c r="J14" s="51">
        <v>0.36</v>
      </c>
      <c r="K14" s="51">
        <v>342.66</v>
      </c>
      <c r="L14" s="51">
        <v>24.23</v>
      </c>
      <c r="M14" s="51">
        <v>97.93</v>
      </c>
      <c r="N14" s="51">
        <v>37.200000000000003</v>
      </c>
      <c r="O14" s="51">
        <v>0</v>
      </c>
      <c r="P14" s="51">
        <v>0.46</v>
      </c>
      <c r="Q14" s="51">
        <v>9.51</v>
      </c>
      <c r="R14" s="43"/>
      <c r="S14" s="43"/>
      <c r="T14" s="43"/>
      <c r="U14" s="43"/>
    </row>
    <row r="15" spans="1:21" s="11" customFormat="1" x14ac:dyDescent="0.25">
      <c r="A15" s="50" t="s">
        <v>282</v>
      </c>
      <c r="B15" s="51">
        <v>21.67</v>
      </c>
      <c r="C15" s="51">
        <v>14.49</v>
      </c>
      <c r="D15" s="51">
        <v>23.25</v>
      </c>
      <c r="E15" s="51">
        <v>4.51</v>
      </c>
      <c r="F15" s="51">
        <v>5.6</v>
      </c>
      <c r="G15" s="51">
        <v>77.349999999999994</v>
      </c>
      <c r="H15" s="51">
        <v>9.32</v>
      </c>
      <c r="I15" s="51">
        <v>1.97</v>
      </c>
      <c r="J15" s="51">
        <v>0.3</v>
      </c>
      <c r="K15" s="51">
        <v>344.24</v>
      </c>
      <c r="L15" s="51">
        <v>25.3</v>
      </c>
      <c r="M15" s="51">
        <v>97.88</v>
      </c>
      <c r="N15" s="51">
        <v>94.2</v>
      </c>
      <c r="O15" s="51">
        <v>0</v>
      </c>
      <c r="P15" s="51">
        <v>0.54</v>
      </c>
      <c r="Q15" s="51">
        <v>9.5500000000000007</v>
      </c>
      <c r="R15" s="43"/>
      <c r="S15" s="43"/>
      <c r="T15" s="43"/>
      <c r="U15" s="43"/>
    </row>
    <row r="16" spans="1:21" s="11" customFormat="1" x14ac:dyDescent="0.25">
      <c r="A16" s="50" t="s">
        <v>283</v>
      </c>
      <c r="B16" s="51">
        <v>25.57</v>
      </c>
      <c r="C16" s="51">
        <v>13.62</v>
      </c>
      <c r="D16" s="51">
        <v>27.61</v>
      </c>
      <c r="E16" s="51">
        <v>4.7699999999999996</v>
      </c>
      <c r="F16" s="51">
        <v>8.35</v>
      </c>
      <c r="G16" s="51">
        <v>85.05</v>
      </c>
      <c r="H16" s="51">
        <v>1845.11</v>
      </c>
      <c r="I16" s="51">
        <v>1.94</v>
      </c>
      <c r="J16" s="51">
        <v>0.47</v>
      </c>
      <c r="K16" s="51">
        <v>350.65</v>
      </c>
      <c r="L16" s="51">
        <v>28.01</v>
      </c>
      <c r="M16" s="51">
        <v>97.83</v>
      </c>
      <c r="N16" s="51">
        <v>252.9</v>
      </c>
      <c r="O16" s="51">
        <v>0</v>
      </c>
      <c r="P16" s="51">
        <v>0.66</v>
      </c>
      <c r="Q16" s="51">
        <v>9.64</v>
      </c>
      <c r="R16" s="43"/>
      <c r="S16" s="43"/>
      <c r="T16" s="43"/>
      <c r="U16" s="43"/>
    </row>
    <row r="17" spans="1:21" s="11" customFormat="1" x14ac:dyDescent="0.25">
      <c r="A17" s="50" t="s">
        <v>284</v>
      </c>
      <c r="B17" s="51">
        <v>19.260000000000002</v>
      </c>
      <c r="C17" s="51">
        <v>14.86</v>
      </c>
      <c r="D17" s="51">
        <v>22.35</v>
      </c>
      <c r="E17" s="51">
        <v>5.21</v>
      </c>
      <c r="F17" s="51">
        <v>10.029999999999999</v>
      </c>
      <c r="G17" s="51">
        <v>87.75</v>
      </c>
      <c r="H17" s="51">
        <v>2963.9</v>
      </c>
      <c r="I17" s="51">
        <v>1.96</v>
      </c>
      <c r="J17" s="51">
        <v>0.47</v>
      </c>
      <c r="K17" s="51">
        <v>349.66</v>
      </c>
      <c r="L17" s="51">
        <v>31.8</v>
      </c>
      <c r="M17" s="51">
        <v>89.94</v>
      </c>
      <c r="N17" s="51">
        <v>392.2</v>
      </c>
      <c r="O17" s="51">
        <v>0</v>
      </c>
      <c r="P17" s="51">
        <v>0.64</v>
      </c>
      <c r="Q17" s="51">
        <v>9.65</v>
      </c>
      <c r="R17" s="43"/>
      <c r="S17" s="43"/>
      <c r="T17" s="43"/>
      <c r="U17" s="43"/>
    </row>
    <row r="18" spans="1:21" s="11" customFormat="1" x14ac:dyDescent="0.25">
      <c r="A18" s="50" t="s">
        <v>285</v>
      </c>
      <c r="B18" s="51">
        <v>19.600000000000001</v>
      </c>
      <c r="C18" s="51">
        <v>17.350000000000001</v>
      </c>
      <c r="D18" s="51">
        <v>24.4</v>
      </c>
      <c r="E18" s="51">
        <v>5.15</v>
      </c>
      <c r="F18" s="51">
        <v>10.54</v>
      </c>
      <c r="G18" s="51">
        <v>95.5</v>
      </c>
      <c r="H18" s="51">
        <v>14.71</v>
      </c>
      <c r="I18" s="51">
        <v>1.96</v>
      </c>
      <c r="J18" s="51">
        <v>0.57999999999999996</v>
      </c>
      <c r="K18" s="51">
        <v>354.45</v>
      </c>
      <c r="L18" s="51">
        <v>33.17</v>
      </c>
      <c r="M18" s="51">
        <v>73.819999999999993</v>
      </c>
      <c r="N18" s="51">
        <v>595.79999999999995</v>
      </c>
      <c r="O18" s="51">
        <v>0</v>
      </c>
      <c r="P18" s="51">
        <v>0.78</v>
      </c>
      <c r="Q18" s="51">
        <v>9.64</v>
      </c>
      <c r="R18" s="43"/>
      <c r="S18" s="43"/>
      <c r="T18" s="43"/>
      <c r="U18" s="43"/>
    </row>
    <row r="19" spans="1:21" s="11" customFormat="1" x14ac:dyDescent="0.25">
      <c r="A19" s="50" t="s">
        <v>286</v>
      </c>
      <c r="B19" s="51">
        <v>17.440000000000001</v>
      </c>
      <c r="C19" s="51">
        <v>18.22</v>
      </c>
      <c r="D19" s="51">
        <v>23.5</v>
      </c>
      <c r="E19" s="51">
        <v>5.55</v>
      </c>
      <c r="F19" s="51">
        <v>13.94</v>
      </c>
      <c r="G19" s="51">
        <v>102.08</v>
      </c>
      <c r="H19" s="51">
        <v>17.23</v>
      </c>
      <c r="I19" s="51">
        <v>1.96</v>
      </c>
      <c r="J19" s="51">
        <v>0.21</v>
      </c>
      <c r="K19" s="51">
        <v>327.8</v>
      </c>
      <c r="L19" s="51">
        <v>32.950000000000003</v>
      </c>
      <c r="M19" s="51">
        <v>74.599999999999994</v>
      </c>
      <c r="N19" s="51">
        <v>706.9</v>
      </c>
      <c r="O19" s="51">
        <v>0</v>
      </c>
      <c r="P19" s="51">
        <v>0.79</v>
      </c>
      <c r="Q19" s="51">
        <v>9.66</v>
      </c>
      <c r="R19" s="43"/>
      <c r="S19" s="43"/>
      <c r="T19" s="43"/>
      <c r="U19" s="43"/>
    </row>
    <row r="20" spans="1:21" s="11" customFormat="1" x14ac:dyDescent="0.25">
      <c r="A20" s="50" t="s">
        <v>287</v>
      </c>
      <c r="B20" s="51">
        <v>14.78</v>
      </c>
      <c r="C20" s="51">
        <v>17.59</v>
      </c>
      <c r="D20" s="51">
        <v>19.98</v>
      </c>
      <c r="E20" s="51">
        <v>6.06</v>
      </c>
      <c r="F20" s="51">
        <v>19.32</v>
      </c>
      <c r="G20" s="51">
        <v>110.29</v>
      </c>
      <c r="H20" s="51">
        <v>14.39</v>
      </c>
      <c r="I20" s="51">
        <v>2</v>
      </c>
      <c r="J20" s="51">
        <v>0.39</v>
      </c>
      <c r="K20" s="51">
        <v>336.95</v>
      </c>
      <c r="L20" s="51">
        <v>33.380000000000003</v>
      </c>
      <c r="M20" s="51">
        <v>69.510000000000005</v>
      </c>
      <c r="N20" s="51">
        <v>654.20000000000005</v>
      </c>
      <c r="O20" s="51">
        <v>0</v>
      </c>
      <c r="P20" s="51">
        <v>0.72</v>
      </c>
      <c r="Q20" s="51">
        <v>9.6199999999999992</v>
      </c>
      <c r="R20" s="43"/>
      <c r="S20" s="43"/>
      <c r="T20" s="43"/>
      <c r="U20" s="43"/>
    </row>
    <row r="21" spans="1:21" s="11" customFormat="1" x14ac:dyDescent="0.25">
      <c r="A21" s="50" t="s">
        <v>288</v>
      </c>
      <c r="B21" s="51">
        <v>11.27</v>
      </c>
      <c r="C21" s="51">
        <v>20.57</v>
      </c>
      <c r="D21" s="51">
        <v>19.78</v>
      </c>
      <c r="E21" s="51">
        <v>5.88</v>
      </c>
      <c r="F21" s="51">
        <v>20.59</v>
      </c>
      <c r="G21" s="51">
        <v>115.65</v>
      </c>
      <c r="H21" s="51">
        <v>9.6300000000000008</v>
      </c>
      <c r="I21" s="51">
        <v>1.97</v>
      </c>
      <c r="J21" s="51">
        <v>1.02</v>
      </c>
      <c r="K21" s="51">
        <v>341.15</v>
      </c>
      <c r="L21" s="51">
        <v>32.799999999999997</v>
      </c>
      <c r="M21" s="51">
        <v>92.17</v>
      </c>
      <c r="N21" s="51">
        <v>142.80000000000001</v>
      </c>
      <c r="O21" s="51">
        <v>0</v>
      </c>
      <c r="P21" s="51">
        <v>0.73</v>
      </c>
      <c r="Q21" s="51">
        <v>9.56</v>
      </c>
      <c r="R21" s="43"/>
      <c r="S21" s="43"/>
      <c r="T21" s="43"/>
      <c r="U21" s="43"/>
    </row>
    <row r="22" spans="1:21" s="11" customFormat="1" x14ac:dyDescent="0.25">
      <c r="A22" s="50" t="s">
        <v>289</v>
      </c>
      <c r="B22" s="51">
        <v>9.49</v>
      </c>
      <c r="C22" s="51">
        <v>15.72</v>
      </c>
      <c r="D22" s="51">
        <v>14.64</v>
      </c>
      <c r="E22" s="51">
        <v>5.85</v>
      </c>
      <c r="F22" s="51">
        <v>13.78</v>
      </c>
      <c r="G22" s="51">
        <v>111.74</v>
      </c>
      <c r="H22" s="51">
        <v>7</v>
      </c>
      <c r="I22" s="51">
        <v>1.87</v>
      </c>
      <c r="J22" s="51">
        <v>0.92</v>
      </c>
      <c r="K22" s="51">
        <v>186.77</v>
      </c>
      <c r="L22" s="51">
        <v>27.53</v>
      </c>
      <c r="M22" s="51">
        <v>96.07</v>
      </c>
      <c r="N22" s="51">
        <v>220.6</v>
      </c>
      <c r="O22" s="51">
        <v>0</v>
      </c>
      <c r="P22" s="51">
        <v>0.53</v>
      </c>
      <c r="Q22" s="51">
        <v>9.52</v>
      </c>
      <c r="R22" s="43"/>
      <c r="S22" s="43"/>
      <c r="T22" s="43"/>
      <c r="U22" s="43"/>
    </row>
    <row r="23" spans="1:21" s="11" customFormat="1" x14ac:dyDescent="0.25">
      <c r="A23" s="50" t="s">
        <v>290</v>
      </c>
      <c r="B23" s="51">
        <v>7.05</v>
      </c>
      <c r="C23" s="51">
        <v>16.16</v>
      </c>
      <c r="D23" s="51">
        <v>13.27</v>
      </c>
      <c r="E23" s="51">
        <v>5.3</v>
      </c>
      <c r="F23" s="51">
        <v>17.420000000000002</v>
      </c>
      <c r="G23" s="51">
        <v>89.06</v>
      </c>
      <c r="H23" s="51">
        <v>12.12</v>
      </c>
      <c r="I23" s="51">
        <v>1.75</v>
      </c>
      <c r="J23" s="51">
        <v>0.53</v>
      </c>
      <c r="K23" s="51">
        <v>163.54</v>
      </c>
      <c r="L23" s="51">
        <v>28.36</v>
      </c>
      <c r="M23" s="51">
        <v>97.75</v>
      </c>
      <c r="N23" s="51">
        <v>207.4</v>
      </c>
      <c r="O23" s="51">
        <v>0</v>
      </c>
      <c r="P23" s="51">
        <v>0.43</v>
      </c>
      <c r="Q23" s="51">
        <v>9.4</v>
      </c>
      <c r="R23" s="43"/>
      <c r="S23" s="43"/>
      <c r="T23" s="43"/>
      <c r="U23" s="43"/>
    </row>
    <row r="24" spans="1:21" s="11" customFormat="1" x14ac:dyDescent="0.25">
      <c r="A24" s="50" t="s">
        <v>291</v>
      </c>
      <c r="B24" s="51">
        <v>16.059999999999999</v>
      </c>
      <c r="C24" s="51">
        <v>17.77</v>
      </c>
      <c r="D24" s="51">
        <v>16.73</v>
      </c>
      <c r="E24" s="51">
        <v>5.0199999999999996</v>
      </c>
      <c r="F24" s="51">
        <v>14.51</v>
      </c>
      <c r="G24" s="51">
        <v>75.760000000000005</v>
      </c>
      <c r="H24" s="51">
        <v>14.07</v>
      </c>
      <c r="I24" s="51">
        <v>1.61</v>
      </c>
      <c r="J24" s="51">
        <v>0.13</v>
      </c>
      <c r="K24" s="51">
        <v>318.33999999999997</v>
      </c>
      <c r="L24" s="51">
        <v>29.26</v>
      </c>
      <c r="M24" s="51">
        <v>97.73</v>
      </c>
      <c r="N24" s="51">
        <v>145.19999999999999</v>
      </c>
      <c r="O24" s="51">
        <v>0</v>
      </c>
      <c r="P24" s="51">
        <v>0.64</v>
      </c>
      <c r="Q24" s="51">
        <v>9.34</v>
      </c>
      <c r="R24" s="43"/>
      <c r="S24" s="43"/>
      <c r="T24" s="43"/>
      <c r="U24" s="43"/>
    </row>
    <row r="25" spans="1:21" s="11" customFormat="1" x14ac:dyDescent="0.25">
      <c r="A25" s="50" t="s">
        <v>292</v>
      </c>
      <c r="B25" s="51">
        <v>11.75</v>
      </c>
      <c r="C25" s="51">
        <v>16.829999999999998</v>
      </c>
      <c r="D25" s="51">
        <v>16.149999999999999</v>
      </c>
      <c r="E25" s="51">
        <v>5.07</v>
      </c>
      <c r="F25" s="51">
        <v>12.79</v>
      </c>
      <c r="G25" s="51">
        <v>76.19</v>
      </c>
      <c r="H25" s="51">
        <v>9.41</v>
      </c>
      <c r="I25" s="51">
        <v>1.53</v>
      </c>
      <c r="J25" s="51">
        <v>1.89</v>
      </c>
      <c r="K25" s="51">
        <v>334.9</v>
      </c>
      <c r="L25" s="51">
        <v>28.75</v>
      </c>
      <c r="M25" s="51">
        <v>97.76</v>
      </c>
      <c r="N25" s="51">
        <v>95.8</v>
      </c>
      <c r="O25" s="51">
        <v>0</v>
      </c>
      <c r="P25" s="51">
        <v>0.56999999999999995</v>
      </c>
      <c r="Q25" s="51">
        <v>9.3699999999999992</v>
      </c>
      <c r="R25" s="43"/>
      <c r="S25" s="43"/>
      <c r="T25" s="43"/>
      <c r="U25" s="43"/>
    </row>
    <row r="26" spans="1:21" s="11" customFormat="1" x14ac:dyDescent="0.25">
      <c r="A26" s="50" t="s">
        <v>293</v>
      </c>
      <c r="B26" s="51">
        <v>8.84</v>
      </c>
      <c r="C26" s="51">
        <v>9.0299999999999994</v>
      </c>
      <c r="D26" s="51">
        <v>11.8</v>
      </c>
      <c r="E26" s="51">
        <v>5.27</v>
      </c>
      <c r="F26" s="51">
        <v>2.96</v>
      </c>
      <c r="G26" s="51">
        <v>71.92</v>
      </c>
      <c r="H26" s="51">
        <v>6.78</v>
      </c>
      <c r="I26" s="51">
        <v>1.47</v>
      </c>
      <c r="J26" s="51">
        <v>1.95</v>
      </c>
      <c r="K26" s="51">
        <v>336.03</v>
      </c>
      <c r="L26" s="51">
        <v>25.61</v>
      </c>
      <c r="M26" s="51">
        <v>97.98</v>
      </c>
      <c r="N26" s="51">
        <v>49.9</v>
      </c>
      <c r="O26" s="51">
        <v>0</v>
      </c>
      <c r="P26" s="51">
        <v>0.48</v>
      </c>
      <c r="Q26" s="51">
        <v>9.36</v>
      </c>
      <c r="R26" s="43"/>
      <c r="S26" s="43"/>
      <c r="T26" s="43"/>
      <c r="U26" s="43"/>
    </row>
    <row r="27" spans="1:21" s="11" customFormat="1" x14ac:dyDescent="0.25">
      <c r="A27" s="50" t="s">
        <v>294</v>
      </c>
      <c r="B27" s="51">
        <v>28.72</v>
      </c>
      <c r="C27" s="51">
        <v>12.1</v>
      </c>
      <c r="D27" s="51">
        <v>29.35</v>
      </c>
      <c r="E27" s="51">
        <v>5.25</v>
      </c>
      <c r="F27" s="51">
        <v>3.39</v>
      </c>
      <c r="G27" s="51">
        <v>49.36</v>
      </c>
      <c r="H27" s="51">
        <v>12.94</v>
      </c>
      <c r="I27" s="51">
        <v>1.51</v>
      </c>
      <c r="J27" s="51">
        <v>0.26</v>
      </c>
      <c r="K27" s="51">
        <v>298.5</v>
      </c>
      <c r="L27" s="51">
        <v>23.88</v>
      </c>
      <c r="M27" s="51">
        <v>97.97</v>
      </c>
      <c r="N27" s="51">
        <v>31.6</v>
      </c>
      <c r="O27" s="51">
        <v>0</v>
      </c>
      <c r="P27" s="51">
        <v>0.98</v>
      </c>
      <c r="Q27" s="51">
        <v>9.41</v>
      </c>
      <c r="R27" s="43"/>
      <c r="S27" s="43"/>
      <c r="T27" s="43"/>
      <c r="U27" s="43"/>
    </row>
    <row r="28" spans="1:21" s="11" customFormat="1" x14ac:dyDescent="0.25">
      <c r="A28" s="50" t="s">
        <v>295</v>
      </c>
      <c r="B28" s="51">
        <v>18.420000000000002</v>
      </c>
      <c r="C28" s="51">
        <v>26.41</v>
      </c>
      <c r="D28" s="51">
        <v>28.57</v>
      </c>
      <c r="E28" s="51">
        <v>4.9800000000000004</v>
      </c>
      <c r="F28" s="51">
        <v>3.18</v>
      </c>
      <c r="G28" s="51">
        <v>42.98</v>
      </c>
      <c r="H28" s="51">
        <v>18.11</v>
      </c>
      <c r="I28" s="51">
        <v>1.91</v>
      </c>
      <c r="J28" s="51">
        <v>0.1</v>
      </c>
      <c r="K28" s="51">
        <v>352.51</v>
      </c>
      <c r="L28" s="51">
        <v>23.75</v>
      </c>
      <c r="M28" s="51">
        <v>97.97</v>
      </c>
      <c r="N28" s="51">
        <v>31.3</v>
      </c>
      <c r="O28" s="51">
        <v>0</v>
      </c>
      <c r="P28" s="51">
        <v>0.99</v>
      </c>
      <c r="Q28" s="51">
        <v>9.49</v>
      </c>
      <c r="R28" s="43"/>
      <c r="S28" s="43"/>
      <c r="T28" s="43"/>
      <c r="U28" s="43"/>
    </row>
    <row r="29" spans="1:21" s="11" customFormat="1" x14ac:dyDescent="0.25">
      <c r="A29" s="50" t="s">
        <v>296</v>
      </c>
      <c r="B29" s="51">
        <v>48.71</v>
      </c>
      <c r="C29" s="51">
        <v>21.18</v>
      </c>
      <c r="D29" s="51">
        <v>47.07</v>
      </c>
      <c r="E29" s="51">
        <v>5.19</v>
      </c>
      <c r="F29" s="51">
        <v>3.92</v>
      </c>
      <c r="G29" s="51">
        <v>45.2</v>
      </c>
      <c r="H29" s="51">
        <v>8.8800000000000008</v>
      </c>
      <c r="I29" s="51">
        <v>2.25</v>
      </c>
      <c r="J29" s="51">
        <v>0.28000000000000003</v>
      </c>
      <c r="K29" s="51">
        <v>354.02</v>
      </c>
      <c r="L29" s="51">
        <v>24.09</v>
      </c>
      <c r="M29" s="51">
        <v>97.9</v>
      </c>
      <c r="N29" s="51">
        <v>31.1</v>
      </c>
      <c r="O29" s="51">
        <v>0</v>
      </c>
      <c r="P29" s="51">
        <v>2.0699999999999998</v>
      </c>
      <c r="Q29" s="51">
        <v>9.6199999999999992</v>
      </c>
      <c r="R29" s="43"/>
      <c r="S29" s="43"/>
      <c r="T29" s="43"/>
      <c r="U29" s="43"/>
    </row>
    <row r="30" spans="1:21" s="11" customFormat="1" x14ac:dyDescent="0.25">
      <c r="A30" s="50" t="s">
        <v>297</v>
      </c>
      <c r="B30" s="51">
        <v>39.65</v>
      </c>
      <c r="C30" s="51">
        <v>21.56</v>
      </c>
      <c r="D30" s="51">
        <v>36.46</v>
      </c>
      <c r="E30" s="51">
        <v>5.55</v>
      </c>
      <c r="F30" s="51">
        <v>3.35</v>
      </c>
      <c r="G30" s="51">
        <v>46.23</v>
      </c>
      <c r="H30" s="51">
        <v>6.9</v>
      </c>
      <c r="I30" s="51">
        <v>2.77</v>
      </c>
      <c r="J30" s="51">
        <v>0.2</v>
      </c>
      <c r="K30" s="51">
        <v>353.46</v>
      </c>
      <c r="L30" s="51">
        <v>24.18</v>
      </c>
      <c r="M30" s="51">
        <v>97.9</v>
      </c>
      <c r="N30" s="51">
        <v>31.8</v>
      </c>
      <c r="O30" s="51">
        <v>0</v>
      </c>
      <c r="P30" s="51">
        <v>1.2</v>
      </c>
      <c r="Q30" s="51">
        <v>9.64</v>
      </c>
      <c r="R30" s="43"/>
      <c r="S30" s="43"/>
      <c r="T30" s="43"/>
      <c r="U30" s="43"/>
    </row>
    <row r="31" spans="1:21" s="11" customFormat="1" x14ac:dyDescent="0.25">
      <c r="A31" s="50" t="s">
        <v>298</v>
      </c>
      <c r="B31" s="51">
        <v>19.5</v>
      </c>
      <c r="C31" s="51">
        <v>16.78</v>
      </c>
      <c r="D31" s="51">
        <v>24.36</v>
      </c>
      <c r="E31" s="51">
        <v>5.03</v>
      </c>
      <c r="F31" s="51">
        <v>4.4400000000000004</v>
      </c>
      <c r="G31" s="51">
        <v>44.43</v>
      </c>
      <c r="H31" s="51">
        <v>6.44</v>
      </c>
      <c r="I31" s="51">
        <v>2.79</v>
      </c>
      <c r="J31" s="51">
        <v>0.11</v>
      </c>
      <c r="K31" s="51">
        <v>306.95</v>
      </c>
      <c r="L31" s="51">
        <v>23.9</v>
      </c>
      <c r="M31" s="51">
        <v>98.03</v>
      </c>
      <c r="N31" s="51">
        <v>31.4</v>
      </c>
      <c r="O31" s="51">
        <v>0</v>
      </c>
      <c r="P31" s="51">
        <v>0.66</v>
      </c>
      <c r="Q31" s="51">
        <v>9.66</v>
      </c>
      <c r="R31" s="43"/>
      <c r="S31" s="43"/>
      <c r="T31" s="43"/>
      <c r="U31" s="43"/>
    </row>
    <row r="32" spans="1:21" s="11" customFormat="1" x14ac:dyDescent="0.25">
      <c r="A32" s="50" t="s">
        <v>299</v>
      </c>
      <c r="B32" s="51">
        <v>13.78</v>
      </c>
      <c r="C32" s="51">
        <v>14.93</v>
      </c>
      <c r="D32" s="51">
        <v>17.149999999999999</v>
      </c>
      <c r="E32" s="51">
        <v>5.57</v>
      </c>
      <c r="F32" s="51">
        <v>5.0199999999999996</v>
      </c>
      <c r="G32" s="51">
        <v>40.83</v>
      </c>
      <c r="H32" s="51">
        <v>6.32</v>
      </c>
      <c r="I32" s="51">
        <v>2.69</v>
      </c>
      <c r="J32" s="51">
        <v>0.05</v>
      </c>
      <c r="K32" s="51">
        <v>248.05</v>
      </c>
      <c r="L32" s="51">
        <v>23.61</v>
      </c>
      <c r="M32" s="51">
        <v>98.03</v>
      </c>
      <c r="N32" s="51">
        <v>31.4</v>
      </c>
      <c r="O32" s="51">
        <v>0</v>
      </c>
      <c r="P32" s="51">
        <v>0.47</v>
      </c>
      <c r="Q32" s="51">
        <v>9.67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7.05</v>
      </c>
      <c r="C34" s="28">
        <f t="shared" si="0"/>
        <v>9.0299999999999994</v>
      </c>
      <c r="D34" s="28">
        <f t="shared" si="0"/>
        <v>11.8</v>
      </c>
      <c r="E34" s="28">
        <f t="shared" si="0"/>
        <v>4.51</v>
      </c>
      <c r="F34" s="28">
        <f t="shared" si="0"/>
        <v>2.96</v>
      </c>
      <c r="G34" s="28">
        <f t="shared" si="0"/>
        <v>40.83</v>
      </c>
      <c r="H34" s="28">
        <f t="shared" si="0"/>
        <v>6.28</v>
      </c>
      <c r="I34" s="28">
        <f t="shared" si="0"/>
        <v>1.47</v>
      </c>
      <c r="J34" s="28">
        <f t="shared" si="0"/>
        <v>0.05</v>
      </c>
      <c r="K34" s="28">
        <f t="shared" si="0"/>
        <v>163.54</v>
      </c>
      <c r="L34" s="28">
        <f t="shared" si="0"/>
        <v>23.61</v>
      </c>
      <c r="M34" s="28">
        <f t="shared" si="0"/>
        <v>69.510000000000005</v>
      </c>
      <c r="N34" s="28">
        <f t="shared" si="0"/>
        <v>31.1</v>
      </c>
      <c r="O34" s="28">
        <f t="shared" si="0"/>
        <v>0</v>
      </c>
      <c r="P34" s="28">
        <f t="shared" si="0"/>
        <v>0.3</v>
      </c>
      <c r="Q34" s="28">
        <f t="shared" si="0"/>
        <v>9.34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48.71</v>
      </c>
      <c r="C35" s="29">
        <f t="shared" si="1"/>
        <v>26.41</v>
      </c>
      <c r="D35" s="29">
        <f t="shared" si="1"/>
        <v>47.07</v>
      </c>
      <c r="E35" s="29">
        <f t="shared" si="1"/>
        <v>6.06</v>
      </c>
      <c r="F35" s="29">
        <f t="shared" si="1"/>
        <v>20.59</v>
      </c>
      <c r="G35" s="29">
        <f t="shared" si="1"/>
        <v>115.65</v>
      </c>
      <c r="H35" s="29">
        <f t="shared" si="1"/>
        <v>2963.9</v>
      </c>
      <c r="I35" s="29">
        <f t="shared" si="1"/>
        <v>2.82</v>
      </c>
      <c r="J35" s="29">
        <f t="shared" si="1"/>
        <v>1.95</v>
      </c>
      <c r="K35" s="29">
        <f t="shared" si="1"/>
        <v>354.66</v>
      </c>
      <c r="L35" s="29">
        <f t="shared" si="1"/>
        <v>33.380000000000003</v>
      </c>
      <c r="M35" s="29">
        <f t="shared" si="1"/>
        <v>98.03</v>
      </c>
      <c r="N35" s="29">
        <f t="shared" si="1"/>
        <v>706.9</v>
      </c>
      <c r="O35" s="29">
        <f t="shared" si="1"/>
        <v>0</v>
      </c>
      <c r="P35" s="29">
        <f t="shared" si="1"/>
        <v>2.0699999999999998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17.688749999999999</v>
      </c>
      <c r="C36" s="28">
        <f t="shared" si="2"/>
        <v>16.548750000000002</v>
      </c>
      <c r="D36" s="28">
        <f t="shared" si="2"/>
        <v>21.631666666666664</v>
      </c>
      <c r="E36" s="28">
        <f t="shared" si="2"/>
        <v>5.129999999999999</v>
      </c>
      <c r="F36" s="28">
        <f t="shared" si="2"/>
        <v>9.0466666666666651</v>
      </c>
      <c r="G36" s="28">
        <f t="shared" si="2"/>
        <v>78.249583333333348</v>
      </c>
      <c r="H36" s="28">
        <f t="shared" si="2"/>
        <v>227.99249999999986</v>
      </c>
      <c r="I36" s="28">
        <f t="shared" si="2"/>
        <v>2.1187499999999999</v>
      </c>
      <c r="J36" s="28">
        <f t="shared" si="2"/>
        <v>0.50083333333333324</v>
      </c>
      <c r="K36" s="28">
        <f t="shared" si="2"/>
        <v>320.96666666666664</v>
      </c>
      <c r="L36" s="28">
        <f t="shared" si="2"/>
        <v>26.99208333333333</v>
      </c>
      <c r="M36" s="28">
        <f t="shared" si="2"/>
        <v>94.094166666666695</v>
      </c>
      <c r="N36" s="28">
        <f t="shared" si="2"/>
        <v>164.51666666666671</v>
      </c>
      <c r="O36" s="28">
        <f t="shared" si="2"/>
        <v>0</v>
      </c>
      <c r="P36" s="28">
        <f t="shared" si="2"/>
        <v>0.71791666666666665</v>
      </c>
      <c r="Q36" s="28">
        <f t="shared" si="2"/>
        <v>9.5533333333333346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9.8453561388098105</v>
      </c>
      <c r="C37" s="28">
        <f t="shared" ref="C37:Q37" si="3">STDEV(C9:C32)</f>
        <v>3.7772215605377504</v>
      </c>
      <c r="D37" s="28">
        <f t="shared" si="3"/>
        <v>7.9995720900050875</v>
      </c>
      <c r="E37" s="28">
        <f t="shared" si="3"/>
        <v>0.44381743210860725</v>
      </c>
      <c r="F37" s="28">
        <f t="shared" si="3"/>
        <v>5.2847234032894645</v>
      </c>
      <c r="G37" s="28">
        <f t="shared" si="3"/>
        <v>23.021456622816697</v>
      </c>
      <c r="H37" s="28">
        <f t="shared" si="3"/>
        <v>693.27162599580663</v>
      </c>
      <c r="I37" s="28">
        <f t="shared" si="3"/>
        <v>0.42811327737044991</v>
      </c>
      <c r="J37" s="28">
        <f t="shared" si="3"/>
        <v>0.50460416399276831</v>
      </c>
      <c r="K37" s="28">
        <f t="shared" si="3"/>
        <v>50.79821861534888</v>
      </c>
      <c r="L37" s="28">
        <f t="shared" si="3"/>
        <v>3.4934310768077133</v>
      </c>
      <c r="M37" s="28">
        <f t="shared" si="3"/>
        <v>8.5485269092891425</v>
      </c>
      <c r="N37" s="28">
        <f t="shared" si="3"/>
        <v>210.3100912765567</v>
      </c>
      <c r="O37" s="28">
        <f t="shared" si="3"/>
        <v>0</v>
      </c>
      <c r="P37" s="28">
        <f t="shared" si="3"/>
        <v>0.35386043879604212</v>
      </c>
      <c r="Q37" s="28">
        <f t="shared" si="3"/>
        <v>0.10598058340078641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2" sqref="F12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300</v>
      </c>
      <c r="B9" s="51">
        <v>20.65</v>
      </c>
      <c r="C9" s="51">
        <v>11.37</v>
      </c>
      <c r="D9" s="51">
        <v>20.53</v>
      </c>
      <c r="E9" s="51">
        <v>5.68</v>
      </c>
      <c r="F9" s="51">
        <v>4.53</v>
      </c>
      <c r="G9" s="51">
        <v>37.6</v>
      </c>
      <c r="H9" s="51">
        <v>6.29</v>
      </c>
      <c r="I9" s="51">
        <v>2.58</v>
      </c>
      <c r="J9" s="51">
        <v>0.06</v>
      </c>
      <c r="K9" s="51">
        <v>313.29000000000002</v>
      </c>
      <c r="L9" s="51">
        <v>23.59</v>
      </c>
      <c r="M9" s="51">
        <v>98.04</v>
      </c>
      <c r="N9" s="51">
        <v>31.3</v>
      </c>
      <c r="O9" s="51">
        <v>0</v>
      </c>
      <c r="P9" s="51">
        <v>0.52</v>
      </c>
      <c r="Q9" s="51">
        <v>9.66</v>
      </c>
      <c r="R9" s="43"/>
      <c r="S9" s="43"/>
      <c r="T9" s="43"/>
      <c r="U9" s="43"/>
    </row>
    <row r="10" spans="1:21" s="11" customFormat="1" x14ac:dyDescent="0.25">
      <c r="A10" s="50" t="s">
        <v>301</v>
      </c>
      <c r="B10" s="51">
        <v>14.22</v>
      </c>
      <c r="C10" s="51">
        <v>10.27</v>
      </c>
      <c r="D10" s="51">
        <v>15.02</v>
      </c>
      <c r="E10" s="51">
        <v>5.44</v>
      </c>
      <c r="F10" s="51">
        <v>4.8600000000000003</v>
      </c>
      <c r="G10" s="51">
        <v>40.03</v>
      </c>
      <c r="H10" s="51">
        <v>8.36</v>
      </c>
      <c r="I10" s="51">
        <v>2.4</v>
      </c>
      <c r="J10" s="51">
        <v>0.05</v>
      </c>
      <c r="K10" s="51">
        <v>313.29000000000002</v>
      </c>
      <c r="L10" s="51">
        <v>23.75</v>
      </c>
      <c r="M10" s="51">
        <v>98.05</v>
      </c>
      <c r="N10" s="51">
        <v>31.1</v>
      </c>
      <c r="O10" s="51">
        <v>0</v>
      </c>
      <c r="P10" s="51">
        <v>0.44</v>
      </c>
      <c r="Q10" s="51">
        <v>9.66</v>
      </c>
      <c r="R10" s="43"/>
      <c r="S10" s="43"/>
      <c r="T10" s="43"/>
      <c r="U10" s="43"/>
    </row>
    <row r="11" spans="1:21" s="11" customFormat="1" x14ac:dyDescent="0.25">
      <c r="A11" s="50" t="s">
        <v>302</v>
      </c>
      <c r="B11" s="51">
        <v>10.96</v>
      </c>
      <c r="C11" s="51">
        <v>7.3</v>
      </c>
      <c r="D11" s="51">
        <v>12.12</v>
      </c>
      <c r="E11" s="51">
        <v>5.33</v>
      </c>
      <c r="F11" s="51">
        <v>4.28</v>
      </c>
      <c r="G11" s="51">
        <v>35.94</v>
      </c>
      <c r="H11" s="51">
        <v>2477.27</v>
      </c>
      <c r="I11" s="51">
        <v>2.21</v>
      </c>
      <c r="J11" s="51">
        <v>0.05</v>
      </c>
      <c r="K11" s="51">
        <v>292.37</v>
      </c>
      <c r="L11" s="51">
        <v>23.91</v>
      </c>
      <c r="M11" s="51">
        <v>98.03</v>
      </c>
      <c r="N11" s="51">
        <v>31.4</v>
      </c>
      <c r="O11" s="51">
        <v>0</v>
      </c>
      <c r="P11" s="51">
        <v>0.48</v>
      </c>
      <c r="Q11" s="51">
        <v>9.65</v>
      </c>
      <c r="R11" s="43"/>
      <c r="S11" s="43"/>
      <c r="T11" s="43"/>
      <c r="U11" s="43"/>
    </row>
    <row r="12" spans="1:21" s="11" customFormat="1" x14ac:dyDescent="0.25">
      <c r="A12" s="50" t="s">
        <v>303</v>
      </c>
      <c r="B12" s="51">
        <v>10.1</v>
      </c>
      <c r="C12" s="51">
        <v>10.08</v>
      </c>
      <c r="D12" s="51">
        <v>12.86</v>
      </c>
      <c r="E12" s="51">
        <v>5.19</v>
      </c>
      <c r="F12" s="51">
        <v>4.22</v>
      </c>
      <c r="G12" s="51">
        <v>33.83</v>
      </c>
      <c r="H12" s="51">
        <v>5297.86</v>
      </c>
      <c r="I12" s="51">
        <v>2.08</v>
      </c>
      <c r="J12" s="51">
        <v>0.05</v>
      </c>
      <c r="K12" s="51">
        <v>296.67</v>
      </c>
      <c r="L12" s="51">
        <v>23.88</v>
      </c>
      <c r="M12" s="51">
        <v>98.03</v>
      </c>
      <c r="N12" s="51">
        <v>31.4</v>
      </c>
      <c r="O12" s="51">
        <v>0</v>
      </c>
      <c r="P12" s="51">
        <v>0.45</v>
      </c>
      <c r="Q12" s="51">
        <v>9.64</v>
      </c>
      <c r="R12" s="43"/>
      <c r="S12" s="43"/>
      <c r="T12" s="43"/>
      <c r="U12" s="43"/>
    </row>
    <row r="13" spans="1:21" s="11" customFormat="1" x14ac:dyDescent="0.25">
      <c r="A13" s="50" t="s">
        <v>304</v>
      </c>
      <c r="B13" s="51">
        <v>12.21</v>
      </c>
      <c r="C13" s="51">
        <v>10.47</v>
      </c>
      <c r="D13" s="51">
        <v>14.81</v>
      </c>
      <c r="E13" s="51">
        <v>5.38</v>
      </c>
      <c r="F13" s="51">
        <v>4.74</v>
      </c>
      <c r="G13" s="51">
        <v>37.01</v>
      </c>
      <c r="H13" s="51">
        <v>5904.78</v>
      </c>
      <c r="I13" s="51">
        <v>2.06</v>
      </c>
      <c r="J13" s="51">
        <v>0.06</v>
      </c>
      <c r="K13" s="51">
        <v>241.35</v>
      </c>
      <c r="L13" s="51">
        <v>23.86</v>
      </c>
      <c r="M13" s="51">
        <v>98.03</v>
      </c>
      <c r="N13" s="51">
        <v>31.4</v>
      </c>
      <c r="O13" s="51">
        <v>0</v>
      </c>
      <c r="P13" s="51">
        <v>0.44</v>
      </c>
      <c r="Q13" s="51">
        <v>9.6199999999999992</v>
      </c>
      <c r="R13" s="43"/>
      <c r="S13" s="43"/>
      <c r="T13" s="43"/>
      <c r="U13" s="43"/>
    </row>
    <row r="14" spans="1:21" s="11" customFormat="1" x14ac:dyDescent="0.25">
      <c r="A14" s="50" t="s">
        <v>305</v>
      </c>
      <c r="B14" s="51">
        <v>14.69</v>
      </c>
      <c r="C14" s="51">
        <v>9.9700000000000006</v>
      </c>
      <c r="D14" s="51">
        <v>16.170000000000002</v>
      </c>
      <c r="E14" s="51">
        <v>5.31</v>
      </c>
      <c r="F14" s="51">
        <v>3.85</v>
      </c>
      <c r="G14" s="51">
        <v>41.47</v>
      </c>
      <c r="H14" s="51">
        <v>54.6</v>
      </c>
      <c r="I14" s="51">
        <v>2.0499999999999998</v>
      </c>
      <c r="J14" s="51">
        <v>0.11</v>
      </c>
      <c r="K14" s="51">
        <v>175.68</v>
      </c>
      <c r="L14" s="51">
        <v>23.89</v>
      </c>
      <c r="M14" s="51">
        <v>98.04</v>
      </c>
      <c r="N14" s="51">
        <v>39.799999999999997</v>
      </c>
      <c r="O14" s="51">
        <v>0</v>
      </c>
      <c r="P14" s="51">
        <v>0.47</v>
      </c>
      <c r="Q14" s="51">
        <v>9.58</v>
      </c>
      <c r="R14" s="43"/>
      <c r="S14" s="43"/>
      <c r="T14" s="43"/>
      <c r="U14" s="43"/>
    </row>
    <row r="15" spans="1:21" s="11" customFormat="1" x14ac:dyDescent="0.25">
      <c r="A15" s="50" t="s">
        <v>306</v>
      </c>
      <c r="B15" s="51">
        <v>14.64</v>
      </c>
      <c r="C15" s="51">
        <v>8.18</v>
      </c>
      <c r="D15" s="51">
        <v>14.95</v>
      </c>
      <c r="E15" s="51">
        <v>5.38</v>
      </c>
      <c r="F15" s="51">
        <v>3.6</v>
      </c>
      <c r="G15" s="51">
        <v>42.52</v>
      </c>
      <c r="H15" s="51">
        <v>10.45</v>
      </c>
      <c r="I15" s="51">
        <v>1.98</v>
      </c>
      <c r="J15" s="51">
        <v>0.09</v>
      </c>
      <c r="K15" s="51">
        <v>309.31</v>
      </c>
      <c r="L15" s="51">
        <v>24.54</v>
      </c>
      <c r="M15" s="51">
        <v>98.1</v>
      </c>
      <c r="N15" s="51">
        <v>115.8</v>
      </c>
      <c r="O15" s="51">
        <v>0</v>
      </c>
      <c r="P15" s="51">
        <v>0.44</v>
      </c>
      <c r="Q15" s="51">
        <v>9.57</v>
      </c>
      <c r="R15" s="43"/>
      <c r="S15" s="43"/>
      <c r="T15" s="43"/>
      <c r="U15" s="43"/>
    </row>
    <row r="16" spans="1:21" s="11" customFormat="1" x14ac:dyDescent="0.25">
      <c r="A16" s="50" t="s">
        <v>307</v>
      </c>
      <c r="B16" s="51">
        <v>18.239999999999998</v>
      </c>
      <c r="C16" s="51">
        <v>9.23</v>
      </c>
      <c r="D16" s="51">
        <v>19.45</v>
      </c>
      <c r="E16" s="51">
        <v>5.32</v>
      </c>
      <c r="F16" s="51">
        <v>5.87</v>
      </c>
      <c r="G16" s="51">
        <v>44.61</v>
      </c>
      <c r="H16" s="51">
        <v>10.86</v>
      </c>
      <c r="I16" s="51">
        <v>1.96</v>
      </c>
      <c r="J16" s="51">
        <v>0.32</v>
      </c>
      <c r="K16" s="51">
        <v>336.44</v>
      </c>
      <c r="L16" s="51">
        <v>28.39</v>
      </c>
      <c r="M16" s="51">
        <v>98.05</v>
      </c>
      <c r="N16" s="51">
        <v>235.7</v>
      </c>
      <c r="O16" s="51">
        <v>0</v>
      </c>
      <c r="P16" s="51">
        <v>0.49</v>
      </c>
      <c r="Q16" s="51">
        <v>9.59</v>
      </c>
      <c r="R16" s="43"/>
      <c r="S16" s="43"/>
      <c r="T16" s="43"/>
      <c r="U16" s="43"/>
    </row>
    <row r="17" spans="1:21" s="11" customFormat="1" x14ac:dyDescent="0.25">
      <c r="A17" s="50" t="s">
        <v>308</v>
      </c>
      <c r="B17" s="51">
        <v>24.16</v>
      </c>
      <c r="C17" s="51">
        <v>13.55</v>
      </c>
      <c r="D17" s="51">
        <v>26.45</v>
      </c>
      <c r="E17" s="51">
        <v>5.77</v>
      </c>
      <c r="F17" s="51">
        <v>8.39</v>
      </c>
      <c r="G17" s="51">
        <v>48.11</v>
      </c>
      <c r="H17" s="51">
        <v>6.55</v>
      </c>
      <c r="I17" s="51">
        <v>1.93</v>
      </c>
      <c r="J17" s="51">
        <v>0.41</v>
      </c>
      <c r="K17" s="51">
        <v>342.8</v>
      </c>
      <c r="L17" s="51">
        <v>30.04</v>
      </c>
      <c r="M17" s="51">
        <v>97.82</v>
      </c>
      <c r="N17" s="51">
        <v>415</v>
      </c>
      <c r="O17" s="51">
        <v>0</v>
      </c>
      <c r="P17" s="51">
        <v>0.6</v>
      </c>
      <c r="Q17" s="51">
        <v>9.64</v>
      </c>
      <c r="R17" s="43"/>
      <c r="S17" s="43"/>
      <c r="T17" s="43"/>
      <c r="U17" s="43"/>
    </row>
    <row r="18" spans="1:21" s="11" customFormat="1" x14ac:dyDescent="0.25">
      <c r="A18" s="50" t="s">
        <v>309</v>
      </c>
      <c r="B18" s="51">
        <v>14.6</v>
      </c>
      <c r="C18" s="51">
        <v>18.37</v>
      </c>
      <c r="D18" s="51">
        <v>19.78</v>
      </c>
      <c r="E18" s="51">
        <v>5.89</v>
      </c>
      <c r="F18" s="51">
        <v>12.65</v>
      </c>
      <c r="G18" s="51">
        <v>49.06</v>
      </c>
      <c r="H18" s="51">
        <v>11.14</v>
      </c>
      <c r="I18" s="51">
        <v>1.9</v>
      </c>
      <c r="J18" s="51">
        <v>0.4</v>
      </c>
      <c r="K18" s="51">
        <v>332.18</v>
      </c>
      <c r="L18" s="51">
        <v>32.729999999999997</v>
      </c>
      <c r="M18" s="51">
        <v>89.39</v>
      </c>
      <c r="N18" s="51">
        <v>647.79999999999995</v>
      </c>
      <c r="O18" s="51">
        <v>0</v>
      </c>
      <c r="P18" s="51">
        <v>0.65</v>
      </c>
      <c r="Q18" s="51">
        <v>9.65</v>
      </c>
      <c r="R18" s="43"/>
      <c r="S18" s="43"/>
      <c r="T18" s="43"/>
      <c r="U18" s="43"/>
    </row>
    <row r="19" spans="1:21" s="11" customFormat="1" x14ac:dyDescent="0.25">
      <c r="A19" s="50" t="s">
        <v>310</v>
      </c>
      <c r="B19" s="51">
        <v>14.77</v>
      </c>
      <c r="C19" s="51">
        <v>12.85</v>
      </c>
      <c r="D19" s="51">
        <v>18.14</v>
      </c>
      <c r="E19" s="51">
        <v>5.93</v>
      </c>
      <c r="F19" s="51">
        <v>9.0500000000000007</v>
      </c>
      <c r="G19" s="51">
        <v>48.57</v>
      </c>
      <c r="H19" s="51">
        <v>13.03</v>
      </c>
      <c r="I19" s="51">
        <v>1.87</v>
      </c>
      <c r="J19" s="51">
        <v>1.66</v>
      </c>
      <c r="K19" s="51">
        <v>338.48</v>
      </c>
      <c r="L19" s="51">
        <v>30.01</v>
      </c>
      <c r="M19" s="51">
        <v>98</v>
      </c>
      <c r="N19" s="51">
        <v>151.9</v>
      </c>
      <c r="O19" s="51">
        <v>0</v>
      </c>
      <c r="P19" s="51">
        <v>0.54</v>
      </c>
      <c r="Q19" s="51">
        <v>9.6</v>
      </c>
      <c r="R19" s="43"/>
      <c r="S19" s="43"/>
      <c r="T19" s="43"/>
      <c r="U19" s="43"/>
    </row>
    <row r="20" spans="1:21" s="11" customFormat="1" x14ac:dyDescent="0.25">
      <c r="A20" s="50" t="s">
        <v>311</v>
      </c>
      <c r="B20" s="51">
        <v>21.55</v>
      </c>
      <c r="C20" s="51">
        <v>15.43</v>
      </c>
      <c r="D20" s="51">
        <v>24.64</v>
      </c>
      <c r="E20" s="51">
        <v>5.7</v>
      </c>
      <c r="F20" s="51">
        <v>9.44</v>
      </c>
      <c r="G20" s="51">
        <v>49.33</v>
      </c>
      <c r="H20" s="51">
        <v>7.09</v>
      </c>
      <c r="I20" s="51">
        <v>1.81</v>
      </c>
      <c r="J20" s="51">
        <v>0.25</v>
      </c>
      <c r="K20" s="51">
        <v>344.61</v>
      </c>
      <c r="L20" s="51">
        <v>26.23</v>
      </c>
      <c r="M20" s="51">
        <v>98.07</v>
      </c>
      <c r="N20" s="51">
        <v>327</v>
      </c>
      <c r="O20" s="51">
        <v>0</v>
      </c>
      <c r="P20" s="51">
        <v>0.59</v>
      </c>
      <c r="Q20" s="51">
        <v>9.59</v>
      </c>
      <c r="R20" s="43"/>
      <c r="S20" s="43"/>
      <c r="T20" s="43"/>
      <c r="U20" s="43"/>
    </row>
    <row r="21" spans="1:21" s="11" customFormat="1" x14ac:dyDescent="0.25">
      <c r="A21" s="50" t="s">
        <v>312</v>
      </c>
      <c r="B21" s="51">
        <v>16.010000000000002</v>
      </c>
      <c r="C21" s="51">
        <v>16.34</v>
      </c>
      <c r="D21" s="51">
        <v>21.38</v>
      </c>
      <c r="E21" s="51">
        <v>5.77</v>
      </c>
      <c r="F21" s="51">
        <v>11.29</v>
      </c>
      <c r="G21" s="51">
        <v>46.66</v>
      </c>
      <c r="H21" s="51">
        <v>6.75</v>
      </c>
      <c r="I21" s="51">
        <v>1.71</v>
      </c>
      <c r="J21" s="51">
        <v>0.47</v>
      </c>
      <c r="K21" s="51">
        <v>339.88</v>
      </c>
      <c r="L21" s="51">
        <v>27.27</v>
      </c>
      <c r="M21" s="51">
        <v>97.87</v>
      </c>
      <c r="N21" s="51">
        <v>302</v>
      </c>
      <c r="O21" s="51">
        <v>0</v>
      </c>
      <c r="P21" s="51">
        <v>0.68</v>
      </c>
      <c r="Q21" s="51">
        <v>9.6199999999999992</v>
      </c>
      <c r="R21" s="43"/>
      <c r="S21" s="43"/>
      <c r="T21" s="43"/>
      <c r="U21" s="43"/>
    </row>
    <row r="22" spans="1:21" s="11" customFormat="1" x14ac:dyDescent="0.25">
      <c r="A22" s="50" t="s">
        <v>313</v>
      </c>
      <c r="B22" s="51">
        <v>16.68</v>
      </c>
      <c r="C22" s="51">
        <v>14.48</v>
      </c>
      <c r="D22" s="51">
        <v>20.83</v>
      </c>
      <c r="E22" s="51">
        <v>5.92</v>
      </c>
      <c r="F22" s="51">
        <v>14.59</v>
      </c>
      <c r="G22" s="51">
        <v>44.72</v>
      </c>
      <c r="H22" s="51">
        <v>7.42</v>
      </c>
      <c r="I22" s="51">
        <v>1.69</v>
      </c>
      <c r="J22" s="51">
        <v>1.19</v>
      </c>
      <c r="K22" s="51">
        <v>339.43</v>
      </c>
      <c r="L22" s="51">
        <v>29.32</v>
      </c>
      <c r="M22" s="51">
        <v>97.77</v>
      </c>
      <c r="N22" s="51">
        <v>361.4</v>
      </c>
      <c r="O22" s="51">
        <v>0</v>
      </c>
      <c r="P22" s="51">
        <v>0.56000000000000005</v>
      </c>
      <c r="Q22" s="51">
        <v>9.6300000000000008</v>
      </c>
      <c r="R22" s="43"/>
      <c r="S22" s="43"/>
      <c r="T22" s="43"/>
      <c r="U22" s="43"/>
    </row>
    <row r="23" spans="1:21" s="11" customFormat="1" x14ac:dyDescent="0.25">
      <c r="A23" s="50" t="s">
        <v>314</v>
      </c>
      <c r="B23" s="51">
        <v>13.64</v>
      </c>
      <c r="C23" s="51">
        <v>13.32</v>
      </c>
      <c r="D23" s="51">
        <v>17.59</v>
      </c>
      <c r="E23" s="51">
        <v>5.72</v>
      </c>
      <c r="F23" s="51">
        <v>14.91</v>
      </c>
      <c r="G23" s="51">
        <v>48.02</v>
      </c>
      <c r="H23" s="51">
        <v>12.13</v>
      </c>
      <c r="I23" s="51">
        <v>1.66</v>
      </c>
      <c r="J23" s="51">
        <v>1.19</v>
      </c>
      <c r="K23" s="51">
        <v>338.32</v>
      </c>
      <c r="L23" s="51">
        <v>29.72</v>
      </c>
      <c r="M23" s="51">
        <v>89.42</v>
      </c>
      <c r="N23" s="51">
        <v>201.7</v>
      </c>
      <c r="O23" s="51">
        <v>0</v>
      </c>
      <c r="P23" s="51">
        <v>0.54</v>
      </c>
      <c r="Q23" s="51">
        <v>9.58</v>
      </c>
      <c r="R23" s="43"/>
      <c r="S23" s="43"/>
      <c r="T23" s="43"/>
      <c r="U23" s="43"/>
    </row>
    <row r="24" spans="1:21" s="11" customFormat="1" x14ac:dyDescent="0.25">
      <c r="A24" s="50" t="s">
        <v>315</v>
      </c>
      <c r="B24" s="51">
        <v>17.32</v>
      </c>
      <c r="C24" s="51">
        <v>18.670000000000002</v>
      </c>
      <c r="D24" s="51">
        <v>21.96</v>
      </c>
      <c r="E24" s="51">
        <v>6.12</v>
      </c>
      <c r="F24" s="51">
        <v>13.21</v>
      </c>
      <c r="G24" s="51">
        <v>57.17</v>
      </c>
      <c r="H24" s="51">
        <v>13.49</v>
      </c>
      <c r="I24" s="51">
        <v>1.54</v>
      </c>
      <c r="J24" s="51">
        <v>0.9</v>
      </c>
      <c r="K24" s="51">
        <v>339.68</v>
      </c>
      <c r="L24" s="51">
        <v>28.83</v>
      </c>
      <c r="M24" s="51">
        <v>97.32</v>
      </c>
      <c r="N24" s="51">
        <v>140.19999999999999</v>
      </c>
      <c r="O24" s="51">
        <v>0</v>
      </c>
      <c r="P24" s="51">
        <v>0.62</v>
      </c>
      <c r="Q24" s="51">
        <v>9.48</v>
      </c>
      <c r="R24" s="43"/>
      <c r="S24" s="43"/>
      <c r="T24" s="43"/>
      <c r="U24" s="43"/>
    </row>
    <row r="25" spans="1:21" s="11" customFormat="1" x14ac:dyDescent="0.25">
      <c r="A25" s="50" t="s">
        <v>316</v>
      </c>
      <c r="B25" s="51">
        <v>16.89</v>
      </c>
      <c r="C25" s="51">
        <v>20.190000000000001</v>
      </c>
      <c r="D25" s="51">
        <v>22.48</v>
      </c>
      <c r="E25" s="51">
        <v>5.58</v>
      </c>
      <c r="F25" s="51">
        <v>13.25</v>
      </c>
      <c r="G25" s="51">
        <v>80.95</v>
      </c>
      <c r="H25" s="51">
        <v>12.14</v>
      </c>
      <c r="I25" s="51">
        <v>1.56</v>
      </c>
      <c r="J25" s="51">
        <v>0.84</v>
      </c>
      <c r="K25" s="51">
        <v>333.9</v>
      </c>
      <c r="L25" s="51">
        <v>28.42</v>
      </c>
      <c r="M25" s="51">
        <v>97.88</v>
      </c>
      <c r="N25" s="51">
        <v>108.6</v>
      </c>
      <c r="O25" s="51">
        <v>0</v>
      </c>
      <c r="P25" s="51">
        <v>0.63</v>
      </c>
      <c r="Q25" s="51">
        <v>9.52</v>
      </c>
      <c r="R25" s="43"/>
      <c r="S25" s="43"/>
      <c r="T25" s="43"/>
      <c r="U25" s="43"/>
    </row>
    <row r="26" spans="1:21" s="11" customFormat="1" x14ac:dyDescent="0.25">
      <c r="A26" s="50" t="s">
        <v>317</v>
      </c>
      <c r="B26" s="51">
        <v>21</v>
      </c>
      <c r="C26" s="51">
        <v>17.43</v>
      </c>
      <c r="D26" s="51">
        <v>24.97</v>
      </c>
      <c r="E26" s="51">
        <v>5.41</v>
      </c>
      <c r="F26" s="51">
        <v>11.47</v>
      </c>
      <c r="G26" s="51">
        <v>91.41</v>
      </c>
      <c r="H26" s="51">
        <v>7.68</v>
      </c>
      <c r="I26" s="51">
        <v>1.64</v>
      </c>
      <c r="J26" s="51">
        <v>0.74</v>
      </c>
      <c r="K26" s="51">
        <v>331.27</v>
      </c>
      <c r="L26" s="51">
        <v>28.21</v>
      </c>
      <c r="M26" s="51">
        <v>97.89</v>
      </c>
      <c r="N26" s="51">
        <v>97.3</v>
      </c>
      <c r="O26" s="51">
        <v>0</v>
      </c>
      <c r="P26" s="51">
        <v>0.85</v>
      </c>
      <c r="Q26" s="51">
        <v>9.5500000000000007</v>
      </c>
      <c r="R26" s="43"/>
      <c r="S26" s="43"/>
      <c r="T26" s="43"/>
      <c r="U26" s="43"/>
    </row>
    <row r="27" spans="1:21" s="11" customFormat="1" x14ac:dyDescent="0.25">
      <c r="A27" s="50" t="s">
        <v>318</v>
      </c>
      <c r="B27" s="51">
        <v>19.760000000000002</v>
      </c>
      <c r="C27" s="51">
        <v>15.46</v>
      </c>
      <c r="D27" s="51">
        <v>23.92</v>
      </c>
      <c r="E27" s="51">
        <v>5.33</v>
      </c>
      <c r="F27" s="51">
        <v>11.54</v>
      </c>
      <c r="G27" s="51">
        <v>85.11</v>
      </c>
      <c r="H27" s="51">
        <v>6.64</v>
      </c>
      <c r="I27" s="51">
        <v>1.81</v>
      </c>
      <c r="J27" s="51">
        <v>0.89</v>
      </c>
      <c r="K27" s="51">
        <v>334.08</v>
      </c>
      <c r="L27" s="51">
        <v>26.5</v>
      </c>
      <c r="M27" s="51">
        <v>97.7</v>
      </c>
      <c r="N27" s="51">
        <v>32.299999999999997</v>
      </c>
      <c r="O27" s="51">
        <v>0</v>
      </c>
      <c r="P27" s="51">
        <v>0.91</v>
      </c>
      <c r="Q27" s="51">
        <v>9.57</v>
      </c>
      <c r="R27" s="43"/>
      <c r="S27" s="43"/>
      <c r="T27" s="43"/>
      <c r="U27" s="43"/>
    </row>
    <row r="28" spans="1:21" s="11" customFormat="1" x14ac:dyDescent="0.25">
      <c r="A28" s="50" t="s">
        <v>319</v>
      </c>
      <c r="B28" s="51">
        <v>16.559999999999999</v>
      </c>
      <c r="C28" s="51">
        <v>17.440000000000001</v>
      </c>
      <c r="D28" s="51">
        <v>21.55</v>
      </c>
      <c r="E28" s="51">
        <v>5.32</v>
      </c>
      <c r="F28" s="51">
        <v>8.92</v>
      </c>
      <c r="G28" s="51">
        <v>81.23</v>
      </c>
      <c r="H28" s="51">
        <v>6.38</v>
      </c>
      <c r="I28" s="51">
        <v>1.91</v>
      </c>
      <c r="J28" s="51">
        <v>0.14000000000000001</v>
      </c>
      <c r="K28" s="51">
        <v>316.13</v>
      </c>
      <c r="L28" s="51">
        <v>25.71</v>
      </c>
      <c r="M28" s="51">
        <v>97.88</v>
      </c>
      <c r="N28" s="51">
        <v>31.9</v>
      </c>
      <c r="O28" s="51">
        <v>0</v>
      </c>
      <c r="P28" s="51">
        <v>0.98</v>
      </c>
      <c r="Q28" s="51">
        <v>9.57</v>
      </c>
      <c r="R28" s="43"/>
      <c r="S28" s="43"/>
      <c r="T28" s="43"/>
      <c r="U28" s="43"/>
    </row>
    <row r="29" spans="1:21" s="11" customFormat="1" x14ac:dyDescent="0.25">
      <c r="A29" s="50" t="s">
        <v>320</v>
      </c>
      <c r="B29" s="51">
        <v>25.95</v>
      </c>
      <c r="C29" s="51">
        <v>17.68</v>
      </c>
      <c r="D29" s="51">
        <v>28.74</v>
      </c>
      <c r="E29" s="51">
        <v>5.41</v>
      </c>
      <c r="F29" s="51">
        <v>7.69</v>
      </c>
      <c r="G29" s="51">
        <v>76.28</v>
      </c>
      <c r="H29" s="51">
        <v>6.31</v>
      </c>
      <c r="I29" s="51">
        <v>2.0699999999999998</v>
      </c>
      <c r="J29" s="51">
        <v>0.3</v>
      </c>
      <c r="K29" s="51">
        <v>331.41</v>
      </c>
      <c r="L29" s="51">
        <v>25.78</v>
      </c>
      <c r="M29" s="51">
        <v>97.85</v>
      </c>
      <c r="N29" s="51">
        <v>32.1</v>
      </c>
      <c r="O29" s="51">
        <v>0</v>
      </c>
      <c r="P29" s="51">
        <v>1.26</v>
      </c>
      <c r="Q29" s="51">
        <v>9.61</v>
      </c>
      <c r="R29" s="43"/>
      <c r="S29" s="43"/>
      <c r="T29" s="43"/>
      <c r="U29" s="43"/>
    </row>
    <row r="30" spans="1:21" s="11" customFormat="1" x14ac:dyDescent="0.25">
      <c r="A30" s="50" t="s">
        <v>321</v>
      </c>
      <c r="B30" s="51">
        <v>26.1</v>
      </c>
      <c r="C30" s="51">
        <v>24.28</v>
      </c>
      <c r="D30" s="51">
        <v>30.04</v>
      </c>
      <c r="E30" s="51">
        <v>5.4</v>
      </c>
      <c r="F30" s="51">
        <v>7.02</v>
      </c>
      <c r="G30" s="51">
        <v>73.73</v>
      </c>
      <c r="H30" s="51">
        <v>6.29</v>
      </c>
      <c r="I30" s="51">
        <v>2.09</v>
      </c>
      <c r="J30" s="51">
        <v>0.23</v>
      </c>
      <c r="K30" s="51">
        <v>336.2</v>
      </c>
      <c r="L30" s="51">
        <v>25.52</v>
      </c>
      <c r="M30" s="51">
        <v>97.98</v>
      </c>
      <c r="N30" s="51">
        <v>32</v>
      </c>
      <c r="O30" s="51">
        <v>0</v>
      </c>
      <c r="P30" s="51">
        <v>1.1299999999999999</v>
      </c>
      <c r="Q30" s="51">
        <v>9.6300000000000008</v>
      </c>
      <c r="R30" s="43"/>
      <c r="S30" s="43"/>
      <c r="T30" s="43"/>
      <c r="U30" s="43"/>
    </row>
    <row r="31" spans="1:21" s="11" customFormat="1" x14ac:dyDescent="0.25">
      <c r="A31" s="50" t="s">
        <v>322</v>
      </c>
      <c r="B31" s="51">
        <v>32.54</v>
      </c>
      <c r="C31" s="51">
        <v>23.22</v>
      </c>
      <c r="D31" s="51">
        <v>34.86</v>
      </c>
      <c r="E31" s="51">
        <v>5.19</v>
      </c>
      <c r="F31" s="51">
        <v>3.81</v>
      </c>
      <c r="G31" s="51">
        <v>64.63</v>
      </c>
      <c r="H31" s="51">
        <v>6.65</v>
      </c>
      <c r="I31" s="51">
        <v>2.16</v>
      </c>
      <c r="J31" s="51">
        <v>0.22</v>
      </c>
      <c r="K31" s="51">
        <v>345.83</v>
      </c>
      <c r="L31" s="51">
        <v>25.28</v>
      </c>
      <c r="M31" s="51">
        <v>98.05</v>
      </c>
      <c r="N31" s="51">
        <v>32</v>
      </c>
      <c r="O31" s="51">
        <v>0</v>
      </c>
      <c r="P31" s="51">
        <v>1.03</v>
      </c>
      <c r="Q31" s="51">
        <v>9.64</v>
      </c>
      <c r="R31" s="43"/>
      <c r="S31" s="43"/>
      <c r="T31" s="43"/>
      <c r="U31" s="43"/>
    </row>
    <row r="32" spans="1:21" s="11" customFormat="1" x14ac:dyDescent="0.25">
      <c r="A32" s="50" t="s">
        <v>323</v>
      </c>
      <c r="B32" s="51">
        <v>36.54</v>
      </c>
      <c r="C32" s="51">
        <v>21</v>
      </c>
      <c r="D32" s="51">
        <v>37.18</v>
      </c>
      <c r="E32" s="51">
        <v>5.1100000000000003</v>
      </c>
      <c r="F32" s="51">
        <v>2.76</v>
      </c>
      <c r="G32" s="51">
        <v>68.39</v>
      </c>
      <c r="H32" s="51">
        <v>6.76</v>
      </c>
      <c r="I32" s="51">
        <v>2.2200000000000002</v>
      </c>
      <c r="J32" s="51">
        <v>0.45</v>
      </c>
      <c r="K32" s="51">
        <v>355.96</v>
      </c>
      <c r="L32" s="51">
        <v>24.87</v>
      </c>
      <c r="M32" s="51">
        <v>98.06</v>
      </c>
      <c r="N32" s="51">
        <v>31.8</v>
      </c>
      <c r="O32" s="51">
        <v>0</v>
      </c>
      <c r="P32" s="51">
        <v>0.99</v>
      </c>
      <c r="Q32" s="51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10.1</v>
      </c>
      <c r="C34" s="28">
        <f t="shared" si="0"/>
        <v>7.3</v>
      </c>
      <c r="D34" s="28">
        <f t="shared" si="0"/>
        <v>12.12</v>
      </c>
      <c r="E34" s="28">
        <f t="shared" si="0"/>
        <v>5.1100000000000003</v>
      </c>
      <c r="F34" s="28">
        <f t="shared" si="0"/>
        <v>2.76</v>
      </c>
      <c r="G34" s="28">
        <f t="shared" si="0"/>
        <v>33.83</v>
      </c>
      <c r="H34" s="28">
        <f t="shared" si="0"/>
        <v>6.29</v>
      </c>
      <c r="I34" s="28">
        <f t="shared" si="0"/>
        <v>1.54</v>
      </c>
      <c r="J34" s="28">
        <f t="shared" si="0"/>
        <v>0.05</v>
      </c>
      <c r="K34" s="28">
        <f t="shared" si="0"/>
        <v>175.68</v>
      </c>
      <c r="L34" s="28">
        <f t="shared" si="0"/>
        <v>23.59</v>
      </c>
      <c r="M34" s="28">
        <f t="shared" si="0"/>
        <v>89.39</v>
      </c>
      <c r="N34" s="28">
        <f t="shared" si="0"/>
        <v>31.1</v>
      </c>
      <c r="O34" s="28">
        <f t="shared" si="0"/>
        <v>0</v>
      </c>
      <c r="P34" s="28">
        <f t="shared" si="0"/>
        <v>0.44</v>
      </c>
      <c r="Q34" s="28">
        <f t="shared" si="0"/>
        <v>9.48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36.54</v>
      </c>
      <c r="C35" s="29">
        <f t="shared" si="1"/>
        <v>24.28</v>
      </c>
      <c r="D35" s="29">
        <f t="shared" si="1"/>
        <v>37.18</v>
      </c>
      <c r="E35" s="29">
        <f t="shared" si="1"/>
        <v>6.12</v>
      </c>
      <c r="F35" s="29">
        <f t="shared" si="1"/>
        <v>14.91</v>
      </c>
      <c r="G35" s="29">
        <f t="shared" si="1"/>
        <v>91.41</v>
      </c>
      <c r="H35" s="29">
        <f t="shared" si="1"/>
        <v>5904.78</v>
      </c>
      <c r="I35" s="29">
        <f t="shared" si="1"/>
        <v>2.58</v>
      </c>
      <c r="J35" s="29">
        <f t="shared" si="1"/>
        <v>1.66</v>
      </c>
      <c r="K35" s="29">
        <f t="shared" si="1"/>
        <v>355.96</v>
      </c>
      <c r="L35" s="29">
        <f t="shared" si="1"/>
        <v>32.729999999999997</v>
      </c>
      <c r="M35" s="29">
        <f t="shared" si="1"/>
        <v>98.1</v>
      </c>
      <c r="N35" s="29">
        <f t="shared" si="1"/>
        <v>647.79999999999995</v>
      </c>
      <c r="O35" s="29">
        <f t="shared" si="1"/>
        <v>0</v>
      </c>
      <c r="P35" s="29">
        <f t="shared" si="1"/>
        <v>1.26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18.740833333333335</v>
      </c>
      <c r="C36" s="28">
        <f t="shared" si="2"/>
        <v>14.857500000000002</v>
      </c>
      <c r="D36" s="28">
        <f t="shared" si="2"/>
        <v>21.684166666666666</v>
      </c>
      <c r="E36" s="28">
        <f t="shared" si="2"/>
        <v>5.5250000000000012</v>
      </c>
      <c r="F36" s="28">
        <f t="shared" si="2"/>
        <v>8.1641666666666666</v>
      </c>
      <c r="G36" s="28">
        <f t="shared" si="2"/>
        <v>55.265833333333326</v>
      </c>
      <c r="H36" s="28">
        <f t="shared" si="2"/>
        <v>579.45499999999993</v>
      </c>
      <c r="I36" s="28">
        <f t="shared" si="2"/>
        <v>1.9537500000000001</v>
      </c>
      <c r="J36" s="28">
        <f t="shared" si="2"/>
        <v>0.4612500000000001</v>
      </c>
      <c r="K36" s="28">
        <f t="shared" si="2"/>
        <v>319.94</v>
      </c>
      <c r="L36" s="28">
        <f t="shared" si="2"/>
        <v>26.677083333333329</v>
      </c>
      <c r="M36" s="28">
        <f t="shared" si="2"/>
        <v>97.221666666666678</v>
      </c>
      <c r="N36" s="28">
        <f t="shared" si="2"/>
        <v>145.53750000000002</v>
      </c>
      <c r="O36" s="28">
        <f t="shared" si="2"/>
        <v>0</v>
      </c>
      <c r="P36" s="28">
        <f t="shared" si="2"/>
        <v>0.67874999999999996</v>
      </c>
      <c r="Q36" s="28">
        <f t="shared" si="2"/>
        <v>9.6041666666666679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6.5042206475398752</v>
      </c>
      <c r="C37" s="28">
        <f t="shared" ref="C37:Q37" si="3">STDEV(C9:C32)</f>
        <v>4.7396819284218443</v>
      </c>
      <c r="D37" s="28">
        <f t="shared" si="3"/>
        <v>6.4543742610302113</v>
      </c>
      <c r="E37" s="28">
        <f t="shared" si="3"/>
        <v>0.27325732417886117</v>
      </c>
      <c r="F37" s="28">
        <f t="shared" si="3"/>
        <v>3.9246943017665537</v>
      </c>
      <c r="G37" s="28">
        <f t="shared" si="3"/>
        <v>17.645457086658361</v>
      </c>
      <c r="H37" s="28">
        <f t="shared" si="3"/>
        <v>1628.7735416751066</v>
      </c>
      <c r="I37" s="28">
        <f t="shared" si="3"/>
        <v>0.25820134543144402</v>
      </c>
      <c r="J37" s="28">
        <f t="shared" si="3"/>
        <v>0.44228962083192963</v>
      </c>
      <c r="K37" s="28">
        <f t="shared" si="3"/>
        <v>38.894341826118449</v>
      </c>
      <c r="L37" s="28">
        <f t="shared" si="3"/>
        <v>2.5621381681622135</v>
      </c>
      <c r="M37" s="28">
        <f t="shared" si="3"/>
        <v>2.4133643604379094</v>
      </c>
      <c r="N37" s="28">
        <f t="shared" si="3"/>
        <v>161.31823210929869</v>
      </c>
      <c r="O37" s="28">
        <f t="shared" si="3"/>
        <v>0</v>
      </c>
      <c r="P37" s="28">
        <f t="shared" si="3"/>
        <v>0.24458149704270801</v>
      </c>
      <c r="Q37" s="28">
        <f t="shared" si="3"/>
        <v>4.6054473102551376E-2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9" sqref="B9:D2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324</v>
      </c>
      <c r="B9" s="51">
        <v>16.05</v>
      </c>
      <c r="C9" s="51">
        <v>20.86</v>
      </c>
      <c r="D9" s="51">
        <v>21.89</v>
      </c>
      <c r="E9" s="51">
        <v>4.9000000000000004</v>
      </c>
      <c r="F9" s="51">
        <v>3.61</v>
      </c>
      <c r="G9" s="51">
        <v>71.290000000000006</v>
      </c>
      <c r="H9" s="51">
        <v>30.47</v>
      </c>
      <c r="I9" s="51">
        <v>2.2200000000000002</v>
      </c>
      <c r="J9" s="51">
        <v>0.59</v>
      </c>
      <c r="K9" s="51">
        <v>338.9</v>
      </c>
      <c r="L9" s="51">
        <v>25.2</v>
      </c>
      <c r="M9" s="51">
        <v>98.05</v>
      </c>
      <c r="N9" s="51">
        <v>32.1</v>
      </c>
      <c r="O9" s="51">
        <v>0</v>
      </c>
      <c r="P9" s="51">
        <v>0.86</v>
      </c>
      <c r="Q9" s="51">
        <v>9.66</v>
      </c>
      <c r="R9" s="43"/>
      <c r="S9" s="43"/>
      <c r="T9" s="43"/>
      <c r="U9" s="43"/>
    </row>
    <row r="10" spans="1:21" s="11" customFormat="1" x14ac:dyDescent="0.25">
      <c r="A10" s="50" t="s">
        <v>325</v>
      </c>
      <c r="B10" s="51">
        <v>12.63</v>
      </c>
      <c r="C10" s="51">
        <v>14.85</v>
      </c>
      <c r="D10" s="51">
        <v>15.94</v>
      </c>
      <c r="E10" s="51">
        <v>5.0599999999999996</v>
      </c>
      <c r="F10" s="51">
        <v>6</v>
      </c>
      <c r="G10" s="51">
        <v>82.49</v>
      </c>
      <c r="H10" s="51">
        <v>30.47</v>
      </c>
      <c r="I10" s="51">
        <v>2.23</v>
      </c>
      <c r="J10" s="51">
        <v>0.33</v>
      </c>
      <c r="K10" s="51">
        <v>338.53</v>
      </c>
      <c r="L10" s="51">
        <v>25.11</v>
      </c>
      <c r="M10" s="51">
        <v>98.08</v>
      </c>
      <c r="N10" s="51">
        <v>33.200000000000003</v>
      </c>
      <c r="O10" s="51">
        <v>0.2</v>
      </c>
      <c r="P10" s="51">
        <v>0.73</v>
      </c>
      <c r="Q10" s="51">
        <v>9.66</v>
      </c>
      <c r="R10" s="43"/>
      <c r="S10" s="43"/>
      <c r="T10" s="43"/>
      <c r="U10" s="43"/>
    </row>
    <row r="11" spans="1:21" s="11" customFormat="1" x14ac:dyDescent="0.25">
      <c r="A11" s="50" t="s">
        <v>326</v>
      </c>
      <c r="B11" s="51">
        <v>14.8</v>
      </c>
      <c r="C11" s="51">
        <v>7.46</v>
      </c>
      <c r="D11" s="51">
        <v>14.64</v>
      </c>
      <c r="E11" s="51">
        <v>5.4</v>
      </c>
      <c r="F11" s="51">
        <v>10.050000000000001</v>
      </c>
      <c r="G11" s="51">
        <v>89.83</v>
      </c>
      <c r="H11" s="51">
        <v>6.28</v>
      </c>
      <c r="I11" s="51">
        <v>2.23</v>
      </c>
      <c r="J11" s="51">
        <v>0.57999999999999996</v>
      </c>
      <c r="K11" s="51">
        <v>314.11</v>
      </c>
      <c r="L11" s="51">
        <v>23.07</v>
      </c>
      <c r="M11" s="51">
        <v>98.05</v>
      </c>
      <c r="N11" s="51">
        <v>33.299999999999997</v>
      </c>
      <c r="O11" s="51">
        <v>0.8</v>
      </c>
      <c r="P11" s="51">
        <v>0.59</v>
      </c>
      <c r="Q11" s="51">
        <v>9.67</v>
      </c>
      <c r="R11" s="43"/>
      <c r="S11" s="43"/>
      <c r="T11" s="43"/>
      <c r="U11" s="43"/>
    </row>
    <row r="12" spans="1:21" s="11" customFormat="1" x14ac:dyDescent="0.25">
      <c r="A12" s="50" t="s">
        <v>327</v>
      </c>
      <c r="B12" s="51">
        <v>16.260000000000002</v>
      </c>
      <c r="C12" s="51">
        <v>9.2200000000000006</v>
      </c>
      <c r="D12" s="51">
        <v>14.99</v>
      </c>
      <c r="E12" s="51">
        <v>5.21</v>
      </c>
      <c r="F12" s="51">
        <v>7.05</v>
      </c>
      <c r="G12" s="51">
        <v>58.47</v>
      </c>
      <c r="H12" s="51">
        <v>6.28</v>
      </c>
      <c r="I12" s="51">
        <v>2.09</v>
      </c>
      <c r="J12" s="51">
        <v>0.74</v>
      </c>
      <c r="K12" s="51">
        <v>358.84</v>
      </c>
      <c r="L12" s="51">
        <v>22.36</v>
      </c>
      <c r="M12" s="51">
        <v>98</v>
      </c>
      <c r="N12" s="51">
        <v>33</v>
      </c>
      <c r="O12" s="51">
        <v>2</v>
      </c>
      <c r="P12" s="51">
        <v>0.62</v>
      </c>
      <c r="Q12" s="51">
        <v>9.64</v>
      </c>
      <c r="R12" s="43"/>
      <c r="S12" s="43"/>
      <c r="T12" s="43"/>
      <c r="U12" s="43"/>
    </row>
    <row r="13" spans="1:21" s="11" customFormat="1" x14ac:dyDescent="0.25">
      <c r="A13" s="50" t="s">
        <v>328</v>
      </c>
      <c r="B13" s="51">
        <v>16.32</v>
      </c>
      <c r="C13" s="51">
        <v>14.94</v>
      </c>
      <c r="D13" s="51">
        <v>20.9</v>
      </c>
      <c r="E13" s="51">
        <v>4.8899999999999997</v>
      </c>
      <c r="F13" s="51">
        <v>6.87</v>
      </c>
      <c r="G13" s="51">
        <v>34.35</v>
      </c>
      <c r="H13" s="51">
        <v>6.28</v>
      </c>
      <c r="I13" s="51">
        <v>1.85</v>
      </c>
      <c r="J13" s="51">
        <v>0.91</v>
      </c>
      <c r="K13" s="51">
        <v>344.23</v>
      </c>
      <c r="L13" s="51">
        <v>22.62</v>
      </c>
      <c r="M13" s="51">
        <v>98</v>
      </c>
      <c r="N13" s="51">
        <v>32</v>
      </c>
      <c r="O13" s="51">
        <v>0</v>
      </c>
      <c r="P13" s="51">
        <v>0.53</v>
      </c>
      <c r="Q13" s="51">
        <v>9.56</v>
      </c>
      <c r="R13" s="43"/>
      <c r="S13" s="43"/>
      <c r="T13" s="43"/>
      <c r="U13" s="43"/>
    </row>
    <row r="14" spans="1:21" s="11" customFormat="1" x14ac:dyDescent="0.25">
      <c r="A14" s="50" t="s">
        <v>329</v>
      </c>
      <c r="B14" s="51">
        <v>14.44</v>
      </c>
      <c r="C14" s="51">
        <v>13.06</v>
      </c>
      <c r="D14" s="51">
        <v>18.41</v>
      </c>
      <c r="E14" s="51">
        <v>5.2</v>
      </c>
      <c r="F14" s="51">
        <v>6.5</v>
      </c>
      <c r="G14" s="51">
        <v>32.130000000000003</v>
      </c>
      <c r="H14" s="51">
        <v>6.28</v>
      </c>
      <c r="I14" s="51">
        <v>1.69</v>
      </c>
      <c r="J14" s="51">
        <v>0.87</v>
      </c>
      <c r="K14" s="51">
        <v>346.5</v>
      </c>
      <c r="L14" s="51">
        <v>22.75</v>
      </c>
      <c r="M14" s="51">
        <v>98</v>
      </c>
      <c r="N14" s="51">
        <v>38.9</v>
      </c>
      <c r="O14" s="51">
        <v>0.2</v>
      </c>
      <c r="P14" s="51">
        <v>0.44</v>
      </c>
      <c r="Q14" s="51">
        <v>9.52</v>
      </c>
      <c r="R14" s="43"/>
      <c r="S14" s="43"/>
      <c r="T14" s="43"/>
      <c r="U14" s="43"/>
    </row>
    <row r="15" spans="1:21" s="11" customFormat="1" x14ac:dyDescent="0.25">
      <c r="A15" s="50" t="s">
        <v>330</v>
      </c>
      <c r="B15" s="51">
        <v>18.61</v>
      </c>
      <c r="C15" s="51">
        <v>13.16</v>
      </c>
      <c r="D15" s="51">
        <v>21.37</v>
      </c>
      <c r="E15" s="51">
        <v>5.25</v>
      </c>
      <c r="F15" s="51">
        <v>7.2</v>
      </c>
      <c r="G15" s="51">
        <v>48.67</v>
      </c>
      <c r="H15" s="51">
        <v>6.28</v>
      </c>
      <c r="I15" s="51">
        <v>1.63</v>
      </c>
      <c r="J15" s="51">
        <v>0.69</v>
      </c>
      <c r="K15" s="51">
        <v>341.63</v>
      </c>
      <c r="L15" s="51">
        <v>23.13</v>
      </c>
      <c r="M15" s="51">
        <v>96.15</v>
      </c>
      <c r="N15" s="51">
        <v>123.5</v>
      </c>
      <c r="O15" s="51">
        <v>0</v>
      </c>
      <c r="P15" s="51">
        <v>0.55000000000000004</v>
      </c>
      <c r="Q15" s="51">
        <v>9.56</v>
      </c>
      <c r="R15" s="43"/>
      <c r="S15" s="43"/>
      <c r="T15" s="43"/>
      <c r="U15" s="43"/>
    </row>
    <row r="16" spans="1:21" s="11" customFormat="1" x14ac:dyDescent="0.25">
      <c r="A16" s="50" t="s">
        <v>331</v>
      </c>
      <c r="B16" s="51">
        <v>26.25</v>
      </c>
      <c r="C16" s="51">
        <v>13.45</v>
      </c>
      <c r="D16" s="51">
        <v>28.08</v>
      </c>
      <c r="E16" s="51">
        <v>5.42</v>
      </c>
      <c r="F16" s="51">
        <v>4.6399999999999997</v>
      </c>
      <c r="G16" s="51">
        <v>66.400000000000006</v>
      </c>
      <c r="H16" s="51">
        <v>6.28</v>
      </c>
      <c r="I16" s="51">
        <v>1.73</v>
      </c>
      <c r="J16" s="51">
        <v>0.43</v>
      </c>
      <c r="K16" s="51">
        <v>345.82</v>
      </c>
      <c r="L16" s="51">
        <v>25.04</v>
      </c>
      <c r="M16" s="51">
        <v>96.2</v>
      </c>
      <c r="N16" s="51">
        <v>373.5</v>
      </c>
      <c r="O16" s="51">
        <v>0</v>
      </c>
      <c r="P16" s="51">
        <v>0.84</v>
      </c>
      <c r="Q16" s="51">
        <v>9.6300000000000008</v>
      </c>
      <c r="R16" s="43"/>
      <c r="S16" s="43"/>
      <c r="T16" s="43"/>
      <c r="U16" s="43"/>
    </row>
    <row r="17" spans="1:21" s="11" customFormat="1" x14ac:dyDescent="0.25">
      <c r="A17" s="50" t="s">
        <v>332</v>
      </c>
      <c r="B17" s="51">
        <v>22.78</v>
      </c>
      <c r="C17" s="51">
        <v>12.26</v>
      </c>
      <c r="D17" s="51">
        <v>22.19</v>
      </c>
      <c r="E17" s="51">
        <v>5.19</v>
      </c>
      <c r="F17" s="51">
        <v>8.59</v>
      </c>
      <c r="G17" s="51">
        <v>72.53</v>
      </c>
      <c r="H17" s="51">
        <v>6.28</v>
      </c>
      <c r="I17" s="51">
        <v>1.79</v>
      </c>
      <c r="J17" s="51">
        <v>0.76</v>
      </c>
      <c r="K17" s="51">
        <v>337.08</v>
      </c>
      <c r="L17" s="51">
        <v>28.6</v>
      </c>
      <c r="M17" s="51">
        <v>95.91</v>
      </c>
      <c r="N17" s="51">
        <v>479.3</v>
      </c>
      <c r="O17" s="51">
        <v>0</v>
      </c>
      <c r="P17" s="51">
        <v>0.64</v>
      </c>
      <c r="Q17" s="51">
        <v>9.64</v>
      </c>
      <c r="R17" s="43"/>
      <c r="S17" s="43"/>
      <c r="T17" s="43"/>
      <c r="U17" s="43"/>
    </row>
    <row r="18" spans="1:21" s="11" customFormat="1" x14ac:dyDescent="0.25">
      <c r="A18" s="50" t="s">
        <v>333</v>
      </c>
      <c r="B18" s="51">
        <v>18.84</v>
      </c>
      <c r="C18" s="51">
        <v>14.77</v>
      </c>
      <c r="D18" s="51">
        <v>21.4</v>
      </c>
      <c r="E18" s="51">
        <v>5.29</v>
      </c>
      <c r="F18" s="51">
        <v>12.02</v>
      </c>
      <c r="G18" s="51">
        <v>62.88</v>
      </c>
      <c r="H18" s="51">
        <v>9.8699999999999992</v>
      </c>
      <c r="I18" s="51">
        <v>1.77</v>
      </c>
      <c r="J18" s="51">
        <v>0.79</v>
      </c>
      <c r="K18" s="51">
        <v>344.51</v>
      </c>
      <c r="L18" s="51">
        <v>31.73</v>
      </c>
      <c r="M18" s="51">
        <v>85.48</v>
      </c>
      <c r="N18" s="51">
        <v>690.4</v>
      </c>
      <c r="O18" s="51">
        <v>0</v>
      </c>
      <c r="P18" s="51">
        <v>0.61</v>
      </c>
      <c r="Q18" s="51">
        <v>9.64</v>
      </c>
      <c r="R18" s="43"/>
      <c r="S18" s="43"/>
      <c r="T18" s="43"/>
      <c r="U18" s="43"/>
    </row>
    <row r="19" spans="1:21" s="11" customFormat="1" x14ac:dyDescent="0.25">
      <c r="A19" s="50" t="s">
        <v>334</v>
      </c>
      <c r="B19" s="51">
        <v>21.59</v>
      </c>
      <c r="C19" s="51">
        <v>17.440000000000001</v>
      </c>
      <c r="D19" s="51">
        <v>25.34</v>
      </c>
      <c r="E19" s="51">
        <v>5.18</v>
      </c>
      <c r="F19" s="51">
        <v>12.37</v>
      </c>
      <c r="G19" s="51">
        <v>61.36</v>
      </c>
      <c r="H19" s="51">
        <v>11.07</v>
      </c>
      <c r="I19" s="51">
        <v>1.73</v>
      </c>
      <c r="J19" s="51">
        <v>0.81</v>
      </c>
      <c r="K19" s="51">
        <v>129.51</v>
      </c>
      <c r="L19" s="51">
        <v>29.73</v>
      </c>
      <c r="M19" s="51">
        <v>86.06</v>
      </c>
      <c r="N19" s="51">
        <v>867.9</v>
      </c>
      <c r="O19" s="51">
        <v>0</v>
      </c>
      <c r="P19" s="51">
        <v>0.49</v>
      </c>
      <c r="Q19" s="51">
        <v>9.64</v>
      </c>
      <c r="R19" s="43"/>
      <c r="S19" s="43"/>
      <c r="T19" s="43"/>
      <c r="U19" s="43"/>
    </row>
    <row r="20" spans="1:21" s="11" customFormat="1" x14ac:dyDescent="0.25">
      <c r="A20" s="50" t="s">
        <v>335</v>
      </c>
      <c r="B20" s="51">
        <v>10.36</v>
      </c>
      <c r="C20" s="51">
        <v>17.010000000000002</v>
      </c>
      <c r="D20" s="51">
        <v>17.2</v>
      </c>
      <c r="E20" s="51">
        <v>5.26</v>
      </c>
      <c r="F20" s="51">
        <v>12.14</v>
      </c>
      <c r="G20" s="51">
        <v>57.42</v>
      </c>
      <c r="H20" s="51">
        <v>7.14</v>
      </c>
      <c r="I20" s="51">
        <v>1.1299999999999999</v>
      </c>
      <c r="J20" s="51">
        <v>1.22</v>
      </c>
      <c r="K20" s="51">
        <v>130.59</v>
      </c>
      <c r="L20" s="51">
        <v>30.16</v>
      </c>
      <c r="M20" s="51">
        <v>85.36</v>
      </c>
      <c r="N20" s="51">
        <v>818.9</v>
      </c>
      <c r="O20" s="51">
        <v>0</v>
      </c>
      <c r="P20" s="51">
        <v>0.28999999999999998</v>
      </c>
      <c r="Q20" s="51">
        <v>9.33</v>
      </c>
      <c r="R20" s="43"/>
      <c r="S20" s="43"/>
      <c r="T20" s="43"/>
      <c r="U20" s="43"/>
    </row>
    <row r="21" spans="1:21" s="11" customFormat="1" x14ac:dyDescent="0.25">
      <c r="A21" s="50" t="s">
        <v>336</v>
      </c>
      <c r="B21" s="51">
        <v>7.51</v>
      </c>
      <c r="C21" s="51">
        <v>22.54</v>
      </c>
      <c r="D21" s="51">
        <v>17.8</v>
      </c>
      <c r="E21" s="51">
        <v>5.88</v>
      </c>
      <c r="F21" s="51">
        <v>13.94</v>
      </c>
      <c r="G21" s="51">
        <v>56.13</v>
      </c>
      <c r="H21" s="51">
        <v>9.82</v>
      </c>
      <c r="I21" s="51">
        <v>0.91</v>
      </c>
      <c r="J21" s="51">
        <v>1.1200000000000001</v>
      </c>
      <c r="K21" s="51">
        <v>133.91</v>
      </c>
      <c r="L21" s="51">
        <v>29.86</v>
      </c>
      <c r="M21" s="51">
        <v>87.35</v>
      </c>
      <c r="N21" s="51">
        <v>610.5</v>
      </c>
      <c r="O21" s="51">
        <v>0</v>
      </c>
      <c r="P21" s="51">
        <v>0.31</v>
      </c>
      <c r="Q21" s="51">
        <v>9.27</v>
      </c>
      <c r="R21" s="43"/>
      <c r="S21" s="43"/>
      <c r="T21" s="43"/>
      <c r="U21" s="43"/>
    </row>
    <row r="22" spans="1:21" s="11" customFormat="1" x14ac:dyDescent="0.25">
      <c r="A22" s="50" t="s">
        <v>337</v>
      </c>
      <c r="B22" s="51">
        <v>7.06</v>
      </c>
      <c r="C22" s="51">
        <v>17.11</v>
      </c>
      <c r="D22" s="51">
        <v>14.6</v>
      </c>
      <c r="E22" s="51">
        <v>8.0299999999999994</v>
      </c>
      <c r="F22" s="51">
        <v>11.98</v>
      </c>
      <c r="G22" s="51">
        <v>57.01</v>
      </c>
      <c r="H22" s="51">
        <v>16.02</v>
      </c>
      <c r="I22" s="51">
        <v>0.93</v>
      </c>
      <c r="J22" s="51">
        <v>1.42</v>
      </c>
      <c r="K22" s="51">
        <v>338.92</v>
      </c>
      <c r="L22" s="51">
        <v>29.98</v>
      </c>
      <c r="M22" s="51">
        <v>86.21</v>
      </c>
      <c r="N22" s="51">
        <v>396.1</v>
      </c>
      <c r="O22" s="51">
        <v>0</v>
      </c>
      <c r="P22" s="51">
        <v>0.32</v>
      </c>
      <c r="Q22" s="51">
        <v>9.25</v>
      </c>
      <c r="R22" s="43"/>
      <c r="S22" s="43"/>
      <c r="T22" s="43"/>
      <c r="U22" s="43"/>
    </row>
    <row r="23" spans="1:21" s="11" customFormat="1" x14ac:dyDescent="0.25">
      <c r="A23" s="50" t="s">
        <v>338</v>
      </c>
      <c r="B23" s="51">
        <v>8.1300000000000008</v>
      </c>
      <c r="C23" s="51">
        <v>15.9</v>
      </c>
      <c r="D23" s="51">
        <v>14.09</v>
      </c>
      <c r="E23" s="51">
        <v>7.47</v>
      </c>
      <c r="F23" s="51">
        <v>20.260000000000002</v>
      </c>
      <c r="G23" s="51">
        <v>59.72</v>
      </c>
      <c r="H23" s="51">
        <v>20.3</v>
      </c>
      <c r="I23" s="51">
        <v>1.04</v>
      </c>
      <c r="J23" s="51">
        <v>1.31</v>
      </c>
      <c r="K23" s="51">
        <v>340.17</v>
      </c>
      <c r="L23" s="51">
        <v>30.55</v>
      </c>
      <c r="M23" s="51">
        <v>86.75</v>
      </c>
      <c r="N23" s="51">
        <v>224.1</v>
      </c>
      <c r="O23" s="51">
        <v>0</v>
      </c>
      <c r="P23" s="51">
        <v>0.4</v>
      </c>
      <c r="Q23" s="51">
        <v>9.27</v>
      </c>
      <c r="R23" s="43"/>
      <c r="S23" s="43"/>
      <c r="T23" s="43"/>
      <c r="U23" s="43"/>
    </row>
    <row r="24" spans="1:21" s="11" customFormat="1" x14ac:dyDescent="0.25">
      <c r="A24" s="50" t="s">
        <v>339</v>
      </c>
      <c r="B24" s="51">
        <v>4.32</v>
      </c>
      <c r="C24" s="51">
        <v>12.78</v>
      </c>
      <c r="D24" s="51">
        <v>10.14</v>
      </c>
      <c r="E24" s="51">
        <v>6.61</v>
      </c>
      <c r="F24" s="51">
        <v>22.58</v>
      </c>
      <c r="G24" s="51">
        <v>48.32</v>
      </c>
      <c r="H24" s="51">
        <v>21.33</v>
      </c>
      <c r="I24" s="51">
        <v>1.24</v>
      </c>
      <c r="J24" s="51">
        <v>0.91</v>
      </c>
      <c r="K24" s="51">
        <v>130.19</v>
      </c>
      <c r="L24" s="51">
        <v>29.09</v>
      </c>
      <c r="M24" s="51">
        <v>86.66</v>
      </c>
      <c r="N24" s="51">
        <v>187.4</v>
      </c>
      <c r="O24" s="51">
        <v>0</v>
      </c>
      <c r="P24" s="51">
        <v>0.23</v>
      </c>
      <c r="Q24" s="51">
        <v>9.24</v>
      </c>
      <c r="R24" s="43"/>
      <c r="S24" s="43"/>
      <c r="T24" s="43"/>
      <c r="U24" s="43"/>
    </row>
    <row r="25" spans="1:21" s="11" customFormat="1" x14ac:dyDescent="0.25">
      <c r="A25" s="50" t="s">
        <v>340</v>
      </c>
      <c r="B25" s="51">
        <v>4.57</v>
      </c>
      <c r="C25" s="51">
        <v>13.15</v>
      </c>
      <c r="D25" s="51">
        <v>10.51</v>
      </c>
      <c r="E25" s="51">
        <v>5.36</v>
      </c>
      <c r="F25" s="51">
        <v>22.56</v>
      </c>
      <c r="G25" s="51">
        <v>54.28</v>
      </c>
      <c r="H25" s="51">
        <v>10.49</v>
      </c>
      <c r="I25" s="51">
        <v>1.1599999999999999</v>
      </c>
      <c r="J25" s="51">
        <v>0.8</v>
      </c>
      <c r="K25" s="51">
        <v>129.18</v>
      </c>
      <c r="L25" s="51">
        <v>28.77</v>
      </c>
      <c r="M25" s="51">
        <v>93.65</v>
      </c>
      <c r="N25" s="51">
        <v>131</v>
      </c>
      <c r="O25" s="51">
        <v>0</v>
      </c>
      <c r="P25" s="51">
        <v>0.31</v>
      </c>
      <c r="Q25" s="51">
        <v>9.25</v>
      </c>
      <c r="R25" s="43"/>
      <c r="S25" s="43"/>
      <c r="T25" s="43"/>
      <c r="U25" s="43"/>
    </row>
    <row r="26" spans="1:21" s="11" customFormat="1" x14ac:dyDescent="0.25">
      <c r="A26" s="50" t="s">
        <v>341</v>
      </c>
      <c r="B26" s="51">
        <v>4.62</v>
      </c>
      <c r="C26" s="51">
        <v>13.43</v>
      </c>
      <c r="D26" s="51">
        <v>10.51</v>
      </c>
      <c r="E26" s="51">
        <v>5.35</v>
      </c>
      <c r="F26" s="51">
        <v>19.12</v>
      </c>
      <c r="G26" s="51">
        <v>52.41</v>
      </c>
      <c r="H26" s="51">
        <v>7.54</v>
      </c>
      <c r="I26" s="51">
        <v>1.1299999999999999</v>
      </c>
      <c r="J26" s="51">
        <v>1.08</v>
      </c>
      <c r="K26" s="51">
        <v>120.83</v>
      </c>
      <c r="L26" s="51">
        <v>28.1</v>
      </c>
      <c r="M26" s="51">
        <v>96.55</v>
      </c>
      <c r="N26" s="51">
        <v>67.7</v>
      </c>
      <c r="O26" s="51">
        <v>0</v>
      </c>
      <c r="P26" s="51">
        <v>0.27</v>
      </c>
      <c r="Q26" s="51">
        <v>9.26</v>
      </c>
      <c r="R26" s="43"/>
      <c r="S26" s="43"/>
      <c r="T26" s="43"/>
      <c r="U26" s="43"/>
    </row>
    <row r="27" spans="1:21" s="11" customFormat="1" x14ac:dyDescent="0.25">
      <c r="A27" s="50" t="s">
        <v>342</v>
      </c>
      <c r="B27" s="51">
        <v>8.77</v>
      </c>
      <c r="C27" s="51">
        <v>18</v>
      </c>
      <c r="D27" s="51">
        <v>16.420000000000002</v>
      </c>
      <c r="E27" s="51">
        <v>5.61</v>
      </c>
      <c r="F27" s="51">
        <v>14.5</v>
      </c>
      <c r="G27" s="51">
        <v>45.35</v>
      </c>
      <c r="H27" s="51">
        <v>6.68</v>
      </c>
      <c r="I27" s="51">
        <v>1.1399999999999999</v>
      </c>
      <c r="J27" s="51">
        <v>0.53</v>
      </c>
      <c r="K27" s="51">
        <v>136.19</v>
      </c>
      <c r="L27" s="51">
        <v>26.72</v>
      </c>
      <c r="M27" s="51">
        <v>96.64</v>
      </c>
      <c r="N27" s="51">
        <v>31.2</v>
      </c>
      <c r="O27" s="51">
        <v>0</v>
      </c>
      <c r="P27" s="51">
        <v>0.63</v>
      </c>
      <c r="Q27" s="51">
        <v>9.26</v>
      </c>
      <c r="R27" s="43"/>
      <c r="S27" s="43"/>
      <c r="T27" s="43"/>
      <c r="U27" s="43"/>
    </row>
    <row r="28" spans="1:21" s="11" customFormat="1" x14ac:dyDescent="0.25">
      <c r="A28" s="50" t="s">
        <v>343</v>
      </c>
      <c r="B28" s="51">
        <v>18.760000000000002</v>
      </c>
      <c r="C28" s="51">
        <v>28.2</v>
      </c>
      <c r="D28" s="51">
        <v>29.78</v>
      </c>
      <c r="E28" s="51">
        <v>5.63</v>
      </c>
      <c r="F28" s="51">
        <v>9.1300000000000008</v>
      </c>
      <c r="G28" s="51">
        <v>54.08</v>
      </c>
      <c r="H28" s="51">
        <v>6.41</v>
      </c>
      <c r="I28" s="51">
        <v>1.2</v>
      </c>
      <c r="J28" s="51">
        <v>0.13</v>
      </c>
      <c r="K28" s="51">
        <v>346.38</v>
      </c>
      <c r="L28" s="51">
        <v>26.25</v>
      </c>
      <c r="M28" s="51">
        <v>96.53</v>
      </c>
      <c r="N28" s="51">
        <v>30.6</v>
      </c>
      <c r="O28" s="51">
        <v>0</v>
      </c>
      <c r="P28" s="51">
        <v>1.61</v>
      </c>
      <c r="Q28" s="51">
        <v>9.27</v>
      </c>
      <c r="R28" s="43"/>
      <c r="S28" s="43"/>
      <c r="T28" s="43"/>
      <c r="U28" s="43"/>
    </row>
    <row r="29" spans="1:21" s="11" customFormat="1" x14ac:dyDescent="0.25">
      <c r="A29" s="50" t="s">
        <v>344</v>
      </c>
      <c r="B29" s="51">
        <v>24.81</v>
      </c>
      <c r="C29" s="51">
        <v>23.6</v>
      </c>
      <c r="D29" s="51">
        <v>30.06</v>
      </c>
      <c r="E29" s="51">
        <v>5.55</v>
      </c>
      <c r="F29" s="51">
        <v>10.77</v>
      </c>
      <c r="G29" s="51">
        <v>61.33</v>
      </c>
      <c r="H29" s="51">
        <v>6.33</v>
      </c>
      <c r="I29" s="51">
        <v>1.56</v>
      </c>
      <c r="J29" s="51">
        <v>0.62</v>
      </c>
      <c r="K29" s="51">
        <v>339.51</v>
      </c>
      <c r="L29" s="51">
        <v>26.16</v>
      </c>
      <c r="M29" s="51">
        <v>96.77</v>
      </c>
      <c r="N29" s="51">
        <v>30.6</v>
      </c>
      <c r="O29" s="51">
        <v>0</v>
      </c>
      <c r="P29" s="51">
        <v>1.44</v>
      </c>
      <c r="Q29" s="51">
        <v>9.33</v>
      </c>
      <c r="R29" s="43"/>
      <c r="S29" s="43"/>
      <c r="T29" s="43"/>
      <c r="U29" s="43"/>
    </row>
    <row r="30" spans="1:21" s="11" customFormat="1" x14ac:dyDescent="0.25">
      <c r="A30" s="50" t="s">
        <v>345</v>
      </c>
      <c r="B30" s="51">
        <v>24.49</v>
      </c>
      <c r="C30" s="51">
        <v>18.64</v>
      </c>
      <c r="D30" s="51">
        <v>24.69</v>
      </c>
      <c r="E30" s="51">
        <v>5.63</v>
      </c>
      <c r="F30" s="51">
        <v>5.38</v>
      </c>
      <c r="G30" s="51">
        <v>78.42</v>
      </c>
      <c r="H30" s="51">
        <v>6.29</v>
      </c>
      <c r="I30" s="51">
        <v>1.9</v>
      </c>
      <c r="J30" s="51">
        <v>0.97</v>
      </c>
      <c r="K30" s="51">
        <v>338.85</v>
      </c>
      <c r="L30" s="51">
        <v>26.09</v>
      </c>
      <c r="M30" s="51">
        <v>96.9</v>
      </c>
      <c r="N30" s="51">
        <v>30.9</v>
      </c>
      <c r="O30" s="51">
        <v>0</v>
      </c>
      <c r="P30" s="51">
        <v>1.05</v>
      </c>
      <c r="Q30" s="51">
        <v>9.4600000000000009</v>
      </c>
      <c r="R30" s="43"/>
      <c r="S30" s="43"/>
      <c r="T30" s="43"/>
      <c r="U30" s="43"/>
    </row>
    <row r="31" spans="1:21" s="11" customFormat="1" x14ac:dyDescent="0.25">
      <c r="A31" s="50" t="s">
        <v>346</v>
      </c>
      <c r="B31" s="51">
        <v>20.45</v>
      </c>
      <c r="C31" s="51">
        <v>16.38</v>
      </c>
      <c r="D31" s="51">
        <v>24.5</v>
      </c>
      <c r="E31" s="51">
        <v>5.91</v>
      </c>
      <c r="F31" s="51">
        <v>6.22</v>
      </c>
      <c r="G31" s="51">
        <v>96.48</v>
      </c>
      <c r="H31" s="51">
        <v>6.28</v>
      </c>
      <c r="I31" s="51">
        <v>2.1</v>
      </c>
      <c r="J31" s="51">
        <v>1.1000000000000001</v>
      </c>
      <c r="K31" s="51">
        <v>338.28</v>
      </c>
      <c r="L31" s="51">
        <v>25.5</v>
      </c>
      <c r="M31" s="51">
        <v>97.21</v>
      </c>
      <c r="N31" s="51">
        <v>31</v>
      </c>
      <c r="O31" s="51">
        <v>0</v>
      </c>
      <c r="P31" s="51">
        <v>0.87</v>
      </c>
      <c r="Q31" s="51">
        <v>9.57</v>
      </c>
      <c r="R31" s="43"/>
      <c r="S31" s="43"/>
      <c r="T31" s="43"/>
      <c r="U31" s="43"/>
    </row>
    <row r="32" spans="1:21" s="11" customFormat="1" x14ac:dyDescent="0.25">
      <c r="A32" s="50" t="s">
        <v>347</v>
      </c>
      <c r="B32" s="51">
        <v>14.63</v>
      </c>
      <c r="C32" s="51">
        <v>20.239999999999998</v>
      </c>
      <c r="D32" s="51">
        <v>22.3</v>
      </c>
      <c r="E32" s="51">
        <v>6.23</v>
      </c>
      <c r="F32" s="51">
        <v>5.59</v>
      </c>
      <c r="G32" s="51">
        <v>101.02</v>
      </c>
      <c r="H32" s="51">
        <v>6.28</v>
      </c>
      <c r="I32" s="51">
        <v>2.2999999999999998</v>
      </c>
      <c r="J32" s="51">
        <v>0.7</v>
      </c>
      <c r="K32" s="51">
        <v>338.32</v>
      </c>
      <c r="L32" s="51">
        <v>24.92</v>
      </c>
      <c r="M32" s="51">
        <v>97.32</v>
      </c>
      <c r="N32" s="51">
        <v>30.7</v>
      </c>
      <c r="O32" s="51">
        <v>0</v>
      </c>
      <c r="P32" s="51">
        <v>0.97</v>
      </c>
      <c r="Q32" s="51">
        <v>9.59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4.32</v>
      </c>
      <c r="C34" s="28">
        <f t="shared" si="0"/>
        <v>7.46</v>
      </c>
      <c r="D34" s="28">
        <f t="shared" si="0"/>
        <v>10.14</v>
      </c>
      <c r="E34" s="28">
        <f t="shared" si="0"/>
        <v>4.8899999999999997</v>
      </c>
      <c r="F34" s="28">
        <f t="shared" si="0"/>
        <v>3.61</v>
      </c>
      <c r="G34" s="28">
        <f t="shared" si="0"/>
        <v>32.130000000000003</v>
      </c>
      <c r="H34" s="28">
        <f t="shared" si="0"/>
        <v>6.28</v>
      </c>
      <c r="I34" s="28">
        <f t="shared" si="0"/>
        <v>0.91</v>
      </c>
      <c r="J34" s="28">
        <f t="shared" si="0"/>
        <v>0.13</v>
      </c>
      <c r="K34" s="28">
        <f t="shared" si="0"/>
        <v>120.83</v>
      </c>
      <c r="L34" s="28">
        <f t="shared" si="0"/>
        <v>22.36</v>
      </c>
      <c r="M34" s="28">
        <f t="shared" si="0"/>
        <v>85.36</v>
      </c>
      <c r="N34" s="28">
        <f t="shared" si="0"/>
        <v>30.6</v>
      </c>
      <c r="O34" s="28">
        <f t="shared" si="0"/>
        <v>0</v>
      </c>
      <c r="P34" s="28">
        <f t="shared" si="0"/>
        <v>0.23</v>
      </c>
      <c r="Q34" s="28">
        <f t="shared" si="0"/>
        <v>9.24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26.25</v>
      </c>
      <c r="C35" s="29">
        <f t="shared" si="1"/>
        <v>28.2</v>
      </c>
      <c r="D35" s="29">
        <f t="shared" si="1"/>
        <v>30.06</v>
      </c>
      <c r="E35" s="29">
        <f t="shared" si="1"/>
        <v>8.0299999999999994</v>
      </c>
      <c r="F35" s="29">
        <f t="shared" si="1"/>
        <v>22.58</v>
      </c>
      <c r="G35" s="29">
        <f t="shared" si="1"/>
        <v>101.02</v>
      </c>
      <c r="H35" s="29">
        <f t="shared" si="1"/>
        <v>30.47</v>
      </c>
      <c r="I35" s="29">
        <f t="shared" si="1"/>
        <v>2.2999999999999998</v>
      </c>
      <c r="J35" s="29">
        <f t="shared" si="1"/>
        <v>1.42</v>
      </c>
      <c r="K35" s="29">
        <f t="shared" si="1"/>
        <v>358.84</v>
      </c>
      <c r="L35" s="29">
        <f t="shared" si="1"/>
        <v>31.73</v>
      </c>
      <c r="M35" s="29">
        <f t="shared" si="1"/>
        <v>98.08</v>
      </c>
      <c r="N35" s="29">
        <f t="shared" si="1"/>
        <v>867.9</v>
      </c>
      <c r="O35" s="29">
        <f t="shared" si="1"/>
        <v>2</v>
      </c>
      <c r="P35" s="29">
        <f t="shared" si="1"/>
        <v>1.61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14.877083333333333</v>
      </c>
      <c r="C36" s="28">
        <f t="shared" si="2"/>
        <v>16.185416666666665</v>
      </c>
      <c r="D36" s="28">
        <f t="shared" si="2"/>
        <v>19.489583333333332</v>
      </c>
      <c r="E36" s="28">
        <f t="shared" si="2"/>
        <v>5.6462499999999984</v>
      </c>
      <c r="F36" s="28">
        <f t="shared" si="2"/>
        <v>10.794583333333334</v>
      </c>
      <c r="G36" s="28">
        <f t="shared" si="2"/>
        <v>62.598749999999995</v>
      </c>
      <c r="H36" s="28">
        <f t="shared" si="2"/>
        <v>10.697916666666666</v>
      </c>
      <c r="I36" s="28">
        <f t="shared" si="2"/>
        <v>1.6124999999999996</v>
      </c>
      <c r="J36" s="28">
        <f t="shared" si="2"/>
        <v>0.80874999999999997</v>
      </c>
      <c r="K36" s="28">
        <f t="shared" si="2"/>
        <v>279.20749999999998</v>
      </c>
      <c r="L36" s="28">
        <f t="shared" si="2"/>
        <v>26.728750000000002</v>
      </c>
      <c r="M36" s="28">
        <f t="shared" si="2"/>
        <v>93.828333333333333</v>
      </c>
      <c r="N36" s="28">
        <f t="shared" si="2"/>
        <v>223.24166666666667</v>
      </c>
      <c r="O36" s="28">
        <f t="shared" si="2"/>
        <v>0.13333333333333333</v>
      </c>
      <c r="P36" s="28">
        <f t="shared" si="2"/>
        <v>0.65</v>
      </c>
      <c r="Q36" s="28">
        <f t="shared" si="2"/>
        <v>9.4654166666666679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6.7755477745291923</v>
      </c>
      <c r="C37" s="28">
        <f t="shared" ref="C37:Q37" si="3">STDEV(C9:C32)</f>
        <v>4.6191830438675607</v>
      </c>
      <c r="D37" s="28">
        <f t="shared" si="3"/>
        <v>5.8410775354691564</v>
      </c>
      <c r="E37" s="28">
        <f t="shared" si="3"/>
        <v>0.76372549416318625</v>
      </c>
      <c r="F37" s="28">
        <f t="shared" si="3"/>
        <v>5.6176840185154662</v>
      </c>
      <c r="G37" s="28">
        <f t="shared" si="3"/>
        <v>17.440643265086297</v>
      </c>
      <c r="H37" s="28">
        <f t="shared" si="3"/>
        <v>7.4844929421737945</v>
      </c>
      <c r="I37" s="28">
        <f t="shared" si="3"/>
        <v>0.45643467078614075</v>
      </c>
      <c r="J37" s="28">
        <f t="shared" si="3"/>
        <v>0.30785813361803943</v>
      </c>
      <c r="K37" s="28">
        <f t="shared" si="3"/>
        <v>98.063179911462441</v>
      </c>
      <c r="L37" s="28">
        <f t="shared" si="3"/>
        <v>2.8558259484475155</v>
      </c>
      <c r="M37" s="28">
        <f t="shared" si="3"/>
        <v>5.0600220541422338</v>
      </c>
      <c r="N37" s="28">
        <f t="shared" si="3"/>
        <v>274.90394356648608</v>
      </c>
      <c r="O37" s="28">
        <f t="shared" si="3"/>
        <v>0.43204937989385733</v>
      </c>
      <c r="P37" s="28">
        <f t="shared" si="3"/>
        <v>0.35489128770224315</v>
      </c>
      <c r="Q37" s="28">
        <f t="shared" si="3"/>
        <v>0.1736057293851859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348</v>
      </c>
      <c r="B9" s="51">
        <v>11.47</v>
      </c>
      <c r="C9" s="51">
        <v>13.33</v>
      </c>
      <c r="D9" s="51">
        <v>14.97</v>
      </c>
      <c r="E9" s="51">
        <v>5.38</v>
      </c>
      <c r="F9" s="51">
        <v>9</v>
      </c>
      <c r="G9" s="51">
        <v>95.99</v>
      </c>
      <c r="H9" s="51">
        <v>6.28</v>
      </c>
      <c r="I9" s="51">
        <v>2.35</v>
      </c>
      <c r="J9" s="51">
        <v>0.25</v>
      </c>
      <c r="K9" s="51">
        <v>331.44</v>
      </c>
      <c r="L9" s="51">
        <v>24.57</v>
      </c>
      <c r="M9" s="51">
        <v>97.39</v>
      </c>
      <c r="N9" s="51">
        <v>30.9</v>
      </c>
      <c r="O9" s="51">
        <v>0</v>
      </c>
      <c r="P9" s="51">
        <v>0.68</v>
      </c>
      <c r="Q9" s="51">
        <v>9.57</v>
      </c>
      <c r="R9" s="43"/>
      <c r="S9" s="43"/>
      <c r="T9" s="43"/>
      <c r="U9" s="43"/>
    </row>
    <row r="10" spans="1:21" s="11" customFormat="1" x14ac:dyDescent="0.25">
      <c r="A10" s="50" t="s">
        <v>349</v>
      </c>
      <c r="B10" s="51">
        <v>9.9700000000000006</v>
      </c>
      <c r="C10" s="51">
        <v>9.5500000000000007</v>
      </c>
      <c r="D10" s="51">
        <v>11.99</v>
      </c>
      <c r="E10" s="51">
        <v>4.8099999999999996</v>
      </c>
      <c r="F10" s="51">
        <v>9.64</v>
      </c>
      <c r="G10" s="51">
        <v>88.79</v>
      </c>
      <c r="H10" s="51">
        <v>6.28</v>
      </c>
      <c r="I10" s="51">
        <v>2.27</v>
      </c>
      <c r="J10" s="51">
        <v>0.12</v>
      </c>
      <c r="K10" s="51">
        <v>312.64</v>
      </c>
      <c r="L10" s="51">
        <v>24.35</v>
      </c>
      <c r="M10" s="51">
        <v>97.5</v>
      </c>
      <c r="N10" s="51">
        <v>30.9</v>
      </c>
      <c r="O10" s="51">
        <v>0</v>
      </c>
      <c r="P10" s="51">
        <v>0.55000000000000004</v>
      </c>
      <c r="Q10" s="51">
        <v>9.5299999999999994</v>
      </c>
      <c r="R10" s="43"/>
      <c r="S10" s="43"/>
      <c r="T10" s="43"/>
      <c r="U10" s="43"/>
    </row>
    <row r="11" spans="1:21" s="11" customFormat="1" x14ac:dyDescent="0.25">
      <c r="A11" s="50" t="s">
        <v>350</v>
      </c>
      <c r="B11" s="51">
        <v>8.4499999999999993</v>
      </c>
      <c r="C11" s="51">
        <v>8.5</v>
      </c>
      <c r="D11" s="51">
        <v>11.02</v>
      </c>
      <c r="E11" s="51">
        <v>4.7</v>
      </c>
      <c r="F11" s="51">
        <v>10.33</v>
      </c>
      <c r="G11" s="51">
        <v>74.03</v>
      </c>
      <c r="H11" s="51">
        <v>6.28</v>
      </c>
      <c r="I11" s="51">
        <v>2.11</v>
      </c>
      <c r="J11" s="51">
        <v>0.34</v>
      </c>
      <c r="K11" s="51">
        <v>156.06</v>
      </c>
      <c r="L11" s="51">
        <v>24.1</v>
      </c>
      <c r="M11" s="51">
        <v>97.55</v>
      </c>
      <c r="N11" s="51">
        <v>30.7</v>
      </c>
      <c r="O11" s="51">
        <v>0</v>
      </c>
      <c r="P11" s="51">
        <v>0.39</v>
      </c>
      <c r="Q11" s="51">
        <v>9.49</v>
      </c>
      <c r="R11" s="43"/>
      <c r="S11" s="43"/>
      <c r="T11" s="43"/>
      <c r="U11" s="43"/>
    </row>
    <row r="12" spans="1:21" s="11" customFormat="1" x14ac:dyDescent="0.25">
      <c r="A12" s="50" t="s">
        <v>351</v>
      </c>
      <c r="B12" s="51">
        <v>7.63</v>
      </c>
      <c r="C12" s="51">
        <v>7.61</v>
      </c>
      <c r="D12" s="51">
        <v>9.94</v>
      </c>
      <c r="E12" s="51">
        <v>4.79</v>
      </c>
      <c r="F12" s="51">
        <v>9.44</v>
      </c>
      <c r="G12" s="51">
        <v>54.52</v>
      </c>
      <c r="H12" s="51">
        <v>6.28</v>
      </c>
      <c r="I12" s="51">
        <v>1.99</v>
      </c>
      <c r="J12" s="51">
        <v>0.38</v>
      </c>
      <c r="K12" s="51">
        <v>158.75</v>
      </c>
      <c r="L12" s="51">
        <v>24.05</v>
      </c>
      <c r="M12" s="51">
        <v>97.64</v>
      </c>
      <c r="N12" s="51">
        <v>30.8</v>
      </c>
      <c r="O12" s="51">
        <v>0</v>
      </c>
      <c r="P12" s="51">
        <v>0.44</v>
      </c>
      <c r="Q12" s="51">
        <v>9.48</v>
      </c>
      <c r="R12" s="43"/>
      <c r="S12" s="43"/>
      <c r="T12" s="43"/>
      <c r="U12" s="43"/>
    </row>
    <row r="13" spans="1:21" s="11" customFormat="1" x14ac:dyDescent="0.25">
      <c r="A13" s="50" t="s">
        <v>352</v>
      </c>
      <c r="B13" s="51">
        <v>7.64</v>
      </c>
      <c r="C13" s="51">
        <v>8.06</v>
      </c>
      <c r="D13" s="51">
        <v>9.83</v>
      </c>
      <c r="E13" s="51">
        <v>4.96</v>
      </c>
      <c r="F13" s="51">
        <v>8.41</v>
      </c>
      <c r="G13" s="51">
        <v>52.42</v>
      </c>
      <c r="H13" s="51">
        <v>6.28</v>
      </c>
      <c r="I13" s="51">
        <v>1.85</v>
      </c>
      <c r="J13" s="51">
        <v>0.43</v>
      </c>
      <c r="K13" s="51">
        <v>129.18</v>
      </c>
      <c r="L13" s="51">
        <v>23.86</v>
      </c>
      <c r="M13" s="51">
        <v>97.65</v>
      </c>
      <c r="N13" s="51">
        <v>30.8</v>
      </c>
      <c r="O13" s="51">
        <v>0</v>
      </c>
      <c r="P13" s="51">
        <v>0.39</v>
      </c>
      <c r="Q13" s="51">
        <v>9.42</v>
      </c>
      <c r="R13" s="43"/>
      <c r="S13" s="43"/>
      <c r="T13" s="43"/>
      <c r="U13" s="43"/>
    </row>
    <row r="14" spans="1:21" s="11" customFormat="1" x14ac:dyDescent="0.25">
      <c r="A14" s="50" t="s">
        <v>353</v>
      </c>
      <c r="B14" s="51">
        <v>15.85</v>
      </c>
      <c r="C14" s="51">
        <v>10.65</v>
      </c>
      <c r="D14" s="51">
        <v>18.27</v>
      </c>
      <c r="E14" s="51">
        <v>4.82</v>
      </c>
      <c r="F14" s="51">
        <v>6.1</v>
      </c>
      <c r="G14" s="51">
        <v>38.83</v>
      </c>
      <c r="H14" s="51">
        <v>6.33</v>
      </c>
      <c r="I14" s="51">
        <v>1.79</v>
      </c>
      <c r="J14" s="51">
        <v>0.35</v>
      </c>
      <c r="K14" s="51">
        <v>341.22</v>
      </c>
      <c r="L14" s="51">
        <v>23.77</v>
      </c>
      <c r="M14" s="51">
        <v>97.73</v>
      </c>
      <c r="N14" s="51">
        <v>38.299999999999997</v>
      </c>
      <c r="O14" s="51">
        <v>0</v>
      </c>
      <c r="P14" s="51">
        <v>0.48</v>
      </c>
      <c r="Q14" s="51">
        <v>9.4</v>
      </c>
      <c r="R14" s="43"/>
      <c r="S14" s="43"/>
      <c r="T14" s="43"/>
      <c r="U14" s="43"/>
    </row>
    <row r="15" spans="1:21" s="11" customFormat="1" x14ac:dyDescent="0.25">
      <c r="A15" s="50" t="s">
        <v>354</v>
      </c>
      <c r="B15" s="51">
        <v>19.98</v>
      </c>
      <c r="C15" s="51">
        <v>9.24</v>
      </c>
      <c r="D15" s="51">
        <v>19.559999999999999</v>
      </c>
      <c r="E15" s="51">
        <v>4.6500000000000004</v>
      </c>
      <c r="F15" s="51">
        <v>7.78</v>
      </c>
      <c r="G15" s="51">
        <v>43.83</v>
      </c>
      <c r="H15" s="51">
        <v>6.35</v>
      </c>
      <c r="I15" s="51">
        <v>1.73</v>
      </c>
      <c r="J15" s="51">
        <v>0.76</v>
      </c>
      <c r="K15" s="51">
        <v>341.44</v>
      </c>
      <c r="L15" s="51">
        <v>24.34</v>
      </c>
      <c r="M15" s="51">
        <v>97.75</v>
      </c>
      <c r="N15" s="51">
        <v>68.099999999999994</v>
      </c>
      <c r="O15" s="51">
        <v>0</v>
      </c>
      <c r="P15" s="51">
        <v>0.51</v>
      </c>
      <c r="Q15" s="51">
        <v>9.4600000000000009</v>
      </c>
      <c r="R15" s="43"/>
      <c r="S15" s="43"/>
      <c r="T15" s="43"/>
      <c r="U15" s="43"/>
    </row>
    <row r="16" spans="1:21" s="11" customFormat="1" x14ac:dyDescent="0.25">
      <c r="A16" s="50" t="s">
        <v>355</v>
      </c>
      <c r="B16" s="51">
        <v>24.15</v>
      </c>
      <c r="C16" s="51">
        <v>10.35</v>
      </c>
      <c r="D16" s="51">
        <v>24.31</v>
      </c>
      <c r="E16" s="51">
        <v>4.71</v>
      </c>
      <c r="F16" s="51">
        <v>7.96</v>
      </c>
      <c r="G16" s="51">
        <v>45.66</v>
      </c>
      <c r="H16" s="51">
        <v>6.32</v>
      </c>
      <c r="I16" s="51">
        <v>1.68</v>
      </c>
      <c r="J16" s="51">
        <v>0.39</v>
      </c>
      <c r="K16" s="51">
        <v>335.23</v>
      </c>
      <c r="L16" s="51">
        <v>25.2</v>
      </c>
      <c r="M16" s="51">
        <v>97.73</v>
      </c>
      <c r="N16" s="51">
        <v>205.8</v>
      </c>
      <c r="O16" s="51">
        <v>0.2</v>
      </c>
      <c r="P16" s="51">
        <v>0.53</v>
      </c>
      <c r="Q16" s="51">
        <v>9.5399999999999991</v>
      </c>
      <c r="R16" s="43"/>
      <c r="S16" s="43"/>
      <c r="T16" s="43"/>
      <c r="U16" s="43"/>
    </row>
    <row r="17" spans="1:21" s="11" customFormat="1" x14ac:dyDescent="0.25">
      <c r="A17" s="50" t="s">
        <v>356</v>
      </c>
      <c r="B17" s="51">
        <v>18.07</v>
      </c>
      <c r="C17" s="51">
        <v>9.17</v>
      </c>
      <c r="D17" s="51">
        <v>18.66</v>
      </c>
      <c r="E17" s="51">
        <v>4.3899999999999997</v>
      </c>
      <c r="F17" s="51">
        <v>10.72</v>
      </c>
      <c r="G17" s="51">
        <v>46.38</v>
      </c>
      <c r="H17" s="51">
        <v>6.3</v>
      </c>
      <c r="I17" s="51">
        <v>1.75</v>
      </c>
      <c r="J17" s="51">
        <v>0.81</v>
      </c>
      <c r="K17" s="51">
        <v>131.82</v>
      </c>
      <c r="L17" s="51">
        <v>27.39</v>
      </c>
      <c r="M17" s="51">
        <v>97.57</v>
      </c>
      <c r="N17" s="51">
        <v>523.1</v>
      </c>
      <c r="O17" s="51">
        <v>0</v>
      </c>
      <c r="P17" s="51">
        <v>0.54</v>
      </c>
      <c r="Q17" s="51">
        <v>9.5500000000000007</v>
      </c>
      <c r="R17" s="43"/>
      <c r="S17" s="43"/>
      <c r="T17" s="43"/>
      <c r="U17" s="43"/>
    </row>
    <row r="18" spans="1:21" s="11" customFormat="1" x14ac:dyDescent="0.25">
      <c r="A18" s="50" t="s">
        <v>357</v>
      </c>
      <c r="B18" s="51">
        <v>11.95</v>
      </c>
      <c r="C18" s="51">
        <v>8.64</v>
      </c>
      <c r="D18" s="51">
        <v>14.1</v>
      </c>
      <c r="E18" s="51">
        <v>4.5</v>
      </c>
      <c r="F18" s="51">
        <v>11.02</v>
      </c>
      <c r="G18" s="51">
        <v>47.63</v>
      </c>
      <c r="H18" s="51">
        <v>8.8000000000000007</v>
      </c>
      <c r="I18" s="51">
        <v>1.64</v>
      </c>
      <c r="J18" s="51">
        <v>1.1399999999999999</v>
      </c>
      <c r="K18" s="51">
        <v>130.11000000000001</v>
      </c>
      <c r="L18" s="51">
        <v>29.08</v>
      </c>
      <c r="M18" s="51">
        <v>96.81</v>
      </c>
      <c r="N18" s="51">
        <v>752.7</v>
      </c>
      <c r="O18" s="51">
        <v>0</v>
      </c>
      <c r="P18" s="51">
        <v>0.4</v>
      </c>
      <c r="Q18" s="51">
        <v>9.52</v>
      </c>
      <c r="R18" s="43"/>
      <c r="S18" s="43"/>
      <c r="T18" s="43"/>
      <c r="U18" s="43"/>
    </row>
    <row r="19" spans="1:21" s="11" customFormat="1" x14ac:dyDescent="0.25">
      <c r="A19" s="50" t="s">
        <v>358</v>
      </c>
      <c r="B19" s="51">
        <v>9.76</v>
      </c>
      <c r="C19" s="51">
        <v>10.24</v>
      </c>
      <c r="D19" s="51">
        <v>13.18</v>
      </c>
      <c r="E19" s="51">
        <v>4.74</v>
      </c>
      <c r="F19" s="51">
        <v>13.65</v>
      </c>
      <c r="G19" s="51">
        <v>41.3</v>
      </c>
      <c r="H19" s="51">
        <v>9.7899999999999991</v>
      </c>
      <c r="I19" s="51">
        <v>1.62</v>
      </c>
      <c r="J19" s="51">
        <v>1.07</v>
      </c>
      <c r="K19" s="51">
        <v>135.19</v>
      </c>
      <c r="L19" s="51">
        <v>29.91</v>
      </c>
      <c r="M19" s="51">
        <v>87.78</v>
      </c>
      <c r="N19" s="51">
        <v>880.6</v>
      </c>
      <c r="O19" s="51">
        <v>0</v>
      </c>
      <c r="P19" s="51">
        <v>0.43</v>
      </c>
      <c r="Q19" s="51">
        <v>9.4600000000000009</v>
      </c>
      <c r="R19" s="43"/>
      <c r="S19" s="43"/>
      <c r="T19" s="43"/>
      <c r="U19" s="43"/>
    </row>
    <row r="20" spans="1:21" s="11" customFormat="1" x14ac:dyDescent="0.25">
      <c r="A20" s="50" t="s">
        <v>359</v>
      </c>
      <c r="B20" s="51">
        <v>9.68</v>
      </c>
      <c r="C20" s="51">
        <v>8.67</v>
      </c>
      <c r="D20" s="51">
        <v>11.97</v>
      </c>
      <c r="E20" s="51">
        <v>4.83</v>
      </c>
      <c r="F20" s="51">
        <v>12.12</v>
      </c>
      <c r="G20" s="51">
        <v>39.17</v>
      </c>
      <c r="H20" s="51">
        <v>9.85</v>
      </c>
      <c r="I20" s="51">
        <v>1.51</v>
      </c>
      <c r="J20" s="51">
        <v>1.74</v>
      </c>
      <c r="K20" s="51">
        <v>135.56</v>
      </c>
      <c r="L20" s="51">
        <v>29.76</v>
      </c>
      <c r="M20" s="51">
        <v>83.6</v>
      </c>
      <c r="N20" s="51">
        <v>944.3</v>
      </c>
      <c r="O20" s="51">
        <v>0</v>
      </c>
      <c r="P20" s="51">
        <v>0.33</v>
      </c>
      <c r="Q20" s="51">
        <v>9.41</v>
      </c>
      <c r="R20" s="43"/>
      <c r="S20" s="43"/>
      <c r="T20" s="43"/>
      <c r="U20" s="43"/>
    </row>
    <row r="21" spans="1:21" s="11" customFormat="1" x14ac:dyDescent="0.25">
      <c r="A21" s="50" t="s">
        <v>360</v>
      </c>
      <c r="B21" s="51">
        <v>8.6</v>
      </c>
      <c r="C21" s="51">
        <v>8.8000000000000007</v>
      </c>
      <c r="D21" s="51">
        <v>11.5</v>
      </c>
      <c r="E21" s="51">
        <v>4.76</v>
      </c>
      <c r="F21" s="51">
        <v>13.6</v>
      </c>
      <c r="G21" s="51">
        <v>40.03</v>
      </c>
      <c r="H21" s="51">
        <v>8.6999999999999993</v>
      </c>
      <c r="I21" s="51">
        <v>1.42</v>
      </c>
      <c r="J21" s="51">
        <v>1.19</v>
      </c>
      <c r="K21" s="51">
        <v>130.56</v>
      </c>
      <c r="L21" s="51">
        <v>30.06</v>
      </c>
      <c r="M21" s="51">
        <v>81.760000000000005</v>
      </c>
      <c r="N21" s="51">
        <v>752.6</v>
      </c>
      <c r="O21" s="51">
        <v>0</v>
      </c>
      <c r="P21" s="51">
        <v>0.33</v>
      </c>
      <c r="Q21" s="51">
        <v>9.3699999999999992</v>
      </c>
      <c r="R21" s="43"/>
      <c r="S21" s="43"/>
      <c r="T21" s="43"/>
      <c r="U21" s="43"/>
    </row>
    <row r="22" spans="1:21" s="11" customFormat="1" x14ac:dyDescent="0.25">
      <c r="A22" s="50" t="s">
        <v>361</v>
      </c>
      <c r="B22" s="51">
        <v>8.65</v>
      </c>
      <c r="C22" s="51">
        <v>8.44</v>
      </c>
      <c r="D22" s="51">
        <v>11.34</v>
      </c>
      <c r="E22" s="51">
        <v>4.72</v>
      </c>
      <c r="F22" s="51">
        <v>13.34</v>
      </c>
      <c r="G22" s="51">
        <v>36.96</v>
      </c>
      <c r="H22" s="51">
        <v>9.48</v>
      </c>
      <c r="I22" s="51">
        <v>1.33</v>
      </c>
      <c r="J22" s="51">
        <v>1.37</v>
      </c>
      <c r="K22" s="51">
        <v>128.08000000000001</v>
      </c>
      <c r="L22" s="51">
        <v>30.18</v>
      </c>
      <c r="M22" s="51">
        <v>78.489999999999995</v>
      </c>
      <c r="N22" s="51">
        <v>514.4</v>
      </c>
      <c r="O22" s="51">
        <v>0</v>
      </c>
      <c r="P22" s="51">
        <v>0.3</v>
      </c>
      <c r="Q22" s="51">
        <v>9.3000000000000007</v>
      </c>
      <c r="R22" s="43"/>
      <c r="S22" s="43"/>
      <c r="T22" s="43"/>
      <c r="U22" s="43"/>
    </row>
    <row r="23" spans="1:21" s="11" customFormat="1" x14ac:dyDescent="0.25">
      <c r="A23" s="50" t="s">
        <v>362</v>
      </c>
      <c r="B23" s="51">
        <v>7.84</v>
      </c>
      <c r="C23" s="51">
        <v>8.98</v>
      </c>
      <c r="D23" s="51">
        <v>10.89</v>
      </c>
      <c r="E23" s="51">
        <v>4.6900000000000004</v>
      </c>
      <c r="F23" s="51">
        <v>13.65</v>
      </c>
      <c r="G23" s="51">
        <v>32.93</v>
      </c>
      <c r="H23" s="51">
        <v>9.98</v>
      </c>
      <c r="I23" s="51">
        <v>1.19</v>
      </c>
      <c r="J23" s="51">
        <v>1.49</v>
      </c>
      <c r="K23" s="51">
        <v>131.34</v>
      </c>
      <c r="L23" s="51">
        <v>29.55</v>
      </c>
      <c r="M23" s="51">
        <v>80.680000000000007</v>
      </c>
      <c r="N23" s="51">
        <v>199</v>
      </c>
      <c r="O23" s="51">
        <v>0</v>
      </c>
      <c r="P23" s="51">
        <v>0.28999999999999998</v>
      </c>
      <c r="Q23" s="51">
        <v>9.2799999999999994</v>
      </c>
      <c r="R23" s="43"/>
      <c r="S23" s="43"/>
      <c r="T23" s="43"/>
      <c r="U23" s="43"/>
    </row>
    <row r="24" spans="1:21" s="11" customFormat="1" x14ac:dyDescent="0.25">
      <c r="A24" s="50" t="s">
        <v>363</v>
      </c>
      <c r="B24" s="51">
        <v>9.58</v>
      </c>
      <c r="C24" s="51">
        <v>10.26</v>
      </c>
      <c r="D24" s="51">
        <v>13.04</v>
      </c>
      <c r="E24" s="51">
        <v>4.84</v>
      </c>
      <c r="F24" s="51">
        <v>13.77</v>
      </c>
      <c r="G24" s="51">
        <v>30.42</v>
      </c>
      <c r="H24" s="51">
        <v>9.76</v>
      </c>
      <c r="I24" s="51">
        <v>1.1299999999999999</v>
      </c>
      <c r="J24" s="51">
        <v>1.02</v>
      </c>
      <c r="K24" s="51">
        <v>131.52000000000001</v>
      </c>
      <c r="L24" s="51">
        <v>29.67</v>
      </c>
      <c r="M24" s="51">
        <v>82.42</v>
      </c>
      <c r="N24" s="51">
        <v>160.1</v>
      </c>
      <c r="O24" s="51">
        <v>0</v>
      </c>
      <c r="P24" s="51">
        <v>0.38</v>
      </c>
      <c r="Q24" s="51">
        <v>9.3000000000000007</v>
      </c>
      <c r="R24" s="43"/>
      <c r="S24" s="43"/>
      <c r="T24" s="43"/>
      <c r="U24" s="43"/>
    </row>
    <row r="25" spans="1:21" s="11" customFormat="1" x14ac:dyDescent="0.25">
      <c r="A25" s="50" t="s">
        <v>364</v>
      </c>
      <c r="B25" s="51">
        <v>8.52</v>
      </c>
      <c r="C25" s="51">
        <v>10.42</v>
      </c>
      <c r="D25" s="51">
        <v>11.69</v>
      </c>
      <c r="E25" s="51">
        <v>5.26</v>
      </c>
      <c r="F25" s="51">
        <v>14.54</v>
      </c>
      <c r="G25" s="51">
        <v>31.33</v>
      </c>
      <c r="H25" s="51">
        <v>8.92</v>
      </c>
      <c r="I25" s="51">
        <v>1.1200000000000001</v>
      </c>
      <c r="J25" s="51">
        <v>1.2</v>
      </c>
      <c r="K25" s="51">
        <v>131.71</v>
      </c>
      <c r="L25" s="51">
        <v>29.34</v>
      </c>
      <c r="M25" s="51">
        <v>86.86</v>
      </c>
      <c r="N25" s="51">
        <v>119.9</v>
      </c>
      <c r="O25" s="51">
        <v>0</v>
      </c>
      <c r="P25" s="51">
        <v>0.34</v>
      </c>
      <c r="Q25" s="51">
        <v>9.3000000000000007</v>
      </c>
      <c r="R25" s="43"/>
      <c r="S25" s="43"/>
      <c r="T25" s="43"/>
      <c r="U25" s="43"/>
    </row>
    <row r="26" spans="1:21" s="11" customFormat="1" x14ac:dyDescent="0.25">
      <c r="A26" s="50" t="s">
        <v>365</v>
      </c>
      <c r="B26" s="51">
        <v>11.42</v>
      </c>
      <c r="C26" s="51">
        <v>15.77</v>
      </c>
      <c r="D26" s="51">
        <v>17.399999999999999</v>
      </c>
      <c r="E26" s="51">
        <v>5.33</v>
      </c>
      <c r="F26" s="51">
        <v>9.69</v>
      </c>
      <c r="G26" s="51">
        <v>25.26</v>
      </c>
      <c r="H26" s="51">
        <v>8.52</v>
      </c>
      <c r="I26" s="51">
        <v>1.1100000000000001</v>
      </c>
      <c r="J26" s="51">
        <v>0.71</v>
      </c>
      <c r="K26" s="51">
        <v>143.74</v>
      </c>
      <c r="L26" s="51">
        <v>28.47</v>
      </c>
      <c r="M26" s="51">
        <v>91.42</v>
      </c>
      <c r="N26" s="51">
        <v>66.8</v>
      </c>
      <c r="O26" s="51">
        <v>0</v>
      </c>
      <c r="P26" s="51">
        <v>0.5</v>
      </c>
      <c r="Q26" s="51">
        <v>9.27</v>
      </c>
      <c r="R26" s="43"/>
      <c r="S26" s="43"/>
      <c r="T26" s="43"/>
      <c r="U26" s="43"/>
    </row>
    <row r="27" spans="1:21" s="11" customFormat="1" x14ac:dyDescent="0.25">
      <c r="A27" s="50" t="s">
        <v>366</v>
      </c>
      <c r="B27" s="51">
        <v>6.42</v>
      </c>
      <c r="C27" s="51">
        <v>13.56</v>
      </c>
      <c r="D27" s="51">
        <v>11.37</v>
      </c>
      <c r="E27" s="51">
        <v>5.0199999999999996</v>
      </c>
      <c r="F27" s="51">
        <v>11.57</v>
      </c>
      <c r="G27" s="51">
        <v>24.24</v>
      </c>
      <c r="H27" s="51">
        <v>8.57</v>
      </c>
      <c r="I27" s="51">
        <v>1.19</v>
      </c>
      <c r="J27" s="51">
        <v>0.56999999999999995</v>
      </c>
      <c r="K27" s="51">
        <v>133.44999999999999</v>
      </c>
      <c r="L27" s="51">
        <v>28</v>
      </c>
      <c r="M27" s="51">
        <v>96.97</v>
      </c>
      <c r="N27" s="51">
        <v>31.3</v>
      </c>
      <c r="O27" s="51">
        <v>0</v>
      </c>
      <c r="P27" s="51">
        <v>0.4</v>
      </c>
      <c r="Q27" s="51">
        <v>9.27</v>
      </c>
      <c r="R27" s="43"/>
      <c r="S27" s="43"/>
      <c r="T27" s="43"/>
      <c r="U27" s="43"/>
    </row>
    <row r="28" spans="1:21" s="11" customFormat="1" x14ac:dyDescent="0.25">
      <c r="A28" s="50" t="s">
        <v>367</v>
      </c>
      <c r="B28" s="51">
        <v>7.92</v>
      </c>
      <c r="C28" s="51">
        <v>17.95</v>
      </c>
      <c r="D28" s="51">
        <v>15.39</v>
      </c>
      <c r="E28" s="51">
        <v>4.8899999999999997</v>
      </c>
      <c r="F28" s="51">
        <v>6.57</v>
      </c>
      <c r="G28" s="51">
        <v>29</v>
      </c>
      <c r="H28" s="51">
        <v>8.3000000000000007</v>
      </c>
      <c r="I28" s="51">
        <v>1.1299999999999999</v>
      </c>
      <c r="J28" s="51">
        <v>0.55000000000000004</v>
      </c>
      <c r="K28" s="51">
        <v>133.41999999999999</v>
      </c>
      <c r="L28" s="51">
        <v>27.58</v>
      </c>
      <c r="M28" s="51">
        <v>97.59</v>
      </c>
      <c r="N28" s="51">
        <v>30.7</v>
      </c>
      <c r="O28" s="51">
        <v>0</v>
      </c>
      <c r="P28" s="51">
        <v>0.42</v>
      </c>
      <c r="Q28" s="51">
        <v>9.2899999999999991</v>
      </c>
      <c r="R28" s="43"/>
      <c r="S28" s="43"/>
      <c r="T28" s="43"/>
      <c r="U28" s="43"/>
    </row>
    <row r="29" spans="1:21" s="11" customFormat="1" x14ac:dyDescent="0.25">
      <c r="A29" s="50" t="s">
        <v>368</v>
      </c>
      <c r="B29" s="51">
        <v>11.37</v>
      </c>
      <c r="C29" s="51">
        <v>12.6</v>
      </c>
      <c r="D29" s="51">
        <v>14.61</v>
      </c>
      <c r="E29" s="51">
        <v>5.18</v>
      </c>
      <c r="F29" s="51">
        <v>7.85</v>
      </c>
      <c r="G29" s="51">
        <v>32.880000000000003</v>
      </c>
      <c r="H29" s="51">
        <v>7.97</v>
      </c>
      <c r="I29" s="51">
        <v>1.19</v>
      </c>
      <c r="J29" s="51">
        <v>0.4</v>
      </c>
      <c r="K29" s="51">
        <v>171.81</v>
      </c>
      <c r="L29" s="51">
        <v>27.17</v>
      </c>
      <c r="M29" s="51">
        <v>97.65</v>
      </c>
      <c r="N29" s="51">
        <v>31.2</v>
      </c>
      <c r="O29" s="51">
        <v>0</v>
      </c>
      <c r="P29" s="51">
        <v>0.33</v>
      </c>
      <c r="Q29" s="51">
        <v>9.33</v>
      </c>
      <c r="R29" s="43"/>
      <c r="S29" s="43"/>
      <c r="T29" s="43"/>
      <c r="U29" s="43"/>
    </row>
    <row r="30" spans="1:21" s="11" customFormat="1" x14ac:dyDescent="0.25">
      <c r="A30" s="50" t="s">
        <v>369</v>
      </c>
      <c r="B30" s="51">
        <v>10.28</v>
      </c>
      <c r="C30" s="51">
        <v>13.72</v>
      </c>
      <c r="D30" s="51">
        <v>14.42</v>
      </c>
      <c r="E30" s="51">
        <v>5.07</v>
      </c>
      <c r="F30" s="51">
        <v>7.24</v>
      </c>
      <c r="G30" s="51">
        <v>34.479999999999997</v>
      </c>
      <c r="H30" s="51">
        <v>7.74</v>
      </c>
      <c r="I30" s="51">
        <v>1.3</v>
      </c>
      <c r="J30" s="51">
        <v>0.38</v>
      </c>
      <c r="K30" s="51">
        <v>313.79000000000002</v>
      </c>
      <c r="L30" s="51">
        <v>26.27</v>
      </c>
      <c r="M30" s="51">
        <v>97.64</v>
      </c>
      <c r="N30" s="51">
        <v>30.8</v>
      </c>
      <c r="O30" s="51">
        <v>0</v>
      </c>
      <c r="P30" s="51">
        <v>0.28999999999999998</v>
      </c>
      <c r="Q30" s="51">
        <v>9.34</v>
      </c>
      <c r="R30" s="43"/>
      <c r="S30" s="43"/>
      <c r="T30" s="43"/>
      <c r="U30" s="43"/>
    </row>
    <row r="31" spans="1:21" s="11" customFormat="1" x14ac:dyDescent="0.25">
      <c r="A31" s="50" t="s">
        <v>370</v>
      </c>
      <c r="B31" s="51">
        <v>9.3000000000000007</v>
      </c>
      <c r="C31" s="51">
        <v>14.91</v>
      </c>
      <c r="D31" s="51">
        <v>15.25</v>
      </c>
      <c r="E31" s="51">
        <v>4.79</v>
      </c>
      <c r="F31" s="51">
        <v>6.06</v>
      </c>
      <c r="G31" s="51">
        <v>31.12</v>
      </c>
      <c r="H31" s="51">
        <v>7.74</v>
      </c>
      <c r="I31" s="51">
        <v>1.17</v>
      </c>
      <c r="J31" s="51">
        <v>0.34</v>
      </c>
      <c r="K31" s="51">
        <v>188.71</v>
      </c>
      <c r="L31" s="51">
        <v>25.91</v>
      </c>
      <c r="M31" s="51">
        <v>97.66</v>
      </c>
      <c r="N31" s="51">
        <v>30.8</v>
      </c>
      <c r="O31" s="51">
        <v>0.2</v>
      </c>
      <c r="P31" s="51">
        <v>0.34</v>
      </c>
      <c r="Q31" s="51">
        <v>9.34</v>
      </c>
      <c r="R31" s="43"/>
      <c r="S31" s="43"/>
      <c r="T31" s="43"/>
      <c r="U31" s="43"/>
    </row>
    <row r="32" spans="1:21" s="11" customFormat="1" x14ac:dyDescent="0.25">
      <c r="A32" s="50" t="s">
        <v>371</v>
      </c>
      <c r="B32" s="51">
        <v>7.9</v>
      </c>
      <c r="C32" s="51">
        <v>11.07</v>
      </c>
      <c r="D32" s="51">
        <v>11.48</v>
      </c>
      <c r="E32" s="51">
        <v>4.91</v>
      </c>
      <c r="F32" s="51">
        <v>6.81</v>
      </c>
      <c r="G32" s="51">
        <v>27.65</v>
      </c>
      <c r="H32" s="51">
        <v>7.86</v>
      </c>
      <c r="I32" s="51">
        <v>1.1499999999999999</v>
      </c>
      <c r="J32" s="51">
        <v>0.49</v>
      </c>
      <c r="K32" s="51">
        <v>130.12</v>
      </c>
      <c r="L32" s="51">
        <v>25.45</v>
      </c>
      <c r="M32" s="51">
        <v>97.77</v>
      </c>
      <c r="N32" s="51">
        <v>30.8</v>
      </c>
      <c r="O32" s="51">
        <v>0</v>
      </c>
      <c r="P32" s="51">
        <v>0.23</v>
      </c>
      <c r="Q32" s="51">
        <v>9.34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6.42</v>
      </c>
      <c r="C34" s="28">
        <f t="shared" si="0"/>
        <v>7.61</v>
      </c>
      <c r="D34" s="28">
        <f t="shared" si="0"/>
        <v>9.83</v>
      </c>
      <c r="E34" s="28">
        <f t="shared" si="0"/>
        <v>4.3899999999999997</v>
      </c>
      <c r="F34" s="28">
        <f t="shared" si="0"/>
        <v>6.06</v>
      </c>
      <c r="G34" s="28">
        <f t="shared" si="0"/>
        <v>24.24</v>
      </c>
      <c r="H34" s="28">
        <f t="shared" si="0"/>
        <v>6.28</v>
      </c>
      <c r="I34" s="28">
        <f t="shared" si="0"/>
        <v>1.1100000000000001</v>
      </c>
      <c r="J34" s="28">
        <f t="shared" si="0"/>
        <v>0.12</v>
      </c>
      <c r="K34" s="28">
        <f t="shared" si="0"/>
        <v>128.08000000000001</v>
      </c>
      <c r="L34" s="28">
        <f t="shared" si="0"/>
        <v>23.77</v>
      </c>
      <c r="M34" s="28">
        <f t="shared" si="0"/>
        <v>78.489999999999995</v>
      </c>
      <c r="N34" s="28">
        <f t="shared" si="0"/>
        <v>30.7</v>
      </c>
      <c r="O34" s="28">
        <f t="shared" si="0"/>
        <v>0</v>
      </c>
      <c r="P34" s="28">
        <f t="shared" si="0"/>
        <v>0.23</v>
      </c>
      <c r="Q34" s="28">
        <f t="shared" si="0"/>
        <v>9.27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24.15</v>
      </c>
      <c r="C35" s="29">
        <f t="shared" si="1"/>
        <v>17.95</v>
      </c>
      <c r="D35" s="29">
        <f t="shared" si="1"/>
        <v>24.31</v>
      </c>
      <c r="E35" s="29">
        <f t="shared" si="1"/>
        <v>5.38</v>
      </c>
      <c r="F35" s="29">
        <f t="shared" si="1"/>
        <v>14.54</v>
      </c>
      <c r="G35" s="29">
        <f t="shared" si="1"/>
        <v>95.99</v>
      </c>
      <c r="H35" s="29">
        <f t="shared" si="1"/>
        <v>9.98</v>
      </c>
      <c r="I35" s="29">
        <f t="shared" si="1"/>
        <v>2.35</v>
      </c>
      <c r="J35" s="29">
        <f t="shared" si="1"/>
        <v>1.74</v>
      </c>
      <c r="K35" s="29">
        <f t="shared" si="1"/>
        <v>341.44</v>
      </c>
      <c r="L35" s="29">
        <f t="shared" si="1"/>
        <v>30.18</v>
      </c>
      <c r="M35" s="29">
        <f t="shared" si="1"/>
        <v>97.77</v>
      </c>
      <c r="N35" s="29">
        <f t="shared" si="1"/>
        <v>944.3</v>
      </c>
      <c r="O35" s="29">
        <f t="shared" si="1"/>
        <v>0.2</v>
      </c>
      <c r="P35" s="29">
        <f t="shared" si="1"/>
        <v>0.68</v>
      </c>
      <c r="Q35" s="29">
        <f t="shared" si="1"/>
        <v>9.57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10.933333333333332</v>
      </c>
      <c r="C36" s="28">
        <f t="shared" si="2"/>
        <v>10.853749999999998</v>
      </c>
      <c r="D36" s="28">
        <f t="shared" si="2"/>
        <v>14.007500000000002</v>
      </c>
      <c r="E36" s="28">
        <f t="shared" si="2"/>
        <v>4.8641666666666667</v>
      </c>
      <c r="F36" s="28">
        <f t="shared" si="2"/>
        <v>10.035833333333334</v>
      </c>
      <c r="G36" s="28">
        <f t="shared" si="2"/>
        <v>43.535416666666663</v>
      </c>
      <c r="H36" s="28">
        <f t="shared" si="2"/>
        <v>7.8616666666666681</v>
      </c>
      <c r="I36" s="28">
        <f t="shared" si="2"/>
        <v>1.53</v>
      </c>
      <c r="J36" s="28">
        <f t="shared" si="2"/>
        <v>0.72874999999999979</v>
      </c>
      <c r="K36" s="28">
        <f t="shared" si="2"/>
        <v>187.78708333333336</v>
      </c>
      <c r="L36" s="28">
        <f t="shared" si="2"/>
        <v>27.001249999999999</v>
      </c>
      <c r="M36" s="28">
        <f t="shared" si="2"/>
        <v>93.067083333333343</v>
      </c>
      <c r="N36" s="28">
        <f t="shared" si="2"/>
        <v>231.89166666666668</v>
      </c>
      <c r="O36" s="28">
        <f t="shared" si="2"/>
        <v>1.6666666666666666E-2</v>
      </c>
      <c r="P36" s="28">
        <f t="shared" si="2"/>
        <v>0.40916666666666668</v>
      </c>
      <c r="Q36" s="28">
        <f t="shared" si="2"/>
        <v>9.398333333333337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4.3479447085267537</v>
      </c>
      <c r="C37" s="28">
        <f t="shared" ref="C37:Q37" si="3">STDEV(C9:C32)</f>
        <v>2.7281922865102342</v>
      </c>
      <c r="D37" s="28">
        <f t="shared" si="3"/>
        <v>3.5375000384083339</v>
      </c>
      <c r="E37" s="28">
        <f t="shared" si="3"/>
        <v>0.24380884648262538</v>
      </c>
      <c r="F37" s="28">
        <f t="shared" si="3"/>
        <v>2.736654442239995</v>
      </c>
      <c r="G37" s="28">
        <f t="shared" si="3"/>
        <v>18.665505264400498</v>
      </c>
      <c r="H37" s="28">
        <f t="shared" si="3"/>
        <v>1.3864081420100915</v>
      </c>
      <c r="I37" s="28">
        <f t="shared" si="3"/>
        <v>0.38784802043651218</v>
      </c>
      <c r="J37" s="28">
        <f t="shared" si="3"/>
        <v>0.44435896671986735</v>
      </c>
      <c r="K37" s="28">
        <f t="shared" si="3"/>
        <v>84.954181537393424</v>
      </c>
      <c r="L37" s="28">
        <f t="shared" si="3"/>
        <v>2.3539500798149624</v>
      </c>
      <c r="M37" s="28">
        <f t="shared" si="3"/>
        <v>6.8741117871561297</v>
      </c>
      <c r="N37" s="28">
        <f t="shared" si="3"/>
        <v>308.63051768947827</v>
      </c>
      <c r="O37" s="28">
        <f t="shared" si="3"/>
        <v>5.6465970257327996E-2</v>
      </c>
      <c r="P37" s="28">
        <f t="shared" si="3"/>
        <v>0.10475298757456565</v>
      </c>
      <c r="Q37" s="28">
        <f t="shared" si="3"/>
        <v>0.10028943620587748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372</v>
      </c>
      <c r="B9" s="51">
        <v>5.72</v>
      </c>
      <c r="C9" s="51">
        <v>7.94</v>
      </c>
      <c r="D9" s="51">
        <v>8.7200000000000006</v>
      </c>
      <c r="E9" s="51">
        <v>4.22</v>
      </c>
      <c r="F9" s="51">
        <v>9.1300000000000008</v>
      </c>
      <c r="G9" s="51">
        <v>25.41</v>
      </c>
      <c r="H9" s="51">
        <v>7.88</v>
      </c>
      <c r="I9" s="51">
        <v>1.18</v>
      </c>
      <c r="J9" s="51">
        <v>0.65</v>
      </c>
      <c r="K9" s="51">
        <v>141.16999999999999</v>
      </c>
      <c r="L9" s="51">
        <v>25.05</v>
      </c>
      <c r="M9" s="51">
        <v>97.82</v>
      </c>
      <c r="N9" s="51">
        <v>30.9</v>
      </c>
      <c r="O9" s="51">
        <v>0</v>
      </c>
      <c r="P9" s="51">
        <v>0.19</v>
      </c>
      <c r="Q9" s="51">
        <v>9.3699999999999992</v>
      </c>
      <c r="R9" s="43"/>
      <c r="S9" s="43"/>
      <c r="T9" s="43"/>
      <c r="U9" s="43"/>
    </row>
    <row r="10" spans="1:21" s="11" customFormat="1" x14ac:dyDescent="0.25">
      <c r="A10" s="50" t="s">
        <v>373</v>
      </c>
      <c r="B10" s="51">
        <v>5.45</v>
      </c>
      <c r="C10" s="51">
        <v>9.3800000000000008</v>
      </c>
      <c r="D10" s="51">
        <v>9.09</v>
      </c>
      <c r="E10" s="51">
        <v>4.25</v>
      </c>
      <c r="F10" s="51">
        <v>9.69</v>
      </c>
      <c r="G10" s="51">
        <v>26.66</v>
      </c>
      <c r="H10" s="51">
        <v>7.78</v>
      </c>
      <c r="I10" s="51">
        <v>1.18</v>
      </c>
      <c r="J10" s="51">
        <v>0.41</v>
      </c>
      <c r="K10" s="51">
        <v>140.87</v>
      </c>
      <c r="L10" s="51">
        <v>24.99</v>
      </c>
      <c r="M10" s="51">
        <v>97.85</v>
      </c>
      <c r="N10" s="51">
        <v>30.8</v>
      </c>
      <c r="O10" s="51">
        <v>0</v>
      </c>
      <c r="P10" s="51">
        <v>0.22</v>
      </c>
      <c r="Q10" s="51">
        <v>9.36</v>
      </c>
      <c r="R10" s="43"/>
      <c r="S10" s="43"/>
      <c r="T10" s="43"/>
      <c r="U10" s="43"/>
    </row>
    <row r="11" spans="1:21" s="11" customFormat="1" x14ac:dyDescent="0.25">
      <c r="A11" s="50" t="s">
        <v>374</v>
      </c>
      <c r="B11" s="51">
        <v>5.03</v>
      </c>
      <c r="C11" s="51">
        <v>9.42</v>
      </c>
      <c r="D11" s="51">
        <v>8.91</v>
      </c>
      <c r="E11" s="51">
        <v>4.13</v>
      </c>
      <c r="F11" s="51">
        <v>8.09</v>
      </c>
      <c r="G11" s="51">
        <v>27.81</v>
      </c>
      <c r="H11" s="51">
        <v>7.72</v>
      </c>
      <c r="I11" s="51">
        <v>1.1200000000000001</v>
      </c>
      <c r="J11" s="51">
        <v>0.44</v>
      </c>
      <c r="K11" s="51">
        <v>145.69999999999999</v>
      </c>
      <c r="L11" s="51">
        <v>24.74</v>
      </c>
      <c r="M11" s="51">
        <v>97.86</v>
      </c>
      <c r="N11" s="51">
        <v>30.8</v>
      </c>
      <c r="O11" s="51">
        <v>0</v>
      </c>
      <c r="P11" s="51">
        <v>0.18</v>
      </c>
      <c r="Q11" s="51">
        <v>9.32</v>
      </c>
      <c r="R11" s="43"/>
      <c r="S11" s="43"/>
      <c r="T11" s="43"/>
      <c r="U11" s="43"/>
    </row>
    <row r="12" spans="1:21" s="11" customFormat="1" x14ac:dyDescent="0.25">
      <c r="A12" s="50" t="s">
        <v>375</v>
      </c>
      <c r="B12" s="51">
        <v>6.08</v>
      </c>
      <c r="C12" s="51">
        <v>8.2799999999999994</v>
      </c>
      <c r="D12" s="51">
        <v>8.44</v>
      </c>
      <c r="E12" s="51">
        <v>4.05</v>
      </c>
      <c r="F12" s="51">
        <v>6.29</v>
      </c>
      <c r="G12" s="51">
        <v>23.37</v>
      </c>
      <c r="H12" s="51">
        <v>7.75</v>
      </c>
      <c r="I12" s="51">
        <v>1.1100000000000001</v>
      </c>
      <c r="J12" s="51">
        <v>0.34</v>
      </c>
      <c r="K12" s="51">
        <v>151.83000000000001</v>
      </c>
      <c r="L12" s="51">
        <v>24.49</v>
      </c>
      <c r="M12" s="51">
        <v>98.15</v>
      </c>
      <c r="N12" s="51">
        <v>30.9</v>
      </c>
      <c r="O12" s="51">
        <v>0</v>
      </c>
      <c r="P12" s="51">
        <v>0.19</v>
      </c>
      <c r="Q12" s="51">
        <v>9.3000000000000007</v>
      </c>
      <c r="R12" s="43"/>
      <c r="S12" s="43"/>
      <c r="T12" s="43"/>
      <c r="U12" s="43"/>
    </row>
    <row r="13" spans="1:21" s="11" customFormat="1" x14ac:dyDescent="0.25">
      <c r="A13" s="50" t="s">
        <v>376</v>
      </c>
      <c r="B13" s="51">
        <v>5.81</v>
      </c>
      <c r="C13" s="51">
        <v>7.52</v>
      </c>
      <c r="D13" s="51">
        <v>8.32</v>
      </c>
      <c r="E13" s="51">
        <v>4.03</v>
      </c>
      <c r="F13" s="51">
        <v>9.2899999999999991</v>
      </c>
      <c r="G13" s="51">
        <v>18.43</v>
      </c>
      <c r="H13" s="51">
        <v>7.76</v>
      </c>
      <c r="I13" s="51">
        <v>1.06</v>
      </c>
      <c r="J13" s="51">
        <v>0.86</v>
      </c>
      <c r="K13" s="51">
        <v>132.56</v>
      </c>
      <c r="L13" s="51">
        <v>24.32</v>
      </c>
      <c r="M13" s="51">
        <v>98.09</v>
      </c>
      <c r="N13" s="51">
        <v>31</v>
      </c>
      <c r="O13" s="51">
        <v>0</v>
      </c>
      <c r="P13" s="51">
        <v>0.18</v>
      </c>
      <c r="Q13" s="51">
        <v>9.32</v>
      </c>
      <c r="R13" s="43"/>
      <c r="S13" s="43"/>
      <c r="T13" s="43"/>
      <c r="U13" s="43"/>
    </row>
    <row r="14" spans="1:21" s="11" customFormat="1" x14ac:dyDescent="0.25">
      <c r="A14" s="50" t="s">
        <v>377</v>
      </c>
      <c r="B14" s="51">
        <v>7.4</v>
      </c>
      <c r="C14" s="51">
        <v>7.68</v>
      </c>
      <c r="D14" s="51">
        <v>9.26</v>
      </c>
      <c r="E14" s="51">
        <v>3.97</v>
      </c>
      <c r="F14" s="51">
        <v>8.1300000000000008</v>
      </c>
      <c r="G14" s="51">
        <v>20.16</v>
      </c>
      <c r="H14" s="51">
        <v>7.71</v>
      </c>
      <c r="I14" s="51">
        <v>1.01</v>
      </c>
      <c r="J14" s="51">
        <v>0.45</v>
      </c>
      <c r="K14" s="51">
        <v>167.64</v>
      </c>
      <c r="L14" s="51">
        <v>23.99</v>
      </c>
      <c r="M14" s="51">
        <v>98.07</v>
      </c>
      <c r="N14" s="51">
        <v>38.200000000000003</v>
      </c>
      <c r="O14" s="51">
        <v>0</v>
      </c>
      <c r="P14" s="51">
        <v>0.17</v>
      </c>
      <c r="Q14" s="51">
        <v>9.33</v>
      </c>
      <c r="R14" s="43"/>
      <c r="S14" s="43"/>
      <c r="T14" s="43"/>
      <c r="U14" s="43"/>
    </row>
    <row r="15" spans="1:21" s="11" customFormat="1" x14ac:dyDescent="0.25">
      <c r="A15" s="50" t="s">
        <v>378</v>
      </c>
      <c r="B15" s="51">
        <v>8.48</v>
      </c>
      <c r="C15" s="51">
        <v>6.34</v>
      </c>
      <c r="D15" s="51">
        <v>9.75</v>
      </c>
      <c r="E15" s="51">
        <v>4.22</v>
      </c>
      <c r="F15" s="51">
        <v>9.24</v>
      </c>
      <c r="G15" s="51">
        <v>21.6</v>
      </c>
      <c r="H15" s="51">
        <v>7.67</v>
      </c>
      <c r="I15" s="51">
        <v>1</v>
      </c>
      <c r="J15" s="51">
        <v>0.51</v>
      </c>
      <c r="K15" s="51">
        <v>177.62</v>
      </c>
      <c r="L15" s="51">
        <v>25.01</v>
      </c>
      <c r="M15" s="51">
        <v>98.05</v>
      </c>
      <c r="N15" s="51">
        <v>149.1</v>
      </c>
      <c r="O15" s="51">
        <v>0</v>
      </c>
      <c r="P15" s="51">
        <v>0.19</v>
      </c>
      <c r="Q15" s="51">
        <v>9.32</v>
      </c>
      <c r="R15" s="43"/>
      <c r="S15" s="43"/>
      <c r="T15" s="43"/>
      <c r="U15" s="43"/>
    </row>
    <row r="16" spans="1:21" s="11" customFormat="1" x14ac:dyDescent="0.25">
      <c r="A16" s="50" t="s">
        <v>379</v>
      </c>
      <c r="B16" s="51">
        <v>8.93</v>
      </c>
      <c r="C16" s="51">
        <v>6.95</v>
      </c>
      <c r="D16" s="51">
        <v>10.77</v>
      </c>
      <c r="E16" s="51">
        <v>5.31</v>
      </c>
      <c r="F16" s="51">
        <v>8.75</v>
      </c>
      <c r="G16" s="51">
        <v>15.53</v>
      </c>
      <c r="H16" s="51">
        <v>7.63</v>
      </c>
      <c r="I16" s="51">
        <v>0.97</v>
      </c>
      <c r="J16" s="51">
        <v>0.52</v>
      </c>
      <c r="K16" s="51">
        <v>162.32</v>
      </c>
      <c r="L16" s="51">
        <v>27.65</v>
      </c>
      <c r="M16" s="51">
        <v>97.98</v>
      </c>
      <c r="N16" s="51">
        <v>425.4</v>
      </c>
      <c r="O16" s="51">
        <v>0</v>
      </c>
      <c r="P16" s="51">
        <v>0.17</v>
      </c>
      <c r="Q16" s="51">
        <v>9.2899999999999991</v>
      </c>
      <c r="R16" s="43"/>
      <c r="S16" s="43"/>
      <c r="T16" s="43"/>
      <c r="U16" s="43"/>
    </row>
    <row r="17" spans="1:21" s="11" customFormat="1" x14ac:dyDescent="0.25">
      <c r="A17" s="50" t="s">
        <v>380</v>
      </c>
      <c r="B17" s="51">
        <v>7.52</v>
      </c>
      <c r="C17" s="51">
        <v>6.58</v>
      </c>
      <c r="D17" s="51">
        <v>9.06</v>
      </c>
      <c r="E17" s="51">
        <v>5.49</v>
      </c>
      <c r="F17" s="51">
        <v>10.4</v>
      </c>
      <c r="G17" s="51">
        <v>15.05</v>
      </c>
      <c r="H17" s="51">
        <v>7.61</v>
      </c>
      <c r="I17" s="51">
        <v>0.93</v>
      </c>
      <c r="J17" s="51">
        <v>0.56999999999999995</v>
      </c>
      <c r="K17" s="51">
        <v>121.53</v>
      </c>
      <c r="L17" s="51">
        <v>28.58</v>
      </c>
      <c r="M17" s="51">
        <v>96.34</v>
      </c>
      <c r="N17" s="51">
        <v>481.7</v>
      </c>
      <c r="O17" s="51">
        <v>0</v>
      </c>
      <c r="P17" s="51">
        <v>0.16</v>
      </c>
      <c r="Q17" s="51">
        <v>9.3000000000000007</v>
      </c>
      <c r="R17" s="43"/>
      <c r="S17" s="43"/>
      <c r="T17" s="43"/>
      <c r="U17" s="43"/>
    </row>
    <row r="18" spans="1:21" s="11" customFormat="1" x14ac:dyDescent="0.25">
      <c r="A18" s="50" t="s">
        <v>381</v>
      </c>
      <c r="B18" s="51">
        <v>7.1</v>
      </c>
      <c r="C18" s="51">
        <v>8.08</v>
      </c>
      <c r="D18" s="51">
        <v>9.7100000000000009</v>
      </c>
      <c r="E18" s="51">
        <v>5.29</v>
      </c>
      <c r="F18" s="51">
        <v>12.3</v>
      </c>
      <c r="G18" s="51">
        <v>16.52</v>
      </c>
      <c r="H18" s="51">
        <v>7.62</v>
      </c>
      <c r="I18" s="51">
        <v>0.88</v>
      </c>
      <c r="J18" s="51">
        <v>0.92</v>
      </c>
      <c r="K18" s="51">
        <v>144.41</v>
      </c>
      <c r="L18" s="51">
        <v>29.68</v>
      </c>
      <c r="M18" s="51">
        <v>93.72</v>
      </c>
      <c r="N18" s="51">
        <v>773.9</v>
      </c>
      <c r="O18" s="51">
        <v>0</v>
      </c>
      <c r="P18" s="51">
        <v>0.18</v>
      </c>
      <c r="Q18" s="51">
        <v>9.32</v>
      </c>
      <c r="R18" s="43"/>
      <c r="S18" s="43"/>
      <c r="T18" s="43"/>
      <c r="U18" s="43"/>
    </row>
    <row r="19" spans="1:21" s="11" customFormat="1" x14ac:dyDescent="0.25">
      <c r="A19" s="50" t="s">
        <v>382</v>
      </c>
      <c r="B19" s="51">
        <v>6.77</v>
      </c>
      <c r="C19" s="51">
        <v>6.66</v>
      </c>
      <c r="D19" s="51">
        <v>8.91</v>
      </c>
      <c r="E19" s="51">
        <v>5.43</v>
      </c>
      <c r="F19" s="51">
        <v>11.35</v>
      </c>
      <c r="G19" s="51">
        <v>17.93</v>
      </c>
      <c r="H19" s="51">
        <v>7.58</v>
      </c>
      <c r="I19" s="51">
        <v>0.85</v>
      </c>
      <c r="J19" s="51">
        <v>0.88</v>
      </c>
      <c r="K19" s="51">
        <v>154.6</v>
      </c>
      <c r="L19" s="51">
        <v>30.44</v>
      </c>
      <c r="M19" s="51">
        <v>81.45</v>
      </c>
      <c r="N19" s="51">
        <v>1029</v>
      </c>
      <c r="O19" s="51">
        <v>0</v>
      </c>
      <c r="P19" s="51">
        <v>0.16</v>
      </c>
      <c r="Q19" s="51">
        <v>9.3000000000000007</v>
      </c>
      <c r="R19" s="43"/>
      <c r="S19" s="43"/>
      <c r="T19" s="43"/>
      <c r="U19" s="43"/>
    </row>
    <row r="20" spans="1:21" s="11" customFormat="1" x14ac:dyDescent="0.25">
      <c r="A20" s="50" t="s">
        <v>383</v>
      </c>
      <c r="B20" s="51">
        <v>6.33</v>
      </c>
      <c r="C20" s="51">
        <v>6.56</v>
      </c>
      <c r="D20" s="51">
        <v>8.4</v>
      </c>
      <c r="E20" s="51">
        <v>5.4</v>
      </c>
      <c r="F20" s="51">
        <v>9.67</v>
      </c>
      <c r="G20" s="51">
        <v>18.760000000000002</v>
      </c>
      <c r="H20" s="51">
        <v>7.7</v>
      </c>
      <c r="I20" s="51">
        <v>0.86</v>
      </c>
      <c r="J20" s="51">
        <v>0.71</v>
      </c>
      <c r="K20" s="51">
        <v>148.83000000000001</v>
      </c>
      <c r="L20" s="51">
        <v>31.41</v>
      </c>
      <c r="M20" s="51">
        <v>74.849999999999994</v>
      </c>
      <c r="N20" s="51">
        <v>1007.8</v>
      </c>
      <c r="O20" s="51">
        <v>0</v>
      </c>
      <c r="P20" s="51">
        <v>0.17</v>
      </c>
      <c r="Q20" s="51">
        <v>9.24</v>
      </c>
      <c r="R20" s="43"/>
      <c r="S20" s="43"/>
      <c r="T20" s="43"/>
      <c r="U20" s="43"/>
    </row>
    <row r="21" spans="1:21" s="11" customFormat="1" x14ac:dyDescent="0.25">
      <c r="A21" s="50" t="s">
        <v>384</v>
      </c>
      <c r="B21" s="51">
        <v>6.12</v>
      </c>
      <c r="C21" s="51">
        <v>7.42</v>
      </c>
      <c r="D21" s="51">
        <v>8.49</v>
      </c>
      <c r="E21" s="51">
        <v>5.23</v>
      </c>
      <c r="F21" s="51">
        <v>13.59</v>
      </c>
      <c r="G21" s="51">
        <v>17.37</v>
      </c>
      <c r="H21" s="51">
        <v>7.82</v>
      </c>
      <c r="I21" s="51">
        <v>0.84</v>
      </c>
      <c r="J21" s="51">
        <v>1.1299999999999999</v>
      </c>
      <c r="K21" s="51">
        <v>147.80000000000001</v>
      </c>
      <c r="L21" s="51">
        <v>30.94</v>
      </c>
      <c r="M21" s="51">
        <v>71.260000000000005</v>
      </c>
      <c r="N21" s="51">
        <v>986.4</v>
      </c>
      <c r="O21" s="51">
        <v>0</v>
      </c>
      <c r="P21" s="51">
        <v>0.15</v>
      </c>
      <c r="Q21" s="51">
        <v>9.19</v>
      </c>
      <c r="R21" s="43"/>
      <c r="S21" s="43"/>
      <c r="T21" s="43"/>
      <c r="U21" s="43"/>
    </row>
    <row r="22" spans="1:21" s="11" customFormat="1" x14ac:dyDescent="0.25">
      <c r="A22" s="50" t="s">
        <v>385</v>
      </c>
      <c r="B22" s="51">
        <v>5.7</v>
      </c>
      <c r="C22" s="51">
        <v>7.46</v>
      </c>
      <c r="D22" s="51">
        <v>8.3000000000000007</v>
      </c>
      <c r="E22" s="51">
        <v>5.21</v>
      </c>
      <c r="F22" s="51">
        <v>12.48</v>
      </c>
      <c r="G22" s="51">
        <v>17.59</v>
      </c>
      <c r="H22" s="51">
        <v>7.87</v>
      </c>
      <c r="I22" s="51">
        <v>0.82</v>
      </c>
      <c r="J22" s="51">
        <v>0.82</v>
      </c>
      <c r="K22" s="51">
        <v>159.61000000000001</v>
      </c>
      <c r="L22" s="51">
        <v>30.93</v>
      </c>
      <c r="M22" s="51">
        <v>72.91</v>
      </c>
      <c r="N22" s="51">
        <v>514.5</v>
      </c>
      <c r="O22" s="51">
        <v>0</v>
      </c>
      <c r="P22" s="51">
        <v>0.22</v>
      </c>
      <c r="Q22" s="51">
        <v>9.2200000000000006</v>
      </c>
      <c r="R22" s="43"/>
      <c r="S22" s="43"/>
      <c r="T22" s="43"/>
      <c r="U22" s="43"/>
    </row>
    <row r="23" spans="1:21" s="11" customFormat="1" x14ac:dyDescent="0.25">
      <c r="A23" s="50" t="s">
        <v>386</v>
      </c>
      <c r="B23" s="51">
        <v>10.87</v>
      </c>
      <c r="C23" s="51">
        <v>9.91</v>
      </c>
      <c r="D23" s="51">
        <v>12.63</v>
      </c>
      <c r="E23" s="51">
        <v>5.62</v>
      </c>
      <c r="F23" s="51">
        <v>12.8</v>
      </c>
      <c r="G23" s="51">
        <v>18.41</v>
      </c>
      <c r="H23" s="51">
        <v>7.83</v>
      </c>
      <c r="I23" s="51">
        <v>0.76</v>
      </c>
      <c r="J23" s="51">
        <v>1.7</v>
      </c>
      <c r="K23" s="51">
        <v>336.37</v>
      </c>
      <c r="L23" s="51">
        <v>31.43</v>
      </c>
      <c r="M23" s="51">
        <v>75.72</v>
      </c>
      <c r="N23" s="51">
        <v>214.8</v>
      </c>
      <c r="O23" s="51">
        <v>0</v>
      </c>
      <c r="P23" s="51">
        <v>0.33</v>
      </c>
      <c r="Q23" s="51">
        <v>9.23</v>
      </c>
      <c r="R23" s="43"/>
      <c r="S23" s="43"/>
      <c r="T23" s="43"/>
      <c r="U23" s="43"/>
    </row>
    <row r="24" spans="1:21" s="11" customFormat="1" x14ac:dyDescent="0.25">
      <c r="A24" s="50" t="s">
        <v>387</v>
      </c>
      <c r="B24" s="51">
        <v>12.3</v>
      </c>
      <c r="C24" s="51">
        <v>12.49</v>
      </c>
      <c r="D24" s="51">
        <v>16.39</v>
      </c>
      <c r="E24" s="51">
        <v>5.97</v>
      </c>
      <c r="F24" s="51">
        <v>14.55</v>
      </c>
      <c r="G24" s="51">
        <v>31.26</v>
      </c>
      <c r="H24" s="51">
        <v>7.78</v>
      </c>
      <c r="I24" s="51">
        <v>0.84</v>
      </c>
      <c r="J24" s="51">
        <v>1.65</v>
      </c>
      <c r="K24" s="51">
        <v>341.77</v>
      </c>
      <c r="L24" s="51">
        <v>30.94</v>
      </c>
      <c r="M24" s="51">
        <v>97.94</v>
      </c>
      <c r="N24" s="51">
        <v>164.1</v>
      </c>
      <c r="O24" s="51">
        <v>0</v>
      </c>
      <c r="P24" s="51">
        <v>0.64</v>
      </c>
      <c r="Q24" s="51">
        <v>9.24</v>
      </c>
      <c r="R24" s="43"/>
      <c r="S24" s="43"/>
      <c r="T24" s="43"/>
      <c r="U24" s="43"/>
    </row>
    <row r="25" spans="1:21" s="11" customFormat="1" x14ac:dyDescent="0.25">
      <c r="A25" s="50" t="s">
        <v>388</v>
      </c>
      <c r="B25" s="51">
        <v>16.239999999999998</v>
      </c>
      <c r="C25" s="51">
        <v>19.11</v>
      </c>
      <c r="D25" s="51">
        <v>22.68</v>
      </c>
      <c r="E25" s="51">
        <v>4.1399999999999997</v>
      </c>
      <c r="F25" s="51">
        <v>16.02</v>
      </c>
      <c r="G25" s="51">
        <v>43.26</v>
      </c>
      <c r="H25" s="51">
        <v>7.73</v>
      </c>
      <c r="I25" s="51">
        <v>0.93</v>
      </c>
      <c r="J25" s="51">
        <v>0.46</v>
      </c>
      <c r="K25" s="51">
        <v>341.38</v>
      </c>
      <c r="L25" s="51">
        <v>28.81</v>
      </c>
      <c r="M25" s="51">
        <v>95.71</v>
      </c>
      <c r="N25" s="51">
        <v>105.8</v>
      </c>
      <c r="O25" s="51">
        <v>0</v>
      </c>
      <c r="P25" s="51">
        <v>0.75</v>
      </c>
      <c r="Q25" s="51">
        <v>9.26</v>
      </c>
      <c r="R25" s="43"/>
      <c r="S25" s="43"/>
      <c r="T25" s="43"/>
      <c r="U25" s="43"/>
    </row>
    <row r="26" spans="1:21" s="11" customFormat="1" x14ac:dyDescent="0.25">
      <c r="A26" s="50" t="s">
        <v>389</v>
      </c>
      <c r="B26" s="51">
        <v>5.25</v>
      </c>
      <c r="C26" s="51">
        <v>14.22</v>
      </c>
      <c r="D26" s="51">
        <v>11.62</v>
      </c>
      <c r="E26" s="51">
        <v>4.07</v>
      </c>
      <c r="F26" s="51">
        <v>14.16</v>
      </c>
      <c r="G26" s="51">
        <v>46.82</v>
      </c>
      <c r="H26" s="51">
        <v>7.69</v>
      </c>
      <c r="I26" s="51">
        <v>1</v>
      </c>
      <c r="J26" s="51">
        <v>0.65</v>
      </c>
      <c r="K26" s="51">
        <v>162.91999999999999</v>
      </c>
      <c r="L26" s="51">
        <v>28.84</v>
      </c>
      <c r="M26" s="51">
        <v>86.79</v>
      </c>
      <c r="N26" s="51">
        <v>66</v>
      </c>
      <c r="O26" s="51">
        <v>0</v>
      </c>
      <c r="P26" s="51">
        <v>0.28000000000000003</v>
      </c>
      <c r="Q26" s="51">
        <v>9.27</v>
      </c>
      <c r="R26" s="43"/>
      <c r="S26" s="43"/>
      <c r="T26" s="43"/>
      <c r="U26" s="43"/>
    </row>
    <row r="27" spans="1:21" s="11" customFormat="1" x14ac:dyDescent="0.25">
      <c r="A27" s="50" t="s">
        <v>390</v>
      </c>
      <c r="B27" s="51">
        <v>6.12</v>
      </c>
      <c r="C27" s="51">
        <v>17.989999999999998</v>
      </c>
      <c r="D27" s="51">
        <v>14.31</v>
      </c>
      <c r="E27" s="51">
        <v>4.2</v>
      </c>
      <c r="F27" s="51">
        <v>11.41</v>
      </c>
      <c r="G27" s="51">
        <v>38.81</v>
      </c>
      <c r="H27" s="51">
        <v>7.65</v>
      </c>
      <c r="I27" s="51">
        <v>0.97</v>
      </c>
      <c r="J27" s="51">
        <v>0.55000000000000004</v>
      </c>
      <c r="K27" s="51">
        <v>124.54</v>
      </c>
      <c r="L27" s="51">
        <v>28.55</v>
      </c>
      <c r="M27" s="51">
        <v>91.37</v>
      </c>
      <c r="N27" s="51">
        <v>32</v>
      </c>
      <c r="O27" s="51">
        <v>0</v>
      </c>
      <c r="P27" s="51">
        <v>0.37</v>
      </c>
      <c r="Q27" s="51">
        <v>9.2799999999999994</v>
      </c>
      <c r="R27" s="43"/>
      <c r="S27" s="43"/>
      <c r="T27" s="43"/>
      <c r="U27" s="43"/>
    </row>
    <row r="28" spans="1:21" s="11" customFormat="1" x14ac:dyDescent="0.25">
      <c r="A28" s="50" t="s">
        <v>391</v>
      </c>
      <c r="B28" s="51">
        <v>7.36</v>
      </c>
      <c r="C28" s="51">
        <v>19.87</v>
      </c>
      <c r="D28" s="51">
        <v>16.28</v>
      </c>
      <c r="E28" s="51">
        <v>4.45</v>
      </c>
      <c r="F28" s="51">
        <v>10.84</v>
      </c>
      <c r="G28" s="51">
        <v>34.799999999999997</v>
      </c>
      <c r="H28" s="51">
        <v>7.61</v>
      </c>
      <c r="I28" s="51">
        <v>0.99</v>
      </c>
      <c r="J28" s="51">
        <v>0.77</v>
      </c>
      <c r="K28" s="51">
        <v>178.47</v>
      </c>
      <c r="L28" s="51">
        <v>28.13</v>
      </c>
      <c r="M28" s="51">
        <v>96.6</v>
      </c>
      <c r="N28" s="51">
        <v>31.7</v>
      </c>
      <c r="O28" s="51">
        <v>0</v>
      </c>
      <c r="P28" s="51">
        <v>0.41</v>
      </c>
      <c r="Q28" s="51">
        <v>9.2799999999999994</v>
      </c>
      <c r="R28" s="43"/>
      <c r="S28" s="43"/>
      <c r="T28" s="43"/>
      <c r="U28" s="43"/>
    </row>
    <row r="29" spans="1:21" s="11" customFormat="1" x14ac:dyDescent="0.25">
      <c r="A29" s="50" t="s">
        <v>392</v>
      </c>
      <c r="B29" s="51">
        <v>15.96</v>
      </c>
      <c r="C29" s="51">
        <v>23.5</v>
      </c>
      <c r="D29" s="51">
        <v>23.77</v>
      </c>
      <c r="E29" s="51">
        <v>4.08</v>
      </c>
      <c r="F29" s="51">
        <v>6.67</v>
      </c>
      <c r="G29" s="51">
        <v>30.16</v>
      </c>
      <c r="H29" s="51">
        <v>7.57</v>
      </c>
      <c r="I29" s="51">
        <v>1.08</v>
      </c>
      <c r="J29" s="51">
        <v>0.32</v>
      </c>
      <c r="K29" s="51">
        <v>321.32</v>
      </c>
      <c r="L29" s="51">
        <v>27.66</v>
      </c>
      <c r="M29" s="51">
        <v>97.54</v>
      </c>
      <c r="N29" s="51">
        <v>31.6</v>
      </c>
      <c r="O29" s="51">
        <v>0</v>
      </c>
      <c r="P29" s="51">
        <v>0.7</v>
      </c>
      <c r="Q29" s="51">
        <v>9.2799999999999994</v>
      </c>
      <c r="R29" s="43"/>
      <c r="S29" s="43"/>
      <c r="T29" s="43"/>
      <c r="U29" s="43"/>
    </row>
    <row r="30" spans="1:21" s="11" customFormat="1" x14ac:dyDescent="0.25">
      <c r="A30" s="50" t="s">
        <v>393</v>
      </c>
      <c r="B30" s="51">
        <v>13.01</v>
      </c>
      <c r="C30" s="51">
        <v>18.399999999999999</v>
      </c>
      <c r="D30" s="51">
        <v>19.3</v>
      </c>
      <c r="E30" s="51">
        <v>3.96</v>
      </c>
      <c r="F30" s="51">
        <v>5.54</v>
      </c>
      <c r="G30" s="51">
        <v>31.11</v>
      </c>
      <c r="H30" s="51">
        <v>7.56</v>
      </c>
      <c r="I30" s="51">
        <v>1.18</v>
      </c>
      <c r="J30" s="51">
        <v>0.42</v>
      </c>
      <c r="K30" s="51">
        <v>182.74</v>
      </c>
      <c r="L30" s="51">
        <v>27.53</v>
      </c>
      <c r="M30" s="51">
        <v>97.95</v>
      </c>
      <c r="N30" s="51">
        <v>31.8</v>
      </c>
      <c r="O30" s="51">
        <v>0</v>
      </c>
      <c r="P30" s="51">
        <v>0.47</v>
      </c>
      <c r="Q30" s="51">
        <v>9.31</v>
      </c>
      <c r="R30" s="43"/>
      <c r="S30" s="43"/>
      <c r="T30" s="43"/>
      <c r="U30" s="43"/>
    </row>
    <row r="31" spans="1:21" s="11" customFormat="1" x14ac:dyDescent="0.25">
      <c r="A31" s="50" t="s">
        <v>394</v>
      </c>
      <c r="B31" s="51">
        <v>9.92</v>
      </c>
      <c r="C31" s="51">
        <v>15.2</v>
      </c>
      <c r="D31" s="51">
        <v>15.86</v>
      </c>
      <c r="E31" s="51">
        <v>3.91</v>
      </c>
      <c r="F31" s="51">
        <v>5.66</v>
      </c>
      <c r="G31" s="51">
        <v>30.47</v>
      </c>
      <c r="H31" s="51">
        <v>7.57</v>
      </c>
      <c r="I31" s="51">
        <v>1.21</v>
      </c>
      <c r="J31" s="51">
        <v>0.09</v>
      </c>
      <c r="K31" s="51">
        <v>320.98</v>
      </c>
      <c r="L31" s="51">
        <v>26.8</v>
      </c>
      <c r="M31" s="51">
        <v>98.01</v>
      </c>
      <c r="N31" s="51">
        <v>31.8</v>
      </c>
      <c r="O31" s="51">
        <v>0</v>
      </c>
      <c r="P31" s="51">
        <v>0.34</v>
      </c>
      <c r="Q31" s="51">
        <v>9.3699999999999992</v>
      </c>
      <c r="R31" s="43"/>
      <c r="S31" s="43"/>
      <c r="T31" s="43"/>
      <c r="U31" s="43"/>
    </row>
    <row r="32" spans="1:21" s="11" customFormat="1" x14ac:dyDescent="0.25">
      <c r="A32" s="50" t="s">
        <v>395</v>
      </c>
      <c r="B32" s="51">
        <v>7.57</v>
      </c>
      <c r="C32" s="51">
        <v>8.6999999999999993</v>
      </c>
      <c r="D32" s="51">
        <v>8.94</v>
      </c>
      <c r="E32" s="51">
        <v>4.8600000000000003</v>
      </c>
      <c r="F32" s="51">
        <v>8.5</v>
      </c>
      <c r="G32" s="51">
        <v>27.79</v>
      </c>
      <c r="H32" s="51">
        <v>7.53</v>
      </c>
      <c r="I32" s="51">
        <v>1.22</v>
      </c>
      <c r="J32" s="51">
        <v>0.96</v>
      </c>
      <c r="K32" s="51">
        <v>207.76</v>
      </c>
      <c r="L32" s="51">
        <v>26.29</v>
      </c>
      <c r="M32" s="51">
        <v>98.03</v>
      </c>
      <c r="N32" s="51">
        <v>31.7</v>
      </c>
      <c r="O32" s="51">
        <v>0</v>
      </c>
      <c r="P32" s="51">
        <v>0.33</v>
      </c>
      <c r="Q32" s="51">
        <v>9.3699999999999992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5.03</v>
      </c>
      <c r="C34" s="28">
        <f t="shared" si="0"/>
        <v>6.34</v>
      </c>
      <c r="D34" s="28">
        <f t="shared" si="0"/>
        <v>8.3000000000000007</v>
      </c>
      <c r="E34" s="28">
        <f t="shared" si="0"/>
        <v>3.91</v>
      </c>
      <c r="F34" s="28">
        <f t="shared" si="0"/>
        <v>5.54</v>
      </c>
      <c r="G34" s="28">
        <f t="shared" si="0"/>
        <v>15.05</v>
      </c>
      <c r="H34" s="28">
        <f t="shared" si="0"/>
        <v>7.53</v>
      </c>
      <c r="I34" s="28">
        <f t="shared" si="0"/>
        <v>0.76</v>
      </c>
      <c r="J34" s="28">
        <f t="shared" si="0"/>
        <v>0.09</v>
      </c>
      <c r="K34" s="28">
        <f t="shared" si="0"/>
        <v>121.53</v>
      </c>
      <c r="L34" s="28">
        <f t="shared" si="0"/>
        <v>23.99</v>
      </c>
      <c r="M34" s="28">
        <f t="shared" si="0"/>
        <v>71.260000000000005</v>
      </c>
      <c r="N34" s="28">
        <f t="shared" si="0"/>
        <v>30.8</v>
      </c>
      <c r="O34" s="28">
        <f t="shared" si="0"/>
        <v>0</v>
      </c>
      <c r="P34" s="28">
        <f t="shared" si="0"/>
        <v>0.15</v>
      </c>
      <c r="Q34" s="28">
        <f t="shared" si="0"/>
        <v>9.19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16.239999999999998</v>
      </c>
      <c r="C35" s="29">
        <f t="shared" si="1"/>
        <v>23.5</v>
      </c>
      <c r="D35" s="29">
        <f t="shared" si="1"/>
        <v>23.77</v>
      </c>
      <c r="E35" s="29">
        <f t="shared" si="1"/>
        <v>5.97</v>
      </c>
      <c r="F35" s="29">
        <f t="shared" si="1"/>
        <v>16.02</v>
      </c>
      <c r="G35" s="29">
        <f t="shared" si="1"/>
        <v>46.82</v>
      </c>
      <c r="H35" s="29">
        <f t="shared" si="1"/>
        <v>7.88</v>
      </c>
      <c r="I35" s="29">
        <f t="shared" si="1"/>
        <v>1.22</v>
      </c>
      <c r="J35" s="29">
        <f t="shared" si="1"/>
        <v>1.7</v>
      </c>
      <c r="K35" s="29">
        <f t="shared" si="1"/>
        <v>341.77</v>
      </c>
      <c r="L35" s="29">
        <f t="shared" si="1"/>
        <v>31.43</v>
      </c>
      <c r="M35" s="29">
        <f t="shared" si="1"/>
        <v>98.15</v>
      </c>
      <c r="N35" s="29">
        <f t="shared" si="1"/>
        <v>1029</v>
      </c>
      <c r="O35" s="29">
        <f t="shared" si="1"/>
        <v>0</v>
      </c>
      <c r="P35" s="29">
        <f t="shared" si="1"/>
        <v>0.75</v>
      </c>
      <c r="Q35" s="29">
        <f t="shared" si="1"/>
        <v>9.3699999999999992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8.2099999999999991</v>
      </c>
      <c r="C36" s="28">
        <f t="shared" si="2"/>
        <v>11.069166666666666</v>
      </c>
      <c r="D36" s="28">
        <f t="shared" si="2"/>
        <v>11.996250000000002</v>
      </c>
      <c r="E36" s="28">
        <f t="shared" si="2"/>
        <v>4.6454166666666667</v>
      </c>
      <c r="F36" s="28">
        <f t="shared" si="2"/>
        <v>10.189583333333333</v>
      </c>
      <c r="G36" s="28">
        <f t="shared" si="2"/>
        <v>25.628333333333334</v>
      </c>
      <c r="H36" s="28">
        <f t="shared" si="2"/>
        <v>7.6925000000000017</v>
      </c>
      <c r="I36" s="28">
        <f t="shared" si="2"/>
        <v>0.99958333333333316</v>
      </c>
      <c r="J36" s="28">
        <f t="shared" si="2"/>
        <v>0.69916666666666671</v>
      </c>
      <c r="K36" s="28">
        <f t="shared" si="2"/>
        <v>192.28083333333333</v>
      </c>
      <c r="L36" s="28">
        <f t="shared" si="2"/>
        <v>27.799999999999994</v>
      </c>
      <c r="M36" s="28">
        <f t="shared" si="2"/>
        <v>92.085833333333326</v>
      </c>
      <c r="N36" s="28">
        <f t="shared" si="2"/>
        <v>262.57083333333338</v>
      </c>
      <c r="O36" s="28">
        <f t="shared" si="2"/>
        <v>0</v>
      </c>
      <c r="P36" s="28">
        <f t="shared" si="2"/>
        <v>0.29791666666666666</v>
      </c>
      <c r="Q36" s="28">
        <f t="shared" si="2"/>
        <v>9.2945833333333336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3.2439361490526339</v>
      </c>
      <c r="C37" s="28">
        <f t="shared" ref="C37:Q37" si="3">STDEV(C9:C32)</f>
        <v>5.1752109107759576</v>
      </c>
      <c r="D37" s="28">
        <f t="shared" si="3"/>
        <v>4.6862219996959968</v>
      </c>
      <c r="E37" s="28">
        <f t="shared" si="3"/>
        <v>0.66897702025046379</v>
      </c>
      <c r="F37" s="28">
        <f t="shared" si="3"/>
        <v>2.849957252412691</v>
      </c>
      <c r="G37" s="28">
        <f t="shared" si="3"/>
        <v>8.908637072681401</v>
      </c>
      <c r="H37" s="28">
        <f t="shared" si="3"/>
        <v>0.10199104820053315</v>
      </c>
      <c r="I37" s="28">
        <f t="shared" si="3"/>
        <v>0.13763465080222151</v>
      </c>
      <c r="J37" s="28">
        <f t="shared" si="3"/>
        <v>0.38391480788079113</v>
      </c>
      <c r="K37" s="28">
        <f t="shared" si="3"/>
        <v>75.907527547706451</v>
      </c>
      <c r="L37" s="28">
        <f t="shared" si="3"/>
        <v>2.4951657608088973</v>
      </c>
      <c r="M37" s="28">
        <f t="shared" si="3"/>
        <v>9.3472455448309653</v>
      </c>
      <c r="N37" s="28">
        <f t="shared" si="3"/>
        <v>348.45035511803394</v>
      </c>
      <c r="O37" s="28">
        <f t="shared" si="3"/>
        <v>0</v>
      </c>
      <c r="P37" s="28">
        <f t="shared" si="3"/>
        <v>0.17844690275106845</v>
      </c>
      <c r="Q37" s="28">
        <f t="shared" si="3"/>
        <v>4.8720959391805464E-2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25" sqref="H25:H2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396</v>
      </c>
      <c r="B9" s="51">
        <v>7</v>
      </c>
      <c r="C9" s="51">
        <v>9.23</v>
      </c>
      <c r="D9" s="51">
        <v>8.6</v>
      </c>
      <c r="E9" s="51">
        <v>4.41</v>
      </c>
      <c r="F9" s="51">
        <v>9.9499999999999993</v>
      </c>
      <c r="G9" s="51">
        <v>28.77</v>
      </c>
      <c r="H9" s="51">
        <v>7.49</v>
      </c>
      <c r="I9" s="51">
        <v>1.18</v>
      </c>
      <c r="J9" s="51">
        <v>0.22</v>
      </c>
      <c r="K9" s="51">
        <v>146</v>
      </c>
      <c r="L9" s="51">
        <v>25.73</v>
      </c>
      <c r="M9" s="51">
        <v>98.03</v>
      </c>
      <c r="N9" s="51">
        <v>31.5</v>
      </c>
      <c r="O9" s="51">
        <v>0</v>
      </c>
      <c r="P9" s="51">
        <v>0.24</v>
      </c>
      <c r="Q9" s="51">
        <v>9.32</v>
      </c>
      <c r="R9" s="43"/>
      <c r="S9" s="43"/>
      <c r="T9" s="43"/>
      <c r="U9" s="43"/>
    </row>
    <row r="10" spans="1:21" s="11" customFormat="1" x14ac:dyDescent="0.25">
      <c r="A10" s="50" t="s">
        <v>397</v>
      </c>
      <c r="B10" s="51">
        <v>5.95</v>
      </c>
      <c r="C10" s="51">
        <v>7.56</v>
      </c>
      <c r="D10" s="51">
        <v>8.2799999999999994</v>
      </c>
      <c r="E10" s="51">
        <v>4.55</v>
      </c>
      <c r="F10" s="51">
        <v>6.96</v>
      </c>
      <c r="G10" s="51">
        <v>22.43</v>
      </c>
      <c r="H10" s="51">
        <v>7.55</v>
      </c>
      <c r="I10" s="51">
        <v>1.05</v>
      </c>
      <c r="J10" s="51">
        <v>0.54</v>
      </c>
      <c r="K10" s="51">
        <v>151.94</v>
      </c>
      <c r="L10" s="51">
        <v>25.74</v>
      </c>
      <c r="M10" s="51">
        <v>98.03</v>
      </c>
      <c r="N10" s="51">
        <v>31.7</v>
      </c>
      <c r="O10" s="51">
        <v>0</v>
      </c>
      <c r="P10" s="51">
        <v>0.28999999999999998</v>
      </c>
      <c r="Q10" s="51">
        <v>9.3000000000000007</v>
      </c>
      <c r="R10" s="43"/>
      <c r="S10" s="43"/>
      <c r="T10" s="43"/>
      <c r="U10" s="43"/>
    </row>
    <row r="11" spans="1:21" s="11" customFormat="1" x14ac:dyDescent="0.25">
      <c r="A11" s="50" t="s">
        <v>398</v>
      </c>
      <c r="B11" s="51">
        <v>4.6900000000000004</v>
      </c>
      <c r="C11" s="51">
        <v>6.49</v>
      </c>
      <c r="D11" s="51">
        <v>7.04</v>
      </c>
      <c r="E11" s="51">
        <v>4.33</v>
      </c>
      <c r="F11" s="51">
        <v>7.25</v>
      </c>
      <c r="G11" s="51">
        <v>22.53</v>
      </c>
      <c r="H11" s="51">
        <v>7.59</v>
      </c>
      <c r="I11" s="51">
        <v>1.07</v>
      </c>
      <c r="J11" s="51">
        <v>0.51</v>
      </c>
      <c r="K11" s="51">
        <v>262.14</v>
      </c>
      <c r="L11" s="51">
        <v>25.3</v>
      </c>
      <c r="M11" s="51">
        <v>98.1</v>
      </c>
      <c r="N11" s="51">
        <v>31.8</v>
      </c>
      <c r="O11" s="51">
        <v>0</v>
      </c>
      <c r="P11" s="51">
        <v>0.23</v>
      </c>
      <c r="Q11" s="51">
        <v>9.2899999999999991</v>
      </c>
      <c r="R11" s="43"/>
      <c r="S11" s="43"/>
      <c r="T11" s="43"/>
      <c r="U11" s="43"/>
    </row>
    <row r="12" spans="1:21" s="11" customFormat="1" x14ac:dyDescent="0.25">
      <c r="A12" s="50" t="s">
        <v>399</v>
      </c>
      <c r="B12" s="51">
        <v>4.54</v>
      </c>
      <c r="C12" s="51">
        <v>5.79</v>
      </c>
      <c r="D12" s="51">
        <v>6.47</v>
      </c>
      <c r="E12" s="51">
        <v>4.2699999999999996</v>
      </c>
      <c r="F12" s="51">
        <v>7.82</v>
      </c>
      <c r="G12" s="51">
        <v>16.52</v>
      </c>
      <c r="H12" s="51">
        <v>7.6</v>
      </c>
      <c r="I12" s="51">
        <v>1.04</v>
      </c>
      <c r="J12" s="51">
        <v>0.56999999999999995</v>
      </c>
      <c r="K12" s="51">
        <v>201.15</v>
      </c>
      <c r="L12" s="51">
        <v>25.01</v>
      </c>
      <c r="M12" s="51">
        <v>98.13</v>
      </c>
      <c r="N12" s="51">
        <v>31.8</v>
      </c>
      <c r="O12" s="51">
        <v>0</v>
      </c>
      <c r="P12" s="51">
        <v>0.23</v>
      </c>
      <c r="Q12" s="51">
        <v>9.26</v>
      </c>
      <c r="R12" s="43"/>
      <c r="S12" s="43"/>
      <c r="T12" s="43"/>
      <c r="U12" s="43"/>
    </row>
    <row r="13" spans="1:21" s="11" customFormat="1" x14ac:dyDescent="0.25">
      <c r="A13" s="50" t="s">
        <v>400</v>
      </c>
      <c r="B13" s="51">
        <v>5.67</v>
      </c>
      <c r="C13" s="51">
        <v>6.35</v>
      </c>
      <c r="D13" s="51">
        <v>7.84</v>
      </c>
      <c r="E13" s="51">
        <v>4.22</v>
      </c>
      <c r="F13" s="51">
        <v>8.85</v>
      </c>
      <c r="G13" s="51">
        <v>12.92</v>
      </c>
      <c r="H13" s="51">
        <v>7.56</v>
      </c>
      <c r="I13" s="51">
        <v>1.02</v>
      </c>
      <c r="J13" s="51">
        <v>0.93</v>
      </c>
      <c r="K13" s="51">
        <v>143.44999999999999</v>
      </c>
      <c r="L13" s="51">
        <v>24.79</v>
      </c>
      <c r="M13" s="51">
        <v>98.12</v>
      </c>
      <c r="N13" s="51">
        <v>31.8</v>
      </c>
      <c r="O13" s="51">
        <v>0</v>
      </c>
      <c r="P13" s="51">
        <v>0.24</v>
      </c>
      <c r="Q13" s="51">
        <v>9.26</v>
      </c>
      <c r="R13" s="43"/>
      <c r="S13" s="43"/>
      <c r="T13" s="43"/>
      <c r="U13" s="43"/>
    </row>
    <row r="14" spans="1:21" s="11" customFormat="1" x14ac:dyDescent="0.25">
      <c r="A14" s="50" t="s">
        <v>401</v>
      </c>
      <c r="B14" s="51">
        <v>6.42</v>
      </c>
      <c r="C14" s="51">
        <v>8.43</v>
      </c>
      <c r="D14" s="51">
        <v>9.5500000000000007</v>
      </c>
      <c r="E14" s="51">
        <v>4.28</v>
      </c>
      <c r="F14" s="51">
        <v>8.91</v>
      </c>
      <c r="G14" s="51">
        <v>12.67</v>
      </c>
      <c r="H14" s="51">
        <v>7.52</v>
      </c>
      <c r="I14" s="51">
        <v>0.97</v>
      </c>
      <c r="J14" s="51">
        <v>0.44</v>
      </c>
      <c r="K14" s="51">
        <v>216.14</v>
      </c>
      <c r="L14" s="51">
        <v>24.42</v>
      </c>
      <c r="M14" s="51">
        <v>98.21</v>
      </c>
      <c r="N14" s="51">
        <v>34.5</v>
      </c>
      <c r="O14" s="51">
        <v>0</v>
      </c>
      <c r="P14" s="51">
        <v>0.24</v>
      </c>
      <c r="Q14" s="51">
        <v>9.3000000000000007</v>
      </c>
      <c r="R14" s="43"/>
      <c r="S14" s="43"/>
      <c r="T14" s="43"/>
      <c r="U14" s="43"/>
    </row>
    <row r="15" spans="1:21" s="11" customFormat="1" x14ac:dyDescent="0.25">
      <c r="A15" s="50" t="s">
        <v>402</v>
      </c>
      <c r="B15" s="51">
        <v>6.49</v>
      </c>
      <c r="C15" s="51">
        <v>8.27</v>
      </c>
      <c r="D15" s="51">
        <v>9.5299999999999994</v>
      </c>
      <c r="E15" s="51">
        <v>4.4000000000000004</v>
      </c>
      <c r="F15" s="51">
        <v>7.87</v>
      </c>
      <c r="G15" s="51">
        <v>8.94</v>
      </c>
      <c r="H15" s="51">
        <v>7.49</v>
      </c>
      <c r="I15" s="51">
        <v>0.93</v>
      </c>
      <c r="J15" s="51">
        <v>0.17</v>
      </c>
      <c r="K15" s="51">
        <v>277.51</v>
      </c>
      <c r="L15" s="51">
        <v>24.87</v>
      </c>
      <c r="M15" s="51">
        <v>98.23</v>
      </c>
      <c r="N15" s="51">
        <v>79.5</v>
      </c>
      <c r="O15" s="51">
        <v>0</v>
      </c>
      <c r="P15" s="51">
        <v>0.27</v>
      </c>
      <c r="Q15" s="51">
        <v>9.3000000000000007</v>
      </c>
      <c r="R15" s="43"/>
      <c r="S15" s="43"/>
      <c r="T15" s="43"/>
      <c r="U15" s="43"/>
    </row>
    <row r="16" spans="1:21" s="11" customFormat="1" x14ac:dyDescent="0.25">
      <c r="A16" s="50" t="s">
        <v>403</v>
      </c>
      <c r="B16" s="51">
        <v>8.49</v>
      </c>
      <c r="C16" s="51">
        <v>7.37</v>
      </c>
      <c r="D16" s="51">
        <v>10.38</v>
      </c>
      <c r="E16" s="51">
        <v>4.49</v>
      </c>
      <c r="F16" s="51">
        <v>6.82</v>
      </c>
      <c r="G16" s="51">
        <v>10.48</v>
      </c>
      <c r="H16" s="51">
        <v>7.45</v>
      </c>
      <c r="I16" s="51">
        <v>0.92</v>
      </c>
      <c r="J16" s="51">
        <v>0.12</v>
      </c>
      <c r="K16" s="51">
        <v>277.95999999999998</v>
      </c>
      <c r="L16" s="51">
        <v>25.87</v>
      </c>
      <c r="M16" s="51">
        <v>98.14</v>
      </c>
      <c r="N16" s="51">
        <v>199.6</v>
      </c>
      <c r="O16" s="51">
        <v>0</v>
      </c>
      <c r="P16" s="51">
        <v>0.28000000000000003</v>
      </c>
      <c r="Q16" s="51">
        <v>9.2899999999999991</v>
      </c>
      <c r="R16" s="43"/>
      <c r="S16" s="43"/>
      <c r="T16" s="43"/>
      <c r="U16" s="43"/>
    </row>
    <row r="17" spans="1:21" s="11" customFormat="1" x14ac:dyDescent="0.25">
      <c r="A17" s="50" t="s">
        <v>404</v>
      </c>
      <c r="B17" s="51">
        <v>6.73</v>
      </c>
      <c r="C17" s="51">
        <v>8.18</v>
      </c>
      <c r="D17" s="51">
        <v>9.66</v>
      </c>
      <c r="E17" s="51">
        <v>4.54</v>
      </c>
      <c r="F17" s="51">
        <v>9.11</v>
      </c>
      <c r="G17" s="51">
        <v>16.07</v>
      </c>
      <c r="H17" s="51">
        <v>7.42</v>
      </c>
      <c r="I17" s="51">
        <v>0.9</v>
      </c>
      <c r="J17" s="51">
        <v>0.17</v>
      </c>
      <c r="K17" s="51">
        <v>291.14999999999998</v>
      </c>
      <c r="L17" s="51">
        <v>26.12</v>
      </c>
      <c r="M17" s="51">
        <v>98.02</v>
      </c>
      <c r="N17" s="51">
        <v>170.9</v>
      </c>
      <c r="O17" s="51">
        <v>0</v>
      </c>
      <c r="P17" s="51">
        <v>0.28000000000000003</v>
      </c>
      <c r="Q17" s="51">
        <v>9.24</v>
      </c>
      <c r="R17" s="43"/>
      <c r="S17" s="43"/>
      <c r="T17" s="43"/>
      <c r="U17" s="43"/>
    </row>
    <row r="18" spans="1:21" s="11" customFormat="1" x14ac:dyDescent="0.25">
      <c r="A18" s="50" t="s">
        <v>405</v>
      </c>
      <c r="B18" s="51">
        <v>10.54</v>
      </c>
      <c r="C18" s="51">
        <v>8.81</v>
      </c>
      <c r="D18" s="51">
        <v>13.06</v>
      </c>
      <c r="E18" s="51">
        <v>4.03</v>
      </c>
      <c r="F18" s="51">
        <v>7.1</v>
      </c>
      <c r="G18" s="51">
        <v>19.71</v>
      </c>
      <c r="H18" s="51">
        <v>7.4</v>
      </c>
      <c r="I18" s="51">
        <v>0.9</v>
      </c>
      <c r="J18" s="51">
        <v>0.13</v>
      </c>
      <c r="K18" s="51">
        <v>297.29000000000002</v>
      </c>
      <c r="L18" s="51">
        <v>25.83</v>
      </c>
      <c r="M18" s="51">
        <v>97.99</v>
      </c>
      <c r="N18" s="51">
        <v>137.80000000000001</v>
      </c>
      <c r="O18" s="51">
        <v>0</v>
      </c>
      <c r="P18" s="51">
        <v>0.53</v>
      </c>
      <c r="Q18" s="51">
        <v>9.23</v>
      </c>
      <c r="R18" s="43"/>
      <c r="S18" s="43"/>
      <c r="T18" s="43"/>
      <c r="U18" s="43"/>
    </row>
    <row r="19" spans="1:21" s="11" customFormat="1" x14ac:dyDescent="0.25">
      <c r="A19" s="50" t="s">
        <v>406</v>
      </c>
      <c r="B19" s="51">
        <v>10.49</v>
      </c>
      <c r="C19" s="51">
        <v>9.58</v>
      </c>
      <c r="D19" s="51">
        <v>12.84</v>
      </c>
      <c r="E19" s="51">
        <v>4.37</v>
      </c>
      <c r="F19" s="51">
        <v>9.0399999999999991</v>
      </c>
      <c r="G19" s="51">
        <v>20.88</v>
      </c>
      <c r="H19" s="51">
        <v>7.41</v>
      </c>
      <c r="I19" s="51">
        <v>1</v>
      </c>
      <c r="J19" s="51">
        <v>0.1</v>
      </c>
      <c r="K19" s="51">
        <v>290.14</v>
      </c>
      <c r="L19" s="51">
        <v>26.35</v>
      </c>
      <c r="M19" s="51">
        <v>98.05</v>
      </c>
      <c r="N19" s="51">
        <v>199.5</v>
      </c>
      <c r="O19" s="51">
        <v>0</v>
      </c>
      <c r="P19" s="51">
        <v>0.5</v>
      </c>
      <c r="Q19" s="51">
        <v>9.25</v>
      </c>
      <c r="R19" s="43"/>
      <c r="S19" s="43"/>
      <c r="T19" s="43"/>
      <c r="U19" s="43"/>
    </row>
    <row r="20" spans="1:21" s="11" customFormat="1" x14ac:dyDescent="0.25">
      <c r="A20" s="50" t="s">
        <v>407</v>
      </c>
      <c r="B20" s="51">
        <v>10.91</v>
      </c>
      <c r="C20" s="51">
        <v>11.63</v>
      </c>
      <c r="D20" s="51">
        <v>14.83</v>
      </c>
      <c r="E20" s="51">
        <v>4.3899999999999997</v>
      </c>
      <c r="F20" s="51">
        <v>7.74</v>
      </c>
      <c r="G20" s="51">
        <v>24.51</v>
      </c>
      <c r="H20" s="51">
        <v>7.37</v>
      </c>
      <c r="I20" s="51">
        <v>1.07</v>
      </c>
      <c r="J20" s="51">
        <v>0.11</v>
      </c>
      <c r="K20" s="51">
        <v>289.7</v>
      </c>
      <c r="L20" s="51">
        <v>27.07</v>
      </c>
      <c r="M20" s="51">
        <v>97.96</v>
      </c>
      <c r="N20" s="51">
        <v>171.3</v>
      </c>
      <c r="O20" s="51">
        <v>0</v>
      </c>
      <c r="P20" s="51">
        <v>0.52</v>
      </c>
      <c r="Q20" s="51">
        <v>9.32</v>
      </c>
      <c r="R20" s="43"/>
      <c r="S20" s="43"/>
      <c r="T20" s="43"/>
      <c r="U20" s="43"/>
    </row>
    <row r="21" spans="1:21" s="11" customFormat="1" x14ac:dyDescent="0.25">
      <c r="A21" s="50" t="s">
        <v>408</v>
      </c>
      <c r="B21" s="51">
        <v>10.61</v>
      </c>
      <c r="C21" s="51">
        <v>9.35</v>
      </c>
      <c r="D21" s="51">
        <v>13.39</v>
      </c>
      <c r="E21" s="51">
        <v>4.1500000000000004</v>
      </c>
      <c r="F21" s="51">
        <v>8.09</v>
      </c>
      <c r="G21" s="51">
        <v>29.71</v>
      </c>
      <c r="H21" s="51">
        <v>7.41</v>
      </c>
      <c r="I21" s="51">
        <v>1.07</v>
      </c>
      <c r="J21" s="51">
        <v>0.74</v>
      </c>
      <c r="K21" s="51">
        <v>328.77</v>
      </c>
      <c r="L21" s="51">
        <v>27.05</v>
      </c>
      <c r="M21" s="51">
        <v>98.04</v>
      </c>
      <c r="N21" s="51">
        <v>156.9</v>
      </c>
      <c r="O21" s="51">
        <v>0</v>
      </c>
      <c r="P21" s="51">
        <v>0.55000000000000004</v>
      </c>
      <c r="Q21" s="51">
        <v>9.3000000000000007</v>
      </c>
      <c r="R21" s="43"/>
      <c r="S21" s="43"/>
      <c r="T21" s="43"/>
      <c r="U21" s="43"/>
    </row>
    <row r="22" spans="1:21" s="11" customFormat="1" x14ac:dyDescent="0.25">
      <c r="A22" s="50" t="s">
        <v>409</v>
      </c>
      <c r="B22" s="51">
        <v>11.02</v>
      </c>
      <c r="C22" s="51">
        <v>19.600000000000001</v>
      </c>
      <c r="D22" s="51">
        <v>16.71</v>
      </c>
      <c r="E22" s="51">
        <v>5.64</v>
      </c>
      <c r="F22" s="51">
        <v>9.24</v>
      </c>
      <c r="G22" s="51">
        <v>34.229999999999997</v>
      </c>
      <c r="H22" s="51">
        <v>7.48</v>
      </c>
      <c r="I22" s="51">
        <v>1.9</v>
      </c>
      <c r="J22" s="51">
        <v>1.49</v>
      </c>
      <c r="K22" s="51">
        <v>335.3</v>
      </c>
      <c r="L22" s="51">
        <v>26.2</v>
      </c>
      <c r="M22" s="51">
        <v>98.13</v>
      </c>
      <c r="N22" s="51">
        <v>62.1</v>
      </c>
      <c r="O22" s="51">
        <v>0</v>
      </c>
      <c r="P22" s="51">
        <v>0.57999999999999996</v>
      </c>
      <c r="Q22" s="51">
        <v>9.3699999999999992</v>
      </c>
      <c r="R22" s="43"/>
      <c r="S22" s="43"/>
      <c r="T22" s="43"/>
      <c r="U22" s="43"/>
    </row>
    <row r="23" spans="1:21" s="11" customFormat="1" x14ac:dyDescent="0.25">
      <c r="A23" s="50" t="s">
        <v>410</v>
      </c>
      <c r="B23" s="51">
        <v>26.18</v>
      </c>
      <c r="C23" s="51">
        <v>18.34</v>
      </c>
      <c r="D23" s="51">
        <v>30.56</v>
      </c>
      <c r="E23" s="51">
        <v>4.3899999999999997</v>
      </c>
      <c r="F23" s="51">
        <v>11.31</v>
      </c>
      <c r="G23" s="51">
        <v>38.61</v>
      </c>
      <c r="H23" s="51">
        <v>7.49</v>
      </c>
      <c r="I23" s="51">
        <v>2.0099999999999998</v>
      </c>
      <c r="J23" s="51">
        <v>1.38</v>
      </c>
      <c r="K23" s="51">
        <v>343.45</v>
      </c>
      <c r="L23" s="51">
        <v>25.42</v>
      </c>
      <c r="M23" s="51">
        <v>98.13</v>
      </c>
      <c r="N23" s="51">
        <v>77.2</v>
      </c>
      <c r="O23" s="51">
        <v>0</v>
      </c>
      <c r="P23" s="51">
        <v>0.94</v>
      </c>
      <c r="Q23" s="51">
        <v>9.4700000000000006</v>
      </c>
      <c r="R23" s="43"/>
      <c r="S23" s="43"/>
      <c r="T23" s="43"/>
      <c r="U23" s="43"/>
    </row>
    <row r="24" spans="1:21" s="11" customFormat="1" x14ac:dyDescent="0.25">
      <c r="A24" s="50" t="s">
        <v>411</v>
      </c>
      <c r="B24" s="51">
        <v>35.619999999999997</v>
      </c>
      <c r="C24" s="51">
        <v>21.53</v>
      </c>
      <c r="D24" s="51">
        <v>39.03</v>
      </c>
      <c r="E24" s="51">
        <v>4.6500000000000004</v>
      </c>
      <c r="F24" s="51">
        <v>6.2</v>
      </c>
      <c r="G24" s="51">
        <v>48.15</v>
      </c>
      <c r="H24" s="51">
        <v>7.45</v>
      </c>
      <c r="I24" s="51">
        <v>1.96</v>
      </c>
      <c r="J24" s="51">
        <v>0.56000000000000005</v>
      </c>
      <c r="K24" s="51">
        <v>341.96</v>
      </c>
      <c r="L24" s="51">
        <v>24.99</v>
      </c>
      <c r="M24" s="51">
        <v>98.13</v>
      </c>
      <c r="N24" s="51">
        <v>68</v>
      </c>
      <c r="O24" s="51">
        <v>0</v>
      </c>
      <c r="P24" s="51">
        <v>1.24</v>
      </c>
      <c r="Q24" s="51">
        <v>9.61</v>
      </c>
      <c r="R24" s="43"/>
      <c r="S24" s="43"/>
      <c r="T24" s="43"/>
      <c r="U24" s="43"/>
    </row>
    <row r="25" spans="1:21" s="11" customFormat="1" x14ac:dyDescent="0.25">
      <c r="A25" s="50" t="s">
        <v>412</v>
      </c>
      <c r="B25" s="51">
        <v>44.78</v>
      </c>
      <c r="C25" s="51">
        <v>18.809999999999999</v>
      </c>
      <c r="D25" s="51">
        <v>45.14</v>
      </c>
      <c r="E25" s="51">
        <v>5.19</v>
      </c>
      <c r="F25" s="51">
        <v>5.44</v>
      </c>
      <c r="G25" s="51">
        <v>54.15</v>
      </c>
      <c r="H25" s="51">
        <v>7.41</v>
      </c>
      <c r="I25" s="51">
        <v>2.54</v>
      </c>
      <c r="J25" s="51">
        <v>0.34</v>
      </c>
      <c r="K25" s="51">
        <v>343.34</v>
      </c>
      <c r="L25" s="51">
        <v>24.62</v>
      </c>
      <c r="M25" s="51">
        <v>98.11</v>
      </c>
      <c r="N25" s="51">
        <v>63.9</v>
      </c>
      <c r="O25" s="51">
        <v>0</v>
      </c>
      <c r="P25" s="51">
        <v>1.1000000000000001</v>
      </c>
      <c r="Q25" s="51">
        <v>9.66</v>
      </c>
      <c r="R25" s="43"/>
      <c r="S25" s="43"/>
      <c r="T25" s="43"/>
      <c r="U25" s="43"/>
    </row>
    <row r="26" spans="1:21" s="11" customFormat="1" x14ac:dyDescent="0.25">
      <c r="A26" s="50" t="s">
        <v>413</v>
      </c>
      <c r="B26" s="51">
        <v>30.13</v>
      </c>
      <c r="C26" s="51">
        <v>13.9</v>
      </c>
      <c r="D26" s="51">
        <v>31.28</v>
      </c>
      <c r="E26" s="51">
        <v>4.9000000000000004</v>
      </c>
      <c r="F26" s="51">
        <v>5.25</v>
      </c>
      <c r="G26" s="51">
        <v>48.52</v>
      </c>
      <c r="H26" s="51">
        <v>7.41</v>
      </c>
      <c r="I26" s="51">
        <v>2.61</v>
      </c>
      <c r="J26" s="51">
        <v>0.08</v>
      </c>
      <c r="K26" s="51">
        <v>343.86</v>
      </c>
      <c r="L26" s="51">
        <v>23.81</v>
      </c>
      <c r="M26" s="51">
        <v>98.13</v>
      </c>
      <c r="N26" s="51">
        <v>38.700000000000003</v>
      </c>
      <c r="O26" s="51">
        <v>0</v>
      </c>
      <c r="P26" s="51">
        <v>1.02</v>
      </c>
      <c r="Q26" s="51">
        <v>9.67</v>
      </c>
      <c r="R26" s="43"/>
      <c r="S26" s="43"/>
      <c r="T26" s="43"/>
      <c r="U26" s="43"/>
    </row>
    <row r="27" spans="1:21" s="11" customFormat="1" x14ac:dyDescent="0.25">
      <c r="A27" s="50" t="s">
        <v>414</v>
      </c>
      <c r="B27" s="51">
        <v>40.42</v>
      </c>
      <c r="C27" s="51">
        <v>14.81</v>
      </c>
      <c r="D27" s="51">
        <v>38.42</v>
      </c>
      <c r="E27" s="51">
        <v>5.03</v>
      </c>
      <c r="F27" s="51">
        <v>6.23</v>
      </c>
      <c r="G27" s="51">
        <v>57.89</v>
      </c>
      <c r="H27" s="51">
        <v>7.41</v>
      </c>
      <c r="I27" s="51">
        <v>2.66</v>
      </c>
      <c r="J27" s="51">
        <v>7.0000000000000007E-2</v>
      </c>
      <c r="K27" s="51">
        <v>327.01</v>
      </c>
      <c r="L27" s="51">
        <v>23.41</v>
      </c>
      <c r="M27" s="51">
        <v>98.15</v>
      </c>
      <c r="N27" s="51">
        <v>28</v>
      </c>
      <c r="O27" s="51">
        <v>0</v>
      </c>
      <c r="P27" s="51">
        <v>1.22</v>
      </c>
      <c r="Q27" s="51">
        <v>9.68</v>
      </c>
      <c r="R27" s="43"/>
      <c r="S27" s="43"/>
      <c r="T27" s="43"/>
      <c r="U27" s="43"/>
    </row>
    <row r="28" spans="1:21" s="11" customFormat="1" x14ac:dyDescent="0.25">
      <c r="A28" s="50" t="s">
        <v>415</v>
      </c>
      <c r="B28" s="51">
        <v>21.27</v>
      </c>
      <c r="C28" s="51">
        <v>13.45</v>
      </c>
      <c r="D28" s="51">
        <v>22.21</v>
      </c>
      <c r="E28" s="51">
        <v>4.79</v>
      </c>
      <c r="F28" s="51">
        <v>5.86</v>
      </c>
      <c r="G28" s="51">
        <v>47.52</v>
      </c>
      <c r="H28" s="51">
        <v>6.28</v>
      </c>
      <c r="I28" s="51">
        <v>2.72</v>
      </c>
      <c r="J28" s="51">
        <v>0.1</v>
      </c>
      <c r="K28" s="51">
        <v>282.27999999999997</v>
      </c>
      <c r="L28" s="51">
        <v>23.28</v>
      </c>
      <c r="M28" s="51">
        <v>98.27</v>
      </c>
      <c r="N28" s="51">
        <v>28.4</v>
      </c>
      <c r="O28" s="51">
        <v>0</v>
      </c>
      <c r="P28" s="51">
        <v>0.8</v>
      </c>
      <c r="Q28" s="51">
        <v>9.68</v>
      </c>
      <c r="R28" s="43"/>
      <c r="S28" s="43"/>
      <c r="T28" s="43"/>
      <c r="U28" s="43"/>
    </row>
    <row r="29" spans="1:21" s="11" customFormat="1" x14ac:dyDescent="0.25">
      <c r="A29" s="50" t="s">
        <v>416</v>
      </c>
      <c r="B29" s="51">
        <v>23.32</v>
      </c>
      <c r="C29" s="51">
        <v>11.16</v>
      </c>
      <c r="D29" s="51">
        <v>22.22</v>
      </c>
      <c r="E29" s="51">
        <v>4.78</v>
      </c>
      <c r="F29" s="51">
        <v>4.87</v>
      </c>
      <c r="G29" s="51">
        <v>39.909999999999997</v>
      </c>
      <c r="H29" s="51">
        <v>6.28</v>
      </c>
      <c r="I29" s="51">
        <v>2.7</v>
      </c>
      <c r="J29" s="51">
        <v>0.09</v>
      </c>
      <c r="K29" s="51">
        <v>212.65</v>
      </c>
      <c r="L29" s="51">
        <v>23.56</v>
      </c>
      <c r="M29" s="51">
        <v>98.3</v>
      </c>
      <c r="N29" s="51">
        <v>28.2</v>
      </c>
      <c r="O29" s="51">
        <v>0</v>
      </c>
      <c r="P29" s="51">
        <v>0.74</v>
      </c>
      <c r="Q29" s="51">
        <v>9.68</v>
      </c>
      <c r="R29" s="43"/>
      <c r="S29" s="43"/>
      <c r="T29" s="43"/>
      <c r="U29" s="43"/>
    </row>
    <row r="30" spans="1:21" s="11" customFormat="1" x14ac:dyDescent="0.25">
      <c r="A30" s="50" t="s">
        <v>417</v>
      </c>
      <c r="B30" s="51">
        <v>32.83</v>
      </c>
      <c r="C30" s="51">
        <v>11.03</v>
      </c>
      <c r="D30" s="51">
        <v>32.090000000000003</v>
      </c>
      <c r="E30" s="51">
        <v>4.9000000000000004</v>
      </c>
      <c r="F30" s="51">
        <v>3.66</v>
      </c>
      <c r="G30" s="51">
        <v>35.76</v>
      </c>
      <c r="H30" s="51">
        <v>22.75</v>
      </c>
      <c r="I30" s="51">
        <v>2.56</v>
      </c>
      <c r="J30" s="51">
        <v>0.3</v>
      </c>
      <c r="K30" s="51">
        <v>333.69</v>
      </c>
      <c r="L30" s="51">
        <v>23.57</v>
      </c>
      <c r="M30" s="51">
        <v>98.23</v>
      </c>
      <c r="N30" s="51">
        <v>28</v>
      </c>
      <c r="O30" s="51">
        <v>0</v>
      </c>
      <c r="P30" s="51">
        <v>1.04</v>
      </c>
      <c r="Q30" s="51">
        <v>9.68</v>
      </c>
      <c r="R30" s="43"/>
      <c r="S30" s="43"/>
      <c r="T30" s="43"/>
      <c r="U30" s="43"/>
    </row>
    <row r="31" spans="1:21" s="11" customFormat="1" x14ac:dyDescent="0.25">
      <c r="A31" s="50" t="s">
        <v>418</v>
      </c>
      <c r="B31" s="51">
        <v>24.87</v>
      </c>
      <c r="C31" s="51">
        <v>12.97</v>
      </c>
      <c r="D31" s="51">
        <v>22.1</v>
      </c>
      <c r="E31" s="51">
        <v>4.72</v>
      </c>
      <c r="F31" s="51">
        <v>4.54</v>
      </c>
      <c r="G31" s="51">
        <v>30.92</v>
      </c>
      <c r="H31" s="51">
        <v>26.86</v>
      </c>
      <c r="I31" s="51">
        <v>2.39</v>
      </c>
      <c r="J31" s="51">
        <v>0.34</v>
      </c>
      <c r="K31" s="51">
        <v>188.88</v>
      </c>
      <c r="L31" s="51">
        <v>23.83</v>
      </c>
      <c r="M31" s="51">
        <v>98.22</v>
      </c>
      <c r="N31" s="51">
        <v>28.5</v>
      </c>
      <c r="O31" s="51">
        <v>0</v>
      </c>
      <c r="P31" s="51">
        <v>0.78</v>
      </c>
      <c r="Q31" s="51">
        <v>9.68</v>
      </c>
      <c r="R31" s="43"/>
      <c r="S31" s="43"/>
      <c r="T31" s="43"/>
      <c r="U31" s="43"/>
    </row>
    <row r="32" spans="1:21" s="11" customFormat="1" x14ac:dyDescent="0.25">
      <c r="A32" s="50" t="s">
        <v>419</v>
      </c>
      <c r="B32" s="51">
        <v>16.940000000000001</v>
      </c>
      <c r="C32" s="51">
        <v>8.01</v>
      </c>
      <c r="D32" s="51">
        <v>16.32</v>
      </c>
      <c r="E32" s="51">
        <v>4.67</v>
      </c>
      <c r="F32" s="51">
        <v>7.4</v>
      </c>
      <c r="G32" s="51">
        <v>30.09</v>
      </c>
      <c r="H32" s="51">
        <v>11.23</v>
      </c>
      <c r="I32" s="51">
        <v>2.3199999999999998</v>
      </c>
      <c r="J32" s="51">
        <v>0.84</v>
      </c>
      <c r="K32" s="51">
        <v>170.21</v>
      </c>
      <c r="L32" s="51">
        <v>23.52</v>
      </c>
      <c r="M32" s="51">
        <v>97.98</v>
      </c>
      <c r="N32" s="51">
        <v>28.7</v>
      </c>
      <c r="O32" s="51">
        <v>0</v>
      </c>
      <c r="P32" s="51">
        <v>0.46</v>
      </c>
      <c r="Q32" s="51">
        <v>9.67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4.54</v>
      </c>
      <c r="C34" s="28">
        <f t="shared" si="0"/>
        <v>5.79</v>
      </c>
      <c r="D34" s="28">
        <f t="shared" si="0"/>
        <v>6.47</v>
      </c>
      <c r="E34" s="28">
        <f t="shared" si="0"/>
        <v>4.03</v>
      </c>
      <c r="F34" s="28">
        <f t="shared" si="0"/>
        <v>3.66</v>
      </c>
      <c r="G34" s="28">
        <f t="shared" si="0"/>
        <v>8.94</v>
      </c>
      <c r="H34" s="28">
        <f t="shared" si="0"/>
        <v>6.28</v>
      </c>
      <c r="I34" s="28">
        <f t="shared" si="0"/>
        <v>0.9</v>
      </c>
      <c r="J34" s="28">
        <f t="shared" si="0"/>
        <v>7.0000000000000007E-2</v>
      </c>
      <c r="K34" s="28">
        <f t="shared" si="0"/>
        <v>143.44999999999999</v>
      </c>
      <c r="L34" s="28">
        <f t="shared" si="0"/>
        <v>23.28</v>
      </c>
      <c r="M34" s="28">
        <f t="shared" si="0"/>
        <v>97.96</v>
      </c>
      <c r="N34" s="28">
        <f t="shared" si="0"/>
        <v>28</v>
      </c>
      <c r="O34" s="28">
        <f t="shared" si="0"/>
        <v>0</v>
      </c>
      <c r="P34" s="28">
        <f t="shared" si="0"/>
        <v>0.23</v>
      </c>
      <c r="Q34" s="28">
        <f t="shared" si="0"/>
        <v>9.23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44.78</v>
      </c>
      <c r="C35" s="29">
        <f t="shared" si="1"/>
        <v>21.53</v>
      </c>
      <c r="D35" s="29">
        <f t="shared" si="1"/>
        <v>45.14</v>
      </c>
      <c r="E35" s="29">
        <f t="shared" si="1"/>
        <v>5.64</v>
      </c>
      <c r="F35" s="29">
        <f t="shared" si="1"/>
        <v>11.31</v>
      </c>
      <c r="G35" s="29">
        <f t="shared" si="1"/>
        <v>57.89</v>
      </c>
      <c r="H35" s="29">
        <f t="shared" si="1"/>
        <v>26.86</v>
      </c>
      <c r="I35" s="29">
        <f t="shared" si="1"/>
        <v>2.72</v>
      </c>
      <c r="J35" s="29">
        <f t="shared" si="1"/>
        <v>1.49</v>
      </c>
      <c r="K35" s="29">
        <f t="shared" si="1"/>
        <v>343.86</v>
      </c>
      <c r="L35" s="29">
        <f t="shared" si="1"/>
        <v>27.07</v>
      </c>
      <c r="M35" s="29">
        <f t="shared" si="1"/>
        <v>98.3</v>
      </c>
      <c r="N35" s="29">
        <f t="shared" si="1"/>
        <v>199.6</v>
      </c>
      <c r="O35" s="29">
        <f t="shared" si="1"/>
        <v>0</v>
      </c>
      <c r="P35" s="29">
        <f t="shared" si="1"/>
        <v>1.24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16.912916666666664</v>
      </c>
      <c r="C36" s="28">
        <f t="shared" si="2"/>
        <v>11.277083333333332</v>
      </c>
      <c r="D36" s="28">
        <f t="shared" si="2"/>
        <v>18.647916666666671</v>
      </c>
      <c r="E36" s="28">
        <f t="shared" si="2"/>
        <v>4.5870833333333341</v>
      </c>
      <c r="F36" s="28">
        <f t="shared" si="2"/>
        <v>7.3129166666666654</v>
      </c>
      <c r="G36" s="28">
        <f t="shared" si="2"/>
        <v>29.662083333333328</v>
      </c>
      <c r="H36" s="28">
        <f t="shared" si="2"/>
        <v>8.9712499999999995</v>
      </c>
      <c r="I36" s="28">
        <f t="shared" si="2"/>
        <v>1.6454166666666667</v>
      </c>
      <c r="J36" s="28">
        <f t="shared" si="2"/>
        <v>0.43083333333333335</v>
      </c>
      <c r="K36" s="28">
        <f t="shared" si="2"/>
        <v>266.49874999999992</v>
      </c>
      <c r="L36" s="28">
        <f t="shared" si="2"/>
        <v>25.015000000000004</v>
      </c>
      <c r="M36" s="28">
        <f t="shared" si="2"/>
        <v>98.117916666666659</v>
      </c>
      <c r="N36" s="28">
        <f t="shared" si="2"/>
        <v>74.512500000000017</v>
      </c>
      <c r="O36" s="28">
        <f t="shared" si="2"/>
        <v>0</v>
      </c>
      <c r="P36" s="28">
        <f t="shared" si="2"/>
        <v>0.59666666666666679</v>
      </c>
      <c r="Q36" s="28">
        <f t="shared" si="2"/>
        <v>9.4379166666666645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12.422738786164484</v>
      </c>
      <c r="C37" s="28">
        <f t="shared" ref="C37:Q37" si="3">STDEV(C9:C32)</f>
        <v>4.514894653464693</v>
      </c>
      <c r="D37" s="28">
        <f t="shared" si="3"/>
        <v>11.548444269088009</v>
      </c>
      <c r="E37" s="28">
        <f t="shared" si="3"/>
        <v>0.36548335079746785</v>
      </c>
      <c r="F37" s="28">
        <f t="shared" si="3"/>
        <v>1.8513766421272835</v>
      </c>
      <c r="G37" s="28">
        <f t="shared" si="3"/>
        <v>14.277115461667929</v>
      </c>
      <c r="H37" s="28">
        <f t="shared" si="3"/>
        <v>4.9887528392679847</v>
      </c>
      <c r="I37" s="28">
        <f t="shared" si="3"/>
        <v>0.73761648551950421</v>
      </c>
      <c r="J37" s="28">
        <f t="shared" si="3"/>
        <v>0.40009690855077101</v>
      </c>
      <c r="K37" s="28">
        <f t="shared" si="3"/>
        <v>69.549317335598928</v>
      </c>
      <c r="L37" s="28">
        <f t="shared" si="3"/>
        <v>1.1593476426515645</v>
      </c>
      <c r="M37" s="28">
        <f t="shared" si="3"/>
        <v>9.3016088681599593E-2</v>
      </c>
      <c r="N37" s="28">
        <f t="shared" si="3"/>
        <v>61.118170019411878</v>
      </c>
      <c r="O37" s="28">
        <f t="shared" si="3"/>
        <v>0</v>
      </c>
      <c r="P37" s="28">
        <f t="shared" si="3"/>
        <v>0.3449973744911648</v>
      </c>
      <c r="Q37" s="28">
        <f t="shared" si="3"/>
        <v>0.18812528588258876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2" sqref="H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420</v>
      </c>
      <c r="B9" s="51">
        <v>14.8</v>
      </c>
      <c r="C9" s="51">
        <v>4.3899999999999997</v>
      </c>
      <c r="D9" s="51">
        <v>14.1</v>
      </c>
      <c r="E9" s="51">
        <v>5.18</v>
      </c>
      <c r="F9" s="51">
        <v>8.49</v>
      </c>
      <c r="G9" s="51">
        <v>20.57</v>
      </c>
      <c r="H9" s="51">
        <v>6.77</v>
      </c>
      <c r="I9" s="51">
        <v>2.14</v>
      </c>
      <c r="J9" s="51">
        <v>0.75</v>
      </c>
      <c r="K9" s="51">
        <v>243.78</v>
      </c>
      <c r="L9" s="51">
        <v>23.33</v>
      </c>
      <c r="M9" s="51">
        <v>97.96</v>
      </c>
      <c r="N9" s="51">
        <v>28.4</v>
      </c>
      <c r="O9" s="51">
        <v>0</v>
      </c>
      <c r="P9" s="51">
        <v>0.41</v>
      </c>
      <c r="Q9" s="51">
        <v>9.67</v>
      </c>
      <c r="R9" s="43"/>
      <c r="S9" s="43"/>
      <c r="T9" s="43"/>
      <c r="U9" s="43"/>
    </row>
    <row r="10" spans="1:21" s="11" customFormat="1" x14ac:dyDescent="0.25">
      <c r="A10" s="50" t="s">
        <v>421</v>
      </c>
      <c r="B10" s="51">
        <v>17.149999999999999</v>
      </c>
      <c r="C10" s="51">
        <v>3.88</v>
      </c>
      <c r="D10" s="51">
        <v>15.37</v>
      </c>
      <c r="E10" s="51">
        <v>5.05</v>
      </c>
      <c r="F10" s="51">
        <v>4.5</v>
      </c>
      <c r="G10" s="51">
        <v>18.62</v>
      </c>
      <c r="H10" s="51">
        <v>6.77</v>
      </c>
      <c r="I10" s="51">
        <v>1.97</v>
      </c>
      <c r="J10" s="51">
        <v>0.08</v>
      </c>
      <c r="K10" s="51">
        <v>198.86</v>
      </c>
      <c r="L10" s="51">
        <v>23.08</v>
      </c>
      <c r="M10" s="51">
        <v>98.02</v>
      </c>
      <c r="N10" s="51">
        <v>28</v>
      </c>
      <c r="O10" s="51">
        <v>0</v>
      </c>
      <c r="P10" s="51">
        <v>0.55000000000000004</v>
      </c>
      <c r="Q10" s="51">
        <v>9.67</v>
      </c>
      <c r="R10" s="43"/>
      <c r="S10" s="43"/>
      <c r="T10" s="43"/>
      <c r="U10" s="43"/>
    </row>
    <row r="11" spans="1:21" s="11" customFormat="1" x14ac:dyDescent="0.25">
      <c r="A11" s="50" t="s">
        <v>422</v>
      </c>
      <c r="B11" s="51">
        <v>15.76</v>
      </c>
      <c r="C11" s="51">
        <v>4.42</v>
      </c>
      <c r="D11" s="51">
        <v>14.37</v>
      </c>
      <c r="E11" s="51">
        <v>4.99</v>
      </c>
      <c r="F11" s="51">
        <v>4.29</v>
      </c>
      <c r="G11" s="51">
        <v>14.71</v>
      </c>
      <c r="H11" s="51">
        <v>6.77</v>
      </c>
      <c r="I11" s="51">
        <v>1.79</v>
      </c>
      <c r="J11" s="51">
        <v>0.2</v>
      </c>
      <c r="K11" s="51">
        <v>190</v>
      </c>
      <c r="L11" s="51">
        <v>22.91</v>
      </c>
      <c r="M11" s="51">
        <v>98.25</v>
      </c>
      <c r="N11" s="51">
        <v>28.1</v>
      </c>
      <c r="O11" s="51">
        <v>0</v>
      </c>
      <c r="P11" s="51">
        <v>0.51</v>
      </c>
      <c r="Q11" s="51">
        <v>9.64</v>
      </c>
      <c r="R11" s="43"/>
      <c r="S11" s="43"/>
      <c r="T11" s="43"/>
      <c r="U11" s="43"/>
    </row>
    <row r="12" spans="1:21" s="11" customFormat="1" x14ac:dyDescent="0.25">
      <c r="A12" s="50" t="s">
        <v>423</v>
      </c>
      <c r="B12" s="51">
        <v>11.45</v>
      </c>
      <c r="C12" s="51">
        <v>6.06</v>
      </c>
      <c r="D12" s="51">
        <v>11.77</v>
      </c>
      <c r="E12" s="51">
        <v>4.97</v>
      </c>
      <c r="F12" s="51">
        <v>7</v>
      </c>
      <c r="G12" s="51">
        <v>15.6</v>
      </c>
      <c r="H12" s="51">
        <v>13.27</v>
      </c>
      <c r="I12" s="51">
        <v>1.66</v>
      </c>
      <c r="J12" s="51">
        <v>0.25</v>
      </c>
      <c r="K12" s="51">
        <v>167.14</v>
      </c>
      <c r="L12" s="51">
        <v>22.91</v>
      </c>
      <c r="M12" s="51">
        <v>98.26</v>
      </c>
      <c r="N12" s="51">
        <v>28</v>
      </c>
      <c r="O12" s="51">
        <v>0</v>
      </c>
      <c r="P12" s="51">
        <v>0.3</v>
      </c>
      <c r="Q12" s="51">
        <v>9.59</v>
      </c>
      <c r="R12" s="43"/>
      <c r="S12" s="43"/>
      <c r="T12" s="43"/>
      <c r="U12" s="43"/>
    </row>
    <row r="13" spans="1:21" s="11" customFormat="1" x14ac:dyDescent="0.25">
      <c r="A13" s="50" t="s">
        <v>424</v>
      </c>
      <c r="B13" s="51">
        <v>13.47</v>
      </c>
      <c r="C13" s="51">
        <v>9.49</v>
      </c>
      <c r="D13" s="51">
        <v>15.76</v>
      </c>
      <c r="E13" s="51">
        <v>4.9800000000000004</v>
      </c>
      <c r="F13" s="51">
        <v>7.2</v>
      </c>
      <c r="G13" s="51">
        <v>13.06</v>
      </c>
      <c r="H13" s="51">
        <v>7.53</v>
      </c>
      <c r="I13" s="51">
        <v>1.5</v>
      </c>
      <c r="J13" s="51">
        <v>0.23</v>
      </c>
      <c r="K13" s="51">
        <v>144.47999999999999</v>
      </c>
      <c r="L13" s="51">
        <v>22.91</v>
      </c>
      <c r="M13" s="51">
        <v>98.28</v>
      </c>
      <c r="N13" s="51">
        <v>28</v>
      </c>
      <c r="O13" s="51">
        <v>0</v>
      </c>
      <c r="P13" s="51">
        <v>0.28999999999999998</v>
      </c>
      <c r="Q13" s="51">
        <v>9.59</v>
      </c>
      <c r="R13" s="43"/>
      <c r="S13" s="43"/>
      <c r="T13" s="43"/>
      <c r="U13" s="43"/>
    </row>
    <row r="14" spans="1:21" s="11" customFormat="1" x14ac:dyDescent="0.25">
      <c r="A14" s="50" t="s">
        <v>425</v>
      </c>
      <c r="B14" s="51">
        <v>21.78</v>
      </c>
      <c r="C14" s="51">
        <v>7.71</v>
      </c>
      <c r="D14" s="51">
        <v>21.11</v>
      </c>
      <c r="E14" s="51">
        <v>4.93</v>
      </c>
      <c r="F14" s="51">
        <v>4.9000000000000004</v>
      </c>
      <c r="G14" s="51">
        <v>14.14</v>
      </c>
      <c r="H14" s="51">
        <v>7.53</v>
      </c>
      <c r="I14" s="51">
        <v>1.4</v>
      </c>
      <c r="J14" s="51">
        <v>0.26</v>
      </c>
      <c r="K14" s="51">
        <v>223.01</v>
      </c>
      <c r="L14" s="51">
        <v>23.03</v>
      </c>
      <c r="M14" s="51">
        <v>98.35</v>
      </c>
      <c r="N14" s="51">
        <v>32.5</v>
      </c>
      <c r="O14" s="51">
        <v>0</v>
      </c>
      <c r="P14" s="51">
        <v>0.38</v>
      </c>
      <c r="Q14" s="51">
        <v>9.56</v>
      </c>
      <c r="R14" s="43"/>
      <c r="S14" s="43"/>
      <c r="T14" s="43"/>
      <c r="U14" s="43"/>
    </row>
    <row r="15" spans="1:21" s="11" customFormat="1" x14ac:dyDescent="0.25">
      <c r="A15" s="50" t="s">
        <v>426</v>
      </c>
      <c r="B15" s="51">
        <v>14.28</v>
      </c>
      <c r="C15" s="51">
        <v>7.74</v>
      </c>
      <c r="D15" s="51">
        <v>14.02</v>
      </c>
      <c r="E15" s="51">
        <v>4.83</v>
      </c>
      <c r="F15" s="51">
        <v>5.88</v>
      </c>
      <c r="G15" s="51">
        <v>17.95</v>
      </c>
      <c r="H15" s="51">
        <v>7.53</v>
      </c>
      <c r="I15" s="51">
        <v>1.3</v>
      </c>
      <c r="J15" s="51">
        <v>0.47</v>
      </c>
      <c r="K15" s="51">
        <v>214.02</v>
      </c>
      <c r="L15" s="51">
        <v>23.45</v>
      </c>
      <c r="M15" s="51">
        <v>98.5</v>
      </c>
      <c r="N15" s="51">
        <v>68.900000000000006</v>
      </c>
      <c r="O15" s="51">
        <v>0</v>
      </c>
      <c r="P15" s="51">
        <v>0.34</v>
      </c>
      <c r="Q15" s="51">
        <v>9.5299999999999994</v>
      </c>
      <c r="R15" s="43"/>
      <c r="S15" s="43"/>
      <c r="T15" s="43"/>
      <c r="U15" s="43"/>
    </row>
    <row r="16" spans="1:21" s="11" customFormat="1" x14ac:dyDescent="0.25">
      <c r="A16" s="50" t="s">
        <v>427</v>
      </c>
      <c r="B16" s="51">
        <v>14.3</v>
      </c>
      <c r="C16" s="51">
        <v>6.75</v>
      </c>
      <c r="D16" s="51">
        <v>14.67</v>
      </c>
      <c r="E16" s="51">
        <v>4.9800000000000004</v>
      </c>
      <c r="F16" s="51">
        <v>7.87</v>
      </c>
      <c r="G16" s="51">
        <v>16.260000000000002</v>
      </c>
      <c r="H16" s="51">
        <v>10.67</v>
      </c>
      <c r="I16" s="51">
        <v>1.24</v>
      </c>
      <c r="J16" s="51">
        <v>0.71</v>
      </c>
      <c r="K16" s="51">
        <v>169.89</v>
      </c>
      <c r="L16" s="51">
        <v>23.94</v>
      </c>
      <c r="M16" s="51">
        <v>98.5</v>
      </c>
      <c r="N16" s="51">
        <v>116.9</v>
      </c>
      <c r="O16" s="51">
        <v>0</v>
      </c>
      <c r="P16" s="51">
        <v>0.32</v>
      </c>
      <c r="Q16" s="51">
        <v>9.51</v>
      </c>
      <c r="R16" s="43"/>
      <c r="S16" s="43"/>
      <c r="T16" s="43"/>
      <c r="U16" s="43"/>
    </row>
    <row r="17" spans="1:21" s="11" customFormat="1" x14ac:dyDescent="0.25">
      <c r="A17" s="50" t="s">
        <v>428</v>
      </c>
      <c r="B17" s="51">
        <v>13.95</v>
      </c>
      <c r="C17" s="51">
        <v>6.48</v>
      </c>
      <c r="D17" s="51">
        <v>14.46</v>
      </c>
      <c r="E17" s="51">
        <v>4.5199999999999996</v>
      </c>
      <c r="F17" s="51">
        <v>7.36</v>
      </c>
      <c r="G17" s="51">
        <v>17.25</v>
      </c>
      <c r="H17" s="51">
        <v>7.42</v>
      </c>
      <c r="I17" s="51">
        <v>1.19</v>
      </c>
      <c r="J17" s="51">
        <v>1.01</v>
      </c>
      <c r="K17" s="51">
        <v>142.72999999999999</v>
      </c>
      <c r="L17" s="51">
        <v>25.26</v>
      </c>
      <c r="M17" s="51">
        <v>98.47</v>
      </c>
      <c r="N17" s="51">
        <v>243</v>
      </c>
      <c r="O17" s="51">
        <v>0</v>
      </c>
      <c r="P17" s="51">
        <v>0.36</v>
      </c>
      <c r="Q17" s="51">
        <v>9.5299999999999994</v>
      </c>
      <c r="R17" s="43"/>
      <c r="S17" s="43"/>
      <c r="T17" s="43"/>
      <c r="U17" s="43"/>
    </row>
    <row r="18" spans="1:21" s="11" customFormat="1" x14ac:dyDescent="0.25">
      <c r="A18" s="50" t="s">
        <v>429</v>
      </c>
      <c r="B18" s="51">
        <v>12.64</v>
      </c>
      <c r="C18" s="51">
        <v>8.64</v>
      </c>
      <c r="D18" s="51">
        <v>13.8</v>
      </c>
      <c r="E18" s="51">
        <v>4.67</v>
      </c>
      <c r="F18" s="51">
        <v>7.15</v>
      </c>
      <c r="G18" s="51">
        <v>20.21</v>
      </c>
      <c r="H18" s="51">
        <v>7.42</v>
      </c>
      <c r="I18" s="51">
        <v>1.1499999999999999</v>
      </c>
      <c r="J18" s="51">
        <v>0.23</v>
      </c>
      <c r="K18" s="51">
        <v>353.36</v>
      </c>
      <c r="L18" s="51">
        <v>26.51</v>
      </c>
      <c r="M18" s="51">
        <v>98.41</v>
      </c>
      <c r="N18" s="51">
        <v>239.3</v>
      </c>
      <c r="O18" s="51">
        <v>0</v>
      </c>
      <c r="P18" s="51">
        <v>0.34</v>
      </c>
      <c r="Q18" s="51">
        <v>9.49</v>
      </c>
      <c r="R18" s="43"/>
      <c r="S18" s="43"/>
      <c r="T18" s="43"/>
      <c r="U18" s="43"/>
    </row>
    <row r="19" spans="1:21" s="11" customFormat="1" x14ac:dyDescent="0.25">
      <c r="A19" s="50" t="s">
        <v>430</v>
      </c>
      <c r="B19" s="51">
        <v>19.559999999999999</v>
      </c>
      <c r="C19" s="51">
        <v>11.05</v>
      </c>
      <c r="D19" s="51">
        <v>20.88</v>
      </c>
      <c r="E19" s="51">
        <v>4.59</v>
      </c>
      <c r="F19" s="51">
        <v>10.5</v>
      </c>
      <c r="G19" s="51">
        <v>26.85</v>
      </c>
      <c r="H19" s="51">
        <v>7.42</v>
      </c>
      <c r="I19" s="51">
        <v>1.1399999999999999</v>
      </c>
      <c r="J19" s="51">
        <v>0.57999999999999996</v>
      </c>
      <c r="K19" s="51">
        <v>343.74</v>
      </c>
      <c r="L19" s="51">
        <v>28.28</v>
      </c>
      <c r="M19" s="51">
        <v>98.37</v>
      </c>
      <c r="N19" s="51">
        <v>712.1</v>
      </c>
      <c r="O19" s="51">
        <v>0</v>
      </c>
      <c r="P19" s="51">
        <v>0.54</v>
      </c>
      <c r="Q19" s="51">
        <v>9.4700000000000006</v>
      </c>
      <c r="R19" s="43"/>
      <c r="S19" s="43"/>
      <c r="T19" s="43"/>
      <c r="U19" s="43"/>
    </row>
    <row r="20" spans="1:21" s="11" customFormat="1" x14ac:dyDescent="0.25">
      <c r="A20" s="50" t="s">
        <v>431</v>
      </c>
      <c r="B20" s="51">
        <v>13.37</v>
      </c>
      <c r="C20" s="51">
        <v>9.4</v>
      </c>
      <c r="D20" s="51">
        <v>15.19</v>
      </c>
      <c r="E20" s="51">
        <v>4.58</v>
      </c>
      <c r="F20" s="51">
        <v>11.02</v>
      </c>
      <c r="G20" s="51">
        <v>33.26</v>
      </c>
      <c r="H20" s="51">
        <v>11.42</v>
      </c>
      <c r="I20" s="51">
        <v>1.1499999999999999</v>
      </c>
      <c r="J20" s="51">
        <v>0.99</v>
      </c>
      <c r="K20" s="51">
        <v>337.98</v>
      </c>
      <c r="L20" s="51">
        <v>30.17</v>
      </c>
      <c r="M20" s="51">
        <v>98.53</v>
      </c>
      <c r="N20" s="51">
        <v>466.9</v>
      </c>
      <c r="O20" s="51">
        <v>0.2</v>
      </c>
      <c r="P20" s="51">
        <v>0.42</v>
      </c>
      <c r="Q20" s="51">
        <v>9.5</v>
      </c>
      <c r="R20" s="43"/>
      <c r="S20" s="43"/>
      <c r="T20" s="43"/>
      <c r="U20" s="43"/>
    </row>
    <row r="21" spans="1:21" s="11" customFormat="1" x14ac:dyDescent="0.25">
      <c r="A21" s="50" t="s">
        <v>432</v>
      </c>
      <c r="B21" s="51">
        <v>15</v>
      </c>
      <c r="C21" s="51">
        <v>15.17</v>
      </c>
      <c r="D21" s="51">
        <v>19.37</v>
      </c>
      <c r="E21" s="51">
        <v>4.46</v>
      </c>
      <c r="F21" s="51">
        <v>9.99</v>
      </c>
      <c r="G21" s="51">
        <v>35.369999999999997</v>
      </c>
      <c r="H21" s="51">
        <v>8.0299999999999994</v>
      </c>
      <c r="I21" s="51">
        <v>1.27</v>
      </c>
      <c r="J21" s="51">
        <v>0.7</v>
      </c>
      <c r="K21" s="51">
        <v>344.45</v>
      </c>
      <c r="L21" s="51">
        <v>25.19</v>
      </c>
      <c r="M21" s="51">
        <v>98.63</v>
      </c>
      <c r="N21" s="51">
        <v>82.4</v>
      </c>
      <c r="O21" s="51">
        <v>0</v>
      </c>
      <c r="P21" s="51">
        <v>0.55000000000000004</v>
      </c>
      <c r="Q21" s="51">
        <v>9.4700000000000006</v>
      </c>
      <c r="R21" s="43"/>
      <c r="S21" s="43"/>
      <c r="T21" s="43"/>
      <c r="U21" s="43"/>
    </row>
    <row r="22" spans="1:21" s="11" customFormat="1" x14ac:dyDescent="0.25">
      <c r="A22" s="50" t="s">
        <v>433</v>
      </c>
      <c r="B22" s="51">
        <v>11.77</v>
      </c>
      <c r="C22" s="51">
        <v>12.44</v>
      </c>
      <c r="D22" s="51">
        <v>14.84</v>
      </c>
      <c r="E22" s="51">
        <v>4.5599999999999996</v>
      </c>
      <c r="F22" s="51">
        <v>8.4700000000000006</v>
      </c>
      <c r="G22" s="51">
        <v>31.37</v>
      </c>
      <c r="H22" s="51">
        <v>20.76</v>
      </c>
      <c r="I22" s="51">
        <v>1.29</v>
      </c>
      <c r="J22" s="51">
        <v>0.98</v>
      </c>
      <c r="K22" s="51">
        <v>150.01</v>
      </c>
      <c r="L22" s="51">
        <v>23</v>
      </c>
      <c r="M22" s="51">
        <v>98.61</v>
      </c>
      <c r="N22" s="51">
        <v>49.6</v>
      </c>
      <c r="O22" s="51">
        <v>0</v>
      </c>
      <c r="P22" s="51">
        <v>0.44</v>
      </c>
      <c r="Q22" s="51">
        <v>9.4499999999999993</v>
      </c>
      <c r="R22" s="43"/>
      <c r="S22" s="43"/>
      <c r="T22" s="43"/>
      <c r="U22" s="43"/>
    </row>
    <row r="23" spans="1:21" s="11" customFormat="1" x14ac:dyDescent="0.25">
      <c r="A23" s="50" t="s">
        <v>434</v>
      </c>
      <c r="B23" s="51">
        <v>11.14</v>
      </c>
      <c r="C23" s="51">
        <v>10.47</v>
      </c>
      <c r="D23" s="51">
        <v>13.44</v>
      </c>
      <c r="E23" s="51">
        <v>4.6100000000000003</v>
      </c>
      <c r="F23" s="51">
        <v>6.8</v>
      </c>
      <c r="G23" s="51">
        <v>29.3</v>
      </c>
      <c r="H23" s="51">
        <v>24.08</v>
      </c>
      <c r="I23" s="51">
        <v>1.29</v>
      </c>
      <c r="J23" s="51">
        <v>0.56000000000000005</v>
      </c>
      <c r="K23" s="51">
        <v>161.30000000000001</v>
      </c>
      <c r="L23" s="51">
        <v>22.54</v>
      </c>
      <c r="M23" s="51">
        <v>98.59</v>
      </c>
      <c r="N23" s="51">
        <v>44.3</v>
      </c>
      <c r="O23" s="51">
        <v>0</v>
      </c>
      <c r="P23" s="51">
        <v>0.42</v>
      </c>
      <c r="Q23" s="51">
        <v>9.42</v>
      </c>
      <c r="R23" s="43"/>
      <c r="S23" s="43"/>
      <c r="T23" s="43"/>
      <c r="U23" s="43"/>
    </row>
    <row r="24" spans="1:21" s="11" customFormat="1" x14ac:dyDescent="0.25">
      <c r="A24" s="50" t="s">
        <v>435</v>
      </c>
      <c r="B24" s="51">
        <v>11.95</v>
      </c>
      <c r="C24" s="51">
        <v>12.87</v>
      </c>
      <c r="D24" s="51">
        <v>15.72</v>
      </c>
      <c r="E24" s="51">
        <v>4.28</v>
      </c>
      <c r="F24" s="51">
        <v>6.76</v>
      </c>
      <c r="G24" s="51">
        <v>22.09</v>
      </c>
      <c r="H24" s="51">
        <v>15.31</v>
      </c>
      <c r="I24" s="51">
        <v>1.36</v>
      </c>
      <c r="J24" s="51">
        <v>0.48</v>
      </c>
      <c r="K24" s="51">
        <v>180.94</v>
      </c>
      <c r="L24" s="51">
        <v>22.45</v>
      </c>
      <c r="M24" s="51">
        <v>98.59</v>
      </c>
      <c r="N24" s="51">
        <v>49</v>
      </c>
      <c r="O24" s="51">
        <v>0</v>
      </c>
      <c r="P24" s="51">
        <v>0.4</v>
      </c>
      <c r="Q24" s="51">
        <v>9.43</v>
      </c>
      <c r="R24" s="43"/>
      <c r="S24" s="43"/>
      <c r="T24" s="43"/>
      <c r="U24" s="43"/>
    </row>
    <row r="25" spans="1:21" s="11" customFormat="1" x14ac:dyDescent="0.25">
      <c r="A25" s="50" t="s">
        <v>436</v>
      </c>
      <c r="B25" s="51">
        <v>11.75</v>
      </c>
      <c r="C25" s="51">
        <v>13.28</v>
      </c>
      <c r="D25" s="51">
        <v>15.84</v>
      </c>
      <c r="E25" s="51">
        <v>4.57</v>
      </c>
      <c r="F25" s="51">
        <v>6.09</v>
      </c>
      <c r="G25" s="51">
        <v>17.87</v>
      </c>
      <c r="H25" s="51">
        <v>10.07</v>
      </c>
      <c r="I25" s="51">
        <v>1.37</v>
      </c>
      <c r="J25" s="51">
        <v>0.75</v>
      </c>
      <c r="K25" s="51">
        <v>183.21</v>
      </c>
      <c r="L25" s="51">
        <v>22.66</v>
      </c>
      <c r="M25" s="51">
        <v>98.58</v>
      </c>
      <c r="N25" s="51">
        <v>48.3</v>
      </c>
      <c r="O25" s="51">
        <v>0</v>
      </c>
      <c r="P25" s="51">
        <v>0.38</v>
      </c>
      <c r="Q25" s="51">
        <v>9.4499999999999993</v>
      </c>
      <c r="R25" s="43"/>
      <c r="S25" s="43"/>
      <c r="T25" s="43"/>
      <c r="U25" s="43"/>
    </row>
    <row r="26" spans="1:21" s="11" customFormat="1" x14ac:dyDescent="0.25">
      <c r="A26" s="50" t="s">
        <v>437</v>
      </c>
      <c r="B26" s="51">
        <v>12.6</v>
      </c>
      <c r="C26" s="51">
        <v>8.09</v>
      </c>
      <c r="D26" s="51">
        <v>13.19</v>
      </c>
      <c r="E26" s="51">
        <v>4.46</v>
      </c>
      <c r="F26" s="51">
        <v>8.02</v>
      </c>
      <c r="G26" s="51">
        <v>13.4</v>
      </c>
      <c r="H26" s="51">
        <v>10.07</v>
      </c>
      <c r="I26" s="51">
        <v>1.45</v>
      </c>
      <c r="J26" s="51">
        <v>0.55000000000000004</v>
      </c>
      <c r="K26" s="51">
        <v>169.8</v>
      </c>
      <c r="L26" s="51">
        <v>22.87</v>
      </c>
      <c r="M26" s="51">
        <v>98.58</v>
      </c>
      <c r="N26" s="51">
        <v>39.6</v>
      </c>
      <c r="O26" s="51">
        <v>0</v>
      </c>
      <c r="P26" s="51">
        <v>0.39</v>
      </c>
      <c r="Q26" s="51">
        <v>9.43</v>
      </c>
      <c r="R26" s="43"/>
      <c r="S26" s="43"/>
      <c r="T26" s="43"/>
      <c r="U26" s="43"/>
    </row>
    <row r="27" spans="1:21" s="11" customFormat="1" x14ac:dyDescent="0.25">
      <c r="A27" s="50" t="s">
        <v>438</v>
      </c>
      <c r="B27" s="51">
        <v>11.81</v>
      </c>
      <c r="C27" s="51">
        <v>7.53</v>
      </c>
      <c r="D27" s="51">
        <v>12.54</v>
      </c>
      <c r="E27" s="51">
        <v>4.3899999999999997</v>
      </c>
      <c r="F27" s="51">
        <v>7.53</v>
      </c>
      <c r="G27" s="51">
        <v>13.66</v>
      </c>
      <c r="H27" s="51">
        <v>10.07</v>
      </c>
      <c r="I27" s="51">
        <v>1.3</v>
      </c>
      <c r="J27" s="51">
        <v>0.54</v>
      </c>
      <c r="K27" s="51">
        <v>167.63</v>
      </c>
      <c r="L27" s="51">
        <v>22.92</v>
      </c>
      <c r="M27" s="51">
        <v>98.58</v>
      </c>
      <c r="N27" s="51">
        <v>28.5</v>
      </c>
      <c r="O27" s="51">
        <v>0</v>
      </c>
      <c r="P27" s="51">
        <v>0.39</v>
      </c>
      <c r="Q27" s="51">
        <v>9.42</v>
      </c>
      <c r="R27" s="43"/>
      <c r="S27" s="43"/>
      <c r="T27" s="43"/>
      <c r="U27" s="43"/>
    </row>
    <row r="28" spans="1:21" s="11" customFormat="1" x14ac:dyDescent="0.25">
      <c r="A28" s="50" t="s">
        <v>439</v>
      </c>
      <c r="B28" s="51">
        <v>28.7</v>
      </c>
      <c r="C28" s="51">
        <v>9.25</v>
      </c>
      <c r="D28" s="51">
        <v>27.65</v>
      </c>
      <c r="E28" s="51">
        <v>4.2</v>
      </c>
      <c r="F28" s="51">
        <v>8.56</v>
      </c>
      <c r="G28" s="51">
        <v>13.27</v>
      </c>
      <c r="H28" s="51">
        <v>10.07</v>
      </c>
      <c r="I28" s="51">
        <v>1.33</v>
      </c>
      <c r="J28" s="51">
        <v>0.57999999999999996</v>
      </c>
      <c r="K28" s="51">
        <v>330.01</v>
      </c>
      <c r="L28" s="51">
        <v>23.08</v>
      </c>
      <c r="M28" s="51">
        <v>98.58</v>
      </c>
      <c r="N28" s="51">
        <v>28.2</v>
      </c>
      <c r="O28" s="51">
        <v>0</v>
      </c>
      <c r="P28" s="51">
        <v>1.07</v>
      </c>
      <c r="Q28" s="51">
        <v>9.42</v>
      </c>
      <c r="R28" s="43"/>
      <c r="S28" s="43"/>
      <c r="T28" s="43"/>
      <c r="U28" s="43"/>
    </row>
    <row r="29" spans="1:21" s="11" customFormat="1" x14ac:dyDescent="0.25">
      <c r="A29" s="50" t="s">
        <v>440</v>
      </c>
      <c r="B29" s="51">
        <v>15.04</v>
      </c>
      <c r="C29" s="51">
        <v>10.33</v>
      </c>
      <c r="D29" s="51">
        <v>16.91</v>
      </c>
      <c r="E29" s="51">
        <v>4.47</v>
      </c>
      <c r="F29" s="51">
        <v>7.77</v>
      </c>
      <c r="G29" s="51">
        <v>12.74</v>
      </c>
      <c r="H29" s="51">
        <v>10.45</v>
      </c>
      <c r="I29" s="51">
        <v>1.42</v>
      </c>
      <c r="J29" s="51">
        <v>0.08</v>
      </c>
      <c r="K29" s="51">
        <v>237.01</v>
      </c>
      <c r="L29" s="51">
        <v>23.02</v>
      </c>
      <c r="M29" s="51">
        <v>98.57</v>
      </c>
      <c r="N29" s="51">
        <v>28</v>
      </c>
      <c r="O29" s="51">
        <v>0</v>
      </c>
      <c r="P29" s="51">
        <v>0.74</v>
      </c>
      <c r="Q29" s="51">
        <v>9.49</v>
      </c>
      <c r="R29" s="43"/>
      <c r="S29" s="43"/>
      <c r="T29" s="43"/>
      <c r="U29" s="43"/>
    </row>
    <row r="30" spans="1:21" s="11" customFormat="1" x14ac:dyDescent="0.25">
      <c r="A30" s="50" t="s">
        <v>441</v>
      </c>
      <c r="B30" s="51">
        <v>14.3</v>
      </c>
      <c r="C30" s="51">
        <v>8.6300000000000008</v>
      </c>
      <c r="D30" s="51">
        <v>15.11</v>
      </c>
      <c r="E30" s="51">
        <v>4.51</v>
      </c>
      <c r="F30" s="51">
        <v>7.38</v>
      </c>
      <c r="G30" s="51">
        <v>15.57</v>
      </c>
      <c r="H30" s="51">
        <v>16.23</v>
      </c>
      <c r="I30" s="51">
        <v>1.45</v>
      </c>
      <c r="J30" s="51">
        <v>0.81</v>
      </c>
      <c r="K30" s="51">
        <v>138.59</v>
      </c>
      <c r="L30" s="51">
        <v>23.01</v>
      </c>
      <c r="M30" s="51">
        <v>98.55</v>
      </c>
      <c r="N30" s="51">
        <v>28.1</v>
      </c>
      <c r="O30" s="51">
        <v>0</v>
      </c>
      <c r="P30" s="51">
        <v>0.45</v>
      </c>
      <c r="Q30" s="51">
        <v>9.51</v>
      </c>
      <c r="R30" s="43"/>
      <c r="S30" s="43"/>
      <c r="T30" s="43"/>
      <c r="U30" s="43"/>
    </row>
    <row r="31" spans="1:21" s="11" customFormat="1" x14ac:dyDescent="0.25">
      <c r="A31" s="50" t="s">
        <v>442</v>
      </c>
      <c r="B31" s="51">
        <v>12.65</v>
      </c>
      <c r="C31" s="51">
        <v>7.54</v>
      </c>
      <c r="D31" s="51">
        <v>13.49</v>
      </c>
      <c r="E31" s="51">
        <v>4.28</v>
      </c>
      <c r="F31" s="51">
        <v>8.0399999999999991</v>
      </c>
      <c r="G31" s="51">
        <v>18.04</v>
      </c>
      <c r="H31" s="51">
        <v>20.12</v>
      </c>
      <c r="I31" s="51">
        <v>1.42</v>
      </c>
      <c r="J31" s="51">
        <v>0.68</v>
      </c>
      <c r="K31" s="51">
        <v>150.28</v>
      </c>
      <c r="L31" s="51">
        <v>23.02</v>
      </c>
      <c r="M31" s="51">
        <v>98.55</v>
      </c>
      <c r="N31" s="51">
        <v>28.4</v>
      </c>
      <c r="O31" s="51">
        <v>0</v>
      </c>
      <c r="P31" s="51">
        <v>0.43</v>
      </c>
      <c r="Q31" s="51">
        <v>9.4700000000000006</v>
      </c>
      <c r="R31" s="43"/>
      <c r="S31" s="43"/>
      <c r="T31" s="43"/>
      <c r="U31" s="43"/>
    </row>
    <row r="32" spans="1:21" s="11" customFormat="1" x14ac:dyDescent="0.25">
      <c r="A32" s="50" t="s">
        <v>443</v>
      </c>
      <c r="B32" s="51">
        <v>11.78</v>
      </c>
      <c r="C32" s="51">
        <v>6.28</v>
      </c>
      <c r="D32" s="51">
        <v>11.95</v>
      </c>
      <c r="E32" s="51">
        <v>4.3899999999999997</v>
      </c>
      <c r="F32" s="51">
        <v>5.1100000000000003</v>
      </c>
      <c r="G32" s="51">
        <v>15.65</v>
      </c>
      <c r="H32" s="51">
        <v>15.24</v>
      </c>
      <c r="I32" s="51">
        <v>1.36</v>
      </c>
      <c r="J32" s="51">
        <v>0.56999999999999995</v>
      </c>
      <c r="K32" s="51">
        <v>160.66999999999999</v>
      </c>
      <c r="L32" s="51">
        <v>23.03</v>
      </c>
      <c r="M32" s="51">
        <v>98.53</v>
      </c>
      <c r="N32" s="51">
        <v>28.4</v>
      </c>
      <c r="O32" s="51">
        <v>0</v>
      </c>
      <c r="P32" s="51">
        <v>0.4</v>
      </c>
      <c r="Q32" s="51">
        <v>9.4499999999999993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11.14</v>
      </c>
      <c r="C34" s="28">
        <f t="shared" si="0"/>
        <v>3.88</v>
      </c>
      <c r="D34" s="28">
        <f t="shared" si="0"/>
        <v>11.77</v>
      </c>
      <c r="E34" s="28">
        <f t="shared" si="0"/>
        <v>4.2</v>
      </c>
      <c r="F34" s="28">
        <f t="shared" si="0"/>
        <v>4.29</v>
      </c>
      <c r="G34" s="28">
        <f t="shared" si="0"/>
        <v>12.74</v>
      </c>
      <c r="H34" s="28">
        <f t="shared" si="0"/>
        <v>6.77</v>
      </c>
      <c r="I34" s="28">
        <f t="shared" si="0"/>
        <v>1.1399999999999999</v>
      </c>
      <c r="J34" s="28">
        <f t="shared" si="0"/>
        <v>0.08</v>
      </c>
      <c r="K34" s="28">
        <f t="shared" si="0"/>
        <v>138.59</v>
      </c>
      <c r="L34" s="28">
        <f t="shared" si="0"/>
        <v>22.45</v>
      </c>
      <c r="M34" s="28">
        <f t="shared" si="0"/>
        <v>97.96</v>
      </c>
      <c r="N34" s="28">
        <f t="shared" si="0"/>
        <v>28</v>
      </c>
      <c r="O34" s="28">
        <f t="shared" si="0"/>
        <v>0</v>
      </c>
      <c r="P34" s="28">
        <f t="shared" si="0"/>
        <v>0.28999999999999998</v>
      </c>
      <c r="Q34" s="28">
        <f t="shared" si="0"/>
        <v>9.42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28.7</v>
      </c>
      <c r="C35" s="29">
        <f t="shared" si="1"/>
        <v>15.17</v>
      </c>
      <c r="D35" s="29">
        <f t="shared" si="1"/>
        <v>27.65</v>
      </c>
      <c r="E35" s="29">
        <f t="shared" si="1"/>
        <v>5.18</v>
      </c>
      <c r="F35" s="29">
        <f t="shared" si="1"/>
        <v>11.02</v>
      </c>
      <c r="G35" s="29">
        <f t="shared" si="1"/>
        <v>35.369999999999997</v>
      </c>
      <c r="H35" s="29">
        <f t="shared" si="1"/>
        <v>24.08</v>
      </c>
      <c r="I35" s="29">
        <f t="shared" si="1"/>
        <v>2.14</v>
      </c>
      <c r="J35" s="29">
        <f t="shared" si="1"/>
        <v>1.01</v>
      </c>
      <c r="K35" s="29">
        <f t="shared" si="1"/>
        <v>353.36</v>
      </c>
      <c r="L35" s="29">
        <f t="shared" si="1"/>
        <v>30.17</v>
      </c>
      <c r="M35" s="29">
        <f t="shared" si="1"/>
        <v>98.63</v>
      </c>
      <c r="N35" s="29">
        <f t="shared" si="1"/>
        <v>712.1</v>
      </c>
      <c r="O35" s="29">
        <f t="shared" si="1"/>
        <v>0.2</v>
      </c>
      <c r="P35" s="29">
        <f t="shared" si="1"/>
        <v>1.07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14.625</v>
      </c>
      <c r="C36" s="28">
        <f t="shared" si="2"/>
        <v>8.6620833333333334</v>
      </c>
      <c r="D36" s="28">
        <f t="shared" si="2"/>
        <v>15.647916666666667</v>
      </c>
      <c r="E36" s="28">
        <f t="shared" si="2"/>
        <v>4.6437499999999998</v>
      </c>
      <c r="F36" s="28">
        <f t="shared" si="2"/>
        <v>7.3616666666666672</v>
      </c>
      <c r="G36" s="28">
        <f t="shared" si="2"/>
        <v>19.450416666666666</v>
      </c>
      <c r="H36" s="28">
        <f t="shared" si="2"/>
        <v>11.292499999999997</v>
      </c>
      <c r="I36" s="28">
        <f t="shared" si="2"/>
        <v>1.4141666666666666</v>
      </c>
      <c r="J36" s="28">
        <f t="shared" si="2"/>
        <v>0.54333333333333356</v>
      </c>
      <c r="K36" s="28">
        <f t="shared" si="2"/>
        <v>212.62041666666667</v>
      </c>
      <c r="L36" s="28">
        <f t="shared" si="2"/>
        <v>23.857083333333332</v>
      </c>
      <c r="M36" s="28">
        <f t="shared" si="2"/>
        <v>98.451666666666654</v>
      </c>
      <c r="N36" s="28">
        <f t="shared" si="2"/>
        <v>104.28750000000001</v>
      </c>
      <c r="O36" s="28">
        <f t="shared" si="2"/>
        <v>8.3333333333333332E-3</v>
      </c>
      <c r="P36" s="28">
        <f t="shared" si="2"/>
        <v>0.45083333333333325</v>
      </c>
      <c r="Q36" s="28">
        <f t="shared" si="2"/>
        <v>9.5066666666666642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3.9514114154201945</v>
      </c>
      <c r="C37" s="28">
        <f t="shared" ref="C37:Q37" si="3">STDEV(C9:C32)</f>
        <v>2.901190129354966</v>
      </c>
      <c r="D37" s="28">
        <f t="shared" si="3"/>
        <v>3.5163951145241321</v>
      </c>
      <c r="E37" s="28">
        <f t="shared" si="3"/>
        <v>0.27695255440472899</v>
      </c>
      <c r="F37" s="28">
        <f t="shared" si="3"/>
        <v>1.7304351467481978</v>
      </c>
      <c r="G37" s="28">
        <f t="shared" si="3"/>
        <v>6.7837026436873815</v>
      </c>
      <c r="H37" s="28">
        <f t="shared" si="3"/>
        <v>4.9239585082842066</v>
      </c>
      <c r="I37" s="28">
        <f t="shared" si="3"/>
        <v>0.24983327774070987</v>
      </c>
      <c r="J37" s="28">
        <f t="shared" si="3"/>
        <v>0.27651034522146278</v>
      </c>
      <c r="K37" s="28">
        <f t="shared" si="3"/>
        <v>73.431149620589821</v>
      </c>
      <c r="L37" s="28">
        <f t="shared" si="3"/>
        <v>1.931080974968181</v>
      </c>
      <c r="M37" s="28">
        <f t="shared" si="3"/>
        <v>0.18241535658721483</v>
      </c>
      <c r="N37" s="28">
        <f t="shared" si="3"/>
        <v>164.99015072711623</v>
      </c>
      <c r="O37" s="28">
        <f t="shared" si="3"/>
        <v>4.0824829046386311E-2</v>
      </c>
      <c r="P37" s="28">
        <f t="shared" si="3"/>
        <v>0.16463178061481878</v>
      </c>
      <c r="Q37" s="28">
        <f t="shared" si="3"/>
        <v>7.732858556140508E-2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444</v>
      </c>
      <c r="B9" s="51">
        <v>8.85</v>
      </c>
      <c r="C9" s="51">
        <v>6.87</v>
      </c>
      <c r="D9" s="51">
        <v>10.69</v>
      </c>
      <c r="E9" s="51">
        <v>4.3600000000000003</v>
      </c>
      <c r="F9" s="51">
        <v>6.76</v>
      </c>
      <c r="G9" s="51">
        <v>16.07</v>
      </c>
      <c r="H9" s="51">
        <v>13.07</v>
      </c>
      <c r="I9" s="51">
        <v>1.3</v>
      </c>
      <c r="J9" s="51">
        <v>0.17</v>
      </c>
      <c r="K9" s="51">
        <v>320.14</v>
      </c>
      <c r="L9" s="51">
        <v>23.04</v>
      </c>
      <c r="M9" s="51">
        <v>98.51</v>
      </c>
      <c r="N9" s="51">
        <v>28</v>
      </c>
      <c r="O9" s="51">
        <v>0</v>
      </c>
      <c r="P9" s="51">
        <v>0.3</v>
      </c>
      <c r="Q9" s="51">
        <v>9.4600000000000009</v>
      </c>
      <c r="R9" s="43"/>
      <c r="S9" s="43"/>
      <c r="T9" s="43"/>
      <c r="U9" s="43"/>
    </row>
    <row r="10" spans="1:21" s="11" customFormat="1" x14ac:dyDescent="0.25">
      <c r="A10" s="50" t="s">
        <v>445</v>
      </c>
      <c r="B10" s="51">
        <v>9.11</v>
      </c>
      <c r="C10" s="51">
        <v>5.68</v>
      </c>
      <c r="D10" s="51">
        <v>10.210000000000001</v>
      </c>
      <c r="E10" s="51">
        <v>4.58</v>
      </c>
      <c r="F10" s="51">
        <v>7.26</v>
      </c>
      <c r="G10" s="51">
        <v>16.27</v>
      </c>
      <c r="H10" s="51">
        <v>15.18</v>
      </c>
      <c r="I10" s="51">
        <v>1.24</v>
      </c>
      <c r="J10" s="51">
        <v>0.6</v>
      </c>
      <c r="K10" s="51">
        <v>321.77999999999997</v>
      </c>
      <c r="L10" s="51">
        <v>22.92</v>
      </c>
      <c r="M10" s="51">
        <v>98.48</v>
      </c>
      <c r="N10" s="51">
        <v>28</v>
      </c>
      <c r="O10" s="51">
        <v>0</v>
      </c>
      <c r="P10" s="51">
        <v>0.3</v>
      </c>
      <c r="Q10" s="51">
        <v>9.4700000000000006</v>
      </c>
      <c r="R10" s="43"/>
      <c r="S10" s="43"/>
      <c r="T10" s="43"/>
      <c r="U10" s="43"/>
    </row>
    <row r="11" spans="1:21" s="11" customFormat="1" x14ac:dyDescent="0.25">
      <c r="A11" s="50" t="s">
        <v>446</v>
      </c>
      <c r="B11" s="51">
        <v>11.31</v>
      </c>
      <c r="C11" s="51">
        <v>4.74</v>
      </c>
      <c r="D11" s="51">
        <v>11.17</v>
      </c>
      <c r="E11" s="51">
        <v>4.6100000000000003</v>
      </c>
      <c r="F11" s="51">
        <v>5.21</v>
      </c>
      <c r="G11" s="51">
        <v>11.41</v>
      </c>
      <c r="H11" s="51">
        <v>17.239999999999998</v>
      </c>
      <c r="I11" s="51">
        <v>1.22</v>
      </c>
      <c r="J11" s="51">
        <v>0.63</v>
      </c>
      <c r="K11" s="51">
        <v>169.74</v>
      </c>
      <c r="L11" s="51">
        <v>22.9</v>
      </c>
      <c r="M11" s="51">
        <v>98.5</v>
      </c>
      <c r="N11" s="51">
        <v>28.1</v>
      </c>
      <c r="O11" s="51">
        <v>0</v>
      </c>
      <c r="P11" s="51">
        <v>0.34</v>
      </c>
      <c r="Q11" s="51">
        <v>9.42</v>
      </c>
      <c r="R11" s="43"/>
      <c r="S11" s="43"/>
      <c r="T11" s="43"/>
      <c r="U11" s="43"/>
    </row>
    <row r="12" spans="1:21" s="11" customFormat="1" x14ac:dyDescent="0.25">
      <c r="A12" s="50" t="s">
        <v>447</v>
      </c>
      <c r="B12" s="51">
        <v>9.19</v>
      </c>
      <c r="C12" s="51">
        <v>6.25</v>
      </c>
      <c r="D12" s="51">
        <v>10.039999999999999</v>
      </c>
      <c r="E12" s="51">
        <v>4.41</v>
      </c>
      <c r="F12" s="51">
        <v>6.53</v>
      </c>
      <c r="G12" s="51">
        <v>11.07</v>
      </c>
      <c r="H12" s="51">
        <v>14.77</v>
      </c>
      <c r="I12" s="51">
        <v>1.1599999999999999</v>
      </c>
      <c r="J12" s="51">
        <v>0.44</v>
      </c>
      <c r="K12" s="51">
        <v>150.6</v>
      </c>
      <c r="L12" s="51">
        <v>22.94</v>
      </c>
      <c r="M12" s="51">
        <v>98.5</v>
      </c>
      <c r="N12" s="51">
        <v>28.1</v>
      </c>
      <c r="O12" s="51">
        <v>0</v>
      </c>
      <c r="P12" s="51">
        <v>0.28999999999999998</v>
      </c>
      <c r="Q12" s="51">
        <v>9.3800000000000008</v>
      </c>
      <c r="R12" s="43"/>
      <c r="S12" s="43"/>
      <c r="T12" s="43"/>
      <c r="U12" s="43"/>
    </row>
    <row r="13" spans="1:21" s="11" customFormat="1" x14ac:dyDescent="0.25">
      <c r="A13" s="50" t="s">
        <v>448</v>
      </c>
      <c r="B13" s="51">
        <v>9</v>
      </c>
      <c r="C13" s="51">
        <v>6.42</v>
      </c>
      <c r="D13" s="51">
        <v>9.99</v>
      </c>
      <c r="E13" s="51">
        <v>4.4800000000000004</v>
      </c>
      <c r="F13" s="51">
        <v>3.87</v>
      </c>
      <c r="G13" s="51">
        <v>13.2</v>
      </c>
      <c r="H13" s="51">
        <v>13.28</v>
      </c>
      <c r="I13" s="51">
        <v>1.1499999999999999</v>
      </c>
      <c r="J13" s="51">
        <v>0.37</v>
      </c>
      <c r="K13" s="51">
        <v>155.88</v>
      </c>
      <c r="L13" s="51">
        <v>22.88</v>
      </c>
      <c r="M13" s="51">
        <v>98.49</v>
      </c>
      <c r="N13" s="51">
        <v>28</v>
      </c>
      <c r="O13" s="51">
        <v>0</v>
      </c>
      <c r="P13" s="51">
        <v>0.27</v>
      </c>
      <c r="Q13" s="51">
        <v>9.39</v>
      </c>
      <c r="R13" s="43"/>
      <c r="S13" s="43"/>
      <c r="T13" s="43"/>
      <c r="U13" s="43"/>
    </row>
    <row r="14" spans="1:21" s="11" customFormat="1" x14ac:dyDescent="0.25">
      <c r="A14" s="50" t="s">
        <v>449</v>
      </c>
      <c r="B14" s="51">
        <v>8.77</v>
      </c>
      <c r="C14" s="51">
        <v>6.24</v>
      </c>
      <c r="D14" s="51">
        <v>10.14</v>
      </c>
      <c r="E14" s="51">
        <v>4.53</v>
      </c>
      <c r="F14" s="51">
        <v>6.99</v>
      </c>
      <c r="G14" s="51">
        <v>13.3</v>
      </c>
      <c r="H14" s="51">
        <v>14.16</v>
      </c>
      <c r="I14" s="51">
        <v>1.19</v>
      </c>
      <c r="J14" s="51">
        <v>0.48</v>
      </c>
      <c r="K14" s="51">
        <v>161.37</v>
      </c>
      <c r="L14" s="51">
        <v>22.91</v>
      </c>
      <c r="M14" s="51">
        <v>98.5</v>
      </c>
      <c r="N14" s="51">
        <v>33.1</v>
      </c>
      <c r="O14" s="51">
        <v>0</v>
      </c>
      <c r="P14" s="51">
        <v>0.24</v>
      </c>
      <c r="Q14" s="51">
        <v>9.41</v>
      </c>
      <c r="R14" s="43"/>
      <c r="S14" s="43"/>
      <c r="T14" s="43"/>
      <c r="U14" s="43"/>
    </row>
    <row r="15" spans="1:21" s="11" customFormat="1" x14ac:dyDescent="0.25">
      <c r="A15" s="50" t="s">
        <v>450</v>
      </c>
      <c r="B15" s="51">
        <v>16.739999999999998</v>
      </c>
      <c r="C15" s="51">
        <v>6.65</v>
      </c>
      <c r="D15" s="51">
        <v>16.8</v>
      </c>
      <c r="E15" s="51">
        <v>4.63</v>
      </c>
      <c r="F15" s="51">
        <v>7.15</v>
      </c>
      <c r="G15" s="51">
        <v>11.1</v>
      </c>
      <c r="H15" s="51">
        <v>14.88</v>
      </c>
      <c r="I15" s="51">
        <v>1.18</v>
      </c>
      <c r="J15" s="51">
        <v>0.52</v>
      </c>
      <c r="K15" s="51">
        <v>170.5</v>
      </c>
      <c r="L15" s="51">
        <v>23.18</v>
      </c>
      <c r="M15" s="51">
        <v>98.45</v>
      </c>
      <c r="N15" s="51">
        <v>78.5</v>
      </c>
      <c r="O15" s="51">
        <v>0.2</v>
      </c>
      <c r="P15" s="51">
        <v>0.28000000000000003</v>
      </c>
      <c r="Q15" s="51">
        <v>9.42</v>
      </c>
      <c r="R15" s="43"/>
      <c r="S15" s="43"/>
      <c r="T15" s="43"/>
      <c r="U15" s="43"/>
    </row>
    <row r="16" spans="1:21" s="11" customFormat="1" x14ac:dyDescent="0.25">
      <c r="A16" s="50" t="s">
        <v>451</v>
      </c>
      <c r="B16" s="51">
        <v>12.27</v>
      </c>
      <c r="C16" s="51">
        <v>5.84</v>
      </c>
      <c r="D16" s="51">
        <v>12.34</v>
      </c>
      <c r="E16" s="51">
        <v>4.71</v>
      </c>
      <c r="F16" s="51">
        <v>7.01</v>
      </c>
      <c r="G16" s="51">
        <v>12.74</v>
      </c>
      <c r="H16" s="51">
        <v>12.3</v>
      </c>
      <c r="I16" s="51">
        <v>1.1599999999999999</v>
      </c>
      <c r="J16" s="51">
        <v>0.35</v>
      </c>
      <c r="K16" s="51">
        <v>155.82</v>
      </c>
      <c r="L16" s="51">
        <v>24.13</v>
      </c>
      <c r="M16" s="51">
        <v>98.45</v>
      </c>
      <c r="N16" s="51">
        <v>139.80000000000001</v>
      </c>
      <c r="O16" s="51">
        <v>0</v>
      </c>
      <c r="P16" s="51">
        <v>0.28999999999999998</v>
      </c>
      <c r="Q16" s="51">
        <v>9.4</v>
      </c>
      <c r="R16" s="43"/>
      <c r="S16" s="43"/>
      <c r="T16" s="43"/>
      <c r="U16" s="43"/>
    </row>
    <row r="17" spans="1:21" s="11" customFormat="1" x14ac:dyDescent="0.25">
      <c r="A17" s="50" t="s">
        <v>452</v>
      </c>
      <c r="B17" s="51">
        <v>12.2</v>
      </c>
      <c r="C17" s="51">
        <v>4.84</v>
      </c>
      <c r="D17" s="51">
        <v>12.11</v>
      </c>
      <c r="E17" s="51">
        <v>4.72</v>
      </c>
      <c r="F17" s="51">
        <v>6.41</v>
      </c>
      <c r="G17" s="51">
        <v>13.43</v>
      </c>
      <c r="H17" s="51">
        <v>11.78</v>
      </c>
      <c r="I17" s="51">
        <v>1.1499999999999999</v>
      </c>
      <c r="J17" s="51">
        <v>0.15</v>
      </c>
      <c r="K17" s="51">
        <v>274.43</v>
      </c>
      <c r="L17" s="51">
        <v>25.71</v>
      </c>
      <c r="M17" s="51">
        <v>98.4</v>
      </c>
      <c r="N17" s="51">
        <v>385.4</v>
      </c>
      <c r="O17" s="51">
        <v>0</v>
      </c>
      <c r="P17" s="51">
        <v>0.28000000000000003</v>
      </c>
      <c r="Q17" s="51">
        <v>9.4</v>
      </c>
      <c r="R17" s="43"/>
      <c r="S17" s="43"/>
      <c r="T17" s="43"/>
      <c r="U17" s="43"/>
    </row>
    <row r="18" spans="1:21" s="11" customFormat="1" x14ac:dyDescent="0.25">
      <c r="A18" s="50" t="s">
        <v>453</v>
      </c>
      <c r="B18" s="51">
        <v>10.8</v>
      </c>
      <c r="C18" s="51">
        <v>6.23</v>
      </c>
      <c r="D18" s="51">
        <v>11.29</v>
      </c>
      <c r="E18" s="51">
        <v>4.5199999999999996</v>
      </c>
      <c r="F18" s="51">
        <v>5.59</v>
      </c>
      <c r="G18" s="51">
        <v>13.84</v>
      </c>
      <c r="H18" s="51">
        <v>11.96</v>
      </c>
      <c r="I18" s="51">
        <v>1.1100000000000001</v>
      </c>
      <c r="J18" s="51">
        <v>0.16</v>
      </c>
      <c r="K18" s="51">
        <v>293.41000000000003</v>
      </c>
      <c r="L18" s="51">
        <v>27.79</v>
      </c>
      <c r="M18" s="51">
        <v>98.25</v>
      </c>
      <c r="N18" s="51">
        <v>601.79999999999995</v>
      </c>
      <c r="O18" s="51">
        <v>0</v>
      </c>
      <c r="P18" s="51">
        <v>0.27</v>
      </c>
      <c r="Q18" s="51">
        <v>9.36</v>
      </c>
      <c r="R18" s="43"/>
      <c r="S18" s="43"/>
      <c r="T18" s="43"/>
      <c r="U18" s="43"/>
    </row>
    <row r="19" spans="1:21" s="11" customFormat="1" x14ac:dyDescent="0.25">
      <c r="A19" s="50" t="s">
        <v>454</v>
      </c>
      <c r="B19" s="51">
        <v>9.44</v>
      </c>
      <c r="C19" s="51">
        <v>9.61</v>
      </c>
      <c r="D19" s="51">
        <v>11.54</v>
      </c>
      <c r="E19" s="51">
        <v>4.66</v>
      </c>
      <c r="F19" s="51">
        <v>8.0299999999999994</v>
      </c>
      <c r="G19" s="51">
        <v>11.4</v>
      </c>
      <c r="H19" s="51">
        <v>12.75</v>
      </c>
      <c r="I19" s="51">
        <v>1.01</v>
      </c>
      <c r="J19" s="51">
        <v>0.17</v>
      </c>
      <c r="K19" s="51">
        <v>291.41000000000003</v>
      </c>
      <c r="L19" s="51">
        <v>28.16</v>
      </c>
      <c r="M19" s="51">
        <v>97.64</v>
      </c>
      <c r="N19" s="51">
        <v>631.6</v>
      </c>
      <c r="O19" s="51">
        <v>0</v>
      </c>
      <c r="P19" s="51">
        <v>0.28000000000000003</v>
      </c>
      <c r="Q19" s="51">
        <v>9.31</v>
      </c>
      <c r="R19" s="43"/>
      <c r="S19" s="43"/>
      <c r="T19" s="43"/>
      <c r="U19" s="43"/>
    </row>
    <row r="20" spans="1:21" s="11" customFormat="1" x14ac:dyDescent="0.25">
      <c r="A20" s="50" t="s">
        <v>455</v>
      </c>
      <c r="B20" s="51">
        <v>5.83</v>
      </c>
      <c r="C20" s="51">
        <v>9.8800000000000008</v>
      </c>
      <c r="D20" s="51">
        <v>9.67</v>
      </c>
      <c r="E20" s="51">
        <v>4.47</v>
      </c>
      <c r="F20" s="51">
        <v>8.32</v>
      </c>
      <c r="G20" s="51">
        <v>126.43</v>
      </c>
      <c r="H20" s="51">
        <v>15.55</v>
      </c>
      <c r="I20" s="51">
        <v>1.1299999999999999</v>
      </c>
      <c r="J20" s="51">
        <v>0.2</v>
      </c>
      <c r="K20" s="51">
        <v>304.68</v>
      </c>
      <c r="L20" s="51">
        <v>30.02</v>
      </c>
      <c r="M20" s="51">
        <v>93.86</v>
      </c>
      <c r="N20" s="51">
        <v>742.7</v>
      </c>
      <c r="O20" s="51">
        <v>0</v>
      </c>
      <c r="P20" s="51">
        <v>0.27</v>
      </c>
      <c r="Q20" s="51">
        <v>9.18</v>
      </c>
      <c r="R20" s="43"/>
      <c r="S20" s="43"/>
      <c r="T20" s="43"/>
      <c r="U20" s="43"/>
    </row>
    <row r="21" spans="1:21" s="11" customFormat="1" x14ac:dyDescent="0.25">
      <c r="A21" s="50" t="s">
        <v>456</v>
      </c>
      <c r="B21" s="51">
        <v>7.2</v>
      </c>
      <c r="C21" s="51">
        <v>11.56</v>
      </c>
      <c r="D21" s="51">
        <v>11.81</v>
      </c>
      <c r="E21" s="51">
        <v>4.5199999999999996</v>
      </c>
      <c r="F21" s="51">
        <v>9.4600000000000009</v>
      </c>
      <c r="G21" s="51">
        <v>126.43</v>
      </c>
      <c r="H21" s="51">
        <v>15.55</v>
      </c>
      <c r="I21" s="51">
        <v>1.19</v>
      </c>
      <c r="J21" s="51">
        <v>0.14000000000000001</v>
      </c>
      <c r="K21" s="51">
        <v>312.67</v>
      </c>
      <c r="L21" s="51">
        <v>29.63</v>
      </c>
      <c r="M21" s="51">
        <v>87.65</v>
      </c>
      <c r="N21" s="51">
        <v>557.20000000000005</v>
      </c>
      <c r="O21" s="51">
        <v>0</v>
      </c>
      <c r="P21" s="51">
        <v>0.32</v>
      </c>
      <c r="Q21" s="51">
        <v>9.16</v>
      </c>
      <c r="R21" s="43"/>
      <c r="S21" s="43"/>
      <c r="T21" s="43"/>
      <c r="U21" s="43"/>
    </row>
    <row r="22" spans="1:21" s="11" customFormat="1" x14ac:dyDescent="0.25">
      <c r="A22" s="50" t="s">
        <v>457</v>
      </c>
      <c r="B22" s="51">
        <v>9.92</v>
      </c>
      <c r="C22" s="51">
        <v>11.95</v>
      </c>
      <c r="D22" s="51">
        <v>13.83</v>
      </c>
      <c r="E22" s="51">
        <v>4.42</v>
      </c>
      <c r="F22" s="51">
        <v>12.43</v>
      </c>
      <c r="G22" s="51">
        <v>96.49</v>
      </c>
      <c r="H22" s="51">
        <v>15.05</v>
      </c>
      <c r="I22" s="51">
        <v>0.88</v>
      </c>
      <c r="J22" s="51">
        <v>0.35</v>
      </c>
      <c r="K22" s="51">
        <v>335.53</v>
      </c>
      <c r="L22" s="51">
        <v>30.43</v>
      </c>
      <c r="M22" s="51">
        <v>88.71</v>
      </c>
      <c r="N22" s="51">
        <v>362.4</v>
      </c>
      <c r="O22" s="51">
        <v>0</v>
      </c>
      <c r="P22" s="51">
        <v>0.4</v>
      </c>
      <c r="Q22" s="51">
        <v>9.18</v>
      </c>
      <c r="R22" s="43"/>
      <c r="S22" s="43"/>
      <c r="T22" s="43"/>
      <c r="U22" s="43"/>
    </row>
    <row r="23" spans="1:21" s="11" customFormat="1" x14ac:dyDescent="0.25">
      <c r="A23" s="50" t="s">
        <v>458</v>
      </c>
      <c r="B23" s="51">
        <v>7.54</v>
      </c>
      <c r="C23" s="51">
        <v>10.29</v>
      </c>
      <c r="D23" s="51">
        <v>11.4</v>
      </c>
      <c r="E23" s="51">
        <v>4.3499999999999996</v>
      </c>
      <c r="F23" s="51">
        <v>12.36</v>
      </c>
      <c r="G23" s="51">
        <v>73.94</v>
      </c>
      <c r="H23" s="51">
        <v>12.38</v>
      </c>
      <c r="I23" s="51">
        <v>0.98</v>
      </c>
      <c r="J23" s="51">
        <v>0.25</v>
      </c>
      <c r="K23" s="51">
        <v>319.08</v>
      </c>
      <c r="L23" s="51">
        <v>29.52</v>
      </c>
      <c r="M23" s="51">
        <v>89.52</v>
      </c>
      <c r="N23" s="51">
        <v>230.2</v>
      </c>
      <c r="O23" s="51">
        <v>0</v>
      </c>
      <c r="P23" s="51">
        <v>0.34</v>
      </c>
      <c r="Q23" s="51">
        <v>9.19</v>
      </c>
      <c r="R23" s="43"/>
      <c r="S23" s="43"/>
      <c r="T23" s="43"/>
      <c r="U23" s="43"/>
    </row>
    <row r="24" spans="1:21" s="11" customFormat="1" x14ac:dyDescent="0.25">
      <c r="A24" s="50" t="s">
        <v>459</v>
      </c>
      <c r="B24" s="51">
        <v>9.66</v>
      </c>
      <c r="C24" s="51">
        <v>13.52</v>
      </c>
      <c r="D24" s="51">
        <v>14.2</v>
      </c>
      <c r="E24" s="51">
        <v>4.55</v>
      </c>
      <c r="F24" s="51">
        <v>11.64</v>
      </c>
      <c r="G24" s="51">
        <v>57.16</v>
      </c>
      <c r="H24" s="51">
        <v>14.74</v>
      </c>
      <c r="I24" s="51">
        <v>0.89</v>
      </c>
      <c r="J24" s="51">
        <v>0.25</v>
      </c>
      <c r="K24" s="51">
        <v>324.2</v>
      </c>
      <c r="L24" s="51">
        <v>29.53</v>
      </c>
      <c r="M24" s="51">
        <v>97.7</v>
      </c>
      <c r="N24" s="51">
        <v>187.5</v>
      </c>
      <c r="O24" s="51">
        <v>0</v>
      </c>
      <c r="P24" s="51">
        <v>0.41</v>
      </c>
      <c r="Q24" s="51">
        <v>9.2100000000000009</v>
      </c>
      <c r="R24" s="43"/>
      <c r="S24" s="43"/>
      <c r="T24" s="43"/>
      <c r="U24" s="43"/>
    </row>
    <row r="25" spans="1:21" s="11" customFormat="1" x14ac:dyDescent="0.25">
      <c r="A25" s="50" t="s">
        <v>460</v>
      </c>
      <c r="B25" s="51">
        <v>14</v>
      </c>
      <c r="C25" s="51">
        <v>11.13</v>
      </c>
      <c r="D25" s="51">
        <v>17.03</v>
      </c>
      <c r="E25" s="51">
        <v>4.66</v>
      </c>
      <c r="F25" s="51">
        <v>14.14</v>
      </c>
      <c r="G25" s="51">
        <v>52.64</v>
      </c>
      <c r="H25" s="51">
        <v>14.74</v>
      </c>
      <c r="I25" s="51">
        <v>0.99</v>
      </c>
      <c r="J25" s="51">
        <v>0.18</v>
      </c>
      <c r="K25" s="51">
        <v>332.29</v>
      </c>
      <c r="L25" s="51">
        <v>29.63</v>
      </c>
      <c r="M25" s="51">
        <v>89.75</v>
      </c>
      <c r="N25" s="51">
        <v>153.4</v>
      </c>
      <c r="O25" s="51">
        <v>0</v>
      </c>
      <c r="P25" s="51">
        <v>0.45</v>
      </c>
      <c r="Q25" s="51">
        <v>9.2200000000000006</v>
      </c>
      <c r="R25" s="43"/>
      <c r="S25" s="43"/>
      <c r="T25" s="43"/>
      <c r="U25" s="43"/>
    </row>
    <row r="26" spans="1:21" s="11" customFormat="1" x14ac:dyDescent="0.25">
      <c r="A26" s="50" t="s">
        <v>461</v>
      </c>
      <c r="B26" s="51">
        <v>14.56</v>
      </c>
      <c r="C26" s="51">
        <v>16.96</v>
      </c>
      <c r="D26" s="51">
        <v>19.61</v>
      </c>
      <c r="E26" s="51">
        <v>4.7300000000000004</v>
      </c>
      <c r="F26" s="51">
        <v>9.92</v>
      </c>
      <c r="G26" s="51">
        <v>41.56</v>
      </c>
      <c r="H26" s="51">
        <v>10.32</v>
      </c>
      <c r="I26" s="51">
        <v>0.87</v>
      </c>
      <c r="J26" s="51">
        <v>0.12</v>
      </c>
      <c r="K26" s="51">
        <v>314.86</v>
      </c>
      <c r="L26" s="51">
        <v>28.32</v>
      </c>
      <c r="M26" s="51">
        <v>95.52</v>
      </c>
      <c r="N26" s="51">
        <v>71.7</v>
      </c>
      <c r="O26" s="51">
        <v>0</v>
      </c>
      <c r="P26" s="51">
        <v>0.57999999999999996</v>
      </c>
      <c r="Q26" s="51">
        <v>9.2200000000000006</v>
      </c>
      <c r="R26" s="43"/>
      <c r="S26" s="43"/>
      <c r="T26" s="43"/>
      <c r="U26" s="43"/>
    </row>
    <row r="27" spans="1:21" s="11" customFormat="1" x14ac:dyDescent="0.25">
      <c r="A27" s="50" t="s">
        <v>462</v>
      </c>
      <c r="B27" s="51">
        <v>30.51</v>
      </c>
      <c r="C27" s="51">
        <v>21.15</v>
      </c>
      <c r="D27" s="51">
        <v>32.96</v>
      </c>
      <c r="E27" s="51">
        <v>4.9400000000000004</v>
      </c>
      <c r="F27" s="51">
        <v>8.7200000000000006</v>
      </c>
      <c r="G27" s="51">
        <v>41.56</v>
      </c>
      <c r="H27" s="51">
        <v>7.22</v>
      </c>
      <c r="I27" s="51">
        <v>0.88</v>
      </c>
      <c r="J27" s="51">
        <v>0.1</v>
      </c>
      <c r="K27" s="51">
        <v>331.13</v>
      </c>
      <c r="L27" s="51">
        <v>27.17</v>
      </c>
      <c r="M27" s="51">
        <v>98.28</v>
      </c>
      <c r="N27" s="51">
        <v>29.2</v>
      </c>
      <c r="O27" s="51">
        <v>0</v>
      </c>
      <c r="P27" s="51">
        <v>1.39</v>
      </c>
      <c r="Q27" s="51">
        <v>9.25</v>
      </c>
      <c r="R27" s="43"/>
      <c r="S27" s="43"/>
      <c r="T27" s="43"/>
      <c r="U27" s="43"/>
    </row>
    <row r="28" spans="1:21" s="11" customFormat="1" x14ac:dyDescent="0.25">
      <c r="A28" s="50" t="s">
        <v>463</v>
      </c>
      <c r="B28" s="51">
        <v>42.27</v>
      </c>
      <c r="C28" s="51">
        <v>20.5</v>
      </c>
      <c r="D28" s="51">
        <v>41.13</v>
      </c>
      <c r="E28" s="51">
        <v>5.23</v>
      </c>
      <c r="F28" s="51">
        <v>6.98</v>
      </c>
      <c r="G28" s="51">
        <v>65.36</v>
      </c>
      <c r="H28" s="51">
        <v>6.32</v>
      </c>
      <c r="I28" s="51">
        <v>1.18</v>
      </c>
      <c r="J28" s="51">
        <v>0.13</v>
      </c>
      <c r="K28" s="51">
        <v>332.75</v>
      </c>
      <c r="L28" s="51">
        <v>26.31</v>
      </c>
      <c r="M28" s="51">
        <v>98.32</v>
      </c>
      <c r="N28" s="51">
        <v>28.8</v>
      </c>
      <c r="O28" s="51">
        <v>0</v>
      </c>
      <c r="P28" s="51">
        <v>1.72</v>
      </c>
      <c r="Q28" s="51">
        <v>9.41</v>
      </c>
      <c r="R28" s="43"/>
      <c r="S28" s="43"/>
      <c r="T28" s="43"/>
      <c r="U28" s="43"/>
    </row>
    <row r="29" spans="1:21" s="11" customFormat="1" x14ac:dyDescent="0.25">
      <c r="A29" s="50" t="s">
        <v>464</v>
      </c>
      <c r="B29" s="51">
        <v>56.69</v>
      </c>
      <c r="C29" s="51">
        <v>19.71</v>
      </c>
      <c r="D29" s="51">
        <v>51.27</v>
      </c>
      <c r="E29" s="51">
        <v>5.32</v>
      </c>
      <c r="F29" s="51">
        <v>9.1</v>
      </c>
      <c r="G29" s="51">
        <v>66.040000000000006</v>
      </c>
      <c r="H29" s="51">
        <v>6.32</v>
      </c>
      <c r="I29" s="51">
        <v>1.55</v>
      </c>
      <c r="J29" s="51">
        <v>0.1</v>
      </c>
      <c r="K29" s="51">
        <v>335.19</v>
      </c>
      <c r="L29" s="51">
        <v>26</v>
      </c>
      <c r="M29" s="51">
        <v>98.39</v>
      </c>
      <c r="N29" s="51">
        <v>28.8</v>
      </c>
      <c r="O29" s="51">
        <v>0</v>
      </c>
      <c r="P29" s="51">
        <v>1.56</v>
      </c>
      <c r="Q29" s="51">
        <v>9.4600000000000009</v>
      </c>
      <c r="R29" s="43"/>
      <c r="S29" s="43"/>
      <c r="T29" s="43"/>
      <c r="U29" s="43"/>
    </row>
    <row r="30" spans="1:21" s="11" customFormat="1" x14ac:dyDescent="0.25">
      <c r="A30" s="50" t="s">
        <v>465</v>
      </c>
      <c r="B30" s="51">
        <v>31.83</v>
      </c>
      <c r="C30" s="51">
        <v>17.649999999999999</v>
      </c>
      <c r="D30" s="51">
        <v>31.85</v>
      </c>
      <c r="E30" s="51">
        <v>5.53</v>
      </c>
      <c r="F30" s="51">
        <v>6.98</v>
      </c>
      <c r="G30" s="51">
        <v>69.599999999999994</v>
      </c>
      <c r="H30" s="51">
        <v>4.43</v>
      </c>
      <c r="I30" s="51">
        <v>1.86</v>
      </c>
      <c r="J30" s="51">
        <v>0.27</v>
      </c>
      <c r="K30" s="51">
        <v>191.32</v>
      </c>
      <c r="L30" s="51">
        <v>26.04</v>
      </c>
      <c r="M30" s="51">
        <v>98.45</v>
      </c>
      <c r="N30" s="51">
        <v>30.8</v>
      </c>
      <c r="O30" s="51">
        <v>0</v>
      </c>
      <c r="P30" s="51">
        <v>1.65</v>
      </c>
      <c r="Q30" s="51">
        <v>9.56</v>
      </c>
      <c r="R30" s="43"/>
      <c r="S30" s="43"/>
      <c r="T30" s="43"/>
      <c r="U30" s="43"/>
    </row>
    <row r="31" spans="1:21" s="11" customFormat="1" x14ac:dyDescent="0.25">
      <c r="A31" s="50" t="s">
        <v>466</v>
      </c>
      <c r="B31" s="51">
        <v>10.38</v>
      </c>
      <c r="C31" s="51">
        <v>16.53</v>
      </c>
      <c r="D31" s="51">
        <v>16.96</v>
      </c>
      <c r="E31" s="51">
        <v>4.62</v>
      </c>
      <c r="F31" s="51">
        <v>5.86</v>
      </c>
      <c r="G31" s="51">
        <v>69.599999999999994</v>
      </c>
      <c r="H31" s="51">
        <v>4.04</v>
      </c>
      <c r="I31" s="51">
        <v>1.86</v>
      </c>
      <c r="J31" s="51">
        <v>0.25</v>
      </c>
      <c r="K31" s="51">
        <v>358.64</v>
      </c>
      <c r="L31" s="51">
        <v>24.84</v>
      </c>
      <c r="M31" s="51">
        <v>98.48</v>
      </c>
      <c r="N31" s="51">
        <v>29.1</v>
      </c>
      <c r="O31" s="51">
        <v>0</v>
      </c>
      <c r="P31" s="51">
        <v>0.48</v>
      </c>
      <c r="Q31" s="51">
        <v>9.57</v>
      </c>
      <c r="R31" s="43"/>
      <c r="S31" s="43"/>
      <c r="T31" s="43"/>
      <c r="U31" s="43"/>
    </row>
    <row r="32" spans="1:21" s="11" customFormat="1" x14ac:dyDescent="0.25">
      <c r="A32" s="50" t="s">
        <v>467</v>
      </c>
      <c r="B32" s="51">
        <v>10.08</v>
      </c>
      <c r="C32" s="51">
        <v>12.18</v>
      </c>
      <c r="D32" s="51">
        <v>14.45</v>
      </c>
      <c r="E32" s="51">
        <v>5.0599999999999996</v>
      </c>
      <c r="F32" s="51">
        <v>5.24</v>
      </c>
      <c r="G32" s="51">
        <v>59.89</v>
      </c>
      <c r="H32" s="51">
        <v>5.94</v>
      </c>
      <c r="I32" s="51">
        <v>1.8</v>
      </c>
      <c r="J32" s="51">
        <v>0.26</v>
      </c>
      <c r="K32" s="51">
        <v>313.02999999999997</v>
      </c>
      <c r="L32" s="51">
        <v>24.67</v>
      </c>
      <c r="M32" s="51">
        <v>98.48</v>
      </c>
      <c r="N32" s="51">
        <v>29.5</v>
      </c>
      <c r="O32" s="51">
        <v>0</v>
      </c>
      <c r="P32" s="51">
        <v>0.34</v>
      </c>
      <c r="Q32" s="51">
        <v>9.56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5.83</v>
      </c>
      <c r="C34" s="28">
        <f t="shared" si="0"/>
        <v>4.74</v>
      </c>
      <c r="D34" s="28">
        <f t="shared" si="0"/>
        <v>9.67</v>
      </c>
      <c r="E34" s="28">
        <f t="shared" si="0"/>
        <v>4.3499999999999996</v>
      </c>
      <c r="F34" s="28">
        <f t="shared" si="0"/>
        <v>3.87</v>
      </c>
      <c r="G34" s="28">
        <f t="shared" si="0"/>
        <v>11.07</v>
      </c>
      <c r="H34" s="28">
        <f t="shared" si="0"/>
        <v>4.04</v>
      </c>
      <c r="I34" s="28">
        <f t="shared" si="0"/>
        <v>0.87</v>
      </c>
      <c r="J34" s="28">
        <f t="shared" si="0"/>
        <v>0.1</v>
      </c>
      <c r="K34" s="28">
        <f t="shared" si="0"/>
        <v>150.6</v>
      </c>
      <c r="L34" s="28">
        <f t="shared" si="0"/>
        <v>22.88</v>
      </c>
      <c r="M34" s="28">
        <f t="shared" si="0"/>
        <v>87.65</v>
      </c>
      <c r="N34" s="28">
        <f t="shared" si="0"/>
        <v>28</v>
      </c>
      <c r="O34" s="28">
        <f t="shared" si="0"/>
        <v>0</v>
      </c>
      <c r="P34" s="28">
        <f t="shared" si="0"/>
        <v>0.24</v>
      </c>
      <c r="Q34" s="28">
        <f t="shared" si="0"/>
        <v>9.16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56.69</v>
      </c>
      <c r="C35" s="29">
        <f t="shared" si="1"/>
        <v>21.15</v>
      </c>
      <c r="D35" s="29">
        <f t="shared" si="1"/>
        <v>51.27</v>
      </c>
      <c r="E35" s="29">
        <f t="shared" si="1"/>
        <v>5.53</v>
      </c>
      <c r="F35" s="29">
        <f t="shared" si="1"/>
        <v>14.14</v>
      </c>
      <c r="G35" s="29">
        <f t="shared" si="1"/>
        <v>126.43</v>
      </c>
      <c r="H35" s="29">
        <f t="shared" si="1"/>
        <v>17.239999999999998</v>
      </c>
      <c r="I35" s="29">
        <f t="shared" si="1"/>
        <v>1.86</v>
      </c>
      <c r="J35" s="29">
        <f t="shared" si="1"/>
        <v>0.63</v>
      </c>
      <c r="K35" s="29">
        <f t="shared" si="1"/>
        <v>358.64</v>
      </c>
      <c r="L35" s="29">
        <f t="shared" si="1"/>
        <v>30.43</v>
      </c>
      <c r="M35" s="29">
        <f t="shared" si="1"/>
        <v>98.51</v>
      </c>
      <c r="N35" s="29">
        <f t="shared" si="1"/>
        <v>742.7</v>
      </c>
      <c r="O35" s="29">
        <f t="shared" si="1"/>
        <v>0.2</v>
      </c>
      <c r="P35" s="29">
        <f t="shared" si="1"/>
        <v>1.72</v>
      </c>
      <c r="Q35" s="29">
        <f t="shared" si="1"/>
        <v>9.57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15.33958333333333</v>
      </c>
      <c r="C36" s="28">
        <f t="shared" si="2"/>
        <v>10.932500000000003</v>
      </c>
      <c r="D36" s="28">
        <f t="shared" si="2"/>
        <v>17.18708333333333</v>
      </c>
      <c r="E36" s="28">
        <f t="shared" si="2"/>
        <v>4.6920833333333327</v>
      </c>
      <c r="F36" s="28">
        <f t="shared" si="2"/>
        <v>7.998333333333334</v>
      </c>
      <c r="G36" s="28">
        <f t="shared" si="2"/>
        <v>45.438749999999999</v>
      </c>
      <c r="H36" s="28">
        <f t="shared" si="2"/>
        <v>11.832083333333335</v>
      </c>
      <c r="I36" s="28">
        <f t="shared" si="2"/>
        <v>1.2054166666666666</v>
      </c>
      <c r="J36" s="28">
        <f t="shared" si="2"/>
        <v>0.27666666666666662</v>
      </c>
      <c r="K36" s="28">
        <f t="shared" si="2"/>
        <v>273.7687499999999</v>
      </c>
      <c r="L36" s="28">
        <f t="shared" si="2"/>
        <v>26.194583333333327</v>
      </c>
      <c r="M36" s="28">
        <f t="shared" si="2"/>
        <v>96.470000000000013</v>
      </c>
      <c r="N36" s="28">
        <f t="shared" si="2"/>
        <v>187.1541666666667</v>
      </c>
      <c r="O36" s="28">
        <f t="shared" si="2"/>
        <v>8.3333333333333332E-3</v>
      </c>
      <c r="P36" s="28">
        <f t="shared" si="2"/>
        <v>0.54375000000000007</v>
      </c>
      <c r="Q36" s="28">
        <f t="shared" si="2"/>
        <v>9.357916666666668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12.451595141104256</v>
      </c>
      <c r="C37" s="28">
        <f t="shared" ref="C37:Q37" si="3">STDEV(C9:C32)</f>
        <v>5.3120398521946628</v>
      </c>
      <c r="D37" s="28">
        <f t="shared" si="3"/>
        <v>10.928540011152567</v>
      </c>
      <c r="E37" s="28">
        <f t="shared" si="3"/>
        <v>0.30902341499390107</v>
      </c>
      <c r="F37" s="28">
        <f t="shared" si="3"/>
        <v>2.5678389944560887</v>
      </c>
      <c r="G37" s="28">
        <f t="shared" si="3"/>
        <v>36.421128640022175</v>
      </c>
      <c r="H37" s="28">
        <f t="shared" si="3"/>
        <v>3.946736658762926</v>
      </c>
      <c r="I37" s="28">
        <f t="shared" si="3"/>
        <v>0.28934677805535486</v>
      </c>
      <c r="J37" s="28">
        <f t="shared" si="3"/>
        <v>0.15788456616111693</v>
      </c>
      <c r="K37" s="28">
        <f t="shared" si="3"/>
        <v>73.523098311524734</v>
      </c>
      <c r="L37" s="28">
        <f t="shared" si="3"/>
        <v>2.7342624459237168</v>
      </c>
      <c r="M37" s="28">
        <f t="shared" si="3"/>
        <v>3.6345671352816646</v>
      </c>
      <c r="N37" s="28">
        <f t="shared" si="3"/>
        <v>229.85009855984615</v>
      </c>
      <c r="O37" s="28">
        <f t="shared" si="3"/>
        <v>4.0824829046386311E-2</v>
      </c>
      <c r="P37" s="28">
        <f t="shared" si="3"/>
        <v>0.48260896494312888</v>
      </c>
      <c r="Q37" s="28">
        <f t="shared" si="3"/>
        <v>0.12900890318675418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468</v>
      </c>
      <c r="B9" s="51">
        <v>8.64</v>
      </c>
      <c r="C9" s="51">
        <v>8.16</v>
      </c>
      <c r="D9" s="51">
        <v>10.33</v>
      </c>
      <c r="E9" s="51">
        <v>5.04</v>
      </c>
      <c r="F9" s="51">
        <v>7.16</v>
      </c>
      <c r="G9" s="51">
        <v>42.75</v>
      </c>
      <c r="H9" s="51">
        <v>5.94</v>
      </c>
      <c r="I9" s="51">
        <v>1.66</v>
      </c>
      <c r="J9" s="51">
        <v>0.18</v>
      </c>
      <c r="K9" s="51">
        <v>145.47999999999999</v>
      </c>
      <c r="L9" s="51">
        <v>23.97</v>
      </c>
      <c r="M9" s="51">
        <v>98.48</v>
      </c>
      <c r="N9" s="51">
        <v>28.8</v>
      </c>
      <c r="O9" s="51">
        <v>0</v>
      </c>
      <c r="P9" s="51">
        <v>0.28999999999999998</v>
      </c>
      <c r="Q9" s="51">
        <v>9.5500000000000007</v>
      </c>
      <c r="R9" s="43"/>
      <c r="S9" s="43"/>
      <c r="T9" s="43"/>
      <c r="U9" s="43"/>
    </row>
    <row r="10" spans="1:21" s="11" customFormat="1" x14ac:dyDescent="0.25">
      <c r="A10" s="50" t="s">
        <v>469</v>
      </c>
      <c r="B10" s="51">
        <v>9.15</v>
      </c>
      <c r="C10" s="51">
        <v>8.91</v>
      </c>
      <c r="D10" s="51">
        <v>11.02</v>
      </c>
      <c r="E10" s="51">
        <v>5.18</v>
      </c>
      <c r="F10" s="51">
        <v>6.59</v>
      </c>
      <c r="G10" s="51">
        <v>34.18</v>
      </c>
      <c r="H10" s="51">
        <v>4.16</v>
      </c>
      <c r="I10" s="51">
        <v>1.55</v>
      </c>
      <c r="J10" s="51">
        <v>0.09</v>
      </c>
      <c r="K10" s="51">
        <v>161.27000000000001</v>
      </c>
      <c r="L10" s="51">
        <v>24</v>
      </c>
      <c r="M10" s="51">
        <v>98.5</v>
      </c>
      <c r="N10" s="51">
        <v>29.2</v>
      </c>
      <c r="O10" s="51">
        <v>0</v>
      </c>
      <c r="P10" s="51">
        <v>0.33</v>
      </c>
      <c r="Q10" s="51">
        <v>9.5</v>
      </c>
      <c r="R10" s="43"/>
      <c r="S10" s="43"/>
      <c r="T10" s="43"/>
      <c r="U10" s="43"/>
    </row>
    <row r="11" spans="1:21" s="11" customFormat="1" x14ac:dyDescent="0.25">
      <c r="A11" s="50" t="s">
        <v>470</v>
      </c>
      <c r="B11" s="51">
        <v>8.73</v>
      </c>
      <c r="C11" s="51">
        <v>5.26</v>
      </c>
      <c r="D11" s="51">
        <v>9.74</v>
      </c>
      <c r="E11" s="51">
        <v>4.79</v>
      </c>
      <c r="F11" s="51">
        <v>5</v>
      </c>
      <c r="G11" s="51">
        <v>26.6</v>
      </c>
      <c r="H11" s="51">
        <v>4</v>
      </c>
      <c r="I11" s="51">
        <v>1.45</v>
      </c>
      <c r="J11" s="51">
        <v>0.04</v>
      </c>
      <c r="K11" s="51">
        <v>305.92</v>
      </c>
      <c r="L11" s="51">
        <v>23.93</v>
      </c>
      <c r="M11" s="51">
        <v>98.4</v>
      </c>
      <c r="N11" s="51">
        <v>29</v>
      </c>
      <c r="O11" s="51">
        <v>0</v>
      </c>
      <c r="P11" s="51">
        <v>0.34</v>
      </c>
      <c r="Q11" s="51">
        <v>9.44</v>
      </c>
      <c r="R11" s="43"/>
      <c r="S11" s="43"/>
      <c r="T11" s="43"/>
      <c r="U11" s="43"/>
    </row>
    <row r="12" spans="1:21" s="11" customFormat="1" x14ac:dyDescent="0.25">
      <c r="A12" s="50" t="s">
        <v>471</v>
      </c>
      <c r="B12" s="51">
        <v>9.09</v>
      </c>
      <c r="C12" s="51">
        <v>5.97</v>
      </c>
      <c r="D12" s="51">
        <v>9.23</v>
      </c>
      <c r="E12" s="51">
        <v>4.76</v>
      </c>
      <c r="F12" s="51">
        <v>6.08</v>
      </c>
      <c r="G12" s="51">
        <v>26.6</v>
      </c>
      <c r="H12" s="51">
        <v>5.23</v>
      </c>
      <c r="I12" s="51">
        <v>1.3</v>
      </c>
      <c r="J12" s="51">
        <v>0.06</v>
      </c>
      <c r="K12" s="51">
        <v>290.5</v>
      </c>
      <c r="L12" s="51">
        <v>23.72</v>
      </c>
      <c r="M12" s="51">
        <v>98.4</v>
      </c>
      <c r="N12" s="51">
        <v>28.8</v>
      </c>
      <c r="O12" s="51">
        <v>0</v>
      </c>
      <c r="P12" s="51">
        <v>0.36</v>
      </c>
      <c r="Q12" s="51">
        <v>9.39</v>
      </c>
      <c r="R12" s="43"/>
      <c r="S12" s="43"/>
      <c r="T12" s="43"/>
      <c r="U12" s="43"/>
    </row>
    <row r="13" spans="1:21" s="11" customFormat="1" x14ac:dyDescent="0.25">
      <c r="A13" s="50" t="s">
        <v>472</v>
      </c>
      <c r="B13" s="51">
        <v>7.71</v>
      </c>
      <c r="C13" s="51">
        <v>22.53</v>
      </c>
      <c r="D13" s="51">
        <v>17.95</v>
      </c>
      <c r="E13" s="51">
        <v>4.92</v>
      </c>
      <c r="F13" s="51">
        <v>6.28</v>
      </c>
      <c r="G13" s="51">
        <v>19.239999999999998</v>
      </c>
      <c r="H13" s="51">
        <v>5.23</v>
      </c>
      <c r="I13" s="51">
        <v>1.26</v>
      </c>
      <c r="J13" s="51">
        <v>0.05</v>
      </c>
      <c r="K13" s="51">
        <v>308.86</v>
      </c>
      <c r="L13" s="51">
        <v>23.5</v>
      </c>
      <c r="M13" s="51">
        <v>98.4</v>
      </c>
      <c r="N13" s="51">
        <v>28.8</v>
      </c>
      <c r="O13" s="51">
        <v>0</v>
      </c>
      <c r="P13" s="51">
        <v>0.28000000000000003</v>
      </c>
      <c r="Q13" s="51">
        <v>9.3800000000000008</v>
      </c>
      <c r="R13" s="43"/>
      <c r="S13" s="43"/>
      <c r="T13" s="43"/>
      <c r="U13" s="43"/>
    </row>
    <row r="14" spans="1:21" s="11" customFormat="1" x14ac:dyDescent="0.25">
      <c r="A14" s="50" t="s">
        <v>473</v>
      </c>
      <c r="B14" s="51">
        <v>7.95</v>
      </c>
      <c r="C14" s="51">
        <v>8.4</v>
      </c>
      <c r="D14" s="51">
        <v>10.25</v>
      </c>
      <c r="E14" s="51">
        <v>5.14</v>
      </c>
      <c r="F14" s="51">
        <v>5.44</v>
      </c>
      <c r="G14" s="51">
        <v>14.63</v>
      </c>
      <c r="H14" s="51">
        <v>3.66</v>
      </c>
      <c r="I14" s="51">
        <v>1.07</v>
      </c>
      <c r="J14" s="51">
        <v>7.0000000000000007E-2</v>
      </c>
      <c r="K14" s="51">
        <v>247.51</v>
      </c>
      <c r="L14" s="51">
        <v>23.27</v>
      </c>
      <c r="M14" s="51">
        <v>98.42</v>
      </c>
      <c r="N14" s="51">
        <v>36.700000000000003</v>
      </c>
      <c r="O14" s="51">
        <v>0</v>
      </c>
      <c r="P14" s="51">
        <v>0.28000000000000003</v>
      </c>
      <c r="Q14" s="51">
        <v>9.36</v>
      </c>
      <c r="R14" s="43"/>
      <c r="S14" s="43"/>
      <c r="T14" s="43"/>
      <c r="U14" s="43"/>
    </row>
    <row r="15" spans="1:21" s="11" customFormat="1" x14ac:dyDescent="0.25">
      <c r="A15" s="50" t="s">
        <v>474</v>
      </c>
      <c r="B15" s="51">
        <v>15.21</v>
      </c>
      <c r="C15" s="51">
        <v>11.87</v>
      </c>
      <c r="D15" s="51">
        <v>17.59</v>
      </c>
      <c r="E15" s="51">
        <v>4.91</v>
      </c>
      <c r="F15" s="51">
        <v>5.27</v>
      </c>
      <c r="G15" s="51">
        <v>22.35</v>
      </c>
      <c r="H15" s="51">
        <v>2.56</v>
      </c>
      <c r="I15" s="51">
        <v>1.01</v>
      </c>
      <c r="J15" s="51">
        <v>0.08</v>
      </c>
      <c r="K15" s="51">
        <v>195.03</v>
      </c>
      <c r="L15" s="51">
        <v>24.57</v>
      </c>
      <c r="M15" s="51">
        <v>98.42</v>
      </c>
      <c r="N15" s="51">
        <v>144.9</v>
      </c>
      <c r="O15" s="51">
        <v>0</v>
      </c>
      <c r="P15" s="51">
        <v>0.37</v>
      </c>
      <c r="Q15" s="51">
        <v>9.34</v>
      </c>
      <c r="R15" s="43"/>
      <c r="S15" s="43"/>
      <c r="T15" s="43"/>
      <c r="U15" s="43"/>
    </row>
    <row r="16" spans="1:21" s="11" customFormat="1" x14ac:dyDescent="0.25">
      <c r="A16" s="50" t="s">
        <v>475</v>
      </c>
      <c r="B16" s="51">
        <v>12.43</v>
      </c>
      <c r="C16" s="51">
        <v>8.32</v>
      </c>
      <c r="D16" s="51">
        <v>14.32</v>
      </c>
      <c r="E16" s="51">
        <v>5.27</v>
      </c>
      <c r="F16" s="51">
        <v>7.18</v>
      </c>
      <c r="G16" s="51">
        <v>26.68</v>
      </c>
      <c r="H16" s="51">
        <v>6.3</v>
      </c>
      <c r="I16" s="51">
        <v>0.97</v>
      </c>
      <c r="J16" s="51">
        <v>7.0000000000000007E-2</v>
      </c>
      <c r="K16" s="51">
        <v>330.84</v>
      </c>
      <c r="L16" s="51">
        <v>27.24</v>
      </c>
      <c r="M16" s="51">
        <v>98.33</v>
      </c>
      <c r="N16" s="51">
        <v>383.3</v>
      </c>
      <c r="O16" s="51">
        <v>0</v>
      </c>
      <c r="P16" s="51">
        <v>0.4</v>
      </c>
      <c r="Q16" s="51">
        <v>9.34</v>
      </c>
      <c r="R16" s="43"/>
      <c r="S16" s="43"/>
      <c r="T16" s="43"/>
      <c r="U16" s="43"/>
    </row>
    <row r="17" spans="1:21" s="11" customFormat="1" x14ac:dyDescent="0.25">
      <c r="A17" s="50" t="s">
        <v>476</v>
      </c>
      <c r="B17" s="51">
        <v>9.7799999999999994</v>
      </c>
      <c r="C17" s="51">
        <v>8.9700000000000006</v>
      </c>
      <c r="D17" s="51">
        <v>12.29</v>
      </c>
      <c r="E17" s="51">
        <v>5.37</v>
      </c>
      <c r="F17" s="51">
        <v>8.84</v>
      </c>
      <c r="G17" s="51">
        <v>30.49</v>
      </c>
      <c r="H17" s="51">
        <v>6.3</v>
      </c>
      <c r="I17" s="51">
        <v>0.97</v>
      </c>
      <c r="J17" s="51">
        <v>0.14000000000000001</v>
      </c>
      <c r="K17" s="51">
        <v>296.83</v>
      </c>
      <c r="L17" s="51">
        <v>29.91</v>
      </c>
      <c r="M17" s="51">
        <v>96.28</v>
      </c>
      <c r="N17" s="51">
        <v>664.8</v>
      </c>
      <c r="O17" s="51">
        <v>0</v>
      </c>
      <c r="P17" s="51">
        <v>0.32</v>
      </c>
      <c r="Q17" s="51">
        <v>9.34</v>
      </c>
      <c r="R17" s="43"/>
      <c r="S17" s="43"/>
      <c r="T17" s="43"/>
      <c r="U17" s="43"/>
    </row>
    <row r="18" spans="1:21" s="11" customFormat="1" x14ac:dyDescent="0.25">
      <c r="A18" s="50" t="s">
        <v>477</v>
      </c>
      <c r="B18" s="51">
        <v>7.95</v>
      </c>
      <c r="C18" s="51">
        <v>8.42</v>
      </c>
      <c r="D18" s="51">
        <v>10.54</v>
      </c>
      <c r="E18" s="51">
        <v>5.42</v>
      </c>
      <c r="F18" s="51">
        <v>10.36</v>
      </c>
      <c r="G18" s="51">
        <v>30.49</v>
      </c>
      <c r="H18" s="51">
        <v>4.41</v>
      </c>
      <c r="I18" s="51">
        <v>0.93</v>
      </c>
      <c r="J18" s="51">
        <v>0.19</v>
      </c>
      <c r="K18" s="51">
        <v>296.88</v>
      </c>
      <c r="L18" s="51">
        <v>30.7</v>
      </c>
      <c r="M18" s="51">
        <v>88.71</v>
      </c>
      <c r="N18" s="51">
        <v>876.7</v>
      </c>
      <c r="O18" s="51">
        <v>0</v>
      </c>
      <c r="P18" s="51">
        <v>0.3</v>
      </c>
      <c r="Q18" s="51">
        <v>9.3000000000000007</v>
      </c>
      <c r="R18" s="43"/>
      <c r="S18" s="43"/>
      <c r="T18" s="43"/>
      <c r="U18" s="43"/>
    </row>
    <row r="19" spans="1:21" s="11" customFormat="1" x14ac:dyDescent="0.25">
      <c r="A19" s="50" t="s">
        <v>478</v>
      </c>
      <c r="B19" s="51">
        <v>6.54</v>
      </c>
      <c r="C19" s="51">
        <v>8.17</v>
      </c>
      <c r="D19" s="51">
        <v>9.3800000000000008</v>
      </c>
      <c r="E19" s="51">
        <v>5.56</v>
      </c>
      <c r="F19" s="51">
        <v>9.23</v>
      </c>
      <c r="G19" s="51">
        <v>28.27</v>
      </c>
      <c r="H19" s="51">
        <v>3.09</v>
      </c>
      <c r="I19" s="51">
        <v>0.92</v>
      </c>
      <c r="J19" s="51">
        <v>0.16</v>
      </c>
      <c r="K19" s="51">
        <v>292.18</v>
      </c>
      <c r="L19" s="51">
        <v>31</v>
      </c>
      <c r="M19" s="51">
        <v>80.03</v>
      </c>
      <c r="N19" s="51">
        <v>959</v>
      </c>
      <c r="O19" s="51">
        <v>0</v>
      </c>
      <c r="P19" s="51">
        <v>0.31</v>
      </c>
      <c r="Q19" s="51">
        <v>9.2100000000000009</v>
      </c>
      <c r="R19" s="43"/>
      <c r="S19" s="43"/>
      <c r="T19" s="43"/>
      <c r="U19" s="43"/>
    </row>
    <row r="20" spans="1:21" s="11" customFormat="1" x14ac:dyDescent="0.25">
      <c r="A20" s="50" t="s">
        <v>479</v>
      </c>
      <c r="B20" s="51">
        <v>5.13</v>
      </c>
      <c r="C20" s="51">
        <v>7.79</v>
      </c>
      <c r="D20" s="51">
        <v>8.18</v>
      </c>
      <c r="E20" s="51">
        <v>5.28</v>
      </c>
      <c r="F20" s="51">
        <v>10.31</v>
      </c>
      <c r="G20" s="51">
        <v>29.34</v>
      </c>
      <c r="H20" s="51">
        <v>2.16</v>
      </c>
      <c r="I20" s="51">
        <v>0.86</v>
      </c>
      <c r="J20" s="51">
        <v>0.16</v>
      </c>
      <c r="K20" s="51">
        <v>321.83</v>
      </c>
      <c r="L20" s="51">
        <v>31.64</v>
      </c>
      <c r="M20" s="51">
        <v>77.53</v>
      </c>
      <c r="N20" s="51">
        <v>965.7</v>
      </c>
      <c r="O20" s="51">
        <v>0</v>
      </c>
      <c r="P20" s="51">
        <v>0.28999999999999998</v>
      </c>
      <c r="Q20" s="51">
        <v>9.14</v>
      </c>
      <c r="R20" s="43"/>
      <c r="S20" s="43"/>
      <c r="T20" s="43"/>
      <c r="U20" s="43"/>
    </row>
    <row r="21" spans="1:21" s="11" customFormat="1" x14ac:dyDescent="0.25">
      <c r="A21" s="50" t="s">
        <v>480</v>
      </c>
      <c r="B21" s="51">
        <v>5.04</v>
      </c>
      <c r="C21" s="51">
        <v>10.38</v>
      </c>
      <c r="D21" s="51">
        <v>9.4700000000000006</v>
      </c>
      <c r="E21" s="51">
        <v>5.54</v>
      </c>
      <c r="F21" s="51">
        <v>10.199999999999999</v>
      </c>
      <c r="G21" s="55" t="s">
        <v>12</v>
      </c>
      <c r="H21" s="55" t="s">
        <v>12</v>
      </c>
      <c r="I21" s="51">
        <v>0.81</v>
      </c>
      <c r="J21" s="51">
        <v>0.17</v>
      </c>
      <c r="K21" s="51">
        <v>295.17</v>
      </c>
      <c r="L21" s="51">
        <v>31.36</v>
      </c>
      <c r="M21" s="51">
        <v>77.03</v>
      </c>
      <c r="N21" s="51">
        <v>804.6</v>
      </c>
      <c r="O21" s="51">
        <v>0</v>
      </c>
      <c r="P21" s="51">
        <v>0.93</v>
      </c>
      <c r="Q21" s="51">
        <v>9.1199999999999992</v>
      </c>
      <c r="R21" s="43"/>
      <c r="S21" s="43"/>
      <c r="T21" s="43"/>
      <c r="U21" s="43"/>
    </row>
    <row r="22" spans="1:21" s="11" customFormat="1" x14ac:dyDescent="0.25">
      <c r="A22" s="50" t="s">
        <v>481</v>
      </c>
      <c r="B22" s="51">
        <v>5.37</v>
      </c>
      <c r="C22" s="51">
        <v>9.73</v>
      </c>
      <c r="D22" s="51">
        <v>9.39</v>
      </c>
      <c r="E22" s="51">
        <v>6.12</v>
      </c>
      <c r="F22" s="51">
        <v>12</v>
      </c>
      <c r="G22" s="55" t="s">
        <v>12</v>
      </c>
      <c r="H22" s="55" t="s">
        <v>12</v>
      </c>
      <c r="I22" s="51">
        <v>121.13</v>
      </c>
      <c r="J22" s="51">
        <v>0.56000000000000005</v>
      </c>
      <c r="K22" s="51">
        <v>222.16</v>
      </c>
      <c r="L22" s="51">
        <v>30.79</v>
      </c>
      <c r="M22" s="51">
        <v>79.89</v>
      </c>
      <c r="N22" s="51">
        <v>344.6</v>
      </c>
      <c r="O22" s="51">
        <v>0</v>
      </c>
      <c r="P22" s="51">
        <v>0.93</v>
      </c>
      <c r="Q22" s="51">
        <v>9.1300000000000008</v>
      </c>
      <c r="R22" s="43"/>
      <c r="S22" s="43"/>
      <c r="T22" s="43"/>
      <c r="U22" s="43"/>
    </row>
    <row r="23" spans="1:21" s="11" customFormat="1" x14ac:dyDescent="0.25">
      <c r="A23" s="50" t="s">
        <v>482</v>
      </c>
      <c r="B23" s="51">
        <v>4.53</v>
      </c>
      <c r="C23" s="51">
        <v>8.89</v>
      </c>
      <c r="D23" s="51">
        <v>8.2799999999999994</v>
      </c>
      <c r="E23" s="51">
        <v>5.35</v>
      </c>
      <c r="F23" s="51">
        <v>12.51</v>
      </c>
      <c r="G23" s="55" t="s">
        <v>12</v>
      </c>
      <c r="H23" s="55" t="s">
        <v>12</v>
      </c>
      <c r="I23" s="51">
        <v>156.94</v>
      </c>
      <c r="J23" s="51">
        <v>0.39</v>
      </c>
      <c r="K23" s="51">
        <v>216.56</v>
      </c>
      <c r="L23" s="51">
        <v>30.05</v>
      </c>
      <c r="M23" s="51">
        <v>82.2</v>
      </c>
      <c r="N23" s="51">
        <v>199.1</v>
      </c>
      <c r="O23" s="51">
        <v>0</v>
      </c>
      <c r="P23" s="51">
        <v>6.66</v>
      </c>
      <c r="Q23" s="51">
        <v>9.1199999999999992</v>
      </c>
      <c r="R23" s="43"/>
      <c r="S23" s="43"/>
      <c r="T23" s="43"/>
      <c r="U23" s="43"/>
    </row>
    <row r="24" spans="1:21" s="11" customFormat="1" x14ac:dyDescent="0.25">
      <c r="A24" s="50" t="s">
        <v>483</v>
      </c>
      <c r="B24" s="51">
        <v>6.31</v>
      </c>
      <c r="C24" s="51">
        <v>10.08</v>
      </c>
      <c r="D24" s="51">
        <v>10.130000000000001</v>
      </c>
      <c r="E24" s="51">
        <v>5.48</v>
      </c>
      <c r="F24" s="51">
        <v>14.32</v>
      </c>
      <c r="G24" s="51">
        <v>65.78</v>
      </c>
      <c r="H24" s="51">
        <v>25.2</v>
      </c>
      <c r="I24" s="51">
        <v>95.8</v>
      </c>
      <c r="J24" s="51">
        <v>0.22</v>
      </c>
      <c r="K24" s="51">
        <v>170.69</v>
      </c>
      <c r="L24" s="51">
        <v>29.7</v>
      </c>
      <c r="M24" s="51">
        <v>81.12</v>
      </c>
      <c r="N24" s="51">
        <v>144.4</v>
      </c>
      <c r="O24" s="51">
        <v>0</v>
      </c>
      <c r="P24" s="51">
        <v>1.1200000000000001</v>
      </c>
      <c r="Q24" s="51">
        <v>9.09</v>
      </c>
      <c r="R24" s="43"/>
      <c r="S24" s="43"/>
      <c r="T24" s="43"/>
      <c r="U24" s="43"/>
    </row>
    <row r="25" spans="1:21" s="11" customFormat="1" x14ac:dyDescent="0.25">
      <c r="A25" s="50" t="s">
        <v>484</v>
      </c>
      <c r="B25" s="51">
        <v>7.68</v>
      </c>
      <c r="C25" s="51">
        <v>10</v>
      </c>
      <c r="D25" s="51">
        <v>11.37</v>
      </c>
      <c r="E25" s="51">
        <v>5.3</v>
      </c>
      <c r="F25" s="51">
        <v>12.3</v>
      </c>
      <c r="G25" s="51">
        <v>66.64</v>
      </c>
      <c r="H25" s="51">
        <v>25.2</v>
      </c>
      <c r="I25" s="51">
        <v>49.25</v>
      </c>
      <c r="J25" s="51">
        <v>0.09</v>
      </c>
      <c r="K25" s="51">
        <v>291.91000000000003</v>
      </c>
      <c r="L25" s="51">
        <v>29.33</v>
      </c>
      <c r="M25" s="51">
        <v>84.58</v>
      </c>
      <c r="N25" s="51">
        <v>95.7</v>
      </c>
      <c r="O25" s="51">
        <v>0</v>
      </c>
      <c r="P25" s="51">
        <v>0.52</v>
      </c>
      <c r="Q25" s="51">
        <v>9.11</v>
      </c>
      <c r="R25" s="43"/>
      <c r="S25" s="43"/>
      <c r="T25" s="43"/>
      <c r="U25" s="43"/>
    </row>
    <row r="26" spans="1:21" s="11" customFormat="1" x14ac:dyDescent="0.25">
      <c r="A26" s="50" t="s">
        <v>485</v>
      </c>
      <c r="B26" s="51">
        <v>5.85</v>
      </c>
      <c r="C26" s="51">
        <v>14.78</v>
      </c>
      <c r="D26" s="51">
        <v>11.82</v>
      </c>
      <c r="E26" s="51">
        <v>5.73</v>
      </c>
      <c r="F26" s="51">
        <v>12.09</v>
      </c>
      <c r="G26" s="51">
        <v>66.5</v>
      </c>
      <c r="H26" s="51">
        <v>17.64</v>
      </c>
      <c r="I26" s="51">
        <v>39.81</v>
      </c>
      <c r="J26" s="51">
        <v>0.21</v>
      </c>
      <c r="K26" s="51">
        <v>234.34</v>
      </c>
      <c r="L26" s="51">
        <v>28.98</v>
      </c>
      <c r="M26" s="51">
        <v>93.69</v>
      </c>
      <c r="N26" s="51">
        <v>81.5</v>
      </c>
      <c r="O26" s="51">
        <v>0</v>
      </c>
      <c r="P26" s="51">
        <v>0.01</v>
      </c>
      <c r="Q26" s="51">
        <v>9.15</v>
      </c>
      <c r="R26" s="43"/>
      <c r="S26" s="43"/>
      <c r="T26" s="43"/>
      <c r="U26" s="43"/>
    </row>
    <row r="27" spans="1:21" s="11" customFormat="1" x14ac:dyDescent="0.25">
      <c r="A27" s="50" t="s">
        <v>486</v>
      </c>
      <c r="B27" s="51">
        <v>8.27</v>
      </c>
      <c r="C27" s="51">
        <v>17.93</v>
      </c>
      <c r="D27" s="51">
        <v>16</v>
      </c>
      <c r="E27" s="51">
        <v>5.89</v>
      </c>
      <c r="F27" s="51">
        <v>9.64</v>
      </c>
      <c r="G27" s="51">
        <v>54.17</v>
      </c>
      <c r="H27" s="51">
        <v>12.35</v>
      </c>
      <c r="I27" s="51">
        <v>33.21</v>
      </c>
      <c r="J27" s="51">
        <v>0.25</v>
      </c>
      <c r="K27" s="51">
        <v>185.79</v>
      </c>
      <c r="L27" s="51">
        <v>27.97</v>
      </c>
      <c r="M27" s="51">
        <v>97.19</v>
      </c>
      <c r="N27" s="51">
        <v>49.3</v>
      </c>
      <c r="O27" s="51">
        <v>0</v>
      </c>
      <c r="P27" s="51">
        <v>0</v>
      </c>
      <c r="Q27" s="51">
        <v>9.18</v>
      </c>
      <c r="R27" s="43"/>
      <c r="S27" s="43"/>
      <c r="T27" s="43"/>
      <c r="U27" s="43"/>
    </row>
    <row r="28" spans="1:21" s="11" customFormat="1" x14ac:dyDescent="0.25">
      <c r="A28" s="50" t="s">
        <v>487</v>
      </c>
      <c r="B28" s="51">
        <v>14.93</v>
      </c>
      <c r="C28" s="51">
        <v>20.18</v>
      </c>
      <c r="D28" s="51">
        <v>22.47</v>
      </c>
      <c r="E28" s="51">
        <v>6.04</v>
      </c>
      <c r="F28" s="51">
        <v>7.84</v>
      </c>
      <c r="G28" s="51">
        <v>46.62</v>
      </c>
      <c r="H28" s="51">
        <v>10.93</v>
      </c>
      <c r="I28" s="51">
        <v>28.14</v>
      </c>
      <c r="J28" s="51">
        <v>0.18</v>
      </c>
      <c r="K28" s="51">
        <v>198.16</v>
      </c>
      <c r="L28" s="51">
        <v>27.41</v>
      </c>
      <c r="M28" s="51">
        <v>98.05</v>
      </c>
      <c r="N28" s="51">
        <v>50.2</v>
      </c>
      <c r="O28" s="51">
        <v>0</v>
      </c>
      <c r="P28" s="51">
        <v>0.56999999999999995</v>
      </c>
      <c r="Q28" s="51">
        <v>9.19</v>
      </c>
      <c r="R28" s="43"/>
      <c r="S28" s="43"/>
      <c r="T28" s="43"/>
      <c r="U28" s="43"/>
    </row>
    <row r="29" spans="1:21" s="11" customFormat="1" x14ac:dyDescent="0.25">
      <c r="A29" s="50" t="s">
        <v>488</v>
      </c>
      <c r="B29" s="51">
        <v>26.23</v>
      </c>
      <c r="C29" s="51">
        <v>22.72</v>
      </c>
      <c r="D29" s="51">
        <v>32.9</v>
      </c>
      <c r="E29" s="51">
        <v>6.08</v>
      </c>
      <c r="F29" s="51">
        <v>6.66</v>
      </c>
      <c r="G29" s="51">
        <v>48.33</v>
      </c>
      <c r="H29" s="51">
        <v>10.93</v>
      </c>
      <c r="I29" s="51">
        <v>23.5</v>
      </c>
      <c r="J29" s="51">
        <v>0.08</v>
      </c>
      <c r="K29" s="51">
        <v>348.62</v>
      </c>
      <c r="L29" s="51">
        <v>27.02</v>
      </c>
      <c r="M29" s="51">
        <v>98.03</v>
      </c>
      <c r="N29" s="51">
        <v>50.5</v>
      </c>
      <c r="O29" s="51">
        <v>0</v>
      </c>
      <c r="P29" s="51">
        <v>0.98</v>
      </c>
      <c r="Q29" s="51">
        <v>9.2799999999999994</v>
      </c>
      <c r="R29" s="43"/>
      <c r="S29" s="43"/>
      <c r="T29" s="43"/>
      <c r="U29" s="43"/>
    </row>
    <row r="30" spans="1:21" s="11" customFormat="1" x14ac:dyDescent="0.25">
      <c r="A30" s="50" t="s">
        <v>489</v>
      </c>
      <c r="B30" s="51">
        <v>33.36</v>
      </c>
      <c r="C30" s="51">
        <v>21.72</v>
      </c>
      <c r="D30" s="51">
        <v>36.46</v>
      </c>
      <c r="E30" s="51">
        <v>6.02</v>
      </c>
      <c r="F30" s="51">
        <v>6.19</v>
      </c>
      <c r="G30" s="51">
        <v>55.1</v>
      </c>
      <c r="H30" s="51">
        <v>7.84</v>
      </c>
      <c r="I30" s="51">
        <v>19.88</v>
      </c>
      <c r="J30" s="51">
        <v>0.12</v>
      </c>
      <c r="K30" s="51">
        <v>340.37</v>
      </c>
      <c r="L30" s="51">
        <v>26.49</v>
      </c>
      <c r="M30" s="51">
        <v>98.04</v>
      </c>
      <c r="N30" s="51">
        <v>50.5</v>
      </c>
      <c r="O30" s="51">
        <v>0</v>
      </c>
      <c r="P30" s="51">
        <v>0.5</v>
      </c>
      <c r="Q30" s="51">
        <v>9.44</v>
      </c>
      <c r="R30" s="43"/>
      <c r="S30" s="43"/>
      <c r="T30" s="43"/>
      <c r="U30" s="43"/>
    </row>
    <row r="31" spans="1:21" s="11" customFormat="1" x14ac:dyDescent="0.25">
      <c r="A31" s="50" t="s">
        <v>490</v>
      </c>
      <c r="B31" s="51">
        <v>38.049999999999997</v>
      </c>
      <c r="C31" s="51">
        <v>17.77</v>
      </c>
      <c r="D31" s="51">
        <v>37.28</v>
      </c>
      <c r="E31" s="51">
        <v>5.93</v>
      </c>
      <c r="F31" s="51">
        <v>7.81</v>
      </c>
      <c r="G31" s="51">
        <v>66.989999999999995</v>
      </c>
      <c r="H31" s="51">
        <v>5.49</v>
      </c>
      <c r="I31" s="51">
        <v>17.02</v>
      </c>
      <c r="J31" s="51">
        <v>0.09</v>
      </c>
      <c r="K31" s="51">
        <v>328.04</v>
      </c>
      <c r="L31" s="51">
        <v>26.36</v>
      </c>
      <c r="M31" s="51">
        <v>98.12</v>
      </c>
      <c r="N31" s="51">
        <v>50</v>
      </c>
      <c r="O31" s="51">
        <v>0</v>
      </c>
      <c r="P31" s="51">
        <v>0.54</v>
      </c>
      <c r="Q31" s="51">
        <v>9.5500000000000007</v>
      </c>
      <c r="R31" s="43"/>
      <c r="S31" s="43"/>
      <c r="T31" s="43"/>
      <c r="U31" s="43"/>
    </row>
    <row r="32" spans="1:21" s="11" customFormat="1" x14ac:dyDescent="0.25">
      <c r="A32" s="50" t="s">
        <v>491</v>
      </c>
      <c r="B32" s="51">
        <v>38.049999999999997</v>
      </c>
      <c r="C32" s="51">
        <v>17.77</v>
      </c>
      <c r="D32" s="51">
        <v>37.28</v>
      </c>
      <c r="E32" s="51">
        <v>5.9</v>
      </c>
      <c r="F32" s="51">
        <v>7.2</v>
      </c>
      <c r="G32" s="51">
        <v>66.98</v>
      </c>
      <c r="H32" s="51">
        <v>8.9600000000000009</v>
      </c>
      <c r="I32" s="51">
        <v>14.87</v>
      </c>
      <c r="J32" s="51">
        <v>0.08</v>
      </c>
      <c r="K32" s="51">
        <v>305.26</v>
      </c>
      <c r="L32" s="51">
        <v>25.97</v>
      </c>
      <c r="M32" s="51">
        <v>98.13</v>
      </c>
      <c r="N32" s="51">
        <v>49.7</v>
      </c>
      <c r="O32" s="51">
        <v>0</v>
      </c>
      <c r="P32" s="51">
        <v>0.18</v>
      </c>
      <c r="Q32" s="51">
        <v>9.56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4.53</v>
      </c>
      <c r="C34" s="28">
        <f t="shared" si="0"/>
        <v>5.26</v>
      </c>
      <c r="D34" s="28">
        <f t="shared" si="0"/>
        <v>8.18</v>
      </c>
      <c r="E34" s="28">
        <f t="shared" si="0"/>
        <v>4.76</v>
      </c>
      <c r="F34" s="28">
        <f t="shared" si="0"/>
        <v>5</v>
      </c>
      <c r="G34" s="28">
        <f t="shared" si="0"/>
        <v>14.63</v>
      </c>
      <c r="H34" s="28">
        <f t="shared" si="0"/>
        <v>2.16</v>
      </c>
      <c r="I34" s="28">
        <f t="shared" si="0"/>
        <v>0.81</v>
      </c>
      <c r="J34" s="28">
        <f t="shared" si="0"/>
        <v>0.04</v>
      </c>
      <c r="K34" s="28">
        <f t="shared" si="0"/>
        <v>145.47999999999999</v>
      </c>
      <c r="L34" s="28">
        <f t="shared" si="0"/>
        <v>23.27</v>
      </c>
      <c r="M34" s="28">
        <f t="shared" si="0"/>
        <v>77.03</v>
      </c>
      <c r="N34" s="28">
        <f t="shared" si="0"/>
        <v>28.8</v>
      </c>
      <c r="O34" s="28">
        <f t="shared" si="0"/>
        <v>0</v>
      </c>
      <c r="P34" s="28">
        <f t="shared" si="0"/>
        <v>0</v>
      </c>
      <c r="Q34" s="28">
        <f t="shared" si="0"/>
        <v>9.09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38.049999999999997</v>
      </c>
      <c r="C35" s="29">
        <f t="shared" si="1"/>
        <v>22.72</v>
      </c>
      <c r="D35" s="29">
        <f t="shared" si="1"/>
        <v>37.28</v>
      </c>
      <c r="E35" s="29">
        <f t="shared" si="1"/>
        <v>6.12</v>
      </c>
      <c r="F35" s="29">
        <f t="shared" si="1"/>
        <v>14.32</v>
      </c>
      <c r="G35" s="29">
        <f t="shared" si="1"/>
        <v>66.989999999999995</v>
      </c>
      <c r="H35" s="29">
        <f t="shared" si="1"/>
        <v>25.2</v>
      </c>
      <c r="I35" s="29">
        <f t="shared" si="1"/>
        <v>156.94</v>
      </c>
      <c r="J35" s="29">
        <f t="shared" si="1"/>
        <v>0.56000000000000005</v>
      </c>
      <c r="K35" s="29">
        <f t="shared" si="1"/>
        <v>348.62</v>
      </c>
      <c r="L35" s="29">
        <f t="shared" si="1"/>
        <v>31.64</v>
      </c>
      <c r="M35" s="29">
        <f t="shared" si="1"/>
        <v>98.5</v>
      </c>
      <c r="N35" s="29">
        <f t="shared" si="1"/>
        <v>965.7</v>
      </c>
      <c r="O35" s="29">
        <f t="shared" si="1"/>
        <v>0</v>
      </c>
      <c r="P35" s="29">
        <f t="shared" si="1"/>
        <v>6.66</v>
      </c>
      <c r="Q35" s="29">
        <f t="shared" si="1"/>
        <v>9.56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12.582500000000001</v>
      </c>
      <c r="C36" s="28">
        <f t="shared" si="2"/>
        <v>12.28</v>
      </c>
      <c r="D36" s="28">
        <f t="shared" si="2"/>
        <v>15.986249999999998</v>
      </c>
      <c r="E36" s="28">
        <f t="shared" si="2"/>
        <v>5.4591666666666674</v>
      </c>
      <c r="F36" s="28">
        <f t="shared" si="2"/>
        <v>8.6041666666666661</v>
      </c>
      <c r="G36" s="28">
        <f t="shared" si="2"/>
        <v>41.368095238095236</v>
      </c>
      <c r="H36" s="28">
        <f t="shared" si="2"/>
        <v>8.4561904761904785</v>
      </c>
      <c r="I36" s="28">
        <f t="shared" si="2"/>
        <v>25.596249999999998</v>
      </c>
      <c r="J36" s="28">
        <f t="shared" si="2"/>
        <v>0.15541666666666668</v>
      </c>
      <c r="K36" s="28">
        <f t="shared" si="2"/>
        <v>263.75833333333333</v>
      </c>
      <c r="L36" s="28">
        <f t="shared" si="2"/>
        <v>27.453333333333333</v>
      </c>
      <c r="M36" s="28">
        <f t="shared" si="2"/>
        <v>92.33208333333333</v>
      </c>
      <c r="N36" s="28">
        <f t="shared" si="2"/>
        <v>256.07499999999999</v>
      </c>
      <c r="O36" s="28">
        <f t="shared" si="2"/>
        <v>0</v>
      </c>
      <c r="P36" s="28">
        <f t="shared" si="2"/>
        <v>0.7004166666666668</v>
      </c>
      <c r="Q36" s="28">
        <f t="shared" si="2"/>
        <v>9.3004166666666688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10.320032124149529</v>
      </c>
      <c r="C37" s="28">
        <f t="shared" ref="C37:Q37" si="3">STDEV(C9:C32)</f>
        <v>5.5439555804732858</v>
      </c>
      <c r="D37" s="28">
        <f t="shared" si="3"/>
        <v>9.7886139768077758</v>
      </c>
      <c r="E37" s="28">
        <f t="shared" si="3"/>
        <v>0.42555249680413332</v>
      </c>
      <c r="F37" s="28">
        <f t="shared" si="3"/>
        <v>2.6554683803127053</v>
      </c>
      <c r="G37" s="28">
        <f t="shared" si="3"/>
        <v>17.933011910732567</v>
      </c>
      <c r="H37" s="28">
        <f t="shared" si="3"/>
        <v>6.7053146653907838</v>
      </c>
      <c r="I37" s="28">
        <f t="shared" si="3"/>
        <v>41.774427460755376</v>
      </c>
      <c r="J37" s="28">
        <f t="shared" si="3"/>
        <v>0.11739858404696318</v>
      </c>
      <c r="K37" s="28">
        <f t="shared" si="3"/>
        <v>62.363233640863321</v>
      </c>
      <c r="L37" s="28">
        <f t="shared" si="3"/>
        <v>2.8544437768788931</v>
      </c>
      <c r="M37" s="28">
        <f t="shared" si="3"/>
        <v>8.2442918219170007</v>
      </c>
      <c r="N37" s="28">
        <f t="shared" si="3"/>
        <v>331.00123374261085</v>
      </c>
      <c r="O37" s="28">
        <f t="shared" si="3"/>
        <v>0</v>
      </c>
      <c r="P37" s="28">
        <f t="shared" si="3"/>
        <v>1.3015057472577398</v>
      </c>
      <c r="Q37" s="28">
        <f t="shared" si="3"/>
        <v>0.15487664563231893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>COUNT(H9:H32)+3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492</v>
      </c>
      <c r="B9" s="56" t="s">
        <v>14</v>
      </c>
      <c r="C9" s="56" t="s">
        <v>14</v>
      </c>
      <c r="D9" s="56" t="s">
        <v>14</v>
      </c>
      <c r="E9" s="51">
        <v>4.5999999999999996</v>
      </c>
      <c r="F9" s="51">
        <v>5.55</v>
      </c>
      <c r="G9" s="51">
        <v>66.430000000000007</v>
      </c>
      <c r="H9" s="51">
        <v>8.9600000000000009</v>
      </c>
      <c r="I9" s="51">
        <v>13.4</v>
      </c>
      <c r="J9" s="51">
        <v>0.08</v>
      </c>
      <c r="K9" s="51">
        <v>326.05</v>
      </c>
      <c r="L9" s="51">
        <v>25.64</v>
      </c>
      <c r="M9" s="51">
        <v>98.16</v>
      </c>
      <c r="N9" s="51">
        <v>49.8</v>
      </c>
      <c r="O9" s="51">
        <v>0</v>
      </c>
      <c r="P9" s="51">
        <v>0.23</v>
      </c>
      <c r="Q9" s="51">
        <v>9.5500000000000007</v>
      </c>
      <c r="R9" s="43"/>
      <c r="S9" s="43"/>
      <c r="T9" s="43"/>
      <c r="U9" s="43"/>
    </row>
    <row r="10" spans="1:21" s="11" customFormat="1" x14ac:dyDescent="0.25">
      <c r="A10" s="50" t="s">
        <v>493</v>
      </c>
      <c r="B10" s="56" t="s">
        <v>14</v>
      </c>
      <c r="C10" s="56" t="s">
        <v>14</v>
      </c>
      <c r="D10" s="56" t="s">
        <v>14</v>
      </c>
      <c r="E10" s="51">
        <v>4.5999999999999996</v>
      </c>
      <c r="F10" s="51">
        <v>7.22</v>
      </c>
      <c r="G10" s="51">
        <v>59.9</v>
      </c>
      <c r="H10" s="51">
        <v>8.16</v>
      </c>
      <c r="I10" s="51">
        <v>11.56</v>
      </c>
      <c r="J10" s="51">
        <v>0.09</v>
      </c>
      <c r="K10" s="51">
        <v>328.56</v>
      </c>
      <c r="L10" s="51">
        <v>25.65</v>
      </c>
      <c r="M10" s="51">
        <v>97.91</v>
      </c>
      <c r="N10" s="51">
        <v>49.9</v>
      </c>
      <c r="O10" s="51">
        <v>0</v>
      </c>
      <c r="P10" s="51">
        <v>0.24</v>
      </c>
      <c r="Q10" s="51">
        <v>9.51</v>
      </c>
      <c r="R10" s="43"/>
      <c r="S10" s="43"/>
      <c r="T10" s="43"/>
      <c r="U10" s="43"/>
    </row>
    <row r="11" spans="1:21" s="11" customFormat="1" x14ac:dyDescent="0.25">
      <c r="A11" s="50" t="s">
        <v>494</v>
      </c>
      <c r="B11" s="56" t="s">
        <v>14</v>
      </c>
      <c r="C11" s="56" t="s">
        <v>14</v>
      </c>
      <c r="D11" s="56" t="s">
        <v>14</v>
      </c>
      <c r="E11" s="51">
        <v>4.93</v>
      </c>
      <c r="F11" s="51">
        <v>6.63</v>
      </c>
      <c r="G11" s="51">
        <v>52.36</v>
      </c>
      <c r="H11" s="51">
        <v>6.1</v>
      </c>
      <c r="I11" s="51">
        <v>9.6300000000000008</v>
      </c>
      <c r="J11" s="51">
        <v>7.0000000000000007E-2</v>
      </c>
      <c r="K11" s="51">
        <v>328.77</v>
      </c>
      <c r="L11" s="51">
        <v>25.08</v>
      </c>
      <c r="M11" s="51">
        <v>97.91</v>
      </c>
      <c r="N11" s="51">
        <v>49.9</v>
      </c>
      <c r="O11" s="51">
        <v>0</v>
      </c>
      <c r="P11" s="51">
        <v>0.19</v>
      </c>
      <c r="Q11" s="51">
        <v>9.4600000000000009</v>
      </c>
      <c r="R11" s="43"/>
      <c r="S11" s="43"/>
      <c r="T11" s="43"/>
      <c r="U11" s="43"/>
    </row>
    <row r="12" spans="1:21" s="11" customFormat="1" x14ac:dyDescent="0.25">
      <c r="A12" s="50" t="s">
        <v>495</v>
      </c>
      <c r="B12" s="56" t="s">
        <v>14</v>
      </c>
      <c r="C12" s="56" t="s">
        <v>14</v>
      </c>
      <c r="D12" s="56" t="s">
        <v>14</v>
      </c>
      <c r="E12" s="51">
        <v>4.59</v>
      </c>
      <c r="F12" s="51">
        <v>5.49</v>
      </c>
      <c r="G12" s="51">
        <v>40.54</v>
      </c>
      <c r="H12" s="51">
        <v>4.8499999999999996</v>
      </c>
      <c r="I12" s="51">
        <v>8.5299999999999994</v>
      </c>
      <c r="J12" s="51">
        <v>0.11</v>
      </c>
      <c r="K12" s="51">
        <v>328.76</v>
      </c>
      <c r="L12" s="51">
        <v>24.78</v>
      </c>
      <c r="M12" s="51">
        <v>98.03</v>
      </c>
      <c r="N12" s="51">
        <v>49.8</v>
      </c>
      <c r="O12" s="51">
        <v>0</v>
      </c>
      <c r="P12" s="51">
        <v>0.28000000000000003</v>
      </c>
      <c r="Q12" s="51">
        <v>9.44</v>
      </c>
      <c r="R12" s="43"/>
      <c r="S12" s="43"/>
      <c r="T12" s="43"/>
      <c r="U12" s="43"/>
    </row>
    <row r="13" spans="1:21" s="11" customFormat="1" x14ac:dyDescent="0.25">
      <c r="A13" s="50" t="s">
        <v>496</v>
      </c>
      <c r="B13" s="56" t="s">
        <v>14</v>
      </c>
      <c r="C13" s="56" t="s">
        <v>14</v>
      </c>
      <c r="D13" s="56" t="s">
        <v>14</v>
      </c>
      <c r="E13" s="51">
        <v>4.6500000000000004</v>
      </c>
      <c r="F13" s="51">
        <v>6.5</v>
      </c>
      <c r="G13" s="51">
        <v>36.06</v>
      </c>
      <c r="H13" s="51">
        <v>4.8499999999999996</v>
      </c>
      <c r="I13" s="51">
        <v>7.59</v>
      </c>
      <c r="J13" s="51">
        <v>0.08</v>
      </c>
      <c r="K13" s="51">
        <v>329</v>
      </c>
      <c r="L13" s="51">
        <v>24.38</v>
      </c>
      <c r="M13" s="51">
        <v>98.04</v>
      </c>
      <c r="N13" s="51">
        <v>49.8</v>
      </c>
      <c r="O13" s="51">
        <v>0</v>
      </c>
      <c r="P13" s="51">
        <v>0.49</v>
      </c>
      <c r="Q13" s="51">
        <v>9.4</v>
      </c>
      <c r="R13" s="43"/>
      <c r="S13" s="43"/>
      <c r="T13" s="43"/>
      <c r="U13" s="43"/>
    </row>
    <row r="14" spans="1:21" s="11" customFormat="1" x14ac:dyDescent="0.25">
      <c r="A14" s="50" t="s">
        <v>497</v>
      </c>
      <c r="B14" s="56" t="s">
        <v>14</v>
      </c>
      <c r="C14" s="56" t="s">
        <v>14</v>
      </c>
      <c r="D14" s="56" t="s">
        <v>14</v>
      </c>
      <c r="E14" s="51">
        <v>4.49</v>
      </c>
      <c r="F14" s="51">
        <v>5.59</v>
      </c>
      <c r="G14" s="51">
        <v>45.82</v>
      </c>
      <c r="H14" s="51">
        <v>3.45</v>
      </c>
      <c r="I14" s="51">
        <v>6.77</v>
      </c>
      <c r="J14" s="51">
        <v>0.09</v>
      </c>
      <c r="K14" s="51">
        <v>331.2</v>
      </c>
      <c r="L14" s="51">
        <v>24.35</v>
      </c>
      <c r="M14" s="51">
        <v>98.05</v>
      </c>
      <c r="N14" s="51">
        <v>56.9</v>
      </c>
      <c r="O14" s="51">
        <v>0</v>
      </c>
      <c r="P14" s="51">
        <v>0.49</v>
      </c>
      <c r="Q14" s="51">
        <v>9.4</v>
      </c>
      <c r="R14" s="43"/>
      <c r="S14" s="43"/>
      <c r="T14" s="43"/>
      <c r="U14" s="43"/>
    </row>
    <row r="15" spans="1:21" s="11" customFormat="1" x14ac:dyDescent="0.25">
      <c r="A15" s="50" t="s">
        <v>498</v>
      </c>
      <c r="B15" s="56" t="s">
        <v>14</v>
      </c>
      <c r="C15" s="56" t="s">
        <v>14</v>
      </c>
      <c r="D15" s="56" t="s">
        <v>14</v>
      </c>
      <c r="E15" s="51">
        <v>4.63</v>
      </c>
      <c r="F15" s="51">
        <v>4.32</v>
      </c>
      <c r="G15" s="51">
        <v>50.03</v>
      </c>
      <c r="H15" s="51">
        <v>2.41</v>
      </c>
      <c r="I15" s="51">
        <v>6.15</v>
      </c>
      <c r="J15" s="51">
        <v>0.12</v>
      </c>
      <c r="K15" s="51">
        <v>334.75</v>
      </c>
      <c r="L15" s="51">
        <v>25.67</v>
      </c>
      <c r="M15" s="51">
        <v>97.97</v>
      </c>
      <c r="N15" s="51">
        <v>111.8</v>
      </c>
      <c r="O15" s="51">
        <v>0</v>
      </c>
      <c r="P15" s="51">
        <v>0.71</v>
      </c>
      <c r="Q15" s="51">
        <v>9.49</v>
      </c>
      <c r="R15" s="43"/>
      <c r="S15" s="43"/>
      <c r="T15" s="43"/>
      <c r="U15" s="43"/>
    </row>
    <row r="16" spans="1:21" s="11" customFormat="1" x14ac:dyDescent="0.25">
      <c r="A16" s="50" t="s">
        <v>499</v>
      </c>
      <c r="B16" s="56" t="s">
        <v>14</v>
      </c>
      <c r="C16" s="56" t="s">
        <v>14</v>
      </c>
      <c r="D16" s="56" t="s">
        <v>14</v>
      </c>
      <c r="E16" s="51">
        <v>4.8099999999999996</v>
      </c>
      <c r="F16" s="51">
        <v>7.71</v>
      </c>
      <c r="G16" s="51">
        <v>67.290000000000006</v>
      </c>
      <c r="H16" s="51">
        <v>4.29</v>
      </c>
      <c r="I16" s="51">
        <v>5.73</v>
      </c>
      <c r="J16" s="51">
        <v>0.25</v>
      </c>
      <c r="K16" s="51">
        <v>331.04</v>
      </c>
      <c r="L16" s="51">
        <v>28.25</v>
      </c>
      <c r="M16" s="51">
        <v>97.76</v>
      </c>
      <c r="N16" s="51">
        <v>258.3</v>
      </c>
      <c r="O16" s="51">
        <v>0</v>
      </c>
      <c r="P16" s="51">
        <v>0.77</v>
      </c>
      <c r="Q16" s="51">
        <v>9.61</v>
      </c>
      <c r="R16" s="43"/>
      <c r="S16" s="43"/>
      <c r="T16" s="43"/>
      <c r="U16" s="43"/>
    </row>
    <row r="17" spans="1:21" s="11" customFormat="1" x14ac:dyDescent="0.25">
      <c r="A17" s="50" t="s">
        <v>500</v>
      </c>
      <c r="B17" s="56" t="s">
        <v>14</v>
      </c>
      <c r="C17" s="56" t="s">
        <v>14</v>
      </c>
      <c r="D17" s="56" t="s">
        <v>14</v>
      </c>
      <c r="E17" s="51">
        <v>3.62</v>
      </c>
      <c r="F17" s="51">
        <v>6.84</v>
      </c>
      <c r="G17" s="51">
        <v>80.69</v>
      </c>
      <c r="H17" s="51">
        <v>4.29</v>
      </c>
      <c r="I17" s="51">
        <v>5.47</v>
      </c>
      <c r="J17" s="51">
        <v>0.12</v>
      </c>
      <c r="K17" s="51">
        <v>315.20999999999998</v>
      </c>
      <c r="L17" s="51">
        <v>27.45</v>
      </c>
      <c r="M17" s="51">
        <v>97.8</v>
      </c>
      <c r="N17" s="51">
        <v>250.6</v>
      </c>
      <c r="O17" s="51">
        <v>0</v>
      </c>
      <c r="P17" s="51">
        <v>0.68</v>
      </c>
      <c r="Q17" s="51">
        <v>9.6199999999999992</v>
      </c>
      <c r="R17" s="43"/>
      <c r="S17" s="43"/>
      <c r="T17" s="43"/>
      <c r="U17" s="43"/>
    </row>
    <row r="18" spans="1:21" s="11" customFormat="1" x14ac:dyDescent="0.25">
      <c r="A18" s="50" t="s">
        <v>501</v>
      </c>
      <c r="B18" s="56" t="s">
        <v>14</v>
      </c>
      <c r="C18" s="56" t="s">
        <v>14</v>
      </c>
      <c r="D18" s="56" t="s">
        <v>14</v>
      </c>
      <c r="E18" s="51">
        <v>3.47</v>
      </c>
      <c r="F18" s="51">
        <v>7.83</v>
      </c>
      <c r="G18" s="51">
        <v>80.58</v>
      </c>
      <c r="H18" s="51">
        <v>3.42</v>
      </c>
      <c r="I18" s="51">
        <v>5.0599999999999996</v>
      </c>
      <c r="J18" s="51">
        <v>0.54</v>
      </c>
      <c r="K18" s="51">
        <v>329.31</v>
      </c>
      <c r="L18" s="51">
        <v>26.37</v>
      </c>
      <c r="M18" s="51">
        <v>97.99</v>
      </c>
      <c r="N18" s="51">
        <v>374.9</v>
      </c>
      <c r="O18" s="51">
        <v>0.4</v>
      </c>
      <c r="P18" s="51">
        <v>0.73</v>
      </c>
      <c r="Q18" s="51">
        <v>9.59</v>
      </c>
      <c r="R18" s="43"/>
      <c r="S18" s="43"/>
      <c r="T18" s="43"/>
      <c r="U18" s="43"/>
    </row>
    <row r="19" spans="1:21" s="11" customFormat="1" x14ac:dyDescent="0.25">
      <c r="A19" s="50" t="s">
        <v>502</v>
      </c>
      <c r="B19" s="51">
        <v>6.33</v>
      </c>
      <c r="C19" s="56" t="s">
        <v>14</v>
      </c>
      <c r="D19" s="51">
        <v>16.07</v>
      </c>
      <c r="E19" s="51">
        <v>3.34</v>
      </c>
      <c r="F19" s="51">
        <v>4.07</v>
      </c>
      <c r="G19" s="51">
        <v>69.86</v>
      </c>
      <c r="H19" s="51">
        <v>2.87</v>
      </c>
      <c r="I19" s="51">
        <v>4.6900000000000004</v>
      </c>
      <c r="J19" s="51">
        <v>0.24</v>
      </c>
      <c r="K19" s="51">
        <v>296.79000000000002</v>
      </c>
      <c r="L19" s="51">
        <v>30.47</v>
      </c>
      <c r="M19" s="51">
        <v>98.04</v>
      </c>
      <c r="N19" s="51">
        <v>929.1</v>
      </c>
      <c r="O19" s="51">
        <v>0</v>
      </c>
      <c r="P19" s="51">
        <v>0.65</v>
      </c>
      <c r="Q19" s="51">
        <v>9.5399999999999991</v>
      </c>
      <c r="R19" s="43"/>
      <c r="S19" s="43"/>
      <c r="T19" s="43"/>
      <c r="U19" s="43"/>
    </row>
    <row r="20" spans="1:21" s="11" customFormat="1" x14ac:dyDescent="0.25">
      <c r="A20" s="50" t="s">
        <v>503</v>
      </c>
      <c r="B20" s="51">
        <v>7.07</v>
      </c>
      <c r="C20" s="51">
        <v>21.04</v>
      </c>
      <c r="D20" s="51">
        <v>16.38</v>
      </c>
      <c r="E20" s="51">
        <v>3.5</v>
      </c>
      <c r="F20" s="51">
        <v>13.42</v>
      </c>
      <c r="G20" s="8" t="s">
        <v>8</v>
      </c>
      <c r="H20" s="8" t="s">
        <v>8</v>
      </c>
      <c r="I20" s="51">
        <v>4.1500000000000004</v>
      </c>
      <c r="J20" s="51">
        <v>0.54</v>
      </c>
      <c r="K20" s="51">
        <v>326</v>
      </c>
      <c r="L20" s="51">
        <v>30.88</v>
      </c>
      <c r="M20" s="51">
        <v>87.38</v>
      </c>
      <c r="N20" s="51">
        <v>796.6</v>
      </c>
      <c r="O20" s="51">
        <v>0</v>
      </c>
      <c r="P20" s="51">
        <v>0.66</v>
      </c>
      <c r="Q20" s="51">
        <v>9.4</v>
      </c>
      <c r="R20" s="43"/>
      <c r="S20" s="43"/>
      <c r="T20" s="43"/>
      <c r="U20" s="43"/>
    </row>
    <row r="21" spans="1:21" s="11" customFormat="1" x14ac:dyDescent="0.25">
      <c r="A21" s="50" t="s">
        <v>504</v>
      </c>
      <c r="B21" s="51">
        <v>6.29</v>
      </c>
      <c r="C21" s="51">
        <v>18.5</v>
      </c>
      <c r="D21" s="51">
        <v>18.579999999999998</v>
      </c>
      <c r="E21" s="51">
        <v>3.4</v>
      </c>
      <c r="F21" s="51">
        <v>17.059999999999999</v>
      </c>
      <c r="G21" s="8" t="s">
        <v>8</v>
      </c>
      <c r="H21" s="51">
        <v>10.45</v>
      </c>
      <c r="I21" s="51">
        <v>3.53</v>
      </c>
      <c r="J21" s="51">
        <v>0.48</v>
      </c>
      <c r="K21" s="51">
        <v>317.04000000000002</v>
      </c>
      <c r="L21" s="51">
        <v>31.87</v>
      </c>
      <c r="M21" s="51">
        <v>81.819999999999993</v>
      </c>
      <c r="N21" s="51">
        <v>970.4</v>
      </c>
      <c r="O21" s="51">
        <v>0</v>
      </c>
      <c r="P21" s="51">
        <v>0.62</v>
      </c>
      <c r="Q21" s="51">
        <v>9.24</v>
      </c>
      <c r="R21" s="43"/>
      <c r="S21" s="43"/>
      <c r="T21" s="43"/>
      <c r="U21" s="43"/>
    </row>
    <row r="22" spans="1:21" s="11" customFormat="1" x14ac:dyDescent="0.25">
      <c r="A22" s="50" t="s">
        <v>505</v>
      </c>
      <c r="B22" s="51">
        <v>6.62</v>
      </c>
      <c r="C22" s="51">
        <v>12.99</v>
      </c>
      <c r="D22" s="51">
        <v>12.09</v>
      </c>
      <c r="E22" s="51">
        <v>3.53</v>
      </c>
      <c r="F22" s="51">
        <v>13.95</v>
      </c>
      <c r="G22" s="8" t="s">
        <v>8</v>
      </c>
      <c r="H22" s="51">
        <v>83.61</v>
      </c>
      <c r="I22" s="51">
        <v>2.98</v>
      </c>
      <c r="J22" s="51">
        <v>0.26</v>
      </c>
      <c r="K22" s="51">
        <v>304.64</v>
      </c>
      <c r="L22" s="51">
        <v>30.94</v>
      </c>
      <c r="M22" s="51">
        <v>75.73</v>
      </c>
      <c r="N22" s="51">
        <v>331.9</v>
      </c>
      <c r="O22" s="51">
        <v>0</v>
      </c>
      <c r="P22" s="51">
        <v>0.52</v>
      </c>
      <c r="Q22" s="51">
        <v>9.19</v>
      </c>
      <c r="R22" s="43"/>
      <c r="S22" s="43"/>
      <c r="T22" s="43"/>
      <c r="U22" s="43"/>
    </row>
    <row r="23" spans="1:21" s="11" customFormat="1" x14ac:dyDescent="0.25">
      <c r="A23" s="50" t="s">
        <v>506</v>
      </c>
      <c r="B23" s="51">
        <v>6.26</v>
      </c>
      <c r="C23" s="51">
        <v>12.97</v>
      </c>
      <c r="D23" s="51">
        <v>11.8</v>
      </c>
      <c r="E23" s="51">
        <v>3.29</v>
      </c>
      <c r="F23" s="51">
        <v>14.84</v>
      </c>
      <c r="G23" s="51">
        <v>106.44</v>
      </c>
      <c r="H23" s="51">
        <v>61.99</v>
      </c>
      <c r="I23" s="51">
        <v>2.2799999999999998</v>
      </c>
      <c r="J23" s="51">
        <v>0.17</v>
      </c>
      <c r="K23" s="51">
        <v>301.86</v>
      </c>
      <c r="L23" s="51">
        <v>30.66</v>
      </c>
      <c r="M23" s="51">
        <v>72.27</v>
      </c>
      <c r="N23" s="51">
        <v>174.7</v>
      </c>
      <c r="O23" s="51">
        <v>0</v>
      </c>
      <c r="P23" s="51">
        <v>0.39</v>
      </c>
      <c r="Q23" s="51">
        <v>9.16</v>
      </c>
      <c r="R23" s="43"/>
      <c r="S23" s="43"/>
      <c r="T23" s="43"/>
      <c r="U23" s="43"/>
    </row>
    <row r="24" spans="1:21" s="11" customFormat="1" x14ac:dyDescent="0.25">
      <c r="A24" s="50" t="s">
        <v>507</v>
      </c>
      <c r="B24" s="51">
        <v>7.63</v>
      </c>
      <c r="C24" s="51">
        <v>16.52</v>
      </c>
      <c r="D24" s="51">
        <v>13.94</v>
      </c>
      <c r="E24" s="51">
        <v>5.16</v>
      </c>
      <c r="F24" s="51">
        <v>13.9</v>
      </c>
      <c r="G24" s="51">
        <v>96.68</v>
      </c>
      <c r="H24" s="51">
        <v>40.39</v>
      </c>
      <c r="I24" s="51">
        <v>1.93</v>
      </c>
      <c r="J24" s="51">
        <v>0.21</v>
      </c>
      <c r="K24" s="51">
        <v>299.11</v>
      </c>
      <c r="L24" s="51">
        <v>30.87</v>
      </c>
      <c r="M24" s="51">
        <v>75.56</v>
      </c>
      <c r="N24" s="51">
        <v>170.8</v>
      </c>
      <c r="O24" s="51">
        <v>0</v>
      </c>
      <c r="P24" s="51">
        <v>0.43</v>
      </c>
      <c r="Q24" s="51">
        <v>9.24</v>
      </c>
      <c r="R24" s="43"/>
      <c r="S24" s="43"/>
      <c r="T24" s="43"/>
      <c r="U24" s="43"/>
    </row>
    <row r="25" spans="1:21" s="11" customFormat="1" x14ac:dyDescent="0.25">
      <c r="A25" s="50" t="s">
        <v>508</v>
      </c>
      <c r="B25" s="51">
        <v>9.9600000000000009</v>
      </c>
      <c r="C25" s="51">
        <v>17.91</v>
      </c>
      <c r="D25" s="51">
        <v>17.350000000000001</v>
      </c>
      <c r="E25" s="51">
        <v>5.46</v>
      </c>
      <c r="F25" s="51">
        <v>14.74</v>
      </c>
      <c r="G25" s="51">
        <v>266.39</v>
      </c>
      <c r="H25" s="51">
        <v>22.21</v>
      </c>
      <c r="I25" s="51">
        <v>1.86</v>
      </c>
      <c r="J25" s="51">
        <v>0.32</v>
      </c>
      <c r="K25" s="51">
        <v>325.38</v>
      </c>
      <c r="L25" s="51">
        <v>30.42</v>
      </c>
      <c r="M25" s="51">
        <v>80.64</v>
      </c>
      <c r="N25" s="51">
        <v>172.8</v>
      </c>
      <c r="O25" s="51">
        <v>0</v>
      </c>
      <c r="P25" s="51">
        <v>0.51</v>
      </c>
      <c r="Q25" s="51">
        <v>9.26</v>
      </c>
      <c r="R25" s="43"/>
      <c r="S25" s="43"/>
      <c r="T25" s="43"/>
      <c r="U25" s="43"/>
    </row>
    <row r="26" spans="1:21" s="11" customFormat="1" x14ac:dyDescent="0.25">
      <c r="A26" s="50" t="s">
        <v>509</v>
      </c>
      <c r="B26" s="51">
        <v>5.62</v>
      </c>
      <c r="C26" s="51">
        <v>18.68</v>
      </c>
      <c r="D26" s="51">
        <v>14.26</v>
      </c>
      <c r="E26" s="51">
        <v>5.77</v>
      </c>
      <c r="F26" s="51">
        <v>11.47</v>
      </c>
      <c r="G26" s="8" t="s">
        <v>8</v>
      </c>
      <c r="H26" s="8" t="s">
        <v>8</v>
      </c>
      <c r="I26" s="51">
        <v>1.89</v>
      </c>
      <c r="J26" s="51">
        <v>0.06</v>
      </c>
      <c r="K26" s="51">
        <v>218.79</v>
      </c>
      <c r="L26" s="51">
        <v>29.2</v>
      </c>
      <c r="M26" s="51">
        <v>91.89</v>
      </c>
      <c r="N26" s="51">
        <v>73.099999999999994</v>
      </c>
      <c r="O26" s="51">
        <v>0</v>
      </c>
      <c r="P26" s="51">
        <v>0.36</v>
      </c>
      <c r="Q26" s="51">
        <v>9.2200000000000006</v>
      </c>
      <c r="R26" s="43"/>
      <c r="S26" s="43"/>
      <c r="T26" s="43"/>
      <c r="U26" s="43"/>
    </row>
    <row r="27" spans="1:21" s="11" customFormat="1" x14ac:dyDescent="0.25">
      <c r="A27" s="50" t="s">
        <v>510</v>
      </c>
      <c r="B27" s="51">
        <v>13.57</v>
      </c>
      <c r="C27" s="51">
        <v>24.96</v>
      </c>
      <c r="D27" s="51">
        <v>23.93</v>
      </c>
      <c r="E27" s="51">
        <v>5.51</v>
      </c>
      <c r="F27" s="51">
        <v>11.49</v>
      </c>
      <c r="G27" s="8" t="s">
        <v>8</v>
      </c>
      <c r="H27" s="8" t="s">
        <v>8</v>
      </c>
      <c r="I27" s="51">
        <v>1.41</v>
      </c>
      <c r="J27" s="51">
        <v>0.35</v>
      </c>
      <c r="K27" s="51">
        <v>262.89</v>
      </c>
      <c r="L27" s="51">
        <v>28.4</v>
      </c>
      <c r="M27" s="51">
        <v>96.12</v>
      </c>
      <c r="N27" s="51">
        <v>63.2</v>
      </c>
      <c r="O27" s="51">
        <v>0</v>
      </c>
      <c r="P27" s="51">
        <v>0.45</v>
      </c>
      <c r="Q27" s="51">
        <v>9.2899999999999991</v>
      </c>
      <c r="R27" s="43"/>
      <c r="S27" s="43"/>
      <c r="T27" s="43"/>
      <c r="U27" s="43"/>
    </row>
    <row r="28" spans="1:21" s="11" customFormat="1" x14ac:dyDescent="0.25">
      <c r="A28" s="50" t="s">
        <v>511</v>
      </c>
      <c r="B28" s="51">
        <v>12.3</v>
      </c>
      <c r="C28" s="51">
        <v>30.82</v>
      </c>
      <c r="D28" s="51">
        <v>25.33</v>
      </c>
      <c r="E28" s="51">
        <v>5.37</v>
      </c>
      <c r="F28" s="51">
        <v>9.31</v>
      </c>
      <c r="G28" s="51">
        <v>86.82</v>
      </c>
      <c r="H28" s="51">
        <v>84.55</v>
      </c>
      <c r="I28" s="51">
        <v>1.36</v>
      </c>
      <c r="J28" s="51">
        <v>0.13</v>
      </c>
      <c r="K28" s="51">
        <v>228.93</v>
      </c>
      <c r="L28" s="51">
        <v>27.77</v>
      </c>
      <c r="M28" s="51">
        <v>97.83</v>
      </c>
      <c r="N28" s="51">
        <v>43</v>
      </c>
      <c r="O28" s="51">
        <v>0</v>
      </c>
      <c r="P28" s="51">
        <v>0.7</v>
      </c>
      <c r="Q28" s="51">
        <v>9.34</v>
      </c>
      <c r="R28" s="43"/>
      <c r="S28" s="43"/>
      <c r="T28" s="43"/>
      <c r="U28" s="43"/>
    </row>
    <row r="29" spans="1:21" s="11" customFormat="1" x14ac:dyDescent="0.25">
      <c r="A29" s="50" t="s">
        <v>512</v>
      </c>
      <c r="B29" s="51">
        <v>8.06</v>
      </c>
      <c r="C29" s="51">
        <v>23.16</v>
      </c>
      <c r="D29" s="51">
        <v>18.559999999999999</v>
      </c>
      <c r="E29" s="51">
        <v>5.51</v>
      </c>
      <c r="F29" s="51">
        <v>6.77</v>
      </c>
      <c r="G29" s="51">
        <v>58.46</v>
      </c>
      <c r="H29" s="51">
        <v>56.8</v>
      </c>
      <c r="I29" s="51">
        <v>1.58</v>
      </c>
      <c r="J29" s="51">
        <v>0.21</v>
      </c>
      <c r="K29" s="51">
        <v>293.10000000000002</v>
      </c>
      <c r="L29" s="51">
        <v>27.44</v>
      </c>
      <c r="M29" s="51">
        <v>97.87</v>
      </c>
      <c r="N29" s="51">
        <v>43.1</v>
      </c>
      <c r="O29" s="51">
        <v>0</v>
      </c>
      <c r="P29" s="51">
        <v>0.83</v>
      </c>
      <c r="Q29" s="51">
        <v>9.33</v>
      </c>
      <c r="R29" s="43"/>
      <c r="S29" s="43"/>
      <c r="T29" s="43"/>
      <c r="U29" s="43"/>
    </row>
    <row r="30" spans="1:21" s="11" customFormat="1" x14ac:dyDescent="0.25">
      <c r="A30" s="50" t="s">
        <v>513</v>
      </c>
      <c r="B30" s="57" t="s">
        <v>8</v>
      </c>
      <c r="C30" s="57" t="s">
        <v>8</v>
      </c>
      <c r="D30" s="57" t="s">
        <v>8</v>
      </c>
      <c r="E30" s="51">
        <v>5.38</v>
      </c>
      <c r="F30" s="51">
        <v>8.4700000000000006</v>
      </c>
      <c r="G30" s="51">
        <v>50.22</v>
      </c>
      <c r="H30" s="51">
        <v>34.08</v>
      </c>
      <c r="I30" s="51">
        <v>1.72</v>
      </c>
      <c r="J30" s="51">
        <v>0.18</v>
      </c>
      <c r="K30" s="51">
        <v>279.89999999999998</v>
      </c>
      <c r="L30" s="51">
        <v>27.24</v>
      </c>
      <c r="M30" s="51">
        <v>97.98</v>
      </c>
      <c r="N30" s="51">
        <v>43.5</v>
      </c>
      <c r="O30" s="51">
        <v>0</v>
      </c>
      <c r="P30" s="51">
        <v>0.56000000000000005</v>
      </c>
      <c r="Q30" s="51">
        <v>9.3699999999999992</v>
      </c>
      <c r="R30" s="43"/>
      <c r="S30" s="43"/>
      <c r="T30" s="43"/>
      <c r="U30" s="43"/>
    </row>
    <row r="31" spans="1:21" s="11" customFormat="1" x14ac:dyDescent="0.25">
      <c r="A31" s="50" t="s">
        <v>514</v>
      </c>
      <c r="B31" s="57" t="s">
        <v>8</v>
      </c>
      <c r="C31" s="57" t="s">
        <v>8</v>
      </c>
      <c r="D31" s="57" t="s">
        <v>8</v>
      </c>
      <c r="E31" s="51">
        <v>5.47</v>
      </c>
      <c r="F31" s="51">
        <v>7.03</v>
      </c>
      <c r="G31" s="51">
        <v>48.27</v>
      </c>
      <c r="H31" s="51">
        <v>20.36</v>
      </c>
      <c r="I31" s="51">
        <v>1.73</v>
      </c>
      <c r="J31" s="51">
        <v>0.13</v>
      </c>
      <c r="K31" s="51">
        <v>267.23</v>
      </c>
      <c r="L31" s="51">
        <v>26.46</v>
      </c>
      <c r="M31" s="51">
        <v>98.03</v>
      </c>
      <c r="N31" s="51">
        <v>44.3</v>
      </c>
      <c r="O31" s="51">
        <v>0</v>
      </c>
      <c r="P31" s="51">
        <v>0.49</v>
      </c>
      <c r="Q31" s="51">
        <v>9.35</v>
      </c>
      <c r="R31" s="43"/>
      <c r="S31" s="43"/>
      <c r="T31" s="43"/>
      <c r="U31" s="43"/>
    </row>
    <row r="32" spans="1:21" s="11" customFormat="1" x14ac:dyDescent="0.25">
      <c r="A32" s="50" t="s">
        <v>515</v>
      </c>
      <c r="B32" s="57" t="s">
        <v>8</v>
      </c>
      <c r="C32" s="57" t="s">
        <v>8</v>
      </c>
      <c r="D32" s="57" t="s">
        <v>8</v>
      </c>
      <c r="E32" s="51">
        <v>5.23</v>
      </c>
      <c r="F32" s="51">
        <v>8.9499999999999993</v>
      </c>
      <c r="G32" s="51">
        <v>43.64</v>
      </c>
      <c r="H32" s="51">
        <v>19.97</v>
      </c>
      <c r="I32" s="51">
        <v>1.73</v>
      </c>
      <c r="J32" s="51">
        <v>0.18</v>
      </c>
      <c r="K32" s="51">
        <v>347.09</v>
      </c>
      <c r="L32" s="51">
        <v>26.01</v>
      </c>
      <c r="M32" s="51">
        <v>98.09</v>
      </c>
      <c r="N32" s="51">
        <v>44.5</v>
      </c>
      <c r="O32" s="51">
        <v>0</v>
      </c>
      <c r="P32" s="51">
        <v>0.35</v>
      </c>
      <c r="Q32" s="51">
        <v>9.32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5.62</v>
      </c>
      <c r="C34" s="28">
        <f t="shared" si="0"/>
        <v>12.97</v>
      </c>
      <c r="D34" s="28">
        <f t="shared" si="0"/>
        <v>11.8</v>
      </c>
      <c r="E34" s="28">
        <f t="shared" si="0"/>
        <v>3.29</v>
      </c>
      <c r="F34" s="28">
        <f t="shared" si="0"/>
        <v>4.07</v>
      </c>
      <c r="G34" s="28">
        <f t="shared" si="0"/>
        <v>36.06</v>
      </c>
      <c r="H34" s="28">
        <f t="shared" si="0"/>
        <v>2.41</v>
      </c>
      <c r="I34" s="28">
        <f t="shared" si="0"/>
        <v>1.36</v>
      </c>
      <c r="J34" s="28">
        <f t="shared" si="0"/>
        <v>0.06</v>
      </c>
      <c r="K34" s="28">
        <f t="shared" si="0"/>
        <v>218.79</v>
      </c>
      <c r="L34" s="28">
        <f t="shared" si="0"/>
        <v>24.35</v>
      </c>
      <c r="M34" s="28">
        <f t="shared" si="0"/>
        <v>72.27</v>
      </c>
      <c r="N34" s="28">
        <f t="shared" si="0"/>
        <v>43</v>
      </c>
      <c r="O34" s="28">
        <f t="shared" si="0"/>
        <v>0</v>
      </c>
      <c r="P34" s="28">
        <f t="shared" si="0"/>
        <v>0.19</v>
      </c>
      <c r="Q34" s="28">
        <f t="shared" si="0"/>
        <v>9.16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13.57</v>
      </c>
      <c r="C35" s="29">
        <f t="shared" si="1"/>
        <v>30.82</v>
      </c>
      <c r="D35" s="29">
        <f t="shared" si="1"/>
        <v>25.33</v>
      </c>
      <c r="E35" s="29">
        <f t="shared" si="1"/>
        <v>5.77</v>
      </c>
      <c r="F35" s="29">
        <f t="shared" si="1"/>
        <v>17.059999999999999</v>
      </c>
      <c r="G35" s="29">
        <f t="shared" si="1"/>
        <v>266.39</v>
      </c>
      <c r="H35" s="29">
        <f t="shared" si="1"/>
        <v>84.55</v>
      </c>
      <c r="I35" s="29">
        <f t="shared" si="1"/>
        <v>13.4</v>
      </c>
      <c r="J35" s="29">
        <f t="shared" si="1"/>
        <v>0.54</v>
      </c>
      <c r="K35" s="29">
        <f t="shared" si="1"/>
        <v>347.09</v>
      </c>
      <c r="L35" s="29">
        <f t="shared" si="1"/>
        <v>31.87</v>
      </c>
      <c r="M35" s="29">
        <f t="shared" si="1"/>
        <v>98.16</v>
      </c>
      <c r="N35" s="29">
        <f t="shared" si="1"/>
        <v>970.4</v>
      </c>
      <c r="O35" s="29">
        <f t="shared" si="1"/>
        <v>0.4</v>
      </c>
      <c r="P35" s="29">
        <f t="shared" si="1"/>
        <v>0.83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8.1554545454545444</v>
      </c>
      <c r="C36" s="28">
        <f t="shared" si="2"/>
        <v>19.754999999999999</v>
      </c>
      <c r="D36" s="28">
        <f t="shared" si="2"/>
        <v>17.117272727272731</v>
      </c>
      <c r="E36" s="28">
        <f t="shared" si="2"/>
        <v>4.5962500000000004</v>
      </c>
      <c r="F36" s="28">
        <f t="shared" si="2"/>
        <v>9.1312500000000014</v>
      </c>
      <c r="G36" s="28">
        <f t="shared" si="2"/>
        <v>74.025263157894756</v>
      </c>
      <c r="H36" s="28">
        <f t="shared" si="2"/>
        <v>23.240952380952379</v>
      </c>
      <c r="I36" s="28">
        <f t="shared" si="2"/>
        <v>4.6970833333333344</v>
      </c>
      <c r="J36" s="28">
        <f t="shared" si="2"/>
        <v>0.20874999999999996</v>
      </c>
      <c r="K36" s="28">
        <f t="shared" si="2"/>
        <v>306.30833333333339</v>
      </c>
      <c r="L36" s="28">
        <f t="shared" si="2"/>
        <v>27.760416666666671</v>
      </c>
      <c r="M36" s="28">
        <f t="shared" si="2"/>
        <v>92.869583333333352</v>
      </c>
      <c r="N36" s="28">
        <f t="shared" si="2"/>
        <v>216.7791666666667</v>
      </c>
      <c r="O36" s="28">
        <f t="shared" si="2"/>
        <v>1.6666666666666666E-2</v>
      </c>
      <c r="P36" s="28">
        <f t="shared" si="2"/>
        <v>0.51375000000000004</v>
      </c>
      <c r="Q36" s="28">
        <f t="shared" si="2"/>
        <v>9.3883333333333336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2.6534029608650269</v>
      </c>
      <c r="C37" s="28">
        <f t="shared" ref="C37:Q37" si="3">STDEV(C9:C32)</f>
        <v>5.4891089137187521</v>
      </c>
      <c r="D37" s="28">
        <f t="shared" si="3"/>
        <v>4.3770265955533922</v>
      </c>
      <c r="E37" s="28">
        <f t="shared" si="3"/>
        <v>0.83242867562332068</v>
      </c>
      <c r="F37" s="28">
        <f t="shared" si="3"/>
        <v>3.7647013999034136</v>
      </c>
      <c r="G37" s="28">
        <f t="shared" si="3"/>
        <v>50.518445516730793</v>
      </c>
      <c r="H37" s="28">
        <f t="shared" si="3"/>
        <v>26.813751491494418</v>
      </c>
      <c r="I37" s="28">
        <f t="shared" si="3"/>
        <v>3.4300671550868782</v>
      </c>
      <c r="J37" s="28">
        <f t="shared" si="3"/>
        <v>0.14362731059177467</v>
      </c>
      <c r="K37" s="28">
        <f t="shared" si="3"/>
        <v>33.416126498217906</v>
      </c>
      <c r="L37" s="28">
        <f t="shared" si="3"/>
        <v>2.3915384882078965</v>
      </c>
      <c r="M37" s="28">
        <f t="shared" si="3"/>
        <v>8.714920478654717</v>
      </c>
      <c r="N37" s="28">
        <f t="shared" si="3"/>
        <v>281.95385373152459</v>
      </c>
      <c r="O37" s="28">
        <f t="shared" si="3"/>
        <v>8.1649658092772623E-2</v>
      </c>
      <c r="P37" s="28">
        <f t="shared" si="3"/>
        <v>0.18179808436356226</v>
      </c>
      <c r="Q37" s="28">
        <f t="shared" si="3"/>
        <v>0.13643493963652845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COUNT(B9:B32)+13</f>
        <v>24</v>
      </c>
      <c r="C38" s="32">
        <f>COUNT(C9:C32)+14</f>
        <v>24</v>
      </c>
      <c r="D38" s="32">
        <f t="shared" ref="C38:D38" si="4">COUNT(D9:D32)+13</f>
        <v>24</v>
      </c>
      <c r="E38" s="32">
        <f t="shared" ref="B38:Q38" si="5">COUNT(E9:E32)</f>
        <v>24</v>
      </c>
      <c r="F38" s="32">
        <f t="shared" si="5"/>
        <v>24</v>
      </c>
      <c r="G38" s="32">
        <f>COUNT(G9:G32)+5</f>
        <v>24</v>
      </c>
      <c r="H38" s="32">
        <f>COUNT(H9:H32)+3</f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516</v>
      </c>
      <c r="B9" s="51">
        <v>6.64</v>
      </c>
      <c r="C9" s="51">
        <v>7.01</v>
      </c>
      <c r="D9" s="51">
        <v>8.81</v>
      </c>
      <c r="E9" s="51">
        <v>5.29</v>
      </c>
      <c r="F9" s="51">
        <v>9.27</v>
      </c>
      <c r="G9" s="51">
        <v>39.71</v>
      </c>
      <c r="H9" s="51">
        <v>12.55</v>
      </c>
      <c r="I9" s="51">
        <v>1.67</v>
      </c>
      <c r="J9" s="51">
        <v>0.08</v>
      </c>
      <c r="K9" s="51">
        <v>323.52</v>
      </c>
      <c r="L9" s="51">
        <v>25.54</v>
      </c>
      <c r="M9" s="51">
        <v>98.11</v>
      </c>
      <c r="N9" s="51">
        <v>44.4</v>
      </c>
      <c r="O9" s="51">
        <v>0</v>
      </c>
      <c r="P9" s="51">
        <v>0.3</v>
      </c>
      <c r="Q9" s="51">
        <v>9.34</v>
      </c>
      <c r="R9" s="43"/>
      <c r="S9" s="43"/>
      <c r="T9" s="43"/>
      <c r="U9" s="43"/>
    </row>
    <row r="10" spans="1:21" s="11" customFormat="1" x14ac:dyDescent="0.25">
      <c r="A10" s="50" t="s">
        <v>517</v>
      </c>
      <c r="B10" s="51">
        <v>7.94</v>
      </c>
      <c r="C10" s="51">
        <v>6.06</v>
      </c>
      <c r="D10" s="51">
        <v>9.36</v>
      </c>
      <c r="E10" s="51">
        <v>5.39</v>
      </c>
      <c r="F10" s="51">
        <v>9.24</v>
      </c>
      <c r="G10" s="51">
        <v>36.46</v>
      </c>
      <c r="H10" s="51">
        <v>7.65</v>
      </c>
      <c r="I10" s="51">
        <v>1.61</v>
      </c>
      <c r="J10" s="51">
        <v>7.0000000000000007E-2</v>
      </c>
      <c r="K10" s="51">
        <v>328.26</v>
      </c>
      <c r="L10" s="51">
        <v>25.46</v>
      </c>
      <c r="M10" s="51">
        <v>98.13</v>
      </c>
      <c r="N10" s="51">
        <v>44.5</v>
      </c>
      <c r="O10" s="51">
        <v>0</v>
      </c>
      <c r="P10" s="51">
        <v>0.3</v>
      </c>
      <c r="Q10" s="51">
        <v>9.33</v>
      </c>
      <c r="R10" s="43"/>
      <c r="S10" s="43"/>
      <c r="T10" s="43"/>
      <c r="U10" s="43"/>
    </row>
    <row r="11" spans="1:21" s="11" customFormat="1" x14ac:dyDescent="0.25">
      <c r="A11" s="50" t="s">
        <v>518</v>
      </c>
      <c r="B11" s="51">
        <v>7.79</v>
      </c>
      <c r="C11" s="51">
        <v>5.52</v>
      </c>
      <c r="D11" s="51">
        <v>9.11</v>
      </c>
      <c r="E11" s="51">
        <v>5.29</v>
      </c>
      <c r="F11" s="51">
        <v>5.54</v>
      </c>
      <c r="G11" s="51">
        <v>29.78</v>
      </c>
      <c r="H11" s="51">
        <v>4.82</v>
      </c>
      <c r="I11" s="51">
        <v>1.53</v>
      </c>
      <c r="J11" s="51">
        <v>7.0000000000000007E-2</v>
      </c>
      <c r="K11" s="51">
        <v>329.88</v>
      </c>
      <c r="L11" s="51">
        <v>25.05</v>
      </c>
      <c r="M11" s="51">
        <v>98.15</v>
      </c>
      <c r="N11" s="51">
        <v>44.5</v>
      </c>
      <c r="O11" s="51">
        <v>0</v>
      </c>
      <c r="P11" s="51">
        <v>0.26</v>
      </c>
      <c r="Q11" s="51">
        <v>9.2899999999999991</v>
      </c>
      <c r="R11" s="43"/>
      <c r="S11" s="43"/>
      <c r="T11" s="43"/>
      <c r="U11" s="43"/>
    </row>
    <row r="12" spans="1:21" s="11" customFormat="1" x14ac:dyDescent="0.25">
      <c r="A12" s="50" t="s">
        <v>519</v>
      </c>
      <c r="B12" s="51">
        <v>7.98</v>
      </c>
      <c r="C12" s="51">
        <v>5.85</v>
      </c>
      <c r="D12" s="51">
        <v>9.08</v>
      </c>
      <c r="E12" s="51">
        <v>5.24</v>
      </c>
      <c r="F12" s="51">
        <v>7.38</v>
      </c>
      <c r="G12" s="51">
        <v>27.85</v>
      </c>
      <c r="H12" s="51">
        <v>9.9499999999999993</v>
      </c>
      <c r="I12" s="51">
        <v>1.46</v>
      </c>
      <c r="J12" s="51">
        <v>0.16</v>
      </c>
      <c r="K12" s="51">
        <v>232.28</v>
      </c>
      <c r="L12" s="51">
        <v>24.81</v>
      </c>
      <c r="M12" s="51">
        <v>98.15</v>
      </c>
      <c r="N12" s="51">
        <v>44.6</v>
      </c>
      <c r="O12" s="51">
        <v>0</v>
      </c>
      <c r="P12" s="51">
        <v>0.27</v>
      </c>
      <c r="Q12" s="51">
        <v>9.27</v>
      </c>
      <c r="R12" s="43"/>
      <c r="S12" s="43"/>
      <c r="T12" s="43"/>
      <c r="U12" s="43"/>
    </row>
    <row r="13" spans="1:21" s="11" customFormat="1" x14ac:dyDescent="0.25">
      <c r="A13" s="50" t="s">
        <v>520</v>
      </c>
      <c r="B13" s="51">
        <v>7.29</v>
      </c>
      <c r="C13" s="51">
        <v>6.9</v>
      </c>
      <c r="D13" s="51">
        <v>9.4499999999999993</v>
      </c>
      <c r="E13" s="51">
        <v>5.22</v>
      </c>
      <c r="F13" s="51">
        <v>8.08</v>
      </c>
      <c r="G13" s="51">
        <v>24.37</v>
      </c>
      <c r="H13" s="51">
        <v>7.79</v>
      </c>
      <c r="I13" s="51">
        <v>1.41</v>
      </c>
      <c r="J13" s="51">
        <v>0.09</v>
      </c>
      <c r="K13" s="51">
        <v>332.14</v>
      </c>
      <c r="L13" s="51">
        <v>24.65</v>
      </c>
      <c r="M13" s="51">
        <v>98.16</v>
      </c>
      <c r="N13" s="51">
        <v>44.9</v>
      </c>
      <c r="O13" s="51">
        <v>0</v>
      </c>
      <c r="P13" s="51">
        <v>0.32</v>
      </c>
      <c r="Q13" s="51">
        <v>9.2899999999999991</v>
      </c>
      <c r="R13" s="43"/>
      <c r="S13" s="43"/>
      <c r="T13" s="43"/>
      <c r="U13" s="43"/>
    </row>
    <row r="14" spans="1:21" s="11" customFormat="1" x14ac:dyDescent="0.25">
      <c r="A14" s="50" t="s">
        <v>521</v>
      </c>
      <c r="B14" s="51">
        <v>9.34</v>
      </c>
      <c r="C14" s="51">
        <v>9.9</v>
      </c>
      <c r="D14" s="51">
        <v>12.67</v>
      </c>
      <c r="E14" s="51">
        <v>5.0599999999999996</v>
      </c>
      <c r="F14" s="51">
        <v>5.24</v>
      </c>
      <c r="G14" s="51">
        <v>25.9</v>
      </c>
      <c r="H14" s="51">
        <v>5.37</v>
      </c>
      <c r="I14" s="51">
        <v>1.36</v>
      </c>
      <c r="J14" s="51">
        <v>0.08</v>
      </c>
      <c r="K14" s="51">
        <v>203.07</v>
      </c>
      <c r="L14" s="51">
        <v>24.42</v>
      </c>
      <c r="M14" s="51">
        <v>98.18</v>
      </c>
      <c r="N14" s="51">
        <v>51</v>
      </c>
      <c r="O14" s="51">
        <v>0</v>
      </c>
      <c r="P14" s="51">
        <v>0.48</v>
      </c>
      <c r="Q14" s="51">
        <v>9.31</v>
      </c>
      <c r="R14" s="43"/>
      <c r="S14" s="43"/>
      <c r="T14" s="43"/>
      <c r="U14" s="43"/>
    </row>
    <row r="15" spans="1:21" s="11" customFormat="1" x14ac:dyDescent="0.25">
      <c r="A15" s="50" t="s">
        <v>522</v>
      </c>
      <c r="B15" s="51">
        <v>11.56</v>
      </c>
      <c r="C15" s="51">
        <v>8.3800000000000008</v>
      </c>
      <c r="D15" s="51">
        <v>13.65</v>
      </c>
      <c r="E15" s="51">
        <v>5.2</v>
      </c>
      <c r="F15" s="51">
        <v>6.03</v>
      </c>
      <c r="G15" s="51">
        <v>30.4</v>
      </c>
      <c r="H15" s="51">
        <v>3.76</v>
      </c>
      <c r="I15" s="51">
        <v>1.36</v>
      </c>
      <c r="J15" s="51">
        <v>0.23</v>
      </c>
      <c r="K15" s="51">
        <v>277.83999999999997</v>
      </c>
      <c r="L15" s="51">
        <v>26.96</v>
      </c>
      <c r="M15" s="51">
        <v>98.18</v>
      </c>
      <c r="N15" s="51">
        <v>196.5</v>
      </c>
      <c r="O15" s="51">
        <v>0</v>
      </c>
      <c r="P15" s="51">
        <v>0.37</v>
      </c>
      <c r="Q15" s="51">
        <v>9.33</v>
      </c>
      <c r="R15" s="43"/>
      <c r="S15" s="43"/>
      <c r="T15" s="43"/>
      <c r="U15" s="43"/>
    </row>
    <row r="16" spans="1:21" s="11" customFormat="1" x14ac:dyDescent="0.25">
      <c r="A16" s="50" t="s">
        <v>523</v>
      </c>
      <c r="B16" s="51">
        <v>10.71</v>
      </c>
      <c r="C16" s="51">
        <v>7.51</v>
      </c>
      <c r="D16" s="51">
        <v>12.44</v>
      </c>
      <c r="E16" s="51">
        <v>5.44</v>
      </c>
      <c r="F16" s="51">
        <v>7.31</v>
      </c>
      <c r="G16" s="51">
        <v>31.96</v>
      </c>
      <c r="H16" s="51">
        <v>5.15</v>
      </c>
      <c r="I16" s="51">
        <v>1.42</v>
      </c>
      <c r="J16" s="51">
        <v>0.16</v>
      </c>
      <c r="K16" s="51">
        <v>312.64999999999998</v>
      </c>
      <c r="L16" s="51">
        <v>31.52</v>
      </c>
      <c r="M16" s="51">
        <v>97.98</v>
      </c>
      <c r="N16" s="51">
        <v>438.1</v>
      </c>
      <c r="O16" s="51">
        <v>0</v>
      </c>
      <c r="P16" s="51">
        <v>0.59</v>
      </c>
      <c r="Q16" s="51">
        <v>9.34</v>
      </c>
      <c r="R16" s="43"/>
      <c r="S16" s="43"/>
      <c r="T16" s="43"/>
      <c r="U16" s="43"/>
    </row>
    <row r="17" spans="1:21" s="11" customFormat="1" x14ac:dyDescent="0.25">
      <c r="A17" s="50" t="s">
        <v>524</v>
      </c>
      <c r="B17" s="51">
        <v>11.11</v>
      </c>
      <c r="C17" s="51">
        <v>7.91</v>
      </c>
      <c r="D17" s="51">
        <v>12.94</v>
      </c>
      <c r="E17" s="51">
        <v>5.4</v>
      </c>
      <c r="F17" s="51">
        <v>12.8</v>
      </c>
      <c r="G17" s="51">
        <v>41.4</v>
      </c>
      <c r="H17" s="51">
        <v>3.9</v>
      </c>
      <c r="I17" s="51">
        <v>1.69</v>
      </c>
      <c r="J17" s="51">
        <v>0.49</v>
      </c>
      <c r="K17" s="51">
        <v>323.55</v>
      </c>
      <c r="L17" s="51">
        <v>34.44</v>
      </c>
      <c r="M17" s="51">
        <v>83.92</v>
      </c>
      <c r="N17" s="51">
        <v>598.20000000000005</v>
      </c>
      <c r="O17" s="51">
        <v>0</v>
      </c>
      <c r="P17" s="51">
        <v>0.56000000000000005</v>
      </c>
      <c r="Q17" s="51">
        <v>9.34</v>
      </c>
      <c r="R17" s="43"/>
      <c r="S17" s="43"/>
      <c r="T17" s="43"/>
      <c r="U17" s="43"/>
    </row>
    <row r="18" spans="1:21" s="11" customFormat="1" x14ac:dyDescent="0.25">
      <c r="A18" s="50" t="s">
        <v>525</v>
      </c>
      <c r="B18" s="51">
        <v>9.6999999999999993</v>
      </c>
      <c r="C18" s="51">
        <v>7.63</v>
      </c>
      <c r="D18" s="51">
        <v>11.5</v>
      </c>
      <c r="E18" s="51">
        <v>5.6</v>
      </c>
      <c r="F18" s="51">
        <v>13.71</v>
      </c>
      <c r="G18" s="51">
        <v>45.92</v>
      </c>
      <c r="H18" s="51">
        <v>2.73</v>
      </c>
      <c r="I18" s="51">
        <v>1.77</v>
      </c>
      <c r="J18" s="51">
        <v>0.54</v>
      </c>
      <c r="K18" s="51">
        <v>326.02999999999997</v>
      </c>
      <c r="L18" s="51">
        <v>35.04</v>
      </c>
      <c r="M18" s="51">
        <v>65.16</v>
      </c>
      <c r="N18" s="51">
        <v>749</v>
      </c>
      <c r="O18" s="51">
        <v>0</v>
      </c>
      <c r="P18" s="51">
        <v>0.56999999999999995</v>
      </c>
      <c r="Q18" s="51">
        <v>9.36</v>
      </c>
      <c r="R18" s="43"/>
      <c r="S18" s="43"/>
      <c r="T18" s="43"/>
      <c r="U18" s="43"/>
    </row>
    <row r="19" spans="1:21" s="11" customFormat="1" x14ac:dyDescent="0.25">
      <c r="A19" s="50" t="s">
        <v>526</v>
      </c>
      <c r="B19" s="51">
        <v>9.0500000000000007</v>
      </c>
      <c r="C19" s="51">
        <v>7.22</v>
      </c>
      <c r="D19" s="51">
        <v>10.93</v>
      </c>
      <c r="E19" s="51">
        <v>5.47</v>
      </c>
      <c r="F19" s="51">
        <v>12.95</v>
      </c>
      <c r="G19" s="51">
        <v>49.8</v>
      </c>
      <c r="H19" s="51">
        <v>1.91</v>
      </c>
      <c r="I19" s="51">
        <v>1.92</v>
      </c>
      <c r="J19" s="51">
        <v>0.66</v>
      </c>
      <c r="K19" s="51">
        <v>330.81</v>
      </c>
      <c r="L19" s="51">
        <v>34.86</v>
      </c>
      <c r="M19" s="51">
        <v>64.61</v>
      </c>
      <c r="N19" s="51">
        <v>906.5</v>
      </c>
      <c r="O19" s="51">
        <v>0</v>
      </c>
      <c r="P19" s="51">
        <v>0.49</v>
      </c>
      <c r="Q19" s="51">
        <v>9.34</v>
      </c>
      <c r="R19" s="43"/>
      <c r="S19" s="43"/>
      <c r="T19" s="43"/>
      <c r="U19" s="43"/>
    </row>
    <row r="20" spans="1:21" s="11" customFormat="1" x14ac:dyDescent="0.25">
      <c r="A20" s="50" t="s">
        <v>527</v>
      </c>
      <c r="B20" s="51">
        <v>8.61</v>
      </c>
      <c r="C20" s="51">
        <v>8.49</v>
      </c>
      <c r="D20" s="51">
        <v>10.95</v>
      </c>
      <c r="E20" s="51">
        <v>5.38</v>
      </c>
      <c r="F20" s="51">
        <v>11.97</v>
      </c>
      <c r="G20" s="51">
        <v>43.89</v>
      </c>
      <c r="H20" s="51">
        <v>1.38</v>
      </c>
      <c r="I20" s="51">
        <v>1.73</v>
      </c>
      <c r="J20" s="51">
        <v>0.73</v>
      </c>
      <c r="K20" s="51">
        <v>329.41</v>
      </c>
      <c r="L20" s="51">
        <v>35.590000000000003</v>
      </c>
      <c r="M20" s="51">
        <v>60.49</v>
      </c>
      <c r="N20" s="51">
        <v>906.6</v>
      </c>
      <c r="O20" s="51">
        <v>0</v>
      </c>
      <c r="P20" s="51">
        <v>0.49</v>
      </c>
      <c r="Q20" s="51">
        <v>9.26</v>
      </c>
      <c r="R20" s="43"/>
      <c r="S20" s="43"/>
      <c r="T20" s="43"/>
      <c r="U20" s="43"/>
    </row>
    <row r="21" spans="1:21" s="11" customFormat="1" x14ac:dyDescent="0.25">
      <c r="A21" s="50" t="s">
        <v>528</v>
      </c>
      <c r="B21" s="51">
        <v>7.71</v>
      </c>
      <c r="C21" s="51">
        <v>8.09</v>
      </c>
      <c r="D21" s="51">
        <v>10.24</v>
      </c>
      <c r="E21" s="51">
        <v>5.25</v>
      </c>
      <c r="F21" s="51">
        <v>13.71</v>
      </c>
      <c r="G21" s="51">
        <v>43.45</v>
      </c>
      <c r="H21" s="51">
        <v>5.0199999999999996</v>
      </c>
      <c r="I21" s="51">
        <v>1.55</v>
      </c>
      <c r="J21" s="51">
        <v>0.52</v>
      </c>
      <c r="K21" s="51">
        <v>327.94</v>
      </c>
      <c r="L21" s="51">
        <v>33.99</v>
      </c>
      <c r="M21" s="51">
        <v>66.260000000000005</v>
      </c>
      <c r="N21" s="51">
        <v>826.1</v>
      </c>
      <c r="O21" s="51">
        <v>0</v>
      </c>
      <c r="P21" s="51">
        <v>0.48</v>
      </c>
      <c r="Q21" s="51">
        <v>9.2100000000000009</v>
      </c>
      <c r="R21" s="43"/>
      <c r="S21" s="43"/>
      <c r="T21" s="43"/>
      <c r="U21" s="43"/>
    </row>
    <row r="22" spans="1:21" s="11" customFormat="1" x14ac:dyDescent="0.25">
      <c r="A22" s="50" t="s">
        <v>529</v>
      </c>
      <c r="B22" s="51">
        <v>8.51</v>
      </c>
      <c r="C22" s="51">
        <v>8.84</v>
      </c>
      <c r="D22" s="51">
        <v>11.45</v>
      </c>
      <c r="E22" s="51">
        <v>5.51</v>
      </c>
      <c r="F22" s="51">
        <v>19.829999999999998</v>
      </c>
      <c r="G22" s="51">
        <v>49.53</v>
      </c>
      <c r="H22" s="51">
        <v>4.6399999999999997</v>
      </c>
      <c r="I22" s="51">
        <v>1.5</v>
      </c>
      <c r="J22" s="51">
        <v>0.28000000000000003</v>
      </c>
      <c r="K22" s="51">
        <v>278.77</v>
      </c>
      <c r="L22" s="51">
        <v>33.090000000000003</v>
      </c>
      <c r="M22" s="51">
        <v>75.69</v>
      </c>
      <c r="N22" s="51">
        <v>347.4</v>
      </c>
      <c r="O22" s="51">
        <v>0</v>
      </c>
      <c r="P22" s="51">
        <v>0.47</v>
      </c>
      <c r="Q22" s="51">
        <v>9.18</v>
      </c>
      <c r="R22" s="43"/>
      <c r="S22" s="43"/>
      <c r="T22" s="43"/>
      <c r="U22" s="43"/>
    </row>
    <row r="23" spans="1:21" s="11" customFormat="1" x14ac:dyDescent="0.25">
      <c r="A23" s="50" t="s">
        <v>530</v>
      </c>
      <c r="B23" s="51">
        <v>8.39</v>
      </c>
      <c r="C23" s="51">
        <v>8.76</v>
      </c>
      <c r="D23" s="51">
        <v>11.23</v>
      </c>
      <c r="E23" s="51">
        <v>5.4</v>
      </c>
      <c r="F23" s="51">
        <v>17.079999999999998</v>
      </c>
      <c r="G23" s="51">
        <v>46.78</v>
      </c>
      <c r="H23" s="51">
        <v>7.94</v>
      </c>
      <c r="I23" s="51">
        <v>1.68</v>
      </c>
      <c r="J23" s="51">
        <v>0.43</v>
      </c>
      <c r="K23" s="51">
        <v>322.10000000000002</v>
      </c>
      <c r="L23" s="51">
        <v>32.15</v>
      </c>
      <c r="M23" s="51">
        <v>72.69</v>
      </c>
      <c r="N23" s="51">
        <v>289.7</v>
      </c>
      <c r="O23" s="51">
        <v>0</v>
      </c>
      <c r="P23" s="51">
        <v>0.52</v>
      </c>
      <c r="Q23" s="51">
        <v>9.17</v>
      </c>
      <c r="R23" s="43"/>
      <c r="S23" s="43"/>
      <c r="T23" s="43"/>
      <c r="U23" s="43"/>
    </row>
    <row r="24" spans="1:21" s="11" customFormat="1" x14ac:dyDescent="0.25">
      <c r="A24" s="50" t="s">
        <v>531</v>
      </c>
      <c r="B24" s="51">
        <v>8.58</v>
      </c>
      <c r="C24" s="51">
        <v>9.81</v>
      </c>
      <c r="D24" s="51">
        <v>12.01</v>
      </c>
      <c r="E24" s="51">
        <v>5.53</v>
      </c>
      <c r="F24" s="51">
        <v>16.600000000000001</v>
      </c>
      <c r="G24" s="51">
        <v>40.68</v>
      </c>
      <c r="H24" s="51">
        <v>7.06</v>
      </c>
      <c r="I24" s="51">
        <v>1.75</v>
      </c>
      <c r="J24" s="51">
        <v>0.11</v>
      </c>
      <c r="K24" s="51">
        <v>309.14999999999998</v>
      </c>
      <c r="L24" s="51">
        <v>30.27</v>
      </c>
      <c r="M24" s="51">
        <v>77.25</v>
      </c>
      <c r="N24" s="51">
        <v>163.19999999999999</v>
      </c>
      <c r="O24" s="51">
        <v>0</v>
      </c>
      <c r="P24" s="51">
        <v>0.54</v>
      </c>
      <c r="Q24" s="51">
        <v>9.15</v>
      </c>
      <c r="R24" s="43"/>
      <c r="S24" s="43"/>
      <c r="T24" s="43"/>
      <c r="U24" s="43"/>
    </row>
    <row r="25" spans="1:21" s="11" customFormat="1" x14ac:dyDescent="0.25">
      <c r="A25" s="50" t="s">
        <v>532</v>
      </c>
      <c r="B25" s="51">
        <v>8.67</v>
      </c>
      <c r="C25" s="51">
        <v>10.66</v>
      </c>
      <c r="D25" s="51">
        <v>12.52</v>
      </c>
      <c r="E25" s="51">
        <v>4.99</v>
      </c>
      <c r="F25" s="51">
        <v>15.48</v>
      </c>
      <c r="G25" s="51">
        <v>45.13</v>
      </c>
      <c r="H25" s="51">
        <v>6.47</v>
      </c>
      <c r="I25" s="51">
        <v>1.62</v>
      </c>
      <c r="J25" s="51">
        <v>1.27</v>
      </c>
      <c r="K25" s="51">
        <v>334.4</v>
      </c>
      <c r="L25" s="51">
        <v>30.31</v>
      </c>
      <c r="M25" s="51">
        <v>79.430000000000007</v>
      </c>
      <c r="N25" s="51">
        <v>118.1</v>
      </c>
      <c r="O25" s="51">
        <v>0</v>
      </c>
      <c r="P25" s="51">
        <v>0.6</v>
      </c>
      <c r="Q25" s="51">
        <v>9.18</v>
      </c>
      <c r="R25" s="43"/>
      <c r="S25" s="43"/>
      <c r="T25" s="43"/>
      <c r="U25" s="43"/>
    </row>
    <row r="26" spans="1:21" s="11" customFormat="1" x14ac:dyDescent="0.25">
      <c r="A26" s="50" t="s">
        <v>533</v>
      </c>
      <c r="B26" s="51">
        <v>6.22</v>
      </c>
      <c r="C26" s="51">
        <v>11.98</v>
      </c>
      <c r="D26" s="51">
        <v>10.66</v>
      </c>
      <c r="E26" s="51">
        <v>5.07</v>
      </c>
      <c r="F26" s="51">
        <v>14.45</v>
      </c>
      <c r="G26" s="51">
        <v>52.3</v>
      </c>
      <c r="H26" s="51">
        <v>4.53</v>
      </c>
      <c r="I26" s="51">
        <v>1.66</v>
      </c>
      <c r="J26" s="51">
        <v>0.87</v>
      </c>
      <c r="K26" s="51">
        <v>341.87</v>
      </c>
      <c r="L26" s="51">
        <v>29.78</v>
      </c>
      <c r="M26" s="51">
        <v>82.86</v>
      </c>
      <c r="N26" s="51">
        <v>62.5</v>
      </c>
      <c r="O26" s="51">
        <v>0</v>
      </c>
      <c r="P26" s="51">
        <v>1.52</v>
      </c>
      <c r="Q26" s="51">
        <v>9.3000000000000007</v>
      </c>
      <c r="R26" s="43"/>
      <c r="S26" s="43"/>
      <c r="T26" s="43"/>
      <c r="U26" s="43"/>
    </row>
    <row r="27" spans="1:21" s="11" customFormat="1" x14ac:dyDescent="0.25">
      <c r="A27" s="50" t="s">
        <v>534</v>
      </c>
      <c r="B27" s="51">
        <v>10.130000000000001</v>
      </c>
      <c r="C27" s="51">
        <v>14.03</v>
      </c>
      <c r="D27" s="51">
        <v>14.2</v>
      </c>
      <c r="E27" s="51">
        <v>5.13</v>
      </c>
      <c r="F27" s="51">
        <v>12.91</v>
      </c>
      <c r="G27" s="51">
        <v>57.57</v>
      </c>
      <c r="H27" s="51">
        <v>3.17</v>
      </c>
      <c r="I27" s="51">
        <v>1.92</v>
      </c>
      <c r="J27" s="51">
        <v>0.62</v>
      </c>
      <c r="K27" s="51">
        <v>340.9</v>
      </c>
      <c r="L27" s="51">
        <v>28.32</v>
      </c>
      <c r="M27" s="51">
        <v>87.24</v>
      </c>
      <c r="N27" s="51">
        <v>41.7</v>
      </c>
      <c r="O27" s="51">
        <v>0</v>
      </c>
      <c r="P27" s="51">
        <v>1.43</v>
      </c>
      <c r="Q27" s="51">
        <v>9.42</v>
      </c>
      <c r="R27" s="43"/>
      <c r="S27" s="43"/>
      <c r="T27" s="43"/>
      <c r="U27" s="43"/>
    </row>
    <row r="28" spans="1:21" s="11" customFormat="1" x14ac:dyDescent="0.25">
      <c r="A28" s="50" t="s">
        <v>535</v>
      </c>
      <c r="B28" s="51">
        <v>8.99</v>
      </c>
      <c r="C28" s="51">
        <v>13.11</v>
      </c>
      <c r="D28" s="51">
        <v>13.32</v>
      </c>
      <c r="E28" s="51">
        <v>5.04</v>
      </c>
      <c r="F28" s="51">
        <v>4.46</v>
      </c>
      <c r="G28" s="51">
        <v>60.61</v>
      </c>
      <c r="H28" s="51">
        <v>7</v>
      </c>
      <c r="I28" s="51">
        <v>2.09</v>
      </c>
      <c r="J28" s="51">
        <v>1.4</v>
      </c>
      <c r="K28" s="51">
        <v>321.76</v>
      </c>
      <c r="L28" s="51">
        <v>27.61</v>
      </c>
      <c r="M28" s="51">
        <v>96.99</v>
      </c>
      <c r="N28" s="51">
        <v>42.8</v>
      </c>
      <c r="O28" s="51">
        <v>0</v>
      </c>
      <c r="P28" s="51">
        <v>0.63</v>
      </c>
      <c r="Q28" s="51">
        <v>9.44</v>
      </c>
      <c r="R28" s="43"/>
      <c r="S28" s="43"/>
      <c r="T28" s="43"/>
      <c r="U28" s="43"/>
    </row>
    <row r="29" spans="1:21" s="11" customFormat="1" x14ac:dyDescent="0.25">
      <c r="A29" s="50" t="s">
        <v>536</v>
      </c>
      <c r="B29" s="51">
        <v>9.81</v>
      </c>
      <c r="C29" s="51">
        <v>13.82</v>
      </c>
      <c r="D29" s="51">
        <v>14.88</v>
      </c>
      <c r="E29" s="51">
        <v>4.58</v>
      </c>
      <c r="F29" s="51">
        <v>7.43</v>
      </c>
      <c r="G29" s="51">
        <v>59.65</v>
      </c>
      <c r="H29" s="51">
        <v>4.9000000000000004</v>
      </c>
      <c r="I29" s="51">
        <v>1.99</v>
      </c>
      <c r="J29" s="51">
        <v>0.41</v>
      </c>
      <c r="K29" s="51">
        <v>330.33</v>
      </c>
      <c r="L29" s="51">
        <v>25.27</v>
      </c>
      <c r="M29" s="51">
        <v>98.12</v>
      </c>
      <c r="N29" s="51">
        <v>42.4</v>
      </c>
      <c r="O29" s="51">
        <v>0</v>
      </c>
      <c r="P29" s="51">
        <v>0.56999999999999995</v>
      </c>
      <c r="Q29" s="51">
        <v>9.32</v>
      </c>
      <c r="R29" s="43"/>
      <c r="S29" s="43"/>
      <c r="T29" s="43"/>
      <c r="U29" s="43"/>
    </row>
    <row r="30" spans="1:21" s="11" customFormat="1" x14ac:dyDescent="0.25">
      <c r="A30" s="50" t="s">
        <v>537</v>
      </c>
      <c r="B30" s="51">
        <v>13.89</v>
      </c>
      <c r="C30" s="51">
        <v>10.55</v>
      </c>
      <c r="D30" s="51">
        <v>16.510000000000002</v>
      </c>
      <c r="E30" s="51">
        <v>4.46</v>
      </c>
      <c r="F30" s="51">
        <v>10.66</v>
      </c>
      <c r="G30" s="51">
        <v>48.6</v>
      </c>
      <c r="H30" s="51">
        <v>3.43</v>
      </c>
      <c r="I30" s="51">
        <v>1.66</v>
      </c>
      <c r="J30" s="51">
        <v>0.26</v>
      </c>
      <c r="K30" s="51">
        <v>324.39</v>
      </c>
      <c r="L30" s="51">
        <v>24.33</v>
      </c>
      <c r="M30" s="51">
        <v>98.16</v>
      </c>
      <c r="N30" s="51">
        <v>41.4</v>
      </c>
      <c r="O30" s="51">
        <v>0</v>
      </c>
      <c r="P30" s="51">
        <v>0.61</v>
      </c>
      <c r="Q30" s="51">
        <v>9.25</v>
      </c>
      <c r="R30" s="43"/>
      <c r="S30" s="43"/>
      <c r="T30" s="43"/>
      <c r="U30" s="43"/>
    </row>
    <row r="31" spans="1:21" s="11" customFormat="1" x14ac:dyDescent="0.25">
      <c r="A31" s="50" t="s">
        <v>538</v>
      </c>
      <c r="B31" s="51">
        <v>8.68</v>
      </c>
      <c r="C31" s="51">
        <v>11.22</v>
      </c>
      <c r="D31" s="51">
        <v>12.82</v>
      </c>
      <c r="E31" s="51">
        <v>4.53</v>
      </c>
      <c r="F31" s="51">
        <v>9.26</v>
      </c>
      <c r="G31" s="51">
        <v>45.29</v>
      </c>
      <c r="H31" s="51">
        <v>2.4</v>
      </c>
      <c r="I31" s="51">
        <v>1.65</v>
      </c>
      <c r="J31" s="51">
        <v>0.19</v>
      </c>
      <c r="K31" s="51">
        <v>313.45999999999998</v>
      </c>
      <c r="L31" s="51">
        <v>24.16</v>
      </c>
      <c r="M31" s="51">
        <v>98.17</v>
      </c>
      <c r="N31" s="51">
        <v>41.6</v>
      </c>
      <c r="O31" s="51">
        <v>0</v>
      </c>
      <c r="P31" s="51">
        <v>0.49</v>
      </c>
      <c r="Q31" s="51">
        <v>9.2799999999999994</v>
      </c>
      <c r="R31" s="43"/>
      <c r="S31" s="43"/>
      <c r="T31" s="43"/>
      <c r="U31" s="43"/>
    </row>
    <row r="32" spans="1:21" s="11" customFormat="1" x14ac:dyDescent="0.25">
      <c r="A32" s="50" t="s">
        <v>539</v>
      </c>
      <c r="B32" s="51">
        <v>9.0299999999999994</v>
      </c>
      <c r="C32" s="51">
        <v>9.2799999999999994</v>
      </c>
      <c r="D32" s="51">
        <v>12.09</v>
      </c>
      <c r="E32" s="51">
        <v>4.4400000000000004</v>
      </c>
      <c r="F32" s="51">
        <v>11.22</v>
      </c>
      <c r="G32" s="51">
        <v>30.68</v>
      </c>
      <c r="H32" s="51">
        <v>1.73</v>
      </c>
      <c r="I32" s="51">
        <v>1.61</v>
      </c>
      <c r="J32" s="51">
        <v>0.46</v>
      </c>
      <c r="K32" s="51">
        <v>323.66000000000003</v>
      </c>
      <c r="L32" s="51">
        <v>23.53</v>
      </c>
      <c r="M32" s="51">
        <v>98.22</v>
      </c>
      <c r="N32" s="51">
        <v>41.5</v>
      </c>
      <c r="O32" s="51">
        <v>0</v>
      </c>
      <c r="P32" s="51">
        <v>0.47</v>
      </c>
      <c r="Q32" s="51">
        <v>9.2799999999999994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6.22</v>
      </c>
      <c r="C34" s="28">
        <f t="shared" si="0"/>
        <v>5.52</v>
      </c>
      <c r="D34" s="28">
        <f t="shared" si="0"/>
        <v>8.81</v>
      </c>
      <c r="E34" s="28">
        <f t="shared" si="0"/>
        <v>4.4400000000000004</v>
      </c>
      <c r="F34" s="28">
        <f t="shared" si="0"/>
        <v>4.46</v>
      </c>
      <c r="G34" s="28">
        <f t="shared" si="0"/>
        <v>24.37</v>
      </c>
      <c r="H34" s="28">
        <f t="shared" si="0"/>
        <v>1.38</v>
      </c>
      <c r="I34" s="28">
        <f t="shared" si="0"/>
        <v>1.36</v>
      </c>
      <c r="J34" s="28">
        <f t="shared" si="0"/>
        <v>7.0000000000000007E-2</v>
      </c>
      <c r="K34" s="28">
        <f t="shared" si="0"/>
        <v>203.07</v>
      </c>
      <c r="L34" s="28">
        <f t="shared" si="0"/>
        <v>23.53</v>
      </c>
      <c r="M34" s="28">
        <f t="shared" si="0"/>
        <v>60.49</v>
      </c>
      <c r="N34" s="28">
        <f t="shared" si="0"/>
        <v>41.4</v>
      </c>
      <c r="O34" s="28">
        <f t="shared" si="0"/>
        <v>0</v>
      </c>
      <c r="P34" s="28">
        <f t="shared" si="0"/>
        <v>0.26</v>
      </c>
      <c r="Q34" s="28">
        <f t="shared" si="0"/>
        <v>9.15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13.89</v>
      </c>
      <c r="C35" s="29">
        <f t="shared" si="1"/>
        <v>14.03</v>
      </c>
      <c r="D35" s="29">
        <f t="shared" si="1"/>
        <v>16.510000000000002</v>
      </c>
      <c r="E35" s="29">
        <f t="shared" si="1"/>
        <v>5.6</v>
      </c>
      <c r="F35" s="29">
        <f t="shared" si="1"/>
        <v>19.829999999999998</v>
      </c>
      <c r="G35" s="29">
        <f t="shared" si="1"/>
        <v>60.61</v>
      </c>
      <c r="H35" s="29">
        <f t="shared" si="1"/>
        <v>12.55</v>
      </c>
      <c r="I35" s="29">
        <f t="shared" si="1"/>
        <v>2.09</v>
      </c>
      <c r="J35" s="29">
        <f t="shared" si="1"/>
        <v>1.4</v>
      </c>
      <c r="K35" s="29">
        <f t="shared" si="1"/>
        <v>341.87</v>
      </c>
      <c r="L35" s="29">
        <f t="shared" si="1"/>
        <v>35.590000000000003</v>
      </c>
      <c r="M35" s="29">
        <f t="shared" si="1"/>
        <v>98.22</v>
      </c>
      <c r="N35" s="29">
        <f t="shared" si="1"/>
        <v>906.6</v>
      </c>
      <c r="O35" s="29">
        <f t="shared" si="1"/>
        <v>0</v>
      </c>
      <c r="P35" s="29">
        <f t="shared" si="1"/>
        <v>1.52</v>
      </c>
      <c r="Q35" s="29">
        <f t="shared" si="1"/>
        <v>9.44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9.0137499999999999</v>
      </c>
      <c r="C36" s="28">
        <f t="shared" si="2"/>
        <v>9.1054166666666649</v>
      </c>
      <c r="D36" s="28">
        <f t="shared" si="2"/>
        <v>11.784166666666664</v>
      </c>
      <c r="E36" s="28">
        <f t="shared" si="2"/>
        <v>5.1629166666666659</v>
      </c>
      <c r="F36" s="28">
        <f t="shared" si="2"/>
        <v>10.942083333333331</v>
      </c>
      <c r="G36" s="28">
        <f t="shared" si="2"/>
        <v>41.987916666666663</v>
      </c>
      <c r="H36" s="28">
        <f t="shared" si="2"/>
        <v>5.21875</v>
      </c>
      <c r="I36" s="28">
        <f t="shared" si="2"/>
        <v>1.6504166666666666</v>
      </c>
      <c r="J36" s="28">
        <f t="shared" si="2"/>
        <v>0.42416666666666675</v>
      </c>
      <c r="K36" s="28">
        <f t="shared" si="2"/>
        <v>313.2570833333333</v>
      </c>
      <c r="L36" s="28">
        <f t="shared" si="2"/>
        <v>28.797916666666669</v>
      </c>
      <c r="M36" s="28">
        <f t="shared" si="2"/>
        <v>87.095833333333346</v>
      </c>
      <c r="N36" s="28">
        <f t="shared" si="2"/>
        <v>255.29999999999995</v>
      </c>
      <c r="O36" s="28">
        <f t="shared" si="2"/>
        <v>0</v>
      </c>
      <c r="P36" s="28">
        <f t="shared" si="2"/>
        <v>0.55541666666666678</v>
      </c>
      <c r="Q36" s="28">
        <f t="shared" si="2"/>
        <v>9.2908333333333335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1.6556328423583677</v>
      </c>
      <c r="C37" s="28">
        <f t="shared" ref="C37:Q37" si="3">STDEV(C9:C32)</f>
        <v>2.420258662365173</v>
      </c>
      <c r="D37" s="28">
        <f t="shared" si="3"/>
        <v>1.9572738731441794</v>
      </c>
      <c r="E37" s="28">
        <f t="shared" si="3"/>
        <v>0.34270635378926984</v>
      </c>
      <c r="F37" s="28">
        <f t="shared" si="3"/>
        <v>4.1296541377095348</v>
      </c>
      <c r="G37" s="28">
        <f t="shared" si="3"/>
        <v>10.535854303557782</v>
      </c>
      <c r="H37" s="28">
        <f t="shared" si="3"/>
        <v>2.7073463865050105</v>
      </c>
      <c r="I37" s="28">
        <f t="shared" si="3"/>
        <v>0.19277107772121133</v>
      </c>
      <c r="J37" s="28">
        <f t="shared" si="3"/>
        <v>0.36477410122915271</v>
      </c>
      <c r="K37" s="28">
        <f t="shared" si="3"/>
        <v>33.544575467534294</v>
      </c>
      <c r="L37" s="28">
        <f t="shared" si="3"/>
        <v>4.1592557644958967</v>
      </c>
      <c r="M37" s="28">
        <f t="shared" si="3"/>
        <v>13.533292898133324</v>
      </c>
      <c r="N37" s="28">
        <f t="shared" si="3"/>
        <v>308.10749112437452</v>
      </c>
      <c r="O37" s="28">
        <f t="shared" si="3"/>
        <v>0</v>
      </c>
      <c r="P37" s="28">
        <f t="shared" si="3"/>
        <v>0.30480184820087064</v>
      </c>
      <c r="Q37" s="28">
        <f t="shared" si="3"/>
        <v>7.4186408380550309E-2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52" sqref="H5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540</v>
      </c>
      <c r="B9" s="51">
        <v>10.41</v>
      </c>
      <c r="C9" s="51">
        <v>18.170000000000002</v>
      </c>
      <c r="D9" s="51">
        <v>17.84</v>
      </c>
      <c r="E9" s="51">
        <v>4.71</v>
      </c>
      <c r="F9" s="51">
        <v>7.98</v>
      </c>
      <c r="G9" s="51">
        <v>27.43</v>
      </c>
      <c r="H9" s="51">
        <v>1.28</v>
      </c>
      <c r="I9" s="51">
        <v>1.61</v>
      </c>
      <c r="J9" s="51">
        <v>0.12</v>
      </c>
      <c r="K9" s="51">
        <v>312.48</v>
      </c>
      <c r="L9" s="51">
        <v>23.35</v>
      </c>
      <c r="M9" s="51">
        <v>98.3</v>
      </c>
      <c r="N9" s="51">
        <v>41.6</v>
      </c>
      <c r="O9" s="51">
        <v>0</v>
      </c>
      <c r="P9" s="51">
        <v>0.46</v>
      </c>
      <c r="Q9" s="51">
        <v>9.25</v>
      </c>
      <c r="R9" s="43"/>
      <c r="S9" s="43"/>
      <c r="T9" s="43"/>
      <c r="U9" s="43"/>
    </row>
    <row r="10" spans="1:21" s="11" customFormat="1" x14ac:dyDescent="0.25">
      <c r="A10" s="50" t="s">
        <v>541</v>
      </c>
      <c r="B10" s="51">
        <v>9.3800000000000008</v>
      </c>
      <c r="C10" s="51">
        <v>5.6</v>
      </c>
      <c r="D10" s="51">
        <v>10.44</v>
      </c>
      <c r="E10" s="51">
        <v>4.49</v>
      </c>
      <c r="F10" s="51">
        <v>5.05</v>
      </c>
      <c r="G10" s="51">
        <v>26.08</v>
      </c>
      <c r="H10" s="51">
        <v>2.92</v>
      </c>
      <c r="I10" s="51">
        <v>1.53</v>
      </c>
      <c r="J10" s="51">
        <v>0.24</v>
      </c>
      <c r="K10" s="51">
        <v>322.02</v>
      </c>
      <c r="L10" s="51">
        <v>23.19</v>
      </c>
      <c r="M10" s="51">
        <v>98.3</v>
      </c>
      <c r="N10" s="51">
        <v>41.5</v>
      </c>
      <c r="O10" s="51">
        <v>0</v>
      </c>
      <c r="P10" s="51">
        <v>0.44</v>
      </c>
      <c r="Q10" s="51">
        <v>9.1999999999999993</v>
      </c>
      <c r="R10" s="43"/>
      <c r="S10" s="43"/>
      <c r="T10" s="43"/>
      <c r="U10" s="43"/>
    </row>
    <row r="11" spans="1:21" s="11" customFormat="1" x14ac:dyDescent="0.25">
      <c r="A11" s="50" t="s">
        <v>542</v>
      </c>
      <c r="B11" s="51">
        <v>7.92</v>
      </c>
      <c r="C11" s="51">
        <v>5.62</v>
      </c>
      <c r="D11" s="51">
        <v>9.09</v>
      </c>
      <c r="E11" s="51">
        <v>4.51</v>
      </c>
      <c r="F11" s="51">
        <v>10.76</v>
      </c>
      <c r="G11" s="51">
        <v>24.65</v>
      </c>
      <c r="H11" s="51">
        <v>2.5</v>
      </c>
      <c r="I11" s="51">
        <v>1.6</v>
      </c>
      <c r="J11" s="51">
        <v>0.19</v>
      </c>
      <c r="K11" s="51">
        <v>324.8</v>
      </c>
      <c r="L11" s="51">
        <v>23.27</v>
      </c>
      <c r="M11" s="51">
        <v>98.28</v>
      </c>
      <c r="N11" s="51">
        <v>41.4</v>
      </c>
      <c r="O11" s="51">
        <v>0</v>
      </c>
      <c r="P11" s="51">
        <v>0.42</v>
      </c>
      <c r="Q11" s="51">
        <v>9.18</v>
      </c>
      <c r="R11" s="43"/>
      <c r="S11" s="43"/>
      <c r="T11" s="43"/>
      <c r="U11" s="43"/>
    </row>
    <row r="12" spans="1:21" s="11" customFormat="1" x14ac:dyDescent="0.25">
      <c r="A12" s="50" t="s">
        <v>543</v>
      </c>
      <c r="B12" s="51">
        <v>7.41</v>
      </c>
      <c r="C12" s="51">
        <v>6.09</v>
      </c>
      <c r="D12" s="51">
        <v>8.8800000000000008</v>
      </c>
      <c r="E12" s="51">
        <v>4.6399999999999997</v>
      </c>
      <c r="F12" s="51">
        <v>10.07</v>
      </c>
      <c r="G12" s="51">
        <v>17.68</v>
      </c>
      <c r="H12" s="51">
        <v>3.91</v>
      </c>
      <c r="I12" s="51">
        <v>1.8</v>
      </c>
      <c r="J12" s="51">
        <v>0.18</v>
      </c>
      <c r="K12" s="51">
        <v>331.14</v>
      </c>
      <c r="L12" s="51">
        <v>23.28</v>
      </c>
      <c r="M12" s="51">
        <v>98.3</v>
      </c>
      <c r="N12" s="51">
        <v>41.4</v>
      </c>
      <c r="O12" s="51">
        <v>0</v>
      </c>
      <c r="P12" s="51">
        <v>0.51</v>
      </c>
      <c r="Q12" s="51">
        <v>9.2100000000000009</v>
      </c>
      <c r="R12" s="43"/>
      <c r="S12" s="43"/>
      <c r="T12" s="43"/>
      <c r="U12" s="43"/>
    </row>
    <row r="13" spans="1:21" s="11" customFormat="1" x14ac:dyDescent="0.25">
      <c r="A13" s="50" t="s">
        <v>544</v>
      </c>
      <c r="B13" s="51">
        <v>7.07</v>
      </c>
      <c r="C13" s="51">
        <v>7.42</v>
      </c>
      <c r="D13" s="51">
        <v>9.5500000000000007</v>
      </c>
      <c r="E13" s="51">
        <v>4.7300000000000004</v>
      </c>
      <c r="F13" s="51">
        <v>7.79</v>
      </c>
      <c r="G13" s="51">
        <v>19.89</v>
      </c>
      <c r="H13" s="51">
        <v>2.93</v>
      </c>
      <c r="I13" s="51">
        <v>1.84</v>
      </c>
      <c r="J13" s="51">
        <v>0.17</v>
      </c>
      <c r="K13" s="51">
        <v>260.43</v>
      </c>
      <c r="L13" s="51">
        <v>23.43</v>
      </c>
      <c r="M13" s="51">
        <v>98.38</v>
      </c>
      <c r="N13" s="51">
        <v>41.5</v>
      </c>
      <c r="O13" s="51">
        <v>0</v>
      </c>
      <c r="P13" s="51">
        <v>0.38</v>
      </c>
      <c r="Q13" s="51">
        <v>9.1999999999999993</v>
      </c>
      <c r="R13" s="43"/>
      <c r="S13" s="43"/>
      <c r="T13" s="43"/>
      <c r="U13" s="43"/>
    </row>
    <row r="14" spans="1:21" s="11" customFormat="1" x14ac:dyDescent="0.25">
      <c r="A14" s="50" t="s">
        <v>545</v>
      </c>
      <c r="B14" s="51">
        <v>7.72</v>
      </c>
      <c r="C14" s="51">
        <v>8.49</v>
      </c>
      <c r="D14" s="51">
        <v>10.53</v>
      </c>
      <c r="E14" s="51">
        <v>4.72</v>
      </c>
      <c r="F14" s="51">
        <v>6.24</v>
      </c>
      <c r="G14" s="51">
        <v>21.03</v>
      </c>
      <c r="H14" s="51">
        <v>2.64</v>
      </c>
      <c r="I14" s="51">
        <v>1.83</v>
      </c>
      <c r="J14" s="51">
        <v>0.1</v>
      </c>
      <c r="K14" s="51">
        <v>241.68</v>
      </c>
      <c r="L14" s="51">
        <v>22.93</v>
      </c>
      <c r="M14" s="51">
        <v>98.41</v>
      </c>
      <c r="N14" s="51">
        <v>48.6</v>
      </c>
      <c r="O14" s="51">
        <v>0</v>
      </c>
      <c r="P14" s="51">
        <v>0.36</v>
      </c>
      <c r="Q14" s="51">
        <v>9.18</v>
      </c>
      <c r="R14" s="43"/>
      <c r="S14" s="43"/>
      <c r="T14" s="43"/>
      <c r="U14" s="43"/>
    </row>
    <row r="15" spans="1:21" s="11" customFormat="1" x14ac:dyDescent="0.25">
      <c r="A15" s="50" t="s">
        <v>546</v>
      </c>
      <c r="B15" s="51">
        <v>10.75</v>
      </c>
      <c r="C15" s="51">
        <v>9.75</v>
      </c>
      <c r="D15" s="51">
        <v>13.55</v>
      </c>
      <c r="E15" s="51">
        <v>4.75</v>
      </c>
      <c r="F15" s="51">
        <v>9.09</v>
      </c>
      <c r="G15" s="51">
        <v>20.59</v>
      </c>
      <c r="H15" s="51">
        <v>1.99</v>
      </c>
      <c r="I15" s="51">
        <v>1.81</v>
      </c>
      <c r="J15" s="51">
        <v>0.53</v>
      </c>
      <c r="K15" s="51">
        <v>272.64</v>
      </c>
      <c r="L15" s="51">
        <v>24.39</v>
      </c>
      <c r="M15" s="51">
        <v>98.38</v>
      </c>
      <c r="N15" s="51">
        <v>179.2</v>
      </c>
      <c r="O15" s="51">
        <v>0</v>
      </c>
      <c r="P15" s="51">
        <v>0.37</v>
      </c>
      <c r="Q15" s="51">
        <v>9.2200000000000006</v>
      </c>
      <c r="R15" s="43"/>
      <c r="S15" s="43"/>
      <c r="T15" s="43"/>
      <c r="U15" s="43"/>
    </row>
    <row r="16" spans="1:21" s="11" customFormat="1" x14ac:dyDescent="0.25">
      <c r="A16" s="50" t="s">
        <v>547</v>
      </c>
      <c r="B16" s="51">
        <v>15</v>
      </c>
      <c r="C16" s="51">
        <v>8.06</v>
      </c>
      <c r="D16" s="51">
        <v>16.239999999999998</v>
      </c>
      <c r="E16" s="51">
        <v>4.8</v>
      </c>
      <c r="F16" s="51">
        <v>9.6199999999999992</v>
      </c>
      <c r="G16" s="51">
        <v>15.01</v>
      </c>
      <c r="H16" s="51">
        <v>5.17</v>
      </c>
      <c r="I16" s="51">
        <v>1.78</v>
      </c>
      <c r="J16" s="51">
        <v>0.7</v>
      </c>
      <c r="K16" s="51">
        <v>342.35</v>
      </c>
      <c r="L16" s="51">
        <v>27.22</v>
      </c>
      <c r="M16" s="51">
        <v>98.04</v>
      </c>
      <c r="N16" s="51">
        <v>334.1</v>
      </c>
      <c r="O16" s="51">
        <v>0</v>
      </c>
      <c r="P16" s="51">
        <v>0.42</v>
      </c>
      <c r="Q16" s="51">
        <v>9.27</v>
      </c>
      <c r="R16" s="43"/>
      <c r="S16" s="43"/>
      <c r="T16" s="43"/>
      <c r="U16" s="43"/>
    </row>
    <row r="17" spans="1:21" s="11" customFormat="1" x14ac:dyDescent="0.25">
      <c r="A17" s="50" t="s">
        <v>548</v>
      </c>
      <c r="B17" s="51">
        <v>13.53</v>
      </c>
      <c r="C17" s="51">
        <v>7.37</v>
      </c>
      <c r="D17" s="51">
        <v>14.7</v>
      </c>
      <c r="E17" s="51">
        <v>5.64</v>
      </c>
      <c r="F17" s="51">
        <v>8.59</v>
      </c>
      <c r="G17" s="51">
        <v>36.53</v>
      </c>
      <c r="H17" s="51">
        <v>3.62</v>
      </c>
      <c r="I17" s="51">
        <v>1.94</v>
      </c>
      <c r="J17" s="51">
        <v>0.16</v>
      </c>
      <c r="K17" s="51">
        <v>278.02</v>
      </c>
      <c r="L17" s="51">
        <v>30.34</v>
      </c>
      <c r="M17" s="51">
        <v>96.54</v>
      </c>
      <c r="N17" s="51">
        <v>614.5</v>
      </c>
      <c r="O17" s="51">
        <v>0</v>
      </c>
      <c r="P17" s="51">
        <v>0.4</v>
      </c>
      <c r="Q17" s="51">
        <v>9.2899999999999991</v>
      </c>
      <c r="R17" s="43"/>
      <c r="S17" s="43"/>
      <c r="T17" s="43"/>
      <c r="U17" s="43"/>
    </row>
    <row r="18" spans="1:21" s="11" customFormat="1" x14ac:dyDescent="0.25">
      <c r="A18" s="50" t="s">
        <v>549</v>
      </c>
      <c r="B18" s="51">
        <v>16.170000000000002</v>
      </c>
      <c r="C18" s="51">
        <v>8.61</v>
      </c>
      <c r="D18" s="51">
        <v>17</v>
      </c>
      <c r="E18" s="51">
        <v>5.45</v>
      </c>
      <c r="F18" s="51">
        <v>15.49</v>
      </c>
      <c r="G18" s="51">
        <v>43.73</v>
      </c>
      <c r="H18" s="51">
        <v>2.5299999999999998</v>
      </c>
      <c r="I18" s="51">
        <v>2</v>
      </c>
      <c r="J18" s="51">
        <v>0.63</v>
      </c>
      <c r="K18" s="51">
        <v>341.14</v>
      </c>
      <c r="L18" s="51">
        <v>33.96</v>
      </c>
      <c r="M18" s="51">
        <v>77.63</v>
      </c>
      <c r="N18" s="51">
        <v>780.5</v>
      </c>
      <c r="O18" s="51">
        <v>0</v>
      </c>
      <c r="P18" s="51">
        <v>0.52</v>
      </c>
      <c r="Q18" s="51">
        <v>9.27</v>
      </c>
      <c r="R18" s="43"/>
      <c r="S18" s="43"/>
      <c r="T18" s="43"/>
      <c r="U18" s="43"/>
    </row>
    <row r="19" spans="1:21" s="11" customFormat="1" x14ac:dyDescent="0.25">
      <c r="A19" s="50" t="s">
        <v>550</v>
      </c>
      <c r="B19" s="51">
        <v>15.36</v>
      </c>
      <c r="C19" s="51">
        <v>7.81</v>
      </c>
      <c r="D19" s="51">
        <v>16.329999999999998</v>
      </c>
      <c r="E19" s="51">
        <v>5.59</v>
      </c>
      <c r="F19" s="51">
        <v>18.77</v>
      </c>
      <c r="G19" s="51">
        <v>50.74</v>
      </c>
      <c r="H19" s="51">
        <v>1.82</v>
      </c>
      <c r="I19" s="51">
        <v>2.2200000000000002</v>
      </c>
      <c r="J19" s="51">
        <v>0.33</v>
      </c>
      <c r="K19" s="51">
        <v>332.6</v>
      </c>
      <c r="L19" s="51">
        <v>32.43</v>
      </c>
      <c r="M19" s="51">
        <v>76.95</v>
      </c>
      <c r="N19" s="51">
        <v>777.5</v>
      </c>
      <c r="O19" s="51">
        <v>0</v>
      </c>
      <c r="P19" s="51">
        <v>0.64</v>
      </c>
      <c r="Q19" s="51">
        <v>9.26</v>
      </c>
      <c r="R19" s="43"/>
      <c r="S19" s="43"/>
      <c r="T19" s="43"/>
      <c r="U19" s="43"/>
    </row>
    <row r="20" spans="1:21" s="11" customFormat="1" x14ac:dyDescent="0.25">
      <c r="A20" s="50" t="s">
        <v>551</v>
      </c>
      <c r="B20" s="51">
        <v>14.18</v>
      </c>
      <c r="C20" s="51">
        <v>7.34</v>
      </c>
      <c r="D20" s="51">
        <v>14.55</v>
      </c>
      <c r="E20" s="51">
        <v>5.66</v>
      </c>
      <c r="F20" s="51">
        <v>22.66</v>
      </c>
      <c r="G20" s="51">
        <v>48.84</v>
      </c>
      <c r="H20" s="51">
        <v>4.79</v>
      </c>
      <c r="I20" s="51">
        <v>2.5099999999999998</v>
      </c>
      <c r="J20" s="51">
        <v>0.41</v>
      </c>
      <c r="K20" s="51">
        <v>340.06</v>
      </c>
      <c r="L20" s="51">
        <v>31.17</v>
      </c>
      <c r="M20" s="51">
        <v>94.07</v>
      </c>
      <c r="N20" s="51">
        <v>532.1</v>
      </c>
      <c r="O20" s="51">
        <v>0</v>
      </c>
      <c r="P20" s="51">
        <v>0.75</v>
      </c>
      <c r="Q20" s="51">
        <v>9.25</v>
      </c>
      <c r="R20" s="43"/>
      <c r="S20" s="43"/>
      <c r="T20" s="43"/>
      <c r="U20" s="43"/>
    </row>
    <row r="21" spans="1:21" s="11" customFormat="1" x14ac:dyDescent="0.25">
      <c r="A21" s="50" t="s">
        <v>552</v>
      </c>
      <c r="B21" s="51">
        <v>14.45</v>
      </c>
      <c r="C21" s="51">
        <v>9.16</v>
      </c>
      <c r="D21" s="51">
        <v>16.37</v>
      </c>
      <c r="E21" s="51">
        <v>6.06</v>
      </c>
      <c r="F21" s="51">
        <v>22.1</v>
      </c>
      <c r="G21" s="51">
        <v>57.67</v>
      </c>
      <c r="H21" s="51">
        <v>4.16</v>
      </c>
      <c r="I21" s="51">
        <v>2.61</v>
      </c>
      <c r="J21" s="51">
        <v>0.73</v>
      </c>
      <c r="K21" s="51">
        <v>339.97</v>
      </c>
      <c r="L21" s="51">
        <v>32.85</v>
      </c>
      <c r="M21" s="51">
        <v>75.61</v>
      </c>
      <c r="N21" s="51">
        <v>611.6</v>
      </c>
      <c r="O21" s="51">
        <v>0</v>
      </c>
      <c r="P21" s="51">
        <v>0.76</v>
      </c>
      <c r="Q21" s="51">
        <v>9.27</v>
      </c>
      <c r="R21" s="43"/>
      <c r="S21" s="43"/>
      <c r="T21" s="43"/>
      <c r="U21" s="43"/>
    </row>
    <row r="22" spans="1:21" s="11" customFormat="1" x14ac:dyDescent="0.25">
      <c r="A22" s="50" t="s">
        <v>553</v>
      </c>
      <c r="B22" s="51">
        <v>14.86</v>
      </c>
      <c r="C22" s="51">
        <v>9.01</v>
      </c>
      <c r="D22" s="51">
        <v>16.62</v>
      </c>
      <c r="E22" s="51">
        <v>6</v>
      </c>
      <c r="F22" s="51">
        <v>20.63</v>
      </c>
      <c r="G22" s="51">
        <v>69.64</v>
      </c>
      <c r="H22" s="51">
        <v>2.91</v>
      </c>
      <c r="I22" s="51">
        <v>2.57</v>
      </c>
      <c r="J22" s="51">
        <v>1.18</v>
      </c>
      <c r="K22" s="51">
        <v>340.26</v>
      </c>
      <c r="L22" s="51">
        <v>32.64</v>
      </c>
      <c r="M22" s="51">
        <v>70.37</v>
      </c>
      <c r="N22" s="51">
        <v>383.1</v>
      </c>
      <c r="O22" s="51">
        <v>0</v>
      </c>
      <c r="P22" s="51">
        <v>0.74</v>
      </c>
      <c r="Q22" s="51">
        <v>9.27</v>
      </c>
      <c r="R22" s="43"/>
      <c r="S22" s="43"/>
      <c r="T22" s="43"/>
      <c r="U22" s="43"/>
    </row>
    <row r="23" spans="1:21" s="11" customFormat="1" x14ac:dyDescent="0.25">
      <c r="A23" s="50" t="s">
        <v>554</v>
      </c>
      <c r="B23" s="51">
        <v>15.12</v>
      </c>
      <c r="C23" s="51">
        <v>9.94</v>
      </c>
      <c r="D23" s="51">
        <v>16.98</v>
      </c>
      <c r="E23" s="51">
        <v>6.05</v>
      </c>
      <c r="F23" s="51">
        <v>22.48</v>
      </c>
      <c r="G23" s="51">
        <v>82.87</v>
      </c>
      <c r="H23" s="51">
        <v>3.76</v>
      </c>
      <c r="I23" s="51">
        <v>2.4500000000000002</v>
      </c>
      <c r="J23" s="51">
        <v>0.78</v>
      </c>
      <c r="K23" s="51">
        <v>340.77</v>
      </c>
      <c r="L23" s="51">
        <v>31.83</v>
      </c>
      <c r="M23" s="51">
        <v>69</v>
      </c>
      <c r="N23" s="51">
        <v>218.7</v>
      </c>
      <c r="O23" s="51">
        <v>0</v>
      </c>
      <c r="P23" s="51">
        <v>0.72</v>
      </c>
      <c r="Q23" s="51">
        <v>9.24</v>
      </c>
      <c r="R23" s="43"/>
      <c r="S23" s="43"/>
      <c r="T23" s="43"/>
      <c r="U23" s="43"/>
    </row>
    <row r="24" spans="1:21" s="11" customFormat="1" x14ac:dyDescent="0.25">
      <c r="A24" s="50" t="s">
        <v>555</v>
      </c>
      <c r="B24" s="51">
        <v>12.08</v>
      </c>
      <c r="C24" s="51">
        <v>9.5399999999999991</v>
      </c>
      <c r="D24" s="51">
        <v>14.56</v>
      </c>
      <c r="E24" s="51">
        <v>6.24</v>
      </c>
      <c r="F24" s="51">
        <v>22.25</v>
      </c>
      <c r="G24" s="51">
        <v>80.44</v>
      </c>
      <c r="H24" s="51">
        <v>5.88</v>
      </c>
      <c r="I24" s="51">
        <v>2.42</v>
      </c>
      <c r="J24" s="51">
        <v>0.71</v>
      </c>
      <c r="K24" s="51">
        <v>342.89</v>
      </c>
      <c r="L24" s="51">
        <v>31.52</v>
      </c>
      <c r="M24" s="51">
        <v>69.77</v>
      </c>
      <c r="N24" s="51">
        <v>180.7</v>
      </c>
      <c r="O24" s="51">
        <v>0</v>
      </c>
      <c r="P24" s="51">
        <v>0.79</v>
      </c>
      <c r="Q24" s="51">
        <v>9.25</v>
      </c>
      <c r="R24" s="43"/>
      <c r="S24" s="43"/>
      <c r="T24" s="43"/>
      <c r="U24" s="43"/>
    </row>
    <row r="25" spans="1:21" s="11" customFormat="1" x14ac:dyDescent="0.25">
      <c r="A25" s="50" t="s">
        <v>556</v>
      </c>
      <c r="B25" s="51">
        <v>14.07</v>
      </c>
      <c r="C25" s="51">
        <v>18.690000000000001</v>
      </c>
      <c r="D25" s="51">
        <v>21</v>
      </c>
      <c r="E25" s="51">
        <v>5.84</v>
      </c>
      <c r="F25" s="51">
        <v>21.09</v>
      </c>
      <c r="G25" s="51">
        <v>78.599999999999994</v>
      </c>
      <c r="H25" s="51">
        <v>4.1100000000000003</v>
      </c>
      <c r="I25" s="51">
        <v>2.25</v>
      </c>
      <c r="J25" s="51">
        <v>0.81</v>
      </c>
      <c r="K25" s="51">
        <v>338.54</v>
      </c>
      <c r="L25" s="51">
        <v>30.33</v>
      </c>
      <c r="M25" s="51">
        <v>77.88</v>
      </c>
      <c r="N25" s="51">
        <v>121.1</v>
      </c>
      <c r="O25" s="51">
        <v>0</v>
      </c>
      <c r="P25" s="51">
        <v>0.73</v>
      </c>
      <c r="Q25" s="51">
        <v>9.3000000000000007</v>
      </c>
      <c r="R25" s="43"/>
      <c r="S25" s="43"/>
      <c r="T25" s="43"/>
      <c r="U25" s="43"/>
    </row>
    <row r="26" spans="1:21" s="11" customFormat="1" x14ac:dyDescent="0.25">
      <c r="A26" s="50" t="s">
        <v>557</v>
      </c>
      <c r="B26" s="51">
        <v>24.47</v>
      </c>
      <c r="C26" s="51">
        <v>25.04</v>
      </c>
      <c r="D26" s="51">
        <v>32.71</v>
      </c>
      <c r="E26" s="51">
        <v>5.63</v>
      </c>
      <c r="F26" s="51">
        <v>19.63</v>
      </c>
      <c r="G26" s="51">
        <v>81.38</v>
      </c>
      <c r="H26" s="51">
        <v>2.88</v>
      </c>
      <c r="I26" s="51">
        <v>2.12</v>
      </c>
      <c r="J26" s="51">
        <v>0.43</v>
      </c>
      <c r="K26" s="51">
        <v>355.37</v>
      </c>
      <c r="L26" s="51">
        <v>29.15</v>
      </c>
      <c r="M26" s="51">
        <v>83.51</v>
      </c>
      <c r="N26" s="51">
        <v>61.1</v>
      </c>
      <c r="O26" s="51">
        <v>0</v>
      </c>
      <c r="P26" s="51">
        <v>1.1200000000000001</v>
      </c>
      <c r="Q26" s="51">
        <v>9.31</v>
      </c>
      <c r="R26" s="43"/>
      <c r="S26" s="43"/>
      <c r="T26" s="43"/>
      <c r="U26" s="43"/>
    </row>
    <row r="27" spans="1:21" s="11" customFormat="1" x14ac:dyDescent="0.25">
      <c r="A27" s="50" t="s">
        <v>558</v>
      </c>
      <c r="B27" s="51">
        <v>27.16</v>
      </c>
      <c r="C27" s="51">
        <v>33.01</v>
      </c>
      <c r="D27" s="51">
        <v>39.03</v>
      </c>
      <c r="E27" s="51">
        <v>5.74</v>
      </c>
      <c r="F27" s="51">
        <v>13.68</v>
      </c>
      <c r="G27" s="51">
        <v>74.2</v>
      </c>
      <c r="H27" s="51">
        <v>2.02</v>
      </c>
      <c r="I27" s="51">
        <v>2.12</v>
      </c>
      <c r="J27" s="51">
        <v>0.25</v>
      </c>
      <c r="K27" s="51">
        <v>310.18</v>
      </c>
      <c r="L27" s="51">
        <v>28.5</v>
      </c>
      <c r="M27" s="51">
        <v>90.93</v>
      </c>
      <c r="N27" s="51">
        <v>38.1</v>
      </c>
      <c r="O27" s="51">
        <v>0</v>
      </c>
      <c r="P27" s="51">
        <v>0.77</v>
      </c>
      <c r="Q27" s="51">
        <v>9.2899999999999991</v>
      </c>
      <c r="R27" s="43"/>
      <c r="S27" s="43"/>
      <c r="T27" s="43"/>
      <c r="U27" s="43"/>
    </row>
    <row r="28" spans="1:21" s="11" customFormat="1" x14ac:dyDescent="0.25">
      <c r="A28" s="50" t="s">
        <v>559</v>
      </c>
      <c r="B28" s="51">
        <v>20.25</v>
      </c>
      <c r="C28" s="51">
        <v>18.149999999999999</v>
      </c>
      <c r="D28" s="51">
        <v>25.72</v>
      </c>
      <c r="E28" s="51">
        <v>5.44</v>
      </c>
      <c r="F28" s="51">
        <v>12.42</v>
      </c>
      <c r="G28" s="51">
        <v>69.75</v>
      </c>
      <c r="H28" s="51">
        <v>8.09</v>
      </c>
      <c r="I28" s="51">
        <v>2.2000000000000002</v>
      </c>
      <c r="J28" s="51">
        <v>0.43</v>
      </c>
      <c r="K28" s="51">
        <v>150.55000000000001</v>
      </c>
      <c r="L28" s="51">
        <v>26.73</v>
      </c>
      <c r="M28" s="51">
        <v>97.97</v>
      </c>
      <c r="N28" s="51">
        <v>37.799999999999997</v>
      </c>
      <c r="O28" s="51">
        <v>0</v>
      </c>
      <c r="P28" s="51">
        <v>1.18</v>
      </c>
      <c r="Q28" s="51">
        <v>9.2799999999999994</v>
      </c>
      <c r="R28" s="43"/>
      <c r="S28" s="43"/>
      <c r="T28" s="43"/>
      <c r="U28" s="43"/>
    </row>
    <row r="29" spans="1:21" s="11" customFormat="1" x14ac:dyDescent="0.25">
      <c r="A29" s="50" t="s">
        <v>560</v>
      </c>
      <c r="B29" s="51">
        <v>23.63</v>
      </c>
      <c r="C29" s="51">
        <v>16.190000000000001</v>
      </c>
      <c r="D29" s="51">
        <v>27.41</v>
      </c>
      <c r="E29" s="51">
        <v>5.21</v>
      </c>
      <c r="F29" s="51">
        <v>12.15</v>
      </c>
      <c r="G29" s="51">
        <v>74.02</v>
      </c>
      <c r="H29" s="51">
        <v>5.67</v>
      </c>
      <c r="I29" s="51">
        <v>2.21</v>
      </c>
      <c r="J29" s="51">
        <v>0.63</v>
      </c>
      <c r="K29" s="51">
        <v>147.81</v>
      </c>
      <c r="L29" s="51">
        <v>26</v>
      </c>
      <c r="M29" s="51">
        <v>98</v>
      </c>
      <c r="N29" s="51">
        <v>37.4</v>
      </c>
      <c r="O29" s="51">
        <v>0</v>
      </c>
      <c r="P29" s="51">
        <v>0.55000000000000004</v>
      </c>
      <c r="Q29" s="51">
        <v>9.32</v>
      </c>
      <c r="R29" s="43"/>
      <c r="S29" s="43"/>
      <c r="T29" s="43"/>
      <c r="U29" s="43"/>
    </row>
    <row r="30" spans="1:21" s="11" customFormat="1" x14ac:dyDescent="0.25">
      <c r="A30" s="50" t="s">
        <v>561</v>
      </c>
      <c r="B30" s="51">
        <v>14.66</v>
      </c>
      <c r="C30" s="51">
        <v>10.58</v>
      </c>
      <c r="D30" s="51">
        <v>17.14</v>
      </c>
      <c r="E30" s="51">
        <v>5.45</v>
      </c>
      <c r="F30" s="51">
        <v>14.37</v>
      </c>
      <c r="G30" s="51">
        <v>62.16</v>
      </c>
      <c r="H30" s="51">
        <v>3.97</v>
      </c>
      <c r="I30" s="51">
        <v>2.27</v>
      </c>
      <c r="J30" s="51">
        <v>0.09</v>
      </c>
      <c r="K30" s="51">
        <v>321.08</v>
      </c>
      <c r="L30" s="51">
        <v>25.8</v>
      </c>
      <c r="M30" s="51">
        <v>98.04</v>
      </c>
      <c r="N30" s="51">
        <v>37.6</v>
      </c>
      <c r="O30" s="51">
        <v>0</v>
      </c>
      <c r="P30" s="51">
        <v>0.86</v>
      </c>
      <c r="Q30" s="51">
        <v>9.34</v>
      </c>
      <c r="R30" s="43"/>
      <c r="S30" s="43"/>
      <c r="T30" s="43"/>
      <c r="U30" s="43"/>
    </row>
    <row r="31" spans="1:21" s="11" customFormat="1" x14ac:dyDescent="0.25">
      <c r="A31" s="50" t="s">
        <v>562</v>
      </c>
      <c r="B31" s="51">
        <v>18.03</v>
      </c>
      <c r="C31" s="51">
        <v>11.89</v>
      </c>
      <c r="D31" s="51">
        <v>20.25</v>
      </c>
      <c r="E31" s="51">
        <v>5.31</v>
      </c>
      <c r="F31" s="51">
        <v>12.86</v>
      </c>
      <c r="G31" s="51">
        <v>61.37</v>
      </c>
      <c r="H31" s="51">
        <v>2.78</v>
      </c>
      <c r="I31" s="51">
        <v>2.1</v>
      </c>
      <c r="J31" s="51">
        <v>0.12</v>
      </c>
      <c r="K31" s="51">
        <v>339.83</v>
      </c>
      <c r="L31" s="51">
        <v>25.28</v>
      </c>
      <c r="M31" s="51">
        <v>98.07</v>
      </c>
      <c r="N31" s="51">
        <v>37.5</v>
      </c>
      <c r="O31" s="51">
        <v>0</v>
      </c>
      <c r="P31" s="51">
        <v>0.65</v>
      </c>
      <c r="Q31" s="51">
        <v>9.33</v>
      </c>
      <c r="R31" s="43"/>
      <c r="S31" s="43"/>
      <c r="T31" s="43"/>
      <c r="U31" s="43"/>
    </row>
    <row r="32" spans="1:21" s="11" customFormat="1" x14ac:dyDescent="0.25">
      <c r="A32" s="50" t="s">
        <v>563</v>
      </c>
      <c r="B32" s="51">
        <v>12.8</v>
      </c>
      <c r="C32" s="51">
        <v>14.75</v>
      </c>
      <c r="D32" s="51">
        <v>17.22</v>
      </c>
      <c r="E32" s="51">
        <v>5.07</v>
      </c>
      <c r="F32" s="51">
        <v>11.87</v>
      </c>
      <c r="G32" s="51">
        <v>53.94</v>
      </c>
      <c r="H32" s="51">
        <v>5.77</v>
      </c>
      <c r="I32" s="51">
        <v>2</v>
      </c>
      <c r="J32" s="51">
        <v>0.14000000000000001</v>
      </c>
      <c r="K32" s="51">
        <v>335.17</v>
      </c>
      <c r="L32" s="51">
        <v>25.24</v>
      </c>
      <c r="M32" s="51">
        <v>98.05</v>
      </c>
      <c r="N32" s="51">
        <v>37.6</v>
      </c>
      <c r="O32" s="51">
        <v>0</v>
      </c>
      <c r="P32" s="51">
        <v>0.54</v>
      </c>
      <c r="Q32" s="51">
        <v>9.32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7.07</v>
      </c>
      <c r="C34" s="28">
        <f t="shared" si="0"/>
        <v>5.6</v>
      </c>
      <c r="D34" s="28">
        <f t="shared" si="0"/>
        <v>8.8800000000000008</v>
      </c>
      <c r="E34" s="28">
        <f t="shared" si="0"/>
        <v>4.49</v>
      </c>
      <c r="F34" s="28">
        <f t="shared" si="0"/>
        <v>5.05</v>
      </c>
      <c r="G34" s="28">
        <f t="shared" si="0"/>
        <v>15.01</v>
      </c>
      <c r="H34" s="28">
        <f t="shared" si="0"/>
        <v>1.28</v>
      </c>
      <c r="I34" s="28">
        <f t="shared" si="0"/>
        <v>1.53</v>
      </c>
      <c r="J34" s="28">
        <f t="shared" si="0"/>
        <v>0.09</v>
      </c>
      <c r="K34" s="28">
        <f t="shared" si="0"/>
        <v>147.81</v>
      </c>
      <c r="L34" s="28">
        <f t="shared" si="0"/>
        <v>22.93</v>
      </c>
      <c r="M34" s="28">
        <f t="shared" si="0"/>
        <v>69</v>
      </c>
      <c r="N34" s="28">
        <f t="shared" si="0"/>
        <v>37.4</v>
      </c>
      <c r="O34" s="28">
        <f t="shared" si="0"/>
        <v>0</v>
      </c>
      <c r="P34" s="28">
        <f t="shared" si="0"/>
        <v>0.36</v>
      </c>
      <c r="Q34" s="28">
        <f t="shared" si="0"/>
        <v>9.18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27.16</v>
      </c>
      <c r="C35" s="29">
        <f t="shared" si="1"/>
        <v>33.01</v>
      </c>
      <c r="D35" s="29">
        <f t="shared" si="1"/>
        <v>39.03</v>
      </c>
      <c r="E35" s="29">
        <f t="shared" si="1"/>
        <v>6.24</v>
      </c>
      <c r="F35" s="29">
        <f t="shared" si="1"/>
        <v>22.66</v>
      </c>
      <c r="G35" s="29">
        <f t="shared" si="1"/>
        <v>82.87</v>
      </c>
      <c r="H35" s="29">
        <f t="shared" si="1"/>
        <v>8.09</v>
      </c>
      <c r="I35" s="29">
        <f t="shared" si="1"/>
        <v>2.61</v>
      </c>
      <c r="J35" s="29">
        <f t="shared" si="1"/>
        <v>1.18</v>
      </c>
      <c r="K35" s="29">
        <f t="shared" si="1"/>
        <v>355.37</v>
      </c>
      <c r="L35" s="29">
        <f t="shared" si="1"/>
        <v>33.96</v>
      </c>
      <c r="M35" s="29">
        <f t="shared" si="1"/>
        <v>98.41</v>
      </c>
      <c r="N35" s="29">
        <f t="shared" si="1"/>
        <v>780.5</v>
      </c>
      <c r="O35" s="29">
        <f t="shared" si="1"/>
        <v>0</v>
      </c>
      <c r="P35" s="29">
        <f t="shared" si="1"/>
        <v>1.18</v>
      </c>
      <c r="Q35" s="29">
        <f t="shared" si="1"/>
        <v>9.34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14.436666666666669</v>
      </c>
      <c r="C36" s="28">
        <f t="shared" si="2"/>
        <v>11.928333333333333</v>
      </c>
      <c r="D36" s="28">
        <f t="shared" si="2"/>
        <v>17.654583333333335</v>
      </c>
      <c r="E36" s="28">
        <f t="shared" si="2"/>
        <v>5.3220833333333326</v>
      </c>
      <c r="F36" s="28">
        <f t="shared" si="2"/>
        <v>14.068333333333335</v>
      </c>
      <c r="G36" s="28">
        <f t="shared" si="2"/>
        <v>49.926666666666669</v>
      </c>
      <c r="H36" s="28">
        <f t="shared" si="2"/>
        <v>3.6708333333333338</v>
      </c>
      <c r="I36" s="28">
        <f t="shared" si="2"/>
        <v>2.0745833333333334</v>
      </c>
      <c r="J36" s="28">
        <f t="shared" si="2"/>
        <v>0.41916666666666669</v>
      </c>
      <c r="K36" s="28">
        <f t="shared" si="2"/>
        <v>306.7408333333334</v>
      </c>
      <c r="L36" s="28">
        <f t="shared" si="2"/>
        <v>27.701249999999998</v>
      </c>
      <c r="M36" s="28">
        <f t="shared" si="2"/>
        <v>89.94916666666667</v>
      </c>
      <c r="N36" s="28">
        <f t="shared" si="2"/>
        <v>219.84166666666673</v>
      </c>
      <c r="O36" s="28">
        <f t="shared" si="2"/>
        <v>0</v>
      </c>
      <c r="P36" s="28">
        <f t="shared" si="2"/>
        <v>0.62833333333333341</v>
      </c>
      <c r="Q36" s="28">
        <f t="shared" si="2"/>
        <v>9.2625000000000011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5.3344594825543901</v>
      </c>
      <c r="C37" s="28">
        <f t="shared" ref="C37:Q37" si="3">STDEV(C9:C32)</f>
        <v>6.6890882375160334</v>
      </c>
      <c r="D37" s="28">
        <f t="shared" si="3"/>
        <v>7.322390901508375</v>
      </c>
      <c r="E37" s="28">
        <f t="shared" si="3"/>
        <v>0.54488913245417792</v>
      </c>
      <c r="F37" s="28">
        <f t="shared" si="3"/>
        <v>5.7369274208311216</v>
      </c>
      <c r="G37" s="28">
        <f t="shared" si="3"/>
        <v>23.706537103703592</v>
      </c>
      <c r="H37" s="28">
        <f t="shared" si="3"/>
        <v>1.5940048460639498</v>
      </c>
      <c r="I37" s="28">
        <f t="shared" si="3"/>
        <v>0.31101487685187718</v>
      </c>
      <c r="J37" s="28">
        <f t="shared" si="3"/>
        <v>0.29474995544000343</v>
      </c>
      <c r="K37" s="28">
        <f t="shared" si="3"/>
        <v>56.578901653521065</v>
      </c>
      <c r="L37" s="28">
        <f t="shared" si="3"/>
        <v>3.7460173779164743</v>
      </c>
      <c r="M37" s="28">
        <f t="shared" si="3"/>
        <v>11.206116310016752</v>
      </c>
      <c r="N37" s="28">
        <f t="shared" si="3"/>
        <v>255.15661842785144</v>
      </c>
      <c r="O37" s="28">
        <f t="shared" si="3"/>
        <v>0</v>
      </c>
      <c r="P37" s="28">
        <f t="shared" si="3"/>
        <v>0.22387237565119572</v>
      </c>
      <c r="Q37" s="28">
        <f t="shared" si="3"/>
        <v>4.6555250019174328E-2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564</v>
      </c>
      <c r="B9" s="51">
        <v>16.05</v>
      </c>
      <c r="C9" s="51">
        <v>20.86</v>
      </c>
      <c r="D9" s="51">
        <v>21.89</v>
      </c>
      <c r="E9" s="51">
        <v>4.95</v>
      </c>
      <c r="F9" s="51">
        <v>8.92</v>
      </c>
      <c r="G9" s="51">
        <v>52.34</v>
      </c>
      <c r="H9" s="51">
        <v>4.2</v>
      </c>
      <c r="I9" s="51">
        <v>1.91</v>
      </c>
      <c r="J9" s="51">
        <v>0.13</v>
      </c>
      <c r="K9" s="51">
        <v>323.74</v>
      </c>
      <c r="L9" s="51">
        <v>24.92</v>
      </c>
      <c r="M9" s="51">
        <v>98.13</v>
      </c>
      <c r="N9" s="51">
        <v>37.6</v>
      </c>
      <c r="O9" s="51">
        <v>0</v>
      </c>
      <c r="P9" s="51">
        <v>0.81</v>
      </c>
      <c r="Q9" s="51">
        <v>9.34</v>
      </c>
      <c r="R9" s="43"/>
      <c r="S9" s="43"/>
      <c r="T9" s="43"/>
      <c r="U9" s="43"/>
    </row>
    <row r="10" spans="1:21" s="11" customFormat="1" x14ac:dyDescent="0.25">
      <c r="A10" s="50" t="s">
        <v>565</v>
      </c>
      <c r="B10" s="51">
        <v>12.63</v>
      </c>
      <c r="C10" s="51">
        <v>14.85</v>
      </c>
      <c r="D10" s="51">
        <v>15.94</v>
      </c>
      <c r="E10" s="51">
        <v>5.09</v>
      </c>
      <c r="F10" s="51">
        <v>8.69</v>
      </c>
      <c r="G10" s="51">
        <v>55.02</v>
      </c>
      <c r="H10" s="51">
        <v>2.94</v>
      </c>
      <c r="I10" s="51">
        <v>2.21</v>
      </c>
      <c r="J10" s="51">
        <v>0.69</v>
      </c>
      <c r="K10" s="51">
        <v>338.45</v>
      </c>
      <c r="L10" s="51">
        <v>24.73</v>
      </c>
      <c r="M10" s="51">
        <v>98.17</v>
      </c>
      <c r="N10" s="51">
        <v>37.5</v>
      </c>
      <c r="O10" s="51">
        <v>0</v>
      </c>
      <c r="P10" s="51">
        <v>0.75</v>
      </c>
      <c r="Q10" s="51">
        <v>9.35</v>
      </c>
      <c r="R10" s="43"/>
      <c r="S10" s="43"/>
      <c r="T10" s="43"/>
      <c r="U10" s="43"/>
    </row>
    <row r="11" spans="1:21" s="11" customFormat="1" x14ac:dyDescent="0.25">
      <c r="A11" s="50" t="s">
        <v>566</v>
      </c>
      <c r="B11" s="51">
        <v>14.8</v>
      </c>
      <c r="C11" s="51">
        <v>7.46</v>
      </c>
      <c r="D11" s="51">
        <v>14.64</v>
      </c>
      <c r="E11" s="51">
        <v>5</v>
      </c>
      <c r="F11" s="51">
        <v>9.75</v>
      </c>
      <c r="G11" s="51">
        <v>62.97</v>
      </c>
      <c r="H11" s="51">
        <v>2.06</v>
      </c>
      <c r="I11" s="51">
        <v>2.35</v>
      </c>
      <c r="J11" s="51">
        <v>0.87</v>
      </c>
      <c r="K11" s="51">
        <v>336.67</v>
      </c>
      <c r="L11" s="51">
        <v>24.66</v>
      </c>
      <c r="M11" s="51">
        <v>98.15</v>
      </c>
      <c r="N11" s="51">
        <v>37.5</v>
      </c>
      <c r="O11" s="51">
        <v>0</v>
      </c>
      <c r="P11" s="51">
        <v>0.57999999999999996</v>
      </c>
      <c r="Q11" s="51">
        <v>9.34</v>
      </c>
      <c r="R11" s="43"/>
      <c r="S11" s="43"/>
      <c r="T11" s="43"/>
      <c r="U11" s="43"/>
    </row>
    <row r="12" spans="1:21" s="11" customFormat="1" x14ac:dyDescent="0.25">
      <c r="A12" s="50" t="s">
        <v>567</v>
      </c>
      <c r="B12" s="51">
        <v>16.260000000000002</v>
      </c>
      <c r="C12" s="51">
        <v>9.2200000000000006</v>
      </c>
      <c r="D12" s="51">
        <v>14.99</v>
      </c>
      <c r="E12" s="51">
        <v>5.0599999999999996</v>
      </c>
      <c r="F12" s="51">
        <v>12.49</v>
      </c>
      <c r="G12" s="51">
        <v>57.77</v>
      </c>
      <c r="H12" s="51">
        <v>5.03</v>
      </c>
      <c r="I12" s="51">
        <v>2.2999999999999998</v>
      </c>
      <c r="J12" s="51">
        <v>0.88</v>
      </c>
      <c r="K12" s="51">
        <v>344.25</v>
      </c>
      <c r="L12" s="51">
        <v>24.62</v>
      </c>
      <c r="M12" s="51">
        <v>98.13</v>
      </c>
      <c r="N12" s="51">
        <v>37.799999999999997</v>
      </c>
      <c r="O12" s="51">
        <v>0</v>
      </c>
      <c r="P12" s="51">
        <v>0.51</v>
      </c>
      <c r="Q12" s="51">
        <v>9.3000000000000007</v>
      </c>
      <c r="R12" s="43"/>
      <c r="S12" s="43"/>
      <c r="T12" s="43"/>
      <c r="U12" s="43"/>
    </row>
    <row r="13" spans="1:21" s="11" customFormat="1" x14ac:dyDescent="0.25">
      <c r="A13" s="50" t="s">
        <v>568</v>
      </c>
      <c r="B13" s="51">
        <v>16.32</v>
      </c>
      <c r="C13" s="51">
        <v>14.94</v>
      </c>
      <c r="D13" s="51">
        <v>20.9</v>
      </c>
      <c r="E13" s="51">
        <v>5.0599999999999996</v>
      </c>
      <c r="F13" s="51">
        <v>13.21</v>
      </c>
      <c r="G13" s="51">
        <v>51.84</v>
      </c>
      <c r="H13" s="51">
        <v>3.9</v>
      </c>
      <c r="I13" s="51">
        <v>2.13</v>
      </c>
      <c r="J13" s="51">
        <v>1.34</v>
      </c>
      <c r="K13" s="51">
        <v>132.76</v>
      </c>
      <c r="L13" s="51">
        <v>24.63</v>
      </c>
      <c r="M13" s="51">
        <v>98.18</v>
      </c>
      <c r="N13" s="51">
        <v>41.2</v>
      </c>
      <c r="O13" s="51">
        <v>0</v>
      </c>
      <c r="P13" s="51">
        <v>0.47</v>
      </c>
      <c r="Q13" s="51">
        <v>9.2799999999999994</v>
      </c>
      <c r="R13" s="43"/>
      <c r="S13" s="43"/>
      <c r="T13" s="43"/>
      <c r="U13" s="43"/>
    </row>
    <row r="14" spans="1:21" s="11" customFormat="1" x14ac:dyDescent="0.25">
      <c r="A14" s="50" t="s">
        <v>569</v>
      </c>
      <c r="B14" s="51">
        <v>14.44</v>
      </c>
      <c r="C14" s="51">
        <v>13.06</v>
      </c>
      <c r="D14" s="51">
        <v>18.41</v>
      </c>
      <c r="E14" s="51">
        <v>4.83</v>
      </c>
      <c r="F14" s="51">
        <v>14.16</v>
      </c>
      <c r="G14" s="51">
        <v>49.4</v>
      </c>
      <c r="H14" s="51">
        <v>2.73</v>
      </c>
      <c r="I14" s="51">
        <v>1.98</v>
      </c>
      <c r="J14" s="51">
        <v>0.18</v>
      </c>
      <c r="K14" s="51">
        <v>288.82</v>
      </c>
      <c r="L14" s="51">
        <v>22.12</v>
      </c>
      <c r="M14" s="51">
        <v>98.25</v>
      </c>
      <c r="N14" s="51">
        <v>44.1</v>
      </c>
      <c r="O14" s="51">
        <v>0</v>
      </c>
      <c r="P14" s="51">
        <v>0.38</v>
      </c>
      <c r="Q14" s="51">
        <v>9.26</v>
      </c>
      <c r="R14" s="43"/>
      <c r="S14" s="43"/>
      <c r="T14" s="43"/>
      <c r="U14" s="43"/>
    </row>
    <row r="15" spans="1:21" s="11" customFormat="1" x14ac:dyDescent="0.25">
      <c r="A15" s="50" t="s">
        <v>570</v>
      </c>
      <c r="B15" s="51">
        <v>18.61</v>
      </c>
      <c r="C15" s="51">
        <v>13.16</v>
      </c>
      <c r="D15" s="51">
        <v>21.37</v>
      </c>
      <c r="E15" s="51">
        <v>4.99</v>
      </c>
      <c r="F15" s="51">
        <v>9.18</v>
      </c>
      <c r="G15" s="51">
        <v>33.61</v>
      </c>
      <c r="H15" s="51">
        <v>1.91</v>
      </c>
      <c r="I15" s="51">
        <v>2.02</v>
      </c>
      <c r="J15" s="51">
        <v>0.14000000000000001</v>
      </c>
      <c r="K15" s="51">
        <v>328.04</v>
      </c>
      <c r="L15" s="51">
        <v>23.03</v>
      </c>
      <c r="M15" s="51">
        <v>98.24</v>
      </c>
      <c r="N15" s="51">
        <v>142.30000000000001</v>
      </c>
      <c r="O15" s="51">
        <v>0</v>
      </c>
      <c r="P15" s="51">
        <v>0.44</v>
      </c>
      <c r="Q15" s="51">
        <v>9.26</v>
      </c>
      <c r="R15" s="43"/>
      <c r="S15" s="43"/>
      <c r="T15" s="43"/>
      <c r="U15" s="43"/>
    </row>
    <row r="16" spans="1:21" s="11" customFormat="1" x14ac:dyDescent="0.25">
      <c r="A16" s="50" t="s">
        <v>571</v>
      </c>
      <c r="B16" s="51">
        <v>26.25</v>
      </c>
      <c r="C16" s="51">
        <v>13.45</v>
      </c>
      <c r="D16" s="51">
        <v>28.08</v>
      </c>
      <c r="E16" s="51">
        <v>4.88</v>
      </c>
      <c r="F16" s="51">
        <v>12.12</v>
      </c>
      <c r="G16" s="51">
        <v>21.88</v>
      </c>
      <c r="H16" s="51">
        <v>6.4</v>
      </c>
      <c r="I16" s="51">
        <v>1.84</v>
      </c>
      <c r="J16" s="51">
        <v>0.35</v>
      </c>
      <c r="K16" s="51">
        <v>357.83</v>
      </c>
      <c r="L16" s="51">
        <v>26.9</v>
      </c>
      <c r="M16" s="51">
        <v>98.18</v>
      </c>
      <c r="N16" s="51">
        <v>346.8</v>
      </c>
      <c r="O16" s="51">
        <v>0</v>
      </c>
      <c r="P16" s="51">
        <v>0.5</v>
      </c>
      <c r="Q16" s="51">
        <v>9.26</v>
      </c>
      <c r="R16" s="43"/>
      <c r="S16" s="43"/>
      <c r="T16" s="43"/>
      <c r="U16" s="43"/>
    </row>
    <row r="17" spans="1:21" s="11" customFormat="1" x14ac:dyDescent="0.25">
      <c r="A17" s="50" t="s">
        <v>572</v>
      </c>
      <c r="B17" s="51">
        <v>22.78</v>
      </c>
      <c r="C17" s="51">
        <v>12.26</v>
      </c>
      <c r="D17" s="51">
        <v>22.19</v>
      </c>
      <c r="E17" s="51">
        <v>5.48</v>
      </c>
      <c r="F17" s="51">
        <v>12.29</v>
      </c>
      <c r="G17" s="51">
        <v>20.38</v>
      </c>
      <c r="H17" s="51">
        <v>4.4800000000000004</v>
      </c>
      <c r="I17" s="51">
        <v>1.72</v>
      </c>
      <c r="J17" s="51">
        <v>0.27</v>
      </c>
      <c r="K17" s="51">
        <v>308.13</v>
      </c>
      <c r="L17" s="51">
        <v>29.89</v>
      </c>
      <c r="M17" s="51">
        <v>96.54</v>
      </c>
      <c r="N17" s="51">
        <v>424.9</v>
      </c>
      <c r="O17" s="51">
        <v>0</v>
      </c>
      <c r="P17" s="51">
        <v>0.69</v>
      </c>
      <c r="Q17" s="51">
        <v>9.27</v>
      </c>
      <c r="R17" s="43"/>
      <c r="S17" s="43"/>
      <c r="T17" s="43"/>
      <c r="U17" s="43"/>
    </row>
    <row r="18" spans="1:21" s="11" customFormat="1" x14ac:dyDescent="0.25">
      <c r="A18" s="50" t="s">
        <v>573</v>
      </c>
      <c r="B18" s="51">
        <v>18.84</v>
      </c>
      <c r="C18" s="51">
        <v>14.77</v>
      </c>
      <c r="D18" s="51">
        <v>21.4</v>
      </c>
      <c r="E18" s="51">
        <v>5.36</v>
      </c>
      <c r="F18" s="51">
        <v>14.45</v>
      </c>
      <c r="G18" s="51">
        <v>40.92</v>
      </c>
      <c r="H18" s="51">
        <v>3.14</v>
      </c>
      <c r="I18" s="51">
        <v>1.77</v>
      </c>
      <c r="J18" s="51">
        <v>0.31</v>
      </c>
      <c r="K18" s="51">
        <v>336.64</v>
      </c>
      <c r="L18" s="51">
        <v>31.73</v>
      </c>
      <c r="M18" s="51">
        <v>94.44</v>
      </c>
      <c r="N18" s="51">
        <v>582.79999999999995</v>
      </c>
      <c r="O18" s="51">
        <v>0</v>
      </c>
      <c r="P18" s="51">
        <v>0.79</v>
      </c>
      <c r="Q18" s="51">
        <v>9.2799999999999994</v>
      </c>
      <c r="R18" s="43"/>
      <c r="S18" s="43"/>
      <c r="T18" s="43"/>
      <c r="U18" s="43"/>
    </row>
    <row r="19" spans="1:21" s="11" customFormat="1" x14ac:dyDescent="0.25">
      <c r="A19" s="50" t="s">
        <v>574</v>
      </c>
      <c r="B19" s="51">
        <v>21.59</v>
      </c>
      <c r="C19" s="51">
        <v>17.440000000000001</v>
      </c>
      <c r="D19" s="51">
        <v>25.34</v>
      </c>
      <c r="E19" s="51">
        <v>5.69</v>
      </c>
      <c r="F19" s="51">
        <v>17.690000000000001</v>
      </c>
      <c r="G19" s="51">
        <v>59.61</v>
      </c>
      <c r="H19" s="51">
        <v>3.05</v>
      </c>
      <c r="I19" s="51">
        <v>1.93</v>
      </c>
      <c r="J19" s="51">
        <v>0.63</v>
      </c>
      <c r="K19" s="51">
        <v>339.58</v>
      </c>
      <c r="L19" s="51">
        <v>32.770000000000003</v>
      </c>
      <c r="M19" s="51">
        <v>75.42</v>
      </c>
      <c r="N19" s="51">
        <v>568.29999999999995</v>
      </c>
      <c r="O19" s="51">
        <v>0</v>
      </c>
      <c r="P19" s="51">
        <v>1.0900000000000001</v>
      </c>
      <c r="Q19" s="51">
        <v>9.34</v>
      </c>
      <c r="R19" s="43"/>
      <c r="S19" s="43"/>
      <c r="T19" s="43"/>
      <c r="U19" s="43"/>
    </row>
    <row r="20" spans="1:21" s="11" customFormat="1" x14ac:dyDescent="0.25">
      <c r="A20" s="50" t="s">
        <v>575</v>
      </c>
      <c r="B20" s="51">
        <v>10.36</v>
      </c>
      <c r="C20" s="51">
        <v>17.010000000000002</v>
      </c>
      <c r="D20" s="51">
        <v>17.2</v>
      </c>
      <c r="E20" s="51">
        <v>7</v>
      </c>
      <c r="F20" s="51">
        <v>20.41</v>
      </c>
      <c r="G20" s="51">
        <v>65.650000000000006</v>
      </c>
      <c r="H20" s="51">
        <v>3.71</v>
      </c>
      <c r="I20" s="51">
        <v>2.0299999999999998</v>
      </c>
      <c r="J20" s="51">
        <v>0.88</v>
      </c>
      <c r="K20" s="51">
        <v>345.28</v>
      </c>
      <c r="L20" s="51">
        <v>32.58</v>
      </c>
      <c r="M20" s="51">
        <v>66.41</v>
      </c>
      <c r="N20" s="51">
        <v>781.3</v>
      </c>
      <c r="O20" s="51">
        <v>0</v>
      </c>
      <c r="P20" s="51">
        <v>0.62</v>
      </c>
      <c r="Q20" s="51">
        <v>9.3800000000000008</v>
      </c>
      <c r="R20" s="43"/>
      <c r="S20" s="43"/>
      <c r="T20" s="43"/>
      <c r="U20" s="43"/>
    </row>
    <row r="21" spans="1:21" s="11" customFormat="1" x14ac:dyDescent="0.25">
      <c r="A21" s="50" t="s">
        <v>576</v>
      </c>
      <c r="B21" s="51">
        <v>7.51</v>
      </c>
      <c r="C21" s="51">
        <v>22.54</v>
      </c>
      <c r="D21" s="51">
        <v>17.8</v>
      </c>
      <c r="E21" s="51">
        <v>7.25</v>
      </c>
      <c r="F21" s="51">
        <v>20.61</v>
      </c>
      <c r="G21" s="51">
        <v>97.69</v>
      </c>
      <c r="H21" s="51">
        <v>2.67</v>
      </c>
      <c r="I21" s="51">
        <v>1.96</v>
      </c>
      <c r="J21" s="51">
        <v>0.95</v>
      </c>
      <c r="K21" s="51">
        <v>349.31</v>
      </c>
      <c r="L21" s="51">
        <v>34.1</v>
      </c>
      <c r="M21" s="51">
        <v>67.11</v>
      </c>
      <c r="N21" s="51">
        <v>793.2</v>
      </c>
      <c r="O21" s="51">
        <v>0</v>
      </c>
      <c r="P21" s="51">
        <v>0.62</v>
      </c>
      <c r="Q21" s="51">
        <v>9.3000000000000007</v>
      </c>
      <c r="R21" s="43"/>
      <c r="S21" s="43"/>
      <c r="T21" s="43"/>
      <c r="U21" s="43"/>
    </row>
    <row r="22" spans="1:21" s="11" customFormat="1" x14ac:dyDescent="0.25">
      <c r="A22" s="50" t="s">
        <v>577</v>
      </c>
      <c r="B22" s="51">
        <v>7.06</v>
      </c>
      <c r="C22" s="51">
        <v>17.11</v>
      </c>
      <c r="D22" s="51">
        <v>14.6</v>
      </c>
      <c r="E22" s="51">
        <v>7.61</v>
      </c>
      <c r="F22" s="51">
        <v>22.14</v>
      </c>
      <c r="G22" s="51">
        <v>95.1</v>
      </c>
      <c r="H22" s="51">
        <v>2.75</v>
      </c>
      <c r="I22" s="51">
        <v>1.71</v>
      </c>
      <c r="J22" s="51">
        <v>1.45</v>
      </c>
      <c r="K22" s="51">
        <v>344.11</v>
      </c>
      <c r="L22" s="51">
        <v>32.76</v>
      </c>
      <c r="M22" s="51">
        <v>62.33</v>
      </c>
      <c r="N22" s="51">
        <v>332.6</v>
      </c>
      <c r="O22" s="51">
        <v>0</v>
      </c>
      <c r="P22" s="51">
        <v>0.57999999999999996</v>
      </c>
      <c r="Q22" s="51">
        <v>9.23</v>
      </c>
      <c r="R22" s="43"/>
      <c r="S22" s="43"/>
      <c r="T22" s="43"/>
      <c r="U22" s="43"/>
    </row>
    <row r="23" spans="1:21" s="11" customFormat="1" x14ac:dyDescent="0.25">
      <c r="A23" s="50" t="s">
        <v>578</v>
      </c>
      <c r="B23" s="51">
        <v>13.05</v>
      </c>
      <c r="C23" s="51">
        <v>21.53</v>
      </c>
      <c r="D23" s="51">
        <v>21.71</v>
      </c>
      <c r="E23" s="51">
        <v>7.83</v>
      </c>
      <c r="F23" s="51">
        <v>19.7</v>
      </c>
      <c r="G23" s="51">
        <v>89.34</v>
      </c>
      <c r="H23" s="51">
        <v>2.09</v>
      </c>
      <c r="I23" s="51">
        <v>1.68</v>
      </c>
      <c r="J23" s="51">
        <v>1.49</v>
      </c>
      <c r="K23" s="51">
        <v>337.57</v>
      </c>
      <c r="L23" s="51">
        <v>32.36</v>
      </c>
      <c r="M23" s="51">
        <v>60.13</v>
      </c>
      <c r="N23" s="51">
        <v>270.8</v>
      </c>
      <c r="O23" s="51">
        <v>0</v>
      </c>
      <c r="P23" s="51">
        <v>0.59</v>
      </c>
      <c r="Q23" s="51">
        <v>9.3000000000000007</v>
      </c>
      <c r="R23" s="43"/>
      <c r="S23" s="43"/>
      <c r="T23" s="43"/>
      <c r="U23" s="43"/>
    </row>
    <row r="24" spans="1:21" s="11" customFormat="1" x14ac:dyDescent="0.25">
      <c r="A24" s="50" t="s">
        <v>579</v>
      </c>
      <c r="B24" s="51">
        <v>23.7</v>
      </c>
      <c r="C24" s="51">
        <v>32.89</v>
      </c>
      <c r="D24" s="51">
        <v>36.19</v>
      </c>
      <c r="E24" s="51">
        <v>7.81</v>
      </c>
      <c r="F24" s="51">
        <v>20.079999999999998</v>
      </c>
      <c r="G24" s="51">
        <v>108.58</v>
      </c>
      <c r="H24" s="51">
        <v>3.24</v>
      </c>
      <c r="I24" s="51">
        <v>1.75</v>
      </c>
      <c r="J24" s="51">
        <v>1.08</v>
      </c>
      <c r="K24" s="51">
        <v>338.83</v>
      </c>
      <c r="L24" s="51">
        <v>30.1</v>
      </c>
      <c r="M24" s="51">
        <v>69.040000000000006</v>
      </c>
      <c r="N24" s="51">
        <v>93.2</v>
      </c>
      <c r="O24" s="51">
        <v>0</v>
      </c>
      <c r="P24" s="51">
        <v>0.83</v>
      </c>
      <c r="Q24" s="51">
        <v>9.3800000000000008</v>
      </c>
      <c r="R24" s="43"/>
      <c r="S24" s="43"/>
      <c r="T24" s="43"/>
      <c r="U24" s="43"/>
    </row>
    <row r="25" spans="1:21" s="11" customFormat="1" x14ac:dyDescent="0.25">
      <c r="A25" s="50" t="s">
        <v>580</v>
      </c>
      <c r="B25" s="51">
        <v>22.14</v>
      </c>
      <c r="C25" s="51">
        <v>35.14</v>
      </c>
      <c r="D25" s="51">
        <v>36.11</v>
      </c>
      <c r="E25" s="51">
        <v>5.79</v>
      </c>
      <c r="F25" s="51">
        <v>20.079999999999998</v>
      </c>
      <c r="G25" s="51">
        <v>110.19</v>
      </c>
      <c r="H25" s="51">
        <v>2.59</v>
      </c>
      <c r="I25" s="51">
        <v>1.86</v>
      </c>
      <c r="J25" s="51">
        <v>0.35</v>
      </c>
      <c r="K25" s="51">
        <v>128.06</v>
      </c>
      <c r="L25" s="51">
        <v>29.02</v>
      </c>
      <c r="M25" s="51">
        <v>73.27</v>
      </c>
      <c r="N25" s="51">
        <v>87.9</v>
      </c>
      <c r="O25" s="51">
        <v>0</v>
      </c>
      <c r="P25" s="51">
        <v>0.97</v>
      </c>
      <c r="Q25" s="51">
        <v>9.39</v>
      </c>
      <c r="R25" s="43"/>
      <c r="S25" s="43"/>
      <c r="T25" s="43"/>
      <c r="U25" s="43"/>
    </row>
    <row r="26" spans="1:21" s="11" customFormat="1" x14ac:dyDescent="0.25">
      <c r="A26" s="50" t="s">
        <v>581</v>
      </c>
      <c r="B26" s="51">
        <v>4.8600000000000003</v>
      </c>
      <c r="C26" s="51">
        <v>23.01</v>
      </c>
      <c r="D26" s="51">
        <v>17.34</v>
      </c>
      <c r="E26" s="51">
        <v>5.43</v>
      </c>
      <c r="F26" s="51">
        <v>20.83</v>
      </c>
      <c r="G26" s="51">
        <v>99.73</v>
      </c>
      <c r="H26" s="51">
        <v>2.13</v>
      </c>
      <c r="I26" s="51">
        <v>1.73</v>
      </c>
      <c r="J26" s="51">
        <v>1.42</v>
      </c>
      <c r="K26" s="51">
        <v>144.69999999999999</v>
      </c>
      <c r="L26" s="51">
        <v>28.58</v>
      </c>
      <c r="M26" s="51">
        <v>98.17</v>
      </c>
      <c r="N26" s="51">
        <v>69.7</v>
      </c>
      <c r="O26" s="51">
        <v>0</v>
      </c>
      <c r="P26" s="51">
        <v>0.4</v>
      </c>
      <c r="Q26" s="51">
        <v>9.26</v>
      </c>
      <c r="R26" s="43"/>
      <c r="S26" s="43"/>
      <c r="T26" s="43"/>
      <c r="U26" s="43"/>
    </row>
    <row r="27" spans="1:21" s="11" customFormat="1" x14ac:dyDescent="0.25">
      <c r="A27" s="50" t="s">
        <v>582</v>
      </c>
      <c r="B27" s="51">
        <v>6.09</v>
      </c>
      <c r="C27" s="51">
        <v>17.43</v>
      </c>
      <c r="D27" s="51">
        <v>13.76</v>
      </c>
      <c r="E27" s="51">
        <v>4.93</v>
      </c>
      <c r="F27" s="51">
        <v>15.65</v>
      </c>
      <c r="G27" s="51">
        <v>92.17</v>
      </c>
      <c r="H27" s="51">
        <v>3.59</v>
      </c>
      <c r="I27" s="51">
        <v>1.53</v>
      </c>
      <c r="J27" s="51">
        <v>1.49</v>
      </c>
      <c r="K27" s="51">
        <v>143.83000000000001</v>
      </c>
      <c r="L27" s="51">
        <v>26.26</v>
      </c>
      <c r="M27" s="51">
        <v>98.07</v>
      </c>
      <c r="N27" s="51">
        <v>40.9</v>
      </c>
      <c r="O27" s="51">
        <v>0</v>
      </c>
      <c r="P27" s="51">
        <v>0.4</v>
      </c>
      <c r="Q27" s="51">
        <v>9.23</v>
      </c>
      <c r="R27" s="43"/>
      <c r="S27" s="43"/>
      <c r="T27" s="43"/>
      <c r="U27" s="43"/>
    </row>
    <row r="28" spans="1:21" s="11" customFormat="1" x14ac:dyDescent="0.25">
      <c r="A28" s="50" t="s">
        <v>583</v>
      </c>
      <c r="B28" s="51">
        <v>6.32</v>
      </c>
      <c r="C28" s="51">
        <v>14.32</v>
      </c>
      <c r="D28" s="51">
        <v>12.55</v>
      </c>
      <c r="E28" s="51">
        <v>4.93</v>
      </c>
      <c r="F28" s="51">
        <v>14.46</v>
      </c>
      <c r="G28" s="51">
        <v>64.17</v>
      </c>
      <c r="H28" s="51">
        <v>6.47</v>
      </c>
      <c r="I28" s="51">
        <v>1.49</v>
      </c>
      <c r="J28" s="51">
        <v>0.95</v>
      </c>
      <c r="K28" s="51">
        <v>134.85</v>
      </c>
      <c r="L28" s="51">
        <v>25.24</v>
      </c>
      <c r="M28" s="51">
        <v>98.1</v>
      </c>
      <c r="N28" s="51">
        <v>40.4</v>
      </c>
      <c r="O28" s="51">
        <v>0</v>
      </c>
      <c r="P28" s="51">
        <v>0.39</v>
      </c>
      <c r="Q28" s="51">
        <v>9.25</v>
      </c>
      <c r="R28" s="43"/>
      <c r="S28" s="43"/>
      <c r="T28" s="43"/>
      <c r="U28" s="43"/>
    </row>
    <row r="29" spans="1:21" s="11" customFormat="1" x14ac:dyDescent="0.25">
      <c r="A29" s="50" t="s">
        <v>584</v>
      </c>
      <c r="B29" s="51">
        <v>6.65</v>
      </c>
      <c r="C29" s="51">
        <v>15.39</v>
      </c>
      <c r="D29" s="51">
        <v>13.13</v>
      </c>
      <c r="E29" s="51">
        <v>4.84</v>
      </c>
      <c r="F29" s="51">
        <v>12.91</v>
      </c>
      <c r="G29" s="51">
        <v>49.12</v>
      </c>
      <c r="H29" s="51">
        <v>4.79</v>
      </c>
      <c r="I29" s="51">
        <v>1.53</v>
      </c>
      <c r="J29" s="51">
        <v>1.04</v>
      </c>
      <c r="K29" s="51">
        <v>144.35</v>
      </c>
      <c r="L29" s="51">
        <v>24.82</v>
      </c>
      <c r="M29" s="51">
        <v>98.15</v>
      </c>
      <c r="N29" s="51">
        <v>40.4</v>
      </c>
      <c r="O29" s="51">
        <v>0</v>
      </c>
      <c r="P29" s="51">
        <v>0.4</v>
      </c>
      <c r="Q29" s="51">
        <v>9.25</v>
      </c>
      <c r="R29" s="43"/>
      <c r="S29" s="43"/>
      <c r="T29" s="43"/>
      <c r="U29" s="43"/>
    </row>
    <row r="30" spans="1:21" s="11" customFormat="1" x14ac:dyDescent="0.25">
      <c r="A30" s="50" t="s">
        <v>585</v>
      </c>
      <c r="B30" s="51">
        <v>6.87</v>
      </c>
      <c r="C30" s="51">
        <v>13.67</v>
      </c>
      <c r="D30" s="51">
        <v>12.66</v>
      </c>
      <c r="E30" s="51">
        <v>4.93</v>
      </c>
      <c r="F30" s="51">
        <v>11.48</v>
      </c>
      <c r="G30" s="51">
        <v>46.27</v>
      </c>
      <c r="H30" s="51">
        <v>3.3</v>
      </c>
      <c r="I30" s="51">
        <v>1.47</v>
      </c>
      <c r="J30" s="51">
        <v>0.81</v>
      </c>
      <c r="K30" s="51">
        <v>208.48</v>
      </c>
      <c r="L30" s="51">
        <v>24.62</v>
      </c>
      <c r="M30" s="51">
        <v>98.16</v>
      </c>
      <c r="N30" s="51">
        <v>40.4</v>
      </c>
      <c r="O30" s="51">
        <v>0</v>
      </c>
      <c r="P30" s="51">
        <v>0.38</v>
      </c>
      <c r="Q30" s="51">
        <v>9.2100000000000009</v>
      </c>
      <c r="R30" s="43"/>
      <c r="S30" s="43"/>
      <c r="T30" s="43"/>
      <c r="U30" s="43"/>
    </row>
    <row r="31" spans="1:21" s="11" customFormat="1" x14ac:dyDescent="0.25">
      <c r="A31" s="50" t="s">
        <v>586</v>
      </c>
      <c r="B31" s="51">
        <v>5.86</v>
      </c>
      <c r="C31" s="51">
        <v>12.08</v>
      </c>
      <c r="D31" s="51">
        <v>11.01</v>
      </c>
      <c r="E31" s="51">
        <v>4.7300000000000004</v>
      </c>
      <c r="F31" s="51">
        <v>11.04</v>
      </c>
      <c r="G31" s="51">
        <v>43.5</v>
      </c>
      <c r="H31" s="51">
        <v>2.31</v>
      </c>
      <c r="I31" s="51">
        <v>1.63</v>
      </c>
      <c r="J31" s="51">
        <v>0.28000000000000003</v>
      </c>
      <c r="K31" s="51">
        <v>134.77000000000001</v>
      </c>
      <c r="L31" s="51">
        <v>24.25</v>
      </c>
      <c r="M31" s="51">
        <v>98.28</v>
      </c>
      <c r="N31" s="51">
        <v>40.1</v>
      </c>
      <c r="O31" s="51">
        <v>0</v>
      </c>
      <c r="P31" s="51">
        <v>0.34</v>
      </c>
      <c r="Q31" s="51">
        <v>9.1999999999999993</v>
      </c>
      <c r="R31" s="43"/>
      <c r="S31" s="43"/>
      <c r="T31" s="43"/>
      <c r="U31" s="43"/>
    </row>
    <row r="32" spans="1:21" s="11" customFormat="1" x14ac:dyDescent="0.25">
      <c r="A32" s="50" t="s">
        <v>587</v>
      </c>
      <c r="B32" s="51">
        <v>5.74</v>
      </c>
      <c r="C32" s="51">
        <v>10.210000000000001</v>
      </c>
      <c r="D32" s="51">
        <v>9.94</v>
      </c>
      <c r="E32" s="51">
        <v>4.53</v>
      </c>
      <c r="F32" s="51">
        <v>13.99</v>
      </c>
      <c r="G32" s="51">
        <v>47.09</v>
      </c>
      <c r="H32" s="51">
        <v>2.78</v>
      </c>
      <c r="I32" s="51">
        <v>1.62</v>
      </c>
      <c r="J32" s="51">
        <v>7.0000000000000007E-2</v>
      </c>
      <c r="K32" s="51">
        <v>252.39</v>
      </c>
      <c r="L32" s="51">
        <v>24.16</v>
      </c>
      <c r="M32" s="51">
        <v>98.32</v>
      </c>
      <c r="N32" s="51">
        <v>40.299999999999997</v>
      </c>
      <c r="O32" s="51">
        <v>0</v>
      </c>
      <c r="P32" s="51">
        <v>0.28999999999999998</v>
      </c>
      <c r="Q32" s="51">
        <v>9.23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4.8600000000000003</v>
      </c>
      <c r="C34" s="28">
        <f t="shared" si="0"/>
        <v>7.46</v>
      </c>
      <c r="D34" s="28">
        <f t="shared" si="0"/>
        <v>9.94</v>
      </c>
      <c r="E34" s="28">
        <f t="shared" si="0"/>
        <v>4.53</v>
      </c>
      <c r="F34" s="28">
        <f t="shared" si="0"/>
        <v>8.69</v>
      </c>
      <c r="G34" s="28">
        <f t="shared" si="0"/>
        <v>20.38</v>
      </c>
      <c r="H34" s="28">
        <f t="shared" si="0"/>
        <v>1.91</v>
      </c>
      <c r="I34" s="28">
        <f t="shared" si="0"/>
        <v>1.47</v>
      </c>
      <c r="J34" s="28">
        <f t="shared" si="0"/>
        <v>7.0000000000000007E-2</v>
      </c>
      <c r="K34" s="28">
        <f t="shared" si="0"/>
        <v>128.06</v>
      </c>
      <c r="L34" s="28">
        <f t="shared" si="0"/>
        <v>22.12</v>
      </c>
      <c r="M34" s="28">
        <f t="shared" si="0"/>
        <v>60.13</v>
      </c>
      <c r="N34" s="28">
        <f t="shared" si="0"/>
        <v>37.5</v>
      </c>
      <c r="O34" s="28">
        <f t="shared" si="0"/>
        <v>0</v>
      </c>
      <c r="P34" s="28">
        <f t="shared" si="0"/>
        <v>0.28999999999999998</v>
      </c>
      <c r="Q34" s="28">
        <f t="shared" si="0"/>
        <v>9.1999999999999993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26.25</v>
      </c>
      <c r="C35" s="29">
        <f t="shared" si="1"/>
        <v>35.14</v>
      </c>
      <c r="D35" s="29">
        <f t="shared" si="1"/>
        <v>36.19</v>
      </c>
      <c r="E35" s="29">
        <f t="shared" si="1"/>
        <v>7.83</v>
      </c>
      <c r="F35" s="29">
        <f t="shared" si="1"/>
        <v>22.14</v>
      </c>
      <c r="G35" s="29">
        <f t="shared" si="1"/>
        <v>110.19</v>
      </c>
      <c r="H35" s="29">
        <f t="shared" si="1"/>
        <v>6.47</v>
      </c>
      <c r="I35" s="29">
        <f t="shared" si="1"/>
        <v>2.35</v>
      </c>
      <c r="J35" s="29">
        <f t="shared" si="1"/>
        <v>1.49</v>
      </c>
      <c r="K35" s="29">
        <f t="shared" si="1"/>
        <v>357.83</v>
      </c>
      <c r="L35" s="29">
        <f t="shared" si="1"/>
        <v>34.1</v>
      </c>
      <c r="M35" s="29">
        <f t="shared" si="1"/>
        <v>98.32</v>
      </c>
      <c r="N35" s="29">
        <f t="shared" si="1"/>
        <v>793.2</v>
      </c>
      <c r="O35" s="29">
        <f t="shared" si="1"/>
        <v>0</v>
      </c>
      <c r="P35" s="29">
        <f t="shared" si="1"/>
        <v>1.0900000000000001</v>
      </c>
      <c r="Q35" s="29">
        <f t="shared" si="1"/>
        <v>9.39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13.532499999999999</v>
      </c>
      <c r="C36" s="28">
        <f t="shared" si="2"/>
        <v>16.824999999999999</v>
      </c>
      <c r="D36" s="28">
        <f t="shared" si="2"/>
        <v>19.131249999999998</v>
      </c>
      <c r="E36" s="28">
        <f t="shared" si="2"/>
        <v>5.5833333333333348</v>
      </c>
      <c r="F36" s="28">
        <f t="shared" si="2"/>
        <v>14.847083333333332</v>
      </c>
      <c r="G36" s="28">
        <f t="shared" si="2"/>
        <v>63.097500000000004</v>
      </c>
      <c r="H36" s="28">
        <f t="shared" si="2"/>
        <v>3.4275000000000002</v>
      </c>
      <c r="I36" s="28">
        <f t="shared" si="2"/>
        <v>1.8395833333333333</v>
      </c>
      <c r="J36" s="28">
        <f t="shared" si="2"/>
        <v>0.75208333333333321</v>
      </c>
      <c r="K36" s="28">
        <f t="shared" si="2"/>
        <v>268.39333333333337</v>
      </c>
      <c r="L36" s="28">
        <f t="shared" si="2"/>
        <v>27.452083333333334</v>
      </c>
      <c r="M36" s="28">
        <f t="shared" si="2"/>
        <v>89.057083333333352</v>
      </c>
      <c r="N36" s="28">
        <f t="shared" si="2"/>
        <v>207.1666666666666</v>
      </c>
      <c r="O36" s="28">
        <f t="shared" si="2"/>
        <v>0</v>
      </c>
      <c r="P36" s="28">
        <f t="shared" si="2"/>
        <v>0.57583333333333331</v>
      </c>
      <c r="Q36" s="28">
        <f t="shared" si="2"/>
        <v>9.2870833333333316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6.75926562128834</v>
      </c>
      <c r="C37" s="28">
        <f t="shared" ref="C37:Q37" si="3">STDEV(C9:C32)</f>
        <v>6.6113597890955562</v>
      </c>
      <c r="D37" s="28">
        <f t="shared" si="3"/>
        <v>6.9550396569994417</v>
      </c>
      <c r="E37" s="28">
        <f t="shared" si="3"/>
        <v>1.0561071531054809</v>
      </c>
      <c r="F37" s="28">
        <f t="shared" si="3"/>
        <v>4.2967576037981363</v>
      </c>
      <c r="G37" s="28">
        <f t="shared" si="3"/>
        <v>26.31778159839595</v>
      </c>
      <c r="H37" s="28">
        <f t="shared" si="3"/>
        <v>1.2614561978643706</v>
      </c>
      <c r="I37" s="28">
        <f t="shared" si="3"/>
        <v>0.24975604038770524</v>
      </c>
      <c r="J37" s="28">
        <f t="shared" si="3"/>
        <v>0.47701954354883236</v>
      </c>
      <c r="K37" s="28">
        <f t="shared" si="3"/>
        <v>91.706378122820837</v>
      </c>
      <c r="L37" s="28">
        <f t="shared" si="3"/>
        <v>3.6964424485391967</v>
      </c>
      <c r="M37" s="28">
        <f t="shared" si="3"/>
        <v>14.317284622066882</v>
      </c>
      <c r="N37" s="28">
        <f t="shared" si="3"/>
        <v>248.26076869969276</v>
      </c>
      <c r="O37" s="28">
        <f t="shared" si="3"/>
        <v>0</v>
      </c>
      <c r="P37" s="28">
        <f t="shared" si="3"/>
        <v>0.20992579779462592</v>
      </c>
      <c r="Q37" s="28">
        <f t="shared" si="3"/>
        <v>5.5205479144159637E-2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588</v>
      </c>
      <c r="B9" s="51">
        <v>5.66</v>
      </c>
      <c r="C9" s="51">
        <v>9.6</v>
      </c>
      <c r="D9" s="51">
        <v>9.5500000000000007</v>
      </c>
      <c r="E9" s="51">
        <v>3.93</v>
      </c>
      <c r="F9" s="51">
        <v>12.4</v>
      </c>
      <c r="G9" s="51">
        <v>37.14</v>
      </c>
      <c r="H9" s="51">
        <v>2</v>
      </c>
      <c r="I9" s="51">
        <v>1.59</v>
      </c>
      <c r="J9" s="51">
        <v>0.09</v>
      </c>
      <c r="K9" s="51">
        <v>263.27999999999997</v>
      </c>
      <c r="L9" s="51">
        <v>24</v>
      </c>
      <c r="M9" s="51">
        <v>98.34</v>
      </c>
      <c r="N9" s="51">
        <v>40.1</v>
      </c>
      <c r="O9" s="51">
        <v>0</v>
      </c>
      <c r="P9" s="51">
        <v>0.28000000000000003</v>
      </c>
      <c r="Q9" s="51">
        <v>9.23</v>
      </c>
      <c r="R9" s="43"/>
      <c r="S9" s="43"/>
      <c r="T9" s="43"/>
      <c r="U9" s="43"/>
    </row>
    <row r="10" spans="1:21" s="11" customFormat="1" x14ac:dyDescent="0.25">
      <c r="A10" s="50" t="s">
        <v>589</v>
      </c>
      <c r="B10" s="51">
        <v>6.21</v>
      </c>
      <c r="C10" s="51">
        <v>8.2899999999999991</v>
      </c>
      <c r="D10" s="51">
        <v>9.01</v>
      </c>
      <c r="E10" s="51">
        <v>3.94</v>
      </c>
      <c r="F10" s="51">
        <v>9.06</v>
      </c>
      <c r="G10" s="51">
        <v>32.15</v>
      </c>
      <c r="H10" s="51">
        <v>1.48</v>
      </c>
      <c r="I10" s="51">
        <v>1.54</v>
      </c>
      <c r="J10" s="51">
        <v>0.31</v>
      </c>
      <c r="K10" s="51">
        <v>282</v>
      </c>
      <c r="L10" s="51">
        <v>23.94</v>
      </c>
      <c r="M10" s="51">
        <v>98.32</v>
      </c>
      <c r="N10" s="51">
        <v>40.299999999999997</v>
      </c>
      <c r="O10" s="51">
        <v>0</v>
      </c>
      <c r="P10" s="51">
        <v>0.3</v>
      </c>
      <c r="Q10" s="51">
        <v>9.2100000000000009</v>
      </c>
      <c r="R10" s="43"/>
      <c r="S10" s="43"/>
      <c r="T10" s="43"/>
      <c r="U10" s="43"/>
    </row>
    <row r="11" spans="1:21" s="11" customFormat="1" x14ac:dyDescent="0.25">
      <c r="A11" s="50" t="s">
        <v>590</v>
      </c>
      <c r="B11" s="51">
        <v>6.91</v>
      </c>
      <c r="C11" s="51">
        <v>7.79</v>
      </c>
      <c r="D11" s="51">
        <v>9.4</v>
      </c>
      <c r="E11" s="51">
        <v>3.74</v>
      </c>
      <c r="F11" s="51">
        <v>10.49</v>
      </c>
      <c r="G11" s="51">
        <v>33.21</v>
      </c>
      <c r="H11" s="51">
        <v>1.57</v>
      </c>
      <c r="I11" s="51">
        <v>1.49</v>
      </c>
      <c r="J11" s="51">
        <v>0.13</v>
      </c>
      <c r="K11" s="51">
        <v>306.68</v>
      </c>
      <c r="L11" s="51">
        <v>24.26</v>
      </c>
      <c r="M11" s="51">
        <v>98.33</v>
      </c>
      <c r="N11" s="51">
        <v>40</v>
      </c>
      <c r="O11" s="51">
        <v>0</v>
      </c>
      <c r="P11" s="51">
        <v>0.31</v>
      </c>
      <c r="Q11" s="51">
        <v>9.19</v>
      </c>
      <c r="R11" s="43"/>
      <c r="S11" s="43"/>
      <c r="T11" s="43"/>
      <c r="U11" s="43"/>
    </row>
    <row r="12" spans="1:21" s="11" customFormat="1" x14ac:dyDescent="0.25">
      <c r="A12" s="50" t="s">
        <v>591</v>
      </c>
      <c r="B12" s="51">
        <v>6.93</v>
      </c>
      <c r="C12" s="51">
        <v>8.94</v>
      </c>
      <c r="D12" s="51">
        <v>9.8000000000000007</v>
      </c>
      <c r="E12" s="51">
        <v>3.69</v>
      </c>
      <c r="F12" s="51">
        <v>10.39</v>
      </c>
      <c r="G12" s="51">
        <v>25.72</v>
      </c>
      <c r="H12" s="51">
        <v>10.37</v>
      </c>
      <c r="I12" s="51">
        <v>1.43</v>
      </c>
      <c r="J12" s="51">
        <v>0.13</v>
      </c>
      <c r="K12" s="51">
        <v>312.3</v>
      </c>
      <c r="L12" s="51">
        <v>24.2</v>
      </c>
      <c r="M12" s="51">
        <v>98.35</v>
      </c>
      <c r="N12" s="51">
        <v>40</v>
      </c>
      <c r="O12" s="51">
        <v>0</v>
      </c>
      <c r="P12" s="51">
        <v>0.34</v>
      </c>
      <c r="Q12" s="51">
        <v>9.2100000000000009</v>
      </c>
      <c r="R12" s="43"/>
      <c r="S12" s="43"/>
      <c r="T12" s="43"/>
      <c r="U12" s="43"/>
    </row>
    <row r="13" spans="1:21" s="11" customFormat="1" x14ac:dyDescent="0.25">
      <c r="A13" s="50" t="s">
        <v>592</v>
      </c>
      <c r="B13" s="51">
        <v>8.23</v>
      </c>
      <c r="C13" s="51">
        <v>11.75</v>
      </c>
      <c r="D13" s="51">
        <v>12.72</v>
      </c>
      <c r="E13" s="51">
        <v>3.92</v>
      </c>
      <c r="F13" s="51">
        <v>9.11</v>
      </c>
      <c r="G13" s="51">
        <v>25.37</v>
      </c>
      <c r="H13" s="51">
        <v>7.26</v>
      </c>
      <c r="I13" s="51">
        <v>1.45</v>
      </c>
      <c r="J13" s="51">
        <v>0.15</v>
      </c>
      <c r="K13" s="51">
        <v>312.43</v>
      </c>
      <c r="L13" s="51">
        <v>23.99</v>
      </c>
      <c r="M13" s="51">
        <v>98.35</v>
      </c>
      <c r="N13" s="51">
        <v>40.1</v>
      </c>
      <c r="O13" s="51">
        <v>0</v>
      </c>
      <c r="P13" s="51">
        <v>0.41</v>
      </c>
      <c r="Q13" s="51">
        <v>9.23</v>
      </c>
      <c r="R13" s="43"/>
      <c r="S13" s="43"/>
      <c r="T13" s="43"/>
      <c r="U13" s="43"/>
    </row>
    <row r="14" spans="1:21" s="11" customFormat="1" x14ac:dyDescent="0.25">
      <c r="A14" s="50" t="s">
        <v>593</v>
      </c>
      <c r="B14" s="51">
        <v>9.23</v>
      </c>
      <c r="C14" s="51">
        <v>11.96</v>
      </c>
      <c r="D14" s="51">
        <v>12.54</v>
      </c>
      <c r="E14" s="51">
        <v>3.75</v>
      </c>
      <c r="F14" s="51">
        <v>7.09</v>
      </c>
      <c r="G14" s="51">
        <v>30.22</v>
      </c>
      <c r="H14" s="51">
        <v>5.08</v>
      </c>
      <c r="I14" s="51">
        <v>1.62</v>
      </c>
      <c r="J14" s="51">
        <v>0.17</v>
      </c>
      <c r="K14" s="51">
        <v>303.60000000000002</v>
      </c>
      <c r="L14" s="51">
        <v>23.58</v>
      </c>
      <c r="M14" s="51">
        <v>98.31</v>
      </c>
      <c r="N14" s="51">
        <v>46.3</v>
      </c>
      <c r="O14" s="51">
        <v>0</v>
      </c>
      <c r="P14" s="51">
        <v>0.42</v>
      </c>
      <c r="Q14" s="51">
        <v>9.24</v>
      </c>
      <c r="R14" s="43"/>
      <c r="S14" s="43"/>
      <c r="T14" s="43"/>
      <c r="U14" s="43"/>
    </row>
    <row r="15" spans="1:21" s="11" customFormat="1" x14ac:dyDescent="0.25">
      <c r="A15" s="50" t="s">
        <v>594</v>
      </c>
      <c r="B15" s="51">
        <v>9.3800000000000008</v>
      </c>
      <c r="C15" s="51">
        <v>11.64</v>
      </c>
      <c r="D15" s="51">
        <v>13.61</v>
      </c>
      <c r="E15" s="51">
        <v>3.7</v>
      </c>
      <c r="F15" s="51">
        <v>6.79</v>
      </c>
      <c r="G15" s="51">
        <v>37.909999999999997</v>
      </c>
      <c r="H15" s="51">
        <v>3.56</v>
      </c>
      <c r="I15" s="51">
        <v>1.95</v>
      </c>
      <c r="J15" s="51">
        <v>0.09</v>
      </c>
      <c r="K15" s="51">
        <v>316.02999999999997</v>
      </c>
      <c r="L15" s="51">
        <v>23.36</v>
      </c>
      <c r="M15" s="51">
        <v>98.29</v>
      </c>
      <c r="N15" s="51">
        <v>85.5</v>
      </c>
      <c r="O15" s="51">
        <v>0</v>
      </c>
      <c r="P15" s="51">
        <v>0.52</v>
      </c>
      <c r="Q15" s="51">
        <v>9.2100000000000009</v>
      </c>
      <c r="R15" s="43"/>
      <c r="S15" s="43"/>
      <c r="T15" s="43"/>
      <c r="U15" s="43"/>
    </row>
    <row r="16" spans="1:21" s="11" customFormat="1" x14ac:dyDescent="0.25">
      <c r="A16" s="50" t="s">
        <v>595</v>
      </c>
      <c r="B16" s="51">
        <v>11.91</v>
      </c>
      <c r="C16" s="51">
        <v>10.199999999999999</v>
      </c>
      <c r="D16" s="51">
        <v>14.4</v>
      </c>
      <c r="E16" s="51">
        <v>4.9000000000000004</v>
      </c>
      <c r="F16" s="51">
        <v>6.42</v>
      </c>
      <c r="G16" s="51">
        <v>34.299999999999997</v>
      </c>
      <c r="H16" s="51">
        <v>5.12</v>
      </c>
      <c r="I16" s="51">
        <v>2.21</v>
      </c>
      <c r="J16" s="51">
        <v>0.28999999999999998</v>
      </c>
      <c r="K16" s="51">
        <v>317.77</v>
      </c>
      <c r="L16" s="51">
        <v>28.29</v>
      </c>
      <c r="M16" s="51">
        <v>98.29</v>
      </c>
      <c r="N16" s="51">
        <v>358.9</v>
      </c>
      <c r="O16" s="51">
        <v>0</v>
      </c>
      <c r="P16" s="51">
        <v>0.53</v>
      </c>
      <c r="Q16" s="51">
        <v>9.26</v>
      </c>
      <c r="R16" s="43"/>
      <c r="S16" s="43"/>
      <c r="T16" s="43"/>
      <c r="U16" s="43"/>
    </row>
    <row r="17" spans="1:21" s="11" customFormat="1" x14ac:dyDescent="0.25">
      <c r="A17" s="50" t="s">
        <v>596</v>
      </c>
      <c r="B17" s="51">
        <v>14.67</v>
      </c>
      <c r="C17" s="51">
        <v>13.29</v>
      </c>
      <c r="D17" s="51">
        <v>17.600000000000001</v>
      </c>
      <c r="E17" s="51">
        <v>5.81</v>
      </c>
      <c r="F17" s="51">
        <v>10.71</v>
      </c>
      <c r="G17" s="51">
        <v>51.36</v>
      </c>
      <c r="H17" s="51">
        <v>3.8</v>
      </c>
      <c r="I17" s="51">
        <v>2.52</v>
      </c>
      <c r="J17" s="51">
        <v>1.17</v>
      </c>
      <c r="K17" s="51">
        <v>335.71</v>
      </c>
      <c r="L17" s="51">
        <v>33.520000000000003</v>
      </c>
      <c r="M17" s="51">
        <v>82.62</v>
      </c>
      <c r="N17" s="51">
        <v>663.8</v>
      </c>
      <c r="O17" s="51">
        <v>0</v>
      </c>
      <c r="P17" s="51">
        <v>0.55000000000000004</v>
      </c>
      <c r="Q17" s="51">
        <v>9.36</v>
      </c>
      <c r="R17" s="43"/>
      <c r="S17" s="43"/>
      <c r="T17" s="43"/>
      <c r="U17" s="43"/>
    </row>
    <row r="18" spans="1:21" s="11" customFormat="1" x14ac:dyDescent="0.25">
      <c r="A18" s="50" t="s">
        <v>597</v>
      </c>
      <c r="B18" s="51">
        <v>13.36</v>
      </c>
      <c r="C18" s="51">
        <v>14.88</v>
      </c>
      <c r="D18" s="51">
        <v>18.02</v>
      </c>
      <c r="E18" s="51">
        <v>6.14</v>
      </c>
      <c r="F18" s="51">
        <v>13.15</v>
      </c>
      <c r="G18" s="51">
        <v>60.31</v>
      </c>
      <c r="H18" s="51">
        <v>2.66</v>
      </c>
      <c r="I18" s="51">
        <v>2.5499999999999998</v>
      </c>
      <c r="J18" s="51">
        <v>0.88</v>
      </c>
      <c r="K18" s="51">
        <v>333.25</v>
      </c>
      <c r="L18" s="51">
        <v>36.130000000000003</v>
      </c>
      <c r="M18" s="51">
        <v>60.71</v>
      </c>
      <c r="N18" s="51">
        <v>782.5</v>
      </c>
      <c r="O18" s="51">
        <v>0</v>
      </c>
      <c r="P18" s="51">
        <v>0.53</v>
      </c>
      <c r="Q18" s="51">
        <v>9.39</v>
      </c>
      <c r="R18" s="43"/>
      <c r="S18" s="43"/>
      <c r="T18" s="43"/>
      <c r="U18" s="43"/>
    </row>
    <row r="19" spans="1:21" s="11" customFormat="1" x14ac:dyDescent="0.25">
      <c r="A19" s="50" t="s">
        <v>598</v>
      </c>
      <c r="B19" s="51">
        <v>12.57</v>
      </c>
      <c r="C19" s="51">
        <v>18.88</v>
      </c>
      <c r="D19" s="51">
        <v>18.23</v>
      </c>
      <c r="E19" s="51">
        <v>6.06</v>
      </c>
      <c r="F19" s="51">
        <v>14.27</v>
      </c>
      <c r="G19" s="51">
        <v>72.59</v>
      </c>
      <c r="H19" s="51">
        <v>1.86</v>
      </c>
      <c r="I19" s="51">
        <v>2.4500000000000002</v>
      </c>
      <c r="J19" s="51">
        <v>1.23</v>
      </c>
      <c r="K19" s="51">
        <v>334.62</v>
      </c>
      <c r="L19" s="51">
        <v>36.32</v>
      </c>
      <c r="M19" s="51">
        <v>60.26</v>
      </c>
      <c r="N19" s="51">
        <v>809.4</v>
      </c>
      <c r="O19" s="51">
        <v>0</v>
      </c>
      <c r="P19" s="51">
        <v>0.62</v>
      </c>
      <c r="Q19" s="51">
        <v>9.34</v>
      </c>
      <c r="R19" s="43"/>
      <c r="S19" s="43"/>
      <c r="T19" s="43"/>
      <c r="U19" s="43"/>
    </row>
    <row r="20" spans="1:21" s="11" customFormat="1" x14ac:dyDescent="0.25">
      <c r="A20" s="50" t="s">
        <v>599</v>
      </c>
      <c r="B20" s="51">
        <v>11.95</v>
      </c>
      <c r="C20" s="51">
        <v>19.600000000000001</v>
      </c>
      <c r="D20" s="51">
        <v>19.82</v>
      </c>
      <c r="E20" s="51">
        <v>6.63</v>
      </c>
      <c r="F20" s="51">
        <v>16.38</v>
      </c>
      <c r="G20" s="51">
        <v>76.3</v>
      </c>
      <c r="H20" s="51">
        <v>8.3699999999999992</v>
      </c>
      <c r="I20" s="51">
        <v>2.06</v>
      </c>
      <c r="J20" s="51">
        <v>1.83</v>
      </c>
      <c r="K20" s="51">
        <v>337.54</v>
      </c>
      <c r="L20" s="51">
        <v>34.520000000000003</v>
      </c>
      <c r="M20" s="51">
        <v>57.81</v>
      </c>
      <c r="N20" s="51">
        <v>700.4</v>
      </c>
      <c r="O20" s="51">
        <v>0</v>
      </c>
      <c r="P20" s="51">
        <v>0.61</v>
      </c>
      <c r="Q20" s="51">
        <v>9.27</v>
      </c>
      <c r="R20" s="43"/>
      <c r="S20" s="43"/>
      <c r="T20" s="43"/>
      <c r="U20" s="43"/>
    </row>
    <row r="21" spans="1:21" s="11" customFormat="1" x14ac:dyDescent="0.25">
      <c r="A21" s="50" t="s">
        <v>600</v>
      </c>
      <c r="B21" s="51">
        <v>9.8699999999999992</v>
      </c>
      <c r="C21" s="51">
        <v>18.02</v>
      </c>
      <c r="D21" s="51">
        <v>17.329999999999998</v>
      </c>
      <c r="E21" s="51">
        <v>6.64</v>
      </c>
      <c r="F21" s="51">
        <v>16.89</v>
      </c>
      <c r="G21" s="51">
        <v>67.97</v>
      </c>
      <c r="H21" s="51">
        <v>6.79</v>
      </c>
      <c r="I21" s="51">
        <v>1.6</v>
      </c>
      <c r="J21" s="51">
        <v>1.95</v>
      </c>
      <c r="K21" s="51">
        <v>336.09</v>
      </c>
      <c r="L21" s="51">
        <v>34.799999999999997</v>
      </c>
      <c r="M21" s="51">
        <v>53.45</v>
      </c>
      <c r="N21" s="51">
        <v>973.8</v>
      </c>
      <c r="O21" s="51">
        <v>0</v>
      </c>
      <c r="P21" s="51">
        <v>0.53</v>
      </c>
      <c r="Q21" s="51">
        <v>9.26</v>
      </c>
      <c r="R21" s="43"/>
      <c r="S21" s="43"/>
      <c r="T21" s="43"/>
      <c r="U21" s="43"/>
    </row>
    <row r="22" spans="1:21" s="11" customFormat="1" x14ac:dyDescent="0.25">
      <c r="A22" s="50" t="s">
        <v>601</v>
      </c>
      <c r="B22" s="51">
        <v>15.02</v>
      </c>
      <c r="C22" s="51">
        <v>19.579999999999998</v>
      </c>
      <c r="D22" s="51">
        <v>22.14</v>
      </c>
      <c r="E22" s="51">
        <v>6.47</v>
      </c>
      <c r="F22" s="51">
        <v>23.46</v>
      </c>
      <c r="G22" s="51">
        <v>65.11</v>
      </c>
      <c r="H22" s="51">
        <v>4.75</v>
      </c>
      <c r="I22" s="51">
        <v>1.39</v>
      </c>
      <c r="J22" s="51">
        <v>1.77</v>
      </c>
      <c r="K22" s="51">
        <v>339.23</v>
      </c>
      <c r="L22" s="51">
        <v>31.87</v>
      </c>
      <c r="M22" s="51">
        <v>57.95</v>
      </c>
      <c r="N22" s="51">
        <v>282.7</v>
      </c>
      <c r="O22" s="51">
        <v>0</v>
      </c>
      <c r="P22" s="51">
        <v>0.49</v>
      </c>
      <c r="Q22" s="51">
        <v>9.31</v>
      </c>
      <c r="R22" s="43"/>
      <c r="S22" s="43"/>
      <c r="T22" s="43"/>
      <c r="U22" s="43"/>
    </row>
    <row r="23" spans="1:21" s="11" customFormat="1" x14ac:dyDescent="0.25">
      <c r="A23" s="50" t="s">
        <v>602</v>
      </c>
      <c r="B23" s="51">
        <v>14.61</v>
      </c>
      <c r="C23" s="51">
        <v>21.49</v>
      </c>
      <c r="D23" s="51">
        <v>22.95</v>
      </c>
      <c r="E23" s="51">
        <v>6.51</v>
      </c>
      <c r="F23" s="51">
        <v>19.989999999999998</v>
      </c>
      <c r="G23" s="51">
        <v>103.62</v>
      </c>
      <c r="H23" s="51">
        <v>3.33</v>
      </c>
      <c r="I23" s="51">
        <v>1.36</v>
      </c>
      <c r="J23" s="51">
        <v>1.37</v>
      </c>
      <c r="K23" s="51">
        <v>337.1</v>
      </c>
      <c r="L23" s="51">
        <v>32.06</v>
      </c>
      <c r="M23" s="51">
        <v>58.47</v>
      </c>
      <c r="N23" s="51">
        <v>236.9</v>
      </c>
      <c r="O23" s="51">
        <v>0</v>
      </c>
      <c r="P23" s="51">
        <v>0.53</v>
      </c>
      <c r="Q23" s="51">
        <v>9.3000000000000007</v>
      </c>
      <c r="R23" s="43"/>
      <c r="S23" s="43"/>
      <c r="T23" s="43"/>
      <c r="U23" s="43"/>
    </row>
    <row r="24" spans="1:21" s="11" customFormat="1" x14ac:dyDescent="0.25">
      <c r="A24" s="50" t="s">
        <v>603</v>
      </c>
      <c r="B24" s="51">
        <v>16.989999999999998</v>
      </c>
      <c r="C24" s="51">
        <v>22.36</v>
      </c>
      <c r="D24" s="51">
        <v>25.29</v>
      </c>
      <c r="E24" s="51">
        <v>6.57</v>
      </c>
      <c r="F24" s="51">
        <v>19.47</v>
      </c>
      <c r="G24" s="51">
        <v>82.22</v>
      </c>
      <c r="H24" s="51">
        <v>6.38</v>
      </c>
      <c r="I24" s="51">
        <v>1.3</v>
      </c>
      <c r="J24" s="51">
        <v>0.93</v>
      </c>
      <c r="K24" s="51">
        <v>335.96</v>
      </c>
      <c r="L24" s="51">
        <v>31.47</v>
      </c>
      <c r="M24" s="51">
        <v>90.06</v>
      </c>
      <c r="N24" s="51">
        <v>164</v>
      </c>
      <c r="O24" s="51">
        <v>0</v>
      </c>
      <c r="P24" s="51">
        <v>0.5</v>
      </c>
      <c r="Q24" s="51">
        <v>9.2899999999999991</v>
      </c>
      <c r="R24" s="43"/>
      <c r="S24" s="43"/>
      <c r="T24" s="43"/>
      <c r="U24" s="43"/>
    </row>
    <row r="25" spans="1:21" s="11" customFormat="1" x14ac:dyDescent="0.25">
      <c r="A25" s="50" t="s">
        <v>604</v>
      </c>
      <c r="B25" s="51">
        <v>7.98</v>
      </c>
      <c r="C25" s="51">
        <v>16.97</v>
      </c>
      <c r="D25" s="51">
        <v>15.26</v>
      </c>
      <c r="E25" s="51">
        <v>5.47</v>
      </c>
      <c r="F25" s="51">
        <v>16.29</v>
      </c>
      <c r="G25" s="51">
        <v>101.31</v>
      </c>
      <c r="H25" s="51">
        <v>9.43</v>
      </c>
      <c r="I25" s="51">
        <v>1.3</v>
      </c>
      <c r="J25" s="51">
        <v>0.74</v>
      </c>
      <c r="K25" s="51">
        <v>174.67</v>
      </c>
      <c r="L25" s="51">
        <v>28.62</v>
      </c>
      <c r="M25" s="51">
        <v>96.43</v>
      </c>
      <c r="N25" s="51">
        <v>150.30000000000001</v>
      </c>
      <c r="O25" s="51">
        <v>0</v>
      </c>
      <c r="P25" s="51">
        <v>0.36</v>
      </c>
      <c r="Q25" s="51">
        <v>9.27</v>
      </c>
      <c r="R25" s="43"/>
      <c r="S25" s="43"/>
      <c r="T25" s="43"/>
      <c r="U25" s="43"/>
    </row>
    <row r="26" spans="1:21" s="11" customFormat="1" x14ac:dyDescent="0.25">
      <c r="A26" s="50" t="s">
        <v>605</v>
      </c>
      <c r="B26" s="51">
        <v>8.09</v>
      </c>
      <c r="C26" s="51">
        <v>14.28</v>
      </c>
      <c r="D26" s="51">
        <v>13.4</v>
      </c>
      <c r="E26" s="51">
        <v>5.72</v>
      </c>
      <c r="F26" s="51">
        <v>13.88</v>
      </c>
      <c r="G26" s="51">
        <v>71.7</v>
      </c>
      <c r="H26" s="51">
        <v>6.6</v>
      </c>
      <c r="I26" s="51">
        <v>1.31</v>
      </c>
      <c r="J26" s="51">
        <v>0.81</v>
      </c>
      <c r="K26" s="51">
        <v>321.37</v>
      </c>
      <c r="L26" s="51">
        <v>27.37</v>
      </c>
      <c r="M26" s="51">
        <v>98.22</v>
      </c>
      <c r="N26" s="51">
        <v>103.1</v>
      </c>
      <c r="O26" s="51">
        <v>0</v>
      </c>
      <c r="P26" s="51">
        <v>0.39</v>
      </c>
      <c r="Q26" s="51">
        <v>9.27</v>
      </c>
      <c r="R26" s="43"/>
      <c r="S26" s="43"/>
      <c r="T26" s="43"/>
      <c r="U26" s="43"/>
    </row>
    <row r="27" spans="1:21" s="11" customFormat="1" x14ac:dyDescent="0.25">
      <c r="A27" s="50" t="s">
        <v>606</v>
      </c>
      <c r="B27" s="51">
        <v>8.84</v>
      </c>
      <c r="C27" s="51">
        <v>16.579999999999998</v>
      </c>
      <c r="D27" s="51">
        <v>14.91</v>
      </c>
      <c r="E27" s="51">
        <v>5.6</v>
      </c>
      <c r="F27" s="51">
        <v>12.69</v>
      </c>
      <c r="G27" s="51">
        <v>59.15</v>
      </c>
      <c r="H27" s="51">
        <v>4.62</v>
      </c>
      <c r="I27" s="51">
        <v>1.4</v>
      </c>
      <c r="J27" s="51">
        <v>0.18</v>
      </c>
      <c r="K27" s="51">
        <v>330.16</v>
      </c>
      <c r="L27" s="51">
        <v>26.64</v>
      </c>
      <c r="M27" s="51">
        <v>97.85</v>
      </c>
      <c r="N27" s="51">
        <v>56.8</v>
      </c>
      <c r="O27" s="51">
        <v>0</v>
      </c>
      <c r="P27" s="51">
        <v>0.5</v>
      </c>
      <c r="Q27" s="51">
        <v>9.2899999999999991</v>
      </c>
      <c r="R27" s="43"/>
      <c r="S27" s="43"/>
      <c r="T27" s="43"/>
      <c r="U27" s="43"/>
    </row>
    <row r="28" spans="1:21" s="11" customFormat="1" x14ac:dyDescent="0.25">
      <c r="A28" s="50" t="s">
        <v>607</v>
      </c>
      <c r="B28" s="51">
        <v>8.11</v>
      </c>
      <c r="C28" s="51">
        <v>22.77</v>
      </c>
      <c r="D28" s="51">
        <v>18.399999999999999</v>
      </c>
      <c r="E28" s="51">
        <v>5.51</v>
      </c>
      <c r="F28" s="51">
        <v>13.19</v>
      </c>
      <c r="G28" s="51">
        <v>45.35</v>
      </c>
      <c r="H28" s="51">
        <v>6.86</v>
      </c>
      <c r="I28" s="51">
        <v>1.36</v>
      </c>
      <c r="J28" s="51">
        <v>0.42</v>
      </c>
      <c r="K28" s="51">
        <v>300.69</v>
      </c>
      <c r="L28" s="51">
        <v>25.65</v>
      </c>
      <c r="M28" s="51">
        <v>97.1</v>
      </c>
      <c r="N28" s="51">
        <v>68</v>
      </c>
      <c r="O28" s="51">
        <v>0</v>
      </c>
      <c r="P28" s="51">
        <v>0.68</v>
      </c>
      <c r="Q28" s="51">
        <v>9.23</v>
      </c>
      <c r="R28" s="43"/>
      <c r="S28" s="43"/>
      <c r="T28" s="43"/>
      <c r="U28" s="43"/>
    </row>
    <row r="29" spans="1:21" s="11" customFormat="1" x14ac:dyDescent="0.25">
      <c r="A29" s="50" t="s">
        <v>608</v>
      </c>
      <c r="B29" s="51">
        <v>12.52</v>
      </c>
      <c r="C29" s="51">
        <v>24.4</v>
      </c>
      <c r="D29" s="51">
        <v>18.920000000000002</v>
      </c>
      <c r="E29" s="51">
        <v>5.58</v>
      </c>
      <c r="F29" s="51">
        <v>10.45</v>
      </c>
      <c r="G29" s="51">
        <v>39.39</v>
      </c>
      <c r="H29" s="51">
        <v>4.8</v>
      </c>
      <c r="I29" s="51">
        <v>1.44</v>
      </c>
      <c r="J29" s="51">
        <v>0.09</v>
      </c>
      <c r="K29" s="51">
        <v>321.07</v>
      </c>
      <c r="L29" s="51">
        <v>25.66</v>
      </c>
      <c r="M29" s="51">
        <v>98.06</v>
      </c>
      <c r="N29" s="51">
        <v>67.099999999999994</v>
      </c>
      <c r="O29" s="51">
        <v>0</v>
      </c>
      <c r="P29" s="51">
        <v>0.61</v>
      </c>
      <c r="Q29" s="51">
        <v>9.2100000000000009</v>
      </c>
      <c r="R29" s="43"/>
      <c r="S29" s="43"/>
      <c r="T29" s="43"/>
      <c r="U29" s="43"/>
    </row>
    <row r="30" spans="1:21" s="11" customFormat="1" x14ac:dyDescent="0.25">
      <c r="A30" s="50" t="s">
        <v>609</v>
      </c>
      <c r="B30" s="51">
        <v>9.18</v>
      </c>
      <c r="C30" s="51">
        <v>14.01</v>
      </c>
      <c r="D30" s="51">
        <v>13.97</v>
      </c>
      <c r="E30" s="51">
        <v>5.1100000000000003</v>
      </c>
      <c r="F30" s="51">
        <v>10.74</v>
      </c>
      <c r="G30" s="51">
        <v>49.11</v>
      </c>
      <c r="H30" s="51">
        <v>3.49</v>
      </c>
      <c r="I30" s="51">
        <v>1.48</v>
      </c>
      <c r="J30" s="51">
        <v>0.13</v>
      </c>
      <c r="K30" s="51">
        <v>316.27</v>
      </c>
      <c r="L30" s="51">
        <v>25.63</v>
      </c>
      <c r="M30" s="51">
        <v>98.33</v>
      </c>
      <c r="N30" s="51">
        <v>67.400000000000006</v>
      </c>
      <c r="O30" s="51">
        <v>0</v>
      </c>
      <c r="P30" s="51">
        <v>0.49</v>
      </c>
      <c r="Q30" s="51">
        <v>9.2899999999999991</v>
      </c>
      <c r="R30" s="43"/>
      <c r="S30" s="43"/>
      <c r="T30" s="43"/>
      <c r="U30" s="43"/>
    </row>
    <row r="31" spans="1:21" s="11" customFormat="1" x14ac:dyDescent="0.25">
      <c r="A31" s="50" t="s">
        <v>610</v>
      </c>
      <c r="B31" s="51">
        <v>9.32</v>
      </c>
      <c r="C31" s="51">
        <v>13.87</v>
      </c>
      <c r="D31" s="51">
        <v>14.67</v>
      </c>
      <c r="E31" s="51">
        <v>5.53</v>
      </c>
      <c r="F31" s="51">
        <v>10.47</v>
      </c>
      <c r="G31" s="51">
        <v>45.75</v>
      </c>
      <c r="H31" s="51">
        <v>2.44</v>
      </c>
      <c r="I31" s="51">
        <v>1.49</v>
      </c>
      <c r="J31" s="51">
        <v>0.12</v>
      </c>
      <c r="K31" s="51">
        <v>317.54000000000002</v>
      </c>
      <c r="L31" s="51">
        <v>25.31</v>
      </c>
      <c r="M31" s="51">
        <v>98.35</v>
      </c>
      <c r="N31" s="51">
        <v>67.7</v>
      </c>
      <c r="O31" s="51">
        <v>0</v>
      </c>
      <c r="P31" s="51">
        <v>0.52</v>
      </c>
      <c r="Q31" s="51">
        <v>9.2899999999999991</v>
      </c>
      <c r="R31" s="43"/>
      <c r="S31" s="43"/>
      <c r="T31" s="43"/>
      <c r="U31" s="43"/>
    </row>
    <row r="32" spans="1:21" s="11" customFormat="1" x14ac:dyDescent="0.25">
      <c r="A32" s="50" t="s">
        <v>611</v>
      </c>
      <c r="B32" s="51">
        <v>11.32</v>
      </c>
      <c r="C32" s="51">
        <v>15.27</v>
      </c>
      <c r="D32" s="51">
        <v>16.149999999999999</v>
      </c>
      <c r="E32" s="51">
        <v>5.31</v>
      </c>
      <c r="F32" s="51">
        <v>7.51</v>
      </c>
      <c r="G32" s="51">
        <v>40.590000000000003</v>
      </c>
      <c r="H32" s="51">
        <v>7.49</v>
      </c>
      <c r="I32" s="51">
        <v>1.48</v>
      </c>
      <c r="J32" s="51">
        <v>0.15</v>
      </c>
      <c r="K32" s="51">
        <v>342.05</v>
      </c>
      <c r="L32" s="51">
        <v>25.13</v>
      </c>
      <c r="M32" s="51">
        <v>98.45</v>
      </c>
      <c r="N32" s="51">
        <v>67.099999999999994</v>
      </c>
      <c r="O32" s="51">
        <v>0</v>
      </c>
      <c r="P32" s="51">
        <v>0.66</v>
      </c>
      <c r="Q32" s="51">
        <v>9.27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5.66</v>
      </c>
      <c r="C34" s="28">
        <f t="shared" si="0"/>
        <v>7.79</v>
      </c>
      <c r="D34" s="28">
        <f t="shared" si="0"/>
        <v>9.01</v>
      </c>
      <c r="E34" s="28">
        <f t="shared" si="0"/>
        <v>3.69</v>
      </c>
      <c r="F34" s="28">
        <f t="shared" si="0"/>
        <v>6.42</v>
      </c>
      <c r="G34" s="28">
        <f t="shared" si="0"/>
        <v>25.37</v>
      </c>
      <c r="H34" s="28">
        <f t="shared" si="0"/>
        <v>1.48</v>
      </c>
      <c r="I34" s="28">
        <f t="shared" si="0"/>
        <v>1.3</v>
      </c>
      <c r="J34" s="28">
        <f t="shared" si="0"/>
        <v>0.09</v>
      </c>
      <c r="K34" s="28">
        <f t="shared" si="0"/>
        <v>174.67</v>
      </c>
      <c r="L34" s="28">
        <f t="shared" si="0"/>
        <v>23.36</v>
      </c>
      <c r="M34" s="28">
        <f t="shared" si="0"/>
        <v>53.45</v>
      </c>
      <c r="N34" s="28">
        <f t="shared" si="0"/>
        <v>40</v>
      </c>
      <c r="O34" s="28">
        <f t="shared" si="0"/>
        <v>0</v>
      </c>
      <c r="P34" s="28">
        <f t="shared" si="0"/>
        <v>0.28000000000000003</v>
      </c>
      <c r="Q34" s="28">
        <f t="shared" si="0"/>
        <v>9.19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16.989999999999998</v>
      </c>
      <c r="C35" s="29">
        <f t="shared" si="1"/>
        <v>24.4</v>
      </c>
      <c r="D35" s="29">
        <f t="shared" si="1"/>
        <v>25.29</v>
      </c>
      <c r="E35" s="29">
        <f t="shared" si="1"/>
        <v>6.64</v>
      </c>
      <c r="F35" s="29">
        <f t="shared" si="1"/>
        <v>23.46</v>
      </c>
      <c r="G35" s="29">
        <f t="shared" si="1"/>
        <v>103.62</v>
      </c>
      <c r="H35" s="29">
        <f t="shared" si="1"/>
        <v>10.37</v>
      </c>
      <c r="I35" s="29">
        <f t="shared" si="1"/>
        <v>2.5499999999999998</v>
      </c>
      <c r="J35" s="29">
        <f t="shared" si="1"/>
        <v>1.95</v>
      </c>
      <c r="K35" s="29">
        <f t="shared" si="1"/>
        <v>342.05</v>
      </c>
      <c r="L35" s="29">
        <f t="shared" si="1"/>
        <v>36.32</v>
      </c>
      <c r="M35" s="29">
        <f t="shared" si="1"/>
        <v>98.45</v>
      </c>
      <c r="N35" s="29">
        <f t="shared" si="1"/>
        <v>973.8</v>
      </c>
      <c r="O35" s="29">
        <f t="shared" si="1"/>
        <v>0</v>
      </c>
      <c r="P35" s="29">
        <f t="shared" si="1"/>
        <v>0.68</v>
      </c>
      <c r="Q35" s="29">
        <f t="shared" si="1"/>
        <v>9.39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10.369166666666667</v>
      </c>
      <c r="C36" s="28">
        <f t="shared" si="2"/>
        <v>15.267499999999998</v>
      </c>
      <c r="D36" s="28">
        <f t="shared" si="2"/>
        <v>15.753749999999998</v>
      </c>
      <c r="E36" s="28">
        <f t="shared" si="2"/>
        <v>5.2595833333333335</v>
      </c>
      <c r="F36" s="28">
        <f t="shared" si="2"/>
        <v>12.553750000000001</v>
      </c>
      <c r="G36" s="28">
        <f t="shared" si="2"/>
        <v>53.660416666666663</v>
      </c>
      <c r="H36" s="28">
        <f t="shared" si="2"/>
        <v>5.0045833333333318</v>
      </c>
      <c r="I36" s="28">
        <f t="shared" si="2"/>
        <v>1.6570833333333332</v>
      </c>
      <c r="J36" s="28">
        <f t="shared" si="2"/>
        <v>0.63041666666666663</v>
      </c>
      <c r="K36" s="28">
        <f t="shared" si="2"/>
        <v>313.64208333333335</v>
      </c>
      <c r="L36" s="28">
        <f t="shared" si="2"/>
        <v>28.179999999999993</v>
      </c>
      <c r="M36" s="28">
        <f t="shared" si="2"/>
        <v>87.112499999999997</v>
      </c>
      <c r="N36" s="28">
        <f t="shared" si="2"/>
        <v>248.00833333333335</v>
      </c>
      <c r="O36" s="28">
        <f t="shared" si="2"/>
        <v>0</v>
      </c>
      <c r="P36" s="28">
        <f t="shared" si="2"/>
        <v>0.48666666666666675</v>
      </c>
      <c r="Q36" s="28">
        <f t="shared" si="2"/>
        <v>9.2675000000000001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3.0742223006190041</v>
      </c>
      <c r="C37" s="28">
        <f t="shared" ref="C37:Q37" si="3">STDEV(C9:C32)</f>
        <v>4.8400774787187038</v>
      </c>
      <c r="D37" s="28">
        <f t="shared" si="3"/>
        <v>4.3287942015219878</v>
      </c>
      <c r="E37" s="28">
        <f t="shared" si="3"/>
        <v>1.0591320448394514</v>
      </c>
      <c r="F37" s="28">
        <f t="shared" si="3"/>
        <v>4.4212312002525831</v>
      </c>
      <c r="G37" s="28">
        <f t="shared" si="3"/>
        <v>22.484715480824399</v>
      </c>
      <c r="H37" s="28">
        <f t="shared" si="3"/>
        <v>2.520769342821783</v>
      </c>
      <c r="I37" s="28">
        <f t="shared" si="3"/>
        <v>0.40091720024124156</v>
      </c>
      <c r="J37" s="28">
        <f t="shared" si="3"/>
        <v>0.62206164357384786</v>
      </c>
      <c r="K37" s="28">
        <f t="shared" si="3"/>
        <v>35.201525162013588</v>
      </c>
      <c r="L37" s="28">
        <f t="shared" si="3"/>
        <v>4.4238690522329831</v>
      </c>
      <c r="M37" s="28">
        <f t="shared" si="3"/>
        <v>17.496232451588</v>
      </c>
      <c r="N37" s="28">
        <f t="shared" si="3"/>
        <v>297.7566425596678</v>
      </c>
      <c r="O37" s="28">
        <f t="shared" si="3"/>
        <v>0</v>
      </c>
      <c r="P37" s="28">
        <f t="shared" si="3"/>
        <v>0.11339299367462105</v>
      </c>
      <c r="Q37" s="28">
        <f t="shared" si="3"/>
        <v>5.0238561319749596E-2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612</v>
      </c>
      <c r="B9" s="51">
        <v>8.5</v>
      </c>
      <c r="C9" s="51">
        <v>15.12</v>
      </c>
      <c r="D9" s="51">
        <v>13.92</v>
      </c>
      <c r="E9" s="51">
        <v>5.0199999999999996</v>
      </c>
      <c r="F9" s="51">
        <v>8.4</v>
      </c>
      <c r="G9" s="51">
        <v>46.17</v>
      </c>
      <c r="H9" s="51">
        <v>8.56</v>
      </c>
      <c r="I9" s="51">
        <v>1.67</v>
      </c>
      <c r="J9" s="51">
        <v>0.12</v>
      </c>
      <c r="K9" s="51">
        <v>315.33999999999997</v>
      </c>
      <c r="L9" s="51">
        <v>25.16</v>
      </c>
      <c r="M9" s="51">
        <v>98.44</v>
      </c>
      <c r="N9" s="51">
        <v>66.599999999999994</v>
      </c>
      <c r="O9" s="51">
        <v>0</v>
      </c>
      <c r="P9" s="51">
        <v>0.66</v>
      </c>
      <c r="Q9" s="51">
        <v>9.25</v>
      </c>
      <c r="R9" s="43"/>
      <c r="S9" s="43"/>
      <c r="T9" s="43"/>
      <c r="U9" s="43"/>
    </row>
    <row r="10" spans="1:21" s="11" customFormat="1" x14ac:dyDescent="0.25">
      <c r="A10" s="50" t="s">
        <v>613</v>
      </c>
      <c r="B10" s="51">
        <v>8.11</v>
      </c>
      <c r="C10" s="51">
        <v>10.130000000000001</v>
      </c>
      <c r="D10" s="51">
        <v>11.41</v>
      </c>
      <c r="E10" s="51">
        <v>5.09</v>
      </c>
      <c r="F10" s="51">
        <v>9.75</v>
      </c>
      <c r="G10" s="51">
        <v>44.31</v>
      </c>
      <c r="H10" s="51">
        <v>8.43</v>
      </c>
      <c r="I10" s="51">
        <v>2.25</v>
      </c>
      <c r="J10" s="51">
        <v>0.18</v>
      </c>
      <c r="K10" s="51">
        <v>307.19</v>
      </c>
      <c r="L10" s="51">
        <v>24.76</v>
      </c>
      <c r="M10" s="51">
        <v>98.48</v>
      </c>
      <c r="N10" s="51">
        <v>67.099999999999994</v>
      </c>
      <c r="O10" s="51">
        <v>0</v>
      </c>
      <c r="P10" s="51">
        <v>0.55000000000000004</v>
      </c>
      <c r="Q10" s="51">
        <v>9.25</v>
      </c>
      <c r="R10" s="43"/>
      <c r="S10" s="43"/>
      <c r="T10" s="43"/>
      <c r="U10" s="43"/>
    </row>
    <row r="11" spans="1:21" s="11" customFormat="1" x14ac:dyDescent="0.25">
      <c r="A11" s="50" t="s">
        <v>614</v>
      </c>
      <c r="B11" s="51">
        <v>8.8000000000000007</v>
      </c>
      <c r="C11" s="51">
        <v>11.72</v>
      </c>
      <c r="D11" s="51">
        <v>13.18</v>
      </c>
      <c r="E11" s="51">
        <v>4.93</v>
      </c>
      <c r="F11" s="51">
        <v>8.93</v>
      </c>
      <c r="G11" s="51">
        <v>43.38</v>
      </c>
      <c r="H11" s="51">
        <v>5.9</v>
      </c>
      <c r="I11" s="51">
        <v>2.52</v>
      </c>
      <c r="J11" s="51">
        <v>0.17</v>
      </c>
      <c r="K11" s="51">
        <v>310.11</v>
      </c>
      <c r="L11" s="51">
        <v>24.67</v>
      </c>
      <c r="M11" s="51">
        <v>98.43</v>
      </c>
      <c r="N11" s="51">
        <v>67.3</v>
      </c>
      <c r="O11" s="51">
        <v>0</v>
      </c>
      <c r="P11" s="51">
        <v>0.71</v>
      </c>
      <c r="Q11" s="51">
        <v>9.25</v>
      </c>
      <c r="R11" s="43"/>
      <c r="S11" s="43"/>
      <c r="T11" s="43"/>
      <c r="U11" s="43"/>
    </row>
    <row r="12" spans="1:21" s="11" customFormat="1" x14ac:dyDescent="0.25">
      <c r="A12" s="50" t="s">
        <v>615</v>
      </c>
      <c r="B12" s="51">
        <v>8.26</v>
      </c>
      <c r="C12" s="51">
        <v>11.86</v>
      </c>
      <c r="D12" s="51">
        <v>12.82</v>
      </c>
      <c r="E12" s="51">
        <v>4.84</v>
      </c>
      <c r="F12" s="51">
        <v>9.0399999999999991</v>
      </c>
      <c r="G12" s="51">
        <v>36.270000000000003</v>
      </c>
      <c r="H12" s="51">
        <v>4.13</v>
      </c>
      <c r="I12" s="51">
        <v>2.83</v>
      </c>
      <c r="J12" s="51">
        <v>0.21</v>
      </c>
      <c r="K12" s="51">
        <v>324.45</v>
      </c>
      <c r="L12" s="51">
        <v>24.15</v>
      </c>
      <c r="M12" s="51">
        <v>98.55</v>
      </c>
      <c r="N12" s="51">
        <v>66.8</v>
      </c>
      <c r="O12" s="51">
        <v>0</v>
      </c>
      <c r="P12" s="51">
        <v>0.74</v>
      </c>
      <c r="Q12" s="51">
        <v>9.26</v>
      </c>
      <c r="R12" s="43"/>
      <c r="S12" s="43"/>
      <c r="T12" s="43"/>
      <c r="U12" s="43"/>
    </row>
    <row r="13" spans="1:21" s="11" customFormat="1" x14ac:dyDescent="0.25">
      <c r="A13" s="50" t="s">
        <v>616</v>
      </c>
      <c r="B13" s="51">
        <v>7.3</v>
      </c>
      <c r="C13" s="51">
        <v>12.08</v>
      </c>
      <c r="D13" s="51">
        <v>11.74</v>
      </c>
      <c r="E13" s="51">
        <v>5.0199999999999996</v>
      </c>
      <c r="F13" s="51">
        <v>7</v>
      </c>
      <c r="G13" s="51">
        <v>40.07</v>
      </c>
      <c r="H13" s="51">
        <v>3.45</v>
      </c>
      <c r="I13" s="51">
        <v>3</v>
      </c>
      <c r="J13" s="51">
        <v>0.36</v>
      </c>
      <c r="K13" s="51">
        <v>247.11</v>
      </c>
      <c r="L13" s="51">
        <v>23.31</v>
      </c>
      <c r="M13" s="51">
        <v>98.58</v>
      </c>
      <c r="N13" s="51">
        <v>67</v>
      </c>
      <c r="O13" s="51">
        <v>0</v>
      </c>
      <c r="P13" s="51">
        <v>0.73</v>
      </c>
      <c r="Q13" s="51">
        <v>9.2100000000000009</v>
      </c>
      <c r="R13" s="43"/>
      <c r="S13" s="43"/>
      <c r="T13" s="43"/>
      <c r="U13" s="43"/>
    </row>
    <row r="14" spans="1:21" s="11" customFormat="1" x14ac:dyDescent="0.25">
      <c r="A14" s="50" t="s">
        <v>617</v>
      </c>
      <c r="B14" s="51">
        <v>8.27</v>
      </c>
      <c r="C14" s="51">
        <v>10.3</v>
      </c>
      <c r="D14" s="51">
        <v>11.85</v>
      </c>
      <c r="E14" s="51">
        <v>4.82</v>
      </c>
      <c r="F14" s="51">
        <v>7.76</v>
      </c>
      <c r="G14" s="51">
        <v>38.729999999999997</v>
      </c>
      <c r="H14" s="51">
        <v>3.5</v>
      </c>
      <c r="I14" s="51">
        <v>3.06</v>
      </c>
      <c r="J14" s="51">
        <v>7.0000000000000007E-2</v>
      </c>
      <c r="K14" s="51">
        <v>315.83</v>
      </c>
      <c r="L14" s="51">
        <v>23.07</v>
      </c>
      <c r="M14" s="51">
        <v>98.6</v>
      </c>
      <c r="N14" s="51">
        <v>71.599999999999994</v>
      </c>
      <c r="O14" s="51">
        <v>0</v>
      </c>
      <c r="P14" s="51">
        <v>0.61</v>
      </c>
      <c r="Q14" s="51">
        <v>9.2200000000000006</v>
      </c>
      <c r="R14" s="43"/>
      <c r="S14" s="43"/>
      <c r="T14" s="43"/>
      <c r="U14" s="43"/>
    </row>
    <row r="15" spans="1:21" s="11" customFormat="1" x14ac:dyDescent="0.25">
      <c r="A15" s="50" t="s">
        <v>618</v>
      </c>
      <c r="B15" s="51">
        <v>16.7</v>
      </c>
      <c r="C15" s="51">
        <v>12.25</v>
      </c>
      <c r="D15" s="51">
        <v>19.79</v>
      </c>
      <c r="E15" s="51">
        <v>5.01</v>
      </c>
      <c r="F15" s="51">
        <v>8.57</v>
      </c>
      <c r="G15" s="51">
        <v>36.6</v>
      </c>
      <c r="H15" s="51">
        <v>2.66</v>
      </c>
      <c r="I15" s="51">
        <v>2.94</v>
      </c>
      <c r="J15" s="51">
        <v>0.2</v>
      </c>
      <c r="K15" s="51">
        <v>315.77</v>
      </c>
      <c r="L15" s="51">
        <v>23.33</v>
      </c>
      <c r="M15" s="51">
        <v>98.6</v>
      </c>
      <c r="N15" s="51">
        <v>94.3</v>
      </c>
      <c r="O15" s="51">
        <v>0</v>
      </c>
      <c r="P15" s="51">
        <v>0.62</v>
      </c>
      <c r="Q15" s="51">
        <v>9.2799999999999994</v>
      </c>
      <c r="R15" s="43"/>
      <c r="S15" s="43"/>
      <c r="T15" s="43"/>
      <c r="U15" s="43"/>
    </row>
    <row r="16" spans="1:21" s="11" customFormat="1" x14ac:dyDescent="0.25">
      <c r="A16" s="50" t="s">
        <v>619</v>
      </c>
      <c r="B16" s="51">
        <v>14.37</v>
      </c>
      <c r="C16" s="51">
        <v>11.52</v>
      </c>
      <c r="D16" s="51">
        <v>16.25</v>
      </c>
      <c r="E16" s="51">
        <v>5.2</v>
      </c>
      <c r="F16" s="51">
        <v>8.02</v>
      </c>
      <c r="G16" s="51">
        <v>25.34</v>
      </c>
      <c r="H16" s="51">
        <v>5.55</v>
      </c>
      <c r="I16" s="51">
        <v>2.73</v>
      </c>
      <c r="J16" s="51">
        <v>0.11</v>
      </c>
      <c r="K16" s="51">
        <v>312.14</v>
      </c>
      <c r="L16" s="51">
        <v>23.35</v>
      </c>
      <c r="M16" s="51">
        <v>98.63</v>
      </c>
      <c r="N16" s="51">
        <v>85.5</v>
      </c>
      <c r="O16" s="51">
        <v>0</v>
      </c>
      <c r="P16" s="51">
        <v>0.75</v>
      </c>
      <c r="Q16" s="51">
        <v>9.31</v>
      </c>
      <c r="R16" s="43"/>
      <c r="S16" s="43"/>
      <c r="T16" s="43"/>
      <c r="U16" s="43"/>
    </row>
    <row r="17" spans="1:21" s="11" customFormat="1" x14ac:dyDescent="0.25">
      <c r="A17" s="50" t="s">
        <v>620</v>
      </c>
      <c r="B17" s="51">
        <v>19.34</v>
      </c>
      <c r="C17" s="51">
        <v>13.46</v>
      </c>
      <c r="D17" s="51">
        <v>22.54</v>
      </c>
      <c r="E17" s="51">
        <v>4.04</v>
      </c>
      <c r="F17" s="51">
        <v>7.57</v>
      </c>
      <c r="G17" s="51">
        <v>31.87</v>
      </c>
      <c r="H17" s="51">
        <v>3.89</v>
      </c>
      <c r="I17" s="51">
        <v>2.82</v>
      </c>
      <c r="J17" s="51">
        <v>0.18</v>
      </c>
      <c r="K17" s="51">
        <v>334.04</v>
      </c>
      <c r="L17" s="51">
        <v>23.25</v>
      </c>
      <c r="M17" s="51">
        <v>98.62</v>
      </c>
      <c r="N17" s="51">
        <v>72.599999999999994</v>
      </c>
      <c r="O17" s="51">
        <v>0</v>
      </c>
      <c r="P17" s="51">
        <v>1.01</v>
      </c>
      <c r="Q17" s="51">
        <v>9.32</v>
      </c>
      <c r="R17" s="43"/>
      <c r="S17" s="43"/>
      <c r="T17" s="43"/>
      <c r="U17" s="43"/>
    </row>
    <row r="18" spans="1:21" s="11" customFormat="1" x14ac:dyDescent="0.25">
      <c r="A18" s="50" t="s">
        <v>621</v>
      </c>
      <c r="B18" s="51">
        <v>18</v>
      </c>
      <c r="C18" s="51">
        <v>9.32</v>
      </c>
      <c r="D18" s="51">
        <v>18.93</v>
      </c>
      <c r="E18" s="51">
        <v>3.95</v>
      </c>
      <c r="F18" s="51">
        <v>6.76</v>
      </c>
      <c r="G18" s="51">
        <v>34.44</v>
      </c>
      <c r="H18" s="51">
        <v>2.72</v>
      </c>
      <c r="I18" s="51">
        <v>2.98</v>
      </c>
      <c r="J18" s="51">
        <v>0.35</v>
      </c>
      <c r="K18" s="51">
        <v>336.93</v>
      </c>
      <c r="L18" s="51">
        <v>23</v>
      </c>
      <c r="M18" s="51">
        <v>98.46</v>
      </c>
      <c r="N18" s="51">
        <v>75.099999999999994</v>
      </c>
      <c r="O18" s="51">
        <v>0</v>
      </c>
      <c r="P18" s="51">
        <v>0.8</v>
      </c>
      <c r="Q18" s="51">
        <v>9.3800000000000008</v>
      </c>
      <c r="R18" s="43"/>
      <c r="S18" s="43"/>
      <c r="T18" s="43"/>
      <c r="U18" s="43"/>
    </row>
    <row r="19" spans="1:21" s="11" customFormat="1" x14ac:dyDescent="0.25">
      <c r="A19" s="50" t="s">
        <v>622</v>
      </c>
      <c r="B19" s="51">
        <v>16.47</v>
      </c>
      <c r="C19" s="51">
        <v>10.82</v>
      </c>
      <c r="D19" s="51">
        <v>18.86</v>
      </c>
      <c r="E19" s="51">
        <v>3.76</v>
      </c>
      <c r="F19" s="51">
        <v>10.77</v>
      </c>
      <c r="G19" s="51">
        <v>32.299999999999997</v>
      </c>
      <c r="H19" s="51">
        <v>1.91</v>
      </c>
      <c r="I19" s="51">
        <v>2.97</v>
      </c>
      <c r="J19" s="51">
        <v>0.65</v>
      </c>
      <c r="K19" s="51">
        <v>339.25</v>
      </c>
      <c r="L19" s="51">
        <v>22.52</v>
      </c>
      <c r="M19" s="51">
        <v>98.41</v>
      </c>
      <c r="N19" s="51">
        <v>85.9</v>
      </c>
      <c r="O19" s="51">
        <v>0</v>
      </c>
      <c r="P19" s="51">
        <v>0.7</v>
      </c>
      <c r="Q19" s="51">
        <v>9.4</v>
      </c>
      <c r="R19" s="43"/>
      <c r="S19" s="43"/>
      <c r="T19" s="43"/>
      <c r="U19" s="43"/>
    </row>
    <row r="20" spans="1:21" s="11" customFormat="1" x14ac:dyDescent="0.25">
      <c r="A20" s="50" t="s">
        <v>623</v>
      </c>
      <c r="B20" s="51">
        <v>16.89</v>
      </c>
      <c r="C20" s="51">
        <v>13.79</v>
      </c>
      <c r="D20" s="51">
        <v>20.75</v>
      </c>
      <c r="E20" s="51">
        <v>3.88</v>
      </c>
      <c r="F20" s="51">
        <v>10.62</v>
      </c>
      <c r="G20" s="51">
        <v>23.28</v>
      </c>
      <c r="H20" s="51">
        <v>2.8</v>
      </c>
      <c r="I20" s="51">
        <v>2.72</v>
      </c>
      <c r="J20" s="51">
        <v>1.21</v>
      </c>
      <c r="K20" s="51">
        <v>335.77</v>
      </c>
      <c r="L20" s="51">
        <v>22.34</v>
      </c>
      <c r="M20" s="51">
        <v>98.43</v>
      </c>
      <c r="N20" s="51">
        <v>96.4</v>
      </c>
      <c r="O20" s="51">
        <v>0.4</v>
      </c>
      <c r="P20" s="51">
        <v>0.68</v>
      </c>
      <c r="Q20" s="51">
        <v>9.44</v>
      </c>
      <c r="R20" s="43"/>
      <c r="S20" s="43"/>
      <c r="T20" s="43"/>
      <c r="U20" s="43"/>
    </row>
    <row r="21" spans="1:21" s="11" customFormat="1" x14ac:dyDescent="0.25">
      <c r="A21" s="50" t="s">
        <v>624</v>
      </c>
      <c r="B21" s="51">
        <v>13.08</v>
      </c>
      <c r="C21" s="51">
        <v>9.02</v>
      </c>
      <c r="D21" s="51">
        <v>14.72</v>
      </c>
      <c r="E21" s="51">
        <v>3.82</v>
      </c>
      <c r="F21" s="51">
        <v>5.91</v>
      </c>
      <c r="G21" s="51">
        <v>24.15</v>
      </c>
      <c r="H21" s="51">
        <v>2.0699999999999998</v>
      </c>
      <c r="I21" s="51">
        <v>2.56</v>
      </c>
      <c r="J21" s="51">
        <v>0.51</v>
      </c>
      <c r="K21" s="51">
        <v>319.58999999999997</v>
      </c>
      <c r="L21" s="51">
        <v>22.32</v>
      </c>
      <c r="M21" s="51">
        <v>98.55</v>
      </c>
      <c r="N21" s="51">
        <v>121.6</v>
      </c>
      <c r="O21" s="51">
        <v>0.2</v>
      </c>
      <c r="P21" s="51">
        <v>0.6</v>
      </c>
      <c r="Q21" s="51">
        <v>9.42</v>
      </c>
      <c r="R21" s="43"/>
      <c r="S21" s="43"/>
      <c r="T21" s="43"/>
      <c r="U21" s="43"/>
    </row>
    <row r="22" spans="1:21" s="11" customFormat="1" x14ac:dyDescent="0.25">
      <c r="A22" s="50" t="s">
        <v>625</v>
      </c>
      <c r="B22" s="51">
        <v>10.62</v>
      </c>
      <c r="C22" s="51">
        <v>11.5</v>
      </c>
      <c r="D22" s="51">
        <v>14.11</v>
      </c>
      <c r="E22" s="51">
        <v>3.7</v>
      </c>
      <c r="F22" s="51">
        <v>3.76</v>
      </c>
      <c r="G22" s="51">
        <v>26.99</v>
      </c>
      <c r="H22" s="51">
        <v>2.42</v>
      </c>
      <c r="I22" s="51">
        <v>2.2000000000000002</v>
      </c>
      <c r="J22" s="51">
        <v>0.32</v>
      </c>
      <c r="K22" s="51">
        <v>310.75</v>
      </c>
      <c r="L22" s="51">
        <v>22.36</v>
      </c>
      <c r="M22" s="51">
        <v>98.57</v>
      </c>
      <c r="N22" s="51">
        <v>114.7</v>
      </c>
      <c r="O22" s="51">
        <v>0</v>
      </c>
      <c r="P22" s="51">
        <v>0.67</v>
      </c>
      <c r="Q22" s="51">
        <v>9.31</v>
      </c>
      <c r="R22" s="43"/>
      <c r="S22" s="43"/>
      <c r="T22" s="43"/>
      <c r="U22" s="43"/>
    </row>
    <row r="23" spans="1:21" s="11" customFormat="1" x14ac:dyDescent="0.25">
      <c r="A23" s="50" t="s">
        <v>626</v>
      </c>
      <c r="B23" s="51">
        <v>12.74</v>
      </c>
      <c r="C23" s="51">
        <v>12.72</v>
      </c>
      <c r="D23" s="51">
        <v>16.86</v>
      </c>
      <c r="E23" s="51">
        <v>3.73</v>
      </c>
      <c r="F23" s="51">
        <v>3.84</v>
      </c>
      <c r="G23" s="51">
        <v>24.67</v>
      </c>
      <c r="H23" s="51">
        <v>3.02</v>
      </c>
      <c r="I23" s="51">
        <v>2.52</v>
      </c>
      <c r="J23" s="51">
        <v>0.32</v>
      </c>
      <c r="K23" s="51">
        <v>319.54000000000002</v>
      </c>
      <c r="L23" s="51">
        <v>22.62</v>
      </c>
      <c r="M23" s="51">
        <v>98.58</v>
      </c>
      <c r="N23" s="51">
        <v>92.7</v>
      </c>
      <c r="O23" s="51">
        <v>0</v>
      </c>
      <c r="P23" s="51">
        <v>0.74</v>
      </c>
      <c r="Q23" s="51">
        <v>9.32</v>
      </c>
      <c r="R23" s="43"/>
      <c r="S23" s="43"/>
      <c r="T23" s="43"/>
      <c r="U23" s="43"/>
    </row>
    <row r="24" spans="1:21" s="11" customFormat="1" x14ac:dyDescent="0.25">
      <c r="A24" s="50" t="s">
        <v>627</v>
      </c>
      <c r="B24" s="51">
        <v>17.73</v>
      </c>
      <c r="C24" s="51">
        <v>16.25</v>
      </c>
      <c r="D24" s="51">
        <v>22.71</v>
      </c>
      <c r="E24" s="51">
        <v>4.3099999999999996</v>
      </c>
      <c r="F24" s="51">
        <v>8.65</v>
      </c>
      <c r="G24" s="51">
        <v>19.649999999999999</v>
      </c>
      <c r="H24" s="51">
        <v>7.15</v>
      </c>
      <c r="I24" s="51">
        <v>2.63</v>
      </c>
      <c r="J24" s="51">
        <v>0.61</v>
      </c>
      <c r="K24" s="51">
        <v>342.11</v>
      </c>
      <c r="L24" s="51">
        <v>22.64</v>
      </c>
      <c r="M24" s="51">
        <v>98.58</v>
      </c>
      <c r="N24" s="51">
        <v>74.099999999999994</v>
      </c>
      <c r="O24" s="51">
        <v>1.6</v>
      </c>
      <c r="P24" s="51">
        <v>0.94</v>
      </c>
      <c r="Q24" s="51">
        <v>9.36</v>
      </c>
      <c r="R24" s="43"/>
      <c r="S24" s="43"/>
      <c r="T24" s="43"/>
      <c r="U24" s="43"/>
    </row>
    <row r="25" spans="1:21" s="11" customFormat="1" x14ac:dyDescent="0.25">
      <c r="A25" s="50" t="s">
        <v>628</v>
      </c>
      <c r="B25" s="51">
        <v>15.85</v>
      </c>
      <c r="C25" s="51">
        <v>14.15</v>
      </c>
      <c r="D25" s="51">
        <v>19.739999999999998</v>
      </c>
      <c r="E25" s="51">
        <v>4.1900000000000004</v>
      </c>
      <c r="F25" s="51">
        <v>7.6</v>
      </c>
      <c r="G25" s="51">
        <v>22.97</v>
      </c>
      <c r="H25" s="51">
        <v>4.8600000000000003</v>
      </c>
      <c r="I25" s="51">
        <v>2.72</v>
      </c>
      <c r="J25" s="51">
        <v>0.38</v>
      </c>
      <c r="K25" s="51">
        <v>329.7</v>
      </c>
      <c r="L25" s="51">
        <v>22.49</v>
      </c>
      <c r="M25" s="51">
        <v>98.58</v>
      </c>
      <c r="N25" s="51">
        <v>77</v>
      </c>
      <c r="O25" s="51">
        <v>0</v>
      </c>
      <c r="P25" s="51">
        <v>0.81</v>
      </c>
      <c r="Q25" s="51">
        <v>9.26</v>
      </c>
      <c r="R25" s="43"/>
      <c r="S25" s="43"/>
      <c r="T25" s="43"/>
      <c r="U25" s="43"/>
    </row>
    <row r="26" spans="1:21" s="11" customFormat="1" x14ac:dyDescent="0.25">
      <c r="A26" s="50" t="s">
        <v>629</v>
      </c>
      <c r="B26" s="51">
        <v>16.62</v>
      </c>
      <c r="C26" s="51">
        <v>10.65</v>
      </c>
      <c r="D26" s="51">
        <v>18.899999999999999</v>
      </c>
      <c r="E26" s="51">
        <v>4.3499999999999996</v>
      </c>
      <c r="F26" s="51">
        <v>6.63</v>
      </c>
      <c r="G26" s="51">
        <v>26.72</v>
      </c>
      <c r="H26" s="51">
        <v>3.4</v>
      </c>
      <c r="I26" s="51">
        <v>2.84</v>
      </c>
      <c r="J26" s="51">
        <v>0.35</v>
      </c>
      <c r="K26" s="51">
        <v>321.19</v>
      </c>
      <c r="L26" s="51">
        <v>22.56</v>
      </c>
      <c r="M26" s="51">
        <v>98.58</v>
      </c>
      <c r="N26" s="51">
        <v>74.5</v>
      </c>
      <c r="O26" s="51">
        <v>0</v>
      </c>
      <c r="P26" s="51">
        <v>0.86</v>
      </c>
      <c r="Q26" s="51">
        <v>9.1999999999999993</v>
      </c>
      <c r="R26" s="43"/>
      <c r="S26" s="43"/>
      <c r="T26" s="43"/>
      <c r="U26" s="43"/>
    </row>
    <row r="27" spans="1:21" s="11" customFormat="1" x14ac:dyDescent="0.25">
      <c r="A27" s="50" t="s">
        <v>630</v>
      </c>
      <c r="B27" s="51">
        <v>16.09</v>
      </c>
      <c r="C27" s="51">
        <v>10.33</v>
      </c>
      <c r="D27" s="51">
        <v>17.86</v>
      </c>
      <c r="E27" s="51">
        <v>4.16</v>
      </c>
      <c r="F27" s="51">
        <v>7.49</v>
      </c>
      <c r="G27" s="51">
        <v>19.5</v>
      </c>
      <c r="H27" s="51">
        <v>2.38</v>
      </c>
      <c r="I27" s="51">
        <v>2.86</v>
      </c>
      <c r="J27" s="51">
        <v>0.42</v>
      </c>
      <c r="K27" s="51">
        <v>328.45</v>
      </c>
      <c r="L27" s="51">
        <v>22.49</v>
      </c>
      <c r="M27" s="51">
        <v>98.6</v>
      </c>
      <c r="N27" s="51">
        <v>63.7</v>
      </c>
      <c r="O27" s="51">
        <v>0</v>
      </c>
      <c r="P27" s="51">
        <v>0.81</v>
      </c>
      <c r="Q27" s="51">
        <v>9.1999999999999993</v>
      </c>
      <c r="R27" s="43"/>
      <c r="S27" s="43"/>
      <c r="T27" s="43"/>
      <c r="U27" s="43"/>
    </row>
    <row r="28" spans="1:21" s="11" customFormat="1" x14ac:dyDescent="0.25">
      <c r="A28" s="50" t="s">
        <v>631</v>
      </c>
      <c r="B28" s="51">
        <v>16.48</v>
      </c>
      <c r="C28" s="51">
        <v>15.65</v>
      </c>
      <c r="D28" s="51">
        <v>19.579999999999998</v>
      </c>
      <c r="E28" s="51">
        <v>4.1900000000000004</v>
      </c>
      <c r="F28" s="51">
        <v>9.61</v>
      </c>
      <c r="G28" s="51">
        <v>14.04</v>
      </c>
      <c r="H28" s="51">
        <v>5.6</v>
      </c>
      <c r="I28" s="51">
        <v>2.75</v>
      </c>
      <c r="J28" s="51">
        <v>0.61</v>
      </c>
      <c r="K28" s="51">
        <v>353.29</v>
      </c>
      <c r="L28" s="51">
        <v>22.57</v>
      </c>
      <c r="M28" s="51">
        <v>98.6</v>
      </c>
      <c r="N28" s="51">
        <v>61.8</v>
      </c>
      <c r="O28" s="51">
        <v>0.8</v>
      </c>
      <c r="P28" s="51">
        <v>0.76</v>
      </c>
      <c r="Q28" s="51">
        <v>9.25</v>
      </c>
      <c r="R28" s="43"/>
      <c r="S28" s="43"/>
      <c r="T28" s="43"/>
      <c r="U28" s="43"/>
    </row>
    <row r="29" spans="1:21" s="11" customFormat="1" x14ac:dyDescent="0.25">
      <c r="A29" s="50" t="s">
        <v>632</v>
      </c>
      <c r="B29" s="51">
        <v>49.32</v>
      </c>
      <c r="C29" s="51">
        <v>18.7</v>
      </c>
      <c r="D29" s="51">
        <v>48.61</v>
      </c>
      <c r="E29" s="51">
        <v>5</v>
      </c>
      <c r="F29" s="51">
        <v>9.16</v>
      </c>
      <c r="G29" s="51">
        <v>12.79</v>
      </c>
      <c r="H29" s="51">
        <v>3.92</v>
      </c>
      <c r="I29" s="51">
        <v>2.73</v>
      </c>
      <c r="J29" s="51">
        <v>0.69</v>
      </c>
      <c r="K29" s="51">
        <v>345.92</v>
      </c>
      <c r="L29" s="51">
        <v>22.65</v>
      </c>
      <c r="M29" s="51">
        <v>98.62</v>
      </c>
      <c r="N29" s="51">
        <v>61.4</v>
      </c>
      <c r="O29" s="51">
        <v>1.2</v>
      </c>
      <c r="P29" s="51">
        <v>1.53</v>
      </c>
      <c r="Q29" s="51">
        <v>9.3000000000000007</v>
      </c>
      <c r="R29" s="43"/>
      <c r="S29" s="43"/>
      <c r="T29" s="43"/>
      <c r="U29" s="43"/>
    </row>
    <row r="30" spans="1:21" s="11" customFormat="1" x14ac:dyDescent="0.25">
      <c r="A30" s="50" t="s">
        <v>633</v>
      </c>
      <c r="B30" s="51">
        <v>26.52</v>
      </c>
      <c r="C30" s="51">
        <v>15.67</v>
      </c>
      <c r="D30" s="51">
        <v>29.17</v>
      </c>
      <c r="E30" s="51">
        <v>4.95</v>
      </c>
      <c r="F30" s="51">
        <v>7.77</v>
      </c>
      <c r="G30" s="51">
        <v>27.99</v>
      </c>
      <c r="H30" s="51">
        <v>2.74</v>
      </c>
      <c r="I30" s="51">
        <v>2.7</v>
      </c>
      <c r="J30" s="51">
        <v>0.11</v>
      </c>
      <c r="K30" s="51">
        <v>347.86</v>
      </c>
      <c r="L30" s="51">
        <v>22.68</v>
      </c>
      <c r="M30" s="51">
        <v>98.63</v>
      </c>
      <c r="N30" s="51">
        <v>61.3</v>
      </c>
      <c r="O30" s="51">
        <v>0</v>
      </c>
      <c r="P30" s="51">
        <v>1.1000000000000001</v>
      </c>
      <c r="Q30" s="51">
        <v>9.34</v>
      </c>
      <c r="R30" s="43"/>
      <c r="S30" s="43"/>
      <c r="T30" s="43"/>
      <c r="U30" s="43"/>
    </row>
    <row r="31" spans="1:21" s="11" customFormat="1" x14ac:dyDescent="0.25">
      <c r="A31" s="50" t="s">
        <v>634</v>
      </c>
      <c r="B31" s="51">
        <v>25.65</v>
      </c>
      <c r="C31" s="51">
        <v>16.16</v>
      </c>
      <c r="D31" s="51">
        <v>29.01</v>
      </c>
      <c r="E31" s="51">
        <v>4.53</v>
      </c>
      <c r="F31" s="51">
        <v>9.3800000000000008</v>
      </c>
      <c r="G31" s="51">
        <v>34.83</v>
      </c>
      <c r="H31" s="51">
        <v>1.92</v>
      </c>
      <c r="I31" s="51">
        <v>2.75</v>
      </c>
      <c r="J31" s="51">
        <v>0.7</v>
      </c>
      <c r="K31" s="51">
        <v>354.49</v>
      </c>
      <c r="L31" s="51">
        <v>22.7</v>
      </c>
      <c r="M31" s="51">
        <v>98.6</v>
      </c>
      <c r="N31" s="51">
        <v>62.1</v>
      </c>
      <c r="O31" s="51">
        <v>0.6</v>
      </c>
      <c r="P31" s="51">
        <v>0.94</v>
      </c>
      <c r="Q31" s="51">
        <v>9.39</v>
      </c>
      <c r="R31" s="43"/>
      <c r="S31" s="43"/>
      <c r="T31" s="43"/>
      <c r="U31" s="43"/>
    </row>
    <row r="32" spans="1:21" s="11" customFormat="1" x14ac:dyDescent="0.25">
      <c r="A32" s="50" t="s">
        <v>635</v>
      </c>
      <c r="B32" s="51">
        <v>19.670000000000002</v>
      </c>
      <c r="C32" s="51">
        <v>9.43</v>
      </c>
      <c r="D32" s="51">
        <v>19.75</v>
      </c>
      <c r="E32" s="51">
        <v>4.4800000000000004</v>
      </c>
      <c r="F32" s="51">
        <v>11.54</v>
      </c>
      <c r="G32" s="51">
        <v>33.6</v>
      </c>
      <c r="H32" s="51">
        <v>5.63</v>
      </c>
      <c r="I32" s="51">
        <v>2.71</v>
      </c>
      <c r="J32" s="51">
        <v>1.38</v>
      </c>
      <c r="K32" s="51">
        <v>347.54</v>
      </c>
      <c r="L32" s="51">
        <v>22.1</v>
      </c>
      <c r="M32" s="51">
        <v>98.58</v>
      </c>
      <c r="N32" s="51">
        <v>62</v>
      </c>
      <c r="O32" s="51">
        <v>3.2</v>
      </c>
      <c r="P32" s="51">
        <v>0.85</v>
      </c>
      <c r="Q32" s="51">
        <v>9.39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7.3</v>
      </c>
      <c r="C34" s="28">
        <f t="shared" si="0"/>
        <v>9.02</v>
      </c>
      <c r="D34" s="28">
        <f t="shared" si="0"/>
        <v>11.41</v>
      </c>
      <c r="E34" s="28">
        <f t="shared" si="0"/>
        <v>3.7</v>
      </c>
      <c r="F34" s="28">
        <f t="shared" si="0"/>
        <v>3.76</v>
      </c>
      <c r="G34" s="28">
        <f t="shared" si="0"/>
        <v>12.79</v>
      </c>
      <c r="H34" s="28">
        <f t="shared" si="0"/>
        <v>1.91</v>
      </c>
      <c r="I34" s="28">
        <f t="shared" si="0"/>
        <v>1.67</v>
      </c>
      <c r="J34" s="28">
        <f t="shared" si="0"/>
        <v>7.0000000000000007E-2</v>
      </c>
      <c r="K34" s="28">
        <f t="shared" si="0"/>
        <v>247.11</v>
      </c>
      <c r="L34" s="28">
        <f t="shared" si="0"/>
        <v>22.1</v>
      </c>
      <c r="M34" s="28">
        <f t="shared" si="0"/>
        <v>98.41</v>
      </c>
      <c r="N34" s="28">
        <f t="shared" si="0"/>
        <v>61.3</v>
      </c>
      <c r="O34" s="28">
        <f t="shared" si="0"/>
        <v>0</v>
      </c>
      <c r="P34" s="28">
        <f t="shared" si="0"/>
        <v>0.55000000000000004</v>
      </c>
      <c r="Q34" s="28">
        <f t="shared" si="0"/>
        <v>9.1999999999999993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49.32</v>
      </c>
      <c r="C35" s="29">
        <f t="shared" si="1"/>
        <v>18.7</v>
      </c>
      <c r="D35" s="29">
        <f t="shared" si="1"/>
        <v>48.61</v>
      </c>
      <c r="E35" s="29">
        <f t="shared" si="1"/>
        <v>5.2</v>
      </c>
      <c r="F35" s="29">
        <f t="shared" si="1"/>
        <v>11.54</v>
      </c>
      <c r="G35" s="29">
        <f t="shared" si="1"/>
        <v>46.17</v>
      </c>
      <c r="H35" s="29">
        <f t="shared" si="1"/>
        <v>8.56</v>
      </c>
      <c r="I35" s="29">
        <f t="shared" si="1"/>
        <v>3.06</v>
      </c>
      <c r="J35" s="29">
        <f t="shared" si="1"/>
        <v>1.38</v>
      </c>
      <c r="K35" s="29">
        <f t="shared" si="1"/>
        <v>354.49</v>
      </c>
      <c r="L35" s="29">
        <f t="shared" si="1"/>
        <v>25.16</v>
      </c>
      <c r="M35" s="29">
        <f t="shared" si="1"/>
        <v>98.63</v>
      </c>
      <c r="N35" s="29">
        <f t="shared" si="1"/>
        <v>121.6</v>
      </c>
      <c r="O35" s="29">
        <f t="shared" si="1"/>
        <v>3.2</v>
      </c>
      <c r="P35" s="29">
        <f t="shared" si="1"/>
        <v>1.53</v>
      </c>
      <c r="Q35" s="29">
        <f t="shared" si="1"/>
        <v>9.44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16.307500000000001</v>
      </c>
      <c r="C36" s="28">
        <f t="shared" si="2"/>
        <v>12.608333333333336</v>
      </c>
      <c r="D36" s="28">
        <f t="shared" si="2"/>
        <v>19.294166666666666</v>
      </c>
      <c r="E36" s="28">
        <f t="shared" si="2"/>
        <v>4.4570833333333333</v>
      </c>
      <c r="F36" s="28">
        <f t="shared" si="2"/>
        <v>8.1054166666666667</v>
      </c>
      <c r="G36" s="28">
        <f t="shared" si="2"/>
        <v>30.027500000000003</v>
      </c>
      <c r="H36" s="28">
        <f t="shared" si="2"/>
        <v>4.1087499999999997</v>
      </c>
      <c r="I36" s="28">
        <f t="shared" si="2"/>
        <v>2.6858333333333335</v>
      </c>
      <c r="J36" s="28">
        <f t="shared" si="2"/>
        <v>0.42541666666666672</v>
      </c>
      <c r="K36" s="28">
        <f t="shared" si="2"/>
        <v>325.59833333333324</v>
      </c>
      <c r="L36" s="28">
        <f t="shared" si="2"/>
        <v>23.045416666666668</v>
      </c>
      <c r="M36" s="28">
        <f t="shared" si="2"/>
        <v>98.55416666666666</v>
      </c>
      <c r="N36" s="28">
        <f t="shared" si="2"/>
        <v>76.795833333333334</v>
      </c>
      <c r="O36" s="28">
        <f t="shared" si="2"/>
        <v>0.33333333333333331</v>
      </c>
      <c r="P36" s="28">
        <f t="shared" si="2"/>
        <v>0.79875000000000018</v>
      </c>
      <c r="Q36" s="28">
        <f t="shared" si="2"/>
        <v>9.3045833333333317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8.7525391346938779</v>
      </c>
      <c r="C37" s="28">
        <f t="shared" ref="C37:Q37" si="3">STDEV(C9:C32)</f>
        <v>2.5883059201400052</v>
      </c>
      <c r="D37" s="28">
        <f t="shared" si="3"/>
        <v>7.8705537712836104</v>
      </c>
      <c r="E37" s="28">
        <f t="shared" si="3"/>
        <v>0.50901848575526409</v>
      </c>
      <c r="F37" s="28">
        <f t="shared" si="3"/>
        <v>1.9035709672970533</v>
      </c>
      <c r="G37" s="28">
        <f t="shared" si="3"/>
        <v>9.1878806043613626</v>
      </c>
      <c r="H37" s="28">
        <f t="shared" si="3"/>
        <v>1.9553300900025992</v>
      </c>
      <c r="I37" s="28">
        <f t="shared" si="3"/>
        <v>0.30292654679578929</v>
      </c>
      <c r="J37" s="28">
        <f t="shared" si="3"/>
        <v>0.33227776707561041</v>
      </c>
      <c r="K37" s="28">
        <f t="shared" si="3"/>
        <v>22.175401896591694</v>
      </c>
      <c r="L37" s="28">
        <f t="shared" si="3"/>
        <v>0.83550546620472299</v>
      </c>
      <c r="M37" s="28">
        <f t="shared" si="3"/>
        <v>7.0397422548336711E-2</v>
      </c>
      <c r="N37" s="28">
        <f t="shared" si="3"/>
        <v>16.679758083082145</v>
      </c>
      <c r="O37" s="28">
        <f t="shared" si="3"/>
        <v>0.74522635409691451</v>
      </c>
      <c r="P37" s="28">
        <f t="shared" si="3"/>
        <v>0.20522124858202376</v>
      </c>
      <c r="Q37" s="28">
        <f t="shared" si="3"/>
        <v>7.2350545604545194E-2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6" sqref="G4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636</v>
      </c>
      <c r="B9" s="51">
        <v>14.74</v>
      </c>
      <c r="C9" s="51">
        <v>12.64</v>
      </c>
      <c r="D9" s="51">
        <v>18.399999999999999</v>
      </c>
      <c r="E9" s="51">
        <v>4.5999999999999996</v>
      </c>
      <c r="F9" s="51">
        <v>11.58</v>
      </c>
      <c r="G9" s="51">
        <v>25.35</v>
      </c>
      <c r="H9" s="51">
        <v>3.94</v>
      </c>
      <c r="I9" s="51">
        <v>2.5499999999999998</v>
      </c>
      <c r="J9" s="51">
        <v>0.3</v>
      </c>
      <c r="K9" s="51">
        <v>350.04</v>
      </c>
      <c r="L9" s="51">
        <v>22.29</v>
      </c>
      <c r="M9" s="51">
        <v>98.55</v>
      </c>
      <c r="N9" s="51">
        <v>61.1</v>
      </c>
      <c r="O9" s="51">
        <v>0</v>
      </c>
      <c r="P9" s="51">
        <v>0.59</v>
      </c>
      <c r="Q9" s="51">
        <v>9.3800000000000008</v>
      </c>
      <c r="R9" s="43"/>
      <c r="S9" s="43"/>
      <c r="T9" s="43"/>
      <c r="U9" s="43"/>
    </row>
    <row r="10" spans="1:21" s="11" customFormat="1" x14ac:dyDescent="0.25">
      <c r="A10" s="50" t="s">
        <v>637</v>
      </c>
      <c r="B10" s="51">
        <v>14.89</v>
      </c>
      <c r="C10" s="51">
        <v>13.02</v>
      </c>
      <c r="D10" s="51">
        <v>17.239999999999998</v>
      </c>
      <c r="E10" s="51">
        <v>4.6500000000000004</v>
      </c>
      <c r="F10" s="51">
        <v>10.39</v>
      </c>
      <c r="G10" s="51">
        <v>25.89</v>
      </c>
      <c r="H10" s="51">
        <v>2.76</v>
      </c>
      <c r="I10" s="51">
        <v>2.4</v>
      </c>
      <c r="J10" s="51">
        <v>0.72</v>
      </c>
      <c r="K10" s="51">
        <v>343.06</v>
      </c>
      <c r="L10" s="51">
        <v>22.44</v>
      </c>
      <c r="M10" s="51">
        <v>98.45</v>
      </c>
      <c r="N10" s="51">
        <v>61.3</v>
      </c>
      <c r="O10" s="51">
        <v>0</v>
      </c>
      <c r="P10" s="51">
        <v>0.7</v>
      </c>
      <c r="Q10" s="51">
        <v>9.36</v>
      </c>
      <c r="R10" s="43"/>
      <c r="S10" s="43"/>
      <c r="T10" s="43"/>
      <c r="U10" s="43"/>
    </row>
    <row r="11" spans="1:21" s="11" customFormat="1" x14ac:dyDescent="0.25">
      <c r="A11" s="50" t="s">
        <v>638</v>
      </c>
      <c r="B11" s="51">
        <v>13.62</v>
      </c>
      <c r="C11" s="51">
        <v>10.88</v>
      </c>
      <c r="D11" s="51">
        <v>15.58</v>
      </c>
      <c r="E11" s="51">
        <v>4.66</v>
      </c>
      <c r="F11" s="51">
        <v>8.91</v>
      </c>
      <c r="G11" s="51">
        <v>29.88</v>
      </c>
      <c r="H11" s="51">
        <v>1.93</v>
      </c>
      <c r="I11" s="51">
        <v>2.27</v>
      </c>
      <c r="J11" s="51">
        <v>1.37</v>
      </c>
      <c r="K11" s="51">
        <v>339.49</v>
      </c>
      <c r="L11" s="51">
        <v>22.4</v>
      </c>
      <c r="M11" s="51">
        <v>98.48</v>
      </c>
      <c r="N11" s="51">
        <v>61.5</v>
      </c>
      <c r="O11" s="51">
        <v>0</v>
      </c>
      <c r="P11" s="51">
        <v>0.62</v>
      </c>
      <c r="Q11" s="51">
        <v>9.26</v>
      </c>
      <c r="R11" s="43"/>
      <c r="S11" s="43"/>
      <c r="T11" s="43"/>
      <c r="U11" s="43"/>
    </row>
    <row r="12" spans="1:21" s="11" customFormat="1" x14ac:dyDescent="0.25">
      <c r="A12" s="50" t="s">
        <v>639</v>
      </c>
      <c r="B12" s="51">
        <v>12.93</v>
      </c>
      <c r="C12" s="51">
        <v>8.3699999999999992</v>
      </c>
      <c r="D12" s="51">
        <v>14.2</v>
      </c>
      <c r="E12" s="51">
        <v>4.37</v>
      </c>
      <c r="F12" s="51">
        <v>9.52</v>
      </c>
      <c r="G12" s="51">
        <v>21.58</v>
      </c>
      <c r="H12" s="51">
        <v>8.35</v>
      </c>
      <c r="I12" s="51">
        <v>2.12</v>
      </c>
      <c r="J12" s="51">
        <v>0.63</v>
      </c>
      <c r="K12" s="51">
        <v>334.67</v>
      </c>
      <c r="L12" s="51">
        <v>21.93</v>
      </c>
      <c r="M12" s="51">
        <v>98.5</v>
      </c>
      <c r="N12" s="51">
        <v>61.1</v>
      </c>
      <c r="O12" s="51">
        <v>0</v>
      </c>
      <c r="P12" s="51">
        <v>0.54</v>
      </c>
      <c r="Q12" s="51">
        <v>9.2200000000000006</v>
      </c>
      <c r="R12" s="43"/>
      <c r="S12" s="43"/>
      <c r="T12" s="43"/>
      <c r="U12" s="43"/>
    </row>
    <row r="13" spans="1:21" s="11" customFormat="1" x14ac:dyDescent="0.25">
      <c r="A13" s="50" t="s">
        <v>640</v>
      </c>
      <c r="B13" s="51">
        <v>16.32</v>
      </c>
      <c r="C13" s="51">
        <v>17.43</v>
      </c>
      <c r="D13" s="51">
        <v>21.12</v>
      </c>
      <c r="E13" s="51">
        <v>4.34</v>
      </c>
      <c r="F13" s="51">
        <v>7.65</v>
      </c>
      <c r="G13" s="51">
        <v>15.11</v>
      </c>
      <c r="H13" s="51">
        <v>5.84</v>
      </c>
      <c r="I13" s="51">
        <v>2.08</v>
      </c>
      <c r="J13" s="51">
        <v>0.14000000000000001</v>
      </c>
      <c r="K13" s="51">
        <v>341.58</v>
      </c>
      <c r="L13" s="51">
        <v>21.74</v>
      </c>
      <c r="M13" s="51">
        <v>98.49</v>
      </c>
      <c r="N13" s="51">
        <v>60.7</v>
      </c>
      <c r="O13" s="51">
        <v>0</v>
      </c>
      <c r="P13" s="51">
        <v>0.4</v>
      </c>
      <c r="Q13" s="51">
        <v>9.25</v>
      </c>
      <c r="R13" s="43"/>
      <c r="S13" s="43"/>
      <c r="T13" s="43"/>
      <c r="U13" s="43"/>
    </row>
    <row r="14" spans="1:21" s="11" customFormat="1" x14ac:dyDescent="0.25">
      <c r="A14" s="50" t="s">
        <v>641</v>
      </c>
      <c r="B14" s="51">
        <v>27.39</v>
      </c>
      <c r="C14" s="51">
        <v>15.5</v>
      </c>
      <c r="D14" s="51">
        <v>28.12</v>
      </c>
      <c r="E14" s="51">
        <v>4.4400000000000004</v>
      </c>
      <c r="F14" s="51">
        <v>6.99</v>
      </c>
      <c r="G14" s="51">
        <v>27.63</v>
      </c>
      <c r="H14" s="51">
        <v>4.09</v>
      </c>
      <c r="I14" s="51">
        <v>1.93</v>
      </c>
      <c r="J14" s="51">
        <v>0.31</v>
      </c>
      <c r="K14" s="51">
        <v>337.45</v>
      </c>
      <c r="L14" s="51">
        <v>21.88</v>
      </c>
      <c r="M14" s="51">
        <v>98.52</v>
      </c>
      <c r="N14" s="51">
        <v>71.400000000000006</v>
      </c>
      <c r="O14" s="51">
        <v>0</v>
      </c>
      <c r="P14" s="51">
        <v>0.41</v>
      </c>
      <c r="Q14" s="51">
        <v>9.27</v>
      </c>
      <c r="R14" s="43"/>
      <c r="S14" s="43"/>
      <c r="T14" s="43"/>
      <c r="U14" s="43"/>
    </row>
    <row r="15" spans="1:21" s="11" customFormat="1" x14ac:dyDescent="0.25">
      <c r="A15" s="50" t="s">
        <v>642</v>
      </c>
      <c r="B15" s="51">
        <v>24.17</v>
      </c>
      <c r="C15" s="51">
        <v>13.26</v>
      </c>
      <c r="D15" s="51">
        <v>24.95</v>
      </c>
      <c r="E15" s="51">
        <v>4.5599999999999996</v>
      </c>
      <c r="F15" s="51">
        <v>7.38</v>
      </c>
      <c r="G15" s="51">
        <v>26.65</v>
      </c>
      <c r="H15" s="51">
        <v>2.86</v>
      </c>
      <c r="I15" s="51">
        <v>1.86</v>
      </c>
      <c r="J15" s="51">
        <v>0.34</v>
      </c>
      <c r="K15" s="51">
        <v>343.92</v>
      </c>
      <c r="L15" s="51">
        <v>22.34</v>
      </c>
      <c r="M15" s="51">
        <v>98.47</v>
      </c>
      <c r="N15" s="51">
        <v>156.19999999999999</v>
      </c>
      <c r="O15" s="51">
        <v>0</v>
      </c>
      <c r="P15" s="51">
        <v>0.54</v>
      </c>
      <c r="Q15" s="51">
        <v>9.2899999999999991</v>
      </c>
      <c r="R15" s="43"/>
      <c r="S15" s="43"/>
      <c r="T15" s="43"/>
      <c r="U15" s="43"/>
    </row>
    <row r="16" spans="1:21" s="11" customFormat="1" x14ac:dyDescent="0.25">
      <c r="A16" s="50" t="s">
        <v>643</v>
      </c>
      <c r="B16" s="51">
        <v>32.93</v>
      </c>
      <c r="C16" s="51">
        <v>12.96</v>
      </c>
      <c r="D16" s="51">
        <v>32.44</v>
      </c>
      <c r="E16" s="51">
        <v>4.3</v>
      </c>
      <c r="F16" s="51">
        <v>12.44</v>
      </c>
      <c r="G16" s="51">
        <v>21.4</v>
      </c>
      <c r="H16" s="51">
        <v>8.2899999999999991</v>
      </c>
      <c r="I16" s="51">
        <v>1.89</v>
      </c>
      <c r="J16" s="51">
        <v>0.15</v>
      </c>
      <c r="K16" s="51">
        <v>318.68</v>
      </c>
      <c r="L16" s="51">
        <v>23.77</v>
      </c>
      <c r="M16" s="51">
        <v>98.5</v>
      </c>
      <c r="N16" s="51">
        <v>324</v>
      </c>
      <c r="O16" s="51">
        <v>0</v>
      </c>
      <c r="P16" s="51">
        <v>0.57999999999999996</v>
      </c>
      <c r="Q16" s="51">
        <v>9.3800000000000008</v>
      </c>
      <c r="R16" s="43"/>
      <c r="S16" s="43"/>
      <c r="T16" s="43"/>
      <c r="U16" s="43"/>
    </row>
    <row r="17" spans="1:21" s="11" customFormat="1" x14ac:dyDescent="0.25">
      <c r="A17" s="50" t="s">
        <v>644</v>
      </c>
      <c r="B17" s="51">
        <v>24.05</v>
      </c>
      <c r="C17" s="51">
        <v>15.31</v>
      </c>
      <c r="D17" s="51">
        <v>25.44</v>
      </c>
      <c r="E17" s="51">
        <v>4.26</v>
      </c>
      <c r="F17" s="51">
        <v>9.52</v>
      </c>
      <c r="G17" s="51">
        <v>29.06</v>
      </c>
      <c r="H17" s="51">
        <v>5.8</v>
      </c>
      <c r="I17" s="51">
        <v>1.9</v>
      </c>
      <c r="J17" s="51">
        <v>0.33</v>
      </c>
      <c r="K17" s="51">
        <v>359.98</v>
      </c>
      <c r="L17" s="51">
        <v>26.33</v>
      </c>
      <c r="M17" s="51">
        <v>98.57</v>
      </c>
      <c r="N17" s="51">
        <v>447.3</v>
      </c>
      <c r="O17" s="51">
        <v>0</v>
      </c>
      <c r="P17" s="51">
        <v>0.56000000000000005</v>
      </c>
      <c r="Q17" s="51">
        <v>9.4600000000000009</v>
      </c>
      <c r="R17" s="43"/>
      <c r="S17" s="43"/>
      <c r="T17" s="43"/>
      <c r="U17" s="43"/>
    </row>
    <row r="18" spans="1:21" s="11" customFormat="1" x14ac:dyDescent="0.25">
      <c r="A18" s="50" t="s">
        <v>645</v>
      </c>
      <c r="B18" s="51">
        <v>21.12</v>
      </c>
      <c r="C18" s="51">
        <v>13.51</v>
      </c>
      <c r="D18" s="51">
        <v>23.45</v>
      </c>
      <c r="E18" s="51">
        <v>4.74</v>
      </c>
      <c r="F18" s="51">
        <v>14.85</v>
      </c>
      <c r="G18" s="51">
        <v>29.73</v>
      </c>
      <c r="H18" s="51">
        <v>4.0599999999999996</v>
      </c>
      <c r="I18" s="51">
        <v>1.85</v>
      </c>
      <c r="J18" s="51">
        <v>0.57999999999999996</v>
      </c>
      <c r="K18" s="51">
        <v>338.34</v>
      </c>
      <c r="L18" s="51">
        <v>28.18</v>
      </c>
      <c r="M18" s="51">
        <v>98.37</v>
      </c>
      <c r="N18" s="51">
        <v>686.7</v>
      </c>
      <c r="O18" s="51">
        <v>0</v>
      </c>
      <c r="P18" s="51">
        <v>0.57999999999999996</v>
      </c>
      <c r="Q18" s="51">
        <v>9.4600000000000009</v>
      </c>
      <c r="R18" s="43"/>
      <c r="S18" s="43"/>
      <c r="T18" s="43"/>
      <c r="U18" s="43"/>
    </row>
    <row r="19" spans="1:21" s="11" customFormat="1" x14ac:dyDescent="0.25">
      <c r="A19" s="50" t="s">
        <v>646</v>
      </c>
      <c r="B19" s="51">
        <v>16.27</v>
      </c>
      <c r="C19" s="51">
        <v>22.01</v>
      </c>
      <c r="D19" s="51">
        <v>19.71</v>
      </c>
      <c r="E19" s="51">
        <v>4.8899999999999997</v>
      </c>
      <c r="F19" s="51">
        <v>19.940000000000001</v>
      </c>
      <c r="G19" s="51">
        <v>29.63</v>
      </c>
      <c r="H19" s="51">
        <v>2.84</v>
      </c>
      <c r="I19" s="51">
        <v>1.83</v>
      </c>
      <c r="J19" s="51">
        <v>0.96</v>
      </c>
      <c r="K19" s="51">
        <v>332.45</v>
      </c>
      <c r="L19" s="51">
        <v>29.37</v>
      </c>
      <c r="M19" s="51">
        <v>93.89</v>
      </c>
      <c r="N19" s="51">
        <v>807.7</v>
      </c>
      <c r="O19" s="51">
        <v>0</v>
      </c>
      <c r="P19" s="51">
        <v>0.62</v>
      </c>
      <c r="Q19" s="51">
        <v>9.42</v>
      </c>
      <c r="R19" s="43"/>
      <c r="S19" s="43"/>
      <c r="T19" s="43"/>
      <c r="U19" s="43"/>
    </row>
    <row r="20" spans="1:21" s="11" customFormat="1" x14ac:dyDescent="0.25">
      <c r="A20" s="50" t="s">
        <v>647</v>
      </c>
      <c r="B20" s="51">
        <v>16.8</v>
      </c>
      <c r="C20" s="51">
        <v>22.34</v>
      </c>
      <c r="D20" s="51">
        <v>25.11</v>
      </c>
      <c r="E20" s="51">
        <v>4.88</v>
      </c>
      <c r="F20" s="51">
        <v>17.59</v>
      </c>
      <c r="G20" s="51">
        <v>21.33</v>
      </c>
      <c r="H20" s="51">
        <v>7.43</v>
      </c>
      <c r="I20" s="51">
        <v>1.61</v>
      </c>
      <c r="J20" s="51">
        <v>0.9</v>
      </c>
      <c r="K20" s="51">
        <v>334.43</v>
      </c>
      <c r="L20" s="51">
        <v>30.96</v>
      </c>
      <c r="M20" s="51">
        <v>85.22</v>
      </c>
      <c r="N20" s="51">
        <v>951</v>
      </c>
      <c r="O20" s="51">
        <v>0</v>
      </c>
      <c r="P20" s="51">
        <v>0.74</v>
      </c>
      <c r="Q20" s="51">
        <v>9.1300000000000008</v>
      </c>
      <c r="R20" s="43"/>
      <c r="S20" s="43"/>
      <c r="T20" s="43"/>
      <c r="U20" s="43"/>
    </row>
    <row r="21" spans="1:21" s="11" customFormat="1" x14ac:dyDescent="0.25">
      <c r="A21" s="50" t="s">
        <v>648</v>
      </c>
      <c r="B21" s="51">
        <v>12.02</v>
      </c>
      <c r="C21" s="51">
        <v>20.84</v>
      </c>
      <c r="D21" s="51">
        <v>20.52</v>
      </c>
      <c r="E21" s="51">
        <v>4.92</v>
      </c>
      <c r="F21" s="51">
        <v>20.9</v>
      </c>
      <c r="G21" s="51">
        <v>41.05</v>
      </c>
      <c r="H21" s="51">
        <v>7.57</v>
      </c>
      <c r="I21" s="51">
        <v>1.64</v>
      </c>
      <c r="J21" s="51">
        <v>0.44</v>
      </c>
      <c r="K21" s="51">
        <v>122.44</v>
      </c>
      <c r="L21" s="51">
        <v>29.57</v>
      </c>
      <c r="M21" s="51">
        <v>86.36</v>
      </c>
      <c r="N21" s="51">
        <v>676.5</v>
      </c>
      <c r="O21" s="51">
        <v>0</v>
      </c>
      <c r="P21" s="51">
        <v>0.56000000000000005</v>
      </c>
      <c r="Q21" s="51">
        <v>9.11</v>
      </c>
      <c r="R21" s="43"/>
      <c r="S21" s="43"/>
      <c r="T21" s="43"/>
      <c r="U21" s="43"/>
    </row>
    <row r="22" spans="1:21" s="11" customFormat="1" x14ac:dyDescent="0.25">
      <c r="A22" s="50" t="s">
        <v>649</v>
      </c>
      <c r="B22" s="51">
        <v>13.14</v>
      </c>
      <c r="C22" s="51">
        <v>19.75</v>
      </c>
      <c r="D22" s="51">
        <v>20.86</v>
      </c>
      <c r="E22" s="51">
        <v>5.46</v>
      </c>
      <c r="F22" s="51">
        <v>21.39</v>
      </c>
      <c r="G22" s="51">
        <v>41.89</v>
      </c>
      <c r="H22" s="51">
        <v>5.3</v>
      </c>
      <c r="I22" s="51">
        <v>1.3</v>
      </c>
      <c r="J22" s="51">
        <v>0.54</v>
      </c>
      <c r="K22" s="51">
        <v>355</v>
      </c>
      <c r="L22" s="51">
        <v>30.07</v>
      </c>
      <c r="M22" s="51">
        <v>82.71</v>
      </c>
      <c r="N22" s="51">
        <v>334.4</v>
      </c>
      <c r="O22" s="51">
        <v>0.2</v>
      </c>
      <c r="P22" s="51">
        <v>0.6</v>
      </c>
      <c r="Q22" s="51">
        <v>9.16</v>
      </c>
      <c r="R22" s="43"/>
      <c r="S22" s="43"/>
      <c r="T22" s="43"/>
      <c r="U22" s="43"/>
    </row>
    <row r="23" spans="1:21" s="11" customFormat="1" x14ac:dyDescent="0.25">
      <c r="A23" s="50" t="s">
        <v>650</v>
      </c>
      <c r="B23" s="51">
        <v>12.35</v>
      </c>
      <c r="C23" s="51">
        <v>17.43</v>
      </c>
      <c r="D23" s="51">
        <v>19.010000000000002</v>
      </c>
      <c r="E23" s="51">
        <v>4.96</v>
      </c>
      <c r="F23" s="51">
        <v>18.82</v>
      </c>
      <c r="G23" s="51">
        <v>41.62</v>
      </c>
      <c r="H23" s="51">
        <v>3.71</v>
      </c>
      <c r="I23" s="51">
        <v>1.31</v>
      </c>
      <c r="J23" s="51">
        <v>0.56000000000000005</v>
      </c>
      <c r="K23" s="51">
        <v>331.09</v>
      </c>
      <c r="L23" s="51">
        <v>29.26</v>
      </c>
      <c r="M23" s="51">
        <v>85.89</v>
      </c>
      <c r="N23" s="51">
        <v>220.1</v>
      </c>
      <c r="O23" s="51">
        <v>0</v>
      </c>
      <c r="P23" s="51">
        <v>0.55000000000000004</v>
      </c>
      <c r="Q23" s="51">
        <v>9.14</v>
      </c>
      <c r="R23" s="43"/>
      <c r="S23" s="43"/>
      <c r="T23" s="43"/>
      <c r="U23" s="43"/>
    </row>
    <row r="24" spans="1:21" s="11" customFormat="1" x14ac:dyDescent="0.25">
      <c r="A24" s="50" t="s">
        <v>651</v>
      </c>
      <c r="B24" s="51">
        <v>9.56</v>
      </c>
      <c r="C24" s="51">
        <v>16.63</v>
      </c>
      <c r="D24" s="51">
        <v>16.27</v>
      </c>
      <c r="E24" s="51">
        <v>5.73</v>
      </c>
      <c r="F24" s="51">
        <v>17.89</v>
      </c>
      <c r="G24" s="51">
        <v>28.14</v>
      </c>
      <c r="H24" s="51">
        <v>8.6199999999999992</v>
      </c>
      <c r="I24" s="51">
        <v>1.27</v>
      </c>
      <c r="J24" s="51">
        <v>0.32</v>
      </c>
      <c r="K24" s="51">
        <v>343.14</v>
      </c>
      <c r="L24" s="51">
        <v>28.9</v>
      </c>
      <c r="M24" s="51">
        <v>86.87</v>
      </c>
      <c r="N24" s="51">
        <v>170.9</v>
      </c>
      <c r="O24" s="51">
        <v>0</v>
      </c>
      <c r="P24" s="51">
        <v>0.5</v>
      </c>
      <c r="Q24" s="51">
        <v>9.1199999999999992</v>
      </c>
      <c r="R24" s="43"/>
      <c r="S24" s="43"/>
      <c r="T24" s="43"/>
      <c r="U24" s="43"/>
    </row>
    <row r="25" spans="1:21" s="11" customFormat="1" x14ac:dyDescent="0.25">
      <c r="A25" s="50" t="s">
        <v>652</v>
      </c>
      <c r="B25" s="51">
        <v>20.51</v>
      </c>
      <c r="C25" s="51">
        <v>21.79</v>
      </c>
      <c r="D25" s="51">
        <v>27.83</v>
      </c>
      <c r="E25" s="51">
        <v>5.84</v>
      </c>
      <c r="F25" s="51">
        <v>16.54</v>
      </c>
      <c r="G25" s="51">
        <v>36.54</v>
      </c>
      <c r="H25" s="51">
        <v>6.36</v>
      </c>
      <c r="I25" s="51">
        <v>1.19</v>
      </c>
      <c r="J25" s="51">
        <v>0.68</v>
      </c>
      <c r="K25" s="51">
        <v>328.32</v>
      </c>
      <c r="L25" s="51">
        <v>28.63</v>
      </c>
      <c r="M25" s="51">
        <v>90</v>
      </c>
      <c r="N25" s="51">
        <v>132.5</v>
      </c>
      <c r="O25" s="51">
        <v>0</v>
      </c>
      <c r="P25" s="51">
        <v>0.82</v>
      </c>
      <c r="Q25" s="51">
        <v>9.1199999999999992</v>
      </c>
      <c r="R25" s="43"/>
      <c r="S25" s="43"/>
      <c r="T25" s="43"/>
      <c r="U25" s="43"/>
    </row>
    <row r="26" spans="1:21" s="11" customFormat="1" x14ac:dyDescent="0.25">
      <c r="A26" s="50" t="s">
        <v>653</v>
      </c>
      <c r="B26" s="51">
        <v>28.74</v>
      </c>
      <c r="C26" s="51">
        <v>33.01</v>
      </c>
      <c r="D26" s="51">
        <v>39.17</v>
      </c>
      <c r="E26" s="51">
        <v>6.45</v>
      </c>
      <c r="F26" s="51">
        <v>12.6</v>
      </c>
      <c r="G26" s="51">
        <v>33.39</v>
      </c>
      <c r="H26" s="51">
        <v>4.8099999999999996</v>
      </c>
      <c r="I26" s="51">
        <v>2.0699999999999998</v>
      </c>
      <c r="J26" s="51">
        <v>0.24</v>
      </c>
      <c r="K26" s="51">
        <v>320.44</v>
      </c>
      <c r="L26" s="51">
        <v>28.16</v>
      </c>
      <c r="M26" s="51">
        <v>96.07</v>
      </c>
      <c r="N26" s="51">
        <v>73.8</v>
      </c>
      <c r="O26" s="51">
        <v>0</v>
      </c>
      <c r="P26" s="51">
        <v>1.44</v>
      </c>
      <c r="Q26" s="51">
        <v>9.51</v>
      </c>
      <c r="R26" s="43"/>
      <c r="S26" s="43"/>
      <c r="T26" s="43"/>
      <c r="U26" s="43"/>
    </row>
    <row r="27" spans="1:21" s="11" customFormat="1" x14ac:dyDescent="0.25">
      <c r="A27" s="50" t="s">
        <v>654</v>
      </c>
      <c r="B27" s="51">
        <v>20.81</v>
      </c>
      <c r="C27" s="51">
        <v>31.81</v>
      </c>
      <c r="D27" s="51">
        <v>32.76</v>
      </c>
      <c r="E27" s="51">
        <v>5.94</v>
      </c>
      <c r="F27" s="51">
        <v>12.93</v>
      </c>
      <c r="G27" s="51">
        <v>63.68</v>
      </c>
      <c r="H27" s="51">
        <v>3.7</v>
      </c>
      <c r="I27" s="51">
        <v>2.99</v>
      </c>
      <c r="J27" s="51">
        <v>0.16</v>
      </c>
      <c r="K27" s="51">
        <v>346.19</v>
      </c>
      <c r="L27" s="51">
        <v>27.04</v>
      </c>
      <c r="M27" s="51">
        <v>98.44</v>
      </c>
      <c r="N27" s="51">
        <v>44</v>
      </c>
      <c r="O27" s="51">
        <v>0</v>
      </c>
      <c r="P27" s="51">
        <v>1.71</v>
      </c>
      <c r="Q27" s="51">
        <v>9.5399999999999991</v>
      </c>
      <c r="R27" s="43"/>
      <c r="S27" s="43"/>
      <c r="T27" s="43"/>
      <c r="U27" s="43"/>
    </row>
    <row r="28" spans="1:21" s="11" customFormat="1" x14ac:dyDescent="0.25">
      <c r="A28" s="50" t="s">
        <v>655</v>
      </c>
      <c r="B28" s="51">
        <v>41.97</v>
      </c>
      <c r="C28" s="51">
        <v>32.409999999999997</v>
      </c>
      <c r="D28" s="51">
        <v>47.78</v>
      </c>
      <c r="E28" s="51">
        <v>6.37</v>
      </c>
      <c r="F28" s="51">
        <v>22.65</v>
      </c>
      <c r="G28" s="51">
        <v>54.79</v>
      </c>
      <c r="H28" s="51">
        <v>4.6399999999999997</v>
      </c>
      <c r="I28" s="51">
        <v>3.16</v>
      </c>
      <c r="J28" s="51">
        <v>0.66</v>
      </c>
      <c r="K28" s="51">
        <v>349.65</v>
      </c>
      <c r="L28" s="51">
        <v>26.28</v>
      </c>
      <c r="M28" s="51">
        <v>98.43</v>
      </c>
      <c r="N28" s="51">
        <v>43.7</v>
      </c>
      <c r="O28" s="51">
        <v>0</v>
      </c>
      <c r="P28" s="51">
        <v>2.37</v>
      </c>
      <c r="Q28" s="51">
        <v>9.51</v>
      </c>
      <c r="R28" s="43"/>
      <c r="S28" s="43"/>
      <c r="T28" s="43"/>
      <c r="U28" s="43"/>
    </row>
    <row r="29" spans="1:21" s="11" customFormat="1" x14ac:dyDescent="0.25">
      <c r="A29" s="50" t="s">
        <v>656</v>
      </c>
      <c r="B29" s="51">
        <v>48.74</v>
      </c>
      <c r="C29" s="51">
        <v>30.97</v>
      </c>
      <c r="D29" s="51">
        <v>55.18</v>
      </c>
      <c r="E29" s="51">
        <v>6.07</v>
      </c>
      <c r="F29" s="51">
        <v>8.7799999999999994</v>
      </c>
      <c r="G29" s="51">
        <v>68.17</v>
      </c>
      <c r="H29" s="51">
        <v>3.88</v>
      </c>
      <c r="I29" s="51">
        <v>3.46</v>
      </c>
      <c r="J29" s="51">
        <v>0.45</v>
      </c>
      <c r="K29" s="51">
        <v>351.77</v>
      </c>
      <c r="L29" s="51">
        <v>26.36</v>
      </c>
      <c r="M29" s="51">
        <v>98.31</v>
      </c>
      <c r="N29" s="51">
        <v>43.9</v>
      </c>
      <c r="O29" s="51">
        <v>0</v>
      </c>
      <c r="P29" s="51">
        <v>2.23</v>
      </c>
      <c r="Q29" s="51">
        <v>9.5299999999999994</v>
      </c>
      <c r="R29" s="43"/>
      <c r="S29" s="43"/>
      <c r="T29" s="43"/>
      <c r="U29" s="43"/>
    </row>
    <row r="30" spans="1:21" s="11" customFormat="1" x14ac:dyDescent="0.25">
      <c r="A30" s="50" t="s">
        <v>657</v>
      </c>
      <c r="B30" s="51">
        <v>43.55</v>
      </c>
      <c r="C30" s="51">
        <v>30.57</v>
      </c>
      <c r="D30" s="51">
        <v>50.9</v>
      </c>
      <c r="E30" s="51">
        <v>6.28</v>
      </c>
      <c r="F30" s="51">
        <v>11.61</v>
      </c>
      <c r="G30" s="51">
        <v>82.65</v>
      </c>
      <c r="H30" s="51">
        <v>4.3899999999999997</v>
      </c>
      <c r="I30" s="51">
        <v>3.84</v>
      </c>
      <c r="J30" s="51">
        <v>1.24</v>
      </c>
      <c r="K30" s="51">
        <v>339.68</v>
      </c>
      <c r="L30" s="51">
        <v>25.74</v>
      </c>
      <c r="M30" s="51">
        <v>98.36</v>
      </c>
      <c r="N30" s="51">
        <v>43.9</v>
      </c>
      <c r="O30" s="51">
        <v>0</v>
      </c>
      <c r="P30" s="51">
        <v>2.73</v>
      </c>
      <c r="Q30" s="51">
        <v>9.61</v>
      </c>
      <c r="R30" s="43"/>
      <c r="S30" s="43"/>
      <c r="T30" s="43"/>
      <c r="U30" s="43"/>
    </row>
    <row r="31" spans="1:21" s="11" customFormat="1" x14ac:dyDescent="0.25">
      <c r="A31" s="50" t="s">
        <v>658</v>
      </c>
      <c r="B31" s="51">
        <v>30.89</v>
      </c>
      <c r="C31" s="51">
        <v>22.97</v>
      </c>
      <c r="D31" s="51">
        <v>34.6</v>
      </c>
      <c r="E31" s="51">
        <v>5.94</v>
      </c>
      <c r="F31" s="51">
        <v>10.26</v>
      </c>
      <c r="G31" s="51">
        <v>91.45</v>
      </c>
      <c r="H31" s="51">
        <v>3.07</v>
      </c>
      <c r="I31" s="51">
        <v>3.85</v>
      </c>
      <c r="J31" s="51">
        <v>0.76</v>
      </c>
      <c r="K31" s="51">
        <v>336.8</v>
      </c>
      <c r="L31" s="51">
        <v>25.44</v>
      </c>
      <c r="M31" s="51">
        <v>98.31</v>
      </c>
      <c r="N31" s="51">
        <v>43.8</v>
      </c>
      <c r="O31" s="51">
        <v>0</v>
      </c>
      <c r="P31" s="51">
        <v>1.22</v>
      </c>
      <c r="Q31" s="51">
        <v>9.6300000000000008</v>
      </c>
      <c r="R31" s="43"/>
      <c r="S31" s="43"/>
      <c r="T31" s="43"/>
      <c r="U31" s="43"/>
    </row>
    <row r="32" spans="1:21" s="11" customFormat="1" x14ac:dyDescent="0.25">
      <c r="A32" s="50" t="s">
        <v>659</v>
      </c>
      <c r="B32" s="51">
        <v>26.44</v>
      </c>
      <c r="C32" s="51">
        <v>20.07</v>
      </c>
      <c r="D32" s="51">
        <v>31.69</v>
      </c>
      <c r="E32" s="51">
        <v>5.96</v>
      </c>
      <c r="F32" s="51">
        <v>9.18</v>
      </c>
      <c r="G32" s="51">
        <v>109.4</v>
      </c>
      <c r="H32" s="51">
        <v>4.3600000000000003</v>
      </c>
      <c r="I32" s="51">
        <v>3.69</v>
      </c>
      <c r="J32" s="51">
        <v>0.65</v>
      </c>
      <c r="K32" s="51">
        <v>336.66</v>
      </c>
      <c r="L32" s="51">
        <v>24.92</v>
      </c>
      <c r="M32" s="51">
        <v>98.33</v>
      </c>
      <c r="N32" s="51">
        <v>43.8</v>
      </c>
      <c r="O32" s="51">
        <v>0</v>
      </c>
      <c r="P32" s="51">
        <v>1.1499999999999999</v>
      </c>
      <c r="Q32" s="51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9.56</v>
      </c>
      <c r="C34" s="28">
        <f t="shared" si="0"/>
        <v>8.3699999999999992</v>
      </c>
      <c r="D34" s="28">
        <f t="shared" si="0"/>
        <v>14.2</v>
      </c>
      <c r="E34" s="28">
        <f t="shared" si="0"/>
        <v>4.26</v>
      </c>
      <c r="F34" s="28">
        <f t="shared" si="0"/>
        <v>6.99</v>
      </c>
      <c r="G34" s="28">
        <f t="shared" si="0"/>
        <v>15.11</v>
      </c>
      <c r="H34" s="28">
        <f t="shared" si="0"/>
        <v>1.93</v>
      </c>
      <c r="I34" s="28">
        <f t="shared" si="0"/>
        <v>1.19</v>
      </c>
      <c r="J34" s="28">
        <f t="shared" si="0"/>
        <v>0.14000000000000001</v>
      </c>
      <c r="K34" s="28">
        <f t="shared" si="0"/>
        <v>122.44</v>
      </c>
      <c r="L34" s="28">
        <f t="shared" si="0"/>
        <v>21.74</v>
      </c>
      <c r="M34" s="28">
        <f t="shared" si="0"/>
        <v>82.71</v>
      </c>
      <c r="N34" s="28">
        <f t="shared" si="0"/>
        <v>43.7</v>
      </c>
      <c r="O34" s="28">
        <f t="shared" si="0"/>
        <v>0</v>
      </c>
      <c r="P34" s="28">
        <f t="shared" si="0"/>
        <v>0.4</v>
      </c>
      <c r="Q34" s="28">
        <f t="shared" si="0"/>
        <v>9.11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48.74</v>
      </c>
      <c r="C35" s="29">
        <f t="shared" si="1"/>
        <v>33.01</v>
      </c>
      <c r="D35" s="29">
        <f t="shared" si="1"/>
        <v>55.18</v>
      </c>
      <c r="E35" s="29">
        <f t="shared" si="1"/>
        <v>6.45</v>
      </c>
      <c r="F35" s="29">
        <f t="shared" si="1"/>
        <v>22.65</v>
      </c>
      <c r="G35" s="29">
        <f t="shared" si="1"/>
        <v>109.4</v>
      </c>
      <c r="H35" s="29">
        <f t="shared" si="1"/>
        <v>8.6199999999999992</v>
      </c>
      <c r="I35" s="29">
        <f t="shared" si="1"/>
        <v>3.85</v>
      </c>
      <c r="J35" s="29">
        <f t="shared" si="1"/>
        <v>1.37</v>
      </c>
      <c r="K35" s="29">
        <f t="shared" si="1"/>
        <v>359.98</v>
      </c>
      <c r="L35" s="29">
        <f t="shared" si="1"/>
        <v>30.96</v>
      </c>
      <c r="M35" s="29">
        <f t="shared" si="1"/>
        <v>98.57</v>
      </c>
      <c r="N35" s="29">
        <f t="shared" si="1"/>
        <v>951</v>
      </c>
      <c r="O35" s="29">
        <f t="shared" si="1"/>
        <v>0.2</v>
      </c>
      <c r="P35" s="29">
        <f t="shared" si="1"/>
        <v>2.73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22.66458333333334</v>
      </c>
      <c r="C36" s="28">
        <f t="shared" si="2"/>
        <v>19.811666666666664</v>
      </c>
      <c r="D36" s="28">
        <f t="shared" si="2"/>
        <v>27.59708333333333</v>
      </c>
      <c r="E36" s="28">
        <f t="shared" si="2"/>
        <v>5.1920833333333336</v>
      </c>
      <c r="F36" s="28">
        <f t="shared" si="2"/>
        <v>13.346249999999998</v>
      </c>
      <c r="G36" s="28">
        <f t="shared" si="2"/>
        <v>41.500416666666659</v>
      </c>
      <c r="H36" s="28">
        <f t="shared" si="2"/>
        <v>4.9416666666666655</v>
      </c>
      <c r="I36" s="28">
        <f t="shared" si="2"/>
        <v>2.2524999999999999</v>
      </c>
      <c r="J36" s="28">
        <f t="shared" si="2"/>
        <v>0.55958333333333343</v>
      </c>
      <c r="K36" s="28">
        <f t="shared" si="2"/>
        <v>330.63624999999996</v>
      </c>
      <c r="L36" s="28">
        <f t="shared" si="2"/>
        <v>26</v>
      </c>
      <c r="M36" s="28">
        <f t="shared" si="2"/>
        <v>95.087083333333339</v>
      </c>
      <c r="N36" s="28">
        <f t="shared" si="2"/>
        <v>234.2208333333333</v>
      </c>
      <c r="O36" s="28">
        <f t="shared" si="2"/>
        <v>8.3333333333333332E-3</v>
      </c>
      <c r="P36" s="28">
        <f t="shared" si="2"/>
        <v>0.94833333333333325</v>
      </c>
      <c r="Q36" s="28">
        <f t="shared" si="2"/>
        <v>9.3533333333333335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10.728879344682435</v>
      </c>
      <c r="C37" s="28">
        <f t="shared" ref="C37:Q37" si="3">STDEV(C9:C32)</f>
        <v>7.347037064231297</v>
      </c>
      <c r="D37" s="28">
        <f t="shared" si="3"/>
        <v>11.255569241458897</v>
      </c>
      <c r="E37" s="28">
        <f t="shared" si="3"/>
        <v>0.74872633397551425</v>
      </c>
      <c r="F37" s="28">
        <f t="shared" si="3"/>
        <v>4.9097992631418101</v>
      </c>
      <c r="G37" s="28">
        <f t="shared" si="3"/>
        <v>24.529052779380283</v>
      </c>
      <c r="H37" s="28">
        <f t="shared" si="3"/>
        <v>1.9411799788131259</v>
      </c>
      <c r="I37" s="28">
        <f t="shared" si="3"/>
        <v>0.82586581708294959</v>
      </c>
      <c r="J37" s="28">
        <f t="shared" si="3"/>
        <v>0.32439212941005263</v>
      </c>
      <c r="K37" s="28">
        <f t="shared" si="3"/>
        <v>45.425761969872106</v>
      </c>
      <c r="L37" s="28">
        <f t="shared" si="3"/>
        <v>3.0434534160476407</v>
      </c>
      <c r="M37" s="28">
        <f t="shared" si="3"/>
        <v>5.46667332206205</v>
      </c>
      <c r="N37" s="28">
        <f t="shared" si="3"/>
        <v>275.57199482115402</v>
      </c>
      <c r="O37" s="28">
        <f t="shared" si="3"/>
        <v>4.0824829046386311E-2</v>
      </c>
      <c r="P37" s="28">
        <f t="shared" si="3"/>
        <v>0.66652679692154393</v>
      </c>
      <c r="Q37" s="28">
        <f t="shared" si="3"/>
        <v>0.17524310236792837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49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660</v>
      </c>
      <c r="B9" s="51">
        <v>21.36</v>
      </c>
      <c r="C9" s="51">
        <v>13.85</v>
      </c>
      <c r="D9" s="51">
        <v>21.6</v>
      </c>
      <c r="E9" s="51">
        <v>5.1100000000000003</v>
      </c>
      <c r="F9" s="51">
        <v>9.52</v>
      </c>
      <c r="G9" s="51">
        <v>103.03</v>
      </c>
      <c r="H9" s="51">
        <v>3.13</v>
      </c>
      <c r="I9" s="51">
        <v>3.53</v>
      </c>
      <c r="J9" s="51">
        <v>0.71</v>
      </c>
      <c r="K9" s="51">
        <v>339.37</v>
      </c>
      <c r="L9" s="51">
        <v>24.48</v>
      </c>
      <c r="M9" s="51">
        <v>98.35</v>
      </c>
      <c r="N9" s="51">
        <v>44.2</v>
      </c>
      <c r="O9" s="51">
        <v>0</v>
      </c>
      <c r="P9" s="51">
        <v>1.07</v>
      </c>
      <c r="Q9" s="51">
        <v>9.58</v>
      </c>
      <c r="R9" s="43"/>
      <c r="S9" s="43"/>
      <c r="T9" s="43"/>
      <c r="U9" s="43"/>
    </row>
    <row r="10" spans="1:21" s="11" customFormat="1" x14ac:dyDescent="0.25">
      <c r="A10" s="50" t="s">
        <v>661</v>
      </c>
      <c r="B10" s="51">
        <v>20.84</v>
      </c>
      <c r="C10" s="51">
        <v>16.02</v>
      </c>
      <c r="D10" s="51">
        <v>22.26</v>
      </c>
      <c r="E10" s="51">
        <v>6.1</v>
      </c>
      <c r="F10" s="51">
        <v>8.8800000000000008</v>
      </c>
      <c r="G10" s="51">
        <v>91.22</v>
      </c>
      <c r="H10" s="51">
        <v>2.97</v>
      </c>
      <c r="I10" s="51">
        <v>3.25</v>
      </c>
      <c r="J10" s="51">
        <v>1.1499999999999999</v>
      </c>
      <c r="K10" s="51">
        <v>340.47</v>
      </c>
      <c r="L10" s="51">
        <v>24.26</v>
      </c>
      <c r="M10" s="51">
        <v>98.35</v>
      </c>
      <c r="N10" s="51">
        <v>44.1</v>
      </c>
      <c r="O10" s="51">
        <v>0</v>
      </c>
      <c r="P10" s="51">
        <v>1</v>
      </c>
      <c r="Q10" s="51">
        <v>9.5399999999999991</v>
      </c>
      <c r="R10" s="43"/>
      <c r="S10" s="43"/>
      <c r="T10" s="43"/>
      <c r="U10" s="43"/>
    </row>
    <row r="11" spans="1:21" s="11" customFormat="1" x14ac:dyDescent="0.25">
      <c r="A11" s="50" t="s">
        <v>662</v>
      </c>
      <c r="B11" s="51">
        <v>17.420000000000002</v>
      </c>
      <c r="C11" s="51">
        <v>15.15</v>
      </c>
      <c r="D11" s="51">
        <v>21.67</v>
      </c>
      <c r="E11" s="51">
        <v>6.55</v>
      </c>
      <c r="F11" s="51">
        <v>9.3800000000000008</v>
      </c>
      <c r="G11" s="51">
        <v>98.57</v>
      </c>
      <c r="H11" s="51">
        <v>2.95</v>
      </c>
      <c r="I11" s="51">
        <v>3.23</v>
      </c>
      <c r="J11" s="51">
        <v>1.17</v>
      </c>
      <c r="K11" s="51">
        <v>339.64</v>
      </c>
      <c r="L11" s="51">
        <v>24.01</v>
      </c>
      <c r="M11" s="51">
        <v>98.23</v>
      </c>
      <c r="N11" s="51">
        <v>44.3</v>
      </c>
      <c r="O11" s="51">
        <v>0</v>
      </c>
      <c r="P11" s="51">
        <v>0.94</v>
      </c>
      <c r="Q11" s="51">
        <v>9.51</v>
      </c>
      <c r="R11" s="43"/>
      <c r="S11" s="43"/>
      <c r="T11" s="43"/>
      <c r="U11" s="43"/>
    </row>
    <row r="12" spans="1:21" s="11" customFormat="1" x14ac:dyDescent="0.25">
      <c r="A12" s="50" t="s">
        <v>663</v>
      </c>
      <c r="B12" s="51">
        <v>15.4</v>
      </c>
      <c r="C12" s="51">
        <v>11.27</v>
      </c>
      <c r="D12" s="51">
        <v>17.989999999999998</v>
      </c>
      <c r="E12" s="51">
        <v>6.44</v>
      </c>
      <c r="F12" s="51">
        <v>9.83</v>
      </c>
      <c r="G12" s="51">
        <v>96.02</v>
      </c>
      <c r="H12" s="51">
        <v>5.31</v>
      </c>
      <c r="I12" s="51">
        <v>3.21</v>
      </c>
      <c r="J12" s="51">
        <v>0.94</v>
      </c>
      <c r="K12" s="51">
        <v>342.02</v>
      </c>
      <c r="L12" s="51">
        <v>23.74</v>
      </c>
      <c r="M12" s="51">
        <v>98.23</v>
      </c>
      <c r="N12" s="51">
        <v>44.1</v>
      </c>
      <c r="O12" s="51">
        <v>0.2</v>
      </c>
      <c r="P12" s="51">
        <v>0.61</v>
      </c>
      <c r="Q12" s="51">
        <v>9.4600000000000009</v>
      </c>
      <c r="R12" s="43"/>
      <c r="S12" s="43"/>
      <c r="T12" s="43"/>
      <c r="U12" s="43"/>
    </row>
    <row r="13" spans="1:21" s="11" customFormat="1" x14ac:dyDescent="0.25">
      <c r="A13" s="50" t="s">
        <v>664</v>
      </c>
      <c r="B13" s="51">
        <v>27.5</v>
      </c>
      <c r="C13" s="51">
        <v>16.55</v>
      </c>
      <c r="D13" s="51">
        <v>30.66</v>
      </c>
      <c r="E13" s="51">
        <v>5.89</v>
      </c>
      <c r="F13" s="51">
        <v>8.35</v>
      </c>
      <c r="G13" s="51">
        <v>94.2</v>
      </c>
      <c r="H13" s="51">
        <v>4.0599999999999996</v>
      </c>
      <c r="I13" s="51">
        <v>2.92</v>
      </c>
      <c r="J13" s="51">
        <v>0.81</v>
      </c>
      <c r="K13" s="51">
        <v>342.23</v>
      </c>
      <c r="L13" s="51">
        <v>23.66</v>
      </c>
      <c r="M13" s="51">
        <v>98.23</v>
      </c>
      <c r="N13" s="51">
        <v>44.1</v>
      </c>
      <c r="O13" s="51">
        <v>0</v>
      </c>
      <c r="P13" s="51">
        <v>0.74</v>
      </c>
      <c r="Q13" s="51">
        <v>9.4</v>
      </c>
      <c r="R13" s="43"/>
      <c r="S13" s="43"/>
      <c r="T13" s="43"/>
      <c r="U13" s="43"/>
    </row>
    <row r="14" spans="1:21" s="11" customFormat="1" x14ac:dyDescent="0.25">
      <c r="A14" s="50" t="s">
        <v>665</v>
      </c>
      <c r="B14" s="51">
        <v>22.34</v>
      </c>
      <c r="C14" s="51">
        <v>12.96</v>
      </c>
      <c r="D14" s="51">
        <v>23.32</v>
      </c>
      <c r="E14" s="51">
        <v>5.92</v>
      </c>
      <c r="F14" s="51">
        <v>7.37</v>
      </c>
      <c r="G14" s="51">
        <v>92.84</v>
      </c>
      <c r="H14" s="51">
        <v>4.32</v>
      </c>
      <c r="I14" s="51">
        <v>2.73</v>
      </c>
      <c r="J14" s="51">
        <v>0.61</v>
      </c>
      <c r="K14" s="51">
        <v>341.81</v>
      </c>
      <c r="L14" s="51">
        <v>23.69</v>
      </c>
      <c r="M14" s="51">
        <v>98.23</v>
      </c>
      <c r="N14" s="51">
        <v>52</v>
      </c>
      <c r="O14" s="51">
        <v>0</v>
      </c>
      <c r="P14" s="51">
        <v>0.75</v>
      </c>
      <c r="Q14" s="51">
        <v>9.43</v>
      </c>
      <c r="R14" s="43"/>
      <c r="S14" s="43"/>
      <c r="T14" s="43"/>
      <c r="U14" s="43"/>
    </row>
    <row r="15" spans="1:21" s="11" customFormat="1" x14ac:dyDescent="0.25">
      <c r="A15" s="50" t="s">
        <v>666</v>
      </c>
      <c r="B15" s="51">
        <v>28.57</v>
      </c>
      <c r="C15" s="51">
        <v>14.1</v>
      </c>
      <c r="D15" s="51">
        <v>29.02</v>
      </c>
      <c r="E15" s="51">
        <v>6.53</v>
      </c>
      <c r="F15" s="51">
        <v>8.58</v>
      </c>
      <c r="G15" s="51">
        <v>98.4</v>
      </c>
      <c r="H15" s="51">
        <v>3.58</v>
      </c>
      <c r="I15" s="51">
        <v>2.92</v>
      </c>
      <c r="J15" s="51">
        <v>0.64</v>
      </c>
      <c r="K15" s="51">
        <v>342.99</v>
      </c>
      <c r="L15" s="51">
        <v>24.66</v>
      </c>
      <c r="M15" s="51">
        <v>98.2</v>
      </c>
      <c r="N15" s="51">
        <v>94.9</v>
      </c>
      <c r="O15" s="51">
        <v>0</v>
      </c>
      <c r="P15" s="51">
        <v>0.93</v>
      </c>
      <c r="Q15" s="51">
        <v>9.51</v>
      </c>
      <c r="R15" s="43"/>
      <c r="S15" s="43"/>
      <c r="T15" s="43"/>
      <c r="U15" s="43"/>
    </row>
    <row r="16" spans="1:21" s="11" customFormat="1" x14ac:dyDescent="0.25">
      <c r="A16" s="50" t="s">
        <v>667</v>
      </c>
      <c r="B16" s="51">
        <v>36.39</v>
      </c>
      <c r="C16" s="51">
        <v>11.6</v>
      </c>
      <c r="D16" s="51">
        <v>35.22</v>
      </c>
      <c r="E16" s="51">
        <v>6.49</v>
      </c>
      <c r="F16" s="51">
        <v>8.35</v>
      </c>
      <c r="G16" s="51">
        <v>98.88</v>
      </c>
      <c r="H16" s="51">
        <v>4.2699999999999996</v>
      </c>
      <c r="I16" s="51">
        <v>3.03</v>
      </c>
      <c r="J16" s="51">
        <v>0.74</v>
      </c>
      <c r="K16" s="51">
        <v>342.59</v>
      </c>
      <c r="L16" s="51">
        <v>27.04</v>
      </c>
      <c r="M16" s="51">
        <v>98.15</v>
      </c>
      <c r="N16" s="51">
        <v>219.2</v>
      </c>
      <c r="O16" s="51">
        <v>0</v>
      </c>
      <c r="P16" s="51">
        <v>0.9</v>
      </c>
      <c r="Q16" s="51">
        <v>9.57</v>
      </c>
      <c r="R16" s="43"/>
      <c r="S16" s="43"/>
      <c r="T16" s="43"/>
      <c r="U16" s="43"/>
    </row>
    <row r="17" spans="1:21" s="11" customFormat="1" x14ac:dyDescent="0.25">
      <c r="A17" s="50" t="s">
        <v>668</v>
      </c>
      <c r="B17" s="51">
        <v>29.69</v>
      </c>
      <c r="C17" s="51">
        <v>13.94</v>
      </c>
      <c r="D17" s="51">
        <v>29.87</v>
      </c>
      <c r="E17" s="51">
        <v>6.32</v>
      </c>
      <c r="F17" s="51">
        <v>10.29</v>
      </c>
      <c r="G17" s="51">
        <v>94.09</v>
      </c>
      <c r="H17" s="51">
        <v>2.99</v>
      </c>
      <c r="I17" s="51">
        <v>2.96</v>
      </c>
      <c r="J17" s="51">
        <v>0.59</v>
      </c>
      <c r="K17" s="51">
        <v>356.35</v>
      </c>
      <c r="L17" s="51">
        <v>27.99</v>
      </c>
      <c r="M17" s="51">
        <v>98.09</v>
      </c>
      <c r="N17" s="51">
        <v>534.70000000000005</v>
      </c>
      <c r="O17" s="51">
        <v>0</v>
      </c>
      <c r="P17" s="51">
        <v>0.7</v>
      </c>
      <c r="Q17" s="51">
        <v>9.57</v>
      </c>
      <c r="R17" s="43"/>
      <c r="S17" s="43"/>
      <c r="T17" s="43"/>
      <c r="U17" s="43"/>
    </row>
    <row r="18" spans="1:21" s="11" customFormat="1" x14ac:dyDescent="0.25">
      <c r="A18" s="50" t="s">
        <v>669</v>
      </c>
      <c r="B18" s="51">
        <v>25.14</v>
      </c>
      <c r="C18" s="51">
        <v>15.1</v>
      </c>
      <c r="D18" s="51">
        <v>27.41</v>
      </c>
      <c r="E18" s="51">
        <v>5.89</v>
      </c>
      <c r="F18" s="51">
        <v>9.0399999999999991</v>
      </c>
      <c r="G18" s="51">
        <v>82.41</v>
      </c>
      <c r="H18" s="51">
        <v>2.15</v>
      </c>
      <c r="I18" s="51">
        <v>2.77</v>
      </c>
      <c r="J18" s="51">
        <v>0.75</v>
      </c>
      <c r="K18" s="51">
        <v>126.85</v>
      </c>
      <c r="L18" s="51">
        <v>30.67</v>
      </c>
      <c r="M18" s="51">
        <v>95.7</v>
      </c>
      <c r="N18" s="51">
        <v>662.4</v>
      </c>
      <c r="O18" s="51">
        <v>0</v>
      </c>
      <c r="P18" s="51">
        <v>0.59</v>
      </c>
      <c r="Q18" s="51">
        <v>9.58</v>
      </c>
      <c r="R18" s="43"/>
      <c r="S18" s="43"/>
      <c r="T18" s="43"/>
      <c r="U18" s="43"/>
    </row>
    <row r="19" spans="1:21" s="11" customFormat="1" x14ac:dyDescent="0.25">
      <c r="A19" s="50" t="s">
        <v>670</v>
      </c>
      <c r="B19" s="51">
        <v>18.04</v>
      </c>
      <c r="C19" s="51">
        <v>15.72</v>
      </c>
      <c r="D19" s="51">
        <v>22.38</v>
      </c>
      <c r="E19" s="51">
        <v>5.6</v>
      </c>
      <c r="F19" s="51">
        <v>12.34</v>
      </c>
      <c r="G19" s="51">
        <v>58.55</v>
      </c>
      <c r="H19" s="51">
        <v>2.31</v>
      </c>
      <c r="I19" s="51">
        <v>2.57</v>
      </c>
      <c r="J19" s="51">
        <v>1.06</v>
      </c>
      <c r="K19" s="51">
        <v>130.19999999999999</v>
      </c>
      <c r="L19" s="51">
        <v>31.2</v>
      </c>
      <c r="M19" s="51">
        <v>89.93</v>
      </c>
      <c r="N19" s="51">
        <v>910.1</v>
      </c>
      <c r="O19" s="51">
        <v>0</v>
      </c>
      <c r="P19" s="51">
        <v>0.57999999999999996</v>
      </c>
      <c r="Q19" s="51">
        <v>9.57</v>
      </c>
      <c r="R19" s="43"/>
      <c r="S19" s="43"/>
      <c r="T19" s="43"/>
      <c r="U19" s="43"/>
    </row>
    <row r="20" spans="1:21" s="11" customFormat="1" x14ac:dyDescent="0.25">
      <c r="A20" s="50" t="s">
        <v>671</v>
      </c>
      <c r="B20" s="51">
        <v>18.52</v>
      </c>
      <c r="C20" s="51">
        <v>20.170000000000002</v>
      </c>
      <c r="D20" s="51">
        <v>23.36</v>
      </c>
      <c r="E20" s="51">
        <v>6.06</v>
      </c>
      <c r="F20" s="51">
        <v>16.57</v>
      </c>
      <c r="G20" s="51">
        <v>45.38</v>
      </c>
      <c r="H20" s="51">
        <v>3.5</v>
      </c>
      <c r="I20" s="51">
        <v>2.34</v>
      </c>
      <c r="J20" s="51">
        <v>0.51</v>
      </c>
      <c r="K20" s="51">
        <v>347.15</v>
      </c>
      <c r="L20" s="51">
        <v>32.159999999999997</v>
      </c>
      <c r="M20" s="51">
        <v>80</v>
      </c>
      <c r="N20" s="51">
        <v>867.1</v>
      </c>
      <c r="O20" s="51">
        <v>0</v>
      </c>
      <c r="P20" s="51">
        <v>0.59</v>
      </c>
      <c r="Q20" s="51">
        <v>9.5</v>
      </c>
      <c r="R20" s="43"/>
      <c r="S20" s="43"/>
      <c r="T20" s="43"/>
      <c r="U20" s="43"/>
    </row>
    <row r="21" spans="1:21" s="11" customFormat="1" x14ac:dyDescent="0.25">
      <c r="A21" s="50" t="s">
        <v>672</v>
      </c>
      <c r="B21" s="51">
        <v>13.56</v>
      </c>
      <c r="C21" s="51">
        <v>18.38</v>
      </c>
      <c r="D21" s="51">
        <v>19.93</v>
      </c>
      <c r="E21" s="51">
        <v>7.37</v>
      </c>
      <c r="F21" s="51">
        <v>18.739999999999998</v>
      </c>
      <c r="G21" s="51">
        <v>46.3</v>
      </c>
      <c r="H21" s="51">
        <v>7.44</v>
      </c>
      <c r="I21" s="51">
        <v>2.09</v>
      </c>
      <c r="J21" s="51">
        <v>1.44</v>
      </c>
      <c r="K21" s="51">
        <v>337.19</v>
      </c>
      <c r="L21" s="51">
        <v>32.74</v>
      </c>
      <c r="M21" s="51">
        <v>74.64</v>
      </c>
      <c r="N21" s="51">
        <v>899.5</v>
      </c>
      <c r="O21" s="51">
        <v>0</v>
      </c>
      <c r="P21" s="51">
        <v>0.47</v>
      </c>
      <c r="Q21" s="51">
        <v>9.35</v>
      </c>
      <c r="R21" s="43"/>
      <c r="S21" s="43"/>
      <c r="T21" s="43"/>
      <c r="U21" s="43"/>
    </row>
    <row r="22" spans="1:21" s="11" customFormat="1" x14ac:dyDescent="0.25">
      <c r="A22" s="50" t="s">
        <v>673</v>
      </c>
      <c r="B22" s="51">
        <v>15.24</v>
      </c>
      <c r="C22" s="51">
        <v>20.190000000000001</v>
      </c>
      <c r="D22" s="51">
        <v>22.44</v>
      </c>
      <c r="E22" s="51">
        <v>6.54</v>
      </c>
      <c r="F22" s="51">
        <v>16.75</v>
      </c>
      <c r="G22" s="51">
        <v>52.46</v>
      </c>
      <c r="H22" s="51">
        <v>7</v>
      </c>
      <c r="I22" s="51">
        <v>1.85</v>
      </c>
      <c r="J22" s="51">
        <v>0.83</v>
      </c>
      <c r="K22" s="51">
        <v>334.94</v>
      </c>
      <c r="L22" s="51">
        <v>32.01</v>
      </c>
      <c r="M22" s="51">
        <v>78.680000000000007</v>
      </c>
      <c r="N22" s="51">
        <v>380.4</v>
      </c>
      <c r="O22" s="51">
        <v>0</v>
      </c>
      <c r="P22" s="51">
        <v>0.57999999999999996</v>
      </c>
      <c r="Q22" s="51">
        <v>9.27</v>
      </c>
      <c r="R22" s="43"/>
      <c r="S22" s="43"/>
      <c r="T22" s="43"/>
      <c r="U22" s="43"/>
    </row>
    <row r="23" spans="1:21" s="11" customFormat="1" x14ac:dyDescent="0.25">
      <c r="A23" s="50" t="s">
        <v>674</v>
      </c>
      <c r="B23" s="51">
        <v>15.92</v>
      </c>
      <c r="C23" s="51">
        <v>22.61</v>
      </c>
      <c r="D23" s="51">
        <v>22.77</v>
      </c>
      <c r="E23" s="51">
        <v>7.01</v>
      </c>
      <c r="F23" s="51">
        <v>18.96</v>
      </c>
      <c r="G23" s="51">
        <v>51.51</v>
      </c>
      <c r="H23" s="51">
        <v>7.33</v>
      </c>
      <c r="I23" s="51">
        <v>1.72</v>
      </c>
      <c r="J23" s="51">
        <v>0.6</v>
      </c>
      <c r="K23" s="51">
        <v>357.87</v>
      </c>
      <c r="L23" s="51">
        <v>30.77</v>
      </c>
      <c r="M23" s="51">
        <v>80.05</v>
      </c>
      <c r="N23" s="51">
        <v>286</v>
      </c>
      <c r="O23" s="51">
        <v>0</v>
      </c>
      <c r="P23" s="51">
        <v>0.57999999999999996</v>
      </c>
      <c r="Q23" s="51">
        <v>9.25</v>
      </c>
      <c r="R23" s="43"/>
      <c r="S23" s="43"/>
      <c r="T23" s="43"/>
      <c r="U23" s="43"/>
    </row>
    <row r="24" spans="1:21" s="11" customFormat="1" x14ac:dyDescent="0.25">
      <c r="A24" s="50" t="s">
        <v>675</v>
      </c>
      <c r="B24" s="51">
        <v>11.07</v>
      </c>
      <c r="C24" s="51">
        <v>23.78</v>
      </c>
      <c r="D24" s="51">
        <v>20.53</v>
      </c>
      <c r="E24" s="51">
        <v>6.73</v>
      </c>
      <c r="F24" s="51">
        <v>46.05</v>
      </c>
      <c r="G24" s="51">
        <v>46.35</v>
      </c>
      <c r="H24" s="51">
        <v>12.52</v>
      </c>
      <c r="I24" s="51">
        <v>1.69</v>
      </c>
      <c r="J24" s="51">
        <v>0.35</v>
      </c>
      <c r="K24" s="51">
        <v>149.03</v>
      </c>
      <c r="L24" s="51">
        <v>29.67</v>
      </c>
      <c r="M24" s="51">
        <v>91.44</v>
      </c>
      <c r="N24" s="51">
        <v>182.9</v>
      </c>
      <c r="O24" s="51">
        <v>0</v>
      </c>
      <c r="P24" s="51">
        <v>0.53</v>
      </c>
      <c r="Q24" s="51">
        <v>9.26</v>
      </c>
      <c r="R24" s="43"/>
      <c r="S24" s="43"/>
      <c r="T24" s="43"/>
      <c r="U24" s="43"/>
    </row>
    <row r="25" spans="1:21" s="11" customFormat="1" x14ac:dyDescent="0.25">
      <c r="A25" s="50" t="s">
        <v>676</v>
      </c>
      <c r="B25" s="51">
        <v>11.81</v>
      </c>
      <c r="C25" s="51">
        <v>18.43</v>
      </c>
      <c r="D25" s="51">
        <v>19.100000000000001</v>
      </c>
      <c r="E25" s="51">
        <v>5.35</v>
      </c>
      <c r="F25" s="51">
        <v>20.260000000000002</v>
      </c>
      <c r="G25" s="51">
        <v>42.95</v>
      </c>
      <c r="H25" s="51">
        <v>9.92</v>
      </c>
      <c r="I25" s="51">
        <v>1.64</v>
      </c>
      <c r="J25" s="51">
        <v>0.53</v>
      </c>
      <c r="K25" s="51">
        <v>327.33999999999997</v>
      </c>
      <c r="L25" s="51">
        <v>28.17</v>
      </c>
      <c r="M25" s="51">
        <v>96.78</v>
      </c>
      <c r="N25" s="51">
        <v>85.1</v>
      </c>
      <c r="O25" s="51">
        <v>0</v>
      </c>
      <c r="P25" s="51">
        <v>0.54</v>
      </c>
      <c r="Q25" s="51">
        <v>9.25</v>
      </c>
      <c r="R25" s="43"/>
      <c r="S25" s="43"/>
      <c r="T25" s="43"/>
      <c r="U25" s="43"/>
    </row>
    <row r="26" spans="1:21" s="11" customFormat="1" x14ac:dyDescent="0.25">
      <c r="A26" s="50" t="s">
        <v>677</v>
      </c>
      <c r="B26" s="51">
        <v>10.26</v>
      </c>
      <c r="C26" s="51">
        <v>15.43</v>
      </c>
      <c r="D26" s="51">
        <v>16.079999999999998</v>
      </c>
      <c r="E26" s="51">
        <v>5.4</v>
      </c>
      <c r="F26" s="51">
        <v>13.54</v>
      </c>
      <c r="G26" s="51">
        <v>42.46</v>
      </c>
      <c r="H26" s="51">
        <v>8.1</v>
      </c>
      <c r="I26" s="51">
        <v>1.61</v>
      </c>
      <c r="J26" s="51">
        <v>1.02</v>
      </c>
      <c r="K26" s="51">
        <v>148.03</v>
      </c>
      <c r="L26" s="51">
        <v>26.61</v>
      </c>
      <c r="M26" s="51">
        <v>97.9</v>
      </c>
      <c r="N26" s="51">
        <v>54.6</v>
      </c>
      <c r="O26" s="51">
        <v>0</v>
      </c>
      <c r="P26" s="51">
        <v>0.48</v>
      </c>
      <c r="Q26" s="51">
        <v>9.23</v>
      </c>
      <c r="R26" s="43"/>
      <c r="S26" s="43"/>
      <c r="T26" s="43"/>
      <c r="U26" s="43"/>
    </row>
    <row r="27" spans="1:21" s="11" customFormat="1" x14ac:dyDescent="0.25">
      <c r="A27" s="50" t="s">
        <v>678</v>
      </c>
      <c r="B27" s="51">
        <v>9.3800000000000008</v>
      </c>
      <c r="C27" s="51">
        <v>20.78</v>
      </c>
      <c r="D27" s="51">
        <v>17.57</v>
      </c>
      <c r="E27" s="51">
        <v>4.96</v>
      </c>
      <c r="F27" s="51">
        <v>13.32</v>
      </c>
      <c r="G27" s="51">
        <v>43.28</v>
      </c>
      <c r="H27" s="51">
        <v>6.82</v>
      </c>
      <c r="I27" s="51">
        <v>1.59</v>
      </c>
      <c r="J27" s="51">
        <v>0.39</v>
      </c>
      <c r="K27" s="51">
        <v>142.91999999999999</v>
      </c>
      <c r="L27" s="51">
        <v>25.26</v>
      </c>
      <c r="M27" s="51">
        <v>97.93</v>
      </c>
      <c r="N27" s="51">
        <v>41.9</v>
      </c>
      <c r="O27" s="51">
        <v>0</v>
      </c>
      <c r="P27" s="51">
        <v>0.44</v>
      </c>
      <c r="Q27" s="51">
        <v>9.19</v>
      </c>
      <c r="R27" s="43"/>
      <c r="S27" s="43"/>
      <c r="T27" s="43"/>
      <c r="U27" s="43"/>
    </row>
    <row r="28" spans="1:21" s="11" customFormat="1" x14ac:dyDescent="0.25">
      <c r="A28" s="50" t="s">
        <v>679</v>
      </c>
      <c r="B28" s="51">
        <v>12.03</v>
      </c>
      <c r="C28" s="51">
        <v>18.440000000000001</v>
      </c>
      <c r="D28" s="51">
        <v>19.11</v>
      </c>
      <c r="E28" s="51">
        <v>4.91</v>
      </c>
      <c r="F28" s="51">
        <v>9.41</v>
      </c>
      <c r="G28" s="51">
        <v>38.06</v>
      </c>
      <c r="H28" s="51">
        <v>8.1199999999999992</v>
      </c>
      <c r="I28" s="51">
        <v>1.63</v>
      </c>
      <c r="J28" s="51">
        <v>0.08</v>
      </c>
      <c r="K28" s="51">
        <v>311.43</v>
      </c>
      <c r="L28" s="51">
        <v>25.13</v>
      </c>
      <c r="M28" s="51">
        <v>97.97</v>
      </c>
      <c r="N28" s="51">
        <v>41.8</v>
      </c>
      <c r="O28" s="51">
        <v>0</v>
      </c>
      <c r="P28" s="51">
        <v>0.69</v>
      </c>
      <c r="Q28" s="51">
        <v>9.19</v>
      </c>
      <c r="R28" s="43"/>
      <c r="S28" s="43"/>
      <c r="T28" s="43"/>
      <c r="U28" s="43"/>
    </row>
    <row r="29" spans="1:21" s="11" customFormat="1" x14ac:dyDescent="0.25">
      <c r="A29" s="50" t="s">
        <v>680</v>
      </c>
      <c r="B29" s="51">
        <v>15.14</v>
      </c>
      <c r="C29" s="51">
        <v>21.1</v>
      </c>
      <c r="D29" s="51">
        <v>21.1</v>
      </c>
      <c r="E29" s="51">
        <v>4.7699999999999996</v>
      </c>
      <c r="F29" s="51">
        <v>31.48</v>
      </c>
      <c r="G29" s="51">
        <v>35.99</v>
      </c>
      <c r="H29" s="51">
        <v>6.84</v>
      </c>
      <c r="I29" s="51">
        <v>1.71</v>
      </c>
      <c r="J29" s="51">
        <v>0.28000000000000003</v>
      </c>
      <c r="K29" s="51">
        <v>330.09</v>
      </c>
      <c r="L29" s="51">
        <v>25.11</v>
      </c>
      <c r="M29" s="51">
        <v>97.97</v>
      </c>
      <c r="N29" s="51">
        <v>42</v>
      </c>
      <c r="O29" s="51">
        <v>0</v>
      </c>
      <c r="P29" s="51">
        <v>0.65</v>
      </c>
      <c r="Q29" s="51">
        <v>9.1999999999999993</v>
      </c>
      <c r="R29" s="43"/>
      <c r="S29" s="43"/>
      <c r="T29" s="43"/>
      <c r="U29" s="43"/>
    </row>
    <row r="30" spans="1:21" s="11" customFormat="1" x14ac:dyDescent="0.25">
      <c r="A30" s="50" t="s">
        <v>681</v>
      </c>
      <c r="B30" s="51">
        <v>9.26</v>
      </c>
      <c r="C30" s="51">
        <v>18.440000000000001</v>
      </c>
      <c r="D30" s="51">
        <v>15.67</v>
      </c>
      <c r="E30" s="51">
        <v>4.7300000000000004</v>
      </c>
      <c r="F30" s="51">
        <v>20.7</v>
      </c>
      <c r="G30" s="51">
        <v>33.75</v>
      </c>
      <c r="H30" s="51">
        <v>6</v>
      </c>
      <c r="I30" s="51">
        <v>1.72</v>
      </c>
      <c r="J30" s="51">
        <v>0.15</v>
      </c>
      <c r="K30" s="51">
        <v>307.92</v>
      </c>
      <c r="L30" s="51">
        <v>25.06</v>
      </c>
      <c r="M30" s="51">
        <v>97.98</v>
      </c>
      <c r="N30" s="51">
        <v>42.1</v>
      </c>
      <c r="O30" s="51">
        <v>0</v>
      </c>
      <c r="P30" s="51">
        <v>0.45</v>
      </c>
      <c r="Q30" s="51">
        <v>9.18</v>
      </c>
      <c r="R30" s="43"/>
      <c r="S30" s="43"/>
      <c r="T30" s="43"/>
      <c r="U30" s="43"/>
    </row>
    <row r="31" spans="1:21" s="11" customFormat="1" x14ac:dyDescent="0.25">
      <c r="A31" s="50" t="s">
        <v>682</v>
      </c>
      <c r="B31" s="51">
        <v>9.5299999999999994</v>
      </c>
      <c r="C31" s="51">
        <v>16.62</v>
      </c>
      <c r="D31" s="51">
        <v>14.15</v>
      </c>
      <c r="E31" s="51">
        <v>4.66</v>
      </c>
      <c r="F31" s="51">
        <v>11.4</v>
      </c>
      <c r="G31" s="51">
        <v>35.159999999999997</v>
      </c>
      <c r="H31" s="51">
        <v>5.44</v>
      </c>
      <c r="I31" s="51">
        <v>1.66</v>
      </c>
      <c r="J31" s="51">
        <v>7.0000000000000007E-2</v>
      </c>
      <c r="K31" s="51">
        <v>286.42</v>
      </c>
      <c r="L31" s="51">
        <v>24.97</v>
      </c>
      <c r="M31" s="51">
        <v>98.01</v>
      </c>
      <c r="N31" s="51">
        <v>42.1</v>
      </c>
      <c r="O31" s="51">
        <v>0</v>
      </c>
      <c r="P31" s="51">
        <v>0.49</v>
      </c>
      <c r="Q31" s="51">
        <v>9.17</v>
      </c>
      <c r="R31" s="43"/>
      <c r="S31" s="43"/>
      <c r="T31" s="43"/>
      <c r="U31" s="43"/>
    </row>
    <row r="32" spans="1:21" s="11" customFormat="1" x14ac:dyDescent="0.25">
      <c r="A32" s="50" t="s">
        <v>683</v>
      </c>
      <c r="B32" s="51">
        <v>17.39</v>
      </c>
      <c r="C32" s="51">
        <v>16.46</v>
      </c>
      <c r="D32" s="51">
        <v>22.55</v>
      </c>
      <c r="E32" s="51">
        <v>4.95</v>
      </c>
      <c r="F32" s="51">
        <v>10.97</v>
      </c>
      <c r="G32" s="51">
        <v>33.56</v>
      </c>
      <c r="H32" s="51">
        <v>13.16</v>
      </c>
      <c r="I32" s="51">
        <v>1.6</v>
      </c>
      <c r="J32" s="51">
        <v>0.54</v>
      </c>
      <c r="K32" s="51">
        <v>343.5</v>
      </c>
      <c r="L32" s="51">
        <v>24.58</v>
      </c>
      <c r="M32" s="51">
        <v>98.08</v>
      </c>
      <c r="N32" s="51">
        <v>42.9</v>
      </c>
      <c r="O32" s="51">
        <v>1.2</v>
      </c>
      <c r="P32" s="51">
        <v>0.56000000000000005</v>
      </c>
      <c r="Q32" s="51">
        <v>9.16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9.26</v>
      </c>
      <c r="C34" s="28">
        <f t="shared" si="0"/>
        <v>11.27</v>
      </c>
      <c r="D34" s="28">
        <f t="shared" si="0"/>
        <v>14.15</v>
      </c>
      <c r="E34" s="28">
        <f t="shared" si="0"/>
        <v>4.66</v>
      </c>
      <c r="F34" s="28">
        <f t="shared" si="0"/>
        <v>7.37</v>
      </c>
      <c r="G34" s="28">
        <f t="shared" si="0"/>
        <v>33.56</v>
      </c>
      <c r="H34" s="28">
        <f t="shared" si="0"/>
        <v>2.15</v>
      </c>
      <c r="I34" s="28">
        <f t="shared" si="0"/>
        <v>1.59</v>
      </c>
      <c r="J34" s="28">
        <f t="shared" si="0"/>
        <v>7.0000000000000007E-2</v>
      </c>
      <c r="K34" s="28">
        <f t="shared" si="0"/>
        <v>126.85</v>
      </c>
      <c r="L34" s="28">
        <f t="shared" si="0"/>
        <v>23.66</v>
      </c>
      <c r="M34" s="28">
        <f t="shared" si="0"/>
        <v>74.64</v>
      </c>
      <c r="N34" s="28">
        <f t="shared" si="0"/>
        <v>41.8</v>
      </c>
      <c r="O34" s="28">
        <f t="shared" si="0"/>
        <v>0</v>
      </c>
      <c r="P34" s="28">
        <f t="shared" si="0"/>
        <v>0.44</v>
      </c>
      <c r="Q34" s="28">
        <f t="shared" si="0"/>
        <v>9.16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36.39</v>
      </c>
      <c r="C35" s="29">
        <f t="shared" si="1"/>
        <v>23.78</v>
      </c>
      <c r="D35" s="29">
        <f t="shared" si="1"/>
        <v>35.22</v>
      </c>
      <c r="E35" s="29">
        <f t="shared" si="1"/>
        <v>7.37</v>
      </c>
      <c r="F35" s="29">
        <f t="shared" si="1"/>
        <v>46.05</v>
      </c>
      <c r="G35" s="29">
        <f t="shared" si="1"/>
        <v>103.03</v>
      </c>
      <c r="H35" s="29">
        <f t="shared" si="1"/>
        <v>13.16</v>
      </c>
      <c r="I35" s="29">
        <f t="shared" si="1"/>
        <v>3.53</v>
      </c>
      <c r="J35" s="29">
        <f t="shared" si="1"/>
        <v>1.44</v>
      </c>
      <c r="K35" s="29">
        <f t="shared" si="1"/>
        <v>357.87</v>
      </c>
      <c r="L35" s="29">
        <f t="shared" si="1"/>
        <v>32.74</v>
      </c>
      <c r="M35" s="29">
        <f t="shared" si="1"/>
        <v>98.35</v>
      </c>
      <c r="N35" s="29">
        <f t="shared" si="1"/>
        <v>910.1</v>
      </c>
      <c r="O35" s="29">
        <f t="shared" si="1"/>
        <v>1.2</v>
      </c>
      <c r="P35" s="29">
        <f t="shared" si="1"/>
        <v>1.07</v>
      </c>
      <c r="Q35" s="29">
        <f t="shared" si="1"/>
        <v>9.58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17.991666666666664</v>
      </c>
      <c r="C36" s="28">
        <f t="shared" si="2"/>
        <v>16.962083333333332</v>
      </c>
      <c r="D36" s="28">
        <f t="shared" si="2"/>
        <v>22.323333333333338</v>
      </c>
      <c r="E36" s="28">
        <f t="shared" si="2"/>
        <v>5.8449999999999998</v>
      </c>
      <c r="F36" s="28">
        <f t="shared" si="2"/>
        <v>14.586666666666668</v>
      </c>
      <c r="G36" s="28">
        <f t="shared" si="2"/>
        <v>64.809166666666655</v>
      </c>
      <c r="H36" s="28">
        <f t="shared" si="2"/>
        <v>5.8429166666666665</v>
      </c>
      <c r="I36" s="28">
        <f t="shared" si="2"/>
        <v>2.3320833333333333</v>
      </c>
      <c r="J36" s="28">
        <f t="shared" si="2"/>
        <v>0.66499999999999992</v>
      </c>
      <c r="K36" s="28">
        <f t="shared" si="2"/>
        <v>294.51458333333329</v>
      </c>
      <c r="L36" s="28">
        <f t="shared" si="2"/>
        <v>26.984999999999999</v>
      </c>
      <c r="M36" s="28">
        <f t="shared" si="2"/>
        <v>94.046666666666681</v>
      </c>
      <c r="N36" s="28">
        <f t="shared" si="2"/>
        <v>237.60416666666666</v>
      </c>
      <c r="O36" s="28">
        <f t="shared" si="2"/>
        <v>5.8333333333333327E-2</v>
      </c>
      <c r="P36" s="28">
        <f t="shared" si="2"/>
        <v>0.66083333333333338</v>
      </c>
      <c r="Q36" s="28">
        <f t="shared" si="2"/>
        <v>9.3716666666666644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7.276800340012497</v>
      </c>
      <c r="C37" s="28">
        <f t="shared" ref="C37:Q37" si="3">STDEV(C9:C32)</f>
        <v>3.3334353335843128</v>
      </c>
      <c r="D37" s="28">
        <f t="shared" si="3"/>
        <v>5.0620623625473815</v>
      </c>
      <c r="E37" s="28">
        <f t="shared" si="3"/>
        <v>0.78951829012048502</v>
      </c>
      <c r="F37" s="28">
        <f t="shared" si="3"/>
        <v>8.7744875567783414</v>
      </c>
      <c r="G37" s="28">
        <f t="shared" si="3"/>
        <v>26.877051617005723</v>
      </c>
      <c r="H37" s="28">
        <f t="shared" si="3"/>
        <v>3.0243151997660949</v>
      </c>
      <c r="I37" s="28">
        <f t="shared" si="3"/>
        <v>0.68223404862367376</v>
      </c>
      <c r="J37" s="28">
        <f t="shared" si="3"/>
        <v>0.35309808958639999</v>
      </c>
      <c r="K37" s="28">
        <f t="shared" si="3"/>
        <v>82.789487779399863</v>
      </c>
      <c r="L37" s="28">
        <f t="shared" si="3"/>
        <v>3.1240428099276811</v>
      </c>
      <c r="M37" s="28">
        <f t="shared" si="3"/>
        <v>7.5341250706176988</v>
      </c>
      <c r="N37" s="28">
        <f t="shared" si="3"/>
        <v>302.83600021358484</v>
      </c>
      <c r="O37" s="28">
        <f t="shared" si="3"/>
        <v>0.24657068246098393</v>
      </c>
      <c r="P37" s="28">
        <f t="shared" si="3"/>
        <v>0.18325360585257536</v>
      </c>
      <c r="Q37" s="28">
        <f t="shared" si="3"/>
        <v>0.16023533417708036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684</v>
      </c>
      <c r="B9" s="51">
        <v>9.65</v>
      </c>
      <c r="C9" s="51">
        <v>13.08</v>
      </c>
      <c r="D9" s="51">
        <v>14.15</v>
      </c>
      <c r="E9" s="51">
        <v>4.8600000000000003</v>
      </c>
      <c r="F9" s="51">
        <v>8.07</v>
      </c>
      <c r="G9" s="51">
        <v>29.82</v>
      </c>
      <c r="H9" s="51">
        <v>11.8</v>
      </c>
      <c r="I9" s="51">
        <v>1.56</v>
      </c>
      <c r="J9" s="51">
        <v>0.1</v>
      </c>
      <c r="K9" s="51">
        <v>278.42</v>
      </c>
      <c r="L9" s="51">
        <v>23.85</v>
      </c>
      <c r="M9" s="51">
        <v>98.05</v>
      </c>
      <c r="N9" s="51">
        <v>43</v>
      </c>
      <c r="O9" s="51">
        <v>1.6</v>
      </c>
      <c r="P9" s="51">
        <v>0.44</v>
      </c>
      <c r="Q9" s="51">
        <v>9.2200000000000006</v>
      </c>
      <c r="R9" s="43"/>
      <c r="S9" s="43"/>
      <c r="T9" s="43"/>
      <c r="U9" s="43"/>
    </row>
    <row r="10" spans="1:21" s="11" customFormat="1" x14ac:dyDescent="0.25">
      <c r="A10" s="50" t="s">
        <v>685</v>
      </c>
      <c r="B10" s="51">
        <v>8.3699999999999992</v>
      </c>
      <c r="C10" s="51">
        <v>11.62</v>
      </c>
      <c r="D10" s="51">
        <v>12.65</v>
      </c>
      <c r="E10" s="51">
        <v>4.72</v>
      </c>
      <c r="F10" s="51">
        <v>9.93</v>
      </c>
      <c r="G10" s="51">
        <v>27.25</v>
      </c>
      <c r="H10" s="51">
        <v>9.42</v>
      </c>
      <c r="I10" s="51">
        <v>1.51</v>
      </c>
      <c r="J10" s="51">
        <v>0.38</v>
      </c>
      <c r="K10" s="51">
        <v>324.47000000000003</v>
      </c>
      <c r="L10" s="51">
        <v>23.58</v>
      </c>
      <c r="M10" s="51">
        <v>98.03</v>
      </c>
      <c r="N10" s="51">
        <v>43.1</v>
      </c>
      <c r="O10" s="51">
        <v>0</v>
      </c>
      <c r="P10" s="51">
        <v>0.37</v>
      </c>
      <c r="Q10" s="51">
        <v>9.2100000000000009</v>
      </c>
      <c r="R10" s="43"/>
      <c r="S10" s="43"/>
      <c r="T10" s="43"/>
      <c r="U10" s="43"/>
    </row>
    <row r="11" spans="1:21" s="11" customFormat="1" x14ac:dyDescent="0.25">
      <c r="A11" s="50" t="s">
        <v>686</v>
      </c>
      <c r="B11" s="51">
        <v>9.42</v>
      </c>
      <c r="C11" s="51">
        <v>9.4700000000000006</v>
      </c>
      <c r="D11" s="51">
        <v>12.5</v>
      </c>
      <c r="E11" s="51">
        <v>4.6500000000000004</v>
      </c>
      <c r="F11" s="51">
        <v>8.33</v>
      </c>
      <c r="G11" s="51">
        <v>19.52</v>
      </c>
      <c r="H11" s="51">
        <v>7.75</v>
      </c>
      <c r="I11" s="51">
        <v>1.46</v>
      </c>
      <c r="J11" s="51">
        <v>0.8</v>
      </c>
      <c r="K11" s="51">
        <v>339.34</v>
      </c>
      <c r="L11" s="51">
        <v>22.98</v>
      </c>
      <c r="M11" s="51">
        <v>98.02</v>
      </c>
      <c r="N11" s="51">
        <v>42.6</v>
      </c>
      <c r="O11" s="51">
        <v>0</v>
      </c>
      <c r="P11" s="51">
        <v>0.37</v>
      </c>
      <c r="Q11" s="51">
        <v>9.18</v>
      </c>
      <c r="R11" s="43"/>
      <c r="S11" s="43"/>
      <c r="T11" s="43"/>
      <c r="U11" s="43"/>
    </row>
    <row r="12" spans="1:21" s="11" customFormat="1" x14ac:dyDescent="0.25">
      <c r="A12" s="50" t="s">
        <v>687</v>
      </c>
      <c r="B12" s="51">
        <v>10.14</v>
      </c>
      <c r="C12" s="51">
        <v>12.18</v>
      </c>
      <c r="D12" s="51">
        <v>13.43</v>
      </c>
      <c r="E12" s="51">
        <v>4.42</v>
      </c>
      <c r="F12" s="51">
        <v>8.64</v>
      </c>
      <c r="G12" s="51">
        <v>21.72</v>
      </c>
      <c r="H12" s="51">
        <v>14.27</v>
      </c>
      <c r="I12" s="51">
        <v>1.5</v>
      </c>
      <c r="J12" s="51">
        <v>0.86</v>
      </c>
      <c r="K12" s="51">
        <v>337.95</v>
      </c>
      <c r="L12" s="51">
        <v>22.88</v>
      </c>
      <c r="M12" s="51">
        <v>98.05</v>
      </c>
      <c r="N12" s="51">
        <v>42.7</v>
      </c>
      <c r="O12" s="51">
        <v>0</v>
      </c>
      <c r="P12" s="51">
        <v>0.35</v>
      </c>
      <c r="Q12" s="51">
        <v>9.17</v>
      </c>
      <c r="R12" s="43"/>
      <c r="S12" s="43"/>
      <c r="T12" s="43"/>
      <c r="U12" s="43"/>
    </row>
    <row r="13" spans="1:21" s="11" customFormat="1" x14ac:dyDescent="0.25">
      <c r="A13" s="50" t="s">
        <v>688</v>
      </c>
      <c r="B13" s="51">
        <v>10.77</v>
      </c>
      <c r="C13" s="51">
        <v>9.2799999999999994</v>
      </c>
      <c r="D13" s="51">
        <v>12.94</v>
      </c>
      <c r="E13" s="51">
        <v>4.3899999999999997</v>
      </c>
      <c r="F13" s="51">
        <v>6.85</v>
      </c>
      <c r="G13" s="51">
        <v>16.5</v>
      </c>
      <c r="H13" s="51">
        <v>12.8</v>
      </c>
      <c r="I13" s="51">
        <v>1.49</v>
      </c>
      <c r="J13" s="51">
        <v>0.99</v>
      </c>
      <c r="K13" s="51">
        <v>338.44</v>
      </c>
      <c r="L13" s="51">
        <v>22.83</v>
      </c>
      <c r="M13" s="51">
        <v>98.07</v>
      </c>
      <c r="N13" s="51">
        <v>42.5</v>
      </c>
      <c r="O13" s="51">
        <v>0</v>
      </c>
      <c r="P13" s="51">
        <v>0.38</v>
      </c>
      <c r="Q13" s="51">
        <v>9.17</v>
      </c>
      <c r="R13" s="43"/>
      <c r="S13" s="43"/>
      <c r="T13" s="43"/>
      <c r="U13" s="43"/>
    </row>
    <row r="14" spans="1:21" s="11" customFormat="1" x14ac:dyDescent="0.25">
      <c r="A14" s="50" t="s">
        <v>689</v>
      </c>
      <c r="B14" s="51">
        <v>11.97</v>
      </c>
      <c r="C14" s="51">
        <v>8.6</v>
      </c>
      <c r="D14" s="51">
        <v>14.09</v>
      </c>
      <c r="E14" s="51">
        <v>4.3499999999999996</v>
      </c>
      <c r="F14" s="51">
        <v>11.99</v>
      </c>
      <c r="G14" s="51">
        <v>27.73</v>
      </c>
      <c r="H14" s="51">
        <v>11.81</v>
      </c>
      <c r="I14" s="51">
        <v>1.45</v>
      </c>
      <c r="J14" s="51">
        <v>0.59</v>
      </c>
      <c r="K14" s="51">
        <v>342.74</v>
      </c>
      <c r="L14" s="51">
        <v>22.75</v>
      </c>
      <c r="M14" s="51">
        <v>98.08</v>
      </c>
      <c r="N14" s="51">
        <v>42.5</v>
      </c>
      <c r="O14" s="51">
        <v>0</v>
      </c>
      <c r="P14" s="51">
        <v>0.39</v>
      </c>
      <c r="Q14" s="51">
        <v>9.15</v>
      </c>
      <c r="R14" s="43"/>
      <c r="S14" s="43"/>
      <c r="T14" s="43"/>
      <c r="U14" s="43"/>
    </row>
    <row r="15" spans="1:21" s="11" customFormat="1" x14ac:dyDescent="0.25">
      <c r="A15" s="50" t="s">
        <v>690</v>
      </c>
      <c r="B15" s="51">
        <v>13.43</v>
      </c>
      <c r="C15" s="51">
        <v>9.57</v>
      </c>
      <c r="D15" s="51">
        <v>15.6</v>
      </c>
      <c r="E15" s="51">
        <v>3.89</v>
      </c>
      <c r="F15" s="51">
        <v>11.63</v>
      </c>
      <c r="G15" s="51">
        <v>23.43</v>
      </c>
      <c r="H15" s="51">
        <v>11.55</v>
      </c>
      <c r="I15" s="51">
        <v>1.49</v>
      </c>
      <c r="J15" s="51">
        <v>0.3</v>
      </c>
      <c r="K15" s="51">
        <v>302.51</v>
      </c>
      <c r="L15" s="51">
        <v>22.84</v>
      </c>
      <c r="M15" s="51">
        <v>98.05</v>
      </c>
      <c r="N15" s="51">
        <v>52</v>
      </c>
      <c r="O15" s="51">
        <v>0</v>
      </c>
      <c r="P15" s="51">
        <v>0.36</v>
      </c>
      <c r="Q15" s="51">
        <v>9.1300000000000008</v>
      </c>
      <c r="R15" s="43"/>
      <c r="S15" s="43"/>
      <c r="T15" s="43"/>
      <c r="U15" s="43"/>
    </row>
    <row r="16" spans="1:21" s="11" customFormat="1" x14ac:dyDescent="0.25">
      <c r="A16" s="50" t="s">
        <v>691</v>
      </c>
      <c r="B16" s="51">
        <v>20.76</v>
      </c>
      <c r="C16" s="51">
        <v>10.4</v>
      </c>
      <c r="D16" s="51">
        <v>21.39</v>
      </c>
      <c r="E16" s="51">
        <v>4.82</v>
      </c>
      <c r="F16" s="51">
        <v>12.92</v>
      </c>
      <c r="G16" s="51">
        <v>16.43</v>
      </c>
      <c r="H16" s="51">
        <v>9.24</v>
      </c>
      <c r="I16" s="51">
        <v>1.46</v>
      </c>
      <c r="J16" s="51">
        <v>0.18</v>
      </c>
      <c r="K16" s="51">
        <v>274.26</v>
      </c>
      <c r="L16" s="51">
        <v>23.12</v>
      </c>
      <c r="M16" s="51">
        <v>98.07</v>
      </c>
      <c r="N16" s="51">
        <v>114.3</v>
      </c>
      <c r="O16" s="51">
        <v>0</v>
      </c>
      <c r="P16" s="51">
        <v>0.36</v>
      </c>
      <c r="Q16" s="51">
        <v>9.1999999999999993</v>
      </c>
      <c r="R16" s="43"/>
      <c r="S16" s="43"/>
      <c r="T16" s="43"/>
      <c r="U16" s="43"/>
    </row>
    <row r="17" spans="1:21" s="11" customFormat="1" x14ac:dyDescent="0.25">
      <c r="A17" s="50" t="s">
        <v>692</v>
      </c>
      <c r="B17" s="51">
        <v>16.3</v>
      </c>
      <c r="C17" s="51">
        <v>10.32</v>
      </c>
      <c r="D17" s="51">
        <v>18.47</v>
      </c>
      <c r="E17" s="51">
        <v>4.8899999999999997</v>
      </c>
      <c r="F17" s="51">
        <v>12.8</v>
      </c>
      <c r="G17" s="51">
        <v>11.49</v>
      </c>
      <c r="H17" s="51">
        <v>7.62</v>
      </c>
      <c r="I17" s="51">
        <v>1.44</v>
      </c>
      <c r="J17" s="51">
        <v>0.2</v>
      </c>
      <c r="K17" s="51">
        <v>313.85000000000002</v>
      </c>
      <c r="L17" s="51">
        <v>24.61</v>
      </c>
      <c r="M17" s="51">
        <v>98.05</v>
      </c>
      <c r="N17" s="51">
        <v>327.3</v>
      </c>
      <c r="O17" s="51">
        <v>0</v>
      </c>
      <c r="P17" s="51">
        <v>0.38</v>
      </c>
      <c r="Q17" s="51">
        <v>9.27</v>
      </c>
      <c r="R17" s="43"/>
      <c r="S17" s="43"/>
      <c r="T17" s="43"/>
      <c r="U17" s="43"/>
    </row>
    <row r="18" spans="1:21" s="11" customFormat="1" x14ac:dyDescent="0.25">
      <c r="A18" s="50" t="s">
        <v>693</v>
      </c>
      <c r="B18" s="51">
        <v>14.46</v>
      </c>
      <c r="C18" s="51">
        <v>8.69</v>
      </c>
      <c r="D18" s="51">
        <v>15.21</v>
      </c>
      <c r="E18" s="51">
        <v>5.15</v>
      </c>
      <c r="F18" s="51">
        <v>11.69</v>
      </c>
      <c r="G18" s="51">
        <v>8.0399999999999991</v>
      </c>
      <c r="H18" s="51">
        <v>6.49</v>
      </c>
      <c r="I18" s="51">
        <v>1.44</v>
      </c>
      <c r="J18" s="51">
        <v>0.47</v>
      </c>
      <c r="K18" s="51">
        <v>139.25</v>
      </c>
      <c r="L18" s="51">
        <v>26.57</v>
      </c>
      <c r="M18" s="51">
        <v>97.92</v>
      </c>
      <c r="N18" s="51">
        <v>700.1</v>
      </c>
      <c r="O18" s="51">
        <v>0</v>
      </c>
      <c r="P18" s="51">
        <v>0.37</v>
      </c>
      <c r="Q18" s="51">
        <v>9.2899999999999991</v>
      </c>
      <c r="R18" s="43"/>
      <c r="S18" s="43"/>
      <c r="T18" s="43"/>
      <c r="U18" s="43"/>
    </row>
    <row r="19" spans="1:21" s="11" customFormat="1" x14ac:dyDescent="0.25">
      <c r="A19" s="50" t="s">
        <v>694</v>
      </c>
      <c r="B19" s="51">
        <v>15.15</v>
      </c>
      <c r="C19" s="51">
        <v>8.09</v>
      </c>
      <c r="D19" s="51">
        <v>16.37</v>
      </c>
      <c r="E19" s="51">
        <v>5.16</v>
      </c>
      <c r="F19" s="51">
        <v>11.51</v>
      </c>
      <c r="G19" s="51">
        <v>5.63</v>
      </c>
      <c r="H19" s="51">
        <v>5.7</v>
      </c>
      <c r="I19" s="51">
        <v>1.41</v>
      </c>
      <c r="J19" s="51">
        <v>0.65</v>
      </c>
      <c r="K19" s="51">
        <v>330.96</v>
      </c>
      <c r="L19" s="51">
        <v>27.12</v>
      </c>
      <c r="M19" s="51">
        <v>97.84</v>
      </c>
      <c r="N19" s="51">
        <v>710.9</v>
      </c>
      <c r="O19" s="51">
        <v>0</v>
      </c>
      <c r="P19" s="51">
        <v>0.39</v>
      </c>
      <c r="Q19" s="51">
        <v>9.27</v>
      </c>
      <c r="R19" s="43"/>
      <c r="S19" s="43"/>
      <c r="T19" s="43"/>
      <c r="U19" s="43"/>
    </row>
    <row r="20" spans="1:21" s="11" customFormat="1" x14ac:dyDescent="0.25">
      <c r="A20" s="50" t="s">
        <v>695</v>
      </c>
      <c r="B20" s="51">
        <v>13.99</v>
      </c>
      <c r="C20" s="51">
        <v>9.68</v>
      </c>
      <c r="D20" s="51">
        <v>16.079999999999998</v>
      </c>
      <c r="E20" s="51">
        <v>5.0599999999999996</v>
      </c>
      <c r="F20" s="51">
        <v>13.52</v>
      </c>
      <c r="G20" s="51">
        <v>3.94</v>
      </c>
      <c r="H20" s="51">
        <v>11.59</v>
      </c>
      <c r="I20" s="51">
        <v>1.4</v>
      </c>
      <c r="J20" s="51">
        <v>1.21</v>
      </c>
      <c r="K20" s="51">
        <v>131.78</v>
      </c>
      <c r="L20" s="51">
        <v>27.57</v>
      </c>
      <c r="M20" s="51">
        <v>97.86</v>
      </c>
      <c r="N20" s="51">
        <v>752.3</v>
      </c>
      <c r="O20" s="51">
        <v>0</v>
      </c>
      <c r="P20" s="51">
        <v>0.41</v>
      </c>
      <c r="Q20" s="51">
        <v>9.2100000000000009</v>
      </c>
      <c r="R20" s="43"/>
      <c r="S20" s="43"/>
      <c r="T20" s="43"/>
      <c r="U20" s="43"/>
    </row>
    <row r="21" spans="1:21" s="11" customFormat="1" x14ac:dyDescent="0.25">
      <c r="A21" s="50" t="s">
        <v>696</v>
      </c>
      <c r="B21" s="51">
        <v>14.05</v>
      </c>
      <c r="C21" s="51">
        <v>10.62</v>
      </c>
      <c r="D21" s="51">
        <v>16.57</v>
      </c>
      <c r="E21" s="51">
        <v>5.4</v>
      </c>
      <c r="F21" s="51">
        <v>16.7</v>
      </c>
      <c r="G21" s="51">
        <v>21.2</v>
      </c>
      <c r="H21" s="51">
        <v>10.61</v>
      </c>
      <c r="I21" s="51">
        <v>1.38</v>
      </c>
      <c r="J21" s="51">
        <v>1.08</v>
      </c>
      <c r="K21" s="51">
        <v>132.81</v>
      </c>
      <c r="L21" s="51">
        <v>27.56</v>
      </c>
      <c r="M21" s="51">
        <v>97.83</v>
      </c>
      <c r="N21" s="51">
        <v>591.5</v>
      </c>
      <c r="O21" s="51">
        <v>0</v>
      </c>
      <c r="P21" s="51">
        <v>0.37</v>
      </c>
      <c r="Q21" s="51">
        <v>9.18</v>
      </c>
      <c r="R21" s="43"/>
      <c r="S21" s="43"/>
      <c r="T21" s="43"/>
      <c r="U21" s="43"/>
    </row>
    <row r="22" spans="1:21" s="11" customFormat="1" x14ac:dyDescent="0.25">
      <c r="A22" s="50" t="s">
        <v>697</v>
      </c>
      <c r="B22" s="51">
        <v>10.199999999999999</v>
      </c>
      <c r="C22" s="51">
        <v>9.5299999999999994</v>
      </c>
      <c r="D22" s="51">
        <v>12.79</v>
      </c>
      <c r="E22" s="51">
        <v>5.15</v>
      </c>
      <c r="F22" s="51">
        <v>14.75</v>
      </c>
      <c r="G22" s="51">
        <v>16.77</v>
      </c>
      <c r="H22" s="51">
        <v>8.58</v>
      </c>
      <c r="I22" s="51">
        <v>1.32</v>
      </c>
      <c r="J22" s="51">
        <v>1.45</v>
      </c>
      <c r="K22" s="51">
        <v>129.58000000000001</v>
      </c>
      <c r="L22" s="51">
        <v>27.51</v>
      </c>
      <c r="M22" s="51">
        <v>97.82</v>
      </c>
      <c r="N22" s="51">
        <v>499.9</v>
      </c>
      <c r="O22" s="51">
        <v>0</v>
      </c>
      <c r="P22" s="51">
        <v>0.35</v>
      </c>
      <c r="Q22" s="51">
        <v>9.18</v>
      </c>
      <c r="R22" s="43"/>
      <c r="S22" s="43"/>
      <c r="T22" s="43"/>
      <c r="U22" s="43"/>
    </row>
    <row r="23" spans="1:21" s="11" customFormat="1" x14ac:dyDescent="0.25">
      <c r="A23" s="50" t="s">
        <v>698</v>
      </c>
      <c r="B23" s="51">
        <v>8.9</v>
      </c>
      <c r="C23" s="51">
        <v>8.16</v>
      </c>
      <c r="D23" s="51">
        <v>11.27</v>
      </c>
      <c r="E23" s="51">
        <v>5.61</v>
      </c>
      <c r="F23" s="51">
        <v>15</v>
      </c>
      <c r="G23" s="51">
        <v>14.48</v>
      </c>
      <c r="H23" s="51">
        <v>7.16</v>
      </c>
      <c r="I23" s="51">
        <v>1.26</v>
      </c>
      <c r="J23" s="51">
        <v>1.41</v>
      </c>
      <c r="K23" s="51">
        <v>128.15</v>
      </c>
      <c r="L23" s="51">
        <v>27.22</v>
      </c>
      <c r="M23" s="51">
        <v>97.86</v>
      </c>
      <c r="N23" s="51">
        <v>270.10000000000002</v>
      </c>
      <c r="O23" s="51">
        <v>0</v>
      </c>
      <c r="P23" s="51">
        <v>0.33</v>
      </c>
      <c r="Q23" s="51">
        <v>9.14</v>
      </c>
      <c r="R23" s="43"/>
      <c r="S23" s="43"/>
      <c r="T23" s="43"/>
      <c r="U23" s="43"/>
    </row>
    <row r="24" spans="1:21" s="11" customFormat="1" x14ac:dyDescent="0.25">
      <c r="A24" s="50" t="s">
        <v>699</v>
      </c>
      <c r="B24" s="51">
        <v>8.18</v>
      </c>
      <c r="C24" s="51">
        <v>8.44</v>
      </c>
      <c r="D24" s="51">
        <v>10.97</v>
      </c>
      <c r="E24" s="51">
        <v>5.85</v>
      </c>
      <c r="F24" s="51">
        <v>10.78</v>
      </c>
      <c r="G24" s="51">
        <v>10.32</v>
      </c>
      <c r="H24" s="51">
        <v>13.23</v>
      </c>
      <c r="I24" s="51">
        <v>1.1399999999999999</v>
      </c>
      <c r="J24" s="51">
        <v>1.37</v>
      </c>
      <c r="K24" s="51">
        <v>128.27000000000001</v>
      </c>
      <c r="L24" s="51">
        <v>26.29</v>
      </c>
      <c r="M24" s="51">
        <v>97.9</v>
      </c>
      <c r="N24" s="51">
        <v>175.1</v>
      </c>
      <c r="O24" s="51">
        <v>0</v>
      </c>
      <c r="P24" s="51">
        <v>0.3</v>
      </c>
      <c r="Q24" s="51">
        <v>9.06</v>
      </c>
      <c r="R24" s="43"/>
      <c r="S24" s="43"/>
      <c r="T24" s="43"/>
      <c r="U24" s="43"/>
    </row>
    <row r="25" spans="1:21" s="11" customFormat="1" x14ac:dyDescent="0.25">
      <c r="A25" s="50" t="s">
        <v>700</v>
      </c>
      <c r="B25" s="51">
        <v>9.75</v>
      </c>
      <c r="C25" s="51">
        <v>11.24</v>
      </c>
      <c r="D25" s="51">
        <v>12.78</v>
      </c>
      <c r="E25" s="51">
        <v>5.73</v>
      </c>
      <c r="F25" s="51">
        <v>11.11</v>
      </c>
      <c r="G25" s="51">
        <v>7.23</v>
      </c>
      <c r="H25" s="51">
        <v>10.6</v>
      </c>
      <c r="I25" s="51">
        <v>1.06</v>
      </c>
      <c r="J25" s="51">
        <v>1.21</v>
      </c>
      <c r="K25" s="51">
        <v>129.74</v>
      </c>
      <c r="L25" s="51">
        <v>25.95</v>
      </c>
      <c r="M25" s="51">
        <v>97.9</v>
      </c>
      <c r="N25" s="51">
        <v>87.7</v>
      </c>
      <c r="O25" s="51">
        <v>0</v>
      </c>
      <c r="P25" s="51">
        <v>0.34</v>
      </c>
      <c r="Q25" s="51">
        <v>9.0500000000000007</v>
      </c>
      <c r="R25" s="43"/>
      <c r="S25" s="43"/>
      <c r="T25" s="43"/>
      <c r="U25" s="43"/>
    </row>
    <row r="26" spans="1:21" s="11" customFormat="1" x14ac:dyDescent="0.25">
      <c r="A26" s="50" t="s">
        <v>701</v>
      </c>
      <c r="B26" s="51">
        <v>7.62</v>
      </c>
      <c r="C26" s="51">
        <v>10.34</v>
      </c>
      <c r="D26" s="51">
        <v>11.19</v>
      </c>
      <c r="E26" s="51">
        <v>6.02</v>
      </c>
      <c r="F26" s="51">
        <v>11.45</v>
      </c>
      <c r="G26" s="51">
        <v>5.08</v>
      </c>
      <c r="H26" s="51">
        <v>8.58</v>
      </c>
      <c r="I26" s="51">
        <v>1.07</v>
      </c>
      <c r="J26" s="51">
        <v>0.94</v>
      </c>
      <c r="K26" s="51">
        <v>132.38</v>
      </c>
      <c r="L26" s="51">
        <v>26</v>
      </c>
      <c r="M26" s="51">
        <v>97.95</v>
      </c>
      <c r="N26" s="51">
        <v>68.5</v>
      </c>
      <c r="O26" s="51">
        <v>0</v>
      </c>
      <c r="P26" s="51">
        <v>0.32</v>
      </c>
      <c r="Q26" s="51">
        <v>9.0500000000000007</v>
      </c>
      <c r="R26" s="43"/>
      <c r="S26" s="43"/>
      <c r="T26" s="43"/>
      <c r="U26" s="43"/>
    </row>
    <row r="27" spans="1:21" s="11" customFormat="1" x14ac:dyDescent="0.25">
      <c r="A27" s="50" t="s">
        <v>702</v>
      </c>
      <c r="B27" s="51">
        <v>7.35</v>
      </c>
      <c r="C27" s="51">
        <v>14.36</v>
      </c>
      <c r="D27" s="51">
        <v>13.05</v>
      </c>
      <c r="E27" s="51">
        <v>5.96</v>
      </c>
      <c r="F27" s="51">
        <v>9.92</v>
      </c>
      <c r="G27" s="51">
        <v>14.13</v>
      </c>
      <c r="H27" s="51">
        <v>7.16</v>
      </c>
      <c r="I27" s="51">
        <v>1.1299999999999999</v>
      </c>
      <c r="J27" s="51">
        <v>0.87</v>
      </c>
      <c r="K27" s="51">
        <v>132.53</v>
      </c>
      <c r="L27" s="51">
        <v>25.47</v>
      </c>
      <c r="M27" s="51">
        <v>97.99</v>
      </c>
      <c r="N27" s="51">
        <v>47.8</v>
      </c>
      <c r="O27" s="51">
        <v>0</v>
      </c>
      <c r="P27" s="51">
        <v>0.48</v>
      </c>
      <c r="Q27" s="51">
        <v>9.11</v>
      </c>
      <c r="R27" s="43"/>
      <c r="S27" s="43"/>
      <c r="T27" s="43"/>
      <c r="U27" s="43"/>
    </row>
    <row r="28" spans="1:21" s="11" customFormat="1" x14ac:dyDescent="0.25">
      <c r="A28" s="50" t="s">
        <v>703</v>
      </c>
      <c r="B28" s="51">
        <v>8.6999999999999993</v>
      </c>
      <c r="C28" s="51">
        <v>13.24</v>
      </c>
      <c r="D28" s="51">
        <v>13.89</v>
      </c>
      <c r="E28" s="51">
        <v>6.16</v>
      </c>
      <c r="F28" s="51">
        <v>9.8800000000000008</v>
      </c>
      <c r="G28" s="51">
        <v>11.75</v>
      </c>
      <c r="H28" s="51">
        <v>7.69</v>
      </c>
      <c r="I28" s="51">
        <v>1.29</v>
      </c>
      <c r="J28" s="51">
        <v>1.5</v>
      </c>
      <c r="K28" s="51">
        <v>127.97</v>
      </c>
      <c r="L28" s="51">
        <v>25.55</v>
      </c>
      <c r="M28" s="51">
        <v>97.99</v>
      </c>
      <c r="N28" s="51">
        <v>47.6</v>
      </c>
      <c r="O28" s="51">
        <v>0</v>
      </c>
      <c r="P28" s="51">
        <v>0.42</v>
      </c>
      <c r="Q28" s="51">
        <v>9.15</v>
      </c>
      <c r="R28" s="43"/>
      <c r="S28" s="43"/>
      <c r="T28" s="43"/>
      <c r="U28" s="43"/>
    </row>
    <row r="29" spans="1:21" s="11" customFormat="1" x14ac:dyDescent="0.25">
      <c r="A29" s="50" t="s">
        <v>704</v>
      </c>
      <c r="B29" s="51">
        <v>8.75</v>
      </c>
      <c r="C29" s="51">
        <v>10.34</v>
      </c>
      <c r="D29" s="51">
        <v>12</v>
      </c>
      <c r="E29" s="51">
        <v>6.11</v>
      </c>
      <c r="F29" s="51">
        <v>9.32</v>
      </c>
      <c r="G29" s="51">
        <v>14.6</v>
      </c>
      <c r="H29" s="51">
        <v>6.54</v>
      </c>
      <c r="I29" s="51">
        <v>1.34</v>
      </c>
      <c r="J29" s="51">
        <v>1.1100000000000001</v>
      </c>
      <c r="K29" s="51">
        <v>115.76</v>
      </c>
      <c r="L29" s="51">
        <v>25.52</v>
      </c>
      <c r="M29" s="51">
        <v>97.95</v>
      </c>
      <c r="N29" s="51">
        <v>48.1</v>
      </c>
      <c r="O29" s="51">
        <v>0</v>
      </c>
      <c r="P29" s="51">
        <v>0.35</v>
      </c>
      <c r="Q29" s="51">
        <v>9.1300000000000008</v>
      </c>
      <c r="R29" s="43"/>
      <c r="S29" s="43"/>
      <c r="T29" s="43"/>
      <c r="U29" s="43"/>
    </row>
    <row r="30" spans="1:21" s="11" customFormat="1" x14ac:dyDescent="0.25">
      <c r="A30" s="50" t="s">
        <v>705</v>
      </c>
      <c r="B30" s="51">
        <v>9.26</v>
      </c>
      <c r="C30" s="51">
        <v>9.92</v>
      </c>
      <c r="D30" s="51">
        <v>12.28</v>
      </c>
      <c r="E30" s="51">
        <v>6.2</v>
      </c>
      <c r="F30" s="51">
        <v>9.06</v>
      </c>
      <c r="G30" s="51">
        <v>10.64</v>
      </c>
      <c r="H30" s="51">
        <v>5.79</v>
      </c>
      <c r="I30" s="51">
        <v>1.3</v>
      </c>
      <c r="J30" s="51">
        <v>0.94</v>
      </c>
      <c r="K30" s="51">
        <v>113.53</v>
      </c>
      <c r="L30" s="51">
        <v>24.42</v>
      </c>
      <c r="M30" s="51">
        <v>97.98</v>
      </c>
      <c r="N30" s="51">
        <v>47.7</v>
      </c>
      <c r="O30" s="51">
        <v>0</v>
      </c>
      <c r="P30" s="51">
        <v>0.32</v>
      </c>
      <c r="Q30" s="51">
        <v>9.06</v>
      </c>
      <c r="R30" s="43"/>
      <c r="S30" s="43"/>
      <c r="T30" s="43"/>
      <c r="U30" s="43"/>
    </row>
    <row r="31" spans="1:21" s="11" customFormat="1" x14ac:dyDescent="0.25">
      <c r="A31" s="50" t="s">
        <v>706</v>
      </c>
      <c r="B31" s="51">
        <v>8.94</v>
      </c>
      <c r="C31" s="51">
        <v>10.39</v>
      </c>
      <c r="D31" s="51">
        <v>12.47</v>
      </c>
      <c r="E31" s="51">
        <v>6.03</v>
      </c>
      <c r="F31" s="51">
        <v>9.33</v>
      </c>
      <c r="G31" s="51">
        <v>10.96</v>
      </c>
      <c r="H31" s="51">
        <v>5.28</v>
      </c>
      <c r="I31" s="51">
        <v>1.23</v>
      </c>
      <c r="J31" s="51">
        <v>0.56000000000000005</v>
      </c>
      <c r="K31" s="51">
        <v>112</v>
      </c>
      <c r="L31" s="51">
        <v>24.2</v>
      </c>
      <c r="M31" s="51">
        <v>98.01</v>
      </c>
      <c r="N31" s="51">
        <v>47.5</v>
      </c>
      <c r="O31" s="51">
        <v>0</v>
      </c>
      <c r="P31" s="51">
        <v>0.32</v>
      </c>
      <c r="Q31" s="51">
        <v>9.08</v>
      </c>
      <c r="R31" s="43"/>
      <c r="S31" s="43"/>
      <c r="T31" s="43"/>
      <c r="U31" s="43"/>
    </row>
    <row r="32" spans="1:21" s="11" customFormat="1" x14ac:dyDescent="0.25">
      <c r="A32" s="50" t="s">
        <v>707</v>
      </c>
      <c r="B32" s="51">
        <v>7.72</v>
      </c>
      <c r="C32" s="51">
        <v>8.1199999999999992</v>
      </c>
      <c r="D32" s="51">
        <v>10.44</v>
      </c>
      <c r="E32" s="51">
        <v>5.76</v>
      </c>
      <c r="F32" s="51">
        <v>9.17</v>
      </c>
      <c r="G32" s="51">
        <v>7.89</v>
      </c>
      <c r="H32" s="51">
        <v>7.12</v>
      </c>
      <c r="I32" s="51">
        <v>1.17</v>
      </c>
      <c r="J32" s="51">
        <v>0.46</v>
      </c>
      <c r="K32" s="51">
        <v>139.44</v>
      </c>
      <c r="L32" s="51">
        <v>24.23</v>
      </c>
      <c r="M32" s="51">
        <v>98.01</v>
      </c>
      <c r="N32" s="51">
        <v>47.9</v>
      </c>
      <c r="O32" s="51">
        <v>0</v>
      </c>
      <c r="P32" s="51">
        <v>0.26</v>
      </c>
      <c r="Q32" s="51">
        <v>9.11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7.35</v>
      </c>
      <c r="C34" s="28">
        <f t="shared" si="0"/>
        <v>8.09</v>
      </c>
      <c r="D34" s="28">
        <f t="shared" si="0"/>
        <v>10.44</v>
      </c>
      <c r="E34" s="28">
        <f t="shared" si="0"/>
        <v>3.89</v>
      </c>
      <c r="F34" s="28">
        <f t="shared" si="0"/>
        <v>6.85</v>
      </c>
      <c r="G34" s="28">
        <f t="shared" si="0"/>
        <v>3.94</v>
      </c>
      <c r="H34" s="28">
        <f t="shared" si="0"/>
        <v>5.28</v>
      </c>
      <c r="I34" s="28">
        <f t="shared" si="0"/>
        <v>1.06</v>
      </c>
      <c r="J34" s="28">
        <f t="shared" si="0"/>
        <v>0.1</v>
      </c>
      <c r="K34" s="28">
        <f t="shared" si="0"/>
        <v>112</v>
      </c>
      <c r="L34" s="28">
        <f t="shared" si="0"/>
        <v>22.75</v>
      </c>
      <c r="M34" s="28">
        <f t="shared" si="0"/>
        <v>97.82</v>
      </c>
      <c r="N34" s="28">
        <f t="shared" si="0"/>
        <v>42.5</v>
      </c>
      <c r="O34" s="28">
        <f t="shared" si="0"/>
        <v>0</v>
      </c>
      <c r="P34" s="28">
        <f t="shared" si="0"/>
        <v>0.26</v>
      </c>
      <c r="Q34" s="28">
        <f t="shared" si="0"/>
        <v>9.0500000000000007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20.76</v>
      </c>
      <c r="C35" s="29">
        <f t="shared" si="1"/>
        <v>14.36</v>
      </c>
      <c r="D35" s="29">
        <f t="shared" si="1"/>
        <v>21.39</v>
      </c>
      <c r="E35" s="29">
        <f t="shared" si="1"/>
        <v>6.2</v>
      </c>
      <c r="F35" s="29">
        <f t="shared" si="1"/>
        <v>16.7</v>
      </c>
      <c r="G35" s="29">
        <f t="shared" si="1"/>
        <v>29.82</v>
      </c>
      <c r="H35" s="29">
        <f t="shared" si="1"/>
        <v>14.27</v>
      </c>
      <c r="I35" s="29">
        <f t="shared" si="1"/>
        <v>1.56</v>
      </c>
      <c r="J35" s="29">
        <f t="shared" si="1"/>
        <v>1.5</v>
      </c>
      <c r="K35" s="29">
        <f t="shared" si="1"/>
        <v>342.74</v>
      </c>
      <c r="L35" s="29">
        <f t="shared" si="1"/>
        <v>27.57</v>
      </c>
      <c r="M35" s="29">
        <f t="shared" si="1"/>
        <v>98.08</v>
      </c>
      <c r="N35" s="29">
        <f t="shared" si="1"/>
        <v>752.3</v>
      </c>
      <c r="O35" s="29">
        <f t="shared" si="1"/>
        <v>1.6</v>
      </c>
      <c r="P35" s="29">
        <f t="shared" si="1"/>
        <v>0.48</v>
      </c>
      <c r="Q35" s="29">
        <f t="shared" si="1"/>
        <v>9.2899999999999991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10.992916666666668</v>
      </c>
      <c r="C36" s="28">
        <f t="shared" si="2"/>
        <v>10.236666666666666</v>
      </c>
      <c r="D36" s="28">
        <f t="shared" si="2"/>
        <v>13.8575</v>
      </c>
      <c r="E36" s="28">
        <f t="shared" si="2"/>
        <v>5.2641666666666662</v>
      </c>
      <c r="F36" s="28">
        <f t="shared" si="2"/>
        <v>11.014583333333333</v>
      </c>
      <c r="G36" s="28">
        <f t="shared" si="2"/>
        <v>14.856249999999998</v>
      </c>
      <c r="H36" s="28">
        <f t="shared" si="2"/>
        <v>9.0991666666666653</v>
      </c>
      <c r="I36" s="28">
        <f t="shared" si="2"/>
        <v>1.3458333333333332</v>
      </c>
      <c r="J36" s="28">
        <f t="shared" si="2"/>
        <v>0.81791666666666663</v>
      </c>
      <c r="K36" s="28">
        <f t="shared" si="2"/>
        <v>207.33875</v>
      </c>
      <c r="L36" s="28">
        <f t="shared" si="2"/>
        <v>25.025833333333338</v>
      </c>
      <c r="M36" s="28">
        <f t="shared" si="2"/>
        <v>97.970000000000013</v>
      </c>
      <c r="N36" s="28">
        <f t="shared" si="2"/>
        <v>203.86250000000004</v>
      </c>
      <c r="O36" s="28">
        <f t="shared" si="2"/>
        <v>6.6666666666666666E-2</v>
      </c>
      <c r="P36" s="28">
        <f t="shared" si="2"/>
        <v>0.36375000000000002</v>
      </c>
      <c r="Q36" s="28">
        <f t="shared" si="2"/>
        <v>9.1570833333333379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3.3450228817917131</v>
      </c>
      <c r="C37" s="28">
        <f t="shared" ref="C37:Q37" si="3">STDEV(C9:C32)</f>
        <v>1.6886518076667596</v>
      </c>
      <c r="D37" s="28">
        <f t="shared" si="3"/>
        <v>2.5588673615318616</v>
      </c>
      <c r="E37" s="28">
        <f t="shared" si="3"/>
        <v>0.67351070271129765</v>
      </c>
      <c r="F37" s="28">
        <f t="shared" si="3"/>
        <v>2.4046675250015634</v>
      </c>
      <c r="G37" s="28">
        <f t="shared" si="3"/>
        <v>7.4102466147426185</v>
      </c>
      <c r="H37" s="28">
        <f t="shared" si="3"/>
        <v>2.6162384492221711</v>
      </c>
      <c r="I37" s="28">
        <f t="shared" si="3"/>
        <v>0.14823356032220622</v>
      </c>
      <c r="J37" s="28">
        <f t="shared" si="3"/>
        <v>0.42762213273613103</v>
      </c>
      <c r="K37" s="28">
        <f t="shared" si="3"/>
        <v>97.318682924686399</v>
      </c>
      <c r="L37" s="28">
        <f t="shared" si="3"/>
        <v>1.7105450864428047</v>
      </c>
      <c r="M37" s="28">
        <f t="shared" si="3"/>
        <v>8.4493375094041534E-2</v>
      </c>
      <c r="N37" s="28">
        <f t="shared" si="3"/>
        <v>249.11556391518886</v>
      </c>
      <c r="O37" s="28">
        <f t="shared" si="3"/>
        <v>0.32659863237109049</v>
      </c>
      <c r="P37" s="28">
        <f t="shared" si="3"/>
        <v>4.6420806804145537E-2</v>
      </c>
      <c r="Q37" s="28">
        <f t="shared" si="3"/>
        <v>6.931209610642744E-2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708</v>
      </c>
      <c r="B9" s="51">
        <v>7.88</v>
      </c>
      <c r="C9" s="51">
        <v>6.77</v>
      </c>
      <c r="D9" s="51">
        <v>9.39</v>
      </c>
      <c r="E9" s="51">
        <v>4.79</v>
      </c>
      <c r="F9" s="51">
        <v>11.97</v>
      </c>
      <c r="G9" s="51">
        <v>8.48</v>
      </c>
      <c r="H9" s="51">
        <v>6.4</v>
      </c>
      <c r="I9" s="51">
        <v>1.1200000000000001</v>
      </c>
      <c r="J9" s="51">
        <v>0.52</v>
      </c>
      <c r="K9" s="51">
        <v>127.6</v>
      </c>
      <c r="L9" s="51">
        <v>24.01</v>
      </c>
      <c r="M9" s="51">
        <v>98.03</v>
      </c>
      <c r="N9" s="51">
        <v>47.9</v>
      </c>
      <c r="O9" s="51">
        <v>0</v>
      </c>
      <c r="P9" s="51">
        <v>0.26</v>
      </c>
      <c r="Q9" s="51">
        <v>9.11</v>
      </c>
      <c r="R9" s="43"/>
      <c r="S9" s="43"/>
      <c r="T9" s="43"/>
      <c r="U9" s="43"/>
    </row>
    <row r="10" spans="1:21" s="11" customFormat="1" x14ac:dyDescent="0.25">
      <c r="A10" s="50" t="s">
        <v>709</v>
      </c>
      <c r="B10" s="51">
        <v>7.51</v>
      </c>
      <c r="C10" s="51">
        <v>6.37</v>
      </c>
      <c r="D10" s="51">
        <v>9.1199999999999992</v>
      </c>
      <c r="E10" s="51">
        <v>4.84</v>
      </c>
      <c r="F10" s="51">
        <v>9.61</v>
      </c>
      <c r="G10" s="51">
        <v>15.03</v>
      </c>
      <c r="H10" s="51">
        <v>5.91</v>
      </c>
      <c r="I10" s="51">
        <v>1.05</v>
      </c>
      <c r="J10" s="51">
        <v>0.3</v>
      </c>
      <c r="K10" s="51">
        <v>143.74</v>
      </c>
      <c r="L10" s="51">
        <v>23.81</v>
      </c>
      <c r="M10" s="51">
        <v>98.07</v>
      </c>
      <c r="N10" s="51">
        <v>47.5</v>
      </c>
      <c r="O10" s="51">
        <v>0</v>
      </c>
      <c r="P10" s="51">
        <v>0.26</v>
      </c>
      <c r="Q10" s="51">
        <v>9.0500000000000007</v>
      </c>
      <c r="R10" s="43"/>
      <c r="S10" s="43"/>
      <c r="T10" s="43"/>
      <c r="U10" s="43"/>
    </row>
    <row r="11" spans="1:21" s="11" customFormat="1" x14ac:dyDescent="0.25">
      <c r="A11" s="50" t="s">
        <v>710</v>
      </c>
      <c r="B11" s="51">
        <v>7.32</v>
      </c>
      <c r="C11" s="51">
        <v>6.5</v>
      </c>
      <c r="D11" s="51">
        <v>9.01</v>
      </c>
      <c r="E11" s="51">
        <v>4.92</v>
      </c>
      <c r="F11" s="51">
        <v>21.58</v>
      </c>
      <c r="G11" s="51">
        <v>14.27</v>
      </c>
      <c r="H11" s="51">
        <v>6.27</v>
      </c>
      <c r="I11" s="51">
        <v>0.96</v>
      </c>
      <c r="J11" s="51">
        <v>0.62</v>
      </c>
      <c r="K11" s="51">
        <v>124.04</v>
      </c>
      <c r="L11" s="51">
        <v>23.61</v>
      </c>
      <c r="M11" s="51">
        <v>98.05</v>
      </c>
      <c r="N11" s="51">
        <v>47.7</v>
      </c>
      <c r="O11" s="51">
        <v>0</v>
      </c>
      <c r="P11" s="51">
        <v>0.23</v>
      </c>
      <c r="Q11" s="51">
        <v>9.0500000000000007</v>
      </c>
      <c r="R11" s="43"/>
      <c r="S11" s="43"/>
      <c r="T11" s="43"/>
      <c r="U11" s="43"/>
    </row>
    <row r="12" spans="1:21" s="11" customFormat="1" x14ac:dyDescent="0.25">
      <c r="A12" s="50" t="s">
        <v>711</v>
      </c>
      <c r="B12" s="51">
        <v>6.8</v>
      </c>
      <c r="C12" s="51">
        <v>6.62</v>
      </c>
      <c r="D12" s="51">
        <v>8.6</v>
      </c>
      <c r="E12" s="51">
        <v>4.7300000000000004</v>
      </c>
      <c r="F12" s="51">
        <v>9.48</v>
      </c>
      <c r="G12" s="51">
        <v>10.23</v>
      </c>
      <c r="H12" s="51">
        <v>10.9</v>
      </c>
      <c r="I12" s="51">
        <v>0.9</v>
      </c>
      <c r="J12" s="51">
        <v>0.87</v>
      </c>
      <c r="K12" s="51">
        <v>125.11</v>
      </c>
      <c r="L12" s="51">
        <v>23.52</v>
      </c>
      <c r="M12" s="51">
        <v>98.05</v>
      </c>
      <c r="N12" s="51">
        <v>47.9</v>
      </c>
      <c r="O12" s="51">
        <v>0</v>
      </c>
      <c r="P12" s="51">
        <v>0.2</v>
      </c>
      <c r="Q12" s="51">
        <v>9.08</v>
      </c>
      <c r="R12" s="43"/>
      <c r="S12" s="43"/>
      <c r="T12" s="43"/>
      <c r="U12" s="43"/>
    </row>
    <row r="13" spans="1:21" s="11" customFormat="1" x14ac:dyDescent="0.25">
      <c r="A13" s="50" t="s">
        <v>712</v>
      </c>
      <c r="B13" s="51">
        <v>6.59</v>
      </c>
      <c r="C13" s="51">
        <v>6.9</v>
      </c>
      <c r="D13" s="51">
        <v>8.7899999999999991</v>
      </c>
      <c r="E13" s="51">
        <v>4.95</v>
      </c>
      <c r="F13" s="51">
        <v>41.71</v>
      </c>
      <c r="G13" s="51">
        <v>7.16</v>
      </c>
      <c r="H13" s="51">
        <v>8.93</v>
      </c>
      <c r="I13" s="51">
        <v>0.88</v>
      </c>
      <c r="J13" s="51">
        <v>0.63</v>
      </c>
      <c r="K13" s="51">
        <v>113.12</v>
      </c>
      <c r="L13" s="51">
        <v>23.5</v>
      </c>
      <c r="M13" s="51">
        <v>98.06</v>
      </c>
      <c r="N13" s="51">
        <v>47.8</v>
      </c>
      <c r="O13" s="51">
        <v>0</v>
      </c>
      <c r="P13" s="51">
        <v>0.19</v>
      </c>
      <c r="Q13" s="51">
        <v>9.08</v>
      </c>
      <c r="R13" s="43"/>
      <c r="S13" s="43"/>
      <c r="T13" s="43"/>
      <c r="U13" s="43"/>
    </row>
    <row r="14" spans="1:21" s="11" customFormat="1" x14ac:dyDescent="0.25">
      <c r="A14" s="50" t="s">
        <v>713</v>
      </c>
      <c r="B14" s="51">
        <v>7.3</v>
      </c>
      <c r="C14" s="51">
        <v>7.75</v>
      </c>
      <c r="D14" s="51">
        <v>9.6199999999999992</v>
      </c>
      <c r="E14" s="51">
        <v>4.99</v>
      </c>
      <c r="F14" s="51">
        <v>9.9499999999999993</v>
      </c>
      <c r="G14" s="51">
        <v>5.01</v>
      </c>
      <c r="H14" s="51">
        <v>7.4</v>
      </c>
      <c r="I14" s="51">
        <v>0.85</v>
      </c>
      <c r="J14" s="51">
        <v>0.54</v>
      </c>
      <c r="K14" s="51">
        <v>113.04</v>
      </c>
      <c r="L14" s="51">
        <v>23.45</v>
      </c>
      <c r="M14" s="51">
        <v>98.08</v>
      </c>
      <c r="N14" s="51">
        <v>50.8</v>
      </c>
      <c r="O14" s="51">
        <v>0</v>
      </c>
      <c r="P14" s="51">
        <v>0.2</v>
      </c>
      <c r="Q14" s="51">
        <v>9.07</v>
      </c>
      <c r="R14" s="43"/>
      <c r="S14" s="43"/>
      <c r="T14" s="43"/>
      <c r="U14" s="43"/>
    </row>
    <row r="15" spans="1:21" s="11" customFormat="1" x14ac:dyDescent="0.25">
      <c r="A15" s="50" t="s">
        <v>714</v>
      </c>
      <c r="B15" s="51">
        <v>7.6</v>
      </c>
      <c r="C15" s="51">
        <v>7.74</v>
      </c>
      <c r="D15" s="51">
        <v>9.92</v>
      </c>
      <c r="E15" s="51">
        <v>4.8899999999999997</v>
      </c>
      <c r="F15" s="51">
        <v>9.9600000000000009</v>
      </c>
      <c r="G15" s="51">
        <v>6.47</v>
      </c>
      <c r="H15" s="51">
        <v>6.34</v>
      </c>
      <c r="I15" s="51">
        <v>0.8</v>
      </c>
      <c r="J15" s="51">
        <v>0.45</v>
      </c>
      <c r="K15" s="51">
        <v>142.31</v>
      </c>
      <c r="L15" s="51">
        <v>23.51</v>
      </c>
      <c r="M15" s="51">
        <v>98.05</v>
      </c>
      <c r="N15" s="51">
        <v>71.599999999999994</v>
      </c>
      <c r="O15" s="51">
        <v>0</v>
      </c>
      <c r="P15" s="51">
        <v>0.21</v>
      </c>
      <c r="Q15" s="51">
        <v>9.0299999999999994</v>
      </c>
      <c r="R15" s="43"/>
      <c r="S15" s="43"/>
      <c r="T15" s="43"/>
      <c r="U15" s="43"/>
    </row>
    <row r="16" spans="1:21" s="11" customFormat="1" x14ac:dyDescent="0.25">
      <c r="A16" s="50" t="s">
        <v>715</v>
      </c>
      <c r="B16" s="51">
        <v>8.2899999999999991</v>
      </c>
      <c r="C16" s="51">
        <v>8.16</v>
      </c>
      <c r="D16" s="51">
        <v>10.62</v>
      </c>
      <c r="E16" s="51">
        <v>4.8499999999999996</v>
      </c>
      <c r="F16" s="51">
        <v>10.26</v>
      </c>
      <c r="G16" s="51">
        <v>5.0199999999999996</v>
      </c>
      <c r="H16" s="51">
        <v>8.9600000000000009</v>
      </c>
      <c r="I16" s="51">
        <v>0.81</v>
      </c>
      <c r="J16" s="51">
        <v>0.66</v>
      </c>
      <c r="K16" s="51">
        <v>115.2</v>
      </c>
      <c r="L16" s="51">
        <v>24.39</v>
      </c>
      <c r="M16" s="51">
        <v>98.04</v>
      </c>
      <c r="N16" s="51">
        <v>178.1</v>
      </c>
      <c r="O16" s="51">
        <v>0</v>
      </c>
      <c r="P16" s="51">
        <v>0.32</v>
      </c>
      <c r="Q16" s="51">
        <v>9.07</v>
      </c>
      <c r="R16" s="43"/>
      <c r="S16" s="43"/>
      <c r="T16" s="43"/>
      <c r="U16" s="43"/>
    </row>
    <row r="17" spans="1:21" s="11" customFormat="1" x14ac:dyDescent="0.25">
      <c r="A17" s="50" t="s">
        <v>716</v>
      </c>
      <c r="B17" s="51">
        <v>7.71</v>
      </c>
      <c r="C17" s="51">
        <v>7.74</v>
      </c>
      <c r="D17" s="51">
        <v>10.199999999999999</v>
      </c>
      <c r="E17" s="51">
        <v>4.33</v>
      </c>
      <c r="F17" s="51">
        <v>11.15</v>
      </c>
      <c r="G17" s="51">
        <v>3.61</v>
      </c>
      <c r="H17" s="51">
        <v>7.42</v>
      </c>
      <c r="I17" s="51">
        <v>0.82</v>
      </c>
      <c r="J17" s="51">
        <v>0.52</v>
      </c>
      <c r="K17" s="51">
        <v>149.37</v>
      </c>
      <c r="L17" s="51">
        <v>26.69</v>
      </c>
      <c r="M17" s="51">
        <v>97.96</v>
      </c>
      <c r="N17" s="51">
        <v>557.70000000000005</v>
      </c>
      <c r="O17" s="51">
        <v>0</v>
      </c>
      <c r="P17" s="51">
        <v>0.32</v>
      </c>
      <c r="Q17" s="51">
        <v>9.08</v>
      </c>
      <c r="R17" s="43"/>
      <c r="S17" s="43"/>
      <c r="T17" s="43"/>
      <c r="U17" s="43"/>
    </row>
    <row r="18" spans="1:21" s="11" customFormat="1" x14ac:dyDescent="0.25">
      <c r="A18" s="50" t="s">
        <v>717</v>
      </c>
      <c r="B18" s="51">
        <v>7.87</v>
      </c>
      <c r="C18" s="51">
        <v>7.02</v>
      </c>
      <c r="D18" s="51">
        <v>9.65</v>
      </c>
      <c r="E18" s="51">
        <v>4.28</v>
      </c>
      <c r="F18" s="51">
        <v>10.37</v>
      </c>
      <c r="G18" s="51">
        <v>2.5299999999999998</v>
      </c>
      <c r="H18" s="51">
        <v>6.35</v>
      </c>
      <c r="I18" s="51">
        <v>0.83</v>
      </c>
      <c r="J18" s="51">
        <v>0.92</v>
      </c>
      <c r="K18" s="51">
        <v>150.88</v>
      </c>
      <c r="L18" s="51">
        <v>27.32</v>
      </c>
      <c r="M18" s="51">
        <v>97.55</v>
      </c>
      <c r="N18" s="51">
        <v>645.9</v>
      </c>
      <c r="O18" s="51">
        <v>0</v>
      </c>
      <c r="P18" s="51">
        <v>0.31</v>
      </c>
      <c r="Q18" s="51">
        <v>9.08</v>
      </c>
      <c r="R18" s="43"/>
      <c r="S18" s="43"/>
      <c r="T18" s="43"/>
      <c r="U18" s="43"/>
    </row>
    <row r="19" spans="1:21" s="11" customFormat="1" x14ac:dyDescent="0.25">
      <c r="A19" s="50" t="s">
        <v>718</v>
      </c>
      <c r="B19" s="51">
        <v>7.66</v>
      </c>
      <c r="C19" s="51">
        <v>7.42</v>
      </c>
      <c r="D19" s="51">
        <v>10.02</v>
      </c>
      <c r="E19" s="51">
        <v>4.24</v>
      </c>
      <c r="F19" s="51">
        <v>12.52</v>
      </c>
      <c r="G19" s="51">
        <v>7.39</v>
      </c>
      <c r="H19" s="51">
        <v>5.6</v>
      </c>
      <c r="I19" s="51">
        <v>0.85</v>
      </c>
      <c r="J19" s="51">
        <v>0.91</v>
      </c>
      <c r="K19" s="51">
        <v>161.18</v>
      </c>
      <c r="L19" s="51">
        <v>28.37</v>
      </c>
      <c r="M19" s="51">
        <v>93.45</v>
      </c>
      <c r="N19" s="51">
        <v>707.8</v>
      </c>
      <c r="O19" s="51">
        <v>0</v>
      </c>
      <c r="P19" s="51">
        <v>0.3</v>
      </c>
      <c r="Q19" s="51">
        <v>9.0399999999999991</v>
      </c>
      <c r="R19" s="43"/>
      <c r="S19" s="43"/>
      <c r="T19" s="43"/>
      <c r="U19" s="43"/>
    </row>
    <row r="20" spans="1:21" s="11" customFormat="1" x14ac:dyDescent="0.25">
      <c r="A20" s="50" t="s">
        <v>719</v>
      </c>
      <c r="B20" s="51">
        <v>8.43</v>
      </c>
      <c r="C20" s="51">
        <v>8.92</v>
      </c>
      <c r="D20" s="51">
        <v>11.42</v>
      </c>
      <c r="E20" s="51">
        <v>4.29</v>
      </c>
      <c r="F20" s="51">
        <v>11.22</v>
      </c>
      <c r="G20" s="51">
        <v>5.32</v>
      </c>
      <c r="H20" s="51">
        <v>9.08</v>
      </c>
      <c r="I20" s="51">
        <v>0.93</v>
      </c>
      <c r="J20" s="51">
        <v>0.92</v>
      </c>
      <c r="K20" s="51">
        <v>143.65</v>
      </c>
      <c r="L20" s="51">
        <v>29.58</v>
      </c>
      <c r="M20" s="51">
        <v>86.7</v>
      </c>
      <c r="N20" s="51">
        <v>964.6</v>
      </c>
      <c r="O20" s="51">
        <v>0</v>
      </c>
      <c r="P20" s="51">
        <v>0.3</v>
      </c>
      <c r="Q20" s="51">
        <v>9.02</v>
      </c>
      <c r="R20" s="43"/>
      <c r="S20" s="43"/>
      <c r="T20" s="43"/>
      <c r="U20" s="43"/>
    </row>
    <row r="21" spans="1:21" s="11" customFormat="1" x14ac:dyDescent="0.25">
      <c r="A21" s="50" t="s">
        <v>720</v>
      </c>
      <c r="B21" s="51">
        <v>7.62</v>
      </c>
      <c r="C21" s="51">
        <v>9.9499999999999993</v>
      </c>
      <c r="D21" s="51">
        <v>11.31</v>
      </c>
      <c r="E21" s="51">
        <v>4.18</v>
      </c>
      <c r="F21" s="51">
        <v>18.41</v>
      </c>
      <c r="G21" s="51">
        <v>3.72</v>
      </c>
      <c r="H21" s="51">
        <v>8.66</v>
      </c>
      <c r="I21" s="51">
        <v>0.95</v>
      </c>
      <c r="J21" s="51">
        <v>0.91</v>
      </c>
      <c r="K21" s="51">
        <v>146.31</v>
      </c>
      <c r="L21" s="51">
        <v>28.91</v>
      </c>
      <c r="M21" s="51">
        <v>83.3</v>
      </c>
      <c r="N21" s="51">
        <v>512.9</v>
      </c>
      <c r="O21" s="51">
        <v>0</v>
      </c>
      <c r="P21" s="51">
        <v>0.31</v>
      </c>
      <c r="Q21" s="51">
        <v>9.02</v>
      </c>
      <c r="R21" s="43"/>
      <c r="S21" s="43"/>
      <c r="T21" s="43"/>
      <c r="U21" s="43"/>
    </row>
    <row r="22" spans="1:21" s="11" customFormat="1" x14ac:dyDescent="0.25">
      <c r="A22" s="50" t="s">
        <v>721</v>
      </c>
      <c r="B22" s="51">
        <v>6.44</v>
      </c>
      <c r="C22" s="51">
        <v>8.4</v>
      </c>
      <c r="D22" s="51">
        <v>9.5500000000000007</v>
      </c>
      <c r="E22" s="51">
        <v>4.1900000000000004</v>
      </c>
      <c r="F22" s="51">
        <v>14.18</v>
      </c>
      <c r="G22" s="51">
        <v>7.36</v>
      </c>
      <c r="H22" s="51">
        <v>8.31</v>
      </c>
      <c r="I22" s="51">
        <v>0.92</v>
      </c>
      <c r="J22" s="51">
        <v>0.92</v>
      </c>
      <c r="K22" s="51">
        <v>127.29</v>
      </c>
      <c r="L22" s="51">
        <v>28.88</v>
      </c>
      <c r="M22" s="51">
        <v>84.56</v>
      </c>
      <c r="N22" s="51">
        <v>398.2</v>
      </c>
      <c r="O22" s="51">
        <v>0</v>
      </c>
      <c r="P22" s="51">
        <v>0.22</v>
      </c>
      <c r="Q22" s="51">
        <v>9.01</v>
      </c>
      <c r="R22" s="43"/>
      <c r="S22" s="43"/>
      <c r="T22" s="43"/>
      <c r="U22" s="43"/>
    </row>
    <row r="23" spans="1:21" s="11" customFormat="1" x14ac:dyDescent="0.25">
      <c r="A23" s="50" t="s">
        <v>722</v>
      </c>
      <c r="B23" s="51">
        <v>6.56</v>
      </c>
      <c r="C23" s="51">
        <v>8.67</v>
      </c>
      <c r="D23" s="51">
        <v>9.7899999999999991</v>
      </c>
      <c r="E23" s="51">
        <v>4.74</v>
      </c>
      <c r="F23" s="51">
        <v>15.75</v>
      </c>
      <c r="G23" s="51">
        <v>11.41</v>
      </c>
      <c r="H23" s="51">
        <v>7.4</v>
      </c>
      <c r="I23" s="51">
        <v>0.91</v>
      </c>
      <c r="J23" s="51">
        <v>1.27</v>
      </c>
      <c r="K23" s="51">
        <v>127.37</v>
      </c>
      <c r="L23" s="51">
        <v>28.45</v>
      </c>
      <c r="M23" s="51">
        <v>84.65</v>
      </c>
      <c r="N23" s="51">
        <v>253.9</v>
      </c>
      <c r="O23" s="51">
        <v>0</v>
      </c>
      <c r="P23" s="51">
        <v>0.21</v>
      </c>
      <c r="Q23" s="51">
        <v>9.0399999999999991</v>
      </c>
      <c r="R23" s="43"/>
      <c r="S23" s="43"/>
      <c r="T23" s="43"/>
      <c r="U23" s="43"/>
    </row>
    <row r="24" spans="1:21" s="11" customFormat="1" x14ac:dyDescent="0.25">
      <c r="A24" s="50" t="s">
        <v>723</v>
      </c>
      <c r="B24" s="51">
        <v>7.41</v>
      </c>
      <c r="C24" s="51">
        <v>10.76</v>
      </c>
      <c r="D24" s="51">
        <v>11.56</v>
      </c>
      <c r="E24" s="51">
        <v>4.42</v>
      </c>
      <c r="F24" s="51">
        <v>14.73</v>
      </c>
      <c r="G24" s="51">
        <v>8.66</v>
      </c>
      <c r="H24" s="51">
        <v>10.93</v>
      </c>
      <c r="I24" s="51">
        <v>0.85</v>
      </c>
      <c r="J24" s="51">
        <v>1.66</v>
      </c>
      <c r="K24" s="51">
        <v>125.62</v>
      </c>
      <c r="L24" s="51">
        <v>27.93</v>
      </c>
      <c r="M24" s="51">
        <v>90.68</v>
      </c>
      <c r="N24" s="51">
        <v>208.4</v>
      </c>
      <c r="O24" s="51">
        <v>0</v>
      </c>
      <c r="P24" s="51">
        <v>0.21</v>
      </c>
      <c r="Q24" s="51">
        <v>9.06</v>
      </c>
      <c r="R24" s="43"/>
      <c r="S24" s="43"/>
      <c r="T24" s="43"/>
      <c r="U24" s="43"/>
    </row>
    <row r="25" spans="1:21" s="11" customFormat="1" x14ac:dyDescent="0.25">
      <c r="A25" s="50" t="s">
        <v>724</v>
      </c>
      <c r="B25" s="51">
        <v>8.3800000000000008</v>
      </c>
      <c r="C25" s="51">
        <v>11.66</v>
      </c>
      <c r="D25" s="51">
        <v>12.42</v>
      </c>
      <c r="E25" s="51">
        <v>4.1399999999999997</v>
      </c>
      <c r="F25" s="51">
        <v>13.68</v>
      </c>
      <c r="G25" s="51">
        <v>10.8</v>
      </c>
      <c r="H25" s="51">
        <v>8.81</v>
      </c>
      <c r="I25" s="51">
        <v>0.86</v>
      </c>
      <c r="J25" s="51">
        <v>0.81</v>
      </c>
      <c r="K25" s="51">
        <v>134.28</v>
      </c>
      <c r="L25" s="51">
        <v>27.4</v>
      </c>
      <c r="M25" s="51">
        <v>93.82</v>
      </c>
      <c r="N25" s="51">
        <v>143.69999999999999</v>
      </c>
      <c r="O25" s="51">
        <v>0</v>
      </c>
      <c r="P25" s="51">
        <v>0.32</v>
      </c>
      <c r="Q25" s="51">
        <v>9.0399999999999991</v>
      </c>
      <c r="R25" s="43"/>
      <c r="S25" s="43"/>
      <c r="T25" s="43"/>
      <c r="U25" s="43"/>
    </row>
    <row r="26" spans="1:21" s="11" customFormat="1" x14ac:dyDescent="0.25">
      <c r="A26" s="50" t="s">
        <v>725</v>
      </c>
      <c r="B26" s="51">
        <v>7.13</v>
      </c>
      <c r="C26" s="51">
        <v>16.93</v>
      </c>
      <c r="D26" s="51">
        <v>13.98</v>
      </c>
      <c r="E26" s="51">
        <v>4.32</v>
      </c>
      <c r="F26" s="51">
        <v>11.6</v>
      </c>
      <c r="G26" s="51">
        <v>11.86</v>
      </c>
      <c r="H26" s="51">
        <v>9.09</v>
      </c>
      <c r="I26" s="51">
        <v>0.87</v>
      </c>
      <c r="J26" s="51">
        <v>0.74</v>
      </c>
      <c r="K26" s="51">
        <v>128.44</v>
      </c>
      <c r="L26" s="51">
        <v>27.05</v>
      </c>
      <c r="M26" s="51">
        <v>97.62</v>
      </c>
      <c r="N26" s="51">
        <v>68.599999999999994</v>
      </c>
      <c r="O26" s="51">
        <v>0</v>
      </c>
      <c r="P26" s="51">
        <v>0.34</v>
      </c>
      <c r="Q26" s="51">
        <v>9.0299999999999994</v>
      </c>
      <c r="R26" s="43"/>
      <c r="S26" s="43"/>
      <c r="T26" s="43"/>
      <c r="U26" s="43"/>
    </row>
    <row r="27" spans="1:21" s="11" customFormat="1" x14ac:dyDescent="0.25">
      <c r="A27" s="50" t="s">
        <v>726</v>
      </c>
      <c r="B27" s="51">
        <v>10.3</v>
      </c>
      <c r="C27" s="51">
        <v>19.62</v>
      </c>
      <c r="D27" s="51">
        <v>18.510000000000002</v>
      </c>
      <c r="E27" s="51">
        <v>4.3899999999999997</v>
      </c>
      <c r="F27" s="51">
        <v>14.24</v>
      </c>
      <c r="G27" s="51">
        <v>13.28</v>
      </c>
      <c r="H27" s="51">
        <v>7.51</v>
      </c>
      <c r="I27" s="51">
        <v>0.98</v>
      </c>
      <c r="J27" s="51">
        <v>0.49</v>
      </c>
      <c r="K27" s="51">
        <v>144.66999999999999</v>
      </c>
      <c r="L27" s="51">
        <v>26.61</v>
      </c>
      <c r="M27" s="51">
        <v>97.83</v>
      </c>
      <c r="N27" s="51">
        <v>44.7</v>
      </c>
      <c r="O27" s="51">
        <v>0</v>
      </c>
      <c r="P27" s="51">
        <v>0.7</v>
      </c>
      <c r="Q27" s="51">
        <v>9.06</v>
      </c>
      <c r="R27" s="43"/>
      <c r="S27" s="43"/>
      <c r="T27" s="43"/>
      <c r="U27" s="43"/>
    </row>
    <row r="28" spans="1:21" s="11" customFormat="1" x14ac:dyDescent="0.25">
      <c r="A28" s="50" t="s">
        <v>727</v>
      </c>
      <c r="B28" s="51">
        <v>8.34</v>
      </c>
      <c r="C28" s="51">
        <v>19.91</v>
      </c>
      <c r="D28" s="51">
        <v>17.09</v>
      </c>
      <c r="E28" s="51">
        <v>4.53</v>
      </c>
      <c r="F28" s="51">
        <v>11.43</v>
      </c>
      <c r="G28" s="51">
        <v>16.350000000000001</v>
      </c>
      <c r="H28" s="51">
        <v>9.4499999999999993</v>
      </c>
      <c r="I28" s="51">
        <v>1.27</v>
      </c>
      <c r="J28" s="51">
        <v>0.32</v>
      </c>
      <c r="K28" s="51">
        <v>133.37</v>
      </c>
      <c r="L28" s="51">
        <v>26.22</v>
      </c>
      <c r="M28" s="51">
        <v>97.84</v>
      </c>
      <c r="N28" s="51">
        <v>44.5</v>
      </c>
      <c r="O28" s="51">
        <v>0</v>
      </c>
      <c r="P28" s="51">
        <v>0.8</v>
      </c>
      <c r="Q28" s="51">
        <v>9.11</v>
      </c>
      <c r="R28" s="43"/>
      <c r="S28" s="43"/>
      <c r="T28" s="43"/>
      <c r="U28" s="43"/>
    </row>
    <row r="29" spans="1:21" s="11" customFormat="1" x14ac:dyDescent="0.25">
      <c r="A29" s="50" t="s">
        <v>728</v>
      </c>
      <c r="B29" s="51">
        <v>11.36</v>
      </c>
      <c r="C29" s="51">
        <v>18.899999999999999</v>
      </c>
      <c r="D29" s="51">
        <v>17.350000000000001</v>
      </c>
      <c r="E29" s="51">
        <v>4.49</v>
      </c>
      <c r="F29" s="51">
        <v>10.9</v>
      </c>
      <c r="G29" s="51">
        <v>22.66</v>
      </c>
      <c r="H29" s="51">
        <v>7.77</v>
      </c>
      <c r="I29" s="51">
        <v>1.43</v>
      </c>
      <c r="J29" s="51">
        <v>0.35</v>
      </c>
      <c r="K29" s="51">
        <v>139.93</v>
      </c>
      <c r="L29" s="51">
        <v>26.22</v>
      </c>
      <c r="M29" s="51">
        <v>97.86</v>
      </c>
      <c r="N29" s="51">
        <v>44.8</v>
      </c>
      <c r="O29" s="51">
        <v>0</v>
      </c>
      <c r="P29" s="51">
        <v>0.77</v>
      </c>
      <c r="Q29" s="51">
        <v>9.1199999999999992</v>
      </c>
      <c r="R29" s="43"/>
      <c r="S29" s="43"/>
      <c r="T29" s="43"/>
      <c r="U29" s="43"/>
    </row>
    <row r="30" spans="1:21" s="11" customFormat="1" x14ac:dyDescent="0.25">
      <c r="A30" s="50" t="s">
        <v>729</v>
      </c>
      <c r="B30" s="51">
        <v>19.579999999999998</v>
      </c>
      <c r="C30" s="51">
        <v>18.29</v>
      </c>
      <c r="D30" s="51">
        <v>24.9</v>
      </c>
      <c r="E30" s="51">
        <v>4.41</v>
      </c>
      <c r="F30" s="51">
        <v>9.84</v>
      </c>
      <c r="G30" s="51">
        <v>26.25</v>
      </c>
      <c r="H30" s="51">
        <v>6.59</v>
      </c>
      <c r="I30" s="51">
        <v>1.43</v>
      </c>
      <c r="J30" s="51">
        <v>0.44</v>
      </c>
      <c r="K30" s="51">
        <v>156.58000000000001</v>
      </c>
      <c r="L30" s="51">
        <v>25.96</v>
      </c>
      <c r="M30" s="51">
        <v>97.95</v>
      </c>
      <c r="N30" s="51">
        <v>45.2</v>
      </c>
      <c r="O30" s="51">
        <v>0</v>
      </c>
      <c r="P30" s="51">
        <v>0.85</v>
      </c>
      <c r="Q30" s="51">
        <v>9.1</v>
      </c>
      <c r="R30" s="43"/>
      <c r="S30" s="43"/>
      <c r="T30" s="43"/>
      <c r="U30" s="43"/>
    </row>
    <row r="31" spans="1:21" s="11" customFormat="1" x14ac:dyDescent="0.25">
      <c r="A31" s="50" t="s">
        <v>730</v>
      </c>
      <c r="B31" s="51">
        <v>12.18</v>
      </c>
      <c r="C31" s="51">
        <v>17.75</v>
      </c>
      <c r="D31" s="51">
        <v>19.04</v>
      </c>
      <c r="E31" s="51">
        <v>4.1100000000000003</v>
      </c>
      <c r="F31" s="51">
        <v>10.36</v>
      </c>
      <c r="G31" s="51">
        <v>27.28</v>
      </c>
      <c r="H31" s="51">
        <v>7.43</v>
      </c>
      <c r="I31" s="51">
        <v>1.62</v>
      </c>
      <c r="J31" s="51">
        <v>0.32</v>
      </c>
      <c r="K31" s="51">
        <v>173.74</v>
      </c>
      <c r="L31" s="51">
        <v>25.34</v>
      </c>
      <c r="M31" s="51">
        <v>97.95</v>
      </c>
      <c r="N31" s="51">
        <v>45.5</v>
      </c>
      <c r="O31" s="51">
        <v>0</v>
      </c>
      <c r="P31" s="51">
        <v>0.48</v>
      </c>
      <c r="Q31" s="51">
        <v>9.11</v>
      </c>
      <c r="R31" s="43"/>
      <c r="S31" s="43"/>
      <c r="T31" s="43"/>
      <c r="U31" s="43"/>
    </row>
    <row r="32" spans="1:21" s="11" customFormat="1" x14ac:dyDescent="0.25">
      <c r="A32" s="50" t="s">
        <v>731</v>
      </c>
      <c r="B32" s="51">
        <v>7.43</v>
      </c>
      <c r="C32" s="51">
        <v>12.21</v>
      </c>
      <c r="D32" s="51">
        <v>11.37</v>
      </c>
      <c r="E32" s="51">
        <v>4.97</v>
      </c>
      <c r="F32" s="51">
        <v>10.74</v>
      </c>
      <c r="G32" s="51">
        <v>24.1</v>
      </c>
      <c r="H32" s="51">
        <v>9.74</v>
      </c>
      <c r="I32" s="51">
        <v>1.52</v>
      </c>
      <c r="J32" s="51">
        <v>0.22</v>
      </c>
      <c r="K32" s="51">
        <v>209.69</v>
      </c>
      <c r="L32" s="51">
        <v>25.09</v>
      </c>
      <c r="M32" s="51">
        <v>97.95</v>
      </c>
      <c r="N32" s="51">
        <v>45.2</v>
      </c>
      <c r="O32" s="51">
        <v>0</v>
      </c>
      <c r="P32" s="51">
        <v>0.33</v>
      </c>
      <c r="Q32" s="51">
        <v>9.16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6.44</v>
      </c>
      <c r="C34" s="28">
        <f t="shared" si="0"/>
        <v>6.37</v>
      </c>
      <c r="D34" s="28">
        <f t="shared" si="0"/>
        <v>8.6</v>
      </c>
      <c r="E34" s="28">
        <f t="shared" si="0"/>
        <v>4.1100000000000003</v>
      </c>
      <c r="F34" s="28">
        <f t="shared" si="0"/>
        <v>9.48</v>
      </c>
      <c r="G34" s="28">
        <f t="shared" si="0"/>
        <v>2.5299999999999998</v>
      </c>
      <c r="H34" s="28">
        <f t="shared" si="0"/>
        <v>5.6</v>
      </c>
      <c r="I34" s="28">
        <f t="shared" si="0"/>
        <v>0.8</v>
      </c>
      <c r="J34" s="28">
        <f t="shared" si="0"/>
        <v>0.22</v>
      </c>
      <c r="K34" s="28">
        <f t="shared" si="0"/>
        <v>113.04</v>
      </c>
      <c r="L34" s="28">
        <f t="shared" si="0"/>
        <v>23.45</v>
      </c>
      <c r="M34" s="28">
        <f t="shared" si="0"/>
        <v>83.3</v>
      </c>
      <c r="N34" s="28">
        <f t="shared" si="0"/>
        <v>44.5</v>
      </c>
      <c r="O34" s="28">
        <f t="shared" si="0"/>
        <v>0</v>
      </c>
      <c r="P34" s="28">
        <f t="shared" si="0"/>
        <v>0.19</v>
      </c>
      <c r="Q34" s="28">
        <f t="shared" si="0"/>
        <v>9.01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19.579999999999998</v>
      </c>
      <c r="C35" s="29">
        <f t="shared" si="1"/>
        <v>19.91</v>
      </c>
      <c r="D35" s="29">
        <f t="shared" si="1"/>
        <v>24.9</v>
      </c>
      <c r="E35" s="29">
        <f t="shared" si="1"/>
        <v>4.99</v>
      </c>
      <c r="F35" s="29">
        <f t="shared" si="1"/>
        <v>41.71</v>
      </c>
      <c r="G35" s="29">
        <f t="shared" si="1"/>
        <v>27.28</v>
      </c>
      <c r="H35" s="29">
        <f t="shared" si="1"/>
        <v>10.93</v>
      </c>
      <c r="I35" s="29">
        <f t="shared" si="1"/>
        <v>1.62</v>
      </c>
      <c r="J35" s="29">
        <f t="shared" si="1"/>
        <v>1.66</v>
      </c>
      <c r="K35" s="29">
        <f t="shared" si="1"/>
        <v>209.69</v>
      </c>
      <c r="L35" s="29">
        <f t="shared" si="1"/>
        <v>29.58</v>
      </c>
      <c r="M35" s="29">
        <f t="shared" si="1"/>
        <v>98.08</v>
      </c>
      <c r="N35" s="29">
        <f t="shared" si="1"/>
        <v>964.6</v>
      </c>
      <c r="O35" s="29">
        <f t="shared" si="1"/>
        <v>0</v>
      </c>
      <c r="P35" s="29">
        <f t="shared" si="1"/>
        <v>0.85</v>
      </c>
      <c r="Q35" s="29">
        <f t="shared" si="1"/>
        <v>9.16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8.4870833333333326</v>
      </c>
      <c r="C36" s="28">
        <f t="shared" si="2"/>
        <v>10.873333333333335</v>
      </c>
      <c r="D36" s="28">
        <f t="shared" si="2"/>
        <v>12.217916666666666</v>
      </c>
      <c r="E36" s="28">
        <f t="shared" si="2"/>
        <v>4.5412499999999998</v>
      </c>
      <c r="F36" s="28">
        <f t="shared" si="2"/>
        <v>13.568333333333333</v>
      </c>
      <c r="G36" s="28">
        <f t="shared" si="2"/>
        <v>11.427083333333334</v>
      </c>
      <c r="H36" s="28">
        <f t="shared" si="2"/>
        <v>7.96875</v>
      </c>
      <c r="I36" s="28">
        <f t="shared" si="2"/>
        <v>1.0170833333333331</v>
      </c>
      <c r="J36" s="28">
        <f t="shared" si="2"/>
        <v>0.67958333333333332</v>
      </c>
      <c r="K36" s="28">
        <f t="shared" si="2"/>
        <v>139.85541666666668</v>
      </c>
      <c r="L36" s="28">
        <f t="shared" si="2"/>
        <v>26.075833333333339</v>
      </c>
      <c r="M36" s="28">
        <f t="shared" si="2"/>
        <v>95.087499999999963</v>
      </c>
      <c r="N36" s="28">
        <f t="shared" si="2"/>
        <v>219.62083333333328</v>
      </c>
      <c r="O36" s="28">
        <f t="shared" si="2"/>
        <v>0</v>
      </c>
      <c r="P36" s="28">
        <f t="shared" si="2"/>
        <v>0.36000000000000004</v>
      </c>
      <c r="Q36" s="28">
        <f t="shared" si="2"/>
        <v>9.067499999999999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2.7510985618660491</v>
      </c>
      <c r="C37" s="28">
        <f t="shared" ref="C37:Q37" si="3">STDEV(C9:C32)</f>
        <v>4.8151858212070717</v>
      </c>
      <c r="D37" s="28">
        <f t="shared" si="3"/>
        <v>4.1630768086227707</v>
      </c>
      <c r="E37" s="28">
        <f t="shared" si="3"/>
        <v>0.30310440875826211</v>
      </c>
      <c r="F37" s="28">
        <f t="shared" si="3"/>
        <v>6.6886514314183358</v>
      </c>
      <c r="G37" s="28">
        <f t="shared" si="3"/>
        <v>7.2822377587773364</v>
      </c>
      <c r="H37" s="28">
        <f t="shared" si="3"/>
        <v>1.5072558205877538</v>
      </c>
      <c r="I37" s="28">
        <f t="shared" si="3"/>
        <v>0.2464615529883914</v>
      </c>
      <c r="J37" s="28">
        <f t="shared" si="3"/>
        <v>0.33568203338312869</v>
      </c>
      <c r="K37" s="28">
        <f t="shared" si="3"/>
        <v>21.316743975848755</v>
      </c>
      <c r="L37" s="28">
        <f t="shared" si="3"/>
        <v>2.0212327634535239</v>
      </c>
      <c r="M37" s="28">
        <f t="shared" si="3"/>
        <v>5.0702227461574285</v>
      </c>
      <c r="N37" s="28">
        <f t="shared" si="3"/>
        <v>265.38777531422181</v>
      </c>
      <c r="O37" s="28">
        <f t="shared" si="3"/>
        <v>0</v>
      </c>
      <c r="P37" s="28">
        <f t="shared" si="3"/>
        <v>0.20368347140045287</v>
      </c>
      <c r="Q37" s="28">
        <f t="shared" si="3"/>
        <v>3.7329321730639145E-2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51" sqref="G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732</v>
      </c>
      <c r="B9" s="51">
        <v>8.6199999999999992</v>
      </c>
      <c r="C9" s="51">
        <v>7.29</v>
      </c>
      <c r="D9" s="51">
        <v>10.72</v>
      </c>
      <c r="E9" s="51">
        <v>5.0999999999999996</v>
      </c>
      <c r="F9" s="51">
        <v>12.64</v>
      </c>
      <c r="G9" s="51">
        <v>21.21</v>
      </c>
      <c r="H9" s="51">
        <v>7.97</v>
      </c>
      <c r="I9" s="51">
        <v>1.41</v>
      </c>
      <c r="J9" s="51">
        <v>0.14000000000000001</v>
      </c>
      <c r="K9" s="51">
        <v>332.87</v>
      </c>
      <c r="L9" s="51">
        <v>24.74</v>
      </c>
      <c r="M9" s="51">
        <v>98</v>
      </c>
      <c r="N9" s="51">
        <v>45.2</v>
      </c>
      <c r="O9" s="51">
        <v>0</v>
      </c>
      <c r="P9" s="51">
        <v>0.39</v>
      </c>
      <c r="Q9" s="51">
        <v>9.15</v>
      </c>
      <c r="R9" s="43"/>
      <c r="S9" s="43"/>
      <c r="T9" s="43"/>
      <c r="U9" s="43"/>
    </row>
    <row r="10" spans="1:21" s="11" customFormat="1" x14ac:dyDescent="0.25">
      <c r="A10" s="50" t="s">
        <v>733</v>
      </c>
      <c r="B10" s="51">
        <v>8.4</v>
      </c>
      <c r="C10" s="51">
        <v>6.78</v>
      </c>
      <c r="D10" s="51">
        <v>9.89</v>
      </c>
      <c r="E10" s="51">
        <v>5.17</v>
      </c>
      <c r="F10" s="51">
        <v>9.9700000000000006</v>
      </c>
      <c r="G10" s="51">
        <v>16.21</v>
      </c>
      <c r="H10" s="51">
        <v>6.73</v>
      </c>
      <c r="I10" s="51">
        <v>1.3</v>
      </c>
      <c r="J10" s="51">
        <v>0.16</v>
      </c>
      <c r="K10" s="51">
        <v>324.14</v>
      </c>
      <c r="L10" s="51">
        <v>23.82</v>
      </c>
      <c r="M10" s="51">
        <v>98.05</v>
      </c>
      <c r="N10" s="51">
        <v>45.8</v>
      </c>
      <c r="O10" s="51">
        <v>0</v>
      </c>
      <c r="P10" s="51">
        <v>0.37</v>
      </c>
      <c r="Q10" s="51">
        <v>9.1</v>
      </c>
      <c r="R10" s="43"/>
      <c r="S10" s="43"/>
      <c r="T10" s="43"/>
      <c r="U10" s="43"/>
    </row>
    <row r="11" spans="1:21" s="11" customFormat="1" x14ac:dyDescent="0.25">
      <c r="A11" s="50" t="s">
        <v>734</v>
      </c>
      <c r="B11" s="51">
        <v>8.52</v>
      </c>
      <c r="C11" s="51">
        <v>5.74</v>
      </c>
      <c r="D11" s="51">
        <v>9.68</v>
      </c>
      <c r="E11" s="51">
        <v>5.09</v>
      </c>
      <c r="F11" s="51">
        <v>11.73</v>
      </c>
      <c r="G11" s="51">
        <v>14.66</v>
      </c>
      <c r="H11" s="51">
        <v>5.87</v>
      </c>
      <c r="I11" s="51">
        <v>1.17</v>
      </c>
      <c r="J11" s="51">
        <v>0.28999999999999998</v>
      </c>
      <c r="K11" s="51">
        <v>317.45</v>
      </c>
      <c r="L11" s="51">
        <v>23.09</v>
      </c>
      <c r="M11" s="51">
        <v>98.03</v>
      </c>
      <c r="N11" s="51">
        <v>45.7</v>
      </c>
      <c r="O11" s="51">
        <v>0</v>
      </c>
      <c r="P11" s="51">
        <v>0.37</v>
      </c>
      <c r="Q11" s="51">
        <v>9.06</v>
      </c>
      <c r="R11" s="43"/>
      <c r="S11" s="43"/>
      <c r="T11" s="43"/>
      <c r="U11" s="43"/>
    </row>
    <row r="12" spans="1:21" s="11" customFormat="1" x14ac:dyDescent="0.25">
      <c r="A12" s="50" t="s">
        <v>735</v>
      </c>
      <c r="B12" s="51">
        <v>7.02</v>
      </c>
      <c r="C12" s="51">
        <v>5.98</v>
      </c>
      <c r="D12" s="51">
        <v>8.57</v>
      </c>
      <c r="E12" s="51">
        <v>4.87</v>
      </c>
      <c r="F12" s="51">
        <v>12.66</v>
      </c>
      <c r="G12" s="51">
        <v>10.49</v>
      </c>
      <c r="H12" s="51">
        <v>10.01</v>
      </c>
      <c r="I12" s="51">
        <v>1.0900000000000001</v>
      </c>
      <c r="J12" s="51">
        <v>0.08</v>
      </c>
      <c r="K12" s="51">
        <v>308.61</v>
      </c>
      <c r="L12" s="51">
        <v>22.94</v>
      </c>
      <c r="M12" s="51">
        <v>98.03</v>
      </c>
      <c r="N12" s="51">
        <v>45.2</v>
      </c>
      <c r="O12" s="51">
        <v>0</v>
      </c>
      <c r="P12" s="51">
        <v>0.28999999999999998</v>
      </c>
      <c r="Q12" s="51">
        <v>9.07</v>
      </c>
      <c r="R12" s="43"/>
      <c r="S12" s="43"/>
      <c r="T12" s="43"/>
      <c r="U12" s="43"/>
    </row>
    <row r="13" spans="1:21" s="11" customFormat="1" x14ac:dyDescent="0.25">
      <c r="A13" s="50" t="s">
        <v>736</v>
      </c>
      <c r="B13" s="51">
        <v>10.82</v>
      </c>
      <c r="C13" s="51">
        <v>9.5299999999999994</v>
      </c>
      <c r="D13" s="51">
        <v>13.65</v>
      </c>
      <c r="E13" s="51">
        <v>5.23</v>
      </c>
      <c r="F13" s="51">
        <v>9.73</v>
      </c>
      <c r="G13" s="51">
        <v>13.66</v>
      </c>
      <c r="H13" s="51">
        <v>8.16</v>
      </c>
      <c r="I13" s="51">
        <v>1.18</v>
      </c>
      <c r="J13" s="51">
        <v>0.09</v>
      </c>
      <c r="K13" s="51">
        <v>288.86</v>
      </c>
      <c r="L13" s="51">
        <v>23.03</v>
      </c>
      <c r="M13" s="51">
        <v>98.03</v>
      </c>
      <c r="N13" s="51">
        <v>45.4</v>
      </c>
      <c r="O13" s="51">
        <v>0</v>
      </c>
      <c r="P13" s="51">
        <v>0.34</v>
      </c>
      <c r="Q13" s="51">
        <v>9.09</v>
      </c>
      <c r="R13" s="43"/>
      <c r="S13" s="43"/>
      <c r="T13" s="43"/>
      <c r="U13" s="43"/>
    </row>
    <row r="14" spans="1:21" s="11" customFormat="1" x14ac:dyDescent="0.25">
      <c r="A14" s="50" t="s">
        <v>737</v>
      </c>
      <c r="B14" s="51">
        <v>9.6199999999999992</v>
      </c>
      <c r="C14" s="51">
        <v>9.1</v>
      </c>
      <c r="D14" s="51">
        <v>12.47</v>
      </c>
      <c r="E14" s="51">
        <v>5.0999999999999996</v>
      </c>
      <c r="F14" s="51">
        <v>7.77</v>
      </c>
      <c r="G14" s="51">
        <v>10.210000000000001</v>
      </c>
      <c r="H14" s="51">
        <v>6.87</v>
      </c>
      <c r="I14" s="51">
        <v>1.22</v>
      </c>
      <c r="J14" s="51">
        <v>0.05</v>
      </c>
      <c r="K14" s="51">
        <v>309.68</v>
      </c>
      <c r="L14" s="51">
        <v>22.9</v>
      </c>
      <c r="M14" s="51">
        <v>98.07</v>
      </c>
      <c r="N14" s="51">
        <v>49.2</v>
      </c>
      <c r="O14" s="51">
        <v>0</v>
      </c>
      <c r="P14" s="51">
        <v>0.33</v>
      </c>
      <c r="Q14" s="51">
        <v>9.1</v>
      </c>
      <c r="R14" s="43"/>
      <c r="S14" s="43"/>
      <c r="T14" s="43"/>
      <c r="U14" s="43"/>
    </row>
    <row r="15" spans="1:21" s="11" customFormat="1" x14ac:dyDescent="0.25">
      <c r="A15" s="50" t="s">
        <v>738</v>
      </c>
      <c r="B15" s="51">
        <v>8.84</v>
      </c>
      <c r="C15" s="51">
        <v>8.43</v>
      </c>
      <c r="D15" s="51">
        <v>10.98</v>
      </c>
      <c r="E15" s="51">
        <v>4.8600000000000003</v>
      </c>
      <c r="F15" s="51">
        <v>9.52</v>
      </c>
      <c r="G15" s="51">
        <v>9.3000000000000007</v>
      </c>
      <c r="H15" s="51">
        <v>5.96</v>
      </c>
      <c r="I15" s="51">
        <v>1.23</v>
      </c>
      <c r="J15" s="51">
        <v>0.1</v>
      </c>
      <c r="K15" s="51">
        <v>178.63</v>
      </c>
      <c r="L15" s="51">
        <v>23.39</v>
      </c>
      <c r="M15" s="51">
        <v>98.12</v>
      </c>
      <c r="N15" s="51">
        <v>74.599999999999994</v>
      </c>
      <c r="O15" s="51">
        <v>0</v>
      </c>
      <c r="P15" s="51">
        <v>0.35</v>
      </c>
      <c r="Q15" s="51">
        <v>9.06</v>
      </c>
      <c r="R15" s="43"/>
      <c r="S15" s="43"/>
      <c r="T15" s="43"/>
      <c r="U15" s="43"/>
    </row>
    <row r="16" spans="1:21" s="11" customFormat="1" x14ac:dyDescent="0.25">
      <c r="A16" s="50" t="s">
        <v>739</v>
      </c>
      <c r="B16" s="51">
        <v>14.67</v>
      </c>
      <c r="C16" s="51">
        <v>10.7</v>
      </c>
      <c r="D16" s="51">
        <v>17.32</v>
      </c>
      <c r="E16" s="51">
        <v>5.15</v>
      </c>
      <c r="F16" s="51">
        <v>9.91</v>
      </c>
      <c r="G16" s="51">
        <v>6.66</v>
      </c>
      <c r="H16" s="51">
        <v>7.97</v>
      </c>
      <c r="I16" s="51">
        <v>1.22</v>
      </c>
      <c r="J16" s="51">
        <v>0.09</v>
      </c>
      <c r="K16" s="51">
        <v>352.46</v>
      </c>
      <c r="L16" s="51">
        <v>23.82</v>
      </c>
      <c r="M16" s="51">
        <v>98.34</v>
      </c>
      <c r="N16" s="51">
        <v>109.2</v>
      </c>
      <c r="O16" s="51">
        <v>0</v>
      </c>
      <c r="P16" s="51">
        <v>0.39</v>
      </c>
      <c r="Q16" s="51">
        <v>9.1</v>
      </c>
      <c r="R16" s="43"/>
      <c r="S16" s="43"/>
      <c r="T16" s="43"/>
      <c r="U16" s="43"/>
    </row>
    <row r="17" spans="1:21" s="11" customFormat="1" x14ac:dyDescent="0.25">
      <c r="A17" s="50" t="s">
        <v>740</v>
      </c>
      <c r="B17" s="51">
        <v>20.03</v>
      </c>
      <c r="C17" s="51">
        <v>10.57</v>
      </c>
      <c r="D17" s="51">
        <v>21.51</v>
      </c>
      <c r="E17" s="51">
        <v>4.62</v>
      </c>
      <c r="F17" s="51">
        <v>10.26</v>
      </c>
      <c r="G17" s="51">
        <v>4.66</v>
      </c>
      <c r="H17" s="51">
        <v>6.81</v>
      </c>
      <c r="I17" s="51">
        <v>1.24</v>
      </c>
      <c r="J17" s="51">
        <v>0.09</v>
      </c>
      <c r="K17" s="51">
        <v>358.19</v>
      </c>
      <c r="L17" s="51">
        <v>24.31</v>
      </c>
      <c r="M17" s="51">
        <v>98.02</v>
      </c>
      <c r="N17" s="51">
        <v>149.1</v>
      </c>
      <c r="O17" s="51">
        <v>0</v>
      </c>
      <c r="P17" s="51">
        <v>0.4</v>
      </c>
      <c r="Q17" s="51">
        <v>9.1199999999999992</v>
      </c>
      <c r="R17" s="43"/>
      <c r="S17" s="43"/>
      <c r="T17" s="43"/>
      <c r="U17" s="43"/>
    </row>
    <row r="18" spans="1:21" s="11" customFormat="1" x14ac:dyDescent="0.25">
      <c r="A18" s="50" t="s">
        <v>741</v>
      </c>
      <c r="B18" s="51">
        <v>15.23</v>
      </c>
      <c r="C18" s="51">
        <v>9.7100000000000009</v>
      </c>
      <c r="D18" s="51">
        <v>17.29</v>
      </c>
      <c r="E18" s="51">
        <v>4.72</v>
      </c>
      <c r="F18" s="51">
        <v>8.98</v>
      </c>
      <c r="G18" s="51">
        <v>11.74</v>
      </c>
      <c r="H18" s="51">
        <v>6.04</v>
      </c>
      <c r="I18" s="51">
        <v>1.24</v>
      </c>
      <c r="J18" s="51">
        <v>0.12</v>
      </c>
      <c r="K18" s="51">
        <v>285.73</v>
      </c>
      <c r="L18" s="51">
        <v>25.06</v>
      </c>
      <c r="M18" s="51">
        <v>97.98</v>
      </c>
      <c r="N18" s="51">
        <v>226</v>
      </c>
      <c r="O18" s="51">
        <v>0</v>
      </c>
      <c r="P18" s="51">
        <v>0.42</v>
      </c>
      <c r="Q18" s="51">
        <v>9.16</v>
      </c>
      <c r="R18" s="43"/>
      <c r="S18" s="43"/>
      <c r="T18" s="43"/>
      <c r="U18" s="43"/>
    </row>
    <row r="19" spans="1:21" s="11" customFormat="1" x14ac:dyDescent="0.25">
      <c r="A19" s="50" t="s">
        <v>742</v>
      </c>
      <c r="B19" s="51">
        <v>13.42</v>
      </c>
      <c r="C19" s="51">
        <v>8.85</v>
      </c>
      <c r="D19" s="51">
        <v>15.35</v>
      </c>
      <c r="E19" s="51">
        <v>4.7300000000000004</v>
      </c>
      <c r="F19" s="51">
        <v>9.6199999999999992</v>
      </c>
      <c r="G19" s="51">
        <v>12.87</v>
      </c>
      <c r="H19" s="51">
        <v>5.52</v>
      </c>
      <c r="I19" s="51">
        <v>1.25</v>
      </c>
      <c r="J19" s="51">
        <v>0.18</v>
      </c>
      <c r="K19" s="51">
        <v>322</v>
      </c>
      <c r="L19" s="51">
        <v>26.94</v>
      </c>
      <c r="M19" s="51">
        <v>97.93</v>
      </c>
      <c r="N19" s="51">
        <v>391.7</v>
      </c>
      <c r="O19" s="51">
        <v>0</v>
      </c>
      <c r="P19" s="51">
        <v>0.37</v>
      </c>
      <c r="Q19" s="51">
        <v>9.18</v>
      </c>
      <c r="R19" s="43"/>
      <c r="S19" s="43"/>
      <c r="T19" s="43"/>
      <c r="U19" s="43"/>
    </row>
    <row r="20" spans="1:21" s="11" customFormat="1" x14ac:dyDescent="0.25">
      <c r="A20" s="50" t="s">
        <v>743</v>
      </c>
      <c r="B20" s="51">
        <v>14.81</v>
      </c>
      <c r="C20" s="51">
        <v>10.95</v>
      </c>
      <c r="D20" s="51">
        <v>17.600000000000001</v>
      </c>
      <c r="E20" s="51">
        <v>4.79</v>
      </c>
      <c r="F20" s="51">
        <v>9.39</v>
      </c>
      <c r="G20" s="51">
        <v>16.41</v>
      </c>
      <c r="H20" s="51">
        <v>11.79</v>
      </c>
      <c r="I20" s="51">
        <v>1.27</v>
      </c>
      <c r="J20" s="51">
        <v>0.76</v>
      </c>
      <c r="K20" s="51">
        <v>337.89</v>
      </c>
      <c r="L20" s="51">
        <v>29.67</v>
      </c>
      <c r="M20" s="51">
        <v>95.19</v>
      </c>
      <c r="N20" s="51">
        <v>481</v>
      </c>
      <c r="O20" s="51">
        <v>0</v>
      </c>
      <c r="P20" s="51">
        <v>0.57999999999999996</v>
      </c>
      <c r="Q20" s="51">
        <v>9.17</v>
      </c>
      <c r="R20" s="43"/>
      <c r="S20" s="43"/>
      <c r="T20" s="43"/>
      <c r="U20" s="43"/>
    </row>
    <row r="21" spans="1:21" s="11" customFormat="1" x14ac:dyDescent="0.25">
      <c r="A21" s="50" t="s">
        <v>744</v>
      </c>
      <c r="B21" s="51">
        <v>20.239999999999998</v>
      </c>
      <c r="C21" s="51">
        <v>21.76</v>
      </c>
      <c r="D21" s="51">
        <v>27.6</v>
      </c>
      <c r="E21" s="51">
        <v>5.07</v>
      </c>
      <c r="F21" s="51">
        <v>14.79</v>
      </c>
      <c r="G21" s="51">
        <v>29.61</v>
      </c>
      <c r="H21" s="51">
        <v>12.28</v>
      </c>
      <c r="I21" s="51">
        <v>1.55</v>
      </c>
      <c r="J21" s="51">
        <v>0.83</v>
      </c>
      <c r="K21" s="51">
        <v>342.65</v>
      </c>
      <c r="L21" s="51">
        <v>30.56</v>
      </c>
      <c r="M21" s="51">
        <v>80.91</v>
      </c>
      <c r="N21" s="51">
        <v>573.4</v>
      </c>
      <c r="O21" s="51">
        <v>0.2</v>
      </c>
      <c r="P21" s="51">
        <v>0.67</v>
      </c>
      <c r="Q21" s="51">
        <v>9.15</v>
      </c>
      <c r="R21" s="43"/>
      <c r="S21" s="43"/>
      <c r="T21" s="43"/>
      <c r="U21" s="43"/>
    </row>
    <row r="22" spans="1:21" s="11" customFormat="1" x14ac:dyDescent="0.25">
      <c r="A22" s="50" t="s">
        <v>745</v>
      </c>
      <c r="B22" s="51">
        <v>17.600000000000001</v>
      </c>
      <c r="C22" s="51">
        <v>27.48</v>
      </c>
      <c r="D22" s="51">
        <v>28.41</v>
      </c>
      <c r="E22" s="51">
        <v>4.88</v>
      </c>
      <c r="F22" s="51">
        <v>19.93</v>
      </c>
      <c r="G22" s="51">
        <v>43.46</v>
      </c>
      <c r="H22" s="51">
        <v>11.41</v>
      </c>
      <c r="I22" s="51">
        <v>1.93</v>
      </c>
      <c r="J22" s="51">
        <v>0.49</v>
      </c>
      <c r="K22" s="51">
        <v>346.53</v>
      </c>
      <c r="L22" s="51">
        <v>30.07</v>
      </c>
      <c r="M22" s="51">
        <v>82.07</v>
      </c>
      <c r="N22" s="51">
        <v>348.8</v>
      </c>
      <c r="O22" s="51">
        <v>0</v>
      </c>
      <c r="P22" s="51">
        <v>0.83</v>
      </c>
      <c r="Q22" s="51">
        <v>9.1300000000000008</v>
      </c>
      <c r="R22" s="43"/>
      <c r="S22" s="43"/>
      <c r="T22" s="43"/>
      <c r="U22" s="43"/>
    </row>
    <row r="23" spans="1:21" s="11" customFormat="1" x14ac:dyDescent="0.25">
      <c r="A23" s="50" t="s">
        <v>746</v>
      </c>
      <c r="B23" s="51">
        <v>19.2</v>
      </c>
      <c r="C23" s="51">
        <v>25.57</v>
      </c>
      <c r="D23" s="51">
        <v>28.07</v>
      </c>
      <c r="E23" s="51">
        <v>5.08</v>
      </c>
      <c r="F23" s="51">
        <v>18.62</v>
      </c>
      <c r="G23" s="51">
        <v>48.01</v>
      </c>
      <c r="H23" s="51">
        <v>9.3000000000000007</v>
      </c>
      <c r="I23" s="51">
        <v>2.0499999999999998</v>
      </c>
      <c r="J23" s="51">
        <v>0.81</v>
      </c>
      <c r="K23" s="51">
        <v>343.57</v>
      </c>
      <c r="L23" s="51">
        <v>28.79</v>
      </c>
      <c r="M23" s="51">
        <v>88.39</v>
      </c>
      <c r="N23" s="51">
        <v>148.4</v>
      </c>
      <c r="O23" s="51">
        <v>0</v>
      </c>
      <c r="P23" s="51">
        <v>0.79</v>
      </c>
      <c r="Q23" s="51">
        <v>9.16</v>
      </c>
      <c r="R23" s="43"/>
      <c r="S23" s="43"/>
      <c r="T23" s="43"/>
      <c r="U23" s="43"/>
    </row>
    <row r="24" spans="1:21" s="11" customFormat="1" x14ac:dyDescent="0.25">
      <c r="A24" s="50" t="s">
        <v>747</v>
      </c>
      <c r="B24" s="51">
        <v>18.07</v>
      </c>
      <c r="C24" s="51">
        <v>25.3</v>
      </c>
      <c r="D24" s="51">
        <v>27.67</v>
      </c>
      <c r="E24" s="51">
        <v>5.46</v>
      </c>
      <c r="F24" s="51">
        <v>15.02</v>
      </c>
      <c r="G24" s="51">
        <v>55.85</v>
      </c>
      <c r="H24" s="51">
        <v>7.66</v>
      </c>
      <c r="I24" s="51">
        <v>1.98</v>
      </c>
      <c r="J24" s="51">
        <v>0.68</v>
      </c>
      <c r="K24" s="51">
        <v>353.89</v>
      </c>
      <c r="L24" s="51">
        <v>28.06</v>
      </c>
      <c r="M24" s="51">
        <v>94.37</v>
      </c>
      <c r="N24" s="51">
        <v>151.19999999999999</v>
      </c>
      <c r="O24" s="51">
        <v>0</v>
      </c>
      <c r="P24" s="51">
        <v>0.88</v>
      </c>
      <c r="Q24" s="51">
        <v>9.18</v>
      </c>
      <c r="R24" s="43"/>
      <c r="S24" s="43"/>
      <c r="T24" s="43"/>
      <c r="U24" s="43"/>
    </row>
    <row r="25" spans="1:21" s="11" customFormat="1" x14ac:dyDescent="0.25">
      <c r="A25" s="50" t="s">
        <v>748</v>
      </c>
      <c r="B25" s="51">
        <v>24.95</v>
      </c>
      <c r="C25" s="51">
        <v>33.83</v>
      </c>
      <c r="D25" s="51">
        <v>37.68</v>
      </c>
      <c r="E25" s="51">
        <v>4.74</v>
      </c>
      <c r="F25" s="51">
        <v>15.1</v>
      </c>
      <c r="G25" s="51">
        <v>68.89</v>
      </c>
      <c r="H25" s="51">
        <v>6.55</v>
      </c>
      <c r="I25" s="51">
        <v>2.0499999999999998</v>
      </c>
      <c r="J25" s="51">
        <v>0.35</v>
      </c>
      <c r="K25" s="51">
        <v>342.55</v>
      </c>
      <c r="L25" s="51">
        <v>27.74</v>
      </c>
      <c r="M25" s="51">
        <v>97.82</v>
      </c>
      <c r="N25" s="51">
        <v>107.5</v>
      </c>
      <c r="O25" s="51">
        <v>0</v>
      </c>
      <c r="P25" s="51">
        <v>1.04</v>
      </c>
      <c r="Q25" s="51">
        <v>9.17</v>
      </c>
      <c r="R25" s="43"/>
      <c r="S25" s="43"/>
      <c r="T25" s="43"/>
      <c r="U25" s="43"/>
    </row>
    <row r="26" spans="1:21" s="11" customFormat="1" x14ac:dyDescent="0.25">
      <c r="A26" s="50" t="s">
        <v>749</v>
      </c>
      <c r="B26" s="51">
        <v>30.95</v>
      </c>
      <c r="C26" s="51">
        <v>30.14</v>
      </c>
      <c r="D26" s="51">
        <v>34.71</v>
      </c>
      <c r="E26" s="51">
        <v>4.8499999999999996</v>
      </c>
      <c r="F26" s="51">
        <v>14.81</v>
      </c>
      <c r="G26" s="51">
        <v>72.53</v>
      </c>
      <c r="H26" s="51">
        <v>6.75</v>
      </c>
      <c r="I26" s="51">
        <v>2.12</v>
      </c>
      <c r="J26" s="51">
        <v>0.36</v>
      </c>
      <c r="K26" s="51">
        <v>168.4</v>
      </c>
      <c r="L26" s="51">
        <v>26.42</v>
      </c>
      <c r="M26" s="51">
        <v>97.97</v>
      </c>
      <c r="N26" s="51">
        <v>60.7</v>
      </c>
      <c r="O26" s="51">
        <v>0</v>
      </c>
      <c r="P26" s="51">
        <v>0.93</v>
      </c>
      <c r="Q26" s="51">
        <v>9.17</v>
      </c>
      <c r="R26" s="43"/>
      <c r="S26" s="43"/>
      <c r="T26" s="43"/>
      <c r="U26" s="43"/>
    </row>
    <row r="27" spans="1:21" s="11" customFormat="1" x14ac:dyDescent="0.25">
      <c r="A27" s="50" t="s">
        <v>750</v>
      </c>
      <c r="B27" s="51">
        <v>17.809999999999999</v>
      </c>
      <c r="C27" s="51">
        <v>33.03</v>
      </c>
      <c r="D27" s="51">
        <v>28.63</v>
      </c>
      <c r="E27" s="51">
        <v>4.8099999999999996</v>
      </c>
      <c r="F27" s="51">
        <v>12.66</v>
      </c>
      <c r="G27" s="51">
        <v>76.98</v>
      </c>
      <c r="H27" s="51">
        <v>6.3</v>
      </c>
      <c r="I27" s="51">
        <v>2.15</v>
      </c>
      <c r="J27" s="51">
        <v>0.31</v>
      </c>
      <c r="K27" s="51">
        <v>142.19999999999999</v>
      </c>
      <c r="L27" s="51">
        <v>26.12</v>
      </c>
      <c r="M27" s="51">
        <v>97.98</v>
      </c>
      <c r="N27" s="51">
        <v>45.6</v>
      </c>
      <c r="O27" s="51">
        <v>0</v>
      </c>
      <c r="P27" s="51">
        <v>0.83</v>
      </c>
      <c r="Q27" s="51">
        <v>9.2100000000000009</v>
      </c>
      <c r="R27" s="43"/>
      <c r="S27" s="43"/>
      <c r="T27" s="43"/>
      <c r="U27" s="43"/>
    </row>
    <row r="28" spans="1:21" s="11" customFormat="1" x14ac:dyDescent="0.25">
      <c r="A28" s="50" t="s">
        <v>751</v>
      </c>
      <c r="B28" s="51">
        <v>15.97</v>
      </c>
      <c r="C28" s="51">
        <v>25.99</v>
      </c>
      <c r="D28" s="51">
        <v>26.39</v>
      </c>
      <c r="E28" s="51">
        <v>4.5599999999999996</v>
      </c>
      <c r="F28" s="51">
        <v>13.59</v>
      </c>
      <c r="G28" s="51">
        <v>68.13</v>
      </c>
      <c r="H28" s="51">
        <v>7.93</v>
      </c>
      <c r="I28" s="51">
        <v>2.2400000000000002</v>
      </c>
      <c r="J28" s="51">
        <v>0.28000000000000003</v>
      </c>
      <c r="K28" s="51">
        <v>184.2</v>
      </c>
      <c r="L28" s="51">
        <v>25.92</v>
      </c>
      <c r="M28" s="51">
        <v>98.03</v>
      </c>
      <c r="N28" s="51">
        <v>45.6</v>
      </c>
      <c r="O28" s="51">
        <v>0</v>
      </c>
      <c r="P28" s="51">
        <v>0.81</v>
      </c>
      <c r="Q28" s="51">
        <v>9.23</v>
      </c>
      <c r="R28" s="43"/>
      <c r="S28" s="43"/>
      <c r="T28" s="43"/>
      <c r="U28" s="43"/>
    </row>
    <row r="29" spans="1:21" s="11" customFormat="1" x14ac:dyDescent="0.25">
      <c r="A29" s="50" t="s">
        <v>752</v>
      </c>
      <c r="B29" s="51">
        <v>12.33</v>
      </c>
      <c r="C29" s="51">
        <v>24.86</v>
      </c>
      <c r="D29" s="51">
        <v>21.48</v>
      </c>
      <c r="E29" s="51">
        <v>4.7</v>
      </c>
      <c r="F29" s="51">
        <v>9.5299999999999994</v>
      </c>
      <c r="G29" s="51">
        <v>76.010000000000005</v>
      </c>
      <c r="H29" s="51">
        <v>6.95</v>
      </c>
      <c r="I29" s="51">
        <v>2.3199999999999998</v>
      </c>
      <c r="J29" s="51">
        <v>0.61</v>
      </c>
      <c r="K29" s="51">
        <v>213.72</v>
      </c>
      <c r="L29" s="51">
        <v>25.65</v>
      </c>
      <c r="M29" s="51">
        <v>98.11</v>
      </c>
      <c r="N29" s="51">
        <v>45.6</v>
      </c>
      <c r="O29" s="51">
        <v>0</v>
      </c>
      <c r="P29" s="51">
        <v>0.94</v>
      </c>
      <c r="Q29" s="51">
        <v>9.18</v>
      </c>
      <c r="R29" s="43"/>
      <c r="S29" s="43"/>
      <c r="T29" s="43"/>
      <c r="U29" s="43"/>
    </row>
    <row r="30" spans="1:21" s="11" customFormat="1" x14ac:dyDescent="0.25">
      <c r="A30" s="50" t="s">
        <v>753</v>
      </c>
      <c r="B30" s="51">
        <v>7.42</v>
      </c>
      <c r="C30" s="51">
        <v>22.35</v>
      </c>
      <c r="D30" s="51">
        <v>17</v>
      </c>
      <c r="E30" s="51">
        <v>4.58</v>
      </c>
      <c r="F30" s="51">
        <v>11.79</v>
      </c>
      <c r="G30" s="51">
        <v>79.73</v>
      </c>
      <c r="H30" s="51">
        <v>7.98</v>
      </c>
      <c r="I30" s="51">
        <v>2.42</v>
      </c>
      <c r="J30" s="51">
        <v>7.0000000000000007E-2</v>
      </c>
      <c r="K30" s="51">
        <v>107.37</v>
      </c>
      <c r="L30" s="51">
        <v>25.24</v>
      </c>
      <c r="M30" s="51">
        <v>98.25</v>
      </c>
      <c r="N30" s="51">
        <v>45.5</v>
      </c>
      <c r="O30" s="51">
        <v>0</v>
      </c>
      <c r="P30" s="51">
        <v>0.86</v>
      </c>
      <c r="Q30" s="51">
        <v>9.15</v>
      </c>
      <c r="R30" s="43"/>
      <c r="S30" s="43"/>
      <c r="T30" s="43"/>
      <c r="U30" s="43"/>
    </row>
    <row r="31" spans="1:21" s="11" customFormat="1" x14ac:dyDescent="0.25">
      <c r="A31" s="50" t="s">
        <v>754</v>
      </c>
      <c r="B31" s="51">
        <v>8.8000000000000007</v>
      </c>
      <c r="C31" s="51">
        <v>16.22</v>
      </c>
      <c r="D31" s="51">
        <v>14.58</v>
      </c>
      <c r="E31" s="51">
        <v>4.71</v>
      </c>
      <c r="F31" s="51">
        <v>8.94</v>
      </c>
      <c r="G31" s="51">
        <v>72.87</v>
      </c>
      <c r="H31" s="51">
        <v>7.38</v>
      </c>
      <c r="I31" s="51">
        <v>2.44</v>
      </c>
      <c r="J31" s="51">
        <v>0.14000000000000001</v>
      </c>
      <c r="K31" s="51">
        <v>152.56</v>
      </c>
      <c r="L31" s="51">
        <v>24.79</v>
      </c>
      <c r="M31" s="51">
        <v>98.25</v>
      </c>
      <c r="N31" s="51">
        <v>45.3</v>
      </c>
      <c r="O31" s="51">
        <v>0</v>
      </c>
      <c r="P31" s="51">
        <v>0.68</v>
      </c>
      <c r="Q31" s="51">
        <v>9.14</v>
      </c>
      <c r="R31" s="43"/>
      <c r="S31" s="43"/>
      <c r="T31" s="43"/>
      <c r="U31" s="43"/>
    </row>
    <row r="32" spans="1:21" s="11" customFormat="1" x14ac:dyDescent="0.25">
      <c r="A32" s="50" t="s">
        <v>755</v>
      </c>
      <c r="B32" s="51">
        <v>6.89</v>
      </c>
      <c r="C32" s="51">
        <v>12.89</v>
      </c>
      <c r="D32" s="51">
        <v>12.11</v>
      </c>
      <c r="E32" s="51">
        <v>5.46</v>
      </c>
      <c r="F32" s="51">
        <v>8.91</v>
      </c>
      <c r="G32" s="51">
        <v>57.55</v>
      </c>
      <c r="H32" s="51">
        <v>7.87</v>
      </c>
      <c r="I32" s="51">
        <v>2.39</v>
      </c>
      <c r="J32" s="51">
        <v>0.51</v>
      </c>
      <c r="K32" s="51">
        <v>146.91999999999999</v>
      </c>
      <c r="L32" s="51">
        <v>24.47</v>
      </c>
      <c r="M32" s="51">
        <v>98.15</v>
      </c>
      <c r="N32" s="51">
        <v>45.2</v>
      </c>
      <c r="O32" s="51">
        <v>0</v>
      </c>
      <c r="P32" s="51">
        <v>0.52</v>
      </c>
      <c r="Q32" s="51">
        <v>9.16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6.89</v>
      </c>
      <c r="C34" s="28">
        <f t="shared" si="0"/>
        <v>5.74</v>
      </c>
      <c r="D34" s="28">
        <f t="shared" si="0"/>
        <v>8.57</v>
      </c>
      <c r="E34" s="28">
        <f t="shared" si="0"/>
        <v>4.5599999999999996</v>
      </c>
      <c r="F34" s="28">
        <f t="shared" si="0"/>
        <v>7.77</v>
      </c>
      <c r="G34" s="28">
        <f t="shared" si="0"/>
        <v>4.66</v>
      </c>
      <c r="H34" s="28">
        <f t="shared" si="0"/>
        <v>5.52</v>
      </c>
      <c r="I34" s="28">
        <f t="shared" si="0"/>
        <v>1.0900000000000001</v>
      </c>
      <c r="J34" s="28">
        <f t="shared" si="0"/>
        <v>0.05</v>
      </c>
      <c r="K34" s="28">
        <f t="shared" si="0"/>
        <v>107.37</v>
      </c>
      <c r="L34" s="28">
        <f t="shared" si="0"/>
        <v>22.9</v>
      </c>
      <c r="M34" s="28">
        <f t="shared" si="0"/>
        <v>80.91</v>
      </c>
      <c r="N34" s="28">
        <f t="shared" si="0"/>
        <v>45.2</v>
      </c>
      <c r="O34" s="28">
        <f t="shared" si="0"/>
        <v>0</v>
      </c>
      <c r="P34" s="28">
        <f t="shared" si="0"/>
        <v>0.28999999999999998</v>
      </c>
      <c r="Q34" s="28">
        <f t="shared" si="0"/>
        <v>9.06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30.95</v>
      </c>
      <c r="C35" s="29">
        <f t="shared" si="1"/>
        <v>33.83</v>
      </c>
      <c r="D35" s="29">
        <f t="shared" si="1"/>
        <v>37.68</v>
      </c>
      <c r="E35" s="29">
        <f t="shared" si="1"/>
        <v>5.46</v>
      </c>
      <c r="F35" s="29">
        <f t="shared" si="1"/>
        <v>19.93</v>
      </c>
      <c r="G35" s="29">
        <f t="shared" si="1"/>
        <v>79.73</v>
      </c>
      <c r="H35" s="29">
        <f t="shared" si="1"/>
        <v>12.28</v>
      </c>
      <c r="I35" s="29">
        <f t="shared" si="1"/>
        <v>2.44</v>
      </c>
      <c r="J35" s="29">
        <f t="shared" si="1"/>
        <v>0.83</v>
      </c>
      <c r="K35" s="29">
        <f t="shared" si="1"/>
        <v>358.19</v>
      </c>
      <c r="L35" s="29">
        <f t="shared" si="1"/>
        <v>30.56</v>
      </c>
      <c r="M35" s="29">
        <f t="shared" si="1"/>
        <v>98.34</v>
      </c>
      <c r="N35" s="29">
        <f t="shared" si="1"/>
        <v>573.4</v>
      </c>
      <c r="O35" s="29">
        <f t="shared" si="1"/>
        <v>0.2</v>
      </c>
      <c r="P35" s="29">
        <f t="shared" si="1"/>
        <v>1.04</v>
      </c>
      <c r="Q35" s="29">
        <f t="shared" si="1"/>
        <v>9.23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14.176250000000001</v>
      </c>
      <c r="C36" s="28">
        <f t="shared" si="2"/>
        <v>16.793750000000003</v>
      </c>
      <c r="D36" s="28">
        <f t="shared" si="2"/>
        <v>19.556666666666665</v>
      </c>
      <c r="E36" s="28">
        <f t="shared" si="2"/>
        <v>4.9304166666666651</v>
      </c>
      <c r="F36" s="28">
        <f t="shared" si="2"/>
        <v>11.911250000000003</v>
      </c>
      <c r="G36" s="28">
        <f t="shared" si="2"/>
        <v>37.404166666666669</v>
      </c>
      <c r="H36" s="28">
        <f t="shared" si="2"/>
        <v>7.8358333333333334</v>
      </c>
      <c r="I36" s="28">
        <f t="shared" si="2"/>
        <v>1.6858333333333333</v>
      </c>
      <c r="J36" s="28">
        <f t="shared" si="2"/>
        <v>0.31624999999999998</v>
      </c>
      <c r="K36" s="28">
        <f t="shared" si="2"/>
        <v>273.37791666666669</v>
      </c>
      <c r="L36" s="28">
        <f t="shared" si="2"/>
        <v>25.730833333333337</v>
      </c>
      <c r="M36" s="28">
        <f t="shared" si="2"/>
        <v>96.003750000000011</v>
      </c>
      <c r="N36" s="28">
        <f t="shared" si="2"/>
        <v>140.45416666666665</v>
      </c>
      <c r="O36" s="28">
        <f t="shared" si="2"/>
        <v>8.3333333333333332E-3</v>
      </c>
      <c r="P36" s="28">
        <f t="shared" si="2"/>
        <v>0.59916666666666651</v>
      </c>
      <c r="Q36" s="28">
        <f t="shared" si="2"/>
        <v>9.1412500000000012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6.1796621636236484</v>
      </c>
      <c r="C37" s="28">
        <f t="shared" ref="C37:Q37" si="3">STDEV(C9:C32)</f>
        <v>9.4436874764137446</v>
      </c>
      <c r="D37" s="28">
        <f t="shared" si="3"/>
        <v>8.4515754469940134</v>
      </c>
      <c r="E37" s="28">
        <f t="shared" si="3"/>
        <v>0.25637064144925303</v>
      </c>
      <c r="F37" s="28">
        <f t="shared" si="3"/>
        <v>3.1772223478733812</v>
      </c>
      <c r="G37" s="28">
        <f t="shared" si="3"/>
        <v>27.97219580951408</v>
      </c>
      <c r="H37" s="28">
        <f t="shared" si="3"/>
        <v>1.8719599509527469</v>
      </c>
      <c r="I37" s="28">
        <f t="shared" si="3"/>
        <v>0.49566746098978304</v>
      </c>
      <c r="J37" s="28">
        <f t="shared" si="3"/>
        <v>0.25769568335032567</v>
      </c>
      <c r="K37" s="28">
        <f t="shared" si="3"/>
        <v>84.490990823007778</v>
      </c>
      <c r="L37" s="28">
        <f t="shared" si="3"/>
        <v>2.3557199890196343</v>
      </c>
      <c r="M37" s="28">
        <f t="shared" si="3"/>
        <v>4.9517575382273433</v>
      </c>
      <c r="N37" s="28">
        <f t="shared" si="3"/>
        <v>152.92236728702139</v>
      </c>
      <c r="O37" s="28">
        <f t="shared" si="3"/>
        <v>4.0824829046386311E-2</v>
      </c>
      <c r="P37" s="28">
        <f t="shared" si="3"/>
        <v>0.24553254750451753</v>
      </c>
      <c r="Q37" s="28">
        <f t="shared" si="3"/>
        <v>4.5426720732645254E-2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756</v>
      </c>
      <c r="B9" s="51">
        <v>6.69</v>
      </c>
      <c r="C9" s="51">
        <v>11.97</v>
      </c>
      <c r="D9" s="51">
        <v>11.37</v>
      </c>
      <c r="E9" s="51">
        <v>5.24</v>
      </c>
      <c r="F9" s="51">
        <v>8.8800000000000008</v>
      </c>
      <c r="G9" s="51">
        <v>42.28</v>
      </c>
      <c r="H9" s="51">
        <v>6.66</v>
      </c>
      <c r="I9" s="51">
        <v>2.2799999999999998</v>
      </c>
      <c r="J9" s="51">
        <v>0.45</v>
      </c>
      <c r="K9" s="51">
        <v>156.58000000000001</v>
      </c>
      <c r="L9" s="51">
        <v>24.42</v>
      </c>
      <c r="M9" s="51">
        <v>98.17</v>
      </c>
      <c r="N9" s="51">
        <v>45.3</v>
      </c>
      <c r="O9" s="51">
        <v>0</v>
      </c>
      <c r="P9" s="51">
        <v>0.42</v>
      </c>
      <c r="Q9" s="51">
        <v>9.16</v>
      </c>
      <c r="R9" s="43"/>
      <c r="S9" s="43"/>
      <c r="T9" s="43"/>
      <c r="U9" s="43"/>
    </row>
    <row r="10" spans="1:21" s="11" customFormat="1" x14ac:dyDescent="0.25">
      <c r="A10" s="50" t="s">
        <v>757</v>
      </c>
      <c r="B10" s="51">
        <v>6.22</v>
      </c>
      <c r="C10" s="51">
        <v>8.89</v>
      </c>
      <c r="D10" s="51">
        <v>9.44</v>
      </c>
      <c r="E10" s="51">
        <v>5.16</v>
      </c>
      <c r="F10" s="51">
        <v>9</v>
      </c>
      <c r="G10" s="51">
        <v>35.9</v>
      </c>
      <c r="H10" s="51">
        <v>5.88</v>
      </c>
      <c r="I10" s="51">
        <v>2.13</v>
      </c>
      <c r="J10" s="51">
        <v>0.41</v>
      </c>
      <c r="K10" s="51">
        <v>142.94</v>
      </c>
      <c r="L10" s="51">
        <v>24.35</v>
      </c>
      <c r="M10" s="51">
        <v>98.18</v>
      </c>
      <c r="N10" s="51">
        <v>45.6</v>
      </c>
      <c r="O10" s="51">
        <v>0</v>
      </c>
      <c r="P10" s="51">
        <v>0.44</v>
      </c>
      <c r="Q10" s="51">
        <v>9.09</v>
      </c>
      <c r="R10" s="43"/>
      <c r="S10" s="43"/>
      <c r="T10" s="43"/>
      <c r="U10" s="43"/>
    </row>
    <row r="11" spans="1:21" s="11" customFormat="1" x14ac:dyDescent="0.25">
      <c r="A11" s="50" t="s">
        <v>758</v>
      </c>
      <c r="B11" s="51">
        <v>6.42</v>
      </c>
      <c r="C11" s="51">
        <v>7.59</v>
      </c>
      <c r="D11" s="51">
        <v>9.09</v>
      </c>
      <c r="E11" s="51">
        <v>5</v>
      </c>
      <c r="F11" s="51">
        <v>10.34</v>
      </c>
      <c r="G11" s="51">
        <v>33.39</v>
      </c>
      <c r="H11" s="51">
        <v>6.45</v>
      </c>
      <c r="I11" s="51">
        <v>1.99</v>
      </c>
      <c r="J11" s="51">
        <v>0.12</v>
      </c>
      <c r="K11" s="51">
        <v>309.95999999999998</v>
      </c>
      <c r="L11" s="51">
        <v>24.22</v>
      </c>
      <c r="M11" s="51">
        <v>98.21</v>
      </c>
      <c r="N11" s="51">
        <v>45.4</v>
      </c>
      <c r="O11" s="51">
        <v>0</v>
      </c>
      <c r="P11" s="51">
        <v>0.44</v>
      </c>
      <c r="Q11" s="51">
        <v>9.08</v>
      </c>
      <c r="R11" s="43"/>
      <c r="S11" s="43"/>
      <c r="T11" s="43"/>
      <c r="U11" s="43"/>
    </row>
    <row r="12" spans="1:21" s="11" customFormat="1" x14ac:dyDescent="0.25">
      <c r="A12" s="50" t="s">
        <v>759</v>
      </c>
      <c r="B12" s="51">
        <v>9.39</v>
      </c>
      <c r="C12" s="51">
        <v>7.93</v>
      </c>
      <c r="D12" s="51">
        <v>11.67</v>
      </c>
      <c r="E12" s="51">
        <v>5.22</v>
      </c>
      <c r="F12" s="51">
        <v>11.06</v>
      </c>
      <c r="G12" s="51">
        <v>22.52</v>
      </c>
      <c r="H12" s="51">
        <v>12.25</v>
      </c>
      <c r="I12" s="51">
        <v>1.85</v>
      </c>
      <c r="J12" s="51">
        <v>0.21</v>
      </c>
      <c r="K12" s="51">
        <v>315.81</v>
      </c>
      <c r="L12" s="51">
        <v>24.01</v>
      </c>
      <c r="M12" s="51">
        <v>98.18</v>
      </c>
      <c r="N12" s="51">
        <v>45.3</v>
      </c>
      <c r="O12" s="51">
        <v>0</v>
      </c>
      <c r="P12" s="51">
        <v>0.39</v>
      </c>
      <c r="Q12" s="51">
        <v>9.1199999999999992</v>
      </c>
      <c r="R12" s="43"/>
      <c r="S12" s="43"/>
      <c r="T12" s="43"/>
      <c r="U12" s="43"/>
    </row>
    <row r="13" spans="1:21" s="11" customFormat="1" x14ac:dyDescent="0.25">
      <c r="A13" s="50" t="s">
        <v>760</v>
      </c>
      <c r="B13" s="51">
        <v>10.14</v>
      </c>
      <c r="C13" s="51">
        <v>10.48</v>
      </c>
      <c r="D13" s="51">
        <v>12.81</v>
      </c>
      <c r="E13" s="51">
        <v>5.21</v>
      </c>
      <c r="F13" s="51">
        <v>9.77</v>
      </c>
      <c r="G13" s="51">
        <v>24.15</v>
      </c>
      <c r="H13" s="51">
        <v>9.73</v>
      </c>
      <c r="I13" s="51">
        <v>1.71</v>
      </c>
      <c r="J13" s="51">
        <v>0.32</v>
      </c>
      <c r="K13" s="51">
        <v>323.25</v>
      </c>
      <c r="L13" s="51">
        <v>23.73</v>
      </c>
      <c r="M13" s="51">
        <v>98.26</v>
      </c>
      <c r="N13" s="51">
        <v>45.2</v>
      </c>
      <c r="O13" s="51">
        <v>0</v>
      </c>
      <c r="P13" s="51">
        <v>0.46</v>
      </c>
      <c r="Q13" s="51">
        <v>9.1199999999999992</v>
      </c>
      <c r="R13" s="43"/>
      <c r="S13" s="43"/>
      <c r="T13" s="43"/>
      <c r="U13" s="43"/>
    </row>
    <row r="14" spans="1:21" s="11" customFormat="1" x14ac:dyDescent="0.25">
      <c r="A14" s="50" t="s">
        <v>761</v>
      </c>
      <c r="B14" s="51">
        <v>13.68</v>
      </c>
      <c r="C14" s="51">
        <v>12.74</v>
      </c>
      <c r="D14" s="51">
        <v>17.62</v>
      </c>
      <c r="E14" s="51">
        <v>5.43</v>
      </c>
      <c r="F14" s="51">
        <v>9.0500000000000007</v>
      </c>
      <c r="G14" s="51">
        <v>26.4</v>
      </c>
      <c r="H14" s="51">
        <v>7.97</v>
      </c>
      <c r="I14" s="51">
        <v>1.88</v>
      </c>
      <c r="J14" s="51">
        <v>0.12</v>
      </c>
      <c r="K14" s="51">
        <v>317.73</v>
      </c>
      <c r="L14" s="51">
        <v>23.56</v>
      </c>
      <c r="M14" s="51">
        <v>98.17</v>
      </c>
      <c r="N14" s="51">
        <v>50.1</v>
      </c>
      <c r="O14" s="51">
        <v>0</v>
      </c>
      <c r="P14" s="51">
        <v>0.42</v>
      </c>
      <c r="Q14" s="51">
        <v>9.1</v>
      </c>
      <c r="R14" s="43"/>
      <c r="S14" s="43"/>
      <c r="T14" s="43"/>
      <c r="U14" s="43"/>
    </row>
    <row r="15" spans="1:21" s="11" customFormat="1" x14ac:dyDescent="0.25">
      <c r="A15" s="50" t="s">
        <v>762</v>
      </c>
      <c r="B15" s="51">
        <v>25.83</v>
      </c>
      <c r="C15" s="51">
        <v>10.24</v>
      </c>
      <c r="D15" s="51">
        <v>25.88</v>
      </c>
      <c r="E15" s="51">
        <v>5.12</v>
      </c>
      <c r="F15" s="51">
        <v>8.1199999999999992</v>
      </c>
      <c r="G15" s="51">
        <v>31.17</v>
      </c>
      <c r="H15" s="51">
        <v>6.73</v>
      </c>
      <c r="I15" s="51">
        <v>2.2599999999999998</v>
      </c>
      <c r="J15" s="51">
        <v>0.54</v>
      </c>
      <c r="K15" s="51">
        <v>350.08</v>
      </c>
      <c r="L15" s="51">
        <v>27.02</v>
      </c>
      <c r="M15" s="51">
        <v>98.13</v>
      </c>
      <c r="N15" s="51">
        <v>202.6</v>
      </c>
      <c r="O15" s="51">
        <v>0.2</v>
      </c>
      <c r="P15" s="51">
        <v>0.56000000000000005</v>
      </c>
      <c r="Q15" s="51">
        <v>9.14</v>
      </c>
      <c r="R15" s="43"/>
      <c r="S15" s="43"/>
      <c r="T15" s="43"/>
      <c r="U15" s="43"/>
    </row>
    <row r="16" spans="1:21" s="11" customFormat="1" x14ac:dyDescent="0.25">
      <c r="A16" s="50" t="s">
        <v>763</v>
      </c>
      <c r="B16" s="51">
        <v>20.190000000000001</v>
      </c>
      <c r="C16" s="51">
        <v>9.56</v>
      </c>
      <c r="D16" s="51">
        <v>21.14</v>
      </c>
      <c r="E16" s="51">
        <v>4.9800000000000004</v>
      </c>
      <c r="F16" s="51">
        <v>12.65</v>
      </c>
      <c r="G16" s="51">
        <v>34.57</v>
      </c>
      <c r="H16" s="51">
        <v>14.6</v>
      </c>
      <c r="I16" s="51">
        <v>2.33</v>
      </c>
      <c r="J16" s="51">
        <v>0.55000000000000004</v>
      </c>
      <c r="K16" s="51">
        <v>339.25</v>
      </c>
      <c r="L16" s="51">
        <v>31.89</v>
      </c>
      <c r="M16" s="51">
        <v>97.05</v>
      </c>
      <c r="N16" s="51">
        <v>433.7</v>
      </c>
      <c r="O16" s="51">
        <v>0</v>
      </c>
      <c r="P16" s="51">
        <v>0.46</v>
      </c>
      <c r="Q16" s="51">
        <v>9.2200000000000006</v>
      </c>
      <c r="R16" s="43"/>
      <c r="S16" s="43"/>
      <c r="T16" s="43"/>
      <c r="U16" s="43"/>
    </row>
    <row r="17" spans="1:21" s="11" customFormat="1" x14ac:dyDescent="0.25">
      <c r="A17" s="50" t="s">
        <v>764</v>
      </c>
      <c r="B17" s="51">
        <v>16.77</v>
      </c>
      <c r="C17" s="51">
        <v>10.18</v>
      </c>
      <c r="D17" s="51">
        <v>18.73</v>
      </c>
      <c r="E17" s="51">
        <v>4.93</v>
      </c>
      <c r="F17" s="51">
        <v>12.7</v>
      </c>
      <c r="G17" s="51">
        <v>33.54</v>
      </c>
      <c r="H17" s="51">
        <v>11.38</v>
      </c>
      <c r="I17" s="51">
        <v>2.2400000000000002</v>
      </c>
      <c r="J17" s="51">
        <v>0.8</v>
      </c>
      <c r="K17" s="51">
        <v>337.73</v>
      </c>
      <c r="L17" s="51">
        <v>34.130000000000003</v>
      </c>
      <c r="M17" s="51">
        <v>74.010000000000005</v>
      </c>
      <c r="N17" s="51">
        <v>712.6</v>
      </c>
      <c r="O17" s="51">
        <v>0</v>
      </c>
      <c r="P17" s="51">
        <v>0.46</v>
      </c>
      <c r="Q17" s="51">
        <v>9.25</v>
      </c>
      <c r="R17" s="43"/>
      <c r="S17" s="43"/>
      <c r="T17" s="43"/>
      <c r="U17" s="43"/>
    </row>
    <row r="18" spans="1:21" s="11" customFormat="1" x14ac:dyDescent="0.25">
      <c r="A18" s="50" t="s">
        <v>765</v>
      </c>
      <c r="B18" s="51">
        <v>14.54</v>
      </c>
      <c r="C18" s="51">
        <v>8.83</v>
      </c>
      <c r="D18" s="51">
        <v>15.8</v>
      </c>
      <c r="E18" s="51">
        <v>5.29</v>
      </c>
      <c r="F18" s="51">
        <v>10.72</v>
      </c>
      <c r="G18" s="51">
        <v>35.67</v>
      </c>
      <c r="H18" s="51">
        <v>9.1199999999999992</v>
      </c>
      <c r="I18" s="51">
        <v>2.2000000000000002</v>
      </c>
      <c r="J18" s="51">
        <v>1.1499999999999999</v>
      </c>
      <c r="K18" s="51">
        <v>333.86</v>
      </c>
      <c r="L18" s="51">
        <v>34.43</v>
      </c>
      <c r="M18" s="51">
        <v>65.17</v>
      </c>
      <c r="N18" s="51">
        <v>796</v>
      </c>
      <c r="O18" s="51">
        <v>0</v>
      </c>
      <c r="P18" s="51">
        <v>0.46</v>
      </c>
      <c r="Q18" s="51">
        <v>9.24</v>
      </c>
      <c r="R18" s="43"/>
      <c r="S18" s="43"/>
      <c r="T18" s="43"/>
      <c r="U18" s="43"/>
    </row>
    <row r="19" spans="1:21" s="11" customFormat="1" x14ac:dyDescent="0.25">
      <c r="A19" s="50" t="s">
        <v>766</v>
      </c>
      <c r="B19" s="51">
        <v>14.11</v>
      </c>
      <c r="C19" s="51">
        <v>13.94</v>
      </c>
      <c r="D19" s="51">
        <v>17.91</v>
      </c>
      <c r="E19" s="51">
        <v>4.8499999999999996</v>
      </c>
      <c r="F19" s="51">
        <v>18.059999999999999</v>
      </c>
      <c r="G19" s="51">
        <v>38.840000000000003</v>
      </c>
      <c r="H19" s="51">
        <v>7.54</v>
      </c>
      <c r="I19" s="51">
        <v>1.8</v>
      </c>
      <c r="J19" s="51">
        <v>0.92</v>
      </c>
      <c r="K19" s="51">
        <v>339.37</v>
      </c>
      <c r="L19" s="51">
        <v>34.11</v>
      </c>
      <c r="M19" s="51">
        <v>72.260000000000005</v>
      </c>
      <c r="N19" s="51">
        <v>464.1</v>
      </c>
      <c r="O19" s="51">
        <v>0</v>
      </c>
      <c r="P19" s="51">
        <v>0.54</v>
      </c>
      <c r="Q19" s="51">
        <v>9.18</v>
      </c>
      <c r="R19" s="43"/>
      <c r="S19" s="43"/>
      <c r="T19" s="43"/>
      <c r="U19" s="43"/>
    </row>
    <row r="20" spans="1:21" s="11" customFormat="1" x14ac:dyDescent="0.25">
      <c r="A20" s="50" t="s">
        <v>767</v>
      </c>
      <c r="B20" s="51">
        <v>13.73</v>
      </c>
      <c r="C20" s="51">
        <v>14.85</v>
      </c>
      <c r="D20" s="51">
        <v>17.8</v>
      </c>
      <c r="E20" s="51">
        <v>5.15</v>
      </c>
      <c r="F20" s="51">
        <v>16.78</v>
      </c>
      <c r="G20" s="51">
        <v>35.93</v>
      </c>
      <c r="H20" s="51">
        <v>7.86</v>
      </c>
      <c r="I20" s="51">
        <v>1.69</v>
      </c>
      <c r="J20" s="51">
        <v>1.1100000000000001</v>
      </c>
      <c r="K20" s="51">
        <v>338.24</v>
      </c>
      <c r="L20" s="51">
        <v>34.08</v>
      </c>
      <c r="M20" s="51">
        <v>70.540000000000006</v>
      </c>
      <c r="N20" s="51">
        <v>896.1</v>
      </c>
      <c r="O20" s="51">
        <v>0</v>
      </c>
      <c r="P20" s="51">
        <v>0.54</v>
      </c>
      <c r="Q20" s="51">
        <v>9.16</v>
      </c>
      <c r="R20" s="43"/>
      <c r="S20" s="43"/>
      <c r="T20" s="43"/>
      <c r="U20" s="43"/>
    </row>
    <row r="21" spans="1:21" s="11" customFormat="1" x14ac:dyDescent="0.25">
      <c r="A21" s="50" t="s">
        <v>768</v>
      </c>
      <c r="B21" s="51">
        <v>17.149999999999999</v>
      </c>
      <c r="C21" s="51">
        <v>21.78</v>
      </c>
      <c r="D21" s="51">
        <v>25.14</v>
      </c>
      <c r="E21" s="51">
        <v>5.05</v>
      </c>
      <c r="F21" s="51">
        <v>18.22</v>
      </c>
      <c r="G21" s="51">
        <v>43.44</v>
      </c>
      <c r="H21" s="51">
        <v>8.4600000000000009</v>
      </c>
      <c r="I21" s="51">
        <v>1.61</v>
      </c>
      <c r="J21" s="51">
        <v>0.69</v>
      </c>
      <c r="K21" s="51">
        <v>341.79</v>
      </c>
      <c r="L21" s="51">
        <v>32.39</v>
      </c>
      <c r="M21" s="51">
        <v>68.06</v>
      </c>
      <c r="N21" s="51">
        <v>257.89999999999998</v>
      </c>
      <c r="O21" s="51">
        <v>0</v>
      </c>
      <c r="P21" s="51">
        <v>0.65</v>
      </c>
      <c r="Q21" s="51">
        <v>9.14</v>
      </c>
      <c r="R21" s="43"/>
      <c r="S21" s="43"/>
      <c r="T21" s="43"/>
      <c r="U21" s="43"/>
    </row>
    <row r="22" spans="1:21" s="11" customFormat="1" x14ac:dyDescent="0.25">
      <c r="A22" s="50" t="s">
        <v>769</v>
      </c>
      <c r="B22" s="51">
        <v>17.14</v>
      </c>
      <c r="C22" s="51">
        <v>19.41</v>
      </c>
      <c r="D22" s="51">
        <v>23.89</v>
      </c>
      <c r="E22" s="51">
        <v>5.28</v>
      </c>
      <c r="F22" s="51">
        <v>27.91</v>
      </c>
      <c r="G22" s="51">
        <v>51.52</v>
      </c>
      <c r="H22" s="51">
        <v>7.08</v>
      </c>
      <c r="I22" s="51">
        <v>1.58</v>
      </c>
      <c r="J22" s="51">
        <v>0.69</v>
      </c>
      <c r="K22" s="51">
        <v>338.48</v>
      </c>
      <c r="L22" s="51">
        <v>32.049999999999997</v>
      </c>
      <c r="M22" s="51">
        <v>70.650000000000006</v>
      </c>
      <c r="N22" s="51">
        <v>442.9</v>
      </c>
      <c r="O22" s="51">
        <v>0</v>
      </c>
      <c r="P22" s="51">
        <v>0.69</v>
      </c>
      <c r="Q22" s="51">
        <v>9.15</v>
      </c>
      <c r="R22" s="43"/>
      <c r="S22" s="43"/>
      <c r="T22" s="43"/>
      <c r="U22" s="43"/>
    </row>
    <row r="23" spans="1:21" s="11" customFormat="1" x14ac:dyDescent="0.25">
      <c r="A23" s="50" t="s">
        <v>770</v>
      </c>
      <c r="B23" s="51">
        <v>11.71</v>
      </c>
      <c r="C23" s="51">
        <v>17.75</v>
      </c>
      <c r="D23" s="51">
        <v>18.52</v>
      </c>
      <c r="E23" s="51">
        <v>5.3</v>
      </c>
      <c r="F23" s="51">
        <v>199.38</v>
      </c>
      <c r="G23" s="51">
        <v>63.71</v>
      </c>
      <c r="H23" s="51">
        <v>6.89</v>
      </c>
      <c r="I23" s="51">
        <v>1.55</v>
      </c>
      <c r="J23" s="51">
        <v>0.83</v>
      </c>
      <c r="K23" s="51">
        <v>334.67</v>
      </c>
      <c r="L23" s="51">
        <v>31.99</v>
      </c>
      <c r="M23" s="51">
        <v>65.430000000000007</v>
      </c>
      <c r="N23" s="51">
        <v>255</v>
      </c>
      <c r="O23" s="51">
        <v>0</v>
      </c>
      <c r="P23" s="51">
        <v>0.57999999999999996</v>
      </c>
      <c r="Q23" s="51">
        <v>9.17</v>
      </c>
      <c r="R23" s="43"/>
      <c r="S23" s="43"/>
      <c r="T23" s="43"/>
      <c r="U23" s="43"/>
    </row>
    <row r="24" spans="1:21" s="11" customFormat="1" x14ac:dyDescent="0.25">
      <c r="A24" s="50" t="s">
        <v>771</v>
      </c>
      <c r="B24" s="51">
        <v>11.04</v>
      </c>
      <c r="C24" s="51">
        <v>15.12</v>
      </c>
      <c r="D24" s="51">
        <v>16.350000000000001</v>
      </c>
      <c r="E24" s="51">
        <v>5.43</v>
      </c>
      <c r="F24" s="51">
        <v>19</v>
      </c>
      <c r="G24" s="51">
        <v>62.64</v>
      </c>
      <c r="H24" s="51">
        <v>9.69</v>
      </c>
      <c r="I24" s="51">
        <v>1.53</v>
      </c>
      <c r="J24" s="51">
        <v>0.47</v>
      </c>
      <c r="K24" s="51">
        <v>324.13</v>
      </c>
      <c r="L24" s="51">
        <v>31.66</v>
      </c>
      <c r="M24" s="51">
        <v>71.36</v>
      </c>
      <c r="N24" s="51">
        <v>256.8</v>
      </c>
      <c r="O24" s="51">
        <v>0</v>
      </c>
      <c r="P24" s="51">
        <v>0.54</v>
      </c>
      <c r="Q24" s="51">
        <v>9.15</v>
      </c>
      <c r="R24" s="43"/>
      <c r="S24" s="43"/>
      <c r="T24" s="43"/>
      <c r="U24" s="43"/>
    </row>
    <row r="25" spans="1:21" s="11" customFormat="1" x14ac:dyDescent="0.25">
      <c r="A25" s="50" t="s">
        <v>772</v>
      </c>
      <c r="B25" s="51">
        <v>11.84</v>
      </c>
      <c r="C25" s="51">
        <v>17.18</v>
      </c>
      <c r="D25" s="51">
        <v>18.47</v>
      </c>
      <c r="E25" s="51">
        <v>5.0999999999999996</v>
      </c>
      <c r="F25" s="51">
        <v>18.850000000000001</v>
      </c>
      <c r="G25" s="51">
        <v>58.68</v>
      </c>
      <c r="H25" s="51">
        <v>9.1199999999999992</v>
      </c>
      <c r="I25" s="51">
        <v>1.42</v>
      </c>
      <c r="J25" s="51">
        <v>0.59</v>
      </c>
      <c r="K25" s="51">
        <v>337.72</v>
      </c>
      <c r="L25" s="51">
        <v>30.94</v>
      </c>
      <c r="M25" s="51">
        <v>77.62</v>
      </c>
      <c r="N25" s="51">
        <v>194.5</v>
      </c>
      <c r="O25" s="51">
        <v>0</v>
      </c>
      <c r="P25" s="51">
        <v>0.5</v>
      </c>
      <c r="Q25" s="51">
        <v>9.07</v>
      </c>
      <c r="R25" s="43"/>
      <c r="S25" s="43"/>
      <c r="T25" s="43"/>
      <c r="U25" s="43"/>
    </row>
    <row r="26" spans="1:21" s="11" customFormat="1" x14ac:dyDescent="0.25">
      <c r="A26" s="50" t="s">
        <v>773</v>
      </c>
      <c r="B26" s="51">
        <v>19.13</v>
      </c>
      <c r="C26" s="51">
        <v>27.07</v>
      </c>
      <c r="D26" s="51">
        <v>29.49</v>
      </c>
      <c r="E26" s="51">
        <v>5.14</v>
      </c>
      <c r="F26" s="51">
        <v>15.18</v>
      </c>
      <c r="G26" s="51">
        <v>57.8</v>
      </c>
      <c r="H26" s="51">
        <v>8.11</v>
      </c>
      <c r="I26" s="51">
        <v>1.35</v>
      </c>
      <c r="J26" s="51">
        <v>0.52</v>
      </c>
      <c r="K26" s="51">
        <v>328.85</v>
      </c>
      <c r="L26" s="51">
        <v>27.8</v>
      </c>
      <c r="M26" s="51">
        <v>98.17</v>
      </c>
      <c r="N26" s="51">
        <v>115.5</v>
      </c>
      <c r="O26" s="51">
        <v>0</v>
      </c>
      <c r="P26" s="51">
        <v>1.1000000000000001</v>
      </c>
      <c r="Q26" s="51">
        <v>9.1</v>
      </c>
      <c r="R26" s="43"/>
      <c r="S26" s="43"/>
      <c r="T26" s="43"/>
      <c r="U26" s="43"/>
    </row>
    <row r="27" spans="1:21" s="11" customFormat="1" x14ac:dyDescent="0.25">
      <c r="A27" s="50" t="s">
        <v>774</v>
      </c>
      <c r="B27" s="51">
        <v>27.96</v>
      </c>
      <c r="C27" s="51">
        <v>33.26</v>
      </c>
      <c r="D27" s="51">
        <v>39.53</v>
      </c>
      <c r="E27" s="51">
        <v>5.36</v>
      </c>
      <c r="F27" s="51">
        <v>11.29</v>
      </c>
      <c r="G27" s="51">
        <v>53.58</v>
      </c>
      <c r="H27" s="51">
        <v>6.83</v>
      </c>
      <c r="I27" s="51">
        <v>1.74</v>
      </c>
      <c r="J27" s="51">
        <v>0.09</v>
      </c>
      <c r="K27" s="51">
        <v>332.6</v>
      </c>
      <c r="L27" s="51">
        <v>25.44</v>
      </c>
      <c r="M27" s="51">
        <v>98.15</v>
      </c>
      <c r="N27" s="51">
        <v>52.6</v>
      </c>
      <c r="O27" s="51">
        <v>0</v>
      </c>
      <c r="P27" s="51">
        <v>2.06</v>
      </c>
      <c r="Q27" s="51">
        <v>9.17</v>
      </c>
      <c r="R27" s="43"/>
      <c r="S27" s="43"/>
      <c r="T27" s="43"/>
      <c r="U27" s="43"/>
    </row>
    <row r="28" spans="1:21" s="11" customFormat="1" x14ac:dyDescent="0.25">
      <c r="A28" s="50" t="s">
        <v>775</v>
      </c>
      <c r="B28" s="51">
        <v>22.17</v>
      </c>
      <c r="C28" s="51">
        <v>29.26</v>
      </c>
      <c r="D28" s="51">
        <v>32.42</v>
      </c>
      <c r="E28" s="51">
        <v>5.45</v>
      </c>
      <c r="F28" s="51">
        <v>11.26</v>
      </c>
      <c r="G28" s="51">
        <v>57.13</v>
      </c>
      <c r="H28" s="51">
        <v>9.41</v>
      </c>
      <c r="I28" s="51">
        <v>2.2200000000000002</v>
      </c>
      <c r="J28" s="51">
        <v>0.26</v>
      </c>
      <c r="K28" s="51">
        <v>336.38</v>
      </c>
      <c r="L28" s="51">
        <v>26.39</v>
      </c>
      <c r="M28" s="51">
        <v>98.04</v>
      </c>
      <c r="N28" s="51">
        <v>53.4</v>
      </c>
      <c r="O28" s="51">
        <v>0</v>
      </c>
      <c r="P28" s="51">
        <v>1.95</v>
      </c>
      <c r="Q28" s="51">
        <v>9.2100000000000009</v>
      </c>
      <c r="R28" s="43"/>
      <c r="S28" s="43"/>
      <c r="T28" s="43"/>
      <c r="U28" s="43"/>
    </row>
    <row r="29" spans="1:21" s="11" customFormat="1" x14ac:dyDescent="0.25">
      <c r="A29" s="50" t="s">
        <v>776</v>
      </c>
      <c r="B29" s="51">
        <v>23.29</v>
      </c>
      <c r="C29" s="51">
        <v>39.979999999999997</v>
      </c>
      <c r="D29" s="51">
        <v>36.64</v>
      </c>
      <c r="E29" s="51">
        <v>4.9000000000000004</v>
      </c>
      <c r="F29" s="51">
        <v>10.88</v>
      </c>
      <c r="G29" s="51">
        <v>69.260000000000005</v>
      </c>
      <c r="H29" s="51">
        <v>7.74</v>
      </c>
      <c r="I29" s="51">
        <v>2.4900000000000002</v>
      </c>
      <c r="J29" s="51">
        <v>0.2</v>
      </c>
      <c r="K29" s="51">
        <v>322.89</v>
      </c>
      <c r="L29" s="51">
        <v>26.52</v>
      </c>
      <c r="M29" s="51">
        <v>97.92</v>
      </c>
      <c r="N29" s="51">
        <v>53.2</v>
      </c>
      <c r="O29" s="51">
        <v>0</v>
      </c>
      <c r="P29" s="51">
        <v>1.77</v>
      </c>
      <c r="Q29" s="51">
        <v>9.2200000000000006</v>
      </c>
      <c r="R29" s="43"/>
      <c r="S29" s="43"/>
      <c r="T29" s="43"/>
      <c r="U29" s="43"/>
    </row>
    <row r="30" spans="1:21" s="11" customFormat="1" x14ac:dyDescent="0.25">
      <c r="A30" s="50" t="s">
        <v>777</v>
      </c>
      <c r="B30" s="51">
        <v>24.69</v>
      </c>
      <c r="C30" s="51">
        <v>29.81</v>
      </c>
      <c r="D30" s="51">
        <v>30.79</v>
      </c>
      <c r="E30" s="51">
        <v>4.92</v>
      </c>
      <c r="F30" s="51">
        <v>10.25</v>
      </c>
      <c r="G30" s="51">
        <v>79.75</v>
      </c>
      <c r="H30" s="51">
        <v>6.58</v>
      </c>
      <c r="I30" s="51">
        <v>3.47</v>
      </c>
      <c r="J30" s="51">
        <v>0.16</v>
      </c>
      <c r="K30" s="51">
        <v>323.83</v>
      </c>
      <c r="L30" s="51">
        <v>26.08</v>
      </c>
      <c r="M30" s="51">
        <v>97.95</v>
      </c>
      <c r="N30" s="51">
        <v>53.5</v>
      </c>
      <c r="O30" s="51">
        <v>0</v>
      </c>
      <c r="P30" s="51">
        <v>1.87</v>
      </c>
      <c r="Q30" s="51">
        <v>9.26</v>
      </c>
      <c r="R30" s="43"/>
      <c r="S30" s="43"/>
      <c r="T30" s="43"/>
      <c r="U30" s="43"/>
    </row>
    <row r="31" spans="1:21" s="11" customFormat="1" x14ac:dyDescent="0.25">
      <c r="A31" s="50" t="s">
        <v>778</v>
      </c>
      <c r="B31" s="51">
        <v>16.71</v>
      </c>
      <c r="C31" s="51">
        <v>20.04</v>
      </c>
      <c r="D31" s="51">
        <v>21.87</v>
      </c>
      <c r="E31" s="51">
        <v>5.05</v>
      </c>
      <c r="F31" s="51">
        <v>12.92</v>
      </c>
      <c r="G31" s="51">
        <v>85.65</v>
      </c>
      <c r="H31" s="51">
        <v>5.76</v>
      </c>
      <c r="I31" s="51">
        <v>4.18</v>
      </c>
      <c r="J31" s="51">
        <v>0.38</v>
      </c>
      <c r="K31" s="51">
        <v>339.33</v>
      </c>
      <c r="L31" s="51">
        <v>26.04</v>
      </c>
      <c r="M31" s="51">
        <v>98.07</v>
      </c>
      <c r="N31" s="51">
        <v>54.7</v>
      </c>
      <c r="O31" s="51">
        <v>0</v>
      </c>
      <c r="P31" s="51">
        <v>1.17</v>
      </c>
      <c r="Q31" s="51">
        <v>9.3000000000000007</v>
      </c>
      <c r="R31" s="43"/>
      <c r="S31" s="43"/>
      <c r="T31" s="43"/>
      <c r="U31" s="43"/>
    </row>
    <row r="32" spans="1:21" s="11" customFormat="1" x14ac:dyDescent="0.25">
      <c r="A32" s="50" t="s">
        <v>779</v>
      </c>
      <c r="B32" s="51">
        <v>11.36</v>
      </c>
      <c r="C32" s="51">
        <v>12.82</v>
      </c>
      <c r="D32" s="51">
        <v>15.8</v>
      </c>
      <c r="E32" s="51">
        <v>4.93</v>
      </c>
      <c r="F32" s="51">
        <v>11.43</v>
      </c>
      <c r="G32" s="51">
        <v>76.430000000000007</v>
      </c>
      <c r="H32" s="51">
        <v>7.55</v>
      </c>
      <c r="I32" s="51">
        <v>4.1900000000000004</v>
      </c>
      <c r="J32" s="51">
        <v>0.39</v>
      </c>
      <c r="K32" s="51">
        <v>252.18</v>
      </c>
      <c r="L32" s="51">
        <v>24.04</v>
      </c>
      <c r="M32" s="51">
        <v>98.13</v>
      </c>
      <c r="N32" s="51">
        <v>54.4</v>
      </c>
      <c r="O32" s="51">
        <v>0</v>
      </c>
      <c r="P32" s="51">
        <v>0.97</v>
      </c>
      <c r="Q32" s="51">
        <v>9.3000000000000007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6.22</v>
      </c>
      <c r="C34" s="28">
        <f t="shared" si="0"/>
        <v>7.59</v>
      </c>
      <c r="D34" s="28">
        <f t="shared" si="0"/>
        <v>9.09</v>
      </c>
      <c r="E34" s="28">
        <f t="shared" si="0"/>
        <v>4.8499999999999996</v>
      </c>
      <c r="F34" s="28">
        <f t="shared" si="0"/>
        <v>8.1199999999999992</v>
      </c>
      <c r="G34" s="28">
        <f t="shared" si="0"/>
        <v>22.52</v>
      </c>
      <c r="H34" s="28">
        <f t="shared" si="0"/>
        <v>5.76</v>
      </c>
      <c r="I34" s="28">
        <f t="shared" si="0"/>
        <v>1.35</v>
      </c>
      <c r="J34" s="28">
        <f t="shared" si="0"/>
        <v>0.09</v>
      </c>
      <c r="K34" s="28">
        <f t="shared" si="0"/>
        <v>142.94</v>
      </c>
      <c r="L34" s="28">
        <f t="shared" si="0"/>
        <v>23.56</v>
      </c>
      <c r="M34" s="28">
        <f t="shared" si="0"/>
        <v>65.17</v>
      </c>
      <c r="N34" s="28">
        <f t="shared" si="0"/>
        <v>45.2</v>
      </c>
      <c r="O34" s="28">
        <f t="shared" si="0"/>
        <v>0</v>
      </c>
      <c r="P34" s="28">
        <f t="shared" si="0"/>
        <v>0.39</v>
      </c>
      <c r="Q34" s="28">
        <f t="shared" si="0"/>
        <v>9.07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27.96</v>
      </c>
      <c r="C35" s="29">
        <f t="shared" si="1"/>
        <v>39.979999999999997</v>
      </c>
      <c r="D35" s="29">
        <f t="shared" si="1"/>
        <v>39.53</v>
      </c>
      <c r="E35" s="29">
        <f t="shared" si="1"/>
        <v>5.45</v>
      </c>
      <c r="F35" s="29">
        <f t="shared" si="1"/>
        <v>199.38</v>
      </c>
      <c r="G35" s="29">
        <f t="shared" si="1"/>
        <v>85.65</v>
      </c>
      <c r="H35" s="29">
        <f t="shared" si="1"/>
        <v>14.6</v>
      </c>
      <c r="I35" s="29">
        <f t="shared" si="1"/>
        <v>4.1900000000000004</v>
      </c>
      <c r="J35" s="29">
        <f t="shared" si="1"/>
        <v>1.1499999999999999</v>
      </c>
      <c r="K35" s="29">
        <f t="shared" si="1"/>
        <v>350.08</v>
      </c>
      <c r="L35" s="29">
        <f t="shared" si="1"/>
        <v>34.43</v>
      </c>
      <c r="M35" s="29">
        <f t="shared" si="1"/>
        <v>98.26</v>
      </c>
      <c r="N35" s="29">
        <f t="shared" si="1"/>
        <v>896.1</v>
      </c>
      <c r="O35" s="29">
        <f t="shared" si="1"/>
        <v>0.2</v>
      </c>
      <c r="P35" s="29">
        <f t="shared" si="1"/>
        <v>2.06</v>
      </c>
      <c r="Q35" s="29">
        <f t="shared" si="1"/>
        <v>9.3000000000000007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15.495833333333335</v>
      </c>
      <c r="C36" s="28">
        <f t="shared" si="2"/>
        <v>17.111666666666668</v>
      </c>
      <c r="D36" s="28">
        <f t="shared" si="2"/>
        <v>20.757083333333334</v>
      </c>
      <c r="E36" s="28">
        <f t="shared" si="2"/>
        <v>5.1454166666666659</v>
      </c>
      <c r="F36" s="28">
        <f t="shared" si="2"/>
        <v>20.987500000000001</v>
      </c>
      <c r="G36" s="28">
        <f t="shared" si="2"/>
        <v>48.081250000000004</v>
      </c>
      <c r="H36" s="28">
        <f t="shared" si="2"/>
        <v>8.3079166666666673</v>
      </c>
      <c r="I36" s="28">
        <f t="shared" si="2"/>
        <v>2.1537500000000001</v>
      </c>
      <c r="J36" s="28">
        <f t="shared" si="2"/>
        <v>0.49875000000000003</v>
      </c>
      <c r="K36" s="28">
        <f t="shared" si="2"/>
        <v>313.23541666666671</v>
      </c>
      <c r="L36" s="28">
        <f t="shared" si="2"/>
        <v>28.387083333333337</v>
      </c>
      <c r="M36" s="28">
        <f t="shared" si="2"/>
        <v>87.745000000000005</v>
      </c>
      <c r="N36" s="28">
        <f t="shared" si="2"/>
        <v>234.43333333333331</v>
      </c>
      <c r="O36" s="28">
        <f t="shared" si="2"/>
        <v>8.3333333333333332E-3</v>
      </c>
      <c r="P36" s="28">
        <f t="shared" si="2"/>
        <v>0.80999999999999994</v>
      </c>
      <c r="Q36" s="28">
        <f t="shared" si="2"/>
        <v>9.1708333333333325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6.1911008480031153</v>
      </c>
      <c r="C37" s="28">
        <f t="shared" ref="C37:Q37" si="3">STDEV(C9:C32)</f>
        <v>8.8914216922911056</v>
      </c>
      <c r="D37" s="28">
        <f t="shared" si="3"/>
        <v>8.2933716221039315</v>
      </c>
      <c r="E37" s="28">
        <f t="shared" si="3"/>
        <v>0.17975778792263936</v>
      </c>
      <c r="F37" s="28">
        <f t="shared" si="3"/>
        <v>38.272636524307266</v>
      </c>
      <c r="G37" s="28">
        <f t="shared" si="3"/>
        <v>18.220999188108308</v>
      </c>
      <c r="H37" s="28">
        <f t="shared" si="3"/>
        <v>2.1123857914415258</v>
      </c>
      <c r="I37" s="28">
        <f t="shared" si="3"/>
        <v>0.76996788470575872</v>
      </c>
      <c r="J37" s="28">
        <f t="shared" si="3"/>
        <v>0.30426408009290645</v>
      </c>
      <c r="K37" s="28">
        <f t="shared" si="3"/>
        <v>53.749049251786566</v>
      </c>
      <c r="L37" s="28">
        <f t="shared" si="3"/>
        <v>4.0012514120358329</v>
      </c>
      <c r="M37" s="28">
        <f t="shared" si="3"/>
        <v>13.795824825239544</v>
      </c>
      <c r="N37" s="28">
        <f t="shared" si="3"/>
        <v>259.162538668835</v>
      </c>
      <c r="O37" s="28">
        <f t="shared" si="3"/>
        <v>4.0824829046386311E-2</v>
      </c>
      <c r="P37" s="28">
        <f t="shared" si="3"/>
        <v>0.54618041293904063</v>
      </c>
      <c r="Q37" s="28">
        <f t="shared" si="3"/>
        <v>6.6588722551303839E-2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90" zoomScaleNormal="90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4" sqref="G54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01/09/2025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01/09/2025 01:00</v>
      </c>
      <c r="B9" s="24">
        <f>'01'!B36</f>
        <v>10.71625</v>
      </c>
      <c r="C9" s="24">
        <f>'01'!C36</f>
        <v>11.541666666666664</v>
      </c>
      <c r="D9" s="24">
        <f>'01'!D36</f>
        <v>14.199583333333331</v>
      </c>
      <c r="E9" s="24">
        <f>'01'!E36</f>
        <v>4.1804166666666669</v>
      </c>
      <c r="F9" s="24">
        <f>'01'!F36</f>
        <v>7.2987499999999992</v>
      </c>
      <c r="G9" s="24">
        <f>'01'!G36</f>
        <v>36.508695652173913</v>
      </c>
      <c r="H9" s="24">
        <f>'01'!H36</f>
        <v>319.11238095238099</v>
      </c>
      <c r="I9" s="24">
        <f>'01'!I36</f>
        <v>1.3275000000000001</v>
      </c>
      <c r="J9" s="24">
        <f>'01'!J36</f>
        <v>0.37333333333333346</v>
      </c>
      <c r="K9" s="24">
        <f>'01'!K36</f>
        <v>297.63249999999999</v>
      </c>
      <c r="L9" s="24">
        <f>'01'!L36</f>
        <v>25.660416666666666</v>
      </c>
      <c r="M9" s="24">
        <f>'01'!M36</f>
        <v>95.13333333333334</v>
      </c>
      <c r="N9" s="24">
        <f>'01'!N36</f>
        <v>143.43750000000003</v>
      </c>
      <c r="O9" s="24">
        <f>'01'!O36</f>
        <v>0.125</v>
      </c>
      <c r="P9" s="30">
        <f>'01'!$P$36</f>
        <v>0.52250000000000008</v>
      </c>
      <c r="Q9" s="24">
        <f>'01'!Q36</f>
        <v>9.5724999999999998</v>
      </c>
      <c r="R9" s="44"/>
      <c r="S9" s="44"/>
      <c r="T9" s="44"/>
      <c r="U9" s="45"/>
    </row>
    <row r="10" spans="1:21" s="34" customFormat="1" x14ac:dyDescent="0.25">
      <c r="A10" s="36" t="str">
        <f>'02'!$B$2</f>
        <v>02/09/2025 01:00</v>
      </c>
      <c r="B10" s="33">
        <f>'02'!B36</f>
        <v>14.436666666666669</v>
      </c>
      <c r="C10" s="33">
        <f>'02'!C36</f>
        <v>11.928333333333333</v>
      </c>
      <c r="D10" s="33">
        <f>'02'!D36</f>
        <v>17.654583333333335</v>
      </c>
      <c r="E10" s="33">
        <f>'02'!E36</f>
        <v>5.067499999999999</v>
      </c>
      <c r="F10" s="33">
        <f>'02'!F36</f>
        <v>7.237916666666667</v>
      </c>
      <c r="G10" s="33">
        <f>'02'!G36</f>
        <v>32.81666666666667</v>
      </c>
      <c r="H10" s="33">
        <f>'02'!H36</f>
        <v>1.6504166666666669</v>
      </c>
      <c r="I10" s="33">
        <f>'02'!I36</f>
        <v>1.4012500000000001</v>
      </c>
      <c r="J10" s="33">
        <f>'02'!J36</f>
        <v>0.59916666666666674</v>
      </c>
      <c r="K10" s="33">
        <f>'02'!K36</f>
        <v>323.32333333333332</v>
      </c>
      <c r="L10" s="33">
        <f>'02'!L36</f>
        <v>25.822916666666661</v>
      </c>
      <c r="M10" s="33">
        <f>'02'!M36</f>
        <v>96.149583333333339</v>
      </c>
      <c r="N10" s="33">
        <f>'02'!N36</f>
        <v>172.05416666666667</v>
      </c>
      <c r="O10" s="33">
        <f>'02'!O36</f>
        <v>4.1666666666666664E-2</v>
      </c>
      <c r="P10" s="30">
        <f>'02'!$P$36</f>
        <v>0.57041666666666668</v>
      </c>
      <c r="Q10" s="33">
        <f>'02'!Q36</f>
        <v>9.6179166666666642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03/09/2025 01:00</v>
      </c>
      <c r="B11" s="33">
        <f>'03'!B36</f>
        <v>13.857499999999996</v>
      </c>
      <c r="C11" s="33">
        <f>'03'!C36</f>
        <v>13.789583333333333</v>
      </c>
      <c r="D11" s="33">
        <f>'03'!D36</f>
        <v>17.663333333333334</v>
      </c>
      <c r="E11" s="33">
        <f>'03'!E36</f>
        <v>4.5974999999999993</v>
      </c>
      <c r="F11" s="33">
        <f>'03'!F36</f>
        <v>9.1516666666666673</v>
      </c>
      <c r="G11" s="33">
        <f>'03'!G36</f>
        <v>39.642500000000005</v>
      </c>
      <c r="H11" s="33">
        <f>'03'!H36</f>
        <v>15.50958333333333</v>
      </c>
      <c r="I11" s="33">
        <f>'03'!I36</f>
        <v>1.3991666666666669</v>
      </c>
      <c r="J11" s="33">
        <f>'03'!J36</f>
        <v>0.31916666666666671</v>
      </c>
      <c r="K11" s="33">
        <f>'03'!K36</f>
        <v>271.69</v>
      </c>
      <c r="L11" s="33">
        <f>'03'!L36</f>
        <v>24.96875</v>
      </c>
      <c r="M11" s="33">
        <f>'03'!M36</f>
        <v>97.428333333333327</v>
      </c>
      <c r="N11" s="33">
        <f>'03'!N36</f>
        <v>127.25000000000001</v>
      </c>
      <c r="O11" s="33">
        <f>'03'!O36</f>
        <v>1.6666666666666666E-2</v>
      </c>
      <c r="P11" s="30">
        <f>'03'!$P$36</f>
        <v>0.68625000000000014</v>
      </c>
      <c r="Q11" s="33">
        <f>'03'!Q36</f>
        <v>9.6100000000000012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04/09/2025 01:00</v>
      </c>
      <c r="B12" s="33">
        <f>'04'!B36</f>
        <v>8.6166666666666671</v>
      </c>
      <c r="C12" s="33">
        <f>'04'!C36</f>
        <v>8.3070833333333294</v>
      </c>
      <c r="D12" s="33">
        <f>'04'!D36</f>
        <v>11.117916666666668</v>
      </c>
      <c r="E12" s="33">
        <f>'04'!E36</f>
        <v>4.729166666666667</v>
      </c>
      <c r="F12" s="33">
        <f>'04'!F36</f>
        <v>6.054166666666668</v>
      </c>
      <c r="G12" s="33">
        <f>'04'!G36</f>
        <v>20.602083333333336</v>
      </c>
      <c r="H12" s="33">
        <f>'04'!H36</f>
        <v>5.9816666666666665</v>
      </c>
      <c r="I12" s="33">
        <f>'04'!I36</f>
        <v>1.2216666666666669</v>
      </c>
      <c r="J12" s="33">
        <f>'04'!J36</f>
        <v>0.13125000000000001</v>
      </c>
      <c r="K12" s="33">
        <f>'04'!K36</f>
        <v>269.07708333333329</v>
      </c>
      <c r="L12" s="33">
        <f>'04'!L36</f>
        <v>24.388750000000002</v>
      </c>
      <c r="M12" s="33">
        <f>'04'!M36</f>
        <v>98.242083333333312</v>
      </c>
      <c r="N12" s="33">
        <f>'04'!N36</f>
        <v>128.75000000000003</v>
      </c>
      <c r="O12" s="33">
        <f>'04'!O36</f>
        <v>0</v>
      </c>
      <c r="P12" s="30">
        <f>'04'!$P$36</f>
        <v>0.37458333333333332</v>
      </c>
      <c r="Q12" s="33">
        <f>'04'!Q36</f>
        <v>9.5608333333333313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05/09/2025 01:00</v>
      </c>
      <c r="B13" s="33">
        <f>'05'!B36</f>
        <v>9.0137499999999999</v>
      </c>
      <c r="C13" s="33">
        <f>'05'!C36</f>
        <v>9.1054166666666649</v>
      </c>
      <c r="D13" s="33">
        <f>'05'!D36</f>
        <v>11.784166666666664</v>
      </c>
      <c r="E13" s="33">
        <f>'05'!E36</f>
        <v>5.375</v>
      </c>
      <c r="F13" s="33">
        <f>'05'!F36</f>
        <v>8.6254166666666663</v>
      </c>
      <c r="G13" s="33">
        <f>'05'!G36</f>
        <v>24.081250000000001</v>
      </c>
      <c r="H13" s="33">
        <f>'05'!H36</f>
        <v>6.8274999999999979</v>
      </c>
      <c r="I13" s="33">
        <f>'05'!I36</f>
        <v>0.85625000000000007</v>
      </c>
      <c r="J13" s="33">
        <f>'05'!J36</f>
        <v>0.43791666666666673</v>
      </c>
      <c r="K13" s="33">
        <f>'05'!K36</f>
        <v>200.05041666666671</v>
      </c>
      <c r="L13" s="33">
        <f>'05'!L36</f>
        <v>25.653333333333332</v>
      </c>
      <c r="M13" s="33">
        <f>'05'!M36</f>
        <v>95.522499999999994</v>
      </c>
      <c r="N13" s="33">
        <f>'05'!N36</f>
        <v>193.07916666666665</v>
      </c>
      <c r="O13" s="33">
        <f>'05'!O36</f>
        <v>8.3333333333333332E-3</v>
      </c>
      <c r="P13" s="30">
        <f>'05'!$P$36</f>
        <v>0.29958333333333337</v>
      </c>
      <c r="Q13" s="33">
        <f>'05'!Q36</f>
        <v>9.5479166666666657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06/09/2025 01:00</v>
      </c>
      <c r="B14" s="33">
        <f>'06'!B36</f>
        <v>11.026249999999999</v>
      </c>
      <c r="C14" s="33">
        <f>'06'!C36</f>
        <v>11.286250000000001</v>
      </c>
      <c r="D14" s="33">
        <f>'06'!D36</f>
        <v>14.179583333333333</v>
      </c>
      <c r="E14" s="33">
        <f>'06'!E36</f>
        <v>5.0250000000000004</v>
      </c>
      <c r="F14" s="33">
        <f>'06'!F36</f>
        <v>9.9508333333333336</v>
      </c>
      <c r="G14" s="33">
        <f>'06'!G36</f>
        <v>34.39875</v>
      </c>
      <c r="H14" s="33">
        <f>'06'!H36</f>
        <v>7.2979166666666666</v>
      </c>
      <c r="I14" s="33">
        <f>'06'!I36</f>
        <v>1.0058333333333334</v>
      </c>
      <c r="J14" s="33">
        <f>'06'!J36</f>
        <v>0.58000000000000007</v>
      </c>
      <c r="K14" s="33">
        <f>'06'!K36</f>
        <v>206.83416666666665</v>
      </c>
      <c r="L14" s="33">
        <f>'06'!L36</f>
        <v>27.416250000000005</v>
      </c>
      <c r="M14" s="33">
        <f>'06'!M36</f>
        <v>90.413749999999993</v>
      </c>
      <c r="N14" s="33">
        <f>'06'!N36</f>
        <v>266.80416666666662</v>
      </c>
      <c r="O14" s="33">
        <f>'06'!O36</f>
        <v>8.3333333333333332E-3</v>
      </c>
      <c r="P14" s="30">
        <f>'06'!$P$36</f>
        <v>0.37708333333333338</v>
      </c>
      <c r="Q14" s="33">
        <f>'06'!Q36</f>
        <v>9.5737499999999969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07/09/2025 01:00</v>
      </c>
      <c r="B15" s="33">
        <f>'07'!B36</f>
        <v>9.4882608695652149</v>
      </c>
      <c r="C15" s="33">
        <f>'07'!C36</f>
        <v>10.133913043478261</v>
      </c>
      <c r="D15" s="33">
        <f>'07'!D36</f>
        <v>12.607826086956523</v>
      </c>
      <c r="E15" s="33">
        <f>'07'!E36</f>
        <v>4.7273913043478242</v>
      </c>
      <c r="F15" s="33">
        <f>'07'!F36</f>
        <v>8.7939130434782609</v>
      </c>
      <c r="G15" s="33">
        <f>'07'!G36</f>
        <v>35.634782608695659</v>
      </c>
      <c r="H15" s="33">
        <f>'07'!H36</f>
        <v>8.442608695652174</v>
      </c>
      <c r="I15" s="33">
        <f>'07'!I36</f>
        <v>1.371739130434783</v>
      </c>
      <c r="J15" s="33">
        <f>'07'!J36</f>
        <v>0.32913043478260873</v>
      </c>
      <c r="K15" s="33">
        <f>'07'!K36</f>
        <v>288.24608695652171</v>
      </c>
      <c r="L15" s="33">
        <f>'07'!L36</f>
        <v>27.130869565217395</v>
      </c>
      <c r="M15" s="33">
        <f>'07'!M36</f>
        <v>90.11999999999999</v>
      </c>
      <c r="N15" s="33">
        <f>'07'!N36</f>
        <v>246.55217391304339</v>
      </c>
      <c r="O15" s="33">
        <f>'07'!O36</f>
        <v>0.36521739130434783</v>
      </c>
      <c r="P15" s="33">
        <f>'07'!P36</f>
        <v>0.39652173913043476</v>
      </c>
      <c r="Q15" s="33">
        <f>'07'!Q36</f>
        <v>9.5373913043478247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08/09/2025 01:00</v>
      </c>
      <c r="B16" s="33">
        <f>'08'!B36</f>
        <v>20.249166666666671</v>
      </c>
      <c r="C16" s="33">
        <f>'08'!C36</f>
        <v>12.45541666666667</v>
      </c>
      <c r="D16" s="33">
        <f>'08'!D36</f>
        <v>21.516666666666666</v>
      </c>
      <c r="E16" s="33">
        <f>'08'!E36</f>
        <v>3.5258333333333329</v>
      </c>
      <c r="F16" s="33">
        <f>'08'!F36</f>
        <v>6.1537499999999996</v>
      </c>
      <c r="G16" s="33">
        <f>'08'!G36</f>
        <v>55.413043478260867</v>
      </c>
      <c r="H16" s="33">
        <f>'08'!H36</f>
        <v>12.4725</v>
      </c>
      <c r="I16" s="33">
        <f>'08'!I36</f>
        <v>2.0570833333333334</v>
      </c>
      <c r="J16" s="33">
        <f>'08'!J36</f>
        <v>0.45875000000000005</v>
      </c>
      <c r="K16" s="33">
        <f>'08'!K36</f>
        <v>299.57458333333335</v>
      </c>
      <c r="L16" s="33">
        <f>'08'!L36</f>
        <v>25.845833333333335</v>
      </c>
      <c r="M16" s="33">
        <f>'08'!M36</f>
        <v>97.649999999999991</v>
      </c>
      <c r="N16" s="33">
        <f>'08'!N36</f>
        <v>178.00833333333333</v>
      </c>
      <c r="O16" s="33">
        <f>'08'!O36</f>
        <v>8.3333333333333329E-2</v>
      </c>
      <c r="P16" s="30">
        <f>'08'!$P$36</f>
        <v>0.73791666666666667</v>
      </c>
      <c r="Q16" s="33">
        <f>'08'!Q36</f>
        <v>9.4833333333333325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09/09/2025 01:00</v>
      </c>
      <c r="B17" s="33">
        <f>'09'!B36</f>
        <v>17.53916666666667</v>
      </c>
      <c r="C17" s="33">
        <f>'09'!C36</f>
        <v>19.257499999999997</v>
      </c>
      <c r="D17" s="33">
        <f>'09'!D36</f>
        <v>23.386250000000004</v>
      </c>
      <c r="E17" s="33">
        <f>'09'!E36</f>
        <v>5.0291666666666668</v>
      </c>
      <c r="F17" s="33">
        <f>'09'!F36</f>
        <v>12.658333333333333</v>
      </c>
      <c r="G17" s="33">
        <f>'09'!G36</f>
        <v>68.443333333333328</v>
      </c>
      <c r="H17" s="33">
        <f>'09'!H36</f>
        <v>3.8775000000000008</v>
      </c>
      <c r="I17" s="33">
        <f>'09'!I36</f>
        <v>1.9745833333333334</v>
      </c>
      <c r="J17" s="33">
        <f>'09'!J36</f>
        <v>0.32833333333333331</v>
      </c>
      <c r="K17" s="33">
        <f>'09'!K36</f>
        <v>282.0695833333333</v>
      </c>
      <c r="L17" s="33">
        <f>'09'!L36</f>
        <v>27.539166666666674</v>
      </c>
      <c r="M17" s="33">
        <f>'09'!M36</f>
        <v>92.850416666666661</v>
      </c>
      <c r="N17" s="33">
        <f>'09'!N36</f>
        <v>185.1458333333334</v>
      </c>
      <c r="O17" s="33">
        <f>'09'!O36</f>
        <v>0</v>
      </c>
      <c r="P17" s="33">
        <f>'09'!P36</f>
        <v>0.83250000000000002</v>
      </c>
      <c r="Q17" s="33">
        <f>'09'!Q36</f>
        <v>9.5166666666666657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10/09/2025 01:00</v>
      </c>
      <c r="B18" s="33">
        <f>'10'!B36</f>
        <v>17.688749999999999</v>
      </c>
      <c r="C18" s="33">
        <f>'10'!C36</f>
        <v>16.548750000000002</v>
      </c>
      <c r="D18" s="33">
        <f>'10'!D36</f>
        <v>21.631666666666664</v>
      </c>
      <c r="E18" s="33">
        <f>'10'!E36</f>
        <v>5.129999999999999</v>
      </c>
      <c r="F18" s="33">
        <f>'10'!F36</f>
        <v>9.0466666666666651</v>
      </c>
      <c r="G18" s="33">
        <f>'10'!G36</f>
        <v>78.249583333333348</v>
      </c>
      <c r="H18" s="33">
        <f>'10'!H36</f>
        <v>227.99249999999986</v>
      </c>
      <c r="I18" s="33">
        <f>'10'!I36</f>
        <v>2.1187499999999999</v>
      </c>
      <c r="J18" s="33">
        <f>'10'!J36</f>
        <v>0.50083333333333324</v>
      </c>
      <c r="K18" s="33">
        <f>'10'!K36</f>
        <v>320.96666666666664</v>
      </c>
      <c r="L18" s="33">
        <f>'10'!L36</f>
        <v>26.99208333333333</v>
      </c>
      <c r="M18" s="33">
        <f>'10'!M36</f>
        <v>94.094166666666695</v>
      </c>
      <c r="N18" s="33">
        <f>'10'!N36</f>
        <v>164.51666666666671</v>
      </c>
      <c r="O18" s="33">
        <f>'10'!O36</f>
        <v>0</v>
      </c>
      <c r="P18" s="30">
        <f>'10'!$P$36</f>
        <v>0.71791666666666665</v>
      </c>
      <c r="Q18" s="33">
        <f>'10'!Q36</f>
        <v>9.5533333333333346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11/09/2025 01:00</v>
      </c>
      <c r="B19" s="33">
        <f>'11'!B36</f>
        <v>18.740833333333335</v>
      </c>
      <c r="C19" s="33">
        <f>'11'!C36</f>
        <v>14.857500000000002</v>
      </c>
      <c r="D19" s="33">
        <f>'11'!D36</f>
        <v>21.684166666666666</v>
      </c>
      <c r="E19" s="33">
        <f>'11'!E36</f>
        <v>5.5250000000000012</v>
      </c>
      <c r="F19" s="33">
        <f>'11'!F36</f>
        <v>8.1641666666666666</v>
      </c>
      <c r="G19" s="33">
        <f>'11'!G36</f>
        <v>55.265833333333326</v>
      </c>
      <c r="H19" s="33">
        <f>'11'!H36</f>
        <v>579.45499999999993</v>
      </c>
      <c r="I19" s="33">
        <f>'11'!I36</f>
        <v>1.9537500000000001</v>
      </c>
      <c r="J19" s="33">
        <f>'11'!J36</f>
        <v>0.4612500000000001</v>
      </c>
      <c r="K19" s="33">
        <f>'11'!K36</f>
        <v>319.94</v>
      </c>
      <c r="L19" s="33">
        <f>'11'!L36</f>
        <v>26.677083333333329</v>
      </c>
      <c r="M19" s="33">
        <f>'11'!M36</f>
        <v>97.221666666666678</v>
      </c>
      <c r="N19" s="33">
        <f>'11'!N36</f>
        <v>145.53750000000002</v>
      </c>
      <c r="O19" s="33">
        <f>'11'!O36</f>
        <v>0</v>
      </c>
      <c r="P19" s="33">
        <f>'11'!P36</f>
        <v>0.67874999999999996</v>
      </c>
      <c r="Q19" s="33">
        <f>'11'!Q36</f>
        <v>9.6041666666666679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12/09/2025 01:00</v>
      </c>
      <c r="B20" s="33">
        <f>'12'!B36</f>
        <v>14.877083333333333</v>
      </c>
      <c r="C20" s="33">
        <f>'12'!C36</f>
        <v>16.185416666666665</v>
      </c>
      <c r="D20" s="33">
        <f>'12'!D36</f>
        <v>19.489583333333332</v>
      </c>
      <c r="E20" s="33">
        <f>'12'!E36</f>
        <v>5.6462499999999984</v>
      </c>
      <c r="F20" s="33">
        <f>'12'!F36</f>
        <v>10.794583333333334</v>
      </c>
      <c r="G20" s="33">
        <f>'12'!G36</f>
        <v>62.598749999999995</v>
      </c>
      <c r="H20" s="33">
        <f>'12'!H36</f>
        <v>10.697916666666666</v>
      </c>
      <c r="I20" s="33">
        <f>'12'!I36</f>
        <v>1.6124999999999996</v>
      </c>
      <c r="J20" s="33">
        <f>'12'!J36</f>
        <v>0.80874999999999997</v>
      </c>
      <c r="K20" s="33">
        <f>'12'!K36</f>
        <v>279.20749999999998</v>
      </c>
      <c r="L20" s="33">
        <f>'12'!L36</f>
        <v>26.728750000000002</v>
      </c>
      <c r="M20" s="33">
        <f>'12'!M36</f>
        <v>93.828333333333333</v>
      </c>
      <c r="N20" s="33">
        <f>'12'!N36</f>
        <v>223.24166666666667</v>
      </c>
      <c r="O20" s="33">
        <f>'12'!O36</f>
        <v>0.13333333333333333</v>
      </c>
      <c r="P20" s="33">
        <f>'12'!P36</f>
        <v>0.65</v>
      </c>
      <c r="Q20" s="33">
        <f>'12'!Q36</f>
        <v>9.4654166666666679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13/09/2025 01:00</v>
      </c>
      <c r="B21" s="33">
        <f>'13'!B36</f>
        <v>10.933333333333332</v>
      </c>
      <c r="C21" s="33">
        <f>'13'!C36</f>
        <v>10.853749999999998</v>
      </c>
      <c r="D21" s="33">
        <f>'13'!D36</f>
        <v>14.007500000000002</v>
      </c>
      <c r="E21" s="33">
        <f>'13'!E36</f>
        <v>4.8641666666666667</v>
      </c>
      <c r="F21" s="33">
        <f>'13'!F36</f>
        <v>10.035833333333334</v>
      </c>
      <c r="G21" s="33">
        <f>'13'!G36</f>
        <v>43.535416666666663</v>
      </c>
      <c r="H21" s="33">
        <f>'13'!H36</f>
        <v>7.8616666666666681</v>
      </c>
      <c r="I21" s="33">
        <f>'13'!I36</f>
        <v>1.53</v>
      </c>
      <c r="J21" s="33">
        <f>'13'!J36</f>
        <v>0.72874999999999979</v>
      </c>
      <c r="K21" s="33">
        <f>'13'!K36</f>
        <v>187.78708333333336</v>
      </c>
      <c r="L21" s="33">
        <f>'13'!L36</f>
        <v>27.001249999999999</v>
      </c>
      <c r="M21" s="33">
        <f>'13'!M36</f>
        <v>93.067083333333343</v>
      </c>
      <c r="N21" s="33">
        <f>'13'!N36</f>
        <v>231.89166666666668</v>
      </c>
      <c r="O21" s="33">
        <f>'13'!O36</f>
        <v>1.6666666666666666E-2</v>
      </c>
      <c r="P21" s="33">
        <f>'13'!P36</f>
        <v>0.40916666666666668</v>
      </c>
      <c r="Q21" s="33">
        <f>'13'!Q36</f>
        <v>9.398333333333337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14/09/2025 01:00</v>
      </c>
      <c r="B22" s="30">
        <f>'14'!B36</f>
        <v>8.2099999999999991</v>
      </c>
      <c r="C22" s="30">
        <f>'14'!C36</f>
        <v>11.069166666666666</v>
      </c>
      <c r="D22" s="30">
        <f>'14'!D36</f>
        <v>11.996250000000002</v>
      </c>
      <c r="E22" s="30">
        <f>'14'!E36</f>
        <v>4.6454166666666667</v>
      </c>
      <c r="F22" s="30">
        <f>'14'!F36</f>
        <v>10.189583333333333</v>
      </c>
      <c r="G22" s="30">
        <f>'14'!G36</f>
        <v>25.628333333333334</v>
      </c>
      <c r="H22" s="30">
        <f>'14'!H36</f>
        <v>7.6925000000000017</v>
      </c>
      <c r="I22" s="30">
        <f>'14'!I36</f>
        <v>0.99958333333333316</v>
      </c>
      <c r="J22" s="30">
        <f>'14'!J36</f>
        <v>0.69916666666666671</v>
      </c>
      <c r="K22" s="30">
        <f>'14'!K36</f>
        <v>192.28083333333333</v>
      </c>
      <c r="L22" s="30">
        <f>'14'!L36</f>
        <v>27.799999999999994</v>
      </c>
      <c r="M22" s="30">
        <f>'14'!M36</f>
        <v>92.085833333333326</v>
      </c>
      <c r="N22" s="30">
        <f>'14'!N36</f>
        <v>262.57083333333338</v>
      </c>
      <c r="O22" s="30">
        <f>'14'!O36</f>
        <v>0</v>
      </c>
      <c r="P22" s="30">
        <f>'14'!P36</f>
        <v>0.29791666666666666</v>
      </c>
      <c r="Q22" s="30">
        <f>'14'!Q36</f>
        <v>9.2945833333333336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15/09/2025 01:00</v>
      </c>
      <c r="B23" s="33">
        <f>'15'!B36</f>
        <v>16.912916666666664</v>
      </c>
      <c r="C23" s="33">
        <f>'15'!C36</f>
        <v>11.277083333333332</v>
      </c>
      <c r="D23" s="33">
        <f>'15'!D36</f>
        <v>18.647916666666671</v>
      </c>
      <c r="E23" s="33">
        <f>'15'!E36</f>
        <v>4.5870833333333341</v>
      </c>
      <c r="F23" s="33">
        <f>'15'!F36</f>
        <v>7.3129166666666654</v>
      </c>
      <c r="G23" s="33">
        <f>'15'!G36</f>
        <v>29.662083333333328</v>
      </c>
      <c r="H23" s="33">
        <f>'15'!H36</f>
        <v>8.9712499999999995</v>
      </c>
      <c r="I23" s="33">
        <f>'15'!I36</f>
        <v>1.6454166666666667</v>
      </c>
      <c r="J23" s="33">
        <f>'15'!J36</f>
        <v>0.43083333333333335</v>
      </c>
      <c r="K23" s="33">
        <f>'15'!K36</f>
        <v>266.49874999999992</v>
      </c>
      <c r="L23" s="33">
        <f>'15'!L36</f>
        <v>25.015000000000004</v>
      </c>
      <c r="M23" s="33">
        <f>'15'!M36</f>
        <v>98.117916666666659</v>
      </c>
      <c r="N23" s="33">
        <f>'15'!N36</f>
        <v>74.512500000000017</v>
      </c>
      <c r="O23" s="33">
        <f>'15'!O36</f>
        <v>0</v>
      </c>
      <c r="P23" s="30">
        <f>'15'!P36</f>
        <v>0.59666666666666679</v>
      </c>
      <c r="Q23" s="30">
        <f>'15'!Q36</f>
        <v>9.4379166666666645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16/09/2025 01:00</v>
      </c>
      <c r="B24" s="33">
        <f>'16'!B36</f>
        <v>14.625</v>
      </c>
      <c r="C24" s="33">
        <f>'16'!C36</f>
        <v>8.6620833333333334</v>
      </c>
      <c r="D24" s="33">
        <f>'16'!D36</f>
        <v>15.647916666666667</v>
      </c>
      <c r="E24" s="33">
        <f>'16'!E36</f>
        <v>4.6437499999999998</v>
      </c>
      <c r="F24" s="33">
        <f>'16'!F36</f>
        <v>7.3616666666666672</v>
      </c>
      <c r="G24" s="33">
        <f>'16'!G36</f>
        <v>19.450416666666666</v>
      </c>
      <c r="H24" s="33">
        <f>'16'!H36</f>
        <v>11.292499999999997</v>
      </c>
      <c r="I24" s="33">
        <f>'16'!I36</f>
        <v>1.4141666666666666</v>
      </c>
      <c r="J24" s="33">
        <f>'16'!J36</f>
        <v>0.54333333333333356</v>
      </c>
      <c r="K24" s="33">
        <f>'16'!K36</f>
        <v>212.62041666666667</v>
      </c>
      <c r="L24" s="33">
        <f>'16'!L36</f>
        <v>23.857083333333332</v>
      </c>
      <c r="M24" s="33">
        <f>'16'!M36</f>
        <v>98.451666666666654</v>
      </c>
      <c r="N24" s="33">
        <f>'16'!N36</f>
        <v>104.28750000000001</v>
      </c>
      <c r="O24" s="33">
        <f>'16'!O36</f>
        <v>8.3333333333333332E-3</v>
      </c>
      <c r="P24" s="30">
        <f>'16'!P36</f>
        <v>0.45083333333333325</v>
      </c>
      <c r="Q24" s="30">
        <f>'16'!Q36</f>
        <v>9.5066666666666642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17/09/2025 01:00</v>
      </c>
      <c r="B25" s="33">
        <f>'17'!B36</f>
        <v>15.33958333333333</v>
      </c>
      <c r="C25" s="33">
        <f>'17'!C36</f>
        <v>10.932500000000003</v>
      </c>
      <c r="D25" s="33">
        <f>'17'!D36</f>
        <v>17.18708333333333</v>
      </c>
      <c r="E25" s="33">
        <f>'17'!E36</f>
        <v>4.6920833333333327</v>
      </c>
      <c r="F25" s="33">
        <f>'17'!F36</f>
        <v>7.998333333333334</v>
      </c>
      <c r="G25" s="33">
        <f>'17'!G36</f>
        <v>45.438749999999999</v>
      </c>
      <c r="H25" s="33">
        <f>'17'!H36</f>
        <v>11.832083333333335</v>
      </c>
      <c r="I25" s="33">
        <f>'17'!I36</f>
        <v>1.2054166666666666</v>
      </c>
      <c r="J25" s="33">
        <f>'17'!J36</f>
        <v>0.27666666666666662</v>
      </c>
      <c r="K25" s="33">
        <f>'17'!K36</f>
        <v>273.7687499999999</v>
      </c>
      <c r="L25" s="33">
        <f>'17'!L36</f>
        <v>26.194583333333327</v>
      </c>
      <c r="M25" s="33">
        <f>'17'!M36</f>
        <v>96.470000000000013</v>
      </c>
      <c r="N25" s="33">
        <f>'17'!N36</f>
        <v>187.1541666666667</v>
      </c>
      <c r="O25" s="33">
        <f>'17'!O36</f>
        <v>8.3333333333333332E-3</v>
      </c>
      <c r="P25" s="30">
        <f>'17'!P36</f>
        <v>0.54375000000000007</v>
      </c>
      <c r="Q25" s="30">
        <f>'17'!Q36</f>
        <v>9.357916666666668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18/09/2025 01:00</v>
      </c>
      <c r="B26" s="33">
        <f>'18'!B36</f>
        <v>12.582500000000001</v>
      </c>
      <c r="C26" s="33">
        <f>'18'!C36</f>
        <v>12.28</v>
      </c>
      <c r="D26" s="33">
        <f>'18'!D36</f>
        <v>15.986249999999998</v>
      </c>
      <c r="E26" s="33">
        <f>'18'!E36</f>
        <v>5.4591666666666674</v>
      </c>
      <c r="F26" s="33">
        <f>'18'!F36</f>
        <v>8.6041666666666661</v>
      </c>
      <c r="G26" s="33">
        <f>'18'!G36</f>
        <v>41.368095238095236</v>
      </c>
      <c r="H26" s="33">
        <f>'18'!H36</f>
        <v>8.4561904761904785</v>
      </c>
      <c r="I26" s="33">
        <f>'18'!I36</f>
        <v>25.596249999999998</v>
      </c>
      <c r="J26" s="33">
        <f>'18'!J36</f>
        <v>0.15541666666666668</v>
      </c>
      <c r="K26" s="33">
        <f>'18'!K36</f>
        <v>263.75833333333333</v>
      </c>
      <c r="L26" s="33">
        <f>'18'!L36</f>
        <v>27.453333333333333</v>
      </c>
      <c r="M26" s="33">
        <f>'18'!M36</f>
        <v>92.33208333333333</v>
      </c>
      <c r="N26" s="33">
        <f>'18'!N36</f>
        <v>256.07499999999999</v>
      </c>
      <c r="O26" s="33">
        <f>'18'!O36</f>
        <v>0</v>
      </c>
      <c r="P26" s="30">
        <f>'18'!P36</f>
        <v>0.7004166666666668</v>
      </c>
      <c r="Q26" s="30">
        <f>'18'!Q36</f>
        <v>9.3004166666666688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19/09/2025 01:00</v>
      </c>
      <c r="B27" s="33">
        <f>'19'!B36</f>
        <v>8.1554545454545444</v>
      </c>
      <c r="C27" s="33">
        <f>'19'!C36</f>
        <v>19.754999999999999</v>
      </c>
      <c r="D27" s="33">
        <f>'19'!D36</f>
        <v>17.117272727272731</v>
      </c>
      <c r="E27" s="33">
        <f>'19'!E36</f>
        <v>4.5962500000000004</v>
      </c>
      <c r="F27" s="33">
        <f>'19'!F36</f>
        <v>9.1312500000000014</v>
      </c>
      <c r="G27" s="33">
        <f>'19'!G36</f>
        <v>74.025263157894756</v>
      </c>
      <c r="H27" s="33">
        <f>'19'!H36</f>
        <v>23.240952380952379</v>
      </c>
      <c r="I27" s="33">
        <f>'19'!I36</f>
        <v>4.6970833333333344</v>
      </c>
      <c r="J27" s="33">
        <f>'19'!J36</f>
        <v>0.20874999999999996</v>
      </c>
      <c r="K27" s="33">
        <f>'19'!K36</f>
        <v>306.30833333333339</v>
      </c>
      <c r="L27" s="33">
        <f>'19'!L36</f>
        <v>27.760416666666671</v>
      </c>
      <c r="M27" s="33">
        <f>'19'!M36</f>
        <v>92.869583333333352</v>
      </c>
      <c r="N27" s="33">
        <f>'19'!N36</f>
        <v>216.7791666666667</v>
      </c>
      <c r="O27" s="33">
        <f>'19'!O36</f>
        <v>1.6666666666666666E-2</v>
      </c>
      <c r="P27" s="30">
        <f>'19'!P36</f>
        <v>0.51375000000000004</v>
      </c>
      <c r="Q27" s="30">
        <f>'19'!Q36</f>
        <v>9.3883333333333336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20/09/2025 01:00</v>
      </c>
      <c r="B28" s="33">
        <f>'20'!B36</f>
        <v>9.0137499999999999</v>
      </c>
      <c r="C28" s="33">
        <f>'20'!C36</f>
        <v>9.1054166666666649</v>
      </c>
      <c r="D28" s="33">
        <f>'20'!D36</f>
        <v>11.784166666666664</v>
      </c>
      <c r="E28" s="33">
        <f>'20'!E36</f>
        <v>5.1629166666666659</v>
      </c>
      <c r="F28" s="33">
        <f>'20'!F36</f>
        <v>10.942083333333331</v>
      </c>
      <c r="G28" s="33">
        <f>'20'!G36</f>
        <v>41.987916666666663</v>
      </c>
      <c r="H28" s="33">
        <f>'20'!H36</f>
        <v>5.21875</v>
      </c>
      <c r="I28" s="33">
        <f>'20'!I36</f>
        <v>1.6504166666666666</v>
      </c>
      <c r="J28" s="33">
        <f>'20'!J36</f>
        <v>0.42416666666666675</v>
      </c>
      <c r="K28" s="33">
        <f>'20'!K36</f>
        <v>313.2570833333333</v>
      </c>
      <c r="L28" s="33">
        <f>'20'!L36</f>
        <v>28.797916666666669</v>
      </c>
      <c r="M28" s="33">
        <f>'20'!M36</f>
        <v>87.095833333333346</v>
      </c>
      <c r="N28" s="33">
        <f>'20'!N36</f>
        <v>255.29999999999995</v>
      </c>
      <c r="O28" s="33">
        <f>'20'!O36</f>
        <v>0</v>
      </c>
      <c r="P28" s="30">
        <f>'20'!P36</f>
        <v>0.55541666666666678</v>
      </c>
      <c r="Q28" s="30">
        <f>'20'!Q36</f>
        <v>9.2908333333333335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21/09/2025 01:00</v>
      </c>
      <c r="B29" s="33">
        <f>'21'!B36</f>
        <v>14.436666666666669</v>
      </c>
      <c r="C29" s="33">
        <f>'21'!C36</f>
        <v>11.928333333333333</v>
      </c>
      <c r="D29" s="33">
        <f>'21'!D36</f>
        <v>17.654583333333335</v>
      </c>
      <c r="E29" s="33">
        <f>'21'!E36</f>
        <v>5.3220833333333326</v>
      </c>
      <c r="F29" s="33">
        <f>'21'!F36</f>
        <v>14.068333333333335</v>
      </c>
      <c r="G29" s="33">
        <f>'21'!G36</f>
        <v>49.926666666666669</v>
      </c>
      <c r="H29" s="33">
        <f>'21'!H36</f>
        <v>3.6708333333333338</v>
      </c>
      <c r="I29" s="33">
        <f>'21'!I36</f>
        <v>2.0745833333333334</v>
      </c>
      <c r="J29" s="33">
        <f>'21'!J36</f>
        <v>0.41916666666666669</v>
      </c>
      <c r="K29" s="33">
        <f>'21'!K36</f>
        <v>306.7408333333334</v>
      </c>
      <c r="L29" s="33">
        <f>'21'!L36</f>
        <v>27.701249999999998</v>
      </c>
      <c r="M29" s="33">
        <f>'21'!M36</f>
        <v>89.94916666666667</v>
      </c>
      <c r="N29" s="33">
        <f>'21'!N36</f>
        <v>219.84166666666673</v>
      </c>
      <c r="O29" s="33">
        <f>'21'!O36</f>
        <v>0</v>
      </c>
      <c r="P29" s="30">
        <f>'21'!P36</f>
        <v>0.62833333333333341</v>
      </c>
      <c r="Q29" s="30">
        <f>'21'!Q36</f>
        <v>9.2625000000000011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22/09/2025 01:00</v>
      </c>
      <c r="B30" s="33">
        <f>'22'!B36</f>
        <v>13.532499999999999</v>
      </c>
      <c r="C30" s="33">
        <f>'22'!C36</f>
        <v>16.824999999999999</v>
      </c>
      <c r="D30" s="33">
        <f>'22'!D36</f>
        <v>19.131249999999998</v>
      </c>
      <c r="E30" s="33">
        <f>'22'!E36</f>
        <v>5.5833333333333348</v>
      </c>
      <c r="F30" s="33">
        <f>'22'!F36</f>
        <v>14.847083333333332</v>
      </c>
      <c r="G30" s="33">
        <f>'22'!G36</f>
        <v>63.097500000000004</v>
      </c>
      <c r="H30" s="33">
        <f>'22'!H36</f>
        <v>3.4275000000000002</v>
      </c>
      <c r="I30" s="33">
        <f>'22'!I36</f>
        <v>1.8395833333333333</v>
      </c>
      <c r="J30" s="33">
        <f>'22'!J36</f>
        <v>0.75208333333333321</v>
      </c>
      <c r="K30" s="33">
        <f>'22'!K36</f>
        <v>268.39333333333337</v>
      </c>
      <c r="L30" s="33">
        <f>'22'!L36</f>
        <v>27.452083333333334</v>
      </c>
      <c r="M30" s="33">
        <f>'22'!M36</f>
        <v>89.057083333333352</v>
      </c>
      <c r="N30" s="33">
        <f>'22'!N36</f>
        <v>207.1666666666666</v>
      </c>
      <c r="O30" s="33">
        <f>'22'!O36</f>
        <v>0</v>
      </c>
      <c r="P30" s="30">
        <f>'22'!P36</f>
        <v>0.57583333333333331</v>
      </c>
      <c r="Q30" s="30">
        <f>'22'!Q36</f>
        <v>9.2870833333333316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23/09/2025 01:00</v>
      </c>
      <c r="B31" s="33">
        <f>'23'!B36</f>
        <v>10.369166666666667</v>
      </c>
      <c r="C31" s="33">
        <f>'23'!C36</f>
        <v>15.267499999999998</v>
      </c>
      <c r="D31" s="33">
        <f>'23'!D36</f>
        <v>15.753749999999998</v>
      </c>
      <c r="E31" s="33">
        <f>'23'!E36</f>
        <v>5.2595833333333335</v>
      </c>
      <c r="F31" s="33">
        <f>'23'!F36</f>
        <v>12.553750000000001</v>
      </c>
      <c r="G31" s="33">
        <f>'23'!G36</f>
        <v>53.660416666666663</v>
      </c>
      <c r="H31" s="33">
        <f>'23'!H36</f>
        <v>5.0045833333333318</v>
      </c>
      <c r="I31" s="33">
        <f>'23'!I36</f>
        <v>1.6570833333333332</v>
      </c>
      <c r="J31" s="33">
        <f>'23'!J36</f>
        <v>0.63041666666666663</v>
      </c>
      <c r="K31" s="33">
        <f>'23'!K36</f>
        <v>313.64208333333335</v>
      </c>
      <c r="L31" s="33">
        <f>'23'!L36</f>
        <v>28.179999999999993</v>
      </c>
      <c r="M31" s="33">
        <f>'23'!M36</f>
        <v>87.112499999999997</v>
      </c>
      <c r="N31" s="33">
        <f>'23'!N36</f>
        <v>248.00833333333335</v>
      </c>
      <c r="O31" s="33">
        <f>'23'!O36</f>
        <v>0</v>
      </c>
      <c r="P31" s="33">
        <f>'23'!P36</f>
        <v>0.48666666666666675</v>
      </c>
      <c r="Q31" s="33">
        <f>'23'!Q36</f>
        <v>9.2675000000000001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24/09/2025 01:00</v>
      </c>
      <c r="B32" s="33">
        <f>'24'!B36</f>
        <v>16.307500000000001</v>
      </c>
      <c r="C32" s="33">
        <f>'24'!C36</f>
        <v>12.608333333333336</v>
      </c>
      <c r="D32" s="33">
        <f>'24'!D36</f>
        <v>19.294166666666666</v>
      </c>
      <c r="E32" s="33">
        <f>'24'!E36</f>
        <v>4.4570833333333333</v>
      </c>
      <c r="F32" s="33">
        <f>'24'!F36</f>
        <v>8.1054166666666667</v>
      </c>
      <c r="G32" s="33">
        <f>'24'!G36</f>
        <v>30.027500000000003</v>
      </c>
      <c r="H32" s="33">
        <f>'24'!H36</f>
        <v>4.1087499999999997</v>
      </c>
      <c r="I32" s="33">
        <f>'24'!I36</f>
        <v>2.6858333333333335</v>
      </c>
      <c r="J32" s="33">
        <f>'24'!J36</f>
        <v>0.42541666666666672</v>
      </c>
      <c r="K32" s="33">
        <f>'24'!K36</f>
        <v>325.59833333333324</v>
      </c>
      <c r="L32" s="33">
        <f>'24'!L36</f>
        <v>23.045416666666668</v>
      </c>
      <c r="M32" s="33">
        <f>'24'!M36</f>
        <v>98.55416666666666</v>
      </c>
      <c r="N32" s="33">
        <f>'24'!N36</f>
        <v>76.795833333333334</v>
      </c>
      <c r="O32" s="33">
        <f>'24'!O36</f>
        <v>0.33333333333333331</v>
      </c>
      <c r="P32" s="33">
        <f>'24'!P36</f>
        <v>0.79875000000000018</v>
      </c>
      <c r="Q32" s="33">
        <f>'24'!Q36</f>
        <v>9.3045833333333317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25/09/2025 01:00</v>
      </c>
      <c r="B33" s="33">
        <f>'25'!B36</f>
        <v>22.66458333333334</v>
      </c>
      <c r="C33" s="33">
        <f>'25'!C36</f>
        <v>19.811666666666664</v>
      </c>
      <c r="D33" s="33">
        <f>'25'!D36</f>
        <v>27.59708333333333</v>
      </c>
      <c r="E33" s="33">
        <f>'25'!E36</f>
        <v>5.1920833333333336</v>
      </c>
      <c r="F33" s="33">
        <f>'25'!F36</f>
        <v>13.346249999999998</v>
      </c>
      <c r="G33" s="33">
        <f>'25'!G36</f>
        <v>41.500416666666659</v>
      </c>
      <c r="H33" s="33">
        <f>'25'!H36</f>
        <v>4.9416666666666655</v>
      </c>
      <c r="I33" s="33">
        <f>'25'!I36</f>
        <v>2.2524999999999999</v>
      </c>
      <c r="J33" s="33">
        <f>'25'!J36</f>
        <v>0.55958333333333343</v>
      </c>
      <c r="K33" s="33">
        <f>'25'!K36</f>
        <v>330.63624999999996</v>
      </c>
      <c r="L33" s="33">
        <f>'25'!L36</f>
        <v>26</v>
      </c>
      <c r="M33" s="33">
        <f>'25'!M36</f>
        <v>95.087083333333339</v>
      </c>
      <c r="N33" s="33">
        <f>'25'!N36</f>
        <v>234.2208333333333</v>
      </c>
      <c r="O33" s="33">
        <f>'25'!O36</f>
        <v>8.3333333333333332E-3</v>
      </c>
      <c r="P33" s="33">
        <f>'25'!P36</f>
        <v>0.94833333333333325</v>
      </c>
      <c r="Q33" s="33">
        <f>'25'!Q36</f>
        <v>9.3533333333333335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26/09/2025 01:00</v>
      </c>
      <c r="B34" s="33">
        <f>'26'!B36</f>
        <v>17.991666666666664</v>
      </c>
      <c r="C34" s="33">
        <f>'26'!C36</f>
        <v>16.962083333333332</v>
      </c>
      <c r="D34" s="33">
        <f>'26'!D36</f>
        <v>22.323333333333338</v>
      </c>
      <c r="E34" s="33">
        <f>'26'!E36</f>
        <v>5.8449999999999998</v>
      </c>
      <c r="F34" s="33">
        <f>'26'!F36</f>
        <v>14.586666666666668</v>
      </c>
      <c r="G34" s="33">
        <f>'26'!G36</f>
        <v>64.809166666666655</v>
      </c>
      <c r="H34" s="33">
        <f>'26'!H36</f>
        <v>5.8429166666666665</v>
      </c>
      <c r="I34" s="33">
        <f>'26'!I36</f>
        <v>2.3320833333333333</v>
      </c>
      <c r="J34" s="33">
        <f>'26'!J36</f>
        <v>0.66499999999999992</v>
      </c>
      <c r="K34" s="33">
        <f>'26'!K36</f>
        <v>294.51458333333329</v>
      </c>
      <c r="L34" s="33">
        <f>'26'!L36</f>
        <v>26.984999999999999</v>
      </c>
      <c r="M34" s="33">
        <f>'26'!M36</f>
        <v>94.046666666666681</v>
      </c>
      <c r="N34" s="33">
        <f>'26'!N36</f>
        <v>237.60416666666666</v>
      </c>
      <c r="O34" s="33">
        <f>'26'!O36</f>
        <v>5.8333333333333327E-2</v>
      </c>
      <c r="P34" s="33">
        <f>'26'!P36</f>
        <v>0.66083333333333338</v>
      </c>
      <c r="Q34" s="33">
        <f>'26'!Q36</f>
        <v>9.3716666666666644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27/09/2025 01:00</v>
      </c>
      <c r="B35" s="33">
        <f>'27'!B36</f>
        <v>10.992916666666668</v>
      </c>
      <c r="C35" s="33">
        <f>'27'!C36</f>
        <v>10.236666666666666</v>
      </c>
      <c r="D35" s="33">
        <f>'27'!D36</f>
        <v>13.8575</v>
      </c>
      <c r="E35" s="33">
        <f>'27'!E36</f>
        <v>5.2641666666666662</v>
      </c>
      <c r="F35" s="33">
        <f>'27'!F36</f>
        <v>11.014583333333333</v>
      </c>
      <c r="G35" s="33">
        <f>'27'!G36</f>
        <v>14.856249999999998</v>
      </c>
      <c r="H35" s="33">
        <f>'27'!H36</f>
        <v>9.0991666666666653</v>
      </c>
      <c r="I35" s="33">
        <f>'27'!I36</f>
        <v>1.3458333333333332</v>
      </c>
      <c r="J35" s="33">
        <f>'27'!J36</f>
        <v>0.81791666666666663</v>
      </c>
      <c r="K35" s="33">
        <f>'27'!K36</f>
        <v>207.33875</v>
      </c>
      <c r="L35" s="33">
        <f>'27'!L36</f>
        <v>25.025833333333338</v>
      </c>
      <c r="M35" s="33">
        <f>'27'!M36</f>
        <v>97.970000000000013</v>
      </c>
      <c r="N35" s="33">
        <f>'27'!N36</f>
        <v>203.86250000000004</v>
      </c>
      <c r="O35" s="33">
        <f>'27'!O36</f>
        <v>6.6666666666666666E-2</v>
      </c>
      <c r="P35" s="30">
        <f>'27'!P36</f>
        <v>0.36375000000000002</v>
      </c>
      <c r="Q35" s="33">
        <f>'27'!Q36</f>
        <v>9.1570833333333379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28/09/2025 01:00</v>
      </c>
      <c r="B36" s="33">
        <f>'28'!B36</f>
        <v>8.4870833333333326</v>
      </c>
      <c r="C36" s="33">
        <f>'28'!C36</f>
        <v>10.873333333333335</v>
      </c>
      <c r="D36" s="33">
        <f>'28'!D36</f>
        <v>12.217916666666666</v>
      </c>
      <c r="E36" s="33">
        <f>'28'!E36</f>
        <v>4.5412499999999998</v>
      </c>
      <c r="F36" s="33">
        <f>'28'!F36</f>
        <v>13.568333333333333</v>
      </c>
      <c r="G36" s="33">
        <f>'28'!G36</f>
        <v>11.427083333333334</v>
      </c>
      <c r="H36" s="33">
        <f>'28'!H36</f>
        <v>7.96875</v>
      </c>
      <c r="I36" s="33">
        <f>'28'!I36</f>
        <v>1.0170833333333331</v>
      </c>
      <c r="J36" s="33">
        <f>'28'!J36</f>
        <v>0.67958333333333332</v>
      </c>
      <c r="K36" s="33">
        <f>'28'!K36</f>
        <v>139.85541666666668</v>
      </c>
      <c r="L36" s="33">
        <f>'28'!L36</f>
        <v>26.075833333333339</v>
      </c>
      <c r="M36" s="33">
        <f>'28'!M36</f>
        <v>95.087499999999963</v>
      </c>
      <c r="N36" s="33">
        <f>'28'!N36</f>
        <v>219.62083333333328</v>
      </c>
      <c r="O36" s="33">
        <f>'28'!O36</f>
        <v>0</v>
      </c>
      <c r="P36" s="30">
        <f>'28'!P36</f>
        <v>0.36000000000000004</v>
      </c>
      <c r="Q36" s="33">
        <f>'28'!Q36</f>
        <v>9.067499999999999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29/09/2025 01:00</v>
      </c>
      <c r="B37" s="33">
        <f>'29'!B36</f>
        <v>14.176250000000001</v>
      </c>
      <c r="C37" s="33">
        <f>'29'!C36</f>
        <v>16.793750000000003</v>
      </c>
      <c r="D37" s="33">
        <f>'29'!D36</f>
        <v>19.556666666666665</v>
      </c>
      <c r="E37" s="33">
        <f>'29'!E36</f>
        <v>4.9304166666666651</v>
      </c>
      <c r="F37" s="33">
        <f>'29'!F36</f>
        <v>11.911250000000003</v>
      </c>
      <c r="G37" s="33">
        <f>'29'!G36</f>
        <v>37.404166666666669</v>
      </c>
      <c r="H37" s="33">
        <f>'29'!H36</f>
        <v>7.8358333333333334</v>
      </c>
      <c r="I37" s="33">
        <f>'29'!I36</f>
        <v>1.6858333333333333</v>
      </c>
      <c r="J37" s="33">
        <f>'29'!J36</f>
        <v>0.31624999999999998</v>
      </c>
      <c r="K37" s="33">
        <f>'29'!K36</f>
        <v>273.37791666666669</v>
      </c>
      <c r="L37" s="33">
        <f>'29'!L36</f>
        <v>25.730833333333337</v>
      </c>
      <c r="M37" s="33">
        <f>'29'!M36</f>
        <v>96.003750000000011</v>
      </c>
      <c r="N37" s="33">
        <f>'29'!N36</f>
        <v>140.45416666666665</v>
      </c>
      <c r="O37" s="33">
        <f>'29'!O36</f>
        <v>8.3333333333333332E-3</v>
      </c>
      <c r="P37" s="33">
        <f>'29'!P36</f>
        <v>0.59916666666666651</v>
      </c>
      <c r="Q37" s="33">
        <f>'29'!Q36</f>
        <v>9.1412500000000012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30/09/2025 01:00</v>
      </c>
      <c r="B38" s="33">
        <f>'30'!B36</f>
        <v>15.495833333333335</v>
      </c>
      <c r="C38" s="33">
        <f>'30'!C36</f>
        <v>17.111666666666668</v>
      </c>
      <c r="D38" s="33">
        <f>'30'!D36</f>
        <v>20.757083333333334</v>
      </c>
      <c r="E38" s="33">
        <f>'30'!E36</f>
        <v>5.1454166666666659</v>
      </c>
      <c r="F38" s="33">
        <f>'30'!F36</f>
        <v>20.987500000000001</v>
      </c>
      <c r="G38" s="33">
        <f>'30'!G36</f>
        <v>48.081250000000004</v>
      </c>
      <c r="H38" s="33">
        <f>'30'!H36</f>
        <v>8.3079166666666673</v>
      </c>
      <c r="I38" s="33">
        <f>'30'!I36</f>
        <v>2.1537500000000001</v>
      </c>
      <c r="J38" s="33">
        <f>'30'!J36</f>
        <v>0.49875000000000003</v>
      </c>
      <c r="K38" s="33">
        <f>'30'!K36</f>
        <v>313.23541666666671</v>
      </c>
      <c r="L38" s="33">
        <f>'30'!L36</f>
        <v>28.387083333333337</v>
      </c>
      <c r="M38" s="33">
        <f>'30'!M36</f>
        <v>87.745000000000005</v>
      </c>
      <c r="N38" s="33">
        <f>'30'!N36</f>
        <v>234.43333333333331</v>
      </c>
      <c r="O38" s="33">
        <f>'30'!O36</f>
        <v>8.3333333333333332E-3</v>
      </c>
      <c r="P38" s="33">
        <f>'30'!P36</f>
        <v>0.80999999999999994</v>
      </c>
      <c r="Q38" s="33">
        <f>'30'!Q36</f>
        <v>9.1708333333333325</v>
      </c>
      <c r="R38" s="46"/>
      <c r="S38" s="46"/>
      <c r="T38" s="46"/>
      <c r="U38" s="46"/>
    </row>
    <row r="39" spans="1:21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8"/>
    </row>
    <row r="40" spans="1:21" s="21" customFormat="1" x14ac:dyDescent="0.25">
      <c r="A40" s="14" t="s">
        <v>30</v>
      </c>
      <c r="B40" s="15">
        <f t="shared" ref="B40:Q40" si="0">MIN(B9:B38)</f>
        <v>8.1554545454545444</v>
      </c>
      <c r="C40" s="15">
        <f t="shared" si="0"/>
        <v>8.3070833333333294</v>
      </c>
      <c r="D40" s="15">
        <f t="shared" si="0"/>
        <v>11.117916666666668</v>
      </c>
      <c r="E40" s="15">
        <f t="shared" si="0"/>
        <v>3.5258333333333329</v>
      </c>
      <c r="F40" s="15">
        <f t="shared" si="0"/>
        <v>6.054166666666668</v>
      </c>
      <c r="G40" s="15">
        <f t="shared" si="0"/>
        <v>11.427083333333334</v>
      </c>
      <c r="H40" s="15">
        <f t="shared" si="0"/>
        <v>1.6504166666666669</v>
      </c>
      <c r="I40" s="15">
        <f t="shared" si="0"/>
        <v>0.85625000000000007</v>
      </c>
      <c r="J40" s="15">
        <f t="shared" si="0"/>
        <v>0.13125000000000001</v>
      </c>
      <c r="K40" s="15">
        <f t="shared" si="0"/>
        <v>139.85541666666668</v>
      </c>
      <c r="L40" s="15">
        <f t="shared" si="0"/>
        <v>23.045416666666668</v>
      </c>
      <c r="M40" s="15">
        <f t="shared" si="0"/>
        <v>87.095833333333346</v>
      </c>
      <c r="N40" s="15">
        <f t="shared" si="0"/>
        <v>74.512500000000017</v>
      </c>
      <c r="O40" s="15">
        <f t="shared" si="0"/>
        <v>0</v>
      </c>
      <c r="P40" s="15">
        <f t="shared" si="0"/>
        <v>0.29791666666666666</v>
      </c>
      <c r="Q40" s="15">
        <f t="shared" si="0"/>
        <v>9.067499999999999</v>
      </c>
      <c r="R40" s="28"/>
      <c r="S40" s="28"/>
      <c r="T40" s="28"/>
      <c r="U40" s="28"/>
    </row>
    <row r="41" spans="1:21" s="21" customFormat="1" x14ac:dyDescent="0.25">
      <c r="A41" s="14" t="s">
        <v>31</v>
      </c>
      <c r="B41" s="15">
        <f t="shared" ref="B41:Q41" si="1">MAX(B9:B38)</f>
        <v>22.66458333333334</v>
      </c>
      <c r="C41" s="15">
        <f t="shared" si="1"/>
        <v>19.811666666666664</v>
      </c>
      <c r="D41" s="15">
        <f t="shared" si="1"/>
        <v>27.59708333333333</v>
      </c>
      <c r="E41" s="15">
        <f t="shared" si="1"/>
        <v>5.8449999999999998</v>
      </c>
      <c r="F41" s="15">
        <f t="shared" si="1"/>
        <v>20.987500000000001</v>
      </c>
      <c r="G41" s="15">
        <f t="shared" si="1"/>
        <v>78.249583333333348</v>
      </c>
      <c r="H41" s="15">
        <f t="shared" si="1"/>
        <v>579.45499999999993</v>
      </c>
      <c r="I41" s="15">
        <f t="shared" si="1"/>
        <v>25.596249999999998</v>
      </c>
      <c r="J41" s="15">
        <f t="shared" si="1"/>
        <v>0.81791666666666663</v>
      </c>
      <c r="K41" s="15">
        <f t="shared" si="1"/>
        <v>330.63624999999996</v>
      </c>
      <c r="L41" s="15">
        <f t="shared" si="1"/>
        <v>28.797916666666669</v>
      </c>
      <c r="M41" s="15">
        <f t="shared" si="1"/>
        <v>98.55416666666666</v>
      </c>
      <c r="N41" s="15">
        <f t="shared" si="1"/>
        <v>266.80416666666662</v>
      </c>
      <c r="O41" s="15">
        <f t="shared" si="1"/>
        <v>0.36521739130434783</v>
      </c>
      <c r="P41" s="15">
        <f t="shared" si="1"/>
        <v>0.94833333333333325</v>
      </c>
      <c r="Q41" s="15">
        <f t="shared" si="1"/>
        <v>9.6179166666666642</v>
      </c>
      <c r="R41" s="28"/>
      <c r="S41" s="28"/>
      <c r="T41" s="28"/>
      <c r="U41" s="28"/>
    </row>
    <row r="42" spans="1:21" s="21" customFormat="1" x14ac:dyDescent="0.25">
      <c r="A42" s="14" t="s">
        <v>32</v>
      </c>
      <c r="B42" s="15">
        <f t="shared" ref="B42:Q42" si="2">AVERAGE(B9:B38)</f>
        <v>13.549234958278436</v>
      </c>
      <c r="C42" s="15">
        <f t="shared" si="2"/>
        <v>13.258338768115941</v>
      </c>
      <c r="D42" s="15">
        <f t="shared" si="2"/>
        <v>17.247767182696531</v>
      </c>
      <c r="E42" s="15">
        <f t="shared" si="2"/>
        <v>4.9583158212560381</v>
      </c>
      <c r="F42" s="15">
        <f t="shared" si="2"/>
        <v>10.349838768115941</v>
      </c>
      <c r="G42" s="15">
        <f t="shared" si="2"/>
        <v>42.651398782281795</v>
      </c>
      <c r="H42" s="15">
        <f t="shared" si="2"/>
        <v>44.803043305728089</v>
      </c>
      <c r="I42" s="15">
        <f t="shared" si="2"/>
        <v>2.5360857487922699</v>
      </c>
      <c r="J42" s="15">
        <f t="shared" si="2"/>
        <v>0.48530434782608706</v>
      </c>
      <c r="K42" s="15">
        <f t="shared" si="2"/>
        <v>271.60748067632846</v>
      </c>
      <c r="L42" s="15">
        <f t="shared" si="2"/>
        <v>26.442903985507243</v>
      </c>
      <c r="M42" s="15">
        <f t="shared" si="2"/>
        <v>93.991902777777767</v>
      </c>
      <c r="N42" s="15">
        <f t="shared" si="2"/>
        <v>192.83187801932368</v>
      </c>
      <c r="O42" s="15">
        <f t="shared" si="2"/>
        <v>4.384057971014492E-2</v>
      </c>
      <c r="P42" s="15">
        <f t="shared" si="2"/>
        <v>0.57145350241545878</v>
      </c>
      <c r="Q42" s="15">
        <f t="shared" si="2"/>
        <v>9.4000519323671519</v>
      </c>
      <c r="R42" s="28"/>
      <c r="S42" s="28"/>
      <c r="T42" s="28"/>
      <c r="U42" s="28"/>
    </row>
    <row r="43" spans="1:21" s="21" customFormat="1" x14ac:dyDescent="0.25">
      <c r="A43" s="14" t="s">
        <v>38</v>
      </c>
      <c r="B43" s="15">
        <f t="shared" ref="B43:Q43" si="3">STDEV(B9:B38)</f>
        <v>3.9067919666245277</v>
      </c>
      <c r="C43" s="15">
        <f t="shared" si="3"/>
        <v>3.4150885454845543</v>
      </c>
      <c r="D43" s="15">
        <f t="shared" si="3"/>
        <v>4.0655483138116821</v>
      </c>
      <c r="E43" s="15">
        <f t="shared" si="3"/>
        <v>0.48278464234774732</v>
      </c>
      <c r="F43" s="15">
        <f t="shared" si="3"/>
        <v>3.2163836311455576</v>
      </c>
      <c r="G43" s="15">
        <f t="shared" si="3"/>
        <v>17.404245597142971</v>
      </c>
      <c r="H43" s="15">
        <f t="shared" si="3"/>
        <v>121.99597926071156</v>
      </c>
      <c r="I43" s="15">
        <f t="shared" si="3"/>
        <v>4.4132584925423828</v>
      </c>
      <c r="J43" s="15">
        <f t="shared" si="3"/>
        <v>0.18605607889418124</v>
      </c>
      <c r="K43" s="15">
        <f t="shared" si="3"/>
        <v>49.710511403490145</v>
      </c>
      <c r="L43" s="15">
        <f t="shared" si="3"/>
        <v>1.3740869663457349</v>
      </c>
      <c r="M43" s="15">
        <f t="shared" si="3"/>
        <v>3.5251386495573631</v>
      </c>
      <c r="N43" s="15">
        <f t="shared" si="3"/>
        <v>54.800637557938579</v>
      </c>
      <c r="O43" s="15">
        <f t="shared" si="3"/>
        <v>9.060809150565495E-2</v>
      </c>
      <c r="P43" s="15">
        <f t="shared" si="3"/>
        <v>0.16883034207498329</v>
      </c>
      <c r="Q43" s="15">
        <f t="shared" si="3"/>
        <v>0.15604922786998246</v>
      </c>
      <c r="R43" s="28"/>
      <c r="S43" s="28"/>
      <c r="T43" s="28"/>
      <c r="U43" s="28"/>
    </row>
    <row r="44" spans="1:21" s="21" customFormat="1" x14ac:dyDescent="0.25">
      <c r="A44" s="14" t="s">
        <v>33</v>
      </c>
      <c r="B44" s="12">
        <f t="shared" ref="B44:Q44" si="4">COUNT(B9:B38)</f>
        <v>30</v>
      </c>
      <c r="C44" s="12">
        <f t="shared" si="4"/>
        <v>30</v>
      </c>
      <c r="D44" s="12">
        <f t="shared" si="4"/>
        <v>30</v>
      </c>
      <c r="E44" s="12">
        <f t="shared" si="4"/>
        <v>30</v>
      </c>
      <c r="F44" s="12">
        <f t="shared" si="4"/>
        <v>30</v>
      </c>
      <c r="G44" s="12">
        <f t="shared" si="4"/>
        <v>30</v>
      </c>
      <c r="H44" s="12">
        <f t="shared" si="4"/>
        <v>30</v>
      </c>
      <c r="I44" s="12">
        <f t="shared" si="4"/>
        <v>30</v>
      </c>
      <c r="J44" s="12">
        <f t="shared" si="4"/>
        <v>30</v>
      </c>
      <c r="K44" s="12">
        <f t="shared" si="4"/>
        <v>30</v>
      </c>
      <c r="L44" s="12">
        <f t="shared" si="4"/>
        <v>30</v>
      </c>
      <c r="M44" s="12">
        <f t="shared" si="4"/>
        <v>30</v>
      </c>
      <c r="N44" s="12">
        <f t="shared" si="4"/>
        <v>30</v>
      </c>
      <c r="O44" s="12">
        <f t="shared" si="4"/>
        <v>30</v>
      </c>
      <c r="P44" s="12">
        <f t="shared" si="4"/>
        <v>30</v>
      </c>
      <c r="Q44" s="12">
        <f t="shared" si="4"/>
        <v>30</v>
      </c>
      <c r="R44" s="29"/>
      <c r="S44" s="29"/>
      <c r="T44" s="29"/>
      <c r="U44" s="29"/>
    </row>
    <row r="45" spans="1:21" s="21" customFormat="1" x14ac:dyDescent="0.25">
      <c r="A45" s="14" t="s">
        <v>34</v>
      </c>
      <c r="B45" s="12" t="str">
        <f>IF(B44&gt;=28,"&gt;90%",IF(B44&lt;=28,"&lt;90%"))</f>
        <v>&gt;90%</v>
      </c>
      <c r="C45" s="12" t="str">
        <f t="shared" ref="C45:Q45" si="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&gt;90%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 x14ac:dyDescent="0.25">
      <c r="A46" s="14" t="s">
        <v>1</v>
      </c>
      <c r="B46" s="12" t="str">
        <f>IF(B44&gt;=28,"OK",IF(B44&lt;=28,"LESS"))</f>
        <v>OK</v>
      </c>
      <c r="C46" s="12" t="str">
        <f t="shared" ref="C46:Q46" si="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OK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1:2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x14ac:dyDescent="0.25">
      <c r="A49" s="14" t="s">
        <v>35</v>
      </c>
      <c r="B49" s="40" t="s">
        <v>41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x14ac:dyDescent="0.2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 x14ac:dyDescent="0.25">
      <c r="A51" s="17" t="s">
        <v>36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</row>
    <row r="52" spans="1:16" x14ac:dyDescent="0.2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2025-12-02T11:04:21Z</dcterms:modified>
  <cp:category/>
</cp:coreProperties>
</file>