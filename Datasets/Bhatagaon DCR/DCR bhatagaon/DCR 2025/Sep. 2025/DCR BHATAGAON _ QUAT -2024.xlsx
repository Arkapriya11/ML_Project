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I110" i="41" l="1"/>
  <c r="I110" i="40"/>
  <c r="G110" i="33"/>
  <c r="H110" i="33"/>
  <c r="I110" i="33"/>
  <c r="J110" i="33"/>
  <c r="I110" i="32"/>
  <c r="Q110" i="31"/>
  <c r="G110" i="31"/>
  <c r="H110" i="31"/>
  <c r="I110" i="31"/>
  <c r="I110" i="30"/>
  <c r="J110" i="29"/>
  <c r="J110" i="28"/>
  <c r="I110" i="27"/>
  <c r="H110" i="24"/>
  <c r="G110" i="24"/>
  <c r="H110" i="23"/>
  <c r="G110" i="23"/>
  <c r="H110" i="22"/>
  <c r="G110" i="22"/>
  <c r="C110" i="22"/>
  <c r="D110" i="22"/>
  <c r="E110" i="22"/>
  <c r="B110" i="22"/>
  <c r="Q110" i="19" l="1"/>
  <c r="H110" i="18"/>
  <c r="I110" i="18"/>
  <c r="J110" i="18"/>
  <c r="Q110" i="17"/>
  <c r="H110" i="17"/>
  <c r="Q110" i="16"/>
  <c r="H110" i="16"/>
  <c r="Q110" i="15"/>
  <c r="H110" i="15"/>
  <c r="H110" i="14"/>
  <c r="G110" i="13"/>
  <c r="H110" i="13"/>
  <c r="Q110" i="12"/>
  <c r="K110" i="12"/>
  <c r="L110" i="12"/>
  <c r="M110" i="12"/>
  <c r="N110" i="12"/>
  <c r="O110" i="12"/>
  <c r="P110" i="12"/>
  <c r="J110" i="12"/>
  <c r="I110" i="12"/>
  <c r="H110" i="12"/>
  <c r="G110" i="12"/>
  <c r="F110" i="12"/>
  <c r="E110" i="12"/>
  <c r="C110" i="12"/>
  <c r="D110" i="12"/>
  <c r="B110" i="12"/>
  <c r="C110" i="11"/>
  <c r="D110" i="11"/>
  <c r="E110" i="11"/>
  <c r="F110" i="11"/>
  <c r="G110" i="11"/>
  <c r="H110" i="11"/>
  <c r="I110" i="11"/>
  <c r="B110" i="11"/>
  <c r="G110" i="8"/>
  <c r="H110" i="8"/>
  <c r="C110" i="8"/>
  <c r="D110" i="8"/>
  <c r="E110" i="8"/>
  <c r="F110" i="8"/>
  <c r="I110" i="8"/>
  <c r="J110" i="8"/>
  <c r="K110" i="8"/>
  <c r="L110" i="8"/>
  <c r="M110" i="8"/>
  <c r="N110" i="8"/>
  <c r="O110" i="8"/>
  <c r="P110" i="8"/>
  <c r="Q110" i="8"/>
  <c r="B110" i="8"/>
  <c r="I110" i="3"/>
  <c r="H110" i="3"/>
  <c r="I110" i="2"/>
  <c r="H110" i="2"/>
  <c r="G110" i="2"/>
  <c r="C110" i="26" l="1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K112" i="26" s="1"/>
  <c r="L110" i="26"/>
  <c r="L111" i="26" s="1"/>
  <c r="M110" i="26"/>
  <c r="N110" i="26"/>
  <c r="N111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J110" i="25"/>
  <c r="J111" i="25" s="1"/>
  <c r="K110" i="25"/>
  <c r="K111" i="25" s="1"/>
  <c r="L110" i="25"/>
  <c r="L112" i="25" s="1"/>
  <c r="M110" i="25"/>
  <c r="M111" i="25" s="1"/>
  <c r="N110" i="25"/>
  <c r="O110" i="25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1" i="33"/>
  <c r="J112" i="33"/>
  <c r="J110" i="32"/>
  <c r="J111" i="32" s="1"/>
  <c r="I112" i="32"/>
  <c r="H110" i="32"/>
  <c r="H111" i="32" s="1"/>
  <c r="H112" i="31"/>
  <c r="I111" i="31"/>
  <c r="J110" i="31"/>
  <c r="J111" i="31" s="1"/>
  <c r="G112" i="31"/>
  <c r="J110" i="30"/>
  <c r="J111" i="30" s="1"/>
  <c r="I112" i="30"/>
  <c r="H110" i="30"/>
  <c r="H112" i="30" s="1"/>
  <c r="J112" i="29"/>
  <c r="I110" i="29"/>
  <c r="I112" i="29" s="1"/>
  <c r="H110" i="29"/>
  <c r="H112" i="29" s="1"/>
  <c r="J111" i="28"/>
  <c r="I110" i="28"/>
  <c r="I112" i="28" s="1"/>
  <c r="H110" i="28"/>
  <c r="H111" i="28"/>
  <c r="I112" i="27"/>
  <c r="C110" i="27"/>
  <c r="C111" i="27" s="1"/>
  <c r="D110" i="27"/>
  <c r="D111" i="27" s="1"/>
  <c r="E110" i="27"/>
  <c r="F110" i="27"/>
  <c r="F112" i="27" s="1"/>
  <c r="G110" i="27"/>
  <c r="G112" i="27" s="1"/>
  <c r="H110" i="27"/>
  <c r="H111" i="27" s="1"/>
  <c r="J110" i="27"/>
  <c r="K110" i="27"/>
  <c r="L110" i="27"/>
  <c r="L112" i="27" s="1"/>
  <c r="M110" i="27"/>
  <c r="M112" i="27" s="1"/>
  <c r="N110" i="27"/>
  <c r="N112" i="27" s="1"/>
  <c r="O110" i="27"/>
  <c r="P110" i="27"/>
  <c r="Q110" i="27"/>
  <c r="Q111" i="26"/>
  <c r="Q111" i="25"/>
  <c r="O112" i="25"/>
  <c r="N111" i="25"/>
  <c r="I111" i="25"/>
  <c r="F112" i="25"/>
  <c r="J110" i="24"/>
  <c r="J111" i="24" s="1"/>
  <c r="I110" i="24"/>
  <c r="I112" i="24" s="1"/>
  <c r="H112" i="24"/>
  <c r="J110" i="23"/>
  <c r="J112" i="23" s="1"/>
  <c r="I110" i="23"/>
  <c r="I112" i="23" s="1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0" i="20"/>
  <c r="H112" i="20" s="1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2" i="17"/>
  <c r="H111" i="16"/>
  <c r="I110" i="16"/>
  <c r="I111" i="16" s="1"/>
  <c r="J110" i="16"/>
  <c r="J111" i="16" s="1"/>
  <c r="H111" i="15"/>
  <c r="I110" i="15"/>
  <c r="I111" i="15" s="1"/>
  <c r="J110" i="15"/>
  <c r="J112" i="15" s="1"/>
  <c r="Q111" i="15"/>
  <c r="J110" i="14"/>
  <c r="J111" i="14" s="1"/>
  <c r="H112" i="14"/>
  <c r="D112" i="11"/>
  <c r="C112" i="11"/>
  <c r="B111" i="11"/>
  <c r="J110" i="13"/>
  <c r="J112" i="13" s="1"/>
  <c r="H112" i="13"/>
  <c r="F111" i="12"/>
  <c r="J112" i="12"/>
  <c r="H111" i="12"/>
  <c r="I112" i="12"/>
  <c r="J110" i="11"/>
  <c r="J111" i="11"/>
  <c r="I111" i="11"/>
  <c r="H111" i="11"/>
  <c r="G112" i="11"/>
  <c r="J110" i="10"/>
  <c r="J112" i="10" s="1"/>
  <c r="I110" i="10"/>
  <c r="I111" i="10" s="1"/>
  <c r="H110" i="10"/>
  <c r="H112" i="10" s="1"/>
  <c r="J110" i="9"/>
  <c r="J111" i="9" s="1"/>
  <c r="I110" i="9"/>
  <c r="I111" i="9"/>
  <c r="H110" i="9"/>
  <c r="H111" i="9" s="1"/>
  <c r="Q111" i="8"/>
  <c r="J111" i="8"/>
  <c r="I111" i="8"/>
  <c r="H111" i="8"/>
  <c r="P112" i="8"/>
  <c r="O111" i="8"/>
  <c r="L112" i="8"/>
  <c r="K111" i="8"/>
  <c r="G111" i="8"/>
  <c r="F112" i="8"/>
  <c r="E112" i="8"/>
  <c r="B112" i="8"/>
  <c r="I112" i="3"/>
  <c r="I111" i="2"/>
  <c r="B2" i="23"/>
  <c r="C110" i="2"/>
  <c r="C111" i="2" s="1"/>
  <c r="D110" i="2"/>
  <c r="E110" i="2"/>
  <c r="E111" i="2" s="1"/>
  <c r="F110" i="2"/>
  <c r="F111" i="2" s="1"/>
  <c r="G112" i="2"/>
  <c r="H112" i="2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N108" i="41"/>
  <c r="N38" i="39" s="1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 s="1"/>
  <c r="F108" i="40"/>
  <c r="F37" i="39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/>
  <c r="N108" i="33"/>
  <c r="M108" i="33"/>
  <c r="M36" i="39" s="1"/>
  <c r="L108" i="33"/>
  <c r="L36" i="39"/>
  <c r="K108" i="33"/>
  <c r="K36" i="39" s="1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 s="1"/>
  <c r="E110" i="32"/>
  <c r="E111" i="32" s="1"/>
  <c r="D110" i="32"/>
  <c r="D112" i="32" s="1"/>
  <c r="C110" i="32"/>
  <c r="C111" i="32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K34" i="39" s="1"/>
  <c r="J108" i="31"/>
  <c r="J34" i="39" s="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K108" i="30"/>
  <c r="K33" i="39" s="1"/>
  <c r="J108" i="30"/>
  <c r="I108" i="30"/>
  <c r="H108" i="30"/>
  <c r="H33" i="39" s="1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0" i="29"/>
  <c r="G111" i="29" s="1"/>
  <c r="F110" i="29"/>
  <c r="F111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D32" i="3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/>
  <c r="K110" i="28"/>
  <c r="K111" i="28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M108" i="28"/>
  <c r="L108" i="28"/>
  <c r="L31" i="39" s="1"/>
  <c r="K108" i="28"/>
  <c r="K31" i="39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M111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N29" i="39" s="1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1" i="24" s="1"/>
  <c r="M110" i="24"/>
  <c r="M112" i="24" s="1"/>
  <c r="L110" i="24"/>
  <c r="L112" i="24" s="1"/>
  <c r="K110" i="24"/>
  <c r="K111" i="24" s="1"/>
  <c r="G112" i="24"/>
  <c r="F110" i="24"/>
  <c r="F112" i="24"/>
  <c r="E110" i="24"/>
  <c r="E112" i="24"/>
  <c r="D110" i="24"/>
  <c r="D112" i="24"/>
  <c r="C110" i="24"/>
  <c r="C111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/>
  <c r="J108" i="24"/>
  <c r="I108" i="24"/>
  <c r="H108" i="24"/>
  <c r="H27" i="39" s="1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N111" i="23"/>
  <c r="M110" i="23"/>
  <c r="M112" i="23" s="1"/>
  <c r="L110" i="23"/>
  <c r="L112" i="23" s="1"/>
  <c r="K110" i="23"/>
  <c r="K112" i="23" s="1"/>
  <c r="H112" i="23"/>
  <c r="G111" i="23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E26" i="39" s="1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2" i="22"/>
  <c r="D112" i="22"/>
  <c r="C112" i="22"/>
  <c r="B111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/>
  <c r="K110" i="21"/>
  <c r="K111" i="21"/>
  <c r="G110" i="21"/>
  <c r="G112" i="21" s="1"/>
  <c r="F110" i="21"/>
  <c r="F112" i="21" s="1"/>
  <c r="E110" i="21"/>
  <c r="E112" i="21"/>
  <c r="D110" i="21"/>
  <c r="D111" i="21" s="1"/>
  <c r="C110" i="21"/>
  <c r="C112" i="2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G24" i="39" s="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/>
  <c r="L110" i="20"/>
  <c r="L112" i="20" s="1"/>
  <c r="K110" i="20"/>
  <c r="K112" i="20" s="1"/>
  <c r="G110" i="20"/>
  <c r="G112" i="20"/>
  <c r="F110" i="20"/>
  <c r="F112" i="20" s="1"/>
  <c r="E110" i="20"/>
  <c r="E111" i="20" s="1"/>
  <c r="D110" i="20"/>
  <c r="D112" i="20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P23" i="39" s="1"/>
  <c r="O108" i="20"/>
  <c r="N108" i="20"/>
  <c r="M108" i="20"/>
  <c r="L108" i="20"/>
  <c r="K108" i="20"/>
  <c r="J108" i="20"/>
  <c r="J23" i="39" s="1"/>
  <c r="I108" i="20"/>
  <c r="I23" i="39" s="1"/>
  <c r="H108" i="20"/>
  <c r="H23" i="39" s="1"/>
  <c r="G108" i="20"/>
  <c r="F108" i="20"/>
  <c r="F23" i="39" s="1"/>
  <c r="E108" i="20"/>
  <c r="D108" i="20"/>
  <c r="D23" i="39"/>
  <c r="C108" i="20"/>
  <c r="C23" i="39" s="1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2" i="18" s="1"/>
  <c r="O111" i="18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1" i="18" s="1"/>
  <c r="F112" i="18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/>
  <c r="K108" i="18"/>
  <c r="J108" i="18"/>
  <c r="I108" i="18"/>
  <c r="I21" i="39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 s="1"/>
  <c r="M108" i="17"/>
  <c r="L108" i="17"/>
  <c r="L20" i="39" s="1"/>
  <c r="K108" i="17"/>
  <c r="K20" i="39" s="1"/>
  <c r="J108" i="17"/>
  <c r="J20" i="39" s="1"/>
  <c r="I108" i="17"/>
  <c r="I20" i="39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 s="1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J17" i="39" s="1"/>
  <c r="I108" i="14"/>
  <c r="I17" i="39" s="1"/>
  <c r="H108" i="14"/>
  <c r="G108" i="14"/>
  <c r="G17" i="39" s="1"/>
  <c r="F108" i="14"/>
  <c r="F17" i="39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 s="1"/>
  <c r="N110" i="13"/>
  <c r="N112" i="13" s="1"/>
  <c r="M110" i="13"/>
  <c r="M111" i="13" s="1"/>
  <c r="L110" i="13"/>
  <c r="L112" i="13" s="1"/>
  <c r="K110" i="13"/>
  <c r="K112" i="13" s="1"/>
  <c r="G111" i="13"/>
  <c r="F110" i="13"/>
  <c r="F112" i="13" s="1"/>
  <c r="E110" i="13"/>
  <c r="E112" i="13" s="1"/>
  <c r="D110" i="13"/>
  <c r="D111" i="13" s="1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2" i="12"/>
  <c r="P112" i="12"/>
  <c r="O111" i="12"/>
  <c r="N112" i="12"/>
  <c r="M111" i="12"/>
  <c r="L112" i="12"/>
  <c r="K111" i="12"/>
  <c r="G111" i="12"/>
  <c r="E112" i="12"/>
  <c r="D112" i="12"/>
  <c r="C112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I108" i="12"/>
  <c r="I15" i="39" s="1"/>
  <c r="H108" i="12"/>
  <c r="G108" i="12"/>
  <c r="G15" i="39" s="1"/>
  <c r="F108" i="12"/>
  <c r="E108" i="12"/>
  <c r="E15" i="39" s="1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1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/>
  <c r="N108" i="11"/>
  <c r="N14" i="39" s="1"/>
  <c r="M108" i="11"/>
  <c r="M14" i="39" s="1"/>
  <c r="L108" i="11"/>
  <c r="K108" i="11"/>
  <c r="K14" i="39" s="1"/>
  <c r="J108" i="11"/>
  <c r="J14" i="39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2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/>
  <c r="N108" i="9"/>
  <c r="N12" i="39" s="1"/>
  <c r="M108" i="9"/>
  <c r="M12" i="39" s="1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G38" i="39"/>
  <c r="F38" i="39"/>
  <c r="E38" i="39"/>
  <c r="D38" i="39"/>
  <c r="C38" i="39"/>
  <c r="O37" i="39"/>
  <c r="N37" i="39"/>
  <c r="M37" i="39"/>
  <c r="L37" i="39"/>
  <c r="J37" i="39"/>
  <c r="I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C25" i="39"/>
  <c r="E24" i="39"/>
  <c r="A24" i="39"/>
  <c r="Q23" i="39"/>
  <c r="M23" i="39"/>
  <c r="L23" i="39"/>
  <c r="K23" i="39"/>
  <c r="E23" i="39"/>
  <c r="B23" i="39"/>
  <c r="Q22" i="39"/>
  <c r="N22" i="39"/>
  <c r="M22" i="39"/>
  <c r="L22" i="39"/>
  <c r="G22" i="39"/>
  <c r="C22" i="39"/>
  <c r="Q21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A17" i="39"/>
  <c r="Q16" i="39"/>
  <c r="P16" i="39"/>
  <c r="L16" i="39"/>
  <c r="I16" i="39"/>
  <c r="F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H36" i="39"/>
  <c r="E36" i="39"/>
  <c r="D36" i="39"/>
  <c r="C36" i="39"/>
  <c r="A36" i="39"/>
  <c r="P35" i="39"/>
  <c r="G35" i="39"/>
  <c r="C35" i="39"/>
  <c r="M34" i="39"/>
  <c r="I34" i="39"/>
  <c r="H34" i="39"/>
  <c r="F34" i="39"/>
  <c r="L33" i="39"/>
  <c r="J33" i="39"/>
  <c r="I33" i="39"/>
  <c r="F33" i="39"/>
  <c r="B33" i="39"/>
  <c r="Q32" i="39"/>
  <c r="O32" i="39"/>
  <c r="N32" i="39"/>
  <c r="K32" i="39"/>
  <c r="I32" i="39"/>
  <c r="G32" i="39"/>
  <c r="F32" i="39"/>
  <c r="E32" i="39"/>
  <c r="B32" i="39"/>
  <c r="Q31" i="39"/>
  <c r="M31" i="39"/>
  <c r="J31" i="39"/>
  <c r="I31" i="39"/>
  <c r="F31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B28" i="39"/>
  <c r="O27" i="39"/>
  <c r="M27" i="39"/>
  <c r="L27" i="39"/>
  <c r="G27" i="39"/>
  <c r="B27" i="39"/>
  <c r="O26" i="39"/>
  <c r="G26" i="39"/>
  <c r="I25" i="39"/>
  <c r="P24" i="39"/>
  <c r="H24" i="39"/>
  <c r="N23" i="39"/>
  <c r="O22" i="39"/>
  <c r="D22" i="39"/>
  <c r="P20" i="39"/>
  <c r="D20" i="39"/>
  <c r="F18" i="39"/>
  <c r="E17" i="39"/>
  <c r="M16" i="39"/>
  <c r="K16" i="39"/>
  <c r="J15" i="39"/>
  <c r="Q12" i="39"/>
  <c r="B12" i="39"/>
  <c r="P10" i="39"/>
  <c r="P36" i="39"/>
  <c r="E34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K111" i="41"/>
  <c r="F111" i="41"/>
  <c r="D111" i="41"/>
  <c r="C111" i="41"/>
  <c r="B111" i="41"/>
  <c r="Q111" i="40"/>
  <c r="O111" i="40"/>
  <c r="M111" i="40"/>
  <c r="K111" i="40"/>
  <c r="G111" i="40"/>
  <c r="F111" i="40"/>
  <c r="P111" i="33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O111" i="31"/>
  <c r="N111" i="31"/>
  <c r="L111" i="31"/>
  <c r="F111" i="31"/>
  <c r="E111" i="31"/>
  <c r="D111" i="31"/>
  <c r="C111" i="31"/>
  <c r="B111" i="31"/>
  <c r="N111" i="30"/>
  <c r="M111" i="30"/>
  <c r="L111" i="30"/>
  <c r="D111" i="30"/>
  <c r="B111" i="30"/>
  <c r="P111" i="29"/>
  <c r="N111" i="29"/>
  <c r="M111" i="29"/>
  <c r="E111" i="29"/>
  <c r="D111" i="29"/>
  <c r="C111" i="29"/>
  <c r="B111" i="29"/>
  <c r="O111" i="28"/>
  <c r="N111" i="28"/>
  <c r="M111" i="28"/>
  <c r="L111" i="28"/>
  <c r="G111" i="28"/>
  <c r="E111" i="28"/>
  <c r="D111" i="28"/>
  <c r="C111" i="28"/>
  <c r="P111" i="27"/>
  <c r="E111" i="27"/>
  <c r="B111" i="27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D111" i="22"/>
  <c r="C111" i="22"/>
  <c r="Q111" i="21"/>
  <c r="N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B111" i="19"/>
  <c r="Q111" i="18"/>
  <c r="N111" i="18"/>
  <c r="L111" i="18"/>
  <c r="I111" i="18"/>
  <c r="E111" i="18"/>
  <c r="D111" i="18"/>
  <c r="O111" i="17"/>
  <c r="O111" i="16"/>
  <c r="N111" i="16"/>
  <c r="L111" i="16"/>
  <c r="F111" i="16"/>
  <c r="E111" i="16"/>
  <c r="D111" i="16"/>
  <c r="P111" i="15"/>
  <c r="O111" i="15"/>
  <c r="M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N111" i="10"/>
  <c r="K111" i="10"/>
  <c r="G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G111" i="3"/>
  <c r="C112" i="17"/>
  <c r="D112" i="3"/>
  <c r="M111" i="2"/>
  <c r="K112" i="2"/>
  <c r="G111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P111" i="8"/>
  <c r="L111" i="8"/>
  <c r="B111" i="8"/>
  <c r="I112" i="8"/>
  <c r="H112" i="8"/>
  <c r="G112" i="8"/>
  <c r="N111" i="8"/>
  <c r="J111" i="13"/>
  <c r="I112" i="13"/>
  <c r="F112" i="12"/>
  <c r="H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H112" i="25"/>
  <c r="F111" i="25"/>
  <c r="B111" i="25"/>
  <c r="Q112" i="25"/>
  <c r="D111" i="25"/>
  <c r="K112" i="25"/>
  <c r="I112" i="25"/>
  <c r="J112" i="24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O111" i="9"/>
  <c r="D111" i="10"/>
  <c r="O112" i="10"/>
  <c r="H111" i="10"/>
  <c r="B112" i="11"/>
  <c r="M112" i="12"/>
  <c r="K112" i="12"/>
  <c r="D112" i="13"/>
  <c r="O112" i="13"/>
  <c r="B112" i="13"/>
  <c r="M112" i="13"/>
  <c r="O112" i="14"/>
  <c r="L112" i="15"/>
  <c r="G112" i="15"/>
  <c r="H112" i="15"/>
  <c r="H112" i="16"/>
  <c r="B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J112" i="31"/>
  <c r="E112" i="32"/>
  <c r="P111" i="32"/>
  <c r="C112" i="32"/>
  <c r="N112" i="32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H112" i="33"/>
  <c r="B112" i="21"/>
  <c r="B112" i="22"/>
  <c r="N112" i="22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N112" i="24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P112" i="30"/>
  <c r="G112" i="32"/>
  <c r="L112" i="41"/>
  <c r="O112" i="8"/>
  <c r="J112" i="9"/>
  <c r="I111" i="12"/>
  <c r="I111" i="23"/>
  <c r="E111" i="25"/>
  <c r="M112" i="25"/>
  <c r="F112" i="26"/>
  <c r="J112" i="30"/>
  <c r="G111" i="41" l="1"/>
  <c r="B111" i="40"/>
  <c r="J111" i="33"/>
  <c r="K112" i="33"/>
  <c r="B112" i="32"/>
  <c r="K112" i="31"/>
  <c r="C112" i="30"/>
  <c r="O111" i="30"/>
  <c r="M111" i="27"/>
  <c r="N111" i="27"/>
  <c r="L112" i="26"/>
  <c r="N112" i="26"/>
  <c r="J112" i="25"/>
  <c r="I112" i="20"/>
  <c r="F111" i="19"/>
  <c r="B111" i="17"/>
  <c r="M111" i="16"/>
  <c r="K111" i="15"/>
  <c r="I112" i="15"/>
  <c r="D111" i="14"/>
  <c r="F112" i="14"/>
  <c r="G112" i="13"/>
  <c r="H111" i="13"/>
  <c r="E111" i="11"/>
  <c r="H112" i="11"/>
  <c r="P111" i="10"/>
  <c r="D111" i="9"/>
  <c r="K41" i="39"/>
  <c r="J112" i="8"/>
  <c r="F111" i="8"/>
  <c r="J41" i="39"/>
  <c r="K43" i="39"/>
  <c r="K44" i="39"/>
  <c r="K46" i="39" s="1"/>
  <c r="J42" i="39"/>
  <c r="K42" i="39"/>
  <c r="K40" i="39"/>
  <c r="E44" i="39"/>
  <c r="E43" i="39"/>
  <c r="E40" i="39"/>
  <c r="E42" i="39"/>
  <c r="E41" i="39"/>
  <c r="N43" i="39"/>
  <c r="N42" i="39"/>
  <c r="N44" i="39"/>
  <c r="N40" i="39"/>
  <c r="N41" i="39"/>
  <c r="D42" i="39"/>
  <c r="D44" i="39"/>
  <c r="D41" i="39"/>
  <c r="D40" i="39"/>
  <c r="D43" i="39"/>
  <c r="C41" i="39"/>
  <c r="C43" i="39"/>
  <c r="C44" i="39"/>
  <c r="C40" i="39"/>
  <c r="C42" i="39"/>
  <c r="B41" i="39"/>
  <c r="B40" i="39"/>
  <c r="B44" i="39"/>
  <c r="B42" i="39"/>
  <c r="B43" i="39"/>
  <c r="F43" i="39"/>
  <c r="F41" i="39"/>
  <c r="F40" i="39"/>
  <c r="F42" i="39"/>
  <c r="F44" i="39"/>
  <c r="Q44" i="39"/>
  <c r="Q42" i="39"/>
  <c r="Q40" i="39"/>
  <c r="Q41" i="39"/>
  <c r="Q43" i="39"/>
  <c r="M44" i="39"/>
  <c r="M42" i="39"/>
  <c r="M43" i="39"/>
  <c r="M40" i="39"/>
  <c r="M41" i="39"/>
  <c r="L44" i="39"/>
  <c r="L41" i="39"/>
  <c r="L42" i="39"/>
  <c r="L43" i="39"/>
  <c r="L40" i="39"/>
  <c r="O41" i="39"/>
  <c r="O40" i="39"/>
  <c r="O43" i="39"/>
  <c r="O44" i="39"/>
  <c r="O42" i="39"/>
  <c r="I42" i="39"/>
  <c r="I43" i="39"/>
  <c r="I40" i="39"/>
  <c r="I41" i="39"/>
  <c r="I44" i="39"/>
  <c r="H44" i="39"/>
  <c r="H41" i="39"/>
  <c r="H43" i="39"/>
  <c r="H42" i="39"/>
  <c r="H40" i="39"/>
  <c r="G40" i="39"/>
  <c r="G42" i="39"/>
  <c r="G44" i="39"/>
  <c r="G41" i="39"/>
  <c r="G43" i="39"/>
  <c r="P43" i="39"/>
  <c r="P42" i="39"/>
  <c r="P44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4" i="39"/>
  <c r="J40" i="39"/>
  <c r="K45" i="39" l="1"/>
  <c r="D46" i="39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<sst xmlns="http://schemas.openxmlformats.org/spreadsheetml/2006/main" count="6106" uniqueCount="3126">
  <si>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</si>
  <si>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</si>
  <si>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</si>
  <si>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</si>
  <si>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</si>
  <si>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</si>
  <si>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</si>
  <si>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</si>
  <si>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</si>
  <si>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</si>
  <si>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</si>
  <si>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</si>
  <si>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</si>
  <si>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</si>
  <si>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</si>
  <si>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</si>
  <si>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</si>
  <si>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</si>
  <si>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</si>
  <si>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</si>
  <si>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</si>
  <si>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</si>
  <si>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</si>
  <si>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</si>
  <si>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</si>
  <si>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</si>
  <si>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</si>
  <si>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</si>
  <si>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</si>
  <si>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</si>
  <si>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</si>
  <si>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</si>
  <si>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</si>
  <si>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</si>
  <si>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</si>
  <si>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</si>
  <si>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</si>
  <si>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</si>
  <si>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</si>
  <si>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</si>
  <si>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</si>
  <si>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</si>
  <si>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</si>
  <si>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</si>
  <si>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</si>
  <si>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</si>
  <si>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</si>
  <si>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</si>
  <si>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</si>
  <si>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</si>
  <si>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</si>
  <si>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</si>
  <si>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</si>
  <si>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</si>
  <si>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</si>
  <si>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</si>
  <si>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</si>
  <si>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</si>
  <si>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</si>
  <si>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</si>
  <si>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</si>
  <si>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</si>
  <si>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</si>
  <si>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</si>
  <si>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</si>
  <si>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</si>
  <si>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</si>
  <si>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</si>
  <si>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</si>
  <si>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</si>
  <si>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</si>
  <si>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</si>
  <si>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</si>
  <si>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</si>
  <si>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</si>
  <si>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</si>
  <si>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</si>
  <si>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</si>
  <si>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</si>
  <si>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</si>
  <si>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</si>
  <si>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</si>
  <si>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</si>
  <si>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</si>
  <si>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</si>
  <si>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</si>
  <si>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</si>
  <si>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</si>
  <si>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</si>
  <si>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</si>
  <si>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</si>
  <si>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</si>
  <si>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</si>
  <si>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</si>
  <si>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</si>
  <si>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</si>
  <si>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</si>
  <si>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</si>
  <si>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</si>
  <si>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</si>
  <si>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</si>
  <si>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</si>
  <si>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</si>
  <si>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</si>
  <si>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</si>
  <si>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</si>
  <si>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</si>
  <si>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</si>
  <si>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</si>
  <si>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</si>
  <si>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</si>
  <si>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</si>
  <si>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</si>
  <si>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</si>
  <si>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</si>
  <si>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</si>
  <si>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</si>
  <si>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</si>
  <si>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</si>
  <si>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</si>
  <si>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</si>
  <si>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</si>
  <si>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</si>
  <si>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</si>
  <si>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</si>
  <si>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</si>
  <si>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</si>
  <si>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</si>
  <si>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</si>
  <si>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</si>
  <si>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</si>
  <si>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</si>
  <si>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</si>
  <si>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</si>
  <si>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</si>
  <si>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</si>
  <si>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</si>
  <si>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</si>
  <si>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</si>
  <si>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</si>
  <si>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</si>
  <si>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</si>
  <si>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</si>
  <si>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</si>
  <si>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</si>
  <si>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</si>
  <si>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</si>
  <si>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</si>
  <si>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</si>
  <si>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</si>
  <si>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</si>
  <si>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</si>
  <si>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</si>
  <si>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</si>
  <si>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</si>
  <si>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</si>
  <si>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</si>
  <si>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</si>
  <si>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</si>
  <si>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</si>
  <si>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</si>
  <si>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</si>
  <si>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</si>
  <si>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</si>
  <si>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</si>
  <si>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</si>
  <si>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</si>
  <si>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</si>
  <si>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</si>
  <si>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</si>
  <si>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</si>
  <si>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</si>
  <si>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</si>
  <si>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</si>
  <si>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</si>
  <si>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</si>
  <si>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</si>
  <si>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</si>
  <si>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</si>
  <si>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</si>
  <si>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</si>
  <si>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</si>
  <si>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</si>
  <si>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</si>
  <si>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</si>
  <si>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</si>
  <si>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</si>
  <si>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</si>
  <si>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</si>
  <si>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</si>
  <si>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</si>
  <si>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</si>
  <si>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</si>
  <si>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</si>
  <si>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</si>
  <si>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</si>
  <si>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</si>
  <si>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</si>
  <si>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</si>
  <si>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</si>
  <si>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</si>
  <si>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</si>
  <si>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</si>
  <si>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</si>
  <si>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</si>
  <si>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</si>
  <si>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</si>
  <si>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</si>
  <si>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</si>
  <si>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</si>
  <si>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</si>
  <si>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</si>
  <si>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</si>
  <si>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</si>
  <si>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</si>
  <si>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</si>
  <si>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</si>
  <si>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</si>
  <si>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</si>
  <si>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</si>
  <si>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</si>
  <si>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</si>
  <si>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</si>
  <si>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</si>
  <si>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</si>
  <si>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</si>
  <si>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</si>
  <si>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</si>
  <si>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</si>
  <si>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</si>
  <si>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</si>
  <si>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</si>
  <si>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</si>
  <si>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</si>
  <si>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</si>
  <si>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</si>
  <si>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</si>
  <si>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</si>
  <si>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</si>
  <si>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</si>
  <si>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</si>
  <si>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</si>
  <si>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835 ug/cm2</t>
  </si>
  <si>
    <t>847 ug/cm2</t>
  </si>
  <si>
    <t>01/09/2025 00:15</t>
  </si>
  <si>
    <t>01/09/2025 00:30</t>
  </si>
  <si>
    <t>01/09/2025 00:45</t>
  </si>
  <si>
    <t>01/09/2025 01:00</t>
  </si>
  <si>
    <t>01/09/2025 01:15</t>
  </si>
  <si>
    <t>01/09/2025 01:30</t>
  </si>
  <si>
    <t>01/09/2025 01:45</t>
  </si>
  <si>
    <t>01/09/2025 02:00</t>
  </si>
  <si>
    <t>01/09/2025 02:15</t>
  </si>
  <si>
    <t>01/09/2025 02:30</t>
  </si>
  <si>
    <t>01/09/2025 02:45</t>
  </si>
  <si>
    <t>01/09/2025 03:00</t>
  </si>
  <si>
    <t>01/09/2025 03:15</t>
  </si>
  <si>
    <t>01/09/2025 03:30</t>
  </si>
  <si>
    <t>01/09/2025 03:45</t>
  </si>
  <si>
    <t>01/09/2025 04:00</t>
  </si>
  <si>
    <t>01/09/2025 04:15</t>
  </si>
  <si>
    <t>01/09/2025 04:30</t>
  </si>
  <si>
    <t>01/09/2025 04:45</t>
  </si>
  <si>
    <t>01/09/2025 05:00</t>
  </si>
  <si>
    <t>01/09/2025 05:15</t>
  </si>
  <si>
    <t>01/09/2025 05:30</t>
  </si>
  <si>
    <t>01/09/2025 05:45</t>
  </si>
  <si>
    <t>01/09/2025 06:00</t>
  </si>
  <si>
    <t>01/09/2025 06:15</t>
  </si>
  <si>
    <t>01/09/2025 06:30</t>
  </si>
  <si>
    <t>01/09/2025 06:45</t>
  </si>
  <si>
    <t>01/09/2025 07:00</t>
  </si>
  <si>
    <t>01/09/2025 07:15</t>
  </si>
  <si>
    <t>01/09/2025 07:30</t>
  </si>
  <si>
    <t>01/09/2025 07:45</t>
  </si>
  <si>
    <t>01/09/2025 08:00</t>
  </si>
  <si>
    <t>01/09/2025 08:15</t>
  </si>
  <si>
    <t>01/09/2025 08:30</t>
  </si>
  <si>
    <t>01/09/2025 08:45</t>
  </si>
  <si>
    <t>01/09/2025 09:00</t>
  </si>
  <si>
    <t>01/09/2025 09:15</t>
  </si>
  <si>
    <t>01/09/2025 09:30</t>
  </si>
  <si>
    <t>01/09/2025 09:45</t>
  </si>
  <si>
    <t>01/09/2025 10:00</t>
  </si>
  <si>
    <t>01/09/2025 10:15</t>
  </si>
  <si>
    <t>01/09/2025 10:30</t>
  </si>
  <si>
    <t>01/09/2025 10:45</t>
  </si>
  <si>
    <t>01/09/2025 11:00</t>
  </si>
  <si>
    <t>01/09/2025 11:15</t>
  </si>
  <si>
    <t>01/09/2025 11:30</t>
  </si>
  <si>
    <t>01/09/2025 11:45</t>
  </si>
  <si>
    <t>01/09/2025 12:00</t>
  </si>
  <si>
    <t>01/09/2025 12:15</t>
  </si>
  <si>
    <t>01/09/2025 12:30</t>
  </si>
  <si>
    <t>01/09/2025 12:45</t>
  </si>
  <si>
    <t>01/09/2025 13:00</t>
  </si>
  <si>
    <t>01/09/2025 13:15</t>
  </si>
  <si>
    <t>01/09/2025 13:30</t>
  </si>
  <si>
    <t>01/09/2025 13:45</t>
  </si>
  <si>
    <t>01/09/2025 14:00</t>
  </si>
  <si>
    <t>01/09/2025 14:15</t>
  </si>
  <si>
    <t>01/09/2025 14:30</t>
  </si>
  <si>
    <t>01/09/2025 14:45</t>
  </si>
  <si>
    <t>01/09/2025 15:00</t>
  </si>
  <si>
    <t>01/09/2025 15:15</t>
  </si>
  <si>
    <t>01/09/2025 15:30</t>
  </si>
  <si>
    <t>01/09/2025 15:45</t>
  </si>
  <si>
    <t>01/09/2025 16:00</t>
  </si>
  <si>
    <t>01/09/2025 16:15</t>
  </si>
  <si>
    <t>01/09/2025 16:30</t>
  </si>
  <si>
    <t>01/09/2025 16:45</t>
  </si>
  <si>
    <t>01/09/2025 17:00</t>
  </si>
  <si>
    <t>01/09/2025 17:15</t>
  </si>
  <si>
    <t>01/09/2025 17:30</t>
  </si>
  <si>
    <t>01/09/2025 17:45</t>
  </si>
  <si>
    <t>01/09/2025 18:00</t>
  </si>
  <si>
    <t>01/09/2025 18:15</t>
  </si>
  <si>
    <t>01/09/2025 18:30</t>
  </si>
  <si>
    <t>01/09/2025 18:45</t>
  </si>
  <si>
    <t>01/09/2025 19:00</t>
  </si>
  <si>
    <t>01/09/2025 19:15</t>
  </si>
  <si>
    <t>01/09/2025 19:30</t>
  </si>
  <si>
    <t>01/09/2025 19:45</t>
  </si>
  <si>
    <t>01/09/2025 20:00</t>
  </si>
  <si>
    <t>01/09/2025 20:15</t>
  </si>
  <si>
    <t>01/09/2025 20:30</t>
  </si>
  <si>
    <t>01/09/2025 20:45</t>
  </si>
  <si>
    <t>01/09/2025 21:00</t>
  </si>
  <si>
    <t>01/09/2025 21:15</t>
  </si>
  <si>
    <t>01/09/2025 21:30</t>
  </si>
  <si>
    <t>01/09/2025 21:45</t>
  </si>
  <si>
    <t>01/09/2025 22:00</t>
  </si>
  <si>
    <t>01/09/2025 22:15</t>
  </si>
  <si>
    <t>01/09/2025 22:30</t>
  </si>
  <si>
    <t>01/09/2025 22:45</t>
  </si>
  <si>
    <t>01/09/2025 23:00</t>
  </si>
  <si>
    <t>01/09/2025 23:15</t>
  </si>
  <si>
    <t>01/09/2025 23:30</t>
  </si>
  <si>
    <t>01/09/2025 23:45</t>
  </si>
  <si>
    <t>01/09/2025 24:00</t>
  </si>
  <si>
    <t>02/09/2025 00:15</t>
  </si>
  <si>
    <t>02/09/2025 00:30</t>
  </si>
  <si>
    <t>02/09/2025 00:45</t>
  </si>
  <si>
    <t>02/09/2025 01:00</t>
  </si>
  <si>
    <t>02/09/2025 01:15</t>
  </si>
  <si>
    <t>02/09/2025 01:30</t>
  </si>
  <si>
    <t>02/09/2025 01:45</t>
  </si>
  <si>
    <t>02/09/2025 02:00</t>
  </si>
  <si>
    <t>02/09/2025 02:15</t>
  </si>
  <si>
    <t>02/09/2025 02:30</t>
  </si>
  <si>
    <t>02/09/2025 02:45</t>
  </si>
  <si>
    <t>02/09/2025 03:00</t>
  </si>
  <si>
    <t>02/09/2025 03:15</t>
  </si>
  <si>
    <t>02/09/2025 03:30</t>
  </si>
  <si>
    <t>02/09/2025 03:45</t>
  </si>
  <si>
    <t>02/09/2025 04:00</t>
  </si>
  <si>
    <t>02/09/2025 04:15</t>
  </si>
  <si>
    <t>02/09/2025 04:30</t>
  </si>
  <si>
    <t>02/09/2025 04:45</t>
  </si>
  <si>
    <t>02/09/2025 05:00</t>
  </si>
  <si>
    <t>02/09/2025 05:15</t>
  </si>
  <si>
    <t>02/09/2025 05:30</t>
  </si>
  <si>
    <t>02/09/2025 05:45</t>
  </si>
  <si>
    <t>02/09/2025 06:00</t>
  </si>
  <si>
    <t>02/09/2025 06:15</t>
  </si>
  <si>
    <t>02/09/2025 06:30</t>
  </si>
  <si>
    <t>02/09/2025 06:45</t>
  </si>
  <si>
    <t>02/09/2025 07:00</t>
  </si>
  <si>
    <t>02/09/2025 07:15</t>
  </si>
  <si>
    <t>02/09/2025 07:30</t>
  </si>
  <si>
    <t>02/09/2025 07:45</t>
  </si>
  <si>
    <t>02/09/2025 08:00</t>
  </si>
  <si>
    <t>02/09/2025 08:15</t>
  </si>
  <si>
    <t>02/09/2025 08:30</t>
  </si>
  <si>
    <t>02/09/2025 08:45</t>
  </si>
  <si>
    <t>02/09/2025 09:00</t>
  </si>
  <si>
    <t>02/09/2025 09:15</t>
  </si>
  <si>
    <t>02/09/2025 09:30</t>
  </si>
  <si>
    <t>02/09/2025 09:45</t>
  </si>
  <si>
    <t>02/09/2025 10:00</t>
  </si>
  <si>
    <t>02/09/2025 10:15</t>
  </si>
  <si>
    <t>02/09/2025 10:30</t>
  </si>
  <si>
    <t>02/09/2025 10:45</t>
  </si>
  <si>
    <t>02/09/2025 11:00</t>
  </si>
  <si>
    <t>02/09/2025 11:15</t>
  </si>
  <si>
    <t>02/09/2025 11:30</t>
  </si>
  <si>
    <t>02/09/2025 11:45</t>
  </si>
  <si>
    <t>02/09/2025 12:00</t>
  </si>
  <si>
    <t>02/09/2025 12:15</t>
  </si>
  <si>
    <t>02/09/2025 12:30</t>
  </si>
  <si>
    <t>02/09/2025 12:45</t>
  </si>
  <si>
    <t>02/09/2025 13:00</t>
  </si>
  <si>
    <t>02/09/2025 13:15</t>
  </si>
  <si>
    <t>02/09/2025 13:30</t>
  </si>
  <si>
    <t>02/09/2025 13:45</t>
  </si>
  <si>
    <t>02/09/2025 14:00</t>
  </si>
  <si>
    <t>02/09/2025 14:15</t>
  </si>
  <si>
    <t>02/09/2025 14:30</t>
  </si>
  <si>
    <t>02/09/2025 14:45</t>
  </si>
  <si>
    <t>02/09/2025 15:00</t>
  </si>
  <si>
    <t>02/09/2025 15:15</t>
  </si>
  <si>
    <t>02/09/2025 15:30</t>
  </si>
  <si>
    <t>02/09/2025 15:45</t>
  </si>
  <si>
    <t>02/09/2025 16:00</t>
  </si>
  <si>
    <t>02/09/2025 16:15</t>
  </si>
  <si>
    <t>02/09/2025 16:30</t>
  </si>
  <si>
    <t>02/09/2025 16:45</t>
  </si>
  <si>
    <t>02/09/2025 17:00</t>
  </si>
  <si>
    <t>02/09/2025 17:15</t>
  </si>
  <si>
    <t>02/09/2025 17:30</t>
  </si>
  <si>
    <t>02/09/2025 17:45</t>
  </si>
  <si>
    <t>02/09/2025 18:00</t>
  </si>
  <si>
    <t>02/09/2025 18:15</t>
  </si>
  <si>
    <t>02/09/2025 18:30</t>
  </si>
  <si>
    <t>02/09/2025 18:45</t>
  </si>
  <si>
    <t>02/09/2025 19:00</t>
  </si>
  <si>
    <t>02/09/2025 19:15</t>
  </si>
  <si>
    <t>02/09/2025 19:30</t>
  </si>
  <si>
    <t>02/09/2025 19:45</t>
  </si>
  <si>
    <t>02/09/2025 20:00</t>
  </si>
  <si>
    <t>02/09/2025 20:15</t>
  </si>
  <si>
    <t>02/09/2025 20:30</t>
  </si>
  <si>
    <t>02/09/2025 20:45</t>
  </si>
  <si>
    <t>02/09/2025 21:00</t>
  </si>
  <si>
    <t>02/09/2025 21:15</t>
  </si>
  <si>
    <t>02/09/2025 21:30</t>
  </si>
  <si>
    <t>02/09/2025 21:45</t>
  </si>
  <si>
    <t>02/09/2025 22:00</t>
  </si>
  <si>
    <t>02/09/2025 22:15</t>
  </si>
  <si>
    <t>02/09/2025 22:30</t>
  </si>
  <si>
    <t>02/09/2025 22:45</t>
  </si>
  <si>
    <t>02/09/2025 23:00</t>
  </si>
  <si>
    <t>02/09/2025 23:15</t>
  </si>
  <si>
    <t>02/09/2025 23:30</t>
  </si>
  <si>
    <t>02/09/2025 23:45</t>
  </si>
  <si>
    <t>02/09/2025 24:00</t>
  </si>
  <si>
    <t>03/09/2025 00:15</t>
  </si>
  <si>
    <t>03/09/2025 00:30</t>
  </si>
  <si>
    <t>03/09/2025 00:45</t>
  </si>
  <si>
    <t>03/09/2025 01:00</t>
  </si>
  <si>
    <t>03/09/2025 01:15</t>
  </si>
  <si>
    <t>03/09/2025 01:30</t>
  </si>
  <si>
    <t>03/09/2025 01:45</t>
  </si>
  <si>
    <t>03/09/2025 02:00</t>
  </si>
  <si>
    <t>03/09/2025 02:15</t>
  </si>
  <si>
    <t>03/09/2025 02:30</t>
  </si>
  <si>
    <t>03/09/2025 02:45</t>
  </si>
  <si>
    <t>03/09/2025 03:00</t>
  </si>
  <si>
    <t>03/09/2025 03:15</t>
  </si>
  <si>
    <t>03/09/2025 03:30</t>
  </si>
  <si>
    <t>03/09/2025 03:45</t>
  </si>
  <si>
    <t>03/09/2025 04:00</t>
  </si>
  <si>
    <t>03/09/2025 04:15</t>
  </si>
  <si>
    <t>03/09/2025 04:30</t>
  </si>
  <si>
    <t>03/09/2025 04:45</t>
  </si>
  <si>
    <t>03/09/2025 05:00</t>
  </si>
  <si>
    <t>03/09/2025 05:15</t>
  </si>
  <si>
    <t>03/09/2025 05:30</t>
  </si>
  <si>
    <t>03/09/2025 05:45</t>
  </si>
  <si>
    <t>03/09/2025 06:00</t>
  </si>
  <si>
    <t>03/09/2025 06:15</t>
  </si>
  <si>
    <t>03/09/2025 06:30</t>
  </si>
  <si>
    <t>03/09/2025 06:45</t>
  </si>
  <si>
    <t>03/09/2025 07:00</t>
  </si>
  <si>
    <t>03/09/2025 07:15</t>
  </si>
  <si>
    <t>03/09/2025 07:30</t>
  </si>
  <si>
    <t>03/09/2025 07:45</t>
  </si>
  <si>
    <t>03/09/2025 08:00</t>
  </si>
  <si>
    <t>03/09/2025 08:15</t>
  </si>
  <si>
    <t>03/09/2025 08:30</t>
  </si>
  <si>
    <t>03/09/2025 08:45</t>
  </si>
  <si>
    <t>03/09/2025 09:00</t>
  </si>
  <si>
    <t>03/09/2025 09:15</t>
  </si>
  <si>
    <t>03/09/2025 09:30</t>
  </si>
  <si>
    <t>03/09/2025 09:45</t>
  </si>
  <si>
    <t>03/09/2025 10:00</t>
  </si>
  <si>
    <t>03/09/2025 10:15</t>
  </si>
  <si>
    <t>03/09/2025 10:30</t>
  </si>
  <si>
    <t>03/09/2025 10:45</t>
  </si>
  <si>
    <t>03/09/2025 11:00</t>
  </si>
  <si>
    <t>03/09/2025 11:15</t>
  </si>
  <si>
    <t>03/09/2025 11:30</t>
  </si>
  <si>
    <t>03/09/2025 11:45</t>
  </si>
  <si>
    <t>03/09/2025 12:00</t>
  </si>
  <si>
    <t>03/09/2025 12:15</t>
  </si>
  <si>
    <t>03/09/2025 12:30</t>
  </si>
  <si>
    <t>03/09/2025 12:45</t>
  </si>
  <si>
    <t>03/09/2025 13:00</t>
  </si>
  <si>
    <t>03/09/2025 13:15</t>
  </si>
  <si>
    <t>03/09/2025 13:30</t>
  </si>
  <si>
    <t>03/09/2025 13:45</t>
  </si>
  <si>
    <t>03/09/2025 14:00</t>
  </si>
  <si>
    <t>03/09/2025 14:15</t>
  </si>
  <si>
    <t>03/09/2025 14:30</t>
  </si>
  <si>
    <t>03/09/2025 14:45</t>
  </si>
  <si>
    <t>03/09/2025 15:00</t>
  </si>
  <si>
    <t>03/09/2025 15:15</t>
  </si>
  <si>
    <t>03/09/2025 15:30</t>
  </si>
  <si>
    <t>03/09/2025 15:45</t>
  </si>
  <si>
    <t>03/09/2025 16:00</t>
  </si>
  <si>
    <t>03/09/2025 16:15</t>
  </si>
  <si>
    <t>03/09/2025 16:30</t>
  </si>
  <si>
    <t>03/09/2025 16:45</t>
  </si>
  <si>
    <t>03/09/2025 17:00</t>
  </si>
  <si>
    <t>03/09/2025 17:15</t>
  </si>
  <si>
    <t>03/09/2025 17:30</t>
  </si>
  <si>
    <t>03/09/2025 17:45</t>
  </si>
  <si>
    <t>03/09/2025 18:00</t>
  </si>
  <si>
    <t>03/09/2025 18:15</t>
  </si>
  <si>
    <t>03/09/2025 18:30</t>
  </si>
  <si>
    <t>03/09/2025 18:45</t>
  </si>
  <si>
    <t>03/09/2025 19:00</t>
  </si>
  <si>
    <t>03/09/2025 19:15</t>
  </si>
  <si>
    <t>03/09/2025 19:30</t>
  </si>
  <si>
    <t>03/09/2025 19:45</t>
  </si>
  <si>
    <t>03/09/2025 20:00</t>
  </si>
  <si>
    <t>03/09/2025 20:15</t>
  </si>
  <si>
    <t>03/09/2025 20:30</t>
  </si>
  <si>
    <t>03/09/2025 20:45</t>
  </si>
  <si>
    <t>03/09/2025 21:00</t>
  </si>
  <si>
    <t>03/09/2025 21:15</t>
  </si>
  <si>
    <t>03/09/2025 21:30</t>
  </si>
  <si>
    <t>03/09/2025 21:45</t>
  </si>
  <si>
    <t>03/09/2025 22:00</t>
  </si>
  <si>
    <t>03/09/2025 22:15</t>
  </si>
  <si>
    <t>03/09/2025 22:30</t>
  </si>
  <si>
    <t>03/09/2025 22:45</t>
  </si>
  <si>
    <t>03/09/2025 23:00</t>
  </si>
  <si>
    <t>03/09/2025 23:15</t>
  </si>
  <si>
    <t>03/09/2025 23:30</t>
  </si>
  <si>
    <t>03/09/2025 23:45</t>
  </si>
  <si>
    <t>03/09/2025 24:00</t>
  </si>
  <si>
    <t>04/09/2025 00:15</t>
  </si>
  <si>
    <t>04/09/2025 00:30</t>
  </si>
  <si>
    <t>04/09/2025 00:45</t>
  </si>
  <si>
    <t>04/09/2025 01:00</t>
  </si>
  <si>
    <t>04/09/2025 01:15</t>
  </si>
  <si>
    <t>04/09/2025 01:30</t>
  </si>
  <si>
    <t>04/09/2025 01:45</t>
  </si>
  <si>
    <t>04/09/2025 02:00</t>
  </si>
  <si>
    <t>04/09/2025 02:15</t>
  </si>
  <si>
    <t>04/09/2025 02:30</t>
  </si>
  <si>
    <t>04/09/2025 02:45</t>
  </si>
  <si>
    <t>04/09/2025 03:00</t>
  </si>
  <si>
    <t>04/09/2025 03:15</t>
  </si>
  <si>
    <t>04/09/2025 03:30</t>
  </si>
  <si>
    <t>04/09/2025 03:45</t>
  </si>
  <si>
    <t>04/09/2025 04:00</t>
  </si>
  <si>
    <t>04/09/2025 04:15</t>
  </si>
  <si>
    <t>04/09/2025 04:30</t>
  </si>
  <si>
    <t>04/09/2025 04:45</t>
  </si>
  <si>
    <t>04/09/2025 05:00</t>
  </si>
  <si>
    <t>04/09/2025 05:15</t>
  </si>
  <si>
    <t>04/09/2025 05:30</t>
  </si>
  <si>
    <t>04/09/2025 05:45</t>
  </si>
  <si>
    <t>04/09/2025 06:00</t>
  </si>
  <si>
    <t>04/09/2025 06:15</t>
  </si>
  <si>
    <t>04/09/2025 06:30</t>
  </si>
  <si>
    <t>04/09/2025 06:45</t>
  </si>
  <si>
    <t>04/09/2025 07:00</t>
  </si>
  <si>
    <t>04/09/2025 07:15</t>
  </si>
  <si>
    <t>04/09/2025 07:30</t>
  </si>
  <si>
    <t>04/09/2025 07:45</t>
  </si>
  <si>
    <t>04/09/2025 08:00</t>
  </si>
  <si>
    <t>04/09/2025 08:15</t>
  </si>
  <si>
    <t>04/09/2025 08:30</t>
  </si>
  <si>
    <t>04/09/2025 08:45</t>
  </si>
  <si>
    <t>04/09/2025 09:00</t>
  </si>
  <si>
    <t>04/09/2025 09:15</t>
  </si>
  <si>
    <t>04/09/2025 09:30</t>
  </si>
  <si>
    <t>04/09/2025 09:45</t>
  </si>
  <si>
    <t>04/09/2025 10:00</t>
  </si>
  <si>
    <t>04/09/2025 10:15</t>
  </si>
  <si>
    <t>04/09/2025 10:30</t>
  </si>
  <si>
    <t>04/09/2025 10:45</t>
  </si>
  <si>
    <t>04/09/2025 11:00</t>
  </si>
  <si>
    <t>04/09/2025 11:15</t>
  </si>
  <si>
    <t>04/09/2025 11:30</t>
  </si>
  <si>
    <t>04/09/2025 11:45</t>
  </si>
  <si>
    <t>04/09/2025 12:00</t>
  </si>
  <si>
    <t>04/09/2025 12:15</t>
  </si>
  <si>
    <t>04/09/2025 12:30</t>
  </si>
  <si>
    <t>04/09/2025 12:45</t>
  </si>
  <si>
    <t>04/09/2025 13:00</t>
  </si>
  <si>
    <t>04/09/2025 13:15</t>
  </si>
  <si>
    <t>04/09/2025 13:30</t>
  </si>
  <si>
    <t>04/09/2025 13:45</t>
  </si>
  <si>
    <t>04/09/2025 14:00</t>
  </si>
  <si>
    <t>04/09/2025 14:15</t>
  </si>
  <si>
    <t>04/09/2025 14:30</t>
  </si>
  <si>
    <t>04/09/2025 14:45</t>
  </si>
  <si>
    <t>04/09/2025 15:00</t>
  </si>
  <si>
    <t>04/09/2025 15:15</t>
  </si>
  <si>
    <t>04/09/2025 15:30</t>
  </si>
  <si>
    <t>04/09/2025 15:45</t>
  </si>
  <si>
    <t>04/09/2025 16:00</t>
  </si>
  <si>
    <t>04/09/2025 16:15</t>
  </si>
  <si>
    <t>04/09/2025 16:30</t>
  </si>
  <si>
    <t>04/09/2025 16:45</t>
  </si>
  <si>
    <t>04/09/2025 17:00</t>
  </si>
  <si>
    <t>04/09/2025 17:15</t>
  </si>
  <si>
    <t>04/09/2025 17:30</t>
  </si>
  <si>
    <t>04/09/2025 17:45</t>
  </si>
  <si>
    <t>04/09/2025 18:00</t>
  </si>
  <si>
    <t>04/09/2025 18:15</t>
  </si>
  <si>
    <t>04/09/2025 18:30</t>
  </si>
  <si>
    <t>04/09/2025 18:45</t>
  </si>
  <si>
    <t>04/09/2025 19:00</t>
  </si>
  <si>
    <t>04/09/2025 19:15</t>
  </si>
  <si>
    <t>04/09/2025 19:30</t>
  </si>
  <si>
    <t>04/09/2025 19:45</t>
  </si>
  <si>
    <t>04/09/2025 20:00</t>
  </si>
  <si>
    <t>04/09/2025 20:15</t>
  </si>
  <si>
    <t>04/09/2025 20:30</t>
  </si>
  <si>
    <t>04/09/2025 20:45</t>
  </si>
  <si>
    <t>04/09/2025 21:00</t>
  </si>
  <si>
    <t>04/09/2025 21:15</t>
  </si>
  <si>
    <t>04/09/2025 21:30</t>
  </si>
  <si>
    <t>04/09/2025 21:45</t>
  </si>
  <si>
    <t>04/09/2025 22:00</t>
  </si>
  <si>
    <t>04/09/2025 22:15</t>
  </si>
  <si>
    <t>04/09/2025 22:30</t>
  </si>
  <si>
    <t>04/09/2025 22:45</t>
  </si>
  <si>
    <t>04/09/2025 23:00</t>
  </si>
  <si>
    <t>04/09/2025 23:15</t>
  </si>
  <si>
    <t>04/09/2025 23:30</t>
  </si>
  <si>
    <t>04/09/2025 23:45</t>
  </si>
  <si>
    <t>04/09/2025 24:00</t>
  </si>
  <si>
    <t>05/09/2025 00:15</t>
  </si>
  <si>
    <t>05/09/2025 00:30</t>
  </si>
  <si>
    <t>05/09/2025 00:45</t>
  </si>
  <si>
    <t>05/09/2025 01:00</t>
  </si>
  <si>
    <t>05/09/2025 01:15</t>
  </si>
  <si>
    <t>05/09/2025 01:30</t>
  </si>
  <si>
    <t>05/09/2025 01:45</t>
  </si>
  <si>
    <t>05/09/2025 02:00</t>
  </si>
  <si>
    <t>05/09/2025 02:15</t>
  </si>
  <si>
    <t>05/09/2025 02:30</t>
  </si>
  <si>
    <t>05/09/2025 02:45</t>
  </si>
  <si>
    <t>05/09/2025 03:00</t>
  </si>
  <si>
    <t>05/09/2025 03:15</t>
  </si>
  <si>
    <t>05/09/2025 03:30</t>
  </si>
  <si>
    <t>05/09/2025 03:45</t>
  </si>
  <si>
    <t>05/09/2025 04:00</t>
  </si>
  <si>
    <t>05/09/2025 04:15</t>
  </si>
  <si>
    <t>05/09/2025 04:30</t>
  </si>
  <si>
    <t>05/09/2025 04:45</t>
  </si>
  <si>
    <t>05/09/2025 05:00</t>
  </si>
  <si>
    <t>05/09/2025 05:15</t>
  </si>
  <si>
    <t>05/09/2025 05:30</t>
  </si>
  <si>
    <t>05/09/2025 05:45</t>
  </si>
  <si>
    <t>05/09/2025 06:00</t>
  </si>
  <si>
    <t>05/09/2025 06:15</t>
  </si>
  <si>
    <t>05/09/2025 06:30</t>
  </si>
  <si>
    <t>05/09/2025 06:45</t>
  </si>
  <si>
    <t>05/09/2025 07:00</t>
  </si>
  <si>
    <t>05/09/2025 07:15</t>
  </si>
  <si>
    <t>05/09/2025 07:30</t>
  </si>
  <si>
    <t>05/09/2025 07:45</t>
  </si>
  <si>
    <t>05/09/2025 08:00</t>
  </si>
  <si>
    <t>05/09/2025 08:15</t>
  </si>
  <si>
    <t>05/09/2025 08:30</t>
  </si>
  <si>
    <t>05/09/2025 08:45</t>
  </si>
  <si>
    <t>05/09/2025 09:00</t>
  </si>
  <si>
    <t>05/09/2025 09:15</t>
  </si>
  <si>
    <t>05/09/2025 09:30</t>
  </si>
  <si>
    <t>05/09/2025 09:45</t>
  </si>
  <si>
    <t>05/09/2025 10:00</t>
  </si>
  <si>
    <t>05/09/2025 10:15</t>
  </si>
  <si>
    <t>05/09/2025 10:30</t>
  </si>
  <si>
    <t>05/09/2025 10:45</t>
  </si>
  <si>
    <t>05/09/2025 11:00</t>
  </si>
  <si>
    <t>05/09/2025 11:15</t>
  </si>
  <si>
    <t>05/09/2025 11:30</t>
  </si>
  <si>
    <t>05/09/2025 11:45</t>
  </si>
  <si>
    <t>05/09/2025 12:00</t>
  </si>
  <si>
    <t>05/09/2025 12:15</t>
  </si>
  <si>
    <t>05/09/2025 12:30</t>
  </si>
  <si>
    <t>05/09/2025 12:45</t>
  </si>
  <si>
    <t>05/09/2025 13:00</t>
  </si>
  <si>
    <t>05/09/2025 13:15</t>
  </si>
  <si>
    <t>05/09/2025 13:30</t>
  </si>
  <si>
    <t>05/09/2025 13:45</t>
  </si>
  <si>
    <t>05/09/2025 14:00</t>
  </si>
  <si>
    <t>05/09/2025 14:15</t>
  </si>
  <si>
    <t>05/09/2025 14:30</t>
  </si>
  <si>
    <t>05/09/2025 14:45</t>
  </si>
  <si>
    <t>05/09/2025 15:00</t>
  </si>
  <si>
    <t>05/09/2025 15:15</t>
  </si>
  <si>
    <t>05/09/2025 15:30</t>
  </si>
  <si>
    <t>05/09/2025 15:45</t>
  </si>
  <si>
    <t>05/09/2025 16:00</t>
  </si>
  <si>
    <t>05/09/2025 16:15</t>
  </si>
  <si>
    <t>05/09/2025 16:30</t>
  </si>
  <si>
    <t>05/09/2025 16:45</t>
  </si>
  <si>
    <t>05/09/2025 17:00</t>
  </si>
  <si>
    <t>05/09/2025 17:15</t>
  </si>
  <si>
    <t>05/09/2025 17:30</t>
  </si>
  <si>
    <t>05/09/2025 17:45</t>
  </si>
  <si>
    <t>05/09/2025 18:00</t>
  </si>
  <si>
    <t>05/09/2025 18:15</t>
  </si>
  <si>
    <t>05/09/2025 18:30</t>
  </si>
  <si>
    <t>05/09/2025 18:45</t>
  </si>
  <si>
    <t>05/09/2025 19:00</t>
  </si>
  <si>
    <t>05/09/2025 19:15</t>
  </si>
  <si>
    <t>05/09/2025 19:30</t>
  </si>
  <si>
    <t>05/09/2025 19:45</t>
  </si>
  <si>
    <t>05/09/2025 20:00</t>
  </si>
  <si>
    <t>05/09/2025 20:15</t>
  </si>
  <si>
    <t>05/09/2025 20:30</t>
  </si>
  <si>
    <t>05/09/2025 20:45</t>
  </si>
  <si>
    <t>05/09/2025 21:00</t>
  </si>
  <si>
    <t>05/09/2025 21:15</t>
  </si>
  <si>
    <t>05/09/2025 21:30</t>
  </si>
  <si>
    <t>05/09/2025 21:45</t>
  </si>
  <si>
    <t>05/09/2025 22:00</t>
  </si>
  <si>
    <t>05/09/2025 22:15</t>
  </si>
  <si>
    <t>05/09/2025 22:30</t>
  </si>
  <si>
    <t>05/09/2025 22:45</t>
  </si>
  <si>
    <t>05/09/2025 23:00</t>
  </si>
  <si>
    <t>05/09/2025 23:15</t>
  </si>
  <si>
    <t>05/09/2025 23:30</t>
  </si>
  <si>
    <t>05/09/2025 23:45</t>
  </si>
  <si>
    <t>05/09/2025 24:00</t>
  </si>
  <si>
    <t>06/09/2025 00:15</t>
  </si>
  <si>
    <t>06/09/2025 00:30</t>
  </si>
  <si>
    <t>06/09/2025 00:45</t>
  </si>
  <si>
    <t>06/09/2025 01:00</t>
  </si>
  <si>
    <t>06/09/2025 01:15</t>
  </si>
  <si>
    <t>06/09/2025 01:30</t>
  </si>
  <si>
    <t>06/09/2025 01:45</t>
  </si>
  <si>
    <t>06/09/2025 02:00</t>
  </si>
  <si>
    <t>06/09/2025 02:15</t>
  </si>
  <si>
    <t>06/09/2025 02:30</t>
  </si>
  <si>
    <t>06/09/2025 02:45</t>
  </si>
  <si>
    <t>06/09/2025 03:00</t>
  </si>
  <si>
    <t>06/09/2025 03:15</t>
  </si>
  <si>
    <t>06/09/2025 03:30</t>
  </si>
  <si>
    <t>06/09/2025 03:45</t>
  </si>
  <si>
    <t>06/09/2025 04:00</t>
  </si>
  <si>
    <t>06/09/2025 04:15</t>
  </si>
  <si>
    <t>06/09/2025 04:30</t>
  </si>
  <si>
    <t>06/09/2025 04:45</t>
  </si>
  <si>
    <t>06/09/2025 05:00</t>
  </si>
  <si>
    <t>06/09/2025 05:15</t>
  </si>
  <si>
    <t>06/09/2025 05:30</t>
  </si>
  <si>
    <t>06/09/2025 05:45</t>
  </si>
  <si>
    <t>06/09/2025 06:00</t>
  </si>
  <si>
    <t>06/09/2025 06:15</t>
  </si>
  <si>
    <t>06/09/2025 06:30</t>
  </si>
  <si>
    <t>06/09/2025 06:45</t>
  </si>
  <si>
    <t>06/09/2025 07:00</t>
  </si>
  <si>
    <t>06/09/2025 07:15</t>
  </si>
  <si>
    <t>06/09/2025 07:30</t>
  </si>
  <si>
    <t>06/09/2025 07:45</t>
  </si>
  <si>
    <t>06/09/2025 08:00</t>
  </si>
  <si>
    <t>06/09/2025 08:15</t>
  </si>
  <si>
    <t>06/09/2025 08:30</t>
  </si>
  <si>
    <t>06/09/2025 08:45</t>
  </si>
  <si>
    <t>06/09/2025 09:00</t>
  </si>
  <si>
    <t>06/09/2025 09:15</t>
  </si>
  <si>
    <t>06/09/2025 09:30</t>
  </si>
  <si>
    <t>06/09/2025 09:45</t>
  </si>
  <si>
    <t>06/09/2025 10:00</t>
  </si>
  <si>
    <t>06/09/2025 10:15</t>
  </si>
  <si>
    <t>06/09/2025 10:30</t>
  </si>
  <si>
    <t>06/09/2025 10:45</t>
  </si>
  <si>
    <t>06/09/2025 11:00</t>
  </si>
  <si>
    <t>06/09/2025 11:15</t>
  </si>
  <si>
    <t>06/09/2025 11:30</t>
  </si>
  <si>
    <t>06/09/2025 11:45</t>
  </si>
  <si>
    <t>06/09/2025 12:00</t>
  </si>
  <si>
    <t>06/09/2025 12:15</t>
  </si>
  <si>
    <t>06/09/2025 12:30</t>
  </si>
  <si>
    <t>06/09/2025 12:45</t>
  </si>
  <si>
    <t>06/09/2025 13:00</t>
  </si>
  <si>
    <t>06/09/2025 13:15</t>
  </si>
  <si>
    <t>06/09/2025 13:30</t>
  </si>
  <si>
    <t>06/09/2025 13:45</t>
  </si>
  <si>
    <t>06/09/2025 14:00</t>
  </si>
  <si>
    <t>06/09/2025 14:15</t>
  </si>
  <si>
    <t>06/09/2025 14:30</t>
  </si>
  <si>
    <t>06/09/2025 14:45</t>
  </si>
  <si>
    <t>06/09/2025 15:00</t>
  </si>
  <si>
    <t>06/09/2025 15:15</t>
  </si>
  <si>
    <t>06/09/2025 15:30</t>
  </si>
  <si>
    <t>06/09/2025 15:45</t>
  </si>
  <si>
    <t>06/09/2025 16:00</t>
  </si>
  <si>
    <t>06/09/2025 16:15</t>
  </si>
  <si>
    <t>06/09/2025 16:30</t>
  </si>
  <si>
    <t>06/09/2025 16:45</t>
  </si>
  <si>
    <t>06/09/2025 17:00</t>
  </si>
  <si>
    <t>06/09/2025 17:15</t>
  </si>
  <si>
    <t>06/09/2025 17:30</t>
  </si>
  <si>
    <t>06/09/2025 17:45</t>
  </si>
  <si>
    <t>06/09/2025 18:00</t>
  </si>
  <si>
    <t>06/09/2025 18:15</t>
  </si>
  <si>
    <t>06/09/2025 18:30</t>
  </si>
  <si>
    <t>06/09/2025 18:45</t>
  </si>
  <si>
    <t>06/09/2025 19:00</t>
  </si>
  <si>
    <t>06/09/2025 19:15</t>
  </si>
  <si>
    <t>06/09/2025 19:30</t>
  </si>
  <si>
    <t>06/09/2025 19:45</t>
  </si>
  <si>
    <t>06/09/2025 20:00</t>
  </si>
  <si>
    <t>06/09/2025 20:15</t>
  </si>
  <si>
    <t>06/09/2025 20:30</t>
  </si>
  <si>
    <t>06/09/2025 20:45</t>
  </si>
  <si>
    <t>06/09/2025 21:00</t>
  </si>
  <si>
    <t>06/09/2025 21:15</t>
  </si>
  <si>
    <t>06/09/2025 21:30</t>
  </si>
  <si>
    <t>06/09/2025 21:45</t>
  </si>
  <si>
    <t>06/09/2025 22:00</t>
  </si>
  <si>
    <t>06/09/2025 22:15</t>
  </si>
  <si>
    <t>06/09/2025 22:30</t>
  </si>
  <si>
    <t>06/09/2025 22:45</t>
  </si>
  <si>
    <t>06/09/2025 23:00</t>
  </si>
  <si>
    <t>06/09/2025 23:15</t>
  </si>
  <si>
    <t>06/09/2025 23:30</t>
  </si>
  <si>
    <t>06/09/2025 23:45</t>
  </si>
  <si>
    <t>06/09/2025 24:00</t>
  </si>
  <si>
    <t>07/09/2025 00:15</t>
  </si>
  <si>
    <t>07/09/2025 00:30</t>
  </si>
  <si>
    <t>07/09/2025 00:45</t>
  </si>
  <si>
    <t>07/09/2025 01:00</t>
  </si>
  <si>
    <t>07/09/2025 01:15</t>
  </si>
  <si>
    <t>07/09/2025 01:30</t>
  </si>
  <si>
    <t>07/09/2025 01:45</t>
  </si>
  <si>
    <t>07/09/2025 02:00</t>
  </si>
  <si>
    <t>07/09/2025 02:15</t>
  </si>
  <si>
    <t>07/09/2025 02:30</t>
  </si>
  <si>
    <t>07/09/2025 02:45</t>
  </si>
  <si>
    <t>07/09/2025 03:00</t>
  </si>
  <si>
    <t>07/09/2025 03:15</t>
  </si>
  <si>
    <t>07/09/2025 03:30</t>
  </si>
  <si>
    <t>07/09/2025 03:45</t>
  </si>
  <si>
    <t>07/09/2025 04:00</t>
  </si>
  <si>
    <t>07/09/2025 04:15</t>
  </si>
  <si>
    <t>07/09/2025 04:30</t>
  </si>
  <si>
    <t>07/09/2025 04:45</t>
  </si>
  <si>
    <t>07/09/2025 05:00</t>
  </si>
  <si>
    <t>07/09/2025 05:15</t>
  </si>
  <si>
    <t>07/09/2025 05:30</t>
  </si>
  <si>
    <t>07/09/2025 05:45</t>
  </si>
  <si>
    <t>07/09/2025 06:00</t>
  </si>
  <si>
    <t>07/09/2025 06:15</t>
  </si>
  <si>
    <t>07/09/2025 06:30</t>
  </si>
  <si>
    <t>07/09/2025 06:45</t>
  </si>
  <si>
    <t>07/09/2025 07:00</t>
  </si>
  <si>
    <t>07/09/2025 07:15</t>
  </si>
  <si>
    <t>07/09/2025 07:30</t>
  </si>
  <si>
    <t>07/09/2025 07:45</t>
  </si>
  <si>
    <t>07/09/2025 08:00</t>
  </si>
  <si>
    <t>07/09/2025 08:15</t>
  </si>
  <si>
    <t>07/09/2025 08:30</t>
  </si>
  <si>
    <t>07/09/2025 08:45</t>
  </si>
  <si>
    <t>07/09/2025 09:00</t>
  </si>
  <si>
    <t>07/09/2025 09:15</t>
  </si>
  <si>
    <t>07/09/2025 09:30</t>
  </si>
  <si>
    <t>07/09/2025 09:45</t>
  </si>
  <si>
    <t>07/09/2025 10:00</t>
  </si>
  <si>
    <t>07/09/2025 10:15</t>
  </si>
  <si>
    <t>07/09/2025 10:30</t>
  </si>
  <si>
    <t>07/09/2025 10:45</t>
  </si>
  <si>
    <t>07/09/2025 11:00</t>
  </si>
  <si>
    <t>07/09/2025 11:15</t>
  </si>
  <si>
    <t>07/09/2025 11:30</t>
  </si>
  <si>
    <t>07/09/2025 11:45</t>
  </si>
  <si>
    <t>07/09/2025 12:00</t>
  </si>
  <si>
    <t>07/09/2025 12:15</t>
  </si>
  <si>
    <t>07/09/2025 12:30</t>
  </si>
  <si>
    <t>07/09/2025 12:45</t>
  </si>
  <si>
    <t>07/09/2025 13:00</t>
  </si>
  <si>
    <t>07/09/2025 13:15</t>
  </si>
  <si>
    <t>07/09/2025 13:30</t>
  </si>
  <si>
    <t>07/09/2025 13:45</t>
  </si>
  <si>
    <t>07/09/2025 14:00</t>
  </si>
  <si>
    <t>07/09/2025 14:15</t>
  </si>
  <si>
    <t>07/09/2025 14:30</t>
  </si>
  <si>
    <t>07/09/2025 14:45</t>
  </si>
  <si>
    <t>07/09/2025 15:00</t>
  </si>
  <si>
    <t>07/09/2025 15:15</t>
  </si>
  <si>
    <t>07/09/2025 15:30</t>
  </si>
  <si>
    <t>07/09/2025 15:45</t>
  </si>
  <si>
    <t>07/09/2025 16:00</t>
  </si>
  <si>
    <t>07/09/2025 16:15</t>
  </si>
  <si>
    <t>07/09/2025 16:30</t>
  </si>
  <si>
    <t>07/09/2025 16:45</t>
  </si>
  <si>
    <t>07/09/2025 17:00</t>
  </si>
  <si>
    <t>07/09/2025 17:15</t>
  </si>
  <si>
    <t>07/09/2025 17:30</t>
  </si>
  <si>
    <t>07/09/2025 17:45</t>
  </si>
  <si>
    <t>07/09/2025 18:00</t>
  </si>
  <si>
    <t>07/09/2025 18:15</t>
  </si>
  <si>
    <t>07/09/2025 18:30</t>
  </si>
  <si>
    <t>07/09/2025 18:45</t>
  </si>
  <si>
    <t>07/09/2025 19:00</t>
  </si>
  <si>
    <t>07/09/2025 19:15</t>
  </si>
  <si>
    <t>07/09/2025 19:30</t>
  </si>
  <si>
    <t>07/09/2025 19:45</t>
  </si>
  <si>
    <t>07/09/2025 20:00</t>
  </si>
  <si>
    <t>07/09/2025 20:15</t>
  </si>
  <si>
    <t>07/09/2025 20:30</t>
  </si>
  <si>
    <t>07/09/2025 20:45</t>
  </si>
  <si>
    <t>07/09/2025 21:00</t>
  </si>
  <si>
    <t>07/09/2025 21:15</t>
  </si>
  <si>
    <t>07/09/2025 21:30</t>
  </si>
  <si>
    <t>07/09/2025 21:45</t>
  </si>
  <si>
    <t>07/09/2025 22:00</t>
  </si>
  <si>
    <t>07/09/2025 22:15</t>
  </si>
  <si>
    <t>07/09/2025 22:30</t>
  </si>
  <si>
    <t>07/09/2025 22:45</t>
  </si>
  <si>
    <t>07/09/2025 23:00</t>
  </si>
  <si>
    <t>07/09/2025 23:15</t>
  </si>
  <si>
    <t>07/09/2025 23:30</t>
  </si>
  <si>
    <t>07/09/2025 23:45</t>
  </si>
  <si>
    <t>07/09/2025 24:00</t>
  </si>
  <si>
    <t>08/09/2025 00:15</t>
  </si>
  <si>
    <t>08/09/2025 00:30</t>
  </si>
  <si>
    <t>08/09/2025 00:45</t>
  </si>
  <si>
    <t>08/09/2025 01:00</t>
  </si>
  <si>
    <t>08/09/2025 01:15</t>
  </si>
  <si>
    <t>08/09/2025 01:30</t>
  </si>
  <si>
    <t>08/09/2025 01:45</t>
  </si>
  <si>
    <t>08/09/2025 02:00</t>
  </si>
  <si>
    <t>08/09/2025 02:15</t>
  </si>
  <si>
    <t>08/09/2025 02:30</t>
  </si>
  <si>
    <t>08/09/2025 02:45</t>
  </si>
  <si>
    <t>08/09/2025 03:00</t>
  </si>
  <si>
    <t>08/09/2025 03:15</t>
  </si>
  <si>
    <t>08/09/2025 03:30</t>
  </si>
  <si>
    <t>08/09/2025 03:45</t>
  </si>
  <si>
    <t>08/09/2025 04:00</t>
  </si>
  <si>
    <t>08/09/2025 04:15</t>
  </si>
  <si>
    <t>08/09/2025 04:30</t>
  </si>
  <si>
    <t>08/09/2025 04:45</t>
  </si>
  <si>
    <t>08/09/2025 05:00</t>
  </si>
  <si>
    <t>08/09/2025 05:15</t>
  </si>
  <si>
    <t>08/09/2025 05:30</t>
  </si>
  <si>
    <t>08/09/2025 05:45</t>
  </si>
  <si>
    <t>08/09/2025 06:00</t>
  </si>
  <si>
    <t>08/09/2025 06:15</t>
  </si>
  <si>
    <t>08/09/2025 06:30</t>
  </si>
  <si>
    <t>08/09/2025 06:45</t>
  </si>
  <si>
    <t>08/09/2025 07:00</t>
  </si>
  <si>
    <t>08/09/2025 07:15</t>
  </si>
  <si>
    <t>08/09/2025 07:30</t>
  </si>
  <si>
    <t>08/09/2025 07:45</t>
  </si>
  <si>
    <t>08/09/2025 08:00</t>
  </si>
  <si>
    <t>08/09/2025 08:15</t>
  </si>
  <si>
    <t>08/09/2025 08:30</t>
  </si>
  <si>
    <t>08/09/2025 08:45</t>
  </si>
  <si>
    <t>08/09/2025 09:00</t>
  </si>
  <si>
    <t>08/09/2025 09:15</t>
  </si>
  <si>
    <t>08/09/2025 09:30</t>
  </si>
  <si>
    <t>08/09/2025 09:45</t>
  </si>
  <si>
    <t>08/09/2025 10:00</t>
  </si>
  <si>
    <t>08/09/2025 10:15</t>
  </si>
  <si>
    <t>08/09/2025 10:30</t>
  </si>
  <si>
    <t>08/09/2025 10:45</t>
  </si>
  <si>
    <t>08/09/2025 11:00</t>
  </si>
  <si>
    <t>08/09/2025 11:15</t>
  </si>
  <si>
    <t>08/09/2025 11:30</t>
  </si>
  <si>
    <t>08/09/2025 11:45</t>
  </si>
  <si>
    <t>08/09/2025 12:00</t>
  </si>
  <si>
    <t>08/09/2025 12:15</t>
  </si>
  <si>
    <t>08/09/2025 12:30</t>
  </si>
  <si>
    <t>08/09/2025 12:45</t>
  </si>
  <si>
    <t>08/09/2025 13:00</t>
  </si>
  <si>
    <t>08/09/2025 13:15</t>
  </si>
  <si>
    <t>08/09/2025 13:30</t>
  </si>
  <si>
    <t>08/09/2025 13:45</t>
  </si>
  <si>
    <t>08/09/2025 14:00</t>
  </si>
  <si>
    <t>08/09/2025 14:15</t>
  </si>
  <si>
    <t>08/09/2025 14:30</t>
  </si>
  <si>
    <t>08/09/2025 14:45</t>
  </si>
  <si>
    <t>08/09/2025 15:00</t>
  </si>
  <si>
    <t>08/09/2025 15:15</t>
  </si>
  <si>
    <t>08/09/2025 15:30</t>
  </si>
  <si>
    <t>08/09/2025 15:45</t>
  </si>
  <si>
    <t>08/09/2025 16:00</t>
  </si>
  <si>
    <t>08/09/2025 16:15</t>
  </si>
  <si>
    <t>08/09/2025 16:30</t>
  </si>
  <si>
    <t>08/09/2025 16:45</t>
  </si>
  <si>
    <t>08/09/2025 17:00</t>
  </si>
  <si>
    <t>08/09/2025 17:15</t>
  </si>
  <si>
    <t>08/09/2025 17:30</t>
  </si>
  <si>
    <t>08/09/2025 17:45</t>
  </si>
  <si>
    <t>08/09/2025 18:00</t>
  </si>
  <si>
    <t>08/09/2025 18:15</t>
  </si>
  <si>
    <t>08/09/2025 18:30</t>
  </si>
  <si>
    <t>08/09/2025 18:45</t>
  </si>
  <si>
    <t>08/09/2025 19:00</t>
  </si>
  <si>
    <t>08/09/2025 19:15</t>
  </si>
  <si>
    <t>08/09/2025 19:30</t>
  </si>
  <si>
    <t>08/09/2025 19:45</t>
  </si>
  <si>
    <t>08/09/2025 20:00</t>
  </si>
  <si>
    <t>08/09/2025 20:15</t>
  </si>
  <si>
    <t>08/09/2025 20:30</t>
  </si>
  <si>
    <t>08/09/2025 20:45</t>
  </si>
  <si>
    <t>08/09/2025 21:00</t>
  </si>
  <si>
    <t>08/09/2025 21:15</t>
  </si>
  <si>
    <t>08/09/2025 21:30</t>
  </si>
  <si>
    <t>08/09/2025 21:45</t>
  </si>
  <si>
    <t>08/09/2025 22:00</t>
  </si>
  <si>
    <t>08/09/2025 22:15</t>
  </si>
  <si>
    <t>08/09/2025 22:30</t>
  </si>
  <si>
    <t>08/09/2025 22:45</t>
  </si>
  <si>
    <t>08/09/2025 23:00</t>
  </si>
  <si>
    <t>08/09/2025 23:15</t>
  </si>
  <si>
    <t>08/09/2025 23:30</t>
  </si>
  <si>
    <t>08/09/2025 23:45</t>
  </si>
  <si>
    <t>08/09/2025 24:00</t>
  </si>
  <si>
    <t>09/09/2025 00:15</t>
  </si>
  <si>
    <t>09/09/2025 00:30</t>
  </si>
  <si>
    <t>09/09/2025 00:45</t>
  </si>
  <si>
    <t>09/09/2025 01:00</t>
  </si>
  <si>
    <t>09/09/2025 01:15</t>
  </si>
  <si>
    <t>09/09/2025 01:30</t>
  </si>
  <si>
    <t>09/09/2025 01:45</t>
  </si>
  <si>
    <t>09/09/2025 02:00</t>
  </si>
  <si>
    <t>09/09/2025 02:15</t>
  </si>
  <si>
    <t>09/09/2025 02:30</t>
  </si>
  <si>
    <t>09/09/2025 02:45</t>
  </si>
  <si>
    <t>09/09/2025 03:00</t>
  </si>
  <si>
    <t>09/09/2025 03:15</t>
  </si>
  <si>
    <t>09/09/2025 03:30</t>
  </si>
  <si>
    <t>09/09/2025 03:45</t>
  </si>
  <si>
    <t>09/09/2025 04:00</t>
  </si>
  <si>
    <t>09/09/2025 04:15</t>
  </si>
  <si>
    <t>09/09/2025 04:30</t>
  </si>
  <si>
    <t>09/09/2025 04:45</t>
  </si>
  <si>
    <t>09/09/2025 05:00</t>
  </si>
  <si>
    <t>09/09/2025 05:15</t>
  </si>
  <si>
    <t>09/09/2025 05:30</t>
  </si>
  <si>
    <t>09/09/2025 05:45</t>
  </si>
  <si>
    <t>09/09/2025 06:00</t>
  </si>
  <si>
    <t>09/09/2025 06:15</t>
  </si>
  <si>
    <t>09/09/2025 06:30</t>
  </si>
  <si>
    <t>09/09/2025 06:45</t>
  </si>
  <si>
    <t>09/09/2025 07:00</t>
  </si>
  <si>
    <t>09/09/2025 07:15</t>
  </si>
  <si>
    <t>09/09/2025 07:30</t>
  </si>
  <si>
    <t>09/09/2025 07:45</t>
  </si>
  <si>
    <t>09/09/2025 08:00</t>
  </si>
  <si>
    <t>09/09/2025 08:15</t>
  </si>
  <si>
    <t>09/09/2025 08:30</t>
  </si>
  <si>
    <t>09/09/2025 08:45</t>
  </si>
  <si>
    <t>09/09/2025 09:00</t>
  </si>
  <si>
    <t>09/09/2025 09:15</t>
  </si>
  <si>
    <t>09/09/2025 09:30</t>
  </si>
  <si>
    <t>09/09/2025 09:45</t>
  </si>
  <si>
    <t>09/09/2025 10:00</t>
  </si>
  <si>
    <t>09/09/2025 10:15</t>
  </si>
  <si>
    <t>09/09/2025 10:30</t>
  </si>
  <si>
    <t>09/09/2025 10:45</t>
  </si>
  <si>
    <t>09/09/2025 11:00</t>
  </si>
  <si>
    <t>09/09/2025 11:15</t>
  </si>
  <si>
    <t>09/09/2025 11:30</t>
  </si>
  <si>
    <t>09/09/2025 11:45</t>
  </si>
  <si>
    <t>09/09/2025 12:00</t>
  </si>
  <si>
    <t>09/09/2025 12:15</t>
  </si>
  <si>
    <t>09/09/2025 12:30</t>
  </si>
  <si>
    <t>09/09/2025 12:45</t>
  </si>
  <si>
    <t>09/09/2025 13:00</t>
  </si>
  <si>
    <t>09/09/2025 13:15</t>
  </si>
  <si>
    <t>09/09/2025 13:30</t>
  </si>
  <si>
    <t>09/09/2025 13:45</t>
  </si>
  <si>
    <t>09/09/2025 14:00</t>
  </si>
  <si>
    <t>09/09/2025 14:15</t>
  </si>
  <si>
    <t>09/09/2025 14:30</t>
  </si>
  <si>
    <t>09/09/2025 14:45</t>
  </si>
  <si>
    <t>09/09/2025 15:00</t>
  </si>
  <si>
    <t>09/09/2025 15:15</t>
  </si>
  <si>
    <t>09/09/2025 15:30</t>
  </si>
  <si>
    <t>09/09/2025 15:45</t>
  </si>
  <si>
    <t>09/09/2025 16:00</t>
  </si>
  <si>
    <t>09/09/2025 16:15</t>
  </si>
  <si>
    <t>09/09/2025 16:30</t>
  </si>
  <si>
    <t>09/09/2025 16:45</t>
  </si>
  <si>
    <t>09/09/2025 17:00</t>
  </si>
  <si>
    <t>09/09/2025 17:15</t>
  </si>
  <si>
    <t>09/09/2025 17:30</t>
  </si>
  <si>
    <t>09/09/2025 17:45</t>
  </si>
  <si>
    <t>09/09/2025 18:00</t>
  </si>
  <si>
    <t>09/09/2025 18:15</t>
  </si>
  <si>
    <t>09/09/2025 18:30</t>
  </si>
  <si>
    <t>09/09/2025 18:45</t>
  </si>
  <si>
    <t>09/09/2025 19:00</t>
  </si>
  <si>
    <t>09/09/2025 19:15</t>
  </si>
  <si>
    <t>09/09/2025 19:30</t>
  </si>
  <si>
    <t>09/09/2025 19:45</t>
  </si>
  <si>
    <t>09/09/2025 20:00</t>
  </si>
  <si>
    <t>09/09/2025 20:15</t>
  </si>
  <si>
    <t>09/09/2025 20:30</t>
  </si>
  <si>
    <t>09/09/2025 20:45</t>
  </si>
  <si>
    <t>09/09/2025 21:00</t>
  </si>
  <si>
    <t>09/09/2025 21:15</t>
  </si>
  <si>
    <t>09/09/2025 21:30</t>
  </si>
  <si>
    <t>09/09/2025 21:45</t>
  </si>
  <si>
    <t>09/09/2025 22:00</t>
  </si>
  <si>
    <t>09/09/2025 22:15</t>
  </si>
  <si>
    <t>09/09/2025 22:30</t>
  </si>
  <si>
    <t>09/09/2025 22:45</t>
  </si>
  <si>
    <t>09/09/2025 23:00</t>
  </si>
  <si>
    <t>09/09/2025 23:15</t>
  </si>
  <si>
    <t>09/09/2025 23:30</t>
  </si>
  <si>
    <t>09/09/2025 23:45</t>
  </si>
  <si>
    <t>09/09/2025 24:00</t>
  </si>
  <si>
    <t>10/09/2025 00:15</t>
  </si>
  <si>
    <t>10/09/2025 00:30</t>
  </si>
  <si>
    <t>10/09/2025 00:45</t>
  </si>
  <si>
    <t>10/09/2025 01:00</t>
  </si>
  <si>
    <t>10/09/2025 01:15</t>
  </si>
  <si>
    <t>10/09/2025 01:30</t>
  </si>
  <si>
    <t>10/09/2025 01:45</t>
  </si>
  <si>
    <t>10/09/2025 02:00</t>
  </si>
  <si>
    <t>10/09/2025 02:15</t>
  </si>
  <si>
    <t>10/09/2025 02:30</t>
  </si>
  <si>
    <t>10/09/2025 02:45</t>
  </si>
  <si>
    <t>10/09/2025 03:00</t>
  </si>
  <si>
    <t>10/09/2025 03:15</t>
  </si>
  <si>
    <t>10/09/2025 03:30</t>
  </si>
  <si>
    <t>10/09/2025 03:45</t>
  </si>
  <si>
    <t>10/09/2025 04:00</t>
  </si>
  <si>
    <t>10/09/2025 04:15</t>
  </si>
  <si>
    <t>10/09/2025 04:30</t>
  </si>
  <si>
    <t>10/09/2025 04:45</t>
  </si>
  <si>
    <t>10/09/2025 05:00</t>
  </si>
  <si>
    <t>10/09/2025 05:15</t>
  </si>
  <si>
    <t>10/09/2025 05:30</t>
  </si>
  <si>
    <t>10/09/2025 05:45</t>
  </si>
  <si>
    <t>10/09/2025 06:00</t>
  </si>
  <si>
    <t>10/09/2025 06:15</t>
  </si>
  <si>
    <t>10/09/2025 06:30</t>
  </si>
  <si>
    <t>10/09/2025 06:45</t>
  </si>
  <si>
    <t>10/09/2025 07:00</t>
  </si>
  <si>
    <t>10/09/2025 07:15</t>
  </si>
  <si>
    <t>10/09/2025 07:30</t>
  </si>
  <si>
    <t>10/09/2025 07:45</t>
  </si>
  <si>
    <t>10/09/2025 08:00</t>
  </si>
  <si>
    <t>10/09/2025 08:15</t>
  </si>
  <si>
    <t>10/09/2025 08:30</t>
  </si>
  <si>
    <t>10/09/2025 08:45</t>
  </si>
  <si>
    <t>10/09/2025 09:00</t>
  </si>
  <si>
    <t>10/09/2025 09:15</t>
  </si>
  <si>
    <t>10/09/2025 09:30</t>
  </si>
  <si>
    <t>10/09/2025 09:45</t>
  </si>
  <si>
    <t>10/09/2025 10:00</t>
  </si>
  <si>
    <t>10/09/2025 10:15</t>
  </si>
  <si>
    <t>10/09/2025 10:30</t>
  </si>
  <si>
    <t>10/09/2025 10:45</t>
  </si>
  <si>
    <t>10/09/2025 11:00</t>
  </si>
  <si>
    <t>10/09/2025 11:15</t>
  </si>
  <si>
    <t>10/09/2025 11:30</t>
  </si>
  <si>
    <t>10/09/2025 11:45</t>
  </si>
  <si>
    <t>10/09/2025 12:00</t>
  </si>
  <si>
    <t>10/09/2025 12:15</t>
  </si>
  <si>
    <t>10/09/2025 12:30</t>
  </si>
  <si>
    <t>10/09/2025 12:45</t>
  </si>
  <si>
    <t>10/09/2025 13:00</t>
  </si>
  <si>
    <t>10/09/2025 13:15</t>
  </si>
  <si>
    <t>10/09/2025 13:30</t>
  </si>
  <si>
    <t>10/09/2025 13:45</t>
  </si>
  <si>
    <t>10/09/2025 14:00</t>
  </si>
  <si>
    <t>10/09/2025 14:15</t>
  </si>
  <si>
    <t>10/09/2025 14:30</t>
  </si>
  <si>
    <t>10/09/2025 14:45</t>
  </si>
  <si>
    <t>10/09/2025 15:00</t>
  </si>
  <si>
    <t>10/09/2025 15:15</t>
  </si>
  <si>
    <t>10/09/2025 15:30</t>
  </si>
  <si>
    <t>10/09/2025 15:45</t>
  </si>
  <si>
    <t>10/09/2025 16:00</t>
  </si>
  <si>
    <t>10/09/2025 16:15</t>
  </si>
  <si>
    <t>10/09/2025 16:30</t>
  </si>
  <si>
    <t>10/09/2025 16:45</t>
  </si>
  <si>
    <t>10/09/2025 17:00</t>
  </si>
  <si>
    <t>10/09/2025 17:15</t>
  </si>
  <si>
    <t>10/09/2025 17:30</t>
  </si>
  <si>
    <t>10/09/2025 17:45</t>
  </si>
  <si>
    <t>10/09/2025 18:00</t>
  </si>
  <si>
    <t>10/09/2025 18:15</t>
  </si>
  <si>
    <t>10/09/2025 18:30</t>
  </si>
  <si>
    <t>10/09/2025 18:45</t>
  </si>
  <si>
    <t>10/09/2025 19:00</t>
  </si>
  <si>
    <t>10/09/2025 19:15</t>
  </si>
  <si>
    <t>10/09/2025 19:30</t>
  </si>
  <si>
    <t>10/09/2025 19:45</t>
  </si>
  <si>
    <t>10/09/2025 20:00</t>
  </si>
  <si>
    <t>10/09/2025 20:15</t>
  </si>
  <si>
    <t>10/09/2025 20:30</t>
  </si>
  <si>
    <t>10/09/2025 20:45</t>
  </si>
  <si>
    <t>10/09/2025 21:00</t>
  </si>
  <si>
    <t>10/09/2025 21:15</t>
  </si>
  <si>
    <t>10/09/2025 21:30</t>
  </si>
  <si>
    <t>10/09/2025 21:45</t>
  </si>
  <si>
    <t>10/09/2025 22:00</t>
  </si>
  <si>
    <t>10/09/2025 22:15</t>
  </si>
  <si>
    <t>10/09/2025 22:30</t>
  </si>
  <si>
    <t>10/09/2025 22:45</t>
  </si>
  <si>
    <t>10/09/2025 23:00</t>
  </si>
  <si>
    <t>10/09/2025 23:15</t>
  </si>
  <si>
    <t>10/09/2025 23:30</t>
  </si>
  <si>
    <t>10/09/2025 23:45</t>
  </si>
  <si>
    <t>10/09/2025 24:00</t>
  </si>
  <si>
    <t>11/09/2025 00:15</t>
  </si>
  <si>
    <t>11/09/2025 00:30</t>
  </si>
  <si>
    <t>11/09/2025 00:45</t>
  </si>
  <si>
    <t>11/09/2025 01:00</t>
  </si>
  <si>
    <t>11/09/2025 01:15</t>
  </si>
  <si>
    <t>11/09/2025 01:30</t>
  </si>
  <si>
    <t>11/09/2025 01:45</t>
  </si>
  <si>
    <t>11/09/2025 02:00</t>
  </si>
  <si>
    <t>11/09/2025 02:15</t>
  </si>
  <si>
    <t>11/09/2025 02:30</t>
  </si>
  <si>
    <t>11/09/2025 02:45</t>
  </si>
  <si>
    <t>11/09/2025 03:00</t>
  </si>
  <si>
    <t>11/09/2025 03:15</t>
  </si>
  <si>
    <t>11/09/2025 03:30</t>
  </si>
  <si>
    <t>11/09/2025 03:45</t>
  </si>
  <si>
    <t>11/09/2025 04:00</t>
  </si>
  <si>
    <t>11/09/2025 04:15</t>
  </si>
  <si>
    <t>11/09/2025 04:30</t>
  </si>
  <si>
    <t>11/09/2025 04:45</t>
  </si>
  <si>
    <t>11/09/2025 05:00</t>
  </si>
  <si>
    <t>11/09/2025 05:15</t>
  </si>
  <si>
    <t>11/09/2025 05:30</t>
  </si>
  <si>
    <t>11/09/2025 05:45</t>
  </si>
  <si>
    <t>11/09/2025 06:00</t>
  </si>
  <si>
    <t>11/09/2025 06:15</t>
  </si>
  <si>
    <t>11/09/2025 06:30</t>
  </si>
  <si>
    <t>11/09/2025 06:45</t>
  </si>
  <si>
    <t>11/09/2025 07:00</t>
  </si>
  <si>
    <t>11/09/2025 07:15</t>
  </si>
  <si>
    <t>11/09/2025 07:30</t>
  </si>
  <si>
    <t>11/09/2025 07:45</t>
  </si>
  <si>
    <t>11/09/2025 08:00</t>
  </si>
  <si>
    <t>11/09/2025 08:15</t>
  </si>
  <si>
    <t>11/09/2025 08:30</t>
  </si>
  <si>
    <t>11/09/2025 08:45</t>
  </si>
  <si>
    <t>11/09/2025 09:00</t>
  </si>
  <si>
    <t>11/09/2025 09:15</t>
  </si>
  <si>
    <t>11/09/2025 09:30</t>
  </si>
  <si>
    <t>11/09/2025 09:45</t>
  </si>
  <si>
    <t>11/09/2025 10:00</t>
  </si>
  <si>
    <t>11/09/2025 10:15</t>
  </si>
  <si>
    <t>11/09/2025 10:30</t>
  </si>
  <si>
    <t>11/09/2025 10:45</t>
  </si>
  <si>
    <t>11/09/2025 11:00</t>
  </si>
  <si>
    <t>11/09/2025 11:15</t>
  </si>
  <si>
    <t>11/09/2025 11:30</t>
  </si>
  <si>
    <t>11/09/2025 11:45</t>
  </si>
  <si>
    <t>11/09/2025 12:00</t>
  </si>
  <si>
    <t>11/09/2025 12:15</t>
  </si>
  <si>
    <t>11/09/2025 12:30</t>
  </si>
  <si>
    <t>11/09/2025 12:45</t>
  </si>
  <si>
    <t>11/09/2025 13:00</t>
  </si>
  <si>
    <t>11/09/2025 13:15</t>
  </si>
  <si>
    <t>11/09/2025 13:30</t>
  </si>
  <si>
    <t>11/09/2025 13:45</t>
  </si>
  <si>
    <t>11/09/2025 14:00</t>
  </si>
  <si>
    <t>11/09/2025 14:15</t>
  </si>
  <si>
    <t>11/09/2025 14:30</t>
  </si>
  <si>
    <t>11/09/2025 14:45</t>
  </si>
  <si>
    <t>11/09/2025 15:00</t>
  </si>
  <si>
    <t>11/09/2025 15:15</t>
  </si>
  <si>
    <t>11/09/2025 15:30</t>
  </si>
  <si>
    <t>11/09/2025 15:45</t>
  </si>
  <si>
    <t>11/09/2025 16:00</t>
  </si>
  <si>
    <t>11/09/2025 16:15</t>
  </si>
  <si>
    <t>11/09/2025 16:30</t>
  </si>
  <si>
    <t>11/09/2025 16:45</t>
  </si>
  <si>
    <t>11/09/2025 17:00</t>
  </si>
  <si>
    <t>11/09/2025 17:15</t>
  </si>
  <si>
    <t>11/09/2025 17:30</t>
  </si>
  <si>
    <t>11/09/2025 17:45</t>
  </si>
  <si>
    <t>11/09/2025 18:00</t>
  </si>
  <si>
    <t>11/09/2025 18:15</t>
  </si>
  <si>
    <t>11/09/2025 18:30</t>
  </si>
  <si>
    <t>11/09/2025 18:45</t>
  </si>
  <si>
    <t>11/09/2025 19:00</t>
  </si>
  <si>
    <t>11/09/2025 19:15</t>
  </si>
  <si>
    <t>11/09/2025 19:30</t>
  </si>
  <si>
    <t>11/09/2025 19:45</t>
  </si>
  <si>
    <t>11/09/2025 20:00</t>
  </si>
  <si>
    <t>11/09/2025 20:15</t>
  </si>
  <si>
    <t>11/09/2025 20:30</t>
  </si>
  <si>
    <t>11/09/2025 20:45</t>
  </si>
  <si>
    <t>11/09/2025 21:00</t>
  </si>
  <si>
    <t>11/09/2025 21:15</t>
  </si>
  <si>
    <t>11/09/2025 21:30</t>
  </si>
  <si>
    <t>11/09/2025 21:45</t>
  </si>
  <si>
    <t>11/09/2025 22:00</t>
  </si>
  <si>
    <t>11/09/2025 22:15</t>
  </si>
  <si>
    <t>11/09/2025 22:30</t>
  </si>
  <si>
    <t>11/09/2025 22:45</t>
  </si>
  <si>
    <t>11/09/2025 23:00</t>
  </si>
  <si>
    <t>11/09/2025 23:15</t>
  </si>
  <si>
    <t>11/09/2025 23:30</t>
  </si>
  <si>
    <t>11/09/2025 23:45</t>
  </si>
  <si>
    <t>11/09/2025 24:00</t>
  </si>
  <si>
    <t>12/09/2025 00:15</t>
  </si>
  <si>
    <t>12/09/2025 00:30</t>
  </si>
  <si>
    <t>12/09/2025 00:45</t>
  </si>
  <si>
    <t>12/09/2025 01:00</t>
  </si>
  <si>
    <t>12/09/2025 01:15</t>
  </si>
  <si>
    <t>12/09/2025 01:30</t>
  </si>
  <si>
    <t>12/09/2025 01:45</t>
  </si>
  <si>
    <t>12/09/2025 02:00</t>
  </si>
  <si>
    <t>12/09/2025 02:15</t>
  </si>
  <si>
    <t>12/09/2025 02:30</t>
  </si>
  <si>
    <t>12/09/2025 02:45</t>
  </si>
  <si>
    <t>12/09/2025 03:00</t>
  </si>
  <si>
    <t>12/09/2025 03:15</t>
  </si>
  <si>
    <t>12/09/2025 03:30</t>
  </si>
  <si>
    <t>12/09/2025 03:45</t>
  </si>
  <si>
    <t>12/09/2025 04:00</t>
  </si>
  <si>
    <t>12/09/2025 04:15</t>
  </si>
  <si>
    <t>12/09/2025 04:30</t>
  </si>
  <si>
    <t>12/09/2025 04:45</t>
  </si>
  <si>
    <t>12/09/2025 05:00</t>
  </si>
  <si>
    <t>12/09/2025 05:15</t>
  </si>
  <si>
    <t>12/09/2025 05:30</t>
  </si>
  <si>
    <t>12/09/2025 05:45</t>
  </si>
  <si>
    <t>12/09/2025 06:00</t>
  </si>
  <si>
    <t>12/09/2025 06:15</t>
  </si>
  <si>
    <t>12/09/2025 06:30</t>
  </si>
  <si>
    <t>12/09/2025 06:45</t>
  </si>
  <si>
    <t>12/09/2025 07:00</t>
  </si>
  <si>
    <t>12/09/2025 07:15</t>
  </si>
  <si>
    <t>12/09/2025 07:30</t>
  </si>
  <si>
    <t>12/09/2025 07:45</t>
  </si>
  <si>
    <t>12/09/2025 08:00</t>
  </si>
  <si>
    <t>12/09/2025 08:15</t>
  </si>
  <si>
    <t>12/09/2025 08:30</t>
  </si>
  <si>
    <t>12/09/2025 08:45</t>
  </si>
  <si>
    <t>12/09/2025 09:00</t>
  </si>
  <si>
    <t>12/09/2025 09:15</t>
  </si>
  <si>
    <t>12/09/2025 09:30</t>
  </si>
  <si>
    <t>12/09/2025 09:45</t>
  </si>
  <si>
    <t>12/09/2025 10:00</t>
  </si>
  <si>
    <t>12/09/2025 10:15</t>
  </si>
  <si>
    <t>12/09/2025 10:30</t>
  </si>
  <si>
    <t>12/09/2025 10:45</t>
  </si>
  <si>
    <t>12/09/2025 11:00</t>
  </si>
  <si>
    <t>12/09/2025 11:15</t>
  </si>
  <si>
    <t>12/09/2025 11:30</t>
  </si>
  <si>
    <t>12/09/2025 11:45</t>
  </si>
  <si>
    <t>12/09/2025 12:00</t>
  </si>
  <si>
    <t>12/09/2025 12:15</t>
  </si>
  <si>
    <t>12/09/2025 12:30</t>
  </si>
  <si>
    <t>12/09/2025 12:45</t>
  </si>
  <si>
    <t>12/09/2025 13:00</t>
  </si>
  <si>
    <t>12/09/2025 13:15</t>
  </si>
  <si>
    <t>12/09/2025 13:30</t>
  </si>
  <si>
    <t>12/09/2025 13:45</t>
  </si>
  <si>
    <t>12/09/2025 14:00</t>
  </si>
  <si>
    <t>12/09/2025 14:15</t>
  </si>
  <si>
    <t>12/09/2025 14:30</t>
  </si>
  <si>
    <t>12/09/2025 14:45</t>
  </si>
  <si>
    <t>12/09/2025 15:00</t>
  </si>
  <si>
    <t>12/09/2025 15:15</t>
  </si>
  <si>
    <t>12/09/2025 15:30</t>
  </si>
  <si>
    <t>12/09/2025 15:45</t>
  </si>
  <si>
    <t>12/09/2025 16:00</t>
  </si>
  <si>
    <t>12/09/2025 16:15</t>
  </si>
  <si>
    <t>12/09/2025 16:30</t>
  </si>
  <si>
    <t>12/09/2025 16:45</t>
  </si>
  <si>
    <t>12/09/2025 17:00</t>
  </si>
  <si>
    <t>12/09/2025 17:15</t>
  </si>
  <si>
    <t>12/09/2025 17:30</t>
  </si>
  <si>
    <t>12/09/2025 17:45</t>
  </si>
  <si>
    <t>12/09/2025 18:00</t>
  </si>
  <si>
    <t>12/09/2025 18:15</t>
  </si>
  <si>
    <t>12/09/2025 18:30</t>
  </si>
  <si>
    <t>12/09/2025 18:45</t>
  </si>
  <si>
    <t>12/09/2025 19:00</t>
  </si>
  <si>
    <t>12/09/2025 19:15</t>
  </si>
  <si>
    <t>12/09/2025 19:30</t>
  </si>
  <si>
    <t>12/09/2025 19:45</t>
  </si>
  <si>
    <t>12/09/2025 20:00</t>
  </si>
  <si>
    <t>12/09/2025 20:15</t>
  </si>
  <si>
    <t>12/09/2025 20:30</t>
  </si>
  <si>
    <t>12/09/2025 20:45</t>
  </si>
  <si>
    <t>12/09/2025 21:00</t>
  </si>
  <si>
    <t>12/09/2025 21:15</t>
  </si>
  <si>
    <t>12/09/2025 21:30</t>
  </si>
  <si>
    <t>12/09/2025 21:45</t>
  </si>
  <si>
    <t>12/09/2025 22:00</t>
  </si>
  <si>
    <t>12/09/2025 22:15</t>
  </si>
  <si>
    <t>12/09/2025 22:30</t>
  </si>
  <si>
    <t>12/09/2025 22:45</t>
  </si>
  <si>
    <t>12/09/2025 23:00</t>
  </si>
  <si>
    <t>12/09/2025 23:15</t>
  </si>
  <si>
    <t>12/09/2025 23:30</t>
  </si>
  <si>
    <t>12/09/2025 23:45</t>
  </si>
  <si>
    <t>12/09/2025 24:00</t>
  </si>
  <si>
    <t>13/09/2025 00:15</t>
  </si>
  <si>
    <t>13/09/2025 00:30</t>
  </si>
  <si>
    <t>13/09/2025 00:45</t>
  </si>
  <si>
    <t>13/09/2025 01:00</t>
  </si>
  <si>
    <t>13/09/2025 01:15</t>
  </si>
  <si>
    <t>13/09/2025 01:30</t>
  </si>
  <si>
    <t>13/09/2025 01:45</t>
  </si>
  <si>
    <t>13/09/2025 02:00</t>
  </si>
  <si>
    <t>13/09/2025 02:15</t>
  </si>
  <si>
    <t>13/09/2025 02:30</t>
  </si>
  <si>
    <t>13/09/2025 02:45</t>
  </si>
  <si>
    <t>13/09/2025 03:00</t>
  </si>
  <si>
    <t>13/09/2025 03:15</t>
  </si>
  <si>
    <t>13/09/2025 03:30</t>
  </si>
  <si>
    <t>13/09/2025 03:45</t>
  </si>
  <si>
    <t>13/09/2025 04:00</t>
  </si>
  <si>
    <t>13/09/2025 04:15</t>
  </si>
  <si>
    <t>13/09/2025 04:30</t>
  </si>
  <si>
    <t>13/09/2025 04:45</t>
  </si>
  <si>
    <t>13/09/2025 05:00</t>
  </si>
  <si>
    <t>13/09/2025 05:15</t>
  </si>
  <si>
    <t>13/09/2025 05:30</t>
  </si>
  <si>
    <t>13/09/2025 05:45</t>
  </si>
  <si>
    <t>13/09/2025 06:00</t>
  </si>
  <si>
    <t>13/09/2025 06:15</t>
  </si>
  <si>
    <t>13/09/2025 06:30</t>
  </si>
  <si>
    <t>13/09/2025 06:45</t>
  </si>
  <si>
    <t>13/09/2025 07:00</t>
  </si>
  <si>
    <t>13/09/2025 07:15</t>
  </si>
  <si>
    <t>13/09/2025 07:30</t>
  </si>
  <si>
    <t>13/09/2025 07:45</t>
  </si>
  <si>
    <t>13/09/2025 08:00</t>
  </si>
  <si>
    <t>13/09/2025 08:15</t>
  </si>
  <si>
    <t>13/09/2025 08:30</t>
  </si>
  <si>
    <t>13/09/2025 08:45</t>
  </si>
  <si>
    <t>13/09/2025 09:00</t>
  </si>
  <si>
    <t>13/09/2025 09:15</t>
  </si>
  <si>
    <t>13/09/2025 09:30</t>
  </si>
  <si>
    <t>13/09/2025 09:45</t>
  </si>
  <si>
    <t>13/09/2025 10:00</t>
  </si>
  <si>
    <t>13/09/2025 10:15</t>
  </si>
  <si>
    <t>13/09/2025 10:30</t>
  </si>
  <si>
    <t>13/09/2025 10:45</t>
  </si>
  <si>
    <t>13/09/2025 11:00</t>
  </si>
  <si>
    <t>13/09/2025 11:15</t>
  </si>
  <si>
    <t>13/09/2025 11:30</t>
  </si>
  <si>
    <t>13/09/2025 11:45</t>
  </si>
  <si>
    <t>13/09/2025 12:00</t>
  </si>
  <si>
    <t>13/09/2025 12:15</t>
  </si>
  <si>
    <t>13/09/2025 12:30</t>
  </si>
  <si>
    <t>13/09/2025 12:45</t>
  </si>
  <si>
    <t>13/09/2025 13:00</t>
  </si>
  <si>
    <t>13/09/2025 13:15</t>
  </si>
  <si>
    <t>13/09/2025 13:30</t>
  </si>
  <si>
    <t>13/09/2025 13:45</t>
  </si>
  <si>
    <t>13/09/2025 14:00</t>
  </si>
  <si>
    <t>13/09/2025 14:15</t>
  </si>
  <si>
    <t>13/09/2025 14:30</t>
  </si>
  <si>
    <t>13/09/2025 14:45</t>
  </si>
  <si>
    <t>13/09/2025 15:00</t>
  </si>
  <si>
    <t>13/09/2025 15:15</t>
  </si>
  <si>
    <t>13/09/2025 15:30</t>
  </si>
  <si>
    <t>13/09/2025 15:45</t>
  </si>
  <si>
    <t>13/09/2025 16:00</t>
  </si>
  <si>
    <t>13/09/2025 16:15</t>
  </si>
  <si>
    <t>13/09/2025 16:30</t>
  </si>
  <si>
    <t>13/09/2025 16:45</t>
  </si>
  <si>
    <t>13/09/2025 17:00</t>
  </si>
  <si>
    <t>13/09/2025 17:15</t>
  </si>
  <si>
    <t>13/09/2025 17:30</t>
  </si>
  <si>
    <t>13/09/2025 17:45</t>
  </si>
  <si>
    <t>13/09/2025 18:00</t>
  </si>
  <si>
    <t>13/09/2025 18:15</t>
  </si>
  <si>
    <t>13/09/2025 18:30</t>
  </si>
  <si>
    <t>13/09/2025 18:45</t>
  </si>
  <si>
    <t>13/09/2025 19:00</t>
  </si>
  <si>
    <t>13/09/2025 19:15</t>
  </si>
  <si>
    <t>13/09/2025 19:30</t>
  </si>
  <si>
    <t>13/09/2025 19:45</t>
  </si>
  <si>
    <t>13/09/2025 20:00</t>
  </si>
  <si>
    <t>13/09/2025 20:15</t>
  </si>
  <si>
    <t>13/09/2025 20:30</t>
  </si>
  <si>
    <t>13/09/2025 20:45</t>
  </si>
  <si>
    <t>13/09/2025 21:00</t>
  </si>
  <si>
    <t>13/09/2025 21:15</t>
  </si>
  <si>
    <t>13/09/2025 21:30</t>
  </si>
  <si>
    <t>13/09/2025 21:45</t>
  </si>
  <si>
    <t>13/09/2025 22:00</t>
  </si>
  <si>
    <t>13/09/2025 22:15</t>
  </si>
  <si>
    <t>13/09/2025 22:30</t>
  </si>
  <si>
    <t>13/09/2025 22:45</t>
  </si>
  <si>
    <t>13/09/2025 23:00</t>
  </si>
  <si>
    <t>13/09/2025 23:15</t>
  </si>
  <si>
    <t>13/09/2025 23:30</t>
  </si>
  <si>
    <t>13/09/2025 23:45</t>
  </si>
  <si>
    <t>13/09/2025 24:00</t>
  </si>
  <si>
    <t>14/09/2025 00:15</t>
  </si>
  <si>
    <t>14/09/2025 00:30</t>
  </si>
  <si>
    <t>14/09/2025 00:45</t>
  </si>
  <si>
    <t>14/09/2025 01:00</t>
  </si>
  <si>
    <t>14/09/2025 01:15</t>
  </si>
  <si>
    <t>14/09/2025 01:30</t>
  </si>
  <si>
    <t>14/09/2025 01:45</t>
  </si>
  <si>
    <t>14/09/2025 02:00</t>
  </si>
  <si>
    <t>14/09/2025 02:15</t>
  </si>
  <si>
    <t>14/09/2025 02:30</t>
  </si>
  <si>
    <t>14/09/2025 02:45</t>
  </si>
  <si>
    <t>14/09/2025 03:00</t>
  </si>
  <si>
    <t>14/09/2025 03:15</t>
  </si>
  <si>
    <t>14/09/2025 03:30</t>
  </si>
  <si>
    <t>14/09/2025 03:45</t>
  </si>
  <si>
    <t>14/09/2025 04:00</t>
  </si>
  <si>
    <t>14/09/2025 04:15</t>
  </si>
  <si>
    <t>14/09/2025 04:30</t>
  </si>
  <si>
    <t>14/09/2025 04:45</t>
  </si>
  <si>
    <t>14/09/2025 05:00</t>
  </si>
  <si>
    <t>14/09/2025 05:15</t>
  </si>
  <si>
    <t>14/09/2025 05:30</t>
  </si>
  <si>
    <t>14/09/2025 05:45</t>
  </si>
  <si>
    <t>14/09/2025 06:00</t>
  </si>
  <si>
    <t>14/09/2025 06:15</t>
  </si>
  <si>
    <t>14/09/2025 06:30</t>
  </si>
  <si>
    <t>14/09/2025 06:45</t>
  </si>
  <si>
    <t>14/09/2025 07:00</t>
  </si>
  <si>
    <t>14/09/2025 07:15</t>
  </si>
  <si>
    <t>14/09/2025 07:30</t>
  </si>
  <si>
    <t>14/09/2025 07:45</t>
  </si>
  <si>
    <t>14/09/2025 08:00</t>
  </si>
  <si>
    <t>14/09/2025 08:15</t>
  </si>
  <si>
    <t>14/09/2025 08:30</t>
  </si>
  <si>
    <t>14/09/2025 08:45</t>
  </si>
  <si>
    <t>14/09/2025 09:00</t>
  </si>
  <si>
    <t>14/09/2025 09:15</t>
  </si>
  <si>
    <t>14/09/2025 09:30</t>
  </si>
  <si>
    <t>14/09/2025 09:45</t>
  </si>
  <si>
    <t>14/09/2025 10:00</t>
  </si>
  <si>
    <t>14/09/2025 10:15</t>
  </si>
  <si>
    <t>14/09/2025 10:30</t>
  </si>
  <si>
    <t>14/09/2025 10:45</t>
  </si>
  <si>
    <t>14/09/2025 11:00</t>
  </si>
  <si>
    <t>14/09/2025 11:15</t>
  </si>
  <si>
    <t>14/09/2025 11:30</t>
  </si>
  <si>
    <t>14/09/2025 11:45</t>
  </si>
  <si>
    <t>14/09/2025 12:00</t>
  </si>
  <si>
    <t>14/09/2025 12:15</t>
  </si>
  <si>
    <t>14/09/2025 12:30</t>
  </si>
  <si>
    <t>14/09/2025 12:45</t>
  </si>
  <si>
    <t>14/09/2025 13:00</t>
  </si>
  <si>
    <t>14/09/2025 13:15</t>
  </si>
  <si>
    <t>14/09/2025 13:30</t>
  </si>
  <si>
    <t>14/09/2025 13:45</t>
  </si>
  <si>
    <t>14/09/2025 14:00</t>
  </si>
  <si>
    <t>14/09/2025 14:15</t>
  </si>
  <si>
    <t>14/09/2025 14:30</t>
  </si>
  <si>
    <t>14/09/2025 14:45</t>
  </si>
  <si>
    <t>14/09/2025 15:00</t>
  </si>
  <si>
    <t>14/09/2025 15:15</t>
  </si>
  <si>
    <t>14/09/2025 15:30</t>
  </si>
  <si>
    <t>14/09/2025 15:45</t>
  </si>
  <si>
    <t>14/09/2025 16:00</t>
  </si>
  <si>
    <t>14/09/2025 16:15</t>
  </si>
  <si>
    <t>14/09/2025 16:30</t>
  </si>
  <si>
    <t>14/09/2025 16:45</t>
  </si>
  <si>
    <t>14/09/2025 17:00</t>
  </si>
  <si>
    <t>14/09/2025 17:15</t>
  </si>
  <si>
    <t>14/09/2025 17:30</t>
  </si>
  <si>
    <t>14/09/2025 17:45</t>
  </si>
  <si>
    <t>14/09/2025 18:00</t>
  </si>
  <si>
    <t>14/09/2025 18:15</t>
  </si>
  <si>
    <t>14/09/2025 18:30</t>
  </si>
  <si>
    <t>14/09/2025 18:45</t>
  </si>
  <si>
    <t>14/09/2025 19:00</t>
  </si>
  <si>
    <t>14/09/2025 19:15</t>
  </si>
  <si>
    <t>14/09/2025 19:30</t>
  </si>
  <si>
    <t>14/09/2025 19:45</t>
  </si>
  <si>
    <t>14/09/2025 20:00</t>
  </si>
  <si>
    <t>14/09/2025 20:15</t>
  </si>
  <si>
    <t>14/09/2025 20:30</t>
  </si>
  <si>
    <t>14/09/2025 20:45</t>
  </si>
  <si>
    <t>14/09/2025 21:00</t>
  </si>
  <si>
    <t>14/09/2025 21:15</t>
  </si>
  <si>
    <t>14/09/2025 21:30</t>
  </si>
  <si>
    <t>14/09/2025 21:45</t>
  </si>
  <si>
    <t>14/09/2025 22:00</t>
  </si>
  <si>
    <t>14/09/2025 22:15</t>
  </si>
  <si>
    <t>14/09/2025 22:30</t>
  </si>
  <si>
    <t>14/09/2025 22:45</t>
  </si>
  <si>
    <t>14/09/2025 23:00</t>
  </si>
  <si>
    <t>14/09/2025 23:15</t>
  </si>
  <si>
    <t>14/09/2025 23:30</t>
  </si>
  <si>
    <t>14/09/2025 23:45</t>
  </si>
  <si>
    <t>14/09/2025 24:00</t>
  </si>
  <si>
    <t>15/09/2025 00:15</t>
  </si>
  <si>
    <t>15/09/2025 00:30</t>
  </si>
  <si>
    <t>15/09/2025 00:45</t>
  </si>
  <si>
    <t>15/09/2025 01:00</t>
  </si>
  <si>
    <t>15/09/2025 01:15</t>
  </si>
  <si>
    <t>15/09/2025 01:30</t>
  </si>
  <si>
    <t>15/09/2025 01:45</t>
  </si>
  <si>
    <t>15/09/2025 02:00</t>
  </si>
  <si>
    <t>15/09/2025 02:15</t>
  </si>
  <si>
    <t>15/09/2025 02:30</t>
  </si>
  <si>
    <t>15/09/2025 02:45</t>
  </si>
  <si>
    <t>15/09/2025 03:00</t>
  </si>
  <si>
    <t>15/09/2025 03:15</t>
  </si>
  <si>
    <t>15/09/2025 03:30</t>
  </si>
  <si>
    <t>15/09/2025 03:45</t>
  </si>
  <si>
    <t>15/09/2025 04:00</t>
  </si>
  <si>
    <t>15/09/2025 04:15</t>
  </si>
  <si>
    <t>15/09/2025 04:30</t>
  </si>
  <si>
    <t>15/09/2025 04:45</t>
  </si>
  <si>
    <t>15/09/2025 05:00</t>
  </si>
  <si>
    <t>15/09/2025 05:15</t>
  </si>
  <si>
    <t>15/09/2025 05:30</t>
  </si>
  <si>
    <t>15/09/2025 05:45</t>
  </si>
  <si>
    <t>15/09/2025 06:00</t>
  </si>
  <si>
    <t>15/09/2025 06:15</t>
  </si>
  <si>
    <t>15/09/2025 06:30</t>
  </si>
  <si>
    <t>15/09/2025 06:45</t>
  </si>
  <si>
    <t>15/09/2025 07:00</t>
  </si>
  <si>
    <t>15/09/2025 07:15</t>
  </si>
  <si>
    <t>15/09/2025 07:30</t>
  </si>
  <si>
    <t>15/09/2025 07:45</t>
  </si>
  <si>
    <t>15/09/2025 08:00</t>
  </si>
  <si>
    <t>15/09/2025 08:15</t>
  </si>
  <si>
    <t>15/09/2025 08:30</t>
  </si>
  <si>
    <t>15/09/2025 08:45</t>
  </si>
  <si>
    <t>15/09/2025 09:00</t>
  </si>
  <si>
    <t>15/09/2025 09:15</t>
  </si>
  <si>
    <t>15/09/2025 09:30</t>
  </si>
  <si>
    <t>15/09/2025 09:45</t>
  </si>
  <si>
    <t>15/09/2025 10:00</t>
  </si>
  <si>
    <t>15/09/2025 10:15</t>
  </si>
  <si>
    <t>15/09/2025 10:30</t>
  </si>
  <si>
    <t>15/09/2025 10:45</t>
  </si>
  <si>
    <t>15/09/2025 11:00</t>
  </si>
  <si>
    <t>15/09/2025 11:15</t>
  </si>
  <si>
    <t>15/09/2025 11:30</t>
  </si>
  <si>
    <t>15/09/2025 11:45</t>
  </si>
  <si>
    <t>15/09/2025 12:00</t>
  </si>
  <si>
    <t>15/09/2025 12:15</t>
  </si>
  <si>
    <t>15/09/2025 12:30</t>
  </si>
  <si>
    <t>15/09/2025 12:45</t>
  </si>
  <si>
    <t>15/09/2025 13:00</t>
  </si>
  <si>
    <t>15/09/2025 13:15</t>
  </si>
  <si>
    <t>15/09/2025 13:30</t>
  </si>
  <si>
    <t>15/09/2025 13:45</t>
  </si>
  <si>
    <t>15/09/2025 14:00</t>
  </si>
  <si>
    <t>15/09/2025 14:15</t>
  </si>
  <si>
    <t>15/09/2025 14:30</t>
  </si>
  <si>
    <t>15/09/2025 14:45</t>
  </si>
  <si>
    <t>15/09/2025 15:00</t>
  </si>
  <si>
    <t>15/09/2025 15:15</t>
  </si>
  <si>
    <t>15/09/2025 15:30</t>
  </si>
  <si>
    <t>15/09/2025 15:45</t>
  </si>
  <si>
    <t>15/09/2025 16:00</t>
  </si>
  <si>
    <t>15/09/2025 16:15</t>
  </si>
  <si>
    <t>15/09/2025 16:30</t>
  </si>
  <si>
    <t>15/09/2025 16:45</t>
  </si>
  <si>
    <t>15/09/2025 17:00</t>
  </si>
  <si>
    <t>15/09/2025 17:15</t>
  </si>
  <si>
    <t>15/09/2025 17:30</t>
  </si>
  <si>
    <t>15/09/2025 17:45</t>
  </si>
  <si>
    <t>15/09/2025 18:00</t>
  </si>
  <si>
    <t>15/09/2025 18:15</t>
  </si>
  <si>
    <t>15/09/2025 18:30</t>
  </si>
  <si>
    <t>15/09/2025 18:45</t>
  </si>
  <si>
    <t>15/09/2025 19:00</t>
  </si>
  <si>
    <t>15/09/2025 19:15</t>
  </si>
  <si>
    <t>15/09/2025 19:30</t>
  </si>
  <si>
    <t>15/09/2025 19:45</t>
  </si>
  <si>
    <t>15/09/2025 20:00</t>
  </si>
  <si>
    <t>15/09/2025 20:15</t>
  </si>
  <si>
    <t>15/09/2025 20:30</t>
  </si>
  <si>
    <t>15/09/2025 20:45</t>
  </si>
  <si>
    <t>15/09/2025 21:00</t>
  </si>
  <si>
    <t>15/09/2025 21:15</t>
  </si>
  <si>
    <t>15/09/2025 21:30</t>
  </si>
  <si>
    <t>15/09/2025 21:45</t>
  </si>
  <si>
    <t>15/09/2025 22:00</t>
  </si>
  <si>
    <t>15/09/2025 22:15</t>
  </si>
  <si>
    <t>15/09/2025 22:30</t>
  </si>
  <si>
    <t>15/09/2025 22:45</t>
  </si>
  <si>
    <t>15/09/2025 23:00</t>
  </si>
  <si>
    <t>15/09/2025 23:15</t>
  </si>
  <si>
    <t>15/09/2025 23:30</t>
  </si>
  <si>
    <t>15/09/2025 23:45</t>
  </si>
  <si>
    <t>15/09/2025 24:00</t>
  </si>
  <si>
    <t>Calibration report Of Bhatagaon, RAIPUR</t>
  </si>
  <si>
    <t>01/09/2025 - 30/09/2025</t>
  </si>
  <si>
    <t>16/09/2025 00:15</t>
  </si>
  <si>
    <t>16/09/2025 00:30</t>
  </si>
  <si>
    <t>16/09/2025 00:45</t>
  </si>
  <si>
    <t>16/09/2025 01:00</t>
  </si>
  <si>
    <t>16/09/2025 01:15</t>
  </si>
  <si>
    <t>16/09/2025 01:30</t>
  </si>
  <si>
    <t>16/09/2025 01:45</t>
  </si>
  <si>
    <t>16/09/2025 02:00</t>
  </si>
  <si>
    <t>16/09/2025 02:15</t>
  </si>
  <si>
    <t>16/09/2025 02:30</t>
  </si>
  <si>
    <t>16/09/2025 02:45</t>
  </si>
  <si>
    <t>16/09/2025 03:00</t>
  </si>
  <si>
    <t>16/09/2025 03:15</t>
  </si>
  <si>
    <t>16/09/2025 03:30</t>
  </si>
  <si>
    <t>16/09/2025 03:45</t>
  </si>
  <si>
    <t>16/09/2025 04:00</t>
  </si>
  <si>
    <t>16/09/2025 04:15</t>
  </si>
  <si>
    <t>16/09/2025 04:30</t>
  </si>
  <si>
    <t>16/09/2025 04:45</t>
  </si>
  <si>
    <t>16/09/2025 05:00</t>
  </si>
  <si>
    <t>16/09/2025 05:15</t>
  </si>
  <si>
    <t>16/09/2025 05:30</t>
  </si>
  <si>
    <t>16/09/2025 05:45</t>
  </si>
  <si>
    <t>16/09/2025 06:00</t>
  </si>
  <si>
    <t>16/09/2025 06:15</t>
  </si>
  <si>
    <t>16/09/2025 06:30</t>
  </si>
  <si>
    <t>16/09/2025 06:45</t>
  </si>
  <si>
    <t>16/09/2025 07:00</t>
  </si>
  <si>
    <t>16/09/2025 07:15</t>
  </si>
  <si>
    <t>16/09/2025 07:30</t>
  </si>
  <si>
    <t>16/09/2025 07:45</t>
  </si>
  <si>
    <t>16/09/2025 08:00</t>
  </si>
  <si>
    <t>16/09/2025 08:15</t>
  </si>
  <si>
    <t>16/09/2025 08:30</t>
  </si>
  <si>
    <t>16/09/2025 08:45</t>
  </si>
  <si>
    <t>16/09/2025 09:00</t>
  </si>
  <si>
    <t>16/09/2025 09:15</t>
  </si>
  <si>
    <t>16/09/2025 09:30</t>
  </si>
  <si>
    <t>16/09/2025 09:45</t>
  </si>
  <si>
    <t>16/09/2025 10:00</t>
  </si>
  <si>
    <t>16/09/2025 10:15</t>
  </si>
  <si>
    <t>16/09/2025 10:30</t>
  </si>
  <si>
    <t>16/09/2025 10:45</t>
  </si>
  <si>
    <t>16/09/2025 11:00</t>
  </si>
  <si>
    <t>16/09/2025 11:15</t>
  </si>
  <si>
    <t>16/09/2025 11:30</t>
  </si>
  <si>
    <t>16/09/2025 11:45</t>
  </si>
  <si>
    <t>16/09/2025 12:00</t>
  </si>
  <si>
    <t>16/09/2025 12:15</t>
  </si>
  <si>
    <t>16/09/2025 12:30</t>
  </si>
  <si>
    <t>16/09/2025 12:45</t>
  </si>
  <si>
    <t>16/09/2025 13:00</t>
  </si>
  <si>
    <t>16/09/2025 13:15</t>
  </si>
  <si>
    <t>16/09/2025 13:30</t>
  </si>
  <si>
    <t>16/09/2025 13:45</t>
  </si>
  <si>
    <t>16/09/2025 14:00</t>
  </si>
  <si>
    <t>16/09/2025 14:15</t>
  </si>
  <si>
    <t>16/09/2025 14:30</t>
  </si>
  <si>
    <t>16/09/2025 14:45</t>
  </si>
  <si>
    <t>16/09/2025 15:00</t>
  </si>
  <si>
    <t>16/09/2025 15:15</t>
  </si>
  <si>
    <t>16/09/2025 15:30</t>
  </si>
  <si>
    <t>16/09/2025 15:45</t>
  </si>
  <si>
    <t>16/09/2025 16:00</t>
  </si>
  <si>
    <t>16/09/2025 16:15</t>
  </si>
  <si>
    <t>16/09/2025 16:30</t>
  </si>
  <si>
    <t>16/09/2025 16:45</t>
  </si>
  <si>
    <t>16/09/2025 17:00</t>
  </si>
  <si>
    <t>16/09/2025 17:15</t>
  </si>
  <si>
    <t>16/09/2025 17:30</t>
  </si>
  <si>
    <t>16/09/2025 17:45</t>
  </si>
  <si>
    <t>16/09/2025 18:00</t>
  </si>
  <si>
    <t>16/09/2025 18:15</t>
  </si>
  <si>
    <t>16/09/2025 18:30</t>
  </si>
  <si>
    <t>16/09/2025 18:45</t>
  </si>
  <si>
    <t>16/09/2025 19:00</t>
  </si>
  <si>
    <t>16/09/2025 19:15</t>
  </si>
  <si>
    <t>16/09/2025 19:30</t>
  </si>
  <si>
    <t>16/09/2025 19:45</t>
  </si>
  <si>
    <t>16/09/2025 20:00</t>
  </si>
  <si>
    <t>16/09/2025 20:15</t>
  </si>
  <si>
    <t>16/09/2025 20:30</t>
  </si>
  <si>
    <t>16/09/2025 20:45</t>
  </si>
  <si>
    <t>16/09/2025 21:00</t>
  </si>
  <si>
    <t>16/09/2025 21:15</t>
  </si>
  <si>
    <t>16/09/2025 21:30</t>
  </si>
  <si>
    <t>16/09/2025 21:45</t>
  </si>
  <si>
    <t>16/09/2025 22:00</t>
  </si>
  <si>
    <t>16/09/2025 22:15</t>
  </si>
  <si>
    <t>16/09/2025 22:30</t>
  </si>
  <si>
    <t>16/09/2025 22:45</t>
  </si>
  <si>
    <t>16/09/2025 23:00</t>
  </si>
  <si>
    <t>16/09/2025 23:15</t>
  </si>
  <si>
    <t>16/09/2025 23:30</t>
  </si>
  <si>
    <t>16/09/2025 23:45</t>
  </si>
  <si>
    <t>16/09/2025 24:00</t>
  </si>
  <si>
    <t>17/09/2025 00:15</t>
  </si>
  <si>
    <t>17/09/2025 00:30</t>
  </si>
  <si>
    <t>17/09/2025 00:45</t>
  </si>
  <si>
    <t>17/09/2025 01:00</t>
  </si>
  <si>
    <t>17/09/2025 01:15</t>
  </si>
  <si>
    <t>17/09/2025 01:30</t>
  </si>
  <si>
    <t>17/09/2025 01:45</t>
  </si>
  <si>
    <t>17/09/2025 02:00</t>
  </si>
  <si>
    <t>17/09/2025 02:15</t>
  </si>
  <si>
    <t>17/09/2025 02:30</t>
  </si>
  <si>
    <t>17/09/2025 02:45</t>
  </si>
  <si>
    <t>17/09/2025 03:00</t>
  </si>
  <si>
    <t>17/09/2025 03:15</t>
  </si>
  <si>
    <t>17/09/2025 03:30</t>
  </si>
  <si>
    <t>17/09/2025 03:45</t>
  </si>
  <si>
    <t>17/09/2025 04:00</t>
  </si>
  <si>
    <t>17/09/2025 04:15</t>
  </si>
  <si>
    <t>17/09/2025 04:30</t>
  </si>
  <si>
    <t>17/09/2025 04:45</t>
  </si>
  <si>
    <t>17/09/2025 05:00</t>
  </si>
  <si>
    <t>17/09/2025 05:15</t>
  </si>
  <si>
    <t>17/09/2025 05:30</t>
  </si>
  <si>
    <t>17/09/2025 05:45</t>
  </si>
  <si>
    <t>17/09/2025 06:00</t>
  </si>
  <si>
    <t>17/09/2025 06:15</t>
  </si>
  <si>
    <t>17/09/2025 06:30</t>
  </si>
  <si>
    <t>17/09/2025 06:45</t>
  </si>
  <si>
    <t>17/09/2025 07:00</t>
  </si>
  <si>
    <t>17/09/2025 07:15</t>
  </si>
  <si>
    <t>17/09/2025 07:30</t>
  </si>
  <si>
    <t>17/09/2025 07:45</t>
  </si>
  <si>
    <t>17/09/2025 08:00</t>
  </si>
  <si>
    <t>17/09/2025 08:15</t>
  </si>
  <si>
    <t>17/09/2025 08:30</t>
  </si>
  <si>
    <t>17/09/2025 08:45</t>
  </si>
  <si>
    <t>17/09/2025 09:00</t>
  </si>
  <si>
    <t>17/09/2025 09:15</t>
  </si>
  <si>
    <t>17/09/2025 09:30</t>
  </si>
  <si>
    <t>17/09/2025 09:45</t>
  </si>
  <si>
    <t>17/09/2025 10:00</t>
  </si>
  <si>
    <t>17/09/2025 10:15</t>
  </si>
  <si>
    <t>17/09/2025 10:30</t>
  </si>
  <si>
    <t>17/09/2025 10:45</t>
  </si>
  <si>
    <t>17/09/2025 11:00</t>
  </si>
  <si>
    <t>17/09/2025 11:15</t>
  </si>
  <si>
    <t>17/09/2025 11:30</t>
  </si>
  <si>
    <t>17/09/2025 11:45</t>
  </si>
  <si>
    <t>17/09/2025 12:00</t>
  </si>
  <si>
    <t>17/09/2025 12:15</t>
  </si>
  <si>
    <t>17/09/2025 12:30</t>
  </si>
  <si>
    <t>17/09/2025 12:45</t>
  </si>
  <si>
    <t>17/09/2025 13:00</t>
  </si>
  <si>
    <t>17/09/2025 13:15</t>
  </si>
  <si>
    <t>17/09/2025 13:30</t>
  </si>
  <si>
    <t>17/09/2025 13:45</t>
  </si>
  <si>
    <t>17/09/2025 14:00</t>
  </si>
  <si>
    <t>17/09/2025 14:15</t>
  </si>
  <si>
    <t>17/09/2025 14:30</t>
  </si>
  <si>
    <t>17/09/2025 14:45</t>
  </si>
  <si>
    <t>17/09/2025 15:00</t>
  </si>
  <si>
    <t>17/09/2025 15:15</t>
  </si>
  <si>
    <t>17/09/2025 15:30</t>
  </si>
  <si>
    <t>17/09/2025 15:45</t>
  </si>
  <si>
    <t>17/09/2025 16:00</t>
  </si>
  <si>
    <t>17/09/2025 16:15</t>
  </si>
  <si>
    <t>17/09/2025 16:30</t>
  </si>
  <si>
    <t>17/09/2025 16:45</t>
  </si>
  <si>
    <t>17/09/2025 17:00</t>
  </si>
  <si>
    <t>17/09/2025 17:15</t>
  </si>
  <si>
    <t>17/09/2025 17:30</t>
  </si>
  <si>
    <t>17/09/2025 17:45</t>
  </si>
  <si>
    <t>17/09/2025 18:00</t>
  </si>
  <si>
    <t>17/09/2025 18:15</t>
  </si>
  <si>
    <t>17/09/2025 18:30</t>
  </si>
  <si>
    <t>17/09/2025 18:45</t>
  </si>
  <si>
    <t>17/09/2025 19:00</t>
  </si>
  <si>
    <t>17/09/2025 19:15</t>
  </si>
  <si>
    <t>17/09/2025 19:30</t>
  </si>
  <si>
    <t>17/09/2025 19:45</t>
  </si>
  <si>
    <t>17/09/2025 20:00</t>
  </si>
  <si>
    <t>17/09/2025 20:15</t>
  </si>
  <si>
    <t>17/09/2025 20:30</t>
  </si>
  <si>
    <t>17/09/2025 20:45</t>
  </si>
  <si>
    <t>17/09/2025 21:00</t>
  </si>
  <si>
    <t>17/09/2025 21:15</t>
  </si>
  <si>
    <t>17/09/2025 21:30</t>
  </si>
  <si>
    <t>17/09/2025 21:45</t>
  </si>
  <si>
    <t>17/09/2025 22:00</t>
  </si>
  <si>
    <t>17/09/2025 22:15</t>
  </si>
  <si>
    <t>17/09/2025 22:30</t>
  </si>
  <si>
    <t>17/09/2025 22:45</t>
  </si>
  <si>
    <t>17/09/2025 23:00</t>
  </si>
  <si>
    <t>17/09/2025 23:15</t>
  </si>
  <si>
    <t>17/09/2025 23:30</t>
  </si>
  <si>
    <t>17/09/2025 23:45</t>
  </si>
  <si>
    <t>17/09/2025 24:00</t>
  </si>
  <si>
    <t>18/09/2025 00:15</t>
  </si>
  <si>
    <t>18/09/2025 00:30</t>
  </si>
  <si>
    <t>18/09/2025 00:45</t>
  </si>
  <si>
    <t>18/09/2025 01:00</t>
  </si>
  <si>
    <t>18/09/2025 01:15</t>
  </si>
  <si>
    <t>18/09/2025 01:30</t>
  </si>
  <si>
    <t>18/09/2025 01:45</t>
  </si>
  <si>
    <t>18/09/2025 02:00</t>
  </si>
  <si>
    <t>18/09/2025 02:15</t>
  </si>
  <si>
    <t>18/09/2025 02:30</t>
  </si>
  <si>
    <t>18/09/2025 02:45</t>
  </si>
  <si>
    <t>18/09/2025 03:00</t>
  </si>
  <si>
    <t>18/09/2025 03:15</t>
  </si>
  <si>
    <t>18/09/2025 03:30</t>
  </si>
  <si>
    <t>18/09/2025 03:45</t>
  </si>
  <si>
    <t>18/09/2025 04:00</t>
  </si>
  <si>
    <t>18/09/2025 04:15</t>
  </si>
  <si>
    <t>18/09/2025 04:30</t>
  </si>
  <si>
    <t>18/09/2025 04:45</t>
  </si>
  <si>
    <t>18/09/2025 05:00</t>
  </si>
  <si>
    <t>18/09/2025 05:15</t>
  </si>
  <si>
    <t>18/09/2025 05:30</t>
  </si>
  <si>
    <t>18/09/2025 05:45</t>
  </si>
  <si>
    <t>18/09/2025 06:00</t>
  </si>
  <si>
    <t>18/09/2025 06:15</t>
  </si>
  <si>
    <t>18/09/2025 06:30</t>
  </si>
  <si>
    <t>18/09/2025 06:45</t>
  </si>
  <si>
    <t>18/09/2025 07:00</t>
  </si>
  <si>
    <t>18/09/2025 07:15</t>
  </si>
  <si>
    <t>18/09/2025 07:30</t>
  </si>
  <si>
    <t>18/09/2025 07:45</t>
  </si>
  <si>
    <t>18/09/2025 08:00</t>
  </si>
  <si>
    <t>18/09/2025 08:15</t>
  </si>
  <si>
    <t>18/09/2025 08:30</t>
  </si>
  <si>
    <t>18/09/2025 08:45</t>
  </si>
  <si>
    <t>18/09/2025 09:00</t>
  </si>
  <si>
    <t>18/09/2025 09:15</t>
  </si>
  <si>
    <t>18/09/2025 09:30</t>
  </si>
  <si>
    <t>18/09/2025 09:45</t>
  </si>
  <si>
    <t>18/09/2025 10:00</t>
  </si>
  <si>
    <t>18/09/2025 10:15</t>
  </si>
  <si>
    <t>18/09/2025 10:30</t>
  </si>
  <si>
    <t>18/09/2025 10:45</t>
  </si>
  <si>
    <t>18/09/2025 11:00</t>
  </si>
  <si>
    <t>18/09/2025 11:15</t>
  </si>
  <si>
    <t>18/09/2025 11:30</t>
  </si>
  <si>
    <t>18/09/2025 11:45</t>
  </si>
  <si>
    <t>18/09/2025 12:00</t>
  </si>
  <si>
    <t>18/09/2025 12:15</t>
  </si>
  <si>
    <t>18/09/2025 12:30</t>
  </si>
  <si>
    <t>18/09/2025 12:45</t>
  </si>
  <si>
    <t>18/09/2025 13:00</t>
  </si>
  <si>
    <t>18/09/2025 13:15</t>
  </si>
  <si>
    <t>18/09/2025 13:30</t>
  </si>
  <si>
    <t>18/09/2025 13:45</t>
  </si>
  <si>
    <t>18/09/2025 14:00</t>
  </si>
  <si>
    <t>18/09/2025 14:15</t>
  </si>
  <si>
    <t>18/09/2025 14:30</t>
  </si>
  <si>
    <t>18/09/2025 14:45</t>
  </si>
  <si>
    <t>18/09/2025 15:00</t>
  </si>
  <si>
    <t>18/09/2025 15:15</t>
  </si>
  <si>
    <t>18/09/2025 15:30</t>
  </si>
  <si>
    <t>18/09/2025 15:45</t>
  </si>
  <si>
    <t>18/09/2025 16:00</t>
  </si>
  <si>
    <t>18/09/2025 16:15</t>
  </si>
  <si>
    <t>18/09/2025 16:30</t>
  </si>
  <si>
    <t>18/09/2025 16:45</t>
  </si>
  <si>
    <t>18/09/2025 17:00</t>
  </si>
  <si>
    <t>18/09/2025 17:15</t>
  </si>
  <si>
    <t>18/09/2025 17:30</t>
  </si>
  <si>
    <t>18/09/2025 17:45</t>
  </si>
  <si>
    <t>18/09/2025 18:00</t>
  </si>
  <si>
    <t>18/09/2025 18:15</t>
  </si>
  <si>
    <t>18/09/2025 18:30</t>
  </si>
  <si>
    <t>18/09/2025 18:45</t>
  </si>
  <si>
    <t>18/09/2025 19:00</t>
  </si>
  <si>
    <t>18/09/2025 19:15</t>
  </si>
  <si>
    <t>18/09/2025 19:30</t>
  </si>
  <si>
    <t>18/09/2025 19:45</t>
  </si>
  <si>
    <t>18/09/2025 20:00</t>
  </si>
  <si>
    <t>18/09/2025 20:15</t>
  </si>
  <si>
    <t>18/09/2025 20:30</t>
  </si>
  <si>
    <t>18/09/2025 20:45</t>
  </si>
  <si>
    <t>18/09/2025 21:00</t>
  </si>
  <si>
    <t>18/09/2025 21:15</t>
  </si>
  <si>
    <t>18/09/2025 21:30</t>
  </si>
  <si>
    <t>18/09/2025 21:45</t>
  </si>
  <si>
    <t>18/09/2025 22:00</t>
  </si>
  <si>
    <t>18/09/2025 22:15</t>
  </si>
  <si>
    <t>18/09/2025 22:30</t>
  </si>
  <si>
    <t>18/09/2025 22:45</t>
  </si>
  <si>
    <t>18/09/2025 23:00</t>
  </si>
  <si>
    <t>18/09/2025 23:15</t>
  </si>
  <si>
    <t>18/09/2025 23:30</t>
  </si>
  <si>
    <t>18/09/2025 23:45</t>
  </si>
  <si>
    <t>18/09/2025 24:00</t>
  </si>
  <si>
    <t>19/09/2025 00:15</t>
  </si>
  <si>
    <t>19/09/2025 00:30</t>
  </si>
  <si>
    <t>19/09/2025 00:45</t>
  </si>
  <si>
    <t>19/09/2025 01:00</t>
  </si>
  <si>
    <t>19/09/2025 01:15</t>
  </si>
  <si>
    <t>19/09/2025 01:30</t>
  </si>
  <si>
    <t>19/09/2025 01:45</t>
  </si>
  <si>
    <t>19/09/2025 02:00</t>
  </si>
  <si>
    <t>19/09/2025 02:15</t>
  </si>
  <si>
    <t>19/09/2025 02:30</t>
  </si>
  <si>
    <t>19/09/2025 02:45</t>
  </si>
  <si>
    <t>19/09/2025 03:00</t>
  </si>
  <si>
    <t>19/09/2025 03:15</t>
  </si>
  <si>
    <t>19/09/2025 03:30</t>
  </si>
  <si>
    <t>19/09/2025 03:45</t>
  </si>
  <si>
    <t>19/09/2025 04:00</t>
  </si>
  <si>
    <t>19/09/2025 04:15</t>
  </si>
  <si>
    <t>19/09/2025 04:30</t>
  </si>
  <si>
    <t>19/09/2025 04:45</t>
  </si>
  <si>
    <t>19/09/2025 05:00</t>
  </si>
  <si>
    <t>19/09/2025 05:15</t>
  </si>
  <si>
    <t>19/09/2025 05:30</t>
  </si>
  <si>
    <t>19/09/2025 05:45</t>
  </si>
  <si>
    <t>19/09/2025 06:00</t>
  </si>
  <si>
    <t>19/09/2025 06:15</t>
  </si>
  <si>
    <t>19/09/2025 06:30</t>
  </si>
  <si>
    <t>19/09/2025 06:45</t>
  </si>
  <si>
    <t>19/09/2025 07:00</t>
  </si>
  <si>
    <t>19/09/2025 07:15</t>
  </si>
  <si>
    <t>19/09/2025 07:30</t>
  </si>
  <si>
    <t>19/09/2025 07:45</t>
  </si>
  <si>
    <t>19/09/2025 08:00</t>
  </si>
  <si>
    <t>19/09/2025 08:15</t>
  </si>
  <si>
    <t>19/09/2025 08:30</t>
  </si>
  <si>
    <t>19/09/2025 08:45</t>
  </si>
  <si>
    <t>19/09/2025 09:00</t>
  </si>
  <si>
    <t>19/09/2025 09:15</t>
  </si>
  <si>
    <t>19/09/2025 09:30</t>
  </si>
  <si>
    <t>19/09/2025 09:45</t>
  </si>
  <si>
    <t>19/09/2025 10:00</t>
  </si>
  <si>
    <t>19/09/2025 10:15</t>
  </si>
  <si>
    <t>19/09/2025 10:30</t>
  </si>
  <si>
    <t>19/09/2025 10:45</t>
  </si>
  <si>
    <t>19/09/2025 11:00</t>
  </si>
  <si>
    <t>19/09/2025 11:15</t>
  </si>
  <si>
    <t>19/09/2025 11:30</t>
  </si>
  <si>
    <t>19/09/2025 11:45</t>
  </si>
  <si>
    <t>19/09/2025 12:00</t>
  </si>
  <si>
    <t>19/09/2025 12:15</t>
  </si>
  <si>
    <t>19/09/2025 12:30</t>
  </si>
  <si>
    <t>19/09/2025 12:45</t>
  </si>
  <si>
    <t>19/09/2025 13:00</t>
  </si>
  <si>
    <t>19/09/2025 13:15</t>
  </si>
  <si>
    <t>19/09/2025 13:30</t>
  </si>
  <si>
    <t>19/09/2025 13:45</t>
  </si>
  <si>
    <t>19/09/2025 14:00</t>
  </si>
  <si>
    <t>19/09/2025 14:15</t>
  </si>
  <si>
    <t>19/09/2025 14:30</t>
  </si>
  <si>
    <t>19/09/2025 14:45</t>
  </si>
  <si>
    <t>19/09/2025 15:00</t>
  </si>
  <si>
    <t>19/09/2025 15:15</t>
  </si>
  <si>
    <t>19/09/2025 15:30</t>
  </si>
  <si>
    <t>19/09/2025 15:45</t>
  </si>
  <si>
    <t>19/09/2025 16:00</t>
  </si>
  <si>
    <t>19/09/2025 16:15</t>
  </si>
  <si>
    <t>19/09/2025 16:30</t>
  </si>
  <si>
    <t>19/09/2025 16:45</t>
  </si>
  <si>
    <t>19/09/2025 17:00</t>
  </si>
  <si>
    <t>19/09/2025 17:15</t>
  </si>
  <si>
    <t>19/09/2025 17:30</t>
  </si>
  <si>
    <t>19/09/2025 17:45</t>
  </si>
  <si>
    <t>19/09/2025 18:00</t>
  </si>
  <si>
    <t>19/09/2025 18:15</t>
  </si>
  <si>
    <t>19/09/2025 18:30</t>
  </si>
  <si>
    <t>19/09/2025 18:45</t>
  </si>
  <si>
    <t>19/09/2025 19:00</t>
  </si>
  <si>
    <t>19/09/2025 19:15</t>
  </si>
  <si>
    <t>19/09/2025 19:30</t>
  </si>
  <si>
    <t>19/09/2025 19:45</t>
  </si>
  <si>
    <t>19/09/2025 20:00</t>
  </si>
  <si>
    <t>19/09/2025 20:15</t>
  </si>
  <si>
    <t>19/09/2025 20:30</t>
  </si>
  <si>
    <t>19/09/2025 20:45</t>
  </si>
  <si>
    <t>19/09/2025 21:00</t>
  </si>
  <si>
    <t>19/09/2025 21:15</t>
  </si>
  <si>
    <t>19/09/2025 21:30</t>
  </si>
  <si>
    <t>19/09/2025 21:45</t>
  </si>
  <si>
    <t>19/09/2025 22:00</t>
  </si>
  <si>
    <t>19/09/2025 22:15</t>
  </si>
  <si>
    <t>19/09/2025 22:30</t>
  </si>
  <si>
    <t>19/09/2025 22:45</t>
  </si>
  <si>
    <t>19/09/2025 23:00</t>
  </si>
  <si>
    <t>19/09/2025 23:15</t>
  </si>
  <si>
    <t>19/09/2025 23:30</t>
  </si>
  <si>
    <t>19/09/2025 23:45</t>
  </si>
  <si>
    <t>19/09/2025 24:00</t>
  </si>
  <si>
    <t>20/09/2025 00:15</t>
  </si>
  <si>
    <t>20/09/2025 00:30</t>
  </si>
  <si>
    <t>20/09/2025 00:45</t>
  </si>
  <si>
    <t>20/09/2025 01:00</t>
  </si>
  <si>
    <t>20/09/2025 01:15</t>
  </si>
  <si>
    <t>20/09/2025 01:30</t>
  </si>
  <si>
    <t>20/09/2025 01:45</t>
  </si>
  <si>
    <t>20/09/2025 02:00</t>
  </si>
  <si>
    <t>20/09/2025 02:15</t>
  </si>
  <si>
    <t>20/09/2025 02:30</t>
  </si>
  <si>
    <t>20/09/2025 02:45</t>
  </si>
  <si>
    <t>20/09/2025 03:00</t>
  </si>
  <si>
    <t>20/09/2025 03:15</t>
  </si>
  <si>
    <t>20/09/2025 03:30</t>
  </si>
  <si>
    <t>20/09/2025 03:45</t>
  </si>
  <si>
    <t>20/09/2025 04:00</t>
  </si>
  <si>
    <t>20/09/2025 04:15</t>
  </si>
  <si>
    <t>20/09/2025 04:30</t>
  </si>
  <si>
    <t>20/09/2025 04:45</t>
  </si>
  <si>
    <t>20/09/2025 05:00</t>
  </si>
  <si>
    <t>20/09/2025 05:15</t>
  </si>
  <si>
    <t>20/09/2025 05:30</t>
  </si>
  <si>
    <t>20/09/2025 05:45</t>
  </si>
  <si>
    <t>20/09/2025 06:00</t>
  </si>
  <si>
    <t>20/09/2025 06:15</t>
  </si>
  <si>
    <t>20/09/2025 06:30</t>
  </si>
  <si>
    <t>20/09/2025 06:45</t>
  </si>
  <si>
    <t>20/09/2025 07:00</t>
  </si>
  <si>
    <t>20/09/2025 07:15</t>
  </si>
  <si>
    <t>20/09/2025 07:30</t>
  </si>
  <si>
    <t>20/09/2025 07:45</t>
  </si>
  <si>
    <t>20/09/2025 08:00</t>
  </si>
  <si>
    <t>20/09/2025 08:15</t>
  </si>
  <si>
    <t>20/09/2025 08:30</t>
  </si>
  <si>
    <t>20/09/2025 08:45</t>
  </si>
  <si>
    <t>20/09/2025 09:00</t>
  </si>
  <si>
    <t>20/09/2025 09:15</t>
  </si>
  <si>
    <t>20/09/2025 09:30</t>
  </si>
  <si>
    <t>20/09/2025 09:45</t>
  </si>
  <si>
    <t>20/09/2025 10:00</t>
  </si>
  <si>
    <t>20/09/2025 10:15</t>
  </si>
  <si>
    <t>20/09/2025 10:30</t>
  </si>
  <si>
    <t>20/09/2025 10:45</t>
  </si>
  <si>
    <t>20/09/2025 11:00</t>
  </si>
  <si>
    <t>20/09/2025 11:15</t>
  </si>
  <si>
    <t>20/09/2025 11:30</t>
  </si>
  <si>
    <t>20/09/2025 11:45</t>
  </si>
  <si>
    <t>20/09/2025 12:00</t>
  </si>
  <si>
    <t>20/09/2025 12:15</t>
  </si>
  <si>
    <t>20/09/2025 12:30</t>
  </si>
  <si>
    <t>20/09/2025 12:45</t>
  </si>
  <si>
    <t>20/09/2025 13:00</t>
  </si>
  <si>
    <t>20/09/2025 13:15</t>
  </si>
  <si>
    <t>20/09/2025 13:30</t>
  </si>
  <si>
    <t>20/09/2025 13:45</t>
  </si>
  <si>
    <t>20/09/2025 14:00</t>
  </si>
  <si>
    <t>20/09/2025 14:15</t>
  </si>
  <si>
    <t>20/09/2025 14:30</t>
  </si>
  <si>
    <t>20/09/2025 14:45</t>
  </si>
  <si>
    <t>20/09/2025 15:00</t>
  </si>
  <si>
    <t>20/09/2025 15:15</t>
  </si>
  <si>
    <t>20/09/2025 15:30</t>
  </si>
  <si>
    <t>20/09/2025 15:45</t>
  </si>
  <si>
    <t>20/09/2025 16:00</t>
  </si>
  <si>
    <t>20/09/2025 16:15</t>
  </si>
  <si>
    <t>20/09/2025 16:30</t>
  </si>
  <si>
    <t>20/09/2025 16:45</t>
  </si>
  <si>
    <t>20/09/2025 17:00</t>
  </si>
  <si>
    <t>20/09/2025 17:15</t>
  </si>
  <si>
    <t>20/09/2025 17:30</t>
  </si>
  <si>
    <t>20/09/2025 17:45</t>
  </si>
  <si>
    <t>20/09/2025 18:00</t>
  </si>
  <si>
    <t>20/09/2025 18:15</t>
  </si>
  <si>
    <t>20/09/2025 18:30</t>
  </si>
  <si>
    <t>20/09/2025 18:45</t>
  </si>
  <si>
    <t>20/09/2025 19:00</t>
  </si>
  <si>
    <t>20/09/2025 19:15</t>
  </si>
  <si>
    <t>20/09/2025 19:30</t>
  </si>
  <si>
    <t>20/09/2025 19:45</t>
  </si>
  <si>
    <t>20/09/2025 20:00</t>
  </si>
  <si>
    <t>20/09/2025 20:15</t>
  </si>
  <si>
    <t>20/09/2025 20:30</t>
  </si>
  <si>
    <t>20/09/2025 20:45</t>
  </si>
  <si>
    <t>20/09/2025 21:00</t>
  </si>
  <si>
    <t>20/09/2025 21:15</t>
  </si>
  <si>
    <t>20/09/2025 21:30</t>
  </si>
  <si>
    <t>20/09/2025 21:45</t>
  </si>
  <si>
    <t>20/09/2025 22:00</t>
  </si>
  <si>
    <t>20/09/2025 22:15</t>
  </si>
  <si>
    <t>20/09/2025 22:30</t>
  </si>
  <si>
    <t>20/09/2025 22:45</t>
  </si>
  <si>
    <t>20/09/2025 23:00</t>
  </si>
  <si>
    <t>20/09/2025 23:15</t>
  </si>
  <si>
    <t>20/09/2025 23:30</t>
  </si>
  <si>
    <t>20/09/2025 23:45</t>
  </si>
  <si>
    <t>20/09/2025 24:00</t>
  </si>
  <si>
    <t>21/09/2025 00:15</t>
  </si>
  <si>
    <t>21/09/2025 00:30</t>
  </si>
  <si>
    <t>21/09/2025 00:45</t>
  </si>
  <si>
    <t>21/09/2025 01:00</t>
  </si>
  <si>
    <t>21/09/2025 01:15</t>
  </si>
  <si>
    <t>21/09/2025 01:30</t>
  </si>
  <si>
    <t>21/09/2025 01:45</t>
  </si>
  <si>
    <t>21/09/2025 02:00</t>
  </si>
  <si>
    <t>21/09/2025 02:15</t>
  </si>
  <si>
    <t>21/09/2025 02:30</t>
  </si>
  <si>
    <t>21/09/2025 02:45</t>
  </si>
  <si>
    <t>21/09/2025 03:00</t>
  </si>
  <si>
    <t>21/09/2025 03:15</t>
  </si>
  <si>
    <t>21/09/2025 03:30</t>
  </si>
  <si>
    <t>21/09/2025 03:45</t>
  </si>
  <si>
    <t>21/09/2025 04:00</t>
  </si>
  <si>
    <t>21/09/2025 04:15</t>
  </si>
  <si>
    <t>21/09/2025 04:30</t>
  </si>
  <si>
    <t>21/09/2025 04:45</t>
  </si>
  <si>
    <t>21/09/2025 05:00</t>
  </si>
  <si>
    <t>21/09/2025 05:15</t>
  </si>
  <si>
    <t>21/09/2025 05:30</t>
  </si>
  <si>
    <t>21/09/2025 05:45</t>
  </si>
  <si>
    <t>21/09/2025 06:00</t>
  </si>
  <si>
    <t>21/09/2025 06:15</t>
  </si>
  <si>
    <t>21/09/2025 06:30</t>
  </si>
  <si>
    <t>21/09/2025 06:45</t>
  </si>
  <si>
    <t>21/09/2025 07:00</t>
  </si>
  <si>
    <t>21/09/2025 07:15</t>
  </si>
  <si>
    <t>21/09/2025 07:30</t>
  </si>
  <si>
    <t>21/09/2025 07:45</t>
  </si>
  <si>
    <t>21/09/2025 08:00</t>
  </si>
  <si>
    <t>21/09/2025 08:15</t>
  </si>
  <si>
    <t>21/09/2025 08:30</t>
  </si>
  <si>
    <t>21/09/2025 08:45</t>
  </si>
  <si>
    <t>21/09/2025 09:00</t>
  </si>
  <si>
    <t>21/09/2025 09:15</t>
  </si>
  <si>
    <t>21/09/2025 09:30</t>
  </si>
  <si>
    <t>21/09/2025 09:45</t>
  </si>
  <si>
    <t>21/09/2025 10:00</t>
  </si>
  <si>
    <t>21/09/2025 10:15</t>
  </si>
  <si>
    <t>21/09/2025 10:30</t>
  </si>
  <si>
    <t>21/09/2025 10:45</t>
  </si>
  <si>
    <t>21/09/2025 11:00</t>
  </si>
  <si>
    <t>21/09/2025 11:15</t>
  </si>
  <si>
    <t>21/09/2025 11:30</t>
  </si>
  <si>
    <t>21/09/2025 11:45</t>
  </si>
  <si>
    <t>21/09/2025 12:00</t>
  </si>
  <si>
    <t>21/09/2025 12:15</t>
  </si>
  <si>
    <t>21/09/2025 12:30</t>
  </si>
  <si>
    <t>21/09/2025 12:45</t>
  </si>
  <si>
    <t>21/09/2025 13:00</t>
  </si>
  <si>
    <t>21/09/2025 13:15</t>
  </si>
  <si>
    <t>21/09/2025 13:30</t>
  </si>
  <si>
    <t>21/09/2025 13:45</t>
  </si>
  <si>
    <t>21/09/2025 14:00</t>
  </si>
  <si>
    <t>21/09/2025 14:15</t>
  </si>
  <si>
    <t>21/09/2025 14:30</t>
  </si>
  <si>
    <t>21/09/2025 14:45</t>
  </si>
  <si>
    <t>21/09/2025 15:00</t>
  </si>
  <si>
    <t>21/09/2025 15:15</t>
  </si>
  <si>
    <t>21/09/2025 15:30</t>
  </si>
  <si>
    <t>21/09/2025 15:45</t>
  </si>
  <si>
    <t>21/09/2025 16:00</t>
  </si>
  <si>
    <t>21/09/2025 16:15</t>
  </si>
  <si>
    <t>21/09/2025 16:30</t>
  </si>
  <si>
    <t>21/09/2025 16:45</t>
  </si>
  <si>
    <t>21/09/2025 17:00</t>
  </si>
  <si>
    <t>21/09/2025 17:15</t>
  </si>
  <si>
    <t>21/09/2025 17:30</t>
  </si>
  <si>
    <t>21/09/2025 17:45</t>
  </si>
  <si>
    <t>21/09/2025 18:00</t>
  </si>
  <si>
    <t>21/09/2025 18:15</t>
  </si>
  <si>
    <t>21/09/2025 18:30</t>
  </si>
  <si>
    <t>21/09/2025 18:45</t>
  </si>
  <si>
    <t>21/09/2025 19:00</t>
  </si>
  <si>
    <t>21/09/2025 19:15</t>
  </si>
  <si>
    <t>21/09/2025 19:30</t>
  </si>
  <si>
    <t>21/09/2025 19:45</t>
  </si>
  <si>
    <t>21/09/2025 20:00</t>
  </si>
  <si>
    <t>21/09/2025 20:15</t>
  </si>
  <si>
    <t>21/09/2025 20:30</t>
  </si>
  <si>
    <t>21/09/2025 20:45</t>
  </si>
  <si>
    <t>21/09/2025 21:00</t>
  </si>
  <si>
    <t>21/09/2025 21:15</t>
  </si>
  <si>
    <t>21/09/2025 21:30</t>
  </si>
  <si>
    <t>21/09/2025 21:45</t>
  </si>
  <si>
    <t>21/09/2025 22:00</t>
  </si>
  <si>
    <t>21/09/2025 22:15</t>
  </si>
  <si>
    <t>21/09/2025 22:30</t>
  </si>
  <si>
    <t>21/09/2025 22:45</t>
  </si>
  <si>
    <t>21/09/2025 23:00</t>
  </si>
  <si>
    <t>21/09/2025 23:15</t>
  </si>
  <si>
    <t>21/09/2025 23:30</t>
  </si>
  <si>
    <t>21/09/2025 23:45</t>
  </si>
  <si>
    <t>21/09/2025 24:00</t>
  </si>
  <si>
    <t>22/09/2025 00:15</t>
  </si>
  <si>
    <t>22/09/2025 00:30</t>
  </si>
  <si>
    <t>22/09/2025 00:45</t>
  </si>
  <si>
    <t>22/09/2025 01:00</t>
  </si>
  <si>
    <t>22/09/2025 01:15</t>
  </si>
  <si>
    <t>22/09/2025 01:30</t>
  </si>
  <si>
    <t>22/09/2025 01:45</t>
  </si>
  <si>
    <t>22/09/2025 02:00</t>
  </si>
  <si>
    <t>22/09/2025 02:15</t>
  </si>
  <si>
    <t>22/09/2025 02:30</t>
  </si>
  <si>
    <t>22/09/2025 02:45</t>
  </si>
  <si>
    <t>22/09/2025 03:00</t>
  </si>
  <si>
    <t>22/09/2025 03:15</t>
  </si>
  <si>
    <t>22/09/2025 03:30</t>
  </si>
  <si>
    <t>22/09/2025 03:45</t>
  </si>
  <si>
    <t>22/09/2025 04:00</t>
  </si>
  <si>
    <t>22/09/2025 04:15</t>
  </si>
  <si>
    <t>22/09/2025 04:30</t>
  </si>
  <si>
    <t>22/09/2025 04:45</t>
  </si>
  <si>
    <t>22/09/2025 05:00</t>
  </si>
  <si>
    <t>22/09/2025 05:15</t>
  </si>
  <si>
    <t>22/09/2025 05:30</t>
  </si>
  <si>
    <t>22/09/2025 05:45</t>
  </si>
  <si>
    <t>22/09/2025 06:00</t>
  </si>
  <si>
    <t>22/09/2025 06:15</t>
  </si>
  <si>
    <t>22/09/2025 06:30</t>
  </si>
  <si>
    <t>22/09/2025 06:45</t>
  </si>
  <si>
    <t>22/09/2025 07:00</t>
  </si>
  <si>
    <t>22/09/2025 07:15</t>
  </si>
  <si>
    <t>22/09/2025 07:30</t>
  </si>
  <si>
    <t>22/09/2025 07:45</t>
  </si>
  <si>
    <t>22/09/2025 08:00</t>
  </si>
  <si>
    <t>22/09/2025 08:15</t>
  </si>
  <si>
    <t>22/09/2025 08:30</t>
  </si>
  <si>
    <t>22/09/2025 08:45</t>
  </si>
  <si>
    <t>22/09/2025 09:00</t>
  </si>
  <si>
    <t>22/09/2025 09:15</t>
  </si>
  <si>
    <t>22/09/2025 09:30</t>
  </si>
  <si>
    <t>22/09/2025 09:45</t>
  </si>
  <si>
    <t>22/09/2025 10:00</t>
  </si>
  <si>
    <t>22/09/2025 10:15</t>
  </si>
  <si>
    <t>22/09/2025 10:30</t>
  </si>
  <si>
    <t>22/09/2025 10:45</t>
  </si>
  <si>
    <t>22/09/2025 11:00</t>
  </si>
  <si>
    <t>22/09/2025 11:15</t>
  </si>
  <si>
    <t>22/09/2025 11:30</t>
  </si>
  <si>
    <t>22/09/2025 11:45</t>
  </si>
  <si>
    <t>22/09/2025 12:00</t>
  </si>
  <si>
    <t>22/09/2025 12:15</t>
  </si>
  <si>
    <t>22/09/2025 12:30</t>
  </si>
  <si>
    <t>22/09/2025 12:45</t>
  </si>
  <si>
    <t>22/09/2025 13:00</t>
  </si>
  <si>
    <t>22/09/2025 13:15</t>
  </si>
  <si>
    <t>22/09/2025 13:30</t>
  </si>
  <si>
    <t>22/09/2025 13:45</t>
  </si>
  <si>
    <t>22/09/2025 14:00</t>
  </si>
  <si>
    <t>22/09/2025 14:15</t>
  </si>
  <si>
    <t>22/09/2025 14:30</t>
  </si>
  <si>
    <t>22/09/2025 14:45</t>
  </si>
  <si>
    <t>22/09/2025 15:00</t>
  </si>
  <si>
    <t>22/09/2025 15:15</t>
  </si>
  <si>
    <t>22/09/2025 15:30</t>
  </si>
  <si>
    <t>22/09/2025 15:45</t>
  </si>
  <si>
    <t>22/09/2025 16:00</t>
  </si>
  <si>
    <t>22/09/2025 16:15</t>
  </si>
  <si>
    <t>22/09/2025 16:30</t>
  </si>
  <si>
    <t>22/09/2025 16:45</t>
  </si>
  <si>
    <t>22/09/2025 17:00</t>
  </si>
  <si>
    <t>22/09/2025 17:15</t>
  </si>
  <si>
    <t>22/09/2025 17:30</t>
  </si>
  <si>
    <t>22/09/2025 17:45</t>
  </si>
  <si>
    <t>22/09/2025 18:00</t>
  </si>
  <si>
    <t>22/09/2025 18:15</t>
  </si>
  <si>
    <t>22/09/2025 18:30</t>
  </si>
  <si>
    <t>22/09/2025 18:45</t>
  </si>
  <si>
    <t>22/09/2025 19:00</t>
  </si>
  <si>
    <t>22/09/2025 19:15</t>
  </si>
  <si>
    <t>22/09/2025 19:30</t>
  </si>
  <si>
    <t>22/09/2025 19:45</t>
  </si>
  <si>
    <t>22/09/2025 20:00</t>
  </si>
  <si>
    <t>22/09/2025 20:15</t>
  </si>
  <si>
    <t>22/09/2025 20:30</t>
  </si>
  <si>
    <t>22/09/2025 20:45</t>
  </si>
  <si>
    <t>22/09/2025 21:00</t>
  </si>
  <si>
    <t>22/09/2025 21:15</t>
  </si>
  <si>
    <t>22/09/2025 21:30</t>
  </si>
  <si>
    <t>22/09/2025 21:45</t>
  </si>
  <si>
    <t>22/09/2025 22:00</t>
  </si>
  <si>
    <t>22/09/2025 22:15</t>
  </si>
  <si>
    <t>22/09/2025 22:30</t>
  </si>
  <si>
    <t>22/09/2025 22:45</t>
  </si>
  <si>
    <t>22/09/2025 23:00</t>
  </si>
  <si>
    <t>22/09/2025 23:15</t>
  </si>
  <si>
    <t>22/09/2025 23:30</t>
  </si>
  <si>
    <t>22/09/2025 23:45</t>
  </si>
  <si>
    <t>22/09/2025 24:00</t>
  </si>
  <si>
    <t>23/09/2025 00:15</t>
  </si>
  <si>
    <t>23/09/2025 00:30</t>
  </si>
  <si>
    <t>23/09/2025 00:45</t>
  </si>
  <si>
    <t>23/09/2025 01:00</t>
  </si>
  <si>
    <t>23/09/2025 01:15</t>
  </si>
  <si>
    <t>23/09/2025 01:30</t>
  </si>
  <si>
    <t>23/09/2025 01:45</t>
  </si>
  <si>
    <t>23/09/2025 02:00</t>
  </si>
  <si>
    <t>23/09/2025 02:15</t>
  </si>
  <si>
    <t>23/09/2025 02:30</t>
  </si>
  <si>
    <t>23/09/2025 02:45</t>
  </si>
  <si>
    <t>23/09/2025 03:00</t>
  </si>
  <si>
    <t>23/09/2025 03:15</t>
  </si>
  <si>
    <t>23/09/2025 03:30</t>
  </si>
  <si>
    <t>23/09/2025 03:45</t>
  </si>
  <si>
    <t>23/09/2025 04:00</t>
  </si>
  <si>
    <t>23/09/2025 04:15</t>
  </si>
  <si>
    <t>23/09/2025 04:30</t>
  </si>
  <si>
    <t>23/09/2025 04:45</t>
  </si>
  <si>
    <t>23/09/2025 05:00</t>
  </si>
  <si>
    <t>23/09/2025 05:15</t>
  </si>
  <si>
    <t>23/09/2025 05:30</t>
  </si>
  <si>
    <t>23/09/2025 05:45</t>
  </si>
  <si>
    <t>23/09/2025 06:00</t>
  </si>
  <si>
    <t>23/09/2025 06:15</t>
  </si>
  <si>
    <t>23/09/2025 06:30</t>
  </si>
  <si>
    <t>23/09/2025 06:45</t>
  </si>
  <si>
    <t>23/09/2025 07:00</t>
  </si>
  <si>
    <t>23/09/2025 07:15</t>
  </si>
  <si>
    <t>23/09/2025 07:30</t>
  </si>
  <si>
    <t>23/09/2025 07:45</t>
  </si>
  <si>
    <t>23/09/2025 08:00</t>
  </si>
  <si>
    <t>23/09/2025 08:15</t>
  </si>
  <si>
    <t>23/09/2025 08:30</t>
  </si>
  <si>
    <t>23/09/2025 08:45</t>
  </si>
  <si>
    <t>23/09/2025 09:00</t>
  </si>
  <si>
    <t>23/09/2025 09:15</t>
  </si>
  <si>
    <t>23/09/2025 09:30</t>
  </si>
  <si>
    <t>23/09/2025 09:45</t>
  </si>
  <si>
    <t>23/09/2025 10:00</t>
  </si>
  <si>
    <t>23/09/2025 10:15</t>
  </si>
  <si>
    <t>23/09/2025 10:30</t>
  </si>
  <si>
    <t>23/09/2025 10:45</t>
  </si>
  <si>
    <t>23/09/2025 11:00</t>
  </si>
  <si>
    <t>23/09/2025 11:15</t>
  </si>
  <si>
    <t>23/09/2025 11:30</t>
  </si>
  <si>
    <t>23/09/2025 11:45</t>
  </si>
  <si>
    <t>23/09/2025 12:00</t>
  </si>
  <si>
    <t>23/09/2025 12:15</t>
  </si>
  <si>
    <t>23/09/2025 12:30</t>
  </si>
  <si>
    <t>23/09/2025 12:45</t>
  </si>
  <si>
    <t>23/09/2025 13:00</t>
  </si>
  <si>
    <t>23/09/2025 13:15</t>
  </si>
  <si>
    <t>23/09/2025 13:30</t>
  </si>
  <si>
    <t>23/09/2025 13:45</t>
  </si>
  <si>
    <t>23/09/2025 14:00</t>
  </si>
  <si>
    <t>23/09/2025 14:15</t>
  </si>
  <si>
    <t>23/09/2025 14:30</t>
  </si>
  <si>
    <t>23/09/2025 14:45</t>
  </si>
  <si>
    <t>23/09/2025 15:00</t>
  </si>
  <si>
    <t>23/09/2025 15:15</t>
  </si>
  <si>
    <t>23/09/2025 15:30</t>
  </si>
  <si>
    <t>23/09/2025 15:45</t>
  </si>
  <si>
    <t>23/09/2025 16:00</t>
  </si>
  <si>
    <t>23/09/2025 16:15</t>
  </si>
  <si>
    <t>23/09/2025 16:30</t>
  </si>
  <si>
    <t>23/09/2025 16:45</t>
  </si>
  <si>
    <t>23/09/2025 17:00</t>
  </si>
  <si>
    <t>23/09/2025 17:15</t>
  </si>
  <si>
    <t>23/09/2025 17:30</t>
  </si>
  <si>
    <t>23/09/2025 17:45</t>
  </si>
  <si>
    <t>23/09/2025 18:00</t>
  </si>
  <si>
    <t>23/09/2025 18:15</t>
  </si>
  <si>
    <t>23/09/2025 18:30</t>
  </si>
  <si>
    <t>23/09/2025 18:45</t>
  </si>
  <si>
    <t>23/09/2025 19:00</t>
  </si>
  <si>
    <t>23/09/2025 19:15</t>
  </si>
  <si>
    <t>23/09/2025 19:30</t>
  </si>
  <si>
    <t>23/09/2025 19:45</t>
  </si>
  <si>
    <t>23/09/2025 20:00</t>
  </si>
  <si>
    <t>23/09/2025 20:15</t>
  </si>
  <si>
    <t>23/09/2025 20:30</t>
  </si>
  <si>
    <t>23/09/2025 20:45</t>
  </si>
  <si>
    <t>23/09/2025 21:00</t>
  </si>
  <si>
    <t>23/09/2025 21:15</t>
  </si>
  <si>
    <t>23/09/2025 21:30</t>
  </si>
  <si>
    <t>23/09/2025 21:45</t>
  </si>
  <si>
    <t>23/09/2025 22:00</t>
  </si>
  <si>
    <t>23/09/2025 22:15</t>
  </si>
  <si>
    <t>23/09/2025 22:30</t>
  </si>
  <si>
    <t>23/09/2025 22:45</t>
  </si>
  <si>
    <t>23/09/2025 23:00</t>
  </si>
  <si>
    <t>23/09/2025 23:15</t>
  </si>
  <si>
    <t>23/09/2025 23:30</t>
  </si>
  <si>
    <t>23/09/2025 23:45</t>
  </si>
  <si>
    <t>23/09/2025 24:00</t>
  </si>
  <si>
    <t>24/09/2025 00:15</t>
  </si>
  <si>
    <t>24/09/2025 00:30</t>
  </si>
  <si>
    <t>24/09/2025 00:45</t>
  </si>
  <si>
    <t>24/09/2025 01:00</t>
  </si>
  <si>
    <t>24/09/2025 01:15</t>
  </si>
  <si>
    <t>24/09/2025 01:30</t>
  </si>
  <si>
    <t>24/09/2025 01:45</t>
  </si>
  <si>
    <t>24/09/2025 02:00</t>
  </si>
  <si>
    <t>24/09/2025 02:15</t>
  </si>
  <si>
    <t>24/09/2025 02:30</t>
  </si>
  <si>
    <t>24/09/2025 02:45</t>
  </si>
  <si>
    <t>24/09/2025 03:00</t>
  </si>
  <si>
    <t>24/09/2025 03:15</t>
  </si>
  <si>
    <t>24/09/2025 03:30</t>
  </si>
  <si>
    <t>24/09/2025 03:45</t>
  </si>
  <si>
    <t>24/09/2025 04:00</t>
  </si>
  <si>
    <t>24/09/2025 04:15</t>
  </si>
  <si>
    <t>24/09/2025 04:30</t>
  </si>
  <si>
    <t>24/09/2025 04:45</t>
  </si>
  <si>
    <t>24/09/2025 05:00</t>
  </si>
  <si>
    <t>24/09/2025 05:15</t>
  </si>
  <si>
    <t>24/09/2025 05:30</t>
  </si>
  <si>
    <t>24/09/2025 05:45</t>
  </si>
  <si>
    <t>24/09/2025 06:00</t>
  </si>
  <si>
    <t>24/09/2025 06:15</t>
  </si>
  <si>
    <t>24/09/2025 06:30</t>
  </si>
  <si>
    <t>24/09/2025 06:45</t>
  </si>
  <si>
    <t>24/09/2025 07:00</t>
  </si>
  <si>
    <t>24/09/2025 07:15</t>
  </si>
  <si>
    <t>24/09/2025 07:30</t>
  </si>
  <si>
    <t>24/09/2025 07:45</t>
  </si>
  <si>
    <t>24/09/2025 08:00</t>
  </si>
  <si>
    <t>24/09/2025 08:15</t>
  </si>
  <si>
    <t>24/09/2025 08:30</t>
  </si>
  <si>
    <t>24/09/2025 08:45</t>
  </si>
  <si>
    <t>24/09/2025 09:00</t>
  </si>
  <si>
    <t>24/09/2025 09:15</t>
  </si>
  <si>
    <t>24/09/2025 09:30</t>
  </si>
  <si>
    <t>24/09/2025 09:45</t>
  </si>
  <si>
    <t>24/09/2025 10:00</t>
  </si>
  <si>
    <t>24/09/2025 10:15</t>
  </si>
  <si>
    <t>24/09/2025 10:30</t>
  </si>
  <si>
    <t>24/09/2025 10:45</t>
  </si>
  <si>
    <t>24/09/2025 11:00</t>
  </si>
  <si>
    <t>24/09/2025 11:15</t>
  </si>
  <si>
    <t>24/09/2025 11:30</t>
  </si>
  <si>
    <t>24/09/2025 11:45</t>
  </si>
  <si>
    <t>24/09/2025 12:00</t>
  </si>
  <si>
    <t>24/09/2025 12:15</t>
  </si>
  <si>
    <t>24/09/2025 12:30</t>
  </si>
  <si>
    <t>24/09/2025 12:45</t>
  </si>
  <si>
    <t>24/09/2025 13:00</t>
  </si>
  <si>
    <t>24/09/2025 13:15</t>
  </si>
  <si>
    <t>24/09/2025 13:30</t>
  </si>
  <si>
    <t>24/09/2025 13:45</t>
  </si>
  <si>
    <t>24/09/2025 14:00</t>
  </si>
  <si>
    <t>24/09/2025 14:15</t>
  </si>
  <si>
    <t>24/09/2025 14:30</t>
  </si>
  <si>
    <t>24/09/2025 14:45</t>
  </si>
  <si>
    <t>24/09/2025 15:00</t>
  </si>
  <si>
    <t>24/09/2025 15:15</t>
  </si>
  <si>
    <t>24/09/2025 15:30</t>
  </si>
  <si>
    <t>24/09/2025 15:45</t>
  </si>
  <si>
    <t>24/09/2025 16:00</t>
  </si>
  <si>
    <t>24/09/2025 16:15</t>
  </si>
  <si>
    <t>24/09/2025 16:30</t>
  </si>
  <si>
    <t>24/09/2025 16:45</t>
  </si>
  <si>
    <t>24/09/2025 17:00</t>
  </si>
  <si>
    <t>24/09/2025 17:15</t>
  </si>
  <si>
    <t>24/09/2025 17:30</t>
  </si>
  <si>
    <t>24/09/2025 17:45</t>
  </si>
  <si>
    <t>24/09/2025 18:00</t>
  </si>
  <si>
    <t>24/09/2025 18:15</t>
  </si>
  <si>
    <t>24/09/2025 18:30</t>
  </si>
  <si>
    <t>24/09/2025 18:45</t>
  </si>
  <si>
    <t>24/09/2025 19:00</t>
  </si>
  <si>
    <t>24/09/2025 19:15</t>
  </si>
  <si>
    <t>24/09/2025 19:30</t>
  </si>
  <si>
    <t>24/09/2025 19:45</t>
  </si>
  <si>
    <t>24/09/2025 20:00</t>
  </si>
  <si>
    <t>24/09/2025 20:15</t>
  </si>
  <si>
    <t>24/09/2025 20:30</t>
  </si>
  <si>
    <t>24/09/2025 20:45</t>
  </si>
  <si>
    <t>24/09/2025 21:00</t>
  </si>
  <si>
    <t>24/09/2025 21:15</t>
  </si>
  <si>
    <t>24/09/2025 21:30</t>
  </si>
  <si>
    <t>24/09/2025 21:45</t>
  </si>
  <si>
    <t>24/09/2025 22:00</t>
  </si>
  <si>
    <t>24/09/2025 22:15</t>
  </si>
  <si>
    <t>24/09/2025 22:30</t>
  </si>
  <si>
    <t>24/09/2025 22:45</t>
  </si>
  <si>
    <t>24/09/2025 23:00</t>
  </si>
  <si>
    <t>24/09/2025 23:15</t>
  </si>
  <si>
    <t>24/09/2025 23:30</t>
  </si>
  <si>
    <t>24/09/2025 23:45</t>
  </si>
  <si>
    <t>24/09/2025 24:00</t>
  </si>
  <si>
    <t>25/09/2025 00:15</t>
  </si>
  <si>
    <t>25/09/2025 00:30</t>
  </si>
  <si>
    <t>25/09/2025 00:45</t>
  </si>
  <si>
    <t>25/09/2025 01:00</t>
  </si>
  <si>
    <t>25/09/2025 01:15</t>
  </si>
  <si>
    <t>25/09/2025 01:30</t>
  </si>
  <si>
    <t>25/09/2025 01:45</t>
  </si>
  <si>
    <t>25/09/2025 02:00</t>
  </si>
  <si>
    <t>25/09/2025 02:15</t>
  </si>
  <si>
    <t>25/09/2025 02:30</t>
  </si>
  <si>
    <t>25/09/2025 02:45</t>
  </si>
  <si>
    <t>25/09/2025 03:00</t>
  </si>
  <si>
    <t>25/09/2025 03:15</t>
  </si>
  <si>
    <t>25/09/2025 03:30</t>
  </si>
  <si>
    <t>25/09/2025 03:45</t>
  </si>
  <si>
    <t>25/09/2025 04:00</t>
  </si>
  <si>
    <t>25/09/2025 04:15</t>
  </si>
  <si>
    <t>25/09/2025 04:30</t>
  </si>
  <si>
    <t>25/09/2025 04:45</t>
  </si>
  <si>
    <t>25/09/2025 05:00</t>
  </si>
  <si>
    <t>25/09/2025 05:15</t>
  </si>
  <si>
    <t>25/09/2025 05:30</t>
  </si>
  <si>
    <t>25/09/2025 05:45</t>
  </si>
  <si>
    <t>25/09/2025 06:00</t>
  </si>
  <si>
    <t>25/09/2025 06:15</t>
  </si>
  <si>
    <t>25/09/2025 06:30</t>
  </si>
  <si>
    <t>25/09/2025 06:45</t>
  </si>
  <si>
    <t>25/09/2025 07:00</t>
  </si>
  <si>
    <t>25/09/2025 07:15</t>
  </si>
  <si>
    <t>25/09/2025 07:30</t>
  </si>
  <si>
    <t>25/09/2025 07:45</t>
  </si>
  <si>
    <t>25/09/2025 08:00</t>
  </si>
  <si>
    <t>25/09/2025 08:15</t>
  </si>
  <si>
    <t>25/09/2025 08:30</t>
  </si>
  <si>
    <t>25/09/2025 08:45</t>
  </si>
  <si>
    <t>25/09/2025 09:00</t>
  </si>
  <si>
    <t>25/09/2025 09:15</t>
  </si>
  <si>
    <t>25/09/2025 09:30</t>
  </si>
  <si>
    <t>25/09/2025 09:45</t>
  </si>
  <si>
    <t>25/09/2025 10:00</t>
  </si>
  <si>
    <t>25/09/2025 10:15</t>
  </si>
  <si>
    <t>25/09/2025 10:30</t>
  </si>
  <si>
    <t>25/09/2025 10:45</t>
  </si>
  <si>
    <t>25/09/2025 11:00</t>
  </si>
  <si>
    <t>25/09/2025 11:15</t>
  </si>
  <si>
    <t>25/09/2025 11:30</t>
  </si>
  <si>
    <t>25/09/2025 11:45</t>
  </si>
  <si>
    <t>25/09/2025 12:00</t>
  </si>
  <si>
    <t>25/09/2025 12:15</t>
  </si>
  <si>
    <t>25/09/2025 12:30</t>
  </si>
  <si>
    <t>25/09/2025 12:45</t>
  </si>
  <si>
    <t>25/09/2025 13:00</t>
  </si>
  <si>
    <t>25/09/2025 13:15</t>
  </si>
  <si>
    <t>25/09/2025 13:30</t>
  </si>
  <si>
    <t>25/09/2025 13:45</t>
  </si>
  <si>
    <t>25/09/2025 14:00</t>
  </si>
  <si>
    <t>25/09/2025 14:15</t>
  </si>
  <si>
    <t>25/09/2025 14:30</t>
  </si>
  <si>
    <t>25/09/2025 14:45</t>
  </si>
  <si>
    <t>25/09/2025 15:00</t>
  </si>
  <si>
    <t>25/09/2025 15:15</t>
  </si>
  <si>
    <t>25/09/2025 15:30</t>
  </si>
  <si>
    <t>25/09/2025 15:45</t>
  </si>
  <si>
    <t>25/09/2025 16:00</t>
  </si>
  <si>
    <t>25/09/2025 16:15</t>
  </si>
  <si>
    <t>25/09/2025 16:30</t>
  </si>
  <si>
    <t>25/09/2025 16:45</t>
  </si>
  <si>
    <t>25/09/2025 17:00</t>
  </si>
  <si>
    <t>25/09/2025 17:15</t>
  </si>
  <si>
    <t>25/09/2025 17:30</t>
  </si>
  <si>
    <t>25/09/2025 17:45</t>
  </si>
  <si>
    <t>25/09/2025 18:00</t>
  </si>
  <si>
    <t>25/09/2025 18:15</t>
  </si>
  <si>
    <t>25/09/2025 18:30</t>
  </si>
  <si>
    <t>25/09/2025 18:45</t>
  </si>
  <si>
    <t>25/09/2025 19:00</t>
  </si>
  <si>
    <t>25/09/2025 19:15</t>
  </si>
  <si>
    <t>25/09/2025 19:30</t>
  </si>
  <si>
    <t>25/09/2025 19:45</t>
  </si>
  <si>
    <t>25/09/2025 20:00</t>
  </si>
  <si>
    <t>25/09/2025 20:15</t>
  </si>
  <si>
    <t>25/09/2025 20:30</t>
  </si>
  <si>
    <t>25/09/2025 20:45</t>
  </si>
  <si>
    <t>25/09/2025 21:00</t>
  </si>
  <si>
    <t>25/09/2025 21:15</t>
  </si>
  <si>
    <t>25/09/2025 21:30</t>
  </si>
  <si>
    <t>25/09/2025 21:45</t>
  </si>
  <si>
    <t>25/09/2025 22:00</t>
  </si>
  <si>
    <t>25/09/2025 22:15</t>
  </si>
  <si>
    <t>25/09/2025 22:30</t>
  </si>
  <si>
    <t>25/09/2025 22:45</t>
  </si>
  <si>
    <t>25/09/2025 23:00</t>
  </si>
  <si>
    <t>25/09/2025 23:15</t>
  </si>
  <si>
    <t>25/09/2025 23:30</t>
  </si>
  <si>
    <t>25/09/2025 23:45</t>
  </si>
  <si>
    <t>25/09/2025 24:00</t>
  </si>
  <si>
    <t>26/09/2025 00:15</t>
  </si>
  <si>
    <t>26/09/2025 00:30</t>
  </si>
  <si>
    <t>26/09/2025 00:45</t>
  </si>
  <si>
    <t>26/09/2025 01:00</t>
  </si>
  <si>
    <t>26/09/2025 01:15</t>
  </si>
  <si>
    <t>26/09/2025 01:30</t>
  </si>
  <si>
    <t>26/09/2025 01:45</t>
  </si>
  <si>
    <t>26/09/2025 02:00</t>
  </si>
  <si>
    <t>26/09/2025 02:15</t>
  </si>
  <si>
    <t>26/09/2025 02:30</t>
  </si>
  <si>
    <t>26/09/2025 02:45</t>
  </si>
  <si>
    <t>26/09/2025 03:00</t>
  </si>
  <si>
    <t>26/09/2025 03:15</t>
  </si>
  <si>
    <t>26/09/2025 03:30</t>
  </si>
  <si>
    <t>26/09/2025 03:45</t>
  </si>
  <si>
    <t>26/09/2025 04:00</t>
  </si>
  <si>
    <t>26/09/2025 04:15</t>
  </si>
  <si>
    <t>26/09/2025 04:30</t>
  </si>
  <si>
    <t>26/09/2025 04:45</t>
  </si>
  <si>
    <t>26/09/2025 05:00</t>
  </si>
  <si>
    <t>26/09/2025 05:15</t>
  </si>
  <si>
    <t>26/09/2025 05:30</t>
  </si>
  <si>
    <t>26/09/2025 05:45</t>
  </si>
  <si>
    <t>26/09/2025 06:00</t>
  </si>
  <si>
    <t>26/09/2025 06:15</t>
  </si>
  <si>
    <t>26/09/2025 06:30</t>
  </si>
  <si>
    <t>26/09/2025 06:45</t>
  </si>
  <si>
    <t>26/09/2025 07:00</t>
  </si>
  <si>
    <t>26/09/2025 07:15</t>
  </si>
  <si>
    <t>26/09/2025 07:30</t>
  </si>
  <si>
    <t>26/09/2025 07:45</t>
  </si>
  <si>
    <t>26/09/2025 08:00</t>
  </si>
  <si>
    <t>26/09/2025 08:15</t>
  </si>
  <si>
    <t>26/09/2025 08:30</t>
  </si>
  <si>
    <t>26/09/2025 08:45</t>
  </si>
  <si>
    <t>26/09/2025 09:00</t>
  </si>
  <si>
    <t>26/09/2025 09:15</t>
  </si>
  <si>
    <t>26/09/2025 09:30</t>
  </si>
  <si>
    <t>26/09/2025 09:45</t>
  </si>
  <si>
    <t>26/09/2025 10:00</t>
  </si>
  <si>
    <t>26/09/2025 10:15</t>
  </si>
  <si>
    <t>26/09/2025 10:30</t>
  </si>
  <si>
    <t>26/09/2025 10:45</t>
  </si>
  <si>
    <t>26/09/2025 11:00</t>
  </si>
  <si>
    <t>26/09/2025 11:15</t>
  </si>
  <si>
    <t>26/09/2025 11:30</t>
  </si>
  <si>
    <t>26/09/2025 11:45</t>
  </si>
  <si>
    <t>26/09/2025 12:00</t>
  </si>
  <si>
    <t>26/09/2025 12:15</t>
  </si>
  <si>
    <t>26/09/2025 12:30</t>
  </si>
  <si>
    <t>26/09/2025 12:45</t>
  </si>
  <si>
    <t>26/09/2025 13:00</t>
  </si>
  <si>
    <t>26/09/2025 13:15</t>
  </si>
  <si>
    <t>26/09/2025 13:30</t>
  </si>
  <si>
    <t>26/09/2025 13:45</t>
  </si>
  <si>
    <t>26/09/2025 14:00</t>
  </si>
  <si>
    <t>26/09/2025 14:15</t>
  </si>
  <si>
    <t>26/09/2025 14:30</t>
  </si>
  <si>
    <t>26/09/2025 14:45</t>
  </si>
  <si>
    <t>26/09/2025 15:00</t>
  </si>
  <si>
    <t>26/09/2025 15:15</t>
  </si>
  <si>
    <t>26/09/2025 15:30</t>
  </si>
  <si>
    <t>26/09/2025 15:45</t>
  </si>
  <si>
    <t>26/09/2025 16:00</t>
  </si>
  <si>
    <t>26/09/2025 16:15</t>
  </si>
  <si>
    <t>26/09/2025 16:30</t>
  </si>
  <si>
    <t>26/09/2025 16:45</t>
  </si>
  <si>
    <t>26/09/2025 17:00</t>
  </si>
  <si>
    <t>26/09/2025 17:15</t>
  </si>
  <si>
    <t>26/09/2025 17:30</t>
  </si>
  <si>
    <t>26/09/2025 17:45</t>
  </si>
  <si>
    <t>26/09/2025 18:00</t>
  </si>
  <si>
    <t>26/09/2025 18:15</t>
  </si>
  <si>
    <t>26/09/2025 18:30</t>
  </si>
  <si>
    <t>26/09/2025 18:45</t>
  </si>
  <si>
    <t>26/09/2025 19:00</t>
  </si>
  <si>
    <t>26/09/2025 19:15</t>
  </si>
  <si>
    <t>26/09/2025 19:30</t>
  </si>
  <si>
    <t>26/09/2025 19:45</t>
  </si>
  <si>
    <t>26/09/2025 20:00</t>
  </si>
  <si>
    <t>26/09/2025 20:15</t>
  </si>
  <si>
    <t>26/09/2025 20:30</t>
  </si>
  <si>
    <t>26/09/2025 20:45</t>
  </si>
  <si>
    <t>26/09/2025 21:00</t>
  </si>
  <si>
    <t>26/09/2025 21:15</t>
  </si>
  <si>
    <t>26/09/2025 21:30</t>
  </si>
  <si>
    <t>26/09/2025 21:45</t>
  </si>
  <si>
    <t>26/09/2025 22:00</t>
  </si>
  <si>
    <t>26/09/2025 22:15</t>
  </si>
  <si>
    <t>26/09/2025 22:30</t>
  </si>
  <si>
    <t>26/09/2025 22:45</t>
  </si>
  <si>
    <t>26/09/2025 23:00</t>
  </si>
  <si>
    <t>26/09/2025 23:15</t>
  </si>
  <si>
    <t>26/09/2025 23:30</t>
  </si>
  <si>
    <t>26/09/2025 23:45</t>
  </si>
  <si>
    <t>26/09/2025 24:00</t>
  </si>
  <si>
    <t>27/09/2025 00:15</t>
  </si>
  <si>
    <t>27/09/2025 00:30</t>
  </si>
  <si>
    <t>27/09/2025 00:45</t>
  </si>
  <si>
    <t>27/09/2025 01:00</t>
  </si>
  <si>
    <t>27/09/2025 01:15</t>
  </si>
  <si>
    <t>27/09/2025 01:30</t>
  </si>
  <si>
    <t>27/09/2025 01:45</t>
  </si>
  <si>
    <t>27/09/2025 02:00</t>
  </si>
  <si>
    <t>27/09/2025 02:15</t>
  </si>
  <si>
    <t>27/09/2025 02:30</t>
  </si>
  <si>
    <t>27/09/2025 02:45</t>
  </si>
  <si>
    <t>27/09/2025 03:00</t>
  </si>
  <si>
    <t>27/09/2025 03:15</t>
  </si>
  <si>
    <t>27/09/2025 03:30</t>
  </si>
  <si>
    <t>27/09/2025 03:45</t>
  </si>
  <si>
    <t>27/09/2025 04:00</t>
  </si>
  <si>
    <t>27/09/2025 04:15</t>
  </si>
  <si>
    <t>27/09/2025 04:30</t>
  </si>
  <si>
    <t>27/09/2025 04:45</t>
  </si>
  <si>
    <t>27/09/2025 05:00</t>
  </si>
  <si>
    <t>27/09/2025 05:15</t>
  </si>
  <si>
    <t>27/09/2025 05:30</t>
  </si>
  <si>
    <t>27/09/2025 05:45</t>
  </si>
  <si>
    <t>27/09/2025 06:00</t>
  </si>
  <si>
    <t>27/09/2025 06:15</t>
  </si>
  <si>
    <t>27/09/2025 06:30</t>
  </si>
  <si>
    <t>27/09/2025 06:45</t>
  </si>
  <si>
    <t>27/09/2025 07:00</t>
  </si>
  <si>
    <t>27/09/2025 07:15</t>
  </si>
  <si>
    <t>27/09/2025 07:30</t>
  </si>
  <si>
    <t>27/09/2025 07:45</t>
  </si>
  <si>
    <t>27/09/2025 08:00</t>
  </si>
  <si>
    <t>27/09/2025 08:15</t>
  </si>
  <si>
    <t>27/09/2025 08:30</t>
  </si>
  <si>
    <t>27/09/2025 08:45</t>
  </si>
  <si>
    <t>27/09/2025 09:00</t>
  </si>
  <si>
    <t>27/09/2025 09:15</t>
  </si>
  <si>
    <t>27/09/2025 09:30</t>
  </si>
  <si>
    <t>27/09/2025 09:45</t>
  </si>
  <si>
    <t>27/09/2025 10:00</t>
  </si>
  <si>
    <t>27/09/2025 10:15</t>
  </si>
  <si>
    <t>27/09/2025 10:30</t>
  </si>
  <si>
    <t>27/09/2025 10:45</t>
  </si>
  <si>
    <t>27/09/2025 11:00</t>
  </si>
  <si>
    <t>27/09/2025 11:15</t>
  </si>
  <si>
    <t>27/09/2025 11:30</t>
  </si>
  <si>
    <t>27/09/2025 11:45</t>
  </si>
  <si>
    <t>27/09/2025 12:00</t>
  </si>
  <si>
    <t>27/09/2025 12:15</t>
  </si>
  <si>
    <t>27/09/2025 12:30</t>
  </si>
  <si>
    <t>27/09/2025 12:45</t>
  </si>
  <si>
    <t>27/09/2025 13:00</t>
  </si>
  <si>
    <t>27/09/2025 13:15</t>
  </si>
  <si>
    <t>27/09/2025 13:30</t>
  </si>
  <si>
    <t>27/09/2025 13:45</t>
  </si>
  <si>
    <t>27/09/2025 14:00</t>
  </si>
  <si>
    <t>27/09/2025 14:15</t>
  </si>
  <si>
    <t>27/09/2025 14:30</t>
  </si>
  <si>
    <t>27/09/2025 14:45</t>
  </si>
  <si>
    <t>27/09/2025 15:00</t>
  </si>
  <si>
    <t>27/09/2025 15:15</t>
  </si>
  <si>
    <t>27/09/2025 15:30</t>
  </si>
  <si>
    <t>27/09/2025 15:45</t>
  </si>
  <si>
    <t>27/09/2025 16:00</t>
  </si>
  <si>
    <t>27/09/2025 16:15</t>
  </si>
  <si>
    <t>27/09/2025 16:30</t>
  </si>
  <si>
    <t>27/09/2025 16:45</t>
  </si>
  <si>
    <t>27/09/2025 17:00</t>
  </si>
  <si>
    <t>27/09/2025 17:15</t>
  </si>
  <si>
    <t>27/09/2025 17:30</t>
  </si>
  <si>
    <t>27/09/2025 17:45</t>
  </si>
  <si>
    <t>27/09/2025 18:00</t>
  </si>
  <si>
    <t>27/09/2025 18:15</t>
  </si>
  <si>
    <t>27/09/2025 18:30</t>
  </si>
  <si>
    <t>27/09/2025 18:45</t>
  </si>
  <si>
    <t>27/09/2025 19:00</t>
  </si>
  <si>
    <t>27/09/2025 19:15</t>
  </si>
  <si>
    <t>27/09/2025 19:30</t>
  </si>
  <si>
    <t>27/09/2025 19:45</t>
  </si>
  <si>
    <t>27/09/2025 20:00</t>
  </si>
  <si>
    <t>27/09/2025 20:15</t>
  </si>
  <si>
    <t>27/09/2025 20:30</t>
  </si>
  <si>
    <t>27/09/2025 20:45</t>
  </si>
  <si>
    <t>27/09/2025 21:00</t>
  </si>
  <si>
    <t>27/09/2025 21:15</t>
  </si>
  <si>
    <t>27/09/2025 21:30</t>
  </si>
  <si>
    <t>27/09/2025 21:45</t>
  </si>
  <si>
    <t>27/09/2025 22:00</t>
  </si>
  <si>
    <t>27/09/2025 22:15</t>
  </si>
  <si>
    <t>27/09/2025 22:30</t>
  </si>
  <si>
    <t>27/09/2025 22:45</t>
  </si>
  <si>
    <t>27/09/2025 23:00</t>
  </si>
  <si>
    <t>27/09/2025 23:15</t>
  </si>
  <si>
    <t>27/09/2025 23:30</t>
  </si>
  <si>
    <t>27/09/2025 23:45</t>
  </si>
  <si>
    <t>27/09/2025 24:00</t>
  </si>
  <si>
    <t>28/09/2025 00:15</t>
  </si>
  <si>
    <t>28/09/2025 00:30</t>
  </si>
  <si>
    <t>28/09/2025 00:45</t>
  </si>
  <si>
    <t>28/09/2025 01:00</t>
  </si>
  <si>
    <t>28/09/2025 01:15</t>
  </si>
  <si>
    <t>28/09/2025 01:30</t>
  </si>
  <si>
    <t>28/09/2025 01:45</t>
  </si>
  <si>
    <t>28/09/2025 02:00</t>
  </si>
  <si>
    <t>28/09/2025 02:15</t>
  </si>
  <si>
    <t>28/09/2025 02:30</t>
  </si>
  <si>
    <t>28/09/2025 02:45</t>
  </si>
  <si>
    <t>28/09/2025 03:00</t>
  </si>
  <si>
    <t>28/09/2025 03:15</t>
  </si>
  <si>
    <t>28/09/2025 03:30</t>
  </si>
  <si>
    <t>28/09/2025 03:45</t>
  </si>
  <si>
    <t>28/09/2025 04:00</t>
  </si>
  <si>
    <t>28/09/2025 04:15</t>
  </si>
  <si>
    <t>28/09/2025 04:30</t>
  </si>
  <si>
    <t>28/09/2025 04:45</t>
  </si>
  <si>
    <t>28/09/2025 05:00</t>
  </si>
  <si>
    <t>28/09/2025 05:15</t>
  </si>
  <si>
    <t>28/09/2025 05:30</t>
  </si>
  <si>
    <t>28/09/2025 05:45</t>
  </si>
  <si>
    <t>28/09/2025 06:00</t>
  </si>
  <si>
    <t>28/09/2025 06:15</t>
  </si>
  <si>
    <t>28/09/2025 06:30</t>
  </si>
  <si>
    <t>28/09/2025 06:45</t>
  </si>
  <si>
    <t>28/09/2025 07:00</t>
  </si>
  <si>
    <t>28/09/2025 07:15</t>
  </si>
  <si>
    <t>28/09/2025 07:30</t>
  </si>
  <si>
    <t>28/09/2025 07:45</t>
  </si>
  <si>
    <t>28/09/2025 08:00</t>
  </si>
  <si>
    <t>28/09/2025 08:15</t>
  </si>
  <si>
    <t>28/09/2025 08:30</t>
  </si>
  <si>
    <t>28/09/2025 08:45</t>
  </si>
  <si>
    <t>28/09/2025 09:00</t>
  </si>
  <si>
    <t>28/09/2025 09:15</t>
  </si>
  <si>
    <t>28/09/2025 09:30</t>
  </si>
  <si>
    <t>28/09/2025 09:45</t>
  </si>
  <si>
    <t>28/09/2025 10:00</t>
  </si>
  <si>
    <t>28/09/2025 10:15</t>
  </si>
  <si>
    <t>28/09/2025 10:30</t>
  </si>
  <si>
    <t>28/09/2025 10:45</t>
  </si>
  <si>
    <t>28/09/2025 11:00</t>
  </si>
  <si>
    <t>28/09/2025 11:15</t>
  </si>
  <si>
    <t>28/09/2025 11:30</t>
  </si>
  <si>
    <t>28/09/2025 11:45</t>
  </si>
  <si>
    <t>28/09/2025 12:00</t>
  </si>
  <si>
    <t>28/09/2025 12:15</t>
  </si>
  <si>
    <t>28/09/2025 12:30</t>
  </si>
  <si>
    <t>28/09/2025 12:45</t>
  </si>
  <si>
    <t>28/09/2025 13:00</t>
  </si>
  <si>
    <t>28/09/2025 13:15</t>
  </si>
  <si>
    <t>28/09/2025 13:30</t>
  </si>
  <si>
    <t>28/09/2025 13:45</t>
  </si>
  <si>
    <t>28/09/2025 14:00</t>
  </si>
  <si>
    <t>28/09/2025 14:15</t>
  </si>
  <si>
    <t>28/09/2025 14:30</t>
  </si>
  <si>
    <t>28/09/2025 14:45</t>
  </si>
  <si>
    <t>28/09/2025 15:00</t>
  </si>
  <si>
    <t>28/09/2025 15:15</t>
  </si>
  <si>
    <t>28/09/2025 15:30</t>
  </si>
  <si>
    <t>28/09/2025 15:45</t>
  </si>
  <si>
    <t>28/09/2025 16:00</t>
  </si>
  <si>
    <t>28/09/2025 16:15</t>
  </si>
  <si>
    <t>28/09/2025 16:30</t>
  </si>
  <si>
    <t>28/09/2025 16:45</t>
  </si>
  <si>
    <t>28/09/2025 17:00</t>
  </si>
  <si>
    <t>28/09/2025 17:15</t>
  </si>
  <si>
    <t>28/09/2025 17:30</t>
  </si>
  <si>
    <t>28/09/2025 17:45</t>
  </si>
  <si>
    <t>28/09/2025 18:00</t>
  </si>
  <si>
    <t>28/09/2025 18:15</t>
  </si>
  <si>
    <t>28/09/2025 18:30</t>
  </si>
  <si>
    <t>28/09/2025 18:45</t>
  </si>
  <si>
    <t>28/09/2025 19:00</t>
  </si>
  <si>
    <t>28/09/2025 19:15</t>
  </si>
  <si>
    <t>28/09/2025 19:30</t>
  </si>
  <si>
    <t>28/09/2025 19:45</t>
  </si>
  <si>
    <t>28/09/2025 20:00</t>
  </si>
  <si>
    <t>28/09/2025 20:15</t>
  </si>
  <si>
    <t>28/09/2025 20:30</t>
  </si>
  <si>
    <t>28/09/2025 20:45</t>
  </si>
  <si>
    <t>28/09/2025 21:00</t>
  </si>
  <si>
    <t>28/09/2025 21:15</t>
  </si>
  <si>
    <t>28/09/2025 21:30</t>
  </si>
  <si>
    <t>28/09/2025 21:45</t>
  </si>
  <si>
    <t>28/09/2025 22:00</t>
  </si>
  <si>
    <t>28/09/2025 22:15</t>
  </si>
  <si>
    <t>28/09/2025 22:30</t>
  </si>
  <si>
    <t>28/09/2025 22:45</t>
  </si>
  <si>
    <t>28/09/2025 23:00</t>
  </si>
  <si>
    <t>28/09/2025 23:15</t>
  </si>
  <si>
    <t>28/09/2025 23:30</t>
  </si>
  <si>
    <t>28/09/2025 23:45</t>
  </si>
  <si>
    <t>28/09/2025 24:00</t>
  </si>
  <si>
    <t>29/09/2025 00:15</t>
  </si>
  <si>
    <t>29/09/2025 00:30</t>
  </si>
  <si>
    <t>29/09/2025 00:45</t>
  </si>
  <si>
    <t>29/09/2025 01:00</t>
  </si>
  <si>
    <t>29/09/2025 01:15</t>
  </si>
  <si>
    <t>29/09/2025 01:30</t>
  </si>
  <si>
    <t>29/09/2025 01:45</t>
  </si>
  <si>
    <t>29/09/2025 02:00</t>
  </si>
  <si>
    <t>29/09/2025 02:15</t>
  </si>
  <si>
    <t>29/09/2025 02:30</t>
  </si>
  <si>
    <t>29/09/2025 02:45</t>
  </si>
  <si>
    <t>29/09/2025 03:00</t>
  </si>
  <si>
    <t>29/09/2025 03:15</t>
  </si>
  <si>
    <t>29/09/2025 03:30</t>
  </si>
  <si>
    <t>29/09/2025 03:45</t>
  </si>
  <si>
    <t>29/09/2025 04:00</t>
  </si>
  <si>
    <t>29/09/2025 04:15</t>
  </si>
  <si>
    <t>29/09/2025 04:30</t>
  </si>
  <si>
    <t>29/09/2025 04:45</t>
  </si>
  <si>
    <t>29/09/2025 05:00</t>
  </si>
  <si>
    <t>29/09/2025 05:15</t>
  </si>
  <si>
    <t>29/09/2025 05:30</t>
  </si>
  <si>
    <t>29/09/2025 05:45</t>
  </si>
  <si>
    <t>29/09/2025 06:00</t>
  </si>
  <si>
    <t>29/09/2025 06:15</t>
  </si>
  <si>
    <t>29/09/2025 06:30</t>
  </si>
  <si>
    <t>29/09/2025 06:45</t>
  </si>
  <si>
    <t>29/09/2025 07:00</t>
  </si>
  <si>
    <t>29/09/2025 07:15</t>
  </si>
  <si>
    <t>29/09/2025 07:30</t>
  </si>
  <si>
    <t>29/09/2025 07:45</t>
  </si>
  <si>
    <t>29/09/2025 08:00</t>
  </si>
  <si>
    <t>29/09/2025 08:15</t>
  </si>
  <si>
    <t>29/09/2025 08:30</t>
  </si>
  <si>
    <t>29/09/2025 08:45</t>
  </si>
  <si>
    <t>29/09/2025 09:00</t>
  </si>
  <si>
    <t>29/09/2025 09:15</t>
  </si>
  <si>
    <t>29/09/2025 09:30</t>
  </si>
  <si>
    <t>29/09/2025 09:45</t>
  </si>
  <si>
    <t>29/09/2025 10:00</t>
  </si>
  <si>
    <t>29/09/2025 10:15</t>
  </si>
  <si>
    <t>29/09/2025 10:30</t>
  </si>
  <si>
    <t>29/09/2025 10:45</t>
  </si>
  <si>
    <t>29/09/2025 11:00</t>
  </si>
  <si>
    <t>29/09/2025 11:15</t>
  </si>
  <si>
    <t>29/09/2025 11:30</t>
  </si>
  <si>
    <t>29/09/2025 11:45</t>
  </si>
  <si>
    <t>29/09/2025 12:00</t>
  </si>
  <si>
    <t>29/09/2025 12:15</t>
  </si>
  <si>
    <t>29/09/2025 12:30</t>
  </si>
  <si>
    <t>29/09/2025 12:45</t>
  </si>
  <si>
    <t>29/09/2025 13:00</t>
  </si>
  <si>
    <t>29/09/2025 13:15</t>
  </si>
  <si>
    <t>29/09/2025 13:30</t>
  </si>
  <si>
    <t>29/09/2025 13:45</t>
  </si>
  <si>
    <t>29/09/2025 14:00</t>
  </si>
  <si>
    <t>29/09/2025 14:15</t>
  </si>
  <si>
    <t>29/09/2025 14:30</t>
  </si>
  <si>
    <t>29/09/2025 14:45</t>
  </si>
  <si>
    <t>29/09/2025 15:00</t>
  </si>
  <si>
    <t>29/09/2025 15:15</t>
  </si>
  <si>
    <t>29/09/2025 15:30</t>
  </si>
  <si>
    <t>29/09/2025 15:45</t>
  </si>
  <si>
    <t>29/09/2025 16:00</t>
  </si>
  <si>
    <t>29/09/2025 16:15</t>
  </si>
  <si>
    <t>29/09/2025 16:30</t>
  </si>
  <si>
    <t>29/09/2025 16:45</t>
  </si>
  <si>
    <t>29/09/2025 17:00</t>
  </si>
  <si>
    <t>29/09/2025 17:15</t>
  </si>
  <si>
    <t>29/09/2025 17:30</t>
  </si>
  <si>
    <t>29/09/2025 17:45</t>
  </si>
  <si>
    <t>29/09/2025 18:00</t>
  </si>
  <si>
    <t>29/09/2025 18:15</t>
  </si>
  <si>
    <t>29/09/2025 18:30</t>
  </si>
  <si>
    <t>29/09/2025 18:45</t>
  </si>
  <si>
    <t>29/09/2025 19:00</t>
  </si>
  <si>
    <t>29/09/2025 19:15</t>
  </si>
  <si>
    <t>29/09/2025 19:30</t>
  </si>
  <si>
    <t>29/09/2025 19:45</t>
  </si>
  <si>
    <t>29/09/2025 20:00</t>
  </si>
  <si>
    <t>29/09/2025 20:15</t>
  </si>
  <si>
    <t>29/09/2025 20:30</t>
  </si>
  <si>
    <t>29/09/2025 20:45</t>
  </si>
  <si>
    <t>29/09/2025 21:00</t>
  </si>
  <si>
    <t>29/09/2025 21:15</t>
  </si>
  <si>
    <t>29/09/2025 21:30</t>
  </si>
  <si>
    <t>29/09/2025 21:45</t>
  </si>
  <si>
    <t>29/09/2025 22:00</t>
  </si>
  <si>
    <t>29/09/2025 22:15</t>
  </si>
  <si>
    <t>29/09/2025 22:30</t>
  </si>
  <si>
    <t>29/09/2025 22:45</t>
  </si>
  <si>
    <t>29/09/2025 23:00</t>
  </si>
  <si>
    <t>29/09/2025 23:15</t>
  </si>
  <si>
    <t>29/09/2025 23:30</t>
  </si>
  <si>
    <t>29/09/2025 23:45</t>
  </si>
  <si>
    <t>29/09/2025 24:00</t>
  </si>
  <si>
    <t>30/09/2025 00:15</t>
  </si>
  <si>
    <t>30/09/2025 00:30</t>
  </si>
  <si>
    <t>30/09/2025 00:45</t>
  </si>
  <si>
    <t>30/09/2025 01:00</t>
  </si>
  <si>
    <t>30/09/2025 01:15</t>
  </si>
  <si>
    <t>30/09/2025 01:30</t>
  </si>
  <si>
    <t>30/09/2025 01:45</t>
  </si>
  <si>
    <t>30/09/2025 02:00</t>
  </si>
  <si>
    <t>30/09/2025 02:15</t>
  </si>
  <si>
    <t>30/09/2025 02:30</t>
  </si>
  <si>
    <t>30/09/2025 02:45</t>
  </si>
  <si>
    <t>30/09/2025 03:00</t>
  </si>
  <si>
    <t>30/09/2025 03:15</t>
  </si>
  <si>
    <t>30/09/2025 03:30</t>
  </si>
  <si>
    <t>30/09/2025 03:45</t>
  </si>
  <si>
    <t>30/09/2025 04:00</t>
  </si>
  <si>
    <t>30/09/2025 04:15</t>
  </si>
  <si>
    <t>30/09/2025 04:30</t>
  </si>
  <si>
    <t>30/09/2025 04:45</t>
  </si>
  <si>
    <t>30/09/2025 05:00</t>
  </si>
  <si>
    <t>30/09/2025 05:15</t>
  </si>
  <si>
    <t>30/09/2025 05:30</t>
  </si>
  <si>
    <t>30/09/2025 05:45</t>
  </si>
  <si>
    <t>30/09/2025 06:00</t>
  </si>
  <si>
    <t>30/09/2025 06:15</t>
  </si>
  <si>
    <t>30/09/2025 06:30</t>
  </si>
  <si>
    <t>30/09/2025 06:45</t>
  </si>
  <si>
    <t>30/09/2025 07:00</t>
  </si>
  <si>
    <t>30/09/2025 07:15</t>
  </si>
  <si>
    <t>30/09/2025 07:30</t>
  </si>
  <si>
    <t>30/09/2025 07:45</t>
  </si>
  <si>
    <t>30/09/2025 08:00</t>
  </si>
  <si>
    <t>30/09/2025 08:15</t>
  </si>
  <si>
    <t>30/09/2025 08:30</t>
  </si>
  <si>
    <t>30/09/2025 08:45</t>
  </si>
  <si>
    <t>30/09/2025 09:00</t>
  </si>
  <si>
    <t>30/09/2025 09:15</t>
  </si>
  <si>
    <t>30/09/2025 09:30</t>
  </si>
  <si>
    <t>30/09/2025 09:45</t>
  </si>
  <si>
    <t>30/09/2025 10:00</t>
  </si>
  <si>
    <t>30/09/2025 10:15</t>
  </si>
  <si>
    <t>30/09/2025 10:30</t>
  </si>
  <si>
    <t>30/09/2025 10:45</t>
  </si>
  <si>
    <t>30/09/2025 11:00</t>
  </si>
  <si>
    <t>30/09/2025 11:15</t>
  </si>
  <si>
    <t>30/09/2025 11:30</t>
  </si>
  <si>
    <t>30/09/2025 11:45</t>
  </si>
  <si>
    <t>30/09/2025 12:00</t>
  </si>
  <si>
    <t>30/09/2025 12:15</t>
  </si>
  <si>
    <t>30/09/2025 12:30</t>
  </si>
  <si>
    <t>30/09/2025 12:45</t>
  </si>
  <si>
    <t>30/09/2025 13:00</t>
  </si>
  <si>
    <t>30/09/2025 13:15</t>
  </si>
  <si>
    <t>30/09/2025 13:30</t>
  </si>
  <si>
    <t>30/09/2025 13:45</t>
  </si>
  <si>
    <t>30/09/2025 14:00</t>
  </si>
  <si>
    <t>30/09/2025 14:15</t>
  </si>
  <si>
    <t>30/09/2025 14:30</t>
  </si>
  <si>
    <t>30/09/2025 14:45</t>
  </si>
  <si>
    <t>30/09/2025 15:00</t>
  </si>
  <si>
    <t>30/09/2025 15:15</t>
  </si>
  <si>
    <t>30/09/2025 15:30</t>
  </si>
  <si>
    <t>30/09/2025 15:45</t>
  </si>
  <si>
    <t>30/09/2025 16:00</t>
  </si>
  <si>
    <t>30/09/2025 16:15</t>
  </si>
  <si>
    <t>30/09/2025 16:30</t>
  </si>
  <si>
    <t>30/09/2025 16:45</t>
  </si>
  <si>
    <t>30/09/2025 17:00</t>
  </si>
  <si>
    <t>30/09/2025 17:15</t>
  </si>
  <si>
    <t>30/09/2025 17:30</t>
  </si>
  <si>
    <t>30/09/2025 17:45</t>
  </si>
  <si>
    <t>30/09/2025 18:00</t>
  </si>
  <si>
    <t>30/09/2025 18:15</t>
  </si>
  <si>
    <t>30/09/2025 18:30</t>
  </si>
  <si>
    <t>30/09/2025 18:45</t>
  </si>
  <si>
    <t>30/09/2025 19:00</t>
  </si>
  <si>
    <t>30/09/2025 19:15</t>
  </si>
  <si>
    <t>30/09/2025 19:30</t>
  </si>
  <si>
    <t>30/09/2025 19:45</t>
  </si>
  <si>
    <t>30/09/2025 20:00</t>
  </si>
  <si>
    <t>30/09/2025 20:15</t>
  </si>
  <si>
    <t>30/09/2025 20:30</t>
  </si>
  <si>
    <t>30/09/2025 20:45</t>
  </si>
  <si>
    <t>30/09/2025 21:00</t>
  </si>
  <si>
    <t>30/09/2025 21:15</t>
  </si>
  <si>
    <t>30/09/2025 21:30</t>
  </si>
  <si>
    <t>30/09/2025 21:45</t>
  </si>
  <si>
    <t>30/09/2025 22:00</t>
  </si>
  <si>
    <t>30/09/2025 22:15</t>
  </si>
  <si>
    <t>30/09/2025 22:30</t>
  </si>
  <si>
    <t>30/09/2025 22:45</t>
  </si>
  <si>
    <t>30/09/2025 23:00</t>
  </si>
  <si>
    <t>30/09/2025 23:15</t>
  </si>
  <si>
    <t>30/09/2025 23:30</t>
  </si>
  <si>
    <t>30/09/2025 23:45</t>
  </si>
  <si>
    <t>30/09/2025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</si>
</sst>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244</v>
      </c>
      <c r="B9" s="64">
        <v>6.02</v>
      </c>
      <c r="C9" s="64">
        <v>6.45</v>
      </c>
      <c r="D9" s="64">
        <v>8.19</v>
      </c>
      <c r="E9" s="64">
        <v>4.3899999999999997</v>
      </c>
      <c r="F9" s="64">
        <v>5.89</v>
      </c>
      <c r="G9" s="64">
        <v>20.68</v>
      </c>
      <c r="H9" s="64">
        <v>4.96</v>
      </c>
      <c r="I9" s="64">
        <v>1.78</v>
      </c>
      <c r="J9" s="64">
        <v>0.06</v>
      </c>
      <c r="K9" s="64">
        <v>303.14999999999998</v>
      </c>
      <c r="L9" s="64">
        <v>24.65</v>
      </c>
      <c r="M9" s="64">
        <v>98.09</v>
      </c>
      <c r="N9" s="64">
        <v>30.8</v>
      </c>
      <c r="O9" s="64">
        <v>0</v>
      </c>
      <c r="P9" s="64">
        <v>0.34</v>
      </c>
      <c r="Q9" s="64">
        <v>9.5500000000000007</v>
      </c>
      <c r="R9" s="198"/>
      <c r="S9" s="198"/>
      <c r="T9" s="198"/>
      <c r="U9" s="198"/>
    </row>
    <row r="10" spans="1:21" s="12" customFormat="1" x14ac:dyDescent="0.25">
      <c r="A10" s="214" t="s">
        <v>245</v>
      </c>
      <c r="B10" s="64">
        <v>6.63</v>
      </c>
      <c r="C10" s="64">
        <v>6.07</v>
      </c>
      <c r="D10" s="64">
        <v>8.49</v>
      </c>
      <c r="E10" s="64">
        <v>4.63</v>
      </c>
      <c r="F10" s="64">
        <v>3.65</v>
      </c>
      <c r="G10" s="64">
        <v>17.059999999999999</v>
      </c>
      <c r="H10" s="64">
        <v>4.5199999999999996</v>
      </c>
      <c r="I10" s="64">
        <v>1.75</v>
      </c>
      <c r="J10" s="64">
        <v>0.1</v>
      </c>
      <c r="K10" s="64">
        <v>304.10000000000002</v>
      </c>
      <c r="L10" s="64">
        <v>24.45</v>
      </c>
      <c r="M10" s="64">
        <v>98.12</v>
      </c>
      <c r="N10" s="64">
        <v>30.4</v>
      </c>
      <c r="O10" s="64">
        <v>0</v>
      </c>
      <c r="P10" s="64">
        <v>0.33</v>
      </c>
      <c r="Q10" s="64">
        <v>9.52</v>
      </c>
      <c r="R10" s="198"/>
      <c r="S10" s="198"/>
      <c r="T10" s="198"/>
      <c r="U10" s="198"/>
    </row>
    <row r="11" spans="1:21" s="12" customFormat="1" x14ac:dyDescent="0.25">
      <c r="A11" s="214" t="s">
        <v>246</v>
      </c>
      <c r="B11" s="64">
        <v>6.47</v>
      </c>
      <c r="C11" s="64">
        <v>6.2</v>
      </c>
      <c r="D11" s="64">
        <v>8.43</v>
      </c>
      <c r="E11" s="64">
        <v>4.8499999999999996</v>
      </c>
      <c r="F11" s="64">
        <v>3.36</v>
      </c>
      <c r="G11" s="64">
        <v>17.059999999999999</v>
      </c>
      <c r="H11" s="64">
        <v>4.5199999999999996</v>
      </c>
      <c r="I11" s="64">
        <v>1.69</v>
      </c>
      <c r="J11" s="64">
        <v>0.1</v>
      </c>
      <c r="K11" s="64">
        <v>329.11</v>
      </c>
      <c r="L11" s="64">
        <v>24.24</v>
      </c>
      <c r="M11" s="64">
        <v>98.13</v>
      </c>
      <c r="N11" s="64">
        <v>30.3</v>
      </c>
      <c r="O11" s="64">
        <v>0</v>
      </c>
      <c r="P11" s="64">
        <v>0.32</v>
      </c>
      <c r="Q11" s="64">
        <v>9.5</v>
      </c>
      <c r="R11" s="198"/>
      <c r="S11" s="198"/>
      <c r="T11" s="198"/>
      <c r="U11" s="198"/>
    </row>
    <row r="12" spans="1:21" s="12" customFormat="1" x14ac:dyDescent="0.25">
      <c r="A12" s="214" t="s">
        <v>247</v>
      </c>
      <c r="B12" s="64">
        <v>6.16</v>
      </c>
      <c r="C12" s="64">
        <v>6.2</v>
      </c>
      <c r="D12" s="64">
        <v>8.18</v>
      </c>
      <c r="E12" s="64">
        <v>4.8499999999999996</v>
      </c>
      <c r="F12" s="64">
        <v>6.7</v>
      </c>
      <c r="G12" s="64">
        <v>17.059999999999999</v>
      </c>
      <c r="H12" s="64">
        <v>4.5199999999999996</v>
      </c>
      <c r="I12" s="64">
        <v>1.6</v>
      </c>
      <c r="J12" s="64">
        <v>7.0000000000000007E-2</v>
      </c>
      <c r="K12" s="64">
        <v>149.78</v>
      </c>
      <c r="L12" s="64">
        <v>24.09</v>
      </c>
      <c r="M12" s="64">
        <v>98.14</v>
      </c>
      <c r="N12" s="64">
        <v>30.2</v>
      </c>
      <c r="O12" s="64">
        <v>0</v>
      </c>
      <c r="P12" s="64">
        <v>0.27</v>
      </c>
      <c r="Q12" s="64">
        <v>9.49</v>
      </c>
      <c r="R12" s="198"/>
      <c r="S12" s="198"/>
      <c r="T12" s="198"/>
      <c r="U12" s="198"/>
    </row>
    <row r="13" spans="1:21" s="12" customFormat="1" x14ac:dyDescent="0.25">
      <c r="A13" s="214" t="s">
        <v>248</v>
      </c>
      <c r="B13" s="64">
        <v>5.77</v>
      </c>
      <c r="C13" s="64">
        <v>6.14</v>
      </c>
      <c r="D13" s="64">
        <v>7.83</v>
      </c>
      <c r="E13" s="64">
        <v>4.45</v>
      </c>
      <c r="F13" s="64">
        <v>4.82</v>
      </c>
      <c r="G13" s="64">
        <v>16.760000000000002</v>
      </c>
      <c r="H13" s="64">
        <v>4.1399999999999997</v>
      </c>
      <c r="I13" s="64">
        <v>1.53</v>
      </c>
      <c r="J13" s="64">
        <v>0.06</v>
      </c>
      <c r="K13" s="64">
        <v>305.12</v>
      </c>
      <c r="L13" s="64">
        <v>24.02</v>
      </c>
      <c r="M13" s="64">
        <v>98.15</v>
      </c>
      <c r="N13" s="64">
        <v>30.3</v>
      </c>
      <c r="O13" s="64">
        <v>0</v>
      </c>
      <c r="P13" s="64">
        <v>0.36</v>
      </c>
      <c r="Q13" s="64">
        <v>9.48</v>
      </c>
      <c r="R13" s="198"/>
      <c r="S13" s="198"/>
      <c r="T13" s="198"/>
      <c r="U13" s="198"/>
    </row>
    <row r="14" spans="1:21" s="12" customFormat="1" x14ac:dyDescent="0.25">
      <c r="A14" s="214" t="s">
        <v>249</v>
      </c>
      <c r="B14" s="64">
        <v>5.57</v>
      </c>
      <c r="C14" s="64">
        <v>6.18</v>
      </c>
      <c r="D14" s="64">
        <v>7.7</v>
      </c>
      <c r="E14" s="64">
        <v>4.57</v>
      </c>
      <c r="F14" s="64">
        <v>7.99</v>
      </c>
      <c r="G14" s="64">
        <v>16.38</v>
      </c>
      <c r="H14" s="64">
        <v>3.16</v>
      </c>
      <c r="I14" s="64">
        <v>1.48</v>
      </c>
      <c r="J14" s="64">
        <v>0.06</v>
      </c>
      <c r="K14" s="64">
        <v>283.3</v>
      </c>
      <c r="L14" s="64">
        <v>24</v>
      </c>
      <c r="M14" s="64">
        <v>98.13</v>
      </c>
      <c r="N14" s="64">
        <v>30.3</v>
      </c>
      <c r="O14" s="64">
        <v>0</v>
      </c>
      <c r="P14" s="64">
        <v>0.3</v>
      </c>
      <c r="Q14" s="64">
        <v>9.4700000000000006</v>
      </c>
      <c r="R14" s="198"/>
      <c r="S14" s="198"/>
      <c r="T14" s="198"/>
      <c r="U14" s="198"/>
    </row>
    <row r="15" spans="1:21" s="12" customFormat="1" x14ac:dyDescent="0.25">
      <c r="A15" s="214" t="s">
        <v>250</v>
      </c>
      <c r="B15" s="64">
        <v>5.33</v>
      </c>
      <c r="C15" s="64">
        <v>6.11</v>
      </c>
      <c r="D15" s="64">
        <v>7.47</v>
      </c>
      <c r="E15" s="64">
        <v>4.55</v>
      </c>
      <c r="F15" s="64">
        <v>4.8499999999999996</v>
      </c>
      <c r="G15" s="64">
        <v>16.38</v>
      </c>
      <c r="H15" s="64">
        <v>3.16</v>
      </c>
      <c r="I15" s="64">
        <v>1.44</v>
      </c>
      <c r="J15" s="64">
        <v>0.03</v>
      </c>
      <c r="K15" s="64">
        <v>258.66000000000003</v>
      </c>
      <c r="L15" s="64">
        <v>23.94</v>
      </c>
      <c r="M15" s="64">
        <v>98.13</v>
      </c>
      <c r="N15" s="64">
        <v>30.4</v>
      </c>
      <c r="O15" s="64">
        <v>0</v>
      </c>
      <c r="P15" s="64">
        <v>0.34</v>
      </c>
      <c r="Q15" s="64">
        <v>9.4499999999999993</v>
      </c>
      <c r="R15" s="198"/>
      <c r="S15" s="198"/>
      <c r="T15" s="198"/>
      <c r="U15" s="198"/>
    </row>
    <row r="16" spans="1:21" s="12" customFormat="1" x14ac:dyDescent="0.25">
      <c r="A16" s="214" t="s">
        <v>251</v>
      </c>
      <c r="B16" s="64">
        <v>5.04</v>
      </c>
      <c r="C16" s="64">
        <v>6.09</v>
      </c>
      <c r="D16" s="64">
        <v>7.23</v>
      </c>
      <c r="E16" s="64">
        <v>4.3</v>
      </c>
      <c r="F16" s="64">
        <v>9.2799999999999994</v>
      </c>
      <c r="G16" s="64">
        <v>16.38</v>
      </c>
      <c r="H16" s="64">
        <v>3.16</v>
      </c>
      <c r="I16" s="64">
        <v>1.4</v>
      </c>
      <c r="J16" s="64">
        <v>0.01</v>
      </c>
      <c r="K16" s="64">
        <v>154.06</v>
      </c>
      <c r="L16" s="64">
        <v>23.89</v>
      </c>
      <c r="M16" s="64">
        <v>98.16</v>
      </c>
      <c r="N16" s="64">
        <v>30.5</v>
      </c>
      <c r="O16" s="64">
        <v>0</v>
      </c>
      <c r="P16" s="64">
        <v>0.23</v>
      </c>
      <c r="Q16" s="64">
        <v>9.4499999999999993</v>
      </c>
      <c r="R16" s="198"/>
      <c r="S16" s="198"/>
      <c r="T16" s="198"/>
      <c r="U16" s="198"/>
    </row>
    <row r="17" spans="1:21" s="12" customFormat="1" x14ac:dyDescent="0.25">
      <c r="A17" s="214" t="s">
        <v>252</v>
      </c>
      <c r="B17" s="64">
        <v>4.93</v>
      </c>
      <c r="C17" s="64">
        <v>6.11</v>
      </c>
      <c r="D17" s="64">
        <v>7.15</v>
      </c>
      <c r="E17" s="64">
        <v>4.24</v>
      </c>
      <c r="F17" s="64">
        <v>7.31</v>
      </c>
      <c r="G17" s="64">
        <v>14.34</v>
      </c>
      <c r="H17" s="64">
        <v>2.94</v>
      </c>
      <c r="I17" s="64">
        <v>1.36</v>
      </c>
      <c r="J17" s="64">
        <v>0.04</v>
      </c>
      <c r="K17" s="64">
        <v>153.1</v>
      </c>
      <c r="L17" s="64">
        <v>23.8</v>
      </c>
      <c r="M17" s="64">
        <v>98.18</v>
      </c>
      <c r="N17" s="64">
        <v>30.6</v>
      </c>
      <c r="O17" s="64">
        <v>0</v>
      </c>
      <c r="P17" s="64">
        <v>0.28000000000000003</v>
      </c>
      <c r="Q17" s="64">
        <v>9.4600000000000009</v>
      </c>
      <c r="R17" s="198"/>
      <c r="S17" s="198"/>
      <c r="T17" s="198"/>
      <c r="U17" s="198"/>
    </row>
    <row r="18" spans="1:21" s="12" customFormat="1" x14ac:dyDescent="0.25">
      <c r="A18" s="214" t="s">
        <v>253</v>
      </c>
      <c r="B18" s="64">
        <v>4.83</v>
      </c>
      <c r="C18" s="64">
        <v>6.2</v>
      </c>
      <c r="D18" s="64">
        <v>7.11</v>
      </c>
      <c r="E18" s="64">
        <v>4.6100000000000003</v>
      </c>
      <c r="F18" s="64">
        <v>8.77</v>
      </c>
      <c r="G18" s="64">
        <v>11.78</v>
      </c>
      <c r="H18" s="64">
        <v>2.21</v>
      </c>
      <c r="I18" s="64">
        <v>1.33</v>
      </c>
      <c r="J18" s="64">
        <v>7.0000000000000007E-2</v>
      </c>
      <c r="K18" s="64">
        <v>149.47999999999999</v>
      </c>
      <c r="L18" s="64">
        <v>23.66</v>
      </c>
      <c r="M18" s="64">
        <v>98.18</v>
      </c>
      <c r="N18" s="64">
        <v>30.6</v>
      </c>
      <c r="O18" s="64">
        <v>0</v>
      </c>
      <c r="P18" s="64">
        <v>0.22</v>
      </c>
      <c r="Q18" s="64">
        <v>9.4499999999999993</v>
      </c>
      <c r="R18" s="198"/>
      <c r="S18" s="198"/>
      <c r="T18" s="198"/>
      <c r="U18" s="198"/>
    </row>
    <row r="19" spans="1:21" s="12" customFormat="1" x14ac:dyDescent="0.25">
      <c r="A19" s="214" t="s">
        <v>254</v>
      </c>
      <c r="B19" s="64">
        <v>4.34</v>
      </c>
      <c r="C19" s="64">
        <v>6.29</v>
      </c>
      <c r="D19" s="64">
        <v>6.77</v>
      </c>
      <c r="E19" s="64">
        <v>4.1900000000000004</v>
      </c>
      <c r="F19" s="64">
        <v>9.08</v>
      </c>
      <c r="G19" s="64">
        <v>11.78</v>
      </c>
      <c r="H19" s="64">
        <v>2.21</v>
      </c>
      <c r="I19" s="64">
        <v>1.3</v>
      </c>
      <c r="J19" s="64">
        <v>0.06</v>
      </c>
      <c r="K19" s="64">
        <v>153.22999999999999</v>
      </c>
      <c r="L19" s="64">
        <v>23.55</v>
      </c>
      <c r="M19" s="64">
        <v>98.18</v>
      </c>
      <c r="N19" s="64">
        <v>30.6</v>
      </c>
      <c r="O19" s="64">
        <v>0</v>
      </c>
      <c r="P19" s="64">
        <v>0.21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4" t="s">
        <v>255</v>
      </c>
      <c r="B20" s="64">
        <v>5.32</v>
      </c>
      <c r="C20" s="64">
        <v>6.38</v>
      </c>
      <c r="D20" s="64">
        <v>7.6</v>
      </c>
      <c r="E20" s="64">
        <v>4.5199999999999996</v>
      </c>
      <c r="F20" s="64">
        <v>7.06</v>
      </c>
      <c r="G20" s="64">
        <v>11.78</v>
      </c>
      <c r="H20" s="64">
        <v>2.21</v>
      </c>
      <c r="I20" s="64">
        <v>1.28</v>
      </c>
      <c r="J20" s="64">
        <v>0.09</v>
      </c>
      <c r="K20" s="64">
        <v>295.95999999999998</v>
      </c>
      <c r="L20" s="64">
        <v>23.49</v>
      </c>
      <c r="M20" s="64">
        <v>98.18</v>
      </c>
      <c r="N20" s="64">
        <v>30.6</v>
      </c>
      <c r="O20" s="64">
        <v>0</v>
      </c>
      <c r="P20" s="64">
        <v>0.27</v>
      </c>
      <c r="Q20" s="64">
        <v>9.4600000000000009</v>
      </c>
      <c r="R20" s="198"/>
      <c r="S20" s="198"/>
      <c r="T20" s="198"/>
      <c r="U20" s="198"/>
    </row>
    <row r="21" spans="1:21" s="12" customFormat="1" x14ac:dyDescent="0.25">
      <c r="A21" s="214" t="s">
        <v>256</v>
      </c>
      <c r="B21" s="64">
        <v>5.29</v>
      </c>
      <c r="C21" s="64">
        <v>6.26</v>
      </c>
      <c r="D21" s="64">
        <v>7.52</v>
      </c>
      <c r="E21" s="64">
        <v>4.68</v>
      </c>
      <c r="F21" s="64">
        <v>8.2100000000000009</v>
      </c>
      <c r="G21" s="64">
        <v>10.99</v>
      </c>
      <c r="H21" s="64">
        <v>2.1</v>
      </c>
      <c r="I21" s="64">
        <v>1.24</v>
      </c>
      <c r="J21" s="64">
        <v>0.05</v>
      </c>
      <c r="K21" s="64">
        <v>269.11</v>
      </c>
      <c r="L21" s="64">
        <v>23.42</v>
      </c>
      <c r="M21" s="64">
        <v>98.18</v>
      </c>
      <c r="N21" s="64">
        <v>30.6</v>
      </c>
      <c r="O21" s="64">
        <v>0</v>
      </c>
      <c r="P21" s="64">
        <v>0.24</v>
      </c>
      <c r="Q21" s="64">
        <v>9.49</v>
      </c>
      <c r="R21" s="198"/>
      <c r="S21" s="198"/>
      <c r="T21" s="198"/>
      <c r="U21" s="198"/>
    </row>
    <row r="22" spans="1:21" s="12" customFormat="1" x14ac:dyDescent="0.25">
      <c r="A22" s="214" t="s">
        <v>257</v>
      </c>
      <c r="B22" s="64">
        <v>5.17</v>
      </c>
      <c r="C22" s="64">
        <v>6.05</v>
      </c>
      <c r="D22" s="64">
        <v>7.31</v>
      </c>
      <c r="E22" s="64">
        <v>4.7300000000000004</v>
      </c>
      <c r="F22" s="64">
        <v>8.34</v>
      </c>
      <c r="G22" s="64">
        <v>9.99</v>
      </c>
      <c r="H22" s="64">
        <v>1.74</v>
      </c>
      <c r="I22" s="64">
        <v>1.22</v>
      </c>
      <c r="J22" s="64">
        <v>0.05</v>
      </c>
      <c r="K22" s="64">
        <v>226.11</v>
      </c>
      <c r="L22" s="64">
        <v>23.33</v>
      </c>
      <c r="M22" s="64">
        <v>98.18</v>
      </c>
      <c r="N22" s="64">
        <v>30.6</v>
      </c>
      <c r="O22" s="64">
        <v>0</v>
      </c>
      <c r="P22" s="64">
        <v>0.25</v>
      </c>
      <c r="Q22" s="64">
        <v>9.5</v>
      </c>
      <c r="R22" s="198"/>
      <c r="S22" s="198"/>
      <c r="T22" s="198"/>
      <c r="U22" s="198"/>
    </row>
    <row r="23" spans="1:21" s="12" customFormat="1" x14ac:dyDescent="0.25">
      <c r="A23" s="214" t="s">
        <v>258</v>
      </c>
      <c r="B23" s="64">
        <v>5.05</v>
      </c>
      <c r="C23" s="64">
        <v>5.98</v>
      </c>
      <c r="D23" s="64">
        <v>7.17</v>
      </c>
      <c r="E23" s="64">
        <v>4.59</v>
      </c>
      <c r="F23" s="64">
        <v>7.41</v>
      </c>
      <c r="G23" s="64">
        <v>9.99</v>
      </c>
      <c r="H23" s="64">
        <v>1.74</v>
      </c>
      <c r="I23" s="64">
        <v>1.2</v>
      </c>
      <c r="J23" s="64">
        <v>0.1</v>
      </c>
      <c r="K23" s="64">
        <v>183.35</v>
      </c>
      <c r="L23" s="64">
        <v>23.25</v>
      </c>
      <c r="M23" s="64">
        <v>98.18</v>
      </c>
      <c r="N23" s="64">
        <v>30.6</v>
      </c>
      <c r="O23" s="64">
        <v>0</v>
      </c>
      <c r="P23" s="64">
        <v>0.23</v>
      </c>
      <c r="Q23" s="64">
        <v>9.49</v>
      </c>
      <c r="R23" s="198"/>
      <c r="S23" s="198"/>
      <c r="T23" s="198"/>
      <c r="U23" s="198"/>
    </row>
    <row r="24" spans="1:21" s="12" customFormat="1" x14ac:dyDescent="0.25">
      <c r="A24" s="214" t="s">
        <v>259</v>
      </c>
      <c r="B24" s="64">
        <v>4.91</v>
      </c>
      <c r="C24" s="64">
        <v>6.13</v>
      </c>
      <c r="D24" s="64">
        <v>7.14</v>
      </c>
      <c r="E24" s="64">
        <v>4.49</v>
      </c>
      <c r="F24" s="64">
        <v>8.67</v>
      </c>
      <c r="G24" s="64">
        <v>9.99</v>
      </c>
      <c r="H24" s="64">
        <v>1.74</v>
      </c>
      <c r="I24" s="64">
        <v>1.19</v>
      </c>
      <c r="J24" s="64">
        <v>0.27</v>
      </c>
      <c r="K24" s="64">
        <v>133.30000000000001</v>
      </c>
      <c r="L24" s="64">
        <v>23.19</v>
      </c>
      <c r="M24" s="64">
        <v>98.19</v>
      </c>
      <c r="N24" s="64">
        <v>30.6</v>
      </c>
      <c r="O24" s="64">
        <v>0</v>
      </c>
      <c r="P24" s="64">
        <v>0.21</v>
      </c>
      <c r="Q24" s="64">
        <v>9.49</v>
      </c>
      <c r="R24" s="198"/>
      <c r="S24" s="198"/>
      <c r="T24" s="198"/>
      <c r="U24" s="198"/>
    </row>
    <row r="25" spans="1:21" s="12" customFormat="1" x14ac:dyDescent="0.25">
      <c r="A25" s="214" t="s">
        <v>260</v>
      </c>
      <c r="B25" s="64">
        <v>4.8600000000000003</v>
      </c>
      <c r="C25" s="64">
        <v>6.32</v>
      </c>
      <c r="D25" s="64">
        <v>7.2</v>
      </c>
      <c r="E25" s="64">
        <v>4.63</v>
      </c>
      <c r="F25" s="64">
        <v>9.26</v>
      </c>
      <c r="G25" s="64">
        <v>10.050000000000001</v>
      </c>
      <c r="H25" s="64">
        <v>1.67</v>
      </c>
      <c r="I25" s="64">
        <v>1.17</v>
      </c>
      <c r="J25" s="64">
        <v>0.2</v>
      </c>
      <c r="K25" s="64">
        <v>157.29</v>
      </c>
      <c r="L25" s="64">
        <v>23.05</v>
      </c>
      <c r="M25" s="64">
        <v>98.22</v>
      </c>
      <c r="N25" s="64">
        <v>30.6</v>
      </c>
      <c r="O25" s="64">
        <v>0</v>
      </c>
      <c r="P25" s="64">
        <v>0.2</v>
      </c>
      <c r="Q25" s="64">
        <v>9.49</v>
      </c>
      <c r="R25" s="198"/>
      <c r="S25" s="198"/>
      <c r="T25" s="198"/>
      <c r="U25" s="198"/>
    </row>
    <row r="26" spans="1:21" s="12" customFormat="1" x14ac:dyDescent="0.25">
      <c r="A26" s="214" t="s">
        <v>261</v>
      </c>
      <c r="B26" s="64">
        <v>5.22</v>
      </c>
      <c r="C26" s="64">
        <v>7.14</v>
      </c>
      <c r="D26" s="64">
        <v>7.92</v>
      </c>
      <c r="E26" s="64">
        <v>4.83</v>
      </c>
      <c r="F26" s="64">
        <v>7.01</v>
      </c>
      <c r="G26" s="64">
        <v>10.130000000000001</v>
      </c>
      <c r="H26" s="64">
        <v>1.62</v>
      </c>
      <c r="I26" s="64">
        <v>1.1599999999999999</v>
      </c>
      <c r="J26" s="64">
        <v>0.28000000000000003</v>
      </c>
      <c r="K26" s="64">
        <v>133.11000000000001</v>
      </c>
      <c r="L26" s="64">
        <v>23.01</v>
      </c>
      <c r="M26" s="64">
        <v>98.23</v>
      </c>
      <c r="N26" s="64">
        <v>30.6</v>
      </c>
      <c r="O26" s="64">
        <v>0</v>
      </c>
      <c r="P26" s="64">
        <v>0.23</v>
      </c>
      <c r="Q26" s="64">
        <v>9.49</v>
      </c>
      <c r="R26" s="198"/>
      <c r="S26" s="198"/>
      <c r="T26" s="198"/>
      <c r="U26" s="198"/>
    </row>
    <row r="27" spans="1:21" s="12" customFormat="1" x14ac:dyDescent="0.25">
      <c r="A27" s="214" t="s">
        <v>262</v>
      </c>
      <c r="B27" s="64">
        <v>6.01</v>
      </c>
      <c r="C27" s="64">
        <v>6.32</v>
      </c>
      <c r="D27" s="64">
        <v>8.1199999999999992</v>
      </c>
      <c r="E27" s="64">
        <v>4.93</v>
      </c>
      <c r="F27" s="64">
        <v>4.4000000000000004</v>
      </c>
      <c r="G27" s="64">
        <v>10.130000000000001</v>
      </c>
      <c r="H27" s="64">
        <v>1.62</v>
      </c>
      <c r="I27" s="64">
        <v>1.1599999999999999</v>
      </c>
      <c r="J27" s="64">
        <v>0.76</v>
      </c>
      <c r="K27" s="64">
        <v>134.53</v>
      </c>
      <c r="L27" s="64">
        <v>22.95</v>
      </c>
      <c r="M27" s="64">
        <v>98.24</v>
      </c>
      <c r="N27" s="64">
        <v>30.7</v>
      </c>
      <c r="O27" s="64">
        <v>0</v>
      </c>
      <c r="P27" s="64">
        <v>0.28999999999999998</v>
      </c>
      <c r="Q27" s="64">
        <v>9.49</v>
      </c>
      <c r="R27" s="198"/>
      <c r="S27" s="198"/>
      <c r="T27" s="198"/>
      <c r="U27" s="198"/>
    </row>
    <row r="28" spans="1:21" s="12" customFormat="1" x14ac:dyDescent="0.25">
      <c r="A28" s="214" t="s">
        <v>263</v>
      </c>
      <c r="B28" s="64">
        <v>5.97</v>
      </c>
      <c r="C28" s="64">
        <v>5.99</v>
      </c>
      <c r="D28" s="64">
        <v>7.92</v>
      </c>
      <c r="E28" s="64">
        <v>4.8600000000000003</v>
      </c>
      <c r="F28" s="64">
        <v>4.8499999999999996</v>
      </c>
      <c r="G28" s="64">
        <v>10.130000000000001</v>
      </c>
      <c r="H28" s="64">
        <v>1.62</v>
      </c>
      <c r="I28" s="64">
        <v>1.1499999999999999</v>
      </c>
      <c r="J28" s="64">
        <v>0.78</v>
      </c>
      <c r="K28" s="64">
        <v>138.1</v>
      </c>
      <c r="L28" s="64">
        <v>22.92</v>
      </c>
      <c r="M28" s="64">
        <v>98.24</v>
      </c>
      <c r="N28" s="64">
        <v>30.7</v>
      </c>
      <c r="O28" s="64">
        <v>0</v>
      </c>
      <c r="P28" s="64">
        <v>0.24</v>
      </c>
      <c r="Q28" s="64">
        <v>9.48</v>
      </c>
      <c r="R28" s="198"/>
      <c r="S28" s="198"/>
      <c r="T28" s="198"/>
      <c r="U28" s="198"/>
    </row>
    <row r="29" spans="1:21" s="12" customFormat="1" x14ac:dyDescent="0.25">
      <c r="A29" s="214" t="s">
        <v>264</v>
      </c>
      <c r="B29" s="64">
        <v>5.68</v>
      </c>
      <c r="C29" s="64">
        <v>6.06</v>
      </c>
      <c r="D29" s="64">
        <v>7.73</v>
      </c>
      <c r="E29" s="64">
        <v>4.58</v>
      </c>
      <c r="F29" s="64">
        <v>6.15</v>
      </c>
      <c r="G29" s="64">
        <v>9.75</v>
      </c>
      <c r="H29" s="64">
        <v>1.56</v>
      </c>
      <c r="I29" s="64">
        <v>1.1100000000000001</v>
      </c>
      <c r="J29" s="64">
        <v>0.32</v>
      </c>
      <c r="K29" s="64">
        <v>145.68</v>
      </c>
      <c r="L29" s="64">
        <v>22.92</v>
      </c>
      <c r="M29" s="64">
        <v>98.25</v>
      </c>
      <c r="N29" s="64">
        <v>30.7</v>
      </c>
      <c r="O29" s="64">
        <v>0</v>
      </c>
      <c r="P29" s="64">
        <v>0.22</v>
      </c>
      <c r="Q29" s="64">
        <v>9.48</v>
      </c>
      <c r="R29" s="198"/>
      <c r="S29" s="198"/>
      <c r="T29" s="198"/>
      <c r="U29" s="198"/>
    </row>
    <row r="30" spans="1:21" s="12" customFormat="1" x14ac:dyDescent="0.25">
      <c r="A30" s="214" t="s">
        <v>265</v>
      </c>
      <c r="B30" s="64">
        <v>5.6</v>
      </c>
      <c r="C30" s="64">
        <v>6.32</v>
      </c>
      <c r="D30" s="64">
        <v>7.8</v>
      </c>
      <c r="E30" s="64">
        <v>4.1399999999999997</v>
      </c>
      <c r="F30" s="64">
        <v>6.75</v>
      </c>
      <c r="G30" s="64">
        <v>9.27</v>
      </c>
      <c r="H30" s="64">
        <v>1.37</v>
      </c>
      <c r="I30" s="64">
        <v>1.05</v>
      </c>
      <c r="J30" s="64">
        <v>0.16</v>
      </c>
      <c r="K30" s="64">
        <v>151.30000000000001</v>
      </c>
      <c r="L30" s="64">
        <v>22.95</v>
      </c>
      <c r="M30" s="64">
        <v>98.24</v>
      </c>
      <c r="N30" s="64">
        <v>30.6</v>
      </c>
      <c r="O30" s="64">
        <v>0</v>
      </c>
      <c r="P30" s="64">
        <v>0.22</v>
      </c>
      <c r="Q30" s="64">
        <v>9.4700000000000006</v>
      </c>
      <c r="R30" s="198"/>
      <c r="S30" s="198"/>
      <c r="T30" s="198"/>
      <c r="U30" s="198"/>
    </row>
    <row r="31" spans="1:21" s="12" customFormat="1" x14ac:dyDescent="0.25">
      <c r="A31" s="214" t="s">
        <v>266</v>
      </c>
      <c r="B31" s="64">
        <v>5.79</v>
      </c>
      <c r="C31" s="64">
        <v>6.4</v>
      </c>
      <c r="D31" s="64">
        <v>7.99</v>
      </c>
      <c r="E31" s="64">
        <v>4.53</v>
      </c>
      <c r="F31" s="64">
        <v>5.37</v>
      </c>
      <c r="G31" s="64">
        <v>9.27</v>
      </c>
      <c r="H31" s="64">
        <v>1.37</v>
      </c>
      <c r="I31" s="64">
        <v>1</v>
      </c>
      <c r="J31" s="64">
        <v>0.19</v>
      </c>
      <c r="K31" s="64">
        <v>133.41</v>
      </c>
      <c r="L31" s="64">
        <v>22.99</v>
      </c>
      <c r="M31" s="64">
        <v>98.27</v>
      </c>
      <c r="N31" s="64">
        <v>31.7</v>
      </c>
      <c r="O31" s="64">
        <v>0</v>
      </c>
      <c r="P31" s="64">
        <v>0.24</v>
      </c>
      <c r="Q31" s="64">
        <v>9.4700000000000006</v>
      </c>
      <c r="R31" s="198"/>
      <c r="S31" s="198"/>
      <c r="T31" s="198"/>
      <c r="U31" s="198"/>
    </row>
    <row r="32" spans="1:21" s="12" customFormat="1" x14ac:dyDescent="0.25">
      <c r="A32" s="214" t="s">
        <v>267</v>
      </c>
      <c r="B32" s="64">
        <v>6.28</v>
      </c>
      <c r="C32" s="64">
        <v>6.34</v>
      </c>
      <c r="D32" s="64">
        <v>8.35</v>
      </c>
      <c r="E32" s="64">
        <v>4.47</v>
      </c>
      <c r="F32" s="64">
        <v>5.27</v>
      </c>
      <c r="G32" s="64">
        <v>9.27</v>
      </c>
      <c r="H32" s="64">
        <v>1.37</v>
      </c>
      <c r="I32" s="64">
        <v>0.98</v>
      </c>
      <c r="J32" s="64">
        <v>0.03</v>
      </c>
      <c r="K32" s="64">
        <v>171.04</v>
      </c>
      <c r="L32" s="64">
        <v>23.06</v>
      </c>
      <c r="M32" s="64">
        <v>98.27</v>
      </c>
      <c r="N32" s="64">
        <v>38.700000000000003</v>
      </c>
      <c r="O32" s="64">
        <v>0</v>
      </c>
      <c r="P32" s="64">
        <v>0.25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14" t="s">
        <v>268</v>
      </c>
      <c r="B33" s="64">
        <v>6.22</v>
      </c>
      <c r="C33" s="64">
        <v>7.27</v>
      </c>
      <c r="D33" s="64">
        <v>8.7799999999999994</v>
      </c>
      <c r="E33" s="64">
        <v>4.38</v>
      </c>
      <c r="F33" s="64">
        <v>6.25</v>
      </c>
      <c r="G33" s="64">
        <v>8.82</v>
      </c>
      <c r="H33" s="64">
        <v>1.39</v>
      </c>
      <c r="I33" s="64">
        <v>0.97</v>
      </c>
      <c r="J33" s="64">
        <v>0.08</v>
      </c>
      <c r="K33" s="64">
        <v>119.11</v>
      </c>
      <c r="L33" s="64">
        <v>23.16</v>
      </c>
      <c r="M33" s="64">
        <v>98.27</v>
      </c>
      <c r="N33" s="64">
        <v>56.3</v>
      </c>
      <c r="O33" s="64">
        <v>0</v>
      </c>
      <c r="P33" s="64">
        <v>0.25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14" t="s">
        <v>269</v>
      </c>
      <c r="B34" s="64">
        <v>6.69</v>
      </c>
      <c r="C34" s="64">
        <v>7</v>
      </c>
      <c r="D34" s="64">
        <v>9.02</v>
      </c>
      <c r="E34" s="64">
        <v>4.41</v>
      </c>
      <c r="F34" s="64">
        <v>4.72</v>
      </c>
      <c r="G34" s="64">
        <v>8.25</v>
      </c>
      <c r="H34" s="64">
        <v>1.44</v>
      </c>
      <c r="I34" s="64">
        <v>0.97</v>
      </c>
      <c r="J34" s="64">
        <v>0.05</v>
      </c>
      <c r="K34" s="64">
        <v>271.16000000000003</v>
      </c>
      <c r="L34" s="64">
        <v>23.44</v>
      </c>
      <c r="M34" s="64">
        <v>98.25</v>
      </c>
      <c r="N34" s="64">
        <v>84.3</v>
      </c>
      <c r="O34" s="64">
        <v>0</v>
      </c>
      <c r="P34" s="64">
        <v>0.25</v>
      </c>
      <c r="Q34" s="64">
        <v>9.4700000000000006</v>
      </c>
      <c r="R34" s="198"/>
      <c r="S34" s="198"/>
      <c r="T34" s="198"/>
      <c r="U34" s="198"/>
    </row>
    <row r="35" spans="1:21" s="12" customFormat="1" x14ac:dyDescent="0.25">
      <c r="A35" s="214" t="s">
        <v>270</v>
      </c>
      <c r="B35" s="64">
        <v>6.46</v>
      </c>
      <c r="C35" s="64">
        <v>6.52</v>
      </c>
      <c r="D35" s="64">
        <v>8.59</v>
      </c>
      <c r="E35" s="64">
        <v>4.32</v>
      </c>
      <c r="F35" s="64">
        <v>3.53</v>
      </c>
      <c r="G35" s="64">
        <v>8.25</v>
      </c>
      <c r="H35" s="64">
        <v>1.44</v>
      </c>
      <c r="I35" s="64">
        <v>0.96</v>
      </c>
      <c r="J35" s="64">
        <v>0.11</v>
      </c>
      <c r="K35" s="64">
        <v>282.89</v>
      </c>
      <c r="L35" s="64">
        <v>23.51</v>
      </c>
      <c r="M35" s="64">
        <v>98.25</v>
      </c>
      <c r="N35" s="64">
        <v>90</v>
      </c>
      <c r="O35" s="64">
        <v>0</v>
      </c>
      <c r="P35" s="64">
        <v>0.25</v>
      </c>
      <c r="Q35" s="64">
        <v>9.4700000000000006</v>
      </c>
      <c r="R35" s="198"/>
      <c r="S35" s="198"/>
      <c r="T35" s="198"/>
      <c r="U35" s="198"/>
    </row>
    <row r="36" spans="1:21" s="12" customFormat="1" x14ac:dyDescent="0.25">
      <c r="A36" s="214" t="s">
        <v>271</v>
      </c>
      <c r="B36" s="64">
        <v>6.58</v>
      </c>
      <c r="C36" s="64">
        <v>6.42</v>
      </c>
      <c r="D36" s="64">
        <v>8.6300000000000008</v>
      </c>
      <c r="E36" s="64">
        <v>4.5199999999999996</v>
      </c>
      <c r="F36" s="64">
        <v>3.81</v>
      </c>
      <c r="G36" s="64">
        <v>8.25</v>
      </c>
      <c r="H36" s="64">
        <v>1.44</v>
      </c>
      <c r="I36" s="64">
        <v>0.95</v>
      </c>
      <c r="J36" s="64">
        <v>0.09</v>
      </c>
      <c r="K36" s="64">
        <v>265.33999999999997</v>
      </c>
      <c r="L36" s="64">
        <v>23.61</v>
      </c>
      <c r="M36" s="64">
        <v>98.21</v>
      </c>
      <c r="N36" s="64">
        <v>88.6</v>
      </c>
      <c r="O36" s="64">
        <v>0</v>
      </c>
      <c r="P36" s="64">
        <v>0.26</v>
      </c>
      <c r="Q36" s="64">
        <v>9.4600000000000009</v>
      </c>
      <c r="R36" s="198"/>
      <c r="S36" s="198"/>
      <c r="T36" s="198"/>
      <c r="U36" s="198"/>
    </row>
    <row r="37" spans="1:21" s="12" customFormat="1" x14ac:dyDescent="0.25">
      <c r="A37" s="214" t="s">
        <v>272</v>
      </c>
      <c r="B37" s="64">
        <v>7.85</v>
      </c>
      <c r="C37" s="64">
        <v>8.2899999999999991</v>
      </c>
      <c r="D37" s="64">
        <v>10.62</v>
      </c>
      <c r="E37" s="64">
        <v>4.28</v>
      </c>
      <c r="F37" s="64">
        <v>5.1100000000000003</v>
      </c>
      <c r="G37" s="64">
        <v>10.3</v>
      </c>
      <c r="H37" s="64">
        <v>1.41</v>
      </c>
      <c r="I37" s="64">
        <v>0.94</v>
      </c>
      <c r="J37" s="64">
        <v>0.11</v>
      </c>
      <c r="K37" s="64">
        <v>293.08999999999997</v>
      </c>
      <c r="L37" s="64">
        <v>24.02</v>
      </c>
      <c r="M37" s="64">
        <v>98.14</v>
      </c>
      <c r="N37" s="64">
        <v>110.8</v>
      </c>
      <c r="O37" s="64">
        <v>0</v>
      </c>
      <c r="P37" s="64">
        <v>0.26</v>
      </c>
      <c r="Q37" s="64">
        <v>9.4700000000000006</v>
      </c>
      <c r="R37" s="198"/>
      <c r="S37" s="198"/>
      <c r="T37" s="198"/>
      <c r="U37" s="198"/>
    </row>
    <row r="38" spans="1:21" s="12" customFormat="1" x14ac:dyDescent="0.25">
      <c r="A38" s="214" t="s">
        <v>273</v>
      </c>
      <c r="B38" s="64">
        <v>7.61</v>
      </c>
      <c r="C38" s="64">
        <v>7.51</v>
      </c>
      <c r="D38" s="64">
        <v>10.029999999999999</v>
      </c>
      <c r="E38" s="64">
        <v>4.1500000000000004</v>
      </c>
      <c r="F38" s="64">
        <v>4.45</v>
      </c>
      <c r="G38" s="64">
        <v>12.87</v>
      </c>
      <c r="H38" s="64">
        <v>1.33</v>
      </c>
      <c r="I38" s="64">
        <v>0.93</v>
      </c>
      <c r="J38" s="64">
        <v>0.11</v>
      </c>
      <c r="K38" s="64">
        <v>303.82</v>
      </c>
      <c r="L38" s="64">
        <v>24.35</v>
      </c>
      <c r="M38" s="64">
        <v>98.14</v>
      </c>
      <c r="N38" s="64">
        <v>119.5</v>
      </c>
      <c r="O38" s="64">
        <v>0</v>
      </c>
      <c r="P38" s="64">
        <v>0.27</v>
      </c>
      <c r="Q38" s="64">
        <v>9.49</v>
      </c>
      <c r="R38" s="198"/>
      <c r="S38" s="198"/>
      <c r="T38" s="198"/>
      <c r="U38" s="198"/>
    </row>
    <row r="39" spans="1:21" s="12" customFormat="1" x14ac:dyDescent="0.25">
      <c r="A39" s="214" t="s">
        <v>274</v>
      </c>
      <c r="B39" s="64">
        <v>7.97</v>
      </c>
      <c r="C39" s="64">
        <v>8.8800000000000008</v>
      </c>
      <c r="D39" s="64">
        <v>11.03</v>
      </c>
      <c r="E39" s="64">
        <v>4.41</v>
      </c>
      <c r="F39" s="64">
        <v>4.7300000000000004</v>
      </c>
      <c r="G39" s="64">
        <v>12.87</v>
      </c>
      <c r="H39" s="64">
        <v>1.33</v>
      </c>
      <c r="I39" s="64">
        <v>0.95</v>
      </c>
      <c r="J39" s="64">
        <v>0.11</v>
      </c>
      <c r="K39" s="64">
        <v>290.14999999999998</v>
      </c>
      <c r="L39" s="64">
        <v>24.56</v>
      </c>
      <c r="M39" s="64">
        <v>98.12</v>
      </c>
      <c r="N39" s="64">
        <v>119</v>
      </c>
      <c r="O39" s="64">
        <v>0</v>
      </c>
      <c r="P39" s="64">
        <v>0.28999999999999998</v>
      </c>
      <c r="Q39" s="64">
        <v>9.52</v>
      </c>
      <c r="R39" s="198"/>
      <c r="S39" s="198"/>
      <c r="T39" s="198"/>
      <c r="U39" s="198"/>
    </row>
    <row r="40" spans="1:21" s="12" customFormat="1" x14ac:dyDescent="0.25">
      <c r="A40" s="214" t="s">
        <v>275</v>
      </c>
      <c r="B40" s="64">
        <v>8.83</v>
      </c>
      <c r="C40" s="64">
        <v>9.11</v>
      </c>
      <c r="D40" s="64">
        <v>11.85</v>
      </c>
      <c r="E40" s="64">
        <v>3.83</v>
      </c>
      <c r="F40" s="64">
        <v>3.5</v>
      </c>
      <c r="G40" s="64">
        <v>12.87</v>
      </c>
      <c r="H40" s="64">
        <v>1.33</v>
      </c>
      <c r="I40" s="64">
        <v>0.98</v>
      </c>
      <c r="J40" s="64">
        <v>0.14000000000000001</v>
      </c>
      <c r="K40" s="64">
        <v>283.05</v>
      </c>
      <c r="L40" s="64">
        <v>24.63</v>
      </c>
      <c r="M40" s="64">
        <v>98.11</v>
      </c>
      <c r="N40" s="64">
        <v>163.1</v>
      </c>
      <c r="O40" s="64">
        <v>0</v>
      </c>
      <c r="P40" s="64">
        <v>0.28999999999999998</v>
      </c>
      <c r="Q40" s="64">
        <v>9.52</v>
      </c>
      <c r="R40" s="198"/>
      <c r="S40" s="198"/>
      <c r="T40" s="198"/>
      <c r="U40" s="198"/>
    </row>
    <row r="41" spans="1:21" s="12" customFormat="1" x14ac:dyDescent="0.25">
      <c r="A41" s="214" t="s">
        <v>276</v>
      </c>
      <c r="B41" s="64">
        <v>8.2799999999999994</v>
      </c>
      <c r="C41" s="64">
        <v>9.1999999999999993</v>
      </c>
      <c r="D41" s="64">
        <v>11.45</v>
      </c>
      <c r="E41" s="64">
        <v>3.6</v>
      </c>
      <c r="F41" s="64">
        <v>5.08</v>
      </c>
      <c r="G41" s="64">
        <v>16.78</v>
      </c>
      <c r="H41" s="64">
        <v>1.31</v>
      </c>
      <c r="I41" s="64">
        <v>1</v>
      </c>
      <c r="J41" s="64">
        <v>0.14000000000000001</v>
      </c>
      <c r="K41" s="64">
        <v>290.37</v>
      </c>
      <c r="L41" s="64">
        <v>25.62</v>
      </c>
      <c r="M41" s="64">
        <v>98.07</v>
      </c>
      <c r="N41" s="64">
        <v>250.7</v>
      </c>
      <c r="O41" s="64">
        <v>0</v>
      </c>
      <c r="P41" s="64">
        <v>0.33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4" t="s">
        <v>277</v>
      </c>
      <c r="B42" s="64">
        <v>8.94</v>
      </c>
      <c r="C42" s="64">
        <v>8.65</v>
      </c>
      <c r="D42" s="64">
        <v>11.69</v>
      </c>
      <c r="E42" s="64">
        <v>3.61</v>
      </c>
      <c r="F42" s="64">
        <v>4.24</v>
      </c>
      <c r="G42" s="64">
        <v>21.68</v>
      </c>
      <c r="H42" s="64">
        <v>1.3</v>
      </c>
      <c r="I42" s="64">
        <v>1.02</v>
      </c>
      <c r="J42" s="64">
        <v>0.15</v>
      </c>
      <c r="K42" s="64">
        <v>295.06</v>
      </c>
      <c r="L42" s="64">
        <v>25.88</v>
      </c>
      <c r="M42" s="64">
        <v>98.05</v>
      </c>
      <c r="N42" s="64">
        <v>193.1</v>
      </c>
      <c r="O42" s="64">
        <v>0</v>
      </c>
      <c r="P42" s="64">
        <v>0.36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14" t="s">
        <v>278</v>
      </c>
      <c r="B43" s="64">
        <v>8.6300000000000008</v>
      </c>
      <c r="C43" s="64">
        <v>8.99</v>
      </c>
      <c r="D43" s="64">
        <v>11.62</v>
      </c>
      <c r="E43" s="64">
        <v>3.63</v>
      </c>
      <c r="F43" s="64">
        <v>4.99</v>
      </c>
      <c r="G43" s="64">
        <v>21.68</v>
      </c>
      <c r="H43" s="64">
        <v>1.3</v>
      </c>
      <c r="I43" s="64">
        <v>1.06</v>
      </c>
      <c r="J43" s="64">
        <v>0.17</v>
      </c>
      <c r="K43" s="64">
        <v>298.63</v>
      </c>
      <c r="L43" s="64">
        <v>26.34</v>
      </c>
      <c r="M43" s="64">
        <v>98.05</v>
      </c>
      <c r="N43" s="64">
        <v>202.2</v>
      </c>
      <c r="O43" s="64">
        <v>0</v>
      </c>
      <c r="P43" s="64">
        <v>0.42</v>
      </c>
      <c r="Q43" s="64">
        <v>9.56</v>
      </c>
      <c r="R43" s="198"/>
      <c r="S43" s="198"/>
      <c r="T43" s="198"/>
      <c r="U43" s="198"/>
    </row>
    <row r="44" spans="1:21" s="12" customFormat="1" x14ac:dyDescent="0.25">
      <c r="A44" s="214" t="s">
        <v>279</v>
      </c>
      <c r="B44" s="64">
        <v>9.49</v>
      </c>
      <c r="C44" s="64">
        <v>7.24</v>
      </c>
      <c r="D44" s="64">
        <v>11.39</v>
      </c>
      <c r="E44" s="64">
        <v>3.86</v>
      </c>
      <c r="F44" s="64">
        <v>4.34</v>
      </c>
      <c r="G44" s="64">
        <v>21.68</v>
      </c>
      <c r="H44" s="64">
        <v>1.3</v>
      </c>
      <c r="I44" s="64">
        <v>1.1399999999999999</v>
      </c>
      <c r="J44" s="64">
        <v>0.46</v>
      </c>
      <c r="K44" s="64">
        <v>323.85000000000002</v>
      </c>
      <c r="L44" s="64">
        <v>26.81</v>
      </c>
      <c r="M44" s="64">
        <v>98.04</v>
      </c>
      <c r="N44" s="64">
        <v>254.4</v>
      </c>
      <c r="O44" s="64">
        <v>0</v>
      </c>
      <c r="P44" s="64">
        <v>0.38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14" t="s">
        <v>280</v>
      </c>
      <c r="B45" s="64">
        <v>9.18</v>
      </c>
      <c r="C45" s="64">
        <v>7.32</v>
      </c>
      <c r="D45" s="64">
        <v>11.18</v>
      </c>
      <c r="E45" s="64">
        <v>3.77</v>
      </c>
      <c r="F45" s="64">
        <v>4.04</v>
      </c>
      <c r="G45" s="64">
        <v>29.55</v>
      </c>
      <c r="H45" s="64">
        <v>1.26</v>
      </c>
      <c r="I45" s="64">
        <v>1.22</v>
      </c>
      <c r="J45" s="64">
        <v>0.23</v>
      </c>
      <c r="K45" s="64">
        <v>307.51</v>
      </c>
      <c r="L45" s="64">
        <v>27.41</v>
      </c>
      <c r="M45" s="64">
        <v>97.97</v>
      </c>
      <c r="N45" s="64">
        <v>298.60000000000002</v>
      </c>
      <c r="O45" s="64">
        <v>0</v>
      </c>
      <c r="P45" s="64">
        <v>0.38</v>
      </c>
      <c r="Q45" s="64">
        <v>9.57</v>
      </c>
      <c r="R45" s="198"/>
      <c r="S45" s="198"/>
      <c r="T45" s="198"/>
      <c r="U45" s="198"/>
    </row>
    <row r="46" spans="1:21" s="12" customFormat="1" x14ac:dyDescent="0.25">
      <c r="A46" s="214" t="s">
        <v>281</v>
      </c>
      <c r="B46" s="64">
        <v>9.92</v>
      </c>
      <c r="C46" s="64">
        <v>7.43</v>
      </c>
      <c r="D46" s="64">
        <v>11.83</v>
      </c>
      <c r="E46" s="64">
        <v>3.89</v>
      </c>
      <c r="F46" s="64">
        <v>2.82</v>
      </c>
      <c r="G46" s="64">
        <v>39.380000000000003</v>
      </c>
      <c r="H46" s="64">
        <v>1.1499999999999999</v>
      </c>
      <c r="I46" s="64">
        <v>1.27</v>
      </c>
      <c r="J46" s="64">
        <v>0.32</v>
      </c>
      <c r="K46" s="64">
        <v>318.68</v>
      </c>
      <c r="L46" s="64">
        <v>27.55</v>
      </c>
      <c r="M46" s="64">
        <v>97.2</v>
      </c>
      <c r="N46" s="64">
        <v>305.8</v>
      </c>
      <c r="O46" s="64">
        <v>0</v>
      </c>
      <c r="P46" s="64">
        <v>0.39</v>
      </c>
      <c r="Q46" s="64">
        <v>9.59</v>
      </c>
      <c r="R46" s="198"/>
      <c r="S46" s="198"/>
      <c r="T46" s="198"/>
      <c r="U46" s="198"/>
    </row>
    <row r="47" spans="1:21" s="12" customFormat="1" x14ac:dyDescent="0.25">
      <c r="A47" s="214" t="s">
        <v>282</v>
      </c>
      <c r="B47" s="64">
        <v>10.08</v>
      </c>
      <c r="C47" s="64">
        <v>7.3</v>
      </c>
      <c r="D47" s="64">
        <v>11.9</v>
      </c>
      <c r="E47" s="64">
        <v>3.36</v>
      </c>
      <c r="F47" s="64">
        <v>3.89</v>
      </c>
      <c r="G47" s="64">
        <v>39.380000000000003</v>
      </c>
      <c r="H47" s="64">
        <v>1.1499999999999999</v>
      </c>
      <c r="I47" s="64">
        <v>1.29</v>
      </c>
      <c r="J47" s="64">
        <v>0.3</v>
      </c>
      <c r="K47" s="64">
        <v>311.76</v>
      </c>
      <c r="L47" s="64">
        <v>28.63</v>
      </c>
      <c r="M47" s="64">
        <v>91.1</v>
      </c>
      <c r="N47" s="64">
        <v>325.89999999999998</v>
      </c>
      <c r="O47" s="64">
        <v>0</v>
      </c>
      <c r="P47" s="64">
        <v>0.4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14" t="s">
        <v>283</v>
      </c>
      <c r="B48" s="64">
        <v>10.3</v>
      </c>
      <c r="C48" s="64">
        <v>8.8000000000000007</v>
      </c>
      <c r="D48" s="64">
        <v>12.83</v>
      </c>
      <c r="E48" s="64">
        <v>3.58</v>
      </c>
      <c r="F48" s="64">
        <v>5.81</v>
      </c>
      <c r="G48" s="64">
        <v>39.380000000000003</v>
      </c>
      <c r="H48" s="64">
        <v>1.1499999999999999</v>
      </c>
      <c r="I48" s="64">
        <v>1.31</v>
      </c>
      <c r="J48" s="64">
        <v>0.36</v>
      </c>
      <c r="K48" s="64">
        <v>319.2</v>
      </c>
      <c r="L48" s="64">
        <v>29.12</v>
      </c>
      <c r="M48" s="64">
        <v>86.91</v>
      </c>
      <c r="N48" s="64">
        <v>267.7</v>
      </c>
      <c r="O48" s="64">
        <v>0</v>
      </c>
      <c r="P48" s="64">
        <v>0.42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4" t="s">
        <v>284</v>
      </c>
      <c r="B49" s="64">
        <v>10.79</v>
      </c>
      <c r="C49" s="64">
        <v>9.2200000000000006</v>
      </c>
      <c r="D49" s="64">
        <v>13.47</v>
      </c>
      <c r="E49" s="64">
        <v>3.52</v>
      </c>
      <c r="F49" s="64">
        <v>5.39</v>
      </c>
      <c r="G49" s="64">
        <v>41.65</v>
      </c>
      <c r="H49" s="64">
        <v>1.36</v>
      </c>
      <c r="I49" s="64">
        <v>1.33</v>
      </c>
      <c r="J49" s="64">
        <v>0.52</v>
      </c>
      <c r="K49" s="64">
        <v>336.2</v>
      </c>
      <c r="L49" s="64">
        <v>29.08</v>
      </c>
      <c r="M49" s="64">
        <v>88.03</v>
      </c>
      <c r="N49" s="64">
        <v>301.39999999999998</v>
      </c>
      <c r="O49" s="64">
        <v>0</v>
      </c>
      <c r="P49" s="64">
        <v>0.43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4" t="s">
        <v>285</v>
      </c>
      <c r="B50" s="64">
        <v>11.62</v>
      </c>
      <c r="C50" s="64">
        <v>9.34</v>
      </c>
      <c r="D50" s="64">
        <v>14.2</v>
      </c>
      <c r="E50" s="64">
        <v>3.79</v>
      </c>
      <c r="F50" s="64">
        <v>8.98</v>
      </c>
      <c r="G50" s="64">
        <v>44.48</v>
      </c>
      <c r="H50" s="64">
        <v>1.99</v>
      </c>
      <c r="I50" s="64">
        <v>1.34</v>
      </c>
      <c r="J50" s="64">
        <v>0.78</v>
      </c>
      <c r="K50" s="64">
        <v>339.04</v>
      </c>
      <c r="L50" s="64">
        <v>29.64</v>
      </c>
      <c r="M50" s="64">
        <v>84.02</v>
      </c>
      <c r="N50" s="64">
        <v>357.2</v>
      </c>
      <c r="O50" s="64">
        <v>0</v>
      </c>
      <c r="P50" s="64">
        <v>0.47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4" t="s">
        <v>286</v>
      </c>
      <c r="B51" s="64">
        <v>11.55</v>
      </c>
      <c r="C51" s="64">
        <v>7.77</v>
      </c>
      <c r="D51" s="64">
        <v>13.32</v>
      </c>
      <c r="E51" s="64">
        <v>3.71</v>
      </c>
      <c r="F51" s="64">
        <v>6.61</v>
      </c>
      <c r="G51" s="64">
        <v>44.48</v>
      </c>
      <c r="H51" s="64">
        <v>1.99</v>
      </c>
      <c r="I51" s="64">
        <v>1.35</v>
      </c>
      <c r="J51" s="64">
        <v>0.51</v>
      </c>
      <c r="K51" s="64">
        <v>330.64</v>
      </c>
      <c r="L51" s="64">
        <v>29.89</v>
      </c>
      <c r="M51" s="64">
        <v>81.02</v>
      </c>
      <c r="N51" s="64">
        <v>265.2</v>
      </c>
      <c r="O51" s="64">
        <v>0</v>
      </c>
      <c r="P51" s="64">
        <v>0.45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4" t="s">
        <v>287</v>
      </c>
      <c r="B52" s="64">
        <v>12.73</v>
      </c>
      <c r="C52" s="64">
        <v>10.1</v>
      </c>
      <c r="D52" s="64">
        <v>15.48</v>
      </c>
      <c r="E52" s="64">
        <v>3.71</v>
      </c>
      <c r="F52" s="64">
        <v>5.08</v>
      </c>
      <c r="G52" s="64">
        <v>44.48</v>
      </c>
      <c r="H52" s="64">
        <v>1.99</v>
      </c>
      <c r="I52" s="64">
        <v>1.35</v>
      </c>
      <c r="J52" s="64">
        <v>0.5</v>
      </c>
      <c r="K52" s="64">
        <v>329.12</v>
      </c>
      <c r="L52" s="64">
        <v>29.39</v>
      </c>
      <c r="M52" s="64">
        <v>84.36</v>
      </c>
      <c r="N52" s="64">
        <v>268.3</v>
      </c>
      <c r="O52" s="64">
        <v>0</v>
      </c>
      <c r="P52" s="64">
        <v>0.49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4" t="s">
        <v>288</v>
      </c>
      <c r="B53" s="64">
        <v>11.64</v>
      </c>
      <c r="C53" s="64">
        <v>8.17</v>
      </c>
      <c r="D53" s="64">
        <v>13.6</v>
      </c>
      <c r="E53" s="64">
        <v>3.8</v>
      </c>
      <c r="F53" s="64">
        <v>7.29</v>
      </c>
      <c r="G53" s="64">
        <v>43.83</v>
      </c>
      <c r="H53" s="64">
        <v>1.96</v>
      </c>
      <c r="I53" s="64">
        <v>1.37</v>
      </c>
      <c r="J53" s="64">
        <v>0.96</v>
      </c>
      <c r="K53" s="64">
        <v>331.68</v>
      </c>
      <c r="L53" s="64">
        <v>30.26</v>
      </c>
      <c r="M53" s="64">
        <v>80.59</v>
      </c>
      <c r="N53" s="64">
        <v>524.4</v>
      </c>
      <c r="O53" s="64">
        <v>0</v>
      </c>
      <c r="P53" s="64">
        <v>0.47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4" t="s">
        <v>289</v>
      </c>
      <c r="B54" s="64">
        <v>11.38</v>
      </c>
      <c r="C54" s="64">
        <v>7.46</v>
      </c>
      <c r="D54" s="64">
        <v>13.02</v>
      </c>
      <c r="E54" s="64">
        <v>3.39</v>
      </c>
      <c r="F54" s="64">
        <v>4.5599999999999996</v>
      </c>
      <c r="G54" s="64">
        <v>43.01</v>
      </c>
      <c r="H54" s="64">
        <v>1.85</v>
      </c>
      <c r="I54" s="64">
        <v>1.38</v>
      </c>
      <c r="J54" s="64">
        <v>1.24</v>
      </c>
      <c r="K54" s="64">
        <v>336.54</v>
      </c>
      <c r="L54" s="64">
        <v>30.85</v>
      </c>
      <c r="M54" s="64">
        <v>77.2</v>
      </c>
      <c r="N54" s="64">
        <v>355</v>
      </c>
      <c r="O54" s="64">
        <v>0</v>
      </c>
      <c r="P54" s="64">
        <v>0.46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290</v>
      </c>
      <c r="B55" s="64">
        <v>11.36</v>
      </c>
      <c r="C55" s="64">
        <v>10.49</v>
      </c>
      <c r="D55" s="64">
        <v>14.59</v>
      </c>
      <c r="E55" s="64">
        <v>3.76</v>
      </c>
      <c r="F55" s="64">
        <v>9.11</v>
      </c>
      <c r="G55" s="64">
        <v>43.01</v>
      </c>
      <c r="H55" s="64">
        <v>1.85</v>
      </c>
      <c r="I55" s="64">
        <v>1.38</v>
      </c>
      <c r="J55" s="64">
        <v>0.94</v>
      </c>
      <c r="K55" s="64">
        <v>335.23</v>
      </c>
      <c r="L55" s="64">
        <v>30.54</v>
      </c>
      <c r="M55" s="64">
        <v>78.48</v>
      </c>
      <c r="N55" s="64">
        <v>319.8</v>
      </c>
      <c r="O55" s="64">
        <v>0</v>
      </c>
      <c r="P55" s="64">
        <v>0.5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4" t="s">
        <v>291</v>
      </c>
      <c r="B56" s="64">
        <v>10.94</v>
      </c>
      <c r="C56" s="64">
        <v>8.61</v>
      </c>
      <c r="D56" s="64">
        <v>13.27</v>
      </c>
      <c r="E56" s="64">
        <v>3.62</v>
      </c>
      <c r="F56" s="64">
        <v>6.85</v>
      </c>
      <c r="G56" s="64">
        <v>43.01</v>
      </c>
      <c r="H56" s="64">
        <v>1.85</v>
      </c>
      <c r="I56" s="64">
        <v>1.38</v>
      </c>
      <c r="J56" s="64">
        <v>0.92</v>
      </c>
      <c r="K56" s="64">
        <v>333.49</v>
      </c>
      <c r="L56" s="64">
        <v>31.02</v>
      </c>
      <c r="M56" s="64">
        <v>77.58</v>
      </c>
      <c r="N56" s="64">
        <v>565</v>
      </c>
      <c r="O56" s="64">
        <v>0</v>
      </c>
      <c r="P56" s="64">
        <v>0.46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4" t="s">
        <v>292</v>
      </c>
      <c r="B57" s="64">
        <v>10.3</v>
      </c>
      <c r="C57" s="64">
        <v>8.0399999999999991</v>
      </c>
      <c r="D57" s="64">
        <v>12.46</v>
      </c>
      <c r="E57" s="64">
        <v>4.0599999999999996</v>
      </c>
      <c r="F57" s="64">
        <v>3.6</v>
      </c>
      <c r="G57" s="64">
        <v>43.78</v>
      </c>
      <c r="H57" s="64">
        <v>2.6</v>
      </c>
      <c r="I57" s="64">
        <v>1.38</v>
      </c>
      <c r="J57" s="64">
        <v>0.42</v>
      </c>
      <c r="K57" s="64">
        <v>313.98</v>
      </c>
      <c r="L57" s="64">
        <v>31.46</v>
      </c>
      <c r="M57" s="64">
        <v>74.010000000000005</v>
      </c>
      <c r="N57" s="64">
        <v>576</v>
      </c>
      <c r="O57" s="64">
        <v>0</v>
      </c>
      <c r="P57" s="64">
        <v>0.46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4" t="s">
        <v>293</v>
      </c>
      <c r="B58" s="64">
        <v>10.28</v>
      </c>
      <c r="C58" s="64">
        <v>9.01</v>
      </c>
      <c r="D58" s="64">
        <v>12.95</v>
      </c>
      <c r="E58" s="64">
        <v>3.81</v>
      </c>
      <c r="F58" s="64">
        <v>3.89</v>
      </c>
      <c r="G58" s="64">
        <v>3.52</v>
      </c>
      <c r="H58" s="64">
        <v>0.08</v>
      </c>
      <c r="I58" s="64">
        <v>1.39</v>
      </c>
      <c r="J58" s="64">
        <v>0.83</v>
      </c>
      <c r="K58" s="64">
        <v>337.59</v>
      </c>
      <c r="L58" s="64">
        <v>31.87</v>
      </c>
      <c r="M58" s="64">
        <v>73.239999999999995</v>
      </c>
      <c r="N58" s="64">
        <v>562.79999999999995</v>
      </c>
      <c r="O58" s="64">
        <v>0</v>
      </c>
      <c r="P58" s="64">
        <v>0.49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4" t="s">
        <v>294</v>
      </c>
      <c r="B59" s="64">
        <v>9.35</v>
      </c>
      <c r="C59" s="64">
        <v>10.23</v>
      </c>
      <c r="D59" s="64">
        <v>12.84</v>
      </c>
      <c r="E59" s="64">
        <v>3.62</v>
      </c>
      <c r="F59" s="64">
        <v>3.77</v>
      </c>
      <c r="G59" s="26" t="s">
        <v>40</v>
      </c>
      <c r="H59" s="26" t="s">
        <v>40</v>
      </c>
      <c r="I59" s="64">
        <v>1.31</v>
      </c>
      <c r="J59" s="64">
        <v>1.28</v>
      </c>
      <c r="K59" s="64">
        <v>334.63</v>
      </c>
      <c r="L59" s="64">
        <v>31.86</v>
      </c>
      <c r="M59" s="64">
        <v>72.48</v>
      </c>
      <c r="N59" s="64">
        <v>546.6</v>
      </c>
      <c r="O59" s="64">
        <v>0</v>
      </c>
      <c r="P59" s="64">
        <v>0.5</v>
      </c>
      <c r="Q59" s="64">
        <v>9.58</v>
      </c>
      <c r="R59" s="198"/>
      <c r="S59" s="198"/>
      <c r="T59" s="198"/>
      <c r="U59" s="198"/>
    </row>
    <row r="60" spans="1:21" s="12" customFormat="1" x14ac:dyDescent="0.25">
      <c r="A60" s="214" t="s">
        <v>295</v>
      </c>
      <c r="B60" s="64">
        <v>9.02</v>
      </c>
      <c r="C60" s="64">
        <v>11.38</v>
      </c>
      <c r="D60" s="64">
        <v>13.18</v>
      </c>
      <c r="E60" s="64">
        <v>3.64</v>
      </c>
      <c r="F60" s="64">
        <v>3.54</v>
      </c>
      <c r="G60" s="26" t="s">
        <v>40</v>
      </c>
      <c r="H60" s="26" t="s">
        <v>40</v>
      </c>
      <c r="I60" s="64">
        <v>1.3</v>
      </c>
      <c r="J60" s="64">
        <v>1.31</v>
      </c>
      <c r="K60" s="64">
        <v>335.79</v>
      </c>
      <c r="L60" s="64">
        <v>31.81</v>
      </c>
      <c r="M60" s="64">
        <v>72.25</v>
      </c>
      <c r="N60" s="64">
        <v>352</v>
      </c>
      <c r="O60" s="64">
        <v>0</v>
      </c>
      <c r="P60" s="64">
        <v>0.51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14" t="s">
        <v>296</v>
      </c>
      <c r="B61" s="64">
        <v>9.94</v>
      </c>
      <c r="C61" s="64">
        <v>13.16</v>
      </c>
      <c r="D61" s="64">
        <v>14.84</v>
      </c>
      <c r="E61" s="64">
        <v>3.77</v>
      </c>
      <c r="F61" s="64">
        <v>8.0500000000000007</v>
      </c>
      <c r="G61" s="26" t="s">
        <v>40</v>
      </c>
      <c r="H61" s="26" t="s">
        <v>40</v>
      </c>
      <c r="I61" s="64">
        <v>1.28</v>
      </c>
      <c r="J61" s="64">
        <v>1</v>
      </c>
      <c r="K61" s="64">
        <v>337.42</v>
      </c>
      <c r="L61" s="64">
        <v>31.58</v>
      </c>
      <c r="M61" s="64">
        <v>71.680000000000007</v>
      </c>
      <c r="N61" s="64">
        <v>294.39999999999998</v>
      </c>
      <c r="O61" s="64">
        <v>0</v>
      </c>
      <c r="P61" s="64">
        <v>0.48</v>
      </c>
      <c r="Q61" s="64">
        <v>9.5500000000000007</v>
      </c>
      <c r="R61" s="198"/>
      <c r="S61" s="198"/>
      <c r="T61" s="198"/>
      <c r="U61" s="198"/>
    </row>
    <row r="62" spans="1:21" s="12" customFormat="1" x14ac:dyDescent="0.25">
      <c r="A62" s="214" t="s">
        <v>297</v>
      </c>
      <c r="B62" s="64">
        <v>8.1</v>
      </c>
      <c r="C62" s="64">
        <v>16.440000000000001</v>
      </c>
      <c r="D62" s="64">
        <v>15.08</v>
      </c>
      <c r="E62" s="64">
        <v>3.87</v>
      </c>
      <c r="F62" s="64">
        <v>5.19</v>
      </c>
      <c r="G62" s="26" t="s">
        <v>40</v>
      </c>
      <c r="H62" s="26" t="s">
        <v>40</v>
      </c>
      <c r="I62" s="64">
        <v>1.18</v>
      </c>
      <c r="J62" s="64">
        <v>0.83</v>
      </c>
      <c r="K62" s="64">
        <v>334.05</v>
      </c>
      <c r="L62" s="64">
        <v>31.5</v>
      </c>
      <c r="M62" s="64">
        <v>70.87</v>
      </c>
      <c r="N62" s="64">
        <v>306.3</v>
      </c>
      <c r="O62" s="64">
        <v>0</v>
      </c>
      <c r="P62" s="64">
        <v>0.51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14" t="s">
        <v>298</v>
      </c>
      <c r="B63" s="64">
        <v>13.47</v>
      </c>
      <c r="C63" s="64">
        <v>16.93</v>
      </c>
      <c r="D63" s="64">
        <v>19.649999999999999</v>
      </c>
      <c r="E63" s="64">
        <v>3.62</v>
      </c>
      <c r="F63" s="64">
        <v>8.43</v>
      </c>
      <c r="G63" s="26" t="s">
        <v>40</v>
      </c>
      <c r="H63" s="26" t="s">
        <v>40</v>
      </c>
      <c r="I63" s="64">
        <v>1.1000000000000001</v>
      </c>
      <c r="J63" s="64">
        <v>0.36</v>
      </c>
      <c r="K63" s="64">
        <v>338</v>
      </c>
      <c r="L63" s="64">
        <v>31.23</v>
      </c>
      <c r="M63" s="64">
        <v>71.59</v>
      </c>
      <c r="N63" s="64">
        <v>203.1</v>
      </c>
      <c r="O63" s="64">
        <v>0</v>
      </c>
      <c r="P63" s="64">
        <v>0.66</v>
      </c>
      <c r="Q63" s="64">
        <v>9.5399999999999991</v>
      </c>
      <c r="R63" s="198"/>
      <c r="S63" s="198"/>
      <c r="T63" s="198"/>
      <c r="U63" s="198"/>
    </row>
    <row r="64" spans="1:21" s="12" customFormat="1" x14ac:dyDescent="0.25">
      <c r="A64" s="214" t="s">
        <v>299</v>
      </c>
      <c r="B64" s="64">
        <v>10.01</v>
      </c>
      <c r="C64" s="64">
        <v>17.47</v>
      </c>
      <c r="D64" s="64">
        <v>17.16</v>
      </c>
      <c r="E64" s="64">
        <v>3.8</v>
      </c>
      <c r="F64" s="64">
        <v>10.96</v>
      </c>
      <c r="G64" s="26" t="s">
        <v>40</v>
      </c>
      <c r="H64" s="26" t="s">
        <v>40</v>
      </c>
      <c r="I64" s="64">
        <v>1.07</v>
      </c>
      <c r="J64" s="64">
        <v>0.22</v>
      </c>
      <c r="K64" s="64">
        <v>359.27</v>
      </c>
      <c r="L64" s="64">
        <v>30.57</v>
      </c>
      <c r="M64" s="64">
        <v>76.31</v>
      </c>
      <c r="N64" s="64">
        <v>220.9</v>
      </c>
      <c r="O64" s="64">
        <v>0</v>
      </c>
      <c r="P64" s="64">
        <v>0.54</v>
      </c>
      <c r="Q64" s="64">
        <v>9.5500000000000007</v>
      </c>
      <c r="R64" s="198"/>
      <c r="S64" s="198"/>
      <c r="T64" s="198"/>
      <c r="U64" s="198"/>
    </row>
    <row r="65" spans="1:21" s="12" customFormat="1" x14ac:dyDescent="0.25">
      <c r="A65" s="214" t="s">
        <v>300</v>
      </c>
      <c r="B65" s="64">
        <v>10.210000000000001</v>
      </c>
      <c r="C65" s="64">
        <v>16.87</v>
      </c>
      <c r="D65" s="64">
        <v>17</v>
      </c>
      <c r="E65" s="64">
        <v>3.6</v>
      </c>
      <c r="F65" s="64">
        <v>10.75</v>
      </c>
      <c r="G65" s="26" t="s">
        <v>40</v>
      </c>
      <c r="H65" s="26" t="s">
        <v>40</v>
      </c>
      <c r="I65" s="64">
        <v>1.1100000000000001</v>
      </c>
      <c r="J65" s="64">
        <v>0.18</v>
      </c>
      <c r="K65" s="64">
        <v>122.95</v>
      </c>
      <c r="L65" s="64">
        <v>29.19</v>
      </c>
      <c r="M65" s="64">
        <v>88.68</v>
      </c>
      <c r="N65" s="64">
        <v>115.5</v>
      </c>
      <c r="O65" s="64">
        <v>0</v>
      </c>
      <c r="P65" s="64">
        <v>0.62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4" t="s">
        <v>301</v>
      </c>
      <c r="B66" s="64">
        <v>6.35</v>
      </c>
      <c r="C66" s="64">
        <v>13.78</v>
      </c>
      <c r="D66" s="64">
        <v>11.59</v>
      </c>
      <c r="E66" s="64">
        <v>3.7</v>
      </c>
      <c r="F66" s="64">
        <v>10.97</v>
      </c>
      <c r="G66" s="64">
        <v>118.7</v>
      </c>
      <c r="H66" s="6" t="s">
        <v>42</v>
      </c>
      <c r="I66" s="64">
        <v>1.1100000000000001</v>
      </c>
      <c r="J66" s="64">
        <v>0.55000000000000004</v>
      </c>
      <c r="K66" s="64">
        <v>126.55</v>
      </c>
      <c r="L66" s="64">
        <v>27.76</v>
      </c>
      <c r="M66" s="64">
        <v>95.31</v>
      </c>
      <c r="N66" s="64">
        <v>93.3</v>
      </c>
      <c r="O66" s="64">
        <v>0</v>
      </c>
      <c r="P66" s="64">
        <v>0.4</v>
      </c>
      <c r="Q66" s="64">
        <v>9.5399999999999991</v>
      </c>
      <c r="R66" s="198"/>
      <c r="S66" s="198"/>
      <c r="T66" s="198"/>
      <c r="U66" s="198"/>
    </row>
    <row r="67" spans="1:21" s="12" customFormat="1" x14ac:dyDescent="0.25">
      <c r="A67" s="214" t="s">
        <v>302</v>
      </c>
      <c r="B67" s="64">
        <v>5.77</v>
      </c>
      <c r="C67" s="64">
        <v>13.57</v>
      </c>
      <c r="D67" s="64">
        <v>11.71</v>
      </c>
      <c r="E67" s="64">
        <v>3.76</v>
      </c>
      <c r="F67" s="64">
        <v>10.56</v>
      </c>
      <c r="G67" s="64">
        <v>118.7</v>
      </c>
      <c r="H67" s="6" t="s">
        <v>42</v>
      </c>
      <c r="I67" s="64">
        <v>1.1299999999999999</v>
      </c>
      <c r="J67" s="64">
        <v>0.56999999999999995</v>
      </c>
      <c r="K67" s="64">
        <v>127.75</v>
      </c>
      <c r="L67" s="64">
        <v>26.65</v>
      </c>
      <c r="M67" s="64">
        <v>98.04</v>
      </c>
      <c r="N67" s="64">
        <v>84.9</v>
      </c>
      <c r="O67" s="64">
        <v>0</v>
      </c>
      <c r="P67" s="64">
        <v>0.42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4" t="s">
        <v>303</v>
      </c>
      <c r="B68" s="64">
        <v>6.94</v>
      </c>
      <c r="C68" s="64">
        <v>13.37</v>
      </c>
      <c r="D68" s="64">
        <v>12.55</v>
      </c>
      <c r="E68" s="64">
        <v>3.59</v>
      </c>
      <c r="F68" s="64">
        <v>5.84</v>
      </c>
      <c r="G68" s="64">
        <v>118.7</v>
      </c>
      <c r="H68" s="6" t="s">
        <v>42</v>
      </c>
      <c r="I68" s="64">
        <v>1.1499999999999999</v>
      </c>
      <c r="J68" s="64">
        <v>0.66</v>
      </c>
      <c r="K68" s="64">
        <v>151.43</v>
      </c>
      <c r="L68" s="64">
        <v>24.76</v>
      </c>
      <c r="M68" s="64">
        <v>98.17</v>
      </c>
      <c r="N68" s="64">
        <v>63.2</v>
      </c>
      <c r="O68" s="64">
        <v>0</v>
      </c>
      <c r="P68" s="64">
        <v>0.44</v>
      </c>
      <c r="Q68" s="64">
        <v>9.56</v>
      </c>
      <c r="R68" s="198"/>
      <c r="S68" s="198"/>
      <c r="T68" s="198"/>
      <c r="U68" s="198"/>
    </row>
    <row r="69" spans="1:21" s="12" customFormat="1" x14ac:dyDescent="0.25">
      <c r="A69" s="214" t="s">
        <v>304</v>
      </c>
      <c r="B69" s="64">
        <v>6.92</v>
      </c>
      <c r="C69" s="64">
        <v>11.2</v>
      </c>
      <c r="D69" s="64">
        <v>11.4</v>
      </c>
      <c r="E69" s="64">
        <v>3.65</v>
      </c>
      <c r="F69" s="64">
        <v>3.93</v>
      </c>
      <c r="G69" s="64">
        <v>118.7</v>
      </c>
      <c r="H69" s="6" t="s">
        <v>42</v>
      </c>
      <c r="I69" s="64">
        <v>1.1399999999999999</v>
      </c>
      <c r="J69" s="64">
        <v>0.55000000000000004</v>
      </c>
      <c r="K69" s="64">
        <v>317.64999999999998</v>
      </c>
      <c r="L69" s="64">
        <v>23.73</v>
      </c>
      <c r="M69" s="64">
        <v>98.21</v>
      </c>
      <c r="N69" s="64">
        <v>45.4</v>
      </c>
      <c r="O69" s="64">
        <v>2.6</v>
      </c>
      <c r="P69" s="64">
        <v>0.45</v>
      </c>
      <c r="Q69" s="64">
        <v>9.5500000000000007</v>
      </c>
      <c r="R69" s="198"/>
      <c r="S69" s="198"/>
      <c r="T69" s="198"/>
      <c r="U69" s="198"/>
    </row>
    <row r="70" spans="1:21" s="12" customFormat="1" x14ac:dyDescent="0.25">
      <c r="A70" s="214" t="s">
        <v>305</v>
      </c>
      <c r="B70" s="64">
        <v>6.53</v>
      </c>
      <c r="C70" s="64">
        <v>11.52</v>
      </c>
      <c r="D70" s="64">
        <v>11.26</v>
      </c>
      <c r="E70" s="64">
        <v>3.47</v>
      </c>
      <c r="F70" s="64">
        <v>3.57</v>
      </c>
      <c r="G70" s="64">
        <v>89.4</v>
      </c>
      <c r="H70" s="6" t="s">
        <v>42</v>
      </c>
      <c r="I70" s="64">
        <v>1.2</v>
      </c>
      <c r="J70" s="64">
        <v>0.31</v>
      </c>
      <c r="K70" s="64">
        <v>329.22</v>
      </c>
      <c r="L70" s="64">
        <v>22.89</v>
      </c>
      <c r="M70" s="64">
        <v>98.21</v>
      </c>
      <c r="N70" s="64">
        <v>51.1</v>
      </c>
      <c r="O70" s="64">
        <v>3</v>
      </c>
      <c r="P70" s="64">
        <v>0.43</v>
      </c>
      <c r="Q70" s="64">
        <v>9.5500000000000007</v>
      </c>
      <c r="R70" s="198"/>
      <c r="S70" s="198"/>
      <c r="T70" s="198"/>
      <c r="U70" s="198"/>
    </row>
    <row r="71" spans="1:21" s="12" customFormat="1" x14ac:dyDescent="0.25">
      <c r="A71" s="214" t="s">
        <v>306</v>
      </c>
      <c r="B71" s="64">
        <v>6.17</v>
      </c>
      <c r="C71" s="64">
        <v>11.17</v>
      </c>
      <c r="D71" s="64">
        <v>10.78</v>
      </c>
      <c r="E71" s="64">
        <v>3.59</v>
      </c>
      <c r="F71" s="64">
        <v>7.37</v>
      </c>
      <c r="G71" s="64">
        <v>82.58</v>
      </c>
      <c r="H71" s="6" t="s">
        <v>42</v>
      </c>
      <c r="I71" s="64">
        <v>1.21</v>
      </c>
      <c r="J71" s="64">
        <v>0.06</v>
      </c>
      <c r="K71" s="64">
        <v>307.43</v>
      </c>
      <c r="L71" s="64">
        <v>22.56</v>
      </c>
      <c r="M71" s="64">
        <v>98.21</v>
      </c>
      <c r="N71" s="64">
        <v>61.7</v>
      </c>
      <c r="O71" s="64">
        <v>1</v>
      </c>
      <c r="P71" s="64">
        <v>0.4</v>
      </c>
      <c r="Q71" s="64">
        <v>9.56</v>
      </c>
      <c r="R71" s="198"/>
      <c r="S71" s="198"/>
      <c r="T71" s="198"/>
      <c r="U71" s="198"/>
    </row>
    <row r="72" spans="1:21" s="12" customFormat="1" x14ac:dyDescent="0.25">
      <c r="A72" s="214" t="s">
        <v>307</v>
      </c>
      <c r="B72" s="64">
        <v>6.15</v>
      </c>
      <c r="C72" s="64">
        <v>15.48</v>
      </c>
      <c r="D72" s="64">
        <v>13.01</v>
      </c>
      <c r="E72" s="64">
        <v>3.3</v>
      </c>
      <c r="F72" s="64">
        <v>7.71</v>
      </c>
      <c r="G72" s="64">
        <v>82.58</v>
      </c>
      <c r="H72" s="6" t="s">
        <v>42</v>
      </c>
      <c r="I72" s="64">
        <v>1.1599999999999999</v>
      </c>
      <c r="J72" s="64">
        <v>0.1</v>
      </c>
      <c r="K72" s="64">
        <v>220.46</v>
      </c>
      <c r="L72" s="64">
        <v>22.37</v>
      </c>
      <c r="M72" s="64">
        <v>98.2</v>
      </c>
      <c r="N72" s="64">
        <v>92.3</v>
      </c>
      <c r="O72" s="64">
        <v>0.2</v>
      </c>
      <c r="P72" s="64">
        <v>0.37</v>
      </c>
      <c r="Q72" s="64">
        <v>9.58</v>
      </c>
      <c r="R72" s="198"/>
      <c r="S72" s="198"/>
      <c r="T72" s="198"/>
      <c r="U72" s="198"/>
    </row>
    <row r="73" spans="1:21" s="12" customFormat="1" x14ac:dyDescent="0.25">
      <c r="A73" s="214" t="s">
        <v>308</v>
      </c>
      <c r="B73" s="64">
        <v>16.47</v>
      </c>
      <c r="C73" s="64">
        <v>17.7</v>
      </c>
      <c r="D73" s="64">
        <v>22.46</v>
      </c>
      <c r="E73" s="64">
        <v>3.66</v>
      </c>
      <c r="F73" s="64">
        <v>7.06</v>
      </c>
      <c r="G73" s="64">
        <v>82.58</v>
      </c>
      <c r="H73" s="6" t="s">
        <v>42</v>
      </c>
      <c r="I73" s="64">
        <v>1.1399999999999999</v>
      </c>
      <c r="J73" s="64">
        <v>7.0000000000000007E-2</v>
      </c>
      <c r="K73" s="64">
        <v>275.57</v>
      </c>
      <c r="L73" s="64">
        <v>22.86</v>
      </c>
      <c r="M73" s="64">
        <v>98.2</v>
      </c>
      <c r="N73" s="64">
        <v>114.8</v>
      </c>
      <c r="O73" s="64">
        <v>0</v>
      </c>
      <c r="P73" s="64">
        <v>0.66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4" t="s">
        <v>309</v>
      </c>
      <c r="B74" s="64">
        <v>7.98</v>
      </c>
      <c r="C74" s="64">
        <v>12.76</v>
      </c>
      <c r="D74" s="64">
        <v>13.07</v>
      </c>
      <c r="E74" s="64">
        <v>3.49</v>
      </c>
      <c r="F74" s="64">
        <v>7.6</v>
      </c>
      <c r="G74" s="64">
        <v>58.52</v>
      </c>
      <c r="H74" s="64">
        <v>16.38</v>
      </c>
      <c r="I74" s="64">
        <v>1.1499999999999999</v>
      </c>
      <c r="J74" s="64">
        <v>0.1</v>
      </c>
      <c r="K74" s="64">
        <v>129.84</v>
      </c>
      <c r="L74" s="64">
        <v>23.15</v>
      </c>
      <c r="M74" s="64">
        <v>98.2</v>
      </c>
      <c r="N74" s="64">
        <v>131.9</v>
      </c>
      <c r="O74" s="64">
        <v>0</v>
      </c>
      <c r="P74" s="64">
        <v>0.52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4" t="s">
        <v>310</v>
      </c>
      <c r="B75" s="64">
        <v>5.73</v>
      </c>
      <c r="C75" s="64">
        <v>14.13</v>
      </c>
      <c r="D75" s="64">
        <v>11.98</v>
      </c>
      <c r="E75" s="64">
        <v>3.5</v>
      </c>
      <c r="F75" s="64">
        <v>9.5500000000000007</v>
      </c>
      <c r="G75" s="64">
        <v>52.92</v>
      </c>
      <c r="H75" s="64">
        <v>20.2</v>
      </c>
      <c r="I75" s="64">
        <v>1.1000000000000001</v>
      </c>
      <c r="J75" s="64">
        <v>0.06</v>
      </c>
      <c r="K75" s="64">
        <v>192.1</v>
      </c>
      <c r="L75" s="64">
        <v>23.38</v>
      </c>
      <c r="M75" s="64">
        <v>98.2</v>
      </c>
      <c r="N75" s="64">
        <v>128.9</v>
      </c>
      <c r="O75" s="64">
        <v>0</v>
      </c>
      <c r="P75" s="64">
        <v>0.39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4" t="s">
        <v>311</v>
      </c>
      <c r="B76" s="64">
        <v>5.26</v>
      </c>
      <c r="C76" s="64">
        <v>12.86</v>
      </c>
      <c r="D76" s="64">
        <v>10.94</v>
      </c>
      <c r="E76" s="64">
        <v>3.7</v>
      </c>
      <c r="F76" s="64">
        <v>9.1199999999999992</v>
      </c>
      <c r="G76" s="64">
        <v>52.92</v>
      </c>
      <c r="H76" s="64">
        <v>20.2</v>
      </c>
      <c r="I76" s="64">
        <v>1.06</v>
      </c>
      <c r="J76" s="64">
        <v>0.05</v>
      </c>
      <c r="K76" s="64">
        <v>234.5</v>
      </c>
      <c r="L76" s="64">
        <v>23.51</v>
      </c>
      <c r="M76" s="64">
        <v>98.2</v>
      </c>
      <c r="N76" s="64">
        <v>107.8</v>
      </c>
      <c r="O76" s="64">
        <v>0</v>
      </c>
      <c r="P76" s="64">
        <v>0.36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4" t="s">
        <v>312</v>
      </c>
      <c r="B77" s="64">
        <v>6.05</v>
      </c>
      <c r="C77" s="64">
        <v>14.75</v>
      </c>
      <c r="D77" s="64">
        <v>12.56</v>
      </c>
      <c r="E77" s="64">
        <v>3.91</v>
      </c>
      <c r="F77" s="64">
        <v>8.82</v>
      </c>
      <c r="G77" s="64">
        <v>52.92</v>
      </c>
      <c r="H77" s="64">
        <v>20.2</v>
      </c>
      <c r="I77" s="64">
        <v>1.07</v>
      </c>
      <c r="J77" s="64">
        <v>0.13</v>
      </c>
      <c r="K77" s="64">
        <v>150.34</v>
      </c>
      <c r="L77" s="64">
        <v>23.61</v>
      </c>
      <c r="M77" s="64">
        <v>98.2</v>
      </c>
      <c r="N77" s="64">
        <v>84.5</v>
      </c>
      <c r="O77" s="64">
        <v>0</v>
      </c>
      <c r="P77" s="64">
        <v>0.39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4" t="s">
        <v>313</v>
      </c>
      <c r="B78" s="64">
        <v>6.72</v>
      </c>
      <c r="C78" s="64">
        <v>15.44</v>
      </c>
      <c r="D78" s="64">
        <v>13.46</v>
      </c>
      <c r="E78" s="64">
        <v>3.33</v>
      </c>
      <c r="F78" s="64">
        <v>7.66</v>
      </c>
      <c r="G78" s="64">
        <v>33.76</v>
      </c>
      <c r="H78" s="64">
        <v>37</v>
      </c>
      <c r="I78" s="64">
        <v>1.08</v>
      </c>
      <c r="J78" s="64">
        <v>0.24</v>
      </c>
      <c r="K78" s="64">
        <v>135.97</v>
      </c>
      <c r="L78" s="64">
        <v>23.78</v>
      </c>
      <c r="M78" s="64">
        <v>98.2</v>
      </c>
      <c r="N78" s="64">
        <v>66.599999999999994</v>
      </c>
      <c r="O78" s="64">
        <v>0</v>
      </c>
      <c r="P78" s="64">
        <v>0.44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4" t="s">
        <v>314</v>
      </c>
      <c r="B79" s="64">
        <v>9.24</v>
      </c>
      <c r="C79" s="64">
        <v>12.13</v>
      </c>
      <c r="D79" s="64">
        <v>13.74</v>
      </c>
      <c r="E79" s="64">
        <v>3.65</v>
      </c>
      <c r="F79" s="64">
        <v>5.83</v>
      </c>
      <c r="G79" s="64">
        <v>29.3</v>
      </c>
      <c r="H79" s="64">
        <v>40.909999999999997</v>
      </c>
      <c r="I79" s="64">
        <v>1.1000000000000001</v>
      </c>
      <c r="J79" s="64">
        <v>7.0000000000000007E-2</v>
      </c>
      <c r="K79" s="64">
        <v>343.45</v>
      </c>
      <c r="L79" s="64">
        <v>23.95</v>
      </c>
      <c r="M79" s="64">
        <v>98.21</v>
      </c>
      <c r="N79" s="64">
        <v>50.2</v>
      </c>
      <c r="O79" s="64">
        <v>0</v>
      </c>
      <c r="P79" s="64">
        <v>0.55000000000000004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4" t="s">
        <v>315</v>
      </c>
      <c r="B80" s="64">
        <v>19.72</v>
      </c>
      <c r="C80" s="64">
        <v>14.66</v>
      </c>
      <c r="D80" s="64">
        <v>23.45</v>
      </c>
      <c r="E80" s="64">
        <v>3.65</v>
      </c>
      <c r="F80" s="64">
        <v>6.05</v>
      </c>
      <c r="G80" s="64">
        <v>29.3</v>
      </c>
      <c r="H80" s="64">
        <v>40.909999999999997</v>
      </c>
      <c r="I80" s="64">
        <v>1.1200000000000001</v>
      </c>
      <c r="J80" s="64">
        <v>0.1</v>
      </c>
      <c r="K80" s="64">
        <v>334.82</v>
      </c>
      <c r="L80" s="64">
        <v>24.12</v>
      </c>
      <c r="M80" s="64">
        <v>98.22</v>
      </c>
      <c r="N80" s="64">
        <v>37.299999999999997</v>
      </c>
      <c r="O80" s="64">
        <v>0</v>
      </c>
      <c r="P80" s="64">
        <v>0.98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4" t="s">
        <v>316</v>
      </c>
      <c r="B81" s="64">
        <v>7.1</v>
      </c>
      <c r="C81" s="64">
        <v>14.8</v>
      </c>
      <c r="D81" s="64">
        <v>13.42</v>
      </c>
      <c r="E81" s="64">
        <v>4.0599999999999996</v>
      </c>
      <c r="F81" s="64">
        <v>6.15</v>
      </c>
      <c r="G81" s="64">
        <v>29.3</v>
      </c>
      <c r="H81" s="64">
        <v>40.909999999999997</v>
      </c>
      <c r="I81" s="64">
        <v>1.1399999999999999</v>
      </c>
      <c r="J81" s="64">
        <v>0.04</v>
      </c>
      <c r="K81" s="64">
        <v>282.27999999999997</v>
      </c>
      <c r="L81" s="64">
        <v>24.1</v>
      </c>
      <c r="M81" s="64">
        <v>98.22</v>
      </c>
      <c r="N81" s="64">
        <v>32.700000000000003</v>
      </c>
      <c r="O81" s="64">
        <v>0</v>
      </c>
      <c r="P81" s="64">
        <v>0.61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317</v>
      </c>
      <c r="B82" s="64">
        <v>8.06</v>
      </c>
      <c r="C82" s="64">
        <v>16.52</v>
      </c>
      <c r="D82" s="64">
        <v>15.09</v>
      </c>
      <c r="E82" s="64">
        <v>3.51</v>
      </c>
      <c r="F82" s="64">
        <v>5.94</v>
      </c>
      <c r="G82" s="64">
        <v>24.09</v>
      </c>
      <c r="H82" s="64">
        <v>26.64</v>
      </c>
      <c r="I82" s="64">
        <v>1.18</v>
      </c>
      <c r="J82" s="64">
        <v>0.04</v>
      </c>
      <c r="K82" s="64">
        <v>125.96</v>
      </c>
      <c r="L82" s="64">
        <v>24.12</v>
      </c>
      <c r="M82" s="64">
        <v>98.22</v>
      </c>
      <c r="N82" s="64">
        <v>31</v>
      </c>
      <c r="O82" s="64">
        <v>0</v>
      </c>
      <c r="P82" s="64">
        <v>0.6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4" t="s">
        <v>318</v>
      </c>
      <c r="B83" s="64">
        <v>9.8699999999999992</v>
      </c>
      <c r="C83" s="64">
        <v>17.760000000000002</v>
      </c>
      <c r="D83" s="64">
        <v>17.2</v>
      </c>
      <c r="E83" s="64">
        <v>3.66</v>
      </c>
      <c r="F83" s="64">
        <v>4.84</v>
      </c>
      <c r="G83" s="64">
        <v>22.79</v>
      </c>
      <c r="H83" s="64">
        <v>23.32</v>
      </c>
      <c r="I83" s="64">
        <v>1.22</v>
      </c>
      <c r="J83" s="64">
        <v>0.05</v>
      </c>
      <c r="K83" s="64">
        <v>354.92</v>
      </c>
      <c r="L83" s="64">
        <v>24.03</v>
      </c>
      <c r="M83" s="64">
        <v>98.23</v>
      </c>
      <c r="N83" s="64">
        <v>31.3</v>
      </c>
      <c r="O83" s="64">
        <v>0</v>
      </c>
      <c r="P83" s="64">
        <v>0.79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4" t="s">
        <v>319</v>
      </c>
      <c r="B84" s="64">
        <v>12.54</v>
      </c>
      <c r="C84" s="64">
        <v>15.78</v>
      </c>
      <c r="D84" s="64">
        <v>18.3</v>
      </c>
      <c r="E84" s="64">
        <v>3.58</v>
      </c>
      <c r="F84" s="64">
        <v>5.49</v>
      </c>
      <c r="G84" s="64">
        <v>22.79</v>
      </c>
      <c r="H84" s="64">
        <v>23.32</v>
      </c>
      <c r="I84" s="64">
        <v>1.26</v>
      </c>
      <c r="J84" s="64">
        <v>7.0000000000000007E-2</v>
      </c>
      <c r="K84" s="64">
        <v>265.11</v>
      </c>
      <c r="L84" s="64">
        <v>24.07</v>
      </c>
      <c r="M84" s="64">
        <v>98.24</v>
      </c>
      <c r="N84" s="64">
        <v>31.1</v>
      </c>
      <c r="O84" s="64">
        <v>0</v>
      </c>
      <c r="P84" s="64">
        <v>0.88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4" t="s">
        <v>320</v>
      </c>
      <c r="B85" s="64">
        <v>16.239999999999998</v>
      </c>
      <c r="C85" s="64">
        <v>10.17</v>
      </c>
      <c r="D85" s="64">
        <v>18.34</v>
      </c>
      <c r="E85" s="64">
        <v>3.5</v>
      </c>
      <c r="F85" s="64">
        <v>4.7699999999999996</v>
      </c>
      <c r="G85" s="64">
        <v>22.79</v>
      </c>
      <c r="H85" s="64">
        <v>23.32</v>
      </c>
      <c r="I85" s="64">
        <v>1.3</v>
      </c>
      <c r="J85" s="64">
        <v>0.03</v>
      </c>
      <c r="K85" s="64">
        <v>240.75</v>
      </c>
      <c r="L85" s="64">
        <v>24.02</v>
      </c>
      <c r="M85" s="64">
        <v>98.25</v>
      </c>
      <c r="N85" s="64">
        <v>31.2</v>
      </c>
      <c r="O85" s="64">
        <v>0</v>
      </c>
      <c r="P85" s="64">
        <v>0.65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4" t="s">
        <v>321</v>
      </c>
      <c r="B86" s="64">
        <v>7.7</v>
      </c>
      <c r="C86" s="64">
        <v>13.6</v>
      </c>
      <c r="D86" s="64">
        <v>13.28</v>
      </c>
      <c r="E86" s="64">
        <v>3.76</v>
      </c>
      <c r="F86" s="64">
        <v>5.31</v>
      </c>
      <c r="G86" s="64">
        <v>22.21</v>
      </c>
      <c r="H86" s="64">
        <v>15.56</v>
      </c>
      <c r="I86" s="64">
        <v>1.35</v>
      </c>
      <c r="J86" s="64">
        <v>0.06</v>
      </c>
      <c r="K86" s="64">
        <v>259.66000000000003</v>
      </c>
      <c r="L86" s="64">
        <v>24.06</v>
      </c>
      <c r="M86" s="64">
        <v>98.23</v>
      </c>
      <c r="N86" s="64">
        <v>31.2</v>
      </c>
      <c r="O86" s="64">
        <v>0</v>
      </c>
      <c r="P86" s="64">
        <v>0.56999999999999995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4" t="s">
        <v>322</v>
      </c>
      <c r="B87" s="64">
        <v>16.84</v>
      </c>
      <c r="C87" s="64">
        <v>8.52</v>
      </c>
      <c r="D87" s="64">
        <v>17.8</v>
      </c>
      <c r="E87" s="64">
        <v>4.0199999999999996</v>
      </c>
      <c r="F87" s="64">
        <v>4.76</v>
      </c>
      <c r="G87" s="64">
        <v>22.08</v>
      </c>
      <c r="H87" s="64">
        <v>13.76</v>
      </c>
      <c r="I87" s="64">
        <v>1.4</v>
      </c>
      <c r="J87" s="64">
        <v>0.05</v>
      </c>
      <c r="K87" s="64">
        <v>302.25</v>
      </c>
      <c r="L87" s="64">
        <v>24.15</v>
      </c>
      <c r="M87" s="64">
        <v>98.19</v>
      </c>
      <c r="N87" s="64">
        <v>31.1</v>
      </c>
      <c r="O87" s="64">
        <v>0</v>
      </c>
      <c r="P87" s="64">
        <v>0.65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323</v>
      </c>
      <c r="B88" s="64">
        <v>16.12</v>
      </c>
      <c r="C88" s="64">
        <v>12.51</v>
      </c>
      <c r="D88" s="64">
        <v>19.47</v>
      </c>
      <c r="E88" s="64">
        <v>3.66</v>
      </c>
      <c r="F88" s="64">
        <v>4.4400000000000004</v>
      </c>
      <c r="G88" s="64">
        <v>22.08</v>
      </c>
      <c r="H88" s="64">
        <v>13.76</v>
      </c>
      <c r="I88" s="64">
        <v>1.43</v>
      </c>
      <c r="J88" s="64">
        <v>0.04</v>
      </c>
      <c r="K88" s="64">
        <v>282.83</v>
      </c>
      <c r="L88" s="64">
        <v>24.07</v>
      </c>
      <c r="M88" s="64">
        <v>98.2</v>
      </c>
      <c r="N88" s="64">
        <v>31.3</v>
      </c>
      <c r="O88" s="64">
        <v>0</v>
      </c>
      <c r="P88" s="64">
        <v>0.9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4" t="s">
        <v>324</v>
      </c>
      <c r="B89" s="64">
        <v>9.3699999999999992</v>
      </c>
      <c r="C89" s="64">
        <v>15.33</v>
      </c>
      <c r="D89" s="64">
        <v>15.52</v>
      </c>
      <c r="E89" s="64">
        <v>3.77</v>
      </c>
      <c r="F89" s="64">
        <v>4.3499999999999996</v>
      </c>
      <c r="G89" s="64">
        <v>22.08</v>
      </c>
      <c r="H89" s="64">
        <v>13.76</v>
      </c>
      <c r="I89" s="64">
        <v>1.55</v>
      </c>
      <c r="J89" s="64">
        <v>0.06</v>
      </c>
      <c r="K89" s="64">
        <v>242.55</v>
      </c>
      <c r="L89" s="64">
        <v>24.09</v>
      </c>
      <c r="M89" s="64">
        <v>98.22</v>
      </c>
      <c r="N89" s="64">
        <v>31.1</v>
      </c>
      <c r="O89" s="64">
        <v>0</v>
      </c>
      <c r="P89" s="64">
        <v>0.71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4" t="s">
        <v>325</v>
      </c>
      <c r="B90" s="64">
        <v>7.85</v>
      </c>
      <c r="C90" s="64">
        <v>13.89</v>
      </c>
      <c r="D90" s="64">
        <v>13.55</v>
      </c>
      <c r="E90" s="64">
        <v>3.98</v>
      </c>
      <c r="F90" s="64">
        <v>5.43</v>
      </c>
      <c r="G90" s="64">
        <v>26.45</v>
      </c>
      <c r="H90" s="64">
        <v>9.41</v>
      </c>
      <c r="I90" s="64">
        <v>1.57</v>
      </c>
      <c r="J90" s="64">
        <v>0.05</v>
      </c>
      <c r="K90" s="64">
        <v>219.78</v>
      </c>
      <c r="L90" s="64">
        <v>24.08</v>
      </c>
      <c r="M90" s="64">
        <v>98.23</v>
      </c>
      <c r="N90" s="64">
        <v>31.1</v>
      </c>
      <c r="O90" s="64">
        <v>0</v>
      </c>
      <c r="P90" s="64">
        <v>0.47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4" t="s">
        <v>326</v>
      </c>
      <c r="B91" s="64">
        <v>12.05</v>
      </c>
      <c r="C91" s="64">
        <v>15.94</v>
      </c>
      <c r="D91" s="64">
        <v>17.989999999999998</v>
      </c>
      <c r="E91" s="64">
        <v>3.47</v>
      </c>
      <c r="F91" s="64">
        <v>4.4800000000000004</v>
      </c>
      <c r="G91" s="64">
        <v>27.46</v>
      </c>
      <c r="H91" s="64">
        <v>8.39</v>
      </c>
      <c r="I91" s="64">
        <v>1.53</v>
      </c>
      <c r="J91" s="64">
        <v>0.02</v>
      </c>
      <c r="K91" s="64">
        <v>317.38</v>
      </c>
      <c r="L91" s="64">
        <v>24.11</v>
      </c>
      <c r="M91" s="64">
        <v>98.25</v>
      </c>
      <c r="N91" s="64">
        <v>30.8</v>
      </c>
      <c r="O91" s="64">
        <v>0</v>
      </c>
      <c r="P91" s="64">
        <v>0.55000000000000004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4" t="s">
        <v>327</v>
      </c>
      <c r="B92" s="64">
        <v>10.65</v>
      </c>
      <c r="C92" s="64">
        <v>16.239999999999998</v>
      </c>
      <c r="D92" s="64">
        <v>17.03</v>
      </c>
      <c r="E92" s="64">
        <v>3.71</v>
      </c>
      <c r="F92" s="64">
        <v>4.26</v>
      </c>
      <c r="G92" s="64">
        <v>27.46</v>
      </c>
      <c r="H92" s="64">
        <v>8.39</v>
      </c>
      <c r="I92" s="64">
        <v>1.55</v>
      </c>
      <c r="J92" s="64">
        <v>0.04</v>
      </c>
      <c r="K92" s="64">
        <v>346.58</v>
      </c>
      <c r="L92" s="64">
        <v>24.06</v>
      </c>
      <c r="M92" s="64">
        <v>98.26</v>
      </c>
      <c r="N92" s="64">
        <v>30.9</v>
      </c>
      <c r="O92" s="64">
        <v>0</v>
      </c>
      <c r="P92" s="64">
        <v>0.54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4" t="s">
        <v>328</v>
      </c>
      <c r="B93" s="64">
        <v>14.09</v>
      </c>
      <c r="C93" s="64">
        <v>15.25</v>
      </c>
      <c r="D93" s="64">
        <v>19.27</v>
      </c>
      <c r="E93" s="64">
        <v>3.96</v>
      </c>
      <c r="F93" s="64">
        <v>4.12</v>
      </c>
      <c r="G93" s="64">
        <v>27.46</v>
      </c>
      <c r="H93" s="64">
        <v>8.39</v>
      </c>
      <c r="I93" s="64">
        <v>1.57</v>
      </c>
      <c r="J93" s="64">
        <v>0.03</v>
      </c>
      <c r="K93" s="64">
        <v>166.47</v>
      </c>
      <c r="L93" s="64">
        <v>24.02</v>
      </c>
      <c r="M93" s="64">
        <v>98.3</v>
      </c>
      <c r="N93" s="64">
        <v>30.7</v>
      </c>
      <c r="O93" s="64">
        <v>0</v>
      </c>
      <c r="P93" s="64">
        <v>0.6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4" t="s">
        <v>329</v>
      </c>
      <c r="B94" s="64">
        <v>8.98</v>
      </c>
      <c r="C94" s="64">
        <v>15.56</v>
      </c>
      <c r="D94" s="64">
        <v>15.33</v>
      </c>
      <c r="E94" s="64">
        <v>3.79</v>
      </c>
      <c r="F94" s="64">
        <v>5.48</v>
      </c>
      <c r="G94" s="64">
        <v>27.1</v>
      </c>
      <c r="H94" s="6" t="s">
        <v>42</v>
      </c>
      <c r="I94" s="64">
        <v>1.59</v>
      </c>
      <c r="J94" s="64">
        <v>0.05</v>
      </c>
      <c r="K94" s="64">
        <v>232.46</v>
      </c>
      <c r="L94" s="64">
        <v>24.03</v>
      </c>
      <c r="M94" s="64">
        <v>98.3</v>
      </c>
      <c r="N94" s="64">
        <v>30.8</v>
      </c>
      <c r="O94" s="64">
        <v>0</v>
      </c>
      <c r="P94" s="64">
        <v>0.54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4" t="s">
        <v>330</v>
      </c>
      <c r="B95" s="64">
        <v>14.31</v>
      </c>
      <c r="C95" s="64">
        <v>13.68</v>
      </c>
      <c r="D95" s="64">
        <v>18.62</v>
      </c>
      <c r="E95" s="64">
        <v>3.69</v>
      </c>
      <c r="F95" s="64">
        <v>5.47</v>
      </c>
      <c r="G95" s="64">
        <v>27.01</v>
      </c>
      <c r="H95" s="6" t="s">
        <v>42</v>
      </c>
      <c r="I95" s="64">
        <v>1.61</v>
      </c>
      <c r="J95" s="64">
        <v>0.06</v>
      </c>
      <c r="K95" s="64">
        <v>304.89999999999998</v>
      </c>
      <c r="L95" s="64">
        <v>24.03</v>
      </c>
      <c r="M95" s="64">
        <v>98.3</v>
      </c>
      <c r="N95" s="64">
        <v>30.8</v>
      </c>
      <c r="O95" s="64">
        <v>0</v>
      </c>
      <c r="P95" s="64">
        <v>0.79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4" t="s">
        <v>331</v>
      </c>
      <c r="B96" s="64">
        <v>12.21</v>
      </c>
      <c r="C96" s="64">
        <v>14.38</v>
      </c>
      <c r="D96" s="64">
        <v>17.3</v>
      </c>
      <c r="E96" s="64">
        <v>3.72</v>
      </c>
      <c r="F96" s="64">
        <v>5.33</v>
      </c>
      <c r="G96" s="64">
        <v>27.01</v>
      </c>
      <c r="H96" s="6" t="s">
        <v>42</v>
      </c>
      <c r="I96" s="64">
        <v>1.62</v>
      </c>
      <c r="J96" s="64">
        <v>0.03</v>
      </c>
      <c r="K96" s="64">
        <v>112.02</v>
      </c>
      <c r="L96" s="64">
        <v>23.99</v>
      </c>
      <c r="M96" s="64">
        <v>98.32</v>
      </c>
      <c r="N96" s="64">
        <v>30.7</v>
      </c>
      <c r="O96" s="64">
        <v>0</v>
      </c>
      <c r="P96" s="64">
        <v>0.67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332</v>
      </c>
      <c r="B97" s="64">
        <v>18.52</v>
      </c>
      <c r="C97" s="64">
        <v>9.51</v>
      </c>
      <c r="D97" s="64">
        <v>19.829999999999998</v>
      </c>
      <c r="E97" s="64">
        <v>3.61</v>
      </c>
      <c r="F97" s="64">
        <v>4.43</v>
      </c>
      <c r="G97" s="64">
        <v>27.01</v>
      </c>
      <c r="H97" s="6" t="s">
        <v>42</v>
      </c>
      <c r="I97" s="64">
        <v>1.64</v>
      </c>
      <c r="J97" s="64">
        <v>7.0000000000000007E-2</v>
      </c>
      <c r="K97" s="64">
        <v>240.1</v>
      </c>
      <c r="L97" s="64">
        <v>24.03</v>
      </c>
      <c r="M97" s="64">
        <v>98.36</v>
      </c>
      <c r="N97" s="64">
        <v>30.6</v>
      </c>
      <c r="O97" s="64">
        <v>0</v>
      </c>
      <c r="P97" s="64">
        <v>0.7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4" t="s">
        <v>333</v>
      </c>
      <c r="B98" s="64">
        <v>9.81</v>
      </c>
      <c r="C98" s="64">
        <v>15.62</v>
      </c>
      <c r="D98" s="64">
        <v>16.03</v>
      </c>
      <c r="E98" s="64">
        <v>3.79</v>
      </c>
      <c r="F98" s="64">
        <v>4.87</v>
      </c>
      <c r="G98" s="64">
        <v>30.37</v>
      </c>
      <c r="H98" s="6" t="s">
        <v>42</v>
      </c>
      <c r="I98" s="64">
        <v>1.64</v>
      </c>
      <c r="J98" s="64">
        <v>0.06</v>
      </c>
      <c r="K98" s="64">
        <v>232.28</v>
      </c>
      <c r="L98" s="64">
        <v>24.09</v>
      </c>
      <c r="M98" s="64">
        <v>98.35</v>
      </c>
      <c r="N98" s="64">
        <v>30.7</v>
      </c>
      <c r="O98" s="64">
        <v>0</v>
      </c>
      <c r="P98" s="64">
        <v>0.52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4" t="s">
        <v>334</v>
      </c>
      <c r="B99" s="64">
        <v>16.34</v>
      </c>
      <c r="C99" s="64">
        <v>8.91</v>
      </c>
      <c r="D99" s="64">
        <v>17.760000000000002</v>
      </c>
      <c r="E99" s="64">
        <v>3.65</v>
      </c>
      <c r="F99" s="64">
        <v>5.14</v>
      </c>
      <c r="G99" s="64">
        <v>31.15</v>
      </c>
      <c r="H99" s="6" t="s">
        <v>42</v>
      </c>
      <c r="I99" s="64">
        <v>1.63</v>
      </c>
      <c r="J99" s="64">
        <v>7.0000000000000007E-2</v>
      </c>
      <c r="K99" s="64">
        <v>312.14999999999998</v>
      </c>
      <c r="L99" s="64">
        <v>24.06</v>
      </c>
      <c r="M99" s="64">
        <v>98.37</v>
      </c>
      <c r="N99" s="64">
        <v>30.7</v>
      </c>
      <c r="O99" s="64">
        <v>0</v>
      </c>
      <c r="P99" s="64">
        <v>0.68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4" t="s">
        <v>335</v>
      </c>
      <c r="B100" s="64">
        <v>14.42</v>
      </c>
      <c r="C100" s="64">
        <v>12.33</v>
      </c>
      <c r="D100" s="64">
        <v>18.010000000000002</v>
      </c>
      <c r="E100" s="64">
        <v>3.61</v>
      </c>
      <c r="F100" s="64">
        <v>4.3099999999999996</v>
      </c>
      <c r="G100" s="64">
        <v>31.15</v>
      </c>
      <c r="H100" s="6" t="s">
        <v>42</v>
      </c>
      <c r="I100" s="64">
        <v>1.63</v>
      </c>
      <c r="J100" s="64">
        <v>0.04</v>
      </c>
      <c r="K100" s="64">
        <v>290.91000000000003</v>
      </c>
      <c r="L100" s="64">
        <v>24.12</v>
      </c>
      <c r="M100" s="64">
        <v>98.38</v>
      </c>
      <c r="N100" s="64">
        <v>30.8</v>
      </c>
      <c r="O100" s="64">
        <v>0</v>
      </c>
      <c r="P100" s="64">
        <v>0.6</v>
      </c>
      <c r="Q100" s="64">
        <v>9.65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336</v>
      </c>
      <c r="B101" s="64">
        <v>10.86</v>
      </c>
      <c r="C101" s="64">
        <v>9.76</v>
      </c>
      <c r="D101" s="64">
        <v>13.81</v>
      </c>
      <c r="E101" s="64">
        <v>3.21</v>
      </c>
      <c r="F101" s="64">
        <v>4.8099999999999996</v>
      </c>
      <c r="G101" s="64">
        <v>31.15</v>
      </c>
      <c r="H101" s="6" t="s">
        <v>42</v>
      </c>
      <c r="I101" s="64">
        <v>1.63</v>
      </c>
      <c r="J101" s="64">
        <v>0.04</v>
      </c>
      <c r="K101" s="64">
        <v>292.88</v>
      </c>
      <c r="L101" s="64">
        <v>24.13</v>
      </c>
      <c r="M101" s="64">
        <v>98.38</v>
      </c>
      <c r="N101" s="64">
        <v>30.8</v>
      </c>
      <c r="O101" s="64">
        <v>0</v>
      </c>
      <c r="P101" s="64">
        <v>0.53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4" t="s">
        <v>337</v>
      </c>
      <c r="B102" s="64">
        <v>10.29</v>
      </c>
      <c r="C102" s="64">
        <v>7.9</v>
      </c>
      <c r="D102" s="64">
        <v>12.38</v>
      </c>
      <c r="E102" s="64">
        <v>3.46</v>
      </c>
      <c r="F102" s="64">
        <v>4.3899999999999997</v>
      </c>
      <c r="G102" s="64">
        <v>29.67</v>
      </c>
      <c r="H102" s="6" t="s">
        <v>42</v>
      </c>
      <c r="I102" s="64">
        <v>1.72</v>
      </c>
      <c r="J102" s="64">
        <v>7.0000000000000007E-2</v>
      </c>
      <c r="K102" s="64">
        <v>277.55</v>
      </c>
      <c r="L102" s="64">
        <v>24.2</v>
      </c>
      <c r="M102" s="64">
        <v>98.38</v>
      </c>
      <c r="N102" s="64">
        <v>30.8</v>
      </c>
      <c r="O102" s="64">
        <v>0</v>
      </c>
      <c r="P102" s="64">
        <v>0.46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4" t="s">
        <v>338</v>
      </c>
      <c r="B103" s="64">
        <v>8.5</v>
      </c>
      <c r="C103" s="64">
        <v>10.1</v>
      </c>
      <c r="D103" s="64">
        <v>12.09</v>
      </c>
      <c r="E103" s="64">
        <v>2.98</v>
      </c>
      <c r="F103" s="64">
        <v>5.68</v>
      </c>
      <c r="G103" s="64">
        <v>29.33</v>
      </c>
      <c r="H103" s="6" t="s">
        <v>42</v>
      </c>
      <c r="I103" s="64">
        <v>1.7</v>
      </c>
      <c r="J103" s="64">
        <v>0.04</v>
      </c>
      <c r="K103" s="64">
        <v>125.55</v>
      </c>
      <c r="L103" s="64">
        <v>24.24</v>
      </c>
      <c r="M103" s="64">
        <v>98.38</v>
      </c>
      <c r="N103" s="64">
        <v>30.9</v>
      </c>
      <c r="O103" s="64">
        <v>0</v>
      </c>
      <c r="P103" s="64">
        <v>0.33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4" t="s">
        <v>339</v>
      </c>
      <c r="B104" s="64">
        <v>9.83</v>
      </c>
      <c r="C104" s="64">
        <v>9.75</v>
      </c>
      <c r="D104" s="64">
        <v>12.98</v>
      </c>
      <c r="E104" s="64">
        <v>5.03</v>
      </c>
      <c r="F104" s="64">
        <v>4.67</v>
      </c>
      <c r="G104" s="64">
        <v>29.33</v>
      </c>
      <c r="H104" s="6" t="s">
        <v>42</v>
      </c>
      <c r="I104" s="64">
        <v>1.6</v>
      </c>
      <c r="J104" s="64">
        <v>0.05</v>
      </c>
      <c r="K104" s="64">
        <v>190.43</v>
      </c>
      <c r="L104" s="64">
        <v>24.12</v>
      </c>
      <c r="M104" s="64">
        <v>98.38</v>
      </c>
      <c r="N104" s="64">
        <v>31.8</v>
      </c>
      <c r="O104" s="64">
        <v>0</v>
      </c>
      <c r="P104" s="64">
        <v>0.45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4.34</v>
      </c>
      <c r="C106" s="67">
        <f>MIN(C9:C104)</f>
        <v>5.98</v>
      </c>
      <c r="D106" s="67">
        <f t="shared" ref="D106:Q106" si="0">MIN(D9:D104)</f>
        <v>6.77</v>
      </c>
      <c r="E106" s="67">
        <f t="shared" si="0"/>
        <v>2.98</v>
      </c>
      <c r="F106" s="67">
        <f t="shared" si="0"/>
        <v>2.82</v>
      </c>
      <c r="G106" s="67">
        <f t="shared" si="0"/>
        <v>3.52</v>
      </c>
      <c r="H106" s="67">
        <f t="shared" si="0"/>
        <v>0.08</v>
      </c>
      <c r="I106" s="67">
        <f t="shared" si="0"/>
        <v>0.93</v>
      </c>
      <c r="J106" s="67">
        <f t="shared" si="0"/>
        <v>0.01</v>
      </c>
      <c r="K106" s="67">
        <f t="shared" si="0"/>
        <v>112.02</v>
      </c>
      <c r="L106" s="67">
        <f t="shared" si="0"/>
        <v>22.37</v>
      </c>
      <c r="M106" s="67">
        <f t="shared" si="0"/>
        <v>70.87</v>
      </c>
      <c r="N106" s="67">
        <f t="shared" si="0"/>
        <v>30.2</v>
      </c>
      <c r="O106" s="67">
        <f t="shared" si="0"/>
        <v>0</v>
      </c>
      <c r="P106" s="67">
        <f t="shared" si="0"/>
        <v>0.2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19.72</v>
      </c>
      <c r="C107" s="66">
        <f t="shared" ref="C107:Q107" si="1">MAX(C9:C104)</f>
        <v>17.760000000000002</v>
      </c>
      <c r="D107" s="66">
        <f t="shared" si="1"/>
        <v>23.45</v>
      </c>
      <c r="E107" s="66">
        <f t="shared" si="1"/>
        <v>5.03</v>
      </c>
      <c r="F107" s="66">
        <f t="shared" si="1"/>
        <v>10.97</v>
      </c>
      <c r="G107" s="66">
        <f t="shared" si="1"/>
        <v>118.7</v>
      </c>
      <c r="H107" s="66">
        <f t="shared" si="1"/>
        <v>40.909999999999997</v>
      </c>
      <c r="I107" s="66">
        <f t="shared" si="1"/>
        <v>1.78</v>
      </c>
      <c r="J107" s="66">
        <f t="shared" si="1"/>
        <v>1.31</v>
      </c>
      <c r="K107" s="66">
        <f t="shared" si="1"/>
        <v>359.27</v>
      </c>
      <c r="L107" s="66">
        <f t="shared" si="1"/>
        <v>31.87</v>
      </c>
      <c r="M107" s="66">
        <f t="shared" si="1"/>
        <v>98.38</v>
      </c>
      <c r="N107" s="66">
        <f t="shared" si="1"/>
        <v>576</v>
      </c>
      <c r="O107" s="66">
        <f t="shared" si="1"/>
        <v>3</v>
      </c>
      <c r="P107" s="66">
        <f t="shared" si="1"/>
        <v>0.98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8.8803125000000005</v>
      </c>
      <c r="C108" s="67">
        <f t="shared" ref="C108:Q108" si="2">AVERAGE(C9:C104)</f>
        <v>10.257083333333332</v>
      </c>
      <c r="D108" s="67">
        <f t="shared" si="2"/>
        <v>12.471145833333329</v>
      </c>
      <c r="E108" s="67">
        <f t="shared" si="2"/>
        <v>3.9523958333333336</v>
      </c>
      <c r="F108" s="67">
        <f t="shared" si="2"/>
        <v>5.9830208333333319</v>
      </c>
      <c r="G108" s="67">
        <f t="shared" si="2"/>
        <v>31.174606741573047</v>
      </c>
      <c r="H108" s="67">
        <f t="shared" si="2"/>
        <v>7.4929999999999986</v>
      </c>
      <c r="I108" s="67">
        <f t="shared" si="2"/>
        <v>1.2865624999999998</v>
      </c>
      <c r="J108" s="67">
        <f t="shared" si="2"/>
        <v>0.2546874999999999</v>
      </c>
      <c r="K108" s="67">
        <f t="shared" si="2"/>
        <v>252.80729166666671</v>
      </c>
      <c r="L108" s="67">
        <f t="shared" si="2"/>
        <v>25.336458333333326</v>
      </c>
      <c r="M108" s="67">
        <f t="shared" si="2"/>
        <v>94.360937499999963</v>
      </c>
      <c r="N108" s="67">
        <f t="shared" si="2"/>
        <v>122.5520833333333</v>
      </c>
      <c r="O108" s="67">
        <f t="shared" si="2"/>
        <v>7.0833333333333331E-2</v>
      </c>
      <c r="P108" s="67">
        <f t="shared" si="2"/>
        <v>0.43729166666666686</v>
      </c>
      <c r="Q108" s="67">
        <f t="shared" si="2"/>
        <v>9.5608333333333295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3.4249221130214234</v>
      </c>
      <c r="C109" s="67">
        <f t="shared" ref="C109:Q109" si="3">STDEV(C9:C104)</f>
        <v>3.7339866987800971</v>
      </c>
      <c r="D109" s="67">
        <f t="shared" si="3"/>
        <v>3.9359198402705289</v>
      </c>
      <c r="E109" s="67">
        <f t="shared" si="3"/>
        <v>0.46262578896343221</v>
      </c>
      <c r="F109" s="67">
        <f t="shared" si="3"/>
        <v>1.9775189771085839</v>
      </c>
      <c r="G109" s="67">
        <f t="shared" si="3"/>
        <v>26.031316064247925</v>
      </c>
      <c r="H109" s="67">
        <f t="shared" si="3"/>
        <v>10.532256505680506</v>
      </c>
      <c r="I109" s="67">
        <f t="shared" si="3"/>
        <v>0.2227522963435308</v>
      </c>
      <c r="J109" s="67">
        <f t="shared" si="3"/>
        <v>0.3157479111903238</v>
      </c>
      <c r="K109" s="67">
        <f t="shared" si="3"/>
        <v>77.92937725212181</v>
      </c>
      <c r="L109" s="67">
        <f t="shared" si="3"/>
        <v>2.7922761811701688</v>
      </c>
      <c r="M109" s="67">
        <f t="shared" si="3"/>
        <v>8.2081382052236815</v>
      </c>
      <c r="N109" s="67">
        <f t="shared" si="3"/>
        <v>141.93052783829194</v>
      </c>
      <c r="O109" s="67">
        <f t="shared" si="3"/>
        <v>0.41445377284392215</v>
      </c>
      <c r="P109" s="67">
        <f t="shared" si="3"/>
        <v>0.17034626757634799</v>
      </c>
      <c r="Q109" s="67">
        <f t="shared" si="3"/>
        <v>6.4525256852877397E-2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</f>
        <v>96</v>
      </c>
      <c r="H110" s="66">
        <f>COUNT(H9:H104)+26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340</v>
      </c>
      <c r="B9" s="64">
        <v>10.41</v>
      </c>
      <c r="C9" s="64">
        <v>18.170000000000002</v>
      </c>
      <c r="D9" s="64">
        <v>17.84</v>
      </c>
      <c r="E9" s="64">
        <v>5.04</v>
      </c>
      <c r="F9" s="64">
        <v>5.16</v>
      </c>
      <c r="G9" s="64">
        <v>29.33</v>
      </c>
      <c r="H9" s="6" t="s">
        <v>42</v>
      </c>
      <c r="I9" s="64">
        <v>1.57</v>
      </c>
      <c r="J9" s="64">
        <v>0.08</v>
      </c>
      <c r="K9" s="64">
        <v>286.64999999999998</v>
      </c>
      <c r="L9" s="64">
        <v>23.8</v>
      </c>
      <c r="M9" s="64">
        <v>98.37</v>
      </c>
      <c r="N9" s="64">
        <v>32.1</v>
      </c>
      <c r="O9" s="64">
        <v>0</v>
      </c>
      <c r="P9" s="64">
        <v>0.44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4" t="s">
        <v>341</v>
      </c>
      <c r="B10" s="64">
        <v>9.27</v>
      </c>
      <c r="C10" s="64">
        <v>8.4700000000000006</v>
      </c>
      <c r="D10" s="64">
        <v>11.86</v>
      </c>
      <c r="E10" s="64">
        <v>5.12</v>
      </c>
      <c r="F10" s="64">
        <v>6.32</v>
      </c>
      <c r="G10" s="64">
        <v>28.79</v>
      </c>
      <c r="H10" s="6" t="s">
        <v>42</v>
      </c>
      <c r="I10" s="64">
        <v>1.53</v>
      </c>
      <c r="J10" s="64">
        <v>0.04</v>
      </c>
      <c r="K10" s="64">
        <v>276.88</v>
      </c>
      <c r="L10" s="64">
        <v>23.63</v>
      </c>
      <c r="M10" s="64">
        <v>98.39</v>
      </c>
      <c r="N10" s="64">
        <v>31.6</v>
      </c>
      <c r="O10" s="64">
        <v>0</v>
      </c>
      <c r="P10" s="64">
        <v>0.39</v>
      </c>
      <c r="Q10" s="64">
        <v>9.65</v>
      </c>
      <c r="R10" s="198"/>
      <c r="S10" s="198"/>
      <c r="T10" s="198"/>
      <c r="U10" s="198"/>
    </row>
    <row r="11" spans="1:21" s="12" customFormat="1" x14ac:dyDescent="0.25">
      <c r="A11" s="214" t="s">
        <v>342</v>
      </c>
      <c r="B11" s="64">
        <v>9.33</v>
      </c>
      <c r="C11" s="64">
        <v>5.88</v>
      </c>
      <c r="D11" s="64">
        <v>10.56</v>
      </c>
      <c r="E11" s="64">
        <v>5.14</v>
      </c>
      <c r="F11" s="64">
        <v>5.38</v>
      </c>
      <c r="G11" s="64">
        <v>28.67</v>
      </c>
      <c r="H11" s="6" t="s">
        <v>42</v>
      </c>
      <c r="I11" s="64">
        <v>1.48</v>
      </c>
      <c r="J11" s="64">
        <v>0.11</v>
      </c>
      <c r="K11" s="64">
        <v>297.48</v>
      </c>
      <c r="L11" s="64">
        <v>23.52</v>
      </c>
      <c r="M11" s="64">
        <v>98.36</v>
      </c>
      <c r="N11" s="64">
        <v>31.4</v>
      </c>
      <c r="O11" s="64">
        <v>0</v>
      </c>
      <c r="P11" s="64">
        <v>0.43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4" t="s">
        <v>343</v>
      </c>
      <c r="B12" s="64">
        <v>9.59</v>
      </c>
      <c r="C12" s="64">
        <v>5.59</v>
      </c>
      <c r="D12" s="64">
        <v>10.62</v>
      </c>
      <c r="E12" s="64">
        <v>5.19</v>
      </c>
      <c r="F12" s="64">
        <v>4.4800000000000004</v>
      </c>
      <c r="G12" s="64">
        <v>28.67</v>
      </c>
      <c r="H12" s="6" t="s">
        <v>42</v>
      </c>
      <c r="I12" s="64">
        <v>1.51</v>
      </c>
      <c r="J12" s="64">
        <v>0.11</v>
      </c>
      <c r="K12" s="64">
        <v>288.47000000000003</v>
      </c>
      <c r="L12" s="64">
        <v>23.43</v>
      </c>
      <c r="M12" s="64">
        <v>98.37</v>
      </c>
      <c r="N12" s="64">
        <v>31.1</v>
      </c>
      <c r="O12" s="64">
        <v>0</v>
      </c>
      <c r="P12" s="64">
        <v>0.41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344</v>
      </c>
      <c r="B13" s="64">
        <v>9.3800000000000008</v>
      </c>
      <c r="C13" s="64">
        <v>5.59</v>
      </c>
      <c r="D13" s="64">
        <v>10.44</v>
      </c>
      <c r="E13" s="64">
        <v>4.97</v>
      </c>
      <c r="F13" s="64">
        <v>3.84</v>
      </c>
      <c r="G13" s="64">
        <v>28.67</v>
      </c>
      <c r="H13" s="6" t="s">
        <v>42</v>
      </c>
      <c r="I13" s="64">
        <v>1.47</v>
      </c>
      <c r="J13" s="64">
        <v>0.13</v>
      </c>
      <c r="K13" s="64">
        <v>291.91000000000003</v>
      </c>
      <c r="L13" s="64">
        <v>23.32</v>
      </c>
      <c r="M13" s="64">
        <v>98.38</v>
      </c>
      <c r="N13" s="64">
        <v>30.9</v>
      </c>
      <c r="O13" s="64">
        <v>0</v>
      </c>
      <c r="P13" s="64">
        <v>0.41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4" t="s">
        <v>345</v>
      </c>
      <c r="B14" s="64">
        <v>8.81</v>
      </c>
      <c r="C14" s="64">
        <v>5.43</v>
      </c>
      <c r="D14" s="64">
        <v>9.9</v>
      </c>
      <c r="E14" s="64">
        <v>4.72</v>
      </c>
      <c r="F14" s="64">
        <v>5.16</v>
      </c>
      <c r="G14" s="64">
        <v>24.96</v>
      </c>
      <c r="H14" s="6" t="s">
        <v>42</v>
      </c>
      <c r="I14" s="64">
        <v>1.36</v>
      </c>
      <c r="J14" s="64">
        <v>0.13</v>
      </c>
      <c r="K14" s="64">
        <v>300</v>
      </c>
      <c r="L14" s="64">
        <v>23.24</v>
      </c>
      <c r="M14" s="64">
        <v>98.37</v>
      </c>
      <c r="N14" s="64">
        <v>30.9</v>
      </c>
      <c r="O14" s="64">
        <v>0</v>
      </c>
      <c r="P14" s="64">
        <v>0.36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4" t="s">
        <v>346</v>
      </c>
      <c r="B15" s="64">
        <v>8.67</v>
      </c>
      <c r="C15" s="64">
        <v>5.53</v>
      </c>
      <c r="D15" s="64">
        <v>9.84</v>
      </c>
      <c r="E15" s="64">
        <v>5.0599999999999996</v>
      </c>
      <c r="F15" s="64">
        <v>2.99</v>
      </c>
      <c r="G15" s="64">
        <v>24.03</v>
      </c>
      <c r="H15" s="6" t="s">
        <v>42</v>
      </c>
      <c r="I15" s="64">
        <v>1.31</v>
      </c>
      <c r="J15" s="64">
        <v>0.13</v>
      </c>
      <c r="K15" s="64">
        <v>293.64999999999998</v>
      </c>
      <c r="L15" s="64">
        <v>23.2</v>
      </c>
      <c r="M15" s="64">
        <v>98.37</v>
      </c>
      <c r="N15" s="64">
        <v>31.1</v>
      </c>
      <c r="O15" s="64">
        <v>0</v>
      </c>
      <c r="P15" s="64">
        <v>0.38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4" t="s">
        <v>347</v>
      </c>
      <c r="B16" s="64">
        <v>8.26</v>
      </c>
      <c r="C16" s="64">
        <v>5.6</v>
      </c>
      <c r="D16" s="64">
        <v>9.5500000000000007</v>
      </c>
      <c r="E16" s="64">
        <v>4.8600000000000003</v>
      </c>
      <c r="F16" s="64">
        <v>4.46</v>
      </c>
      <c r="G16" s="64">
        <v>24.03</v>
      </c>
      <c r="H16" s="6" t="s">
        <v>42</v>
      </c>
      <c r="I16" s="64">
        <v>1.33</v>
      </c>
      <c r="J16" s="64">
        <v>0.14000000000000001</v>
      </c>
      <c r="K16" s="64">
        <v>310.42</v>
      </c>
      <c r="L16" s="64">
        <v>23.08</v>
      </c>
      <c r="M16" s="64">
        <v>98.37</v>
      </c>
      <c r="N16" s="64">
        <v>31</v>
      </c>
      <c r="O16" s="64">
        <v>0</v>
      </c>
      <c r="P16" s="64">
        <v>0.34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4" t="s">
        <v>348</v>
      </c>
      <c r="B17" s="64">
        <v>7.49</v>
      </c>
      <c r="C17" s="64">
        <v>5.62</v>
      </c>
      <c r="D17" s="64">
        <v>8.94</v>
      </c>
      <c r="E17" s="64">
        <v>5.0199999999999996</v>
      </c>
      <c r="F17" s="64">
        <v>4.72</v>
      </c>
      <c r="G17" s="64">
        <v>24.03</v>
      </c>
      <c r="H17" s="6" t="s">
        <v>42</v>
      </c>
      <c r="I17" s="64">
        <v>1.27</v>
      </c>
      <c r="J17" s="64">
        <v>0.1</v>
      </c>
      <c r="K17" s="64">
        <v>297.02999999999997</v>
      </c>
      <c r="L17" s="64">
        <v>22.99</v>
      </c>
      <c r="M17" s="64">
        <v>98.38</v>
      </c>
      <c r="N17" s="64">
        <v>30.9</v>
      </c>
      <c r="O17" s="64">
        <v>0</v>
      </c>
      <c r="P17" s="64">
        <v>0.32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4" t="s">
        <v>349</v>
      </c>
      <c r="B18" s="64">
        <v>7.72</v>
      </c>
      <c r="C18" s="64">
        <v>5.46</v>
      </c>
      <c r="D18" s="64">
        <v>9.0399999999999991</v>
      </c>
      <c r="E18" s="64">
        <v>5.15</v>
      </c>
      <c r="F18" s="64">
        <v>4.72</v>
      </c>
      <c r="G18" s="64">
        <v>22.15</v>
      </c>
      <c r="H18" s="6" t="s">
        <v>42</v>
      </c>
      <c r="I18" s="64">
        <v>1.1599999999999999</v>
      </c>
      <c r="J18" s="64">
        <v>7.0000000000000007E-2</v>
      </c>
      <c r="K18" s="64">
        <v>303.41000000000003</v>
      </c>
      <c r="L18" s="64">
        <v>22.95</v>
      </c>
      <c r="M18" s="64">
        <v>98.41</v>
      </c>
      <c r="N18" s="64">
        <v>30.9</v>
      </c>
      <c r="O18" s="64">
        <v>0</v>
      </c>
      <c r="P18" s="64">
        <v>0.34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4" t="s">
        <v>350</v>
      </c>
      <c r="B19" s="64">
        <v>7.92</v>
      </c>
      <c r="C19" s="64">
        <v>5.25</v>
      </c>
      <c r="D19" s="64">
        <v>9.09</v>
      </c>
      <c r="E19" s="64">
        <v>5.1100000000000003</v>
      </c>
      <c r="F19" s="64">
        <v>3.37</v>
      </c>
      <c r="G19" s="64">
        <v>21.71</v>
      </c>
      <c r="H19" s="6" t="s">
        <v>42</v>
      </c>
      <c r="I19" s="64">
        <v>1.1299999999999999</v>
      </c>
      <c r="J19" s="64">
        <v>0.11</v>
      </c>
      <c r="K19" s="64">
        <v>290.31</v>
      </c>
      <c r="L19" s="64">
        <v>22.94</v>
      </c>
      <c r="M19" s="64">
        <v>98.42</v>
      </c>
      <c r="N19" s="64">
        <v>31</v>
      </c>
      <c r="O19" s="64">
        <v>0</v>
      </c>
      <c r="P19" s="64">
        <v>0.34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4" t="s">
        <v>351</v>
      </c>
      <c r="B20" s="64">
        <v>7.7</v>
      </c>
      <c r="C20" s="64">
        <v>5.5</v>
      </c>
      <c r="D20" s="64">
        <v>9.0399999999999991</v>
      </c>
      <c r="E20" s="64">
        <v>4.95</v>
      </c>
      <c r="F20" s="64">
        <v>2.67</v>
      </c>
      <c r="G20" s="64">
        <v>21.71</v>
      </c>
      <c r="H20" s="6" t="s">
        <v>42</v>
      </c>
      <c r="I20" s="64">
        <v>1.0900000000000001</v>
      </c>
      <c r="J20" s="64">
        <v>0.1</v>
      </c>
      <c r="K20" s="64">
        <v>281.33</v>
      </c>
      <c r="L20" s="64">
        <v>22.96</v>
      </c>
      <c r="M20" s="64">
        <v>98.4</v>
      </c>
      <c r="N20" s="64">
        <v>31</v>
      </c>
      <c r="O20" s="64">
        <v>0</v>
      </c>
      <c r="P20" s="64">
        <v>0.3</v>
      </c>
      <c r="Q20" s="64">
        <v>9.5500000000000007</v>
      </c>
      <c r="R20" s="198"/>
      <c r="S20" s="198"/>
      <c r="T20" s="198"/>
      <c r="U20" s="198"/>
    </row>
    <row r="21" spans="1:21" s="12" customFormat="1" x14ac:dyDescent="0.25">
      <c r="A21" s="214" t="s">
        <v>352</v>
      </c>
      <c r="B21" s="64">
        <v>7.41</v>
      </c>
      <c r="C21" s="64">
        <v>5.63</v>
      </c>
      <c r="D21" s="64">
        <v>8.8800000000000008</v>
      </c>
      <c r="E21" s="64">
        <v>4.8600000000000003</v>
      </c>
      <c r="F21" s="64">
        <v>3.41</v>
      </c>
      <c r="G21" s="64">
        <v>21.71</v>
      </c>
      <c r="H21" s="6" t="s">
        <v>42</v>
      </c>
      <c r="I21" s="64">
        <v>1.04</v>
      </c>
      <c r="J21" s="64">
        <v>0.08</v>
      </c>
      <c r="K21" s="64">
        <v>268.22000000000003</v>
      </c>
      <c r="L21" s="64">
        <v>22.99</v>
      </c>
      <c r="M21" s="64">
        <v>98.4</v>
      </c>
      <c r="N21" s="64">
        <v>31</v>
      </c>
      <c r="O21" s="64">
        <v>0</v>
      </c>
      <c r="P21" s="64">
        <v>0.31</v>
      </c>
      <c r="Q21" s="64">
        <v>9.5399999999999991</v>
      </c>
      <c r="R21" s="198"/>
      <c r="S21" s="198"/>
      <c r="T21" s="198"/>
      <c r="U21" s="198"/>
    </row>
    <row r="22" spans="1:21" s="12" customFormat="1" x14ac:dyDescent="0.25">
      <c r="A22" s="214" t="s">
        <v>353</v>
      </c>
      <c r="B22" s="64">
        <v>6.91</v>
      </c>
      <c r="C22" s="64">
        <v>5.97</v>
      </c>
      <c r="D22" s="64">
        <v>8.66</v>
      </c>
      <c r="E22" s="64">
        <v>4.7300000000000004</v>
      </c>
      <c r="F22" s="64">
        <v>3.57</v>
      </c>
      <c r="G22" s="64">
        <v>18.63</v>
      </c>
      <c r="H22" s="64">
        <v>1.79</v>
      </c>
      <c r="I22" s="64">
        <v>1.01</v>
      </c>
      <c r="J22" s="64">
        <v>0.13</v>
      </c>
      <c r="K22" s="64">
        <v>292.08999999999997</v>
      </c>
      <c r="L22" s="64">
        <v>22.98</v>
      </c>
      <c r="M22" s="64">
        <v>98.4</v>
      </c>
      <c r="N22" s="64">
        <v>31</v>
      </c>
      <c r="O22" s="64">
        <v>0</v>
      </c>
      <c r="P22" s="64">
        <v>0.27</v>
      </c>
      <c r="Q22" s="64">
        <v>9.52</v>
      </c>
      <c r="R22" s="198"/>
      <c r="S22" s="198"/>
      <c r="T22" s="198"/>
      <c r="U22" s="198"/>
    </row>
    <row r="23" spans="1:21" s="12" customFormat="1" x14ac:dyDescent="0.25">
      <c r="A23" s="214" t="s">
        <v>354</v>
      </c>
      <c r="B23" s="64">
        <v>6.92</v>
      </c>
      <c r="C23" s="64">
        <v>5.89</v>
      </c>
      <c r="D23" s="64">
        <v>8.6300000000000008</v>
      </c>
      <c r="E23" s="64">
        <v>5.15</v>
      </c>
      <c r="F23" s="64">
        <v>3.27</v>
      </c>
      <c r="G23" s="64">
        <v>17.91</v>
      </c>
      <c r="H23" s="64">
        <v>1.79</v>
      </c>
      <c r="I23" s="64">
        <v>0.98</v>
      </c>
      <c r="J23" s="64">
        <v>0.11</v>
      </c>
      <c r="K23" s="64">
        <v>297.56</v>
      </c>
      <c r="L23" s="64">
        <v>22.98</v>
      </c>
      <c r="M23" s="64">
        <v>98.41</v>
      </c>
      <c r="N23" s="64">
        <v>31</v>
      </c>
      <c r="O23" s="64">
        <v>0</v>
      </c>
      <c r="P23" s="64">
        <v>0.28000000000000003</v>
      </c>
      <c r="Q23" s="64">
        <v>9.51</v>
      </c>
      <c r="R23" s="198"/>
      <c r="S23" s="198"/>
      <c r="T23" s="198"/>
      <c r="U23" s="198"/>
    </row>
    <row r="24" spans="1:21" s="12" customFormat="1" x14ac:dyDescent="0.25">
      <c r="A24" s="214" t="s">
        <v>355</v>
      </c>
      <c r="B24" s="64">
        <v>6.68</v>
      </c>
      <c r="C24" s="64">
        <v>6.09</v>
      </c>
      <c r="D24" s="64">
        <v>8.5399999999999991</v>
      </c>
      <c r="E24" s="64">
        <v>4.76</v>
      </c>
      <c r="F24" s="64">
        <v>2.6</v>
      </c>
      <c r="G24" s="64">
        <v>17.91</v>
      </c>
      <c r="H24" s="64">
        <v>1.79</v>
      </c>
      <c r="I24" s="64">
        <v>1.01</v>
      </c>
      <c r="J24" s="64">
        <v>0.12</v>
      </c>
      <c r="K24" s="64">
        <v>291.12</v>
      </c>
      <c r="L24" s="64">
        <v>23.03</v>
      </c>
      <c r="M24" s="64">
        <v>98.42</v>
      </c>
      <c r="N24" s="64">
        <v>31</v>
      </c>
      <c r="O24" s="64">
        <v>0</v>
      </c>
      <c r="P24" s="64">
        <v>0.26</v>
      </c>
      <c r="Q24" s="64">
        <v>9.49</v>
      </c>
      <c r="R24" s="198"/>
      <c r="S24" s="198"/>
      <c r="T24" s="198"/>
      <c r="U24" s="198"/>
    </row>
    <row r="25" spans="1:21" s="12" customFormat="1" x14ac:dyDescent="0.25">
      <c r="A25" s="214" t="s">
        <v>356</v>
      </c>
      <c r="B25" s="64">
        <v>6.56</v>
      </c>
      <c r="C25" s="64">
        <v>6.1</v>
      </c>
      <c r="D25" s="64">
        <v>8.4499999999999993</v>
      </c>
      <c r="E25" s="64">
        <v>4.7699999999999996</v>
      </c>
      <c r="F25" s="64">
        <v>3.28</v>
      </c>
      <c r="G25" s="64">
        <v>17.91</v>
      </c>
      <c r="H25" s="64">
        <v>1.79</v>
      </c>
      <c r="I25" s="64">
        <v>0.97</v>
      </c>
      <c r="J25" s="64">
        <v>0.12</v>
      </c>
      <c r="K25" s="64">
        <v>302.56</v>
      </c>
      <c r="L25" s="64">
        <v>23.07</v>
      </c>
      <c r="M25" s="64">
        <v>98.43</v>
      </c>
      <c r="N25" s="64">
        <v>30.9</v>
      </c>
      <c r="O25" s="64">
        <v>0</v>
      </c>
      <c r="P25" s="64">
        <v>0.26</v>
      </c>
      <c r="Q25" s="64">
        <v>9.49</v>
      </c>
      <c r="R25" s="198"/>
      <c r="S25" s="198"/>
      <c r="T25" s="198"/>
      <c r="U25" s="198"/>
    </row>
    <row r="26" spans="1:21" s="12" customFormat="1" x14ac:dyDescent="0.25">
      <c r="A26" s="214" t="s">
        <v>357</v>
      </c>
      <c r="B26" s="64">
        <v>6.31</v>
      </c>
      <c r="C26" s="64">
        <v>6.27</v>
      </c>
      <c r="D26" s="64">
        <v>8.33</v>
      </c>
      <c r="E26" s="64">
        <v>4.66</v>
      </c>
      <c r="F26" s="64">
        <v>3.87</v>
      </c>
      <c r="G26" s="64">
        <v>13.89</v>
      </c>
      <c r="H26" s="64">
        <v>3.02</v>
      </c>
      <c r="I26" s="64">
        <v>0.95</v>
      </c>
      <c r="J26" s="64">
        <v>0.12</v>
      </c>
      <c r="K26" s="64">
        <v>300.2</v>
      </c>
      <c r="L26" s="64">
        <v>23.14</v>
      </c>
      <c r="M26" s="64">
        <v>98.43</v>
      </c>
      <c r="N26" s="64">
        <v>30.9</v>
      </c>
      <c r="O26" s="64">
        <v>0</v>
      </c>
      <c r="P26" s="64">
        <v>0.24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14" t="s">
        <v>358</v>
      </c>
      <c r="B27" s="64">
        <v>6.46</v>
      </c>
      <c r="C27" s="64">
        <v>6.04</v>
      </c>
      <c r="D27" s="64">
        <v>8.33</v>
      </c>
      <c r="E27" s="64">
        <v>4.91</v>
      </c>
      <c r="F27" s="64">
        <v>2.46</v>
      </c>
      <c r="G27" s="64">
        <v>12.95</v>
      </c>
      <c r="H27" s="64">
        <v>3.02</v>
      </c>
      <c r="I27" s="64">
        <v>0.98</v>
      </c>
      <c r="J27" s="64">
        <v>0.12</v>
      </c>
      <c r="K27" s="64">
        <v>309.2</v>
      </c>
      <c r="L27" s="64">
        <v>23.13</v>
      </c>
      <c r="M27" s="64">
        <v>98.44</v>
      </c>
      <c r="N27" s="64">
        <v>30.7</v>
      </c>
      <c r="O27" s="64">
        <v>0</v>
      </c>
      <c r="P27" s="64">
        <v>0.25</v>
      </c>
      <c r="Q27" s="64">
        <v>9.49</v>
      </c>
      <c r="R27" s="198"/>
      <c r="S27" s="198"/>
      <c r="T27" s="198"/>
      <c r="U27" s="198"/>
    </row>
    <row r="28" spans="1:21" s="12" customFormat="1" x14ac:dyDescent="0.25">
      <c r="A28" s="214" t="s">
        <v>359</v>
      </c>
      <c r="B28" s="64">
        <v>7.07</v>
      </c>
      <c r="C28" s="64">
        <v>7.42</v>
      </c>
      <c r="D28" s="64">
        <v>9.5500000000000007</v>
      </c>
      <c r="E28" s="64">
        <v>4.6900000000000004</v>
      </c>
      <c r="F28" s="64">
        <v>4.0999999999999996</v>
      </c>
      <c r="G28" s="64">
        <v>12.95</v>
      </c>
      <c r="H28" s="64">
        <v>3.02</v>
      </c>
      <c r="I28" s="64">
        <v>0.97</v>
      </c>
      <c r="J28" s="64">
        <v>0.1</v>
      </c>
      <c r="K28" s="64">
        <v>298.76</v>
      </c>
      <c r="L28" s="64">
        <v>23.12</v>
      </c>
      <c r="M28" s="64">
        <v>98.43</v>
      </c>
      <c r="N28" s="64">
        <v>30.6</v>
      </c>
      <c r="O28" s="64">
        <v>0</v>
      </c>
      <c r="P28" s="64">
        <v>0.28999999999999998</v>
      </c>
      <c r="Q28" s="64">
        <v>9.48</v>
      </c>
      <c r="R28" s="198"/>
      <c r="S28" s="198"/>
      <c r="T28" s="198"/>
      <c r="U28" s="198"/>
    </row>
    <row r="29" spans="1:21" s="12" customFormat="1" x14ac:dyDescent="0.25">
      <c r="A29" s="214" t="s">
        <v>360</v>
      </c>
      <c r="B29" s="64">
        <v>6.41</v>
      </c>
      <c r="C29" s="64">
        <v>7.45</v>
      </c>
      <c r="D29" s="64">
        <v>9.0399999999999991</v>
      </c>
      <c r="E29" s="64">
        <v>4.75</v>
      </c>
      <c r="F29" s="64">
        <v>5.83</v>
      </c>
      <c r="G29" s="64">
        <v>12.95</v>
      </c>
      <c r="H29" s="64">
        <v>3.02</v>
      </c>
      <c r="I29" s="64">
        <v>0.98</v>
      </c>
      <c r="J29" s="64">
        <v>7.0000000000000007E-2</v>
      </c>
      <c r="K29" s="64">
        <v>276.82</v>
      </c>
      <c r="L29" s="64">
        <v>23.11</v>
      </c>
      <c r="M29" s="64">
        <v>98.45</v>
      </c>
      <c r="N29" s="64">
        <v>30.8</v>
      </c>
      <c r="O29" s="64">
        <v>0</v>
      </c>
      <c r="P29" s="64">
        <v>0.26</v>
      </c>
      <c r="Q29" s="64">
        <v>9.5</v>
      </c>
      <c r="R29" s="198"/>
      <c r="S29" s="198"/>
      <c r="T29" s="198"/>
      <c r="U29" s="198"/>
    </row>
    <row r="30" spans="1:21" s="12" customFormat="1" x14ac:dyDescent="0.25">
      <c r="A30" s="214" t="s">
        <v>361</v>
      </c>
      <c r="B30" s="64">
        <v>6.61</v>
      </c>
      <c r="C30" s="64">
        <v>8.49</v>
      </c>
      <c r="D30" s="64">
        <v>9.74</v>
      </c>
      <c r="E30" s="64">
        <v>4.8899999999999997</v>
      </c>
      <c r="F30" s="64">
        <v>4.1399999999999997</v>
      </c>
      <c r="G30" s="64">
        <v>13.8</v>
      </c>
      <c r="H30" s="64">
        <v>0.92</v>
      </c>
      <c r="I30" s="64">
        <v>1</v>
      </c>
      <c r="J30" s="64">
        <v>7.0000000000000007E-2</v>
      </c>
      <c r="K30" s="64">
        <v>283.35000000000002</v>
      </c>
      <c r="L30" s="64">
        <v>23.01</v>
      </c>
      <c r="M30" s="64">
        <v>98.45</v>
      </c>
      <c r="N30" s="64">
        <v>30.9</v>
      </c>
      <c r="O30" s="64">
        <v>0</v>
      </c>
      <c r="P30" s="64">
        <v>0.24</v>
      </c>
      <c r="Q30" s="64">
        <v>9.51</v>
      </c>
      <c r="R30" s="198"/>
      <c r="S30" s="198"/>
      <c r="T30" s="198"/>
      <c r="U30" s="198"/>
    </row>
    <row r="31" spans="1:21" s="12" customFormat="1" x14ac:dyDescent="0.25">
      <c r="A31" s="214" t="s">
        <v>362</v>
      </c>
      <c r="B31" s="64">
        <v>7.72</v>
      </c>
      <c r="C31" s="64">
        <v>8.31</v>
      </c>
      <c r="D31" s="64">
        <v>10.53</v>
      </c>
      <c r="E31" s="64">
        <v>4.78</v>
      </c>
      <c r="F31" s="64">
        <v>4.76</v>
      </c>
      <c r="G31" s="64">
        <v>13.99</v>
      </c>
      <c r="H31" s="64">
        <v>0.36</v>
      </c>
      <c r="I31" s="64">
        <v>1.04</v>
      </c>
      <c r="J31" s="64">
        <v>0.13</v>
      </c>
      <c r="K31" s="64">
        <v>311.19</v>
      </c>
      <c r="L31" s="64">
        <v>23.03</v>
      </c>
      <c r="M31" s="64">
        <v>98.45</v>
      </c>
      <c r="N31" s="64">
        <v>31.7</v>
      </c>
      <c r="O31" s="64">
        <v>0</v>
      </c>
      <c r="P31" s="64">
        <v>0.28000000000000003</v>
      </c>
      <c r="Q31" s="64">
        <v>9.52</v>
      </c>
      <c r="R31" s="198"/>
      <c r="S31" s="198"/>
      <c r="T31" s="198"/>
      <c r="U31" s="198"/>
    </row>
    <row r="32" spans="1:21" s="12" customFormat="1" x14ac:dyDescent="0.25">
      <c r="A32" s="214" t="s">
        <v>363</v>
      </c>
      <c r="B32" s="64">
        <v>6.76</v>
      </c>
      <c r="C32" s="64">
        <v>7.12</v>
      </c>
      <c r="D32" s="64">
        <v>9.14</v>
      </c>
      <c r="E32" s="64">
        <v>5.08</v>
      </c>
      <c r="F32" s="64">
        <v>4.92</v>
      </c>
      <c r="G32" s="64">
        <v>13.99</v>
      </c>
      <c r="H32" s="64">
        <v>0.36</v>
      </c>
      <c r="I32" s="64">
        <v>1.07</v>
      </c>
      <c r="J32" s="64">
        <v>0.12</v>
      </c>
      <c r="K32" s="64">
        <v>325.99</v>
      </c>
      <c r="L32" s="64">
        <v>22.99</v>
      </c>
      <c r="M32" s="64">
        <v>98.45</v>
      </c>
      <c r="N32" s="64">
        <v>37.9</v>
      </c>
      <c r="O32" s="64">
        <v>0</v>
      </c>
      <c r="P32" s="64">
        <v>0.3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14" t="s">
        <v>364</v>
      </c>
      <c r="B33" s="64">
        <v>9.49</v>
      </c>
      <c r="C33" s="64">
        <v>9.75</v>
      </c>
      <c r="D33" s="64">
        <v>12.7</v>
      </c>
      <c r="E33" s="64">
        <v>4.55</v>
      </c>
      <c r="F33" s="64">
        <v>5.34</v>
      </c>
      <c r="G33" s="64">
        <v>13.99</v>
      </c>
      <c r="H33" s="64">
        <v>0.36</v>
      </c>
      <c r="I33" s="64">
        <v>1.1000000000000001</v>
      </c>
      <c r="J33" s="64">
        <v>7.0000000000000007E-2</v>
      </c>
      <c r="K33" s="64">
        <v>318.08</v>
      </c>
      <c r="L33" s="64">
        <v>23.03</v>
      </c>
      <c r="M33" s="64">
        <v>98.45</v>
      </c>
      <c r="N33" s="64">
        <v>45.7</v>
      </c>
      <c r="O33" s="64">
        <v>0</v>
      </c>
      <c r="P33" s="64">
        <v>0.39</v>
      </c>
      <c r="Q33" s="64">
        <v>9.5399999999999991</v>
      </c>
      <c r="R33" s="198"/>
      <c r="S33" s="198"/>
      <c r="T33" s="198"/>
      <c r="U33" s="198"/>
    </row>
    <row r="34" spans="1:21" s="12" customFormat="1" x14ac:dyDescent="0.25">
      <c r="A34" s="214" t="s">
        <v>365</v>
      </c>
      <c r="B34" s="64">
        <v>10.75</v>
      </c>
      <c r="C34" s="64">
        <v>9.4499999999999993</v>
      </c>
      <c r="D34" s="64">
        <v>13.55</v>
      </c>
      <c r="E34" s="64">
        <v>4.8899999999999997</v>
      </c>
      <c r="F34" s="64">
        <v>5.23</v>
      </c>
      <c r="G34" s="64">
        <v>15</v>
      </c>
      <c r="H34" s="64">
        <v>0.05</v>
      </c>
      <c r="I34" s="64">
        <v>1.1499999999999999</v>
      </c>
      <c r="J34" s="64">
        <v>0.1</v>
      </c>
      <c r="K34" s="64">
        <v>302.93</v>
      </c>
      <c r="L34" s="64">
        <v>23.24</v>
      </c>
      <c r="M34" s="64">
        <v>98.45</v>
      </c>
      <c r="N34" s="64">
        <v>59.6</v>
      </c>
      <c r="O34" s="64">
        <v>0</v>
      </c>
      <c r="P34" s="64">
        <v>0.39</v>
      </c>
      <c r="Q34" s="64">
        <v>9.5500000000000007</v>
      </c>
      <c r="R34" s="198"/>
      <c r="S34" s="198"/>
      <c r="T34" s="198"/>
      <c r="U34" s="198"/>
    </row>
    <row r="35" spans="1:21" s="12" customFormat="1" x14ac:dyDescent="0.25">
      <c r="A35" s="214" t="s">
        <v>366</v>
      </c>
      <c r="B35" s="64">
        <v>7.57</v>
      </c>
      <c r="C35" s="64">
        <v>7.7</v>
      </c>
      <c r="D35" s="64">
        <v>10.09</v>
      </c>
      <c r="E35" s="64">
        <v>5.07</v>
      </c>
      <c r="F35" s="64">
        <v>5.5</v>
      </c>
      <c r="G35" s="64">
        <v>15.24</v>
      </c>
      <c r="H35" s="64">
        <v>0.05</v>
      </c>
      <c r="I35" s="64">
        <v>1.23</v>
      </c>
      <c r="J35" s="64">
        <v>0.05</v>
      </c>
      <c r="K35" s="64">
        <v>259.25</v>
      </c>
      <c r="L35" s="64">
        <v>23.18</v>
      </c>
      <c r="M35" s="64">
        <v>98.45</v>
      </c>
      <c r="N35" s="64">
        <v>67.8</v>
      </c>
      <c r="O35" s="64">
        <v>0</v>
      </c>
      <c r="P35" s="64">
        <v>0.32</v>
      </c>
      <c r="Q35" s="64">
        <v>9.56</v>
      </c>
      <c r="R35" s="198"/>
      <c r="S35" s="198"/>
      <c r="T35" s="198"/>
      <c r="U35" s="198"/>
    </row>
    <row r="36" spans="1:21" s="12" customFormat="1" x14ac:dyDescent="0.25">
      <c r="A36" s="214" t="s">
        <v>367</v>
      </c>
      <c r="B36" s="64">
        <v>7.93</v>
      </c>
      <c r="C36" s="64">
        <v>6.1</v>
      </c>
      <c r="D36" s="64">
        <v>9.5500000000000007</v>
      </c>
      <c r="E36" s="64">
        <v>5</v>
      </c>
      <c r="F36" s="64">
        <v>3.19</v>
      </c>
      <c r="G36" s="64">
        <v>15.24</v>
      </c>
      <c r="H36" s="64">
        <v>0.05</v>
      </c>
      <c r="I36" s="64">
        <v>1.32</v>
      </c>
      <c r="J36" s="64">
        <v>0.06</v>
      </c>
      <c r="K36" s="64">
        <v>276.66000000000003</v>
      </c>
      <c r="L36" s="64">
        <v>23.32</v>
      </c>
      <c r="M36" s="64">
        <v>98.48</v>
      </c>
      <c r="N36" s="64">
        <v>75.900000000000006</v>
      </c>
      <c r="O36" s="64">
        <v>0</v>
      </c>
      <c r="P36" s="64">
        <v>0.31</v>
      </c>
      <c r="Q36" s="64">
        <v>9.56</v>
      </c>
      <c r="R36" s="198"/>
      <c r="S36" s="198"/>
      <c r="T36" s="198"/>
      <c r="U36" s="198"/>
    </row>
    <row r="37" spans="1:21" s="12" customFormat="1" x14ac:dyDescent="0.25">
      <c r="A37" s="214" t="s">
        <v>368</v>
      </c>
      <c r="B37" s="64">
        <v>13.3</v>
      </c>
      <c r="C37" s="64">
        <v>7.87</v>
      </c>
      <c r="D37" s="64">
        <v>14.78</v>
      </c>
      <c r="E37" s="64">
        <v>5.12</v>
      </c>
      <c r="F37" s="64">
        <v>3.52</v>
      </c>
      <c r="G37" s="64">
        <v>15.24</v>
      </c>
      <c r="H37" s="64">
        <v>0.05</v>
      </c>
      <c r="I37" s="64">
        <v>1.36</v>
      </c>
      <c r="J37" s="64">
        <v>0.09</v>
      </c>
      <c r="K37" s="64">
        <v>324.64999999999998</v>
      </c>
      <c r="L37" s="64">
        <v>23.75</v>
      </c>
      <c r="M37" s="64">
        <v>98.44</v>
      </c>
      <c r="N37" s="64">
        <v>88.3</v>
      </c>
      <c r="O37" s="64">
        <v>0</v>
      </c>
      <c r="P37" s="64">
        <v>0.49</v>
      </c>
      <c r="Q37" s="64">
        <v>9.56</v>
      </c>
      <c r="R37" s="198"/>
      <c r="S37" s="198"/>
      <c r="T37" s="198"/>
      <c r="U37" s="198"/>
    </row>
    <row r="38" spans="1:21" s="12" customFormat="1" x14ac:dyDescent="0.25">
      <c r="A38" s="214" t="s">
        <v>369</v>
      </c>
      <c r="B38" s="64">
        <v>15</v>
      </c>
      <c r="C38" s="64">
        <v>8.06</v>
      </c>
      <c r="D38" s="64">
        <v>16.239999999999998</v>
      </c>
      <c r="E38" s="64">
        <v>5.1100000000000003</v>
      </c>
      <c r="F38" s="64">
        <v>3.92</v>
      </c>
      <c r="G38" s="64">
        <v>19.86</v>
      </c>
      <c r="H38" s="64">
        <v>0.78</v>
      </c>
      <c r="I38" s="64">
        <v>1.37</v>
      </c>
      <c r="J38" s="64">
        <v>0.15</v>
      </c>
      <c r="K38" s="64">
        <v>322.17</v>
      </c>
      <c r="L38" s="64">
        <v>24.27</v>
      </c>
      <c r="M38" s="64">
        <v>98.41</v>
      </c>
      <c r="N38" s="64">
        <v>102.8</v>
      </c>
      <c r="O38" s="64">
        <v>0</v>
      </c>
      <c r="P38" s="64">
        <v>0.47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4" t="s">
        <v>370</v>
      </c>
      <c r="B39" s="64">
        <v>11.8</v>
      </c>
      <c r="C39" s="64">
        <v>7.99</v>
      </c>
      <c r="D39" s="64">
        <v>13.64</v>
      </c>
      <c r="E39" s="64">
        <v>4.7</v>
      </c>
      <c r="F39" s="64">
        <v>4.59</v>
      </c>
      <c r="G39" s="64">
        <v>21.01</v>
      </c>
      <c r="H39" s="64">
        <v>0.78</v>
      </c>
      <c r="I39" s="64">
        <v>1.41</v>
      </c>
      <c r="J39" s="64">
        <v>0.08</v>
      </c>
      <c r="K39" s="64">
        <v>280.95</v>
      </c>
      <c r="L39" s="64">
        <v>24.49</v>
      </c>
      <c r="M39" s="64">
        <v>98.4</v>
      </c>
      <c r="N39" s="64">
        <v>90.7</v>
      </c>
      <c r="O39" s="64">
        <v>0</v>
      </c>
      <c r="P39" s="64">
        <v>0.47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4" t="s">
        <v>371</v>
      </c>
      <c r="B40" s="64">
        <v>10.82</v>
      </c>
      <c r="C40" s="64">
        <v>6.12</v>
      </c>
      <c r="D40" s="64">
        <v>11.88</v>
      </c>
      <c r="E40" s="64">
        <v>3.89</v>
      </c>
      <c r="F40" s="64">
        <v>4.04</v>
      </c>
      <c r="G40" s="64">
        <v>21.01</v>
      </c>
      <c r="H40" s="64">
        <v>0.78</v>
      </c>
      <c r="I40" s="64">
        <v>1.46</v>
      </c>
      <c r="J40" s="64">
        <v>0.2</v>
      </c>
      <c r="K40" s="64">
        <v>321.39</v>
      </c>
      <c r="L40" s="64">
        <v>24.67</v>
      </c>
      <c r="M40" s="64">
        <v>98.39</v>
      </c>
      <c r="N40" s="64">
        <v>96.6</v>
      </c>
      <c r="O40" s="64">
        <v>0</v>
      </c>
      <c r="P40" s="64">
        <v>0.43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4" t="s">
        <v>372</v>
      </c>
      <c r="B41" s="64">
        <v>13.53</v>
      </c>
      <c r="C41" s="64">
        <v>7.37</v>
      </c>
      <c r="D41" s="64">
        <v>14.7</v>
      </c>
      <c r="E41" s="64">
        <v>4.8499999999999996</v>
      </c>
      <c r="F41" s="64">
        <v>4.1900000000000004</v>
      </c>
      <c r="G41" s="64">
        <v>21.01</v>
      </c>
      <c r="H41" s="64">
        <v>0.78</v>
      </c>
      <c r="I41" s="64">
        <v>1.51</v>
      </c>
      <c r="J41" s="64">
        <v>0.76</v>
      </c>
      <c r="K41" s="64">
        <v>335</v>
      </c>
      <c r="L41" s="64">
        <v>24.92</v>
      </c>
      <c r="M41" s="64">
        <v>98.38</v>
      </c>
      <c r="N41" s="64">
        <v>106.2</v>
      </c>
      <c r="O41" s="64">
        <v>0</v>
      </c>
      <c r="P41" s="64">
        <v>0.47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4" t="s">
        <v>373</v>
      </c>
      <c r="B42" s="64">
        <v>11.83</v>
      </c>
      <c r="C42" s="64">
        <v>5.46</v>
      </c>
      <c r="D42" s="64">
        <v>12.34</v>
      </c>
      <c r="E42" s="64">
        <v>4.4400000000000004</v>
      </c>
      <c r="F42" s="64">
        <v>3.66</v>
      </c>
      <c r="G42" s="64">
        <v>32.86</v>
      </c>
      <c r="H42" s="64">
        <v>1.2</v>
      </c>
      <c r="I42" s="64">
        <v>1.54</v>
      </c>
      <c r="J42" s="64">
        <v>0.75</v>
      </c>
      <c r="K42" s="64">
        <v>329.66</v>
      </c>
      <c r="L42" s="64">
        <v>25.22</v>
      </c>
      <c r="M42" s="64">
        <v>98.37</v>
      </c>
      <c r="N42" s="64">
        <v>179.4</v>
      </c>
      <c r="O42" s="64">
        <v>0</v>
      </c>
      <c r="P42" s="64">
        <v>0.45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4" t="s">
        <v>374</v>
      </c>
      <c r="B43" s="64">
        <v>13.17</v>
      </c>
      <c r="C43" s="64">
        <v>6.86</v>
      </c>
      <c r="D43" s="64">
        <v>14.15</v>
      </c>
      <c r="E43" s="64">
        <v>4.3099999999999996</v>
      </c>
      <c r="F43" s="64">
        <v>4.45</v>
      </c>
      <c r="G43" s="64">
        <v>35.619999999999997</v>
      </c>
      <c r="H43" s="64">
        <v>1.2</v>
      </c>
      <c r="I43" s="64">
        <v>1.57</v>
      </c>
      <c r="J43" s="64">
        <v>0.75</v>
      </c>
      <c r="K43" s="64">
        <v>327.43</v>
      </c>
      <c r="L43" s="64">
        <v>26.21</v>
      </c>
      <c r="M43" s="64">
        <v>98.32</v>
      </c>
      <c r="N43" s="64">
        <v>266</v>
      </c>
      <c r="O43" s="64">
        <v>0</v>
      </c>
      <c r="P43" s="64">
        <v>0.44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4" t="s">
        <v>375</v>
      </c>
      <c r="B44" s="64">
        <v>13.02</v>
      </c>
      <c r="C44" s="64">
        <v>6.34</v>
      </c>
      <c r="D44" s="64">
        <v>13.75</v>
      </c>
      <c r="E44" s="64">
        <v>4.21</v>
      </c>
      <c r="F44" s="64">
        <v>5.84</v>
      </c>
      <c r="G44" s="64">
        <v>35.619999999999997</v>
      </c>
      <c r="H44" s="64">
        <v>1.2</v>
      </c>
      <c r="I44" s="64">
        <v>1.58</v>
      </c>
      <c r="J44" s="64">
        <v>0.85</v>
      </c>
      <c r="K44" s="64">
        <v>338.45</v>
      </c>
      <c r="L44" s="64">
        <v>27.61</v>
      </c>
      <c r="M44" s="64">
        <v>97.77</v>
      </c>
      <c r="N44" s="64">
        <v>405.1</v>
      </c>
      <c r="O44" s="64">
        <v>0</v>
      </c>
      <c r="P44" s="64">
        <v>0.45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4" t="s">
        <v>376</v>
      </c>
      <c r="B45" s="64">
        <v>14.79</v>
      </c>
      <c r="C45" s="64">
        <v>7.28</v>
      </c>
      <c r="D45" s="64">
        <v>15.66</v>
      </c>
      <c r="E45" s="64">
        <v>4.57</v>
      </c>
      <c r="F45" s="64">
        <v>6.07</v>
      </c>
      <c r="G45" s="64">
        <v>35.619999999999997</v>
      </c>
      <c r="H45" s="64">
        <v>1.2</v>
      </c>
      <c r="I45" s="64">
        <v>1.57</v>
      </c>
      <c r="J45" s="64">
        <v>0.45</v>
      </c>
      <c r="K45" s="64">
        <v>326.97000000000003</v>
      </c>
      <c r="L45" s="64">
        <v>28.98</v>
      </c>
      <c r="M45" s="64">
        <v>91.99</v>
      </c>
      <c r="N45" s="64">
        <v>342</v>
      </c>
      <c r="O45" s="64">
        <v>0</v>
      </c>
      <c r="P45" s="64">
        <v>0.46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377</v>
      </c>
      <c r="B46" s="64">
        <v>11.96</v>
      </c>
      <c r="C46" s="64">
        <v>8.61</v>
      </c>
      <c r="D46" s="64">
        <v>14.09</v>
      </c>
      <c r="E46" s="64">
        <v>4.51</v>
      </c>
      <c r="F46" s="64">
        <v>9.18</v>
      </c>
      <c r="G46" s="64">
        <v>37.97</v>
      </c>
      <c r="H46" s="64">
        <v>1.08</v>
      </c>
      <c r="I46" s="64">
        <v>1.57</v>
      </c>
      <c r="J46" s="64">
        <v>0.73</v>
      </c>
      <c r="K46" s="64">
        <v>333.98</v>
      </c>
      <c r="L46" s="64">
        <v>29.14</v>
      </c>
      <c r="M46" s="64">
        <v>90.95</v>
      </c>
      <c r="N46" s="64">
        <v>346.2</v>
      </c>
      <c r="O46" s="64">
        <v>0</v>
      </c>
      <c r="P46" s="64">
        <v>0.45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4" t="s">
        <v>378</v>
      </c>
      <c r="B47" s="64">
        <v>16.170000000000002</v>
      </c>
      <c r="C47" s="64">
        <v>7.71</v>
      </c>
      <c r="D47" s="64">
        <v>17</v>
      </c>
      <c r="E47" s="64">
        <v>4.55</v>
      </c>
      <c r="F47" s="64">
        <v>6.85</v>
      </c>
      <c r="G47" s="64">
        <v>38.520000000000003</v>
      </c>
      <c r="H47" s="64">
        <v>1.06</v>
      </c>
      <c r="I47" s="64">
        <v>1.56</v>
      </c>
      <c r="J47" s="64">
        <v>0.86</v>
      </c>
      <c r="K47" s="64">
        <v>334.63</v>
      </c>
      <c r="L47" s="64">
        <v>29.5</v>
      </c>
      <c r="M47" s="64">
        <v>89.32</v>
      </c>
      <c r="N47" s="64">
        <v>364.7</v>
      </c>
      <c r="O47" s="64">
        <v>0</v>
      </c>
      <c r="P47" s="64">
        <v>0.52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4" t="s">
        <v>379</v>
      </c>
      <c r="B48" s="64">
        <v>14.02</v>
      </c>
      <c r="C48" s="64">
        <v>5.66</v>
      </c>
      <c r="D48" s="64">
        <v>14.19</v>
      </c>
      <c r="E48" s="64">
        <v>4.63</v>
      </c>
      <c r="F48" s="64">
        <v>4.8499999999999996</v>
      </c>
      <c r="G48" s="64">
        <v>38.520000000000003</v>
      </c>
      <c r="H48" s="64">
        <v>1.06</v>
      </c>
      <c r="I48" s="64">
        <v>1.57</v>
      </c>
      <c r="J48" s="64">
        <v>1.1000000000000001</v>
      </c>
      <c r="K48" s="64">
        <v>331.87</v>
      </c>
      <c r="L48" s="64">
        <v>29.26</v>
      </c>
      <c r="M48" s="64">
        <v>90.33</v>
      </c>
      <c r="N48" s="64">
        <v>239.4</v>
      </c>
      <c r="O48" s="64">
        <v>0</v>
      </c>
      <c r="P48" s="64">
        <v>0.48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4" t="s">
        <v>380</v>
      </c>
      <c r="B49" s="64">
        <v>14.2</v>
      </c>
      <c r="C49" s="64">
        <v>7.64</v>
      </c>
      <c r="D49" s="64">
        <v>15.38</v>
      </c>
      <c r="E49" s="64">
        <v>4.51</v>
      </c>
      <c r="F49" s="64">
        <v>6.25</v>
      </c>
      <c r="G49" s="64">
        <v>38.520000000000003</v>
      </c>
      <c r="H49" s="64">
        <v>1.06</v>
      </c>
      <c r="I49" s="64">
        <v>1.58</v>
      </c>
      <c r="J49" s="64">
        <v>1.17</v>
      </c>
      <c r="K49" s="64">
        <v>333.5</v>
      </c>
      <c r="L49" s="64">
        <v>28.46</v>
      </c>
      <c r="M49" s="64">
        <v>94.46</v>
      </c>
      <c r="N49" s="64">
        <v>212.1</v>
      </c>
      <c r="O49" s="64">
        <v>0</v>
      </c>
      <c r="P49" s="64">
        <v>0.5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4" t="s">
        <v>381</v>
      </c>
      <c r="B50" s="64">
        <v>14.19</v>
      </c>
      <c r="C50" s="64">
        <v>6.34</v>
      </c>
      <c r="D50" s="64">
        <v>14.69</v>
      </c>
      <c r="E50" s="64">
        <v>4.29</v>
      </c>
      <c r="F50" s="64">
        <v>5.05</v>
      </c>
      <c r="G50" s="64">
        <v>37.36</v>
      </c>
      <c r="H50" s="64">
        <v>0.23</v>
      </c>
      <c r="I50" s="64">
        <v>1.59</v>
      </c>
      <c r="J50" s="64">
        <v>1.1399999999999999</v>
      </c>
      <c r="K50" s="64">
        <v>331.46</v>
      </c>
      <c r="L50" s="64">
        <v>28.45</v>
      </c>
      <c r="M50" s="64">
        <v>94.75</v>
      </c>
      <c r="N50" s="64">
        <v>285.10000000000002</v>
      </c>
      <c r="O50" s="64">
        <v>0</v>
      </c>
      <c r="P50" s="64">
        <v>0.48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4" t="s">
        <v>382</v>
      </c>
      <c r="B51" s="64">
        <v>15.36</v>
      </c>
      <c r="C51" s="64">
        <v>7.81</v>
      </c>
      <c r="D51" s="64">
        <v>16.329999999999998</v>
      </c>
      <c r="E51" s="64">
        <v>4.63</v>
      </c>
      <c r="F51" s="64">
        <v>6.95</v>
      </c>
      <c r="G51" s="64">
        <v>37.090000000000003</v>
      </c>
      <c r="H51" s="64">
        <v>0.23</v>
      </c>
      <c r="I51" s="64">
        <v>1.61</v>
      </c>
      <c r="J51" s="64">
        <v>1.28</v>
      </c>
      <c r="K51" s="64">
        <v>337.5</v>
      </c>
      <c r="L51" s="64">
        <v>28.61</v>
      </c>
      <c r="M51" s="64">
        <v>93.77</v>
      </c>
      <c r="N51" s="64">
        <v>239.7</v>
      </c>
      <c r="O51" s="64">
        <v>0</v>
      </c>
      <c r="P51" s="64">
        <v>0.51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14" t="s">
        <v>383</v>
      </c>
      <c r="B52" s="64">
        <v>14.15</v>
      </c>
      <c r="C52" s="64">
        <v>6.99</v>
      </c>
      <c r="D52" s="64">
        <v>15</v>
      </c>
      <c r="E52" s="64">
        <v>4.5599999999999996</v>
      </c>
      <c r="F52" s="64">
        <v>5.34</v>
      </c>
      <c r="G52" s="64">
        <v>37.090000000000003</v>
      </c>
      <c r="H52" s="212" t="s">
        <v>42</v>
      </c>
      <c r="I52" s="64">
        <v>1.61</v>
      </c>
      <c r="J52" s="64">
        <v>1.61</v>
      </c>
      <c r="K52" s="64">
        <v>336.34</v>
      </c>
      <c r="L52" s="64">
        <v>28.73</v>
      </c>
      <c r="M52" s="64">
        <v>94.27</v>
      </c>
      <c r="N52" s="64">
        <v>456.4</v>
      </c>
      <c r="O52" s="64">
        <v>0</v>
      </c>
      <c r="P52" s="64">
        <v>0.52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4" t="s">
        <v>384</v>
      </c>
      <c r="B53" s="64">
        <v>13.93</v>
      </c>
      <c r="C53" s="64">
        <v>6.02</v>
      </c>
      <c r="D53" s="64">
        <v>14.32</v>
      </c>
      <c r="E53" s="64">
        <v>4.46</v>
      </c>
      <c r="F53" s="64">
        <v>3.73</v>
      </c>
      <c r="G53" s="64">
        <v>37.090000000000003</v>
      </c>
      <c r="H53" s="212" t="s">
        <v>42</v>
      </c>
      <c r="I53" s="64">
        <v>1.6</v>
      </c>
      <c r="J53" s="64">
        <v>1.3</v>
      </c>
      <c r="K53" s="64">
        <v>333.84</v>
      </c>
      <c r="L53" s="64">
        <v>30.18</v>
      </c>
      <c r="M53" s="64">
        <v>89.38</v>
      </c>
      <c r="N53" s="64">
        <v>667.9</v>
      </c>
      <c r="O53" s="64">
        <v>0</v>
      </c>
      <c r="P53" s="64">
        <v>0.49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4" t="s">
        <v>385</v>
      </c>
      <c r="B54" s="64">
        <v>14.18</v>
      </c>
      <c r="C54" s="64">
        <v>5.71</v>
      </c>
      <c r="D54" s="64">
        <v>14.35</v>
      </c>
      <c r="E54" s="64">
        <v>4.76</v>
      </c>
      <c r="F54" s="64">
        <v>3.28</v>
      </c>
      <c r="G54" s="64">
        <v>39.5</v>
      </c>
      <c r="H54" s="212" t="s">
        <v>42</v>
      </c>
      <c r="I54" s="64">
        <v>1.57</v>
      </c>
      <c r="J54" s="64">
        <v>1.1599999999999999</v>
      </c>
      <c r="K54" s="64">
        <v>330.72</v>
      </c>
      <c r="L54" s="64">
        <v>30.8</v>
      </c>
      <c r="M54" s="64">
        <v>85.04</v>
      </c>
      <c r="N54" s="64">
        <v>381.6</v>
      </c>
      <c r="O54" s="64">
        <v>0</v>
      </c>
      <c r="P54" s="64">
        <v>0.51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4" t="s">
        <v>386</v>
      </c>
      <c r="B55" s="64">
        <v>13.59</v>
      </c>
      <c r="C55" s="64">
        <v>6.75</v>
      </c>
      <c r="D55" s="64">
        <v>14.43</v>
      </c>
      <c r="E55" s="64">
        <v>4.5999999999999996</v>
      </c>
      <c r="F55" s="64">
        <v>4.5199999999999996</v>
      </c>
      <c r="G55" s="64">
        <v>40.06</v>
      </c>
      <c r="H55" s="212" t="s">
        <v>42</v>
      </c>
      <c r="I55" s="64">
        <v>1.57</v>
      </c>
      <c r="J55" s="64">
        <v>1.43</v>
      </c>
      <c r="K55" s="64">
        <v>336.59</v>
      </c>
      <c r="L55" s="64">
        <v>29.87</v>
      </c>
      <c r="M55" s="64">
        <v>89.88</v>
      </c>
      <c r="N55" s="64">
        <v>366.8</v>
      </c>
      <c r="O55" s="64">
        <v>0</v>
      </c>
      <c r="P55" s="64">
        <v>0.52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4" t="s">
        <v>387</v>
      </c>
      <c r="B56" s="64">
        <v>13.36</v>
      </c>
      <c r="C56" s="64">
        <v>7.34</v>
      </c>
      <c r="D56" s="64">
        <v>14.55</v>
      </c>
      <c r="E56" s="64">
        <v>4.38</v>
      </c>
      <c r="F56" s="64">
        <v>4.7</v>
      </c>
      <c r="G56" s="64">
        <v>40.06</v>
      </c>
      <c r="H56" s="212" t="s">
        <v>42</v>
      </c>
      <c r="I56" s="64">
        <v>1.54</v>
      </c>
      <c r="J56" s="64">
        <v>1.76</v>
      </c>
      <c r="K56" s="64">
        <v>338.58</v>
      </c>
      <c r="L56" s="64">
        <v>29.33</v>
      </c>
      <c r="M56" s="64">
        <v>93.98</v>
      </c>
      <c r="N56" s="64">
        <v>480.4</v>
      </c>
      <c r="O56" s="64">
        <v>0</v>
      </c>
      <c r="P56" s="64">
        <v>0.51</v>
      </c>
      <c r="Q56" s="64">
        <v>9.64</v>
      </c>
      <c r="R56" s="198"/>
      <c r="S56" s="198"/>
      <c r="T56" s="198"/>
      <c r="U56" s="198"/>
    </row>
    <row r="57" spans="1:21" s="12" customFormat="1" x14ac:dyDescent="0.25">
      <c r="A57" s="214" t="s">
        <v>388</v>
      </c>
      <c r="B57" s="64">
        <v>13.31</v>
      </c>
      <c r="C57" s="64">
        <v>6.98</v>
      </c>
      <c r="D57" s="64">
        <v>14.32</v>
      </c>
      <c r="E57" s="64">
        <v>4.34</v>
      </c>
      <c r="F57" s="64">
        <v>5.52</v>
      </c>
      <c r="G57" s="64">
        <v>40.06</v>
      </c>
      <c r="H57" s="212" t="s">
        <v>42</v>
      </c>
      <c r="I57" s="64">
        <v>1.41</v>
      </c>
      <c r="J57" s="64">
        <v>1.78</v>
      </c>
      <c r="K57" s="64">
        <v>337.19</v>
      </c>
      <c r="L57" s="64">
        <v>30.36</v>
      </c>
      <c r="M57" s="64">
        <v>88.14</v>
      </c>
      <c r="N57" s="64">
        <v>724.8</v>
      </c>
      <c r="O57" s="64">
        <v>0</v>
      </c>
      <c r="P57" s="64">
        <v>0.51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4" t="s">
        <v>389</v>
      </c>
      <c r="B58" s="64">
        <v>13.56</v>
      </c>
      <c r="C58" s="64">
        <v>7.19</v>
      </c>
      <c r="D58" s="64">
        <v>14.63</v>
      </c>
      <c r="E58" s="64">
        <v>4.24</v>
      </c>
      <c r="F58" s="64">
        <v>9</v>
      </c>
      <c r="G58" s="64">
        <v>36.32</v>
      </c>
      <c r="H58" s="212" t="s">
        <v>42</v>
      </c>
      <c r="I58" s="64">
        <v>1.33</v>
      </c>
      <c r="J58" s="64">
        <v>1.37</v>
      </c>
      <c r="K58" s="64">
        <v>334.75</v>
      </c>
      <c r="L58" s="64">
        <v>31.1</v>
      </c>
      <c r="M58" s="64">
        <v>84.41</v>
      </c>
      <c r="N58" s="64">
        <v>423.5</v>
      </c>
      <c r="O58" s="64">
        <v>0</v>
      </c>
      <c r="P58" s="64">
        <v>0.49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4" t="s">
        <v>390</v>
      </c>
      <c r="B59" s="64">
        <v>14.12</v>
      </c>
      <c r="C59" s="64">
        <v>5.7</v>
      </c>
      <c r="D59" s="64">
        <v>14.3</v>
      </c>
      <c r="E59" s="64">
        <v>4.3899999999999997</v>
      </c>
      <c r="F59" s="64">
        <v>3.99</v>
      </c>
      <c r="G59" s="64">
        <v>35.450000000000003</v>
      </c>
      <c r="H59" s="212" t="s">
        <v>42</v>
      </c>
      <c r="I59" s="64">
        <v>1.39</v>
      </c>
      <c r="J59" s="64">
        <v>0.94</v>
      </c>
      <c r="K59" s="64">
        <v>328.98</v>
      </c>
      <c r="L59" s="64">
        <v>30.42</v>
      </c>
      <c r="M59" s="64">
        <v>88.07</v>
      </c>
      <c r="N59" s="64">
        <v>309.5</v>
      </c>
      <c r="O59" s="64">
        <v>0</v>
      </c>
      <c r="P59" s="64">
        <v>0.49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4" t="s">
        <v>391</v>
      </c>
      <c r="B60" s="64">
        <v>14.45</v>
      </c>
      <c r="C60" s="64">
        <v>9.16</v>
      </c>
      <c r="D60" s="64">
        <v>16.37</v>
      </c>
      <c r="E60" s="64">
        <v>3.92</v>
      </c>
      <c r="F60" s="64">
        <v>7.15</v>
      </c>
      <c r="G60" s="64">
        <v>35.450000000000003</v>
      </c>
      <c r="H60" s="212" t="s">
        <v>42</v>
      </c>
      <c r="I60" s="64">
        <v>1.42</v>
      </c>
      <c r="J60" s="64">
        <v>0.73</v>
      </c>
      <c r="K60" s="64">
        <v>335.99</v>
      </c>
      <c r="L60" s="64">
        <v>30.81</v>
      </c>
      <c r="M60" s="64">
        <v>85.74</v>
      </c>
      <c r="N60" s="64">
        <v>349.9</v>
      </c>
      <c r="O60" s="64">
        <v>0</v>
      </c>
      <c r="P60" s="64">
        <v>0.52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4" t="s">
        <v>392</v>
      </c>
      <c r="B61" s="64">
        <v>12.7</v>
      </c>
      <c r="C61" s="64">
        <v>8.73</v>
      </c>
      <c r="D61" s="64">
        <v>14.75</v>
      </c>
      <c r="E61" s="64">
        <v>4.29</v>
      </c>
      <c r="F61" s="64">
        <v>8.77</v>
      </c>
      <c r="G61" s="64">
        <v>35.450000000000003</v>
      </c>
      <c r="H61" s="212" t="s">
        <v>42</v>
      </c>
      <c r="I61" s="64">
        <v>1.41</v>
      </c>
      <c r="J61" s="64">
        <v>0.63</v>
      </c>
      <c r="K61" s="64">
        <v>325.02999999999997</v>
      </c>
      <c r="L61" s="64">
        <v>30.71</v>
      </c>
      <c r="M61" s="64">
        <v>84.68</v>
      </c>
      <c r="N61" s="64">
        <v>278.2</v>
      </c>
      <c r="O61" s="64">
        <v>0</v>
      </c>
      <c r="P61" s="64">
        <v>0.47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4" t="s">
        <v>393</v>
      </c>
      <c r="B62" s="64">
        <v>14.86</v>
      </c>
      <c r="C62" s="64">
        <v>9.01</v>
      </c>
      <c r="D62" s="64">
        <v>16.62</v>
      </c>
      <c r="E62" s="64">
        <v>4.74</v>
      </c>
      <c r="F62" s="64">
        <v>9.84</v>
      </c>
      <c r="G62" s="64">
        <v>41.93</v>
      </c>
      <c r="H62" s="212" t="s">
        <v>42</v>
      </c>
      <c r="I62" s="64">
        <v>1.33</v>
      </c>
      <c r="J62" s="64">
        <v>1.05</v>
      </c>
      <c r="K62" s="64">
        <v>336.31</v>
      </c>
      <c r="L62" s="64">
        <v>30.2</v>
      </c>
      <c r="M62" s="64">
        <v>86.66</v>
      </c>
      <c r="N62" s="64">
        <v>223.7</v>
      </c>
      <c r="O62" s="64">
        <v>0</v>
      </c>
      <c r="P62" s="64">
        <v>0.51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4" t="s">
        <v>394</v>
      </c>
      <c r="B63" s="64">
        <v>13.21</v>
      </c>
      <c r="C63" s="64">
        <v>8.74</v>
      </c>
      <c r="D63" s="64">
        <v>15.16</v>
      </c>
      <c r="E63" s="64">
        <v>4.3600000000000003</v>
      </c>
      <c r="F63" s="64">
        <v>6.73</v>
      </c>
      <c r="G63" s="64">
        <v>43.43</v>
      </c>
      <c r="H63" s="212" t="s">
        <v>42</v>
      </c>
      <c r="I63" s="64">
        <v>1.25</v>
      </c>
      <c r="J63" s="64">
        <v>1.28</v>
      </c>
      <c r="K63" s="64">
        <v>336.6</v>
      </c>
      <c r="L63" s="64">
        <v>30.09</v>
      </c>
      <c r="M63" s="64">
        <v>87.48</v>
      </c>
      <c r="N63" s="64">
        <v>268.5</v>
      </c>
      <c r="O63" s="64">
        <v>0</v>
      </c>
      <c r="P63" s="64">
        <v>0.51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4" t="s">
        <v>395</v>
      </c>
      <c r="B64" s="64">
        <v>13.91</v>
      </c>
      <c r="C64" s="64">
        <v>8.19</v>
      </c>
      <c r="D64" s="64">
        <v>15.43</v>
      </c>
      <c r="E64" s="64">
        <v>4.33</v>
      </c>
      <c r="F64" s="64">
        <v>7.87</v>
      </c>
      <c r="G64" s="64">
        <v>43.43</v>
      </c>
      <c r="H64" s="212" t="s">
        <v>42</v>
      </c>
      <c r="I64" s="64">
        <v>1.33</v>
      </c>
      <c r="J64" s="64">
        <v>1.25</v>
      </c>
      <c r="K64" s="64">
        <v>338.27</v>
      </c>
      <c r="L64" s="64">
        <v>29.91</v>
      </c>
      <c r="M64" s="64">
        <v>89.22</v>
      </c>
      <c r="N64" s="64">
        <v>243.5</v>
      </c>
      <c r="O64" s="64">
        <v>0</v>
      </c>
      <c r="P64" s="64">
        <v>0.5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4" t="s">
        <v>396</v>
      </c>
      <c r="B65" s="64">
        <v>14.03</v>
      </c>
      <c r="C65" s="64">
        <v>7.68</v>
      </c>
      <c r="D65" s="64">
        <v>15.27</v>
      </c>
      <c r="E65" s="64">
        <v>4.53</v>
      </c>
      <c r="F65" s="64">
        <v>7.55</v>
      </c>
      <c r="G65" s="64">
        <v>43.43</v>
      </c>
      <c r="H65" s="212" t="s">
        <v>42</v>
      </c>
      <c r="I65" s="64">
        <v>1.39</v>
      </c>
      <c r="J65" s="64">
        <v>0.98</v>
      </c>
      <c r="K65" s="64">
        <v>333.97</v>
      </c>
      <c r="L65" s="64">
        <v>29.88</v>
      </c>
      <c r="M65" s="64">
        <v>88.86</v>
      </c>
      <c r="N65" s="64">
        <v>236.4</v>
      </c>
      <c r="O65" s="64">
        <v>0</v>
      </c>
      <c r="P65" s="64">
        <v>0.49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397</v>
      </c>
      <c r="B66" s="64">
        <v>15.12</v>
      </c>
      <c r="C66" s="64">
        <v>9.2899999999999991</v>
      </c>
      <c r="D66" s="64">
        <v>16.98</v>
      </c>
      <c r="E66" s="64">
        <v>4.4400000000000004</v>
      </c>
      <c r="F66" s="64">
        <v>12.25</v>
      </c>
      <c r="G66" s="64">
        <v>40.36</v>
      </c>
      <c r="H66" s="212" t="s">
        <v>42</v>
      </c>
      <c r="I66" s="64">
        <v>1.38</v>
      </c>
      <c r="J66" s="64">
        <v>0.81</v>
      </c>
      <c r="K66" s="64">
        <v>336.87</v>
      </c>
      <c r="L66" s="64">
        <v>29.98</v>
      </c>
      <c r="M66" s="64">
        <v>87.67</v>
      </c>
      <c r="N66" s="64">
        <v>218.2</v>
      </c>
      <c r="O66" s="64">
        <v>0</v>
      </c>
      <c r="P66" s="64">
        <v>0.51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398</v>
      </c>
      <c r="B67" s="64">
        <v>11.49</v>
      </c>
      <c r="C67" s="64">
        <v>9.83</v>
      </c>
      <c r="D67" s="64">
        <v>14.35</v>
      </c>
      <c r="E67" s="64">
        <v>4.58</v>
      </c>
      <c r="F67" s="64">
        <v>11.34</v>
      </c>
      <c r="G67" s="64">
        <v>39.64</v>
      </c>
      <c r="H67" s="212" t="s">
        <v>42</v>
      </c>
      <c r="I67" s="64">
        <v>1.3</v>
      </c>
      <c r="J67" s="64">
        <v>0.77</v>
      </c>
      <c r="K67" s="64">
        <v>337.31</v>
      </c>
      <c r="L67" s="64">
        <v>29.9</v>
      </c>
      <c r="M67" s="64">
        <v>88.82</v>
      </c>
      <c r="N67" s="64">
        <v>216.5</v>
      </c>
      <c r="O67" s="64">
        <v>0</v>
      </c>
      <c r="P67" s="64">
        <v>0.47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4" t="s">
        <v>399</v>
      </c>
      <c r="B68" s="64">
        <v>11.34</v>
      </c>
      <c r="C68" s="64">
        <v>9.94</v>
      </c>
      <c r="D68" s="64">
        <v>14.29</v>
      </c>
      <c r="E68" s="64">
        <v>4.55</v>
      </c>
      <c r="F68" s="64">
        <v>10.38</v>
      </c>
      <c r="G68" s="64">
        <v>39.64</v>
      </c>
      <c r="H68" s="212" t="s">
        <v>42</v>
      </c>
      <c r="I68" s="64">
        <v>1.24</v>
      </c>
      <c r="J68" s="64">
        <v>0.41</v>
      </c>
      <c r="K68" s="64">
        <v>328.29</v>
      </c>
      <c r="L68" s="64">
        <v>30.2</v>
      </c>
      <c r="M68" s="64">
        <v>87.06</v>
      </c>
      <c r="N68" s="64">
        <v>220.8</v>
      </c>
      <c r="O68" s="64">
        <v>0</v>
      </c>
      <c r="P68" s="64">
        <v>0.49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4" t="s">
        <v>400</v>
      </c>
      <c r="B69" s="64">
        <v>11.28</v>
      </c>
      <c r="C69" s="64">
        <v>8.7799999999999994</v>
      </c>
      <c r="D69" s="64">
        <v>13.63</v>
      </c>
      <c r="E69" s="64">
        <v>4.62</v>
      </c>
      <c r="F69" s="64">
        <v>7.88</v>
      </c>
      <c r="G69" s="64">
        <v>39.64</v>
      </c>
      <c r="H69" s="212" t="s">
        <v>42</v>
      </c>
      <c r="I69" s="64">
        <v>1.33</v>
      </c>
      <c r="J69" s="64">
        <v>0.69</v>
      </c>
      <c r="K69" s="64">
        <v>330.43</v>
      </c>
      <c r="L69" s="64">
        <v>30.56</v>
      </c>
      <c r="M69" s="64">
        <v>84.26</v>
      </c>
      <c r="N69" s="64">
        <v>212.5</v>
      </c>
      <c r="O69" s="64">
        <v>0</v>
      </c>
      <c r="P69" s="64">
        <v>0.47</v>
      </c>
      <c r="Q69" s="64">
        <v>9.6300000000000008</v>
      </c>
      <c r="R69" s="198"/>
      <c r="S69" s="198"/>
      <c r="T69" s="198"/>
      <c r="U69" s="198"/>
    </row>
    <row r="70" spans="1:21" s="12" customFormat="1" x14ac:dyDescent="0.25">
      <c r="A70" s="214" t="s">
        <v>401</v>
      </c>
      <c r="B70" s="64">
        <v>12.08</v>
      </c>
      <c r="C70" s="64">
        <v>9.32</v>
      </c>
      <c r="D70" s="64">
        <v>14.56</v>
      </c>
      <c r="E70" s="64">
        <v>4.63</v>
      </c>
      <c r="F70" s="64">
        <v>11.06</v>
      </c>
      <c r="G70" s="64">
        <v>42.1</v>
      </c>
      <c r="H70" s="212" t="s">
        <v>42</v>
      </c>
      <c r="I70" s="64">
        <v>1.4</v>
      </c>
      <c r="J70" s="64">
        <v>0.85</v>
      </c>
      <c r="K70" s="64">
        <v>335.17</v>
      </c>
      <c r="L70" s="64">
        <v>30.35</v>
      </c>
      <c r="M70" s="64">
        <v>84.01</v>
      </c>
      <c r="N70" s="64">
        <v>198.8</v>
      </c>
      <c r="O70" s="64">
        <v>0</v>
      </c>
      <c r="P70" s="64">
        <v>0.48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4" t="s">
        <v>402</v>
      </c>
      <c r="B71" s="64">
        <v>11.85</v>
      </c>
      <c r="C71" s="64">
        <v>9.5399999999999991</v>
      </c>
      <c r="D71" s="64">
        <v>14.49</v>
      </c>
      <c r="E71" s="64">
        <v>4.6100000000000003</v>
      </c>
      <c r="F71" s="64">
        <v>10.14</v>
      </c>
      <c r="G71" s="64">
        <v>42.68</v>
      </c>
      <c r="H71" s="212" t="s">
        <v>42</v>
      </c>
      <c r="I71" s="64">
        <v>1.33</v>
      </c>
      <c r="J71" s="64">
        <v>0.73</v>
      </c>
      <c r="K71" s="64">
        <v>334.88</v>
      </c>
      <c r="L71" s="64">
        <v>30.24</v>
      </c>
      <c r="M71" s="64">
        <v>85.93</v>
      </c>
      <c r="N71" s="64">
        <v>191.4</v>
      </c>
      <c r="O71" s="64">
        <v>0</v>
      </c>
      <c r="P71" s="64">
        <v>0.48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4" t="s">
        <v>403</v>
      </c>
      <c r="B72" s="64">
        <v>10.88</v>
      </c>
      <c r="C72" s="64">
        <v>8.4</v>
      </c>
      <c r="D72" s="64">
        <v>13.11</v>
      </c>
      <c r="E72" s="64">
        <v>4.74</v>
      </c>
      <c r="F72" s="64">
        <v>7.02</v>
      </c>
      <c r="G72" s="64">
        <v>42.68</v>
      </c>
      <c r="H72" s="212" t="s">
        <v>42</v>
      </c>
      <c r="I72" s="64">
        <v>1.26</v>
      </c>
      <c r="J72" s="64">
        <v>0.4</v>
      </c>
      <c r="K72" s="64">
        <v>320.02</v>
      </c>
      <c r="L72" s="64">
        <v>30.16</v>
      </c>
      <c r="M72" s="64">
        <v>84.47</v>
      </c>
      <c r="N72" s="64">
        <v>208.9</v>
      </c>
      <c r="O72" s="64">
        <v>0</v>
      </c>
      <c r="P72" s="64">
        <v>0.46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4" t="s">
        <v>404</v>
      </c>
      <c r="B73" s="64">
        <v>11.65</v>
      </c>
      <c r="C73" s="64">
        <v>8.59</v>
      </c>
      <c r="D73" s="64">
        <v>13.83</v>
      </c>
      <c r="E73" s="64">
        <v>5.29</v>
      </c>
      <c r="F73" s="64">
        <v>7.02</v>
      </c>
      <c r="G73" s="64">
        <v>42.68</v>
      </c>
      <c r="H73" s="212" t="s">
        <v>42</v>
      </c>
      <c r="I73" s="64">
        <v>1.33</v>
      </c>
      <c r="J73" s="64">
        <v>0.51</v>
      </c>
      <c r="K73" s="64">
        <v>328.13</v>
      </c>
      <c r="L73" s="64">
        <v>30.28</v>
      </c>
      <c r="M73" s="64">
        <v>84.73</v>
      </c>
      <c r="N73" s="64">
        <v>169.1</v>
      </c>
      <c r="O73" s="64">
        <v>0</v>
      </c>
      <c r="P73" s="64">
        <v>0.49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4" t="s">
        <v>405</v>
      </c>
      <c r="B74" s="64">
        <v>14.07</v>
      </c>
      <c r="C74" s="64">
        <v>13.52</v>
      </c>
      <c r="D74" s="64">
        <v>18.34</v>
      </c>
      <c r="E74" s="64">
        <v>5.36</v>
      </c>
      <c r="F74" s="64">
        <v>11.51</v>
      </c>
      <c r="G74" s="64">
        <v>46.48</v>
      </c>
      <c r="H74" s="212" t="s">
        <v>42</v>
      </c>
      <c r="I74" s="64">
        <v>1.39</v>
      </c>
      <c r="J74" s="64">
        <v>0.35</v>
      </c>
      <c r="K74" s="64">
        <v>339.03</v>
      </c>
      <c r="L74" s="64">
        <v>29.77</v>
      </c>
      <c r="M74" s="64">
        <v>86.17</v>
      </c>
      <c r="N74" s="64">
        <v>98</v>
      </c>
      <c r="O74" s="64">
        <v>0</v>
      </c>
      <c r="P74" s="64">
        <v>0.52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406</v>
      </c>
      <c r="B75" s="64">
        <v>14.02</v>
      </c>
      <c r="C75" s="64">
        <v>18.690000000000001</v>
      </c>
      <c r="D75" s="64">
        <v>21</v>
      </c>
      <c r="E75" s="64">
        <v>5.67</v>
      </c>
      <c r="F75" s="64">
        <v>9.27</v>
      </c>
      <c r="G75" s="64">
        <v>47.36</v>
      </c>
      <c r="H75" s="212" t="s">
        <v>42</v>
      </c>
      <c r="I75" s="64">
        <v>1.28</v>
      </c>
      <c r="J75" s="64">
        <v>0.91</v>
      </c>
      <c r="K75" s="64">
        <v>124.13</v>
      </c>
      <c r="L75" s="64">
        <v>27.98</v>
      </c>
      <c r="M75" s="64">
        <v>94.36</v>
      </c>
      <c r="N75" s="64">
        <v>51.7</v>
      </c>
      <c r="O75" s="64">
        <v>0</v>
      </c>
      <c r="P75" s="64">
        <v>0.65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4" t="s">
        <v>407</v>
      </c>
      <c r="B76" s="64">
        <v>9.59</v>
      </c>
      <c r="C76" s="64">
        <v>9.4499999999999993</v>
      </c>
      <c r="D76" s="64">
        <v>12.62</v>
      </c>
      <c r="E76" s="64">
        <v>5.25</v>
      </c>
      <c r="F76" s="64">
        <v>7.94</v>
      </c>
      <c r="G76" s="64">
        <v>47.36</v>
      </c>
      <c r="H76" s="212" t="s">
        <v>42</v>
      </c>
      <c r="I76" s="64">
        <v>1.19</v>
      </c>
      <c r="J76" s="64">
        <v>0.74</v>
      </c>
      <c r="K76" s="64">
        <v>101.83</v>
      </c>
      <c r="L76" s="64">
        <v>24.92</v>
      </c>
      <c r="M76" s="64">
        <v>98.48</v>
      </c>
      <c r="N76" s="64">
        <v>43.8</v>
      </c>
      <c r="O76" s="64">
        <v>0</v>
      </c>
      <c r="P76" s="64">
        <v>0.46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4" t="s">
        <v>408</v>
      </c>
      <c r="B77" s="64">
        <v>7.01</v>
      </c>
      <c r="C77" s="64">
        <v>11.34</v>
      </c>
      <c r="D77" s="64">
        <v>11.55</v>
      </c>
      <c r="E77" s="64">
        <v>5.47</v>
      </c>
      <c r="F77" s="64">
        <v>15.3</v>
      </c>
      <c r="G77" s="64">
        <v>47.36</v>
      </c>
      <c r="H77" s="212" t="s">
        <v>42</v>
      </c>
      <c r="I77" s="64">
        <v>1.19</v>
      </c>
      <c r="J77" s="64">
        <v>0.57999999999999996</v>
      </c>
      <c r="K77" s="64">
        <v>112.38</v>
      </c>
      <c r="L77" s="64">
        <v>23.63</v>
      </c>
      <c r="M77" s="64">
        <v>98.56</v>
      </c>
      <c r="N77" s="64">
        <v>40</v>
      </c>
      <c r="O77" s="64">
        <v>0</v>
      </c>
      <c r="P77" s="64">
        <v>0.31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409</v>
      </c>
      <c r="B78" s="64">
        <v>8.7799999999999994</v>
      </c>
      <c r="C78" s="64">
        <v>11.48</v>
      </c>
      <c r="D78" s="64">
        <v>13.04</v>
      </c>
      <c r="E78" s="64">
        <v>5.33</v>
      </c>
      <c r="F78" s="64">
        <v>8.2899999999999991</v>
      </c>
      <c r="G78" s="64">
        <v>40.51</v>
      </c>
      <c r="H78" s="212" t="s">
        <v>42</v>
      </c>
      <c r="I78" s="64">
        <v>1.1599999999999999</v>
      </c>
      <c r="J78" s="64">
        <v>0.14000000000000001</v>
      </c>
      <c r="K78" s="64">
        <v>165.91</v>
      </c>
      <c r="L78" s="64">
        <v>23.2</v>
      </c>
      <c r="M78" s="64">
        <v>98.58</v>
      </c>
      <c r="N78" s="64">
        <v>46.9</v>
      </c>
      <c r="O78" s="64">
        <v>0</v>
      </c>
      <c r="P78" s="64">
        <v>0.43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4" t="s">
        <v>410</v>
      </c>
      <c r="B79" s="64">
        <v>9.27</v>
      </c>
      <c r="C79" s="64">
        <v>24.76</v>
      </c>
      <c r="D79" s="64">
        <v>20.38</v>
      </c>
      <c r="E79" s="64">
        <v>5.14</v>
      </c>
      <c r="F79" s="64">
        <v>8.24</v>
      </c>
      <c r="G79" s="64">
        <v>38.92</v>
      </c>
      <c r="H79" s="212" t="s">
        <v>42</v>
      </c>
      <c r="I79" s="64">
        <v>1.1399999999999999</v>
      </c>
      <c r="J79" s="64">
        <v>0.06</v>
      </c>
      <c r="K79" s="64">
        <v>291.62</v>
      </c>
      <c r="L79" s="64">
        <v>23.51</v>
      </c>
      <c r="M79" s="64">
        <v>98.58</v>
      </c>
      <c r="N79" s="64">
        <v>44.1</v>
      </c>
      <c r="O79" s="64">
        <v>0</v>
      </c>
      <c r="P79" s="64">
        <v>0.49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4" t="s">
        <v>411</v>
      </c>
      <c r="B80" s="64">
        <v>24.47</v>
      </c>
      <c r="C80" s="64">
        <v>25.04</v>
      </c>
      <c r="D80" s="64">
        <v>32.71</v>
      </c>
      <c r="E80" s="64">
        <v>5.09</v>
      </c>
      <c r="F80" s="64">
        <v>4.6500000000000004</v>
      </c>
      <c r="G80" s="64">
        <v>38.92</v>
      </c>
      <c r="H80" s="212" t="s">
        <v>42</v>
      </c>
      <c r="I80" s="64">
        <v>1.1299999999999999</v>
      </c>
      <c r="J80" s="64">
        <v>0.19</v>
      </c>
      <c r="K80" s="64">
        <v>341.28</v>
      </c>
      <c r="L80" s="64">
        <v>23.9</v>
      </c>
      <c r="M80" s="64">
        <v>98.58</v>
      </c>
      <c r="N80" s="64">
        <v>38.4</v>
      </c>
      <c r="O80" s="64">
        <v>0</v>
      </c>
      <c r="P80" s="64">
        <v>1.31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4" t="s">
        <v>412</v>
      </c>
      <c r="B81" s="64">
        <v>14.16</v>
      </c>
      <c r="C81" s="64">
        <v>25.99</v>
      </c>
      <c r="D81" s="64">
        <v>24.93</v>
      </c>
      <c r="E81" s="64">
        <v>5.56</v>
      </c>
      <c r="F81" s="64">
        <v>4.7300000000000004</v>
      </c>
      <c r="G81" s="64">
        <v>38.92</v>
      </c>
      <c r="H81" s="212" t="s">
        <v>42</v>
      </c>
      <c r="I81" s="64">
        <v>1.1499999999999999</v>
      </c>
      <c r="J81" s="64">
        <v>0.05</v>
      </c>
      <c r="K81" s="64">
        <v>308.25</v>
      </c>
      <c r="L81" s="64">
        <v>23.84</v>
      </c>
      <c r="M81" s="64">
        <v>98.58</v>
      </c>
      <c r="N81" s="64">
        <v>33.5</v>
      </c>
      <c r="O81" s="64">
        <v>0</v>
      </c>
      <c r="P81" s="64">
        <v>0.81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4" t="s">
        <v>413</v>
      </c>
      <c r="B82" s="64">
        <v>27.16</v>
      </c>
      <c r="C82" s="64">
        <v>33.01</v>
      </c>
      <c r="D82" s="64">
        <v>39.03</v>
      </c>
      <c r="E82" s="64">
        <v>5.63</v>
      </c>
      <c r="F82" s="64">
        <v>4.29</v>
      </c>
      <c r="G82" s="64">
        <v>32.1</v>
      </c>
      <c r="H82" s="212" t="s">
        <v>42</v>
      </c>
      <c r="I82" s="64">
        <v>1.19</v>
      </c>
      <c r="J82" s="64">
        <v>0.1</v>
      </c>
      <c r="K82" s="64">
        <v>200.98</v>
      </c>
      <c r="L82" s="64">
        <v>24.01</v>
      </c>
      <c r="M82" s="64">
        <v>98.58</v>
      </c>
      <c r="N82" s="64">
        <v>30.9</v>
      </c>
      <c r="O82" s="64">
        <v>0</v>
      </c>
      <c r="P82" s="64">
        <v>0.92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4" t="s">
        <v>414</v>
      </c>
      <c r="B83" s="64">
        <v>13.39</v>
      </c>
      <c r="C83" s="64">
        <v>21.46</v>
      </c>
      <c r="D83" s="64">
        <v>21.95</v>
      </c>
      <c r="E83" s="64">
        <v>5.5</v>
      </c>
      <c r="F83" s="64">
        <v>4.42</v>
      </c>
      <c r="G83" s="64">
        <v>30.52</v>
      </c>
      <c r="H83" s="212" t="s">
        <v>42</v>
      </c>
      <c r="I83" s="64">
        <v>1.24</v>
      </c>
      <c r="J83" s="64">
        <v>0.09</v>
      </c>
      <c r="K83" s="64">
        <v>202.1</v>
      </c>
      <c r="L83" s="64">
        <v>24.37</v>
      </c>
      <c r="M83" s="64">
        <v>98.58</v>
      </c>
      <c r="N83" s="64">
        <v>30.5</v>
      </c>
      <c r="O83" s="64">
        <v>0</v>
      </c>
      <c r="P83" s="64">
        <v>0.92</v>
      </c>
      <c r="Q83" s="64">
        <v>9.64</v>
      </c>
      <c r="R83" s="198"/>
      <c r="S83" s="198"/>
      <c r="T83" s="198"/>
      <c r="U83" s="198"/>
    </row>
    <row r="84" spans="1:26" s="12" customFormat="1" x14ac:dyDescent="0.25">
      <c r="A84" s="214" t="s">
        <v>415</v>
      </c>
      <c r="B84" s="64">
        <v>8.3000000000000007</v>
      </c>
      <c r="C84" s="64">
        <v>17.18</v>
      </c>
      <c r="D84" s="64">
        <v>15.63</v>
      </c>
      <c r="E84" s="64">
        <v>5.35</v>
      </c>
      <c r="F84" s="64">
        <v>6.14</v>
      </c>
      <c r="G84" s="64">
        <v>30.52</v>
      </c>
      <c r="H84" s="212" t="s">
        <v>42</v>
      </c>
      <c r="I84" s="64">
        <v>1.29</v>
      </c>
      <c r="J84" s="64">
        <v>0.11</v>
      </c>
      <c r="K84" s="64">
        <v>185.29</v>
      </c>
      <c r="L84" s="64">
        <v>24.43</v>
      </c>
      <c r="M84" s="64">
        <v>98.58</v>
      </c>
      <c r="N84" s="64">
        <v>30.8</v>
      </c>
      <c r="O84" s="64">
        <v>0</v>
      </c>
      <c r="P84" s="64">
        <v>0.64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4" t="s">
        <v>416</v>
      </c>
      <c r="B85" s="64">
        <v>7.76</v>
      </c>
      <c r="C85" s="64">
        <v>18.09</v>
      </c>
      <c r="D85" s="64">
        <v>15.67</v>
      </c>
      <c r="E85" s="64">
        <v>5.27</v>
      </c>
      <c r="F85" s="64">
        <v>6.37</v>
      </c>
      <c r="G85" s="64">
        <v>30.52</v>
      </c>
      <c r="H85" s="212" t="s">
        <v>42</v>
      </c>
      <c r="I85" s="64">
        <v>1.36</v>
      </c>
      <c r="J85" s="64">
        <v>0.04</v>
      </c>
      <c r="K85" s="64">
        <v>202.79</v>
      </c>
      <c r="L85" s="64">
        <v>24.46</v>
      </c>
      <c r="M85" s="64">
        <v>98.6</v>
      </c>
      <c r="N85" s="64">
        <v>31</v>
      </c>
      <c r="O85" s="64">
        <v>0</v>
      </c>
      <c r="P85" s="64">
        <v>0.56000000000000005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4" t="s">
        <v>417</v>
      </c>
      <c r="B86" s="64">
        <v>20.25</v>
      </c>
      <c r="C86" s="64">
        <v>18.149999999999999</v>
      </c>
      <c r="D86" s="64">
        <v>25.72</v>
      </c>
      <c r="E86" s="64">
        <v>5.2</v>
      </c>
      <c r="F86" s="64">
        <v>5.6</v>
      </c>
      <c r="G86" s="64">
        <v>34.340000000000003</v>
      </c>
      <c r="H86" s="212" t="s">
        <v>42</v>
      </c>
      <c r="I86" s="64">
        <v>1.43</v>
      </c>
      <c r="J86" s="64">
        <v>0.01</v>
      </c>
      <c r="K86" s="64">
        <v>175.07</v>
      </c>
      <c r="L86" s="64">
        <v>24.53</v>
      </c>
      <c r="M86" s="64">
        <v>98.63</v>
      </c>
      <c r="N86" s="64">
        <v>31.3</v>
      </c>
      <c r="O86" s="64">
        <v>0</v>
      </c>
      <c r="P86" s="64">
        <v>0.82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4" t="s">
        <v>418</v>
      </c>
      <c r="B87" s="64">
        <v>7.73</v>
      </c>
      <c r="C87" s="64">
        <v>17.71</v>
      </c>
      <c r="D87" s="64">
        <v>15.46</v>
      </c>
      <c r="E87" s="64">
        <v>5.2</v>
      </c>
      <c r="F87" s="64">
        <v>5.98</v>
      </c>
      <c r="G87" s="64">
        <v>35.229999999999997</v>
      </c>
      <c r="H87" s="212" t="s">
        <v>42</v>
      </c>
      <c r="I87" s="64">
        <v>1.47</v>
      </c>
      <c r="J87" s="64">
        <v>0.14000000000000001</v>
      </c>
      <c r="K87" s="64">
        <v>148.84</v>
      </c>
      <c r="L87" s="64">
        <v>24.6</v>
      </c>
      <c r="M87" s="64">
        <v>98.65</v>
      </c>
      <c r="N87" s="64">
        <v>31.4</v>
      </c>
      <c r="O87" s="64">
        <v>0</v>
      </c>
      <c r="P87" s="64">
        <v>0.65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419</v>
      </c>
      <c r="B88" s="64">
        <v>6.36</v>
      </c>
      <c r="C88" s="64">
        <v>14.32</v>
      </c>
      <c r="D88" s="64">
        <v>12.58</v>
      </c>
      <c r="E88" s="64">
        <v>5.31</v>
      </c>
      <c r="F88" s="64">
        <v>9.24</v>
      </c>
      <c r="G88" s="64">
        <v>35.229999999999997</v>
      </c>
      <c r="H88" s="212" t="s">
        <v>42</v>
      </c>
      <c r="I88" s="64">
        <v>1.51</v>
      </c>
      <c r="J88" s="64">
        <v>0.24</v>
      </c>
      <c r="K88" s="64">
        <v>129.22</v>
      </c>
      <c r="L88" s="64">
        <v>24.58</v>
      </c>
      <c r="M88" s="64">
        <v>98.65</v>
      </c>
      <c r="N88" s="64">
        <v>31.6</v>
      </c>
      <c r="O88" s="64">
        <v>0</v>
      </c>
      <c r="P88" s="64">
        <v>0.51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4" t="s">
        <v>420</v>
      </c>
      <c r="B89" s="64">
        <v>23.63</v>
      </c>
      <c r="C89" s="64">
        <v>16.190000000000001</v>
      </c>
      <c r="D89" s="64">
        <v>27.41</v>
      </c>
      <c r="E89" s="64">
        <v>5.45</v>
      </c>
      <c r="F89" s="64">
        <v>6.62</v>
      </c>
      <c r="G89" s="64">
        <v>35.229999999999997</v>
      </c>
      <c r="H89" s="212" t="s">
        <v>42</v>
      </c>
      <c r="I89" s="64">
        <v>1.55</v>
      </c>
      <c r="J89" s="64">
        <v>0.05</v>
      </c>
      <c r="K89" s="64">
        <v>357.11</v>
      </c>
      <c r="L89" s="64">
        <v>24.63</v>
      </c>
      <c r="M89" s="64">
        <v>98.65</v>
      </c>
      <c r="N89" s="64">
        <v>31.5</v>
      </c>
      <c r="O89" s="64">
        <v>0</v>
      </c>
      <c r="P89" s="64">
        <v>1.1599999999999999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4" t="s">
        <v>421</v>
      </c>
      <c r="B90" s="64">
        <v>13.8</v>
      </c>
      <c r="C90" s="64">
        <v>10.65</v>
      </c>
      <c r="D90" s="64">
        <v>16.63</v>
      </c>
      <c r="E90" s="64">
        <v>5.59</v>
      </c>
      <c r="F90" s="64">
        <v>4.99</v>
      </c>
      <c r="G90" s="64">
        <v>39.299999999999997</v>
      </c>
      <c r="H90" s="212" t="s">
        <v>42</v>
      </c>
      <c r="I90" s="64">
        <v>1.57</v>
      </c>
      <c r="J90" s="64">
        <v>0.5</v>
      </c>
      <c r="K90" s="64">
        <v>119.02</v>
      </c>
      <c r="L90" s="64">
        <v>23.85</v>
      </c>
      <c r="M90" s="64">
        <v>98.61</v>
      </c>
      <c r="N90" s="64">
        <v>36.700000000000003</v>
      </c>
      <c r="O90" s="64">
        <v>0</v>
      </c>
      <c r="P90" s="64">
        <v>0.84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4" t="s">
        <v>422</v>
      </c>
      <c r="B91" s="64">
        <v>13.39</v>
      </c>
      <c r="C91" s="64">
        <v>5.23</v>
      </c>
      <c r="D91" s="64">
        <v>13.47</v>
      </c>
      <c r="E91" s="64">
        <v>5.71</v>
      </c>
      <c r="F91" s="64">
        <v>5.87</v>
      </c>
      <c r="G91" s="64">
        <v>40.25</v>
      </c>
      <c r="H91" s="212" t="s">
        <v>42</v>
      </c>
      <c r="I91" s="64">
        <v>1.59</v>
      </c>
      <c r="J91" s="64">
        <v>0.61</v>
      </c>
      <c r="K91" s="64">
        <v>328.71</v>
      </c>
      <c r="L91" s="64">
        <v>22.2</v>
      </c>
      <c r="M91" s="64">
        <v>98.63</v>
      </c>
      <c r="N91" s="64">
        <v>33.6</v>
      </c>
      <c r="O91" s="64">
        <v>0.8</v>
      </c>
      <c r="P91" s="64">
        <v>0.64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4" t="s">
        <v>423</v>
      </c>
      <c r="B92" s="64">
        <v>12.71</v>
      </c>
      <c r="C92" s="64">
        <v>14.34</v>
      </c>
      <c r="D92" s="64">
        <v>17.68</v>
      </c>
      <c r="E92" s="64">
        <v>5.43</v>
      </c>
      <c r="F92" s="64">
        <v>3.56</v>
      </c>
      <c r="G92" s="64">
        <v>40.25</v>
      </c>
      <c r="H92" s="212" t="s">
        <v>42</v>
      </c>
      <c r="I92" s="64">
        <v>1.61</v>
      </c>
      <c r="J92" s="64">
        <v>0.35</v>
      </c>
      <c r="K92" s="64">
        <v>318.73</v>
      </c>
      <c r="L92" s="64">
        <v>21.31</v>
      </c>
      <c r="M92" s="64">
        <v>98.7</v>
      </c>
      <c r="N92" s="64">
        <v>31.3</v>
      </c>
      <c r="O92" s="64">
        <v>0.2</v>
      </c>
      <c r="P92" s="64">
        <v>0.62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4" t="s">
        <v>424</v>
      </c>
      <c r="B93" s="64">
        <v>12.73</v>
      </c>
      <c r="C93" s="64">
        <v>10.58</v>
      </c>
      <c r="D93" s="64">
        <v>15.74</v>
      </c>
      <c r="E93" s="64">
        <v>5.18</v>
      </c>
      <c r="F93" s="64">
        <v>2.68</v>
      </c>
      <c r="G93" s="64">
        <v>40.25</v>
      </c>
      <c r="H93" s="212" t="s">
        <v>42</v>
      </c>
      <c r="I93" s="64">
        <v>1.56</v>
      </c>
      <c r="J93" s="64">
        <v>0.22</v>
      </c>
      <c r="K93" s="64">
        <v>185.56</v>
      </c>
      <c r="L93" s="64">
        <v>21.25</v>
      </c>
      <c r="M93" s="64">
        <v>98.67</v>
      </c>
      <c r="N93" s="64">
        <v>30.8</v>
      </c>
      <c r="O93" s="64">
        <v>0</v>
      </c>
      <c r="P93" s="64">
        <v>0.61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4" t="s">
        <v>425</v>
      </c>
      <c r="B94" s="64">
        <v>11.43</v>
      </c>
      <c r="C94" s="64">
        <v>9.24</v>
      </c>
      <c r="D94" s="64">
        <v>13.99</v>
      </c>
      <c r="E94" s="64">
        <v>5.43</v>
      </c>
      <c r="F94" s="64">
        <v>4.74</v>
      </c>
      <c r="G94" s="64">
        <v>28.82</v>
      </c>
      <c r="H94" s="212" t="s">
        <v>42</v>
      </c>
      <c r="I94" s="64">
        <v>1.52</v>
      </c>
      <c r="J94" s="64">
        <v>0</v>
      </c>
      <c r="K94" s="64">
        <v>194.59</v>
      </c>
      <c r="L94" s="64">
        <v>21.37</v>
      </c>
      <c r="M94" s="64">
        <v>98.62</v>
      </c>
      <c r="N94" s="64">
        <v>30.8</v>
      </c>
      <c r="O94" s="64">
        <v>0</v>
      </c>
      <c r="P94" s="64">
        <v>0.51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426</v>
      </c>
      <c r="B95" s="64">
        <v>14.66</v>
      </c>
      <c r="C95" s="64">
        <v>10.31</v>
      </c>
      <c r="D95" s="64">
        <v>17.14</v>
      </c>
      <c r="E95" s="64">
        <v>5.07</v>
      </c>
      <c r="F95" s="64">
        <v>5.35</v>
      </c>
      <c r="G95" s="64">
        <v>26.16</v>
      </c>
      <c r="H95" s="212" t="s">
        <v>42</v>
      </c>
      <c r="I95" s="64">
        <v>1.49</v>
      </c>
      <c r="J95" s="64">
        <v>0.21</v>
      </c>
      <c r="K95" s="64">
        <v>342.19</v>
      </c>
      <c r="L95" s="64">
        <v>21.54</v>
      </c>
      <c r="M95" s="64">
        <v>98.6</v>
      </c>
      <c r="N95" s="64">
        <v>30.7</v>
      </c>
      <c r="O95" s="64">
        <v>0.2</v>
      </c>
      <c r="P95" s="64">
        <v>0.62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14" t="s">
        <v>427</v>
      </c>
      <c r="B96" s="64">
        <v>13.47</v>
      </c>
      <c r="C96" s="64">
        <v>7.67</v>
      </c>
      <c r="D96" s="64">
        <v>14.81</v>
      </c>
      <c r="E96" s="64">
        <v>4.54</v>
      </c>
      <c r="F96" s="64">
        <v>3.44</v>
      </c>
      <c r="G96" s="64">
        <v>26.16</v>
      </c>
      <c r="H96" s="212" t="s">
        <v>42</v>
      </c>
      <c r="I96" s="64">
        <v>1.46</v>
      </c>
      <c r="J96" s="64">
        <v>0.08</v>
      </c>
      <c r="K96" s="64">
        <v>351.32</v>
      </c>
      <c r="L96" s="64">
        <v>21.73</v>
      </c>
      <c r="M96" s="64">
        <v>98.62</v>
      </c>
      <c r="N96" s="64">
        <v>30.6</v>
      </c>
      <c r="O96" s="64">
        <v>0</v>
      </c>
      <c r="P96" s="64">
        <v>0.57999999999999996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428</v>
      </c>
      <c r="B97" s="64">
        <v>18.03</v>
      </c>
      <c r="C97" s="64">
        <v>11.09</v>
      </c>
      <c r="D97" s="64">
        <v>20.25</v>
      </c>
      <c r="E97" s="64">
        <v>5.12</v>
      </c>
      <c r="F97" s="64">
        <v>3.93</v>
      </c>
      <c r="G97" s="64">
        <v>26.16</v>
      </c>
      <c r="H97" s="212" t="s">
        <v>42</v>
      </c>
      <c r="I97" s="64">
        <v>1.45</v>
      </c>
      <c r="J97" s="64">
        <v>0.02</v>
      </c>
      <c r="K97" s="64">
        <v>10.4</v>
      </c>
      <c r="L97" s="64">
        <v>21.69</v>
      </c>
      <c r="M97" s="64">
        <v>98.63</v>
      </c>
      <c r="N97" s="64">
        <v>30.7</v>
      </c>
      <c r="O97" s="64">
        <v>0</v>
      </c>
      <c r="P97" s="64">
        <v>0.66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4" t="s">
        <v>429</v>
      </c>
      <c r="B98" s="64">
        <v>13.45</v>
      </c>
      <c r="C98" s="64">
        <v>11.89</v>
      </c>
      <c r="D98" s="64">
        <v>17</v>
      </c>
      <c r="E98" s="64">
        <v>5.15</v>
      </c>
      <c r="F98" s="64">
        <v>4.5199999999999996</v>
      </c>
      <c r="G98" s="64">
        <v>19.43</v>
      </c>
      <c r="H98" s="212" t="s">
        <v>42</v>
      </c>
      <c r="I98" s="64">
        <v>1.44</v>
      </c>
      <c r="J98" s="64">
        <v>0.21</v>
      </c>
      <c r="K98" s="64">
        <v>340.79</v>
      </c>
      <c r="L98" s="64">
        <v>21.78</v>
      </c>
      <c r="M98" s="64">
        <v>98.63</v>
      </c>
      <c r="N98" s="64">
        <v>31</v>
      </c>
      <c r="O98" s="64">
        <v>0</v>
      </c>
      <c r="P98" s="64">
        <v>0.6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4" t="s">
        <v>430</v>
      </c>
      <c r="B99" s="64">
        <v>15.89</v>
      </c>
      <c r="C99" s="64">
        <v>9.86</v>
      </c>
      <c r="D99" s="64">
        <v>17.89</v>
      </c>
      <c r="E99" s="64">
        <v>5.21</v>
      </c>
      <c r="F99" s="64">
        <v>4.07</v>
      </c>
      <c r="G99" s="64">
        <v>17.86</v>
      </c>
      <c r="H99" s="212" t="s">
        <v>42</v>
      </c>
      <c r="I99" s="64">
        <v>1.44</v>
      </c>
      <c r="J99" s="64">
        <v>0.2</v>
      </c>
      <c r="K99" s="64">
        <v>329.37</v>
      </c>
      <c r="L99" s="64">
        <v>21.76</v>
      </c>
      <c r="M99" s="64">
        <v>98.63</v>
      </c>
      <c r="N99" s="64">
        <v>30.8</v>
      </c>
      <c r="O99" s="64">
        <v>0</v>
      </c>
      <c r="P99" s="64">
        <v>0.62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4" t="s">
        <v>431</v>
      </c>
      <c r="B100" s="64">
        <v>14.79</v>
      </c>
      <c r="C100" s="64">
        <v>6.2</v>
      </c>
      <c r="D100" s="64">
        <v>15.1</v>
      </c>
      <c r="E100" s="64">
        <v>4.96</v>
      </c>
      <c r="F100" s="64">
        <v>3.61</v>
      </c>
      <c r="G100" s="64">
        <v>17.86</v>
      </c>
      <c r="H100" s="212" t="s">
        <v>42</v>
      </c>
      <c r="I100" s="64">
        <v>1.45</v>
      </c>
      <c r="J100" s="64">
        <v>0.08</v>
      </c>
      <c r="K100" s="64">
        <v>343.13</v>
      </c>
      <c r="L100" s="64">
        <v>21.81</v>
      </c>
      <c r="M100" s="64">
        <v>98.63</v>
      </c>
      <c r="N100" s="64">
        <v>30.9</v>
      </c>
      <c r="O100" s="64">
        <v>0</v>
      </c>
      <c r="P100" s="64">
        <v>0.61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432</v>
      </c>
      <c r="B101" s="64">
        <v>11.05</v>
      </c>
      <c r="C101" s="64">
        <v>14.75</v>
      </c>
      <c r="D101" s="64">
        <v>16.559999999999999</v>
      </c>
      <c r="E101" s="64">
        <v>5.14</v>
      </c>
      <c r="F101" s="64">
        <v>6.42</v>
      </c>
      <c r="G101" s="64">
        <v>17.86</v>
      </c>
      <c r="H101" s="212" t="s">
        <v>42</v>
      </c>
      <c r="I101" s="64">
        <v>1.46</v>
      </c>
      <c r="J101" s="64">
        <v>0.25</v>
      </c>
      <c r="K101" s="64">
        <v>332.96</v>
      </c>
      <c r="L101" s="64">
        <v>21.78</v>
      </c>
      <c r="M101" s="64">
        <v>98.62</v>
      </c>
      <c r="N101" s="64">
        <v>31</v>
      </c>
      <c r="O101" s="64">
        <v>0</v>
      </c>
      <c r="P101" s="64">
        <v>0.52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4" t="s">
        <v>433</v>
      </c>
      <c r="B102" s="64">
        <v>11.83</v>
      </c>
      <c r="C102" s="64">
        <v>12.36</v>
      </c>
      <c r="D102" s="64">
        <v>15.94</v>
      </c>
      <c r="E102" s="64">
        <v>4.96</v>
      </c>
      <c r="F102" s="64">
        <v>5.44</v>
      </c>
      <c r="G102" s="64">
        <v>13.72</v>
      </c>
      <c r="H102" s="212" t="s">
        <v>42</v>
      </c>
      <c r="I102" s="64">
        <v>1.46</v>
      </c>
      <c r="J102" s="64">
        <v>0.04</v>
      </c>
      <c r="K102" s="64">
        <v>30.08</v>
      </c>
      <c r="L102" s="64">
        <v>21.76</v>
      </c>
      <c r="M102" s="64">
        <v>98.61</v>
      </c>
      <c r="N102" s="64">
        <v>30.7</v>
      </c>
      <c r="O102" s="64">
        <v>0</v>
      </c>
      <c r="P102" s="64">
        <v>0.52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4" t="s">
        <v>434</v>
      </c>
      <c r="B103" s="64">
        <v>12.8</v>
      </c>
      <c r="C103" s="64">
        <v>13.3</v>
      </c>
      <c r="D103" s="64">
        <v>17.22</v>
      </c>
      <c r="E103" s="64">
        <v>5.14</v>
      </c>
      <c r="F103" s="64">
        <v>5.22</v>
      </c>
      <c r="G103" s="64">
        <v>12.75</v>
      </c>
      <c r="H103" s="212" t="s">
        <v>42</v>
      </c>
      <c r="I103" s="64">
        <v>1.47</v>
      </c>
      <c r="J103" s="64">
        <v>0.02</v>
      </c>
      <c r="K103" s="64">
        <v>8.36</v>
      </c>
      <c r="L103" s="64">
        <v>21.78</v>
      </c>
      <c r="M103" s="64">
        <v>98.62</v>
      </c>
      <c r="N103" s="64">
        <v>30.7</v>
      </c>
      <c r="O103" s="64">
        <v>0</v>
      </c>
      <c r="P103" s="64">
        <v>0.53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4" t="s">
        <v>435</v>
      </c>
      <c r="B104" s="64">
        <v>10.92</v>
      </c>
      <c r="C104" s="64">
        <v>11.4</v>
      </c>
      <c r="D104" s="64">
        <v>14.71</v>
      </c>
      <c r="E104" s="64">
        <v>4.21</v>
      </c>
      <c r="F104" s="64">
        <v>5.29</v>
      </c>
      <c r="G104" s="64">
        <v>12.75</v>
      </c>
      <c r="H104" s="212" t="s">
        <v>42</v>
      </c>
      <c r="I104" s="64">
        <v>1.47</v>
      </c>
      <c r="J104" s="64">
        <v>0.03</v>
      </c>
      <c r="K104" s="64">
        <v>305.47000000000003</v>
      </c>
      <c r="L104" s="64">
        <v>21.72</v>
      </c>
      <c r="M104" s="64">
        <v>98.63</v>
      </c>
      <c r="N104" s="64">
        <v>30.9</v>
      </c>
      <c r="O104" s="64">
        <v>0</v>
      </c>
      <c r="P104" s="64">
        <v>0.47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6.31</v>
      </c>
      <c r="C106" s="67">
        <f>MIN(C9:C104)</f>
        <v>5.23</v>
      </c>
      <c r="D106" s="67">
        <f t="shared" ref="D106:Q106" si="0">MIN(D9:D104)</f>
        <v>8.33</v>
      </c>
      <c r="E106" s="67">
        <f t="shared" si="0"/>
        <v>3.89</v>
      </c>
      <c r="F106" s="67">
        <f t="shared" si="0"/>
        <v>2.46</v>
      </c>
      <c r="G106" s="67">
        <f t="shared" si="0"/>
        <v>12.75</v>
      </c>
      <c r="H106" s="67">
        <f t="shared" si="0"/>
        <v>0.05</v>
      </c>
      <c r="I106" s="67">
        <f t="shared" si="0"/>
        <v>0.95</v>
      </c>
      <c r="J106" s="67">
        <f t="shared" si="0"/>
        <v>0</v>
      </c>
      <c r="K106" s="67">
        <f t="shared" si="0"/>
        <v>8.36</v>
      </c>
      <c r="L106" s="67">
        <f t="shared" si="0"/>
        <v>21.25</v>
      </c>
      <c r="M106" s="67">
        <f t="shared" si="0"/>
        <v>84.01</v>
      </c>
      <c r="N106" s="67">
        <f t="shared" si="0"/>
        <v>30.5</v>
      </c>
      <c r="O106" s="67">
        <f t="shared" si="0"/>
        <v>0</v>
      </c>
      <c r="P106" s="67">
        <f t="shared" si="0"/>
        <v>0.24</v>
      </c>
      <c r="Q106" s="67">
        <f t="shared" si="0"/>
        <v>9.48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27.16</v>
      </c>
      <c r="C107" s="66">
        <f t="shared" ref="C107:Q107" si="1">MAX(C9:C104)</f>
        <v>33.01</v>
      </c>
      <c r="D107" s="66">
        <f t="shared" si="1"/>
        <v>39.03</v>
      </c>
      <c r="E107" s="66">
        <f t="shared" si="1"/>
        <v>5.71</v>
      </c>
      <c r="F107" s="66">
        <f t="shared" si="1"/>
        <v>15.3</v>
      </c>
      <c r="G107" s="66">
        <f t="shared" si="1"/>
        <v>47.36</v>
      </c>
      <c r="H107" s="66">
        <f t="shared" si="1"/>
        <v>3.02</v>
      </c>
      <c r="I107" s="66">
        <f t="shared" si="1"/>
        <v>1.61</v>
      </c>
      <c r="J107" s="66">
        <f t="shared" si="1"/>
        <v>1.78</v>
      </c>
      <c r="K107" s="66">
        <f t="shared" si="1"/>
        <v>357.11</v>
      </c>
      <c r="L107" s="66">
        <f t="shared" si="1"/>
        <v>31.1</v>
      </c>
      <c r="M107" s="66">
        <f t="shared" si="1"/>
        <v>98.7</v>
      </c>
      <c r="N107" s="66">
        <f t="shared" si="1"/>
        <v>724.8</v>
      </c>
      <c r="O107" s="66">
        <f t="shared" si="1"/>
        <v>0.8</v>
      </c>
      <c r="P107" s="66">
        <f t="shared" si="1"/>
        <v>1.31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11.783541666666666</v>
      </c>
      <c r="C108" s="67">
        <f t="shared" ref="C108:Q108" si="2">AVERAGE(C9:C104)</f>
        <v>9.7512500000000006</v>
      </c>
      <c r="D108" s="67">
        <f t="shared" si="2"/>
        <v>14.543125000000003</v>
      </c>
      <c r="E108" s="67">
        <f t="shared" si="2"/>
        <v>4.8767708333333308</v>
      </c>
      <c r="F108" s="67">
        <f t="shared" si="2"/>
        <v>5.7390625000000002</v>
      </c>
      <c r="G108" s="67">
        <f t="shared" si="2"/>
        <v>30.08239583333334</v>
      </c>
      <c r="H108" s="67">
        <f t="shared" si="2"/>
        <v>1.1359999999999999</v>
      </c>
      <c r="I108" s="67">
        <f t="shared" si="2"/>
        <v>1.3509374999999997</v>
      </c>
      <c r="J108" s="67">
        <f t="shared" si="2"/>
        <v>0.44</v>
      </c>
      <c r="K108" s="67">
        <f t="shared" si="2"/>
        <v>285.43645833333341</v>
      </c>
      <c r="L108" s="67">
        <f t="shared" si="2"/>
        <v>25.413541666666674</v>
      </c>
      <c r="M108" s="67">
        <f t="shared" si="2"/>
        <v>95.319270833333292</v>
      </c>
      <c r="N108" s="67">
        <f t="shared" si="2"/>
        <v>130.51562499999997</v>
      </c>
      <c r="O108" s="67">
        <f t="shared" si="2"/>
        <v>1.2499999999999999E-2</v>
      </c>
      <c r="P108" s="67">
        <f t="shared" si="2"/>
        <v>0.49145833333333327</v>
      </c>
      <c r="Q108" s="67">
        <f t="shared" si="2"/>
        <v>9.6074999999999964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3.9010273894171061</v>
      </c>
      <c r="C109" s="67">
        <f t="shared" ref="C109:Q109" si="3">STDEV(C9:C104)</f>
        <v>5.1661308437492011</v>
      </c>
      <c r="D109" s="67">
        <f t="shared" si="3"/>
        <v>4.9320025424716967</v>
      </c>
      <c r="E109" s="67">
        <f t="shared" si="3"/>
        <v>0.40128083037264739</v>
      </c>
      <c r="F109" s="67">
        <f t="shared" si="3"/>
        <v>2.4122154386307217</v>
      </c>
      <c r="G109" s="67">
        <f t="shared" si="3"/>
        <v>10.594970678262651</v>
      </c>
      <c r="H109" s="67">
        <f t="shared" si="3"/>
        <v>0.92223342097248984</v>
      </c>
      <c r="I109" s="67">
        <f t="shared" si="3"/>
        <v>0.19152615940607909</v>
      </c>
      <c r="J109" s="67">
        <f t="shared" si="3"/>
        <v>0.46659122197170894</v>
      </c>
      <c r="K109" s="67">
        <f t="shared" si="3"/>
        <v>77.791614904369808</v>
      </c>
      <c r="L109" s="67">
        <f t="shared" si="3"/>
        <v>3.2389595402703422</v>
      </c>
      <c r="M109" s="67">
        <f t="shared" si="3"/>
        <v>5.0131734344397003</v>
      </c>
      <c r="N109" s="67">
        <f t="shared" si="3"/>
        <v>149.1837357638137</v>
      </c>
      <c r="O109" s="67">
        <f t="shared" si="3"/>
        <v>8.6145531698277586E-2</v>
      </c>
      <c r="P109" s="67">
        <f t="shared" si="3"/>
        <v>0.17702202757175206</v>
      </c>
      <c r="Q109" s="67">
        <f t="shared" si="3"/>
        <v>4.6271509934072474E-2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COUNT(H9:H104)+66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436</v>
      </c>
      <c r="B9" s="64">
        <v>9.77</v>
      </c>
      <c r="C9" s="64">
        <v>8.14</v>
      </c>
      <c r="D9" s="64">
        <v>12.09</v>
      </c>
      <c r="E9" s="64">
        <v>3.93</v>
      </c>
      <c r="F9" s="64">
        <v>7.02</v>
      </c>
      <c r="G9" s="64">
        <v>12.75</v>
      </c>
      <c r="H9" s="6" t="s">
        <v>42</v>
      </c>
      <c r="I9" s="64">
        <v>1.46</v>
      </c>
      <c r="J9" s="64">
        <v>0.06</v>
      </c>
      <c r="K9" s="64">
        <v>251.63</v>
      </c>
      <c r="L9" s="64">
        <v>21.62</v>
      </c>
      <c r="M9" s="64">
        <v>98.63</v>
      </c>
      <c r="N9" s="64">
        <v>30.7</v>
      </c>
      <c r="O9" s="64">
        <v>0</v>
      </c>
      <c r="P9" s="64">
        <v>0.42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4" t="s">
        <v>437</v>
      </c>
      <c r="B10" s="64">
        <v>9.64</v>
      </c>
      <c r="C10" s="64">
        <v>7.74</v>
      </c>
      <c r="D10" s="64">
        <v>11.77</v>
      </c>
      <c r="E10" s="64">
        <v>3.81</v>
      </c>
      <c r="F10" s="64">
        <v>6.35</v>
      </c>
      <c r="G10" s="64">
        <v>11.5</v>
      </c>
      <c r="H10" s="6" t="s">
        <v>42</v>
      </c>
      <c r="I10" s="64">
        <v>1.46</v>
      </c>
      <c r="J10" s="64">
        <v>0.06</v>
      </c>
      <c r="K10" s="64">
        <v>173.98</v>
      </c>
      <c r="L10" s="64">
        <v>21.77</v>
      </c>
      <c r="M10" s="64">
        <v>98.63</v>
      </c>
      <c r="N10" s="64">
        <v>30.7</v>
      </c>
      <c r="O10" s="64">
        <v>0</v>
      </c>
      <c r="P10" s="64">
        <v>0.43</v>
      </c>
      <c r="Q10" s="64">
        <v>9.65</v>
      </c>
      <c r="R10" s="198"/>
      <c r="S10" s="198"/>
      <c r="T10" s="198"/>
      <c r="U10" s="198"/>
    </row>
    <row r="11" spans="1:21" s="12" customFormat="1" x14ac:dyDescent="0.25">
      <c r="A11" s="214" t="s">
        <v>438</v>
      </c>
      <c r="B11" s="64">
        <v>10.029999999999999</v>
      </c>
      <c r="C11" s="64">
        <v>7.67</v>
      </c>
      <c r="D11" s="64">
        <v>12.05</v>
      </c>
      <c r="E11" s="64">
        <v>4.01</v>
      </c>
      <c r="F11" s="64">
        <v>5.56</v>
      </c>
      <c r="G11" s="64">
        <v>11.21</v>
      </c>
      <c r="H11" s="6" t="s">
        <v>42</v>
      </c>
      <c r="I11" s="64">
        <v>1.53</v>
      </c>
      <c r="J11" s="64">
        <v>0.04</v>
      </c>
      <c r="K11" s="64">
        <v>228.56</v>
      </c>
      <c r="L11" s="64">
        <v>21.83</v>
      </c>
      <c r="M11" s="64">
        <v>98.64</v>
      </c>
      <c r="N11" s="64">
        <v>30.8</v>
      </c>
      <c r="O11" s="64">
        <v>0</v>
      </c>
      <c r="P11" s="64">
        <v>0.46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4" t="s">
        <v>439</v>
      </c>
      <c r="B12" s="64">
        <v>10.9</v>
      </c>
      <c r="C12" s="64">
        <v>6.83</v>
      </c>
      <c r="D12" s="64">
        <v>12.31</v>
      </c>
      <c r="E12" s="64">
        <v>3.96</v>
      </c>
      <c r="F12" s="64">
        <v>4.26</v>
      </c>
      <c r="G12" s="64">
        <v>11.21</v>
      </c>
      <c r="H12" s="6" t="s">
        <v>42</v>
      </c>
      <c r="I12" s="64">
        <v>1.5</v>
      </c>
      <c r="J12" s="64">
        <v>0.01</v>
      </c>
      <c r="K12" s="64">
        <v>223.51</v>
      </c>
      <c r="L12" s="64">
        <v>21.76</v>
      </c>
      <c r="M12" s="64">
        <v>98.65</v>
      </c>
      <c r="N12" s="64">
        <v>31</v>
      </c>
      <c r="O12" s="64">
        <v>0</v>
      </c>
      <c r="P12" s="64">
        <v>0.52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440</v>
      </c>
      <c r="B13" s="64">
        <v>13.05</v>
      </c>
      <c r="C13" s="64">
        <v>4.78</v>
      </c>
      <c r="D13" s="64">
        <v>12.97</v>
      </c>
      <c r="E13" s="64">
        <v>3.82</v>
      </c>
      <c r="F13" s="64">
        <v>3.23</v>
      </c>
      <c r="G13" s="64">
        <v>11.21</v>
      </c>
      <c r="H13" s="6" t="s">
        <v>42</v>
      </c>
      <c r="I13" s="64">
        <v>1.42</v>
      </c>
      <c r="J13" s="64">
        <v>0.04</v>
      </c>
      <c r="K13" s="64">
        <v>224.86</v>
      </c>
      <c r="L13" s="64">
        <v>21.74</v>
      </c>
      <c r="M13" s="64">
        <v>98.65</v>
      </c>
      <c r="N13" s="64">
        <v>31</v>
      </c>
      <c r="O13" s="64">
        <v>0</v>
      </c>
      <c r="P13" s="64">
        <v>0.53</v>
      </c>
      <c r="Q13" s="64">
        <v>9.65</v>
      </c>
      <c r="R13" s="198"/>
      <c r="S13" s="198"/>
      <c r="T13" s="198"/>
      <c r="U13" s="198"/>
    </row>
    <row r="14" spans="1:21" s="12" customFormat="1" x14ac:dyDescent="0.25">
      <c r="A14" s="214" t="s">
        <v>441</v>
      </c>
      <c r="B14" s="64">
        <v>10.83</v>
      </c>
      <c r="C14" s="64">
        <v>6.38</v>
      </c>
      <c r="D14" s="64">
        <v>12.02</v>
      </c>
      <c r="E14" s="64">
        <v>3.98</v>
      </c>
      <c r="F14" s="64">
        <v>4.0999999999999996</v>
      </c>
      <c r="G14" s="64">
        <v>15.29</v>
      </c>
      <c r="H14" s="6" t="s">
        <v>42</v>
      </c>
      <c r="I14" s="64">
        <v>1.4</v>
      </c>
      <c r="J14" s="64">
        <v>0.06</v>
      </c>
      <c r="K14" s="64">
        <v>220.54</v>
      </c>
      <c r="L14" s="64">
        <v>21.75</v>
      </c>
      <c r="M14" s="64">
        <v>98.65</v>
      </c>
      <c r="N14" s="64">
        <v>30.9</v>
      </c>
      <c r="O14" s="64">
        <v>0</v>
      </c>
      <c r="P14" s="64">
        <v>0.46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4" t="s">
        <v>442</v>
      </c>
      <c r="B15" s="64">
        <v>12.07</v>
      </c>
      <c r="C15" s="64">
        <v>5.14</v>
      </c>
      <c r="D15" s="64">
        <v>12.36</v>
      </c>
      <c r="E15" s="64">
        <v>3.87</v>
      </c>
      <c r="F15" s="64">
        <v>3.86</v>
      </c>
      <c r="G15" s="64">
        <v>16.239999999999998</v>
      </c>
      <c r="H15" s="6" t="s">
        <v>42</v>
      </c>
      <c r="I15" s="64">
        <v>1.37</v>
      </c>
      <c r="J15" s="64">
        <v>0.03</v>
      </c>
      <c r="K15" s="64">
        <v>223.88</v>
      </c>
      <c r="L15" s="64">
        <v>21.74</v>
      </c>
      <c r="M15" s="64">
        <v>98.66</v>
      </c>
      <c r="N15" s="64">
        <v>30.8</v>
      </c>
      <c r="O15" s="64">
        <v>0</v>
      </c>
      <c r="P15" s="64">
        <v>0.51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4" t="s">
        <v>443</v>
      </c>
      <c r="B16" s="64">
        <v>11.12</v>
      </c>
      <c r="C16" s="64">
        <v>5.53</v>
      </c>
      <c r="D16" s="64">
        <v>11.81</v>
      </c>
      <c r="E16" s="64">
        <v>3.96</v>
      </c>
      <c r="F16" s="64">
        <v>3.74</v>
      </c>
      <c r="G16" s="64">
        <v>16.239999999999998</v>
      </c>
      <c r="H16" s="6" t="s">
        <v>42</v>
      </c>
      <c r="I16" s="64">
        <v>1.41</v>
      </c>
      <c r="J16" s="64">
        <v>0.05</v>
      </c>
      <c r="K16" s="64">
        <v>263.73</v>
      </c>
      <c r="L16" s="64">
        <v>21.77</v>
      </c>
      <c r="M16" s="64">
        <v>98.67</v>
      </c>
      <c r="N16" s="64">
        <v>30.9</v>
      </c>
      <c r="O16" s="64">
        <v>0</v>
      </c>
      <c r="P16" s="64">
        <v>0.49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4" t="s">
        <v>444</v>
      </c>
      <c r="B17" s="64">
        <v>11.15</v>
      </c>
      <c r="C17" s="64">
        <v>5.47</v>
      </c>
      <c r="D17" s="64">
        <v>11.8</v>
      </c>
      <c r="E17" s="64">
        <v>3.64</v>
      </c>
      <c r="F17" s="64">
        <v>4.47</v>
      </c>
      <c r="G17" s="64">
        <v>16.239999999999998</v>
      </c>
      <c r="H17" s="6" t="s">
        <v>42</v>
      </c>
      <c r="I17" s="64">
        <v>1.38</v>
      </c>
      <c r="J17" s="64">
        <v>0.05</v>
      </c>
      <c r="K17" s="64">
        <v>325.97000000000003</v>
      </c>
      <c r="L17" s="64">
        <v>21.77</v>
      </c>
      <c r="M17" s="64">
        <v>98.68</v>
      </c>
      <c r="N17" s="64">
        <v>30.9</v>
      </c>
      <c r="O17" s="64">
        <v>0</v>
      </c>
      <c r="P17" s="64">
        <v>0.44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4" t="s">
        <v>445</v>
      </c>
      <c r="B18" s="64">
        <v>11.25</v>
      </c>
      <c r="C18" s="64">
        <v>5.45</v>
      </c>
      <c r="D18" s="64">
        <v>11.87</v>
      </c>
      <c r="E18" s="64">
        <v>3.83</v>
      </c>
      <c r="F18" s="64">
        <v>3.83</v>
      </c>
      <c r="G18" s="64">
        <v>12.65</v>
      </c>
      <c r="H18" s="6" t="s">
        <v>42</v>
      </c>
      <c r="I18" s="64">
        <v>1.3</v>
      </c>
      <c r="J18" s="64">
        <v>0.04</v>
      </c>
      <c r="K18" s="64">
        <v>300.86</v>
      </c>
      <c r="L18" s="64">
        <v>21.76</v>
      </c>
      <c r="M18" s="64">
        <v>98.68</v>
      </c>
      <c r="N18" s="64">
        <v>31</v>
      </c>
      <c r="O18" s="64">
        <v>0</v>
      </c>
      <c r="P18" s="64">
        <v>0.51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446</v>
      </c>
      <c r="B19" s="64">
        <v>10.59</v>
      </c>
      <c r="C19" s="64">
        <v>6.25</v>
      </c>
      <c r="D19" s="64">
        <v>11.76</v>
      </c>
      <c r="E19" s="64">
        <v>3.96</v>
      </c>
      <c r="F19" s="64">
        <v>4.3</v>
      </c>
      <c r="G19" s="64">
        <v>11.81</v>
      </c>
      <c r="H19" s="6" t="s">
        <v>42</v>
      </c>
      <c r="I19" s="64">
        <v>1.28</v>
      </c>
      <c r="J19" s="64">
        <v>7.0000000000000007E-2</v>
      </c>
      <c r="K19" s="64">
        <v>334.86</v>
      </c>
      <c r="L19" s="64">
        <v>21.88</v>
      </c>
      <c r="M19" s="64">
        <v>98.68</v>
      </c>
      <c r="N19" s="64">
        <v>30.9</v>
      </c>
      <c r="O19" s="64">
        <v>0</v>
      </c>
      <c r="P19" s="64">
        <v>0.44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447</v>
      </c>
      <c r="B20" s="64">
        <v>10.69</v>
      </c>
      <c r="C20" s="64">
        <v>6.24</v>
      </c>
      <c r="D20" s="64">
        <v>11.83</v>
      </c>
      <c r="E20" s="64">
        <v>3.85</v>
      </c>
      <c r="F20" s="64">
        <v>4.22</v>
      </c>
      <c r="G20" s="64">
        <v>11.81</v>
      </c>
      <c r="H20" s="6" t="s">
        <v>42</v>
      </c>
      <c r="I20" s="64">
        <v>1.26</v>
      </c>
      <c r="J20" s="64">
        <v>0.06</v>
      </c>
      <c r="K20" s="64">
        <v>322.18</v>
      </c>
      <c r="L20" s="64">
        <v>21.91</v>
      </c>
      <c r="M20" s="64">
        <v>98.68</v>
      </c>
      <c r="N20" s="64">
        <v>31</v>
      </c>
      <c r="O20" s="64">
        <v>0</v>
      </c>
      <c r="P20" s="64">
        <v>0.49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448</v>
      </c>
      <c r="B21" s="64">
        <v>9.92</v>
      </c>
      <c r="C21" s="64">
        <v>7.36</v>
      </c>
      <c r="D21" s="64">
        <v>11.8</v>
      </c>
      <c r="E21" s="64">
        <v>3.84</v>
      </c>
      <c r="F21" s="64">
        <v>4.8499999999999996</v>
      </c>
      <c r="G21" s="64">
        <v>11.81</v>
      </c>
      <c r="H21" s="6" t="s">
        <v>42</v>
      </c>
      <c r="I21" s="64">
        <v>1.25</v>
      </c>
      <c r="J21" s="64">
        <v>0.11</v>
      </c>
      <c r="K21" s="64">
        <v>179.56</v>
      </c>
      <c r="L21" s="64">
        <v>21.87</v>
      </c>
      <c r="M21" s="64">
        <v>98.69</v>
      </c>
      <c r="N21" s="64">
        <v>31</v>
      </c>
      <c r="O21" s="64">
        <v>0.4</v>
      </c>
      <c r="P21" s="64">
        <v>0.48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4" t="s">
        <v>449</v>
      </c>
      <c r="B22" s="64">
        <v>9.77</v>
      </c>
      <c r="C22" s="64">
        <v>7.33</v>
      </c>
      <c r="D22" s="64">
        <v>11.67</v>
      </c>
      <c r="E22" s="64">
        <v>3.62</v>
      </c>
      <c r="F22" s="64">
        <v>4.8899999999999997</v>
      </c>
      <c r="G22" s="64">
        <v>12.29</v>
      </c>
      <c r="H22" s="6" t="s">
        <v>42</v>
      </c>
      <c r="I22" s="64">
        <v>1.22</v>
      </c>
      <c r="J22" s="64">
        <v>0.13</v>
      </c>
      <c r="K22" s="64">
        <v>152.09</v>
      </c>
      <c r="L22" s="64">
        <v>21.8</v>
      </c>
      <c r="M22" s="64">
        <v>98.7</v>
      </c>
      <c r="N22" s="64">
        <v>31</v>
      </c>
      <c r="O22" s="64">
        <v>0</v>
      </c>
      <c r="P22" s="64">
        <v>0.45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4" t="s">
        <v>450</v>
      </c>
      <c r="B23" s="64">
        <v>8.67</v>
      </c>
      <c r="C23" s="64">
        <v>9.4600000000000009</v>
      </c>
      <c r="D23" s="64">
        <v>11.9</v>
      </c>
      <c r="E23" s="64">
        <v>3.69</v>
      </c>
      <c r="F23" s="64">
        <v>5.25</v>
      </c>
      <c r="G23" s="64">
        <v>12.4</v>
      </c>
      <c r="H23" s="6" t="s">
        <v>42</v>
      </c>
      <c r="I23" s="64">
        <v>1.22</v>
      </c>
      <c r="J23" s="64">
        <v>0.08</v>
      </c>
      <c r="K23" s="64">
        <v>316.95</v>
      </c>
      <c r="L23" s="64">
        <v>21.87</v>
      </c>
      <c r="M23" s="64">
        <v>98.7</v>
      </c>
      <c r="N23" s="64">
        <v>30.8</v>
      </c>
      <c r="O23" s="64">
        <v>0</v>
      </c>
      <c r="P23" s="64">
        <v>0.45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4" t="s">
        <v>451</v>
      </c>
      <c r="B24" s="64">
        <v>9.44</v>
      </c>
      <c r="C24" s="64">
        <v>8.27</v>
      </c>
      <c r="D24" s="64">
        <v>11.89</v>
      </c>
      <c r="E24" s="64">
        <v>3.89</v>
      </c>
      <c r="F24" s="64">
        <v>4.62</v>
      </c>
      <c r="G24" s="64">
        <v>12.4</v>
      </c>
      <c r="H24" s="6" t="s">
        <v>42</v>
      </c>
      <c r="I24" s="64">
        <v>1.2</v>
      </c>
      <c r="J24" s="64">
        <v>0.04</v>
      </c>
      <c r="K24" s="64">
        <v>241.78</v>
      </c>
      <c r="L24" s="64">
        <v>21.85</v>
      </c>
      <c r="M24" s="64">
        <v>98.7</v>
      </c>
      <c r="N24" s="64">
        <v>30.9</v>
      </c>
      <c r="O24" s="64">
        <v>0</v>
      </c>
      <c r="P24" s="64">
        <v>0.47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4" t="s">
        <v>452</v>
      </c>
      <c r="B25" s="64">
        <v>8.57</v>
      </c>
      <c r="C25" s="64">
        <v>8.61</v>
      </c>
      <c r="D25" s="64">
        <v>11.37</v>
      </c>
      <c r="E25" s="64">
        <v>4</v>
      </c>
      <c r="F25" s="64">
        <v>4.88</v>
      </c>
      <c r="G25" s="64">
        <v>12.4</v>
      </c>
      <c r="H25" s="6" t="s">
        <v>42</v>
      </c>
      <c r="I25" s="64">
        <v>1.19</v>
      </c>
      <c r="J25" s="64">
        <v>0.05</v>
      </c>
      <c r="K25" s="64">
        <v>201.47</v>
      </c>
      <c r="L25" s="64">
        <v>21.77</v>
      </c>
      <c r="M25" s="64">
        <v>98.73</v>
      </c>
      <c r="N25" s="64">
        <v>31</v>
      </c>
      <c r="O25" s="64">
        <v>0</v>
      </c>
      <c r="P25" s="64">
        <v>0.44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4" t="s">
        <v>453</v>
      </c>
      <c r="B26" s="64">
        <v>8.56</v>
      </c>
      <c r="C26" s="64">
        <v>8.77</v>
      </c>
      <c r="D26" s="64">
        <v>11.45</v>
      </c>
      <c r="E26" s="64">
        <v>3.79</v>
      </c>
      <c r="F26" s="64">
        <v>4.6399999999999997</v>
      </c>
      <c r="G26" s="64">
        <v>12.8</v>
      </c>
      <c r="H26" s="6" t="s">
        <v>42</v>
      </c>
      <c r="I26" s="64">
        <v>1.18</v>
      </c>
      <c r="J26" s="64">
        <v>0.03</v>
      </c>
      <c r="K26" s="64">
        <v>168.08</v>
      </c>
      <c r="L26" s="64">
        <v>21.82</v>
      </c>
      <c r="M26" s="64">
        <v>98.73</v>
      </c>
      <c r="N26" s="64">
        <v>30.9</v>
      </c>
      <c r="O26" s="64">
        <v>0</v>
      </c>
      <c r="P26" s="64">
        <v>0.42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4" t="s">
        <v>454</v>
      </c>
      <c r="B27" s="64">
        <v>8.89</v>
      </c>
      <c r="C27" s="64">
        <v>9.02</v>
      </c>
      <c r="D27" s="64">
        <v>11.84</v>
      </c>
      <c r="E27" s="64">
        <v>3.84</v>
      </c>
      <c r="F27" s="64">
        <v>4.3</v>
      </c>
      <c r="G27" s="64">
        <v>12.89</v>
      </c>
      <c r="H27" s="6" t="s">
        <v>42</v>
      </c>
      <c r="I27" s="64">
        <v>1.17</v>
      </c>
      <c r="J27" s="64">
        <v>0</v>
      </c>
      <c r="K27" s="64">
        <v>23.32</v>
      </c>
      <c r="L27" s="64">
        <v>21.91</v>
      </c>
      <c r="M27" s="64">
        <v>98.73</v>
      </c>
      <c r="N27" s="64">
        <v>30.9</v>
      </c>
      <c r="O27" s="64">
        <v>0</v>
      </c>
      <c r="P27" s="64">
        <v>0.42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4" t="s">
        <v>455</v>
      </c>
      <c r="B28" s="64">
        <v>8.98</v>
      </c>
      <c r="C28" s="64">
        <v>8.6999999999999993</v>
      </c>
      <c r="D28" s="64">
        <v>11.75</v>
      </c>
      <c r="E28" s="64">
        <v>3.89</v>
      </c>
      <c r="F28" s="64">
        <v>4.4400000000000004</v>
      </c>
      <c r="G28" s="64">
        <v>12.89</v>
      </c>
      <c r="H28" s="6" t="s">
        <v>42</v>
      </c>
      <c r="I28" s="64">
        <v>1.17</v>
      </c>
      <c r="J28" s="64">
        <v>0.03</v>
      </c>
      <c r="K28" s="64">
        <v>170.03</v>
      </c>
      <c r="L28" s="64">
        <v>21.95</v>
      </c>
      <c r="M28" s="64">
        <v>98.74</v>
      </c>
      <c r="N28" s="64">
        <v>31</v>
      </c>
      <c r="O28" s="64">
        <v>0</v>
      </c>
      <c r="P28" s="64">
        <v>0.4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4" t="s">
        <v>456</v>
      </c>
      <c r="B29" s="64">
        <v>9.2799999999999994</v>
      </c>
      <c r="C29" s="64">
        <v>7.73</v>
      </c>
      <c r="D29" s="64">
        <v>11.48</v>
      </c>
      <c r="E29" s="64">
        <v>4.03</v>
      </c>
      <c r="F29" s="64">
        <v>4.7699999999999996</v>
      </c>
      <c r="G29" s="64">
        <v>12.89</v>
      </c>
      <c r="H29" s="6" t="s">
        <v>42</v>
      </c>
      <c r="I29" s="64">
        <v>1.1499999999999999</v>
      </c>
      <c r="J29" s="64">
        <v>0.04</v>
      </c>
      <c r="K29" s="64">
        <v>326.51</v>
      </c>
      <c r="L29" s="64">
        <v>21.82</v>
      </c>
      <c r="M29" s="64">
        <v>98.75</v>
      </c>
      <c r="N29" s="64">
        <v>31.2</v>
      </c>
      <c r="O29" s="64">
        <v>0</v>
      </c>
      <c r="P29" s="64">
        <v>0.42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4" t="s">
        <v>457</v>
      </c>
      <c r="B30" s="64">
        <v>10.69</v>
      </c>
      <c r="C30" s="64">
        <v>5.89</v>
      </c>
      <c r="D30" s="64">
        <v>11.65</v>
      </c>
      <c r="E30" s="64">
        <v>3.9</v>
      </c>
      <c r="F30" s="64">
        <v>3.25</v>
      </c>
      <c r="G30" s="64">
        <v>15.37</v>
      </c>
      <c r="H30" s="6" t="s">
        <v>42</v>
      </c>
      <c r="I30" s="64">
        <v>1.1399999999999999</v>
      </c>
      <c r="J30" s="64">
        <v>0.05</v>
      </c>
      <c r="K30" s="64">
        <v>263.51</v>
      </c>
      <c r="L30" s="64">
        <v>21.89</v>
      </c>
      <c r="M30" s="64">
        <v>98.75</v>
      </c>
      <c r="N30" s="64">
        <v>31.1</v>
      </c>
      <c r="O30" s="64">
        <v>0</v>
      </c>
      <c r="P30" s="64">
        <v>0.46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4" t="s">
        <v>458</v>
      </c>
      <c r="B31" s="64">
        <v>10.51</v>
      </c>
      <c r="C31" s="64">
        <v>5.7</v>
      </c>
      <c r="D31" s="64">
        <v>11.4</v>
      </c>
      <c r="E31" s="64">
        <v>4.24</v>
      </c>
      <c r="F31" s="64">
        <v>3.9</v>
      </c>
      <c r="G31" s="64">
        <v>15.95</v>
      </c>
      <c r="H31" s="6" t="s">
        <v>42</v>
      </c>
      <c r="I31" s="64">
        <v>1.1299999999999999</v>
      </c>
      <c r="J31" s="64">
        <v>0.02</v>
      </c>
      <c r="K31" s="64">
        <v>122.37</v>
      </c>
      <c r="L31" s="64">
        <v>21.92</v>
      </c>
      <c r="M31" s="64">
        <v>98.77</v>
      </c>
      <c r="N31" s="64">
        <v>31.3</v>
      </c>
      <c r="O31" s="64">
        <v>0</v>
      </c>
      <c r="P31" s="64">
        <v>0.4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459</v>
      </c>
      <c r="B32" s="64">
        <v>9.93</v>
      </c>
      <c r="C32" s="64">
        <v>6.07</v>
      </c>
      <c r="D32" s="64">
        <v>11.14</v>
      </c>
      <c r="E32" s="64">
        <v>3.86</v>
      </c>
      <c r="F32" s="64">
        <v>3.57</v>
      </c>
      <c r="G32" s="64">
        <v>15.95</v>
      </c>
      <c r="H32" s="6" t="s">
        <v>42</v>
      </c>
      <c r="I32" s="64">
        <v>1.1200000000000001</v>
      </c>
      <c r="J32" s="64">
        <v>7.0000000000000007E-2</v>
      </c>
      <c r="K32" s="64">
        <v>98.66</v>
      </c>
      <c r="L32" s="64">
        <v>22.02</v>
      </c>
      <c r="M32" s="64">
        <v>98.76</v>
      </c>
      <c r="N32" s="64">
        <v>33.200000000000003</v>
      </c>
      <c r="O32" s="64">
        <v>0</v>
      </c>
      <c r="P32" s="64">
        <v>0.43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4" t="s">
        <v>460</v>
      </c>
      <c r="B33" s="64">
        <v>11.4</v>
      </c>
      <c r="C33" s="64">
        <v>7.27</v>
      </c>
      <c r="D33" s="64">
        <v>12.94</v>
      </c>
      <c r="E33" s="64">
        <v>4.1500000000000004</v>
      </c>
      <c r="F33" s="64">
        <v>4.92</v>
      </c>
      <c r="G33" s="64">
        <v>15.95</v>
      </c>
      <c r="H33" s="6" t="s">
        <v>42</v>
      </c>
      <c r="I33" s="64">
        <v>1.1000000000000001</v>
      </c>
      <c r="J33" s="64">
        <v>0.38</v>
      </c>
      <c r="K33" s="64">
        <v>143.80000000000001</v>
      </c>
      <c r="L33" s="64">
        <v>21.95</v>
      </c>
      <c r="M33" s="64">
        <v>98.78</v>
      </c>
      <c r="N33" s="64">
        <v>42.2</v>
      </c>
      <c r="O33" s="64">
        <v>0</v>
      </c>
      <c r="P33" s="64">
        <v>0.38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14" t="s">
        <v>461</v>
      </c>
      <c r="B34" s="64">
        <v>12.28</v>
      </c>
      <c r="C34" s="64">
        <v>10.48</v>
      </c>
      <c r="D34" s="64">
        <v>15.32</v>
      </c>
      <c r="E34" s="64">
        <v>3.83</v>
      </c>
      <c r="F34" s="64">
        <v>5.1100000000000003</v>
      </c>
      <c r="G34" s="64">
        <v>12.6</v>
      </c>
      <c r="H34" s="6" t="s">
        <v>42</v>
      </c>
      <c r="I34" s="64">
        <v>1.1599999999999999</v>
      </c>
      <c r="J34" s="64">
        <v>0.22</v>
      </c>
      <c r="K34" s="64">
        <v>146.26</v>
      </c>
      <c r="L34" s="64">
        <v>22.08</v>
      </c>
      <c r="M34" s="64">
        <v>98.8</v>
      </c>
      <c r="N34" s="64">
        <v>69.3</v>
      </c>
      <c r="O34" s="64">
        <v>0</v>
      </c>
      <c r="P34" s="64">
        <v>0.36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462</v>
      </c>
      <c r="B35" s="64">
        <v>12.81</v>
      </c>
      <c r="C35" s="64">
        <v>7.18</v>
      </c>
      <c r="D35" s="64">
        <v>14.02</v>
      </c>
      <c r="E35" s="64">
        <v>3.78</v>
      </c>
      <c r="F35" s="64">
        <v>4.21</v>
      </c>
      <c r="G35" s="64">
        <v>11.82</v>
      </c>
      <c r="H35" s="6" t="s">
        <v>42</v>
      </c>
      <c r="I35" s="64">
        <v>1.1399999999999999</v>
      </c>
      <c r="J35" s="64">
        <v>7.0000000000000007E-2</v>
      </c>
      <c r="K35" s="64">
        <v>126.54</v>
      </c>
      <c r="L35" s="64">
        <v>22.38</v>
      </c>
      <c r="M35" s="64">
        <v>98.8</v>
      </c>
      <c r="N35" s="64">
        <v>67.8</v>
      </c>
      <c r="O35" s="64">
        <v>0</v>
      </c>
      <c r="P35" s="64">
        <v>0.41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4" t="s">
        <v>463</v>
      </c>
      <c r="B36" s="64">
        <v>12.89</v>
      </c>
      <c r="C36" s="64">
        <v>6.43</v>
      </c>
      <c r="D36" s="64">
        <v>13.7</v>
      </c>
      <c r="E36" s="64">
        <v>3.9</v>
      </c>
      <c r="F36" s="64">
        <v>3.78</v>
      </c>
      <c r="G36" s="64">
        <v>11.82</v>
      </c>
      <c r="H36" s="64">
        <v>4.08</v>
      </c>
      <c r="I36" s="64">
        <v>1.07</v>
      </c>
      <c r="J36" s="64">
        <v>0.18</v>
      </c>
      <c r="K36" s="64">
        <v>175.82</v>
      </c>
      <c r="L36" s="64">
        <v>22.29</v>
      </c>
      <c r="M36" s="64">
        <v>98.83</v>
      </c>
      <c r="N36" s="64">
        <v>56.3</v>
      </c>
      <c r="O36" s="64">
        <v>0</v>
      </c>
      <c r="P36" s="64">
        <v>0.41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464</v>
      </c>
      <c r="B37" s="64">
        <v>12.13</v>
      </c>
      <c r="C37" s="64">
        <v>8.31</v>
      </c>
      <c r="D37" s="64">
        <v>14.07</v>
      </c>
      <c r="E37" s="64">
        <v>3.66</v>
      </c>
      <c r="F37" s="64">
        <v>4.97</v>
      </c>
      <c r="G37" s="64">
        <v>11.82</v>
      </c>
      <c r="H37" s="64">
        <v>4.08</v>
      </c>
      <c r="I37" s="64">
        <v>1.1399999999999999</v>
      </c>
      <c r="J37" s="64">
        <v>0.19</v>
      </c>
      <c r="K37" s="64">
        <v>110.9</v>
      </c>
      <c r="L37" s="64">
        <v>22.25</v>
      </c>
      <c r="M37" s="64">
        <v>98.8</v>
      </c>
      <c r="N37" s="64">
        <v>44.4</v>
      </c>
      <c r="O37" s="64">
        <v>0</v>
      </c>
      <c r="P37" s="64">
        <v>0.3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4" t="s">
        <v>465</v>
      </c>
      <c r="B38" s="64">
        <v>10.67</v>
      </c>
      <c r="C38" s="64">
        <v>9.7100000000000009</v>
      </c>
      <c r="D38" s="64">
        <v>13.63</v>
      </c>
      <c r="E38" s="64">
        <v>4.16</v>
      </c>
      <c r="F38" s="64">
        <v>4.82</v>
      </c>
      <c r="G38" s="64">
        <v>13.77</v>
      </c>
      <c r="H38" s="64">
        <v>4.08</v>
      </c>
      <c r="I38" s="64">
        <v>1.1299999999999999</v>
      </c>
      <c r="J38" s="64">
        <v>0.14000000000000001</v>
      </c>
      <c r="K38" s="64">
        <v>121.89</v>
      </c>
      <c r="L38" s="64">
        <v>22.3</v>
      </c>
      <c r="M38" s="64">
        <v>98.82</v>
      </c>
      <c r="N38" s="64">
        <v>56</v>
      </c>
      <c r="O38" s="64">
        <v>0</v>
      </c>
      <c r="P38" s="64">
        <v>0.35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466</v>
      </c>
      <c r="B39" s="64">
        <v>12.22</v>
      </c>
      <c r="C39" s="64">
        <v>7.9</v>
      </c>
      <c r="D39" s="64">
        <v>13.92</v>
      </c>
      <c r="E39" s="64">
        <v>4.12</v>
      </c>
      <c r="F39" s="64">
        <v>3.67</v>
      </c>
      <c r="G39" s="64">
        <v>14.23</v>
      </c>
      <c r="H39" s="6" t="s">
        <v>42</v>
      </c>
      <c r="I39" s="64">
        <v>1.07</v>
      </c>
      <c r="J39" s="64">
        <v>0.27</v>
      </c>
      <c r="K39" s="64">
        <v>171.69</v>
      </c>
      <c r="L39" s="64">
        <v>22.32</v>
      </c>
      <c r="M39" s="64">
        <v>98.69</v>
      </c>
      <c r="N39" s="64">
        <v>76.5</v>
      </c>
      <c r="O39" s="64">
        <v>0</v>
      </c>
      <c r="P39" s="64">
        <v>0.36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4" t="s">
        <v>467</v>
      </c>
      <c r="B40" s="64">
        <v>11.72</v>
      </c>
      <c r="C40" s="64">
        <v>9.02</v>
      </c>
      <c r="D40" s="64">
        <v>14.11</v>
      </c>
      <c r="E40" s="64">
        <v>4.67</v>
      </c>
      <c r="F40" s="64">
        <v>5.82</v>
      </c>
      <c r="G40" s="64">
        <v>14.23</v>
      </c>
      <c r="H40" s="6" t="s">
        <v>42</v>
      </c>
      <c r="I40" s="64">
        <v>1.1499999999999999</v>
      </c>
      <c r="J40" s="64">
        <v>0.22</v>
      </c>
      <c r="K40" s="64">
        <v>175.86</v>
      </c>
      <c r="L40" s="64">
        <v>22.49</v>
      </c>
      <c r="M40" s="64">
        <v>98.46</v>
      </c>
      <c r="N40" s="64">
        <v>95.2</v>
      </c>
      <c r="O40" s="64">
        <v>0</v>
      </c>
      <c r="P40" s="64">
        <v>0.34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4" t="s">
        <v>468</v>
      </c>
      <c r="B41" s="64">
        <v>9.65</v>
      </c>
      <c r="C41" s="64">
        <v>9.33</v>
      </c>
      <c r="D41" s="64">
        <v>12.61</v>
      </c>
      <c r="E41" s="64">
        <v>4.41</v>
      </c>
      <c r="F41" s="64">
        <v>6.18</v>
      </c>
      <c r="G41" s="64">
        <v>14.23</v>
      </c>
      <c r="H41" s="6" t="s">
        <v>42</v>
      </c>
      <c r="I41" s="64">
        <v>1.1299999999999999</v>
      </c>
      <c r="J41" s="64">
        <v>0.21</v>
      </c>
      <c r="K41" s="64">
        <v>156.06</v>
      </c>
      <c r="L41" s="64">
        <v>22.61</v>
      </c>
      <c r="M41" s="64">
        <v>98.5</v>
      </c>
      <c r="N41" s="64">
        <v>107.8</v>
      </c>
      <c r="O41" s="64">
        <v>0</v>
      </c>
      <c r="P41" s="64">
        <v>0.33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4" t="s">
        <v>469</v>
      </c>
      <c r="B42" s="64">
        <v>9.9</v>
      </c>
      <c r="C42" s="64">
        <v>7.95</v>
      </c>
      <c r="D42" s="64">
        <v>12.09</v>
      </c>
      <c r="E42" s="64">
        <v>4.6399999999999997</v>
      </c>
      <c r="F42" s="64">
        <v>8.2799999999999994</v>
      </c>
      <c r="G42" s="64">
        <v>12.54</v>
      </c>
      <c r="H42" s="6" t="s">
        <v>42</v>
      </c>
      <c r="I42" s="64">
        <v>1.06</v>
      </c>
      <c r="J42" s="64">
        <v>0.37</v>
      </c>
      <c r="K42" s="64">
        <v>150.35</v>
      </c>
      <c r="L42" s="64">
        <v>22.79</v>
      </c>
      <c r="M42" s="64">
        <v>98.52</v>
      </c>
      <c r="N42" s="64">
        <v>159.4</v>
      </c>
      <c r="O42" s="64">
        <v>0</v>
      </c>
      <c r="P42" s="64">
        <v>0.31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470</v>
      </c>
      <c r="B43" s="64">
        <v>11.68</v>
      </c>
      <c r="C43" s="64">
        <v>8.64</v>
      </c>
      <c r="D43" s="64">
        <v>13.88</v>
      </c>
      <c r="E43" s="64">
        <v>4.18</v>
      </c>
      <c r="F43" s="64">
        <v>7.82</v>
      </c>
      <c r="G43" s="64">
        <v>12.14</v>
      </c>
      <c r="H43" s="6" t="s">
        <v>42</v>
      </c>
      <c r="I43" s="64">
        <v>1.1399999999999999</v>
      </c>
      <c r="J43" s="64">
        <v>0.17</v>
      </c>
      <c r="K43" s="64">
        <v>155.11000000000001</v>
      </c>
      <c r="L43" s="64">
        <v>23.26</v>
      </c>
      <c r="M43" s="64">
        <v>98.5</v>
      </c>
      <c r="N43" s="64">
        <v>172.8</v>
      </c>
      <c r="O43" s="64">
        <v>0</v>
      </c>
      <c r="P43" s="64">
        <v>0.34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4" t="s">
        <v>471</v>
      </c>
      <c r="B44" s="64">
        <v>9.83</v>
      </c>
      <c r="C44" s="64">
        <v>7.67</v>
      </c>
      <c r="D44" s="64">
        <v>11.89</v>
      </c>
      <c r="E44" s="64">
        <v>4.4400000000000004</v>
      </c>
      <c r="F44" s="64">
        <v>8.25</v>
      </c>
      <c r="G44" s="64">
        <v>12.14</v>
      </c>
      <c r="H44" s="64">
        <v>2.38</v>
      </c>
      <c r="I44" s="64">
        <v>1.22</v>
      </c>
      <c r="J44" s="64">
        <v>0.25</v>
      </c>
      <c r="K44" s="64">
        <v>125.16</v>
      </c>
      <c r="L44" s="64">
        <v>23.72</v>
      </c>
      <c r="M44" s="64">
        <v>98.46</v>
      </c>
      <c r="N44" s="64">
        <v>289</v>
      </c>
      <c r="O44" s="64">
        <v>0</v>
      </c>
      <c r="P44" s="64">
        <v>0.32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472</v>
      </c>
      <c r="B45" s="64">
        <v>8.5</v>
      </c>
      <c r="C45" s="64">
        <v>8.34</v>
      </c>
      <c r="D45" s="64">
        <v>11.17</v>
      </c>
      <c r="E45" s="64">
        <v>4.5999999999999996</v>
      </c>
      <c r="F45" s="64">
        <v>9.1</v>
      </c>
      <c r="G45" s="64">
        <v>12.14</v>
      </c>
      <c r="H45" s="64">
        <v>2.38</v>
      </c>
      <c r="I45" s="64">
        <v>1.23</v>
      </c>
      <c r="J45" s="64">
        <v>0.3</v>
      </c>
      <c r="K45" s="64">
        <v>116.96</v>
      </c>
      <c r="L45" s="64">
        <v>24.35</v>
      </c>
      <c r="M45" s="64">
        <v>98.42</v>
      </c>
      <c r="N45" s="64">
        <v>285.10000000000002</v>
      </c>
      <c r="O45" s="64">
        <v>0</v>
      </c>
      <c r="P45" s="64">
        <v>0.27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473</v>
      </c>
      <c r="B46" s="64">
        <v>9.67</v>
      </c>
      <c r="C46" s="64">
        <v>10.72</v>
      </c>
      <c r="D46" s="64">
        <v>13.36</v>
      </c>
      <c r="E46" s="64">
        <v>4.66</v>
      </c>
      <c r="F46" s="64">
        <v>8.06</v>
      </c>
      <c r="G46" s="64">
        <v>13.85</v>
      </c>
      <c r="H46" s="64">
        <v>2.38</v>
      </c>
      <c r="I46" s="64">
        <v>1.23</v>
      </c>
      <c r="J46" s="64">
        <v>0.36</v>
      </c>
      <c r="K46" s="64">
        <v>134.68</v>
      </c>
      <c r="L46" s="64">
        <v>24.89</v>
      </c>
      <c r="M46" s="64">
        <v>98.39</v>
      </c>
      <c r="N46" s="64">
        <v>257.2</v>
      </c>
      <c r="O46" s="64">
        <v>0</v>
      </c>
      <c r="P46" s="64">
        <v>0.3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4" t="s">
        <v>474</v>
      </c>
      <c r="B47" s="64">
        <v>10.42</v>
      </c>
      <c r="C47" s="64">
        <v>8.73</v>
      </c>
      <c r="D47" s="64">
        <v>12.92</v>
      </c>
      <c r="E47" s="64">
        <v>4.74</v>
      </c>
      <c r="F47" s="64">
        <v>7.44</v>
      </c>
      <c r="G47" s="64">
        <v>14.25</v>
      </c>
      <c r="H47" s="64">
        <v>1.81</v>
      </c>
      <c r="I47" s="64">
        <v>1.22</v>
      </c>
      <c r="J47" s="64">
        <v>0.42</v>
      </c>
      <c r="K47" s="64">
        <v>155.78</v>
      </c>
      <c r="L47" s="64">
        <v>24.91</v>
      </c>
      <c r="M47" s="64">
        <v>98.39</v>
      </c>
      <c r="N47" s="64">
        <v>270</v>
      </c>
      <c r="O47" s="64">
        <v>0</v>
      </c>
      <c r="P47" s="64">
        <v>0.31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4" t="s">
        <v>475</v>
      </c>
      <c r="B48" s="64">
        <v>11.27</v>
      </c>
      <c r="C48" s="64">
        <v>6.19</v>
      </c>
      <c r="D48" s="64">
        <v>12.27</v>
      </c>
      <c r="E48" s="64">
        <v>4.57</v>
      </c>
      <c r="F48" s="64">
        <v>5.27</v>
      </c>
      <c r="G48" s="64">
        <v>14.25</v>
      </c>
      <c r="H48" s="64">
        <v>0.48</v>
      </c>
      <c r="I48" s="64">
        <v>1.23</v>
      </c>
      <c r="J48" s="64">
        <v>0.26</v>
      </c>
      <c r="K48" s="64">
        <v>138.15</v>
      </c>
      <c r="L48" s="64">
        <v>25.23</v>
      </c>
      <c r="M48" s="64">
        <v>98.39</v>
      </c>
      <c r="N48" s="64">
        <v>281.39999999999998</v>
      </c>
      <c r="O48" s="64">
        <v>0</v>
      </c>
      <c r="P48" s="64">
        <v>0.34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476</v>
      </c>
      <c r="B49" s="64">
        <v>10.14</v>
      </c>
      <c r="C49" s="64">
        <v>7.54</v>
      </c>
      <c r="D49" s="64">
        <v>12.07</v>
      </c>
      <c r="E49" s="64">
        <v>4.79</v>
      </c>
      <c r="F49" s="64">
        <v>9.1</v>
      </c>
      <c r="G49" s="64">
        <v>14.25</v>
      </c>
      <c r="H49" s="64">
        <v>0.48</v>
      </c>
      <c r="I49" s="64">
        <v>1.22</v>
      </c>
      <c r="J49" s="64">
        <v>0.33</v>
      </c>
      <c r="K49" s="64">
        <v>128.13</v>
      </c>
      <c r="L49" s="64">
        <v>25.57</v>
      </c>
      <c r="M49" s="64">
        <v>98.35</v>
      </c>
      <c r="N49" s="64">
        <v>245.4</v>
      </c>
      <c r="O49" s="64">
        <v>0</v>
      </c>
      <c r="P49" s="64">
        <v>0.26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4" t="s">
        <v>477</v>
      </c>
      <c r="B50" s="64">
        <v>8.41</v>
      </c>
      <c r="C50" s="64">
        <v>9.9600000000000009</v>
      </c>
      <c r="D50" s="64">
        <v>12.17</v>
      </c>
      <c r="E50" s="64">
        <v>4.6500000000000004</v>
      </c>
      <c r="F50" s="64">
        <v>8.1</v>
      </c>
      <c r="G50" s="64">
        <v>0.16</v>
      </c>
      <c r="H50" s="6" t="s">
        <v>42</v>
      </c>
      <c r="I50" s="64">
        <v>1.18</v>
      </c>
      <c r="J50" s="64">
        <v>0.4</v>
      </c>
      <c r="K50" s="64">
        <v>137.62</v>
      </c>
      <c r="L50" s="64">
        <v>25.61</v>
      </c>
      <c r="M50" s="64">
        <v>98.35</v>
      </c>
      <c r="N50" s="64">
        <v>352.2</v>
      </c>
      <c r="O50" s="64">
        <v>0</v>
      </c>
      <c r="P50" s="64">
        <v>0.25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4" t="s">
        <v>478</v>
      </c>
      <c r="B51" s="64">
        <v>8.82</v>
      </c>
      <c r="C51" s="64">
        <v>9.57</v>
      </c>
      <c r="D51" s="64">
        <v>12.08</v>
      </c>
      <c r="E51" s="64">
        <v>4.62</v>
      </c>
      <c r="F51" s="64">
        <v>6.56</v>
      </c>
      <c r="G51" s="64">
        <v>0</v>
      </c>
      <c r="H51" s="6" t="s">
        <v>42</v>
      </c>
      <c r="I51" s="64">
        <v>1.1299999999999999</v>
      </c>
      <c r="J51" s="64">
        <v>0.46</v>
      </c>
      <c r="K51" s="64">
        <v>145.44999999999999</v>
      </c>
      <c r="L51" s="64">
        <v>26.34</v>
      </c>
      <c r="M51" s="64">
        <v>97.92</v>
      </c>
      <c r="N51" s="64">
        <v>421.6</v>
      </c>
      <c r="O51" s="64">
        <v>0</v>
      </c>
      <c r="P51" s="64">
        <v>0.28000000000000003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4" t="s">
        <v>479</v>
      </c>
      <c r="B52" s="64">
        <v>8.83</v>
      </c>
      <c r="C52" s="64">
        <v>12.96</v>
      </c>
      <c r="D52" s="64">
        <v>13.85</v>
      </c>
      <c r="E52" s="64">
        <v>4.68</v>
      </c>
      <c r="F52" s="64">
        <v>10.76</v>
      </c>
      <c r="G52" s="64">
        <v>0</v>
      </c>
      <c r="H52" s="6" t="s">
        <v>42</v>
      </c>
      <c r="I52" s="64">
        <v>1.08</v>
      </c>
      <c r="J52" s="64">
        <v>0.43</v>
      </c>
      <c r="K52" s="64">
        <v>149.59</v>
      </c>
      <c r="L52" s="64">
        <v>26.34</v>
      </c>
      <c r="M52" s="64">
        <v>98.32</v>
      </c>
      <c r="N52" s="64">
        <v>374.9</v>
      </c>
      <c r="O52" s="64">
        <v>0</v>
      </c>
      <c r="P52" s="64">
        <v>0.22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14" t="s">
        <v>480</v>
      </c>
      <c r="B53" s="64">
        <v>6.26</v>
      </c>
      <c r="C53" s="64">
        <v>15.51</v>
      </c>
      <c r="D53" s="64">
        <v>13.13</v>
      </c>
      <c r="E53" s="64">
        <v>4.53</v>
      </c>
      <c r="F53" s="64">
        <v>10.38</v>
      </c>
      <c r="G53" s="64">
        <v>0</v>
      </c>
      <c r="H53" s="6" t="s">
        <v>42</v>
      </c>
      <c r="I53" s="64">
        <v>1.04</v>
      </c>
      <c r="J53" s="64">
        <v>0.36</v>
      </c>
      <c r="K53" s="64">
        <v>144.05000000000001</v>
      </c>
      <c r="L53" s="64">
        <v>26.77</v>
      </c>
      <c r="M53" s="64">
        <v>98.27</v>
      </c>
      <c r="N53" s="64">
        <v>348.8</v>
      </c>
      <c r="O53" s="64">
        <v>0</v>
      </c>
      <c r="P53" s="64">
        <v>0.17</v>
      </c>
      <c r="Q53" s="64">
        <v>9.5399999999999991</v>
      </c>
      <c r="R53" s="198"/>
      <c r="S53" s="198"/>
      <c r="T53" s="198"/>
      <c r="U53" s="198"/>
    </row>
    <row r="54" spans="1:21" s="12" customFormat="1" x14ac:dyDescent="0.25">
      <c r="A54" s="214" t="s">
        <v>481</v>
      </c>
      <c r="B54" s="64">
        <v>5.54</v>
      </c>
      <c r="C54" s="64">
        <v>14.65</v>
      </c>
      <c r="D54" s="64">
        <v>12.1</v>
      </c>
      <c r="E54" s="64">
        <v>4.55</v>
      </c>
      <c r="F54" s="64">
        <v>11.52</v>
      </c>
      <c r="G54" s="64">
        <v>14.36</v>
      </c>
      <c r="H54" s="6" t="s">
        <v>42</v>
      </c>
      <c r="I54" s="64">
        <v>0.83</v>
      </c>
      <c r="J54" s="64">
        <v>0.48</v>
      </c>
      <c r="K54" s="64">
        <v>131.26</v>
      </c>
      <c r="L54" s="64">
        <v>27.11</v>
      </c>
      <c r="M54" s="64">
        <v>97.88</v>
      </c>
      <c r="N54" s="64">
        <v>393.2</v>
      </c>
      <c r="O54" s="64">
        <v>0</v>
      </c>
      <c r="P54" s="64">
        <v>0.17</v>
      </c>
      <c r="Q54" s="64">
        <v>9.49</v>
      </c>
      <c r="R54" s="198"/>
      <c r="S54" s="198"/>
      <c r="T54" s="198"/>
      <c r="U54" s="198"/>
    </row>
    <row r="55" spans="1:21" s="12" customFormat="1" x14ac:dyDescent="0.25">
      <c r="A55" s="214" t="s">
        <v>482</v>
      </c>
      <c r="B55" s="64">
        <v>6.14</v>
      </c>
      <c r="C55" s="64">
        <v>13.98</v>
      </c>
      <c r="D55" s="64">
        <v>12.22</v>
      </c>
      <c r="E55" s="64">
        <v>4.6399999999999997</v>
      </c>
      <c r="F55" s="64">
        <v>9.49</v>
      </c>
      <c r="G55" s="64">
        <v>20.52</v>
      </c>
      <c r="H55" s="6" t="s">
        <v>42</v>
      </c>
      <c r="I55" s="64">
        <v>0.69</v>
      </c>
      <c r="J55" s="64">
        <v>0.26</v>
      </c>
      <c r="K55" s="64">
        <v>144.44</v>
      </c>
      <c r="L55" s="64">
        <v>27.09</v>
      </c>
      <c r="M55" s="64">
        <v>97.81</v>
      </c>
      <c r="N55" s="64">
        <v>300.60000000000002</v>
      </c>
      <c r="O55" s="64">
        <v>0</v>
      </c>
      <c r="P55" s="64">
        <v>0.15</v>
      </c>
      <c r="Q55" s="64">
        <v>9.4600000000000009</v>
      </c>
      <c r="R55" s="198"/>
      <c r="S55" s="198"/>
      <c r="T55" s="198"/>
      <c r="U55" s="198"/>
    </row>
    <row r="56" spans="1:21" s="12" customFormat="1" x14ac:dyDescent="0.25">
      <c r="A56" s="214" t="s">
        <v>483</v>
      </c>
      <c r="B56" s="64">
        <v>5.98</v>
      </c>
      <c r="C56" s="64">
        <v>12.49</v>
      </c>
      <c r="D56" s="64">
        <v>11.32</v>
      </c>
      <c r="E56" s="64">
        <v>4.54</v>
      </c>
      <c r="F56" s="64">
        <v>9.66</v>
      </c>
      <c r="G56" s="64">
        <v>20.52</v>
      </c>
      <c r="H56" s="6" t="s">
        <v>42</v>
      </c>
      <c r="I56" s="64">
        <v>0.75</v>
      </c>
      <c r="J56" s="64">
        <v>0.87</v>
      </c>
      <c r="K56" s="64">
        <v>133.80000000000001</v>
      </c>
      <c r="L56" s="64">
        <v>26.87</v>
      </c>
      <c r="M56" s="64">
        <v>97.49</v>
      </c>
      <c r="N56" s="64">
        <v>387.1</v>
      </c>
      <c r="O56" s="64">
        <v>0</v>
      </c>
      <c r="P56" s="64">
        <v>0.16</v>
      </c>
      <c r="Q56" s="64">
        <v>9.4499999999999993</v>
      </c>
      <c r="R56" s="198"/>
      <c r="S56" s="198"/>
      <c r="T56" s="198"/>
      <c r="U56" s="198"/>
    </row>
    <row r="57" spans="1:21" s="12" customFormat="1" x14ac:dyDescent="0.25">
      <c r="A57" s="214" t="s">
        <v>484</v>
      </c>
      <c r="B57" s="64">
        <v>5.37</v>
      </c>
      <c r="C57" s="64">
        <v>11.8</v>
      </c>
      <c r="D57" s="64">
        <v>10.47</v>
      </c>
      <c r="E57" s="64">
        <v>4.4400000000000004</v>
      </c>
      <c r="F57" s="64">
        <v>8.3000000000000007</v>
      </c>
      <c r="G57" s="64">
        <v>20.52</v>
      </c>
      <c r="H57" s="6" t="s">
        <v>42</v>
      </c>
      <c r="I57" s="64">
        <v>0.8</v>
      </c>
      <c r="J57" s="64">
        <v>0.47</v>
      </c>
      <c r="K57" s="64">
        <v>148.91</v>
      </c>
      <c r="L57" s="64">
        <v>27.26</v>
      </c>
      <c r="M57" s="64">
        <v>96.69</v>
      </c>
      <c r="N57" s="64">
        <v>290.3</v>
      </c>
      <c r="O57" s="64">
        <v>0</v>
      </c>
      <c r="P57" s="64">
        <v>0.17</v>
      </c>
      <c r="Q57" s="64">
        <v>9.44</v>
      </c>
      <c r="R57" s="198"/>
      <c r="S57" s="198"/>
      <c r="T57" s="198"/>
      <c r="U57" s="198"/>
    </row>
    <row r="58" spans="1:21" s="12" customFormat="1" x14ac:dyDescent="0.25">
      <c r="A58" s="214" t="s">
        <v>485</v>
      </c>
      <c r="B58" s="64">
        <v>6.17</v>
      </c>
      <c r="C58" s="64">
        <v>13.85</v>
      </c>
      <c r="D58" s="64">
        <v>12.18</v>
      </c>
      <c r="E58" s="64">
        <v>4.6100000000000003</v>
      </c>
      <c r="F58" s="64">
        <v>12.29</v>
      </c>
      <c r="G58" s="64">
        <v>31.55</v>
      </c>
      <c r="H58" s="6" t="s">
        <v>42</v>
      </c>
      <c r="I58" s="64">
        <v>0.82</v>
      </c>
      <c r="J58" s="64">
        <v>0.45</v>
      </c>
      <c r="K58" s="64">
        <v>149.22</v>
      </c>
      <c r="L58" s="64">
        <v>26.79</v>
      </c>
      <c r="M58" s="64">
        <v>97.86</v>
      </c>
      <c r="N58" s="64">
        <v>170.4</v>
      </c>
      <c r="O58" s="64">
        <v>0</v>
      </c>
      <c r="P58" s="64">
        <v>0.16</v>
      </c>
      <c r="Q58" s="64">
        <v>9.44</v>
      </c>
      <c r="R58" s="198"/>
      <c r="S58" s="198"/>
      <c r="T58" s="198"/>
      <c r="U58" s="198"/>
    </row>
    <row r="59" spans="1:21" s="12" customFormat="1" x14ac:dyDescent="0.25">
      <c r="A59" s="214" t="s">
        <v>486</v>
      </c>
      <c r="B59" s="64">
        <v>5.69</v>
      </c>
      <c r="C59" s="64">
        <v>12.71</v>
      </c>
      <c r="D59" s="64">
        <v>11.21</v>
      </c>
      <c r="E59" s="64">
        <v>4.42</v>
      </c>
      <c r="F59" s="64">
        <v>14.29</v>
      </c>
      <c r="G59" s="64">
        <v>36.020000000000003</v>
      </c>
      <c r="H59" s="64">
        <v>8.84</v>
      </c>
      <c r="I59" s="64">
        <v>0.85</v>
      </c>
      <c r="J59" s="64">
        <v>0.36</v>
      </c>
      <c r="K59" s="64">
        <v>143.69999999999999</v>
      </c>
      <c r="L59" s="64">
        <v>26.61</v>
      </c>
      <c r="M59" s="64">
        <v>98.38</v>
      </c>
      <c r="N59" s="64">
        <v>207.4</v>
      </c>
      <c r="O59" s="64">
        <v>0</v>
      </c>
      <c r="P59" s="64">
        <v>0.19</v>
      </c>
      <c r="Q59" s="64">
        <v>9.4600000000000009</v>
      </c>
      <c r="R59" s="198"/>
      <c r="S59" s="198"/>
      <c r="T59" s="198"/>
      <c r="U59" s="198"/>
    </row>
    <row r="60" spans="1:21" s="12" customFormat="1" x14ac:dyDescent="0.25">
      <c r="A60" s="214" t="s">
        <v>487</v>
      </c>
      <c r="B60" s="64">
        <v>5.69</v>
      </c>
      <c r="C60" s="64">
        <v>11.3</v>
      </c>
      <c r="D60" s="64">
        <v>10.47</v>
      </c>
      <c r="E60" s="64">
        <v>4.45</v>
      </c>
      <c r="F60" s="64">
        <v>13.23</v>
      </c>
      <c r="G60" s="64">
        <v>36.020000000000003</v>
      </c>
      <c r="H60" s="64">
        <v>8.84</v>
      </c>
      <c r="I60" s="64">
        <v>0.87</v>
      </c>
      <c r="J60" s="64">
        <v>0.5</v>
      </c>
      <c r="K60" s="64">
        <v>147.86000000000001</v>
      </c>
      <c r="L60" s="64">
        <v>27.06</v>
      </c>
      <c r="M60" s="64">
        <v>96.71</v>
      </c>
      <c r="N60" s="64">
        <v>251.2</v>
      </c>
      <c r="O60" s="64">
        <v>0</v>
      </c>
      <c r="P60" s="64">
        <v>0.17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4" t="s">
        <v>488</v>
      </c>
      <c r="B61" s="64">
        <v>5.75</v>
      </c>
      <c r="C61" s="64">
        <v>9.61</v>
      </c>
      <c r="D61" s="64">
        <v>9.6300000000000008</v>
      </c>
      <c r="E61" s="64">
        <v>4.99</v>
      </c>
      <c r="F61" s="64">
        <v>15.81</v>
      </c>
      <c r="G61" s="64">
        <v>36.020000000000003</v>
      </c>
      <c r="H61" s="64">
        <v>8.84</v>
      </c>
      <c r="I61" s="64">
        <v>0.9</v>
      </c>
      <c r="J61" s="64">
        <v>0.2</v>
      </c>
      <c r="K61" s="64">
        <v>139.55000000000001</v>
      </c>
      <c r="L61" s="64">
        <v>27.15</v>
      </c>
      <c r="M61" s="64">
        <v>95.6</v>
      </c>
      <c r="N61" s="64">
        <v>218.3</v>
      </c>
      <c r="O61" s="64">
        <v>0</v>
      </c>
      <c r="P61" s="64">
        <v>0.21</v>
      </c>
      <c r="Q61" s="64">
        <v>9.5</v>
      </c>
      <c r="R61" s="198"/>
      <c r="S61" s="198"/>
      <c r="T61" s="198"/>
      <c r="U61" s="198"/>
    </row>
    <row r="62" spans="1:21" s="12" customFormat="1" x14ac:dyDescent="0.25">
      <c r="A62" s="214" t="s">
        <v>489</v>
      </c>
      <c r="B62" s="64">
        <v>17.02</v>
      </c>
      <c r="C62" s="64">
        <v>16.309999999999999</v>
      </c>
      <c r="D62" s="64">
        <v>22.13</v>
      </c>
      <c r="E62" s="64">
        <v>4.57</v>
      </c>
      <c r="F62" s="64">
        <v>12.78</v>
      </c>
      <c r="G62" s="64">
        <v>25.78</v>
      </c>
      <c r="H62" s="64">
        <v>9.82</v>
      </c>
      <c r="I62" s="64">
        <v>0.92</v>
      </c>
      <c r="J62" s="64">
        <v>0.33</v>
      </c>
      <c r="K62" s="64">
        <v>343.24</v>
      </c>
      <c r="L62" s="64">
        <v>27.85</v>
      </c>
      <c r="M62" s="64">
        <v>95.2</v>
      </c>
      <c r="N62" s="64">
        <v>193.7</v>
      </c>
      <c r="O62" s="64">
        <v>0</v>
      </c>
      <c r="P62" s="64">
        <v>0.56000000000000005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4" t="s">
        <v>490</v>
      </c>
      <c r="B63" s="64">
        <v>7.83</v>
      </c>
      <c r="C63" s="64">
        <v>15.16</v>
      </c>
      <c r="D63" s="64">
        <v>14.2</v>
      </c>
      <c r="E63" s="64">
        <v>5.18</v>
      </c>
      <c r="F63" s="64">
        <v>14.53</v>
      </c>
      <c r="G63" s="64">
        <v>18.489999999999998</v>
      </c>
      <c r="H63" s="6" t="s">
        <v>42</v>
      </c>
      <c r="I63" s="64">
        <v>0.93</v>
      </c>
      <c r="J63" s="64">
        <v>0.17</v>
      </c>
      <c r="K63" s="64">
        <v>138.63999999999999</v>
      </c>
      <c r="L63" s="64">
        <v>28.03</v>
      </c>
      <c r="M63" s="64">
        <v>92.97</v>
      </c>
      <c r="N63" s="64">
        <v>236.5</v>
      </c>
      <c r="O63" s="64">
        <v>0</v>
      </c>
      <c r="P63" s="64">
        <v>0.35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4" t="s">
        <v>491</v>
      </c>
      <c r="B64" s="64">
        <v>6.98</v>
      </c>
      <c r="C64" s="64">
        <v>12.84</v>
      </c>
      <c r="D64" s="64">
        <v>12.3</v>
      </c>
      <c r="E64" s="64">
        <v>4.84</v>
      </c>
      <c r="F64" s="64">
        <v>14.13</v>
      </c>
      <c r="G64" s="6" t="s">
        <v>42</v>
      </c>
      <c r="H64" s="6" t="s">
        <v>42</v>
      </c>
      <c r="I64" s="64">
        <v>0.97</v>
      </c>
      <c r="J64" s="64">
        <v>0.08</v>
      </c>
      <c r="K64" s="64">
        <v>305.02</v>
      </c>
      <c r="L64" s="64">
        <v>28.24</v>
      </c>
      <c r="M64" s="64">
        <v>92.42</v>
      </c>
      <c r="N64" s="64">
        <v>254</v>
      </c>
      <c r="O64" s="64">
        <v>0</v>
      </c>
      <c r="P64" s="64">
        <v>0.38</v>
      </c>
      <c r="Q64" s="64">
        <v>9.5399999999999991</v>
      </c>
      <c r="R64" s="198"/>
      <c r="S64" s="198"/>
      <c r="T64" s="198"/>
      <c r="U64" s="198"/>
    </row>
    <row r="65" spans="1:21" s="12" customFormat="1" x14ac:dyDescent="0.25">
      <c r="A65" s="214" t="s">
        <v>492</v>
      </c>
      <c r="B65" s="64">
        <v>6.85</v>
      </c>
      <c r="C65" s="64">
        <v>12.4</v>
      </c>
      <c r="D65" s="64">
        <v>11.97</v>
      </c>
      <c r="E65" s="64">
        <v>4.97</v>
      </c>
      <c r="F65" s="64">
        <v>8.4600000000000009</v>
      </c>
      <c r="G65" s="6" t="s">
        <v>42</v>
      </c>
      <c r="H65" s="6" t="s">
        <v>42</v>
      </c>
      <c r="I65" s="64">
        <v>1.01</v>
      </c>
      <c r="J65" s="64">
        <v>0.24</v>
      </c>
      <c r="K65" s="64">
        <v>149.69999999999999</v>
      </c>
      <c r="L65" s="64">
        <v>28.25</v>
      </c>
      <c r="M65" s="64">
        <v>91.32</v>
      </c>
      <c r="N65" s="64">
        <v>236.2</v>
      </c>
      <c r="O65" s="64">
        <v>0</v>
      </c>
      <c r="P65" s="64">
        <v>0.26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4" t="s">
        <v>493</v>
      </c>
      <c r="B66" s="64">
        <v>7.75</v>
      </c>
      <c r="C66" s="64">
        <v>10.97</v>
      </c>
      <c r="D66" s="64">
        <v>11.95</v>
      </c>
      <c r="E66" s="64">
        <v>5.07</v>
      </c>
      <c r="F66" s="64">
        <v>7.37</v>
      </c>
      <c r="G66" s="6" t="s">
        <v>42</v>
      </c>
      <c r="H66" s="6" t="s">
        <v>42</v>
      </c>
      <c r="I66" s="64">
        <v>1.03</v>
      </c>
      <c r="J66" s="64">
        <v>0.19</v>
      </c>
      <c r="K66" s="64">
        <v>327.32</v>
      </c>
      <c r="L66" s="64">
        <v>28.78</v>
      </c>
      <c r="M66" s="64">
        <v>88.95</v>
      </c>
      <c r="N66" s="64">
        <v>250.9</v>
      </c>
      <c r="O66" s="64">
        <v>0</v>
      </c>
      <c r="P66" s="64">
        <v>0.3</v>
      </c>
      <c r="Q66" s="64">
        <v>9.5399999999999991</v>
      </c>
      <c r="R66" s="198"/>
      <c r="S66" s="198"/>
      <c r="T66" s="198"/>
      <c r="U66" s="198"/>
    </row>
    <row r="67" spans="1:21" s="12" customFormat="1" x14ac:dyDescent="0.25">
      <c r="A67" s="214" t="s">
        <v>494</v>
      </c>
      <c r="B67" s="64">
        <v>7.49</v>
      </c>
      <c r="C67" s="64">
        <v>13.63</v>
      </c>
      <c r="D67" s="64">
        <v>13.13</v>
      </c>
      <c r="E67" s="64">
        <v>5</v>
      </c>
      <c r="F67" s="64">
        <v>10.76</v>
      </c>
      <c r="G67" s="64">
        <v>4.68</v>
      </c>
      <c r="H67" s="64">
        <v>11.12</v>
      </c>
      <c r="I67" s="64">
        <v>1</v>
      </c>
      <c r="J67" s="64">
        <v>0.1</v>
      </c>
      <c r="K67" s="64">
        <v>296.88</v>
      </c>
      <c r="L67" s="64">
        <v>29.34</v>
      </c>
      <c r="M67" s="64">
        <v>86.73</v>
      </c>
      <c r="N67" s="64">
        <v>246.7</v>
      </c>
      <c r="O67" s="64">
        <v>0</v>
      </c>
      <c r="P67" s="64">
        <v>0.32</v>
      </c>
      <c r="Q67" s="64">
        <v>9.52</v>
      </c>
      <c r="R67" s="198"/>
      <c r="S67" s="198"/>
      <c r="T67" s="198"/>
      <c r="U67" s="198"/>
    </row>
    <row r="68" spans="1:21" s="12" customFormat="1" x14ac:dyDescent="0.25">
      <c r="A68" s="214" t="s">
        <v>495</v>
      </c>
      <c r="B68" s="64">
        <v>6.22</v>
      </c>
      <c r="C68" s="64">
        <v>12.81</v>
      </c>
      <c r="D68" s="64">
        <v>11.68</v>
      </c>
      <c r="E68" s="64">
        <v>4.84</v>
      </c>
      <c r="F68" s="64">
        <v>12.99</v>
      </c>
      <c r="G68" s="64">
        <v>28.1</v>
      </c>
      <c r="H68" s="6" t="s">
        <v>42</v>
      </c>
      <c r="I68" s="64">
        <v>0.97</v>
      </c>
      <c r="J68" s="64">
        <v>0.06</v>
      </c>
      <c r="K68" s="64">
        <v>166.75</v>
      </c>
      <c r="L68" s="64">
        <v>29.05</v>
      </c>
      <c r="M68" s="64">
        <v>86.64</v>
      </c>
      <c r="N68" s="64">
        <v>221.3</v>
      </c>
      <c r="O68" s="64">
        <v>0</v>
      </c>
      <c r="P68" s="64">
        <v>0.28999999999999998</v>
      </c>
      <c r="Q68" s="64">
        <v>9.51</v>
      </c>
      <c r="R68" s="198"/>
      <c r="S68" s="198"/>
      <c r="T68" s="198"/>
      <c r="U68" s="198"/>
    </row>
    <row r="69" spans="1:21" s="12" customFormat="1" x14ac:dyDescent="0.25">
      <c r="A69" s="214" t="s">
        <v>496</v>
      </c>
      <c r="B69" s="64">
        <v>7.79</v>
      </c>
      <c r="C69" s="64">
        <v>15.59</v>
      </c>
      <c r="D69" s="64">
        <v>14.39</v>
      </c>
      <c r="E69" s="64">
        <v>4.8899999999999997</v>
      </c>
      <c r="F69" s="64">
        <v>13.97</v>
      </c>
      <c r="G69" s="64">
        <v>28.1</v>
      </c>
      <c r="H69" s="6" t="s">
        <v>42</v>
      </c>
      <c r="I69" s="64">
        <v>0.92</v>
      </c>
      <c r="J69" s="64">
        <v>0.12</v>
      </c>
      <c r="K69" s="64">
        <v>326.89</v>
      </c>
      <c r="L69" s="64">
        <v>28.99</v>
      </c>
      <c r="M69" s="64">
        <v>87.36</v>
      </c>
      <c r="N69" s="64">
        <v>166.3</v>
      </c>
      <c r="O69" s="64">
        <v>0</v>
      </c>
      <c r="P69" s="64">
        <v>0.42</v>
      </c>
      <c r="Q69" s="64">
        <v>9.5</v>
      </c>
      <c r="R69" s="198"/>
      <c r="S69" s="198"/>
      <c r="T69" s="198"/>
      <c r="U69" s="198"/>
    </row>
    <row r="70" spans="1:21" s="12" customFormat="1" x14ac:dyDescent="0.25">
      <c r="A70" s="214" t="s">
        <v>497</v>
      </c>
      <c r="B70" s="64">
        <v>5.46</v>
      </c>
      <c r="C70" s="64">
        <v>13.5</v>
      </c>
      <c r="D70" s="64">
        <v>11.44</v>
      </c>
      <c r="E70" s="64">
        <v>4.96</v>
      </c>
      <c r="F70" s="64">
        <v>17.899999999999999</v>
      </c>
      <c r="G70" s="64">
        <v>28.1</v>
      </c>
      <c r="H70" s="6" t="s">
        <v>42</v>
      </c>
      <c r="I70" s="64">
        <v>0.93</v>
      </c>
      <c r="J70" s="64">
        <v>0.13</v>
      </c>
      <c r="K70" s="64">
        <v>117.81</v>
      </c>
      <c r="L70" s="64">
        <v>28.67</v>
      </c>
      <c r="M70" s="64">
        <v>85.66</v>
      </c>
      <c r="N70" s="64">
        <v>147.1</v>
      </c>
      <c r="O70" s="64">
        <v>0</v>
      </c>
      <c r="P70" s="64">
        <v>0.3</v>
      </c>
      <c r="Q70" s="64">
        <v>9.5</v>
      </c>
      <c r="R70" s="198"/>
      <c r="S70" s="198"/>
      <c r="T70" s="198"/>
      <c r="U70" s="198"/>
    </row>
    <row r="71" spans="1:21" s="12" customFormat="1" x14ac:dyDescent="0.25">
      <c r="A71" s="214" t="s">
        <v>498</v>
      </c>
      <c r="B71" s="64">
        <v>10.79</v>
      </c>
      <c r="C71" s="64">
        <v>15.59</v>
      </c>
      <c r="D71" s="64">
        <v>16.8</v>
      </c>
      <c r="E71" s="64">
        <v>4.75</v>
      </c>
      <c r="F71" s="64">
        <v>10.91</v>
      </c>
      <c r="G71" s="64">
        <v>32.520000000000003</v>
      </c>
      <c r="H71" s="6" t="s">
        <v>42</v>
      </c>
      <c r="I71" s="64">
        <v>1</v>
      </c>
      <c r="J71" s="64">
        <v>0.32</v>
      </c>
      <c r="K71" s="64">
        <v>337.79</v>
      </c>
      <c r="L71" s="64">
        <v>28.9</v>
      </c>
      <c r="M71" s="64">
        <v>88.29</v>
      </c>
      <c r="N71" s="64">
        <v>156.19999999999999</v>
      </c>
      <c r="O71" s="64">
        <v>0</v>
      </c>
      <c r="P71" s="64">
        <v>0.42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14" t="s">
        <v>499</v>
      </c>
      <c r="B72" s="64">
        <v>8.7200000000000006</v>
      </c>
      <c r="C72" s="64">
        <v>14.77</v>
      </c>
      <c r="D72" s="64">
        <v>14.71</v>
      </c>
      <c r="E72" s="64">
        <v>4.18</v>
      </c>
      <c r="F72" s="64">
        <v>15.14</v>
      </c>
      <c r="G72" s="64">
        <v>54.62</v>
      </c>
      <c r="H72" s="64">
        <v>51.26</v>
      </c>
      <c r="I72" s="64">
        <v>1.02</v>
      </c>
      <c r="J72" s="64">
        <v>0.47</v>
      </c>
      <c r="K72" s="64">
        <v>340.82</v>
      </c>
      <c r="L72" s="64">
        <v>29.15</v>
      </c>
      <c r="M72" s="64">
        <v>86.7</v>
      </c>
      <c r="N72" s="64">
        <v>141.80000000000001</v>
      </c>
      <c r="O72" s="64">
        <v>0</v>
      </c>
      <c r="P72" s="64">
        <v>0.46</v>
      </c>
      <c r="Q72" s="64">
        <v>9.5</v>
      </c>
      <c r="R72" s="198"/>
      <c r="S72" s="198"/>
      <c r="T72" s="198"/>
      <c r="U72" s="198"/>
    </row>
    <row r="73" spans="1:21" s="12" customFormat="1" x14ac:dyDescent="0.25">
      <c r="A73" s="214" t="s">
        <v>500</v>
      </c>
      <c r="B73" s="64">
        <v>11.99</v>
      </c>
      <c r="C73" s="64">
        <v>16.760000000000002</v>
      </c>
      <c r="D73" s="64">
        <v>18.37</v>
      </c>
      <c r="E73" s="64">
        <v>4.38</v>
      </c>
      <c r="F73" s="64">
        <v>9.9600000000000009</v>
      </c>
      <c r="G73" s="64">
        <v>54.62</v>
      </c>
      <c r="H73" s="64">
        <v>51.26</v>
      </c>
      <c r="I73" s="64">
        <v>1.03</v>
      </c>
      <c r="J73" s="64">
        <v>0.48</v>
      </c>
      <c r="K73" s="64">
        <v>340.53</v>
      </c>
      <c r="L73" s="64">
        <v>29.23</v>
      </c>
      <c r="M73" s="64">
        <v>85.93</v>
      </c>
      <c r="N73" s="64">
        <v>93.6</v>
      </c>
      <c r="O73" s="64">
        <v>0</v>
      </c>
      <c r="P73" s="64">
        <v>0.49</v>
      </c>
      <c r="Q73" s="64">
        <v>9.51</v>
      </c>
      <c r="R73" s="198"/>
      <c r="S73" s="198"/>
      <c r="T73" s="198"/>
      <c r="U73" s="198"/>
    </row>
    <row r="74" spans="1:21" s="12" customFormat="1" x14ac:dyDescent="0.25">
      <c r="A74" s="214" t="s">
        <v>501</v>
      </c>
      <c r="B74" s="64">
        <v>9.76</v>
      </c>
      <c r="C74" s="64">
        <v>24.3</v>
      </c>
      <c r="D74" s="64">
        <v>20.52</v>
      </c>
      <c r="E74" s="64">
        <v>4.46</v>
      </c>
      <c r="F74" s="64">
        <v>14.19</v>
      </c>
      <c r="G74" s="64">
        <v>54.62</v>
      </c>
      <c r="H74" s="64">
        <v>51.26</v>
      </c>
      <c r="I74" s="64">
        <v>1.05</v>
      </c>
      <c r="J74" s="64">
        <v>0.04</v>
      </c>
      <c r="K74" s="64">
        <v>86.57</v>
      </c>
      <c r="L74" s="64">
        <v>28.62</v>
      </c>
      <c r="M74" s="64">
        <v>87.4</v>
      </c>
      <c r="N74" s="64">
        <v>106.5</v>
      </c>
      <c r="O74" s="64">
        <v>0</v>
      </c>
      <c r="P74" s="64">
        <v>0.66</v>
      </c>
      <c r="Q74" s="64">
        <v>9.52</v>
      </c>
      <c r="R74" s="198"/>
      <c r="S74" s="198"/>
      <c r="T74" s="198"/>
      <c r="U74" s="198"/>
    </row>
    <row r="75" spans="1:21" s="12" customFormat="1" x14ac:dyDescent="0.25">
      <c r="A75" s="214" t="s">
        <v>502</v>
      </c>
      <c r="B75" s="64">
        <v>6.18</v>
      </c>
      <c r="C75" s="64">
        <v>16.32</v>
      </c>
      <c r="D75" s="64">
        <v>13.48</v>
      </c>
      <c r="E75" s="64">
        <v>4.46</v>
      </c>
      <c r="F75" s="64">
        <v>16.149999999999999</v>
      </c>
      <c r="G75" s="64">
        <v>54.92</v>
      </c>
      <c r="H75" s="64">
        <v>47.54</v>
      </c>
      <c r="I75" s="64">
        <v>1.02</v>
      </c>
      <c r="J75" s="64">
        <v>0.34</v>
      </c>
      <c r="K75" s="64">
        <v>129.71</v>
      </c>
      <c r="L75" s="64">
        <v>28.05</v>
      </c>
      <c r="M75" s="64">
        <v>91.49</v>
      </c>
      <c r="N75" s="64">
        <v>112.3</v>
      </c>
      <c r="O75" s="64">
        <v>0</v>
      </c>
      <c r="P75" s="64">
        <v>0.42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14" t="s">
        <v>503</v>
      </c>
      <c r="B76" s="64">
        <v>5.14</v>
      </c>
      <c r="C76" s="64">
        <v>13.29</v>
      </c>
      <c r="D76" s="64">
        <v>11.07</v>
      </c>
      <c r="E76" s="64">
        <v>4.38</v>
      </c>
      <c r="F76" s="64">
        <v>19.399999999999999</v>
      </c>
      <c r="G76" s="64">
        <v>56.45</v>
      </c>
      <c r="H76" s="64">
        <v>31.72</v>
      </c>
      <c r="I76" s="64">
        <v>0.99</v>
      </c>
      <c r="J76" s="64">
        <v>0.45</v>
      </c>
      <c r="K76" s="64">
        <v>128.59</v>
      </c>
      <c r="L76" s="64">
        <v>27.59</v>
      </c>
      <c r="M76" s="64">
        <v>93.88</v>
      </c>
      <c r="N76" s="64">
        <v>88.8</v>
      </c>
      <c r="O76" s="64">
        <v>0</v>
      </c>
      <c r="P76" s="64">
        <v>0.36</v>
      </c>
      <c r="Q76" s="64">
        <v>9.5500000000000007</v>
      </c>
      <c r="R76" s="198"/>
      <c r="S76" s="198"/>
      <c r="T76" s="198"/>
      <c r="U76" s="198"/>
    </row>
    <row r="77" spans="1:21" s="12" customFormat="1" x14ac:dyDescent="0.25">
      <c r="A77" s="214" t="s">
        <v>504</v>
      </c>
      <c r="B77" s="64">
        <v>5.98</v>
      </c>
      <c r="C77" s="64">
        <v>16.690000000000001</v>
      </c>
      <c r="D77" s="64">
        <v>13.52</v>
      </c>
      <c r="E77" s="64">
        <v>4.49</v>
      </c>
      <c r="F77" s="64">
        <v>14.91</v>
      </c>
      <c r="G77" s="64">
        <v>56.45</v>
      </c>
      <c r="H77" s="64">
        <v>31.72</v>
      </c>
      <c r="I77" s="64">
        <v>1</v>
      </c>
      <c r="J77" s="64">
        <v>0.1</v>
      </c>
      <c r="K77" s="64">
        <v>105.95</v>
      </c>
      <c r="L77" s="64">
        <v>27.49</v>
      </c>
      <c r="M77" s="64">
        <v>95.57</v>
      </c>
      <c r="N77" s="64">
        <v>68</v>
      </c>
      <c r="O77" s="64">
        <v>0</v>
      </c>
      <c r="P77" s="64">
        <v>0.46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4" t="s">
        <v>505</v>
      </c>
      <c r="B78" s="64">
        <v>10.74</v>
      </c>
      <c r="C78" s="64">
        <v>22.54</v>
      </c>
      <c r="D78" s="64">
        <v>20.39</v>
      </c>
      <c r="E78" s="64">
        <v>4.5599999999999996</v>
      </c>
      <c r="F78" s="64">
        <v>12.79</v>
      </c>
      <c r="G78" s="64">
        <v>56.45</v>
      </c>
      <c r="H78" s="64">
        <v>31.72</v>
      </c>
      <c r="I78" s="64">
        <v>1.0900000000000001</v>
      </c>
      <c r="J78" s="64">
        <v>7.0000000000000007E-2</v>
      </c>
      <c r="K78" s="64">
        <v>6.12</v>
      </c>
      <c r="L78" s="64">
        <v>27.44</v>
      </c>
      <c r="M78" s="64">
        <v>95.81</v>
      </c>
      <c r="N78" s="64">
        <v>57.9</v>
      </c>
      <c r="O78" s="64">
        <v>0</v>
      </c>
      <c r="P78" s="64">
        <v>0.87</v>
      </c>
      <c r="Q78" s="64">
        <v>9.5399999999999991</v>
      </c>
      <c r="R78" s="198"/>
      <c r="S78" s="198"/>
      <c r="T78" s="198"/>
      <c r="U78" s="198"/>
    </row>
    <row r="79" spans="1:21" s="12" customFormat="1" x14ac:dyDescent="0.25">
      <c r="A79" s="214" t="s">
        <v>506</v>
      </c>
      <c r="B79" s="64">
        <v>5.63</v>
      </c>
      <c r="C79" s="64">
        <v>15.69</v>
      </c>
      <c r="D79" s="64">
        <v>12.71</v>
      </c>
      <c r="E79" s="64">
        <v>4.83</v>
      </c>
      <c r="F79" s="64">
        <v>19.100000000000001</v>
      </c>
      <c r="G79" s="64">
        <v>55.96</v>
      </c>
      <c r="H79" s="64">
        <v>29.57</v>
      </c>
      <c r="I79" s="64">
        <v>1.19</v>
      </c>
      <c r="J79" s="64">
        <v>0.08</v>
      </c>
      <c r="K79" s="64">
        <v>106.32</v>
      </c>
      <c r="L79" s="64">
        <v>27.17</v>
      </c>
      <c r="M79" s="64">
        <v>96.35</v>
      </c>
      <c r="N79" s="64">
        <v>46.6</v>
      </c>
      <c r="O79" s="64">
        <v>0</v>
      </c>
      <c r="P79" s="64">
        <v>0.44</v>
      </c>
      <c r="Q79" s="64">
        <v>9.56</v>
      </c>
      <c r="R79" s="198"/>
      <c r="S79" s="198"/>
      <c r="T79" s="198"/>
      <c r="U79" s="198"/>
    </row>
    <row r="80" spans="1:21" s="12" customFormat="1" x14ac:dyDescent="0.25">
      <c r="A80" s="214" t="s">
        <v>507</v>
      </c>
      <c r="B80" s="64">
        <v>19.29</v>
      </c>
      <c r="C80" s="64">
        <v>26.73</v>
      </c>
      <c r="D80" s="64">
        <v>29.43</v>
      </c>
      <c r="E80" s="64">
        <v>4.9400000000000004</v>
      </c>
      <c r="F80" s="64">
        <v>11.75</v>
      </c>
      <c r="G80" s="64">
        <v>53.54</v>
      </c>
      <c r="H80" s="64">
        <v>17.440000000000001</v>
      </c>
      <c r="I80" s="64">
        <v>1.24</v>
      </c>
      <c r="J80" s="64">
        <v>0.2</v>
      </c>
      <c r="K80" s="64">
        <v>328.79</v>
      </c>
      <c r="L80" s="64">
        <v>26.96</v>
      </c>
      <c r="M80" s="64">
        <v>98.05</v>
      </c>
      <c r="N80" s="64">
        <v>37.9</v>
      </c>
      <c r="O80" s="64">
        <v>0</v>
      </c>
      <c r="P80" s="64">
        <v>1.1299999999999999</v>
      </c>
      <c r="Q80" s="64">
        <v>9.57</v>
      </c>
      <c r="R80" s="198"/>
      <c r="S80" s="198"/>
      <c r="T80" s="198"/>
      <c r="U80" s="198"/>
    </row>
    <row r="81" spans="1:26" s="12" customFormat="1" x14ac:dyDescent="0.25">
      <c r="A81" s="214" t="s">
        <v>508</v>
      </c>
      <c r="B81" s="64">
        <v>15.06</v>
      </c>
      <c r="C81" s="64">
        <v>23.78</v>
      </c>
      <c r="D81" s="64">
        <v>24.5</v>
      </c>
      <c r="E81" s="64">
        <v>4.93</v>
      </c>
      <c r="F81" s="64">
        <v>12.92</v>
      </c>
      <c r="G81" s="64">
        <v>53.54</v>
      </c>
      <c r="H81" s="64">
        <v>17.440000000000001</v>
      </c>
      <c r="I81" s="64">
        <v>1.21</v>
      </c>
      <c r="J81" s="64">
        <v>0.52</v>
      </c>
      <c r="K81" s="64">
        <v>342.18</v>
      </c>
      <c r="L81" s="64">
        <v>26.78</v>
      </c>
      <c r="M81" s="64">
        <v>98.37</v>
      </c>
      <c r="N81" s="64">
        <v>31.2</v>
      </c>
      <c r="O81" s="64">
        <v>0</v>
      </c>
      <c r="P81" s="64">
        <v>1.05</v>
      </c>
      <c r="Q81" s="64">
        <v>9.58</v>
      </c>
      <c r="R81" s="198"/>
      <c r="S81" s="198"/>
      <c r="T81" s="198"/>
      <c r="U81" s="198"/>
    </row>
    <row r="82" spans="1:26" s="12" customFormat="1" x14ac:dyDescent="0.25">
      <c r="A82" s="214" t="s">
        <v>509</v>
      </c>
      <c r="B82" s="64">
        <v>16.04</v>
      </c>
      <c r="C82" s="64">
        <v>21.86</v>
      </c>
      <c r="D82" s="64">
        <v>24.28</v>
      </c>
      <c r="E82" s="64">
        <v>4.84</v>
      </c>
      <c r="F82" s="64">
        <v>13.21</v>
      </c>
      <c r="G82" s="64">
        <v>53.54</v>
      </c>
      <c r="H82" s="64">
        <v>17.440000000000001</v>
      </c>
      <c r="I82" s="64">
        <v>1.22</v>
      </c>
      <c r="J82" s="64">
        <v>0.56999999999999995</v>
      </c>
      <c r="K82" s="64">
        <v>341.39</v>
      </c>
      <c r="L82" s="64">
        <v>26.64</v>
      </c>
      <c r="M82" s="64">
        <v>98.38</v>
      </c>
      <c r="N82" s="64">
        <v>27.9</v>
      </c>
      <c r="O82" s="64">
        <v>0</v>
      </c>
      <c r="P82" s="64">
        <v>1.1200000000000001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4" t="s">
        <v>510</v>
      </c>
      <c r="B83" s="64">
        <v>18.82</v>
      </c>
      <c r="C83" s="64">
        <v>18.670000000000002</v>
      </c>
      <c r="D83" s="64">
        <v>24.85</v>
      </c>
      <c r="E83" s="64">
        <v>4.8899999999999997</v>
      </c>
      <c r="F83" s="64">
        <v>8.59</v>
      </c>
      <c r="G83" s="64">
        <v>56.22</v>
      </c>
      <c r="H83" s="64">
        <v>17.82</v>
      </c>
      <c r="I83" s="64">
        <v>1.28</v>
      </c>
      <c r="J83" s="64">
        <v>0.55000000000000004</v>
      </c>
      <c r="K83" s="64">
        <v>341.07</v>
      </c>
      <c r="L83" s="64">
        <v>26.38</v>
      </c>
      <c r="M83" s="64">
        <v>98.23</v>
      </c>
      <c r="N83" s="64">
        <v>27.6</v>
      </c>
      <c r="O83" s="64">
        <v>0</v>
      </c>
      <c r="P83" s="64">
        <v>0.94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4" t="s">
        <v>511</v>
      </c>
      <c r="B84" s="64">
        <v>25.07</v>
      </c>
      <c r="C84" s="64">
        <v>22.83</v>
      </c>
      <c r="D84" s="64">
        <v>32.03</v>
      </c>
      <c r="E84" s="64">
        <v>4.68</v>
      </c>
      <c r="F84" s="64">
        <v>8.2100000000000009</v>
      </c>
      <c r="G84" s="64">
        <v>69.62</v>
      </c>
      <c r="H84" s="64">
        <v>19.309999999999999</v>
      </c>
      <c r="I84" s="64">
        <v>1.34</v>
      </c>
      <c r="J84" s="64">
        <v>0.26</v>
      </c>
      <c r="K84" s="64">
        <v>343.68</v>
      </c>
      <c r="L84" s="64">
        <v>26.11</v>
      </c>
      <c r="M84" s="64">
        <v>98.08</v>
      </c>
      <c r="N84" s="64">
        <v>27.6</v>
      </c>
      <c r="O84" s="64">
        <v>0</v>
      </c>
      <c r="P84" s="64">
        <v>1.37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4" t="s">
        <v>512</v>
      </c>
      <c r="B85" s="64">
        <v>19.329999999999998</v>
      </c>
      <c r="C85" s="64">
        <v>20.5</v>
      </c>
      <c r="D85" s="64">
        <v>26.21</v>
      </c>
      <c r="E85" s="64">
        <v>5.14</v>
      </c>
      <c r="F85" s="64">
        <v>6.55</v>
      </c>
      <c r="G85" s="64">
        <v>69.62</v>
      </c>
      <c r="H85" s="64">
        <v>19.309999999999999</v>
      </c>
      <c r="I85" s="64">
        <v>1.37</v>
      </c>
      <c r="J85" s="64">
        <v>0.21</v>
      </c>
      <c r="K85" s="64">
        <v>344.96</v>
      </c>
      <c r="L85" s="64">
        <v>25.85</v>
      </c>
      <c r="M85" s="64">
        <v>98.1</v>
      </c>
      <c r="N85" s="64">
        <v>27.5</v>
      </c>
      <c r="O85" s="64">
        <v>0</v>
      </c>
      <c r="P85" s="64">
        <v>1.27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4" t="s">
        <v>513</v>
      </c>
      <c r="B86" s="64">
        <v>32.65</v>
      </c>
      <c r="C86" s="64">
        <v>22.68</v>
      </c>
      <c r="D86" s="64">
        <v>38.03</v>
      </c>
      <c r="E86" s="64">
        <v>4.9400000000000004</v>
      </c>
      <c r="F86" s="64">
        <v>7.94</v>
      </c>
      <c r="G86" s="64">
        <v>69.62</v>
      </c>
      <c r="H86" s="64">
        <v>19.309999999999999</v>
      </c>
      <c r="I86" s="64">
        <v>1.44</v>
      </c>
      <c r="J86" s="64">
        <v>0.33</v>
      </c>
      <c r="K86" s="64">
        <v>344.07</v>
      </c>
      <c r="L86" s="64">
        <v>25.75</v>
      </c>
      <c r="M86" s="64">
        <v>98.1</v>
      </c>
      <c r="N86" s="64">
        <v>27.4</v>
      </c>
      <c r="O86" s="64">
        <v>0</v>
      </c>
      <c r="P86" s="64">
        <v>1.81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4" t="s">
        <v>514</v>
      </c>
      <c r="B87" s="64">
        <v>24.33</v>
      </c>
      <c r="C87" s="64">
        <v>21.55</v>
      </c>
      <c r="D87" s="64">
        <v>30.77</v>
      </c>
      <c r="E87" s="64">
        <v>5.31</v>
      </c>
      <c r="F87" s="64">
        <v>6.15</v>
      </c>
      <c r="G87" s="64">
        <v>71.150000000000006</v>
      </c>
      <c r="H87" s="64">
        <v>17.7</v>
      </c>
      <c r="I87" s="64">
        <v>1.55</v>
      </c>
      <c r="J87" s="64">
        <v>0.36</v>
      </c>
      <c r="K87" s="64">
        <v>342.43</v>
      </c>
      <c r="L87" s="64">
        <v>25.62</v>
      </c>
      <c r="M87" s="64">
        <v>98.09</v>
      </c>
      <c r="N87" s="64">
        <v>27.3</v>
      </c>
      <c r="O87" s="64">
        <v>0</v>
      </c>
      <c r="P87" s="64">
        <v>1.71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4" t="s">
        <v>515</v>
      </c>
      <c r="B88" s="64">
        <v>24.1</v>
      </c>
      <c r="C88" s="64">
        <v>29.11</v>
      </c>
      <c r="D88" s="64">
        <v>34.53</v>
      </c>
      <c r="E88" s="64">
        <v>4.95</v>
      </c>
      <c r="F88" s="64">
        <v>7.31</v>
      </c>
      <c r="G88" s="64">
        <v>78.81</v>
      </c>
      <c r="H88" s="64">
        <v>11.39</v>
      </c>
      <c r="I88" s="64">
        <v>1.67</v>
      </c>
      <c r="J88" s="64">
        <v>0.2</v>
      </c>
      <c r="K88" s="64">
        <v>338.61</v>
      </c>
      <c r="L88" s="64">
        <v>25.7</v>
      </c>
      <c r="M88" s="64">
        <v>98.06</v>
      </c>
      <c r="N88" s="64">
        <v>27.4</v>
      </c>
      <c r="O88" s="64">
        <v>0</v>
      </c>
      <c r="P88" s="64">
        <v>1.98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4" t="s">
        <v>516</v>
      </c>
      <c r="B89" s="64">
        <v>29.01</v>
      </c>
      <c r="C89" s="64">
        <v>24.11</v>
      </c>
      <c r="D89" s="64">
        <v>35.86</v>
      </c>
      <c r="E89" s="64">
        <v>5.14</v>
      </c>
      <c r="F89" s="64">
        <v>5.47</v>
      </c>
      <c r="G89" s="64">
        <v>78.81</v>
      </c>
      <c r="H89" s="64">
        <v>11.39</v>
      </c>
      <c r="I89" s="64">
        <v>1.79</v>
      </c>
      <c r="J89" s="64">
        <v>0.06</v>
      </c>
      <c r="K89" s="64">
        <v>353.49</v>
      </c>
      <c r="L89" s="64">
        <v>25.62</v>
      </c>
      <c r="M89" s="64">
        <v>98</v>
      </c>
      <c r="N89" s="64">
        <v>27.6</v>
      </c>
      <c r="O89" s="64">
        <v>0</v>
      </c>
      <c r="P89" s="64">
        <v>1.94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4" t="s">
        <v>517</v>
      </c>
      <c r="B90" s="64">
        <v>21.96</v>
      </c>
      <c r="C90" s="64">
        <v>24.3</v>
      </c>
      <c r="D90" s="64">
        <v>30.12</v>
      </c>
      <c r="E90" s="64">
        <v>4.8899999999999997</v>
      </c>
      <c r="F90" s="64">
        <v>5.0999999999999996</v>
      </c>
      <c r="G90" s="64">
        <v>78.81</v>
      </c>
      <c r="H90" s="64">
        <v>11.39</v>
      </c>
      <c r="I90" s="64">
        <v>1.93</v>
      </c>
      <c r="J90" s="64">
        <v>0.06</v>
      </c>
      <c r="K90" s="64">
        <v>46.87</v>
      </c>
      <c r="L90" s="64">
        <v>25.54</v>
      </c>
      <c r="M90" s="64">
        <v>97.98</v>
      </c>
      <c r="N90" s="64">
        <v>27.6</v>
      </c>
      <c r="O90" s="64">
        <v>0</v>
      </c>
      <c r="P90" s="64">
        <v>1.76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4" t="s">
        <v>518</v>
      </c>
      <c r="B91" s="64">
        <v>30.07</v>
      </c>
      <c r="C91" s="64">
        <v>18.96</v>
      </c>
      <c r="D91" s="64">
        <v>34.020000000000003</v>
      </c>
      <c r="E91" s="64">
        <v>5.05</v>
      </c>
      <c r="F91" s="64">
        <v>4.68</v>
      </c>
      <c r="G91" s="64">
        <v>82.2</v>
      </c>
      <c r="H91" s="64">
        <v>10.49</v>
      </c>
      <c r="I91" s="64">
        <v>2.09</v>
      </c>
      <c r="J91" s="64">
        <v>0.47</v>
      </c>
      <c r="K91" s="64">
        <v>341.21</v>
      </c>
      <c r="L91" s="64">
        <v>25.55</v>
      </c>
      <c r="M91" s="64">
        <v>98.04</v>
      </c>
      <c r="N91" s="64">
        <v>27.3</v>
      </c>
      <c r="O91" s="64">
        <v>0</v>
      </c>
      <c r="P91" s="64">
        <v>2.16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519</v>
      </c>
      <c r="B92" s="64">
        <v>31.2</v>
      </c>
      <c r="C92" s="64">
        <v>20.03</v>
      </c>
      <c r="D92" s="64">
        <v>35.479999999999997</v>
      </c>
      <c r="E92" s="64">
        <v>5.26</v>
      </c>
      <c r="F92" s="64">
        <v>5.34</v>
      </c>
      <c r="G92" s="64">
        <v>99.13</v>
      </c>
      <c r="H92" s="64">
        <v>6.95</v>
      </c>
      <c r="I92" s="64">
        <v>2.2200000000000002</v>
      </c>
      <c r="J92" s="64">
        <v>0.28999999999999998</v>
      </c>
      <c r="K92" s="64">
        <v>334.38</v>
      </c>
      <c r="L92" s="64">
        <v>25.63</v>
      </c>
      <c r="M92" s="64">
        <v>98.05</v>
      </c>
      <c r="N92" s="64">
        <v>27.3</v>
      </c>
      <c r="O92" s="64">
        <v>0</v>
      </c>
      <c r="P92" s="64">
        <v>1.86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4" t="s">
        <v>520</v>
      </c>
      <c r="B93" s="64">
        <v>19.38</v>
      </c>
      <c r="C93" s="64">
        <v>10.89</v>
      </c>
      <c r="D93" s="64">
        <v>21.23</v>
      </c>
      <c r="E93" s="64">
        <v>4.8</v>
      </c>
      <c r="F93" s="64">
        <v>4.01</v>
      </c>
      <c r="G93" s="64">
        <v>99.13</v>
      </c>
      <c r="H93" s="64">
        <v>6.95</v>
      </c>
      <c r="I93" s="64">
        <v>2.36</v>
      </c>
      <c r="J93" s="64">
        <v>0.42</v>
      </c>
      <c r="K93" s="64">
        <v>316.36</v>
      </c>
      <c r="L93" s="64">
        <v>25.59</v>
      </c>
      <c r="M93" s="64">
        <v>98.01</v>
      </c>
      <c r="N93" s="64">
        <v>27.8</v>
      </c>
      <c r="O93" s="64">
        <v>0</v>
      </c>
      <c r="P93" s="64">
        <v>1.18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4" t="s">
        <v>521</v>
      </c>
      <c r="B94" s="64">
        <v>18.22</v>
      </c>
      <c r="C94" s="64">
        <v>7.65</v>
      </c>
      <c r="D94" s="64">
        <v>18.61</v>
      </c>
      <c r="E94" s="64">
        <v>4.53</v>
      </c>
      <c r="F94" s="64">
        <v>4.08</v>
      </c>
      <c r="G94" s="64">
        <v>99.13</v>
      </c>
      <c r="H94" s="64">
        <v>6.95</v>
      </c>
      <c r="I94" s="64">
        <v>2.48</v>
      </c>
      <c r="J94" s="64">
        <v>0.18</v>
      </c>
      <c r="K94" s="64">
        <v>321.3</v>
      </c>
      <c r="L94" s="64">
        <v>24.91</v>
      </c>
      <c r="M94" s="64">
        <v>97.99</v>
      </c>
      <c r="N94" s="64">
        <v>28.3</v>
      </c>
      <c r="O94" s="64">
        <v>0</v>
      </c>
      <c r="P94" s="64">
        <v>1.1200000000000001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522</v>
      </c>
      <c r="B95" s="64">
        <v>16.600000000000001</v>
      </c>
      <c r="C95" s="64">
        <v>7.61</v>
      </c>
      <c r="D95" s="64">
        <v>17.29</v>
      </c>
      <c r="E95" s="64">
        <v>4.57</v>
      </c>
      <c r="F95" s="64">
        <v>3.88</v>
      </c>
      <c r="G95" s="64">
        <v>98.29</v>
      </c>
      <c r="H95" s="64">
        <v>6.39</v>
      </c>
      <c r="I95" s="64">
        <v>2.62</v>
      </c>
      <c r="J95" s="64">
        <v>0.23</v>
      </c>
      <c r="K95" s="64">
        <v>324.54000000000002</v>
      </c>
      <c r="L95" s="64">
        <v>23.72</v>
      </c>
      <c r="M95" s="64">
        <v>98.1</v>
      </c>
      <c r="N95" s="64">
        <v>28.8</v>
      </c>
      <c r="O95" s="64">
        <v>0</v>
      </c>
      <c r="P95" s="64">
        <v>1.05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4" t="s">
        <v>523</v>
      </c>
      <c r="B96" s="64">
        <v>13.81</v>
      </c>
      <c r="C96" s="64">
        <v>8.56</v>
      </c>
      <c r="D96" s="64">
        <v>15.55</v>
      </c>
      <c r="E96" s="64">
        <v>4.46</v>
      </c>
      <c r="F96" s="64">
        <v>3.45</v>
      </c>
      <c r="G96" s="64">
        <v>94.09</v>
      </c>
      <c r="H96" s="64">
        <v>4.38</v>
      </c>
      <c r="I96" s="64">
        <v>2.66</v>
      </c>
      <c r="J96" s="64">
        <v>0.13</v>
      </c>
      <c r="K96" s="64">
        <v>317.05</v>
      </c>
      <c r="L96" s="64">
        <v>23.18</v>
      </c>
      <c r="M96" s="64">
        <v>98.18</v>
      </c>
      <c r="N96" s="64">
        <v>28.1</v>
      </c>
      <c r="O96" s="64">
        <v>0</v>
      </c>
      <c r="P96" s="64">
        <v>0.97</v>
      </c>
      <c r="Q96" s="64">
        <v>9.65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524</v>
      </c>
      <c r="B97" s="64">
        <v>11.14</v>
      </c>
      <c r="C97" s="64">
        <v>9.07</v>
      </c>
      <c r="D97" s="64">
        <v>13.67</v>
      </c>
      <c r="E97" s="64">
        <v>4.7699999999999996</v>
      </c>
      <c r="F97" s="64">
        <v>4.9400000000000004</v>
      </c>
      <c r="G97" s="64">
        <v>94.09</v>
      </c>
      <c r="H97" s="64">
        <v>4.38</v>
      </c>
      <c r="I97" s="64">
        <v>2.5099999999999998</v>
      </c>
      <c r="J97" s="64">
        <v>0.17</v>
      </c>
      <c r="K97" s="64">
        <v>121.5</v>
      </c>
      <c r="L97" s="64">
        <v>23.01</v>
      </c>
      <c r="M97" s="64">
        <v>98.23</v>
      </c>
      <c r="N97" s="64">
        <v>28.1</v>
      </c>
      <c r="O97" s="64">
        <v>0</v>
      </c>
      <c r="P97" s="64">
        <v>0.8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4" t="s">
        <v>525</v>
      </c>
      <c r="B98" s="64">
        <v>10.79</v>
      </c>
      <c r="C98" s="64">
        <v>7.93</v>
      </c>
      <c r="D98" s="64">
        <v>12.79</v>
      </c>
      <c r="E98" s="64">
        <v>4.26</v>
      </c>
      <c r="F98" s="64">
        <v>3.85</v>
      </c>
      <c r="G98" s="64">
        <v>94.09</v>
      </c>
      <c r="H98" s="64">
        <v>4.38</v>
      </c>
      <c r="I98" s="64">
        <v>2.33</v>
      </c>
      <c r="J98" s="64">
        <v>0.09</v>
      </c>
      <c r="K98" s="64">
        <v>330.87</v>
      </c>
      <c r="L98" s="64">
        <v>22.71</v>
      </c>
      <c r="M98" s="64">
        <v>98.29</v>
      </c>
      <c r="N98" s="64">
        <v>27.2</v>
      </c>
      <c r="O98" s="64">
        <v>0</v>
      </c>
      <c r="P98" s="64">
        <v>0.81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4" t="s">
        <v>526</v>
      </c>
      <c r="B99" s="64">
        <v>10.79</v>
      </c>
      <c r="C99" s="64">
        <v>8.4600000000000009</v>
      </c>
      <c r="D99" s="64">
        <v>13.08</v>
      </c>
      <c r="E99" s="64">
        <v>4.53</v>
      </c>
      <c r="F99" s="64">
        <v>4.32</v>
      </c>
      <c r="G99" s="64">
        <v>88.92</v>
      </c>
      <c r="H99" s="64">
        <v>4.99</v>
      </c>
      <c r="I99" s="64">
        <v>2.21</v>
      </c>
      <c r="J99" s="64">
        <v>0.1</v>
      </c>
      <c r="K99" s="64">
        <v>321.10000000000002</v>
      </c>
      <c r="L99" s="64">
        <v>22.71</v>
      </c>
      <c r="M99" s="64">
        <v>98.3</v>
      </c>
      <c r="N99" s="64">
        <v>27</v>
      </c>
      <c r="O99" s="64">
        <v>0</v>
      </c>
      <c r="P99" s="64">
        <v>0.79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4" t="s">
        <v>527</v>
      </c>
      <c r="B100" s="64">
        <v>9.7799999999999994</v>
      </c>
      <c r="C100" s="64">
        <v>9</v>
      </c>
      <c r="D100" s="64">
        <v>12.54</v>
      </c>
      <c r="E100" s="64">
        <v>4.32</v>
      </c>
      <c r="F100" s="64">
        <v>4.92</v>
      </c>
      <c r="G100" s="64">
        <v>63.08</v>
      </c>
      <c r="H100" s="64">
        <v>7.4</v>
      </c>
      <c r="I100" s="64">
        <v>2.13</v>
      </c>
      <c r="J100" s="64">
        <v>0.09</v>
      </c>
      <c r="K100" s="64">
        <v>331.93</v>
      </c>
      <c r="L100" s="64">
        <v>22.81</v>
      </c>
      <c r="M100" s="64">
        <v>98.31</v>
      </c>
      <c r="N100" s="64">
        <v>26.9</v>
      </c>
      <c r="O100" s="64">
        <v>0</v>
      </c>
      <c r="P100" s="64">
        <v>0.75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528</v>
      </c>
      <c r="B101" s="64">
        <v>10.76</v>
      </c>
      <c r="C101" s="64">
        <v>7.7</v>
      </c>
      <c r="D101" s="64">
        <v>12.66</v>
      </c>
      <c r="E101" s="64">
        <v>4.34</v>
      </c>
      <c r="F101" s="64">
        <v>3.43</v>
      </c>
      <c r="G101" s="64">
        <v>63.08</v>
      </c>
      <c r="H101" s="64">
        <v>7.4</v>
      </c>
      <c r="I101" s="64">
        <v>2.06</v>
      </c>
      <c r="J101" s="64">
        <v>0.19</v>
      </c>
      <c r="K101" s="64">
        <v>317.16000000000003</v>
      </c>
      <c r="L101" s="64">
        <v>22.94</v>
      </c>
      <c r="M101" s="64">
        <v>98.32</v>
      </c>
      <c r="N101" s="64">
        <v>26.9</v>
      </c>
      <c r="O101" s="64">
        <v>0</v>
      </c>
      <c r="P101" s="64">
        <v>0.81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4" t="s">
        <v>529</v>
      </c>
      <c r="B102" s="64">
        <v>10.88</v>
      </c>
      <c r="C102" s="64">
        <v>7.2</v>
      </c>
      <c r="D102" s="64">
        <v>12.48</v>
      </c>
      <c r="E102" s="64">
        <v>4.33</v>
      </c>
      <c r="F102" s="64">
        <v>2.5499999999999998</v>
      </c>
      <c r="G102" s="64">
        <v>63.08</v>
      </c>
      <c r="H102" s="64">
        <v>7.4</v>
      </c>
      <c r="I102" s="64">
        <v>1.99</v>
      </c>
      <c r="J102" s="64">
        <v>0.24</v>
      </c>
      <c r="K102" s="64">
        <v>312.58999999999997</v>
      </c>
      <c r="L102" s="64">
        <v>23.03</v>
      </c>
      <c r="M102" s="64">
        <v>98.32</v>
      </c>
      <c r="N102" s="64">
        <v>27</v>
      </c>
      <c r="O102" s="64">
        <v>0</v>
      </c>
      <c r="P102" s="64">
        <v>0.78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4" t="s">
        <v>530</v>
      </c>
      <c r="B103" s="64">
        <v>10.54</v>
      </c>
      <c r="C103" s="64">
        <v>7.03</v>
      </c>
      <c r="D103" s="64">
        <v>12.12</v>
      </c>
      <c r="E103" s="64">
        <v>4.32</v>
      </c>
      <c r="F103" s="64">
        <v>3.34</v>
      </c>
      <c r="G103" s="64">
        <v>60.07</v>
      </c>
      <c r="H103" s="64">
        <v>7.41</v>
      </c>
      <c r="I103" s="64">
        <v>1.9</v>
      </c>
      <c r="J103" s="64">
        <v>0.15</v>
      </c>
      <c r="K103" s="64">
        <v>315.81</v>
      </c>
      <c r="L103" s="64">
        <v>23.06</v>
      </c>
      <c r="M103" s="64">
        <v>98.32</v>
      </c>
      <c r="N103" s="64">
        <v>27</v>
      </c>
      <c r="O103" s="64">
        <v>0</v>
      </c>
      <c r="P103" s="64">
        <v>0.76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4" t="s">
        <v>531</v>
      </c>
      <c r="B104" s="64">
        <v>10.86</v>
      </c>
      <c r="C104" s="64">
        <v>7.69</v>
      </c>
      <c r="D104" s="64">
        <v>12.72</v>
      </c>
      <c r="E104" s="64">
        <v>4.22</v>
      </c>
      <c r="F104" s="64">
        <v>3.43</v>
      </c>
      <c r="G104" s="64">
        <v>44.98</v>
      </c>
      <c r="H104" s="64">
        <v>7.43</v>
      </c>
      <c r="I104" s="64">
        <v>1.84</v>
      </c>
      <c r="J104" s="64">
        <v>0.12</v>
      </c>
      <c r="K104" s="64">
        <v>339.34</v>
      </c>
      <c r="L104" s="64">
        <v>22.99</v>
      </c>
      <c r="M104" s="64">
        <v>98.32</v>
      </c>
      <c r="N104" s="64">
        <v>27.4</v>
      </c>
      <c r="O104" s="64">
        <v>0</v>
      </c>
      <c r="P104" s="64">
        <v>0.74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5.14</v>
      </c>
      <c r="C106" s="67">
        <f>MIN(C9:C104)</f>
        <v>4.78</v>
      </c>
      <c r="D106" s="67">
        <f t="shared" ref="D106:Q106" si="0">MIN(D9:D104)</f>
        <v>9.6300000000000008</v>
      </c>
      <c r="E106" s="67">
        <f t="shared" si="0"/>
        <v>3.62</v>
      </c>
      <c r="F106" s="67">
        <f t="shared" si="0"/>
        <v>2.5499999999999998</v>
      </c>
      <c r="G106" s="67">
        <f t="shared" si="0"/>
        <v>0</v>
      </c>
      <c r="H106" s="67">
        <f t="shared" si="0"/>
        <v>0.48</v>
      </c>
      <c r="I106" s="67">
        <f t="shared" si="0"/>
        <v>0.69</v>
      </c>
      <c r="J106" s="67">
        <f t="shared" si="0"/>
        <v>0</v>
      </c>
      <c r="K106" s="67">
        <f t="shared" si="0"/>
        <v>6.12</v>
      </c>
      <c r="L106" s="67">
        <f t="shared" si="0"/>
        <v>21.62</v>
      </c>
      <c r="M106" s="67">
        <f t="shared" si="0"/>
        <v>85.66</v>
      </c>
      <c r="N106" s="67">
        <f t="shared" si="0"/>
        <v>26.9</v>
      </c>
      <c r="O106" s="67">
        <f t="shared" si="0"/>
        <v>0</v>
      </c>
      <c r="P106" s="67">
        <f t="shared" si="0"/>
        <v>0.15</v>
      </c>
      <c r="Q106" s="67">
        <f t="shared" si="0"/>
        <v>9.44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32.65</v>
      </c>
      <c r="C107" s="66">
        <f t="shared" ref="C107:Q107" si="1">MAX(C9:C104)</f>
        <v>29.11</v>
      </c>
      <c r="D107" s="66">
        <f t="shared" si="1"/>
        <v>38.03</v>
      </c>
      <c r="E107" s="66">
        <f t="shared" si="1"/>
        <v>5.31</v>
      </c>
      <c r="F107" s="66">
        <f t="shared" si="1"/>
        <v>19.399999999999999</v>
      </c>
      <c r="G107" s="66">
        <f t="shared" si="1"/>
        <v>99.13</v>
      </c>
      <c r="H107" s="66">
        <f t="shared" si="1"/>
        <v>51.26</v>
      </c>
      <c r="I107" s="66">
        <f t="shared" si="1"/>
        <v>2.66</v>
      </c>
      <c r="J107" s="66">
        <f t="shared" si="1"/>
        <v>0.87</v>
      </c>
      <c r="K107" s="66">
        <f t="shared" si="1"/>
        <v>353.49</v>
      </c>
      <c r="L107" s="66">
        <f t="shared" si="1"/>
        <v>29.34</v>
      </c>
      <c r="M107" s="66">
        <f t="shared" si="1"/>
        <v>98.83</v>
      </c>
      <c r="N107" s="66">
        <f t="shared" si="1"/>
        <v>421.6</v>
      </c>
      <c r="O107" s="66">
        <f t="shared" si="1"/>
        <v>0.4</v>
      </c>
      <c r="P107" s="66">
        <f t="shared" si="1"/>
        <v>2.16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11.655520833333336</v>
      </c>
      <c r="C108" s="67">
        <f t="shared" ref="C108:Q108" si="2">AVERAGE(C9:C104)</f>
        <v>11.785312500000003</v>
      </c>
      <c r="D108" s="67">
        <f t="shared" si="2"/>
        <v>15.504062499999996</v>
      </c>
      <c r="E108" s="67">
        <f t="shared" si="2"/>
        <v>4.42552083333333</v>
      </c>
      <c r="F108" s="67">
        <f t="shared" si="2"/>
        <v>7.7119791666666666</v>
      </c>
      <c r="G108" s="67">
        <f t="shared" si="2"/>
        <v>34.90774193548387</v>
      </c>
      <c r="H108" s="67">
        <f t="shared" si="2"/>
        <v>14.223404255319149</v>
      </c>
      <c r="I108" s="67">
        <f t="shared" si="2"/>
        <v>1.3229166666666667</v>
      </c>
      <c r="J108" s="67">
        <f t="shared" si="2"/>
        <v>0.21624999999999994</v>
      </c>
      <c r="K108" s="67">
        <f t="shared" si="2"/>
        <v>219.5292708333333</v>
      </c>
      <c r="L108" s="67">
        <f t="shared" si="2"/>
        <v>24.685520833333328</v>
      </c>
      <c r="M108" s="67">
        <f t="shared" si="2"/>
        <v>96.861666666666665</v>
      </c>
      <c r="N108" s="67">
        <f t="shared" si="2"/>
        <v>110.03333333333329</v>
      </c>
      <c r="O108" s="67">
        <f t="shared" si="2"/>
        <v>4.1666666666666666E-3</v>
      </c>
      <c r="P108" s="67">
        <f t="shared" si="2"/>
        <v>0.59739583333333346</v>
      </c>
      <c r="Q108" s="67">
        <f t="shared" si="2"/>
        <v>9.5966666666666605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5.8121120121403864</v>
      </c>
      <c r="C109" s="67">
        <f t="shared" ref="C109:Q109" si="3">STDEV(C9:C104)</f>
        <v>5.7349603684447086</v>
      </c>
      <c r="D109" s="67">
        <f t="shared" si="3"/>
        <v>6.6833623082563243</v>
      </c>
      <c r="E109" s="67">
        <f t="shared" si="3"/>
        <v>0.4386243322303966</v>
      </c>
      <c r="F109" s="67">
        <f t="shared" si="3"/>
        <v>4.1876720375762755</v>
      </c>
      <c r="G109" s="67">
        <f t="shared" si="3"/>
        <v>29.004865076510718</v>
      </c>
      <c r="H109" s="67">
        <f t="shared" si="3"/>
        <v>13.796876974376064</v>
      </c>
      <c r="I109" s="67">
        <f t="shared" si="3"/>
        <v>0.4435951607791353</v>
      </c>
      <c r="J109" s="67">
        <f t="shared" si="3"/>
        <v>0.16888021291965941</v>
      </c>
      <c r="K109" s="67">
        <f t="shared" si="3"/>
        <v>96.317304705740781</v>
      </c>
      <c r="L109" s="67">
        <f t="shared" si="3"/>
        <v>2.5520839244539948</v>
      </c>
      <c r="M109" s="67">
        <f t="shared" si="3"/>
        <v>3.5089823586023403</v>
      </c>
      <c r="N109" s="67">
        <f t="shared" si="3"/>
        <v>111.5521767620465</v>
      </c>
      <c r="O109" s="67">
        <f t="shared" si="3"/>
        <v>4.0824829046386304E-2</v>
      </c>
      <c r="P109" s="67">
        <f t="shared" si="3"/>
        <v>0.45363849458784866</v>
      </c>
      <c r="Q109" s="67">
        <f t="shared" si="3"/>
        <v>6.141603882180479E-2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COUNT(H9:H104)+49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532</v>
      </c>
      <c r="B9" s="64">
        <v>11.34</v>
      </c>
      <c r="C9" s="64">
        <v>9.1999999999999993</v>
      </c>
      <c r="D9" s="64">
        <v>13.9</v>
      </c>
      <c r="E9" s="64">
        <v>3.97</v>
      </c>
      <c r="F9" s="64">
        <v>3.56</v>
      </c>
      <c r="G9" s="64">
        <v>44.98</v>
      </c>
      <c r="H9" s="64">
        <v>7.43</v>
      </c>
      <c r="I9" s="64">
        <v>1.83</v>
      </c>
      <c r="J9" s="64">
        <v>0.13</v>
      </c>
      <c r="K9" s="64">
        <v>317.95999999999998</v>
      </c>
      <c r="L9" s="64">
        <v>22.88</v>
      </c>
      <c r="M9" s="64">
        <v>98.35</v>
      </c>
      <c r="N9" s="64">
        <v>27.6</v>
      </c>
      <c r="O9" s="64">
        <v>0</v>
      </c>
      <c r="P9" s="64">
        <v>0.73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4" t="s">
        <v>533</v>
      </c>
      <c r="B10" s="64">
        <v>9.85</v>
      </c>
      <c r="C10" s="64">
        <v>7.78</v>
      </c>
      <c r="D10" s="64">
        <v>11.97</v>
      </c>
      <c r="E10" s="64">
        <v>3.98</v>
      </c>
      <c r="F10" s="64">
        <v>4.7699999999999996</v>
      </c>
      <c r="G10" s="64">
        <v>44.98</v>
      </c>
      <c r="H10" s="64">
        <v>7.43</v>
      </c>
      <c r="I10" s="64">
        <v>1.85</v>
      </c>
      <c r="J10" s="64">
        <v>0.03</v>
      </c>
      <c r="K10" s="64">
        <v>320.76</v>
      </c>
      <c r="L10" s="64">
        <v>22.77</v>
      </c>
      <c r="M10" s="64">
        <v>98.36</v>
      </c>
      <c r="N10" s="64">
        <v>27.6</v>
      </c>
      <c r="O10" s="64">
        <v>0</v>
      </c>
      <c r="P10" s="64">
        <v>0.67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4" t="s">
        <v>534</v>
      </c>
      <c r="B11" s="64">
        <v>9.52</v>
      </c>
      <c r="C11" s="64">
        <v>8.4700000000000006</v>
      </c>
      <c r="D11" s="64">
        <v>12.06</v>
      </c>
      <c r="E11" s="64">
        <v>3.97</v>
      </c>
      <c r="F11" s="64">
        <v>4.4000000000000004</v>
      </c>
      <c r="G11" s="64">
        <v>43.5</v>
      </c>
      <c r="H11" s="64">
        <v>7.48</v>
      </c>
      <c r="I11" s="64">
        <v>1.85</v>
      </c>
      <c r="J11" s="64">
        <v>7.0000000000000007E-2</v>
      </c>
      <c r="K11" s="64">
        <v>207.22</v>
      </c>
      <c r="L11" s="64">
        <v>22.72</v>
      </c>
      <c r="M11" s="64">
        <v>98.37</v>
      </c>
      <c r="N11" s="64">
        <v>27.6</v>
      </c>
      <c r="O11" s="64">
        <v>0</v>
      </c>
      <c r="P11" s="64">
        <v>0.72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4" t="s">
        <v>535</v>
      </c>
      <c r="B12" s="64">
        <v>8.0399999999999991</v>
      </c>
      <c r="C12" s="64">
        <v>9.73</v>
      </c>
      <c r="D12" s="64">
        <v>11.54</v>
      </c>
      <c r="E12" s="64">
        <v>3.84</v>
      </c>
      <c r="F12" s="64">
        <v>4.9400000000000004</v>
      </c>
      <c r="G12" s="64">
        <v>36.1</v>
      </c>
      <c r="H12" s="64">
        <v>7.67</v>
      </c>
      <c r="I12" s="64">
        <v>1.84</v>
      </c>
      <c r="J12" s="64">
        <v>0</v>
      </c>
      <c r="K12" s="64">
        <v>181.61</v>
      </c>
      <c r="L12" s="64">
        <v>22.72</v>
      </c>
      <c r="M12" s="64">
        <v>98.35</v>
      </c>
      <c r="N12" s="64">
        <v>27.6</v>
      </c>
      <c r="O12" s="64">
        <v>0</v>
      </c>
      <c r="P12" s="64">
        <v>0.66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536</v>
      </c>
      <c r="B13" s="64">
        <v>9.2200000000000006</v>
      </c>
      <c r="C13" s="64">
        <v>7.42</v>
      </c>
      <c r="D13" s="64">
        <v>11.27</v>
      </c>
      <c r="E13" s="64">
        <v>4.0199999999999996</v>
      </c>
      <c r="F13" s="64">
        <v>4.55</v>
      </c>
      <c r="G13" s="64">
        <v>36.1</v>
      </c>
      <c r="H13" s="64">
        <v>7.67</v>
      </c>
      <c r="I13" s="64">
        <v>1.84</v>
      </c>
      <c r="J13" s="64">
        <v>0.04</v>
      </c>
      <c r="K13" s="64">
        <v>186.26</v>
      </c>
      <c r="L13" s="64">
        <v>22.8</v>
      </c>
      <c r="M13" s="64">
        <v>98.37</v>
      </c>
      <c r="N13" s="64">
        <v>27.5</v>
      </c>
      <c r="O13" s="64">
        <v>0</v>
      </c>
      <c r="P13" s="64">
        <v>0.55000000000000004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4" t="s">
        <v>537</v>
      </c>
      <c r="B14" s="64">
        <v>8.6999999999999993</v>
      </c>
      <c r="C14" s="64">
        <v>7.03</v>
      </c>
      <c r="D14" s="64">
        <v>10.65</v>
      </c>
      <c r="E14" s="64">
        <v>4.07</v>
      </c>
      <c r="F14" s="64">
        <v>5.0599999999999996</v>
      </c>
      <c r="G14" s="64">
        <v>36.1</v>
      </c>
      <c r="H14" s="64">
        <v>7.67</v>
      </c>
      <c r="I14" s="64">
        <v>1.86</v>
      </c>
      <c r="J14" s="64">
        <v>0.01</v>
      </c>
      <c r="K14" s="64">
        <v>179.81</v>
      </c>
      <c r="L14" s="64">
        <v>22.89</v>
      </c>
      <c r="M14" s="64">
        <v>98.37</v>
      </c>
      <c r="N14" s="64">
        <v>27.6</v>
      </c>
      <c r="O14" s="64">
        <v>0</v>
      </c>
      <c r="P14" s="64">
        <v>0.56999999999999995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4" t="s">
        <v>538</v>
      </c>
      <c r="B15" s="64">
        <v>10.050000000000001</v>
      </c>
      <c r="C15" s="64">
        <v>7.04</v>
      </c>
      <c r="D15" s="64">
        <v>11.73</v>
      </c>
      <c r="E15" s="64">
        <v>4.0999999999999996</v>
      </c>
      <c r="F15" s="64">
        <v>7</v>
      </c>
      <c r="G15" s="64">
        <v>34.46</v>
      </c>
      <c r="H15" s="64">
        <v>7.45</v>
      </c>
      <c r="I15" s="64">
        <v>1.86</v>
      </c>
      <c r="J15" s="64">
        <v>0.03</v>
      </c>
      <c r="K15" s="64">
        <v>242.92</v>
      </c>
      <c r="L15" s="64">
        <v>22.92</v>
      </c>
      <c r="M15" s="64">
        <v>98.37</v>
      </c>
      <c r="N15" s="64">
        <v>27.6</v>
      </c>
      <c r="O15" s="64">
        <v>0</v>
      </c>
      <c r="P15" s="64">
        <v>0.44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4" t="s">
        <v>539</v>
      </c>
      <c r="B16" s="64">
        <v>8.33</v>
      </c>
      <c r="C16" s="64">
        <v>6.62</v>
      </c>
      <c r="D16" s="64">
        <v>10.14</v>
      </c>
      <c r="E16" s="64">
        <v>4.21</v>
      </c>
      <c r="F16" s="64">
        <v>7.85</v>
      </c>
      <c r="G16" s="64">
        <v>26.24</v>
      </c>
      <c r="H16" s="64">
        <v>6.2</v>
      </c>
      <c r="I16" s="64">
        <v>1.84</v>
      </c>
      <c r="J16" s="64">
        <v>0.03</v>
      </c>
      <c r="K16" s="64">
        <v>286.27</v>
      </c>
      <c r="L16" s="64">
        <v>22.91</v>
      </c>
      <c r="M16" s="64">
        <v>98.36</v>
      </c>
      <c r="N16" s="64">
        <v>27.6</v>
      </c>
      <c r="O16" s="64">
        <v>0</v>
      </c>
      <c r="P16" s="64">
        <v>0.41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4" t="s">
        <v>540</v>
      </c>
      <c r="B17" s="64">
        <v>7.59</v>
      </c>
      <c r="C17" s="64">
        <v>6.22</v>
      </c>
      <c r="D17" s="64">
        <v>9.33</v>
      </c>
      <c r="E17" s="64">
        <v>4.1100000000000003</v>
      </c>
      <c r="F17" s="64">
        <v>6.41</v>
      </c>
      <c r="G17" s="64">
        <v>26.24</v>
      </c>
      <c r="H17" s="64">
        <v>6.2</v>
      </c>
      <c r="I17" s="64">
        <v>1.82</v>
      </c>
      <c r="J17" s="64">
        <v>0.05</v>
      </c>
      <c r="K17" s="64">
        <v>224.99</v>
      </c>
      <c r="L17" s="64">
        <v>22.84</v>
      </c>
      <c r="M17" s="64">
        <v>98.37</v>
      </c>
      <c r="N17" s="64">
        <v>27.6</v>
      </c>
      <c r="O17" s="64">
        <v>0</v>
      </c>
      <c r="P17" s="64">
        <v>0.41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4" t="s">
        <v>541</v>
      </c>
      <c r="B18" s="64">
        <v>7.98</v>
      </c>
      <c r="C18" s="64">
        <v>5.88</v>
      </c>
      <c r="D18" s="64">
        <v>9.48</v>
      </c>
      <c r="E18" s="64">
        <v>3.94</v>
      </c>
      <c r="F18" s="64">
        <v>6.94</v>
      </c>
      <c r="G18" s="64">
        <v>26.24</v>
      </c>
      <c r="H18" s="64">
        <v>6.2</v>
      </c>
      <c r="I18" s="64">
        <v>1.79</v>
      </c>
      <c r="J18" s="64">
        <v>0.05</v>
      </c>
      <c r="K18" s="64">
        <v>306.73</v>
      </c>
      <c r="L18" s="64">
        <v>22.82</v>
      </c>
      <c r="M18" s="64">
        <v>98.38</v>
      </c>
      <c r="N18" s="64">
        <v>27.6</v>
      </c>
      <c r="O18" s="64">
        <v>0</v>
      </c>
      <c r="P18" s="64">
        <v>0.41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4" t="s">
        <v>542</v>
      </c>
      <c r="B19" s="64">
        <v>8.0500000000000007</v>
      </c>
      <c r="C19" s="64">
        <v>5.81</v>
      </c>
      <c r="D19" s="64">
        <v>9.5</v>
      </c>
      <c r="E19" s="64">
        <v>4.33</v>
      </c>
      <c r="F19" s="64">
        <v>6.79</v>
      </c>
      <c r="G19" s="64">
        <v>24.77</v>
      </c>
      <c r="H19" s="64">
        <v>7.17</v>
      </c>
      <c r="I19" s="64">
        <v>1.76</v>
      </c>
      <c r="J19" s="64">
        <v>0.06</v>
      </c>
      <c r="K19" s="64">
        <v>324.58999999999997</v>
      </c>
      <c r="L19" s="64">
        <v>22.79</v>
      </c>
      <c r="M19" s="64">
        <v>98.38</v>
      </c>
      <c r="N19" s="64">
        <v>27.6</v>
      </c>
      <c r="O19" s="64">
        <v>0</v>
      </c>
      <c r="P19" s="64">
        <v>0.44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543</v>
      </c>
      <c r="B20" s="64">
        <v>7.96</v>
      </c>
      <c r="C20" s="64">
        <v>5.79</v>
      </c>
      <c r="D20" s="64">
        <v>9.41</v>
      </c>
      <c r="E20" s="64">
        <v>4.08</v>
      </c>
      <c r="F20" s="64">
        <v>6.63</v>
      </c>
      <c r="G20" s="64">
        <v>17.41</v>
      </c>
      <c r="H20" s="64">
        <v>10.94</v>
      </c>
      <c r="I20" s="64">
        <v>1.72</v>
      </c>
      <c r="J20" s="64">
        <v>0.06</v>
      </c>
      <c r="K20" s="64">
        <v>301.61</v>
      </c>
      <c r="L20" s="64">
        <v>22.82</v>
      </c>
      <c r="M20" s="64">
        <v>98.38</v>
      </c>
      <c r="N20" s="64">
        <v>27.6</v>
      </c>
      <c r="O20" s="64">
        <v>0</v>
      </c>
      <c r="P20" s="64">
        <v>0.39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544</v>
      </c>
      <c r="B21" s="64">
        <v>8.5</v>
      </c>
      <c r="C21" s="64">
        <v>5.3</v>
      </c>
      <c r="D21" s="64">
        <v>9.59</v>
      </c>
      <c r="E21" s="64">
        <v>4.21</v>
      </c>
      <c r="F21" s="64">
        <v>5.68</v>
      </c>
      <c r="G21" s="64">
        <v>17.41</v>
      </c>
      <c r="H21" s="64">
        <v>10.94</v>
      </c>
      <c r="I21" s="64">
        <v>1.68</v>
      </c>
      <c r="J21" s="64">
        <v>0.04</v>
      </c>
      <c r="K21" s="64">
        <v>315.35000000000002</v>
      </c>
      <c r="L21" s="64">
        <v>22.8</v>
      </c>
      <c r="M21" s="64">
        <v>98.38</v>
      </c>
      <c r="N21" s="64">
        <v>27.6</v>
      </c>
      <c r="O21" s="64">
        <v>0</v>
      </c>
      <c r="P21" s="64">
        <v>0.39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545</v>
      </c>
      <c r="B22" s="64">
        <v>9.08</v>
      </c>
      <c r="C22" s="64">
        <v>5.2</v>
      </c>
      <c r="D22" s="64">
        <v>9.99</v>
      </c>
      <c r="E22" s="64">
        <v>4.3099999999999996</v>
      </c>
      <c r="F22" s="64">
        <v>4.2</v>
      </c>
      <c r="G22" s="64">
        <v>17.41</v>
      </c>
      <c r="H22" s="64">
        <v>10.94</v>
      </c>
      <c r="I22" s="64">
        <v>1.64</v>
      </c>
      <c r="J22" s="64">
        <v>0.06</v>
      </c>
      <c r="K22" s="64">
        <v>323.94</v>
      </c>
      <c r="L22" s="64">
        <v>22.83</v>
      </c>
      <c r="M22" s="64">
        <v>98.38</v>
      </c>
      <c r="N22" s="64">
        <v>27.6</v>
      </c>
      <c r="O22" s="64">
        <v>0</v>
      </c>
      <c r="P22" s="64">
        <v>0.49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4" t="s">
        <v>546</v>
      </c>
      <c r="B23" s="64">
        <v>9.4700000000000006</v>
      </c>
      <c r="C23" s="64">
        <v>5.38</v>
      </c>
      <c r="D23" s="64">
        <v>10.4</v>
      </c>
      <c r="E23" s="64">
        <v>4.32</v>
      </c>
      <c r="F23" s="64">
        <v>3.71</v>
      </c>
      <c r="G23" s="64">
        <v>16.5</v>
      </c>
      <c r="H23" s="64">
        <v>10.41</v>
      </c>
      <c r="I23" s="64">
        <v>1.61</v>
      </c>
      <c r="J23" s="64">
        <v>0.09</v>
      </c>
      <c r="K23" s="64">
        <v>326.08999999999997</v>
      </c>
      <c r="L23" s="64">
        <v>22.83</v>
      </c>
      <c r="M23" s="64">
        <v>98.39</v>
      </c>
      <c r="N23" s="64">
        <v>27.6</v>
      </c>
      <c r="O23" s="64">
        <v>0</v>
      </c>
      <c r="P23" s="64">
        <v>0.47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4" t="s">
        <v>547</v>
      </c>
      <c r="B24" s="64">
        <v>9.59</v>
      </c>
      <c r="C24" s="64">
        <v>5.49</v>
      </c>
      <c r="D24" s="64">
        <v>10.56</v>
      </c>
      <c r="E24" s="64">
        <v>4.05</v>
      </c>
      <c r="F24" s="64">
        <v>3.38</v>
      </c>
      <c r="G24" s="64">
        <v>11.98</v>
      </c>
      <c r="H24" s="64">
        <v>8.33</v>
      </c>
      <c r="I24" s="64">
        <v>1.56</v>
      </c>
      <c r="J24" s="64">
        <v>0.09</v>
      </c>
      <c r="K24" s="64">
        <v>320.89999999999998</v>
      </c>
      <c r="L24" s="64">
        <v>22.88</v>
      </c>
      <c r="M24" s="64">
        <v>98.38</v>
      </c>
      <c r="N24" s="64">
        <v>27.6</v>
      </c>
      <c r="O24" s="64">
        <v>0</v>
      </c>
      <c r="P24" s="64">
        <v>0.47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4" t="s">
        <v>548</v>
      </c>
      <c r="B25" s="64">
        <v>9.07</v>
      </c>
      <c r="C25" s="64">
        <v>5.98</v>
      </c>
      <c r="D25" s="64">
        <v>10.4</v>
      </c>
      <c r="E25" s="64">
        <v>3.81</v>
      </c>
      <c r="F25" s="64">
        <v>4.87</v>
      </c>
      <c r="G25" s="64">
        <v>11.98</v>
      </c>
      <c r="H25" s="64">
        <v>8.33</v>
      </c>
      <c r="I25" s="64">
        <v>1.51</v>
      </c>
      <c r="J25" s="64">
        <v>0.04</v>
      </c>
      <c r="K25" s="64">
        <v>327.20999999999998</v>
      </c>
      <c r="L25" s="64">
        <v>22.87</v>
      </c>
      <c r="M25" s="64">
        <v>98.38</v>
      </c>
      <c r="N25" s="64">
        <v>27.6</v>
      </c>
      <c r="O25" s="64">
        <v>0</v>
      </c>
      <c r="P25" s="64">
        <v>0.41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4" t="s">
        <v>549</v>
      </c>
      <c r="B26" s="64">
        <v>9.08</v>
      </c>
      <c r="C26" s="64">
        <v>5.77</v>
      </c>
      <c r="D26" s="64">
        <v>10.29</v>
      </c>
      <c r="E26" s="64">
        <v>3.91</v>
      </c>
      <c r="F26" s="64">
        <v>4.71</v>
      </c>
      <c r="G26" s="64">
        <v>11.98</v>
      </c>
      <c r="H26" s="64">
        <v>8.33</v>
      </c>
      <c r="I26" s="64">
        <v>1.48</v>
      </c>
      <c r="J26" s="64">
        <v>0.05</v>
      </c>
      <c r="K26" s="64">
        <v>297.18</v>
      </c>
      <c r="L26" s="64">
        <v>22.86</v>
      </c>
      <c r="M26" s="64">
        <v>98.38</v>
      </c>
      <c r="N26" s="64">
        <v>27.6</v>
      </c>
      <c r="O26" s="64">
        <v>0</v>
      </c>
      <c r="P26" s="64">
        <v>0.4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4" t="s">
        <v>550</v>
      </c>
      <c r="B27" s="64">
        <v>8.91</v>
      </c>
      <c r="C27" s="64">
        <v>5.87</v>
      </c>
      <c r="D27" s="64">
        <v>10.220000000000001</v>
      </c>
      <c r="E27" s="64">
        <v>3.95</v>
      </c>
      <c r="F27" s="64">
        <v>4.42</v>
      </c>
      <c r="G27" s="64">
        <v>12.58</v>
      </c>
      <c r="H27" s="64">
        <v>8.11</v>
      </c>
      <c r="I27" s="64">
        <v>1.44</v>
      </c>
      <c r="J27" s="64">
        <v>0.03</v>
      </c>
      <c r="K27" s="64">
        <v>295.77</v>
      </c>
      <c r="L27" s="64">
        <v>22.89</v>
      </c>
      <c r="M27" s="64">
        <v>98.39</v>
      </c>
      <c r="N27" s="64">
        <v>27.6</v>
      </c>
      <c r="O27" s="64">
        <v>0</v>
      </c>
      <c r="P27" s="64">
        <v>0.4</v>
      </c>
      <c r="Q27" s="64">
        <v>9.59</v>
      </c>
      <c r="R27" s="198"/>
      <c r="S27" s="198"/>
      <c r="T27" s="198"/>
      <c r="U27" s="198"/>
    </row>
    <row r="28" spans="1:21" s="12" customFormat="1" x14ac:dyDescent="0.25">
      <c r="A28" s="214" t="s">
        <v>551</v>
      </c>
      <c r="B28" s="64">
        <v>8.34</v>
      </c>
      <c r="C28" s="64">
        <v>6.15</v>
      </c>
      <c r="D28" s="64">
        <v>9.9</v>
      </c>
      <c r="E28" s="64">
        <v>4.03</v>
      </c>
      <c r="F28" s="64">
        <v>4.4000000000000004</v>
      </c>
      <c r="G28" s="64">
        <v>15.62</v>
      </c>
      <c r="H28" s="64">
        <v>7.23</v>
      </c>
      <c r="I28" s="64">
        <v>1.41</v>
      </c>
      <c r="J28" s="64">
        <v>0.03</v>
      </c>
      <c r="K28" s="64">
        <v>222.53</v>
      </c>
      <c r="L28" s="64">
        <v>22.89</v>
      </c>
      <c r="M28" s="64">
        <v>98.4</v>
      </c>
      <c r="N28" s="64">
        <v>27.6</v>
      </c>
      <c r="O28" s="64">
        <v>0</v>
      </c>
      <c r="P28" s="64">
        <v>0.36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4" t="s">
        <v>552</v>
      </c>
      <c r="B29" s="64">
        <v>8.85</v>
      </c>
      <c r="C29" s="64">
        <v>5.94</v>
      </c>
      <c r="D29" s="64">
        <v>10.210000000000001</v>
      </c>
      <c r="E29" s="64">
        <v>3.85</v>
      </c>
      <c r="F29" s="64">
        <v>3.68</v>
      </c>
      <c r="G29" s="64">
        <v>15.62</v>
      </c>
      <c r="H29" s="64">
        <v>7.23</v>
      </c>
      <c r="I29" s="64">
        <v>1.38</v>
      </c>
      <c r="J29" s="64">
        <v>0.04</v>
      </c>
      <c r="K29" s="64">
        <v>264.39</v>
      </c>
      <c r="L29" s="64">
        <v>22.91</v>
      </c>
      <c r="M29" s="64">
        <v>98.39</v>
      </c>
      <c r="N29" s="64">
        <v>27.6</v>
      </c>
      <c r="O29" s="64">
        <v>0</v>
      </c>
      <c r="P29" s="64">
        <v>0.36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4" t="s">
        <v>553</v>
      </c>
      <c r="B30" s="64">
        <v>8.93</v>
      </c>
      <c r="C30" s="64">
        <v>5.79</v>
      </c>
      <c r="D30" s="64">
        <v>10.19</v>
      </c>
      <c r="E30" s="64">
        <v>4</v>
      </c>
      <c r="F30" s="64">
        <v>3.57</v>
      </c>
      <c r="G30" s="64">
        <v>15.62</v>
      </c>
      <c r="H30" s="64">
        <v>7.23</v>
      </c>
      <c r="I30" s="64">
        <v>1.35</v>
      </c>
      <c r="J30" s="64">
        <v>0.02</v>
      </c>
      <c r="K30" s="64">
        <v>222.61</v>
      </c>
      <c r="L30" s="64">
        <v>22.88</v>
      </c>
      <c r="M30" s="64">
        <v>98.4</v>
      </c>
      <c r="N30" s="64">
        <v>27.6</v>
      </c>
      <c r="O30" s="64">
        <v>0</v>
      </c>
      <c r="P30" s="64">
        <v>0.37</v>
      </c>
      <c r="Q30" s="64">
        <v>9.58</v>
      </c>
      <c r="R30" s="198"/>
      <c r="S30" s="198"/>
      <c r="T30" s="198"/>
      <c r="U30" s="198"/>
    </row>
    <row r="31" spans="1:21" s="12" customFormat="1" x14ac:dyDescent="0.25">
      <c r="A31" s="214" t="s">
        <v>554</v>
      </c>
      <c r="B31" s="64">
        <v>8.61</v>
      </c>
      <c r="C31" s="64">
        <v>6.07</v>
      </c>
      <c r="D31" s="64">
        <v>10.07</v>
      </c>
      <c r="E31" s="64">
        <v>4.03</v>
      </c>
      <c r="F31" s="64">
        <v>4.43</v>
      </c>
      <c r="G31" s="64">
        <v>15.31</v>
      </c>
      <c r="H31" s="64">
        <v>6.91</v>
      </c>
      <c r="I31" s="64">
        <v>1.33</v>
      </c>
      <c r="J31" s="64">
        <v>0.04</v>
      </c>
      <c r="K31" s="64">
        <v>256.83999999999997</v>
      </c>
      <c r="L31" s="64">
        <v>22.94</v>
      </c>
      <c r="M31" s="64">
        <v>98.4</v>
      </c>
      <c r="N31" s="64">
        <v>27.9</v>
      </c>
      <c r="O31" s="64">
        <v>0</v>
      </c>
      <c r="P31" s="64">
        <v>0.35</v>
      </c>
      <c r="Q31" s="64">
        <v>9.58</v>
      </c>
      <c r="R31" s="198"/>
      <c r="S31" s="198"/>
      <c r="T31" s="198"/>
      <c r="U31" s="198"/>
    </row>
    <row r="32" spans="1:21" s="12" customFormat="1" x14ac:dyDescent="0.25">
      <c r="A32" s="214" t="s">
        <v>555</v>
      </c>
      <c r="B32" s="64">
        <v>8.64</v>
      </c>
      <c r="C32" s="64">
        <v>6.05</v>
      </c>
      <c r="D32" s="64">
        <v>10.09</v>
      </c>
      <c r="E32" s="64">
        <v>3.72</v>
      </c>
      <c r="F32" s="64">
        <v>4.3899999999999997</v>
      </c>
      <c r="G32" s="64">
        <v>13.76</v>
      </c>
      <c r="H32" s="64">
        <v>5.0599999999999996</v>
      </c>
      <c r="I32" s="64">
        <v>1.39</v>
      </c>
      <c r="J32" s="64">
        <v>0.05</v>
      </c>
      <c r="K32" s="64">
        <v>232.49</v>
      </c>
      <c r="L32" s="64">
        <v>22.94</v>
      </c>
      <c r="M32" s="64">
        <v>98.4</v>
      </c>
      <c r="N32" s="64">
        <v>29.1</v>
      </c>
      <c r="O32" s="64">
        <v>0</v>
      </c>
      <c r="P32" s="64">
        <v>0.31</v>
      </c>
      <c r="Q32" s="64">
        <v>9.58</v>
      </c>
      <c r="R32" s="198"/>
      <c r="S32" s="198"/>
      <c r="T32" s="198"/>
      <c r="U32" s="198"/>
    </row>
    <row r="33" spans="1:21" s="12" customFormat="1" x14ac:dyDescent="0.25">
      <c r="A33" s="214" t="s">
        <v>556</v>
      </c>
      <c r="B33" s="64">
        <v>8.75</v>
      </c>
      <c r="C33" s="64">
        <v>6.66</v>
      </c>
      <c r="D33" s="64">
        <v>10.5</v>
      </c>
      <c r="E33" s="64">
        <v>4.04</v>
      </c>
      <c r="F33" s="64">
        <v>5.34</v>
      </c>
      <c r="G33" s="64">
        <v>13.76</v>
      </c>
      <c r="H33" s="64">
        <v>5.0599999999999996</v>
      </c>
      <c r="I33" s="64">
        <v>1.36</v>
      </c>
      <c r="J33" s="64">
        <v>0.06</v>
      </c>
      <c r="K33" s="64">
        <v>296.91000000000003</v>
      </c>
      <c r="L33" s="64">
        <v>22.96</v>
      </c>
      <c r="M33" s="64">
        <v>98.4</v>
      </c>
      <c r="N33" s="64">
        <v>32.200000000000003</v>
      </c>
      <c r="O33" s="64">
        <v>0</v>
      </c>
      <c r="P33" s="64">
        <v>0.31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4" t="s">
        <v>557</v>
      </c>
      <c r="B34" s="64">
        <v>8.64</v>
      </c>
      <c r="C34" s="64">
        <v>7.3</v>
      </c>
      <c r="D34" s="64">
        <v>10.74</v>
      </c>
      <c r="E34" s="64">
        <v>3.82</v>
      </c>
      <c r="F34" s="64">
        <v>5.61</v>
      </c>
      <c r="G34" s="64">
        <v>13.76</v>
      </c>
      <c r="H34" s="64">
        <v>5.0599999999999996</v>
      </c>
      <c r="I34" s="64">
        <v>1.34</v>
      </c>
      <c r="J34" s="64">
        <v>0.03</v>
      </c>
      <c r="K34" s="64">
        <v>263.23</v>
      </c>
      <c r="L34" s="64">
        <v>22.94</v>
      </c>
      <c r="M34" s="64">
        <v>98.4</v>
      </c>
      <c r="N34" s="64">
        <v>38.6</v>
      </c>
      <c r="O34" s="64">
        <v>0</v>
      </c>
      <c r="P34" s="64">
        <v>0.28999999999999998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4" t="s">
        <v>558</v>
      </c>
      <c r="B35" s="64">
        <v>8.24</v>
      </c>
      <c r="C35" s="64">
        <v>6.89</v>
      </c>
      <c r="D35" s="64">
        <v>10.199999999999999</v>
      </c>
      <c r="E35" s="64">
        <v>3.87</v>
      </c>
      <c r="F35" s="64">
        <v>5.54</v>
      </c>
      <c r="G35" s="64">
        <v>13.15</v>
      </c>
      <c r="H35" s="64">
        <v>4.75</v>
      </c>
      <c r="I35" s="64">
        <v>1.39</v>
      </c>
      <c r="J35" s="64">
        <v>0.06</v>
      </c>
      <c r="K35" s="64">
        <v>264.31</v>
      </c>
      <c r="L35" s="64">
        <v>22.93</v>
      </c>
      <c r="M35" s="64">
        <v>98.4</v>
      </c>
      <c r="N35" s="64">
        <v>43.6</v>
      </c>
      <c r="O35" s="64">
        <v>0</v>
      </c>
      <c r="P35" s="64">
        <v>0.27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4" t="s">
        <v>559</v>
      </c>
      <c r="B36" s="64">
        <v>8.35</v>
      </c>
      <c r="C36" s="64">
        <v>6.75</v>
      </c>
      <c r="D36" s="64">
        <v>10.220000000000001</v>
      </c>
      <c r="E36" s="64">
        <v>3.84</v>
      </c>
      <c r="F36" s="64">
        <v>5.75</v>
      </c>
      <c r="G36" s="64">
        <v>10.119999999999999</v>
      </c>
      <c r="H36" s="64">
        <v>3.54</v>
      </c>
      <c r="I36" s="64">
        <v>1.38</v>
      </c>
      <c r="J36" s="64">
        <v>0.03</v>
      </c>
      <c r="K36" s="64">
        <v>248.82</v>
      </c>
      <c r="L36" s="64">
        <v>23</v>
      </c>
      <c r="M36" s="64">
        <v>98.4</v>
      </c>
      <c r="N36" s="64">
        <v>54.7</v>
      </c>
      <c r="O36" s="64">
        <v>0</v>
      </c>
      <c r="P36" s="64">
        <v>0.28999999999999998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14" t="s">
        <v>560</v>
      </c>
      <c r="B37" s="64">
        <v>8.26</v>
      </c>
      <c r="C37" s="64">
        <v>6.46</v>
      </c>
      <c r="D37" s="64">
        <v>10</v>
      </c>
      <c r="E37" s="64">
        <v>3.84</v>
      </c>
      <c r="F37" s="64">
        <v>5.74</v>
      </c>
      <c r="G37" s="64">
        <v>10.119999999999999</v>
      </c>
      <c r="H37" s="64">
        <v>3.54</v>
      </c>
      <c r="I37" s="64">
        <v>1.37</v>
      </c>
      <c r="J37" s="64">
        <v>0.01</v>
      </c>
      <c r="K37" s="64">
        <v>296.44</v>
      </c>
      <c r="L37" s="64">
        <v>23.09</v>
      </c>
      <c r="M37" s="64">
        <v>98.4</v>
      </c>
      <c r="N37" s="64">
        <v>53.2</v>
      </c>
      <c r="O37" s="64">
        <v>0</v>
      </c>
      <c r="P37" s="64">
        <v>0.32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4" t="s">
        <v>561</v>
      </c>
      <c r="B38" s="64">
        <v>8.32</v>
      </c>
      <c r="C38" s="64">
        <v>6.74</v>
      </c>
      <c r="D38" s="64">
        <v>10.199999999999999</v>
      </c>
      <c r="E38" s="64">
        <v>4.04</v>
      </c>
      <c r="F38" s="64">
        <v>5.79</v>
      </c>
      <c r="G38" s="64">
        <v>10.119999999999999</v>
      </c>
      <c r="H38" s="64">
        <v>3.54</v>
      </c>
      <c r="I38" s="64">
        <v>1.36</v>
      </c>
      <c r="J38" s="64">
        <v>0.03</v>
      </c>
      <c r="K38" s="64">
        <v>214.99</v>
      </c>
      <c r="L38" s="64">
        <v>23.14</v>
      </c>
      <c r="M38" s="64">
        <v>98.4</v>
      </c>
      <c r="N38" s="64">
        <v>63.4</v>
      </c>
      <c r="O38" s="64">
        <v>0</v>
      </c>
      <c r="P38" s="64">
        <v>0.33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4" t="s">
        <v>562</v>
      </c>
      <c r="B39" s="64">
        <v>9.19</v>
      </c>
      <c r="C39" s="64">
        <v>7</v>
      </c>
      <c r="D39" s="64">
        <v>11.03</v>
      </c>
      <c r="E39" s="64">
        <v>4</v>
      </c>
      <c r="F39" s="64">
        <v>5.05</v>
      </c>
      <c r="G39" s="64">
        <v>9.99</v>
      </c>
      <c r="H39" s="64">
        <v>3.33</v>
      </c>
      <c r="I39" s="64">
        <v>1.34</v>
      </c>
      <c r="J39" s="64">
        <v>0.05</v>
      </c>
      <c r="K39" s="64">
        <v>321.55</v>
      </c>
      <c r="L39" s="64">
        <v>23.31</v>
      </c>
      <c r="M39" s="64">
        <v>98.4</v>
      </c>
      <c r="N39" s="64">
        <v>94.6</v>
      </c>
      <c r="O39" s="64">
        <v>0</v>
      </c>
      <c r="P39" s="64">
        <v>0.35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4" t="s">
        <v>563</v>
      </c>
      <c r="B40" s="64">
        <v>9.84</v>
      </c>
      <c r="C40" s="64">
        <v>6</v>
      </c>
      <c r="D40" s="64">
        <v>11.03</v>
      </c>
      <c r="E40" s="64">
        <v>5.42</v>
      </c>
      <c r="F40" s="64">
        <v>4.7300000000000004</v>
      </c>
      <c r="G40" s="64">
        <v>9.36</v>
      </c>
      <c r="H40" s="64">
        <v>2.48</v>
      </c>
      <c r="I40" s="64">
        <v>1.33</v>
      </c>
      <c r="J40" s="64">
        <v>0.1</v>
      </c>
      <c r="K40" s="64">
        <v>301.94</v>
      </c>
      <c r="L40" s="64">
        <v>23.48</v>
      </c>
      <c r="M40" s="64">
        <v>98.4</v>
      </c>
      <c r="N40" s="64">
        <v>82.6</v>
      </c>
      <c r="O40" s="64">
        <v>0</v>
      </c>
      <c r="P40" s="64">
        <v>0.39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4" t="s">
        <v>564</v>
      </c>
      <c r="B41" s="64">
        <v>10.31</v>
      </c>
      <c r="C41" s="64">
        <v>5.57</v>
      </c>
      <c r="D41" s="64">
        <v>11.18</v>
      </c>
      <c r="E41" s="64">
        <v>5.08</v>
      </c>
      <c r="F41" s="64">
        <v>3.09</v>
      </c>
      <c r="G41" s="64">
        <v>9.36</v>
      </c>
      <c r="H41" s="64">
        <v>2.48</v>
      </c>
      <c r="I41" s="64">
        <v>1.31</v>
      </c>
      <c r="J41" s="64">
        <v>0.08</v>
      </c>
      <c r="K41" s="64">
        <v>292.60000000000002</v>
      </c>
      <c r="L41" s="64">
        <v>23.51</v>
      </c>
      <c r="M41" s="64">
        <v>98.4</v>
      </c>
      <c r="N41" s="64">
        <v>97.4</v>
      </c>
      <c r="O41" s="64">
        <v>0</v>
      </c>
      <c r="P41" s="64">
        <v>0.39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4" t="s">
        <v>565</v>
      </c>
      <c r="B42" s="64">
        <v>10.37</v>
      </c>
      <c r="C42" s="64">
        <v>5.44</v>
      </c>
      <c r="D42" s="64">
        <v>11.16</v>
      </c>
      <c r="E42" s="64">
        <v>5.18</v>
      </c>
      <c r="F42" s="64">
        <v>3.05</v>
      </c>
      <c r="G42" s="64">
        <v>9.36</v>
      </c>
      <c r="H42" s="64">
        <v>2.48</v>
      </c>
      <c r="I42" s="64">
        <v>1.28</v>
      </c>
      <c r="J42" s="64">
        <v>0.16</v>
      </c>
      <c r="K42" s="64">
        <v>300.54000000000002</v>
      </c>
      <c r="L42" s="64">
        <v>23.69</v>
      </c>
      <c r="M42" s="64">
        <v>98.38</v>
      </c>
      <c r="N42" s="64">
        <v>138.1</v>
      </c>
      <c r="O42" s="64">
        <v>0</v>
      </c>
      <c r="P42" s="64">
        <v>0.4</v>
      </c>
      <c r="Q42" s="64">
        <v>9.6</v>
      </c>
      <c r="R42" s="198"/>
      <c r="S42" s="198"/>
      <c r="T42" s="198"/>
      <c r="U42" s="198"/>
    </row>
    <row r="43" spans="1:21" s="12" customFormat="1" x14ac:dyDescent="0.25">
      <c r="A43" s="214" t="s">
        <v>566</v>
      </c>
      <c r="B43" s="64">
        <v>10.25</v>
      </c>
      <c r="C43" s="64">
        <v>5.64</v>
      </c>
      <c r="D43" s="64">
        <v>11.16</v>
      </c>
      <c r="E43" s="64">
        <v>5.19</v>
      </c>
      <c r="F43" s="64">
        <v>3</v>
      </c>
      <c r="G43" s="64">
        <v>10.19</v>
      </c>
      <c r="H43" s="64">
        <v>2.34</v>
      </c>
      <c r="I43" s="64">
        <v>1.25</v>
      </c>
      <c r="J43" s="64">
        <v>0.12</v>
      </c>
      <c r="K43" s="64">
        <v>307.75</v>
      </c>
      <c r="L43" s="64">
        <v>23.81</v>
      </c>
      <c r="M43" s="64">
        <v>98.36</v>
      </c>
      <c r="N43" s="64">
        <v>149.9</v>
      </c>
      <c r="O43" s="64">
        <v>0</v>
      </c>
      <c r="P43" s="64">
        <v>0.39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4" t="s">
        <v>567</v>
      </c>
      <c r="B44" s="64">
        <v>9.83</v>
      </c>
      <c r="C44" s="64">
        <v>6.12</v>
      </c>
      <c r="D44" s="64">
        <v>11.08</v>
      </c>
      <c r="E44" s="64">
        <v>4.9400000000000004</v>
      </c>
      <c r="F44" s="64">
        <v>3.51</v>
      </c>
      <c r="G44" s="64">
        <v>14.33</v>
      </c>
      <c r="H44" s="64">
        <v>1.79</v>
      </c>
      <c r="I44" s="64">
        <v>1.23</v>
      </c>
      <c r="J44" s="64">
        <v>0.11</v>
      </c>
      <c r="K44" s="64">
        <v>290.70999999999998</v>
      </c>
      <c r="L44" s="64">
        <v>23.99</v>
      </c>
      <c r="M44" s="64">
        <v>98.35</v>
      </c>
      <c r="N44" s="64">
        <v>162.19999999999999</v>
      </c>
      <c r="O44" s="64">
        <v>0</v>
      </c>
      <c r="P44" s="64">
        <v>0.37</v>
      </c>
      <c r="Q44" s="64">
        <v>9.59</v>
      </c>
      <c r="R44" s="198"/>
      <c r="S44" s="198"/>
      <c r="T44" s="198"/>
      <c r="U44" s="198"/>
    </row>
    <row r="45" spans="1:21" s="12" customFormat="1" x14ac:dyDescent="0.25">
      <c r="A45" s="214" t="s">
        <v>568</v>
      </c>
      <c r="B45" s="64">
        <v>9.9499999999999993</v>
      </c>
      <c r="C45" s="64">
        <v>6.59</v>
      </c>
      <c r="D45" s="64">
        <v>11.42</v>
      </c>
      <c r="E45" s="64">
        <v>4.8099999999999996</v>
      </c>
      <c r="F45" s="64">
        <v>3.67</v>
      </c>
      <c r="G45" s="64">
        <v>14.33</v>
      </c>
      <c r="H45" s="64">
        <v>1.79</v>
      </c>
      <c r="I45" s="64">
        <v>1.22</v>
      </c>
      <c r="J45" s="64">
        <v>0.06</v>
      </c>
      <c r="K45" s="64">
        <v>277.86</v>
      </c>
      <c r="L45" s="64">
        <v>24.12</v>
      </c>
      <c r="M45" s="64">
        <v>98.32</v>
      </c>
      <c r="N45" s="64">
        <v>159.9</v>
      </c>
      <c r="O45" s="64">
        <v>0</v>
      </c>
      <c r="P45" s="64">
        <v>0.36</v>
      </c>
      <c r="Q45" s="64">
        <v>9.59</v>
      </c>
      <c r="R45" s="198"/>
      <c r="S45" s="198"/>
      <c r="T45" s="198"/>
      <c r="U45" s="198"/>
    </row>
    <row r="46" spans="1:21" s="12" customFormat="1" x14ac:dyDescent="0.25">
      <c r="A46" s="214" t="s">
        <v>569</v>
      </c>
      <c r="B46" s="64">
        <v>9.5</v>
      </c>
      <c r="C46" s="64">
        <v>6.62</v>
      </c>
      <c r="D46" s="64">
        <v>11.07</v>
      </c>
      <c r="E46" s="64">
        <v>4.7699999999999996</v>
      </c>
      <c r="F46" s="64">
        <v>3.66</v>
      </c>
      <c r="G46" s="64">
        <v>14.33</v>
      </c>
      <c r="H46" s="64">
        <v>1.79</v>
      </c>
      <c r="I46" s="64">
        <v>1.2</v>
      </c>
      <c r="J46" s="64">
        <v>0.1</v>
      </c>
      <c r="K46" s="64">
        <v>318.14</v>
      </c>
      <c r="L46" s="64">
        <v>24.27</v>
      </c>
      <c r="M46" s="64">
        <v>98.31</v>
      </c>
      <c r="N46" s="64">
        <v>186.3</v>
      </c>
      <c r="O46" s="64">
        <v>0</v>
      </c>
      <c r="P46" s="64">
        <v>0.36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14" t="s">
        <v>570</v>
      </c>
      <c r="B47" s="64">
        <v>9.27</v>
      </c>
      <c r="C47" s="64">
        <v>6.28</v>
      </c>
      <c r="D47" s="64">
        <v>10.72</v>
      </c>
      <c r="E47" s="64">
        <v>4.8</v>
      </c>
      <c r="F47" s="64">
        <v>2.99</v>
      </c>
      <c r="G47" s="64">
        <v>13.68</v>
      </c>
      <c r="H47" s="64">
        <v>1.72</v>
      </c>
      <c r="I47" s="64">
        <v>1.1200000000000001</v>
      </c>
      <c r="J47" s="64">
        <v>0.06</v>
      </c>
      <c r="K47" s="64">
        <v>186.38</v>
      </c>
      <c r="L47" s="64">
        <v>24.32</v>
      </c>
      <c r="M47" s="64">
        <v>98.31</v>
      </c>
      <c r="N47" s="64">
        <v>165.8</v>
      </c>
      <c r="O47" s="64">
        <v>0</v>
      </c>
      <c r="P47" s="64">
        <v>0.36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14" t="s">
        <v>571</v>
      </c>
      <c r="B48" s="64">
        <v>9</v>
      </c>
      <c r="C48" s="64">
        <v>6.38</v>
      </c>
      <c r="D48" s="64">
        <v>10.56</v>
      </c>
      <c r="E48" s="64">
        <v>4.6900000000000004</v>
      </c>
      <c r="F48" s="64">
        <v>3.3</v>
      </c>
      <c r="G48" s="64">
        <v>10.47</v>
      </c>
      <c r="H48" s="64">
        <v>1.32</v>
      </c>
      <c r="I48" s="64">
        <v>1.1100000000000001</v>
      </c>
      <c r="J48" s="64">
        <v>0.1</v>
      </c>
      <c r="K48" s="64">
        <v>248.3</v>
      </c>
      <c r="L48" s="64">
        <v>24.52</v>
      </c>
      <c r="M48" s="64">
        <v>98.26</v>
      </c>
      <c r="N48" s="64">
        <v>290.5</v>
      </c>
      <c r="O48" s="64">
        <v>0</v>
      </c>
      <c r="P48" s="64">
        <v>0.36</v>
      </c>
      <c r="Q48" s="64">
        <v>9.56</v>
      </c>
      <c r="R48" s="198"/>
      <c r="S48" s="198"/>
      <c r="T48" s="198"/>
      <c r="U48" s="198"/>
    </row>
    <row r="49" spans="1:21" s="12" customFormat="1" x14ac:dyDescent="0.25">
      <c r="A49" s="214" t="s">
        <v>572</v>
      </c>
      <c r="B49" s="64">
        <v>8.82</v>
      </c>
      <c r="C49" s="64">
        <v>6.47</v>
      </c>
      <c r="D49" s="64">
        <v>10.45</v>
      </c>
      <c r="E49" s="64">
        <v>4.58</v>
      </c>
      <c r="F49" s="64">
        <v>2.76</v>
      </c>
      <c r="G49" s="64">
        <v>10.47</v>
      </c>
      <c r="H49" s="64">
        <v>1.32</v>
      </c>
      <c r="I49" s="64">
        <v>1.1599999999999999</v>
      </c>
      <c r="J49" s="64">
        <v>0.11</v>
      </c>
      <c r="K49" s="64">
        <v>287.37</v>
      </c>
      <c r="L49" s="64">
        <v>24.93</v>
      </c>
      <c r="M49" s="64">
        <v>98.05</v>
      </c>
      <c r="N49" s="64">
        <v>199.8</v>
      </c>
      <c r="O49" s="64">
        <v>0</v>
      </c>
      <c r="P49" s="64">
        <v>0.35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4" t="s">
        <v>573</v>
      </c>
      <c r="B50" s="64">
        <v>9.48</v>
      </c>
      <c r="C50" s="64">
        <v>7.52</v>
      </c>
      <c r="D50" s="64">
        <v>11.54</v>
      </c>
      <c r="E50" s="64">
        <v>4.87</v>
      </c>
      <c r="F50" s="64">
        <v>4.13</v>
      </c>
      <c r="G50" s="64">
        <v>10.47</v>
      </c>
      <c r="H50" s="64">
        <v>1.32</v>
      </c>
      <c r="I50" s="64">
        <v>1.1499999999999999</v>
      </c>
      <c r="J50" s="64">
        <v>0.1</v>
      </c>
      <c r="K50" s="64">
        <v>285.08</v>
      </c>
      <c r="L50" s="64">
        <v>25.03</v>
      </c>
      <c r="M50" s="64">
        <v>98.06</v>
      </c>
      <c r="N50" s="64">
        <v>223.9</v>
      </c>
      <c r="O50" s="64">
        <v>0</v>
      </c>
      <c r="P50" s="64">
        <v>0.34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14" t="s">
        <v>574</v>
      </c>
      <c r="B51" s="64">
        <v>8.16</v>
      </c>
      <c r="C51" s="64">
        <v>7.36</v>
      </c>
      <c r="D51" s="64">
        <v>10.38</v>
      </c>
      <c r="E51" s="64">
        <v>4.76</v>
      </c>
      <c r="F51" s="64">
        <v>5.36</v>
      </c>
      <c r="G51" s="64">
        <v>11.35</v>
      </c>
      <c r="H51" s="64">
        <v>2.21</v>
      </c>
      <c r="I51" s="64">
        <v>1.1200000000000001</v>
      </c>
      <c r="J51" s="64">
        <v>0.08</v>
      </c>
      <c r="K51" s="64">
        <v>200.09</v>
      </c>
      <c r="L51" s="64">
        <v>25.2</v>
      </c>
      <c r="M51" s="64">
        <v>98.05</v>
      </c>
      <c r="N51" s="64">
        <v>175.4</v>
      </c>
      <c r="O51" s="64">
        <v>0</v>
      </c>
      <c r="P51" s="64">
        <v>0.31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4" t="s">
        <v>575</v>
      </c>
      <c r="B52" s="64">
        <v>8.82</v>
      </c>
      <c r="C52" s="64">
        <v>7.32</v>
      </c>
      <c r="D52" s="64">
        <v>10.9</v>
      </c>
      <c r="E52" s="64">
        <v>4.66</v>
      </c>
      <c r="F52" s="64">
        <v>4.9400000000000004</v>
      </c>
      <c r="G52" s="64">
        <v>15.73</v>
      </c>
      <c r="H52" s="64">
        <v>5.69</v>
      </c>
      <c r="I52" s="64">
        <v>1.1100000000000001</v>
      </c>
      <c r="J52" s="64">
        <v>0.09</v>
      </c>
      <c r="K52" s="64">
        <v>206.72</v>
      </c>
      <c r="L52" s="64">
        <v>25.12</v>
      </c>
      <c r="M52" s="64">
        <v>98.05</v>
      </c>
      <c r="N52" s="64">
        <v>238.9</v>
      </c>
      <c r="O52" s="64">
        <v>0</v>
      </c>
      <c r="P52" s="64">
        <v>0.32</v>
      </c>
      <c r="Q52" s="64">
        <v>9.57</v>
      </c>
      <c r="R52" s="198"/>
      <c r="S52" s="198"/>
      <c r="T52" s="198"/>
      <c r="U52" s="198"/>
    </row>
    <row r="53" spans="1:21" s="12" customFormat="1" x14ac:dyDescent="0.25">
      <c r="A53" s="214" t="s">
        <v>576</v>
      </c>
      <c r="B53" s="64">
        <v>8.24</v>
      </c>
      <c r="C53" s="64">
        <v>7.23</v>
      </c>
      <c r="D53" s="64">
        <v>10.39</v>
      </c>
      <c r="E53" s="64">
        <v>4.76</v>
      </c>
      <c r="F53" s="64">
        <v>5.25</v>
      </c>
      <c r="G53" s="64">
        <v>15.73</v>
      </c>
      <c r="H53" s="64">
        <v>5.69</v>
      </c>
      <c r="I53" s="64">
        <v>1.1200000000000001</v>
      </c>
      <c r="J53" s="64">
        <v>0.12</v>
      </c>
      <c r="K53" s="64">
        <v>180.03</v>
      </c>
      <c r="L53" s="64">
        <v>25.85</v>
      </c>
      <c r="M53" s="64">
        <v>98.01</v>
      </c>
      <c r="N53" s="64">
        <v>324.7</v>
      </c>
      <c r="O53" s="64">
        <v>0</v>
      </c>
      <c r="P53" s="64">
        <v>0.31</v>
      </c>
      <c r="Q53" s="64">
        <v>9.57</v>
      </c>
      <c r="R53" s="198"/>
      <c r="S53" s="198"/>
      <c r="T53" s="198"/>
      <c r="U53" s="198"/>
    </row>
    <row r="54" spans="1:21" s="12" customFormat="1" x14ac:dyDescent="0.25">
      <c r="A54" s="214" t="s">
        <v>577</v>
      </c>
      <c r="B54" s="64">
        <v>8.4</v>
      </c>
      <c r="C54" s="64">
        <v>7.36</v>
      </c>
      <c r="D54" s="64">
        <v>10.58</v>
      </c>
      <c r="E54" s="64">
        <v>4.8600000000000003</v>
      </c>
      <c r="F54" s="64">
        <v>5.77</v>
      </c>
      <c r="G54" s="64">
        <v>15.73</v>
      </c>
      <c r="H54" s="64">
        <v>5.69</v>
      </c>
      <c r="I54" s="64">
        <v>1.1200000000000001</v>
      </c>
      <c r="J54" s="64">
        <v>0.03</v>
      </c>
      <c r="K54" s="64">
        <v>113.39</v>
      </c>
      <c r="L54" s="64">
        <v>25.81</v>
      </c>
      <c r="M54" s="64">
        <v>98.02</v>
      </c>
      <c r="N54" s="64">
        <v>289.89999999999998</v>
      </c>
      <c r="O54" s="64">
        <v>0</v>
      </c>
      <c r="P54" s="64">
        <v>0.3</v>
      </c>
      <c r="Q54" s="64">
        <v>9.58</v>
      </c>
      <c r="R54" s="198"/>
      <c r="S54" s="198"/>
      <c r="T54" s="198"/>
      <c r="U54" s="198"/>
    </row>
    <row r="55" spans="1:21" s="12" customFormat="1" x14ac:dyDescent="0.25">
      <c r="A55" s="214" t="s">
        <v>578</v>
      </c>
      <c r="B55" s="64">
        <v>8.23</v>
      </c>
      <c r="C55" s="64">
        <v>6.87</v>
      </c>
      <c r="D55" s="64">
        <v>10.19</v>
      </c>
      <c r="E55" s="64">
        <v>4.79</v>
      </c>
      <c r="F55" s="64">
        <v>5.52</v>
      </c>
      <c r="G55" s="64">
        <v>16.510000000000002</v>
      </c>
      <c r="H55" s="64">
        <v>5.35</v>
      </c>
      <c r="I55" s="64">
        <v>1.1000000000000001</v>
      </c>
      <c r="J55" s="64">
        <v>0.09</v>
      </c>
      <c r="K55" s="64">
        <v>228.77</v>
      </c>
      <c r="L55" s="64">
        <v>26.68</v>
      </c>
      <c r="M55" s="64">
        <v>98.03</v>
      </c>
      <c r="N55" s="64">
        <v>499.7</v>
      </c>
      <c r="O55" s="64">
        <v>0</v>
      </c>
      <c r="P55" s="64">
        <v>0.31</v>
      </c>
      <c r="Q55" s="64">
        <v>9.58</v>
      </c>
      <c r="R55" s="198"/>
      <c r="S55" s="198"/>
      <c r="T55" s="198"/>
      <c r="U55" s="198"/>
    </row>
    <row r="56" spans="1:21" s="12" customFormat="1" x14ac:dyDescent="0.25">
      <c r="A56" s="214" t="s">
        <v>579</v>
      </c>
      <c r="B56" s="64">
        <v>8.1199999999999992</v>
      </c>
      <c r="C56" s="64">
        <v>7.02</v>
      </c>
      <c r="D56" s="64">
        <v>10.18</v>
      </c>
      <c r="E56" s="64">
        <v>4.76</v>
      </c>
      <c r="F56" s="64">
        <v>4.22</v>
      </c>
      <c r="G56" s="64">
        <v>20.420000000000002</v>
      </c>
      <c r="H56" s="64">
        <v>4.04</v>
      </c>
      <c r="I56" s="64">
        <v>1.1000000000000001</v>
      </c>
      <c r="J56" s="64">
        <v>0.06</v>
      </c>
      <c r="K56" s="64">
        <v>231.93</v>
      </c>
      <c r="L56" s="64">
        <v>27.42</v>
      </c>
      <c r="M56" s="64">
        <v>97.08</v>
      </c>
      <c r="N56" s="64">
        <v>491.1</v>
      </c>
      <c r="O56" s="64">
        <v>0</v>
      </c>
      <c r="P56" s="64">
        <v>0.32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4" t="s">
        <v>580</v>
      </c>
      <c r="B57" s="64">
        <v>7.85</v>
      </c>
      <c r="C57" s="64">
        <v>7.17</v>
      </c>
      <c r="D57" s="64">
        <v>10.039999999999999</v>
      </c>
      <c r="E57" s="64">
        <v>5.0199999999999996</v>
      </c>
      <c r="F57" s="64">
        <v>4.0999999999999996</v>
      </c>
      <c r="G57" s="64">
        <v>20.420000000000002</v>
      </c>
      <c r="H57" s="64">
        <v>4.04</v>
      </c>
      <c r="I57" s="64">
        <v>1.0900000000000001</v>
      </c>
      <c r="J57" s="64">
        <v>0.12</v>
      </c>
      <c r="K57" s="64">
        <v>246.7</v>
      </c>
      <c r="L57" s="64">
        <v>26.79</v>
      </c>
      <c r="M57" s="64">
        <v>97.99</v>
      </c>
      <c r="N57" s="64">
        <v>319.2</v>
      </c>
      <c r="O57" s="64">
        <v>0</v>
      </c>
      <c r="P57" s="64">
        <v>0.3</v>
      </c>
      <c r="Q57" s="64">
        <v>9.56</v>
      </c>
      <c r="R57" s="198"/>
      <c r="S57" s="198"/>
      <c r="T57" s="198"/>
      <c r="U57" s="198"/>
    </row>
    <row r="58" spans="1:21" s="12" customFormat="1" x14ac:dyDescent="0.25">
      <c r="A58" s="214" t="s">
        <v>581</v>
      </c>
      <c r="B58" s="64">
        <v>7.57</v>
      </c>
      <c r="C58" s="64">
        <v>7.46</v>
      </c>
      <c r="D58" s="64">
        <v>9.9700000000000006</v>
      </c>
      <c r="E58" s="64">
        <v>5.16</v>
      </c>
      <c r="F58" s="64">
        <v>4.01</v>
      </c>
      <c r="G58" s="64">
        <v>20.420000000000002</v>
      </c>
      <c r="H58" s="64">
        <v>4.04</v>
      </c>
      <c r="I58" s="64">
        <v>1.08</v>
      </c>
      <c r="J58" s="64">
        <v>0.09</v>
      </c>
      <c r="K58" s="64">
        <v>189.99</v>
      </c>
      <c r="L58" s="64">
        <v>26.44</v>
      </c>
      <c r="M58" s="64">
        <v>98.03</v>
      </c>
      <c r="N58" s="64">
        <v>399.4</v>
      </c>
      <c r="O58" s="64">
        <v>0</v>
      </c>
      <c r="P58" s="64">
        <v>0.31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4" t="s">
        <v>582</v>
      </c>
      <c r="B59" s="64">
        <v>7.37</v>
      </c>
      <c r="C59" s="64">
        <v>7.33</v>
      </c>
      <c r="D59" s="64">
        <v>9.74</v>
      </c>
      <c r="E59" s="64">
        <v>4.67</v>
      </c>
      <c r="F59" s="64">
        <v>4.3499999999999996</v>
      </c>
      <c r="G59" s="64">
        <v>20.34</v>
      </c>
      <c r="H59" s="64">
        <v>3.79</v>
      </c>
      <c r="I59" s="64">
        <v>1.05</v>
      </c>
      <c r="J59" s="64">
        <v>0.09</v>
      </c>
      <c r="K59" s="64">
        <v>245.34</v>
      </c>
      <c r="L59" s="64">
        <v>26.32</v>
      </c>
      <c r="M59" s="64">
        <v>98.02</v>
      </c>
      <c r="N59" s="64">
        <v>253.8</v>
      </c>
      <c r="O59" s="64">
        <v>0</v>
      </c>
      <c r="P59" s="64">
        <v>0.3</v>
      </c>
      <c r="Q59" s="64">
        <v>9.52</v>
      </c>
      <c r="R59" s="198"/>
      <c r="S59" s="198"/>
      <c r="T59" s="198"/>
      <c r="U59" s="198"/>
    </row>
    <row r="60" spans="1:21" s="12" customFormat="1" x14ac:dyDescent="0.25">
      <c r="A60" s="214" t="s">
        <v>583</v>
      </c>
      <c r="B60" s="64">
        <v>7.13</v>
      </c>
      <c r="C60" s="64">
        <v>7.22</v>
      </c>
      <c r="D60" s="64">
        <v>9.5</v>
      </c>
      <c r="E60" s="64">
        <v>4.79</v>
      </c>
      <c r="F60" s="64">
        <v>3.68</v>
      </c>
      <c r="G60" s="64">
        <v>19.97</v>
      </c>
      <c r="H60" s="64">
        <v>2.83</v>
      </c>
      <c r="I60" s="64">
        <v>1.01</v>
      </c>
      <c r="J60" s="64">
        <v>0.14000000000000001</v>
      </c>
      <c r="K60" s="64">
        <v>259.08999999999997</v>
      </c>
      <c r="L60" s="64">
        <v>25.76</v>
      </c>
      <c r="M60" s="64">
        <v>98.04</v>
      </c>
      <c r="N60" s="64">
        <v>262.2</v>
      </c>
      <c r="O60" s="64">
        <v>0</v>
      </c>
      <c r="P60" s="64">
        <v>0.28000000000000003</v>
      </c>
      <c r="Q60" s="64">
        <v>9.5</v>
      </c>
      <c r="R60" s="198"/>
      <c r="S60" s="198"/>
      <c r="T60" s="198"/>
      <c r="U60" s="198"/>
    </row>
    <row r="61" spans="1:21" s="12" customFormat="1" x14ac:dyDescent="0.25">
      <c r="A61" s="214" t="s">
        <v>584</v>
      </c>
      <c r="B61" s="64">
        <v>6.93</v>
      </c>
      <c r="C61" s="64">
        <v>7.23</v>
      </c>
      <c r="D61" s="64">
        <v>9.33</v>
      </c>
      <c r="E61" s="64">
        <v>4.87</v>
      </c>
      <c r="F61" s="64">
        <v>3.53</v>
      </c>
      <c r="G61" s="64">
        <v>19.97</v>
      </c>
      <c r="H61" s="64">
        <v>2.83</v>
      </c>
      <c r="I61" s="64">
        <v>1</v>
      </c>
      <c r="J61" s="64">
        <v>7.0000000000000007E-2</v>
      </c>
      <c r="K61" s="64">
        <v>285.49</v>
      </c>
      <c r="L61" s="64">
        <v>25.94</v>
      </c>
      <c r="M61" s="64">
        <v>98.03</v>
      </c>
      <c r="N61" s="64">
        <v>230.6</v>
      </c>
      <c r="O61" s="64">
        <v>0</v>
      </c>
      <c r="P61" s="64">
        <v>0.28000000000000003</v>
      </c>
      <c r="Q61" s="64">
        <v>9.49</v>
      </c>
      <c r="R61" s="198"/>
      <c r="S61" s="198"/>
      <c r="T61" s="198"/>
      <c r="U61" s="198"/>
    </row>
    <row r="62" spans="1:21" s="12" customFormat="1" x14ac:dyDescent="0.25">
      <c r="A62" s="214" t="s">
        <v>585</v>
      </c>
      <c r="B62" s="64">
        <v>6.9</v>
      </c>
      <c r="C62" s="64">
        <v>7.34</v>
      </c>
      <c r="D62" s="64">
        <v>9.3699999999999992</v>
      </c>
      <c r="E62" s="64">
        <v>4.83</v>
      </c>
      <c r="F62" s="64">
        <v>3.75</v>
      </c>
      <c r="G62" s="64">
        <v>19.97</v>
      </c>
      <c r="H62" s="64">
        <v>2.83</v>
      </c>
      <c r="I62" s="64">
        <v>0.98</v>
      </c>
      <c r="J62" s="64">
        <v>0.12</v>
      </c>
      <c r="K62" s="64">
        <v>252.26</v>
      </c>
      <c r="L62" s="64">
        <v>25.7</v>
      </c>
      <c r="M62" s="64">
        <v>98.04</v>
      </c>
      <c r="N62" s="64">
        <v>160.5</v>
      </c>
      <c r="O62" s="64">
        <v>0</v>
      </c>
      <c r="P62" s="64">
        <v>0.3</v>
      </c>
      <c r="Q62" s="64">
        <v>9.4700000000000006</v>
      </c>
      <c r="R62" s="198"/>
      <c r="S62" s="198"/>
      <c r="T62" s="198"/>
      <c r="U62" s="198"/>
    </row>
    <row r="63" spans="1:21" s="12" customFormat="1" x14ac:dyDescent="0.25">
      <c r="A63" s="214" t="s">
        <v>586</v>
      </c>
      <c r="B63" s="64">
        <v>6.67</v>
      </c>
      <c r="C63" s="64">
        <v>7.42</v>
      </c>
      <c r="D63" s="64">
        <v>9.2200000000000006</v>
      </c>
      <c r="E63" s="64">
        <v>5.04</v>
      </c>
      <c r="F63" s="64">
        <v>5.15</v>
      </c>
      <c r="G63" s="64">
        <v>19.239999999999998</v>
      </c>
      <c r="H63" s="64">
        <v>2.86</v>
      </c>
      <c r="I63" s="64">
        <v>0.9</v>
      </c>
      <c r="J63" s="64">
        <v>7.0000000000000007E-2</v>
      </c>
      <c r="K63" s="64">
        <v>204.41</v>
      </c>
      <c r="L63" s="64">
        <v>25.71</v>
      </c>
      <c r="M63" s="64">
        <v>98.03</v>
      </c>
      <c r="N63" s="64">
        <v>231.9</v>
      </c>
      <c r="O63" s="64">
        <v>0</v>
      </c>
      <c r="P63" s="64">
        <v>0.28000000000000003</v>
      </c>
      <c r="Q63" s="64">
        <v>9.48</v>
      </c>
      <c r="R63" s="198"/>
      <c r="S63" s="198"/>
      <c r="T63" s="198"/>
      <c r="U63" s="198"/>
    </row>
    <row r="64" spans="1:21" s="12" customFormat="1" x14ac:dyDescent="0.25">
      <c r="A64" s="214" t="s">
        <v>587</v>
      </c>
      <c r="B64" s="64">
        <v>6.66</v>
      </c>
      <c r="C64" s="64">
        <v>7.27</v>
      </c>
      <c r="D64" s="64">
        <v>9.1300000000000008</v>
      </c>
      <c r="E64" s="64">
        <v>5.04</v>
      </c>
      <c r="F64" s="64">
        <v>3.97</v>
      </c>
      <c r="G64" s="64">
        <v>15.6</v>
      </c>
      <c r="H64" s="64">
        <v>3.08</v>
      </c>
      <c r="I64" s="64">
        <v>0.9</v>
      </c>
      <c r="J64" s="64">
        <v>0.11</v>
      </c>
      <c r="K64" s="64">
        <v>193.62</v>
      </c>
      <c r="L64" s="64">
        <v>25.76</v>
      </c>
      <c r="M64" s="64">
        <v>98.02</v>
      </c>
      <c r="N64" s="64">
        <v>262.10000000000002</v>
      </c>
      <c r="O64" s="64">
        <v>0</v>
      </c>
      <c r="P64" s="64">
        <v>0.28000000000000003</v>
      </c>
      <c r="Q64" s="64">
        <v>9.48</v>
      </c>
      <c r="R64" s="198"/>
      <c r="S64" s="198"/>
      <c r="T64" s="198"/>
      <c r="U64" s="198"/>
    </row>
    <row r="65" spans="1:21" s="12" customFormat="1" x14ac:dyDescent="0.25">
      <c r="A65" s="214" t="s">
        <v>588</v>
      </c>
      <c r="B65" s="64">
        <v>6.64</v>
      </c>
      <c r="C65" s="64">
        <v>7.34</v>
      </c>
      <c r="D65" s="64">
        <v>9.16</v>
      </c>
      <c r="E65" s="64">
        <v>4.59</v>
      </c>
      <c r="F65" s="64">
        <v>4.5199999999999996</v>
      </c>
      <c r="G65" s="64">
        <v>15.6</v>
      </c>
      <c r="H65" s="64">
        <v>3.08</v>
      </c>
      <c r="I65" s="64">
        <v>0.94</v>
      </c>
      <c r="J65" s="64">
        <v>0.04</v>
      </c>
      <c r="K65" s="64">
        <v>205.16</v>
      </c>
      <c r="L65" s="64">
        <v>26.2</v>
      </c>
      <c r="M65" s="64">
        <v>98</v>
      </c>
      <c r="N65" s="64">
        <v>238.5</v>
      </c>
      <c r="O65" s="64">
        <v>0</v>
      </c>
      <c r="P65" s="64">
        <v>0.26</v>
      </c>
      <c r="Q65" s="64">
        <v>9.48</v>
      </c>
      <c r="R65" s="198"/>
      <c r="S65" s="198"/>
      <c r="T65" s="198"/>
      <c r="U65" s="198"/>
    </row>
    <row r="66" spans="1:21" s="12" customFormat="1" x14ac:dyDescent="0.25">
      <c r="A66" s="214" t="s">
        <v>589</v>
      </c>
      <c r="B66" s="64">
        <v>6.72</v>
      </c>
      <c r="C66" s="64">
        <v>7.4</v>
      </c>
      <c r="D66" s="64">
        <v>9.26</v>
      </c>
      <c r="E66" s="64">
        <v>4.7699999999999996</v>
      </c>
      <c r="F66" s="64">
        <v>3.27</v>
      </c>
      <c r="G66" s="64">
        <v>15.6</v>
      </c>
      <c r="H66" s="64">
        <v>3.08</v>
      </c>
      <c r="I66" s="64">
        <v>0.93</v>
      </c>
      <c r="J66" s="64">
        <v>0.11</v>
      </c>
      <c r="K66" s="64">
        <v>259.58</v>
      </c>
      <c r="L66" s="64">
        <v>26</v>
      </c>
      <c r="M66" s="64">
        <v>97.98</v>
      </c>
      <c r="N66" s="64">
        <v>211.3</v>
      </c>
      <c r="O66" s="64">
        <v>0</v>
      </c>
      <c r="P66" s="64">
        <v>0.28000000000000003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4" t="s">
        <v>590</v>
      </c>
      <c r="B67" s="64">
        <v>6.54</v>
      </c>
      <c r="C67" s="64">
        <v>7.47</v>
      </c>
      <c r="D67" s="64">
        <v>9.15</v>
      </c>
      <c r="E67" s="64">
        <v>4.7699999999999996</v>
      </c>
      <c r="F67" s="64">
        <v>3.8</v>
      </c>
      <c r="G67" s="64">
        <v>15.74</v>
      </c>
      <c r="H67" s="64">
        <v>3.94</v>
      </c>
      <c r="I67" s="64">
        <v>0.93</v>
      </c>
      <c r="J67" s="64">
        <v>0.14000000000000001</v>
      </c>
      <c r="K67" s="64">
        <v>290.33999999999997</v>
      </c>
      <c r="L67" s="64">
        <v>25.98</v>
      </c>
      <c r="M67" s="64">
        <v>98</v>
      </c>
      <c r="N67" s="64">
        <v>244.9</v>
      </c>
      <c r="O67" s="64">
        <v>0</v>
      </c>
      <c r="P67" s="64">
        <v>0.27</v>
      </c>
      <c r="Q67" s="64">
        <v>9.4700000000000006</v>
      </c>
      <c r="R67" s="198"/>
      <c r="S67" s="198"/>
      <c r="T67" s="198"/>
      <c r="U67" s="198"/>
    </row>
    <row r="68" spans="1:21" s="12" customFormat="1" x14ac:dyDescent="0.25">
      <c r="A68" s="214" t="s">
        <v>591</v>
      </c>
      <c r="B68" s="64">
        <v>6.23</v>
      </c>
      <c r="C68" s="64">
        <v>7.72</v>
      </c>
      <c r="D68" s="64">
        <v>9.0299999999999994</v>
      </c>
      <c r="E68" s="64">
        <v>4.6100000000000003</v>
      </c>
      <c r="F68" s="64">
        <v>5.34</v>
      </c>
      <c r="G68" s="64">
        <v>16.41</v>
      </c>
      <c r="H68" s="64">
        <v>7.32</v>
      </c>
      <c r="I68" s="64">
        <v>0.91</v>
      </c>
      <c r="J68" s="64">
        <v>0.11</v>
      </c>
      <c r="K68" s="64">
        <v>272.68</v>
      </c>
      <c r="L68" s="64">
        <v>26.1</v>
      </c>
      <c r="M68" s="64">
        <v>98.02</v>
      </c>
      <c r="N68" s="64">
        <v>187.7</v>
      </c>
      <c r="O68" s="64">
        <v>0</v>
      </c>
      <c r="P68" s="64">
        <v>0.25</v>
      </c>
      <c r="Q68" s="64">
        <v>9.4700000000000006</v>
      </c>
      <c r="R68" s="198"/>
      <c r="S68" s="198"/>
      <c r="T68" s="198"/>
      <c r="U68" s="198"/>
    </row>
    <row r="69" spans="1:21" s="12" customFormat="1" x14ac:dyDescent="0.25">
      <c r="A69" s="214" t="s">
        <v>592</v>
      </c>
      <c r="B69" s="64">
        <v>5.95</v>
      </c>
      <c r="C69" s="64">
        <v>8.51</v>
      </c>
      <c r="D69" s="64">
        <v>9.2200000000000006</v>
      </c>
      <c r="E69" s="64">
        <v>4.6900000000000004</v>
      </c>
      <c r="F69" s="64">
        <v>8.1199999999999992</v>
      </c>
      <c r="G69" s="64">
        <v>16.41</v>
      </c>
      <c r="H69" s="64">
        <v>7.32</v>
      </c>
      <c r="I69" s="64">
        <v>0.88</v>
      </c>
      <c r="J69" s="64">
        <v>0.06</v>
      </c>
      <c r="K69" s="64">
        <v>174.6</v>
      </c>
      <c r="L69" s="64">
        <v>25.83</v>
      </c>
      <c r="M69" s="64">
        <v>98.04</v>
      </c>
      <c r="N69" s="64">
        <v>105.1</v>
      </c>
      <c r="O69" s="64">
        <v>0</v>
      </c>
      <c r="P69" s="64">
        <v>0.25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14" t="s">
        <v>593</v>
      </c>
      <c r="B70" s="64">
        <v>7.49</v>
      </c>
      <c r="C70" s="64">
        <v>9.93</v>
      </c>
      <c r="D70" s="64">
        <v>11.19</v>
      </c>
      <c r="E70" s="64">
        <v>4.8899999999999997</v>
      </c>
      <c r="F70" s="64">
        <v>6.68</v>
      </c>
      <c r="G70" s="64">
        <v>16.41</v>
      </c>
      <c r="H70" s="64">
        <v>7.32</v>
      </c>
      <c r="I70" s="64">
        <v>0.86</v>
      </c>
      <c r="J70" s="64">
        <v>0.06</v>
      </c>
      <c r="K70" s="64">
        <v>219.55</v>
      </c>
      <c r="L70" s="64">
        <v>25.44</v>
      </c>
      <c r="M70" s="64">
        <v>98.1</v>
      </c>
      <c r="N70" s="64">
        <v>178.7</v>
      </c>
      <c r="O70" s="64">
        <v>0</v>
      </c>
      <c r="P70" s="64">
        <v>0.28000000000000003</v>
      </c>
      <c r="Q70" s="64">
        <v>9.48</v>
      </c>
      <c r="R70" s="198"/>
      <c r="S70" s="198"/>
      <c r="T70" s="198"/>
      <c r="U70" s="198"/>
    </row>
    <row r="71" spans="1:21" s="12" customFormat="1" x14ac:dyDescent="0.25">
      <c r="A71" s="214" t="s">
        <v>594</v>
      </c>
      <c r="B71" s="64">
        <v>7.61</v>
      </c>
      <c r="C71" s="64">
        <v>7.16</v>
      </c>
      <c r="D71" s="64">
        <v>9.84</v>
      </c>
      <c r="E71" s="64">
        <v>4.93</v>
      </c>
      <c r="F71" s="64">
        <v>7.01</v>
      </c>
      <c r="G71" s="64">
        <v>16.71</v>
      </c>
      <c r="H71" s="64">
        <v>6.96</v>
      </c>
      <c r="I71" s="64">
        <v>0.87</v>
      </c>
      <c r="J71" s="64">
        <v>0.08</v>
      </c>
      <c r="K71" s="64">
        <v>229.8</v>
      </c>
      <c r="L71" s="64">
        <v>26.08</v>
      </c>
      <c r="M71" s="64">
        <v>98.03</v>
      </c>
      <c r="N71" s="64">
        <v>193.6</v>
      </c>
      <c r="O71" s="64">
        <v>0</v>
      </c>
      <c r="P71" s="64">
        <v>0.25</v>
      </c>
      <c r="Q71" s="64">
        <v>9.48</v>
      </c>
      <c r="R71" s="198"/>
      <c r="S71" s="198"/>
      <c r="T71" s="198"/>
      <c r="U71" s="198"/>
    </row>
    <row r="72" spans="1:21" s="12" customFormat="1" x14ac:dyDescent="0.25">
      <c r="A72" s="214" t="s">
        <v>595</v>
      </c>
      <c r="B72" s="64">
        <v>6.57</v>
      </c>
      <c r="C72" s="64">
        <v>7.55</v>
      </c>
      <c r="D72" s="64">
        <v>9.2100000000000009</v>
      </c>
      <c r="E72" s="64">
        <v>3.85</v>
      </c>
      <c r="F72" s="64">
        <v>5.84</v>
      </c>
      <c r="G72" s="64">
        <v>18.23</v>
      </c>
      <c r="H72" s="64">
        <v>5.58</v>
      </c>
      <c r="I72" s="64">
        <v>0.89</v>
      </c>
      <c r="J72" s="64">
        <v>0.05</v>
      </c>
      <c r="K72" s="64">
        <v>228.84</v>
      </c>
      <c r="L72" s="64">
        <v>26.28</v>
      </c>
      <c r="M72" s="64">
        <v>98.02</v>
      </c>
      <c r="N72" s="64">
        <v>156.9</v>
      </c>
      <c r="O72" s="64">
        <v>0</v>
      </c>
      <c r="P72" s="64">
        <v>0.25</v>
      </c>
      <c r="Q72" s="64">
        <v>9.5</v>
      </c>
      <c r="R72" s="198"/>
      <c r="S72" s="198"/>
      <c r="T72" s="198"/>
      <c r="U72" s="198"/>
    </row>
    <row r="73" spans="1:21" s="12" customFormat="1" x14ac:dyDescent="0.25">
      <c r="A73" s="214" t="s">
        <v>596</v>
      </c>
      <c r="B73" s="64">
        <v>6.23</v>
      </c>
      <c r="C73" s="64">
        <v>7.76</v>
      </c>
      <c r="D73" s="64">
        <v>9.0500000000000007</v>
      </c>
      <c r="E73" s="64">
        <v>4.41</v>
      </c>
      <c r="F73" s="64">
        <v>7.47</v>
      </c>
      <c r="G73" s="64">
        <v>18.23</v>
      </c>
      <c r="H73" s="64">
        <v>5.58</v>
      </c>
      <c r="I73" s="64">
        <v>0.9</v>
      </c>
      <c r="J73" s="64">
        <v>0.03</v>
      </c>
      <c r="K73" s="64">
        <v>216.88</v>
      </c>
      <c r="L73" s="64">
        <v>26.31</v>
      </c>
      <c r="M73" s="64">
        <v>98.04</v>
      </c>
      <c r="N73" s="64">
        <v>147.80000000000001</v>
      </c>
      <c r="O73" s="64">
        <v>0</v>
      </c>
      <c r="P73" s="64">
        <v>0.23</v>
      </c>
      <c r="Q73" s="64">
        <v>9.5</v>
      </c>
      <c r="R73" s="198"/>
      <c r="S73" s="198"/>
      <c r="T73" s="198"/>
      <c r="U73" s="198"/>
    </row>
    <row r="74" spans="1:21" s="12" customFormat="1" x14ac:dyDescent="0.25">
      <c r="A74" s="214" t="s">
        <v>597</v>
      </c>
      <c r="B74" s="64">
        <v>6.09</v>
      </c>
      <c r="C74" s="64">
        <v>8.16</v>
      </c>
      <c r="D74" s="64">
        <v>9.15</v>
      </c>
      <c r="E74" s="64">
        <v>4.72</v>
      </c>
      <c r="F74" s="64">
        <v>8.81</v>
      </c>
      <c r="G74" s="64">
        <v>18.23</v>
      </c>
      <c r="H74" s="64">
        <v>5.58</v>
      </c>
      <c r="I74" s="64">
        <v>0.89</v>
      </c>
      <c r="J74" s="64">
        <v>0.16</v>
      </c>
      <c r="K74" s="64">
        <v>150.61000000000001</v>
      </c>
      <c r="L74" s="64">
        <v>26.23</v>
      </c>
      <c r="M74" s="64">
        <v>98.04</v>
      </c>
      <c r="N74" s="64">
        <v>134.1</v>
      </c>
      <c r="O74" s="64">
        <v>0</v>
      </c>
      <c r="P74" s="64">
        <v>0.24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14" t="s">
        <v>598</v>
      </c>
      <c r="B75" s="64">
        <v>6.32</v>
      </c>
      <c r="C75" s="64">
        <v>7.82</v>
      </c>
      <c r="D75" s="64">
        <v>9.16</v>
      </c>
      <c r="E75" s="64">
        <v>4.67</v>
      </c>
      <c r="F75" s="64">
        <v>4.8899999999999997</v>
      </c>
      <c r="G75" s="64">
        <v>18.59</v>
      </c>
      <c r="H75" s="64">
        <v>5.24</v>
      </c>
      <c r="I75" s="64">
        <v>0.88</v>
      </c>
      <c r="J75" s="64">
        <v>0.08</v>
      </c>
      <c r="K75" s="64">
        <v>218.59</v>
      </c>
      <c r="L75" s="64">
        <v>25.97</v>
      </c>
      <c r="M75" s="64">
        <v>98.05</v>
      </c>
      <c r="N75" s="64">
        <v>111.7</v>
      </c>
      <c r="O75" s="64">
        <v>0</v>
      </c>
      <c r="P75" s="64">
        <v>0.25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4" t="s">
        <v>599</v>
      </c>
      <c r="B76" s="64">
        <v>6.41</v>
      </c>
      <c r="C76" s="64">
        <v>7.86</v>
      </c>
      <c r="D76" s="64">
        <v>9.25</v>
      </c>
      <c r="E76" s="64">
        <v>4.5999999999999996</v>
      </c>
      <c r="F76" s="64">
        <v>5.71</v>
      </c>
      <c r="G76" s="64">
        <v>20.38</v>
      </c>
      <c r="H76" s="64">
        <v>3.91</v>
      </c>
      <c r="I76" s="64">
        <v>0.9</v>
      </c>
      <c r="J76" s="64">
        <v>0.08</v>
      </c>
      <c r="K76" s="64">
        <v>182.45</v>
      </c>
      <c r="L76" s="64">
        <v>25.77</v>
      </c>
      <c r="M76" s="64">
        <v>98.02</v>
      </c>
      <c r="N76" s="64">
        <v>92.7</v>
      </c>
      <c r="O76" s="64">
        <v>0</v>
      </c>
      <c r="P76" s="64">
        <v>0.25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4" t="s">
        <v>600</v>
      </c>
      <c r="B77" s="64">
        <v>6.45</v>
      </c>
      <c r="C77" s="64">
        <v>7.75</v>
      </c>
      <c r="D77" s="64">
        <v>9.2200000000000006</v>
      </c>
      <c r="E77" s="64">
        <v>4.74</v>
      </c>
      <c r="F77" s="64">
        <v>5.48</v>
      </c>
      <c r="G77" s="64">
        <v>20.38</v>
      </c>
      <c r="H77" s="64">
        <v>3.91</v>
      </c>
      <c r="I77" s="64">
        <v>0.9</v>
      </c>
      <c r="J77" s="64">
        <v>0.02</v>
      </c>
      <c r="K77" s="64">
        <v>256.11</v>
      </c>
      <c r="L77" s="64">
        <v>25.64</v>
      </c>
      <c r="M77" s="64">
        <v>98.03</v>
      </c>
      <c r="N77" s="64">
        <v>76.8</v>
      </c>
      <c r="O77" s="64">
        <v>0</v>
      </c>
      <c r="P77" s="64">
        <v>0.25</v>
      </c>
      <c r="Q77" s="64">
        <v>9.48</v>
      </c>
      <c r="R77" s="198"/>
      <c r="S77" s="198"/>
      <c r="T77" s="198"/>
      <c r="U77" s="198"/>
    </row>
    <row r="78" spans="1:21" s="12" customFormat="1" x14ac:dyDescent="0.25">
      <c r="A78" s="214" t="s">
        <v>601</v>
      </c>
      <c r="B78" s="64">
        <v>6.69</v>
      </c>
      <c r="C78" s="64">
        <v>7.7</v>
      </c>
      <c r="D78" s="64">
        <v>9.39</v>
      </c>
      <c r="E78" s="64">
        <v>4.68</v>
      </c>
      <c r="F78" s="64">
        <v>3.84</v>
      </c>
      <c r="G78" s="64">
        <v>20.38</v>
      </c>
      <c r="H78" s="64">
        <v>3.91</v>
      </c>
      <c r="I78" s="64">
        <v>0.83</v>
      </c>
      <c r="J78" s="64">
        <v>0.1</v>
      </c>
      <c r="K78" s="64">
        <v>307.05</v>
      </c>
      <c r="L78" s="64">
        <v>25.55</v>
      </c>
      <c r="M78" s="64">
        <v>98.03</v>
      </c>
      <c r="N78" s="64">
        <v>66.3</v>
      </c>
      <c r="O78" s="64">
        <v>0</v>
      </c>
      <c r="P78" s="64">
        <v>0.26</v>
      </c>
      <c r="Q78" s="64">
        <v>9.48</v>
      </c>
      <c r="R78" s="198"/>
      <c r="S78" s="198"/>
      <c r="T78" s="198"/>
      <c r="U78" s="198"/>
    </row>
    <row r="79" spans="1:21" s="12" customFormat="1" x14ac:dyDescent="0.25">
      <c r="A79" s="214" t="s">
        <v>602</v>
      </c>
      <c r="B79" s="64">
        <v>7.03</v>
      </c>
      <c r="C79" s="64">
        <v>8.17</v>
      </c>
      <c r="D79" s="64">
        <v>9.91</v>
      </c>
      <c r="E79" s="64">
        <v>4.5599999999999996</v>
      </c>
      <c r="F79" s="64">
        <v>4.49</v>
      </c>
      <c r="G79" s="64">
        <v>20.81</v>
      </c>
      <c r="H79" s="64">
        <v>3.73</v>
      </c>
      <c r="I79" s="64">
        <v>0.84</v>
      </c>
      <c r="J79" s="64">
        <v>0.08</v>
      </c>
      <c r="K79" s="64">
        <v>301.25</v>
      </c>
      <c r="L79" s="64">
        <v>25.35</v>
      </c>
      <c r="M79" s="64">
        <v>98.03</v>
      </c>
      <c r="N79" s="64">
        <v>51.4</v>
      </c>
      <c r="O79" s="64">
        <v>0</v>
      </c>
      <c r="P79" s="64">
        <v>0.26</v>
      </c>
      <c r="Q79" s="64">
        <v>9.4700000000000006</v>
      </c>
      <c r="R79" s="198"/>
      <c r="S79" s="198"/>
      <c r="T79" s="198"/>
      <c r="U79" s="198"/>
    </row>
    <row r="80" spans="1:21" s="12" customFormat="1" x14ac:dyDescent="0.25">
      <c r="A80" s="214" t="s">
        <v>603</v>
      </c>
      <c r="B80" s="64">
        <v>6.57</v>
      </c>
      <c r="C80" s="64">
        <v>8.11</v>
      </c>
      <c r="D80" s="64">
        <v>9.51</v>
      </c>
      <c r="E80" s="64">
        <v>4.47</v>
      </c>
      <c r="F80" s="64">
        <v>6.26</v>
      </c>
      <c r="G80" s="64">
        <v>23.01</v>
      </c>
      <c r="H80" s="64">
        <v>2.74</v>
      </c>
      <c r="I80" s="64">
        <v>0.83</v>
      </c>
      <c r="J80" s="64">
        <v>0.04</v>
      </c>
      <c r="K80" s="64">
        <v>253.82</v>
      </c>
      <c r="L80" s="64">
        <v>25.06</v>
      </c>
      <c r="M80" s="64">
        <v>98.05</v>
      </c>
      <c r="N80" s="64">
        <v>38.5</v>
      </c>
      <c r="O80" s="64">
        <v>0</v>
      </c>
      <c r="P80" s="64">
        <v>0.28000000000000003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4" t="s">
        <v>604</v>
      </c>
      <c r="B81" s="64">
        <v>6.69</v>
      </c>
      <c r="C81" s="64">
        <v>9.41</v>
      </c>
      <c r="D81" s="64">
        <v>10.29</v>
      </c>
      <c r="E81" s="64">
        <v>4.55</v>
      </c>
      <c r="F81" s="64">
        <v>5.37</v>
      </c>
      <c r="G81" s="64">
        <v>23.01</v>
      </c>
      <c r="H81" s="64">
        <v>2.74</v>
      </c>
      <c r="I81" s="64">
        <v>0.84</v>
      </c>
      <c r="J81" s="64">
        <v>0.05</v>
      </c>
      <c r="K81" s="64">
        <v>124.73</v>
      </c>
      <c r="L81" s="64">
        <v>24.86</v>
      </c>
      <c r="M81" s="64">
        <v>98.08</v>
      </c>
      <c r="N81" s="64">
        <v>29.9</v>
      </c>
      <c r="O81" s="64">
        <v>0</v>
      </c>
      <c r="P81" s="64">
        <v>0.28000000000000003</v>
      </c>
      <c r="Q81" s="64">
        <v>9.4600000000000009</v>
      </c>
      <c r="R81" s="198"/>
      <c r="S81" s="198"/>
      <c r="T81" s="198"/>
      <c r="U81" s="198"/>
    </row>
    <row r="82" spans="1:26" s="12" customFormat="1" x14ac:dyDescent="0.25">
      <c r="A82" s="214" t="s">
        <v>605</v>
      </c>
      <c r="B82" s="64">
        <v>7.56</v>
      </c>
      <c r="C82" s="64">
        <v>8.81</v>
      </c>
      <c r="D82" s="64">
        <v>10.66</v>
      </c>
      <c r="E82" s="64">
        <v>4.5</v>
      </c>
      <c r="F82" s="64">
        <v>5.78</v>
      </c>
      <c r="G82" s="64">
        <v>23.01</v>
      </c>
      <c r="H82" s="64">
        <v>2.74</v>
      </c>
      <c r="I82" s="64">
        <v>0.9</v>
      </c>
      <c r="J82" s="64">
        <v>0.1</v>
      </c>
      <c r="K82" s="64">
        <v>317.74</v>
      </c>
      <c r="L82" s="64">
        <v>24.73</v>
      </c>
      <c r="M82" s="64">
        <v>98.1</v>
      </c>
      <c r="N82" s="64">
        <v>27.9</v>
      </c>
      <c r="O82" s="64">
        <v>0</v>
      </c>
      <c r="P82" s="64">
        <v>0.28999999999999998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4" t="s">
        <v>606</v>
      </c>
      <c r="B83" s="64">
        <v>7.03</v>
      </c>
      <c r="C83" s="64">
        <v>7.6</v>
      </c>
      <c r="D83" s="64">
        <v>9.6</v>
      </c>
      <c r="E83" s="64">
        <v>4.4000000000000004</v>
      </c>
      <c r="F83" s="64">
        <v>4.05</v>
      </c>
      <c r="G83" s="64">
        <v>23.18</v>
      </c>
      <c r="H83" s="64">
        <v>3.67</v>
      </c>
      <c r="I83" s="64">
        <v>0.92</v>
      </c>
      <c r="J83" s="64">
        <v>0.1</v>
      </c>
      <c r="K83" s="64">
        <v>319.66000000000003</v>
      </c>
      <c r="L83" s="64">
        <v>24.55</v>
      </c>
      <c r="M83" s="64">
        <v>98.12</v>
      </c>
      <c r="N83" s="64">
        <v>27.4</v>
      </c>
      <c r="O83" s="64">
        <v>0</v>
      </c>
      <c r="P83" s="64">
        <v>0.26</v>
      </c>
      <c r="Q83" s="64">
        <v>9.48</v>
      </c>
      <c r="R83" s="198"/>
      <c r="S83" s="198"/>
      <c r="T83" s="198"/>
      <c r="U83" s="198"/>
    </row>
    <row r="84" spans="1:26" s="12" customFormat="1" x14ac:dyDescent="0.25">
      <c r="A84" s="214" t="s">
        <v>607</v>
      </c>
      <c r="B84" s="64">
        <v>7.02</v>
      </c>
      <c r="C84" s="64">
        <v>7.74</v>
      </c>
      <c r="D84" s="64">
        <v>9.68</v>
      </c>
      <c r="E84" s="64">
        <v>4.42</v>
      </c>
      <c r="F84" s="64">
        <v>4.25</v>
      </c>
      <c r="G84" s="64">
        <v>24.06</v>
      </c>
      <c r="H84" s="64">
        <v>7.34</v>
      </c>
      <c r="I84" s="64">
        <v>0.87</v>
      </c>
      <c r="J84" s="64">
        <v>0.06</v>
      </c>
      <c r="K84" s="64">
        <v>308.11</v>
      </c>
      <c r="L84" s="64">
        <v>24.38</v>
      </c>
      <c r="M84" s="64">
        <v>98.13</v>
      </c>
      <c r="N84" s="64">
        <v>28.8</v>
      </c>
      <c r="O84" s="64">
        <v>0</v>
      </c>
      <c r="P84" s="64">
        <v>0.28999999999999998</v>
      </c>
      <c r="Q84" s="64">
        <v>9.48</v>
      </c>
      <c r="R84" s="198"/>
      <c r="S84" s="198"/>
      <c r="T84" s="198"/>
      <c r="U84" s="198"/>
    </row>
    <row r="85" spans="1:26" s="12" customFormat="1" x14ac:dyDescent="0.25">
      <c r="A85" s="214" t="s">
        <v>608</v>
      </c>
      <c r="B85" s="64">
        <v>7</v>
      </c>
      <c r="C85" s="64">
        <v>10.32</v>
      </c>
      <c r="D85" s="64">
        <v>11</v>
      </c>
      <c r="E85" s="64">
        <v>4.7300000000000004</v>
      </c>
      <c r="F85" s="64">
        <v>6.06</v>
      </c>
      <c r="G85" s="64">
        <v>24.06</v>
      </c>
      <c r="H85" s="64">
        <v>7.34</v>
      </c>
      <c r="I85" s="64">
        <v>0.89</v>
      </c>
      <c r="J85" s="64">
        <v>0.03</v>
      </c>
      <c r="K85" s="64">
        <v>178.36</v>
      </c>
      <c r="L85" s="64">
        <v>24.21</v>
      </c>
      <c r="M85" s="64">
        <v>98.14</v>
      </c>
      <c r="N85" s="64">
        <v>40.5</v>
      </c>
      <c r="O85" s="64">
        <v>0</v>
      </c>
      <c r="P85" s="64">
        <v>0.33</v>
      </c>
      <c r="Q85" s="64">
        <v>9.4600000000000009</v>
      </c>
      <c r="R85" s="198"/>
      <c r="S85" s="198"/>
      <c r="T85" s="198"/>
      <c r="U85" s="198"/>
    </row>
    <row r="86" spans="1:26" s="12" customFormat="1" x14ac:dyDescent="0.25">
      <c r="A86" s="214" t="s">
        <v>609</v>
      </c>
      <c r="B86" s="64">
        <v>6.06</v>
      </c>
      <c r="C86" s="64">
        <v>11.78</v>
      </c>
      <c r="D86" s="64">
        <v>11.01</v>
      </c>
      <c r="E86" s="64">
        <v>4.3899999999999997</v>
      </c>
      <c r="F86" s="64">
        <v>6.6</v>
      </c>
      <c r="G86" s="64">
        <v>24.06</v>
      </c>
      <c r="H86" s="64">
        <v>7.34</v>
      </c>
      <c r="I86" s="64">
        <v>0.89</v>
      </c>
      <c r="J86" s="64">
        <v>0.03</v>
      </c>
      <c r="K86" s="64">
        <v>141.85</v>
      </c>
      <c r="L86" s="64">
        <v>24.07</v>
      </c>
      <c r="M86" s="64">
        <v>98.15</v>
      </c>
      <c r="N86" s="64">
        <v>43.3</v>
      </c>
      <c r="O86" s="64">
        <v>0</v>
      </c>
      <c r="P86" s="64">
        <v>0.33</v>
      </c>
      <c r="Q86" s="64">
        <v>9.4600000000000009</v>
      </c>
      <c r="R86" s="198"/>
      <c r="S86" s="198"/>
      <c r="T86" s="198"/>
      <c r="U86" s="198"/>
    </row>
    <row r="87" spans="1:26" s="12" customFormat="1" x14ac:dyDescent="0.25">
      <c r="A87" s="214" t="s">
        <v>610</v>
      </c>
      <c r="B87" s="64">
        <v>8.0399999999999991</v>
      </c>
      <c r="C87" s="64">
        <v>12.98</v>
      </c>
      <c r="D87" s="64">
        <v>13.22</v>
      </c>
      <c r="E87" s="64">
        <v>4.66</v>
      </c>
      <c r="F87" s="64">
        <v>7.55</v>
      </c>
      <c r="G87" s="64">
        <v>24.1</v>
      </c>
      <c r="H87" s="64">
        <v>6.86</v>
      </c>
      <c r="I87" s="64">
        <v>0.84</v>
      </c>
      <c r="J87" s="64">
        <v>0.02</v>
      </c>
      <c r="K87" s="64">
        <v>172.34</v>
      </c>
      <c r="L87" s="64">
        <v>24.11</v>
      </c>
      <c r="M87" s="64">
        <v>98.2</v>
      </c>
      <c r="N87" s="64">
        <v>41</v>
      </c>
      <c r="O87" s="64">
        <v>0</v>
      </c>
      <c r="P87" s="64">
        <v>0.39</v>
      </c>
      <c r="Q87" s="64">
        <v>9.4700000000000006</v>
      </c>
      <c r="R87" s="198"/>
      <c r="S87" s="198"/>
      <c r="T87" s="198"/>
      <c r="U87" s="198"/>
    </row>
    <row r="88" spans="1:26" s="12" customFormat="1" x14ac:dyDescent="0.25">
      <c r="A88" s="214" t="s">
        <v>611</v>
      </c>
      <c r="B88" s="64">
        <v>6</v>
      </c>
      <c r="C88" s="64">
        <v>11.53</v>
      </c>
      <c r="D88" s="64">
        <v>10.83</v>
      </c>
      <c r="E88" s="64">
        <v>4.8499999999999996</v>
      </c>
      <c r="F88" s="64">
        <v>8.5</v>
      </c>
      <c r="G88" s="64">
        <v>24.27</v>
      </c>
      <c r="H88" s="64">
        <v>5.14</v>
      </c>
      <c r="I88" s="64">
        <v>0.87</v>
      </c>
      <c r="J88" s="64">
        <v>7.0000000000000007E-2</v>
      </c>
      <c r="K88" s="64">
        <v>134</v>
      </c>
      <c r="L88" s="64">
        <v>24.12</v>
      </c>
      <c r="M88" s="64">
        <v>98.22</v>
      </c>
      <c r="N88" s="64">
        <v>42.9</v>
      </c>
      <c r="O88" s="64">
        <v>0</v>
      </c>
      <c r="P88" s="64">
        <v>0.35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4" t="s">
        <v>612</v>
      </c>
      <c r="B89" s="64">
        <v>6.07</v>
      </c>
      <c r="C89" s="64">
        <v>13.16</v>
      </c>
      <c r="D89" s="64">
        <v>11.74</v>
      </c>
      <c r="E89" s="64">
        <v>4.57</v>
      </c>
      <c r="F89" s="64">
        <v>7.81</v>
      </c>
      <c r="G89" s="64">
        <v>24.27</v>
      </c>
      <c r="H89" s="64">
        <v>5.14</v>
      </c>
      <c r="I89" s="64">
        <v>0.88</v>
      </c>
      <c r="J89" s="64">
        <v>0.14000000000000001</v>
      </c>
      <c r="K89" s="64">
        <v>126.75</v>
      </c>
      <c r="L89" s="64">
        <v>24.01</v>
      </c>
      <c r="M89" s="64">
        <v>98.21</v>
      </c>
      <c r="N89" s="64">
        <v>43.6</v>
      </c>
      <c r="O89" s="64">
        <v>0</v>
      </c>
      <c r="P89" s="64">
        <v>0.38</v>
      </c>
      <c r="Q89" s="64">
        <v>9.5</v>
      </c>
      <c r="R89" s="198"/>
      <c r="S89" s="198"/>
      <c r="T89" s="198"/>
      <c r="U89" s="198"/>
    </row>
    <row r="90" spans="1:26" s="12" customFormat="1" x14ac:dyDescent="0.25">
      <c r="A90" s="214" t="s">
        <v>613</v>
      </c>
      <c r="B90" s="64">
        <v>5.7</v>
      </c>
      <c r="C90" s="64">
        <v>14.45</v>
      </c>
      <c r="D90" s="64">
        <v>12.12</v>
      </c>
      <c r="E90" s="64">
        <v>4.8600000000000003</v>
      </c>
      <c r="F90" s="64">
        <v>8.09</v>
      </c>
      <c r="G90" s="64">
        <v>24.27</v>
      </c>
      <c r="H90" s="64">
        <v>5.14</v>
      </c>
      <c r="I90" s="64">
        <v>0.9</v>
      </c>
      <c r="J90" s="64">
        <v>0.16</v>
      </c>
      <c r="K90" s="64">
        <v>163.15</v>
      </c>
      <c r="L90" s="64">
        <v>23.9</v>
      </c>
      <c r="M90" s="64">
        <v>98.23</v>
      </c>
      <c r="N90" s="64">
        <v>44.6</v>
      </c>
      <c r="O90" s="64">
        <v>0</v>
      </c>
      <c r="P90" s="64">
        <v>0.39</v>
      </c>
      <c r="Q90" s="64">
        <v>9.49</v>
      </c>
      <c r="R90" s="198"/>
      <c r="S90" s="198"/>
      <c r="T90" s="198"/>
      <c r="U90" s="198"/>
    </row>
    <row r="91" spans="1:26" s="12" customFormat="1" x14ac:dyDescent="0.25">
      <c r="A91" s="214" t="s">
        <v>614</v>
      </c>
      <c r="B91" s="64">
        <v>8.92</v>
      </c>
      <c r="C91" s="64">
        <v>15.54</v>
      </c>
      <c r="D91" s="64">
        <v>15.18</v>
      </c>
      <c r="E91" s="64">
        <v>4.8899999999999997</v>
      </c>
      <c r="F91" s="64">
        <v>7.42</v>
      </c>
      <c r="G91" s="64">
        <v>23.94</v>
      </c>
      <c r="H91" s="64">
        <v>4.74</v>
      </c>
      <c r="I91" s="64">
        <v>0.96</v>
      </c>
      <c r="J91" s="64">
        <v>0.22</v>
      </c>
      <c r="K91" s="64">
        <v>131.68</v>
      </c>
      <c r="L91" s="64">
        <v>23.91</v>
      </c>
      <c r="M91" s="64">
        <v>98.21</v>
      </c>
      <c r="N91" s="64">
        <v>44.9</v>
      </c>
      <c r="O91" s="64">
        <v>0</v>
      </c>
      <c r="P91" s="64">
        <v>0.4</v>
      </c>
      <c r="Q91" s="64">
        <v>9.49</v>
      </c>
      <c r="R91" s="198"/>
      <c r="S91" s="198"/>
      <c r="T91" s="198"/>
      <c r="U91" s="198"/>
    </row>
    <row r="92" spans="1:26" s="12" customFormat="1" x14ac:dyDescent="0.25">
      <c r="A92" s="214" t="s">
        <v>615</v>
      </c>
      <c r="B92" s="64">
        <v>8.98</v>
      </c>
      <c r="C92" s="64">
        <v>13.69</v>
      </c>
      <c r="D92" s="64">
        <v>14.35</v>
      </c>
      <c r="E92" s="64">
        <v>4.97</v>
      </c>
      <c r="F92" s="64">
        <v>6.4</v>
      </c>
      <c r="G92" s="64">
        <v>22.27</v>
      </c>
      <c r="H92" s="64">
        <v>3.6</v>
      </c>
      <c r="I92" s="64">
        <v>0.97</v>
      </c>
      <c r="J92" s="64">
        <v>0.66</v>
      </c>
      <c r="K92" s="64">
        <v>136.76</v>
      </c>
      <c r="L92" s="64">
        <v>23.96</v>
      </c>
      <c r="M92" s="64">
        <v>97.81</v>
      </c>
      <c r="N92" s="64">
        <v>44.9</v>
      </c>
      <c r="O92" s="64">
        <v>0</v>
      </c>
      <c r="P92" s="64">
        <v>0.38</v>
      </c>
      <c r="Q92" s="64">
        <v>9.51</v>
      </c>
      <c r="R92" s="198"/>
      <c r="S92" s="198"/>
      <c r="T92" s="198"/>
      <c r="U92" s="198"/>
    </row>
    <row r="93" spans="1:26" s="12" customFormat="1" x14ac:dyDescent="0.25">
      <c r="A93" s="214" t="s">
        <v>616</v>
      </c>
      <c r="B93" s="64">
        <v>8.18</v>
      </c>
      <c r="C93" s="64">
        <v>10.61</v>
      </c>
      <c r="D93" s="64">
        <v>12.1</v>
      </c>
      <c r="E93" s="64">
        <v>4.82</v>
      </c>
      <c r="F93" s="64">
        <v>4.87</v>
      </c>
      <c r="G93" s="64">
        <v>22.27</v>
      </c>
      <c r="H93" s="64">
        <v>3.6</v>
      </c>
      <c r="I93" s="64">
        <v>1.01</v>
      </c>
      <c r="J93" s="64">
        <v>0.1</v>
      </c>
      <c r="K93" s="64">
        <v>178.04</v>
      </c>
      <c r="L93" s="64">
        <v>23.8</v>
      </c>
      <c r="M93" s="64">
        <v>98.32</v>
      </c>
      <c r="N93" s="64">
        <v>45.5</v>
      </c>
      <c r="O93" s="64">
        <v>0</v>
      </c>
      <c r="P93" s="64">
        <v>0.36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4" t="s">
        <v>617</v>
      </c>
      <c r="B94" s="64">
        <v>9.4</v>
      </c>
      <c r="C94" s="64">
        <v>12.9</v>
      </c>
      <c r="D94" s="64">
        <v>14.28</v>
      </c>
      <c r="E94" s="64">
        <v>4.75</v>
      </c>
      <c r="F94" s="64">
        <v>6.46</v>
      </c>
      <c r="G94" s="64">
        <v>22.27</v>
      </c>
      <c r="H94" s="64">
        <v>3.6</v>
      </c>
      <c r="I94" s="64">
        <v>1.07</v>
      </c>
      <c r="J94" s="64">
        <v>0.23</v>
      </c>
      <c r="K94" s="64">
        <v>131.19999999999999</v>
      </c>
      <c r="L94" s="64">
        <v>23.67</v>
      </c>
      <c r="M94" s="64">
        <v>97.79</v>
      </c>
      <c r="N94" s="64">
        <v>45.6</v>
      </c>
      <c r="O94" s="64">
        <v>0</v>
      </c>
      <c r="P94" s="64">
        <v>0.38</v>
      </c>
      <c r="Q94" s="64">
        <v>9.52</v>
      </c>
      <c r="R94" s="198"/>
      <c r="S94" s="198"/>
      <c r="T94" s="198"/>
      <c r="U94" s="198"/>
    </row>
    <row r="95" spans="1:26" s="12" customFormat="1" x14ac:dyDescent="0.25">
      <c r="A95" s="214" t="s">
        <v>618</v>
      </c>
      <c r="B95" s="64">
        <v>7.72</v>
      </c>
      <c r="C95" s="64">
        <v>11.29</v>
      </c>
      <c r="D95" s="64">
        <v>12.09</v>
      </c>
      <c r="E95" s="64">
        <v>4.95</v>
      </c>
      <c r="F95" s="64">
        <v>5.21</v>
      </c>
      <c r="G95" s="64">
        <v>21.31</v>
      </c>
      <c r="H95" s="64">
        <v>3.43</v>
      </c>
      <c r="I95" s="64">
        <v>1.01</v>
      </c>
      <c r="J95" s="64">
        <v>0.21</v>
      </c>
      <c r="K95" s="64">
        <v>129.33000000000001</v>
      </c>
      <c r="L95" s="64">
        <v>23.65</v>
      </c>
      <c r="M95" s="64">
        <v>97.83</v>
      </c>
      <c r="N95" s="64">
        <v>46.4</v>
      </c>
      <c r="O95" s="64">
        <v>0</v>
      </c>
      <c r="P95" s="64">
        <v>0.36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4" t="s">
        <v>619</v>
      </c>
      <c r="B96" s="64">
        <v>7.3</v>
      </c>
      <c r="C96" s="64">
        <v>10.09</v>
      </c>
      <c r="D96" s="64">
        <v>11.13</v>
      </c>
      <c r="E96" s="64">
        <v>4.6100000000000003</v>
      </c>
      <c r="F96" s="64">
        <v>6.46</v>
      </c>
      <c r="G96" s="64">
        <v>16.489999999999998</v>
      </c>
      <c r="H96" s="64">
        <v>2.52</v>
      </c>
      <c r="I96" s="64">
        <v>1</v>
      </c>
      <c r="J96" s="64">
        <v>0.3</v>
      </c>
      <c r="K96" s="64">
        <v>133.36000000000001</v>
      </c>
      <c r="L96" s="64">
        <v>23.43</v>
      </c>
      <c r="M96" s="64">
        <v>97.93</v>
      </c>
      <c r="N96" s="64">
        <v>42.6</v>
      </c>
      <c r="O96" s="64">
        <v>0</v>
      </c>
      <c r="P96" s="64">
        <v>0.35</v>
      </c>
      <c r="Q96" s="64">
        <v>9.5299999999999994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620</v>
      </c>
      <c r="B97" s="64">
        <v>7.66</v>
      </c>
      <c r="C97" s="64">
        <v>8.81</v>
      </c>
      <c r="D97" s="64">
        <v>10.75</v>
      </c>
      <c r="E97" s="64">
        <v>4.7</v>
      </c>
      <c r="F97" s="64">
        <v>4.88</v>
      </c>
      <c r="G97" s="64">
        <v>16.489999999999998</v>
      </c>
      <c r="H97" s="64">
        <v>2.52</v>
      </c>
      <c r="I97" s="64">
        <v>1</v>
      </c>
      <c r="J97" s="64">
        <v>0.03</v>
      </c>
      <c r="K97" s="64">
        <v>171.6</v>
      </c>
      <c r="L97" s="64">
        <v>23.32</v>
      </c>
      <c r="M97" s="64">
        <v>98.35</v>
      </c>
      <c r="N97" s="64">
        <v>42.8</v>
      </c>
      <c r="O97" s="64">
        <v>0</v>
      </c>
      <c r="P97" s="64">
        <v>0.36</v>
      </c>
      <c r="Q97" s="64">
        <v>9.5299999999999994</v>
      </c>
      <c r="R97" s="198"/>
      <c r="S97" s="198"/>
      <c r="T97" s="198"/>
      <c r="U97" s="198"/>
    </row>
    <row r="98" spans="1:33" s="12" customFormat="1" x14ac:dyDescent="0.25">
      <c r="A98" s="214" t="s">
        <v>621</v>
      </c>
      <c r="B98" s="64">
        <v>7.14</v>
      </c>
      <c r="C98" s="64">
        <v>8.11</v>
      </c>
      <c r="D98" s="64">
        <v>9.9600000000000009</v>
      </c>
      <c r="E98" s="64">
        <v>5.08</v>
      </c>
      <c r="F98" s="64">
        <v>5.83</v>
      </c>
      <c r="G98" s="64">
        <v>16.489999999999998</v>
      </c>
      <c r="H98" s="64">
        <v>2.52</v>
      </c>
      <c r="I98" s="64">
        <v>1.02</v>
      </c>
      <c r="J98" s="64">
        <v>0.02</v>
      </c>
      <c r="K98" s="64">
        <v>152.38999999999999</v>
      </c>
      <c r="L98" s="64">
        <v>23.21</v>
      </c>
      <c r="M98" s="64">
        <v>97.88</v>
      </c>
      <c r="N98" s="64">
        <v>43.7</v>
      </c>
      <c r="O98" s="64">
        <v>0</v>
      </c>
      <c r="P98" s="64">
        <v>0.32</v>
      </c>
      <c r="Q98" s="64">
        <v>9.5299999999999994</v>
      </c>
      <c r="R98" s="198"/>
      <c r="S98" s="198"/>
      <c r="T98" s="198"/>
      <c r="U98" s="198"/>
    </row>
    <row r="99" spans="1:33" s="12" customFormat="1" x14ac:dyDescent="0.25">
      <c r="A99" s="214" t="s">
        <v>622</v>
      </c>
      <c r="B99" s="64">
        <v>8.31</v>
      </c>
      <c r="C99" s="64">
        <v>8.1999999999999993</v>
      </c>
      <c r="D99" s="64">
        <v>10.95</v>
      </c>
      <c r="E99" s="64">
        <v>4.62</v>
      </c>
      <c r="F99" s="64">
        <v>3.97</v>
      </c>
      <c r="G99" s="64">
        <v>16.37</v>
      </c>
      <c r="H99" s="64">
        <v>3.23</v>
      </c>
      <c r="I99" s="64">
        <v>1.01</v>
      </c>
      <c r="J99" s="64">
        <v>0.05</v>
      </c>
      <c r="K99" s="64">
        <v>226.4</v>
      </c>
      <c r="L99" s="64">
        <v>23.21</v>
      </c>
      <c r="M99" s="64">
        <v>97.84</v>
      </c>
      <c r="N99" s="64">
        <v>44.6</v>
      </c>
      <c r="O99" s="64">
        <v>0</v>
      </c>
      <c r="P99" s="64">
        <v>0.36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4" t="s">
        <v>623</v>
      </c>
      <c r="B100" s="64">
        <v>8.0500000000000007</v>
      </c>
      <c r="C100" s="64">
        <v>9.23</v>
      </c>
      <c r="D100" s="64">
        <v>11.27</v>
      </c>
      <c r="E100" s="64">
        <v>4.6100000000000003</v>
      </c>
      <c r="F100" s="64">
        <v>4.91</v>
      </c>
      <c r="G100" s="64">
        <v>15.74</v>
      </c>
      <c r="H100" s="64">
        <v>5.93</v>
      </c>
      <c r="I100" s="64">
        <v>1.01</v>
      </c>
      <c r="J100" s="64">
        <v>0.1</v>
      </c>
      <c r="K100" s="64">
        <v>147.1</v>
      </c>
      <c r="L100" s="64">
        <v>23.07</v>
      </c>
      <c r="M100" s="64">
        <v>97.88</v>
      </c>
      <c r="N100" s="64">
        <v>45.1</v>
      </c>
      <c r="O100" s="64">
        <v>0</v>
      </c>
      <c r="P100" s="64">
        <v>0.33</v>
      </c>
      <c r="Q100" s="64">
        <v>9.5299999999999994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624</v>
      </c>
      <c r="B101" s="64">
        <v>8.1300000000000008</v>
      </c>
      <c r="C101" s="64">
        <v>7.45</v>
      </c>
      <c r="D101" s="64">
        <v>10.41</v>
      </c>
      <c r="E101" s="64">
        <v>4.82</v>
      </c>
      <c r="F101" s="64">
        <v>4.8499999999999996</v>
      </c>
      <c r="G101" s="64">
        <v>15.74</v>
      </c>
      <c r="H101" s="64">
        <v>5.93</v>
      </c>
      <c r="I101" s="64">
        <v>1.05</v>
      </c>
      <c r="J101" s="64">
        <v>0.11</v>
      </c>
      <c r="K101" s="64">
        <v>137.02000000000001</v>
      </c>
      <c r="L101" s="64">
        <v>22.99</v>
      </c>
      <c r="M101" s="64">
        <v>98.34</v>
      </c>
      <c r="N101" s="64">
        <v>45.7</v>
      </c>
      <c r="O101" s="64">
        <v>0</v>
      </c>
      <c r="P101" s="64">
        <v>0.33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4" t="s">
        <v>625</v>
      </c>
      <c r="B102" s="64">
        <v>7.07</v>
      </c>
      <c r="C102" s="64">
        <v>7.4</v>
      </c>
      <c r="D102" s="64">
        <v>9.5299999999999994</v>
      </c>
      <c r="E102" s="64">
        <v>4.63</v>
      </c>
      <c r="F102" s="64">
        <v>6.67</v>
      </c>
      <c r="G102" s="64">
        <v>15.74</v>
      </c>
      <c r="H102" s="64">
        <v>5.93</v>
      </c>
      <c r="I102" s="64">
        <v>1.04</v>
      </c>
      <c r="J102" s="64">
        <v>7.0000000000000007E-2</v>
      </c>
      <c r="K102" s="64">
        <v>128.88999999999999</v>
      </c>
      <c r="L102" s="64">
        <v>22.97</v>
      </c>
      <c r="M102" s="64">
        <v>97.84</v>
      </c>
      <c r="N102" s="64">
        <v>46.8</v>
      </c>
      <c r="O102" s="64">
        <v>0</v>
      </c>
      <c r="P102" s="64">
        <v>0.32</v>
      </c>
      <c r="Q102" s="64">
        <v>9.5299999999999994</v>
      </c>
      <c r="R102" s="198"/>
      <c r="S102" s="198"/>
      <c r="T102" s="198"/>
      <c r="U102" s="198"/>
    </row>
    <row r="103" spans="1:33" s="12" customFormat="1" x14ac:dyDescent="0.25">
      <c r="A103" s="214" t="s">
        <v>626</v>
      </c>
      <c r="B103" s="64">
        <v>7.01</v>
      </c>
      <c r="C103" s="64">
        <v>7.13</v>
      </c>
      <c r="D103" s="64">
        <v>9.34</v>
      </c>
      <c r="E103" s="64">
        <v>4.9400000000000004</v>
      </c>
      <c r="F103" s="64">
        <v>8.02</v>
      </c>
      <c r="G103" s="64">
        <v>16.45</v>
      </c>
      <c r="H103" s="64">
        <v>5.7</v>
      </c>
      <c r="I103" s="64">
        <v>0.98</v>
      </c>
      <c r="J103" s="64">
        <v>0.11</v>
      </c>
      <c r="K103" s="64">
        <v>118.7</v>
      </c>
      <c r="L103" s="64">
        <v>23.01</v>
      </c>
      <c r="M103" s="64">
        <v>97.86</v>
      </c>
      <c r="N103" s="64">
        <v>48.1</v>
      </c>
      <c r="O103" s="64">
        <v>0</v>
      </c>
      <c r="P103" s="64">
        <v>0.3</v>
      </c>
      <c r="Q103" s="64">
        <v>9.5299999999999994</v>
      </c>
      <c r="R103" s="198"/>
      <c r="S103" s="198"/>
      <c r="T103" s="198"/>
      <c r="U103" s="198"/>
    </row>
    <row r="104" spans="1:33" s="12" customFormat="1" x14ac:dyDescent="0.25">
      <c r="A104" s="214" t="s">
        <v>627</v>
      </c>
      <c r="B104" s="64">
        <v>6.77</v>
      </c>
      <c r="C104" s="64">
        <v>7.34</v>
      </c>
      <c r="D104" s="64">
        <v>9.27</v>
      </c>
      <c r="E104" s="64">
        <v>5.65</v>
      </c>
      <c r="F104" s="64">
        <v>8.0500000000000007</v>
      </c>
      <c r="G104" s="64">
        <v>20.010000000000002</v>
      </c>
      <c r="H104" s="64">
        <v>4.8</v>
      </c>
      <c r="I104" s="64">
        <v>0.93</v>
      </c>
      <c r="J104" s="64">
        <v>0.05</v>
      </c>
      <c r="K104" s="64">
        <v>188.92</v>
      </c>
      <c r="L104" s="64">
        <v>22.94</v>
      </c>
      <c r="M104" s="64">
        <v>97.92</v>
      </c>
      <c r="N104" s="64">
        <v>44.5</v>
      </c>
      <c r="O104" s="64">
        <v>0</v>
      </c>
      <c r="P104" s="64">
        <v>0.28999999999999998</v>
      </c>
      <c r="Q104" s="64">
        <v>9.5399999999999991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5.7</v>
      </c>
      <c r="C106" s="67">
        <f>MIN(C9:C104)</f>
        <v>5.2</v>
      </c>
      <c r="D106" s="67">
        <f t="shared" ref="D106:Q106" si="0">MIN(D9:D104)</f>
        <v>9.0299999999999994</v>
      </c>
      <c r="E106" s="67">
        <f t="shared" si="0"/>
        <v>3.72</v>
      </c>
      <c r="F106" s="67">
        <f t="shared" si="0"/>
        <v>2.76</v>
      </c>
      <c r="G106" s="67">
        <f t="shared" si="0"/>
        <v>9.36</v>
      </c>
      <c r="H106" s="67">
        <f t="shared" si="0"/>
        <v>1.32</v>
      </c>
      <c r="I106" s="67">
        <f t="shared" si="0"/>
        <v>0.83</v>
      </c>
      <c r="J106" s="67">
        <f t="shared" si="0"/>
        <v>0</v>
      </c>
      <c r="K106" s="67">
        <f t="shared" si="0"/>
        <v>113.39</v>
      </c>
      <c r="L106" s="67">
        <f t="shared" si="0"/>
        <v>22.72</v>
      </c>
      <c r="M106" s="67">
        <f t="shared" si="0"/>
        <v>97.08</v>
      </c>
      <c r="N106" s="67">
        <f t="shared" si="0"/>
        <v>27.4</v>
      </c>
      <c r="O106" s="67">
        <f t="shared" si="0"/>
        <v>0</v>
      </c>
      <c r="P106" s="67">
        <f t="shared" si="0"/>
        <v>0.23</v>
      </c>
      <c r="Q106" s="67">
        <f t="shared" si="0"/>
        <v>9.4600000000000009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11.34</v>
      </c>
      <c r="C107" s="66">
        <f t="shared" ref="C107:Q107" si="1">MAX(C9:C104)</f>
        <v>15.54</v>
      </c>
      <c r="D107" s="66">
        <f t="shared" si="1"/>
        <v>15.18</v>
      </c>
      <c r="E107" s="66">
        <f t="shared" si="1"/>
        <v>5.65</v>
      </c>
      <c r="F107" s="66">
        <f t="shared" si="1"/>
        <v>8.81</v>
      </c>
      <c r="G107" s="66">
        <f t="shared" si="1"/>
        <v>44.98</v>
      </c>
      <c r="H107" s="66">
        <f t="shared" si="1"/>
        <v>10.94</v>
      </c>
      <c r="I107" s="66">
        <f t="shared" si="1"/>
        <v>1.86</v>
      </c>
      <c r="J107" s="66">
        <f t="shared" si="1"/>
        <v>0.66</v>
      </c>
      <c r="K107" s="66">
        <f t="shared" si="1"/>
        <v>327.20999999999998</v>
      </c>
      <c r="L107" s="66">
        <f t="shared" si="1"/>
        <v>27.42</v>
      </c>
      <c r="M107" s="66">
        <f t="shared" si="1"/>
        <v>98.4</v>
      </c>
      <c r="N107" s="66">
        <f t="shared" si="1"/>
        <v>499.7</v>
      </c>
      <c r="O107" s="66">
        <f t="shared" si="1"/>
        <v>0</v>
      </c>
      <c r="P107" s="66">
        <f t="shared" si="1"/>
        <v>0.73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8.0257291666666664</v>
      </c>
      <c r="C108" s="67">
        <f t="shared" ref="C108:Q108" si="2">AVERAGE(C9:C104)</f>
        <v>7.7707291666666691</v>
      </c>
      <c r="D108" s="67">
        <f t="shared" si="2"/>
        <v>10.495104166666668</v>
      </c>
      <c r="E108" s="67">
        <f t="shared" si="2"/>
        <v>4.5262500000000019</v>
      </c>
      <c r="F108" s="67">
        <f t="shared" si="2"/>
        <v>5.2108333333333325</v>
      </c>
      <c r="G108" s="67">
        <f t="shared" si="2"/>
        <v>18.985937500000002</v>
      </c>
      <c r="H108" s="67">
        <f t="shared" si="2"/>
        <v>5.0404166666666663</v>
      </c>
      <c r="I108" s="67">
        <f t="shared" si="2"/>
        <v>1.1902083333333342</v>
      </c>
      <c r="J108" s="67">
        <f t="shared" si="2"/>
        <v>8.385416666666666E-2</v>
      </c>
      <c r="K108" s="67">
        <f t="shared" si="2"/>
        <v>233.25177083333335</v>
      </c>
      <c r="L108" s="67">
        <f t="shared" si="2"/>
        <v>24.206354166666667</v>
      </c>
      <c r="M108" s="67">
        <f t="shared" si="2"/>
        <v>98.170625000000044</v>
      </c>
      <c r="N108" s="67">
        <f t="shared" si="2"/>
        <v>107.05520833333333</v>
      </c>
      <c r="O108" s="67">
        <f t="shared" si="2"/>
        <v>0</v>
      </c>
      <c r="P108" s="67">
        <f t="shared" si="2"/>
        <v>0.35260416666666666</v>
      </c>
      <c r="Q108" s="67">
        <f t="shared" si="2"/>
        <v>9.5506250000000019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1.2364369392834085</v>
      </c>
      <c r="C109" s="67">
        <f t="shared" ref="C109:Q109" si="3">STDEV(C9:C104)</f>
        <v>2.0837396770390093</v>
      </c>
      <c r="D109" s="67">
        <f t="shared" si="3"/>
        <v>1.2058794517666054</v>
      </c>
      <c r="E109" s="67">
        <f t="shared" si="3"/>
        <v>0.42664480481272038</v>
      </c>
      <c r="F109" s="67">
        <f t="shared" si="3"/>
        <v>1.4497576324967085</v>
      </c>
      <c r="G109" s="67">
        <f t="shared" si="3"/>
        <v>7.3831296427983943</v>
      </c>
      <c r="H109" s="67">
        <f t="shared" si="3"/>
        <v>2.3155574146090321</v>
      </c>
      <c r="I109" s="67">
        <f t="shared" si="3"/>
        <v>0.31751329575697468</v>
      </c>
      <c r="J109" s="67">
        <f t="shared" si="3"/>
        <v>7.807378145624301E-2</v>
      </c>
      <c r="K109" s="67">
        <f t="shared" si="3"/>
        <v>64.067623599391212</v>
      </c>
      <c r="L109" s="67">
        <f t="shared" si="3"/>
        <v>1.3257658122892926</v>
      </c>
      <c r="M109" s="67">
        <f t="shared" si="3"/>
        <v>0.22039587588079615</v>
      </c>
      <c r="N109" s="67">
        <f t="shared" si="3"/>
        <v>106.21208462296623</v>
      </c>
      <c r="O109" s="67">
        <f t="shared" si="3"/>
        <v>0</v>
      </c>
      <c r="P109" s="67">
        <f t="shared" si="3"/>
        <v>9.7324684937818387E-2</v>
      </c>
      <c r="Q109" s="67">
        <f t="shared" si="3"/>
        <v>6.0538156736496582E-2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628</v>
      </c>
      <c r="B9" s="64">
        <v>6.42</v>
      </c>
      <c r="C9" s="64">
        <v>7.01</v>
      </c>
      <c r="D9" s="64">
        <v>8.81</v>
      </c>
      <c r="E9" s="64">
        <v>5.54</v>
      </c>
      <c r="F9" s="64">
        <v>6.62</v>
      </c>
      <c r="G9" s="64">
        <v>20.010000000000002</v>
      </c>
      <c r="H9" s="64">
        <v>4.8</v>
      </c>
      <c r="I9" s="64">
        <v>0.92</v>
      </c>
      <c r="J9" s="64">
        <v>0.1</v>
      </c>
      <c r="K9" s="64">
        <v>127.2</v>
      </c>
      <c r="L9" s="64">
        <v>22.88</v>
      </c>
      <c r="M9" s="64">
        <v>98.47</v>
      </c>
      <c r="N9" s="64">
        <v>43.9</v>
      </c>
      <c r="O9" s="64">
        <v>0</v>
      </c>
      <c r="P9" s="64">
        <v>0.28000000000000003</v>
      </c>
      <c r="Q9" s="64">
        <v>9.56</v>
      </c>
      <c r="R9" s="198"/>
      <c r="S9" s="198"/>
      <c r="T9" s="198"/>
      <c r="U9" s="198"/>
    </row>
    <row r="10" spans="1:21" s="12" customFormat="1" x14ac:dyDescent="0.25">
      <c r="A10" s="214" t="s">
        <v>629</v>
      </c>
      <c r="B10" s="64">
        <v>6.6</v>
      </c>
      <c r="C10" s="64">
        <v>6.54</v>
      </c>
      <c r="D10" s="64">
        <v>8.7100000000000009</v>
      </c>
      <c r="E10" s="64">
        <v>5.53</v>
      </c>
      <c r="F10" s="64">
        <v>6.43</v>
      </c>
      <c r="G10" s="64">
        <v>20.010000000000002</v>
      </c>
      <c r="H10" s="64">
        <v>4.8</v>
      </c>
      <c r="I10" s="64">
        <v>0.91</v>
      </c>
      <c r="J10" s="64">
        <v>7.0000000000000007E-2</v>
      </c>
      <c r="K10" s="64">
        <v>152.55000000000001</v>
      </c>
      <c r="L10" s="64">
        <v>22.86</v>
      </c>
      <c r="M10" s="64">
        <v>97.98</v>
      </c>
      <c r="N10" s="64">
        <v>43.8</v>
      </c>
      <c r="O10" s="64">
        <v>0</v>
      </c>
      <c r="P10" s="64">
        <v>0.3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4" t="s">
        <v>630</v>
      </c>
      <c r="B11" s="64">
        <v>6.55</v>
      </c>
      <c r="C11" s="64">
        <v>6.39</v>
      </c>
      <c r="D11" s="64">
        <v>8.59</v>
      </c>
      <c r="E11" s="64">
        <v>5.77</v>
      </c>
      <c r="F11" s="64">
        <v>6.28</v>
      </c>
      <c r="G11" s="64">
        <v>20.399999999999999</v>
      </c>
      <c r="H11" s="64">
        <v>4.26</v>
      </c>
      <c r="I11" s="64">
        <v>0.91</v>
      </c>
      <c r="J11" s="64">
        <v>0.13</v>
      </c>
      <c r="K11" s="64">
        <v>136.69</v>
      </c>
      <c r="L11" s="64">
        <v>22.9</v>
      </c>
      <c r="M11" s="64">
        <v>97.97</v>
      </c>
      <c r="N11" s="64">
        <v>44.3</v>
      </c>
      <c r="O11" s="64">
        <v>0</v>
      </c>
      <c r="P11" s="64">
        <v>0.27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4" t="s">
        <v>631</v>
      </c>
      <c r="B12" s="64">
        <v>6.64</v>
      </c>
      <c r="C12" s="64">
        <v>5.84</v>
      </c>
      <c r="D12" s="64">
        <v>8.3800000000000008</v>
      </c>
      <c r="E12" s="64">
        <v>5.86</v>
      </c>
      <c r="F12" s="64">
        <v>7.45</v>
      </c>
      <c r="G12" s="64">
        <v>22.38</v>
      </c>
      <c r="H12" s="64">
        <v>3.36</v>
      </c>
      <c r="I12" s="64">
        <v>0.91</v>
      </c>
      <c r="J12" s="64">
        <v>0.02</v>
      </c>
      <c r="K12" s="64">
        <v>154.49</v>
      </c>
      <c r="L12" s="64">
        <v>22.87</v>
      </c>
      <c r="M12" s="64">
        <v>97.99</v>
      </c>
      <c r="N12" s="64">
        <v>45</v>
      </c>
      <c r="O12" s="64">
        <v>0</v>
      </c>
      <c r="P12" s="64">
        <v>0.27</v>
      </c>
      <c r="Q12" s="64">
        <v>9.57</v>
      </c>
      <c r="R12" s="198"/>
      <c r="S12" s="198"/>
      <c r="T12" s="198"/>
      <c r="U12" s="198"/>
    </row>
    <row r="13" spans="1:21" s="12" customFormat="1" x14ac:dyDescent="0.25">
      <c r="A13" s="214" t="s">
        <v>632</v>
      </c>
      <c r="B13" s="64">
        <v>6.65</v>
      </c>
      <c r="C13" s="64">
        <v>5.54</v>
      </c>
      <c r="D13" s="64">
        <v>8.2200000000000006</v>
      </c>
      <c r="E13" s="64">
        <v>5.99</v>
      </c>
      <c r="F13" s="64">
        <v>7.98</v>
      </c>
      <c r="G13" s="64">
        <v>22.38</v>
      </c>
      <c r="H13" s="64">
        <v>3.36</v>
      </c>
      <c r="I13" s="64">
        <v>0.89</v>
      </c>
      <c r="J13" s="64">
        <v>7.0000000000000007E-2</v>
      </c>
      <c r="K13" s="64">
        <v>122.14</v>
      </c>
      <c r="L13" s="64">
        <v>22.84</v>
      </c>
      <c r="M13" s="64">
        <v>98.53</v>
      </c>
      <c r="N13" s="64">
        <v>45.4</v>
      </c>
      <c r="O13" s="64">
        <v>0</v>
      </c>
      <c r="P13" s="64">
        <v>0.26</v>
      </c>
      <c r="Q13" s="64">
        <v>9.57</v>
      </c>
      <c r="R13" s="198"/>
      <c r="S13" s="198"/>
      <c r="T13" s="198"/>
      <c r="U13" s="198"/>
    </row>
    <row r="14" spans="1:21" s="12" customFormat="1" x14ac:dyDescent="0.25">
      <c r="A14" s="214" t="s">
        <v>633</v>
      </c>
      <c r="B14" s="64">
        <v>6.75</v>
      </c>
      <c r="C14" s="64">
        <v>5.66</v>
      </c>
      <c r="D14" s="64">
        <v>8.3699999999999992</v>
      </c>
      <c r="E14" s="64">
        <v>5.9</v>
      </c>
      <c r="F14" s="64">
        <v>5.98</v>
      </c>
      <c r="G14" s="64">
        <v>22.38</v>
      </c>
      <c r="H14" s="64">
        <v>3.36</v>
      </c>
      <c r="I14" s="64">
        <v>0.89</v>
      </c>
      <c r="J14" s="64">
        <v>0.08</v>
      </c>
      <c r="K14" s="64">
        <v>123.25</v>
      </c>
      <c r="L14" s="64">
        <v>22.79</v>
      </c>
      <c r="M14" s="64">
        <v>98</v>
      </c>
      <c r="N14" s="64">
        <v>46.1</v>
      </c>
      <c r="O14" s="64">
        <v>0</v>
      </c>
      <c r="P14" s="64">
        <v>0.26</v>
      </c>
      <c r="Q14" s="64">
        <v>9.57</v>
      </c>
      <c r="R14" s="198"/>
      <c r="S14" s="198"/>
      <c r="T14" s="198"/>
      <c r="U14" s="198"/>
    </row>
    <row r="15" spans="1:21" s="12" customFormat="1" x14ac:dyDescent="0.25">
      <c r="A15" s="214" t="s">
        <v>634</v>
      </c>
      <c r="B15" s="64">
        <v>7.94</v>
      </c>
      <c r="C15" s="64">
        <v>5.74</v>
      </c>
      <c r="D15" s="64">
        <v>9.36</v>
      </c>
      <c r="E15" s="64">
        <v>5.8</v>
      </c>
      <c r="F15" s="64">
        <v>5.1100000000000003</v>
      </c>
      <c r="G15" s="64">
        <v>21.33</v>
      </c>
      <c r="H15" s="64">
        <v>2.79</v>
      </c>
      <c r="I15" s="64">
        <v>0.88</v>
      </c>
      <c r="J15" s="64">
        <v>7.0000000000000007E-2</v>
      </c>
      <c r="K15" s="64">
        <v>159.88</v>
      </c>
      <c r="L15" s="64">
        <v>22.84</v>
      </c>
      <c r="M15" s="64">
        <v>98.23</v>
      </c>
      <c r="N15" s="64">
        <v>47.4</v>
      </c>
      <c r="O15" s="64">
        <v>0</v>
      </c>
      <c r="P15" s="64">
        <v>0.3</v>
      </c>
      <c r="Q15" s="64">
        <v>9.56</v>
      </c>
      <c r="R15" s="198"/>
      <c r="S15" s="198"/>
      <c r="T15" s="198"/>
      <c r="U15" s="198"/>
    </row>
    <row r="16" spans="1:21" s="12" customFormat="1" x14ac:dyDescent="0.25">
      <c r="A16" s="214" t="s">
        <v>635</v>
      </c>
      <c r="B16" s="64">
        <v>6.66</v>
      </c>
      <c r="C16" s="64">
        <v>6.06</v>
      </c>
      <c r="D16" s="64">
        <v>8.5</v>
      </c>
      <c r="E16" s="64">
        <v>6.05</v>
      </c>
      <c r="F16" s="64">
        <v>5.99</v>
      </c>
      <c r="G16" s="64">
        <v>16.079999999999998</v>
      </c>
      <c r="H16" s="64">
        <v>2.35</v>
      </c>
      <c r="I16" s="64">
        <v>0.86</v>
      </c>
      <c r="J16" s="64">
        <v>0.01</v>
      </c>
      <c r="K16" s="64">
        <v>192.62</v>
      </c>
      <c r="L16" s="64">
        <v>22.72</v>
      </c>
      <c r="M16" s="64">
        <v>98.58</v>
      </c>
      <c r="N16" s="64">
        <v>44.4</v>
      </c>
      <c r="O16" s="64">
        <v>0</v>
      </c>
      <c r="P16" s="64">
        <v>0.26</v>
      </c>
      <c r="Q16" s="64">
        <v>9.5399999999999991</v>
      </c>
      <c r="R16" s="198"/>
      <c r="S16" s="198"/>
      <c r="T16" s="198"/>
      <c r="U16" s="198"/>
    </row>
    <row r="17" spans="1:21" s="12" customFormat="1" x14ac:dyDescent="0.25">
      <c r="A17" s="214" t="s">
        <v>636</v>
      </c>
      <c r="B17" s="64">
        <v>7.71</v>
      </c>
      <c r="C17" s="64">
        <v>5.44</v>
      </c>
      <c r="D17" s="64">
        <v>9.02</v>
      </c>
      <c r="E17" s="64">
        <v>5.74</v>
      </c>
      <c r="F17" s="64">
        <v>5.78</v>
      </c>
      <c r="G17" s="64">
        <v>16.079999999999998</v>
      </c>
      <c r="H17" s="64">
        <v>2.35</v>
      </c>
      <c r="I17" s="64">
        <v>0.85</v>
      </c>
      <c r="J17" s="64">
        <v>0.18</v>
      </c>
      <c r="K17" s="64">
        <v>130.19999999999999</v>
      </c>
      <c r="L17" s="64">
        <v>22.74</v>
      </c>
      <c r="M17" s="64">
        <v>98.66</v>
      </c>
      <c r="N17" s="64">
        <v>45.6</v>
      </c>
      <c r="O17" s="64">
        <v>0</v>
      </c>
      <c r="P17" s="64">
        <v>0.27</v>
      </c>
      <c r="Q17" s="64">
        <v>9.5399999999999991</v>
      </c>
      <c r="R17" s="198"/>
      <c r="S17" s="198"/>
      <c r="T17" s="198"/>
      <c r="U17" s="198"/>
    </row>
    <row r="18" spans="1:21" s="12" customFormat="1" x14ac:dyDescent="0.25">
      <c r="A18" s="214" t="s">
        <v>637</v>
      </c>
      <c r="B18" s="64">
        <v>7.77</v>
      </c>
      <c r="C18" s="64">
        <v>5.51</v>
      </c>
      <c r="D18" s="64">
        <v>9.11</v>
      </c>
      <c r="E18" s="64">
        <v>5.63</v>
      </c>
      <c r="F18" s="64">
        <v>4.97</v>
      </c>
      <c r="G18" s="64">
        <v>16.079999999999998</v>
      </c>
      <c r="H18" s="64">
        <v>2.35</v>
      </c>
      <c r="I18" s="64">
        <v>0.84</v>
      </c>
      <c r="J18" s="64">
        <v>0.2</v>
      </c>
      <c r="K18" s="64">
        <v>120.21</v>
      </c>
      <c r="L18" s="64">
        <v>22.73</v>
      </c>
      <c r="M18" s="64">
        <v>98.7</v>
      </c>
      <c r="N18" s="64">
        <v>43.8</v>
      </c>
      <c r="O18" s="64">
        <v>0</v>
      </c>
      <c r="P18" s="64">
        <v>0.28999999999999998</v>
      </c>
      <c r="Q18" s="64">
        <v>9.5399999999999991</v>
      </c>
      <c r="R18" s="198"/>
      <c r="S18" s="198"/>
      <c r="T18" s="198"/>
      <c r="U18" s="198"/>
    </row>
    <row r="19" spans="1:21" s="12" customFormat="1" x14ac:dyDescent="0.25">
      <c r="A19" s="214" t="s">
        <v>638</v>
      </c>
      <c r="B19" s="64">
        <v>7.03</v>
      </c>
      <c r="C19" s="64">
        <v>5.52</v>
      </c>
      <c r="D19" s="64">
        <v>8.52</v>
      </c>
      <c r="E19" s="64">
        <v>5.9</v>
      </c>
      <c r="F19" s="64">
        <v>7.58</v>
      </c>
      <c r="G19" s="64">
        <v>15.3</v>
      </c>
      <c r="H19" s="64">
        <v>4.08</v>
      </c>
      <c r="I19" s="64">
        <v>0.83</v>
      </c>
      <c r="J19" s="64">
        <v>0.24</v>
      </c>
      <c r="K19" s="64">
        <v>131.35</v>
      </c>
      <c r="L19" s="64">
        <v>22.68</v>
      </c>
      <c r="M19" s="64">
        <v>98.65</v>
      </c>
      <c r="N19" s="64">
        <v>41.8</v>
      </c>
      <c r="O19" s="64">
        <v>0</v>
      </c>
      <c r="P19" s="64">
        <v>0.23</v>
      </c>
      <c r="Q19" s="64">
        <v>9.5500000000000007</v>
      </c>
      <c r="R19" s="198"/>
      <c r="S19" s="198"/>
      <c r="T19" s="198"/>
      <c r="U19" s="198"/>
    </row>
    <row r="20" spans="1:21" s="12" customFormat="1" x14ac:dyDescent="0.25">
      <c r="A20" s="214" t="s">
        <v>639</v>
      </c>
      <c r="B20" s="64">
        <v>7.79</v>
      </c>
      <c r="C20" s="64">
        <v>5.0999999999999996</v>
      </c>
      <c r="D20" s="64">
        <v>8.91</v>
      </c>
      <c r="E20" s="64">
        <v>5.67</v>
      </c>
      <c r="F20" s="64">
        <v>6.22</v>
      </c>
      <c r="G20" s="64">
        <v>11.41</v>
      </c>
      <c r="H20" s="64">
        <v>9.26</v>
      </c>
      <c r="I20" s="64">
        <v>0.82</v>
      </c>
      <c r="J20" s="64">
        <v>0.17</v>
      </c>
      <c r="K20" s="64">
        <v>126.63</v>
      </c>
      <c r="L20" s="64">
        <v>22.63</v>
      </c>
      <c r="M20" s="64">
        <v>98.62</v>
      </c>
      <c r="N20" s="64">
        <v>42.2</v>
      </c>
      <c r="O20" s="64">
        <v>0</v>
      </c>
      <c r="P20" s="64">
        <v>0.28999999999999998</v>
      </c>
      <c r="Q20" s="64">
        <v>9.5500000000000007</v>
      </c>
      <c r="R20" s="198"/>
      <c r="S20" s="198"/>
      <c r="T20" s="198"/>
      <c r="U20" s="198"/>
    </row>
    <row r="21" spans="1:21" s="12" customFormat="1" x14ac:dyDescent="0.25">
      <c r="A21" s="214" t="s">
        <v>640</v>
      </c>
      <c r="B21" s="64">
        <v>7.15</v>
      </c>
      <c r="C21" s="64">
        <v>5.33</v>
      </c>
      <c r="D21" s="64">
        <v>8.52</v>
      </c>
      <c r="E21" s="64">
        <v>5.9</v>
      </c>
      <c r="F21" s="64">
        <v>5.58</v>
      </c>
      <c r="G21" s="64">
        <v>11.41</v>
      </c>
      <c r="H21" s="64">
        <v>9.26</v>
      </c>
      <c r="I21" s="64">
        <v>0.81</v>
      </c>
      <c r="J21" s="64">
        <v>0.1</v>
      </c>
      <c r="K21" s="64">
        <v>128.82</v>
      </c>
      <c r="L21" s="64">
        <v>22.62</v>
      </c>
      <c r="M21" s="64">
        <v>98.73</v>
      </c>
      <c r="N21" s="64">
        <v>42.4</v>
      </c>
      <c r="O21" s="64">
        <v>0</v>
      </c>
      <c r="P21" s="64">
        <v>0.23</v>
      </c>
      <c r="Q21" s="64">
        <v>9.5399999999999991</v>
      </c>
      <c r="R21" s="198"/>
      <c r="S21" s="198"/>
      <c r="T21" s="198"/>
      <c r="U21" s="198"/>
    </row>
    <row r="22" spans="1:21" s="12" customFormat="1" x14ac:dyDescent="0.25">
      <c r="A22" s="214" t="s">
        <v>641</v>
      </c>
      <c r="B22" s="64">
        <v>7.98</v>
      </c>
      <c r="C22" s="64">
        <v>5.14</v>
      </c>
      <c r="D22" s="64">
        <v>9.08</v>
      </c>
      <c r="E22" s="64">
        <v>5.68</v>
      </c>
      <c r="F22" s="64">
        <v>4.8499999999999996</v>
      </c>
      <c r="G22" s="64">
        <v>11.41</v>
      </c>
      <c r="H22" s="64">
        <v>9.26</v>
      </c>
      <c r="I22" s="64">
        <v>0.81</v>
      </c>
      <c r="J22" s="64">
        <v>0.16</v>
      </c>
      <c r="K22" s="64">
        <v>113.68</v>
      </c>
      <c r="L22" s="64">
        <v>22.63</v>
      </c>
      <c r="M22" s="64">
        <v>98.77</v>
      </c>
      <c r="N22" s="64">
        <v>42.4</v>
      </c>
      <c r="O22" s="64">
        <v>0</v>
      </c>
      <c r="P22" s="64">
        <v>0.28999999999999998</v>
      </c>
      <c r="Q22" s="64">
        <v>9.5399999999999991</v>
      </c>
      <c r="R22" s="198"/>
      <c r="S22" s="198"/>
      <c r="T22" s="198"/>
      <c r="U22" s="198"/>
    </row>
    <row r="23" spans="1:21" s="12" customFormat="1" x14ac:dyDescent="0.25">
      <c r="A23" s="214" t="s">
        <v>642</v>
      </c>
      <c r="B23" s="64">
        <v>7.34</v>
      </c>
      <c r="C23" s="64">
        <v>5.61</v>
      </c>
      <c r="D23" s="64">
        <v>8.82</v>
      </c>
      <c r="E23" s="64">
        <v>5.88</v>
      </c>
      <c r="F23" s="64">
        <v>6.8</v>
      </c>
      <c r="G23" s="64">
        <v>11.81</v>
      </c>
      <c r="H23" s="64">
        <v>8.68</v>
      </c>
      <c r="I23" s="64">
        <v>0.85</v>
      </c>
      <c r="J23" s="64">
        <v>0.22</v>
      </c>
      <c r="K23" s="64">
        <v>127.5</v>
      </c>
      <c r="L23" s="64">
        <v>22.65</v>
      </c>
      <c r="M23" s="64">
        <v>98.77</v>
      </c>
      <c r="N23" s="64">
        <v>42.4</v>
      </c>
      <c r="O23" s="64">
        <v>0</v>
      </c>
      <c r="P23" s="64">
        <v>0.23</v>
      </c>
      <c r="Q23" s="64">
        <v>9.5500000000000007</v>
      </c>
      <c r="R23" s="198"/>
      <c r="S23" s="198"/>
      <c r="T23" s="198"/>
      <c r="U23" s="198"/>
    </row>
    <row r="24" spans="1:21" s="12" customFormat="1" x14ac:dyDescent="0.25">
      <c r="A24" s="214" t="s">
        <v>643</v>
      </c>
      <c r="B24" s="64">
        <v>7.37</v>
      </c>
      <c r="C24" s="64">
        <v>5.85</v>
      </c>
      <c r="D24" s="64">
        <v>8.9700000000000006</v>
      </c>
      <c r="E24" s="64">
        <v>5.57</v>
      </c>
      <c r="F24" s="64">
        <v>5.58</v>
      </c>
      <c r="G24" s="64">
        <v>13.8</v>
      </c>
      <c r="H24" s="64">
        <v>6.48</v>
      </c>
      <c r="I24" s="64">
        <v>0.9</v>
      </c>
      <c r="J24" s="64">
        <v>0.06</v>
      </c>
      <c r="K24" s="64">
        <v>204.43</v>
      </c>
      <c r="L24" s="64">
        <v>22.73</v>
      </c>
      <c r="M24" s="64">
        <v>98.65</v>
      </c>
      <c r="N24" s="64">
        <v>42.6</v>
      </c>
      <c r="O24" s="64">
        <v>0</v>
      </c>
      <c r="P24" s="64">
        <v>0.25</v>
      </c>
      <c r="Q24" s="64">
        <v>9.5500000000000007</v>
      </c>
      <c r="R24" s="198"/>
      <c r="S24" s="198"/>
      <c r="T24" s="198"/>
      <c r="U24" s="198"/>
    </row>
    <row r="25" spans="1:21" s="12" customFormat="1" x14ac:dyDescent="0.25">
      <c r="A25" s="214" t="s">
        <v>644</v>
      </c>
      <c r="B25" s="64">
        <v>7.25</v>
      </c>
      <c r="C25" s="64">
        <v>6</v>
      </c>
      <c r="D25" s="64">
        <v>8.9499999999999993</v>
      </c>
      <c r="E25" s="64">
        <v>5.83</v>
      </c>
      <c r="F25" s="64">
        <v>8.2799999999999994</v>
      </c>
      <c r="G25" s="64">
        <v>13.8</v>
      </c>
      <c r="H25" s="64">
        <v>6.48</v>
      </c>
      <c r="I25" s="64">
        <v>0.89</v>
      </c>
      <c r="J25" s="64">
        <v>0.25</v>
      </c>
      <c r="K25" s="64">
        <v>125.88</v>
      </c>
      <c r="L25" s="64">
        <v>22.74</v>
      </c>
      <c r="M25" s="64">
        <v>98.65</v>
      </c>
      <c r="N25" s="64">
        <v>43</v>
      </c>
      <c r="O25" s="64">
        <v>0</v>
      </c>
      <c r="P25" s="64">
        <v>0.23</v>
      </c>
      <c r="Q25" s="64">
        <v>9.57</v>
      </c>
      <c r="R25" s="198"/>
      <c r="S25" s="198"/>
      <c r="T25" s="198"/>
      <c r="U25" s="198"/>
    </row>
    <row r="26" spans="1:21" s="12" customFormat="1" x14ac:dyDescent="0.25">
      <c r="A26" s="214" t="s">
        <v>645</v>
      </c>
      <c r="B26" s="64">
        <v>7.18</v>
      </c>
      <c r="C26" s="64">
        <v>6.59</v>
      </c>
      <c r="D26" s="64">
        <v>9.1999999999999993</v>
      </c>
      <c r="E26" s="64">
        <v>5.96</v>
      </c>
      <c r="F26" s="64">
        <v>7.23</v>
      </c>
      <c r="G26" s="64">
        <v>13.8</v>
      </c>
      <c r="H26" s="64">
        <v>6.48</v>
      </c>
      <c r="I26" s="64">
        <v>0.86</v>
      </c>
      <c r="J26" s="64">
        <v>0.25</v>
      </c>
      <c r="K26" s="64">
        <v>130.44</v>
      </c>
      <c r="L26" s="64">
        <v>22.77</v>
      </c>
      <c r="M26" s="64">
        <v>98.65</v>
      </c>
      <c r="N26" s="64">
        <v>43.2</v>
      </c>
      <c r="O26" s="64">
        <v>0</v>
      </c>
      <c r="P26" s="64">
        <v>0.23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14" t="s">
        <v>646</v>
      </c>
      <c r="B27" s="64">
        <v>7.08</v>
      </c>
      <c r="C27" s="64">
        <v>6.32</v>
      </c>
      <c r="D27" s="64">
        <v>8.98</v>
      </c>
      <c r="E27" s="64">
        <v>6.04</v>
      </c>
      <c r="F27" s="64">
        <v>8.15</v>
      </c>
      <c r="G27" s="64">
        <v>14.29</v>
      </c>
      <c r="H27" s="64">
        <v>5.54</v>
      </c>
      <c r="I27" s="64">
        <v>0.85</v>
      </c>
      <c r="J27" s="64">
        <v>0.28999999999999998</v>
      </c>
      <c r="K27" s="64">
        <v>124.19</v>
      </c>
      <c r="L27" s="64">
        <v>22.78</v>
      </c>
      <c r="M27" s="64">
        <v>98.65</v>
      </c>
      <c r="N27" s="64">
        <v>43.2</v>
      </c>
      <c r="O27" s="64">
        <v>0</v>
      </c>
      <c r="P27" s="64">
        <v>0.22</v>
      </c>
      <c r="Q27" s="64">
        <v>9.58</v>
      </c>
      <c r="R27" s="198"/>
      <c r="S27" s="198"/>
      <c r="T27" s="198"/>
      <c r="U27" s="198"/>
    </row>
    <row r="28" spans="1:21" s="12" customFormat="1" x14ac:dyDescent="0.25">
      <c r="A28" s="214" t="s">
        <v>647</v>
      </c>
      <c r="B28" s="64">
        <v>7.29</v>
      </c>
      <c r="C28" s="64">
        <v>6.9</v>
      </c>
      <c r="D28" s="64">
        <v>9.4499999999999993</v>
      </c>
      <c r="E28" s="64">
        <v>5.87</v>
      </c>
      <c r="F28" s="64">
        <v>7.67</v>
      </c>
      <c r="G28" s="64">
        <v>16.739999999999998</v>
      </c>
      <c r="H28" s="64">
        <v>4.54</v>
      </c>
      <c r="I28" s="64">
        <v>0.84</v>
      </c>
      <c r="J28" s="64">
        <v>0.41</v>
      </c>
      <c r="K28" s="64">
        <v>136.07</v>
      </c>
      <c r="L28" s="64">
        <v>22.8</v>
      </c>
      <c r="M28" s="64">
        <v>98.65</v>
      </c>
      <c r="N28" s="64">
        <v>43.5</v>
      </c>
      <c r="O28" s="64">
        <v>0</v>
      </c>
      <c r="P28" s="64">
        <v>0.23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4" t="s">
        <v>648</v>
      </c>
      <c r="B29" s="64">
        <v>8.02</v>
      </c>
      <c r="C29" s="64">
        <v>8.94</v>
      </c>
      <c r="D29" s="64">
        <v>11.11</v>
      </c>
      <c r="E29" s="64">
        <v>5.94</v>
      </c>
      <c r="F29" s="64">
        <v>6</v>
      </c>
      <c r="G29" s="64">
        <v>16.739999999999998</v>
      </c>
      <c r="H29" s="64">
        <v>4.54</v>
      </c>
      <c r="I29" s="64">
        <v>0.83</v>
      </c>
      <c r="J29" s="64">
        <v>0.37</v>
      </c>
      <c r="K29" s="64">
        <v>145.91999999999999</v>
      </c>
      <c r="L29" s="64">
        <v>22.81</v>
      </c>
      <c r="M29" s="64">
        <v>98.63</v>
      </c>
      <c r="N29" s="64">
        <v>44.1</v>
      </c>
      <c r="O29" s="64">
        <v>0</v>
      </c>
      <c r="P29" s="64">
        <v>0.24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4" t="s">
        <v>649</v>
      </c>
      <c r="B30" s="64">
        <v>8.3699999999999992</v>
      </c>
      <c r="C30" s="64">
        <v>8.9</v>
      </c>
      <c r="D30" s="64">
        <v>11.36</v>
      </c>
      <c r="E30" s="64">
        <v>6.07</v>
      </c>
      <c r="F30" s="64">
        <v>8.2100000000000009</v>
      </c>
      <c r="G30" s="64">
        <v>16.739999999999998</v>
      </c>
      <c r="H30" s="64">
        <v>4.54</v>
      </c>
      <c r="I30" s="64">
        <v>0.83</v>
      </c>
      <c r="J30" s="64">
        <v>0.12</v>
      </c>
      <c r="K30" s="64">
        <v>142.12</v>
      </c>
      <c r="L30" s="64">
        <v>22.78</v>
      </c>
      <c r="M30" s="64">
        <v>98.65</v>
      </c>
      <c r="N30" s="64">
        <v>44.6</v>
      </c>
      <c r="O30" s="64">
        <v>0</v>
      </c>
      <c r="P30" s="64">
        <v>0.24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650</v>
      </c>
      <c r="B31" s="64">
        <v>9.34</v>
      </c>
      <c r="C31" s="64">
        <v>9.9</v>
      </c>
      <c r="D31" s="64">
        <v>12.67</v>
      </c>
      <c r="E31" s="64">
        <v>5.9</v>
      </c>
      <c r="F31" s="64">
        <v>4.91</v>
      </c>
      <c r="G31" s="64">
        <v>16.25</v>
      </c>
      <c r="H31" s="64">
        <v>4.1900000000000004</v>
      </c>
      <c r="I31" s="64">
        <v>0.83</v>
      </c>
      <c r="J31" s="64">
        <v>0.32</v>
      </c>
      <c r="K31" s="64">
        <v>155.66999999999999</v>
      </c>
      <c r="L31" s="64">
        <v>22.79</v>
      </c>
      <c r="M31" s="64">
        <v>98.67</v>
      </c>
      <c r="N31" s="64">
        <v>45.9</v>
      </c>
      <c r="O31" s="64">
        <v>0</v>
      </c>
      <c r="P31" s="64">
        <v>0.25</v>
      </c>
      <c r="Q31" s="64">
        <v>9.6</v>
      </c>
      <c r="R31" s="198"/>
      <c r="S31" s="198"/>
      <c r="T31" s="198"/>
      <c r="U31" s="198"/>
    </row>
    <row r="32" spans="1:21" s="12" customFormat="1" x14ac:dyDescent="0.25">
      <c r="A32" s="214" t="s">
        <v>651</v>
      </c>
      <c r="B32" s="64">
        <v>9.0500000000000007</v>
      </c>
      <c r="C32" s="64">
        <v>7.56</v>
      </c>
      <c r="D32" s="64">
        <v>11.2</v>
      </c>
      <c r="E32" s="64">
        <v>5.94</v>
      </c>
      <c r="F32" s="64">
        <v>5.12</v>
      </c>
      <c r="G32" s="64">
        <v>13.79</v>
      </c>
      <c r="H32" s="64">
        <v>3.18</v>
      </c>
      <c r="I32" s="64">
        <v>0.83</v>
      </c>
      <c r="J32" s="64">
        <v>0.31</v>
      </c>
      <c r="K32" s="64">
        <v>144.36000000000001</v>
      </c>
      <c r="L32" s="64">
        <v>22.82</v>
      </c>
      <c r="M32" s="64">
        <v>98.67</v>
      </c>
      <c r="N32" s="64">
        <v>50.4</v>
      </c>
      <c r="O32" s="64">
        <v>0</v>
      </c>
      <c r="P32" s="64">
        <v>0.26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4" t="s">
        <v>652</v>
      </c>
      <c r="B33" s="64">
        <v>10.11</v>
      </c>
      <c r="C33" s="64">
        <v>6.37</v>
      </c>
      <c r="D33" s="64">
        <v>11.43</v>
      </c>
      <c r="E33" s="64">
        <v>5.82</v>
      </c>
      <c r="F33" s="64">
        <v>4.32</v>
      </c>
      <c r="G33" s="64">
        <v>13.79</v>
      </c>
      <c r="H33" s="64">
        <v>3.18</v>
      </c>
      <c r="I33" s="64">
        <v>0.83</v>
      </c>
      <c r="J33" s="64">
        <v>0.19</v>
      </c>
      <c r="K33" s="64">
        <v>140.08000000000001</v>
      </c>
      <c r="L33" s="64">
        <v>22.91</v>
      </c>
      <c r="M33" s="64">
        <v>98.68</v>
      </c>
      <c r="N33" s="64">
        <v>59.8</v>
      </c>
      <c r="O33" s="64">
        <v>0</v>
      </c>
      <c r="P33" s="64">
        <v>0.28000000000000003</v>
      </c>
      <c r="Q33" s="64">
        <v>9.59</v>
      </c>
      <c r="R33" s="198"/>
      <c r="S33" s="198"/>
      <c r="T33" s="198"/>
      <c r="U33" s="198"/>
    </row>
    <row r="34" spans="1:21" s="12" customFormat="1" x14ac:dyDescent="0.25">
      <c r="A34" s="214" t="s">
        <v>653</v>
      </c>
      <c r="B34" s="64">
        <v>11.56</v>
      </c>
      <c r="C34" s="64">
        <v>8.3800000000000008</v>
      </c>
      <c r="D34" s="64">
        <v>13.65</v>
      </c>
      <c r="E34" s="64">
        <v>6.02</v>
      </c>
      <c r="F34" s="64">
        <v>5.01</v>
      </c>
      <c r="G34" s="64">
        <v>13.79</v>
      </c>
      <c r="H34" s="64">
        <v>3.18</v>
      </c>
      <c r="I34" s="64">
        <v>0.81</v>
      </c>
      <c r="J34" s="64">
        <v>0.76</v>
      </c>
      <c r="K34" s="64">
        <v>135.79</v>
      </c>
      <c r="L34" s="64">
        <v>22.96</v>
      </c>
      <c r="M34" s="64">
        <v>98.67</v>
      </c>
      <c r="N34" s="64">
        <v>68.599999999999994</v>
      </c>
      <c r="O34" s="64">
        <v>0</v>
      </c>
      <c r="P34" s="64">
        <v>0.28000000000000003</v>
      </c>
      <c r="Q34" s="64">
        <v>9.59</v>
      </c>
      <c r="R34" s="198"/>
      <c r="S34" s="198"/>
      <c r="T34" s="198"/>
      <c r="U34" s="198"/>
    </row>
    <row r="35" spans="1:21" s="12" customFormat="1" x14ac:dyDescent="0.25">
      <c r="A35" s="214" t="s">
        <v>654</v>
      </c>
      <c r="B35" s="64">
        <v>10.59</v>
      </c>
      <c r="C35" s="64">
        <v>6.35</v>
      </c>
      <c r="D35" s="64">
        <v>11.81</v>
      </c>
      <c r="E35" s="64">
        <v>6.07</v>
      </c>
      <c r="F35" s="64">
        <v>5.04</v>
      </c>
      <c r="G35" s="64">
        <v>13.46</v>
      </c>
      <c r="H35" s="64">
        <v>4.66</v>
      </c>
      <c r="I35" s="64">
        <v>0.8</v>
      </c>
      <c r="J35" s="64">
        <v>0.52</v>
      </c>
      <c r="K35" s="64">
        <v>141.99</v>
      </c>
      <c r="L35" s="64">
        <v>23.03</v>
      </c>
      <c r="M35" s="64">
        <v>98.65</v>
      </c>
      <c r="N35" s="64">
        <v>77.599999999999994</v>
      </c>
      <c r="O35" s="64">
        <v>0</v>
      </c>
      <c r="P35" s="64">
        <v>0.26</v>
      </c>
      <c r="Q35" s="64">
        <v>9.58</v>
      </c>
      <c r="R35" s="198"/>
      <c r="S35" s="198"/>
      <c r="T35" s="198"/>
      <c r="U35" s="198"/>
    </row>
    <row r="36" spans="1:21" s="12" customFormat="1" x14ac:dyDescent="0.25">
      <c r="A36" s="214" t="s">
        <v>655</v>
      </c>
      <c r="B36" s="64">
        <v>10.85</v>
      </c>
      <c r="C36" s="64">
        <v>6.55</v>
      </c>
      <c r="D36" s="64">
        <v>12.12</v>
      </c>
      <c r="E36" s="64">
        <v>5.76</v>
      </c>
      <c r="F36" s="64">
        <v>3.96</v>
      </c>
      <c r="G36" s="64">
        <v>11.82</v>
      </c>
      <c r="H36" s="64">
        <v>10.49</v>
      </c>
      <c r="I36" s="64">
        <v>0.8</v>
      </c>
      <c r="J36" s="64">
        <v>0.34</v>
      </c>
      <c r="K36" s="64">
        <v>157.86000000000001</v>
      </c>
      <c r="L36" s="64">
        <v>23.26</v>
      </c>
      <c r="M36" s="64">
        <v>98.65</v>
      </c>
      <c r="N36" s="64">
        <v>111.1</v>
      </c>
      <c r="O36" s="64">
        <v>0</v>
      </c>
      <c r="P36" s="64">
        <v>0.28000000000000003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4" t="s">
        <v>656</v>
      </c>
      <c r="B37" s="64">
        <v>10.71</v>
      </c>
      <c r="C37" s="64">
        <v>7.37</v>
      </c>
      <c r="D37" s="64">
        <v>12.44</v>
      </c>
      <c r="E37" s="64">
        <v>5.71</v>
      </c>
      <c r="F37" s="64">
        <v>3.76</v>
      </c>
      <c r="G37" s="64">
        <v>11.82</v>
      </c>
      <c r="H37" s="64">
        <v>10.49</v>
      </c>
      <c r="I37" s="64">
        <v>0.81</v>
      </c>
      <c r="J37" s="64">
        <v>1.04</v>
      </c>
      <c r="K37" s="64">
        <v>143.05000000000001</v>
      </c>
      <c r="L37" s="64">
        <v>23.56</v>
      </c>
      <c r="M37" s="64">
        <v>98.64</v>
      </c>
      <c r="N37" s="64">
        <v>173.1</v>
      </c>
      <c r="O37" s="64">
        <v>0</v>
      </c>
      <c r="P37" s="64">
        <v>0.26</v>
      </c>
      <c r="Q37" s="64">
        <v>9.59</v>
      </c>
      <c r="R37" s="198"/>
      <c r="S37" s="198"/>
      <c r="T37" s="198"/>
      <c r="U37" s="198"/>
    </row>
    <row r="38" spans="1:21" s="12" customFormat="1" x14ac:dyDescent="0.25">
      <c r="A38" s="214" t="s">
        <v>657</v>
      </c>
      <c r="B38" s="64">
        <v>10.25</v>
      </c>
      <c r="C38" s="64">
        <v>5.79</v>
      </c>
      <c r="D38" s="64">
        <v>11.25</v>
      </c>
      <c r="E38" s="64">
        <v>5.99</v>
      </c>
      <c r="F38" s="64">
        <v>4.87</v>
      </c>
      <c r="G38" s="64">
        <v>11.82</v>
      </c>
      <c r="H38" s="64">
        <v>10.49</v>
      </c>
      <c r="I38" s="64">
        <v>0.81</v>
      </c>
      <c r="J38" s="64">
        <v>0.96</v>
      </c>
      <c r="K38" s="64">
        <v>139.04</v>
      </c>
      <c r="L38" s="64">
        <v>23.61</v>
      </c>
      <c r="M38" s="64">
        <v>98.65</v>
      </c>
      <c r="N38" s="64">
        <v>113.9</v>
      </c>
      <c r="O38" s="64">
        <v>0</v>
      </c>
      <c r="P38" s="64">
        <v>0.26</v>
      </c>
      <c r="Q38" s="64">
        <v>9.59</v>
      </c>
      <c r="R38" s="198"/>
      <c r="S38" s="198"/>
      <c r="T38" s="198"/>
      <c r="U38" s="198"/>
    </row>
    <row r="39" spans="1:21" s="12" customFormat="1" x14ac:dyDescent="0.25">
      <c r="A39" s="214" t="s">
        <v>658</v>
      </c>
      <c r="B39" s="64">
        <v>9.8699999999999992</v>
      </c>
      <c r="C39" s="64">
        <v>5.76</v>
      </c>
      <c r="D39" s="64">
        <v>10.93</v>
      </c>
      <c r="E39" s="64">
        <v>5.94</v>
      </c>
      <c r="F39" s="64">
        <v>4.62</v>
      </c>
      <c r="G39" s="64">
        <v>12.42</v>
      </c>
      <c r="H39" s="64">
        <v>9.85</v>
      </c>
      <c r="I39" s="64">
        <v>0.82</v>
      </c>
      <c r="J39" s="64">
        <v>0.36</v>
      </c>
      <c r="K39" s="64">
        <v>148.15</v>
      </c>
      <c r="L39" s="64">
        <v>23.22</v>
      </c>
      <c r="M39" s="64">
        <v>98.67</v>
      </c>
      <c r="N39" s="64">
        <v>91.5</v>
      </c>
      <c r="O39" s="64">
        <v>0</v>
      </c>
      <c r="P39" s="64">
        <v>0.27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4" t="s">
        <v>659</v>
      </c>
      <c r="B40" s="64">
        <v>10.33</v>
      </c>
      <c r="C40" s="64">
        <v>7.51</v>
      </c>
      <c r="D40" s="64">
        <v>12.21</v>
      </c>
      <c r="E40" s="64">
        <v>4.3</v>
      </c>
      <c r="F40" s="64">
        <v>5.16</v>
      </c>
      <c r="G40" s="64">
        <v>15.38</v>
      </c>
      <c r="H40" s="64">
        <v>7.34</v>
      </c>
      <c r="I40" s="64">
        <v>0.81</v>
      </c>
      <c r="J40" s="64">
        <v>0.23</v>
      </c>
      <c r="K40" s="64">
        <v>171.7</v>
      </c>
      <c r="L40" s="64">
        <v>23.1</v>
      </c>
      <c r="M40" s="64">
        <v>98.68</v>
      </c>
      <c r="N40" s="64">
        <v>110.9</v>
      </c>
      <c r="O40" s="64">
        <v>0</v>
      </c>
      <c r="P40" s="64">
        <v>0.27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4" t="s">
        <v>660</v>
      </c>
      <c r="B41" s="64">
        <v>11.11</v>
      </c>
      <c r="C41" s="64">
        <v>7.72</v>
      </c>
      <c r="D41" s="64">
        <v>12.94</v>
      </c>
      <c r="E41" s="64">
        <v>4.3499999999999996</v>
      </c>
      <c r="F41" s="64">
        <v>2.83</v>
      </c>
      <c r="G41" s="64">
        <v>15.38</v>
      </c>
      <c r="H41" s="64">
        <v>7.34</v>
      </c>
      <c r="I41" s="64">
        <v>0.82</v>
      </c>
      <c r="J41" s="64">
        <v>0.5</v>
      </c>
      <c r="K41" s="64">
        <v>150.75</v>
      </c>
      <c r="L41" s="64">
        <v>23.31</v>
      </c>
      <c r="M41" s="64">
        <v>98.67</v>
      </c>
      <c r="N41" s="64">
        <v>161.69999999999999</v>
      </c>
      <c r="O41" s="64">
        <v>0</v>
      </c>
      <c r="P41" s="64">
        <v>0.27</v>
      </c>
      <c r="Q41" s="64">
        <v>9.59</v>
      </c>
      <c r="R41" s="198"/>
      <c r="S41" s="198"/>
      <c r="T41" s="198"/>
      <c r="U41" s="198"/>
    </row>
    <row r="42" spans="1:21" s="12" customFormat="1" x14ac:dyDescent="0.25">
      <c r="A42" s="214" t="s">
        <v>661</v>
      </c>
      <c r="B42" s="64">
        <v>11.05</v>
      </c>
      <c r="C42" s="64">
        <v>6.07</v>
      </c>
      <c r="D42" s="64">
        <v>12.03</v>
      </c>
      <c r="E42" s="64">
        <v>4.47</v>
      </c>
      <c r="F42" s="64">
        <v>2.78</v>
      </c>
      <c r="G42" s="64">
        <v>15.38</v>
      </c>
      <c r="H42" s="64">
        <v>7.34</v>
      </c>
      <c r="I42" s="64">
        <v>0.82</v>
      </c>
      <c r="J42" s="64">
        <v>1.04</v>
      </c>
      <c r="K42" s="64">
        <v>141.94</v>
      </c>
      <c r="L42" s="64">
        <v>23.74</v>
      </c>
      <c r="M42" s="64">
        <v>98.66</v>
      </c>
      <c r="N42" s="64">
        <v>229.4</v>
      </c>
      <c r="O42" s="64">
        <v>0</v>
      </c>
      <c r="P42" s="64">
        <v>0.28000000000000003</v>
      </c>
      <c r="Q42" s="64">
        <v>9.57</v>
      </c>
      <c r="R42" s="198"/>
      <c r="S42" s="198"/>
      <c r="T42" s="198"/>
      <c r="U42" s="198"/>
    </row>
    <row r="43" spans="1:21" s="12" customFormat="1" x14ac:dyDescent="0.25">
      <c r="A43" s="214" t="s">
        <v>662</v>
      </c>
      <c r="B43" s="64">
        <v>10.29</v>
      </c>
      <c r="C43" s="64">
        <v>6.79</v>
      </c>
      <c r="D43" s="64">
        <v>11.8</v>
      </c>
      <c r="E43" s="64">
        <v>4.54</v>
      </c>
      <c r="F43" s="64">
        <v>6.52</v>
      </c>
      <c r="G43" s="64">
        <v>14.82</v>
      </c>
      <c r="H43" s="64">
        <v>6.9</v>
      </c>
      <c r="I43" s="64">
        <v>0.83</v>
      </c>
      <c r="J43" s="64">
        <v>0.71</v>
      </c>
      <c r="K43" s="64">
        <v>143.34</v>
      </c>
      <c r="L43" s="64">
        <v>23.76</v>
      </c>
      <c r="M43" s="64">
        <v>98.65</v>
      </c>
      <c r="N43" s="64">
        <v>139.80000000000001</v>
      </c>
      <c r="O43" s="64">
        <v>0</v>
      </c>
      <c r="P43" s="64">
        <v>0.28999999999999998</v>
      </c>
      <c r="Q43" s="64">
        <v>9.57</v>
      </c>
      <c r="R43" s="198"/>
      <c r="S43" s="198"/>
      <c r="T43" s="198"/>
      <c r="U43" s="198"/>
    </row>
    <row r="44" spans="1:21" s="12" customFormat="1" x14ac:dyDescent="0.25">
      <c r="A44" s="214" t="s">
        <v>663</v>
      </c>
      <c r="B44" s="64">
        <v>8.9</v>
      </c>
      <c r="C44" s="64">
        <v>7.91</v>
      </c>
      <c r="D44" s="64">
        <v>11.27</v>
      </c>
      <c r="E44" s="64">
        <v>4.55</v>
      </c>
      <c r="F44" s="64">
        <v>7.85</v>
      </c>
      <c r="G44" s="64">
        <v>12.01</v>
      </c>
      <c r="H44" s="64">
        <v>5.14</v>
      </c>
      <c r="I44" s="64">
        <v>0.84</v>
      </c>
      <c r="J44" s="64">
        <v>0.85</v>
      </c>
      <c r="K44" s="64">
        <v>137.19</v>
      </c>
      <c r="L44" s="64">
        <v>24.06</v>
      </c>
      <c r="M44" s="64">
        <v>98.64</v>
      </c>
      <c r="N44" s="64">
        <v>192.5</v>
      </c>
      <c r="O44" s="64">
        <v>0</v>
      </c>
      <c r="P44" s="64">
        <v>0.26</v>
      </c>
      <c r="Q44" s="64">
        <v>9.58</v>
      </c>
      <c r="R44" s="198"/>
      <c r="S44" s="198"/>
      <c r="T44" s="198"/>
      <c r="U44" s="198"/>
    </row>
    <row r="45" spans="1:21" s="12" customFormat="1" x14ac:dyDescent="0.25">
      <c r="A45" s="214" t="s">
        <v>664</v>
      </c>
      <c r="B45" s="64">
        <v>9.3699999999999992</v>
      </c>
      <c r="C45" s="64">
        <v>7.63</v>
      </c>
      <c r="D45" s="64">
        <v>11.5</v>
      </c>
      <c r="E45" s="64">
        <v>4.37</v>
      </c>
      <c r="F45" s="64">
        <v>6.3</v>
      </c>
      <c r="G45" s="64">
        <v>12.01</v>
      </c>
      <c r="H45" s="64">
        <v>5.14</v>
      </c>
      <c r="I45" s="64">
        <v>0.83</v>
      </c>
      <c r="J45" s="64">
        <v>0.63</v>
      </c>
      <c r="K45" s="64">
        <v>145.26</v>
      </c>
      <c r="L45" s="64">
        <v>24.38</v>
      </c>
      <c r="M45" s="64">
        <v>98.6</v>
      </c>
      <c r="N45" s="64">
        <v>217.8</v>
      </c>
      <c r="O45" s="64">
        <v>0</v>
      </c>
      <c r="P45" s="64">
        <v>0.26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4" t="s">
        <v>665</v>
      </c>
      <c r="B46" s="64">
        <v>9.6999999999999993</v>
      </c>
      <c r="C46" s="64">
        <v>6.85</v>
      </c>
      <c r="D46" s="64">
        <v>11.36</v>
      </c>
      <c r="E46" s="64">
        <v>4.8</v>
      </c>
      <c r="F46" s="64">
        <v>5.64</v>
      </c>
      <c r="G46" s="64">
        <v>12.01</v>
      </c>
      <c r="H46" s="64">
        <v>5.14</v>
      </c>
      <c r="I46" s="64">
        <v>0.82</v>
      </c>
      <c r="J46" s="64">
        <v>0.82</v>
      </c>
      <c r="K46" s="64">
        <v>141.19999999999999</v>
      </c>
      <c r="L46" s="64">
        <v>24.99</v>
      </c>
      <c r="M46" s="64">
        <v>98.58</v>
      </c>
      <c r="N46" s="64">
        <v>429.5</v>
      </c>
      <c r="O46" s="64">
        <v>0</v>
      </c>
      <c r="P46" s="64">
        <v>0.28000000000000003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14" t="s">
        <v>666</v>
      </c>
      <c r="B47" s="64">
        <v>8.8800000000000008</v>
      </c>
      <c r="C47" s="64">
        <v>6.97</v>
      </c>
      <c r="D47" s="64">
        <v>10.77</v>
      </c>
      <c r="E47" s="64">
        <v>4.5999999999999996</v>
      </c>
      <c r="F47" s="64">
        <v>9.4700000000000006</v>
      </c>
      <c r="G47" s="64">
        <v>12.37</v>
      </c>
      <c r="H47" s="64">
        <v>4.91</v>
      </c>
      <c r="I47" s="64">
        <v>0.82</v>
      </c>
      <c r="J47" s="64">
        <v>0.53</v>
      </c>
      <c r="K47" s="64">
        <v>141.35</v>
      </c>
      <c r="L47" s="64">
        <v>26.07</v>
      </c>
      <c r="M47" s="64">
        <v>98.53</v>
      </c>
      <c r="N47" s="64">
        <v>535.5</v>
      </c>
      <c r="O47" s="64">
        <v>0</v>
      </c>
      <c r="P47" s="64">
        <v>0.26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14" t="s">
        <v>667</v>
      </c>
      <c r="B48" s="64">
        <v>9.01</v>
      </c>
      <c r="C48" s="64">
        <v>6.97</v>
      </c>
      <c r="D48" s="64">
        <v>10.87</v>
      </c>
      <c r="E48" s="64">
        <v>4.6900000000000004</v>
      </c>
      <c r="F48" s="64">
        <v>6.78</v>
      </c>
      <c r="G48" s="64">
        <v>14.18</v>
      </c>
      <c r="H48" s="64">
        <v>3.6</v>
      </c>
      <c r="I48" s="64">
        <v>0.81</v>
      </c>
      <c r="J48" s="64">
        <v>0.71</v>
      </c>
      <c r="K48" s="64">
        <v>137.31</v>
      </c>
      <c r="L48" s="64">
        <v>27.09</v>
      </c>
      <c r="M48" s="64">
        <v>97.74</v>
      </c>
      <c r="N48" s="64">
        <v>686.4</v>
      </c>
      <c r="O48" s="64">
        <v>0</v>
      </c>
      <c r="P48" s="64">
        <v>0.27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4" t="s">
        <v>668</v>
      </c>
      <c r="B49" s="64">
        <v>8.92</v>
      </c>
      <c r="C49" s="64">
        <v>7.22</v>
      </c>
      <c r="D49" s="64">
        <v>10.93</v>
      </c>
      <c r="E49" s="64">
        <v>4.66</v>
      </c>
      <c r="F49" s="64">
        <v>7.4</v>
      </c>
      <c r="G49" s="64">
        <v>14.18</v>
      </c>
      <c r="H49" s="64">
        <v>3.6</v>
      </c>
      <c r="I49" s="64">
        <v>0.81</v>
      </c>
      <c r="J49" s="64">
        <v>0.89</v>
      </c>
      <c r="K49" s="64">
        <v>129.26</v>
      </c>
      <c r="L49" s="64">
        <v>27.42</v>
      </c>
      <c r="M49" s="64">
        <v>97.03</v>
      </c>
      <c r="N49" s="64">
        <v>490.7</v>
      </c>
      <c r="O49" s="64">
        <v>0</v>
      </c>
      <c r="P49" s="64">
        <v>0.26</v>
      </c>
      <c r="Q49" s="64">
        <v>9.57</v>
      </c>
      <c r="R49" s="198"/>
      <c r="S49" s="198"/>
      <c r="T49" s="198"/>
      <c r="U49" s="198"/>
    </row>
    <row r="50" spans="1:21" s="12" customFormat="1" x14ac:dyDescent="0.25">
      <c r="A50" s="214" t="s">
        <v>669</v>
      </c>
      <c r="B50" s="64">
        <v>9.0299999999999994</v>
      </c>
      <c r="C50" s="64">
        <v>7.02</v>
      </c>
      <c r="D50" s="64">
        <v>10.91</v>
      </c>
      <c r="E50" s="64">
        <v>4.66</v>
      </c>
      <c r="F50" s="64">
        <v>5.01</v>
      </c>
      <c r="G50" s="64">
        <v>14.18</v>
      </c>
      <c r="H50" s="64">
        <v>3.6</v>
      </c>
      <c r="I50" s="64">
        <v>0.83</v>
      </c>
      <c r="J50" s="64">
        <v>0.56999999999999995</v>
      </c>
      <c r="K50" s="64">
        <v>143</v>
      </c>
      <c r="L50" s="64">
        <v>27.34</v>
      </c>
      <c r="M50" s="64">
        <v>96.77</v>
      </c>
      <c r="N50" s="64">
        <v>554.9</v>
      </c>
      <c r="O50" s="64">
        <v>0</v>
      </c>
      <c r="P50" s="64">
        <v>0.25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4" t="s">
        <v>670</v>
      </c>
      <c r="B51" s="64">
        <v>9.0500000000000007</v>
      </c>
      <c r="C51" s="64">
        <v>6.8</v>
      </c>
      <c r="D51" s="64">
        <v>10.81</v>
      </c>
      <c r="E51" s="64">
        <v>4.53</v>
      </c>
      <c r="F51" s="64">
        <v>4.88</v>
      </c>
      <c r="G51" s="64">
        <v>14.71</v>
      </c>
      <c r="H51" s="64">
        <v>4.6900000000000004</v>
      </c>
      <c r="I51" s="64">
        <v>0.83</v>
      </c>
      <c r="J51" s="64">
        <v>0.31</v>
      </c>
      <c r="K51" s="64">
        <v>139.01</v>
      </c>
      <c r="L51" s="64">
        <v>27.62</v>
      </c>
      <c r="M51" s="64">
        <v>95.04</v>
      </c>
      <c r="N51" s="64">
        <v>467.6</v>
      </c>
      <c r="O51" s="64">
        <v>0</v>
      </c>
      <c r="P51" s="64">
        <v>0.27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4" t="s">
        <v>671</v>
      </c>
      <c r="B52" s="64">
        <v>8.7799999999999994</v>
      </c>
      <c r="C52" s="64">
        <v>7.12</v>
      </c>
      <c r="D52" s="64">
        <v>10.76</v>
      </c>
      <c r="E52" s="64">
        <v>4.79</v>
      </c>
      <c r="F52" s="64">
        <v>5.0999999999999996</v>
      </c>
      <c r="G52" s="64">
        <v>17.350000000000001</v>
      </c>
      <c r="H52" s="64">
        <v>8.99</v>
      </c>
      <c r="I52" s="64">
        <v>0.83</v>
      </c>
      <c r="J52" s="64">
        <v>0.45</v>
      </c>
      <c r="K52" s="64">
        <v>144.19</v>
      </c>
      <c r="L52" s="64">
        <v>28.35</v>
      </c>
      <c r="M52" s="64">
        <v>92.12</v>
      </c>
      <c r="N52" s="64">
        <v>809.3</v>
      </c>
      <c r="O52" s="64">
        <v>0</v>
      </c>
      <c r="P52" s="64">
        <v>0.27</v>
      </c>
      <c r="Q52" s="64">
        <v>9.5500000000000007</v>
      </c>
      <c r="R52" s="198"/>
      <c r="S52" s="198"/>
      <c r="T52" s="198"/>
      <c r="U52" s="198"/>
    </row>
    <row r="53" spans="1:21" s="12" customFormat="1" x14ac:dyDescent="0.25">
      <c r="A53" s="214" t="s">
        <v>672</v>
      </c>
      <c r="B53" s="64">
        <v>8.61</v>
      </c>
      <c r="C53" s="64">
        <v>7.25</v>
      </c>
      <c r="D53" s="64">
        <v>10.69</v>
      </c>
      <c r="E53" s="64">
        <v>4.4400000000000004</v>
      </c>
      <c r="F53" s="64">
        <v>4.43</v>
      </c>
      <c r="G53" s="64">
        <v>17.350000000000001</v>
      </c>
      <c r="H53" s="64">
        <v>8.99</v>
      </c>
      <c r="I53" s="64">
        <v>0.82</v>
      </c>
      <c r="J53" s="64">
        <v>0.1</v>
      </c>
      <c r="K53" s="64">
        <v>213.17</v>
      </c>
      <c r="L53" s="64">
        <v>28.64</v>
      </c>
      <c r="M53" s="64">
        <v>91.44</v>
      </c>
      <c r="N53" s="64">
        <v>705.4</v>
      </c>
      <c r="O53" s="64">
        <v>0</v>
      </c>
      <c r="P53" s="64">
        <v>0.27</v>
      </c>
      <c r="Q53" s="64">
        <v>9.5299999999999994</v>
      </c>
      <c r="R53" s="198"/>
      <c r="S53" s="198"/>
      <c r="T53" s="198"/>
      <c r="U53" s="198"/>
    </row>
    <row r="54" spans="1:21" s="12" customFormat="1" x14ac:dyDescent="0.25">
      <c r="A54" s="214" t="s">
        <v>673</v>
      </c>
      <c r="B54" s="64">
        <v>8.16</v>
      </c>
      <c r="C54" s="64">
        <v>7.24</v>
      </c>
      <c r="D54" s="64">
        <v>10.33</v>
      </c>
      <c r="E54" s="64">
        <v>4.6100000000000003</v>
      </c>
      <c r="F54" s="64">
        <v>8.0299999999999994</v>
      </c>
      <c r="G54" s="64">
        <v>17.350000000000001</v>
      </c>
      <c r="H54" s="64">
        <v>8.99</v>
      </c>
      <c r="I54" s="64">
        <v>0.81</v>
      </c>
      <c r="J54" s="64">
        <v>0.49</v>
      </c>
      <c r="K54" s="64">
        <v>141.71</v>
      </c>
      <c r="L54" s="64">
        <v>28.68</v>
      </c>
      <c r="M54" s="64">
        <v>89.91</v>
      </c>
      <c r="N54" s="64">
        <v>581.6</v>
      </c>
      <c r="O54" s="64">
        <v>0</v>
      </c>
      <c r="P54" s="64">
        <v>0.25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4" t="s">
        <v>674</v>
      </c>
      <c r="B55" s="64">
        <v>7.95</v>
      </c>
      <c r="C55" s="64">
        <v>7.74</v>
      </c>
      <c r="D55" s="64">
        <v>10.42</v>
      </c>
      <c r="E55" s="64">
        <v>4.5599999999999996</v>
      </c>
      <c r="F55" s="64">
        <v>10.42</v>
      </c>
      <c r="G55" s="64">
        <v>17.239999999999998</v>
      </c>
      <c r="H55" s="64">
        <v>8.44</v>
      </c>
      <c r="I55" s="64">
        <v>0.81</v>
      </c>
      <c r="J55" s="64">
        <v>0.54</v>
      </c>
      <c r="K55" s="64">
        <v>137.12</v>
      </c>
      <c r="L55" s="64">
        <v>28.79</v>
      </c>
      <c r="M55" s="64">
        <v>89.33</v>
      </c>
      <c r="N55" s="64">
        <v>697.5</v>
      </c>
      <c r="O55" s="64">
        <v>0</v>
      </c>
      <c r="P55" s="64">
        <v>0.26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4" t="s">
        <v>675</v>
      </c>
      <c r="B56" s="64">
        <v>8.1199999999999992</v>
      </c>
      <c r="C56" s="64">
        <v>8.49</v>
      </c>
      <c r="D56" s="64">
        <v>10.95</v>
      </c>
      <c r="E56" s="64">
        <v>4.67</v>
      </c>
      <c r="F56" s="64">
        <v>6.22</v>
      </c>
      <c r="G56" s="64">
        <v>16.64</v>
      </c>
      <c r="H56" s="64">
        <v>6.29</v>
      </c>
      <c r="I56" s="64">
        <v>0.8</v>
      </c>
      <c r="J56" s="64">
        <v>0.47</v>
      </c>
      <c r="K56" s="64">
        <v>150.15</v>
      </c>
      <c r="L56" s="64">
        <v>29.04</v>
      </c>
      <c r="M56" s="64">
        <v>85.88</v>
      </c>
      <c r="N56" s="64">
        <v>535.29999999999995</v>
      </c>
      <c r="O56" s="64">
        <v>0</v>
      </c>
      <c r="P56" s="64">
        <v>0.26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4" t="s">
        <v>676</v>
      </c>
      <c r="B57" s="64">
        <v>7.71</v>
      </c>
      <c r="C57" s="64">
        <v>7.64</v>
      </c>
      <c r="D57" s="64">
        <v>10.17</v>
      </c>
      <c r="E57" s="64">
        <v>4.29</v>
      </c>
      <c r="F57" s="64">
        <v>6.05</v>
      </c>
      <c r="G57" s="64">
        <v>16.64</v>
      </c>
      <c r="H57" s="64">
        <v>6.29</v>
      </c>
      <c r="I57" s="64">
        <v>0.79</v>
      </c>
      <c r="J57" s="64">
        <v>0.06</v>
      </c>
      <c r="K57" s="64">
        <v>253.2</v>
      </c>
      <c r="L57" s="64">
        <v>28.66</v>
      </c>
      <c r="M57" s="64">
        <v>86.76</v>
      </c>
      <c r="N57" s="64">
        <v>405.3</v>
      </c>
      <c r="O57" s="64">
        <v>0</v>
      </c>
      <c r="P57" s="64">
        <v>0.26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14" t="s">
        <v>677</v>
      </c>
      <c r="B58" s="64">
        <v>7.21</v>
      </c>
      <c r="C58" s="64">
        <v>8.09</v>
      </c>
      <c r="D58" s="64">
        <v>10.01</v>
      </c>
      <c r="E58" s="64">
        <v>4.78</v>
      </c>
      <c r="F58" s="64">
        <v>9.57</v>
      </c>
      <c r="G58" s="64">
        <v>16.64</v>
      </c>
      <c r="H58" s="64">
        <v>6.29</v>
      </c>
      <c r="I58" s="64">
        <v>0.8</v>
      </c>
      <c r="J58" s="64">
        <v>0.79</v>
      </c>
      <c r="K58" s="64">
        <v>133.82</v>
      </c>
      <c r="L58" s="64">
        <v>28.61</v>
      </c>
      <c r="M58" s="64">
        <v>88.84</v>
      </c>
      <c r="N58" s="64">
        <v>495.3</v>
      </c>
      <c r="O58" s="64">
        <v>0</v>
      </c>
      <c r="P58" s="64">
        <v>0.25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14" t="s">
        <v>678</v>
      </c>
      <c r="B59" s="64">
        <v>7.53</v>
      </c>
      <c r="C59" s="64">
        <v>8.0399999999999991</v>
      </c>
      <c r="D59" s="64">
        <v>10.24</v>
      </c>
      <c r="E59" s="64">
        <v>5.0599999999999996</v>
      </c>
      <c r="F59" s="64">
        <v>10.55</v>
      </c>
      <c r="G59" s="64">
        <v>17.690000000000001</v>
      </c>
      <c r="H59" s="64">
        <v>5.91</v>
      </c>
      <c r="I59" s="64">
        <v>0.79</v>
      </c>
      <c r="J59" s="64">
        <v>0.47</v>
      </c>
      <c r="K59" s="64">
        <v>136.55000000000001</v>
      </c>
      <c r="L59" s="64">
        <v>28.72</v>
      </c>
      <c r="M59" s="64">
        <v>87.09</v>
      </c>
      <c r="N59" s="64">
        <v>475.3</v>
      </c>
      <c r="O59" s="64">
        <v>0</v>
      </c>
      <c r="P59" s="64">
        <v>0.24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14" t="s">
        <v>679</v>
      </c>
      <c r="B60" s="64">
        <v>7.36</v>
      </c>
      <c r="C60" s="64">
        <v>7.59</v>
      </c>
      <c r="D60" s="64">
        <v>9.8699999999999992</v>
      </c>
      <c r="E60" s="64">
        <v>4.9000000000000004</v>
      </c>
      <c r="F60" s="64">
        <v>7.99</v>
      </c>
      <c r="G60" s="64">
        <v>22.91</v>
      </c>
      <c r="H60" s="64">
        <v>4.41</v>
      </c>
      <c r="I60" s="64">
        <v>0.78</v>
      </c>
      <c r="J60" s="64">
        <v>0.09</v>
      </c>
      <c r="K60" s="64">
        <v>225.03</v>
      </c>
      <c r="L60" s="64">
        <v>29.27</v>
      </c>
      <c r="M60" s="64">
        <v>84.17</v>
      </c>
      <c r="N60" s="64">
        <v>362.6</v>
      </c>
      <c r="O60" s="64">
        <v>0</v>
      </c>
      <c r="P60" s="64">
        <v>0.25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4" t="s">
        <v>680</v>
      </c>
      <c r="B61" s="64">
        <v>7.7</v>
      </c>
      <c r="C61" s="64">
        <v>7.52</v>
      </c>
      <c r="D61" s="64">
        <v>10.11</v>
      </c>
      <c r="E61" s="64">
        <v>4.7699999999999996</v>
      </c>
      <c r="F61" s="64">
        <v>4.9000000000000004</v>
      </c>
      <c r="G61" s="64">
        <v>22.91</v>
      </c>
      <c r="H61" s="64">
        <v>4.41</v>
      </c>
      <c r="I61" s="64">
        <v>0.79</v>
      </c>
      <c r="J61" s="64">
        <v>0.18</v>
      </c>
      <c r="K61" s="64">
        <v>158.69</v>
      </c>
      <c r="L61" s="64">
        <v>29.2</v>
      </c>
      <c r="M61" s="64">
        <v>85.21</v>
      </c>
      <c r="N61" s="64">
        <v>364.2</v>
      </c>
      <c r="O61" s="64">
        <v>0</v>
      </c>
      <c r="P61" s="64">
        <v>0.22</v>
      </c>
      <c r="Q61" s="64">
        <v>9.52</v>
      </c>
      <c r="R61" s="198"/>
      <c r="S61" s="198"/>
      <c r="T61" s="198"/>
      <c r="U61" s="198"/>
    </row>
    <row r="62" spans="1:21" s="12" customFormat="1" x14ac:dyDescent="0.25">
      <c r="A62" s="214" t="s">
        <v>681</v>
      </c>
      <c r="B62" s="64">
        <v>7.78</v>
      </c>
      <c r="C62" s="64">
        <v>7.75</v>
      </c>
      <c r="D62" s="64">
        <v>10.29</v>
      </c>
      <c r="E62" s="64">
        <v>4.84</v>
      </c>
      <c r="F62" s="64">
        <v>4.29</v>
      </c>
      <c r="G62" s="64">
        <v>22.91</v>
      </c>
      <c r="H62" s="64">
        <v>4.41</v>
      </c>
      <c r="I62" s="64">
        <v>0.8</v>
      </c>
      <c r="J62" s="64">
        <v>0.12</v>
      </c>
      <c r="K62" s="64">
        <v>258.52</v>
      </c>
      <c r="L62" s="64">
        <v>29.68</v>
      </c>
      <c r="M62" s="64">
        <v>80.39</v>
      </c>
      <c r="N62" s="64">
        <v>318</v>
      </c>
      <c r="O62" s="64">
        <v>0</v>
      </c>
      <c r="P62" s="64">
        <v>0.23</v>
      </c>
      <c r="Q62" s="64">
        <v>9.51</v>
      </c>
      <c r="R62" s="198"/>
      <c r="S62" s="198"/>
      <c r="T62" s="198"/>
      <c r="U62" s="198"/>
    </row>
    <row r="63" spans="1:21" s="12" customFormat="1" x14ac:dyDescent="0.25">
      <c r="A63" s="214" t="s">
        <v>682</v>
      </c>
      <c r="B63" s="64">
        <v>7.47</v>
      </c>
      <c r="C63" s="64">
        <v>7.96</v>
      </c>
      <c r="D63" s="64">
        <v>10.15</v>
      </c>
      <c r="E63" s="64">
        <v>4.8499999999999996</v>
      </c>
      <c r="F63" s="64">
        <v>5.67</v>
      </c>
      <c r="G63" s="64">
        <v>22.88</v>
      </c>
      <c r="H63" s="64">
        <v>4.26</v>
      </c>
      <c r="I63" s="64">
        <v>0.81</v>
      </c>
      <c r="J63" s="64">
        <v>0.12</v>
      </c>
      <c r="K63" s="64">
        <v>268.92</v>
      </c>
      <c r="L63" s="64">
        <v>28.78</v>
      </c>
      <c r="M63" s="64">
        <v>82.26</v>
      </c>
      <c r="N63" s="64">
        <v>297.10000000000002</v>
      </c>
      <c r="O63" s="64">
        <v>0</v>
      </c>
      <c r="P63" s="64">
        <v>0.25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14" t="s">
        <v>683</v>
      </c>
      <c r="B64" s="64">
        <v>8.51</v>
      </c>
      <c r="C64" s="64">
        <v>8.84</v>
      </c>
      <c r="D64" s="64">
        <v>11.45</v>
      </c>
      <c r="E64" s="64">
        <v>4.92</v>
      </c>
      <c r="F64" s="64">
        <v>5.49</v>
      </c>
      <c r="G64" s="64">
        <v>22.72</v>
      </c>
      <c r="H64" s="64">
        <v>3.47</v>
      </c>
      <c r="I64" s="64">
        <v>0.82</v>
      </c>
      <c r="J64" s="64">
        <v>0.21</v>
      </c>
      <c r="K64" s="64">
        <v>312.23</v>
      </c>
      <c r="L64" s="64">
        <v>29.72</v>
      </c>
      <c r="M64" s="64">
        <v>80.069999999999993</v>
      </c>
      <c r="N64" s="64">
        <v>274.8</v>
      </c>
      <c r="O64" s="64">
        <v>0</v>
      </c>
      <c r="P64" s="64">
        <v>0.24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14" t="s">
        <v>684</v>
      </c>
      <c r="B65" s="64">
        <v>8.39</v>
      </c>
      <c r="C65" s="64">
        <v>8.6199999999999992</v>
      </c>
      <c r="D65" s="64">
        <v>11.23</v>
      </c>
      <c r="E65" s="64">
        <v>4.3</v>
      </c>
      <c r="F65" s="64">
        <v>5.44</v>
      </c>
      <c r="G65" s="64">
        <v>22.72</v>
      </c>
      <c r="H65" s="64">
        <v>3.47</v>
      </c>
      <c r="I65" s="64">
        <v>0.82</v>
      </c>
      <c r="J65" s="64">
        <v>0.14000000000000001</v>
      </c>
      <c r="K65" s="64">
        <v>298.2</v>
      </c>
      <c r="L65" s="64">
        <v>29.92</v>
      </c>
      <c r="M65" s="64">
        <v>77.02</v>
      </c>
      <c r="N65" s="64">
        <v>248</v>
      </c>
      <c r="O65" s="64">
        <v>0</v>
      </c>
      <c r="P65" s="64">
        <v>0.28000000000000003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14" t="s">
        <v>685</v>
      </c>
      <c r="B66" s="64">
        <v>7.27</v>
      </c>
      <c r="C66" s="64">
        <v>8.2200000000000006</v>
      </c>
      <c r="D66" s="64">
        <v>10.119999999999999</v>
      </c>
      <c r="E66" s="64">
        <v>4.5599999999999996</v>
      </c>
      <c r="F66" s="64">
        <v>8.56</v>
      </c>
      <c r="G66" s="64">
        <v>22.72</v>
      </c>
      <c r="H66" s="64">
        <v>3.47</v>
      </c>
      <c r="I66" s="64">
        <v>0.82</v>
      </c>
      <c r="J66" s="64">
        <v>0.13</v>
      </c>
      <c r="K66" s="64">
        <v>154.61000000000001</v>
      </c>
      <c r="L66" s="64">
        <v>29.22</v>
      </c>
      <c r="M66" s="64">
        <v>80.599999999999994</v>
      </c>
      <c r="N66" s="64">
        <v>208.8</v>
      </c>
      <c r="O66" s="64">
        <v>0</v>
      </c>
      <c r="P66" s="64">
        <v>0.23</v>
      </c>
      <c r="Q66" s="64">
        <v>9.49</v>
      </c>
      <c r="R66" s="198"/>
      <c r="S66" s="198"/>
      <c r="T66" s="198"/>
      <c r="U66" s="198"/>
    </row>
    <row r="67" spans="1:21" s="12" customFormat="1" x14ac:dyDescent="0.25">
      <c r="A67" s="214" t="s">
        <v>686</v>
      </c>
      <c r="B67" s="64">
        <v>7</v>
      </c>
      <c r="C67" s="64">
        <v>8.11</v>
      </c>
      <c r="D67" s="64">
        <v>9.85</v>
      </c>
      <c r="E67" s="64">
        <v>4.76</v>
      </c>
      <c r="F67" s="64">
        <v>6.82</v>
      </c>
      <c r="G67" s="64">
        <v>23.61</v>
      </c>
      <c r="H67" s="64">
        <v>4.4000000000000004</v>
      </c>
      <c r="I67" s="64">
        <v>0.83</v>
      </c>
      <c r="J67" s="64">
        <v>0.04</v>
      </c>
      <c r="K67" s="64">
        <v>222.33</v>
      </c>
      <c r="L67" s="64">
        <v>28.89</v>
      </c>
      <c r="M67" s="64">
        <v>82.57</v>
      </c>
      <c r="N67" s="64">
        <v>177.6</v>
      </c>
      <c r="O67" s="64">
        <v>0</v>
      </c>
      <c r="P67" s="64">
        <v>0.23</v>
      </c>
      <c r="Q67" s="64">
        <v>9.49</v>
      </c>
      <c r="R67" s="198"/>
      <c r="S67" s="198"/>
      <c r="T67" s="198"/>
      <c r="U67" s="198"/>
    </row>
    <row r="68" spans="1:21" s="12" customFormat="1" x14ac:dyDescent="0.25">
      <c r="A68" s="214" t="s">
        <v>687</v>
      </c>
      <c r="B68" s="64">
        <v>8.19</v>
      </c>
      <c r="C68" s="64">
        <v>8.76</v>
      </c>
      <c r="D68" s="64">
        <v>11.15</v>
      </c>
      <c r="E68" s="64">
        <v>4.8899999999999997</v>
      </c>
      <c r="F68" s="64">
        <v>9.48</v>
      </c>
      <c r="G68" s="64">
        <v>28.07</v>
      </c>
      <c r="H68" s="64">
        <v>8.0299999999999994</v>
      </c>
      <c r="I68" s="64">
        <v>0.83</v>
      </c>
      <c r="J68" s="64">
        <v>0.04</v>
      </c>
      <c r="K68" s="64">
        <v>334.31</v>
      </c>
      <c r="L68" s="64">
        <v>29.21</v>
      </c>
      <c r="M68" s="64">
        <v>81.42</v>
      </c>
      <c r="N68" s="64">
        <v>161.4</v>
      </c>
      <c r="O68" s="64">
        <v>0.2</v>
      </c>
      <c r="P68" s="64">
        <v>0.25</v>
      </c>
      <c r="Q68" s="64">
        <v>9.49</v>
      </c>
      <c r="R68" s="198"/>
      <c r="S68" s="198"/>
      <c r="T68" s="198"/>
      <c r="U68" s="198"/>
    </row>
    <row r="69" spans="1:21" s="12" customFormat="1" x14ac:dyDescent="0.25">
      <c r="A69" s="214" t="s">
        <v>688</v>
      </c>
      <c r="B69" s="64">
        <v>8.58</v>
      </c>
      <c r="C69" s="64">
        <v>9.81</v>
      </c>
      <c r="D69" s="64">
        <v>12.01</v>
      </c>
      <c r="E69" s="64">
        <v>4.55</v>
      </c>
      <c r="F69" s="64">
        <v>6.16</v>
      </c>
      <c r="G69" s="64">
        <v>28.07</v>
      </c>
      <c r="H69" s="64">
        <v>8.0299999999999994</v>
      </c>
      <c r="I69" s="64">
        <v>0.82</v>
      </c>
      <c r="J69" s="64">
        <v>7.0000000000000007E-2</v>
      </c>
      <c r="K69" s="64">
        <v>259.17</v>
      </c>
      <c r="L69" s="64">
        <v>29.05</v>
      </c>
      <c r="M69" s="64">
        <v>82.52</v>
      </c>
      <c r="N69" s="64">
        <v>155.69999999999999</v>
      </c>
      <c r="O69" s="64">
        <v>0</v>
      </c>
      <c r="P69" s="64">
        <v>0.28000000000000003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14" t="s">
        <v>689</v>
      </c>
      <c r="B70" s="64">
        <v>7.25</v>
      </c>
      <c r="C70" s="64">
        <v>9.09</v>
      </c>
      <c r="D70" s="64">
        <v>10.56</v>
      </c>
      <c r="E70" s="64">
        <v>4.82</v>
      </c>
      <c r="F70" s="64">
        <v>7.94</v>
      </c>
      <c r="G70" s="64">
        <v>28.07</v>
      </c>
      <c r="H70" s="64">
        <v>8.0299999999999994</v>
      </c>
      <c r="I70" s="64">
        <v>0.82</v>
      </c>
      <c r="J70" s="64">
        <v>0.09</v>
      </c>
      <c r="K70" s="64">
        <v>231.66</v>
      </c>
      <c r="L70" s="64">
        <v>28.65</v>
      </c>
      <c r="M70" s="64">
        <v>82.68</v>
      </c>
      <c r="N70" s="64">
        <v>143.4</v>
      </c>
      <c r="O70" s="64">
        <v>0</v>
      </c>
      <c r="P70" s="64">
        <v>0.22</v>
      </c>
      <c r="Q70" s="64">
        <v>9.48</v>
      </c>
      <c r="R70" s="198"/>
      <c r="S70" s="198"/>
      <c r="T70" s="198"/>
      <c r="U70" s="198"/>
    </row>
    <row r="71" spans="1:21" s="12" customFormat="1" x14ac:dyDescent="0.25">
      <c r="A71" s="214" t="s">
        <v>690</v>
      </c>
      <c r="B71" s="64">
        <v>6.5</v>
      </c>
      <c r="C71" s="64">
        <v>8.61</v>
      </c>
      <c r="D71" s="64">
        <v>9.7100000000000009</v>
      </c>
      <c r="E71" s="64">
        <v>4.66</v>
      </c>
      <c r="F71" s="64">
        <v>9.92</v>
      </c>
      <c r="G71" s="64">
        <v>27.6</v>
      </c>
      <c r="H71" s="64">
        <v>7.54</v>
      </c>
      <c r="I71" s="64">
        <v>0.82</v>
      </c>
      <c r="J71" s="64">
        <v>7.0000000000000007E-2</v>
      </c>
      <c r="K71" s="64">
        <v>153.86000000000001</v>
      </c>
      <c r="L71" s="64">
        <v>28.56</v>
      </c>
      <c r="M71" s="64">
        <v>81.93</v>
      </c>
      <c r="N71" s="64">
        <v>126.8</v>
      </c>
      <c r="O71" s="64">
        <v>0</v>
      </c>
      <c r="P71" s="64">
        <v>0.24</v>
      </c>
      <c r="Q71" s="64">
        <v>9.4700000000000006</v>
      </c>
      <c r="R71" s="198"/>
      <c r="S71" s="198"/>
      <c r="T71" s="198"/>
      <c r="U71" s="198"/>
    </row>
    <row r="72" spans="1:21" s="12" customFormat="1" x14ac:dyDescent="0.25">
      <c r="A72" s="214" t="s">
        <v>691</v>
      </c>
      <c r="B72" s="64">
        <v>6.52</v>
      </c>
      <c r="C72" s="64">
        <v>8.83</v>
      </c>
      <c r="D72" s="64">
        <v>9.84</v>
      </c>
      <c r="E72" s="64">
        <v>3.54</v>
      </c>
      <c r="F72" s="64">
        <v>10.84</v>
      </c>
      <c r="G72" s="64">
        <v>25.28</v>
      </c>
      <c r="H72" s="64">
        <v>5.62</v>
      </c>
      <c r="I72" s="64">
        <v>0.81</v>
      </c>
      <c r="J72" s="64">
        <v>0.11</v>
      </c>
      <c r="K72" s="64">
        <v>299.66000000000003</v>
      </c>
      <c r="L72" s="64">
        <v>28.65</v>
      </c>
      <c r="M72" s="64">
        <v>83.12</v>
      </c>
      <c r="N72" s="64">
        <v>109.5</v>
      </c>
      <c r="O72" s="64">
        <v>0</v>
      </c>
      <c r="P72" s="64">
        <v>0.28000000000000003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14" t="s">
        <v>692</v>
      </c>
      <c r="B73" s="64">
        <v>8.67</v>
      </c>
      <c r="C73" s="64">
        <v>10.66</v>
      </c>
      <c r="D73" s="64">
        <v>12.52</v>
      </c>
      <c r="E73" s="64">
        <v>5.17</v>
      </c>
      <c r="F73" s="64">
        <v>8.76</v>
      </c>
      <c r="G73" s="64">
        <v>25.28</v>
      </c>
      <c r="H73" s="64">
        <v>5.62</v>
      </c>
      <c r="I73" s="64">
        <v>0.8</v>
      </c>
      <c r="J73" s="64">
        <v>0.12</v>
      </c>
      <c r="K73" s="64">
        <v>298.19</v>
      </c>
      <c r="L73" s="64">
        <v>28.39</v>
      </c>
      <c r="M73" s="64">
        <v>84.37</v>
      </c>
      <c r="N73" s="64">
        <v>95.9</v>
      </c>
      <c r="O73" s="64">
        <v>0</v>
      </c>
      <c r="P73" s="64">
        <v>0.28000000000000003</v>
      </c>
      <c r="Q73" s="64">
        <v>9.49</v>
      </c>
      <c r="R73" s="198"/>
      <c r="S73" s="198"/>
      <c r="T73" s="198"/>
      <c r="U73" s="198"/>
    </row>
    <row r="74" spans="1:21" s="12" customFormat="1" x14ac:dyDescent="0.25">
      <c r="A74" s="214" t="s">
        <v>693</v>
      </c>
      <c r="B74" s="64">
        <v>8.43</v>
      </c>
      <c r="C74" s="64">
        <v>10.199999999999999</v>
      </c>
      <c r="D74" s="64">
        <v>12.09</v>
      </c>
      <c r="E74" s="64">
        <v>5.0599999999999996</v>
      </c>
      <c r="F74" s="64">
        <v>8.11</v>
      </c>
      <c r="G74" s="64">
        <v>25.28</v>
      </c>
      <c r="H74" s="64">
        <v>5.62</v>
      </c>
      <c r="I74" s="64">
        <v>0.8</v>
      </c>
      <c r="J74" s="64">
        <v>0.08</v>
      </c>
      <c r="K74" s="64">
        <v>270.81</v>
      </c>
      <c r="L74" s="64">
        <v>28.14</v>
      </c>
      <c r="M74" s="64">
        <v>86.79</v>
      </c>
      <c r="N74" s="64">
        <v>89.7</v>
      </c>
      <c r="O74" s="64">
        <v>0</v>
      </c>
      <c r="P74" s="64">
        <v>0.28000000000000003</v>
      </c>
      <c r="Q74" s="64">
        <v>9.5</v>
      </c>
      <c r="R74" s="198"/>
      <c r="S74" s="198"/>
      <c r="T74" s="198"/>
      <c r="U74" s="198"/>
    </row>
    <row r="75" spans="1:21" s="12" customFormat="1" x14ac:dyDescent="0.25">
      <c r="A75" s="214" t="s">
        <v>694</v>
      </c>
      <c r="B75" s="64">
        <v>6.26</v>
      </c>
      <c r="C75" s="64">
        <v>8.1</v>
      </c>
      <c r="D75" s="64">
        <v>9.25</v>
      </c>
      <c r="E75" s="64">
        <v>4.93</v>
      </c>
      <c r="F75" s="64">
        <v>10.16</v>
      </c>
      <c r="G75" s="64">
        <v>26.31</v>
      </c>
      <c r="H75" s="64">
        <v>5.53</v>
      </c>
      <c r="I75" s="64">
        <v>0.81</v>
      </c>
      <c r="J75" s="64">
        <v>7.0000000000000007E-2</v>
      </c>
      <c r="K75" s="64">
        <v>225.44</v>
      </c>
      <c r="L75" s="64">
        <v>27.81</v>
      </c>
      <c r="M75" s="64">
        <v>89.75</v>
      </c>
      <c r="N75" s="64">
        <v>82.9</v>
      </c>
      <c r="O75" s="64">
        <v>0</v>
      </c>
      <c r="P75" s="64">
        <v>0.22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4" t="s">
        <v>695</v>
      </c>
      <c r="B76" s="64">
        <v>6.35</v>
      </c>
      <c r="C76" s="64">
        <v>8.64</v>
      </c>
      <c r="D76" s="64">
        <v>9.61</v>
      </c>
      <c r="E76" s="64">
        <v>5.31</v>
      </c>
      <c r="F76" s="64">
        <v>14.34</v>
      </c>
      <c r="G76" s="64">
        <v>31.47</v>
      </c>
      <c r="H76" s="64">
        <v>5.2</v>
      </c>
      <c r="I76" s="64">
        <v>0.82</v>
      </c>
      <c r="J76" s="64">
        <v>0.12</v>
      </c>
      <c r="K76" s="64">
        <v>133.83000000000001</v>
      </c>
      <c r="L76" s="64">
        <v>27.71</v>
      </c>
      <c r="M76" s="64">
        <v>90.62</v>
      </c>
      <c r="N76" s="64">
        <v>76.3</v>
      </c>
      <c r="O76" s="64">
        <v>0</v>
      </c>
      <c r="P76" s="64">
        <v>0.2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4" t="s">
        <v>696</v>
      </c>
      <c r="B77" s="64">
        <v>6.22</v>
      </c>
      <c r="C77" s="64">
        <v>10.65</v>
      </c>
      <c r="D77" s="64">
        <v>10.55</v>
      </c>
      <c r="E77" s="64">
        <v>4.71</v>
      </c>
      <c r="F77" s="64">
        <v>8.66</v>
      </c>
      <c r="G77" s="64">
        <v>31.47</v>
      </c>
      <c r="H77" s="64">
        <v>5.2</v>
      </c>
      <c r="I77" s="64">
        <v>0.8</v>
      </c>
      <c r="J77" s="64">
        <v>0.03</v>
      </c>
      <c r="K77" s="64">
        <v>115.72</v>
      </c>
      <c r="L77" s="64">
        <v>27.52</v>
      </c>
      <c r="M77" s="64">
        <v>92.23</v>
      </c>
      <c r="N77" s="64">
        <v>69.7</v>
      </c>
      <c r="O77" s="64">
        <v>0</v>
      </c>
      <c r="P77" s="64">
        <v>0.25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4" t="s">
        <v>697</v>
      </c>
      <c r="B78" s="64">
        <v>5.68</v>
      </c>
      <c r="C78" s="64">
        <v>11.67</v>
      </c>
      <c r="D78" s="64">
        <v>10.66</v>
      </c>
      <c r="E78" s="64">
        <v>5</v>
      </c>
      <c r="F78" s="64">
        <v>12.01</v>
      </c>
      <c r="G78" s="64">
        <v>31.47</v>
      </c>
      <c r="H78" s="64">
        <v>5.2</v>
      </c>
      <c r="I78" s="64">
        <v>0.78</v>
      </c>
      <c r="J78" s="64">
        <v>0.06</v>
      </c>
      <c r="K78" s="64">
        <v>140.88999999999999</v>
      </c>
      <c r="L78" s="64">
        <v>27.36</v>
      </c>
      <c r="M78" s="64">
        <v>94.58</v>
      </c>
      <c r="N78" s="64">
        <v>64.900000000000006</v>
      </c>
      <c r="O78" s="64">
        <v>0</v>
      </c>
      <c r="P78" s="64">
        <v>0.25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4" t="s">
        <v>698</v>
      </c>
      <c r="B79" s="64">
        <v>5.15</v>
      </c>
      <c r="C79" s="64">
        <v>11.98</v>
      </c>
      <c r="D79" s="64">
        <v>10.38</v>
      </c>
      <c r="E79" s="64">
        <v>5.13</v>
      </c>
      <c r="F79" s="64">
        <v>10.65</v>
      </c>
      <c r="G79" s="64">
        <v>31.34</v>
      </c>
      <c r="H79" s="64">
        <v>4.96</v>
      </c>
      <c r="I79" s="64">
        <v>0.78</v>
      </c>
      <c r="J79" s="64">
        <v>0.08</v>
      </c>
      <c r="K79" s="64">
        <v>132.79</v>
      </c>
      <c r="L79" s="64">
        <v>27.19</v>
      </c>
      <c r="M79" s="64">
        <v>94.56</v>
      </c>
      <c r="N79" s="64">
        <v>55.8</v>
      </c>
      <c r="O79" s="64">
        <v>0</v>
      </c>
      <c r="P79" s="64">
        <v>0.24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14" t="s">
        <v>699</v>
      </c>
      <c r="B80" s="64">
        <v>5.1100000000000003</v>
      </c>
      <c r="C80" s="64">
        <v>10.94</v>
      </c>
      <c r="D80" s="64">
        <v>9.82</v>
      </c>
      <c r="E80" s="64">
        <v>5.09</v>
      </c>
      <c r="F80" s="64">
        <v>11.84</v>
      </c>
      <c r="G80" s="64">
        <v>30.7</v>
      </c>
      <c r="H80" s="64">
        <v>3.64</v>
      </c>
      <c r="I80" s="64">
        <v>0.79</v>
      </c>
      <c r="J80" s="64">
        <v>0.03</v>
      </c>
      <c r="K80" s="64">
        <v>233.59</v>
      </c>
      <c r="L80" s="64">
        <v>26.97</v>
      </c>
      <c r="M80" s="64">
        <v>95.38</v>
      </c>
      <c r="N80" s="64">
        <v>45.7</v>
      </c>
      <c r="O80" s="64">
        <v>0</v>
      </c>
      <c r="P80" s="64">
        <v>0.28000000000000003</v>
      </c>
      <c r="Q80" s="64">
        <v>9.4600000000000009</v>
      </c>
      <c r="R80" s="198"/>
      <c r="S80" s="198"/>
      <c r="T80" s="198"/>
      <c r="U80" s="198"/>
    </row>
    <row r="81" spans="1:26" s="12" customFormat="1" x14ac:dyDescent="0.25">
      <c r="A81" s="214" t="s">
        <v>700</v>
      </c>
      <c r="B81" s="64">
        <v>5.9</v>
      </c>
      <c r="C81" s="64">
        <v>12.55</v>
      </c>
      <c r="D81" s="64">
        <v>11.29</v>
      </c>
      <c r="E81" s="64">
        <v>5.45</v>
      </c>
      <c r="F81" s="64">
        <v>12.15</v>
      </c>
      <c r="G81" s="64">
        <v>30.7</v>
      </c>
      <c r="H81" s="64">
        <v>3.64</v>
      </c>
      <c r="I81" s="64">
        <v>0.79</v>
      </c>
      <c r="J81" s="64">
        <v>0.05</v>
      </c>
      <c r="K81" s="64">
        <v>220.55</v>
      </c>
      <c r="L81" s="64">
        <v>26.7</v>
      </c>
      <c r="M81" s="64">
        <v>97.49</v>
      </c>
      <c r="N81" s="64">
        <v>38.6</v>
      </c>
      <c r="O81" s="64">
        <v>0</v>
      </c>
      <c r="P81" s="64">
        <v>0.34</v>
      </c>
      <c r="Q81" s="64">
        <v>9.4700000000000006</v>
      </c>
      <c r="R81" s="198"/>
      <c r="S81" s="198"/>
      <c r="T81" s="198"/>
      <c r="U81" s="198"/>
    </row>
    <row r="82" spans="1:26" s="12" customFormat="1" x14ac:dyDescent="0.25">
      <c r="A82" s="214" t="s">
        <v>701</v>
      </c>
      <c r="B82" s="64">
        <v>5.48</v>
      </c>
      <c r="C82" s="64">
        <v>14.03</v>
      </c>
      <c r="D82" s="64">
        <v>11.72</v>
      </c>
      <c r="E82" s="64">
        <v>5.18</v>
      </c>
      <c r="F82" s="64">
        <v>9.64</v>
      </c>
      <c r="G82" s="64">
        <v>30.7</v>
      </c>
      <c r="H82" s="64">
        <v>3.64</v>
      </c>
      <c r="I82" s="64">
        <v>0.79</v>
      </c>
      <c r="J82" s="64">
        <v>0.05</v>
      </c>
      <c r="K82" s="64">
        <v>230.86</v>
      </c>
      <c r="L82" s="64">
        <v>26.57</v>
      </c>
      <c r="M82" s="64">
        <v>98.32</v>
      </c>
      <c r="N82" s="64">
        <v>36.1</v>
      </c>
      <c r="O82" s="64">
        <v>0</v>
      </c>
      <c r="P82" s="64">
        <v>0.39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4" t="s">
        <v>702</v>
      </c>
      <c r="B83" s="64">
        <v>10.130000000000001</v>
      </c>
      <c r="C83" s="64">
        <v>11.68</v>
      </c>
      <c r="D83" s="64">
        <v>14.2</v>
      </c>
      <c r="E83" s="64">
        <v>4.87</v>
      </c>
      <c r="F83" s="64">
        <v>6.31</v>
      </c>
      <c r="G83" s="64">
        <v>31.65</v>
      </c>
      <c r="H83" s="64">
        <v>4.3099999999999996</v>
      </c>
      <c r="I83" s="64">
        <v>0.81</v>
      </c>
      <c r="J83" s="64">
        <v>0.13</v>
      </c>
      <c r="K83" s="64">
        <v>318.02999999999997</v>
      </c>
      <c r="L83" s="64">
        <v>26.51</v>
      </c>
      <c r="M83" s="64">
        <v>98</v>
      </c>
      <c r="N83" s="64">
        <v>36.1</v>
      </c>
      <c r="O83" s="64">
        <v>0</v>
      </c>
      <c r="P83" s="64">
        <v>0.44</v>
      </c>
      <c r="Q83" s="64">
        <v>9.4700000000000006</v>
      </c>
      <c r="R83" s="198"/>
      <c r="S83" s="198"/>
      <c r="T83" s="198"/>
      <c r="U83" s="198"/>
    </row>
    <row r="84" spans="1:26" s="12" customFormat="1" x14ac:dyDescent="0.25">
      <c r="A84" s="214" t="s">
        <v>703</v>
      </c>
      <c r="B84" s="64">
        <v>8.5</v>
      </c>
      <c r="C84" s="64">
        <v>10.39</v>
      </c>
      <c r="D84" s="64">
        <v>12.25</v>
      </c>
      <c r="E84" s="64">
        <v>5.0999999999999996</v>
      </c>
      <c r="F84" s="64">
        <v>6.91</v>
      </c>
      <c r="G84" s="64">
        <v>36.43</v>
      </c>
      <c r="H84" s="64">
        <v>6.97</v>
      </c>
      <c r="I84" s="64">
        <v>0.85</v>
      </c>
      <c r="J84" s="64">
        <v>7.0000000000000007E-2</v>
      </c>
      <c r="K84" s="64">
        <v>330.34</v>
      </c>
      <c r="L84" s="64">
        <v>26.09</v>
      </c>
      <c r="M84" s="64">
        <v>97.35</v>
      </c>
      <c r="N84" s="64">
        <v>35.9</v>
      </c>
      <c r="O84" s="64">
        <v>0</v>
      </c>
      <c r="P84" s="64">
        <v>0.35</v>
      </c>
      <c r="Q84" s="64">
        <v>9.48</v>
      </c>
      <c r="R84" s="198"/>
      <c r="S84" s="198"/>
      <c r="T84" s="198"/>
      <c r="U84" s="198"/>
    </row>
    <row r="85" spans="1:26" s="12" customFormat="1" x14ac:dyDescent="0.25">
      <c r="A85" s="214" t="s">
        <v>704</v>
      </c>
      <c r="B85" s="64">
        <v>7.72</v>
      </c>
      <c r="C85" s="64">
        <v>11.72</v>
      </c>
      <c r="D85" s="64">
        <v>12.32</v>
      </c>
      <c r="E85" s="64">
        <v>5.22</v>
      </c>
      <c r="F85" s="64">
        <v>8.64</v>
      </c>
      <c r="G85" s="64">
        <v>36.43</v>
      </c>
      <c r="H85" s="64">
        <v>6.97</v>
      </c>
      <c r="I85" s="64">
        <v>0.89</v>
      </c>
      <c r="J85" s="64">
        <v>0</v>
      </c>
      <c r="K85" s="64">
        <v>85.15</v>
      </c>
      <c r="L85" s="64">
        <v>25.61</v>
      </c>
      <c r="M85" s="64">
        <v>98.55</v>
      </c>
      <c r="N85" s="64">
        <v>35.9</v>
      </c>
      <c r="O85" s="64">
        <v>0</v>
      </c>
      <c r="P85" s="64">
        <v>0.28000000000000003</v>
      </c>
      <c r="Q85" s="64">
        <v>9.49</v>
      </c>
      <c r="R85" s="198"/>
      <c r="S85" s="198"/>
      <c r="T85" s="198"/>
      <c r="U85" s="198"/>
    </row>
    <row r="86" spans="1:26" s="12" customFormat="1" x14ac:dyDescent="0.25">
      <c r="A86" s="214" t="s">
        <v>705</v>
      </c>
      <c r="B86" s="64">
        <v>8.99</v>
      </c>
      <c r="C86" s="64">
        <v>11.7</v>
      </c>
      <c r="D86" s="64">
        <v>13.32</v>
      </c>
      <c r="E86" s="64">
        <v>5.0199999999999996</v>
      </c>
      <c r="F86" s="64">
        <v>7.7</v>
      </c>
      <c r="G86" s="64">
        <v>36.43</v>
      </c>
      <c r="H86" s="64">
        <v>6.97</v>
      </c>
      <c r="I86" s="64">
        <v>0.87</v>
      </c>
      <c r="J86" s="64">
        <v>7.0000000000000007E-2</v>
      </c>
      <c r="K86" s="64">
        <v>122.42</v>
      </c>
      <c r="L86" s="64">
        <v>25.27</v>
      </c>
      <c r="M86" s="64">
        <v>98.55</v>
      </c>
      <c r="N86" s="64">
        <v>35.799999999999997</v>
      </c>
      <c r="O86" s="64">
        <v>0</v>
      </c>
      <c r="P86" s="64">
        <v>0.47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14" t="s">
        <v>706</v>
      </c>
      <c r="B87" s="64">
        <v>7</v>
      </c>
      <c r="C87" s="64">
        <v>13.11</v>
      </c>
      <c r="D87" s="64">
        <v>12.46</v>
      </c>
      <c r="E87" s="64">
        <v>5.2</v>
      </c>
      <c r="F87" s="64">
        <v>7.98</v>
      </c>
      <c r="G87" s="64">
        <v>36.020000000000003</v>
      </c>
      <c r="H87" s="64">
        <v>6.55</v>
      </c>
      <c r="I87" s="64">
        <v>0.83</v>
      </c>
      <c r="J87" s="64">
        <v>0.39</v>
      </c>
      <c r="K87" s="64">
        <v>128.61000000000001</v>
      </c>
      <c r="L87" s="64">
        <v>24.95</v>
      </c>
      <c r="M87" s="64">
        <v>98.55</v>
      </c>
      <c r="N87" s="64">
        <v>35.6</v>
      </c>
      <c r="O87" s="64">
        <v>0</v>
      </c>
      <c r="P87" s="64">
        <v>0.33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14" t="s">
        <v>707</v>
      </c>
      <c r="B88" s="64">
        <v>6.63</v>
      </c>
      <c r="C88" s="64">
        <v>12.46</v>
      </c>
      <c r="D88" s="64">
        <v>11.82</v>
      </c>
      <c r="E88" s="64">
        <v>5.13</v>
      </c>
      <c r="F88" s="64">
        <v>8.8800000000000008</v>
      </c>
      <c r="G88" s="64">
        <v>33.979999999999997</v>
      </c>
      <c r="H88" s="64">
        <v>4.88</v>
      </c>
      <c r="I88" s="64">
        <v>0.85</v>
      </c>
      <c r="J88" s="64">
        <v>0.18</v>
      </c>
      <c r="K88" s="64">
        <v>154.94999999999999</v>
      </c>
      <c r="L88" s="64">
        <v>24.8</v>
      </c>
      <c r="M88" s="64">
        <v>98.67</v>
      </c>
      <c r="N88" s="64">
        <v>35.5</v>
      </c>
      <c r="O88" s="64">
        <v>0</v>
      </c>
      <c r="P88" s="64">
        <v>0.32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14" t="s">
        <v>708</v>
      </c>
      <c r="B89" s="64">
        <v>7.05</v>
      </c>
      <c r="C89" s="64">
        <v>11.49</v>
      </c>
      <c r="D89" s="64">
        <v>11.66</v>
      </c>
      <c r="E89" s="64">
        <v>5.22</v>
      </c>
      <c r="F89" s="64">
        <v>7.76</v>
      </c>
      <c r="G89" s="64">
        <v>33.979999999999997</v>
      </c>
      <c r="H89" s="64">
        <v>4.88</v>
      </c>
      <c r="I89" s="64">
        <v>0.86</v>
      </c>
      <c r="J89" s="64">
        <v>0.08</v>
      </c>
      <c r="K89" s="64">
        <v>166.74</v>
      </c>
      <c r="L89" s="64">
        <v>24.61</v>
      </c>
      <c r="M89" s="64">
        <v>98.75</v>
      </c>
      <c r="N89" s="64">
        <v>35.5</v>
      </c>
      <c r="O89" s="64">
        <v>0</v>
      </c>
      <c r="P89" s="64">
        <v>0.32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4" t="s">
        <v>709</v>
      </c>
      <c r="B90" s="64">
        <v>8.15</v>
      </c>
      <c r="C90" s="64">
        <v>12.36</v>
      </c>
      <c r="D90" s="64">
        <v>12.99</v>
      </c>
      <c r="E90" s="64">
        <v>5.48</v>
      </c>
      <c r="F90" s="64">
        <v>8.0500000000000007</v>
      </c>
      <c r="G90" s="64">
        <v>33.979999999999997</v>
      </c>
      <c r="H90" s="64">
        <v>4.88</v>
      </c>
      <c r="I90" s="64">
        <v>0.88</v>
      </c>
      <c r="J90" s="64">
        <v>0.4</v>
      </c>
      <c r="K90" s="64">
        <v>134.33000000000001</v>
      </c>
      <c r="L90" s="64">
        <v>24.42</v>
      </c>
      <c r="M90" s="64">
        <v>98.73</v>
      </c>
      <c r="N90" s="64">
        <v>35.299999999999997</v>
      </c>
      <c r="O90" s="64">
        <v>0</v>
      </c>
      <c r="P90" s="64">
        <v>0.31</v>
      </c>
      <c r="Q90" s="64">
        <v>9.5399999999999991</v>
      </c>
      <c r="R90" s="198"/>
      <c r="S90" s="198"/>
      <c r="T90" s="198"/>
      <c r="U90" s="198"/>
    </row>
    <row r="91" spans="1:26" s="12" customFormat="1" x14ac:dyDescent="0.25">
      <c r="A91" s="214" t="s">
        <v>710</v>
      </c>
      <c r="B91" s="64">
        <v>9.81</v>
      </c>
      <c r="C91" s="64">
        <v>13.44</v>
      </c>
      <c r="D91" s="64">
        <v>14.88</v>
      </c>
      <c r="E91" s="64">
        <v>5.5</v>
      </c>
      <c r="F91" s="64">
        <v>8.31</v>
      </c>
      <c r="G91" s="64">
        <v>33.57</v>
      </c>
      <c r="H91" s="64">
        <v>4.58</v>
      </c>
      <c r="I91" s="64">
        <v>0.88</v>
      </c>
      <c r="J91" s="64">
        <v>0.28999999999999998</v>
      </c>
      <c r="K91" s="64">
        <v>121.8</v>
      </c>
      <c r="L91" s="64">
        <v>24.41</v>
      </c>
      <c r="M91" s="64">
        <v>98.72</v>
      </c>
      <c r="N91" s="64">
        <v>35.4</v>
      </c>
      <c r="O91" s="64">
        <v>0</v>
      </c>
      <c r="P91" s="64">
        <v>0.32</v>
      </c>
      <c r="Q91" s="64">
        <v>9.5500000000000007</v>
      </c>
      <c r="R91" s="198"/>
      <c r="S91" s="198"/>
      <c r="T91" s="198"/>
      <c r="U91" s="198"/>
    </row>
    <row r="92" spans="1:26" s="12" customFormat="1" x14ac:dyDescent="0.25">
      <c r="A92" s="214" t="s">
        <v>711</v>
      </c>
      <c r="B92" s="64">
        <v>8.65</v>
      </c>
      <c r="C92" s="64">
        <v>13.82</v>
      </c>
      <c r="D92" s="64">
        <v>14.16</v>
      </c>
      <c r="E92" s="64">
        <v>5.1100000000000003</v>
      </c>
      <c r="F92" s="64">
        <v>6.56</v>
      </c>
      <c r="G92" s="64">
        <v>31.49</v>
      </c>
      <c r="H92" s="64">
        <v>3.42</v>
      </c>
      <c r="I92" s="64">
        <v>0.89</v>
      </c>
      <c r="J92" s="64">
        <v>0.28000000000000003</v>
      </c>
      <c r="K92" s="64">
        <v>143.93</v>
      </c>
      <c r="L92" s="64">
        <v>24.39</v>
      </c>
      <c r="M92" s="64">
        <v>98.7</v>
      </c>
      <c r="N92" s="64">
        <v>35.200000000000003</v>
      </c>
      <c r="O92" s="64">
        <v>0</v>
      </c>
      <c r="P92" s="64">
        <v>0.35</v>
      </c>
      <c r="Q92" s="64">
        <v>9.5500000000000007</v>
      </c>
      <c r="R92" s="198"/>
      <c r="S92" s="198"/>
      <c r="T92" s="198"/>
      <c r="U92" s="198"/>
    </row>
    <row r="93" spans="1:26" s="12" customFormat="1" x14ac:dyDescent="0.25">
      <c r="A93" s="214" t="s">
        <v>712</v>
      </c>
      <c r="B93" s="64">
        <v>9.59</v>
      </c>
      <c r="C93" s="64">
        <v>9.16</v>
      </c>
      <c r="D93" s="64">
        <v>12.48</v>
      </c>
      <c r="E93" s="64">
        <v>5.0999999999999996</v>
      </c>
      <c r="F93" s="64">
        <v>4.38</v>
      </c>
      <c r="G93" s="64">
        <v>31.49</v>
      </c>
      <c r="H93" s="64">
        <v>3.42</v>
      </c>
      <c r="I93" s="64">
        <v>0.98</v>
      </c>
      <c r="J93" s="64">
        <v>0.53</v>
      </c>
      <c r="K93" s="64">
        <v>138.51</v>
      </c>
      <c r="L93" s="64">
        <v>24.41</v>
      </c>
      <c r="M93" s="64">
        <v>98.74</v>
      </c>
      <c r="N93" s="64">
        <v>35.200000000000003</v>
      </c>
      <c r="O93" s="64">
        <v>0</v>
      </c>
      <c r="P93" s="64">
        <v>0.33</v>
      </c>
      <c r="Q93" s="64">
        <v>9.5399999999999991</v>
      </c>
      <c r="R93" s="198"/>
      <c r="S93" s="198"/>
      <c r="T93" s="198"/>
      <c r="U93" s="198"/>
    </row>
    <row r="94" spans="1:26" s="12" customFormat="1" x14ac:dyDescent="0.25">
      <c r="A94" s="214" t="s">
        <v>713</v>
      </c>
      <c r="B94" s="64">
        <v>13.89</v>
      </c>
      <c r="C94" s="64">
        <v>10.55</v>
      </c>
      <c r="D94" s="64">
        <v>16.510000000000002</v>
      </c>
      <c r="E94" s="64">
        <v>5.25</v>
      </c>
      <c r="F94" s="64">
        <v>5.52</v>
      </c>
      <c r="G94" s="64">
        <v>31.49</v>
      </c>
      <c r="H94" s="64">
        <v>3.42</v>
      </c>
      <c r="I94" s="64">
        <v>0.97</v>
      </c>
      <c r="J94" s="64">
        <v>0.11</v>
      </c>
      <c r="K94" s="64">
        <v>138.13999999999999</v>
      </c>
      <c r="L94" s="64">
        <v>24.32</v>
      </c>
      <c r="M94" s="64">
        <v>98.77</v>
      </c>
      <c r="N94" s="64">
        <v>35.4</v>
      </c>
      <c r="O94" s="64">
        <v>0</v>
      </c>
      <c r="P94" s="64">
        <v>0.36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14" t="s">
        <v>714</v>
      </c>
      <c r="B95" s="64">
        <v>9.01</v>
      </c>
      <c r="C95" s="64">
        <v>8.0299999999999994</v>
      </c>
      <c r="D95" s="64">
        <v>11.42</v>
      </c>
      <c r="E95" s="64">
        <v>5.12</v>
      </c>
      <c r="F95" s="64">
        <v>7.26</v>
      </c>
      <c r="G95" s="64">
        <v>31.86</v>
      </c>
      <c r="H95" s="64">
        <v>3.26</v>
      </c>
      <c r="I95" s="64">
        <v>0.89</v>
      </c>
      <c r="J95" s="64">
        <v>7.0000000000000007E-2</v>
      </c>
      <c r="K95" s="64">
        <v>166.97</v>
      </c>
      <c r="L95" s="64">
        <v>24.31</v>
      </c>
      <c r="M95" s="64">
        <v>98.74</v>
      </c>
      <c r="N95" s="64">
        <v>35.4</v>
      </c>
      <c r="O95" s="64">
        <v>0</v>
      </c>
      <c r="P95" s="64">
        <v>0.33</v>
      </c>
      <c r="Q95" s="64">
        <v>9.5500000000000007</v>
      </c>
      <c r="R95" s="198"/>
      <c r="S95" s="198"/>
      <c r="T95" s="198"/>
      <c r="U95" s="198"/>
    </row>
    <row r="96" spans="1:26" s="12" customFormat="1" x14ac:dyDescent="0.25">
      <c r="A96" s="214" t="s">
        <v>715</v>
      </c>
      <c r="B96" s="64">
        <v>6.8</v>
      </c>
      <c r="C96" s="64">
        <v>10.43</v>
      </c>
      <c r="D96" s="64">
        <v>10.9</v>
      </c>
      <c r="E96" s="64">
        <v>5.07</v>
      </c>
      <c r="F96" s="64">
        <v>7.01</v>
      </c>
      <c r="G96" s="64">
        <v>33.700000000000003</v>
      </c>
      <c r="H96" s="64">
        <v>2.39</v>
      </c>
      <c r="I96" s="64">
        <v>0.89</v>
      </c>
      <c r="J96" s="64">
        <v>0.13</v>
      </c>
      <c r="K96" s="64">
        <v>144.62</v>
      </c>
      <c r="L96" s="64">
        <v>24.19</v>
      </c>
      <c r="M96" s="64">
        <v>98.64</v>
      </c>
      <c r="N96" s="64">
        <v>35.200000000000003</v>
      </c>
      <c r="O96" s="64">
        <v>0</v>
      </c>
      <c r="P96" s="64">
        <v>0.3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716</v>
      </c>
      <c r="B97" s="64">
        <v>8.1</v>
      </c>
      <c r="C97" s="64">
        <v>8.76</v>
      </c>
      <c r="D97" s="64">
        <v>11.07</v>
      </c>
      <c r="E97" s="64">
        <v>5.08</v>
      </c>
      <c r="F97" s="64">
        <v>5.35</v>
      </c>
      <c r="G97" s="64">
        <v>33.700000000000003</v>
      </c>
      <c r="H97" s="64">
        <v>2.39</v>
      </c>
      <c r="I97" s="64">
        <v>0.9</v>
      </c>
      <c r="J97" s="64">
        <v>0.34</v>
      </c>
      <c r="K97" s="64">
        <v>148.02000000000001</v>
      </c>
      <c r="L97" s="64">
        <v>24.11</v>
      </c>
      <c r="M97" s="64">
        <v>98.69</v>
      </c>
      <c r="N97" s="64">
        <v>35.1</v>
      </c>
      <c r="O97" s="64">
        <v>0</v>
      </c>
      <c r="P97" s="64">
        <v>0.31</v>
      </c>
      <c r="Q97" s="64">
        <v>9.56</v>
      </c>
      <c r="R97" s="198"/>
      <c r="S97" s="198"/>
      <c r="T97" s="198"/>
      <c r="U97" s="198"/>
    </row>
    <row r="98" spans="1:33" s="12" customFormat="1" x14ac:dyDescent="0.25">
      <c r="A98" s="214" t="s">
        <v>717</v>
      </c>
      <c r="B98" s="64">
        <v>8.68</v>
      </c>
      <c r="C98" s="64">
        <v>11.22</v>
      </c>
      <c r="D98" s="64">
        <v>12.82</v>
      </c>
      <c r="E98" s="64">
        <v>5.0999999999999996</v>
      </c>
      <c r="F98" s="64">
        <v>6.08</v>
      </c>
      <c r="G98" s="64">
        <v>33.700000000000003</v>
      </c>
      <c r="H98" s="64">
        <v>2.39</v>
      </c>
      <c r="I98" s="64">
        <v>0.9</v>
      </c>
      <c r="J98" s="64">
        <v>0.4</v>
      </c>
      <c r="K98" s="64">
        <v>135.07</v>
      </c>
      <c r="L98" s="64">
        <v>24.12</v>
      </c>
      <c r="M98" s="64">
        <v>98.68</v>
      </c>
      <c r="N98" s="64">
        <v>35.1</v>
      </c>
      <c r="O98" s="64">
        <v>0</v>
      </c>
      <c r="P98" s="64">
        <v>0.28999999999999998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4" t="s">
        <v>718</v>
      </c>
      <c r="B99" s="64">
        <v>8.42</v>
      </c>
      <c r="C99" s="64">
        <v>8.91</v>
      </c>
      <c r="D99" s="64">
        <v>11.41</v>
      </c>
      <c r="E99" s="64">
        <v>5.15</v>
      </c>
      <c r="F99" s="64">
        <v>6.52</v>
      </c>
      <c r="G99" s="64">
        <v>34</v>
      </c>
      <c r="H99" s="64">
        <v>3.42</v>
      </c>
      <c r="I99" s="64">
        <v>0.89</v>
      </c>
      <c r="J99" s="64">
        <v>0.55000000000000004</v>
      </c>
      <c r="K99" s="64">
        <v>141.74</v>
      </c>
      <c r="L99" s="64">
        <v>24.11</v>
      </c>
      <c r="M99" s="64">
        <v>98.65</v>
      </c>
      <c r="N99" s="64">
        <v>35.200000000000003</v>
      </c>
      <c r="O99" s="64">
        <v>0</v>
      </c>
      <c r="P99" s="64">
        <v>0.3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14" t="s">
        <v>719</v>
      </c>
      <c r="B100" s="64">
        <v>7.3</v>
      </c>
      <c r="C100" s="64">
        <v>9.34</v>
      </c>
      <c r="D100" s="64">
        <v>10.73</v>
      </c>
      <c r="E100" s="64">
        <v>5.26</v>
      </c>
      <c r="F100" s="64">
        <v>6.13</v>
      </c>
      <c r="G100" s="64">
        <v>35.479999999999997</v>
      </c>
      <c r="H100" s="64">
        <v>7.45</v>
      </c>
      <c r="I100" s="64">
        <v>0.9</v>
      </c>
      <c r="J100" s="64">
        <v>0.4</v>
      </c>
      <c r="K100" s="64">
        <v>126.43</v>
      </c>
      <c r="L100" s="64">
        <v>24.11</v>
      </c>
      <c r="M100" s="64">
        <v>98.62</v>
      </c>
      <c r="N100" s="64">
        <v>35.200000000000003</v>
      </c>
      <c r="O100" s="64">
        <v>0</v>
      </c>
      <c r="P100" s="64">
        <v>0.3</v>
      </c>
      <c r="Q100" s="64">
        <v>9.56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720</v>
      </c>
      <c r="B101" s="64">
        <v>6.89</v>
      </c>
      <c r="C101" s="64">
        <v>8.11</v>
      </c>
      <c r="D101" s="64">
        <v>9.76</v>
      </c>
      <c r="E101" s="64">
        <v>5.5</v>
      </c>
      <c r="F101" s="64">
        <v>9.36</v>
      </c>
      <c r="G101" s="64">
        <v>35.479999999999997</v>
      </c>
      <c r="H101" s="64">
        <v>7.45</v>
      </c>
      <c r="I101" s="64">
        <v>0.9</v>
      </c>
      <c r="J101" s="64">
        <v>0.28000000000000003</v>
      </c>
      <c r="K101" s="64">
        <v>145.44999999999999</v>
      </c>
      <c r="L101" s="64">
        <v>24.12</v>
      </c>
      <c r="M101" s="64">
        <v>98.64</v>
      </c>
      <c r="N101" s="64">
        <v>35.200000000000003</v>
      </c>
      <c r="O101" s="64">
        <v>0</v>
      </c>
      <c r="P101" s="64">
        <v>0.26</v>
      </c>
      <c r="Q101" s="64">
        <v>9.5500000000000007</v>
      </c>
      <c r="R101" s="198"/>
      <c r="S101" s="198"/>
      <c r="T101" s="198"/>
      <c r="U101" s="198"/>
    </row>
    <row r="102" spans="1:33" s="12" customFormat="1" x14ac:dyDescent="0.25">
      <c r="A102" s="214" t="s">
        <v>721</v>
      </c>
      <c r="B102" s="64">
        <v>7.83</v>
      </c>
      <c r="C102" s="64">
        <v>7.74</v>
      </c>
      <c r="D102" s="64">
        <v>10.32</v>
      </c>
      <c r="E102" s="64">
        <v>5.0199999999999996</v>
      </c>
      <c r="F102" s="64">
        <v>4.9800000000000004</v>
      </c>
      <c r="G102" s="64">
        <v>35.479999999999997</v>
      </c>
      <c r="H102" s="64">
        <v>7.45</v>
      </c>
      <c r="I102" s="64">
        <v>0.89</v>
      </c>
      <c r="J102" s="64">
        <v>0.3</v>
      </c>
      <c r="K102" s="64">
        <v>144.15</v>
      </c>
      <c r="L102" s="64">
        <v>24.09</v>
      </c>
      <c r="M102" s="64">
        <v>98.66</v>
      </c>
      <c r="N102" s="64">
        <v>35.200000000000003</v>
      </c>
      <c r="O102" s="64">
        <v>0</v>
      </c>
      <c r="P102" s="64">
        <v>0.3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14" t="s">
        <v>722</v>
      </c>
      <c r="B103" s="64">
        <v>7.92</v>
      </c>
      <c r="C103" s="64">
        <v>9.09</v>
      </c>
      <c r="D103" s="64">
        <v>11.1</v>
      </c>
      <c r="E103" s="64">
        <v>5.21</v>
      </c>
      <c r="F103" s="64">
        <v>7.42</v>
      </c>
      <c r="G103" s="64">
        <v>34.58</v>
      </c>
      <c r="H103" s="64">
        <v>7</v>
      </c>
      <c r="I103" s="64">
        <v>0.89</v>
      </c>
      <c r="J103" s="64">
        <v>0.35</v>
      </c>
      <c r="K103" s="64">
        <v>143.86000000000001</v>
      </c>
      <c r="L103" s="64">
        <v>24.04</v>
      </c>
      <c r="M103" s="64">
        <v>98.62</v>
      </c>
      <c r="N103" s="64">
        <v>35.299999999999997</v>
      </c>
      <c r="O103" s="64">
        <v>0</v>
      </c>
      <c r="P103" s="64">
        <v>0.25</v>
      </c>
      <c r="Q103" s="64">
        <v>9.5500000000000007</v>
      </c>
      <c r="R103" s="198"/>
      <c r="S103" s="198"/>
      <c r="T103" s="198"/>
      <c r="U103" s="198"/>
    </row>
    <row r="104" spans="1:33" s="12" customFormat="1" x14ac:dyDescent="0.25">
      <c r="A104" s="214" t="s">
        <v>723</v>
      </c>
      <c r="B104" s="64">
        <v>9.0299999999999994</v>
      </c>
      <c r="C104" s="64">
        <v>9.2799999999999994</v>
      </c>
      <c r="D104" s="64">
        <v>12.09</v>
      </c>
      <c r="E104" s="64">
        <v>5.2</v>
      </c>
      <c r="F104" s="64">
        <v>5.0599999999999996</v>
      </c>
      <c r="G104" s="64">
        <v>30.05</v>
      </c>
      <c r="H104" s="64">
        <v>5.21</v>
      </c>
      <c r="I104" s="64">
        <v>0.89</v>
      </c>
      <c r="J104" s="64">
        <v>0.52</v>
      </c>
      <c r="K104" s="64">
        <v>138.28</v>
      </c>
      <c r="L104" s="64">
        <v>23.92</v>
      </c>
      <c r="M104" s="64">
        <v>98.63</v>
      </c>
      <c r="N104" s="64">
        <v>35.200000000000003</v>
      </c>
      <c r="O104" s="64">
        <v>0</v>
      </c>
      <c r="P104" s="64">
        <v>0.28999999999999998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5.1100000000000003</v>
      </c>
      <c r="C106" s="67">
        <f>MIN(C9:C104)</f>
        <v>5.0999999999999996</v>
      </c>
      <c r="D106" s="67">
        <f t="shared" ref="D106:Q106" si="0">MIN(D9:D104)</f>
        <v>8.2200000000000006</v>
      </c>
      <c r="E106" s="67">
        <f t="shared" si="0"/>
        <v>3.54</v>
      </c>
      <c r="F106" s="67">
        <f t="shared" si="0"/>
        <v>2.78</v>
      </c>
      <c r="G106" s="67">
        <f t="shared" si="0"/>
        <v>11.41</v>
      </c>
      <c r="H106" s="67">
        <f t="shared" si="0"/>
        <v>2.35</v>
      </c>
      <c r="I106" s="67">
        <f t="shared" si="0"/>
        <v>0.78</v>
      </c>
      <c r="J106" s="67">
        <f t="shared" si="0"/>
        <v>0</v>
      </c>
      <c r="K106" s="67">
        <f t="shared" si="0"/>
        <v>85.15</v>
      </c>
      <c r="L106" s="67">
        <f t="shared" si="0"/>
        <v>22.62</v>
      </c>
      <c r="M106" s="67">
        <f t="shared" si="0"/>
        <v>77.02</v>
      </c>
      <c r="N106" s="67">
        <f t="shared" si="0"/>
        <v>35.1</v>
      </c>
      <c r="O106" s="67">
        <f t="shared" si="0"/>
        <v>0</v>
      </c>
      <c r="P106" s="67">
        <f t="shared" si="0"/>
        <v>0.2</v>
      </c>
      <c r="Q106" s="67">
        <f t="shared" si="0"/>
        <v>9.4600000000000009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13.89</v>
      </c>
      <c r="C107" s="66">
        <f t="shared" ref="C107:Q107" si="1">MAX(C9:C104)</f>
        <v>14.03</v>
      </c>
      <c r="D107" s="66">
        <f t="shared" si="1"/>
        <v>16.510000000000002</v>
      </c>
      <c r="E107" s="66">
        <f t="shared" si="1"/>
        <v>6.07</v>
      </c>
      <c r="F107" s="66">
        <f t="shared" si="1"/>
        <v>14.34</v>
      </c>
      <c r="G107" s="66">
        <f t="shared" si="1"/>
        <v>36.43</v>
      </c>
      <c r="H107" s="66">
        <f t="shared" si="1"/>
        <v>10.49</v>
      </c>
      <c r="I107" s="66">
        <f t="shared" si="1"/>
        <v>0.98</v>
      </c>
      <c r="J107" s="66">
        <f t="shared" si="1"/>
        <v>1.04</v>
      </c>
      <c r="K107" s="66">
        <f t="shared" si="1"/>
        <v>334.31</v>
      </c>
      <c r="L107" s="66">
        <f t="shared" si="1"/>
        <v>29.92</v>
      </c>
      <c r="M107" s="66">
        <f t="shared" si="1"/>
        <v>98.77</v>
      </c>
      <c r="N107" s="66">
        <f t="shared" si="1"/>
        <v>809.3</v>
      </c>
      <c r="O107" s="66">
        <f t="shared" si="1"/>
        <v>0.2</v>
      </c>
      <c r="P107" s="66">
        <f t="shared" si="1"/>
        <v>0.47</v>
      </c>
      <c r="Q107" s="66">
        <f t="shared" si="1"/>
        <v>9.6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8.1191666666666613</v>
      </c>
      <c r="C108" s="67">
        <f t="shared" ref="C108:Q108" si="2">AVERAGE(C9:C104)</f>
        <v>8.3223958333333332</v>
      </c>
      <c r="D108" s="67">
        <f t="shared" si="2"/>
        <v>10.857395833333335</v>
      </c>
      <c r="E108" s="67">
        <f t="shared" si="2"/>
        <v>5.1905208333333333</v>
      </c>
      <c r="F108" s="67">
        <f t="shared" si="2"/>
        <v>6.9721874999999978</v>
      </c>
      <c r="G108" s="67">
        <f t="shared" si="2"/>
        <v>22.364687500000002</v>
      </c>
      <c r="H108" s="67">
        <f t="shared" si="2"/>
        <v>5.4689583333333358</v>
      </c>
      <c r="I108" s="67">
        <f t="shared" si="2"/>
        <v>0.84031249999999991</v>
      </c>
      <c r="J108" s="67">
        <f t="shared" si="2"/>
        <v>0.28645833333333326</v>
      </c>
      <c r="K108" s="67">
        <f t="shared" si="2"/>
        <v>166.57156250000003</v>
      </c>
      <c r="L108" s="67">
        <f t="shared" si="2"/>
        <v>25.368645833333336</v>
      </c>
      <c r="M108" s="67">
        <f t="shared" si="2"/>
        <v>94.779062500000023</v>
      </c>
      <c r="N108" s="67">
        <f t="shared" si="2"/>
        <v>156.88645833333334</v>
      </c>
      <c r="O108" s="67">
        <f t="shared" si="2"/>
        <v>2.0833333333333333E-3</v>
      </c>
      <c r="P108" s="67">
        <f t="shared" si="2"/>
        <v>0.27489583333333328</v>
      </c>
      <c r="Q108" s="67">
        <f t="shared" si="2"/>
        <v>9.5405208333333267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1.5119897428409426</v>
      </c>
      <c r="C109" s="67">
        <f t="shared" ref="C109:Q109" si="3">STDEV(C9:C104)</f>
        <v>2.203868725095973</v>
      </c>
      <c r="D109" s="67">
        <f t="shared" si="3"/>
        <v>1.5615580915372806</v>
      </c>
      <c r="E109" s="67">
        <f t="shared" si="3"/>
        <v>0.54925666474967227</v>
      </c>
      <c r="F109" s="67">
        <f t="shared" si="3"/>
        <v>2.1522087568111905</v>
      </c>
      <c r="G109" s="67">
        <f t="shared" si="3"/>
        <v>8.3354343116884682</v>
      </c>
      <c r="H109" s="67">
        <f t="shared" si="3"/>
        <v>2.1184052985139359</v>
      </c>
      <c r="I109" s="67">
        <f t="shared" si="3"/>
        <v>4.2138946231172959E-2</v>
      </c>
      <c r="J109" s="67">
        <f t="shared" si="3"/>
        <v>0.25471130889144483</v>
      </c>
      <c r="K109" s="67">
        <f t="shared" si="3"/>
        <v>55.885226281015036</v>
      </c>
      <c r="L109" s="67">
        <f t="shared" si="3"/>
        <v>2.4589007470355382</v>
      </c>
      <c r="M109" s="67">
        <f t="shared" si="3"/>
        <v>6.2201337061488031</v>
      </c>
      <c r="N109" s="67">
        <f t="shared" si="3"/>
        <v>189.33333546936765</v>
      </c>
      <c r="O109" s="67">
        <f t="shared" si="3"/>
        <v>2.0412414523193152E-2</v>
      </c>
      <c r="P109" s="67">
        <f t="shared" si="3"/>
        <v>4.3285947438101553E-2</v>
      </c>
      <c r="Q109" s="67">
        <f t="shared" si="3"/>
        <v>3.9666233596338453E-2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724</v>
      </c>
      <c r="B9" s="64">
        <v>19.829999999999998</v>
      </c>
      <c r="C9" s="64">
        <v>7.45</v>
      </c>
      <c r="D9" s="64">
        <v>19.79</v>
      </c>
      <c r="E9" s="64">
        <v>5.56</v>
      </c>
      <c r="F9" s="64">
        <v>4.75</v>
      </c>
      <c r="G9" s="64">
        <v>30.05</v>
      </c>
      <c r="H9" s="64">
        <v>5.21</v>
      </c>
      <c r="I9" s="64">
        <v>0.89</v>
      </c>
      <c r="J9" s="64">
        <v>0.06</v>
      </c>
      <c r="K9" s="64">
        <v>245.63</v>
      </c>
      <c r="L9" s="64">
        <v>23.86</v>
      </c>
      <c r="M9" s="64">
        <v>98.6</v>
      </c>
      <c r="N9" s="64">
        <v>35.4</v>
      </c>
      <c r="O9" s="64">
        <v>0</v>
      </c>
      <c r="P9" s="64">
        <v>0.26</v>
      </c>
      <c r="Q9" s="64">
        <v>9.57</v>
      </c>
      <c r="R9" s="198"/>
      <c r="S9" s="198"/>
      <c r="T9" s="198"/>
      <c r="U9" s="198"/>
    </row>
    <row r="10" spans="1:21" s="12" customFormat="1" x14ac:dyDescent="0.25">
      <c r="A10" s="214" t="s">
        <v>725</v>
      </c>
      <c r="B10" s="64">
        <v>19.64</v>
      </c>
      <c r="C10" s="64">
        <v>8.84</v>
      </c>
      <c r="D10" s="64">
        <v>20.37</v>
      </c>
      <c r="E10" s="64">
        <v>5.42</v>
      </c>
      <c r="F10" s="64">
        <v>3.93</v>
      </c>
      <c r="G10" s="64">
        <v>30.05</v>
      </c>
      <c r="H10" s="64">
        <v>5.21</v>
      </c>
      <c r="I10" s="64">
        <v>0.88</v>
      </c>
      <c r="J10" s="64">
        <v>0.01</v>
      </c>
      <c r="K10" s="64">
        <v>20.72</v>
      </c>
      <c r="L10" s="64">
        <v>23.69</v>
      </c>
      <c r="M10" s="64">
        <v>98.66</v>
      </c>
      <c r="N10" s="64">
        <v>35.299999999999997</v>
      </c>
      <c r="O10" s="64">
        <v>0</v>
      </c>
      <c r="P10" s="64">
        <v>0.28000000000000003</v>
      </c>
      <c r="Q10" s="64">
        <v>9.58</v>
      </c>
      <c r="R10" s="198"/>
      <c r="S10" s="198"/>
      <c r="T10" s="198"/>
      <c r="U10" s="198"/>
    </row>
    <row r="11" spans="1:21" s="12" customFormat="1" x14ac:dyDescent="0.25">
      <c r="A11" s="214" t="s">
        <v>726</v>
      </c>
      <c r="B11" s="64">
        <v>8.74</v>
      </c>
      <c r="C11" s="64">
        <v>9.1199999999999992</v>
      </c>
      <c r="D11" s="64">
        <v>11.77</v>
      </c>
      <c r="E11" s="64">
        <v>5.1100000000000003</v>
      </c>
      <c r="F11" s="64">
        <v>7.49</v>
      </c>
      <c r="G11" s="64">
        <v>31.13</v>
      </c>
      <c r="H11" s="64">
        <v>4.9000000000000004</v>
      </c>
      <c r="I11" s="64">
        <v>0.95</v>
      </c>
      <c r="J11" s="64">
        <v>0.1</v>
      </c>
      <c r="K11" s="64">
        <v>116.07</v>
      </c>
      <c r="L11" s="64">
        <v>23.52</v>
      </c>
      <c r="M11" s="64">
        <v>98.73</v>
      </c>
      <c r="N11" s="64">
        <v>35.1</v>
      </c>
      <c r="O11" s="64">
        <v>0</v>
      </c>
      <c r="P11" s="64">
        <v>0.25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4" t="s">
        <v>727</v>
      </c>
      <c r="B12" s="64">
        <v>8.17</v>
      </c>
      <c r="C12" s="64">
        <v>7.28</v>
      </c>
      <c r="D12" s="64">
        <v>10.36</v>
      </c>
      <c r="E12" s="64">
        <v>5.23</v>
      </c>
      <c r="F12" s="64">
        <v>7.82</v>
      </c>
      <c r="G12" s="64">
        <v>36.51</v>
      </c>
      <c r="H12" s="64">
        <v>3.65</v>
      </c>
      <c r="I12" s="64">
        <v>0.94</v>
      </c>
      <c r="J12" s="64">
        <v>0.11</v>
      </c>
      <c r="K12" s="64">
        <v>147.96</v>
      </c>
      <c r="L12" s="64">
        <v>23.47</v>
      </c>
      <c r="M12" s="64">
        <v>98.76</v>
      </c>
      <c r="N12" s="64">
        <v>35</v>
      </c>
      <c r="O12" s="64">
        <v>0</v>
      </c>
      <c r="P12" s="64">
        <v>0.23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4" t="s">
        <v>728</v>
      </c>
      <c r="B13" s="64">
        <v>8.0299999999999994</v>
      </c>
      <c r="C13" s="64">
        <v>7.89</v>
      </c>
      <c r="D13" s="64">
        <v>10.56</v>
      </c>
      <c r="E13" s="64">
        <v>5.77</v>
      </c>
      <c r="F13" s="64">
        <v>6.22</v>
      </c>
      <c r="G13" s="64">
        <v>36.51</v>
      </c>
      <c r="H13" s="64">
        <v>3.65</v>
      </c>
      <c r="I13" s="64">
        <v>0.86</v>
      </c>
      <c r="J13" s="64">
        <v>0.1</v>
      </c>
      <c r="K13" s="64">
        <v>127.73</v>
      </c>
      <c r="L13" s="64">
        <v>23.37</v>
      </c>
      <c r="M13" s="64">
        <v>98.72</v>
      </c>
      <c r="N13" s="64">
        <v>35</v>
      </c>
      <c r="O13" s="64">
        <v>0</v>
      </c>
      <c r="P13" s="64">
        <v>0.25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4" t="s">
        <v>729</v>
      </c>
      <c r="B14" s="64">
        <v>7.97</v>
      </c>
      <c r="C14" s="64">
        <v>8.0500000000000007</v>
      </c>
      <c r="D14" s="64">
        <v>10.6</v>
      </c>
      <c r="E14" s="64">
        <v>5.65</v>
      </c>
      <c r="F14" s="64">
        <v>6.36</v>
      </c>
      <c r="G14" s="64">
        <v>36.51</v>
      </c>
      <c r="H14" s="64">
        <v>3.65</v>
      </c>
      <c r="I14" s="64">
        <v>0.93</v>
      </c>
      <c r="J14" s="64">
        <v>0.15</v>
      </c>
      <c r="K14" s="64">
        <v>155.22</v>
      </c>
      <c r="L14" s="64">
        <v>23.45</v>
      </c>
      <c r="M14" s="64">
        <v>98.68</v>
      </c>
      <c r="N14" s="64">
        <v>35</v>
      </c>
      <c r="O14" s="64">
        <v>0</v>
      </c>
      <c r="P14" s="64">
        <v>0.24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4" t="s">
        <v>730</v>
      </c>
      <c r="B15" s="64">
        <v>7.63</v>
      </c>
      <c r="C15" s="64">
        <v>7.74</v>
      </c>
      <c r="D15" s="64">
        <v>10.16</v>
      </c>
      <c r="E15" s="64">
        <v>5.38</v>
      </c>
      <c r="F15" s="64">
        <v>6.64</v>
      </c>
      <c r="G15" s="64">
        <v>34.4</v>
      </c>
      <c r="H15" s="64">
        <v>3.49</v>
      </c>
      <c r="I15" s="64">
        <v>1</v>
      </c>
      <c r="J15" s="64">
        <v>0.32</v>
      </c>
      <c r="K15" s="64">
        <v>134.26</v>
      </c>
      <c r="L15" s="64">
        <v>23.49</v>
      </c>
      <c r="M15" s="64">
        <v>98.66</v>
      </c>
      <c r="N15" s="64">
        <v>34.799999999999997</v>
      </c>
      <c r="O15" s="64">
        <v>0</v>
      </c>
      <c r="P15" s="64">
        <v>0.25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4" t="s">
        <v>731</v>
      </c>
      <c r="B16" s="64">
        <v>7.73</v>
      </c>
      <c r="C16" s="64">
        <v>7.47</v>
      </c>
      <c r="D16" s="64">
        <v>10.1</v>
      </c>
      <c r="E16" s="64">
        <v>5.38</v>
      </c>
      <c r="F16" s="64">
        <v>7.43</v>
      </c>
      <c r="G16" s="64">
        <v>23.84</v>
      </c>
      <c r="H16" s="64">
        <v>2.56</v>
      </c>
      <c r="I16" s="64">
        <v>0.99</v>
      </c>
      <c r="J16" s="64">
        <v>0.34</v>
      </c>
      <c r="K16" s="64">
        <v>146.99</v>
      </c>
      <c r="L16" s="64">
        <v>23.53</v>
      </c>
      <c r="M16" s="64">
        <v>98.65</v>
      </c>
      <c r="N16" s="64">
        <v>34.9</v>
      </c>
      <c r="O16" s="64">
        <v>0</v>
      </c>
      <c r="P16" s="64">
        <v>0.23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4" t="s">
        <v>732</v>
      </c>
      <c r="B17" s="64">
        <v>7.86</v>
      </c>
      <c r="C17" s="64">
        <v>7.34</v>
      </c>
      <c r="D17" s="64">
        <v>10.14</v>
      </c>
      <c r="E17" s="64">
        <v>5.7</v>
      </c>
      <c r="F17" s="64">
        <v>6.9</v>
      </c>
      <c r="G17" s="64">
        <v>23.84</v>
      </c>
      <c r="H17" s="64">
        <v>2.56</v>
      </c>
      <c r="I17" s="64">
        <v>1</v>
      </c>
      <c r="J17" s="64">
        <v>0.22</v>
      </c>
      <c r="K17" s="64">
        <v>149.13</v>
      </c>
      <c r="L17" s="64">
        <v>23.49</v>
      </c>
      <c r="M17" s="64">
        <v>98.67</v>
      </c>
      <c r="N17" s="64">
        <v>34.9</v>
      </c>
      <c r="O17" s="64">
        <v>0</v>
      </c>
      <c r="P17" s="64">
        <v>0.23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4" t="s">
        <v>733</v>
      </c>
      <c r="B18" s="64">
        <v>7.69</v>
      </c>
      <c r="C18" s="64">
        <v>7.12</v>
      </c>
      <c r="D18" s="64">
        <v>9.89</v>
      </c>
      <c r="E18" s="64">
        <v>5.51</v>
      </c>
      <c r="F18" s="64">
        <v>7.16</v>
      </c>
      <c r="G18" s="64">
        <v>23.84</v>
      </c>
      <c r="H18" s="64">
        <v>2.56</v>
      </c>
      <c r="I18" s="64">
        <v>1.01</v>
      </c>
      <c r="J18" s="64">
        <v>0.1</v>
      </c>
      <c r="K18" s="64">
        <v>157.96</v>
      </c>
      <c r="L18" s="64">
        <v>23.47</v>
      </c>
      <c r="M18" s="64">
        <v>98.68</v>
      </c>
      <c r="N18" s="64">
        <v>35.1</v>
      </c>
      <c r="O18" s="64">
        <v>0</v>
      </c>
      <c r="P18" s="64">
        <v>0.23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4" t="s">
        <v>734</v>
      </c>
      <c r="B19" s="64">
        <v>8.4499999999999993</v>
      </c>
      <c r="C19" s="64">
        <v>6.49</v>
      </c>
      <c r="D19" s="64">
        <v>10.17</v>
      </c>
      <c r="E19" s="64">
        <v>5.5</v>
      </c>
      <c r="F19" s="64">
        <v>5.29</v>
      </c>
      <c r="G19" s="64">
        <v>22.66</v>
      </c>
      <c r="H19" s="64">
        <v>3.74</v>
      </c>
      <c r="I19" s="64">
        <v>1.01</v>
      </c>
      <c r="J19" s="64">
        <v>0.14000000000000001</v>
      </c>
      <c r="K19" s="64">
        <v>133.54</v>
      </c>
      <c r="L19" s="64">
        <v>23.44</v>
      </c>
      <c r="M19" s="64">
        <v>98.68</v>
      </c>
      <c r="N19" s="64">
        <v>35</v>
      </c>
      <c r="O19" s="64">
        <v>0</v>
      </c>
      <c r="P19" s="64">
        <v>0.26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4" t="s">
        <v>735</v>
      </c>
      <c r="B20" s="64">
        <v>7.61</v>
      </c>
      <c r="C20" s="64">
        <v>6.88</v>
      </c>
      <c r="D20" s="64">
        <v>9.6999999999999993</v>
      </c>
      <c r="E20" s="64">
        <v>5.52</v>
      </c>
      <c r="F20" s="64">
        <v>5.99</v>
      </c>
      <c r="G20" s="64">
        <v>16.78</v>
      </c>
      <c r="H20" s="64">
        <v>8.3800000000000008</v>
      </c>
      <c r="I20" s="64">
        <v>1</v>
      </c>
      <c r="J20" s="64">
        <v>7.0000000000000007E-2</v>
      </c>
      <c r="K20" s="64">
        <v>160.5</v>
      </c>
      <c r="L20" s="64">
        <v>23.34</v>
      </c>
      <c r="M20" s="64">
        <v>98.69</v>
      </c>
      <c r="N20" s="64">
        <v>35</v>
      </c>
      <c r="O20" s="64">
        <v>0</v>
      </c>
      <c r="P20" s="64">
        <v>0.22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4" t="s">
        <v>736</v>
      </c>
      <c r="B21" s="64">
        <v>8.3800000000000008</v>
      </c>
      <c r="C21" s="64">
        <v>6.63</v>
      </c>
      <c r="D21" s="64">
        <v>10.19</v>
      </c>
      <c r="E21" s="64">
        <v>5.39</v>
      </c>
      <c r="F21" s="64">
        <v>4.8</v>
      </c>
      <c r="G21" s="64">
        <v>16.78</v>
      </c>
      <c r="H21" s="64">
        <v>8.3800000000000008</v>
      </c>
      <c r="I21" s="64">
        <v>0.97</v>
      </c>
      <c r="J21" s="64">
        <v>0.12</v>
      </c>
      <c r="K21" s="64">
        <v>122.43</v>
      </c>
      <c r="L21" s="64">
        <v>23.33</v>
      </c>
      <c r="M21" s="64">
        <v>98.7</v>
      </c>
      <c r="N21" s="64">
        <v>35</v>
      </c>
      <c r="O21" s="64">
        <v>0</v>
      </c>
      <c r="P21" s="64">
        <v>0.26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4" t="s">
        <v>737</v>
      </c>
      <c r="B22" s="64">
        <v>7.6</v>
      </c>
      <c r="C22" s="64">
        <v>7.18</v>
      </c>
      <c r="D22" s="64">
        <v>9.84</v>
      </c>
      <c r="E22" s="64">
        <v>5.58</v>
      </c>
      <c r="F22" s="64">
        <v>5.73</v>
      </c>
      <c r="G22" s="64">
        <v>16.78</v>
      </c>
      <c r="H22" s="64">
        <v>8.3800000000000008</v>
      </c>
      <c r="I22" s="64">
        <v>0.95</v>
      </c>
      <c r="J22" s="64">
        <v>0.24</v>
      </c>
      <c r="K22" s="64">
        <v>152.5</v>
      </c>
      <c r="L22" s="64">
        <v>23.49</v>
      </c>
      <c r="M22" s="64">
        <v>98.7</v>
      </c>
      <c r="N22" s="64">
        <v>34.9</v>
      </c>
      <c r="O22" s="64">
        <v>0</v>
      </c>
      <c r="P22" s="64">
        <v>0.22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4" t="s">
        <v>738</v>
      </c>
      <c r="B23" s="64">
        <v>8.7899999999999991</v>
      </c>
      <c r="C23" s="64">
        <v>6.11</v>
      </c>
      <c r="D23" s="64">
        <v>10.25</v>
      </c>
      <c r="E23" s="64">
        <v>5.47</v>
      </c>
      <c r="F23" s="64">
        <v>5.51</v>
      </c>
      <c r="G23" s="64">
        <v>18.16</v>
      </c>
      <c r="H23" s="64">
        <v>8.0399999999999991</v>
      </c>
      <c r="I23" s="64">
        <v>0.94</v>
      </c>
      <c r="J23" s="64">
        <v>0.28999999999999998</v>
      </c>
      <c r="K23" s="64">
        <v>152.30000000000001</v>
      </c>
      <c r="L23" s="64">
        <v>23.6</v>
      </c>
      <c r="M23" s="64">
        <v>98.66</v>
      </c>
      <c r="N23" s="64">
        <v>35</v>
      </c>
      <c r="O23" s="64">
        <v>0</v>
      </c>
      <c r="P23" s="64">
        <v>0.25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739</v>
      </c>
      <c r="B24" s="64">
        <v>6.82</v>
      </c>
      <c r="C24" s="64">
        <v>7.82</v>
      </c>
      <c r="D24" s="64">
        <v>9.5500000000000007</v>
      </c>
      <c r="E24" s="64">
        <v>5.75</v>
      </c>
      <c r="F24" s="64">
        <v>5.05</v>
      </c>
      <c r="G24" s="64">
        <v>25.06</v>
      </c>
      <c r="H24" s="64">
        <v>6.73</v>
      </c>
      <c r="I24" s="64">
        <v>0.94</v>
      </c>
      <c r="J24" s="64">
        <v>0.26</v>
      </c>
      <c r="K24" s="64">
        <v>133.78</v>
      </c>
      <c r="L24" s="64">
        <v>23.64</v>
      </c>
      <c r="M24" s="64">
        <v>98.68</v>
      </c>
      <c r="N24" s="64">
        <v>35.1</v>
      </c>
      <c r="O24" s="64">
        <v>0</v>
      </c>
      <c r="P24" s="64">
        <v>0.22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14" t="s">
        <v>740</v>
      </c>
      <c r="B25" s="64">
        <v>8.3000000000000007</v>
      </c>
      <c r="C25" s="64">
        <v>7.62</v>
      </c>
      <c r="D25" s="64">
        <v>10.63</v>
      </c>
      <c r="E25" s="64">
        <v>5.93</v>
      </c>
      <c r="F25" s="64">
        <v>5.04</v>
      </c>
      <c r="G25" s="64">
        <v>25.06</v>
      </c>
      <c r="H25" s="64">
        <v>6.73</v>
      </c>
      <c r="I25" s="64">
        <v>0.94</v>
      </c>
      <c r="J25" s="64">
        <v>0.27</v>
      </c>
      <c r="K25" s="64">
        <v>146.94</v>
      </c>
      <c r="L25" s="64">
        <v>23.72</v>
      </c>
      <c r="M25" s="64">
        <v>98.64</v>
      </c>
      <c r="N25" s="64">
        <v>35.1</v>
      </c>
      <c r="O25" s="64">
        <v>0</v>
      </c>
      <c r="P25" s="64">
        <v>0.24</v>
      </c>
      <c r="Q25" s="64">
        <v>9.59</v>
      </c>
      <c r="R25" s="198"/>
      <c r="S25" s="198"/>
      <c r="T25" s="198"/>
      <c r="U25" s="198"/>
    </row>
    <row r="26" spans="1:21" s="12" customFormat="1" x14ac:dyDescent="0.25">
      <c r="A26" s="214" t="s">
        <v>741</v>
      </c>
      <c r="B26" s="64">
        <v>7.68</v>
      </c>
      <c r="C26" s="64">
        <v>8.1</v>
      </c>
      <c r="D26" s="64">
        <v>10.39</v>
      </c>
      <c r="E26" s="64">
        <v>5.36</v>
      </c>
      <c r="F26" s="64">
        <v>4.8099999999999996</v>
      </c>
      <c r="G26" s="64">
        <v>25.06</v>
      </c>
      <c r="H26" s="64">
        <v>6.73</v>
      </c>
      <c r="I26" s="64">
        <v>0.93</v>
      </c>
      <c r="J26" s="64">
        <v>0.25</v>
      </c>
      <c r="K26" s="64">
        <v>137.91999999999999</v>
      </c>
      <c r="L26" s="64">
        <v>23.75</v>
      </c>
      <c r="M26" s="64">
        <v>98.6</v>
      </c>
      <c r="N26" s="64">
        <v>35.1</v>
      </c>
      <c r="O26" s="64">
        <v>0</v>
      </c>
      <c r="P26" s="64">
        <v>0.24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4" t="s">
        <v>742</v>
      </c>
      <c r="B27" s="64">
        <v>9.6</v>
      </c>
      <c r="C27" s="64">
        <v>6.6</v>
      </c>
      <c r="D27" s="64">
        <v>11.15</v>
      </c>
      <c r="E27" s="64">
        <v>5.49</v>
      </c>
      <c r="F27" s="64">
        <v>4.5</v>
      </c>
      <c r="G27" s="64">
        <v>24.51</v>
      </c>
      <c r="H27" s="64">
        <v>6.42</v>
      </c>
      <c r="I27" s="64">
        <v>0.92</v>
      </c>
      <c r="J27" s="64">
        <v>0.57999999999999996</v>
      </c>
      <c r="K27" s="64">
        <v>139.96</v>
      </c>
      <c r="L27" s="64">
        <v>23.78</v>
      </c>
      <c r="M27" s="64">
        <v>98.59</v>
      </c>
      <c r="N27" s="64">
        <v>35.1</v>
      </c>
      <c r="O27" s="64">
        <v>0</v>
      </c>
      <c r="P27" s="64">
        <v>0.25</v>
      </c>
      <c r="Q27" s="64">
        <v>9.59</v>
      </c>
      <c r="R27" s="198"/>
      <c r="S27" s="198"/>
      <c r="T27" s="198"/>
      <c r="U27" s="198"/>
    </row>
    <row r="28" spans="1:21" s="12" customFormat="1" x14ac:dyDescent="0.25">
      <c r="A28" s="214" t="s">
        <v>743</v>
      </c>
      <c r="B28" s="64">
        <v>9.5299999999999994</v>
      </c>
      <c r="C28" s="64">
        <v>7.75</v>
      </c>
      <c r="D28" s="64">
        <v>11.7</v>
      </c>
      <c r="E28" s="64">
        <v>5.31</v>
      </c>
      <c r="F28" s="64">
        <v>4.46</v>
      </c>
      <c r="G28" s="64">
        <v>21.75</v>
      </c>
      <c r="H28" s="64">
        <v>5.21</v>
      </c>
      <c r="I28" s="64">
        <v>0.93</v>
      </c>
      <c r="J28" s="64">
        <v>0.44</v>
      </c>
      <c r="K28" s="64">
        <v>133.79</v>
      </c>
      <c r="L28" s="64">
        <v>23.82</v>
      </c>
      <c r="M28" s="64">
        <v>98.58</v>
      </c>
      <c r="N28" s="64">
        <v>35.1</v>
      </c>
      <c r="O28" s="64">
        <v>0</v>
      </c>
      <c r="P28" s="64">
        <v>0.25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4" t="s">
        <v>744</v>
      </c>
      <c r="B29" s="64">
        <v>8.2200000000000006</v>
      </c>
      <c r="C29" s="64">
        <v>7.39</v>
      </c>
      <c r="D29" s="64">
        <v>10.45</v>
      </c>
      <c r="E29" s="64">
        <v>5.43</v>
      </c>
      <c r="F29" s="64">
        <v>6.11</v>
      </c>
      <c r="G29" s="64">
        <v>21.75</v>
      </c>
      <c r="H29" s="64">
        <v>5.21</v>
      </c>
      <c r="I29" s="64">
        <v>0.93</v>
      </c>
      <c r="J29" s="64">
        <v>0.56999999999999995</v>
      </c>
      <c r="K29" s="64">
        <v>132.77000000000001</v>
      </c>
      <c r="L29" s="64">
        <v>23.85</v>
      </c>
      <c r="M29" s="64">
        <v>98.58</v>
      </c>
      <c r="N29" s="64">
        <v>35.1</v>
      </c>
      <c r="O29" s="64">
        <v>0</v>
      </c>
      <c r="P29" s="64">
        <v>0.23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4" t="s">
        <v>745</v>
      </c>
      <c r="B30" s="64">
        <v>7.66</v>
      </c>
      <c r="C30" s="64">
        <v>7.87</v>
      </c>
      <c r="D30" s="64">
        <v>10.25</v>
      </c>
      <c r="E30" s="64">
        <v>5.46</v>
      </c>
      <c r="F30" s="64">
        <v>6.27</v>
      </c>
      <c r="G30" s="64">
        <v>21.75</v>
      </c>
      <c r="H30" s="64">
        <v>5.21</v>
      </c>
      <c r="I30" s="64">
        <v>0.92</v>
      </c>
      <c r="J30" s="64">
        <v>0.28999999999999998</v>
      </c>
      <c r="K30" s="64">
        <v>134.53</v>
      </c>
      <c r="L30" s="64">
        <v>23.87</v>
      </c>
      <c r="M30" s="64">
        <v>98.58</v>
      </c>
      <c r="N30" s="64">
        <v>35.4</v>
      </c>
      <c r="O30" s="64">
        <v>0</v>
      </c>
      <c r="P30" s="64">
        <v>0.24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4" t="s">
        <v>746</v>
      </c>
      <c r="B31" s="64">
        <v>8.4600000000000009</v>
      </c>
      <c r="C31" s="64">
        <v>7.95</v>
      </c>
      <c r="D31" s="64">
        <v>10.94</v>
      </c>
      <c r="E31" s="64">
        <v>5.41</v>
      </c>
      <c r="F31" s="64">
        <v>5.76</v>
      </c>
      <c r="G31" s="64">
        <v>22.2</v>
      </c>
      <c r="H31" s="64">
        <v>4.9800000000000004</v>
      </c>
      <c r="I31" s="64">
        <v>0.92</v>
      </c>
      <c r="J31" s="64">
        <v>0.12</v>
      </c>
      <c r="K31" s="64">
        <v>155.53</v>
      </c>
      <c r="L31" s="64">
        <v>23.84</v>
      </c>
      <c r="M31" s="64">
        <v>98.58</v>
      </c>
      <c r="N31" s="64">
        <v>36</v>
      </c>
      <c r="O31" s="64">
        <v>0</v>
      </c>
      <c r="P31" s="64">
        <v>0.25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747</v>
      </c>
      <c r="B32" s="64">
        <v>7.94</v>
      </c>
      <c r="C32" s="64">
        <v>8.08</v>
      </c>
      <c r="D32" s="64">
        <v>10.59</v>
      </c>
      <c r="E32" s="64">
        <v>5.56</v>
      </c>
      <c r="F32" s="64">
        <v>5.4</v>
      </c>
      <c r="G32" s="64">
        <v>24.49</v>
      </c>
      <c r="H32" s="64">
        <v>3.65</v>
      </c>
      <c r="I32" s="64">
        <v>0.92</v>
      </c>
      <c r="J32" s="64">
        <v>0.57999999999999996</v>
      </c>
      <c r="K32" s="64">
        <v>137.05000000000001</v>
      </c>
      <c r="L32" s="64">
        <v>23.81</v>
      </c>
      <c r="M32" s="64">
        <v>98.58</v>
      </c>
      <c r="N32" s="64">
        <v>37.9</v>
      </c>
      <c r="O32" s="64">
        <v>0</v>
      </c>
      <c r="P32" s="64">
        <v>0.24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4" t="s">
        <v>748</v>
      </c>
      <c r="B33" s="64">
        <v>10.119999999999999</v>
      </c>
      <c r="C33" s="64">
        <v>7.59</v>
      </c>
      <c r="D33" s="64">
        <v>12.08</v>
      </c>
      <c r="E33" s="64">
        <v>5.61</v>
      </c>
      <c r="F33" s="64">
        <v>4.33</v>
      </c>
      <c r="G33" s="64">
        <v>24.49</v>
      </c>
      <c r="H33" s="64">
        <v>3.65</v>
      </c>
      <c r="I33" s="64">
        <v>0.93</v>
      </c>
      <c r="J33" s="64">
        <v>0.48</v>
      </c>
      <c r="K33" s="64">
        <v>140.86000000000001</v>
      </c>
      <c r="L33" s="64">
        <v>23.84</v>
      </c>
      <c r="M33" s="64">
        <v>98.57</v>
      </c>
      <c r="N33" s="64">
        <v>45.7</v>
      </c>
      <c r="O33" s="64">
        <v>0</v>
      </c>
      <c r="P33" s="64">
        <v>0.26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4" t="s">
        <v>749</v>
      </c>
      <c r="B34" s="64">
        <v>11.23</v>
      </c>
      <c r="C34" s="64">
        <v>5.8</v>
      </c>
      <c r="D34" s="64">
        <v>12.04</v>
      </c>
      <c r="E34" s="64">
        <v>5.5</v>
      </c>
      <c r="F34" s="64">
        <v>3.3</v>
      </c>
      <c r="G34" s="64">
        <v>24.49</v>
      </c>
      <c r="H34" s="64">
        <v>3.65</v>
      </c>
      <c r="I34" s="64">
        <v>0.93</v>
      </c>
      <c r="J34" s="64">
        <v>0.57999999999999996</v>
      </c>
      <c r="K34" s="64">
        <v>142.18</v>
      </c>
      <c r="L34" s="64">
        <v>23.9</v>
      </c>
      <c r="M34" s="64">
        <v>98.55</v>
      </c>
      <c r="N34" s="64">
        <v>56.8</v>
      </c>
      <c r="O34" s="64">
        <v>0</v>
      </c>
      <c r="P34" s="64">
        <v>0.26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750</v>
      </c>
      <c r="B35" s="64">
        <v>11.76</v>
      </c>
      <c r="C35" s="64">
        <v>4.97</v>
      </c>
      <c r="D35" s="64">
        <v>12.03</v>
      </c>
      <c r="E35" s="64">
        <v>5.81</v>
      </c>
      <c r="F35" s="64">
        <v>3.21</v>
      </c>
      <c r="G35" s="64">
        <v>24.26</v>
      </c>
      <c r="H35" s="64">
        <v>5.05</v>
      </c>
      <c r="I35" s="64">
        <v>0.94</v>
      </c>
      <c r="J35" s="64">
        <v>0.59</v>
      </c>
      <c r="K35" s="64">
        <v>145.02000000000001</v>
      </c>
      <c r="L35" s="64">
        <v>24</v>
      </c>
      <c r="M35" s="64">
        <v>98.57</v>
      </c>
      <c r="N35" s="64">
        <v>75</v>
      </c>
      <c r="O35" s="64">
        <v>0</v>
      </c>
      <c r="P35" s="64">
        <v>0.27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4" t="s">
        <v>751</v>
      </c>
      <c r="B36" s="64">
        <v>12.04</v>
      </c>
      <c r="C36" s="64">
        <v>5.01</v>
      </c>
      <c r="D36" s="64">
        <v>12.28</v>
      </c>
      <c r="E36" s="64">
        <v>5.58</v>
      </c>
      <c r="F36" s="64">
        <v>3.37</v>
      </c>
      <c r="G36" s="64">
        <v>23.11</v>
      </c>
      <c r="H36" s="64">
        <v>10.58</v>
      </c>
      <c r="I36" s="64">
        <v>0.96</v>
      </c>
      <c r="J36" s="64">
        <v>0.55000000000000004</v>
      </c>
      <c r="K36" s="64">
        <v>143.21</v>
      </c>
      <c r="L36" s="64">
        <v>24.18</v>
      </c>
      <c r="M36" s="64">
        <v>98.56</v>
      </c>
      <c r="N36" s="64">
        <v>96.4</v>
      </c>
      <c r="O36" s="64">
        <v>0</v>
      </c>
      <c r="P36" s="64">
        <v>0.28000000000000003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4" t="s">
        <v>752</v>
      </c>
      <c r="B37" s="64">
        <v>12.33</v>
      </c>
      <c r="C37" s="64">
        <v>5.28</v>
      </c>
      <c r="D37" s="64">
        <v>12.65</v>
      </c>
      <c r="E37" s="64">
        <v>5.71</v>
      </c>
      <c r="F37" s="64">
        <v>3.46</v>
      </c>
      <c r="G37" s="64">
        <v>23.11</v>
      </c>
      <c r="H37" s="64">
        <v>10.58</v>
      </c>
      <c r="I37" s="64">
        <v>0.96</v>
      </c>
      <c r="J37" s="64">
        <v>0.56999999999999995</v>
      </c>
      <c r="K37" s="64">
        <v>148.79</v>
      </c>
      <c r="L37" s="64">
        <v>24.57</v>
      </c>
      <c r="M37" s="64">
        <v>98.53</v>
      </c>
      <c r="N37" s="64">
        <v>144.19999999999999</v>
      </c>
      <c r="O37" s="64">
        <v>0.2</v>
      </c>
      <c r="P37" s="64">
        <v>0.28000000000000003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4" t="s">
        <v>753</v>
      </c>
      <c r="B38" s="64">
        <v>11.1</v>
      </c>
      <c r="C38" s="64">
        <v>7.02</v>
      </c>
      <c r="D38" s="64">
        <v>12.56</v>
      </c>
      <c r="E38" s="64">
        <v>5.65</v>
      </c>
      <c r="F38" s="64">
        <v>6.78</v>
      </c>
      <c r="G38" s="64">
        <v>23.11</v>
      </c>
      <c r="H38" s="64">
        <v>10.58</v>
      </c>
      <c r="I38" s="64">
        <v>0.96</v>
      </c>
      <c r="J38" s="64">
        <v>0.52</v>
      </c>
      <c r="K38" s="64">
        <v>145.57</v>
      </c>
      <c r="L38" s="64">
        <v>24.79</v>
      </c>
      <c r="M38" s="64">
        <v>98.48</v>
      </c>
      <c r="N38" s="64">
        <v>145.80000000000001</v>
      </c>
      <c r="O38" s="64">
        <v>0</v>
      </c>
      <c r="P38" s="64">
        <v>0.28999999999999998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4" t="s">
        <v>754</v>
      </c>
      <c r="B39" s="64">
        <v>10.9</v>
      </c>
      <c r="C39" s="64">
        <v>7.26</v>
      </c>
      <c r="D39" s="64">
        <v>12.53</v>
      </c>
      <c r="E39" s="64">
        <v>5.13</v>
      </c>
      <c r="F39" s="64">
        <v>7.15</v>
      </c>
      <c r="G39" s="64">
        <v>23.17</v>
      </c>
      <c r="H39" s="64">
        <v>9.9600000000000009</v>
      </c>
      <c r="I39" s="64">
        <v>0.97</v>
      </c>
      <c r="J39" s="64">
        <v>0.61</v>
      </c>
      <c r="K39" s="64">
        <v>136.37</v>
      </c>
      <c r="L39" s="64">
        <v>25.41</v>
      </c>
      <c r="M39" s="64">
        <v>98.41</v>
      </c>
      <c r="N39" s="64">
        <v>321.8</v>
      </c>
      <c r="O39" s="64">
        <v>0</v>
      </c>
      <c r="P39" s="64">
        <v>0.28000000000000003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4" t="s">
        <v>755</v>
      </c>
      <c r="B40" s="64">
        <v>9.91</v>
      </c>
      <c r="C40" s="64">
        <v>6.65</v>
      </c>
      <c r="D40" s="64">
        <v>11.42</v>
      </c>
      <c r="E40" s="64">
        <v>4.28</v>
      </c>
      <c r="F40" s="64">
        <v>6.33</v>
      </c>
      <c r="G40" s="64">
        <v>23.48</v>
      </c>
      <c r="H40" s="64">
        <v>7.56</v>
      </c>
      <c r="I40" s="64">
        <v>0.99</v>
      </c>
      <c r="J40" s="64">
        <v>0.34</v>
      </c>
      <c r="K40" s="64">
        <v>144.49</v>
      </c>
      <c r="L40" s="64">
        <v>27.54</v>
      </c>
      <c r="M40" s="64">
        <v>96.72</v>
      </c>
      <c r="N40" s="64">
        <v>502.9</v>
      </c>
      <c r="O40" s="64">
        <v>0</v>
      </c>
      <c r="P40" s="64">
        <v>0.26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4" t="s">
        <v>756</v>
      </c>
      <c r="B41" s="64">
        <v>9.41</v>
      </c>
      <c r="C41" s="64">
        <v>6.78</v>
      </c>
      <c r="D41" s="64">
        <v>11.09</v>
      </c>
      <c r="E41" s="64">
        <v>4.5</v>
      </c>
      <c r="F41" s="64">
        <v>9.18</v>
      </c>
      <c r="G41" s="64">
        <v>23.48</v>
      </c>
      <c r="H41" s="64">
        <v>7.56</v>
      </c>
      <c r="I41" s="64">
        <v>1</v>
      </c>
      <c r="J41" s="64">
        <v>0.81</v>
      </c>
      <c r="K41" s="64">
        <v>135.34</v>
      </c>
      <c r="L41" s="64">
        <v>29.04</v>
      </c>
      <c r="M41" s="64">
        <v>89.43</v>
      </c>
      <c r="N41" s="64">
        <v>530</v>
      </c>
      <c r="O41" s="64">
        <v>0</v>
      </c>
      <c r="P41" s="64">
        <v>0.25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4" t="s">
        <v>757</v>
      </c>
      <c r="B42" s="64">
        <v>8.93</v>
      </c>
      <c r="C42" s="64">
        <v>7.36</v>
      </c>
      <c r="D42" s="64">
        <v>11.01</v>
      </c>
      <c r="E42" s="64">
        <v>4.87</v>
      </c>
      <c r="F42" s="64">
        <v>8.32</v>
      </c>
      <c r="G42" s="64">
        <v>23.48</v>
      </c>
      <c r="H42" s="64">
        <v>7.56</v>
      </c>
      <c r="I42" s="64">
        <v>1</v>
      </c>
      <c r="J42" s="64">
        <v>0.6</v>
      </c>
      <c r="K42" s="64">
        <v>138.83000000000001</v>
      </c>
      <c r="L42" s="64">
        <v>29.22</v>
      </c>
      <c r="M42" s="64">
        <v>88.85</v>
      </c>
      <c r="N42" s="64">
        <v>569.4</v>
      </c>
      <c r="O42" s="64">
        <v>0</v>
      </c>
      <c r="P42" s="64">
        <v>0.25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4" t="s">
        <v>758</v>
      </c>
      <c r="B43" s="64">
        <v>8.1300000000000008</v>
      </c>
      <c r="C43" s="64">
        <v>6.92</v>
      </c>
      <c r="D43" s="64">
        <v>10.14</v>
      </c>
      <c r="E43" s="64">
        <v>4.5599999999999996</v>
      </c>
      <c r="F43" s="64">
        <v>11.33</v>
      </c>
      <c r="G43" s="64">
        <v>23.76</v>
      </c>
      <c r="H43" s="64">
        <v>7.1</v>
      </c>
      <c r="I43" s="64">
        <v>1</v>
      </c>
      <c r="J43" s="64">
        <v>1.1399999999999999</v>
      </c>
      <c r="K43" s="64">
        <v>139.28</v>
      </c>
      <c r="L43" s="64">
        <v>28.86</v>
      </c>
      <c r="M43" s="64">
        <v>88.24</v>
      </c>
      <c r="N43" s="64">
        <v>596.20000000000005</v>
      </c>
      <c r="O43" s="64">
        <v>0</v>
      </c>
      <c r="P43" s="64">
        <v>0.21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4" t="s">
        <v>759</v>
      </c>
      <c r="B44" s="64">
        <v>7.09</v>
      </c>
      <c r="C44" s="64">
        <v>7.04</v>
      </c>
      <c r="D44" s="64">
        <v>9.36</v>
      </c>
      <c r="E44" s="64">
        <v>4.8</v>
      </c>
      <c r="F44" s="64">
        <v>13.02</v>
      </c>
      <c r="G44" s="64">
        <v>25.15</v>
      </c>
      <c r="H44" s="64">
        <v>5.29</v>
      </c>
      <c r="I44" s="64">
        <v>0.98</v>
      </c>
      <c r="J44" s="64">
        <v>0.69</v>
      </c>
      <c r="K44" s="64">
        <v>131.79</v>
      </c>
      <c r="L44" s="64">
        <v>29.06</v>
      </c>
      <c r="M44" s="64">
        <v>86.78</v>
      </c>
      <c r="N44" s="64">
        <v>548.1</v>
      </c>
      <c r="O44" s="64">
        <v>0</v>
      </c>
      <c r="P44" s="64">
        <v>0.2</v>
      </c>
      <c r="Q44" s="64">
        <v>9.59</v>
      </c>
      <c r="R44" s="198"/>
      <c r="S44" s="198"/>
      <c r="T44" s="198"/>
      <c r="U44" s="198"/>
    </row>
    <row r="45" spans="1:21" s="12" customFormat="1" x14ac:dyDescent="0.25">
      <c r="A45" s="214" t="s">
        <v>760</v>
      </c>
      <c r="B45" s="64">
        <v>7.68</v>
      </c>
      <c r="C45" s="64">
        <v>7.55</v>
      </c>
      <c r="D45" s="64">
        <v>10.1</v>
      </c>
      <c r="E45" s="64">
        <v>4.63</v>
      </c>
      <c r="F45" s="64">
        <v>10.57</v>
      </c>
      <c r="G45" s="64">
        <v>25.15</v>
      </c>
      <c r="H45" s="64">
        <v>5.29</v>
      </c>
      <c r="I45" s="64">
        <v>0.97</v>
      </c>
      <c r="J45" s="64">
        <v>0.53</v>
      </c>
      <c r="K45" s="64">
        <v>144.91999999999999</v>
      </c>
      <c r="L45" s="64">
        <v>29.28</v>
      </c>
      <c r="M45" s="64">
        <v>85</v>
      </c>
      <c r="N45" s="64">
        <v>736.6</v>
      </c>
      <c r="O45" s="64">
        <v>0</v>
      </c>
      <c r="P45" s="64">
        <v>0.22</v>
      </c>
      <c r="Q45" s="64">
        <v>9.59</v>
      </c>
      <c r="R45" s="198"/>
      <c r="S45" s="198"/>
      <c r="T45" s="198"/>
      <c r="U45" s="198"/>
    </row>
    <row r="46" spans="1:21" s="12" customFormat="1" x14ac:dyDescent="0.25">
      <c r="A46" s="214" t="s">
        <v>761</v>
      </c>
      <c r="B46" s="64">
        <v>8.2100000000000009</v>
      </c>
      <c r="C46" s="64">
        <v>7.64</v>
      </c>
      <c r="D46" s="64">
        <v>10.58</v>
      </c>
      <c r="E46" s="64">
        <v>4.58</v>
      </c>
      <c r="F46" s="64">
        <v>10.81</v>
      </c>
      <c r="G46" s="64">
        <v>25.15</v>
      </c>
      <c r="H46" s="64">
        <v>5.29</v>
      </c>
      <c r="I46" s="64">
        <v>0.96</v>
      </c>
      <c r="J46" s="64">
        <v>0.57999999999999996</v>
      </c>
      <c r="K46" s="64">
        <v>145.71</v>
      </c>
      <c r="L46" s="64">
        <v>30.16</v>
      </c>
      <c r="M46" s="64">
        <v>77.760000000000005</v>
      </c>
      <c r="N46" s="64">
        <v>781.6</v>
      </c>
      <c r="O46" s="64">
        <v>0</v>
      </c>
      <c r="P46" s="64">
        <v>0.23</v>
      </c>
      <c r="Q46" s="64">
        <v>9.59</v>
      </c>
      <c r="R46" s="198"/>
      <c r="S46" s="198"/>
      <c r="T46" s="198"/>
      <c r="U46" s="198"/>
    </row>
    <row r="47" spans="1:21" s="12" customFormat="1" x14ac:dyDescent="0.25">
      <c r="A47" s="214" t="s">
        <v>762</v>
      </c>
      <c r="B47" s="64">
        <v>7.23</v>
      </c>
      <c r="C47" s="64">
        <v>7.76</v>
      </c>
      <c r="D47" s="64">
        <v>9.86</v>
      </c>
      <c r="E47" s="64">
        <v>5.1100000000000003</v>
      </c>
      <c r="F47" s="64">
        <v>13.63</v>
      </c>
      <c r="G47" s="64">
        <v>24.42</v>
      </c>
      <c r="H47" s="64">
        <v>5.05</v>
      </c>
      <c r="I47" s="64">
        <v>0.95</v>
      </c>
      <c r="J47" s="64">
        <v>0.65</v>
      </c>
      <c r="K47" s="64">
        <v>136.41999999999999</v>
      </c>
      <c r="L47" s="64">
        <v>30.3</v>
      </c>
      <c r="M47" s="64">
        <v>78</v>
      </c>
      <c r="N47" s="64">
        <v>796.9</v>
      </c>
      <c r="O47" s="64">
        <v>0</v>
      </c>
      <c r="P47" s="64">
        <v>0.2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14" t="s">
        <v>763</v>
      </c>
      <c r="B48" s="64">
        <v>7.34</v>
      </c>
      <c r="C48" s="64">
        <v>7.89</v>
      </c>
      <c r="D48" s="64">
        <v>10.01</v>
      </c>
      <c r="E48" s="64">
        <v>4.93</v>
      </c>
      <c r="F48" s="64">
        <v>13.08</v>
      </c>
      <c r="G48" s="64">
        <v>20.76</v>
      </c>
      <c r="H48" s="64">
        <v>3.7</v>
      </c>
      <c r="I48" s="64">
        <v>0.94</v>
      </c>
      <c r="J48" s="64">
        <v>0.38</v>
      </c>
      <c r="K48" s="64">
        <v>137.79</v>
      </c>
      <c r="L48" s="64">
        <v>30.74</v>
      </c>
      <c r="M48" s="64">
        <v>78.12</v>
      </c>
      <c r="N48" s="64">
        <v>756.6</v>
      </c>
      <c r="O48" s="64">
        <v>0</v>
      </c>
      <c r="P48" s="64">
        <v>0.21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4" t="s">
        <v>764</v>
      </c>
      <c r="B49" s="64">
        <v>9.3699999999999992</v>
      </c>
      <c r="C49" s="64">
        <v>8.2799999999999994</v>
      </c>
      <c r="D49" s="64">
        <v>11.84</v>
      </c>
      <c r="E49" s="64">
        <v>4.8</v>
      </c>
      <c r="F49" s="64">
        <v>10.15</v>
      </c>
      <c r="G49" s="64">
        <v>20.76</v>
      </c>
      <c r="H49" s="64">
        <v>3.7</v>
      </c>
      <c r="I49" s="64">
        <v>0.93</v>
      </c>
      <c r="J49" s="64">
        <v>0.12</v>
      </c>
      <c r="K49" s="64">
        <v>215.53</v>
      </c>
      <c r="L49" s="64">
        <v>30.08</v>
      </c>
      <c r="M49" s="64">
        <v>82.17</v>
      </c>
      <c r="N49" s="64">
        <v>433.9</v>
      </c>
      <c r="O49" s="64">
        <v>0</v>
      </c>
      <c r="P49" s="64">
        <v>0.24</v>
      </c>
      <c r="Q49" s="64">
        <v>9.57</v>
      </c>
      <c r="R49" s="198"/>
      <c r="S49" s="198"/>
      <c r="T49" s="198"/>
      <c r="U49" s="198"/>
    </row>
    <row r="50" spans="1:21" s="12" customFormat="1" x14ac:dyDescent="0.25">
      <c r="A50" s="214" t="s">
        <v>765</v>
      </c>
      <c r="B50" s="64">
        <v>8.35</v>
      </c>
      <c r="C50" s="64">
        <v>8.32</v>
      </c>
      <c r="D50" s="64">
        <v>11.04</v>
      </c>
      <c r="E50" s="64">
        <v>5.08</v>
      </c>
      <c r="F50" s="64">
        <v>11.76</v>
      </c>
      <c r="G50" s="64">
        <v>20.76</v>
      </c>
      <c r="H50" s="64">
        <v>3.7</v>
      </c>
      <c r="I50" s="64">
        <v>0.93</v>
      </c>
      <c r="J50" s="64">
        <v>0.05</v>
      </c>
      <c r="K50" s="64">
        <v>43.39</v>
      </c>
      <c r="L50" s="64">
        <v>30.79</v>
      </c>
      <c r="M50" s="64">
        <v>78.73</v>
      </c>
      <c r="N50" s="64">
        <v>873.6</v>
      </c>
      <c r="O50" s="64">
        <v>0</v>
      </c>
      <c r="P50" s="64">
        <v>0.26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14" t="s">
        <v>766</v>
      </c>
      <c r="B51" s="64">
        <v>10.68</v>
      </c>
      <c r="C51" s="64">
        <v>8.1300000000000008</v>
      </c>
      <c r="D51" s="64">
        <v>12.81</v>
      </c>
      <c r="E51" s="64">
        <v>4.8499999999999996</v>
      </c>
      <c r="F51" s="64">
        <v>5.0999999999999996</v>
      </c>
      <c r="G51" s="64">
        <v>21.52</v>
      </c>
      <c r="H51" s="64">
        <v>4.91</v>
      </c>
      <c r="I51" s="64">
        <v>0.93</v>
      </c>
      <c r="J51" s="64">
        <v>0.14000000000000001</v>
      </c>
      <c r="K51" s="64">
        <v>281.3</v>
      </c>
      <c r="L51" s="64">
        <v>30.51</v>
      </c>
      <c r="M51" s="64">
        <v>83.02</v>
      </c>
      <c r="N51" s="64">
        <v>400</v>
      </c>
      <c r="O51" s="64">
        <v>0</v>
      </c>
      <c r="P51" s="64">
        <v>0.28000000000000003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4" t="s">
        <v>767</v>
      </c>
      <c r="B52" s="64">
        <v>9.5399999999999991</v>
      </c>
      <c r="C52" s="64">
        <v>8.06</v>
      </c>
      <c r="D52" s="64">
        <v>11.86</v>
      </c>
      <c r="E52" s="64">
        <v>5.27</v>
      </c>
      <c r="F52" s="64">
        <v>5.59</v>
      </c>
      <c r="G52" s="64">
        <v>25.33</v>
      </c>
      <c r="H52" s="64">
        <v>9.6300000000000008</v>
      </c>
      <c r="I52" s="64">
        <v>0.94</v>
      </c>
      <c r="J52" s="64">
        <v>0.16</v>
      </c>
      <c r="K52" s="64">
        <v>287.64999999999998</v>
      </c>
      <c r="L52" s="64">
        <v>30.05</v>
      </c>
      <c r="M52" s="64">
        <v>85.35</v>
      </c>
      <c r="N52" s="64">
        <v>567.20000000000005</v>
      </c>
      <c r="O52" s="64">
        <v>0</v>
      </c>
      <c r="P52" s="64">
        <v>0.28000000000000003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4" t="s">
        <v>768</v>
      </c>
      <c r="B53" s="64">
        <v>8.56</v>
      </c>
      <c r="C53" s="64">
        <v>8.11</v>
      </c>
      <c r="D53" s="64">
        <v>11.1</v>
      </c>
      <c r="E53" s="64">
        <v>4.71</v>
      </c>
      <c r="F53" s="64">
        <v>6.2</v>
      </c>
      <c r="G53" s="64">
        <v>25.33</v>
      </c>
      <c r="H53" s="64">
        <v>9.6300000000000008</v>
      </c>
      <c r="I53" s="64">
        <v>0.94</v>
      </c>
      <c r="J53" s="64">
        <v>0.16</v>
      </c>
      <c r="K53" s="64">
        <v>277.37</v>
      </c>
      <c r="L53" s="64">
        <v>30.92</v>
      </c>
      <c r="M53" s="64">
        <v>77.180000000000007</v>
      </c>
      <c r="N53" s="64">
        <v>890</v>
      </c>
      <c r="O53" s="64">
        <v>0</v>
      </c>
      <c r="P53" s="64">
        <v>0.27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14" t="s">
        <v>769</v>
      </c>
      <c r="B54" s="64">
        <v>8.1</v>
      </c>
      <c r="C54" s="64">
        <v>8.11</v>
      </c>
      <c r="D54" s="64">
        <v>10.73</v>
      </c>
      <c r="E54" s="64">
        <v>4.8899999999999997</v>
      </c>
      <c r="F54" s="64">
        <v>4.91</v>
      </c>
      <c r="G54" s="64">
        <v>25.33</v>
      </c>
      <c r="H54" s="64">
        <v>9.6300000000000008</v>
      </c>
      <c r="I54" s="64">
        <v>0.95</v>
      </c>
      <c r="J54" s="64">
        <v>0.12</v>
      </c>
      <c r="K54" s="64">
        <v>238.56</v>
      </c>
      <c r="L54" s="64">
        <v>31.13</v>
      </c>
      <c r="M54" s="64">
        <v>73.23</v>
      </c>
      <c r="N54" s="64">
        <v>993.9</v>
      </c>
      <c r="O54" s="64">
        <v>0</v>
      </c>
      <c r="P54" s="64">
        <v>0.26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14" t="s">
        <v>770</v>
      </c>
      <c r="B55" s="64">
        <v>7.91</v>
      </c>
      <c r="C55" s="64">
        <v>8.56</v>
      </c>
      <c r="D55" s="64">
        <v>10.82</v>
      </c>
      <c r="E55" s="64">
        <v>4.79</v>
      </c>
      <c r="F55" s="64">
        <v>5.63</v>
      </c>
      <c r="G55" s="64">
        <v>25.92</v>
      </c>
      <c r="H55" s="64">
        <v>9.0399999999999991</v>
      </c>
      <c r="I55" s="64">
        <v>0.96</v>
      </c>
      <c r="J55" s="64">
        <v>0.35</v>
      </c>
      <c r="K55" s="64">
        <v>134.54</v>
      </c>
      <c r="L55" s="64">
        <v>31.41</v>
      </c>
      <c r="M55" s="64">
        <v>74.56</v>
      </c>
      <c r="N55" s="64">
        <v>996.6</v>
      </c>
      <c r="O55" s="64">
        <v>0</v>
      </c>
      <c r="P55" s="64">
        <v>0.28000000000000003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4" t="s">
        <v>771</v>
      </c>
      <c r="B56" s="64">
        <v>7.39</v>
      </c>
      <c r="C56" s="64">
        <v>8.11</v>
      </c>
      <c r="D56" s="64">
        <v>10.16</v>
      </c>
      <c r="E56" s="64">
        <v>4.95</v>
      </c>
      <c r="F56" s="64">
        <v>6.16</v>
      </c>
      <c r="G56" s="64">
        <v>28.84</v>
      </c>
      <c r="H56" s="64">
        <v>6.74</v>
      </c>
      <c r="I56" s="64">
        <v>0.96</v>
      </c>
      <c r="J56" s="64">
        <v>0.17</v>
      </c>
      <c r="K56" s="64">
        <v>158.88999999999999</v>
      </c>
      <c r="L56" s="64">
        <v>30.84</v>
      </c>
      <c r="M56" s="64">
        <v>75.989999999999995</v>
      </c>
      <c r="N56" s="64">
        <v>705</v>
      </c>
      <c r="O56" s="64">
        <v>0</v>
      </c>
      <c r="P56" s="64">
        <v>0.27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14" t="s">
        <v>772</v>
      </c>
      <c r="B57" s="64">
        <v>8.1999999999999993</v>
      </c>
      <c r="C57" s="64">
        <v>7.91</v>
      </c>
      <c r="D57" s="64">
        <v>10.7</v>
      </c>
      <c r="E57" s="64">
        <v>4.79</v>
      </c>
      <c r="F57" s="64">
        <v>7.01</v>
      </c>
      <c r="G57" s="64">
        <v>28.84</v>
      </c>
      <c r="H57" s="64">
        <v>6.74</v>
      </c>
      <c r="I57" s="64">
        <v>0.94</v>
      </c>
      <c r="J57" s="64">
        <v>0.1</v>
      </c>
      <c r="K57" s="64">
        <v>184.18</v>
      </c>
      <c r="L57" s="64">
        <v>30.51</v>
      </c>
      <c r="M57" s="64">
        <v>76.12</v>
      </c>
      <c r="N57" s="64">
        <v>971.8</v>
      </c>
      <c r="O57" s="64">
        <v>0</v>
      </c>
      <c r="P57" s="64">
        <v>0.28000000000000003</v>
      </c>
      <c r="Q57" s="64">
        <v>9.5</v>
      </c>
      <c r="R57" s="198"/>
      <c r="S57" s="198"/>
      <c r="T57" s="198"/>
      <c r="U57" s="198"/>
    </row>
    <row r="58" spans="1:21" s="12" customFormat="1" x14ac:dyDescent="0.25">
      <c r="A58" s="214" t="s">
        <v>773</v>
      </c>
      <c r="B58" s="64">
        <v>6.93</v>
      </c>
      <c r="C58" s="64">
        <v>7.57</v>
      </c>
      <c r="D58" s="64">
        <v>9.52</v>
      </c>
      <c r="E58" s="64">
        <v>4.71</v>
      </c>
      <c r="F58" s="64">
        <v>7.72</v>
      </c>
      <c r="G58" s="64">
        <v>28.84</v>
      </c>
      <c r="H58" s="64">
        <v>6.74</v>
      </c>
      <c r="I58" s="64">
        <v>0.91</v>
      </c>
      <c r="J58" s="64">
        <v>0.12</v>
      </c>
      <c r="K58" s="64">
        <v>190.82</v>
      </c>
      <c r="L58" s="64">
        <v>30.97</v>
      </c>
      <c r="M58" s="64">
        <v>72.64</v>
      </c>
      <c r="N58" s="64">
        <v>612.6</v>
      </c>
      <c r="O58" s="64">
        <v>0</v>
      </c>
      <c r="P58" s="64">
        <v>0.26</v>
      </c>
      <c r="Q58" s="64">
        <v>9.4700000000000006</v>
      </c>
      <c r="R58" s="198"/>
      <c r="S58" s="198"/>
      <c r="T58" s="198"/>
      <c r="U58" s="198"/>
    </row>
    <row r="59" spans="1:21" s="12" customFormat="1" x14ac:dyDescent="0.25">
      <c r="A59" s="214" t="s">
        <v>774</v>
      </c>
      <c r="B59" s="64">
        <v>7.94</v>
      </c>
      <c r="C59" s="64">
        <v>8.6199999999999992</v>
      </c>
      <c r="D59" s="64">
        <v>10.87</v>
      </c>
      <c r="E59" s="64">
        <v>4.88</v>
      </c>
      <c r="F59" s="64">
        <v>6.47</v>
      </c>
      <c r="G59" s="64">
        <v>29.02</v>
      </c>
      <c r="H59" s="64">
        <v>6.59</v>
      </c>
      <c r="I59" s="64">
        <v>0.88</v>
      </c>
      <c r="J59" s="64">
        <v>0.19</v>
      </c>
      <c r="K59" s="64">
        <v>328.04</v>
      </c>
      <c r="L59" s="64">
        <v>31.47</v>
      </c>
      <c r="M59" s="64">
        <v>73.69</v>
      </c>
      <c r="N59" s="64">
        <v>515.79999999999995</v>
      </c>
      <c r="O59" s="64">
        <v>0</v>
      </c>
      <c r="P59" s="64">
        <v>0.32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4" t="s">
        <v>775</v>
      </c>
      <c r="B60" s="64">
        <v>8.01</v>
      </c>
      <c r="C60" s="64">
        <v>9.33</v>
      </c>
      <c r="D60" s="64">
        <v>11.3</v>
      </c>
      <c r="E60" s="64">
        <v>5.01</v>
      </c>
      <c r="F60" s="64">
        <v>6.52</v>
      </c>
      <c r="G60" s="64">
        <v>29.92</v>
      </c>
      <c r="H60" s="64">
        <v>6.03</v>
      </c>
      <c r="I60" s="64">
        <v>0.86</v>
      </c>
      <c r="J60" s="64">
        <v>0.08</v>
      </c>
      <c r="K60" s="64">
        <v>202.32</v>
      </c>
      <c r="L60" s="64">
        <v>31.48</v>
      </c>
      <c r="M60" s="64">
        <v>71.540000000000006</v>
      </c>
      <c r="N60" s="64">
        <v>394.2</v>
      </c>
      <c r="O60" s="64">
        <v>0</v>
      </c>
      <c r="P60" s="64">
        <v>0.26</v>
      </c>
      <c r="Q60" s="64">
        <v>9.4600000000000009</v>
      </c>
      <c r="R60" s="198"/>
      <c r="S60" s="198"/>
      <c r="T60" s="198"/>
      <c r="U60" s="198"/>
    </row>
    <row r="61" spans="1:21" s="12" customFormat="1" x14ac:dyDescent="0.25">
      <c r="A61" s="214" t="s">
        <v>776</v>
      </c>
      <c r="B61" s="64">
        <v>8.15</v>
      </c>
      <c r="C61" s="64">
        <v>7.75</v>
      </c>
      <c r="D61" s="64">
        <v>10.59</v>
      </c>
      <c r="E61" s="64">
        <v>4.6900000000000004</v>
      </c>
      <c r="F61" s="64">
        <v>8.61</v>
      </c>
      <c r="G61" s="64">
        <v>29.92</v>
      </c>
      <c r="H61" s="64">
        <v>6.03</v>
      </c>
      <c r="I61" s="64">
        <v>0.87</v>
      </c>
      <c r="J61" s="64">
        <v>0.72</v>
      </c>
      <c r="K61" s="64">
        <v>140.71</v>
      </c>
      <c r="L61" s="64">
        <v>31.11</v>
      </c>
      <c r="M61" s="64">
        <v>68.25</v>
      </c>
      <c r="N61" s="64">
        <v>504.3</v>
      </c>
      <c r="O61" s="64">
        <v>0</v>
      </c>
      <c r="P61" s="64">
        <v>0.22</v>
      </c>
      <c r="Q61" s="64">
        <v>9.4499999999999993</v>
      </c>
      <c r="R61" s="198"/>
      <c r="S61" s="198"/>
      <c r="T61" s="198"/>
      <c r="U61" s="198"/>
    </row>
    <row r="62" spans="1:21" s="12" customFormat="1" x14ac:dyDescent="0.25">
      <c r="A62" s="214" t="s">
        <v>777</v>
      </c>
      <c r="B62" s="64">
        <v>7.45</v>
      </c>
      <c r="C62" s="64">
        <v>8.24</v>
      </c>
      <c r="D62" s="64">
        <v>10.28</v>
      </c>
      <c r="E62" s="64">
        <v>4.93</v>
      </c>
      <c r="F62" s="64">
        <v>10.33</v>
      </c>
      <c r="G62" s="64">
        <v>29.92</v>
      </c>
      <c r="H62" s="64">
        <v>6.03</v>
      </c>
      <c r="I62" s="64">
        <v>0.82</v>
      </c>
      <c r="J62" s="64">
        <v>0.97</v>
      </c>
      <c r="K62" s="64">
        <v>143.87</v>
      </c>
      <c r="L62" s="64">
        <v>30.48</v>
      </c>
      <c r="M62" s="64">
        <v>70.37</v>
      </c>
      <c r="N62" s="64">
        <v>509.8</v>
      </c>
      <c r="O62" s="64">
        <v>0</v>
      </c>
      <c r="P62" s="64">
        <v>0.25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14" t="s">
        <v>778</v>
      </c>
      <c r="B63" s="64">
        <v>6.52</v>
      </c>
      <c r="C63" s="64">
        <v>8.14</v>
      </c>
      <c r="D63" s="64">
        <v>9.49</v>
      </c>
      <c r="E63" s="64">
        <v>4.79</v>
      </c>
      <c r="F63" s="64">
        <v>12.19</v>
      </c>
      <c r="G63" s="64">
        <v>29.62</v>
      </c>
      <c r="H63" s="64">
        <v>5.76</v>
      </c>
      <c r="I63" s="64">
        <v>0.76</v>
      </c>
      <c r="J63" s="64">
        <v>0.31</v>
      </c>
      <c r="K63" s="64">
        <v>162.69</v>
      </c>
      <c r="L63" s="64">
        <v>30.52</v>
      </c>
      <c r="M63" s="64">
        <v>67.260000000000005</v>
      </c>
      <c r="N63" s="64">
        <v>179.7</v>
      </c>
      <c r="O63" s="64">
        <v>0</v>
      </c>
      <c r="P63" s="64">
        <v>0.2</v>
      </c>
      <c r="Q63" s="64">
        <v>9.4499999999999993</v>
      </c>
      <c r="R63" s="198"/>
      <c r="S63" s="198"/>
      <c r="T63" s="198"/>
      <c r="U63" s="198"/>
    </row>
    <row r="64" spans="1:21" s="12" customFormat="1" x14ac:dyDescent="0.25">
      <c r="A64" s="214" t="s">
        <v>779</v>
      </c>
      <c r="B64" s="64">
        <v>7.64</v>
      </c>
      <c r="C64" s="64">
        <v>9.39</v>
      </c>
      <c r="D64" s="64">
        <v>11.03</v>
      </c>
      <c r="E64" s="64">
        <v>4.82</v>
      </c>
      <c r="F64" s="64">
        <v>12.97</v>
      </c>
      <c r="G64" s="64">
        <v>28.14</v>
      </c>
      <c r="H64" s="64">
        <v>4.22</v>
      </c>
      <c r="I64" s="64">
        <v>0.75</v>
      </c>
      <c r="J64" s="64">
        <v>0.38</v>
      </c>
      <c r="K64" s="64">
        <v>146.01</v>
      </c>
      <c r="L64" s="64">
        <v>30.85</v>
      </c>
      <c r="M64" s="64">
        <v>65.62</v>
      </c>
      <c r="N64" s="64">
        <v>193.9</v>
      </c>
      <c r="O64" s="64">
        <v>0</v>
      </c>
      <c r="P64" s="64">
        <v>0.2</v>
      </c>
      <c r="Q64" s="64">
        <v>9.4600000000000009</v>
      </c>
      <c r="R64" s="198"/>
      <c r="S64" s="198"/>
      <c r="T64" s="198"/>
      <c r="U64" s="198"/>
    </row>
    <row r="65" spans="1:21" s="12" customFormat="1" x14ac:dyDescent="0.25">
      <c r="A65" s="214" t="s">
        <v>780</v>
      </c>
      <c r="B65" s="64">
        <v>6.63</v>
      </c>
      <c r="C65" s="64">
        <v>7.95</v>
      </c>
      <c r="D65" s="64">
        <v>9.4700000000000006</v>
      </c>
      <c r="E65" s="64">
        <v>4.46</v>
      </c>
      <c r="F65" s="64">
        <v>10.24</v>
      </c>
      <c r="G65" s="64">
        <v>28.14</v>
      </c>
      <c r="H65" s="64">
        <v>4.22</v>
      </c>
      <c r="I65" s="64">
        <v>0.74</v>
      </c>
      <c r="J65" s="64">
        <v>0.51</v>
      </c>
      <c r="K65" s="64">
        <v>140.06</v>
      </c>
      <c r="L65" s="64">
        <v>30.66</v>
      </c>
      <c r="M65" s="64">
        <v>71.510000000000005</v>
      </c>
      <c r="N65" s="64">
        <v>227.9</v>
      </c>
      <c r="O65" s="64">
        <v>0</v>
      </c>
      <c r="P65" s="64">
        <v>0.23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14" t="s">
        <v>781</v>
      </c>
      <c r="B66" s="64">
        <v>6.1</v>
      </c>
      <c r="C66" s="64">
        <v>7.33</v>
      </c>
      <c r="D66" s="64">
        <v>8.7200000000000006</v>
      </c>
      <c r="E66" s="64">
        <v>5.2</v>
      </c>
      <c r="F66" s="64">
        <v>14.93</v>
      </c>
      <c r="G66" s="64">
        <v>28.14</v>
      </c>
      <c r="H66" s="64">
        <v>4.22</v>
      </c>
      <c r="I66" s="64">
        <v>0.73</v>
      </c>
      <c r="J66" s="64">
        <v>0.55000000000000004</v>
      </c>
      <c r="K66" s="64">
        <v>134.44999999999999</v>
      </c>
      <c r="L66" s="64">
        <v>30.44</v>
      </c>
      <c r="M66" s="64">
        <v>70.47</v>
      </c>
      <c r="N66" s="64">
        <v>172.3</v>
      </c>
      <c r="O66" s="64">
        <v>0</v>
      </c>
      <c r="P66" s="64">
        <v>0.2</v>
      </c>
      <c r="Q66" s="64">
        <v>9.4600000000000009</v>
      </c>
      <c r="R66" s="198"/>
      <c r="S66" s="198"/>
      <c r="T66" s="198"/>
      <c r="U66" s="198"/>
    </row>
    <row r="67" spans="1:21" s="12" customFormat="1" x14ac:dyDescent="0.25">
      <c r="A67" s="214" t="s">
        <v>782</v>
      </c>
      <c r="B67" s="64">
        <v>6.03</v>
      </c>
      <c r="C67" s="64">
        <v>8.1199999999999992</v>
      </c>
      <c r="D67" s="64">
        <v>9.08</v>
      </c>
      <c r="E67" s="64">
        <v>4.9000000000000004</v>
      </c>
      <c r="F67" s="64">
        <v>11.83</v>
      </c>
      <c r="G67" s="64">
        <v>27.69</v>
      </c>
      <c r="H67" s="64">
        <v>4.78</v>
      </c>
      <c r="I67" s="64">
        <v>0.72</v>
      </c>
      <c r="J67" s="64">
        <v>0.63</v>
      </c>
      <c r="K67" s="64">
        <v>141.55000000000001</v>
      </c>
      <c r="L67" s="64">
        <v>30.42</v>
      </c>
      <c r="M67" s="64">
        <v>68.239999999999995</v>
      </c>
      <c r="N67" s="64">
        <v>130.9</v>
      </c>
      <c r="O67" s="64">
        <v>0</v>
      </c>
      <c r="P67" s="64">
        <v>0.2</v>
      </c>
      <c r="Q67" s="64">
        <v>9.48</v>
      </c>
      <c r="R67" s="198"/>
      <c r="S67" s="198"/>
      <c r="T67" s="198"/>
      <c r="U67" s="198"/>
    </row>
    <row r="68" spans="1:21" s="12" customFormat="1" x14ac:dyDescent="0.25">
      <c r="A68" s="214" t="s">
        <v>783</v>
      </c>
      <c r="B68" s="64">
        <v>6.63</v>
      </c>
      <c r="C68" s="64">
        <v>8.65</v>
      </c>
      <c r="D68" s="64">
        <v>9.83</v>
      </c>
      <c r="E68" s="64">
        <v>4.7300000000000004</v>
      </c>
      <c r="F68" s="64">
        <v>13.89</v>
      </c>
      <c r="G68" s="64">
        <v>25.41</v>
      </c>
      <c r="H68" s="64">
        <v>6.98</v>
      </c>
      <c r="I68" s="64">
        <v>0.71</v>
      </c>
      <c r="J68" s="64">
        <v>0.18</v>
      </c>
      <c r="K68" s="64">
        <v>146.63999999999999</v>
      </c>
      <c r="L68" s="64">
        <v>30.44</v>
      </c>
      <c r="M68" s="64">
        <v>69.45</v>
      </c>
      <c r="N68" s="64">
        <v>132</v>
      </c>
      <c r="O68" s="64">
        <v>0</v>
      </c>
      <c r="P68" s="64">
        <v>0.22</v>
      </c>
      <c r="Q68" s="64">
        <v>9.48</v>
      </c>
      <c r="R68" s="198"/>
      <c r="S68" s="198"/>
      <c r="T68" s="198"/>
      <c r="U68" s="198"/>
    </row>
    <row r="69" spans="1:21" s="12" customFormat="1" x14ac:dyDescent="0.25">
      <c r="A69" s="214" t="s">
        <v>784</v>
      </c>
      <c r="B69" s="64">
        <v>5.74</v>
      </c>
      <c r="C69" s="64">
        <v>7.67</v>
      </c>
      <c r="D69" s="64">
        <v>8.61</v>
      </c>
      <c r="E69" s="64">
        <v>5.07</v>
      </c>
      <c r="F69" s="64">
        <v>13.31</v>
      </c>
      <c r="G69" s="64">
        <v>25.41</v>
      </c>
      <c r="H69" s="64">
        <v>6.98</v>
      </c>
      <c r="I69" s="64">
        <v>0.77</v>
      </c>
      <c r="J69" s="64">
        <v>0.38</v>
      </c>
      <c r="K69" s="64">
        <v>133.94</v>
      </c>
      <c r="L69" s="64">
        <v>30.46</v>
      </c>
      <c r="M69" s="64">
        <v>67.91</v>
      </c>
      <c r="N69" s="64">
        <v>120.4</v>
      </c>
      <c r="O69" s="64">
        <v>0</v>
      </c>
      <c r="P69" s="64">
        <v>0.23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14" t="s">
        <v>785</v>
      </c>
      <c r="B70" s="64">
        <v>6.19</v>
      </c>
      <c r="C70" s="64">
        <v>8.93</v>
      </c>
      <c r="D70" s="64">
        <v>9.6300000000000008</v>
      </c>
      <c r="E70" s="64">
        <v>5.0999999999999996</v>
      </c>
      <c r="F70" s="64">
        <v>13.16</v>
      </c>
      <c r="G70" s="64">
        <v>25.41</v>
      </c>
      <c r="H70" s="64">
        <v>6.98</v>
      </c>
      <c r="I70" s="64">
        <v>0.76</v>
      </c>
      <c r="J70" s="64">
        <v>0.47</v>
      </c>
      <c r="K70" s="64">
        <v>148.61000000000001</v>
      </c>
      <c r="L70" s="64">
        <v>30.26</v>
      </c>
      <c r="M70" s="64">
        <v>68.790000000000006</v>
      </c>
      <c r="N70" s="64">
        <v>117.5</v>
      </c>
      <c r="O70" s="64">
        <v>0</v>
      </c>
      <c r="P70" s="64">
        <v>0.2</v>
      </c>
      <c r="Q70" s="64">
        <v>9.48</v>
      </c>
      <c r="R70" s="198"/>
      <c r="S70" s="198"/>
      <c r="T70" s="198"/>
      <c r="U70" s="198"/>
    </row>
    <row r="71" spans="1:21" s="12" customFormat="1" x14ac:dyDescent="0.25">
      <c r="A71" s="214" t="s">
        <v>786</v>
      </c>
      <c r="B71" s="64">
        <v>5.6</v>
      </c>
      <c r="C71" s="64">
        <v>7.68</v>
      </c>
      <c r="D71" s="64">
        <v>8.5</v>
      </c>
      <c r="E71" s="64">
        <v>5.18</v>
      </c>
      <c r="F71" s="64">
        <v>13.68</v>
      </c>
      <c r="G71" s="64">
        <v>25.78</v>
      </c>
      <c r="H71" s="64">
        <v>6.59</v>
      </c>
      <c r="I71" s="64">
        <v>0.76</v>
      </c>
      <c r="J71" s="64">
        <v>0.41</v>
      </c>
      <c r="K71" s="64">
        <v>142.55000000000001</v>
      </c>
      <c r="L71" s="64">
        <v>30.37</v>
      </c>
      <c r="M71" s="64">
        <v>70.489999999999995</v>
      </c>
      <c r="N71" s="64">
        <v>106.1</v>
      </c>
      <c r="O71" s="64">
        <v>0</v>
      </c>
      <c r="P71" s="64">
        <v>0.2</v>
      </c>
      <c r="Q71" s="64">
        <v>9.48</v>
      </c>
      <c r="R71" s="198"/>
      <c r="S71" s="198"/>
      <c r="T71" s="198"/>
      <c r="U71" s="198"/>
    </row>
    <row r="72" spans="1:21" s="12" customFormat="1" x14ac:dyDescent="0.25">
      <c r="A72" s="214" t="s">
        <v>787</v>
      </c>
      <c r="B72" s="64">
        <v>6.72</v>
      </c>
      <c r="C72" s="64">
        <v>8.58</v>
      </c>
      <c r="D72" s="64">
        <v>9.8800000000000008</v>
      </c>
      <c r="E72" s="64">
        <v>4.25</v>
      </c>
      <c r="F72" s="64">
        <v>11.96</v>
      </c>
      <c r="G72" s="64">
        <v>27.65</v>
      </c>
      <c r="H72" s="64">
        <v>5.07</v>
      </c>
      <c r="I72" s="64">
        <v>0.81</v>
      </c>
      <c r="J72" s="64">
        <v>0.09</v>
      </c>
      <c r="K72" s="64">
        <v>139.52000000000001</v>
      </c>
      <c r="L72" s="64">
        <v>30.44</v>
      </c>
      <c r="M72" s="64">
        <v>70.97</v>
      </c>
      <c r="N72" s="64">
        <v>103.3</v>
      </c>
      <c r="O72" s="64">
        <v>0</v>
      </c>
      <c r="P72" s="64">
        <v>0.23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14" t="s">
        <v>788</v>
      </c>
      <c r="B73" s="64">
        <v>10.6</v>
      </c>
      <c r="C73" s="64">
        <v>9.91</v>
      </c>
      <c r="D73" s="64">
        <v>13.57</v>
      </c>
      <c r="E73" s="64">
        <v>3.88</v>
      </c>
      <c r="F73" s="64">
        <v>11.27</v>
      </c>
      <c r="G73" s="64">
        <v>27.65</v>
      </c>
      <c r="H73" s="64">
        <v>5.07</v>
      </c>
      <c r="I73" s="64">
        <v>0.81</v>
      </c>
      <c r="J73" s="64">
        <v>0.24</v>
      </c>
      <c r="K73" s="64">
        <v>351.75</v>
      </c>
      <c r="L73" s="64">
        <v>30.47</v>
      </c>
      <c r="M73" s="64">
        <v>74.540000000000006</v>
      </c>
      <c r="N73" s="64">
        <v>126.5</v>
      </c>
      <c r="O73" s="64">
        <v>0</v>
      </c>
      <c r="P73" s="64">
        <v>0.31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14" t="s">
        <v>789</v>
      </c>
      <c r="B74" s="64">
        <v>9.18</v>
      </c>
      <c r="C74" s="64">
        <v>10.57</v>
      </c>
      <c r="D74" s="64">
        <v>12.76</v>
      </c>
      <c r="E74" s="64">
        <v>4.03</v>
      </c>
      <c r="F74" s="64">
        <v>16.04</v>
      </c>
      <c r="G74" s="64">
        <v>27.65</v>
      </c>
      <c r="H74" s="64">
        <v>5.07</v>
      </c>
      <c r="I74" s="64">
        <v>0.75</v>
      </c>
      <c r="J74" s="64">
        <v>1.59</v>
      </c>
      <c r="K74" s="64">
        <v>336.66</v>
      </c>
      <c r="L74" s="64">
        <v>30.4</v>
      </c>
      <c r="M74" s="64">
        <v>75.87</v>
      </c>
      <c r="N74" s="64">
        <v>157.19999999999999</v>
      </c>
      <c r="O74" s="64">
        <v>0</v>
      </c>
      <c r="P74" s="64">
        <v>0.38</v>
      </c>
      <c r="Q74" s="64">
        <v>9.4700000000000006</v>
      </c>
      <c r="R74" s="198"/>
      <c r="S74" s="198"/>
      <c r="T74" s="198"/>
      <c r="U74" s="198"/>
    </row>
    <row r="75" spans="1:21" s="12" customFormat="1" x14ac:dyDescent="0.25">
      <c r="A75" s="214" t="s">
        <v>790</v>
      </c>
      <c r="B75" s="64">
        <v>8.7200000000000006</v>
      </c>
      <c r="C75" s="64">
        <v>13.94</v>
      </c>
      <c r="D75" s="64">
        <v>14.28</v>
      </c>
      <c r="E75" s="64">
        <v>4.34</v>
      </c>
      <c r="F75" s="64">
        <v>14.1</v>
      </c>
      <c r="G75" s="64">
        <v>29.27</v>
      </c>
      <c r="H75" s="64">
        <v>5.47</v>
      </c>
      <c r="I75" s="64">
        <v>0.77</v>
      </c>
      <c r="J75" s="64">
        <v>0.83</v>
      </c>
      <c r="K75" s="64">
        <v>336.26</v>
      </c>
      <c r="L75" s="64">
        <v>30.23</v>
      </c>
      <c r="M75" s="64">
        <v>77.08</v>
      </c>
      <c r="N75" s="64">
        <v>177.2</v>
      </c>
      <c r="O75" s="64">
        <v>0</v>
      </c>
      <c r="P75" s="64">
        <v>0.46</v>
      </c>
      <c r="Q75" s="64">
        <v>9.4600000000000009</v>
      </c>
      <c r="R75" s="198"/>
      <c r="S75" s="198"/>
      <c r="T75" s="198"/>
      <c r="U75" s="198"/>
    </row>
    <row r="76" spans="1:21" s="12" customFormat="1" x14ac:dyDescent="0.25">
      <c r="A76" s="214" t="s">
        <v>791</v>
      </c>
      <c r="B76" s="64">
        <v>8.77</v>
      </c>
      <c r="C76" s="64">
        <v>13.9</v>
      </c>
      <c r="D76" s="64">
        <v>14.3</v>
      </c>
      <c r="E76" s="64">
        <v>4.07</v>
      </c>
      <c r="F76" s="64">
        <v>18.98</v>
      </c>
      <c r="G76" s="64">
        <v>37.380000000000003</v>
      </c>
      <c r="H76" s="64">
        <v>7.07</v>
      </c>
      <c r="I76" s="64">
        <v>0.79</v>
      </c>
      <c r="J76" s="64">
        <v>0.64</v>
      </c>
      <c r="K76" s="64">
        <v>338.19</v>
      </c>
      <c r="L76" s="64">
        <v>30.43</v>
      </c>
      <c r="M76" s="64">
        <v>76.94</v>
      </c>
      <c r="N76" s="64">
        <v>154.5</v>
      </c>
      <c r="O76" s="64">
        <v>0</v>
      </c>
      <c r="P76" s="64">
        <v>0.42</v>
      </c>
      <c r="Q76" s="64">
        <v>9.4700000000000006</v>
      </c>
      <c r="R76" s="198"/>
      <c r="S76" s="198"/>
      <c r="T76" s="198"/>
      <c r="U76" s="198"/>
    </row>
    <row r="77" spans="1:21" s="12" customFormat="1" x14ac:dyDescent="0.25">
      <c r="A77" s="214" t="s">
        <v>792</v>
      </c>
      <c r="B77" s="64">
        <v>9.73</v>
      </c>
      <c r="C77" s="64">
        <v>16.600000000000001</v>
      </c>
      <c r="D77" s="64">
        <v>16.47</v>
      </c>
      <c r="E77" s="64">
        <v>4.0199999999999996</v>
      </c>
      <c r="F77" s="64">
        <v>14.54</v>
      </c>
      <c r="G77" s="64">
        <v>37.380000000000003</v>
      </c>
      <c r="H77" s="64">
        <v>7.07</v>
      </c>
      <c r="I77" s="64">
        <v>0.77</v>
      </c>
      <c r="J77" s="64">
        <v>0.24</v>
      </c>
      <c r="K77" s="64">
        <v>125.72</v>
      </c>
      <c r="L77" s="64">
        <v>29.33</v>
      </c>
      <c r="M77" s="64">
        <v>84.99</v>
      </c>
      <c r="N77" s="64">
        <v>101.5</v>
      </c>
      <c r="O77" s="64">
        <v>0</v>
      </c>
      <c r="P77" s="64">
        <v>0.47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4" t="s">
        <v>793</v>
      </c>
      <c r="B78" s="64">
        <v>10.8</v>
      </c>
      <c r="C78" s="64">
        <v>18.23</v>
      </c>
      <c r="D78" s="64">
        <v>18.18</v>
      </c>
      <c r="E78" s="64">
        <v>3.79</v>
      </c>
      <c r="F78" s="64">
        <v>14.39</v>
      </c>
      <c r="G78" s="64">
        <v>37.380000000000003</v>
      </c>
      <c r="H78" s="64">
        <v>7.07</v>
      </c>
      <c r="I78" s="64">
        <v>0.81</v>
      </c>
      <c r="J78" s="64">
        <v>0.24</v>
      </c>
      <c r="K78" s="64">
        <v>116.46</v>
      </c>
      <c r="L78" s="64">
        <v>28.89</v>
      </c>
      <c r="M78" s="64">
        <v>86.67</v>
      </c>
      <c r="N78" s="64">
        <v>67.8</v>
      </c>
      <c r="O78" s="64">
        <v>0</v>
      </c>
      <c r="P78" s="64">
        <v>0.57999999999999996</v>
      </c>
      <c r="Q78" s="64">
        <v>9.48</v>
      </c>
      <c r="R78" s="198"/>
      <c r="S78" s="198"/>
      <c r="T78" s="198"/>
      <c r="U78" s="198"/>
    </row>
    <row r="79" spans="1:21" s="12" customFormat="1" x14ac:dyDescent="0.25">
      <c r="A79" s="214" t="s">
        <v>794</v>
      </c>
      <c r="B79" s="64">
        <v>4.8899999999999997</v>
      </c>
      <c r="C79" s="64">
        <v>15.13</v>
      </c>
      <c r="D79" s="64">
        <v>11.83</v>
      </c>
      <c r="E79" s="64">
        <v>4.04</v>
      </c>
      <c r="F79" s="64">
        <v>17.89</v>
      </c>
      <c r="G79" s="64">
        <v>37.909999999999997</v>
      </c>
      <c r="H79" s="64">
        <v>6.85</v>
      </c>
      <c r="I79" s="64">
        <v>0.9</v>
      </c>
      <c r="J79" s="64">
        <v>0.35</v>
      </c>
      <c r="K79" s="64">
        <v>121.72</v>
      </c>
      <c r="L79" s="64">
        <v>28.56</v>
      </c>
      <c r="M79" s="64">
        <v>89.16</v>
      </c>
      <c r="N79" s="64">
        <v>47.8</v>
      </c>
      <c r="O79" s="64">
        <v>0</v>
      </c>
      <c r="P79" s="64">
        <v>0.39</v>
      </c>
      <c r="Q79" s="64">
        <v>9.48</v>
      </c>
      <c r="R79" s="198"/>
      <c r="S79" s="198"/>
      <c r="T79" s="198"/>
      <c r="U79" s="198"/>
    </row>
    <row r="80" spans="1:21" s="12" customFormat="1" x14ac:dyDescent="0.25">
      <c r="A80" s="214" t="s">
        <v>795</v>
      </c>
      <c r="B80" s="64">
        <v>4.25</v>
      </c>
      <c r="C80" s="64">
        <v>12.86</v>
      </c>
      <c r="D80" s="64">
        <v>10.130000000000001</v>
      </c>
      <c r="E80" s="64">
        <v>4.03</v>
      </c>
      <c r="F80" s="64">
        <v>17.12</v>
      </c>
      <c r="G80" s="64">
        <v>40.58</v>
      </c>
      <c r="H80" s="64">
        <v>5.64</v>
      </c>
      <c r="I80" s="64">
        <v>0.92</v>
      </c>
      <c r="J80" s="64">
        <v>0.24</v>
      </c>
      <c r="K80" s="64">
        <v>110.87</v>
      </c>
      <c r="L80" s="64">
        <v>28.25</v>
      </c>
      <c r="M80" s="64">
        <v>90.4</v>
      </c>
      <c r="N80" s="64">
        <v>38.9</v>
      </c>
      <c r="O80" s="64">
        <v>0</v>
      </c>
      <c r="P80" s="64">
        <v>0.33</v>
      </c>
      <c r="Q80" s="64">
        <v>9.49</v>
      </c>
      <c r="R80" s="198"/>
      <c r="S80" s="198"/>
      <c r="T80" s="198"/>
      <c r="U80" s="198"/>
    </row>
    <row r="81" spans="1:26" s="12" customFormat="1" x14ac:dyDescent="0.25">
      <c r="A81" s="214" t="s">
        <v>796</v>
      </c>
      <c r="B81" s="64">
        <v>14.32</v>
      </c>
      <c r="C81" s="64">
        <v>23.23</v>
      </c>
      <c r="D81" s="64">
        <v>23.62</v>
      </c>
      <c r="E81" s="64">
        <v>4.12</v>
      </c>
      <c r="F81" s="64">
        <v>10.46</v>
      </c>
      <c r="G81" s="64">
        <v>40.58</v>
      </c>
      <c r="H81" s="64">
        <v>5.64</v>
      </c>
      <c r="I81" s="64">
        <v>0.88</v>
      </c>
      <c r="J81" s="64">
        <v>0.04</v>
      </c>
      <c r="K81" s="64">
        <v>30.41</v>
      </c>
      <c r="L81" s="64">
        <v>28.2</v>
      </c>
      <c r="M81" s="64">
        <v>90.59</v>
      </c>
      <c r="N81" s="64">
        <v>35.200000000000003</v>
      </c>
      <c r="O81" s="64">
        <v>0</v>
      </c>
      <c r="P81" s="64">
        <v>0.93</v>
      </c>
      <c r="Q81" s="64">
        <v>9.48</v>
      </c>
      <c r="R81" s="198"/>
      <c r="S81" s="198"/>
      <c r="T81" s="198"/>
      <c r="U81" s="198"/>
    </row>
    <row r="82" spans="1:26" s="12" customFormat="1" x14ac:dyDescent="0.25">
      <c r="A82" s="214" t="s">
        <v>797</v>
      </c>
      <c r="B82" s="64">
        <v>4.97</v>
      </c>
      <c r="C82" s="64">
        <v>20.71</v>
      </c>
      <c r="D82" s="64">
        <v>14.8</v>
      </c>
      <c r="E82" s="64">
        <v>4.26</v>
      </c>
      <c r="F82" s="64">
        <v>15.36</v>
      </c>
      <c r="G82" s="64">
        <v>40.58</v>
      </c>
      <c r="H82" s="64">
        <v>5.64</v>
      </c>
      <c r="I82" s="64">
        <v>0.97</v>
      </c>
      <c r="J82" s="64">
        <v>0.27</v>
      </c>
      <c r="K82" s="64">
        <v>127.75</v>
      </c>
      <c r="L82" s="64">
        <v>27.99</v>
      </c>
      <c r="M82" s="64">
        <v>92.25</v>
      </c>
      <c r="N82" s="64">
        <v>34</v>
      </c>
      <c r="O82" s="64">
        <v>0</v>
      </c>
      <c r="P82" s="64">
        <v>0.5</v>
      </c>
      <c r="Q82" s="64">
        <v>9.49</v>
      </c>
      <c r="R82" s="198"/>
      <c r="S82" s="198"/>
      <c r="T82" s="198"/>
      <c r="U82" s="198"/>
    </row>
    <row r="83" spans="1:26" s="12" customFormat="1" x14ac:dyDescent="0.25">
      <c r="A83" s="214" t="s">
        <v>798</v>
      </c>
      <c r="B83" s="64">
        <v>5.48</v>
      </c>
      <c r="C83" s="64">
        <v>20.58</v>
      </c>
      <c r="D83" s="64">
        <v>15.15</v>
      </c>
      <c r="E83" s="64">
        <v>4.17</v>
      </c>
      <c r="F83" s="64">
        <v>14.02</v>
      </c>
      <c r="G83" s="64">
        <v>42.05</v>
      </c>
      <c r="H83" s="64">
        <v>6.22</v>
      </c>
      <c r="I83" s="64">
        <v>1.01</v>
      </c>
      <c r="J83" s="64">
        <v>0.23</v>
      </c>
      <c r="K83" s="64">
        <v>141.04</v>
      </c>
      <c r="L83" s="64">
        <v>27.84</v>
      </c>
      <c r="M83" s="64">
        <v>95.15</v>
      </c>
      <c r="N83" s="64">
        <v>33.799999999999997</v>
      </c>
      <c r="O83" s="64">
        <v>0</v>
      </c>
      <c r="P83" s="64">
        <v>0.45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4" t="s">
        <v>799</v>
      </c>
      <c r="B84" s="64">
        <v>6.78</v>
      </c>
      <c r="C84" s="64">
        <v>23.57</v>
      </c>
      <c r="D84" s="64">
        <v>17.75</v>
      </c>
      <c r="E84" s="64">
        <v>4</v>
      </c>
      <c r="F84" s="64">
        <v>10.79</v>
      </c>
      <c r="G84" s="64">
        <v>49.4</v>
      </c>
      <c r="H84" s="64">
        <v>8.5299999999999994</v>
      </c>
      <c r="I84" s="64">
        <v>0.99</v>
      </c>
      <c r="J84" s="64">
        <v>0.43</v>
      </c>
      <c r="K84" s="64">
        <v>117.65</v>
      </c>
      <c r="L84" s="64">
        <v>27.85</v>
      </c>
      <c r="M84" s="64">
        <v>95.56</v>
      </c>
      <c r="N84" s="64">
        <v>33.6</v>
      </c>
      <c r="O84" s="64">
        <v>0</v>
      </c>
      <c r="P84" s="64">
        <v>0.41</v>
      </c>
      <c r="Q84" s="64">
        <v>9.51</v>
      </c>
      <c r="R84" s="198"/>
      <c r="S84" s="198"/>
      <c r="T84" s="198"/>
      <c r="U84" s="198"/>
    </row>
    <row r="85" spans="1:26" s="12" customFormat="1" x14ac:dyDescent="0.25">
      <c r="A85" s="214" t="s">
        <v>800</v>
      </c>
      <c r="B85" s="64">
        <v>8.2200000000000006</v>
      </c>
      <c r="C85" s="64">
        <v>25.37</v>
      </c>
      <c r="D85" s="64">
        <v>19.84</v>
      </c>
      <c r="E85" s="64">
        <v>4.1500000000000004</v>
      </c>
      <c r="F85" s="64">
        <v>8.68</v>
      </c>
      <c r="G85" s="64">
        <v>49.4</v>
      </c>
      <c r="H85" s="64">
        <v>8.5299999999999994</v>
      </c>
      <c r="I85" s="64">
        <v>1.01</v>
      </c>
      <c r="J85" s="64">
        <v>0.1</v>
      </c>
      <c r="K85" s="64">
        <v>118.88</v>
      </c>
      <c r="L85" s="64">
        <v>27.76</v>
      </c>
      <c r="M85" s="64">
        <v>97.48</v>
      </c>
      <c r="N85" s="64">
        <v>33.799999999999997</v>
      </c>
      <c r="O85" s="64">
        <v>0</v>
      </c>
      <c r="P85" s="64">
        <v>0.4</v>
      </c>
      <c r="Q85" s="64">
        <v>9.5299999999999994</v>
      </c>
      <c r="R85" s="198"/>
      <c r="S85" s="198"/>
      <c r="T85" s="198"/>
      <c r="U85" s="198"/>
    </row>
    <row r="86" spans="1:26" s="12" customFormat="1" x14ac:dyDescent="0.25">
      <c r="A86" s="214" t="s">
        <v>801</v>
      </c>
      <c r="B86" s="64">
        <v>7.82</v>
      </c>
      <c r="C86" s="64">
        <v>20.27</v>
      </c>
      <c r="D86" s="64">
        <v>16.86</v>
      </c>
      <c r="E86" s="64">
        <v>4.13</v>
      </c>
      <c r="F86" s="64">
        <v>10.11</v>
      </c>
      <c r="G86" s="64">
        <v>49.4</v>
      </c>
      <c r="H86" s="64">
        <v>8.5299999999999994</v>
      </c>
      <c r="I86" s="64">
        <v>1.03</v>
      </c>
      <c r="J86" s="64">
        <v>0.37</v>
      </c>
      <c r="K86" s="64">
        <v>150.38999999999999</v>
      </c>
      <c r="L86" s="64">
        <v>27.65</v>
      </c>
      <c r="M86" s="64">
        <v>98.19</v>
      </c>
      <c r="N86" s="64">
        <v>33.5</v>
      </c>
      <c r="O86" s="64">
        <v>0</v>
      </c>
      <c r="P86" s="64">
        <v>0.49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14" t="s">
        <v>802</v>
      </c>
      <c r="B87" s="64">
        <v>6.83</v>
      </c>
      <c r="C87" s="64">
        <v>13.45</v>
      </c>
      <c r="D87" s="64">
        <v>12.51</v>
      </c>
      <c r="E87" s="64">
        <v>4.1900000000000004</v>
      </c>
      <c r="F87" s="64">
        <v>9.09</v>
      </c>
      <c r="G87" s="64">
        <v>49.9</v>
      </c>
      <c r="H87" s="64">
        <v>8.01</v>
      </c>
      <c r="I87" s="64">
        <v>1.06</v>
      </c>
      <c r="J87" s="64">
        <v>0.1</v>
      </c>
      <c r="K87" s="64">
        <v>321.38</v>
      </c>
      <c r="L87" s="64">
        <v>27.59</v>
      </c>
      <c r="M87" s="64">
        <v>93.77</v>
      </c>
      <c r="N87" s="64">
        <v>34.4</v>
      </c>
      <c r="O87" s="64">
        <v>0</v>
      </c>
      <c r="P87" s="64">
        <v>0.41</v>
      </c>
      <c r="Q87" s="64">
        <v>9.5399999999999991</v>
      </c>
      <c r="R87" s="198"/>
      <c r="S87" s="198"/>
      <c r="T87" s="198"/>
      <c r="U87" s="198"/>
    </row>
    <row r="88" spans="1:26" s="12" customFormat="1" x14ac:dyDescent="0.25">
      <c r="A88" s="214" t="s">
        <v>803</v>
      </c>
      <c r="B88" s="64">
        <v>8.1199999999999992</v>
      </c>
      <c r="C88" s="64">
        <v>10.49</v>
      </c>
      <c r="D88" s="64">
        <v>11.99</v>
      </c>
      <c r="E88" s="64">
        <v>3.98</v>
      </c>
      <c r="F88" s="64">
        <v>6.72</v>
      </c>
      <c r="G88" s="64">
        <v>52.41</v>
      </c>
      <c r="H88" s="64">
        <v>5.97</v>
      </c>
      <c r="I88" s="64">
        <v>1.0900000000000001</v>
      </c>
      <c r="J88" s="64">
        <v>0.11</v>
      </c>
      <c r="K88" s="64">
        <v>316.98</v>
      </c>
      <c r="L88" s="64">
        <v>27.32</v>
      </c>
      <c r="M88" s="64">
        <v>93.44</v>
      </c>
      <c r="N88" s="64">
        <v>35.9</v>
      </c>
      <c r="O88" s="64">
        <v>0</v>
      </c>
      <c r="P88" s="64">
        <v>0.38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14" t="s">
        <v>804</v>
      </c>
      <c r="B89" s="64">
        <v>14.36</v>
      </c>
      <c r="C89" s="64">
        <v>10.4</v>
      </c>
      <c r="D89" s="64">
        <v>14.31</v>
      </c>
      <c r="E89" s="64">
        <v>4.47</v>
      </c>
      <c r="F89" s="64">
        <v>6.43</v>
      </c>
      <c r="G89" s="64">
        <v>52.41</v>
      </c>
      <c r="H89" s="64">
        <v>5.97</v>
      </c>
      <c r="I89" s="64">
        <v>1.1299999999999999</v>
      </c>
      <c r="J89" s="64">
        <v>0.23</v>
      </c>
      <c r="K89" s="64">
        <v>322.08999999999997</v>
      </c>
      <c r="L89" s="64">
        <v>27.01</v>
      </c>
      <c r="M89" s="64">
        <v>98.11</v>
      </c>
      <c r="N89" s="64">
        <v>36</v>
      </c>
      <c r="O89" s="64">
        <v>0</v>
      </c>
      <c r="P89" s="64">
        <v>0.47</v>
      </c>
      <c r="Q89" s="64">
        <v>9.5299999999999994</v>
      </c>
      <c r="R89" s="198"/>
      <c r="S89" s="198"/>
      <c r="T89" s="198"/>
      <c r="U89" s="198"/>
    </row>
    <row r="90" spans="1:26" s="12" customFormat="1" x14ac:dyDescent="0.25">
      <c r="A90" s="214" t="s">
        <v>805</v>
      </c>
      <c r="B90" s="64">
        <v>8.68</v>
      </c>
      <c r="C90" s="64">
        <v>8.06</v>
      </c>
      <c r="D90" s="64">
        <v>11.17</v>
      </c>
      <c r="E90" s="64">
        <v>4</v>
      </c>
      <c r="F90" s="64">
        <v>6.44</v>
      </c>
      <c r="G90" s="64">
        <v>52.41</v>
      </c>
      <c r="H90" s="64">
        <v>5.97</v>
      </c>
      <c r="I90" s="64">
        <v>1.1599999999999999</v>
      </c>
      <c r="J90" s="64">
        <v>0.61</v>
      </c>
      <c r="K90" s="64">
        <v>331.29</v>
      </c>
      <c r="L90" s="64">
        <v>26.75</v>
      </c>
      <c r="M90" s="64">
        <v>98.35</v>
      </c>
      <c r="N90" s="64">
        <v>35.9</v>
      </c>
      <c r="O90" s="64">
        <v>0</v>
      </c>
      <c r="P90" s="64">
        <v>0.43</v>
      </c>
      <c r="Q90" s="64">
        <v>9.5500000000000007</v>
      </c>
      <c r="R90" s="198"/>
      <c r="S90" s="198"/>
      <c r="T90" s="198"/>
      <c r="U90" s="198"/>
    </row>
    <row r="91" spans="1:26" s="12" customFormat="1" x14ac:dyDescent="0.25">
      <c r="A91" s="214" t="s">
        <v>806</v>
      </c>
      <c r="B91" s="64">
        <v>11.58</v>
      </c>
      <c r="C91" s="64">
        <v>7.35</v>
      </c>
      <c r="D91" s="64">
        <v>13.12</v>
      </c>
      <c r="E91" s="64">
        <v>3.96</v>
      </c>
      <c r="F91" s="64">
        <v>5.0599999999999996</v>
      </c>
      <c r="G91" s="64">
        <v>51.89</v>
      </c>
      <c r="H91" s="64">
        <v>5.61</v>
      </c>
      <c r="I91" s="64">
        <v>1.19</v>
      </c>
      <c r="J91" s="64">
        <v>0.42</v>
      </c>
      <c r="K91" s="64">
        <v>328.48</v>
      </c>
      <c r="L91" s="64">
        <v>26.63</v>
      </c>
      <c r="M91" s="64">
        <v>98.36</v>
      </c>
      <c r="N91" s="64">
        <v>35.5</v>
      </c>
      <c r="O91" s="64">
        <v>0</v>
      </c>
      <c r="P91" s="64">
        <v>0.44</v>
      </c>
      <c r="Q91" s="64">
        <v>9.56</v>
      </c>
      <c r="R91" s="198"/>
      <c r="S91" s="198"/>
      <c r="T91" s="198"/>
      <c r="U91" s="198"/>
    </row>
    <row r="92" spans="1:26" s="12" customFormat="1" x14ac:dyDescent="0.25">
      <c r="A92" s="214" t="s">
        <v>807</v>
      </c>
      <c r="B92" s="64">
        <v>17.190000000000001</v>
      </c>
      <c r="C92" s="64">
        <v>12.09</v>
      </c>
      <c r="D92" s="64">
        <v>20.09</v>
      </c>
      <c r="E92" s="64">
        <v>4.3</v>
      </c>
      <c r="F92" s="64">
        <v>7.3</v>
      </c>
      <c r="G92" s="64">
        <v>49.29</v>
      </c>
      <c r="H92" s="64">
        <v>4.18</v>
      </c>
      <c r="I92" s="64">
        <v>1.18</v>
      </c>
      <c r="J92" s="64">
        <v>1.04</v>
      </c>
      <c r="K92" s="64">
        <v>337.92</v>
      </c>
      <c r="L92" s="64">
        <v>26.62</v>
      </c>
      <c r="M92" s="64">
        <v>98.29</v>
      </c>
      <c r="N92" s="64">
        <v>35.799999999999997</v>
      </c>
      <c r="O92" s="64">
        <v>0</v>
      </c>
      <c r="P92" s="64">
        <v>0.7</v>
      </c>
      <c r="Q92" s="64">
        <v>9.57</v>
      </c>
      <c r="R92" s="198"/>
      <c r="S92" s="198"/>
      <c r="T92" s="198"/>
      <c r="U92" s="198"/>
    </row>
    <row r="93" spans="1:26" s="12" customFormat="1" x14ac:dyDescent="0.25">
      <c r="A93" s="214" t="s">
        <v>808</v>
      </c>
      <c r="B93" s="64">
        <v>15.15</v>
      </c>
      <c r="C93" s="64">
        <v>9.8800000000000008</v>
      </c>
      <c r="D93" s="64">
        <v>17.22</v>
      </c>
      <c r="E93" s="64">
        <v>4.38</v>
      </c>
      <c r="F93" s="64">
        <v>5.58</v>
      </c>
      <c r="G93" s="64">
        <v>49.29</v>
      </c>
      <c r="H93" s="64">
        <v>4.18</v>
      </c>
      <c r="I93" s="64">
        <v>1.1599999999999999</v>
      </c>
      <c r="J93" s="64">
        <v>0.97</v>
      </c>
      <c r="K93" s="64">
        <v>336.49</v>
      </c>
      <c r="L93" s="64">
        <v>26.16</v>
      </c>
      <c r="M93" s="64">
        <v>98.3</v>
      </c>
      <c r="N93" s="64">
        <v>37.299999999999997</v>
      </c>
      <c r="O93" s="64">
        <v>0</v>
      </c>
      <c r="P93" s="64">
        <v>0.56999999999999995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14" t="s">
        <v>809</v>
      </c>
      <c r="B94" s="64">
        <v>25.87</v>
      </c>
      <c r="C94" s="64">
        <v>11.08</v>
      </c>
      <c r="D94" s="64">
        <v>26.53</v>
      </c>
      <c r="E94" s="64">
        <v>4.24</v>
      </c>
      <c r="F94" s="64">
        <v>4.79</v>
      </c>
      <c r="G94" s="64">
        <v>49.29</v>
      </c>
      <c r="H94" s="64">
        <v>4.18</v>
      </c>
      <c r="I94" s="64">
        <v>1.19</v>
      </c>
      <c r="J94" s="64">
        <v>0.5</v>
      </c>
      <c r="K94" s="64">
        <v>337.19</v>
      </c>
      <c r="L94" s="64">
        <v>24.96</v>
      </c>
      <c r="M94" s="64">
        <v>98.44</v>
      </c>
      <c r="N94" s="64">
        <v>37.9</v>
      </c>
      <c r="O94" s="64">
        <v>0</v>
      </c>
      <c r="P94" s="64">
        <v>0.89</v>
      </c>
      <c r="Q94" s="64">
        <v>9.6</v>
      </c>
      <c r="R94" s="198"/>
      <c r="S94" s="198"/>
      <c r="T94" s="198"/>
      <c r="U94" s="198"/>
    </row>
    <row r="95" spans="1:26" s="12" customFormat="1" x14ac:dyDescent="0.25">
      <c r="A95" s="214" t="s">
        <v>810</v>
      </c>
      <c r="B95" s="64">
        <v>12.65</v>
      </c>
      <c r="C95" s="64">
        <v>22.25</v>
      </c>
      <c r="D95" s="64">
        <v>21.77</v>
      </c>
      <c r="E95" s="64">
        <v>4.46</v>
      </c>
      <c r="F95" s="64">
        <v>4.79</v>
      </c>
      <c r="G95" s="64">
        <v>49.95</v>
      </c>
      <c r="H95" s="64">
        <v>3.99</v>
      </c>
      <c r="I95" s="64">
        <v>1.24</v>
      </c>
      <c r="J95" s="64">
        <v>0.05</v>
      </c>
      <c r="K95" s="64">
        <v>168.9</v>
      </c>
      <c r="L95" s="64">
        <v>24.11</v>
      </c>
      <c r="M95" s="64">
        <v>98.5</v>
      </c>
      <c r="N95" s="64">
        <v>35.799999999999997</v>
      </c>
      <c r="O95" s="64">
        <v>0</v>
      </c>
      <c r="P95" s="64">
        <v>0.81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4" t="s">
        <v>811</v>
      </c>
      <c r="B96" s="64">
        <v>11.08</v>
      </c>
      <c r="C96" s="64">
        <v>15.37</v>
      </c>
      <c r="D96" s="64">
        <v>16.91</v>
      </c>
      <c r="E96" s="64">
        <v>4.37</v>
      </c>
      <c r="F96" s="64">
        <v>3.68</v>
      </c>
      <c r="G96" s="64">
        <v>53.23</v>
      </c>
      <c r="H96" s="64">
        <v>2.93</v>
      </c>
      <c r="I96" s="64">
        <v>1.29</v>
      </c>
      <c r="J96" s="64">
        <v>0.15</v>
      </c>
      <c r="K96" s="64">
        <v>190.2</v>
      </c>
      <c r="L96" s="64">
        <v>23.89</v>
      </c>
      <c r="M96" s="64">
        <v>98.45</v>
      </c>
      <c r="N96" s="64">
        <v>35.799999999999997</v>
      </c>
      <c r="O96" s="64">
        <v>0</v>
      </c>
      <c r="P96" s="64">
        <v>0.52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812</v>
      </c>
      <c r="B97" s="64">
        <v>14.99</v>
      </c>
      <c r="C97" s="64">
        <v>16.920000000000002</v>
      </c>
      <c r="D97" s="64">
        <v>20.86</v>
      </c>
      <c r="E97" s="64">
        <v>3.94</v>
      </c>
      <c r="F97" s="64">
        <v>4.09</v>
      </c>
      <c r="G97" s="64">
        <v>53.23</v>
      </c>
      <c r="H97" s="64">
        <v>2.93</v>
      </c>
      <c r="I97" s="64">
        <v>1.34</v>
      </c>
      <c r="J97" s="64">
        <v>0.09</v>
      </c>
      <c r="K97" s="64">
        <v>150.06</v>
      </c>
      <c r="L97" s="64">
        <v>24.2</v>
      </c>
      <c r="M97" s="64">
        <v>98.37</v>
      </c>
      <c r="N97" s="64">
        <v>36.4</v>
      </c>
      <c r="O97" s="64">
        <v>0</v>
      </c>
      <c r="P97" s="64">
        <v>0.51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4" t="s">
        <v>813</v>
      </c>
      <c r="B98" s="64">
        <v>11.06</v>
      </c>
      <c r="C98" s="64">
        <v>16.61</v>
      </c>
      <c r="D98" s="64">
        <v>17.55</v>
      </c>
      <c r="E98" s="64">
        <v>4</v>
      </c>
      <c r="F98" s="64">
        <v>5.76</v>
      </c>
      <c r="G98" s="64">
        <v>53.23</v>
      </c>
      <c r="H98" s="64">
        <v>2.93</v>
      </c>
      <c r="I98" s="64">
        <v>1.37</v>
      </c>
      <c r="J98" s="64">
        <v>0.28000000000000003</v>
      </c>
      <c r="K98" s="64">
        <v>166.1</v>
      </c>
      <c r="L98" s="64">
        <v>24.58</v>
      </c>
      <c r="M98" s="64">
        <v>98.32</v>
      </c>
      <c r="N98" s="64">
        <v>36.700000000000003</v>
      </c>
      <c r="O98" s="64">
        <v>0</v>
      </c>
      <c r="P98" s="64">
        <v>0.41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4" t="s">
        <v>814</v>
      </c>
      <c r="B99" s="64">
        <v>8.5399999999999991</v>
      </c>
      <c r="C99" s="64">
        <v>10.29</v>
      </c>
      <c r="D99" s="64">
        <v>12.23</v>
      </c>
      <c r="E99" s="64">
        <v>3.88</v>
      </c>
      <c r="F99" s="64">
        <v>8.44</v>
      </c>
      <c r="G99" s="64">
        <v>52.26</v>
      </c>
      <c r="H99" s="64">
        <v>3.98</v>
      </c>
      <c r="I99" s="64">
        <v>1.41</v>
      </c>
      <c r="J99" s="64">
        <v>0.3</v>
      </c>
      <c r="K99" s="64">
        <v>132.18</v>
      </c>
      <c r="L99" s="64">
        <v>24.69</v>
      </c>
      <c r="M99" s="64">
        <v>98.3</v>
      </c>
      <c r="N99" s="64">
        <v>36.700000000000003</v>
      </c>
      <c r="O99" s="64">
        <v>0</v>
      </c>
      <c r="P99" s="64">
        <v>0.32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4" t="s">
        <v>815</v>
      </c>
      <c r="B100" s="64">
        <v>10.199999999999999</v>
      </c>
      <c r="C100" s="64">
        <v>7.24</v>
      </c>
      <c r="D100" s="64">
        <v>11.96</v>
      </c>
      <c r="E100" s="64">
        <v>4.0199999999999996</v>
      </c>
      <c r="F100" s="64">
        <v>4.1900000000000004</v>
      </c>
      <c r="G100" s="64">
        <v>47.39</v>
      </c>
      <c r="H100" s="64">
        <v>8.1199999999999992</v>
      </c>
      <c r="I100" s="64">
        <v>1.43</v>
      </c>
      <c r="J100" s="64">
        <v>0.49</v>
      </c>
      <c r="K100" s="64">
        <v>146.59</v>
      </c>
      <c r="L100" s="64">
        <v>24.58</v>
      </c>
      <c r="M100" s="64">
        <v>98.33</v>
      </c>
      <c r="N100" s="64">
        <v>36.6</v>
      </c>
      <c r="O100" s="64">
        <v>0</v>
      </c>
      <c r="P100" s="64">
        <v>0.46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816</v>
      </c>
      <c r="B101" s="64">
        <v>8.48</v>
      </c>
      <c r="C101" s="64">
        <v>6.71</v>
      </c>
      <c r="D101" s="64">
        <v>10.31</v>
      </c>
      <c r="E101" s="64">
        <v>4.51</v>
      </c>
      <c r="F101" s="64">
        <v>10.32</v>
      </c>
      <c r="G101" s="64">
        <v>47.39</v>
      </c>
      <c r="H101" s="64">
        <v>8.1199999999999992</v>
      </c>
      <c r="I101" s="64">
        <v>1.42</v>
      </c>
      <c r="J101" s="64">
        <v>0.8</v>
      </c>
      <c r="K101" s="64">
        <v>132.31</v>
      </c>
      <c r="L101" s="64">
        <v>24.57</v>
      </c>
      <c r="M101" s="64">
        <v>98.33</v>
      </c>
      <c r="N101" s="64">
        <v>36.799999999999997</v>
      </c>
      <c r="O101" s="64">
        <v>0</v>
      </c>
      <c r="P101" s="64">
        <v>0.28000000000000003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4" t="s">
        <v>817</v>
      </c>
      <c r="B102" s="64">
        <v>8.4</v>
      </c>
      <c r="C102" s="64">
        <v>6.41</v>
      </c>
      <c r="D102" s="64">
        <v>10.09</v>
      </c>
      <c r="E102" s="64">
        <v>3.89</v>
      </c>
      <c r="F102" s="64">
        <v>9.69</v>
      </c>
      <c r="G102" s="64">
        <v>47.39</v>
      </c>
      <c r="H102" s="64">
        <v>8.1199999999999992</v>
      </c>
      <c r="I102" s="64">
        <v>1.4</v>
      </c>
      <c r="J102" s="64">
        <v>0.15</v>
      </c>
      <c r="K102" s="64">
        <v>129.13999999999999</v>
      </c>
      <c r="L102" s="64">
        <v>24.48</v>
      </c>
      <c r="M102" s="64">
        <v>98.33</v>
      </c>
      <c r="N102" s="64">
        <v>36.6</v>
      </c>
      <c r="O102" s="64">
        <v>0</v>
      </c>
      <c r="P102" s="64">
        <v>0.26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4" t="s">
        <v>818</v>
      </c>
      <c r="B103" s="64">
        <v>8.5500000000000007</v>
      </c>
      <c r="C103" s="64">
        <v>6.22</v>
      </c>
      <c r="D103" s="64">
        <v>10.11</v>
      </c>
      <c r="E103" s="64">
        <v>4.08</v>
      </c>
      <c r="F103" s="64">
        <v>9.39</v>
      </c>
      <c r="G103" s="64">
        <v>46.03</v>
      </c>
      <c r="H103" s="64">
        <v>7.63</v>
      </c>
      <c r="I103" s="64">
        <v>1.39</v>
      </c>
      <c r="J103" s="64">
        <v>0.04</v>
      </c>
      <c r="K103" s="64">
        <v>173.48</v>
      </c>
      <c r="L103" s="64">
        <v>24.4</v>
      </c>
      <c r="M103" s="64">
        <v>98.33</v>
      </c>
      <c r="N103" s="64">
        <v>36.5</v>
      </c>
      <c r="O103" s="64">
        <v>0</v>
      </c>
      <c r="P103" s="64">
        <v>0.3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4" t="s">
        <v>819</v>
      </c>
      <c r="B104" s="64">
        <v>8.4600000000000009</v>
      </c>
      <c r="C104" s="64">
        <v>5.92</v>
      </c>
      <c r="D104" s="64">
        <v>9.8699999999999992</v>
      </c>
      <c r="E104" s="64">
        <v>4.2699999999999996</v>
      </c>
      <c r="F104" s="64">
        <v>9.34</v>
      </c>
      <c r="G104" s="64">
        <v>39.21</v>
      </c>
      <c r="H104" s="64">
        <v>5.69</v>
      </c>
      <c r="I104" s="64">
        <v>1.37</v>
      </c>
      <c r="J104" s="64">
        <v>0.03</v>
      </c>
      <c r="K104" s="64">
        <v>236.8</v>
      </c>
      <c r="L104" s="64">
        <v>24.3</v>
      </c>
      <c r="M104" s="64">
        <v>98.35</v>
      </c>
      <c r="N104" s="64">
        <v>36.299999999999997</v>
      </c>
      <c r="O104" s="64">
        <v>0</v>
      </c>
      <c r="P104" s="64">
        <v>0.28999999999999998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4.25</v>
      </c>
      <c r="C106" s="67">
        <f>MIN(C9:C104)</f>
        <v>4.97</v>
      </c>
      <c r="D106" s="67">
        <f t="shared" ref="D106:Q106" si="0">MIN(D9:D104)</f>
        <v>8.5</v>
      </c>
      <c r="E106" s="67">
        <f t="shared" si="0"/>
        <v>3.79</v>
      </c>
      <c r="F106" s="67">
        <f t="shared" si="0"/>
        <v>3.21</v>
      </c>
      <c r="G106" s="67">
        <f t="shared" si="0"/>
        <v>16.78</v>
      </c>
      <c r="H106" s="67">
        <f t="shared" si="0"/>
        <v>2.56</v>
      </c>
      <c r="I106" s="67">
        <f t="shared" si="0"/>
        <v>0.71</v>
      </c>
      <c r="J106" s="67">
        <f t="shared" si="0"/>
        <v>0.01</v>
      </c>
      <c r="K106" s="67">
        <f t="shared" si="0"/>
        <v>20.72</v>
      </c>
      <c r="L106" s="67">
        <f t="shared" si="0"/>
        <v>23.33</v>
      </c>
      <c r="M106" s="67">
        <f t="shared" si="0"/>
        <v>65.62</v>
      </c>
      <c r="N106" s="67">
        <f t="shared" si="0"/>
        <v>33.5</v>
      </c>
      <c r="O106" s="67">
        <f t="shared" si="0"/>
        <v>0</v>
      </c>
      <c r="P106" s="67">
        <f t="shared" si="0"/>
        <v>0.2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25.87</v>
      </c>
      <c r="C107" s="66">
        <f t="shared" ref="C107:Q107" si="1">MAX(C9:C104)</f>
        <v>25.37</v>
      </c>
      <c r="D107" s="66">
        <f t="shared" si="1"/>
        <v>26.53</v>
      </c>
      <c r="E107" s="66">
        <f t="shared" si="1"/>
        <v>5.93</v>
      </c>
      <c r="F107" s="66">
        <f t="shared" si="1"/>
        <v>18.98</v>
      </c>
      <c r="G107" s="66">
        <f t="shared" si="1"/>
        <v>53.23</v>
      </c>
      <c r="H107" s="66">
        <f t="shared" si="1"/>
        <v>10.58</v>
      </c>
      <c r="I107" s="66">
        <f t="shared" si="1"/>
        <v>1.43</v>
      </c>
      <c r="J107" s="66">
        <f t="shared" si="1"/>
        <v>1.59</v>
      </c>
      <c r="K107" s="66">
        <f t="shared" si="1"/>
        <v>351.75</v>
      </c>
      <c r="L107" s="66">
        <f t="shared" si="1"/>
        <v>31.48</v>
      </c>
      <c r="M107" s="66">
        <f t="shared" si="1"/>
        <v>98.76</v>
      </c>
      <c r="N107" s="66">
        <f t="shared" si="1"/>
        <v>996.6</v>
      </c>
      <c r="O107" s="66">
        <f t="shared" si="1"/>
        <v>0.2</v>
      </c>
      <c r="P107" s="66">
        <f t="shared" si="1"/>
        <v>0.93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9.1337500000000009</v>
      </c>
      <c r="C108" s="67">
        <f t="shared" ref="C108:Q108" si="2">AVERAGE(C9:C104)</f>
        <v>9.6712500000000023</v>
      </c>
      <c r="D108" s="67">
        <f t="shared" si="2"/>
        <v>12.346666666666662</v>
      </c>
      <c r="E108" s="67">
        <f t="shared" si="2"/>
        <v>4.8118749999999988</v>
      </c>
      <c r="F108" s="67">
        <f t="shared" si="2"/>
        <v>8.4631250000000016</v>
      </c>
      <c r="G108" s="67">
        <f t="shared" si="2"/>
        <v>32.025937500000005</v>
      </c>
      <c r="H108" s="67">
        <f t="shared" si="2"/>
        <v>5.9951041666666649</v>
      </c>
      <c r="I108" s="67">
        <f t="shared" si="2"/>
        <v>0.97572916666666698</v>
      </c>
      <c r="J108" s="67">
        <f t="shared" si="2"/>
        <v>0.36333333333333329</v>
      </c>
      <c r="K108" s="67">
        <f t="shared" si="2"/>
        <v>173.71145833333333</v>
      </c>
      <c r="L108" s="67">
        <f t="shared" si="2"/>
        <v>27.07093750000001</v>
      </c>
      <c r="M108" s="67">
        <f t="shared" si="2"/>
        <v>89.221979166666642</v>
      </c>
      <c r="N108" s="67">
        <f t="shared" si="2"/>
        <v>209.68958333333339</v>
      </c>
      <c r="O108" s="67">
        <f t="shared" si="2"/>
        <v>2.0833333333333333E-3</v>
      </c>
      <c r="P108" s="67">
        <f t="shared" si="2"/>
        <v>0.31854166666666661</v>
      </c>
      <c r="Q108" s="67">
        <f t="shared" si="2"/>
        <v>9.5627083333333349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3.2463048629415385</v>
      </c>
      <c r="C109" s="67">
        <f t="shared" ref="C109:Q109" si="3">STDEV(C9:C104)</f>
        <v>4.4417706876993579</v>
      </c>
      <c r="D109" s="67">
        <f t="shared" si="3"/>
        <v>3.5602399879684867</v>
      </c>
      <c r="E109" s="67">
        <f t="shared" si="3"/>
        <v>0.60185557368770226</v>
      </c>
      <c r="F109" s="67">
        <f t="shared" si="3"/>
        <v>3.7909408115719909</v>
      </c>
      <c r="G109" s="67">
        <f t="shared" si="3"/>
        <v>10.83867923378558</v>
      </c>
      <c r="H109" s="67">
        <f t="shared" si="3"/>
        <v>1.9850005938175892</v>
      </c>
      <c r="I109" s="67">
        <f t="shared" si="3"/>
        <v>0.16883342642140664</v>
      </c>
      <c r="J109" s="67">
        <f t="shared" si="3"/>
        <v>0.28296053906272312</v>
      </c>
      <c r="K109" s="67">
        <f t="shared" si="3"/>
        <v>74.517989773987765</v>
      </c>
      <c r="L109" s="67">
        <f t="shared" si="3"/>
        <v>2.9960293295327638</v>
      </c>
      <c r="M109" s="67">
        <f t="shared" si="3"/>
        <v>11.431837778285736</v>
      </c>
      <c r="N109" s="67">
        <f t="shared" si="3"/>
        <v>275.10126919264394</v>
      </c>
      <c r="O109" s="67">
        <f t="shared" si="3"/>
        <v>2.0412414523193152E-2</v>
      </c>
      <c r="P109" s="67">
        <f t="shared" si="3"/>
        <v>0.14337275059799598</v>
      </c>
      <c r="Q109" s="67">
        <f t="shared" si="3"/>
        <v>6.5025973218264463E-2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I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ref="K110:Q110" si="5">COUNT(K9:K104)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820</v>
      </c>
      <c r="B9" s="64">
        <v>8.41</v>
      </c>
      <c r="C9" s="64">
        <v>6.08</v>
      </c>
      <c r="D9" s="64">
        <v>9.92</v>
      </c>
      <c r="E9" s="64">
        <v>4.9400000000000004</v>
      </c>
      <c r="F9" s="64">
        <v>8.14</v>
      </c>
      <c r="G9" s="64">
        <v>39.21</v>
      </c>
      <c r="H9" s="64">
        <v>5.69</v>
      </c>
      <c r="I9" s="64">
        <v>1.35</v>
      </c>
      <c r="J9" s="64">
        <v>0.03</v>
      </c>
      <c r="K9" s="64">
        <v>253.37</v>
      </c>
      <c r="L9" s="64">
        <v>24.25</v>
      </c>
      <c r="M9" s="64">
        <v>98.38</v>
      </c>
      <c r="N9" s="64">
        <v>36</v>
      </c>
      <c r="O9" s="64">
        <v>0</v>
      </c>
      <c r="P9" s="64">
        <v>0.31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4" t="s">
        <v>821</v>
      </c>
      <c r="B10" s="64">
        <v>7.98</v>
      </c>
      <c r="C10" s="64">
        <v>6.35</v>
      </c>
      <c r="D10" s="64">
        <v>9.7200000000000006</v>
      </c>
      <c r="E10" s="64">
        <v>5.08</v>
      </c>
      <c r="F10" s="64">
        <v>8.2899999999999991</v>
      </c>
      <c r="G10" s="64">
        <v>39.21</v>
      </c>
      <c r="H10" s="64">
        <v>5.69</v>
      </c>
      <c r="I10" s="64">
        <v>1.33</v>
      </c>
      <c r="J10" s="64">
        <v>0.03</v>
      </c>
      <c r="K10" s="64">
        <v>21.97</v>
      </c>
      <c r="L10" s="64">
        <v>24.22</v>
      </c>
      <c r="M10" s="64">
        <v>98.38</v>
      </c>
      <c r="N10" s="64">
        <v>36.1</v>
      </c>
      <c r="O10" s="64">
        <v>0</v>
      </c>
      <c r="P10" s="64">
        <v>0.26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4" t="s">
        <v>822</v>
      </c>
      <c r="B11" s="64">
        <v>7.54</v>
      </c>
      <c r="C11" s="64">
        <v>6.45</v>
      </c>
      <c r="D11" s="64">
        <v>9.41</v>
      </c>
      <c r="E11" s="64">
        <v>4.87</v>
      </c>
      <c r="F11" s="64">
        <v>9.15</v>
      </c>
      <c r="G11" s="64">
        <v>38.08</v>
      </c>
      <c r="H11" s="64">
        <v>5.34</v>
      </c>
      <c r="I11" s="64">
        <v>1.31</v>
      </c>
      <c r="J11" s="64">
        <v>0.53</v>
      </c>
      <c r="K11" s="64">
        <v>150.30000000000001</v>
      </c>
      <c r="L11" s="64">
        <v>24.22</v>
      </c>
      <c r="M11" s="64">
        <v>98.38</v>
      </c>
      <c r="N11" s="64">
        <v>36.200000000000003</v>
      </c>
      <c r="O11" s="64">
        <v>0</v>
      </c>
      <c r="P11" s="64">
        <v>0.26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823</v>
      </c>
      <c r="B12" s="64">
        <v>7.55</v>
      </c>
      <c r="C12" s="64">
        <v>5.98</v>
      </c>
      <c r="D12" s="64">
        <v>9.17</v>
      </c>
      <c r="E12" s="64">
        <v>4.8499999999999996</v>
      </c>
      <c r="F12" s="64">
        <v>6.97</v>
      </c>
      <c r="G12" s="64">
        <v>32.44</v>
      </c>
      <c r="H12" s="64">
        <v>3.98</v>
      </c>
      <c r="I12" s="64">
        <v>1.28</v>
      </c>
      <c r="J12" s="64">
        <v>0.22</v>
      </c>
      <c r="K12" s="64">
        <v>160.33000000000001</v>
      </c>
      <c r="L12" s="64">
        <v>24.22</v>
      </c>
      <c r="M12" s="64">
        <v>98.38</v>
      </c>
      <c r="N12" s="64">
        <v>36.200000000000003</v>
      </c>
      <c r="O12" s="64">
        <v>0</v>
      </c>
      <c r="P12" s="64">
        <v>0.26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4" t="s">
        <v>824</v>
      </c>
      <c r="B13" s="64">
        <v>7.38</v>
      </c>
      <c r="C13" s="64">
        <v>5.82</v>
      </c>
      <c r="D13" s="64">
        <v>8.9600000000000009</v>
      </c>
      <c r="E13" s="64">
        <v>4.63</v>
      </c>
      <c r="F13" s="64">
        <v>9.6199999999999992</v>
      </c>
      <c r="G13" s="64">
        <v>32.44</v>
      </c>
      <c r="H13" s="64">
        <v>3.98</v>
      </c>
      <c r="I13" s="64">
        <v>1.26</v>
      </c>
      <c r="J13" s="64">
        <v>0.19</v>
      </c>
      <c r="K13" s="64">
        <v>129.59</v>
      </c>
      <c r="L13" s="64">
        <v>24.23</v>
      </c>
      <c r="M13" s="64">
        <v>98.38</v>
      </c>
      <c r="N13" s="64">
        <v>36.1</v>
      </c>
      <c r="O13" s="64">
        <v>0</v>
      </c>
      <c r="P13" s="64">
        <v>0.2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4" t="s">
        <v>825</v>
      </c>
      <c r="B14" s="64">
        <v>6.68</v>
      </c>
      <c r="C14" s="64">
        <v>5.8</v>
      </c>
      <c r="D14" s="64">
        <v>8.3800000000000008</v>
      </c>
      <c r="E14" s="64">
        <v>4.83</v>
      </c>
      <c r="F14" s="64">
        <v>8.76</v>
      </c>
      <c r="G14" s="64">
        <v>32.44</v>
      </c>
      <c r="H14" s="64">
        <v>3.98</v>
      </c>
      <c r="I14" s="64">
        <v>1.23</v>
      </c>
      <c r="J14" s="64">
        <v>0.28999999999999998</v>
      </c>
      <c r="K14" s="64">
        <v>128.13999999999999</v>
      </c>
      <c r="L14" s="64">
        <v>24.21</v>
      </c>
      <c r="M14" s="64">
        <v>98.38</v>
      </c>
      <c r="N14" s="64">
        <v>36</v>
      </c>
      <c r="O14" s="64">
        <v>0</v>
      </c>
      <c r="P14" s="64">
        <v>0.23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4" t="s">
        <v>826</v>
      </c>
      <c r="B15" s="64">
        <v>6.63</v>
      </c>
      <c r="C15" s="64">
        <v>5.92</v>
      </c>
      <c r="D15" s="64">
        <v>8.41</v>
      </c>
      <c r="E15" s="64">
        <v>4.68</v>
      </c>
      <c r="F15" s="64">
        <v>8.69</v>
      </c>
      <c r="G15" s="64">
        <v>31.87</v>
      </c>
      <c r="H15" s="64">
        <v>4.0199999999999996</v>
      </c>
      <c r="I15" s="64">
        <v>1.19</v>
      </c>
      <c r="J15" s="64">
        <v>0.09</v>
      </c>
      <c r="K15" s="64">
        <v>130.75</v>
      </c>
      <c r="L15" s="64">
        <v>24.12</v>
      </c>
      <c r="M15" s="64">
        <v>98.39</v>
      </c>
      <c r="N15" s="64">
        <v>35.799999999999997</v>
      </c>
      <c r="O15" s="64">
        <v>0</v>
      </c>
      <c r="P15" s="64">
        <v>0.2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4" t="s">
        <v>827</v>
      </c>
      <c r="B16" s="64">
        <v>6.31</v>
      </c>
      <c r="C16" s="64">
        <v>5.61</v>
      </c>
      <c r="D16" s="64">
        <v>7.99</v>
      </c>
      <c r="E16" s="64">
        <v>4.8099999999999996</v>
      </c>
      <c r="F16" s="64">
        <v>8.48</v>
      </c>
      <c r="G16" s="64">
        <v>29</v>
      </c>
      <c r="H16" s="64">
        <v>4.21</v>
      </c>
      <c r="I16" s="64">
        <v>1.1599999999999999</v>
      </c>
      <c r="J16" s="64">
        <v>0.02</v>
      </c>
      <c r="K16" s="64">
        <v>282.25</v>
      </c>
      <c r="L16" s="64">
        <v>24.04</v>
      </c>
      <c r="M16" s="64">
        <v>98.41</v>
      </c>
      <c r="N16" s="64">
        <v>35.700000000000003</v>
      </c>
      <c r="O16" s="64">
        <v>0</v>
      </c>
      <c r="P16" s="64">
        <v>0.2</v>
      </c>
      <c r="Q16" s="64">
        <v>9.59</v>
      </c>
      <c r="R16" s="198"/>
      <c r="S16" s="198"/>
      <c r="T16" s="198"/>
      <c r="U16" s="198"/>
    </row>
    <row r="17" spans="1:21" s="12" customFormat="1" x14ac:dyDescent="0.25">
      <c r="A17" s="214" t="s">
        <v>828</v>
      </c>
      <c r="B17" s="64">
        <v>7.07</v>
      </c>
      <c r="C17" s="64">
        <v>5.12</v>
      </c>
      <c r="D17" s="64">
        <v>8.35</v>
      </c>
      <c r="E17" s="64">
        <v>4.93</v>
      </c>
      <c r="F17" s="64">
        <v>6.3</v>
      </c>
      <c r="G17" s="64">
        <v>29</v>
      </c>
      <c r="H17" s="64">
        <v>4.21</v>
      </c>
      <c r="I17" s="64">
        <v>1.1399999999999999</v>
      </c>
      <c r="J17" s="64">
        <v>0.08</v>
      </c>
      <c r="K17" s="64">
        <v>208.38</v>
      </c>
      <c r="L17" s="64">
        <v>23.96</v>
      </c>
      <c r="M17" s="64">
        <v>98.42</v>
      </c>
      <c r="N17" s="64">
        <v>35.6</v>
      </c>
      <c r="O17" s="64">
        <v>0</v>
      </c>
      <c r="P17" s="64">
        <v>0.25</v>
      </c>
      <c r="Q17" s="64">
        <v>9.59</v>
      </c>
      <c r="R17" s="198"/>
      <c r="S17" s="198"/>
      <c r="T17" s="198"/>
      <c r="U17" s="198"/>
    </row>
    <row r="18" spans="1:21" s="12" customFormat="1" x14ac:dyDescent="0.25">
      <c r="A18" s="214" t="s">
        <v>829</v>
      </c>
      <c r="B18" s="64">
        <v>7.81</v>
      </c>
      <c r="C18" s="64">
        <v>5.44</v>
      </c>
      <c r="D18" s="64">
        <v>9.1</v>
      </c>
      <c r="E18" s="64">
        <v>4.7699999999999996</v>
      </c>
      <c r="F18" s="64">
        <v>6.82</v>
      </c>
      <c r="G18" s="64">
        <v>29</v>
      </c>
      <c r="H18" s="64">
        <v>4.21</v>
      </c>
      <c r="I18" s="64">
        <v>1.1200000000000001</v>
      </c>
      <c r="J18" s="64">
        <v>0.05</v>
      </c>
      <c r="K18" s="64">
        <v>204.58</v>
      </c>
      <c r="L18" s="64">
        <v>23.91</v>
      </c>
      <c r="M18" s="64">
        <v>98.43</v>
      </c>
      <c r="N18" s="64">
        <v>35.6</v>
      </c>
      <c r="O18" s="64">
        <v>0</v>
      </c>
      <c r="P18" s="64">
        <v>0.24</v>
      </c>
      <c r="Q18" s="64">
        <v>9.57</v>
      </c>
      <c r="R18" s="198"/>
      <c r="S18" s="198"/>
      <c r="T18" s="198"/>
      <c r="U18" s="198"/>
    </row>
    <row r="19" spans="1:21" s="12" customFormat="1" x14ac:dyDescent="0.25">
      <c r="A19" s="214" t="s">
        <v>830</v>
      </c>
      <c r="B19" s="64">
        <v>6.22</v>
      </c>
      <c r="C19" s="64">
        <v>5.73</v>
      </c>
      <c r="D19" s="64">
        <v>7.98</v>
      </c>
      <c r="E19" s="64">
        <v>4.8499999999999996</v>
      </c>
      <c r="F19" s="64">
        <v>7.84</v>
      </c>
      <c r="G19" s="64">
        <v>27.61</v>
      </c>
      <c r="H19" s="64">
        <v>5.2</v>
      </c>
      <c r="I19" s="64">
        <v>1.0900000000000001</v>
      </c>
      <c r="J19" s="64">
        <v>0.04</v>
      </c>
      <c r="K19" s="64">
        <v>186.45</v>
      </c>
      <c r="L19" s="64">
        <v>23.87</v>
      </c>
      <c r="M19" s="64">
        <v>98.42</v>
      </c>
      <c r="N19" s="64">
        <v>35.9</v>
      </c>
      <c r="O19" s="64">
        <v>0</v>
      </c>
      <c r="P19" s="64">
        <v>0.2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4" t="s">
        <v>831</v>
      </c>
      <c r="B20" s="64">
        <v>7.48</v>
      </c>
      <c r="C20" s="64">
        <v>5.3</v>
      </c>
      <c r="D20" s="64">
        <v>8.77</v>
      </c>
      <c r="E20" s="64">
        <v>4.8899999999999997</v>
      </c>
      <c r="F20" s="64">
        <v>6.43</v>
      </c>
      <c r="G20" s="64">
        <v>20.67</v>
      </c>
      <c r="H20" s="64">
        <v>9.1</v>
      </c>
      <c r="I20" s="64">
        <v>1.07</v>
      </c>
      <c r="J20" s="64">
        <v>0.25</v>
      </c>
      <c r="K20" s="64">
        <v>133.11000000000001</v>
      </c>
      <c r="L20" s="64">
        <v>23.78</v>
      </c>
      <c r="M20" s="64">
        <v>98.42</v>
      </c>
      <c r="N20" s="64">
        <v>36</v>
      </c>
      <c r="O20" s="64">
        <v>0</v>
      </c>
      <c r="P20" s="64">
        <v>0.23</v>
      </c>
      <c r="Q20" s="64">
        <v>9.56</v>
      </c>
      <c r="R20" s="198"/>
      <c r="S20" s="198"/>
      <c r="T20" s="198"/>
      <c r="U20" s="198"/>
    </row>
    <row r="21" spans="1:21" s="12" customFormat="1" x14ac:dyDescent="0.25">
      <c r="A21" s="214" t="s">
        <v>832</v>
      </c>
      <c r="B21" s="64">
        <v>6.43</v>
      </c>
      <c r="C21" s="64">
        <v>5.49</v>
      </c>
      <c r="D21" s="64">
        <v>8.02</v>
      </c>
      <c r="E21" s="64">
        <v>4.84</v>
      </c>
      <c r="F21" s="64">
        <v>6.73</v>
      </c>
      <c r="G21" s="64">
        <v>20.67</v>
      </c>
      <c r="H21" s="64">
        <v>9.1</v>
      </c>
      <c r="I21" s="64">
        <v>1.04</v>
      </c>
      <c r="J21" s="64">
        <v>0.2</v>
      </c>
      <c r="K21" s="64">
        <v>139.85</v>
      </c>
      <c r="L21" s="64">
        <v>23.67</v>
      </c>
      <c r="M21" s="64">
        <v>98.42</v>
      </c>
      <c r="N21" s="64">
        <v>35.9</v>
      </c>
      <c r="O21" s="64">
        <v>0</v>
      </c>
      <c r="P21" s="64">
        <v>0.21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4" t="s">
        <v>833</v>
      </c>
      <c r="B22" s="64">
        <v>7.9</v>
      </c>
      <c r="C22" s="64">
        <v>5.04</v>
      </c>
      <c r="D22" s="64">
        <v>8.9700000000000006</v>
      </c>
      <c r="E22" s="64">
        <v>4.68</v>
      </c>
      <c r="F22" s="64">
        <v>5.89</v>
      </c>
      <c r="G22" s="64">
        <v>20.67</v>
      </c>
      <c r="H22" s="64">
        <v>9.1</v>
      </c>
      <c r="I22" s="64">
        <v>1.02</v>
      </c>
      <c r="J22" s="64">
        <v>0.04</v>
      </c>
      <c r="K22" s="64">
        <v>130.63</v>
      </c>
      <c r="L22" s="64">
        <v>23.64</v>
      </c>
      <c r="M22" s="64">
        <v>98.46</v>
      </c>
      <c r="N22" s="64">
        <v>35.799999999999997</v>
      </c>
      <c r="O22" s="64">
        <v>0</v>
      </c>
      <c r="P22" s="64">
        <v>0.24</v>
      </c>
      <c r="Q22" s="64">
        <v>9.5500000000000007</v>
      </c>
      <c r="R22" s="198"/>
      <c r="S22" s="198"/>
      <c r="T22" s="198"/>
      <c r="U22" s="198"/>
    </row>
    <row r="23" spans="1:21" s="12" customFormat="1" x14ac:dyDescent="0.25">
      <c r="A23" s="214" t="s">
        <v>834</v>
      </c>
      <c r="B23" s="64">
        <v>6.5</v>
      </c>
      <c r="C23" s="64">
        <v>5.38</v>
      </c>
      <c r="D23" s="64">
        <v>8.0299999999999994</v>
      </c>
      <c r="E23" s="64">
        <v>4.99</v>
      </c>
      <c r="F23" s="64">
        <v>8.1199999999999992</v>
      </c>
      <c r="G23" s="64">
        <v>20.61</v>
      </c>
      <c r="H23" s="64">
        <v>8.5399999999999991</v>
      </c>
      <c r="I23" s="64">
        <v>1.06</v>
      </c>
      <c r="J23" s="64">
        <v>0.1</v>
      </c>
      <c r="K23" s="64">
        <v>168.53</v>
      </c>
      <c r="L23" s="64">
        <v>23.61</v>
      </c>
      <c r="M23" s="64">
        <v>98.46</v>
      </c>
      <c r="N23" s="64">
        <v>35.799999999999997</v>
      </c>
      <c r="O23" s="64">
        <v>0</v>
      </c>
      <c r="P23" s="64">
        <v>0.14000000000000001</v>
      </c>
      <c r="Q23" s="64">
        <v>9.57</v>
      </c>
      <c r="R23" s="198"/>
      <c r="S23" s="198"/>
      <c r="T23" s="198"/>
      <c r="U23" s="198"/>
    </row>
    <row r="24" spans="1:21" s="12" customFormat="1" x14ac:dyDescent="0.25">
      <c r="A24" s="214" t="s">
        <v>835</v>
      </c>
      <c r="B24" s="64">
        <v>5.9</v>
      </c>
      <c r="C24" s="64">
        <v>5.99</v>
      </c>
      <c r="D24" s="64">
        <v>7.86</v>
      </c>
      <c r="E24" s="64">
        <v>4.93</v>
      </c>
      <c r="F24" s="64">
        <v>8.24</v>
      </c>
      <c r="G24" s="64">
        <v>20.309999999999999</v>
      </c>
      <c r="H24" s="64">
        <v>6.37</v>
      </c>
      <c r="I24" s="64">
        <v>1.03</v>
      </c>
      <c r="J24" s="64">
        <v>0.16</v>
      </c>
      <c r="K24" s="64">
        <v>139.81</v>
      </c>
      <c r="L24" s="64">
        <v>23.52</v>
      </c>
      <c r="M24" s="64">
        <v>98.47</v>
      </c>
      <c r="N24" s="64">
        <v>35.799999999999997</v>
      </c>
      <c r="O24" s="64">
        <v>0</v>
      </c>
      <c r="P24" s="64">
        <v>0.17</v>
      </c>
      <c r="Q24" s="64">
        <v>9.57</v>
      </c>
      <c r="R24" s="198"/>
      <c r="S24" s="198"/>
      <c r="T24" s="198"/>
      <c r="U24" s="198"/>
    </row>
    <row r="25" spans="1:21" s="12" customFormat="1" x14ac:dyDescent="0.25">
      <c r="A25" s="214" t="s">
        <v>836</v>
      </c>
      <c r="B25" s="64">
        <v>6.7</v>
      </c>
      <c r="C25" s="64">
        <v>6.18</v>
      </c>
      <c r="D25" s="64">
        <v>8.61</v>
      </c>
      <c r="E25" s="64">
        <v>4.62</v>
      </c>
      <c r="F25" s="64">
        <v>7.22</v>
      </c>
      <c r="G25" s="64">
        <v>20.309999999999999</v>
      </c>
      <c r="H25" s="64">
        <v>6.37</v>
      </c>
      <c r="I25" s="64">
        <v>0.96</v>
      </c>
      <c r="J25" s="64">
        <v>0.04</v>
      </c>
      <c r="K25" s="64">
        <v>235.92</v>
      </c>
      <c r="L25" s="64">
        <v>23.53</v>
      </c>
      <c r="M25" s="64">
        <v>98.48</v>
      </c>
      <c r="N25" s="64">
        <v>35.700000000000003</v>
      </c>
      <c r="O25" s="64">
        <v>0</v>
      </c>
      <c r="P25" s="64">
        <v>0.2</v>
      </c>
      <c r="Q25" s="64">
        <v>9.57</v>
      </c>
      <c r="R25" s="198"/>
      <c r="S25" s="198"/>
      <c r="T25" s="198"/>
      <c r="U25" s="198"/>
    </row>
    <row r="26" spans="1:21" s="12" customFormat="1" x14ac:dyDescent="0.25">
      <c r="A26" s="214" t="s">
        <v>837</v>
      </c>
      <c r="B26" s="64">
        <v>7.2</v>
      </c>
      <c r="C26" s="64">
        <v>6.23</v>
      </c>
      <c r="D26" s="64">
        <v>9.0299999999999994</v>
      </c>
      <c r="E26" s="64">
        <v>4.71</v>
      </c>
      <c r="F26" s="64">
        <v>6.39</v>
      </c>
      <c r="G26" s="64">
        <v>20.309999999999999</v>
      </c>
      <c r="H26" s="64">
        <v>6.37</v>
      </c>
      <c r="I26" s="64">
        <v>0.95</v>
      </c>
      <c r="J26" s="64">
        <v>7.0000000000000007E-2</v>
      </c>
      <c r="K26" s="64">
        <v>297.58</v>
      </c>
      <c r="L26" s="64">
        <v>23.54</v>
      </c>
      <c r="M26" s="64">
        <v>98.48</v>
      </c>
      <c r="N26" s="64">
        <v>35.6</v>
      </c>
      <c r="O26" s="64">
        <v>0</v>
      </c>
      <c r="P26" s="64">
        <v>0.21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14" t="s">
        <v>838</v>
      </c>
      <c r="B27" s="64">
        <v>6.53</v>
      </c>
      <c r="C27" s="64">
        <v>6.46</v>
      </c>
      <c r="D27" s="64">
        <v>8.61</v>
      </c>
      <c r="E27" s="64">
        <v>4.76</v>
      </c>
      <c r="F27" s="64">
        <v>7.35</v>
      </c>
      <c r="G27" s="64">
        <v>20.149999999999999</v>
      </c>
      <c r="H27" s="64">
        <v>5.98</v>
      </c>
      <c r="I27" s="64">
        <v>1</v>
      </c>
      <c r="J27" s="64">
        <v>0.42</v>
      </c>
      <c r="K27" s="64">
        <v>130.37</v>
      </c>
      <c r="L27" s="64">
        <v>23.51</v>
      </c>
      <c r="M27" s="64">
        <v>98.48</v>
      </c>
      <c r="N27" s="64">
        <v>35.6</v>
      </c>
      <c r="O27" s="64">
        <v>0</v>
      </c>
      <c r="P27" s="64">
        <v>0.17</v>
      </c>
      <c r="Q27" s="64">
        <v>9.57</v>
      </c>
      <c r="R27" s="198"/>
      <c r="S27" s="198"/>
      <c r="T27" s="198"/>
      <c r="U27" s="198"/>
    </row>
    <row r="28" spans="1:21" s="12" customFormat="1" x14ac:dyDescent="0.25">
      <c r="A28" s="214" t="s">
        <v>839</v>
      </c>
      <c r="B28" s="64">
        <v>6.2</v>
      </c>
      <c r="C28" s="64">
        <v>6.43</v>
      </c>
      <c r="D28" s="64">
        <v>8.33</v>
      </c>
      <c r="E28" s="64">
        <v>4.76</v>
      </c>
      <c r="F28" s="64">
        <v>6.63</v>
      </c>
      <c r="G28" s="64">
        <v>19.350000000000001</v>
      </c>
      <c r="H28" s="64">
        <v>4.46</v>
      </c>
      <c r="I28" s="64">
        <v>0.97</v>
      </c>
      <c r="J28" s="64">
        <v>0.33</v>
      </c>
      <c r="K28" s="64">
        <v>135.69</v>
      </c>
      <c r="L28" s="64">
        <v>23.54</v>
      </c>
      <c r="M28" s="64">
        <v>98.48</v>
      </c>
      <c r="N28" s="64">
        <v>35.799999999999997</v>
      </c>
      <c r="O28" s="64">
        <v>0</v>
      </c>
      <c r="P28" s="64">
        <v>0.18</v>
      </c>
      <c r="Q28" s="64">
        <v>9.57</v>
      </c>
      <c r="R28" s="198"/>
      <c r="S28" s="198"/>
      <c r="T28" s="198"/>
      <c r="U28" s="198"/>
    </row>
    <row r="29" spans="1:21" s="12" customFormat="1" x14ac:dyDescent="0.25">
      <c r="A29" s="214" t="s">
        <v>840</v>
      </c>
      <c r="B29" s="64">
        <v>6.19</v>
      </c>
      <c r="C29" s="64">
        <v>6.41</v>
      </c>
      <c r="D29" s="64">
        <v>8.31</v>
      </c>
      <c r="E29" s="64">
        <v>4.84</v>
      </c>
      <c r="F29" s="64">
        <v>5.46</v>
      </c>
      <c r="G29" s="64">
        <v>19.350000000000001</v>
      </c>
      <c r="H29" s="64">
        <v>4.46</v>
      </c>
      <c r="I29" s="64">
        <v>0.98</v>
      </c>
      <c r="J29" s="64">
        <v>0.22</v>
      </c>
      <c r="K29" s="64">
        <v>138.55000000000001</v>
      </c>
      <c r="L29" s="64">
        <v>23.6</v>
      </c>
      <c r="M29" s="64">
        <v>98.48</v>
      </c>
      <c r="N29" s="64">
        <v>35.9</v>
      </c>
      <c r="O29" s="64">
        <v>0</v>
      </c>
      <c r="P29" s="64">
        <v>0.17</v>
      </c>
      <c r="Q29" s="64">
        <v>9.57</v>
      </c>
      <c r="R29" s="198"/>
      <c r="S29" s="198"/>
      <c r="T29" s="198"/>
      <c r="U29" s="198"/>
    </row>
    <row r="30" spans="1:21" s="12" customFormat="1" x14ac:dyDescent="0.25">
      <c r="A30" s="214" t="s">
        <v>841</v>
      </c>
      <c r="B30" s="64">
        <v>7.15</v>
      </c>
      <c r="C30" s="64">
        <v>6</v>
      </c>
      <c r="D30" s="64">
        <v>8.8699999999999992</v>
      </c>
      <c r="E30" s="64">
        <v>4.84</v>
      </c>
      <c r="F30" s="64">
        <v>4.8899999999999997</v>
      </c>
      <c r="G30" s="64">
        <v>19.350000000000001</v>
      </c>
      <c r="H30" s="64">
        <v>4.46</v>
      </c>
      <c r="I30" s="64">
        <v>1.03</v>
      </c>
      <c r="J30" s="64">
        <v>0.03</v>
      </c>
      <c r="K30" s="64">
        <v>157.11000000000001</v>
      </c>
      <c r="L30" s="64">
        <v>23.57</v>
      </c>
      <c r="M30" s="64">
        <v>98.48</v>
      </c>
      <c r="N30" s="64">
        <v>35.9</v>
      </c>
      <c r="O30" s="64">
        <v>0</v>
      </c>
      <c r="P30" s="64">
        <v>0.23</v>
      </c>
      <c r="Q30" s="64">
        <v>9.57</v>
      </c>
      <c r="R30" s="198"/>
      <c r="S30" s="198"/>
      <c r="T30" s="198"/>
      <c r="U30" s="198"/>
    </row>
    <row r="31" spans="1:21" s="12" customFormat="1" x14ac:dyDescent="0.25">
      <c r="A31" s="214" t="s">
        <v>842</v>
      </c>
      <c r="B31" s="64">
        <v>6.39</v>
      </c>
      <c r="C31" s="64">
        <v>6.59</v>
      </c>
      <c r="D31" s="64">
        <v>8.57</v>
      </c>
      <c r="E31" s="64">
        <v>4.93</v>
      </c>
      <c r="F31" s="64">
        <v>6.06</v>
      </c>
      <c r="G31" s="64">
        <v>19.29</v>
      </c>
      <c r="H31" s="64">
        <v>4.26</v>
      </c>
      <c r="I31" s="64">
        <v>1.02</v>
      </c>
      <c r="J31" s="64">
        <v>0.04</v>
      </c>
      <c r="K31" s="64">
        <v>240.16</v>
      </c>
      <c r="L31" s="64">
        <v>23.55</v>
      </c>
      <c r="M31" s="64">
        <v>98.48</v>
      </c>
      <c r="N31" s="64">
        <v>36.9</v>
      </c>
      <c r="O31" s="64">
        <v>0</v>
      </c>
      <c r="P31" s="64">
        <v>0.18</v>
      </c>
      <c r="Q31" s="64">
        <v>9.5399999999999991</v>
      </c>
      <c r="R31" s="198"/>
      <c r="S31" s="198"/>
      <c r="T31" s="198"/>
      <c r="U31" s="198"/>
    </row>
    <row r="32" spans="1:21" s="12" customFormat="1" x14ac:dyDescent="0.25">
      <c r="A32" s="214" t="s">
        <v>843</v>
      </c>
      <c r="B32" s="64">
        <v>6.83</v>
      </c>
      <c r="C32" s="64">
        <v>7.21</v>
      </c>
      <c r="D32" s="64">
        <v>9.24</v>
      </c>
      <c r="E32" s="64">
        <v>5.0199999999999996</v>
      </c>
      <c r="F32" s="64">
        <v>6.24</v>
      </c>
      <c r="G32" s="64">
        <v>19.010000000000002</v>
      </c>
      <c r="H32" s="64">
        <v>3.12</v>
      </c>
      <c r="I32" s="64">
        <v>1.01</v>
      </c>
      <c r="J32" s="64">
        <v>7.0000000000000007E-2</v>
      </c>
      <c r="K32" s="64">
        <v>332.96</v>
      </c>
      <c r="L32" s="64">
        <v>23.61</v>
      </c>
      <c r="M32" s="64">
        <v>98.47</v>
      </c>
      <c r="N32" s="64">
        <v>42</v>
      </c>
      <c r="O32" s="64">
        <v>0</v>
      </c>
      <c r="P32" s="64">
        <v>0.25</v>
      </c>
      <c r="Q32" s="64">
        <v>9.5399999999999991</v>
      </c>
      <c r="R32" s="198"/>
      <c r="S32" s="198"/>
      <c r="T32" s="198"/>
      <c r="U32" s="198"/>
    </row>
    <row r="33" spans="1:21" s="12" customFormat="1" x14ac:dyDescent="0.25">
      <c r="A33" s="214" t="s">
        <v>844</v>
      </c>
      <c r="B33" s="64">
        <v>9.81</v>
      </c>
      <c r="C33" s="64">
        <v>7.21</v>
      </c>
      <c r="D33" s="64">
        <v>11.63</v>
      </c>
      <c r="E33" s="64">
        <v>4.79</v>
      </c>
      <c r="F33" s="64">
        <v>4.5199999999999996</v>
      </c>
      <c r="G33" s="64">
        <v>19.010000000000002</v>
      </c>
      <c r="H33" s="64">
        <v>3.12</v>
      </c>
      <c r="I33" s="64">
        <v>1</v>
      </c>
      <c r="J33" s="64">
        <v>0.04</v>
      </c>
      <c r="K33" s="64">
        <v>275.74</v>
      </c>
      <c r="L33" s="64">
        <v>23.7</v>
      </c>
      <c r="M33" s="64">
        <v>98.48</v>
      </c>
      <c r="N33" s="64">
        <v>55.4</v>
      </c>
      <c r="O33" s="64">
        <v>0</v>
      </c>
      <c r="P33" s="64">
        <v>0.26</v>
      </c>
      <c r="Q33" s="64">
        <v>9.5399999999999991</v>
      </c>
      <c r="R33" s="198"/>
      <c r="S33" s="198"/>
      <c r="T33" s="198"/>
      <c r="U33" s="198"/>
    </row>
    <row r="34" spans="1:21" s="12" customFormat="1" x14ac:dyDescent="0.25">
      <c r="A34" s="214" t="s">
        <v>845</v>
      </c>
      <c r="B34" s="64">
        <v>18.53</v>
      </c>
      <c r="C34" s="64">
        <v>5.74</v>
      </c>
      <c r="D34" s="64">
        <v>17.84</v>
      </c>
      <c r="E34" s="64">
        <v>4.66</v>
      </c>
      <c r="F34" s="64">
        <v>4.16</v>
      </c>
      <c r="G34" s="64">
        <v>19.010000000000002</v>
      </c>
      <c r="H34" s="64">
        <v>3.12</v>
      </c>
      <c r="I34" s="64">
        <v>1</v>
      </c>
      <c r="J34" s="64">
        <v>0.02</v>
      </c>
      <c r="K34" s="64">
        <v>247.84</v>
      </c>
      <c r="L34" s="64">
        <v>23.93</v>
      </c>
      <c r="M34" s="64">
        <v>98.48</v>
      </c>
      <c r="N34" s="64">
        <v>70.2</v>
      </c>
      <c r="O34" s="64">
        <v>0</v>
      </c>
      <c r="P34" s="64">
        <v>0.33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4" t="s">
        <v>846</v>
      </c>
      <c r="B35" s="64">
        <v>12.91</v>
      </c>
      <c r="C35" s="64">
        <v>5.31</v>
      </c>
      <c r="D35" s="64">
        <v>13.13</v>
      </c>
      <c r="E35" s="64">
        <v>4.7300000000000004</v>
      </c>
      <c r="F35" s="64">
        <v>5.03</v>
      </c>
      <c r="G35" s="64">
        <v>19.84</v>
      </c>
      <c r="H35" s="64">
        <v>4.26</v>
      </c>
      <c r="I35" s="64">
        <v>1</v>
      </c>
      <c r="J35" s="64">
        <v>0.06</v>
      </c>
      <c r="K35" s="64">
        <v>287.45</v>
      </c>
      <c r="L35" s="64">
        <v>24.42</v>
      </c>
      <c r="M35" s="64">
        <v>98.46</v>
      </c>
      <c r="N35" s="64">
        <v>113.8</v>
      </c>
      <c r="O35" s="64">
        <v>0</v>
      </c>
      <c r="P35" s="64">
        <v>0.28000000000000003</v>
      </c>
      <c r="Q35" s="64">
        <v>9.5399999999999991</v>
      </c>
      <c r="R35" s="198"/>
      <c r="S35" s="198"/>
      <c r="T35" s="198"/>
      <c r="U35" s="198"/>
    </row>
    <row r="36" spans="1:21" s="12" customFormat="1" x14ac:dyDescent="0.25">
      <c r="A36" s="214" t="s">
        <v>847</v>
      </c>
      <c r="B36" s="64">
        <v>9.6300000000000008</v>
      </c>
      <c r="C36" s="64">
        <v>7.38</v>
      </c>
      <c r="D36" s="64">
        <v>11.57</v>
      </c>
      <c r="E36" s="64">
        <v>4.46</v>
      </c>
      <c r="F36" s="64">
        <v>5.04</v>
      </c>
      <c r="G36" s="64">
        <v>23.96</v>
      </c>
      <c r="H36" s="64">
        <v>8.73</v>
      </c>
      <c r="I36" s="64">
        <v>1.01</v>
      </c>
      <c r="J36" s="64">
        <v>0.04</v>
      </c>
      <c r="K36" s="64">
        <v>285.08999999999997</v>
      </c>
      <c r="L36" s="64">
        <v>25.15</v>
      </c>
      <c r="M36" s="64">
        <v>98.4</v>
      </c>
      <c r="N36" s="64">
        <v>159</v>
      </c>
      <c r="O36" s="64">
        <v>0</v>
      </c>
      <c r="P36" s="64">
        <v>0.27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4" t="s">
        <v>848</v>
      </c>
      <c r="B37" s="64">
        <v>10.43</v>
      </c>
      <c r="C37" s="64">
        <v>5.32</v>
      </c>
      <c r="D37" s="64">
        <v>11.14</v>
      </c>
      <c r="E37" s="64">
        <v>4.6900000000000004</v>
      </c>
      <c r="F37" s="64">
        <v>3.67</v>
      </c>
      <c r="G37" s="64">
        <v>23.96</v>
      </c>
      <c r="H37" s="64">
        <v>8.73</v>
      </c>
      <c r="I37" s="64">
        <v>1.02</v>
      </c>
      <c r="J37" s="64">
        <v>0.11</v>
      </c>
      <c r="K37" s="64">
        <v>294.33</v>
      </c>
      <c r="L37" s="64">
        <v>26.14</v>
      </c>
      <c r="M37" s="64">
        <v>98.35</v>
      </c>
      <c r="N37" s="64">
        <v>189.2</v>
      </c>
      <c r="O37" s="64">
        <v>0</v>
      </c>
      <c r="P37" s="64">
        <v>0.28000000000000003</v>
      </c>
      <c r="Q37" s="64">
        <v>9.56</v>
      </c>
      <c r="R37" s="198"/>
      <c r="S37" s="198"/>
      <c r="T37" s="198"/>
      <c r="U37" s="198"/>
    </row>
    <row r="38" spans="1:21" s="12" customFormat="1" x14ac:dyDescent="0.25">
      <c r="A38" s="214" t="s">
        <v>849</v>
      </c>
      <c r="B38" s="64">
        <v>13.3</v>
      </c>
      <c r="C38" s="64">
        <v>6.34</v>
      </c>
      <c r="D38" s="64">
        <v>13.92</v>
      </c>
      <c r="E38" s="64">
        <v>4.74</v>
      </c>
      <c r="F38" s="64">
        <v>5.78</v>
      </c>
      <c r="G38" s="64">
        <v>23.96</v>
      </c>
      <c r="H38" s="64">
        <v>8.73</v>
      </c>
      <c r="I38" s="64">
        <v>1.04</v>
      </c>
      <c r="J38" s="64">
        <v>0.12</v>
      </c>
      <c r="K38" s="64">
        <v>305.14999999999998</v>
      </c>
      <c r="L38" s="64">
        <v>26.86</v>
      </c>
      <c r="M38" s="64">
        <v>98.29</v>
      </c>
      <c r="N38" s="64">
        <v>181.2</v>
      </c>
      <c r="O38" s="64">
        <v>0</v>
      </c>
      <c r="P38" s="64">
        <v>0.34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4" t="s">
        <v>850</v>
      </c>
      <c r="B39" s="64">
        <v>11.86</v>
      </c>
      <c r="C39" s="64">
        <v>5.81</v>
      </c>
      <c r="D39" s="64">
        <v>12.55</v>
      </c>
      <c r="E39" s="64">
        <v>4.6399999999999997</v>
      </c>
      <c r="F39" s="64">
        <v>4.7699999999999996</v>
      </c>
      <c r="G39" s="64">
        <v>25.33</v>
      </c>
      <c r="H39" s="64">
        <v>8.1999999999999993</v>
      </c>
      <c r="I39" s="64">
        <v>1.03</v>
      </c>
      <c r="J39" s="64">
        <v>0.05</v>
      </c>
      <c r="K39" s="64">
        <v>253.47</v>
      </c>
      <c r="L39" s="64">
        <v>25.97</v>
      </c>
      <c r="M39" s="64">
        <v>98.33</v>
      </c>
      <c r="N39" s="64">
        <v>301.60000000000002</v>
      </c>
      <c r="O39" s="64">
        <v>0</v>
      </c>
      <c r="P39" s="64">
        <v>0.33</v>
      </c>
      <c r="Q39" s="64">
        <v>9.58</v>
      </c>
      <c r="R39" s="198"/>
      <c r="S39" s="198"/>
      <c r="T39" s="198"/>
      <c r="U39" s="198"/>
    </row>
    <row r="40" spans="1:21" s="12" customFormat="1" x14ac:dyDescent="0.25">
      <c r="A40" s="214" t="s">
        <v>851</v>
      </c>
      <c r="B40" s="64">
        <v>11.14</v>
      </c>
      <c r="C40" s="64">
        <v>8.5399999999999991</v>
      </c>
      <c r="D40" s="64">
        <v>13.4</v>
      </c>
      <c r="E40" s="64">
        <v>3.79</v>
      </c>
      <c r="F40" s="64">
        <v>6.37</v>
      </c>
      <c r="G40" s="64">
        <v>32.19</v>
      </c>
      <c r="H40" s="64">
        <v>6.11</v>
      </c>
      <c r="I40" s="64">
        <v>1.04</v>
      </c>
      <c r="J40" s="64">
        <v>7.0000000000000007E-2</v>
      </c>
      <c r="K40" s="64">
        <v>257.92</v>
      </c>
      <c r="L40" s="64">
        <v>26.81</v>
      </c>
      <c r="M40" s="64">
        <v>98.29</v>
      </c>
      <c r="N40" s="64">
        <v>282.39999999999998</v>
      </c>
      <c r="O40" s="64">
        <v>0</v>
      </c>
      <c r="P40" s="64">
        <v>0.4</v>
      </c>
      <c r="Q40" s="64">
        <v>9.59</v>
      </c>
      <c r="R40" s="198"/>
      <c r="S40" s="198"/>
      <c r="T40" s="198"/>
      <c r="U40" s="198"/>
    </row>
    <row r="41" spans="1:21" s="12" customFormat="1" x14ac:dyDescent="0.25">
      <c r="A41" s="214" t="s">
        <v>852</v>
      </c>
      <c r="B41" s="64">
        <v>10.81</v>
      </c>
      <c r="C41" s="64">
        <v>8.6300000000000008</v>
      </c>
      <c r="D41" s="64">
        <v>13.18</v>
      </c>
      <c r="E41" s="64">
        <v>4.3499999999999996</v>
      </c>
      <c r="F41" s="64">
        <v>8.64</v>
      </c>
      <c r="G41" s="64">
        <v>32.19</v>
      </c>
      <c r="H41" s="64">
        <v>6.11</v>
      </c>
      <c r="I41" s="64">
        <v>1.07</v>
      </c>
      <c r="J41" s="64">
        <v>0.2</v>
      </c>
      <c r="K41" s="64">
        <v>330.6</v>
      </c>
      <c r="L41" s="64">
        <v>28.87</v>
      </c>
      <c r="M41" s="64">
        <v>92.43</v>
      </c>
      <c r="N41" s="64">
        <v>501.7</v>
      </c>
      <c r="O41" s="64">
        <v>0</v>
      </c>
      <c r="P41" s="64">
        <v>0.48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4" t="s">
        <v>853</v>
      </c>
      <c r="B42" s="64">
        <v>10.53</v>
      </c>
      <c r="C42" s="64">
        <v>8.89</v>
      </c>
      <c r="D42" s="64">
        <v>13.09</v>
      </c>
      <c r="E42" s="64">
        <v>4.5599999999999996</v>
      </c>
      <c r="F42" s="64">
        <v>8.52</v>
      </c>
      <c r="G42" s="64">
        <v>32.19</v>
      </c>
      <c r="H42" s="64">
        <v>6.11</v>
      </c>
      <c r="I42" s="64">
        <v>1.1200000000000001</v>
      </c>
      <c r="J42" s="64">
        <v>0.11</v>
      </c>
      <c r="K42" s="64">
        <v>281.3</v>
      </c>
      <c r="L42" s="64">
        <v>30.18</v>
      </c>
      <c r="M42" s="64">
        <v>84.45</v>
      </c>
      <c r="N42" s="64">
        <v>414.8</v>
      </c>
      <c r="O42" s="64">
        <v>0</v>
      </c>
      <c r="P42" s="64">
        <v>0.62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4" t="s">
        <v>854</v>
      </c>
      <c r="B43" s="64">
        <v>9.91</v>
      </c>
      <c r="C43" s="64">
        <v>8.83</v>
      </c>
      <c r="D43" s="64">
        <v>12.56</v>
      </c>
      <c r="E43" s="64">
        <v>4.3499999999999996</v>
      </c>
      <c r="F43" s="64">
        <v>7.79</v>
      </c>
      <c r="G43" s="64">
        <v>33.67</v>
      </c>
      <c r="H43" s="64">
        <v>5.74</v>
      </c>
      <c r="I43" s="64">
        <v>1.22</v>
      </c>
      <c r="J43" s="64">
        <v>0.15</v>
      </c>
      <c r="K43" s="64">
        <v>172.99</v>
      </c>
      <c r="L43" s="64">
        <v>29.79</v>
      </c>
      <c r="M43" s="64">
        <v>86.58</v>
      </c>
      <c r="N43" s="64">
        <v>555.29999999999995</v>
      </c>
      <c r="O43" s="64">
        <v>0</v>
      </c>
      <c r="P43" s="64">
        <v>0.52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4" t="s">
        <v>855</v>
      </c>
      <c r="B44" s="64">
        <v>13.3</v>
      </c>
      <c r="C44" s="64">
        <v>9.59</v>
      </c>
      <c r="D44" s="64">
        <v>15.67</v>
      </c>
      <c r="E44" s="64">
        <v>4.51</v>
      </c>
      <c r="F44" s="64">
        <v>8.52</v>
      </c>
      <c r="G44" s="64">
        <v>41.05</v>
      </c>
      <c r="H44" s="64">
        <v>4.28</v>
      </c>
      <c r="I44" s="64">
        <v>1.35</v>
      </c>
      <c r="J44" s="64">
        <v>0.09</v>
      </c>
      <c r="K44" s="64">
        <v>308.95999999999998</v>
      </c>
      <c r="L44" s="64">
        <v>30.16</v>
      </c>
      <c r="M44" s="64">
        <v>83.29</v>
      </c>
      <c r="N44" s="64">
        <v>564.70000000000005</v>
      </c>
      <c r="O44" s="64">
        <v>0</v>
      </c>
      <c r="P44" s="64">
        <v>0.46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4" t="s">
        <v>856</v>
      </c>
      <c r="B45" s="64">
        <v>11.49</v>
      </c>
      <c r="C45" s="64">
        <v>7.73</v>
      </c>
      <c r="D45" s="64">
        <v>13.26</v>
      </c>
      <c r="E45" s="64">
        <v>4.53</v>
      </c>
      <c r="F45" s="64">
        <v>8.5299999999999994</v>
      </c>
      <c r="G45" s="64">
        <v>41.05</v>
      </c>
      <c r="H45" s="64">
        <v>4.28</v>
      </c>
      <c r="I45" s="64">
        <v>1.47</v>
      </c>
      <c r="J45" s="64">
        <v>0.14000000000000001</v>
      </c>
      <c r="K45" s="64">
        <v>302.85000000000002</v>
      </c>
      <c r="L45" s="64">
        <v>30.93</v>
      </c>
      <c r="M45" s="64">
        <v>78.97</v>
      </c>
      <c r="N45" s="64">
        <v>587.29999999999995</v>
      </c>
      <c r="O45" s="64">
        <v>0</v>
      </c>
      <c r="P45" s="64">
        <v>0.43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857</v>
      </c>
      <c r="B46" s="64">
        <v>11.74</v>
      </c>
      <c r="C46" s="64">
        <v>9.76</v>
      </c>
      <c r="D46" s="64">
        <v>14.51</v>
      </c>
      <c r="E46" s="64">
        <v>4.62</v>
      </c>
      <c r="F46" s="64">
        <v>8.18</v>
      </c>
      <c r="G46" s="64">
        <v>41.05</v>
      </c>
      <c r="H46" s="64">
        <v>4.28</v>
      </c>
      <c r="I46" s="64">
        <v>1.54</v>
      </c>
      <c r="J46" s="64">
        <v>0.04</v>
      </c>
      <c r="K46" s="64">
        <v>305.51</v>
      </c>
      <c r="L46" s="64">
        <v>30.83</v>
      </c>
      <c r="M46" s="64">
        <v>79.41</v>
      </c>
      <c r="N46" s="64">
        <v>587.20000000000005</v>
      </c>
      <c r="O46" s="64">
        <v>0</v>
      </c>
      <c r="P46" s="64">
        <v>0.46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4" t="s">
        <v>858</v>
      </c>
      <c r="B47" s="64">
        <v>10.74</v>
      </c>
      <c r="C47" s="64">
        <v>8.67</v>
      </c>
      <c r="D47" s="64">
        <v>13.14</v>
      </c>
      <c r="E47" s="64">
        <v>4.6500000000000004</v>
      </c>
      <c r="F47" s="64">
        <v>8.73</v>
      </c>
      <c r="G47" s="64">
        <v>41.24</v>
      </c>
      <c r="H47" s="64">
        <v>4.09</v>
      </c>
      <c r="I47" s="64">
        <v>1.57</v>
      </c>
      <c r="J47" s="64">
        <v>0.27</v>
      </c>
      <c r="K47" s="64">
        <v>338.59</v>
      </c>
      <c r="L47" s="64">
        <v>32</v>
      </c>
      <c r="M47" s="64">
        <v>72.61</v>
      </c>
      <c r="N47" s="64">
        <v>747.9</v>
      </c>
      <c r="O47" s="64">
        <v>0</v>
      </c>
      <c r="P47" s="64">
        <v>0.5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4" t="s">
        <v>859</v>
      </c>
      <c r="B48" s="64">
        <v>10.11</v>
      </c>
      <c r="C48" s="64">
        <v>7.64</v>
      </c>
      <c r="D48" s="64">
        <v>12.1</v>
      </c>
      <c r="E48" s="64">
        <v>4.6900000000000004</v>
      </c>
      <c r="F48" s="64">
        <v>8.3800000000000008</v>
      </c>
      <c r="G48" s="64">
        <v>42.17</v>
      </c>
      <c r="H48" s="64">
        <v>2.99</v>
      </c>
      <c r="I48" s="64">
        <v>1.59</v>
      </c>
      <c r="J48" s="64">
        <v>0.23</v>
      </c>
      <c r="K48" s="64">
        <v>149.46</v>
      </c>
      <c r="L48" s="64">
        <v>32.409999999999997</v>
      </c>
      <c r="M48" s="64">
        <v>70.19</v>
      </c>
      <c r="N48" s="64">
        <v>781.4</v>
      </c>
      <c r="O48" s="64">
        <v>0</v>
      </c>
      <c r="P48" s="64">
        <v>0.47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4" t="s">
        <v>860</v>
      </c>
      <c r="B49" s="64">
        <v>9.11</v>
      </c>
      <c r="C49" s="64">
        <v>8.7899999999999991</v>
      </c>
      <c r="D49" s="64">
        <v>11.9</v>
      </c>
      <c r="E49" s="64">
        <v>4.6500000000000004</v>
      </c>
      <c r="F49" s="64">
        <v>11.15</v>
      </c>
      <c r="G49" s="64">
        <v>42.17</v>
      </c>
      <c r="H49" s="64">
        <v>2.99</v>
      </c>
      <c r="I49" s="64">
        <v>1.61</v>
      </c>
      <c r="J49" s="64">
        <v>0.18</v>
      </c>
      <c r="K49" s="64">
        <v>154.86000000000001</v>
      </c>
      <c r="L49" s="64">
        <v>31.46</v>
      </c>
      <c r="M49" s="64">
        <v>73.72</v>
      </c>
      <c r="N49" s="64">
        <v>772.6</v>
      </c>
      <c r="O49" s="64">
        <v>0</v>
      </c>
      <c r="P49" s="64">
        <v>0.47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4" t="s">
        <v>861</v>
      </c>
      <c r="B50" s="64">
        <v>8.07</v>
      </c>
      <c r="C50" s="64">
        <v>8.67</v>
      </c>
      <c r="D50" s="64">
        <v>11</v>
      </c>
      <c r="E50" s="64">
        <v>4.5199999999999996</v>
      </c>
      <c r="F50" s="64">
        <v>9.36</v>
      </c>
      <c r="G50" s="64">
        <v>42.17</v>
      </c>
      <c r="H50" s="64">
        <v>2.99</v>
      </c>
      <c r="I50" s="64">
        <v>1.62</v>
      </c>
      <c r="J50" s="64">
        <v>0.2</v>
      </c>
      <c r="K50" s="64">
        <v>140.65</v>
      </c>
      <c r="L50" s="64">
        <v>30.72</v>
      </c>
      <c r="M50" s="64">
        <v>77.34</v>
      </c>
      <c r="N50" s="64">
        <v>437.9</v>
      </c>
      <c r="O50" s="64">
        <v>0</v>
      </c>
      <c r="P50" s="64">
        <v>0.48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14" t="s">
        <v>862</v>
      </c>
      <c r="B51" s="64">
        <v>8.5399999999999991</v>
      </c>
      <c r="C51" s="64">
        <v>9.7100000000000009</v>
      </c>
      <c r="D51" s="64">
        <v>11.92</v>
      </c>
      <c r="E51" s="64">
        <v>4.57</v>
      </c>
      <c r="F51" s="64">
        <v>9.2200000000000006</v>
      </c>
      <c r="G51" s="64">
        <v>40.85</v>
      </c>
      <c r="H51" s="64">
        <v>4.5199999999999996</v>
      </c>
      <c r="I51" s="64">
        <v>1.64</v>
      </c>
      <c r="J51" s="64">
        <v>0.19</v>
      </c>
      <c r="K51" s="64">
        <v>304.66000000000003</v>
      </c>
      <c r="L51" s="64">
        <v>30.73</v>
      </c>
      <c r="M51" s="64">
        <v>78.2</v>
      </c>
      <c r="N51" s="64">
        <v>738.2</v>
      </c>
      <c r="O51" s="64">
        <v>0</v>
      </c>
      <c r="P51" s="64">
        <v>0.5</v>
      </c>
      <c r="Q51" s="64">
        <v>9.5500000000000007</v>
      </c>
      <c r="R51" s="198"/>
      <c r="S51" s="198"/>
      <c r="T51" s="198"/>
      <c r="U51" s="198"/>
    </row>
    <row r="52" spans="1:21" s="12" customFormat="1" x14ac:dyDescent="0.25">
      <c r="A52" s="214" t="s">
        <v>863</v>
      </c>
      <c r="B52" s="64">
        <v>9.98</v>
      </c>
      <c r="C52" s="64">
        <v>13.91</v>
      </c>
      <c r="D52" s="64">
        <v>15.27</v>
      </c>
      <c r="E52" s="64">
        <v>4.5999999999999996</v>
      </c>
      <c r="F52" s="64">
        <v>13.05</v>
      </c>
      <c r="G52" s="64">
        <v>34.28</v>
      </c>
      <c r="H52" s="64">
        <v>10.5</v>
      </c>
      <c r="I52" s="64">
        <v>1.67</v>
      </c>
      <c r="J52" s="64">
        <v>0.2</v>
      </c>
      <c r="K52" s="64">
        <v>318.79000000000002</v>
      </c>
      <c r="L52" s="64">
        <v>32.119999999999997</v>
      </c>
      <c r="M52" s="64">
        <v>71.900000000000006</v>
      </c>
      <c r="N52" s="64">
        <v>397.7</v>
      </c>
      <c r="O52" s="64">
        <v>0</v>
      </c>
      <c r="P52" s="64">
        <v>0.62</v>
      </c>
      <c r="Q52" s="64">
        <v>9.5299999999999994</v>
      </c>
      <c r="R52" s="198"/>
      <c r="S52" s="198"/>
      <c r="T52" s="198"/>
      <c r="U52" s="198"/>
    </row>
    <row r="53" spans="1:21" s="12" customFormat="1" x14ac:dyDescent="0.25">
      <c r="A53" s="214" t="s">
        <v>864</v>
      </c>
      <c r="B53" s="64">
        <v>9.31</v>
      </c>
      <c r="C53" s="64">
        <v>9.9</v>
      </c>
      <c r="D53" s="64">
        <v>12.64</v>
      </c>
      <c r="E53" s="64">
        <v>4.6500000000000004</v>
      </c>
      <c r="F53" s="64">
        <v>6.13</v>
      </c>
      <c r="G53" s="64">
        <v>34.28</v>
      </c>
      <c r="H53" s="64">
        <v>10.5</v>
      </c>
      <c r="I53" s="64">
        <v>1.72</v>
      </c>
      <c r="J53" s="64">
        <v>0.5</v>
      </c>
      <c r="K53" s="64">
        <v>334.91</v>
      </c>
      <c r="L53" s="64">
        <v>31.91</v>
      </c>
      <c r="M53" s="64">
        <v>73.959999999999994</v>
      </c>
      <c r="N53" s="64">
        <v>429.3</v>
      </c>
      <c r="O53" s="64">
        <v>0</v>
      </c>
      <c r="P53" s="64">
        <v>0.54</v>
      </c>
      <c r="Q53" s="64">
        <v>9.5299999999999994</v>
      </c>
      <c r="R53" s="198"/>
      <c r="S53" s="198"/>
      <c r="T53" s="198"/>
      <c r="U53" s="198"/>
    </row>
    <row r="54" spans="1:21" s="12" customFormat="1" x14ac:dyDescent="0.25">
      <c r="A54" s="214" t="s">
        <v>865</v>
      </c>
      <c r="B54" s="64">
        <v>9.4499999999999993</v>
      </c>
      <c r="C54" s="64">
        <v>9.56</v>
      </c>
      <c r="D54" s="64">
        <v>12.57</v>
      </c>
      <c r="E54" s="64">
        <v>4.47</v>
      </c>
      <c r="F54" s="64">
        <v>5.56</v>
      </c>
      <c r="G54" s="64">
        <v>34.28</v>
      </c>
      <c r="H54" s="64">
        <v>10.5</v>
      </c>
      <c r="I54" s="64">
        <v>1.8</v>
      </c>
      <c r="J54" s="64">
        <v>0.3</v>
      </c>
      <c r="K54" s="64">
        <v>312.73</v>
      </c>
      <c r="L54" s="64">
        <v>30.8</v>
      </c>
      <c r="M54" s="64">
        <v>80.010000000000005</v>
      </c>
      <c r="N54" s="64">
        <v>228.2</v>
      </c>
      <c r="O54" s="64">
        <v>0</v>
      </c>
      <c r="P54" s="64">
        <v>0.54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14" t="s">
        <v>866</v>
      </c>
      <c r="B55" s="64">
        <v>9.73</v>
      </c>
      <c r="C55" s="64">
        <v>10.41</v>
      </c>
      <c r="D55" s="64">
        <v>13.24</v>
      </c>
      <c r="E55" s="64">
        <v>4.22</v>
      </c>
      <c r="F55" s="64">
        <v>10.25</v>
      </c>
      <c r="G55" s="64">
        <v>36.4</v>
      </c>
      <c r="H55" s="64">
        <v>10.130000000000001</v>
      </c>
      <c r="I55" s="64">
        <v>1.88</v>
      </c>
      <c r="J55" s="64">
        <v>0.57999999999999996</v>
      </c>
      <c r="K55" s="64">
        <v>326.97000000000003</v>
      </c>
      <c r="L55" s="64">
        <v>31.54</v>
      </c>
      <c r="M55" s="64">
        <v>75.569999999999993</v>
      </c>
      <c r="N55" s="64">
        <v>651.20000000000005</v>
      </c>
      <c r="O55" s="64">
        <v>0</v>
      </c>
      <c r="P55" s="64">
        <v>0.52</v>
      </c>
      <c r="Q55" s="64">
        <v>9.52</v>
      </c>
      <c r="R55" s="198"/>
      <c r="S55" s="198"/>
      <c r="T55" s="198"/>
      <c r="U55" s="198"/>
    </row>
    <row r="56" spans="1:21" s="12" customFormat="1" x14ac:dyDescent="0.25">
      <c r="A56" s="214" t="s">
        <v>867</v>
      </c>
      <c r="B56" s="64">
        <v>8.69</v>
      </c>
      <c r="C56" s="64">
        <v>10.35</v>
      </c>
      <c r="D56" s="64">
        <v>12.38</v>
      </c>
      <c r="E56" s="64">
        <v>4.26</v>
      </c>
      <c r="F56" s="64">
        <v>5.13</v>
      </c>
      <c r="G56" s="64">
        <v>46.96</v>
      </c>
      <c r="H56" s="64">
        <v>8.69</v>
      </c>
      <c r="I56" s="64">
        <v>1.96</v>
      </c>
      <c r="J56" s="64">
        <v>0.47</v>
      </c>
      <c r="K56" s="64">
        <v>326.39</v>
      </c>
      <c r="L56" s="64">
        <v>31.45</v>
      </c>
      <c r="M56" s="64">
        <v>75.28</v>
      </c>
      <c r="N56" s="64">
        <v>514.29999999999995</v>
      </c>
      <c r="O56" s="64">
        <v>0</v>
      </c>
      <c r="P56" s="64">
        <v>0.54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14" t="s">
        <v>868</v>
      </c>
      <c r="B57" s="64">
        <v>9.94</v>
      </c>
      <c r="C57" s="64">
        <v>10.23</v>
      </c>
      <c r="D57" s="64">
        <v>13.32</v>
      </c>
      <c r="E57" s="64">
        <v>4.54</v>
      </c>
      <c r="F57" s="64">
        <v>7.71</v>
      </c>
      <c r="G57" s="64">
        <v>46.96</v>
      </c>
      <c r="H57" s="64">
        <v>8.69</v>
      </c>
      <c r="I57" s="64">
        <v>2.0299999999999998</v>
      </c>
      <c r="J57" s="64">
        <v>0.64</v>
      </c>
      <c r="K57" s="64">
        <v>327.61</v>
      </c>
      <c r="L57" s="64">
        <v>31.65</v>
      </c>
      <c r="M57" s="64">
        <v>72.25</v>
      </c>
      <c r="N57" s="64">
        <v>899.7</v>
      </c>
      <c r="O57" s="64">
        <v>0</v>
      </c>
      <c r="P57" s="64">
        <v>0.51</v>
      </c>
      <c r="Q57" s="64">
        <v>9.5</v>
      </c>
      <c r="R57" s="198"/>
      <c r="S57" s="198"/>
      <c r="T57" s="198"/>
      <c r="U57" s="198"/>
    </row>
    <row r="58" spans="1:21" s="12" customFormat="1" x14ac:dyDescent="0.25">
      <c r="A58" s="214" t="s">
        <v>869</v>
      </c>
      <c r="B58" s="64">
        <v>8.02</v>
      </c>
      <c r="C58" s="64">
        <v>9.58</v>
      </c>
      <c r="D58" s="64">
        <v>11.44</v>
      </c>
      <c r="E58" s="64">
        <v>4.6500000000000004</v>
      </c>
      <c r="F58" s="64">
        <v>11.27</v>
      </c>
      <c r="G58" s="64">
        <v>46.96</v>
      </c>
      <c r="H58" s="64">
        <v>8.69</v>
      </c>
      <c r="I58" s="64">
        <v>2.0699999999999998</v>
      </c>
      <c r="J58" s="64">
        <v>0.38</v>
      </c>
      <c r="K58" s="64">
        <v>328.18</v>
      </c>
      <c r="L58" s="64">
        <v>32.54</v>
      </c>
      <c r="M58" s="64">
        <v>67.290000000000006</v>
      </c>
      <c r="N58" s="64">
        <v>609.20000000000005</v>
      </c>
      <c r="O58" s="64">
        <v>0</v>
      </c>
      <c r="P58" s="64">
        <v>0.5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4" t="s">
        <v>870</v>
      </c>
      <c r="B59" s="64">
        <v>7.51</v>
      </c>
      <c r="C59" s="64">
        <v>10.06</v>
      </c>
      <c r="D59" s="64">
        <v>11.28</v>
      </c>
      <c r="E59" s="64">
        <v>4.67</v>
      </c>
      <c r="F59" s="64">
        <v>7.05</v>
      </c>
      <c r="G59" s="64">
        <v>47.57</v>
      </c>
      <c r="H59" s="64">
        <v>8.16</v>
      </c>
      <c r="I59" s="64">
        <v>2.08</v>
      </c>
      <c r="J59" s="64">
        <v>0.21</v>
      </c>
      <c r="K59" s="64">
        <v>291.91000000000003</v>
      </c>
      <c r="L59" s="64">
        <v>31.95</v>
      </c>
      <c r="M59" s="64">
        <v>65.040000000000006</v>
      </c>
      <c r="N59" s="64">
        <v>605</v>
      </c>
      <c r="O59" s="64">
        <v>0</v>
      </c>
      <c r="P59" s="64">
        <v>0.5</v>
      </c>
      <c r="Q59" s="64">
        <v>9.5</v>
      </c>
      <c r="R59" s="198"/>
      <c r="S59" s="198"/>
      <c r="T59" s="198"/>
      <c r="U59" s="198"/>
    </row>
    <row r="60" spans="1:21" s="12" customFormat="1" x14ac:dyDescent="0.25">
      <c r="A60" s="214" t="s">
        <v>871</v>
      </c>
      <c r="B60" s="64">
        <v>6.79</v>
      </c>
      <c r="C60" s="64">
        <v>11.09</v>
      </c>
      <c r="D60" s="64">
        <v>11.24</v>
      </c>
      <c r="E60" s="64">
        <v>4.3099999999999996</v>
      </c>
      <c r="F60" s="64">
        <v>5.4</v>
      </c>
      <c r="G60" s="64">
        <v>50.6</v>
      </c>
      <c r="H60" s="64">
        <v>6.09</v>
      </c>
      <c r="I60" s="64">
        <v>2.0499999999999998</v>
      </c>
      <c r="J60" s="64">
        <v>0.4</v>
      </c>
      <c r="K60" s="64">
        <v>317.17</v>
      </c>
      <c r="L60" s="64">
        <v>32.43</v>
      </c>
      <c r="M60" s="64">
        <v>64.66</v>
      </c>
      <c r="N60" s="64">
        <v>456.8</v>
      </c>
      <c r="O60" s="64">
        <v>0</v>
      </c>
      <c r="P60" s="64">
        <v>0.47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4" t="s">
        <v>872</v>
      </c>
      <c r="B61" s="64">
        <v>6.63</v>
      </c>
      <c r="C61" s="64">
        <v>13.24</v>
      </c>
      <c r="D61" s="64">
        <v>12.24</v>
      </c>
      <c r="E61" s="64">
        <v>4.72</v>
      </c>
      <c r="F61" s="64">
        <v>7.06</v>
      </c>
      <c r="G61" s="64">
        <v>50.6</v>
      </c>
      <c r="H61" s="64">
        <v>6.09</v>
      </c>
      <c r="I61" s="64">
        <v>2.02</v>
      </c>
      <c r="J61" s="64">
        <v>0.45</v>
      </c>
      <c r="K61" s="64">
        <v>315.77999999999997</v>
      </c>
      <c r="L61" s="64">
        <v>33.19</v>
      </c>
      <c r="M61" s="64">
        <v>61.82</v>
      </c>
      <c r="N61" s="64">
        <v>452.5</v>
      </c>
      <c r="O61" s="64">
        <v>0</v>
      </c>
      <c r="P61" s="64">
        <v>0.44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14" t="s">
        <v>873</v>
      </c>
      <c r="B62" s="64">
        <v>6.69</v>
      </c>
      <c r="C62" s="64">
        <v>13.56</v>
      </c>
      <c r="D62" s="64">
        <v>12.45</v>
      </c>
      <c r="E62" s="64">
        <v>4.54</v>
      </c>
      <c r="F62" s="64">
        <v>11.39</v>
      </c>
      <c r="G62" s="64">
        <v>50.6</v>
      </c>
      <c r="H62" s="64">
        <v>6.09</v>
      </c>
      <c r="I62" s="64">
        <v>1.98</v>
      </c>
      <c r="J62" s="64">
        <v>0.16</v>
      </c>
      <c r="K62" s="64">
        <v>288.63</v>
      </c>
      <c r="L62" s="64">
        <v>31.95</v>
      </c>
      <c r="M62" s="64">
        <v>67.180000000000007</v>
      </c>
      <c r="N62" s="64">
        <v>292.5</v>
      </c>
      <c r="O62" s="64">
        <v>0</v>
      </c>
      <c r="P62" s="64">
        <v>0.4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14" t="s">
        <v>874</v>
      </c>
      <c r="B63" s="64">
        <v>6.67</v>
      </c>
      <c r="C63" s="64">
        <v>12.96</v>
      </c>
      <c r="D63" s="64">
        <v>12.12</v>
      </c>
      <c r="E63" s="64">
        <v>4.47</v>
      </c>
      <c r="F63" s="64">
        <v>12.24</v>
      </c>
      <c r="G63" s="64">
        <v>50.43</v>
      </c>
      <c r="H63" s="64">
        <v>5.81</v>
      </c>
      <c r="I63" s="64">
        <v>1.93</v>
      </c>
      <c r="J63" s="64">
        <v>0.31</v>
      </c>
      <c r="K63" s="64">
        <v>324.77999999999997</v>
      </c>
      <c r="L63" s="64">
        <v>31.87</v>
      </c>
      <c r="M63" s="64">
        <v>65.03</v>
      </c>
      <c r="N63" s="64">
        <v>266.60000000000002</v>
      </c>
      <c r="O63" s="64">
        <v>0</v>
      </c>
      <c r="P63" s="64">
        <v>0.38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4" t="s">
        <v>875</v>
      </c>
      <c r="B64" s="64">
        <v>6.47</v>
      </c>
      <c r="C64" s="64">
        <v>11.71</v>
      </c>
      <c r="D64" s="64">
        <v>11.31</v>
      </c>
      <c r="E64" s="64">
        <v>4.3499999999999996</v>
      </c>
      <c r="F64" s="64">
        <v>11.61</v>
      </c>
      <c r="G64" s="64">
        <v>49.62</v>
      </c>
      <c r="H64" s="64">
        <v>4.26</v>
      </c>
      <c r="I64" s="64">
        <v>1.88</v>
      </c>
      <c r="J64" s="64">
        <v>0.34</v>
      </c>
      <c r="K64" s="64">
        <v>322.19</v>
      </c>
      <c r="L64" s="64">
        <v>31.03</v>
      </c>
      <c r="M64" s="64">
        <v>68.83</v>
      </c>
      <c r="N64" s="64">
        <v>234.2</v>
      </c>
      <c r="O64" s="64">
        <v>0</v>
      </c>
      <c r="P64" s="64">
        <v>0.4</v>
      </c>
      <c r="Q64" s="64">
        <v>9.4700000000000006</v>
      </c>
      <c r="R64" s="198"/>
      <c r="S64" s="198"/>
      <c r="T64" s="198"/>
      <c r="U64" s="198"/>
    </row>
    <row r="65" spans="1:21" s="12" customFormat="1" x14ac:dyDescent="0.25">
      <c r="A65" s="214" t="s">
        <v>876</v>
      </c>
      <c r="B65" s="64">
        <v>5.99</v>
      </c>
      <c r="C65" s="64">
        <v>11.18</v>
      </c>
      <c r="D65" s="64">
        <v>10.65</v>
      </c>
      <c r="E65" s="64">
        <v>4.3600000000000003</v>
      </c>
      <c r="F65" s="64">
        <v>7.86</v>
      </c>
      <c r="G65" s="64">
        <v>49.62</v>
      </c>
      <c r="H65" s="64">
        <v>4.26</v>
      </c>
      <c r="I65" s="64">
        <v>1.85</v>
      </c>
      <c r="J65" s="64">
        <v>0.13</v>
      </c>
      <c r="K65" s="64">
        <v>284.39999999999998</v>
      </c>
      <c r="L65" s="64">
        <v>31.01</v>
      </c>
      <c r="M65" s="64">
        <v>69.69</v>
      </c>
      <c r="N65" s="64">
        <v>259.5</v>
      </c>
      <c r="O65" s="64">
        <v>0</v>
      </c>
      <c r="P65" s="64">
        <v>0.4</v>
      </c>
      <c r="Q65" s="64">
        <v>9.4700000000000006</v>
      </c>
      <c r="R65" s="198"/>
      <c r="S65" s="198"/>
      <c r="T65" s="198"/>
      <c r="U65" s="198"/>
    </row>
    <row r="66" spans="1:21" s="12" customFormat="1" x14ac:dyDescent="0.25">
      <c r="A66" s="214" t="s">
        <v>877</v>
      </c>
      <c r="B66" s="64">
        <v>7.16</v>
      </c>
      <c r="C66" s="64">
        <v>10.86</v>
      </c>
      <c r="D66" s="64">
        <v>11.42</v>
      </c>
      <c r="E66" s="64">
        <v>4.5999999999999996</v>
      </c>
      <c r="F66" s="64">
        <v>7.2</v>
      </c>
      <c r="G66" s="64">
        <v>49.62</v>
      </c>
      <c r="H66" s="64">
        <v>4.26</v>
      </c>
      <c r="I66" s="64">
        <v>1.82</v>
      </c>
      <c r="J66" s="64">
        <v>0.15</v>
      </c>
      <c r="K66" s="64">
        <v>288.69</v>
      </c>
      <c r="L66" s="64">
        <v>30.96</v>
      </c>
      <c r="M66" s="64">
        <v>69.78</v>
      </c>
      <c r="N66" s="64">
        <v>232.5</v>
      </c>
      <c r="O66" s="64">
        <v>0</v>
      </c>
      <c r="P66" s="64">
        <v>0.39</v>
      </c>
      <c r="Q66" s="64">
        <v>9.4499999999999993</v>
      </c>
      <c r="R66" s="198"/>
      <c r="S66" s="198"/>
      <c r="T66" s="198"/>
      <c r="U66" s="198"/>
    </row>
    <row r="67" spans="1:21" s="12" customFormat="1" x14ac:dyDescent="0.25">
      <c r="A67" s="214" t="s">
        <v>878</v>
      </c>
      <c r="B67" s="64">
        <v>5.24</v>
      </c>
      <c r="C67" s="64">
        <v>9.0500000000000007</v>
      </c>
      <c r="D67" s="64">
        <v>8.93</v>
      </c>
      <c r="E67" s="64">
        <v>4.5199999999999996</v>
      </c>
      <c r="F67" s="64">
        <v>9.1999999999999993</v>
      </c>
      <c r="G67" s="64">
        <v>48.26</v>
      </c>
      <c r="H67" s="64">
        <v>5.82</v>
      </c>
      <c r="I67" s="64">
        <v>1.74</v>
      </c>
      <c r="J67" s="64">
        <v>0.15</v>
      </c>
      <c r="K67" s="64">
        <v>266.75</v>
      </c>
      <c r="L67" s="64">
        <v>30.14</v>
      </c>
      <c r="M67" s="64">
        <v>73.13</v>
      </c>
      <c r="N67" s="64">
        <v>221.5</v>
      </c>
      <c r="O67" s="64">
        <v>0</v>
      </c>
      <c r="P67" s="64">
        <v>0.36</v>
      </c>
      <c r="Q67" s="64">
        <v>9.4499999999999993</v>
      </c>
      <c r="R67" s="198"/>
      <c r="S67" s="198"/>
      <c r="T67" s="198"/>
      <c r="U67" s="198"/>
    </row>
    <row r="68" spans="1:21" s="12" customFormat="1" x14ac:dyDescent="0.25">
      <c r="A68" s="214" t="s">
        <v>879</v>
      </c>
      <c r="B68" s="64">
        <v>5.57</v>
      </c>
      <c r="C68" s="64">
        <v>9.41</v>
      </c>
      <c r="D68" s="64">
        <v>9.3800000000000008</v>
      </c>
      <c r="E68" s="64">
        <v>4.1900000000000004</v>
      </c>
      <c r="F68" s="64">
        <v>7.35</v>
      </c>
      <c r="G68" s="64">
        <v>41.48</v>
      </c>
      <c r="H68" s="64">
        <v>11.94</v>
      </c>
      <c r="I68" s="64">
        <v>1.66</v>
      </c>
      <c r="J68" s="64">
        <v>0.2</v>
      </c>
      <c r="K68" s="64">
        <v>316.82</v>
      </c>
      <c r="L68" s="64">
        <v>30.33</v>
      </c>
      <c r="M68" s="64">
        <v>72.23</v>
      </c>
      <c r="N68" s="64">
        <v>241.8</v>
      </c>
      <c r="O68" s="64">
        <v>0</v>
      </c>
      <c r="P68" s="64">
        <v>0.38</v>
      </c>
      <c r="Q68" s="64">
        <v>9.43</v>
      </c>
      <c r="R68" s="198"/>
      <c r="S68" s="198"/>
      <c r="T68" s="198"/>
      <c r="U68" s="198"/>
    </row>
    <row r="69" spans="1:21" s="12" customFormat="1" x14ac:dyDescent="0.25">
      <c r="A69" s="214" t="s">
        <v>880</v>
      </c>
      <c r="B69" s="64">
        <v>7.08</v>
      </c>
      <c r="C69" s="64">
        <v>10.58</v>
      </c>
      <c r="D69" s="64">
        <v>11.21</v>
      </c>
      <c r="E69" s="64">
        <v>4.32</v>
      </c>
      <c r="F69" s="64">
        <v>8.93</v>
      </c>
      <c r="G69" s="64">
        <v>41.48</v>
      </c>
      <c r="H69" s="64">
        <v>11.94</v>
      </c>
      <c r="I69" s="64">
        <v>1.6</v>
      </c>
      <c r="J69" s="64">
        <v>0.19</v>
      </c>
      <c r="K69" s="64">
        <v>317.12</v>
      </c>
      <c r="L69" s="64">
        <v>31</v>
      </c>
      <c r="M69" s="64">
        <v>70.790000000000006</v>
      </c>
      <c r="N69" s="64">
        <v>216.2</v>
      </c>
      <c r="O69" s="64">
        <v>0</v>
      </c>
      <c r="P69" s="64">
        <v>0.38</v>
      </c>
      <c r="Q69" s="64">
        <v>9.42</v>
      </c>
      <c r="R69" s="198"/>
      <c r="S69" s="198"/>
      <c r="T69" s="198"/>
      <c r="U69" s="198"/>
    </row>
    <row r="70" spans="1:21" s="12" customFormat="1" x14ac:dyDescent="0.25">
      <c r="A70" s="214" t="s">
        <v>881</v>
      </c>
      <c r="B70" s="64">
        <v>7.47</v>
      </c>
      <c r="C70" s="64">
        <v>11.66</v>
      </c>
      <c r="D70" s="64">
        <v>12.08</v>
      </c>
      <c r="E70" s="64">
        <v>4.18</v>
      </c>
      <c r="F70" s="64">
        <v>11.18</v>
      </c>
      <c r="G70" s="64">
        <v>41.48</v>
      </c>
      <c r="H70" s="64">
        <v>11.94</v>
      </c>
      <c r="I70" s="64">
        <v>1.55</v>
      </c>
      <c r="J70" s="64">
        <v>0.18</v>
      </c>
      <c r="K70" s="64">
        <v>308.79000000000002</v>
      </c>
      <c r="L70" s="64">
        <v>30.8</v>
      </c>
      <c r="M70" s="64">
        <v>72.52</v>
      </c>
      <c r="N70" s="64">
        <v>189.9</v>
      </c>
      <c r="O70" s="64">
        <v>0</v>
      </c>
      <c r="P70" s="64">
        <v>0.33</v>
      </c>
      <c r="Q70" s="64">
        <v>9.42</v>
      </c>
      <c r="R70" s="198"/>
      <c r="S70" s="198"/>
      <c r="T70" s="198"/>
      <c r="U70" s="198"/>
    </row>
    <row r="71" spans="1:21" s="12" customFormat="1" x14ac:dyDescent="0.25">
      <c r="A71" s="214" t="s">
        <v>882</v>
      </c>
      <c r="B71" s="64">
        <v>6.26</v>
      </c>
      <c r="C71" s="64">
        <v>8.9600000000000009</v>
      </c>
      <c r="D71" s="64">
        <v>9.6999999999999993</v>
      </c>
      <c r="E71" s="64">
        <v>4.16</v>
      </c>
      <c r="F71" s="64">
        <v>8.06</v>
      </c>
      <c r="G71" s="64">
        <v>41.04</v>
      </c>
      <c r="H71" s="64">
        <v>11.53</v>
      </c>
      <c r="I71" s="64">
        <v>1.52</v>
      </c>
      <c r="J71" s="64">
        <v>0.21</v>
      </c>
      <c r="K71" s="64">
        <v>308.33999999999997</v>
      </c>
      <c r="L71" s="64">
        <v>30.5</v>
      </c>
      <c r="M71" s="64">
        <v>72.239999999999995</v>
      </c>
      <c r="N71" s="64">
        <v>156.69999999999999</v>
      </c>
      <c r="O71" s="64">
        <v>0</v>
      </c>
      <c r="P71" s="64">
        <v>0.36</v>
      </c>
      <c r="Q71" s="64">
        <v>9.41</v>
      </c>
      <c r="R71" s="198"/>
      <c r="S71" s="198"/>
      <c r="T71" s="198"/>
      <c r="U71" s="198"/>
    </row>
    <row r="72" spans="1:21" s="12" customFormat="1" x14ac:dyDescent="0.25">
      <c r="A72" s="214" t="s">
        <v>883</v>
      </c>
      <c r="B72" s="64">
        <v>7.12</v>
      </c>
      <c r="C72" s="64">
        <v>11.16</v>
      </c>
      <c r="D72" s="64">
        <v>11.54</v>
      </c>
      <c r="E72" s="64">
        <v>4.5199999999999996</v>
      </c>
      <c r="F72" s="64">
        <v>11.01</v>
      </c>
      <c r="G72" s="64">
        <v>38.840000000000003</v>
      </c>
      <c r="H72" s="64">
        <v>9.93</v>
      </c>
      <c r="I72" s="64">
        <v>1.48</v>
      </c>
      <c r="J72" s="64">
        <v>0.13</v>
      </c>
      <c r="K72" s="64">
        <v>299.73</v>
      </c>
      <c r="L72" s="64">
        <v>30.16</v>
      </c>
      <c r="M72" s="64">
        <v>74.45</v>
      </c>
      <c r="N72" s="64">
        <v>145</v>
      </c>
      <c r="O72" s="64">
        <v>0</v>
      </c>
      <c r="P72" s="64">
        <v>0.35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14" t="s">
        <v>884</v>
      </c>
      <c r="B73" s="64">
        <v>6.95</v>
      </c>
      <c r="C73" s="64">
        <v>12.48</v>
      </c>
      <c r="D73" s="64">
        <v>12.09</v>
      </c>
      <c r="E73" s="64">
        <v>4.4400000000000004</v>
      </c>
      <c r="F73" s="64">
        <v>12.81</v>
      </c>
      <c r="G73" s="64">
        <v>38.840000000000003</v>
      </c>
      <c r="H73" s="64">
        <v>9.93</v>
      </c>
      <c r="I73" s="64">
        <v>1.46</v>
      </c>
      <c r="J73" s="64">
        <v>0.04</v>
      </c>
      <c r="K73" s="64">
        <v>262.05</v>
      </c>
      <c r="L73" s="64">
        <v>30.09</v>
      </c>
      <c r="M73" s="64">
        <v>76.13</v>
      </c>
      <c r="N73" s="64">
        <v>131.69999999999999</v>
      </c>
      <c r="O73" s="64">
        <v>0</v>
      </c>
      <c r="P73" s="64">
        <v>0.35</v>
      </c>
      <c r="Q73" s="64">
        <v>9.41</v>
      </c>
      <c r="R73" s="198"/>
      <c r="S73" s="198"/>
      <c r="T73" s="198"/>
      <c r="U73" s="198"/>
    </row>
    <row r="74" spans="1:21" s="12" customFormat="1" x14ac:dyDescent="0.25">
      <c r="A74" s="214" t="s">
        <v>885</v>
      </c>
      <c r="B74" s="64">
        <v>5.35</v>
      </c>
      <c r="C74" s="64">
        <v>11.33</v>
      </c>
      <c r="D74" s="64">
        <v>10.210000000000001</v>
      </c>
      <c r="E74" s="64">
        <v>4.2699999999999996</v>
      </c>
      <c r="F74" s="64">
        <v>10.45</v>
      </c>
      <c r="G74" s="64">
        <v>38.840000000000003</v>
      </c>
      <c r="H74" s="64">
        <v>9.93</v>
      </c>
      <c r="I74" s="64">
        <v>1.45</v>
      </c>
      <c r="J74" s="64">
        <v>0.06</v>
      </c>
      <c r="K74" s="64">
        <v>216.03</v>
      </c>
      <c r="L74" s="64">
        <v>29.48</v>
      </c>
      <c r="M74" s="64">
        <v>78.83</v>
      </c>
      <c r="N74" s="64">
        <v>120.2</v>
      </c>
      <c r="O74" s="64">
        <v>0</v>
      </c>
      <c r="P74" s="64">
        <v>0.33</v>
      </c>
      <c r="Q74" s="64">
        <v>9.42</v>
      </c>
      <c r="R74" s="198"/>
      <c r="S74" s="198"/>
      <c r="T74" s="198"/>
      <c r="U74" s="198"/>
    </row>
    <row r="75" spans="1:21" s="12" customFormat="1" x14ac:dyDescent="0.25">
      <c r="A75" s="214" t="s">
        <v>886</v>
      </c>
      <c r="B75" s="64">
        <v>5.63</v>
      </c>
      <c r="C75" s="64">
        <v>13.49</v>
      </c>
      <c r="D75" s="64">
        <v>11.56</v>
      </c>
      <c r="E75" s="64">
        <v>4.82</v>
      </c>
      <c r="F75" s="64">
        <v>11.79</v>
      </c>
      <c r="G75" s="64">
        <v>38.64</v>
      </c>
      <c r="H75" s="64">
        <v>9.32</v>
      </c>
      <c r="I75" s="64">
        <v>1.45</v>
      </c>
      <c r="J75" s="64">
        <v>7.0000000000000007E-2</v>
      </c>
      <c r="K75" s="64">
        <v>276.39</v>
      </c>
      <c r="L75" s="64">
        <v>29.24</v>
      </c>
      <c r="M75" s="64">
        <v>80.13</v>
      </c>
      <c r="N75" s="64">
        <v>113.8</v>
      </c>
      <c r="O75" s="64">
        <v>0</v>
      </c>
      <c r="P75" s="64">
        <v>0.36</v>
      </c>
      <c r="Q75" s="64">
        <v>9.41</v>
      </c>
      <c r="R75" s="198"/>
      <c r="S75" s="198"/>
      <c r="T75" s="198"/>
      <c r="U75" s="198"/>
    </row>
    <row r="76" spans="1:21" s="12" customFormat="1" x14ac:dyDescent="0.25">
      <c r="A76" s="214" t="s">
        <v>887</v>
      </c>
      <c r="B76" s="64">
        <v>5.19</v>
      </c>
      <c r="C76" s="64">
        <v>13.82</v>
      </c>
      <c r="D76" s="64">
        <v>11.38</v>
      </c>
      <c r="E76" s="64">
        <v>4.71</v>
      </c>
      <c r="F76" s="64">
        <v>14.16</v>
      </c>
      <c r="G76" s="64">
        <v>37.64</v>
      </c>
      <c r="H76" s="64">
        <v>6.95</v>
      </c>
      <c r="I76" s="64">
        <v>1.46</v>
      </c>
      <c r="J76" s="64">
        <v>0.05</v>
      </c>
      <c r="K76" s="64">
        <v>247.93</v>
      </c>
      <c r="L76" s="64">
        <v>29.06</v>
      </c>
      <c r="M76" s="64">
        <v>81.78</v>
      </c>
      <c r="N76" s="64">
        <v>106.2</v>
      </c>
      <c r="O76" s="64">
        <v>0</v>
      </c>
      <c r="P76" s="64">
        <v>0.38</v>
      </c>
      <c r="Q76" s="64">
        <v>9.42</v>
      </c>
      <c r="R76" s="198"/>
      <c r="S76" s="198"/>
      <c r="T76" s="198"/>
      <c r="U76" s="198"/>
    </row>
    <row r="77" spans="1:21" s="12" customFormat="1" x14ac:dyDescent="0.25">
      <c r="A77" s="214" t="s">
        <v>888</v>
      </c>
      <c r="B77" s="64">
        <v>10.23</v>
      </c>
      <c r="C77" s="64">
        <v>17.010000000000002</v>
      </c>
      <c r="D77" s="64">
        <v>17.09</v>
      </c>
      <c r="E77" s="64">
        <v>4.72</v>
      </c>
      <c r="F77" s="64">
        <v>11.79</v>
      </c>
      <c r="G77" s="64">
        <v>37.64</v>
      </c>
      <c r="H77" s="64">
        <v>6.95</v>
      </c>
      <c r="I77" s="64">
        <v>1.47</v>
      </c>
      <c r="J77" s="64">
        <v>0.1</v>
      </c>
      <c r="K77" s="64">
        <v>304.86</v>
      </c>
      <c r="L77" s="64">
        <v>29.27</v>
      </c>
      <c r="M77" s="64">
        <v>81.58</v>
      </c>
      <c r="N77" s="64">
        <v>88.2</v>
      </c>
      <c r="O77" s="64">
        <v>0</v>
      </c>
      <c r="P77" s="64">
        <v>0.56000000000000005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4" t="s">
        <v>889</v>
      </c>
      <c r="B78" s="64">
        <v>11.87</v>
      </c>
      <c r="C78" s="64">
        <v>18.47</v>
      </c>
      <c r="D78" s="64">
        <v>19.170000000000002</v>
      </c>
      <c r="E78" s="64">
        <v>4.8</v>
      </c>
      <c r="F78" s="64">
        <v>10.89</v>
      </c>
      <c r="G78" s="64">
        <v>37.64</v>
      </c>
      <c r="H78" s="64">
        <v>6.95</v>
      </c>
      <c r="I78" s="64">
        <v>1.51</v>
      </c>
      <c r="J78" s="64">
        <v>0.06</v>
      </c>
      <c r="K78" s="64">
        <v>304.64</v>
      </c>
      <c r="L78" s="64">
        <v>29.17</v>
      </c>
      <c r="M78" s="64">
        <v>83.42</v>
      </c>
      <c r="N78" s="64">
        <v>69.400000000000006</v>
      </c>
      <c r="O78" s="64">
        <v>0</v>
      </c>
      <c r="P78" s="64">
        <v>0.63</v>
      </c>
      <c r="Q78" s="64">
        <v>9.44</v>
      </c>
      <c r="R78" s="198"/>
      <c r="S78" s="198"/>
      <c r="T78" s="198"/>
      <c r="U78" s="198"/>
    </row>
    <row r="79" spans="1:21" s="12" customFormat="1" x14ac:dyDescent="0.25">
      <c r="A79" s="214" t="s">
        <v>890</v>
      </c>
      <c r="B79" s="64">
        <v>14.38</v>
      </c>
      <c r="C79" s="64">
        <v>22.89</v>
      </c>
      <c r="D79" s="64">
        <v>23.49</v>
      </c>
      <c r="E79" s="64">
        <v>4.83</v>
      </c>
      <c r="F79" s="64">
        <v>10.96</v>
      </c>
      <c r="G79" s="64">
        <v>39.14</v>
      </c>
      <c r="H79" s="64">
        <v>6.64</v>
      </c>
      <c r="I79" s="64">
        <v>1.58</v>
      </c>
      <c r="J79" s="64">
        <v>0.12</v>
      </c>
      <c r="K79" s="64">
        <v>321.01</v>
      </c>
      <c r="L79" s="64">
        <v>29.05</v>
      </c>
      <c r="M79" s="64">
        <v>85</v>
      </c>
      <c r="N79" s="64">
        <v>52.2</v>
      </c>
      <c r="O79" s="64">
        <v>0</v>
      </c>
      <c r="P79" s="64">
        <v>0.78</v>
      </c>
      <c r="Q79" s="64">
        <v>9.4499999999999993</v>
      </c>
      <c r="R79" s="198"/>
      <c r="S79" s="198"/>
      <c r="T79" s="198"/>
      <c r="U79" s="198"/>
    </row>
    <row r="80" spans="1:21" s="12" customFormat="1" x14ac:dyDescent="0.25">
      <c r="A80" s="214" t="s">
        <v>891</v>
      </c>
      <c r="B80" s="64">
        <v>5.0199999999999996</v>
      </c>
      <c r="C80" s="64">
        <v>14.13</v>
      </c>
      <c r="D80" s="64">
        <v>11.41</v>
      </c>
      <c r="E80" s="64">
        <v>4.76</v>
      </c>
      <c r="F80" s="64">
        <v>13.34</v>
      </c>
      <c r="G80" s="64">
        <v>46.63</v>
      </c>
      <c r="H80" s="64">
        <v>4.8600000000000003</v>
      </c>
      <c r="I80" s="64">
        <v>1.64</v>
      </c>
      <c r="J80" s="64">
        <v>0.75</v>
      </c>
      <c r="K80" s="64">
        <v>134.13999999999999</v>
      </c>
      <c r="L80" s="64">
        <v>28.44</v>
      </c>
      <c r="M80" s="64">
        <v>92.64</v>
      </c>
      <c r="N80" s="64">
        <v>40.799999999999997</v>
      </c>
      <c r="O80" s="64">
        <v>0</v>
      </c>
      <c r="P80" s="64">
        <v>0.36</v>
      </c>
      <c r="Q80" s="64">
        <v>9.48</v>
      </c>
      <c r="R80" s="198"/>
      <c r="S80" s="198"/>
      <c r="T80" s="198"/>
      <c r="U80" s="198"/>
    </row>
    <row r="81" spans="1:26" s="12" customFormat="1" x14ac:dyDescent="0.25">
      <c r="A81" s="214" t="s">
        <v>892</v>
      </c>
      <c r="B81" s="64">
        <v>6.33</v>
      </c>
      <c r="C81" s="64">
        <v>11.77</v>
      </c>
      <c r="D81" s="64">
        <v>11.23</v>
      </c>
      <c r="E81" s="64">
        <v>4.96</v>
      </c>
      <c r="F81" s="64">
        <v>9.3000000000000007</v>
      </c>
      <c r="G81" s="64">
        <v>46.63</v>
      </c>
      <c r="H81" s="64">
        <v>4.8600000000000003</v>
      </c>
      <c r="I81" s="64">
        <v>1.7</v>
      </c>
      <c r="J81" s="64">
        <v>0.63</v>
      </c>
      <c r="K81" s="64">
        <v>153.55000000000001</v>
      </c>
      <c r="L81" s="64">
        <v>27.84</v>
      </c>
      <c r="M81" s="64">
        <v>97.47</v>
      </c>
      <c r="N81" s="64">
        <v>36</v>
      </c>
      <c r="O81" s="64">
        <v>0</v>
      </c>
      <c r="P81" s="64">
        <v>0.33</v>
      </c>
      <c r="Q81" s="64">
        <v>9.48</v>
      </c>
      <c r="R81" s="198"/>
      <c r="S81" s="198"/>
      <c r="T81" s="198"/>
      <c r="U81" s="198"/>
    </row>
    <row r="82" spans="1:26" s="12" customFormat="1" x14ac:dyDescent="0.25">
      <c r="A82" s="214" t="s">
        <v>893</v>
      </c>
      <c r="B82" s="64">
        <v>6.72</v>
      </c>
      <c r="C82" s="64">
        <v>10.39</v>
      </c>
      <c r="D82" s="64">
        <v>10.82</v>
      </c>
      <c r="E82" s="64">
        <v>4.78</v>
      </c>
      <c r="F82" s="64">
        <v>4.9800000000000004</v>
      </c>
      <c r="G82" s="64">
        <v>46.63</v>
      </c>
      <c r="H82" s="64">
        <v>4.8600000000000003</v>
      </c>
      <c r="I82" s="64">
        <v>1.71</v>
      </c>
      <c r="J82" s="64">
        <v>0.24</v>
      </c>
      <c r="K82" s="64">
        <v>327.45</v>
      </c>
      <c r="L82" s="64">
        <v>25.57</v>
      </c>
      <c r="M82" s="64">
        <v>98.24</v>
      </c>
      <c r="N82" s="64">
        <v>41.9</v>
      </c>
      <c r="O82" s="64">
        <v>0.6</v>
      </c>
      <c r="P82" s="64">
        <v>0.41</v>
      </c>
      <c r="Q82" s="64">
        <v>9.49</v>
      </c>
      <c r="R82" s="198"/>
      <c r="S82" s="198"/>
      <c r="T82" s="198"/>
      <c r="U82" s="198"/>
    </row>
    <row r="83" spans="1:26" s="12" customFormat="1" x14ac:dyDescent="0.25">
      <c r="A83" s="214" t="s">
        <v>894</v>
      </c>
      <c r="B83" s="64">
        <v>6.58</v>
      </c>
      <c r="C83" s="64">
        <v>10.64</v>
      </c>
      <c r="D83" s="64">
        <v>10.84</v>
      </c>
      <c r="E83" s="64">
        <v>4.6900000000000004</v>
      </c>
      <c r="F83" s="64">
        <v>5.01</v>
      </c>
      <c r="G83" s="64">
        <v>45.11</v>
      </c>
      <c r="H83" s="64">
        <v>5.56</v>
      </c>
      <c r="I83" s="64">
        <v>1.71</v>
      </c>
      <c r="J83" s="64">
        <v>0.28999999999999998</v>
      </c>
      <c r="K83" s="64">
        <v>330.5</v>
      </c>
      <c r="L83" s="64">
        <v>22.11</v>
      </c>
      <c r="M83" s="64">
        <v>98.51</v>
      </c>
      <c r="N83" s="64">
        <v>38.1</v>
      </c>
      <c r="O83" s="64">
        <v>2.2000000000000002</v>
      </c>
      <c r="P83" s="64">
        <v>0.42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4" t="s">
        <v>895</v>
      </c>
      <c r="B84" s="64">
        <v>5.53</v>
      </c>
      <c r="C84" s="64">
        <v>12.73</v>
      </c>
      <c r="D84" s="64">
        <v>11.09</v>
      </c>
      <c r="E84" s="64">
        <v>4.75</v>
      </c>
      <c r="F84" s="64">
        <v>4.53</v>
      </c>
      <c r="G84" s="64">
        <v>37.53</v>
      </c>
      <c r="H84" s="64">
        <v>8.2799999999999994</v>
      </c>
      <c r="I84" s="64">
        <v>1.83</v>
      </c>
      <c r="J84" s="64">
        <v>0.22</v>
      </c>
      <c r="K84" s="64">
        <v>342.97</v>
      </c>
      <c r="L84" s="64">
        <v>20.98</v>
      </c>
      <c r="M84" s="64">
        <v>98.49</v>
      </c>
      <c r="N84" s="64">
        <v>39</v>
      </c>
      <c r="O84" s="64">
        <v>5.4</v>
      </c>
      <c r="P84" s="64">
        <v>0.42</v>
      </c>
      <c r="Q84" s="64">
        <v>9.4600000000000009</v>
      </c>
      <c r="R84" s="198"/>
      <c r="S84" s="198"/>
      <c r="T84" s="198"/>
      <c r="U84" s="198"/>
    </row>
    <row r="85" spans="1:26" s="12" customFormat="1" x14ac:dyDescent="0.25">
      <c r="A85" s="214" t="s">
        <v>896</v>
      </c>
      <c r="B85" s="64">
        <v>4.79</v>
      </c>
      <c r="C85" s="64">
        <v>13.32</v>
      </c>
      <c r="D85" s="64">
        <v>10.8</v>
      </c>
      <c r="E85" s="64">
        <v>4.88</v>
      </c>
      <c r="F85" s="64">
        <v>4.59</v>
      </c>
      <c r="G85" s="64">
        <v>37.53</v>
      </c>
      <c r="H85" s="64">
        <v>8.2799999999999994</v>
      </c>
      <c r="I85" s="64">
        <v>1.85</v>
      </c>
      <c r="J85" s="64">
        <v>0.38</v>
      </c>
      <c r="K85" s="64">
        <v>155.22999999999999</v>
      </c>
      <c r="L85" s="64">
        <v>20.309999999999999</v>
      </c>
      <c r="M85" s="64">
        <v>98.45</v>
      </c>
      <c r="N85" s="64">
        <v>38</v>
      </c>
      <c r="O85" s="64">
        <v>3</v>
      </c>
      <c r="P85" s="64">
        <v>0.4</v>
      </c>
      <c r="Q85" s="64">
        <v>9.43</v>
      </c>
      <c r="R85" s="198"/>
      <c r="S85" s="198"/>
      <c r="T85" s="198"/>
      <c r="U85" s="198"/>
    </row>
    <row r="86" spans="1:26" s="12" customFormat="1" x14ac:dyDescent="0.25">
      <c r="A86" s="214" t="s">
        <v>897</v>
      </c>
      <c r="B86" s="64">
        <v>4.7</v>
      </c>
      <c r="C86" s="64">
        <v>12.38</v>
      </c>
      <c r="D86" s="64">
        <v>10.23</v>
      </c>
      <c r="E86" s="64">
        <v>4.53</v>
      </c>
      <c r="F86" s="64">
        <v>3.94</v>
      </c>
      <c r="G86" s="64">
        <v>37.53</v>
      </c>
      <c r="H86" s="64">
        <v>8.2799999999999994</v>
      </c>
      <c r="I86" s="64">
        <v>1.66</v>
      </c>
      <c r="J86" s="64">
        <v>0.51</v>
      </c>
      <c r="K86" s="64">
        <v>133.87</v>
      </c>
      <c r="L86" s="64">
        <v>20.59</v>
      </c>
      <c r="M86" s="64">
        <v>98.38</v>
      </c>
      <c r="N86" s="64">
        <v>36.5</v>
      </c>
      <c r="O86" s="64">
        <v>0.8</v>
      </c>
      <c r="P86" s="64">
        <v>0.42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4" t="s">
        <v>898</v>
      </c>
      <c r="B87" s="64">
        <v>4.9800000000000004</v>
      </c>
      <c r="C87" s="64">
        <v>11.2</v>
      </c>
      <c r="D87" s="64">
        <v>9.84</v>
      </c>
      <c r="E87" s="64">
        <v>4.6500000000000004</v>
      </c>
      <c r="F87" s="64">
        <v>3.66</v>
      </c>
      <c r="G87" s="64">
        <v>0</v>
      </c>
      <c r="H87" s="64">
        <v>8.2799999999999994</v>
      </c>
      <c r="I87" s="64">
        <v>1.54</v>
      </c>
      <c r="J87" s="64">
        <v>0.16</v>
      </c>
      <c r="K87" s="64">
        <v>166.41</v>
      </c>
      <c r="L87" s="64">
        <v>1.63</v>
      </c>
      <c r="M87" s="64">
        <v>98.38</v>
      </c>
      <c r="N87" s="64">
        <v>32</v>
      </c>
      <c r="O87" s="64">
        <v>0</v>
      </c>
      <c r="P87" s="64">
        <v>0.42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14" t="s">
        <v>899</v>
      </c>
      <c r="B88" s="215" t="s">
        <v>32</v>
      </c>
      <c r="C88" s="215" t="s">
        <v>32</v>
      </c>
      <c r="D88" s="215" t="s">
        <v>32</v>
      </c>
      <c r="E88" s="215" t="s">
        <v>32</v>
      </c>
      <c r="F88" s="215" t="s">
        <v>32</v>
      </c>
      <c r="G88" s="215" t="s">
        <v>32</v>
      </c>
      <c r="H88" s="215" t="s">
        <v>32</v>
      </c>
      <c r="I88" s="215" t="s">
        <v>32</v>
      </c>
      <c r="J88" s="215" t="s">
        <v>32</v>
      </c>
      <c r="K88" s="215" t="s">
        <v>32</v>
      </c>
      <c r="L88" s="215" t="s">
        <v>32</v>
      </c>
      <c r="M88" s="215" t="s">
        <v>32</v>
      </c>
      <c r="N88" s="215" t="s">
        <v>32</v>
      </c>
      <c r="O88" s="215" t="s">
        <v>32</v>
      </c>
      <c r="P88" s="215" t="s">
        <v>32</v>
      </c>
      <c r="Q88" s="215" t="s">
        <v>32</v>
      </c>
      <c r="R88" s="198"/>
      <c r="S88" s="198"/>
      <c r="T88" s="198"/>
      <c r="U88" s="198"/>
    </row>
    <row r="89" spans="1:26" s="12" customFormat="1" x14ac:dyDescent="0.25">
      <c r="A89" s="214" t="s">
        <v>900</v>
      </c>
      <c r="B89" s="215" t="s">
        <v>32</v>
      </c>
      <c r="C89" s="215" t="s">
        <v>32</v>
      </c>
      <c r="D89" s="215" t="s">
        <v>32</v>
      </c>
      <c r="E89" s="215" t="s">
        <v>32</v>
      </c>
      <c r="F89" s="215" t="s">
        <v>32</v>
      </c>
      <c r="G89" s="215" t="s">
        <v>32</v>
      </c>
      <c r="H89" s="215" t="s">
        <v>32</v>
      </c>
      <c r="I89" s="215" t="s">
        <v>32</v>
      </c>
      <c r="J89" s="215" t="s">
        <v>32</v>
      </c>
      <c r="K89" s="215" t="s">
        <v>32</v>
      </c>
      <c r="L89" s="215" t="s">
        <v>32</v>
      </c>
      <c r="M89" s="215" t="s">
        <v>32</v>
      </c>
      <c r="N89" s="215" t="s">
        <v>32</v>
      </c>
      <c r="O89" s="215" t="s">
        <v>32</v>
      </c>
      <c r="P89" s="215" t="s">
        <v>32</v>
      </c>
      <c r="Q89" s="215" t="s">
        <v>32</v>
      </c>
      <c r="R89" s="198"/>
      <c r="S89" s="198"/>
      <c r="T89" s="198"/>
      <c r="U89" s="198"/>
    </row>
    <row r="90" spans="1:26" s="12" customFormat="1" x14ac:dyDescent="0.25">
      <c r="A90" s="214" t="s">
        <v>901</v>
      </c>
      <c r="B90" s="215" t="s">
        <v>32</v>
      </c>
      <c r="C90" s="215" t="s">
        <v>32</v>
      </c>
      <c r="D90" s="215" t="s">
        <v>32</v>
      </c>
      <c r="E90" s="215" t="s">
        <v>32</v>
      </c>
      <c r="F90" s="215" t="s">
        <v>32</v>
      </c>
      <c r="G90" s="215" t="s">
        <v>32</v>
      </c>
      <c r="H90" s="215" t="s">
        <v>32</v>
      </c>
      <c r="I90" s="215" t="s">
        <v>32</v>
      </c>
      <c r="J90" s="215" t="s">
        <v>32</v>
      </c>
      <c r="K90" s="215" t="s">
        <v>32</v>
      </c>
      <c r="L90" s="215" t="s">
        <v>32</v>
      </c>
      <c r="M90" s="215" t="s">
        <v>32</v>
      </c>
      <c r="N90" s="215" t="s">
        <v>32</v>
      </c>
      <c r="O90" s="215" t="s">
        <v>32</v>
      </c>
      <c r="P90" s="215" t="s">
        <v>32</v>
      </c>
      <c r="Q90" s="215" t="s">
        <v>32</v>
      </c>
      <c r="R90" s="198"/>
      <c r="S90" s="198"/>
      <c r="T90" s="198"/>
      <c r="U90" s="198"/>
    </row>
    <row r="91" spans="1:26" s="12" customFormat="1" x14ac:dyDescent="0.25">
      <c r="A91" s="214" t="s">
        <v>902</v>
      </c>
      <c r="B91" s="216" t="s">
        <v>49</v>
      </c>
      <c r="C91" s="216" t="s">
        <v>49</v>
      </c>
      <c r="D91" s="216" t="s">
        <v>49</v>
      </c>
      <c r="E91" s="216" t="s">
        <v>49</v>
      </c>
      <c r="F91" s="64">
        <v>8.43</v>
      </c>
      <c r="G91" s="64">
        <v>22.47</v>
      </c>
      <c r="H91" s="64">
        <v>7.66</v>
      </c>
      <c r="I91" s="216" t="s">
        <v>49</v>
      </c>
      <c r="J91" s="64">
        <v>0.26</v>
      </c>
      <c r="K91" s="64">
        <v>151.77000000000001</v>
      </c>
      <c r="L91" s="64">
        <v>21.22</v>
      </c>
      <c r="M91" s="64">
        <v>98.56</v>
      </c>
      <c r="N91" s="64">
        <v>29.5</v>
      </c>
      <c r="O91" s="64">
        <v>0</v>
      </c>
      <c r="P91" s="64">
        <v>0.25</v>
      </c>
      <c r="Q91" s="216" t="s">
        <v>49</v>
      </c>
      <c r="R91" s="198"/>
      <c r="S91" s="198"/>
      <c r="T91" s="198"/>
      <c r="U91" s="198"/>
    </row>
    <row r="92" spans="1:26" s="12" customFormat="1" x14ac:dyDescent="0.25">
      <c r="A92" s="214" t="s">
        <v>903</v>
      </c>
      <c r="B92" s="64">
        <v>5.01</v>
      </c>
      <c r="C92" s="64">
        <v>4.5999999999999996</v>
      </c>
      <c r="D92" s="64">
        <v>6.42</v>
      </c>
      <c r="E92" s="64">
        <v>3.74</v>
      </c>
      <c r="F92" s="64">
        <v>4.92</v>
      </c>
      <c r="G92" s="64">
        <v>22.47</v>
      </c>
      <c r="H92" s="64">
        <v>6.01</v>
      </c>
      <c r="I92" s="216" t="s">
        <v>49</v>
      </c>
      <c r="J92" s="64">
        <v>0.27</v>
      </c>
      <c r="K92" s="64">
        <v>146.37</v>
      </c>
      <c r="L92" s="64">
        <v>1.41</v>
      </c>
      <c r="M92" s="64">
        <v>98.57</v>
      </c>
      <c r="N92" s="64">
        <v>29.9</v>
      </c>
      <c r="O92" s="64">
        <v>0</v>
      </c>
      <c r="P92" s="64">
        <v>0.23</v>
      </c>
      <c r="Q92" s="216" t="s">
        <v>49</v>
      </c>
      <c r="R92" s="198"/>
      <c r="S92" s="198"/>
      <c r="T92" s="198"/>
      <c r="U92" s="198"/>
    </row>
    <row r="93" spans="1:26" s="12" customFormat="1" x14ac:dyDescent="0.25">
      <c r="A93" s="214" t="s">
        <v>904</v>
      </c>
      <c r="B93" s="215" t="s">
        <v>32</v>
      </c>
      <c r="C93" s="215" t="s">
        <v>32</v>
      </c>
      <c r="D93" s="215" t="s">
        <v>32</v>
      </c>
      <c r="E93" s="215" t="s">
        <v>32</v>
      </c>
      <c r="F93" s="215" t="s">
        <v>32</v>
      </c>
      <c r="G93" s="215" t="s">
        <v>32</v>
      </c>
      <c r="H93" s="215" t="s">
        <v>32</v>
      </c>
      <c r="I93" s="215" t="s">
        <v>32</v>
      </c>
      <c r="J93" s="215" t="s">
        <v>32</v>
      </c>
      <c r="K93" s="215" t="s">
        <v>32</v>
      </c>
      <c r="L93" s="215" t="s">
        <v>32</v>
      </c>
      <c r="M93" s="215" t="s">
        <v>32</v>
      </c>
      <c r="N93" s="215" t="s">
        <v>32</v>
      </c>
      <c r="O93" s="215" t="s">
        <v>32</v>
      </c>
      <c r="P93" s="215" t="s">
        <v>32</v>
      </c>
      <c r="Q93" s="215" t="s">
        <v>32</v>
      </c>
      <c r="R93" s="198"/>
      <c r="S93" s="198"/>
      <c r="T93" s="198"/>
      <c r="U93" s="198"/>
    </row>
    <row r="94" spans="1:26" s="12" customFormat="1" x14ac:dyDescent="0.25">
      <c r="A94" s="214" t="s">
        <v>905</v>
      </c>
      <c r="B94" s="215" t="s">
        <v>32</v>
      </c>
      <c r="C94" s="215" t="s">
        <v>32</v>
      </c>
      <c r="D94" s="215" t="s">
        <v>32</v>
      </c>
      <c r="E94" s="215" t="s">
        <v>32</v>
      </c>
      <c r="F94" s="215" t="s">
        <v>32</v>
      </c>
      <c r="G94" s="215" t="s">
        <v>32</v>
      </c>
      <c r="H94" s="215" t="s">
        <v>32</v>
      </c>
      <c r="I94" s="215" t="s">
        <v>32</v>
      </c>
      <c r="J94" s="215" t="s">
        <v>32</v>
      </c>
      <c r="K94" s="215" t="s">
        <v>32</v>
      </c>
      <c r="L94" s="215" t="s">
        <v>32</v>
      </c>
      <c r="M94" s="215" t="s">
        <v>32</v>
      </c>
      <c r="N94" s="215" t="s">
        <v>32</v>
      </c>
      <c r="O94" s="215" t="s">
        <v>32</v>
      </c>
      <c r="P94" s="215" t="s">
        <v>32</v>
      </c>
      <c r="Q94" s="215" t="s">
        <v>32</v>
      </c>
      <c r="R94" s="198"/>
      <c r="S94" s="198"/>
      <c r="T94" s="198"/>
      <c r="U94" s="198"/>
    </row>
    <row r="95" spans="1:26" s="12" customFormat="1" x14ac:dyDescent="0.25">
      <c r="A95" s="214" t="s">
        <v>906</v>
      </c>
      <c r="B95" s="215" t="s">
        <v>32</v>
      </c>
      <c r="C95" s="215" t="s">
        <v>32</v>
      </c>
      <c r="D95" s="215" t="s">
        <v>32</v>
      </c>
      <c r="E95" s="215" t="s">
        <v>32</v>
      </c>
      <c r="F95" s="215" t="s">
        <v>32</v>
      </c>
      <c r="G95" s="215" t="s">
        <v>32</v>
      </c>
      <c r="H95" s="215" t="s">
        <v>32</v>
      </c>
      <c r="I95" s="215" t="s">
        <v>32</v>
      </c>
      <c r="J95" s="215" t="s">
        <v>32</v>
      </c>
      <c r="K95" s="215" t="s">
        <v>32</v>
      </c>
      <c r="L95" s="215" t="s">
        <v>32</v>
      </c>
      <c r="M95" s="215" t="s">
        <v>32</v>
      </c>
      <c r="N95" s="215" t="s">
        <v>32</v>
      </c>
      <c r="O95" s="215" t="s">
        <v>32</v>
      </c>
      <c r="P95" s="215" t="s">
        <v>32</v>
      </c>
      <c r="Q95" s="215" t="s">
        <v>32</v>
      </c>
      <c r="R95" s="198"/>
      <c r="S95" s="198"/>
      <c r="T95" s="198"/>
      <c r="U95" s="198"/>
    </row>
    <row r="96" spans="1:26" s="12" customFormat="1" x14ac:dyDescent="0.25">
      <c r="A96" s="214" t="s">
        <v>907</v>
      </c>
      <c r="B96" s="215" t="s">
        <v>32</v>
      </c>
      <c r="C96" s="215" t="s">
        <v>32</v>
      </c>
      <c r="D96" s="215" t="s">
        <v>32</v>
      </c>
      <c r="E96" s="215" t="s">
        <v>32</v>
      </c>
      <c r="F96" s="215" t="s">
        <v>32</v>
      </c>
      <c r="G96" s="215" t="s">
        <v>32</v>
      </c>
      <c r="H96" s="215" t="s">
        <v>32</v>
      </c>
      <c r="I96" s="215" t="s">
        <v>32</v>
      </c>
      <c r="J96" s="215" t="s">
        <v>32</v>
      </c>
      <c r="K96" s="215" t="s">
        <v>32</v>
      </c>
      <c r="L96" s="215" t="s">
        <v>32</v>
      </c>
      <c r="M96" s="215" t="s">
        <v>32</v>
      </c>
      <c r="N96" s="215" t="s">
        <v>32</v>
      </c>
      <c r="O96" s="215" t="s">
        <v>32</v>
      </c>
      <c r="P96" s="215" t="s">
        <v>32</v>
      </c>
      <c r="Q96" s="215" t="s">
        <v>32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908</v>
      </c>
      <c r="B97" s="215" t="s">
        <v>32</v>
      </c>
      <c r="C97" s="215" t="s">
        <v>32</v>
      </c>
      <c r="D97" s="215" t="s">
        <v>32</v>
      </c>
      <c r="E97" s="215" t="s">
        <v>32</v>
      </c>
      <c r="F97" s="215" t="s">
        <v>32</v>
      </c>
      <c r="G97" s="215" t="s">
        <v>32</v>
      </c>
      <c r="H97" s="215" t="s">
        <v>32</v>
      </c>
      <c r="I97" s="215" t="s">
        <v>32</v>
      </c>
      <c r="J97" s="215" t="s">
        <v>32</v>
      </c>
      <c r="K97" s="215" t="s">
        <v>32</v>
      </c>
      <c r="L97" s="215" t="s">
        <v>32</v>
      </c>
      <c r="M97" s="215" t="s">
        <v>32</v>
      </c>
      <c r="N97" s="215" t="s">
        <v>32</v>
      </c>
      <c r="O97" s="215" t="s">
        <v>32</v>
      </c>
      <c r="P97" s="215" t="s">
        <v>32</v>
      </c>
      <c r="Q97" s="215" t="s">
        <v>32</v>
      </c>
      <c r="R97" s="198"/>
      <c r="S97" s="198"/>
      <c r="T97" s="198"/>
      <c r="U97" s="198"/>
    </row>
    <row r="98" spans="1:33" s="12" customFormat="1" x14ac:dyDescent="0.25">
      <c r="A98" s="214" t="s">
        <v>909</v>
      </c>
      <c r="B98" s="215" t="s">
        <v>32</v>
      </c>
      <c r="C98" s="215" t="s">
        <v>32</v>
      </c>
      <c r="D98" s="215" t="s">
        <v>32</v>
      </c>
      <c r="E98" s="215" t="s">
        <v>32</v>
      </c>
      <c r="F98" s="215" t="s">
        <v>32</v>
      </c>
      <c r="G98" s="215" t="s">
        <v>32</v>
      </c>
      <c r="H98" s="215" t="s">
        <v>32</v>
      </c>
      <c r="I98" s="215" t="s">
        <v>32</v>
      </c>
      <c r="J98" s="215" t="s">
        <v>32</v>
      </c>
      <c r="K98" s="215" t="s">
        <v>32</v>
      </c>
      <c r="L98" s="215" t="s">
        <v>32</v>
      </c>
      <c r="M98" s="215" t="s">
        <v>32</v>
      </c>
      <c r="N98" s="215" t="s">
        <v>32</v>
      </c>
      <c r="O98" s="215" t="s">
        <v>32</v>
      </c>
      <c r="P98" s="215" t="s">
        <v>32</v>
      </c>
      <c r="Q98" s="215" t="s">
        <v>32</v>
      </c>
      <c r="R98" s="198"/>
      <c r="S98" s="198"/>
      <c r="T98" s="198"/>
      <c r="U98" s="198"/>
    </row>
    <row r="99" spans="1:33" s="12" customFormat="1" x14ac:dyDescent="0.25">
      <c r="A99" s="214" t="s">
        <v>910</v>
      </c>
      <c r="B99" s="216" t="s">
        <v>49</v>
      </c>
      <c r="C99" s="216" t="s">
        <v>49</v>
      </c>
      <c r="D99" s="216" t="s">
        <v>49</v>
      </c>
      <c r="E99" s="64">
        <v>5.23</v>
      </c>
      <c r="F99" s="64">
        <v>5.16</v>
      </c>
      <c r="G99" s="64">
        <v>11.97</v>
      </c>
      <c r="H99" s="64">
        <v>4.21</v>
      </c>
      <c r="I99" s="216" t="s">
        <v>49</v>
      </c>
      <c r="J99" s="64">
        <v>0.44</v>
      </c>
      <c r="K99" s="64">
        <v>126.01</v>
      </c>
      <c r="L99" s="64">
        <v>22.45</v>
      </c>
      <c r="M99" s="64">
        <v>98.52</v>
      </c>
      <c r="N99" s="64">
        <v>30.1</v>
      </c>
      <c r="O99" s="64">
        <v>0</v>
      </c>
      <c r="P99" s="64">
        <v>0.36</v>
      </c>
      <c r="Q99" s="216" t="s">
        <v>49</v>
      </c>
      <c r="R99" s="198"/>
      <c r="S99" s="198"/>
      <c r="T99" s="198"/>
      <c r="U99" s="198"/>
    </row>
    <row r="100" spans="1:33" s="12" customFormat="1" x14ac:dyDescent="0.25">
      <c r="A100" s="214" t="s">
        <v>911</v>
      </c>
      <c r="B100" s="64">
        <v>12.17</v>
      </c>
      <c r="C100" s="64">
        <v>5.42</v>
      </c>
      <c r="D100" s="64">
        <v>12.59</v>
      </c>
      <c r="E100" s="64">
        <v>0.98</v>
      </c>
      <c r="F100" s="64">
        <v>2.35</v>
      </c>
      <c r="G100" s="64">
        <v>11.97</v>
      </c>
      <c r="H100" s="64">
        <v>4.21</v>
      </c>
      <c r="I100" s="216" t="s">
        <v>49</v>
      </c>
      <c r="J100" s="64">
        <v>0.03</v>
      </c>
      <c r="K100" s="64">
        <v>265.92</v>
      </c>
      <c r="L100" s="64">
        <v>22.59</v>
      </c>
      <c r="M100" s="64">
        <v>97.68</v>
      </c>
      <c r="N100" s="64">
        <v>30.2</v>
      </c>
      <c r="O100" s="64">
        <v>0</v>
      </c>
      <c r="P100" s="64">
        <v>0.28999999999999998</v>
      </c>
      <c r="Q100" s="216" t="s">
        <v>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912</v>
      </c>
      <c r="B101" s="64">
        <v>12.94</v>
      </c>
      <c r="C101" s="64">
        <v>9.74</v>
      </c>
      <c r="D101" s="64">
        <v>15.46</v>
      </c>
      <c r="E101" s="64">
        <v>0.98</v>
      </c>
      <c r="F101" s="64">
        <v>2.82</v>
      </c>
      <c r="G101" s="64">
        <v>11.97</v>
      </c>
      <c r="H101" s="64">
        <v>4.21</v>
      </c>
      <c r="I101" s="64">
        <v>1.71</v>
      </c>
      <c r="J101" s="64">
        <v>0.06</v>
      </c>
      <c r="K101" s="64">
        <v>86.2</v>
      </c>
      <c r="L101" s="64">
        <v>22.64</v>
      </c>
      <c r="M101" s="64">
        <v>97.56</v>
      </c>
      <c r="N101" s="64">
        <v>30.4</v>
      </c>
      <c r="O101" s="64">
        <v>0</v>
      </c>
      <c r="P101" s="64">
        <v>0.24</v>
      </c>
      <c r="Q101" s="64">
        <v>9.67</v>
      </c>
      <c r="R101" s="198"/>
      <c r="S101" s="198"/>
      <c r="T101" s="198"/>
      <c r="U101" s="198"/>
    </row>
    <row r="102" spans="1:33" s="12" customFormat="1" x14ac:dyDescent="0.25">
      <c r="A102" s="214" t="s">
        <v>913</v>
      </c>
      <c r="B102" s="64">
        <v>14.33</v>
      </c>
      <c r="C102" s="64">
        <v>13.27</v>
      </c>
      <c r="D102" s="64">
        <v>18.420000000000002</v>
      </c>
      <c r="E102" s="64">
        <v>0.98</v>
      </c>
      <c r="F102" s="64">
        <v>2.2999999999999998</v>
      </c>
      <c r="G102" s="64">
        <v>11.97</v>
      </c>
      <c r="H102" s="64">
        <v>4.21</v>
      </c>
      <c r="I102" s="64">
        <v>1.74</v>
      </c>
      <c r="J102" s="64">
        <v>0.02</v>
      </c>
      <c r="K102" s="64">
        <v>22.03</v>
      </c>
      <c r="L102" s="64">
        <v>22.75</v>
      </c>
      <c r="M102" s="64">
        <v>97.53</v>
      </c>
      <c r="N102" s="64">
        <v>30.1</v>
      </c>
      <c r="O102" s="64">
        <v>0</v>
      </c>
      <c r="P102" s="64">
        <v>0.28000000000000003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14" t="s">
        <v>914</v>
      </c>
      <c r="B103" s="64">
        <v>12.39</v>
      </c>
      <c r="C103" s="64">
        <v>15.27</v>
      </c>
      <c r="D103" s="64">
        <v>17.920000000000002</v>
      </c>
      <c r="E103" s="64">
        <v>0.98</v>
      </c>
      <c r="F103" s="64">
        <v>2.5499999999999998</v>
      </c>
      <c r="G103" s="64">
        <v>5.63</v>
      </c>
      <c r="H103" s="64">
        <v>4.2699999999999996</v>
      </c>
      <c r="I103" s="64">
        <v>1.75</v>
      </c>
      <c r="J103" s="64">
        <v>0.06</v>
      </c>
      <c r="K103" s="64">
        <v>220.57</v>
      </c>
      <c r="L103" s="64">
        <v>22.75</v>
      </c>
      <c r="M103" s="64">
        <v>98.1</v>
      </c>
      <c r="N103" s="64">
        <v>30.2</v>
      </c>
      <c r="O103" s="64">
        <v>0</v>
      </c>
      <c r="P103" s="64">
        <v>0.26</v>
      </c>
      <c r="Q103" s="64">
        <v>9.5299999999999994</v>
      </c>
      <c r="R103" s="198"/>
      <c r="S103" s="198"/>
      <c r="T103" s="198"/>
      <c r="U103" s="198"/>
    </row>
    <row r="104" spans="1:33" s="12" customFormat="1" x14ac:dyDescent="0.25">
      <c r="A104" s="214" t="s">
        <v>915</v>
      </c>
      <c r="B104" s="64">
        <v>9.5299999999999994</v>
      </c>
      <c r="C104" s="64">
        <v>15.46</v>
      </c>
      <c r="D104" s="64">
        <v>15.72</v>
      </c>
      <c r="E104" s="64">
        <v>4.07</v>
      </c>
      <c r="F104" s="64">
        <v>2.87</v>
      </c>
      <c r="G104" s="64">
        <v>33.75</v>
      </c>
      <c r="H104" s="64">
        <v>22.43</v>
      </c>
      <c r="I104" s="64">
        <v>1.76</v>
      </c>
      <c r="J104" s="64">
        <v>0.05</v>
      </c>
      <c r="K104" s="64">
        <v>359.73</v>
      </c>
      <c r="L104" s="64">
        <v>22.78</v>
      </c>
      <c r="M104" s="64">
        <v>97.62</v>
      </c>
      <c r="N104" s="64">
        <v>30.3</v>
      </c>
      <c r="O104" s="64">
        <v>0</v>
      </c>
      <c r="P104" s="64">
        <v>0.17</v>
      </c>
      <c r="Q104" s="64">
        <v>9.52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</v>
      </c>
      <c r="C106" s="67">
        <f>MIN(C9:C104)</f>
        <v>4.5999999999999996</v>
      </c>
      <c r="D106" s="67">
        <f t="shared" ref="D106:Q106" si="0">MIN(D9:D104)</f>
        <v>6.42</v>
      </c>
      <c r="E106" s="67">
        <f t="shared" si="0"/>
        <v>0.98</v>
      </c>
      <c r="F106" s="67">
        <f t="shared" si="0"/>
        <v>2.2999999999999998</v>
      </c>
      <c r="G106" s="67">
        <f t="shared" si="0"/>
        <v>0</v>
      </c>
      <c r="H106" s="67">
        <f t="shared" si="0"/>
        <v>2.99</v>
      </c>
      <c r="I106" s="67">
        <f t="shared" si="0"/>
        <v>0.95</v>
      </c>
      <c r="J106" s="67">
        <f t="shared" si="0"/>
        <v>0.02</v>
      </c>
      <c r="K106" s="67">
        <f t="shared" si="0"/>
        <v>21.97</v>
      </c>
      <c r="L106" s="67">
        <f t="shared" si="0"/>
        <v>1.41</v>
      </c>
      <c r="M106" s="67">
        <f t="shared" si="0"/>
        <v>61.82</v>
      </c>
      <c r="N106" s="67">
        <f t="shared" si="0"/>
        <v>29.5</v>
      </c>
      <c r="O106" s="67">
        <f t="shared" si="0"/>
        <v>0</v>
      </c>
      <c r="P106" s="67">
        <f t="shared" si="0"/>
        <v>0.14000000000000001</v>
      </c>
      <c r="Q106" s="67">
        <f t="shared" si="0"/>
        <v>9.41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18.53</v>
      </c>
      <c r="C107" s="66">
        <f t="shared" ref="C107:Q107" si="1">MAX(C9:C104)</f>
        <v>22.89</v>
      </c>
      <c r="D107" s="66">
        <f t="shared" si="1"/>
        <v>23.49</v>
      </c>
      <c r="E107" s="66">
        <f t="shared" si="1"/>
        <v>5.23</v>
      </c>
      <c r="F107" s="66">
        <f t="shared" si="1"/>
        <v>14.16</v>
      </c>
      <c r="G107" s="66">
        <f t="shared" si="1"/>
        <v>50.6</v>
      </c>
      <c r="H107" s="66">
        <f t="shared" si="1"/>
        <v>22.43</v>
      </c>
      <c r="I107" s="66">
        <f t="shared" si="1"/>
        <v>2.08</v>
      </c>
      <c r="J107" s="66">
        <f t="shared" si="1"/>
        <v>0.75</v>
      </c>
      <c r="K107" s="66">
        <f t="shared" si="1"/>
        <v>359.73</v>
      </c>
      <c r="L107" s="66">
        <f t="shared" si="1"/>
        <v>33.19</v>
      </c>
      <c r="M107" s="66">
        <f t="shared" si="1"/>
        <v>98.57</v>
      </c>
      <c r="N107" s="66">
        <f t="shared" si="1"/>
        <v>899.7</v>
      </c>
      <c r="O107" s="66">
        <f t="shared" si="1"/>
        <v>5.4</v>
      </c>
      <c r="P107" s="66">
        <f t="shared" si="1"/>
        <v>0.78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8.3215294117647112</v>
      </c>
      <c r="C108" s="67">
        <f t="shared" ref="C108:Q108" si="2">AVERAGE(C9:C104)</f>
        <v>9.3035294117647087</v>
      </c>
      <c r="D108" s="67">
        <f t="shared" si="2"/>
        <v>11.533058823529412</v>
      </c>
      <c r="E108" s="67">
        <f t="shared" si="2"/>
        <v>4.4581395348837205</v>
      </c>
      <c r="F108" s="67">
        <f t="shared" si="2"/>
        <v>7.5782758620689634</v>
      </c>
      <c r="G108" s="67">
        <f t="shared" si="2"/>
        <v>32.953333333333326</v>
      </c>
      <c r="H108" s="67">
        <f t="shared" si="2"/>
        <v>6.6039080459770094</v>
      </c>
      <c r="I108" s="67">
        <f t="shared" si="2"/>
        <v>1.4434939759036138</v>
      </c>
      <c r="J108" s="67">
        <f t="shared" si="2"/>
        <v>0.19540229885057481</v>
      </c>
      <c r="K108" s="67">
        <f t="shared" si="2"/>
        <v>239.26563218390797</v>
      </c>
      <c r="L108" s="67">
        <f t="shared" si="2"/>
        <v>26.479655172413793</v>
      </c>
      <c r="M108" s="67">
        <f t="shared" si="2"/>
        <v>87.83793103448275</v>
      </c>
      <c r="N108" s="67">
        <f t="shared" si="2"/>
        <v>204.99655172413799</v>
      </c>
      <c r="O108" s="67">
        <f t="shared" si="2"/>
        <v>0.13793103448275865</v>
      </c>
      <c r="P108" s="67">
        <f t="shared" si="2"/>
        <v>0.35666666666666658</v>
      </c>
      <c r="Q108" s="67">
        <f t="shared" si="2"/>
        <v>9.5326506024096354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2.6886226363460066</v>
      </c>
      <c r="C109" s="67">
        <f t="shared" ref="C109:Q109" si="3">STDEV(C9:C104)</f>
        <v>3.5097149883886374</v>
      </c>
      <c r="D109" s="67">
        <f t="shared" si="3"/>
        <v>2.9324380493311679</v>
      </c>
      <c r="E109" s="67">
        <f t="shared" si="3"/>
        <v>0.81493920614529136</v>
      </c>
      <c r="F109" s="67">
        <f t="shared" si="3"/>
        <v>2.741987145194273</v>
      </c>
      <c r="G109" s="67">
        <f t="shared" si="3"/>
        <v>11.83686384716975</v>
      </c>
      <c r="H109" s="67">
        <f t="shared" si="3"/>
        <v>2.9764835489260708</v>
      </c>
      <c r="I109" s="67">
        <f t="shared" si="3"/>
        <v>0.34416896635561756</v>
      </c>
      <c r="J109" s="67">
        <f t="shared" si="3"/>
        <v>0.16519758851287067</v>
      </c>
      <c r="K109" s="67">
        <f t="shared" si="3"/>
        <v>83.539781620845318</v>
      </c>
      <c r="L109" s="67">
        <f t="shared" si="3"/>
        <v>5.3588117930376642</v>
      </c>
      <c r="M109" s="67">
        <f t="shared" si="3"/>
        <v>12.444905013132297</v>
      </c>
      <c r="N109" s="67">
        <f t="shared" si="3"/>
        <v>231.45703174911463</v>
      </c>
      <c r="O109" s="67">
        <f t="shared" si="3"/>
        <v>0.70169916354423922</v>
      </c>
      <c r="P109" s="67">
        <f t="shared" si="3"/>
        <v>0.13047914086761303</v>
      </c>
      <c r="Q109" s="67">
        <f t="shared" si="3"/>
        <v>7.2936396236543979E-2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COUNT(B9:B104)+11</f>
        <v>96</v>
      </c>
      <c r="C110" s="66">
        <f t="shared" ref="C110:D110" si="4">COUNT(C9:C104)+11</f>
        <v>96</v>
      </c>
      <c r="D110" s="66">
        <f t="shared" si="4"/>
        <v>96</v>
      </c>
      <c r="E110" s="66">
        <f>COUNT(E9:E104)+10</f>
        <v>96</v>
      </c>
      <c r="F110" s="66">
        <f>COUNT(F9:F104)+9</f>
        <v>96</v>
      </c>
      <c r="G110" s="66">
        <f>COUNT(G9:G104)+9</f>
        <v>96</v>
      </c>
      <c r="H110" s="66">
        <f>COUNT(H9:H104)+9</f>
        <v>96</v>
      </c>
      <c r="I110" s="66">
        <f>COUNT(I9:I104)+13</f>
        <v>96</v>
      </c>
      <c r="J110" s="66">
        <f>COUNT(J9:J104)+9</f>
        <v>96</v>
      </c>
      <c r="K110" s="66">
        <f t="shared" ref="K110:P110" si="5">COUNT(K9:K104)+9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>COUNT(Q9:Q104)+13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916</v>
      </c>
      <c r="B9" s="64">
        <v>8.7899999999999991</v>
      </c>
      <c r="C9" s="64">
        <v>11.36</v>
      </c>
      <c r="D9" s="64">
        <v>12.98</v>
      </c>
      <c r="E9" s="64">
        <v>4</v>
      </c>
      <c r="F9" s="64">
        <v>4.47</v>
      </c>
      <c r="G9" s="64">
        <v>33.75</v>
      </c>
      <c r="H9" s="64">
        <v>22.43</v>
      </c>
      <c r="I9" s="64">
        <v>1.76</v>
      </c>
      <c r="J9" s="64">
        <v>0.05</v>
      </c>
      <c r="K9" s="64">
        <v>303.44</v>
      </c>
      <c r="L9" s="64">
        <v>22.81</v>
      </c>
      <c r="M9" s="64">
        <v>98.2</v>
      </c>
      <c r="N9" s="64">
        <v>30.2</v>
      </c>
      <c r="O9" s="64">
        <v>0</v>
      </c>
      <c r="P9" s="64">
        <v>0.12</v>
      </c>
      <c r="Q9" s="64">
        <v>9.52</v>
      </c>
      <c r="R9" s="198"/>
      <c r="S9" s="198"/>
      <c r="T9" s="198"/>
      <c r="U9" s="198"/>
    </row>
    <row r="10" spans="1:21" s="12" customFormat="1" x14ac:dyDescent="0.25">
      <c r="A10" s="214" t="s">
        <v>917</v>
      </c>
      <c r="B10" s="64">
        <v>10.78</v>
      </c>
      <c r="C10" s="64">
        <v>7.86</v>
      </c>
      <c r="D10" s="64">
        <v>12.75</v>
      </c>
      <c r="E10" s="64">
        <v>3.45</v>
      </c>
      <c r="F10" s="64">
        <v>2.4500000000000002</v>
      </c>
      <c r="G10" s="64">
        <v>33.75</v>
      </c>
      <c r="H10" s="64">
        <v>22.43</v>
      </c>
      <c r="I10" s="64">
        <v>1.74</v>
      </c>
      <c r="J10" s="64">
        <v>0.02</v>
      </c>
      <c r="K10" s="64">
        <v>245.81</v>
      </c>
      <c r="L10" s="64">
        <v>22.75</v>
      </c>
      <c r="M10" s="64">
        <v>98.18</v>
      </c>
      <c r="N10" s="64">
        <v>30.2</v>
      </c>
      <c r="O10" s="64">
        <v>0</v>
      </c>
      <c r="P10" s="64">
        <v>0.13</v>
      </c>
      <c r="Q10" s="64">
        <v>9.51</v>
      </c>
      <c r="R10" s="198"/>
      <c r="S10" s="198"/>
      <c r="T10" s="198"/>
      <c r="U10" s="198"/>
    </row>
    <row r="11" spans="1:21" s="12" customFormat="1" x14ac:dyDescent="0.25">
      <c r="A11" s="214" t="s">
        <v>918</v>
      </c>
      <c r="B11" s="64">
        <v>8.2100000000000009</v>
      </c>
      <c r="C11" s="64">
        <v>8.92</v>
      </c>
      <c r="D11" s="64">
        <v>11.25</v>
      </c>
      <c r="E11" s="64">
        <v>2.84</v>
      </c>
      <c r="F11" s="64">
        <v>7.02</v>
      </c>
      <c r="G11" s="64">
        <v>31.87</v>
      </c>
      <c r="H11" s="64">
        <v>21.02</v>
      </c>
      <c r="I11" s="64">
        <v>1.72</v>
      </c>
      <c r="J11" s="64">
        <v>0.25</v>
      </c>
      <c r="K11" s="64">
        <v>131.24</v>
      </c>
      <c r="L11" s="64">
        <v>22.78</v>
      </c>
      <c r="M11" s="64">
        <v>98.24</v>
      </c>
      <c r="N11" s="64">
        <v>30.1</v>
      </c>
      <c r="O11" s="64">
        <v>0</v>
      </c>
      <c r="P11" s="64">
        <v>0.01</v>
      </c>
      <c r="Q11" s="64">
        <v>9.5</v>
      </c>
      <c r="R11" s="198"/>
      <c r="S11" s="198"/>
      <c r="T11" s="198"/>
      <c r="U11" s="198"/>
    </row>
    <row r="12" spans="1:21" s="12" customFormat="1" x14ac:dyDescent="0.25">
      <c r="A12" s="214" t="s">
        <v>919</v>
      </c>
      <c r="B12" s="64">
        <v>11.27</v>
      </c>
      <c r="C12" s="64">
        <v>5.87</v>
      </c>
      <c r="D12" s="64">
        <v>12.1</v>
      </c>
      <c r="E12" s="64">
        <v>2.34</v>
      </c>
      <c r="F12" s="64">
        <v>3.85</v>
      </c>
      <c r="G12" s="64">
        <v>22.46</v>
      </c>
      <c r="H12" s="64">
        <v>15.03</v>
      </c>
      <c r="I12" s="64">
        <v>1.71</v>
      </c>
      <c r="J12" s="64">
        <v>7.0000000000000007E-2</v>
      </c>
      <c r="K12" s="64">
        <v>107.57</v>
      </c>
      <c r="L12" s="64">
        <v>22.83</v>
      </c>
      <c r="M12" s="64">
        <v>98.21</v>
      </c>
      <c r="N12" s="64">
        <v>30.2</v>
      </c>
      <c r="O12" s="64">
        <v>0</v>
      </c>
      <c r="P12" s="64">
        <v>0.11</v>
      </c>
      <c r="Q12" s="64">
        <v>9.49</v>
      </c>
      <c r="R12" s="198"/>
      <c r="S12" s="198"/>
      <c r="T12" s="198"/>
      <c r="U12" s="198"/>
    </row>
    <row r="13" spans="1:21" s="12" customFormat="1" x14ac:dyDescent="0.25">
      <c r="A13" s="214" t="s">
        <v>920</v>
      </c>
      <c r="B13" s="64">
        <v>9.65</v>
      </c>
      <c r="C13" s="64">
        <v>7.11</v>
      </c>
      <c r="D13" s="64">
        <v>11.46</v>
      </c>
      <c r="E13" s="64">
        <v>2.23</v>
      </c>
      <c r="F13" s="64">
        <v>6.18</v>
      </c>
      <c r="G13" s="64">
        <v>22.46</v>
      </c>
      <c r="H13" s="64">
        <v>15.03</v>
      </c>
      <c r="I13" s="64">
        <v>1.68</v>
      </c>
      <c r="J13" s="64">
        <v>0.13</v>
      </c>
      <c r="K13" s="64">
        <v>135.37</v>
      </c>
      <c r="L13" s="64">
        <v>22.77</v>
      </c>
      <c r="M13" s="64">
        <v>97.8</v>
      </c>
      <c r="N13" s="64">
        <v>30.3</v>
      </c>
      <c r="O13" s="64">
        <v>0</v>
      </c>
      <c r="P13" s="64">
        <v>0.26</v>
      </c>
      <c r="Q13" s="64">
        <v>9.49</v>
      </c>
      <c r="R13" s="198"/>
      <c r="S13" s="198"/>
      <c r="T13" s="198"/>
      <c r="U13" s="198"/>
    </row>
    <row r="14" spans="1:21" s="12" customFormat="1" x14ac:dyDescent="0.25">
      <c r="A14" s="214" t="s">
        <v>921</v>
      </c>
      <c r="B14" s="64">
        <v>9.0299999999999994</v>
      </c>
      <c r="C14" s="64">
        <v>9.91</v>
      </c>
      <c r="D14" s="64">
        <v>12.42</v>
      </c>
      <c r="E14" s="64">
        <v>2.29</v>
      </c>
      <c r="F14" s="64">
        <v>7.74</v>
      </c>
      <c r="G14" s="64">
        <v>22.46</v>
      </c>
      <c r="H14" s="64">
        <v>15.03</v>
      </c>
      <c r="I14" s="64">
        <v>1.66</v>
      </c>
      <c r="J14" s="64">
        <v>0.66</v>
      </c>
      <c r="K14" s="64">
        <v>136.27000000000001</v>
      </c>
      <c r="L14" s="64">
        <v>22.62</v>
      </c>
      <c r="M14" s="64">
        <v>97.99</v>
      </c>
      <c r="N14" s="64">
        <v>30.3</v>
      </c>
      <c r="O14" s="64">
        <v>0</v>
      </c>
      <c r="P14" s="64">
        <v>0.28999999999999998</v>
      </c>
      <c r="Q14" s="64">
        <v>9.49</v>
      </c>
      <c r="R14" s="198"/>
      <c r="S14" s="198"/>
      <c r="T14" s="198"/>
      <c r="U14" s="198"/>
    </row>
    <row r="15" spans="1:21" s="12" customFormat="1" x14ac:dyDescent="0.25">
      <c r="A15" s="214" t="s">
        <v>922</v>
      </c>
      <c r="B15" s="64">
        <v>8.1</v>
      </c>
      <c r="C15" s="64">
        <v>11.64</v>
      </c>
      <c r="D15" s="64">
        <v>12.58</v>
      </c>
      <c r="E15" s="64">
        <v>2.2400000000000002</v>
      </c>
      <c r="F15" s="64">
        <v>7.33</v>
      </c>
      <c r="G15" s="64">
        <v>21.34</v>
      </c>
      <c r="H15" s="64">
        <v>14.39</v>
      </c>
      <c r="I15" s="64">
        <v>1.62</v>
      </c>
      <c r="J15" s="64">
        <v>0.32</v>
      </c>
      <c r="K15" s="64">
        <v>131.93</v>
      </c>
      <c r="L15" s="64">
        <v>22.72</v>
      </c>
      <c r="M15" s="64">
        <v>97.95</v>
      </c>
      <c r="N15" s="64">
        <v>30.1</v>
      </c>
      <c r="O15" s="64">
        <v>0</v>
      </c>
      <c r="P15" s="64">
        <v>0.24</v>
      </c>
      <c r="Q15" s="64">
        <v>9.49</v>
      </c>
      <c r="R15" s="198"/>
      <c r="S15" s="198"/>
      <c r="T15" s="198"/>
      <c r="U15" s="198"/>
    </row>
    <row r="16" spans="1:21" s="12" customFormat="1" x14ac:dyDescent="0.25">
      <c r="A16" s="214" t="s">
        <v>923</v>
      </c>
      <c r="B16" s="64">
        <v>8.08</v>
      </c>
      <c r="C16" s="64">
        <v>10.19</v>
      </c>
      <c r="D16" s="64">
        <v>11.8</v>
      </c>
      <c r="E16" s="64">
        <v>1.99</v>
      </c>
      <c r="F16" s="64">
        <v>5.74</v>
      </c>
      <c r="G16" s="64">
        <v>15.76</v>
      </c>
      <c r="H16" s="64">
        <v>10.37</v>
      </c>
      <c r="I16" s="64">
        <v>1.61</v>
      </c>
      <c r="J16" s="64">
        <v>0.48</v>
      </c>
      <c r="K16" s="64">
        <v>134.72</v>
      </c>
      <c r="L16" s="64">
        <v>22.65</v>
      </c>
      <c r="M16" s="64">
        <v>97.94</v>
      </c>
      <c r="N16" s="64">
        <v>30.3</v>
      </c>
      <c r="O16" s="64">
        <v>0</v>
      </c>
      <c r="P16" s="64">
        <v>0.28000000000000003</v>
      </c>
      <c r="Q16" s="64">
        <v>9.49</v>
      </c>
      <c r="R16" s="198"/>
      <c r="S16" s="198"/>
      <c r="T16" s="198"/>
      <c r="U16" s="198"/>
    </row>
    <row r="17" spans="1:21" s="12" customFormat="1" x14ac:dyDescent="0.25">
      <c r="A17" s="214" t="s">
        <v>924</v>
      </c>
      <c r="B17" s="64">
        <v>8.2200000000000006</v>
      </c>
      <c r="C17" s="64">
        <v>11.38</v>
      </c>
      <c r="D17" s="64">
        <v>12.53</v>
      </c>
      <c r="E17" s="64">
        <v>1.83</v>
      </c>
      <c r="F17" s="64">
        <v>7.28</v>
      </c>
      <c r="G17" s="64">
        <v>15.76</v>
      </c>
      <c r="H17" s="64">
        <v>10.37</v>
      </c>
      <c r="I17" s="64">
        <v>1.6</v>
      </c>
      <c r="J17" s="64">
        <v>0.35</v>
      </c>
      <c r="K17" s="64">
        <v>136.63</v>
      </c>
      <c r="L17" s="64">
        <v>22.69</v>
      </c>
      <c r="M17" s="64">
        <v>97.93</v>
      </c>
      <c r="N17" s="64">
        <v>30.2</v>
      </c>
      <c r="O17" s="64">
        <v>0</v>
      </c>
      <c r="P17" s="64">
        <v>0.26</v>
      </c>
      <c r="Q17" s="64">
        <v>9.49</v>
      </c>
      <c r="R17" s="198"/>
      <c r="S17" s="198"/>
      <c r="T17" s="198"/>
      <c r="U17" s="198"/>
    </row>
    <row r="18" spans="1:21" s="12" customFormat="1" x14ac:dyDescent="0.25">
      <c r="A18" s="214" t="s">
        <v>925</v>
      </c>
      <c r="B18" s="64">
        <v>7.3</v>
      </c>
      <c r="C18" s="64">
        <v>8.61</v>
      </c>
      <c r="D18" s="64">
        <v>10.36</v>
      </c>
      <c r="E18" s="64">
        <v>1.78</v>
      </c>
      <c r="F18" s="64">
        <v>6.96</v>
      </c>
      <c r="G18" s="64">
        <v>15.76</v>
      </c>
      <c r="H18" s="64">
        <v>10.37</v>
      </c>
      <c r="I18" s="64">
        <v>1.57</v>
      </c>
      <c r="J18" s="64">
        <v>0.03</v>
      </c>
      <c r="K18" s="64">
        <v>337.15</v>
      </c>
      <c r="L18" s="64">
        <v>22.79</v>
      </c>
      <c r="M18" s="64">
        <v>98</v>
      </c>
      <c r="N18" s="64">
        <v>30.2</v>
      </c>
      <c r="O18" s="64">
        <v>0</v>
      </c>
      <c r="P18" s="64">
        <v>0.21</v>
      </c>
      <c r="Q18" s="64">
        <v>9.48</v>
      </c>
      <c r="R18" s="198"/>
      <c r="S18" s="198"/>
      <c r="T18" s="198"/>
      <c r="U18" s="198"/>
    </row>
    <row r="19" spans="1:21" s="12" customFormat="1" x14ac:dyDescent="0.25">
      <c r="A19" s="214" t="s">
        <v>926</v>
      </c>
      <c r="B19" s="64">
        <v>6.94</v>
      </c>
      <c r="C19" s="64">
        <v>6.72</v>
      </c>
      <c r="D19" s="64">
        <v>9.08</v>
      </c>
      <c r="E19" s="64">
        <v>1.83</v>
      </c>
      <c r="F19" s="64">
        <v>6.24</v>
      </c>
      <c r="G19" s="64">
        <v>16.71</v>
      </c>
      <c r="H19" s="64">
        <v>10.76</v>
      </c>
      <c r="I19" s="64">
        <v>1.55</v>
      </c>
      <c r="J19" s="64">
        <v>0.04</v>
      </c>
      <c r="K19" s="64">
        <v>266.79000000000002</v>
      </c>
      <c r="L19" s="64">
        <v>22.79</v>
      </c>
      <c r="M19" s="64">
        <v>98.08</v>
      </c>
      <c r="N19" s="64">
        <v>30.1</v>
      </c>
      <c r="O19" s="64">
        <v>0</v>
      </c>
      <c r="P19" s="64">
        <v>0.21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4" t="s">
        <v>927</v>
      </c>
      <c r="B20" s="64">
        <v>7.46</v>
      </c>
      <c r="C20" s="64">
        <v>6.18</v>
      </c>
      <c r="D20" s="64">
        <v>9.2100000000000009</v>
      </c>
      <c r="E20" s="64">
        <v>1.63</v>
      </c>
      <c r="F20" s="64">
        <v>5.67</v>
      </c>
      <c r="G20" s="64">
        <v>21.44</v>
      </c>
      <c r="H20" s="64">
        <v>12.28</v>
      </c>
      <c r="I20" s="64">
        <v>1.52</v>
      </c>
      <c r="J20" s="64">
        <v>0.05</v>
      </c>
      <c r="K20" s="64">
        <v>270.83</v>
      </c>
      <c r="L20" s="64">
        <v>22.81</v>
      </c>
      <c r="M20" s="64">
        <v>98.06</v>
      </c>
      <c r="N20" s="64">
        <v>30.2</v>
      </c>
      <c r="O20" s="64">
        <v>0</v>
      </c>
      <c r="P20" s="64">
        <v>0.22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4" t="s">
        <v>928</v>
      </c>
      <c r="B21" s="64">
        <v>9.16</v>
      </c>
      <c r="C21" s="64">
        <v>5.29</v>
      </c>
      <c r="D21" s="64">
        <v>10.11</v>
      </c>
      <c r="E21" s="64">
        <v>1.56</v>
      </c>
      <c r="F21" s="64">
        <v>3.48</v>
      </c>
      <c r="G21" s="64">
        <v>21.44</v>
      </c>
      <c r="H21" s="64">
        <v>12.28</v>
      </c>
      <c r="I21" s="64">
        <v>1.5</v>
      </c>
      <c r="J21" s="64">
        <v>0.06</v>
      </c>
      <c r="K21" s="64">
        <v>120.82</v>
      </c>
      <c r="L21" s="64">
        <v>22.79</v>
      </c>
      <c r="M21" s="64">
        <v>97.92</v>
      </c>
      <c r="N21" s="64">
        <v>30.3</v>
      </c>
      <c r="O21" s="64">
        <v>0</v>
      </c>
      <c r="P21" s="64">
        <v>0.31</v>
      </c>
      <c r="Q21" s="64">
        <v>9.43</v>
      </c>
      <c r="R21" s="198"/>
      <c r="S21" s="198"/>
      <c r="T21" s="198"/>
      <c r="U21" s="198"/>
    </row>
    <row r="22" spans="1:21" s="12" customFormat="1" x14ac:dyDescent="0.25">
      <c r="A22" s="214" t="s">
        <v>929</v>
      </c>
      <c r="B22" s="64">
        <v>8.06</v>
      </c>
      <c r="C22" s="64">
        <v>5.6</v>
      </c>
      <c r="D22" s="64">
        <v>9.39</v>
      </c>
      <c r="E22" s="64">
        <v>1.44</v>
      </c>
      <c r="F22" s="64">
        <v>6.49</v>
      </c>
      <c r="G22" s="64">
        <v>21.44</v>
      </c>
      <c r="H22" s="64">
        <v>12.28</v>
      </c>
      <c r="I22" s="64">
        <v>1.47</v>
      </c>
      <c r="J22" s="64">
        <v>7.0000000000000007E-2</v>
      </c>
      <c r="K22" s="64">
        <v>139.37</v>
      </c>
      <c r="L22" s="64">
        <v>22.76</v>
      </c>
      <c r="M22" s="64">
        <v>97.9</v>
      </c>
      <c r="N22" s="64">
        <v>30.2</v>
      </c>
      <c r="O22" s="64">
        <v>0</v>
      </c>
      <c r="P22" s="64">
        <v>0.21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14" t="s">
        <v>930</v>
      </c>
      <c r="B23" s="64">
        <v>8.27</v>
      </c>
      <c r="C23" s="64">
        <v>5.76</v>
      </c>
      <c r="D23" s="64">
        <v>9.64</v>
      </c>
      <c r="E23" s="64">
        <v>1.73</v>
      </c>
      <c r="F23" s="64">
        <v>3.73</v>
      </c>
      <c r="G23" s="64">
        <v>20.57</v>
      </c>
      <c r="H23" s="64">
        <v>12.04</v>
      </c>
      <c r="I23" s="64">
        <v>1.43</v>
      </c>
      <c r="J23" s="64">
        <v>0.03</v>
      </c>
      <c r="K23" s="64">
        <v>27.04</v>
      </c>
      <c r="L23" s="64">
        <v>22.78</v>
      </c>
      <c r="M23" s="64">
        <v>97.92</v>
      </c>
      <c r="N23" s="64">
        <v>30.1</v>
      </c>
      <c r="O23" s="64">
        <v>0</v>
      </c>
      <c r="P23" s="64">
        <v>0.28000000000000003</v>
      </c>
      <c r="Q23" s="64">
        <v>9.39</v>
      </c>
      <c r="R23" s="198"/>
      <c r="S23" s="198"/>
      <c r="T23" s="198"/>
      <c r="U23" s="198"/>
    </row>
    <row r="24" spans="1:21" s="12" customFormat="1" x14ac:dyDescent="0.25">
      <c r="A24" s="214" t="s">
        <v>931</v>
      </c>
      <c r="B24" s="64">
        <v>7.09</v>
      </c>
      <c r="C24" s="64">
        <v>7.2</v>
      </c>
      <c r="D24" s="64">
        <v>9.4499999999999993</v>
      </c>
      <c r="E24" s="64">
        <v>1.35</v>
      </c>
      <c r="F24" s="64">
        <v>4.13</v>
      </c>
      <c r="G24" s="64">
        <v>16.170000000000002</v>
      </c>
      <c r="H24" s="64">
        <v>11.12</v>
      </c>
      <c r="I24" s="64">
        <v>1.41</v>
      </c>
      <c r="J24" s="64">
        <v>0.02</v>
      </c>
      <c r="K24" s="64">
        <v>209.57</v>
      </c>
      <c r="L24" s="64">
        <v>22.78</v>
      </c>
      <c r="M24" s="64">
        <v>97.95</v>
      </c>
      <c r="N24" s="64">
        <v>29.9</v>
      </c>
      <c r="O24" s="64">
        <v>0</v>
      </c>
      <c r="P24" s="64">
        <v>0.21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14" t="s">
        <v>932</v>
      </c>
      <c r="B25" s="64">
        <v>9.01</v>
      </c>
      <c r="C25" s="64">
        <v>5.89</v>
      </c>
      <c r="D25" s="64">
        <v>10.31</v>
      </c>
      <c r="E25" s="64">
        <v>1.17</v>
      </c>
      <c r="F25" s="64">
        <v>2.65</v>
      </c>
      <c r="G25" s="64">
        <v>16.170000000000002</v>
      </c>
      <c r="H25" s="64">
        <v>11.12</v>
      </c>
      <c r="I25" s="64">
        <v>1.39</v>
      </c>
      <c r="J25" s="64">
        <v>0.03</v>
      </c>
      <c r="K25" s="64">
        <v>282.63</v>
      </c>
      <c r="L25" s="64">
        <v>22.77</v>
      </c>
      <c r="M25" s="64">
        <v>98.1</v>
      </c>
      <c r="N25" s="64">
        <v>30.1</v>
      </c>
      <c r="O25" s="64">
        <v>0</v>
      </c>
      <c r="P25" s="64">
        <v>0.31</v>
      </c>
      <c r="Q25" s="64">
        <v>9.39</v>
      </c>
      <c r="R25" s="198"/>
      <c r="S25" s="198"/>
      <c r="T25" s="198"/>
      <c r="U25" s="198"/>
    </row>
    <row r="26" spans="1:21" s="12" customFormat="1" x14ac:dyDescent="0.25">
      <c r="A26" s="214" t="s">
        <v>933</v>
      </c>
      <c r="B26" s="64">
        <v>7.07</v>
      </c>
      <c r="C26" s="64">
        <v>6.91</v>
      </c>
      <c r="D26" s="64">
        <v>9.2799999999999994</v>
      </c>
      <c r="E26" s="64">
        <v>1.1399999999999999</v>
      </c>
      <c r="F26" s="64">
        <v>4.66</v>
      </c>
      <c r="G26" s="64">
        <v>16.170000000000002</v>
      </c>
      <c r="H26" s="64">
        <v>11.12</v>
      </c>
      <c r="I26" s="64">
        <v>1.36</v>
      </c>
      <c r="J26" s="64">
        <v>0.03</v>
      </c>
      <c r="K26" s="64">
        <v>122.4</v>
      </c>
      <c r="L26" s="64">
        <v>22.75</v>
      </c>
      <c r="M26" s="64">
        <v>98.12</v>
      </c>
      <c r="N26" s="64">
        <v>30</v>
      </c>
      <c r="O26" s="64">
        <v>0</v>
      </c>
      <c r="P26" s="64">
        <v>0.2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14" t="s">
        <v>934</v>
      </c>
      <c r="B27" s="64">
        <v>8.6300000000000008</v>
      </c>
      <c r="C27" s="64">
        <v>6.84</v>
      </c>
      <c r="D27" s="64">
        <v>10.5</v>
      </c>
      <c r="E27" s="64">
        <v>1.1599999999999999</v>
      </c>
      <c r="F27" s="64">
        <v>3.58</v>
      </c>
      <c r="G27" s="64">
        <v>16.239999999999998</v>
      </c>
      <c r="H27" s="64">
        <v>10.49</v>
      </c>
      <c r="I27" s="64">
        <v>1.34</v>
      </c>
      <c r="J27" s="64">
        <v>0.09</v>
      </c>
      <c r="K27" s="64">
        <v>149.4</v>
      </c>
      <c r="L27" s="64">
        <v>22.73</v>
      </c>
      <c r="M27" s="64">
        <v>98.16</v>
      </c>
      <c r="N27" s="64">
        <v>29.9</v>
      </c>
      <c r="O27" s="64">
        <v>0</v>
      </c>
      <c r="P27" s="64">
        <v>0.28000000000000003</v>
      </c>
      <c r="Q27" s="64">
        <v>9.3800000000000008</v>
      </c>
      <c r="R27" s="198"/>
      <c r="S27" s="198"/>
      <c r="T27" s="198"/>
      <c r="U27" s="198"/>
    </row>
    <row r="28" spans="1:21" s="12" customFormat="1" x14ac:dyDescent="0.25">
      <c r="A28" s="214" t="s">
        <v>935</v>
      </c>
      <c r="B28" s="64">
        <v>9.31</v>
      </c>
      <c r="C28" s="64">
        <v>10.24</v>
      </c>
      <c r="D28" s="64">
        <v>12.82</v>
      </c>
      <c r="E28" s="64">
        <v>1.39</v>
      </c>
      <c r="F28" s="64">
        <v>3.82</v>
      </c>
      <c r="G28" s="64">
        <v>16.55</v>
      </c>
      <c r="H28" s="64">
        <v>8.0399999999999991</v>
      </c>
      <c r="I28" s="64">
        <v>1.32</v>
      </c>
      <c r="J28" s="64">
        <v>0.02</v>
      </c>
      <c r="K28" s="64">
        <v>93.62</v>
      </c>
      <c r="L28" s="64">
        <v>22.75</v>
      </c>
      <c r="M28" s="64">
        <v>98.2</v>
      </c>
      <c r="N28" s="64">
        <v>30</v>
      </c>
      <c r="O28" s="64">
        <v>0</v>
      </c>
      <c r="P28" s="64">
        <v>0.24</v>
      </c>
      <c r="Q28" s="64">
        <v>9.3800000000000008</v>
      </c>
      <c r="R28" s="198"/>
      <c r="S28" s="198"/>
      <c r="T28" s="198"/>
      <c r="U28" s="198"/>
    </row>
    <row r="29" spans="1:21" s="12" customFormat="1" x14ac:dyDescent="0.25">
      <c r="A29" s="214" t="s">
        <v>936</v>
      </c>
      <c r="B29" s="64">
        <v>9.49</v>
      </c>
      <c r="C29" s="64">
        <v>7.3</v>
      </c>
      <c r="D29" s="64">
        <v>11.43</v>
      </c>
      <c r="E29" s="64">
        <v>1.1200000000000001</v>
      </c>
      <c r="F29" s="64">
        <v>3.09</v>
      </c>
      <c r="G29" s="64">
        <v>16.55</v>
      </c>
      <c r="H29" s="64">
        <v>8.0399999999999991</v>
      </c>
      <c r="I29" s="64">
        <v>1.3</v>
      </c>
      <c r="J29" s="64">
        <v>0.05</v>
      </c>
      <c r="K29" s="64">
        <v>306.72000000000003</v>
      </c>
      <c r="L29" s="64">
        <v>22.75</v>
      </c>
      <c r="M29" s="64">
        <v>98.22</v>
      </c>
      <c r="N29" s="64">
        <v>30.1</v>
      </c>
      <c r="O29" s="64">
        <v>0</v>
      </c>
      <c r="P29" s="64">
        <v>0.28000000000000003</v>
      </c>
      <c r="Q29" s="64">
        <v>9.3800000000000008</v>
      </c>
      <c r="R29" s="198"/>
      <c r="S29" s="198"/>
      <c r="T29" s="198"/>
      <c r="U29" s="198"/>
    </row>
    <row r="30" spans="1:21" s="12" customFormat="1" x14ac:dyDescent="0.25">
      <c r="A30" s="214" t="s">
        <v>937</v>
      </c>
      <c r="B30" s="64">
        <v>7.22</v>
      </c>
      <c r="C30" s="64">
        <v>8</v>
      </c>
      <c r="D30" s="64">
        <v>9.9700000000000006</v>
      </c>
      <c r="E30" s="64">
        <v>1.1200000000000001</v>
      </c>
      <c r="F30" s="64">
        <v>2.95</v>
      </c>
      <c r="G30" s="64">
        <v>16.55</v>
      </c>
      <c r="H30" s="64">
        <v>8.0399999999999991</v>
      </c>
      <c r="I30" s="64">
        <v>1.28</v>
      </c>
      <c r="J30" s="64">
        <v>7.0000000000000007E-2</v>
      </c>
      <c r="K30" s="64">
        <v>131.87</v>
      </c>
      <c r="L30" s="64">
        <v>22.76</v>
      </c>
      <c r="M30" s="64">
        <v>98.28</v>
      </c>
      <c r="N30" s="64">
        <v>30.1</v>
      </c>
      <c r="O30" s="64">
        <v>0</v>
      </c>
      <c r="P30" s="64">
        <v>0.22</v>
      </c>
      <c r="Q30" s="64">
        <v>9.3800000000000008</v>
      </c>
      <c r="R30" s="198"/>
      <c r="S30" s="198"/>
      <c r="T30" s="198"/>
      <c r="U30" s="198"/>
    </row>
    <row r="31" spans="1:21" s="12" customFormat="1" x14ac:dyDescent="0.25">
      <c r="A31" s="214" t="s">
        <v>938</v>
      </c>
      <c r="B31" s="64">
        <v>7.62</v>
      </c>
      <c r="C31" s="64">
        <v>9.17</v>
      </c>
      <c r="D31" s="64">
        <v>10.9</v>
      </c>
      <c r="E31" s="64">
        <v>0.91</v>
      </c>
      <c r="F31" s="64">
        <v>3.29</v>
      </c>
      <c r="G31" s="64">
        <v>16.12</v>
      </c>
      <c r="H31" s="64">
        <v>7.68</v>
      </c>
      <c r="I31" s="64">
        <v>1.27</v>
      </c>
      <c r="J31" s="64">
        <v>0.05</v>
      </c>
      <c r="K31" s="64">
        <v>141.72999999999999</v>
      </c>
      <c r="L31" s="64">
        <v>22.77</v>
      </c>
      <c r="M31" s="64">
        <v>98.3</v>
      </c>
      <c r="N31" s="64">
        <v>33.299999999999997</v>
      </c>
      <c r="O31" s="64">
        <v>0</v>
      </c>
      <c r="P31" s="64">
        <v>0.25</v>
      </c>
      <c r="Q31" s="64">
        <v>9.39</v>
      </c>
      <c r="R31" s="198"/>
      <c r="S31" s="198"/>
      <c r="T31" s="198"/>
      <c r="U31" s="198"/>
    </row>
    <row r="32" spans="1:21" s="12" customFormat="1" x14ac:dyDescent="0.25">
      <c r="A32" s="214" t="s">
        <v>939</v>
      </c>
      <c r="B32" s="64">
        <v>8.65</v>
      </c>
      <c r="C32" s="64">
        <v>9.3000000000000007</v>
      </c>
      <c r="D32" s="64">
        <v>11.8</v>
      </c>
      <c r="E32" s="64">
        <v>1.01</v>
      </c>
      <c r="F32" s="64">
        <v>2.97</v>
      </c>
      <c r="G32" s="64">
        <v>13.94</v>
      </c>
      <c r="H32" s="64">
        <v>5.63</v>
      </c>
      <c r="I32" s="64">
        <v>1.24</v>
      </c>
      <c r="J32" s="64">
        <v>0.04</v>
      </c>
      <c r="K32" s="64">
        <v>178.32</v>
      </c>
      <c r="L32" s="64">
        <v>22.89</v>
      </c>
      <c r="M32" s="64">
        <v>98.3</v>
      </c>
      <c r="N32" s="64">
        <v>42.7</v>
      </c>
      <c r="O32" s="64">
        <v>0</v>
      </c>
      <c r="P32" s="64">
        <v>0.24</v>
      </c>
      <c r="Q32" s="64">
        <v>9.41</v>
      </c>
      <c r="R32" s="198"/>
      <c r="S32" s="198"/>
      <c r="T32" s="198"/>
      <c r="U32" s="198"/>
    </row>
    <row r="33" spans="1:21" s="12" customFormat="1" x14ac:dyDescent="0.25">
      <c r="A33" s="214" t="s">
        <v>940</v>
      </c>
      <c r="B33" s="64">
        <v>8.58</v>
      </c>
      <c r="C33" s="64">
        <v>8.39</v>
      </c>
      <c r="D33" s="64">
        <v>11.26</v>
      </c>
      <c r="E33" s="64">
        <v>1.22</v>
      </c>
      <c r="F33" s="64">
        <v>3.43</v>
      </c>
      <c r="G33" s="64">
        <v>13.94</v>
      </c>
      <c r="H33" s="64">
        <v>5.63</v>
      </c>
      <c r="I33" s="64">
        <v>1.22</v>
      </c>
      <c r="J33" s="64">
        <v>7.0000000000000007E-2</v>
      </c>
      <c r="K33" s="64">
        <v>129.99</v>
      </c>
      <c r="L33" s="64">
        <v>22.99</v>
      </c>
      <c r="M33" s="64">
        <v>98.24</v>
      </c>
      <c r="N33" s="64">
        <v>51.5</v>
      </c>
      <c r="O33" s="64">
        <v>0</v>
      </c>
      <c r="P33" s="64">
        <v>0.25</v>
      </c>
      <c r="Q33" s="64">
        <v>9.41</v>
      </c>
      <c r="R33" s="198"/>
      <c r="S33" s="198"/>
      <c r="T33" s="198"/>
      <c r="U33" s="198"/>
    </row>
    <row r="34" spans="1:21" s="12" customFormat="1" x14ac:dyDescent="0.25">
      <c r="A34" s="214" t="s">
        <v>941</v>
      </c>
      <c r="B34" s="64">
        <v>9.1300000000000008</v>
      </c>
      <c r="C34" s="64">
        <v>8.2200000000000006</v>
      </c>
      <c r="D34" s="64">
        <v>11.62</v>
      </c>
      <c r="E34" s="64">
        <v>1.06</v>
      </c>
      <c r="F34" s="64">
        <v>3.4</v>
      </c>
      <c r="G34" s="64">
        <v>13.94</v>
      </c>
      <c r="H34" s="64">
        <v>5.63</v>
      </c>
      <c r="I34" s="64">
        <v>1.22</v>
      </c>
      <c r="J34" s="64">
        <v>0.04</v>
      </c>
      <c r="K34" s="64">
        <v>140.76</v>
      </c>
      <c r="L34" s="64">
        <v>23.07</v>
      </c>
      <c r="M34" s="64">
        <v>98.2</v>
      </c>
      <c r="N34" s="64">
        <v>60.7</v>
      </c>
      <c r="O34" s="64">
        <v>0</v>
      </c>
      <c r="P34" s="64">
        <v>0.26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14" t="s">
        <v>942</v>
      </c>
      <c r="B35" s="64">
        <v>10.16</v>
      </c>
      <c r="C35" s="64">
        <v>8.59</v>
      </c>
      <c r="D35" s="64">
        <v>12.64</v>
      </c>
      <c r="E35" s="64">
        <v>1.1200000000000001</v>
      </c>
      <c r="F35" s="64">
        <v>3.42</v>
      </c>
      <c r="G35" s="64">
        <v>14.44</v>
      </c>
      <c r="H35" s="64">
        <v>6.37</v>
      </c>
      <c r="I35" s="64">
        <v>1.23</v>
      </c>
      <c r="J35" s="64">
        <v>0.1</v>
      </c>
      <c r="K35" s="64">
        <v>139.65</v>
      </c>
      <c r="L35" s="64">
        <v>23.18</v>
      </c>
      <c r="M35" s="64">
        <v>98.2</v>
      </c>
      <c r="N35" s="64">
        <v>70.5</v>
      </c>
      <c r="O35" s="64">
        <v>0</v>
      </c>
      <c r="P35" s="64">
        <v>0.27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14" t="s">
        <v>943</v>
      </c>
      <c r="B36" s="64">
        <v>11.03</v>
      </c>
      <c r="C36" s="64">
        <v>7.93</v>
      </c>
      <c r="D36" s="64">
        <v>12.99</v>
      </c>
      <c r="E36" s="64">
        <v>1.04</v>
      </c>
      <c r="F36" s="64">
        <v>4.08</v>
      </c>
      <c r="G36" s="64">
        <v>16.940000000000001</v>
      </c>
      <c r="H36" s="64">
        <v>9.3000000000000007</v>
      </c>
      <c r="I36" s="64">
        <v>1.22</v>
      </c>
      <c r="J36" s="64">
        <v>0.1</v>
      </c>
      <c r="K36" s="64">
        <v>136.83000000000001</v>
      </c>
      <c r="L36" s="64">
        <v>23.35</v>
      </c>
      <c r="M36" s="64">
        <v>98.22</v>
      </c>
      <c r="N36" s="64">
        <v>98.6</v>
      </c>
      <c r="O36" s="64">
        <v>0</v>
      </c>
      <c r="P36" s="64">
        <v>0.26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14" t="s">
        <v>944</v>
      </c>
      <c r="B37" s="64">
        <v>11.12</v>
      </c>
      <c r="C37" s="64">
        <v>8.15</v>
      </c>
      <c r="D37" s="64">
        <v>13.18</v>
      </c>
      <c r="E37" s="64">
        <v>1.1399999999999999</v>
      </c>
      <c r="F37" s="64">
        <v>4.58</v>
      </c>
      <c r="G37" s="64">
        <v>16.940000000000001</v>
      </c>
      <c r="H37" s="64">
        <v>9.3000000000000007</v>
      </c>
      <c r="I37" s="64">
        <v>1.22</v>
      </c>
      <c r="J37" s="64">
        <v>0.16</v>
      </c>
      <c r="K37" s="64">
        <v>150.96</v>
      </c>
      <c r="L37" s="64">
        <v>23.75</v>
      </c>
      <c r="M37" s="64">
        <v>98.23</v>
      </c>
      <c r="N37" s="64">
        <v>148.9</v>
      </c>
      <c r="O37" s="64">
        <v>0.2</v>
      </c>
      <c r="P37" s="64">
        <v>0.25</v>
      </c>
      <c r="Q37" s="64">
        <v>9.44</v>
      </c>
      <c r="R37" s="198"/>
      <c r="S37" s="198"/>
      <c r="T37" s="198"/>
      <c r="U37" s="198"/>
    </row>
    <row r="38" spans="1:21" s="12" customFormat="1" x14ac:dyDescent="0.25">
      <c r="A38" s="214" t="s">
        <v>945</v>
      </c>
      <c r="B38" s="64">
        <v>12.19</v>
      </c>
      <c r="C38" s="64">
        <v>7.41</v>
      </c>
      <c r="D38" s="64">
        <v>13.65</v>
      </c>
      <c r="E38" s="64">
        <v>1.08</v>
      </c>
      <c r="F38" s="64">
        <v>3.47</v>
      </c>
      <c r="G38" s="64">
        <v>9.33</v>
      </c>
      <c r="H38" s="64">
        <v>1.77</v>
      </c>
      <c r="I38" s="64">
        <v>1.24</v>
      </c>
      <c r="J38" s="64">
        <v>0.14000000000000001</v>
      </c>
      <c r="K38" s="64">
        <v>145.97</v>
      </c>
      <c r="L38" s="64">
        <v>24.03</v>
      </c>
      <c r="M38" s="64">
        <v>98.25</v>
      </c>
      <c r="N38" s="64">
        <v>128.30000000000001</v>
      </c>
      <c r="O38" s="64">
        <v>0</v>
      </c>
      <c r="P38" s="64">
        <v>0.27</v>
      </c>
      <c r="Q38" s="64">
        <v>9.44</v>
      </c>
      <c r="R38" s="198"/>
      <c r="S38" s="198"/>
      <c r="T38" s="198"/>
      <c r="U38" s="198"/>
    </row>
    <row r="39" spans="1:21" s="12" customFormat="1" x14ac:dyDescent="0.25">
      <c r="A39" s="214" t="s">
        <v>946</v>
      </c>
      <c r="B39" s="64">
        <v>11.58</v>
      </c>
      <c r="C39" s="64">
        <v>5.42</v>
      </c>
      <c r="D39" s="64">
        <v>12.12</v>
      </c>
      <c r="E39" s="64">
        <v>1.38</v>
      </c>
      <c r="F39" s="64">
        <v>3.11</v>
      </c>
      <c r="G39" s="9" t="s">
        <v>36</v>
      </c>
      <c r="H39" s="9" t="s">
        <v>36</v>
      </c>
      <c r="I39" s="64">
        <v>1.24</v>
      </c>
      <c r="J39" s="64">
        <v>0.05</v>
      </c>
      <c r="K39" s="64">
        <v>145.61000000000001</v>
      </c>
      <c r="L39" s="64">
        <v>24.27</v>
      </c>
      <c r="M39" s="64">
        <v>98.26</v>
      </c>
      <c r="N39" s="64">
        <v>206.9</v>
      </c>
      <c r="O39" s="64">
        <v>0</v>
      </c>
      <c r="P39" s="64">
        <v>0.28999999999999998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4" t="s">
        <v>947</v>
      </c>
      <c r="B40" s="64">
        <v>13.04</v>
      </c>
      <c r="C40" s="64">
        <v>5.85</v>
      </c>
      <c r="D40" s="64">
        <v>13.5</v>
      </c>
      <c r="E40" s="64">
        <v>3.29</v>
      </c>
      <c r="F40" s="64">
        <v>4.49</v>
      </c>
      <c r="G40" s="9" t="s">
        <v>36</v>
      </c>
      <c r="H40" s="9" t="s">
        <v>36</v>
      </c>
      <c r="I40" s="64">
        <v>1.22</v>
      </c>
      <c r="J40" s="64">
        <v>0.06</v>
      </c>
      <c r="K40" s="64">
        <v>234.21</v>
      </c>
      <c r="L40" s="64">
        <v>25.38</v>
      </c>
      <c r="M40" s="64">
        <v>98.3</v>
      </c>
      <c r="N40" s="64">
        <v>309.3</v>
      </c>
      <c r="O40" s="64">
        <v>0</v>
      </c>
      <c r="P40" s="64">
        <v>0.28000000000000003</v>
      </c>
      <c r="Q40" s="64">
        <v>9.43</v>
      </c>
      <c r="R40" s="198"/>
      <c r="S40" s="198"/>
      <c r="T40" s="198"/>
      <c r="U40" s="198"/>
    </row>
    <row r="41" spans="1:21" s="12" customFormat="1" x14ac:dyDescent="0.25">
      <c r="A41" s="214" t="s">
        <v>948</v>
      </c>
      <c r="B41" s="64">
        <v>11.67</v>
      </c>
      <c r="C41" s="64">
        <v>5.73</v>
      </c>
      <c r="D41" s="64">
        <v>12.36</v>
      </c>
      <c r="E41" s="64">
        <v>3.75</v>
      </c>
      <c r="F41" s="64">
        <v>3.56</v>
      </c>
      <c r="G41" s="9" t="s">
        <v>36</v>
      </c>
      <c r="H41" s="9" t="s">
        <v>36</v>
      </c>
      <c r="I41" s="64">
        <v>1.1299999999999999</v>
      </c>
      <c r="J41" s="64">
        <v>0.08</v>
      </c>
      <c r="K41" s="64">
        <v>295.39999999999998</v>
      </c>
      <c r="L41" s="64">
        <v>26.27</v>
      </c>
      <c r="M41" s="64">
        <v>98.25</v>
      </c>
      <c r="N41" s="64">
        <v>381.8</v>
      </c>
      <c r="O41" s="64">
        <v>0</v>
      </c>
      <c r="P41" s="64">
        <v>0.31</v>
      </c>
      <c r="Q41" s="64">
        <v>9.44</v>
      </c>
      <c r="R41" s="198"/>
      <c r="S41" s="198"/>
      <c r="T41" s="198"/>
      <c r="U41" s="198"/>
    </row>
    <row r="42" spans="1:21" s="12" customFormat="1" x14ac:dyDescent="0.25">
      <c r="A42" s="214" t="s">
        <v>949</v>
      </c>
      <c r="B42" s="64">
        <v>9.93</v>
      </c>
      <c r="C42" s="64">
        <v>7.63</v>
      </c>
      <c r="D42" s="64">
        <v>11.95</v>
      </c>
      <c r="E42" s="64">
        <v>3.72</v>
      </c>
      <c r="F42" s="64">
        <v>4.74</v>
      </c>
      <c r="G42" s="9" t="s">
        <v>36</v>
      </c>
      <c r="H42" s="9" t="s">
        <v>36</v>
      </c>
      <c r="I42" s="64">
        <v>1.1599999999999999</v>
      </c>
      <c r="J42" s="64">
        <v>0.08</v>
      </c>
      <c r="K42" s="64">
        <v>303.57</v>
      </c>
      <c r="L42" s="64">
        <v>27.24</v>
      </c>
      <c r="M42" s="64">
        <v>98.15</v>
      </c>
      <c r="N42" s="64">
        <v>439.3</v>
      </c>
      <c r="O42" s="64">
        <v>0</v>
      </c>
      <c r="P42" s="64">
        <v>0.35</v>
      </c>
      <c r="Q42" s="64">
        <v>9.39</v>
      </c>
      <c r="R42" s="198"/>
      <c r="S42" s="198"/>
      <c r="T42" s="198"/>
      <c r="U42" s="198"/>
    </row>
    <row r="43" spans="1:21" s="12" customFormat="1" x14ac:dyDescent="0.25">
      <c r="A43" s="214" t="s">
        <v>950</v>
      </c>
      <c r="B43" s="64">
        <v>9.23</v>
      </c>
      <c r="C43" s="64">
        <v>9.73</v>
      </c>
      <c r="D43" s="64">
        <v>12.48</v>
      </c>
      <c r="E43" s="64">
        <v>3.65</v>
      </c>
      <c r="F43" s="64">
        <v>5.86</v>
      </c>
      <c r="G43" s="9" t="s">
        <v>36</v>
      </c>
      <c r="H43" s="9" t="s">
        <v>36</v>
      </c>
      <c r="I43" s="64">
        <v>1.23</v>
      </c>
      <c r="J43" s="64">
        <v>0.12</v>
      </c>
      <c r="K43" s="64">
        <v>258.38</v>
      </c>
      <c r="L43" s="64">
        <v>28.45</v>
      </c>
      <c r="M43" s="64">
        <v>97.66</v>
      </c>
      <c r="N43" s="64">
        <v>575.70000000000005</v>
      </c>
      <c r="O43" s="64">
        <v>0</v>
      </c>
      <c r="P43" s="64">
        <v>0.37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4" t="s">
        <v>951</v>
      </c>
      <c r="B44" s="64">
        <v>9.59</v>
      </c>
      <c r="C44" s="64">
        <v>9.5500000000000007</v>
      </c>
      <c r="D44" s="64">
        <v>12.68</v>
      </c>
      <c r="E44" s="64">
        <v>3.72</v>
      </c>
      <c r="F44" s="64">
        <v>6.64</v>
      </c>
      <c r="G44" s="9" t="s">
        <v>36</v>
      </c>
      <c r="H44" s="9" t="s">
        <v>36</v>
      </c>
      <c r="I44" s="64">
        <v>1.42</v>
      </c>
      <c r="J44" s="64">
        <v>0.12</v>
      </c>
      <c r="K44" s="64">
        <v>302.7</v>
      </c>
      <c r="L44" s="64">
        <v>29.53</v>
      </c>
      <c r="M44" s="64">
        <v>95.01</v>
      </c>
      <c r="N44" s="64">
        <v>529.29999999999995</v>
      </c>
      <c r="O44" s="64">
        <v>0</v>
      </c>
      <c r="P44" s="64">
        <v>0.41</v>
      </c>
      <c r="Q44" s="64">
        <v>9.32</v>
      </c>
      <c r="R44" s="198"/>
      <c r="S44" s="198"/>
      <c r="T44" s="198"/>
      <c r="U44" s="198"/>
    </row>
    <row r="45" spans="1:21" s="12" customFormat="1" x14ac:dyDescent="0.25">
      <c r="A45" s="214" t="s">
        <v>952</v>
      </c>
      <c r="B45" s="64">
        <v>9.2899999999999991</v>
      </c>
      <c r="C45" s="64">
        <v>8.49</v>
      </c>
      <c r="D45" s="64">
        <v>11.88</v>
      </c>
      <c r="E45" s="64">
        <v>3.63</v>
      </c>
      <c r="F45" s="64">
        <v>2.37</v>
      </c>
      <c r="G45" s="9" t="s">
        <v>36</v>
      </c>
      <c r="H45" s="9" t="s">
        <v>36</v>
      </c>
      <c r="I45" s="64">
        <v>1.62</v>
      </c>
      <c r="J45" s="64">
        <v>0.14000000000000001</v>
      </c>
      <c r="K45" s="64">
        <v>280.86</v>
      </c>
      <c r="L45" s="64">
        <v>29.98</v>
      </c>
      <c r="M45" s="64">
        <v>92.06</v>
      </c>
      <c r="N45" s="64">
        <v>459</v>
      </c>
      <c r="O45" s="64">
        <v>0</v>
      </c>
      <c r="P45" s="64">
        <v>0.39</v>
      </c>
      <c r="Q45" s="64">
        <v>9.32</v>
      </c>
      <c r="R45" s="198"/>
      <c r="S45" s="198"/>
      <c r="T45" s="198"/>
      <c r="U45" s="198"/>
    </row>
    <row r="46" spans="1:21" s="12" customFormat="1" x14ac:dyDescent="0.25">
      <c r="A46" s="214" t="s">
        <v>953</v>
      </c>
      <c r="B46" s="64">
        <v>9.07</v>
      </c>
      <c r="C46" s="64">
        <v>11.85</v>
      </c>
      <c r="D46" s="64">
        <v>13.46</v>
      </c>
      <c r="E46" s="64">
        <v>3.87</v>
      </c>
      <c r="F46" s="64">
        <v>5.33</v>
      </c>
      <c r="G46" s="9" t="s">
        <v>36</v>
      </c>
      <c r="H46" s="9" t="s">
        <v>36</v>
      </c>
      <c r="I46" s="64">
        <v>1.71</v>
      </c>
      <c r="J46" s="64">
        <v>0.13</v>
      </c>
      <c r="K46" s="64">
        <v>285.77</v>
      </c>
      <c r="L46" s="64">
        <v>29.99</v>
      </c>
      <c r="M46" s="64">
        <v>91.74</v>
      </c>
      <c r="N46" s="64">
        <v>490.5</v>
      </c>
      <c r="O46" s="64">
        <v>0.2</v>
      </c>
      <c r="P46" s="64">
        <v>0.59</v>
      </c>
      <c r="Q46" s="64">
        <v>9.31</v>
      </c>
      <c r="R46" s="198"/>
      <c r="S46" s="198"/>
      <c r="T46" s="198"/>
      <c r="U46" s="198"/>
    </row>
    <row r="47" spans="1:21" s="12" customFormat="1" x14ac:dyDescent="0.25">
      <c r="A47" s="214" t="s">
        <v>954</v>
      </c>
      <c r="B47" s="64">
        <v>8.19</v>
      </c>
      <c r="C47" s="64">
        <v>13.7</v>
      </c>
      <c r="D47" s="64">
        <v>13.72</v>
      </c>
      <c r="E47" s="64">
        <v>3.5</v>
      </c>
      <c r="F47" s="64">
        <v>4.84</v>
      </c>
      <c r="G47" s="9" t="s">
        <v>36</v>
      </c>
      <c r="H47" s="9" t="s">
        <v>36</v>
      </c>
      <c r="I47" s="64">
        <v>1.95</v>
      </c>
      <c r="J47" s="64">
        <v>0.17</v>
      </c>
      <c r="K47" s="64">
        <v>301.81</v>
      </c>
      <c r="L47" s="64">
        <v>30.57</v>
      </c>
      <c r="M47" s="64">
        <v>89.05</v>
      </c>
      <c r="N47" s="64">
        <v>556.1</v>
      </c>
      <c r="O47" s="64">
        <v>0</v>
      </c>
      <c r="P47" s="64">
        <v>0.6</v>
      </c>
      <c r="Q47" s="64">
        <v>9.2799999999999994</v>
      </c>
      <c r="R47" s="198"/>
      <c r="S47" s="198"/>
      <c r="T47" s="198"/>
      <c r="U47" s="198"/>
    </row>
    <row r="48" spans="1:21" s="12" customFormat="1" x14ac:dyDescent="0.25">
      <c r="A48" s="214" t="s">
        <v>955</v>
      </c>
      <c r="B48" s="64">
        <v>7.23</v>
      </c>
      <c r="C48" s="64">
        <v>11.74</v>
      </c>
      <c r="D48" s="64">
        <v>11.93</v>
      </c>
      <c r="E48" s="64">
        <v>3.38</v>
      </c>
      <c r="F48" s="64">
        <v>5.73</v>
      </c>
      <c r="G48" s="64">
        <v>73.37</v>
      </c>
      <c r="H48" s="210" t="s">
        <v>36</v>
      </c>
      <c r="I48" s="64">
        <v>2.41</v>
      </c>
      <c r="J48" s="64">
        <v>0.13</v>
      </c>
      <c r="K48" s="64">
        <v>285.02</v>
      </c>
      <c r="L48" s="64">
        <v>29.96</v>
      </c>
      <c r="M48" s="64">
        <v>91.03</v>
      </c>
      <c r="N48" s="64">
        <v>408.5</v>
      </c>
      <c r="O48" s="64">
        <v>0</v>
      </c>
      <c r="P48" s="64">
        <v>0.57999999999999996</v>
      </c>
      <c r="Q48" s="64">
        <v>9.2799999999999994</v>
      </c>
      <c r="R48" s="198"/>
      <c r="S48" s="198"/>
      <c r="T48" s="198"/>
      <c r="U48" s="198"/>
    </row>
    <row r="49" spans="1:21" s="12" customFormat="1" x14ac:dyDescent="0.25">
      <c r="A49" s="214" t="s">
        <v>956</v>
      </c>
      <c r="B49" s="64">
        <v>6.81</v>
      </c>
      <c r="C49" s="64">
        <v>12.43</v>
      </c>
      <c r="D49" s="64">
        <v>11.96</v>
      </c>
      <c r="E49" s="64">
        <v>3.59</v>
      </c>
      <c r="F49" s="64">
        <v>12.08</v>
      </c>
      <c r="G49" s="64">
        <v>132.07</v>
      </c>
      <c r="H49" s="210" t="s">
        <v>36</v>
      </c>
      <c r="I49" s="64">
        <v>2.68</v>
      </c>
      <c r="J49" s="64">
        <v>0.1</v>
      </c>
      <c r="K49" s="64">
        <v>300.3</v>
      </c>
      <c r="L49" s="64">
        <v>29.12</v>
      </c>
      <c r="M49" s="64">
        <v>94.52</v>
      </c>
      <c r="N49" s="64">
        <v>319.2</v>
      </c>
      <c r="O49" s="64">
        <v>0</v>
      </c>
      <c r="P49" s="64">
        <v>0.59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4" t="s">
        <v>957</v>
      </c>
      <c r="B50" s="64">
        <v>7</v>
      </c>
      <c r="C50" s="64">
        <v>12.79</v>
      </c>
      <c r="D50" s="64">
        <v>12.29</v>
      </c>
      <c r="E50" s="64">
        <v>3.74</v>
      </c>
      <c r="F50" s="64">
        <v>7.41</v>
      </c>
      <c r="G50" s="64">
        <v>132.07</v>
      </c>
      <c r="H50" s="210" t="s">
        <v>36</v>
      </c>
      <c r="I50" s="64">
        <v>2.75</v>
      </c>
      <c r="J50" s="64">
        <v>0.13</v>
      </c>
      <c r="K50" s="64">
        <v>266.17</v>
      </c>
      <c r="L50" s="64">
        <v>29.83</v>
      </c>
      <c r="M50" s="64">
        <v>92.6</v>
      </c>
      <c r="N50" s="64">
        <v>694.9</v>
      </c>
      <c r="O50" s="64">
        <v>0</v>
      </c>
      <c r="P50" s="64">
        <v>0.57999999999999996</v>
      </c>
      <c r="Q50" s="64">
        <v>9.2899999999999991</v>
      </c>
      <c r="R50" s="198"/>
      <c r="S50" s="198"/>
      <c r="T50" s="198"/>
      <c r="U50" s="198"/>
    </row>
    <row r="51" spans="1:21" s="12" customFormat="1" x14ac:dyDescent="0.25">
      <c r="A51" s="214" t="s">
        <v>958</v>
      </c>
      <c r="B51" s="64">
        <v>7.73</v>
      </c>
      <c r="C51" s="64">
        <v>11.95</v>
      </c>
      <c r="D51" s="64">
        <v>12.44</v>
      </c>
      <c r="E51" s="64">
        <v>3.79</v>
      </c>
      <c r="F51" s="64">
        <v>8.4700000000000006</v>
      </c>
      <c r="G51" s="64">
        <v>132.07</v>
      </c>
      <c r="H51" s="210" t="s">
        <v>36</v>
      </c>
      <c r="I51" s="64">
        <v>2.79</v>
      </c>
      <c r="J51" s="64">
        <v>7.0000000000000007E-2</v>
      </c>
      <c r="K51" s="64">
        <v>199.04</v>
      </c>
      <c r="L51" s="64">
        <v>31.94</v>
      </c>
      <c r="M51" s="64">
        <v>81.55</v>
      </c>
      <c r="N51" s="64">
        <v>927.6</v>
      </c>
      <c r="O51" s="64">
        <v>0</v>
      </c>
      <c r="P51" s="64">
        <v>0.56999999999999995</v>
      </c>
      <c r="Q51" s="64">
        <v>9.2799999999999994</v>
      </c>
      <c r="R51" s="198"/>
      <c r="S51" s="198"/>
      <c r="T51" s="198"/>
      <c r="U51" s="198"/>
    </row>
    <row r="52" spans="1:21" s="12" customFormat="1" x14ac:dyDescent="0.25">
      <c r="A52" s="214" t="s">
        <v>959</v>
      </c>
      <c r="B52" s="64">
        <v>7.85</v>
      </c>
      <c r="C52" s="64">
        <v>11.24</v>
      </c>
      <c r="D52" s="64">
        <v>12.17</v>
      </c>
      <c r="E52" s="64">
        <v>3.53</v>
      </c>
      <c r="F52" s="64">
        <v>9.48</v>
      </c>
      <c r="G52" s="64">
        <v>114.18</v>
      </c>
      <c r="H52" s="210" t="s">
        <v>36</v>
      </c>
      <c r="I52" s="64">
        <v>2.82</v>
      </c>
      <c r="J52" s="64">
        <v>0.18</v>
      </c>
      <c r="K52" s="64">
        <v>325.42</v>
      </c>
      <c r="L52" s="64">
        <v>30.99</v>
      </c>
      <c r="M52" s="64">
        <v>86.84</v>
      </c>
      <c r="N52" s="64">
        <v>285.8</v>
      </c>
      <c r="O52" s="64">
        <v>0</v>
      </c>
      <c r="P52" s="64">
        <v>0.55000000000000004</v>
      </c>
      <c r="Q52" s="64">
        <v>9.2799999999999994</v>
      </c>
      <c r="R52" s="198"/>
      <c r="S52" s="198"/>
      <c r="T52" s="198"/>
      <c r="U52" s="198"/>
    </row>
    <row r="53" spans="1:21" s="12" customFormat="1" x14ac:dyDescent="0.25">
      <c r="A53" s="214" t="s">
        <v>960</v>
      </c>
      <c r="B53" s="64">
        <v>9.1</v>
      </c>
      <c r="C53" s="64">
        <v>12.59</v>
      </c>
      <c r="D53" s="64">
        <v>13.88</v>
      </c>
      <c r="E53" s="64">
        <v>3.96</v>
      </c>
      <c r="F53" s="64">
        <v>9.25</v>
      </c>
      <c r="G53" s="64">
        <v>100.5</v>
      </c>
      <c r="H53" s="210" t="s">
        <v>36</v>
      </c>
      <c r="I53" s="64">
        <v>2.8</v>
      </c>
      <c r="J53" s="64">
        <v>0.51</v>
      </c>
      <c r="K53" s="64">
        <v>330</v>
      </c>
      <c r="L53" s="64">
        <v>30.74</v>
      </c>
      <c r="M53" s="64">
        <v>85.92</v>
      </c>
      <c r="N53" s="64">
        <v>147.30000000000001</v>
      </c>
      <c r="O53" s="64">
        <v>0</v>
      </c>
      <c r="P53" s="64">
        <v>0.6</v>
      </c>
      <c r="Q53" s="64">
        <v>9.2799999999999994</v>
      </c>
      <c r="R53" s="198"/>
      <c r="S53" s="198"/>
      <c r="T53" s="198"/>
      <c r="U53" s="198"/>
    </row>
    <row r="54" spans="1:21" s="12" customFormat="1" x14ac:dyDescent="0.25">
      <c r="A54" s="214" t="s">
        <v>961</v>
      </c>
      <c r="B54" s="64">
        <v>9.5299999999999994</v>
      </c>
      <c r="C54" s="64">
        <v>13.7</v>
      </c>
      <c r="D54" s="64">
        <v>14.8</v>
      </c>
      <c r="E54" s="64">
        <v>3.68</v>
      </c>
      <c r="F54" s="64">
        <v>6.98</v>
      </c>
      <c r="G54" s="64">
        <v>100.5</v>
      </c>
      <c r="H54" s="210" t="s">
        <v>36</v>
      </c>
      <c r="I54" s="64">
        <v>2.77</v>
      </c>
      <c r="J54" s="64">
        <v>0.51</v>
      </c>
      <c r="K54" s="64">
        <v>326.13</v>
      </c>
      <c r="L54" s="64">
        <v>30.05</v>
      </c>
      <c r="M54" s="64">
        <v>90.42</v>
      </c>
      <c r="N54" s="64">
        <v>318.7</v>
      </c>
      <c r="O54" s="64">
        <v>0</v>
      </c>
      <c r="P54" s="64">
        <v>0.62</v>
      </c>
      <c r="Q54" s="64">
        <v>9.2899999999999991</v>
      </c>
      <c r="R54" s="198"/>
      <c r="S54" s="198"/>
      <c r="T54" s="198"/>
      <c r="U54" s="198"/>
    </row>
    <row r="55" spans="1:21" s="12" customFormat="1" x14ac:dyDescent="0.25">
      <c r="A55" s="214" t="s">
        <v>962</v>
      </c>
      <c r="B55" s="64">
        <v>12.09</v>
      </c>
      <c r="C55" s="64">
        <v>11.66</v>
      </c>
      <c r="D55" s="64">
        <v>15.78</v>
      </c>
      <c r="E55" s="64">
        <v>4</v>
      </c>
      <c r="F55" s="64">
        <v>7.43</v>
      </c>
      <c r="G55" s="64">
        <v>100.5</v>
      </c>
      <c r="H55" s="210" t="s">
        <v>36</v>
      </c>
      <c r="I55" s="64">
        <v>2.75</v>
      </c>
      <c r="J55" s="64">
        <v>0.38</v>
      </c>
      <c r="K55" s="64">
        <v>326.12</v>
      </c>
      <c r="L55" s="64">
        <v>29.96</v>
      </c>
      <c r="M55" s="64">
        <v>90.37</v>
      </c>
      <c r="N55" s="64">
        <v>217.1</v>
      </c>
      <c r="O55" s="64">
        <v>0</v>
      </c>
      <c r="P55" s="64">
        <v>0.6</v>
      </c>
      <c r="Q55" s="64">
        <v>9.3000000000000007</v>
      </c>
      <c r="R55" s="198"/>
      <c r="S55" s="198"/>
      <c r="T55" s="198"/>
      <c r="U55" s="198"/>
    </row>
    <row r="56" spans="1:21" s="12" customFormat="1" x14ac:dyDescent="0.25">
      <c r="A56" s="214" t="s">
        <v>963</v>
      </c>
      <c r="B56" s="64">
        <v>10.57</v>
      </c>
      <c r="C56" s="64">
        <v>10.88</v>
      </c>
      <c r="D56" s="64">
        <v>14.16</v>
      </c>
      <c r="E56" s="64">
        <v>4.03</v>
      </c>
      <c r="F56" s="64">
        <v>6.2</v>
      </c>
      <c r="G56" s="64">
        <v>88.7</v>
      </c>
      <c r="H56" s="210" t="s">
        <v>36</v>
      </c>
      <c r="I56" s="64">
        <v>2.74</v>
      </c>
      <c r="J56" s="64">
        <v>0.24</v>
      </c>
      <c r="K56" s="64">
        <v>314.45</v>
      </c>
      <c r="L56" s="64">
        <v>29.55</v>
      </c>
      <c r="M56" s="64">
        <v>90.74</v>
      </c>
      <c r="N56" s="64">
        <v>212.8</v>
      </c>
      <c r="O56" s="64">
        <v>0</v>
      </c>
      <c r="P56" s="64">
        <v>0.56000000000000005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14" t="s">
        <v>964</v>
      </c>
      <c r="B57" s="64">
        <v>9.8699999999999992</v>
      </c>
      <c r="C57" s="64">
        <v>9.92</v>
      </c>
      <c r="D57" s="64">
        <v>13.1</v>
      </c>
      <c r="E57" s="64">
        <v>4.17</v>
      </c>
      <c r="F57" s="64">
        <v>4.96</v>
      </c>
      <c r="G57" s="64">
        <v>79.25</v>
      </c>
      <c r="H57" s="210" t="s">
        <v>36</v>
      </c>
      <c r="I57" s="64">
        <v>2.7</v>
      </c>
      <c r="J57" s="64">
        <v>0.22</v>
      </c>
      <c r="K57" s="64">
        <v>294.62</v>
      </c>
      <c r="L57" s="64">
        <v>28.6</v>
      </c>
      <c r="M57" s="64">
        <v>97.3</v>
      </c>
      <c r="N57" s="64">
        <v>153</v>
      </c>
      <c r="O57" s="64">
        <v>0</v>
      </c>
      <c r="P57" s="64">
        <v>0.55000000000000004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4" t="s">
        <v>965</v>
      </c>
      <c r="B58" s="64">
        <v>8.75</v>
      </c>
      <c r="C58" s="64">
        <v>8.35</v>
      </c>
      <c r="D58" s="64">
        <v>11.38</v>
      </c>
      <c r="E58" s="64">
        <v>3.43</v>
      </c>
      <c r="F58" s="64">
        <v>3.86</v>
      </c>
      <c r="G58" s="64">
        <v>79.25</v>
      </c>
      <c r="H58" s="210" t="s">
        <v>36</v>
      </c>
      <c r="I58" s="64">
        <v>2.62</v>
      </c>
      <c r="J58" s="64">
        <v>1.4</v>
      </c>
      <c r="K58" s="64">
        <v>333.49</v>
      </c>
      <c r="L58" s="64">
        <v>27.72</v>
      </c>
      <c r="M58" s="64">
        <v>98.09</v>
      </c>
      <c r="N58" s="64">
        <v>137</v>
      </c>
      <c r="O58" s="64">
        <v>0</v>
      </c>
      <c r="P58" s="64">
        <v>0.55000000000000004</v>
      </c>
      <c r="Q58" s="64">
        <v>9.3000000000000007</v>
      </c>
      <c r="R58" s="198"/>
      <c r="S58" s="198"/>
      <c r="T58" s="198"/>
      <c r="U58" s="198"/>
    </row>
    <row r="59" spans="1:21" s="12" customFormat="1" x14ac:dyDescent="0.25">
      <c r="A59" s="214" t="s">
        <v>966</v>
      </c>
      <c r="B59" s="64">
        <v>10.3</v>
      </c>
      <c r="C59" s="64">
        <v>9.56</v>
      </c>
      <c r="D59" s="64">
        <v>13.26</v>
      </c>
      <c r="E59" s="64">
        <v>3.94</v>
      </c>
      <c r="F59" s="64">
        <v>6.23</v>
      </c>
      <c r="G59" s="64">
        <v>79.25</v>
      </c>
      <c r="H59" s="210" t="s">
        <v>36</v>
      </c>
      <c r="I59" s="64">
        <v>2.52</v>
      </c>
      <c r="J59" s="64">
        <v>1.53</v>
      </c>
      <c r="K59" s="64">
        <v>337.12</v>
      </c>
      <c r="L59" s="64">
        <v>27.08</v>
      </c>
      <c r="M59" s="64">
        <v>98.29</v>
      </c>
      <c r="N59" s="64">
        <v>99.6</v>
      </c>
      <c r="O59" s="64">
        <v>0</v>
      </c>
      <c r="P59" s="64">
        <v>0.53</v>
      </c>
      <c r="Q59" s="64">
        <v>9.31</v>
      </c>
      <c r="R59" s="198"/>
      <c r="S59" s="198"/>
      <c r="T59" s="198"/>
      <c r="U59" s="198"/>
    </row>
    <row r="60" spans="1:21" s="12" customFormat="1" x14ac:dyDescent="0.25">
      <c r="A60" s="214" t="s">
        <v>967</v>
      </c>
      <c r="B60" s="64">
        <v>10.43</v>
      </c>
      <c r="C60" s="64">
        <v>7.96</v>
      </c>
      <c r="D60" s="64">
        <v>12.37</v>
      </c>
      <c r="E60" s="64">
        <v>3.51</v>
      </c>
      <c r="F60" s="64">
        <v>6.82</v>
      </c>
      <c r="G60" s="64">
        <v>68.66</v>
      </c>
      <c r="H60" s="210" t="s">
        <v>36</v>
      </c>
      <c r="I60" s="64">
        <v>2.41</v>
      </c>
      <c r="J60" s="64">
        <v>1.67</v>
      </c>
      <c r="K60" s="64">
        <v>339.22</v>
      </c>
      <c r="L60" s="64">
        <v>24.77</v>
      </c>
      <c r="M60" s="64">
        <v>98.57</v>
      </c>
      <c r="N60" s="64">
        <v>112.7</v>
      </c>
      <c r="O60" s="64">
        <v>0.8</v>
      </c>
      <c r="P60" s="64">
        <v>0.53</v>
      </c>
      <c r="Q60" s="64">
        <v>9.3000000000000007</v>
      </c>
      <c r="R60" s="198"/>
      <c r="S60" s="198"/>
      <c r="T60" s="198"/>
      <c r="U60" s="198"/>
    </row>
    <row r="61" spans="1:21" s="12" customFormat="1" x14ac:dyDescent="0.25">
      <c r="A61" s="214" t="s">
        <v>968</v>
      </c>
      <c r="B61" s="64">
        <v>12.42</v>
      </c>
      <c r="C61" s="64">
        <v>11.25</v>
      </c>
      <c r="D61" s="64">
        <v>15.84</v>
      </c>
      <c r="E61" s="64">
        <v>3.77</v>
      </c>
      <c r="F61" s="64">
        <v>4.49</v>
      </c>
      <c r="G61" s="64">
        <v>60.18</v>
      </c>
      <c r="H61" s="210" t="s">
        <v>36</v>
      </c>
      <c r="I61" s="64">
        <v>2.33</v>
      </c>
      <c r="J61" s="64">
        <v>0.85</v>
      </c>
      <c r="K61" s="64">
        <v>336.64</v>
      </c>
      <c r="L61" s="64">
        <v>23.19</v>
      </c>
      <c r="M61" s="64">
        <v>98.62</v>
      </c>
      <c r="N61" s="64">
        <v>116.5</v>
      </c>
      <c r="O61" s="64">
        <v>0.4</v>
      </c>
      <c r="P61" s="64">
        <v>0.49</v>
      </c>
      <c r="Q61" s="64">
        <v>9.31</v>
      </c>
      <c r="R61" s="198"/>
      <c r="S61" s="198"/>
      <c r="T61" s="198"/>
      <c r="U61" s="198"/>
    </row>
    <row r="62" spans="1:21" s="12" customFormat="1" x14ac:dyDescent="0.25">
      <c r="A62" s="214" t="s">
        <v>969</v>
      </c>
      <c r="B62" s="64">
        <v>8.9</v>
      </c>
      <c r="C62" s="64">
        <v>10.26</v>
      </c>
      <c r="D62" s="64">
        <v>12.5</v>
      </c>
      <c r="E62" s="64">
        <v>3.56</v>
      </c>
      <c r="F62" s="64">
        <v>4.53</v>
      </c>
      <c r="G62" s="64">
        <v>60.18</v>
      </c>
      <c r="H62" s="210" t="s">
        <v>36</v>
      </c>
      <c r="I62" s="64">
        <v>2.2599999999999998</v>
      </c>
      <c r="J62" s="64">
        <v>0.59</v>
      </c>
      <c r="K62" s="64">
        <v>341.9</v>
      </c>
      <c r="L62" s="64">
        <v>23.06</v>
      </c>
      <c r="M62" s="64">
        <v>98.64</v>
      </c>
      <c r="N62" s="64">
        <v>144.5</v>
      </c>
      <c r="O62" s="64">
        <v>0.8</v>
      </c>
      <c r="P62" s="64">
        <v>0.49</v>
      </c>
      <c r="Q62" s="64">
        <v>9.32</v>
      </c>
      <c r="R62" s="198"/>
      <c r="S62" s="198"/>
      <c r="T62" s="198"/>
      <c r="U62" s="198"/>
    </row>
    <row r="63" spans="1:21" s="12" customFormat="1" x14ac:dyDescent="0.25">
      <c r="A63" s="214" t="s">
        <v>970</v>
      </c>
      <c r="B63" s="64">
        <v>12.95</v>
      </c>
      <c r="C63" s="64">
        <v>9.1199999999999992</v>
      </c>
      <c r="D63" s="64">
        <v>15.14</v>
      </c>
      <c r="E63" s="64">
        <v>4.08</v>
      </c>
      <c r="F63" s="64">
        <v>6.26</v>
      </c>
      <c r="G63" s="64">
        <v>60.18</v>
      </c>
      <c r="H63" s="210" t="s">
        <v>36</v>
      </c>
      <c r="I63" s="64">
        <v>2.21</v>
      </c>
      <c r="J63" s="64">
        <v>0.79</v>
      </c>
      <c r="K63" s="64">
        <v>336.5</v>
      </c>
      <c r="L63" s="64">
        <v>23.97</v>
      </c>
      <c r="M63" s="64">
        <v>98.63</v>
      </c>
      <c r="N63" s="64">
        <v>230.3</v>
      </c>
      <c r="O63" s="64">
        <v>0</v>
      </c>
      <c r="P63" s="64">
        <v>0.56999999999999995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971</v>
      </c>
      <c r="B64" s="64">
        <v>11.12</v>
      </c>
      <c r="C64" s="64">
        <v>9.09</v>
      </c>
      <c r="D64" s="64">
        <v>13.67</v>
      </c>
      <c r="E64" s="64">
        <v>3.83</v>
      </c>
      <c r="F64" s="64">
        <v>5.17</v>
      </c>
      <c r="G64" s="64">
        <v>54.03</v>
      </c>
      <c r="H64" s="210" t="s">
        <v>36</v>
      </c>
      <c r="I64" s="64">
        <v>2.19</v>
      </c>
      <c r="J64" s="64">
        <v>0.63</v>
      </c>
      <c r="K64" s="64">
        <v>333.81</v>
      </c>
      <c r="L64" s="64">
        <v>24.38</v>
      </c>
      <c r="M64" s="64">
        <v>98.65</v>
      </c>
      <c r="N64" s="64">
        <v>258.10000000000002</v>
      </c>
      <c r="O64" s="64">
        <v>0</v>
      </c>
      <c r="P64" s="64">
        <v>0.55000000000000004</v>
      </c>
      <c r="Q64" s="64">
        <v>9.34</v>
      </c>
      <c r="R64" s="198"/>
      <c r="S64" s="198"/>
      <c r="T64" s="198"/>
      <c r="U64" s="198"/>
    </row>
    <row r="65" spans="1:21" s="12" customFormat="1" x14ac:dyDescent="0.25">
      <c r="A65" s="214" t="s">
        <v>972</v>
      </c>
      <c r="B65" s="64">
        <v>11.29</v>
      </c>
      <c r="C65" s="64">
        <v>8.89</v>
      </c>
      <c r="D65" s="64">
        <v>13.7</v>
      </c>
      <c r="E65" s="64">
        <v>3.65</v>
      </c>
      <c r="F65" s="64">
        <v>5.21</v>
      </c>
      <c r="G65" s="64">
        <v>49.32</v>
      </c>
      <c r="H65" s="210" t="s">
        <v>36</v>
      </c>
      <c r="I65" s="64">
        <v>2.1800000000000002</v>
      </c>
      <c r="J65" s="64">
        <v>0.57999999999999996</v>
      </c>
      <c r="K65" s="64">
        <v>329.7</v>
      </c>
      <c r="L65" s="64">
        <v>24.95</v>
      </c>
      <c r="M65" s="64">
        <v>98.67</v>
      </c>
      <c r="N65" s="64">
        <v>280.8</v>
      </c>
      <c r="O65" s="64">
        <v>0</v>
      </c>
      <c r="P65" s="64">
        <v>0.56000000000000005</v>
      </c>
      <c r="Q65" s="64">
        <v>9.35</v>
      </c>
      <c r="R65" s="198"/>
      <c r="S65" s="198"/>
      <c r="T65" s="198"/>
      <c r="U65" s="198"/>
    </row>
    <row r="66" spans="1:21" s="12" customFormat="1" x14ac:dyDescent="0.25">
      <c r="A66" s="214" t="s">
        <v>973</v>
      </c>
      <c r="B66" s="64">
        <v>11.33</v>
      </c>
      <c r="C66" s="64">
        <v>8.2100000000000009</v>
      </c>
      <c r="D66" s="64">
        <v>13.37</v>
      </c>
      <c r="E66" s="64">
        <v>3.72</v>
      </c>
      <c r="F66" s="64">
        <v>5.21</v>
      </c>
      <c r="G66" s="64">
        <v>49.32</v>
      </c>
      <c r="H66" s="210" t="s">
        <v>36</v>
      </c>
      <c r="I66" s="64">
        <v>2.16</v>
      </c>
      <c r="J66" s="64">
        <v>0.98</v>
      </c>
      <c r="K66" s="64">
        <v>334.16</v>
      </c>
      <c r="L66" s="64">
        <v>25.1</v>
      </c>
      <c r="M66" s="64">
        <v>98.69</v>
      </c>
      <c r="N66" s="64">
        <v>220.7</v>
      </c>
      <c r="O66" s="64">
        <v>0</v>
      </c>
      <c r="P66" s="64">
        <v>0.54</v>
      </c>
      <c r="Q66" s="64">
        <v>9.36</v>
      </c>
      <c r="R66" s="198"/>
      <c r="S66" s="198"/>
      <c r="T66" s="198"/>
      <c r="U66" s="198"/>
    </row>
    <row r="67" spans="1:21" s="12" customFormat="1" x14ac:dyDescent="0.25">
      <c r="A67" s="214" t="s">
        <v>974</v>
      </c>
      <c r="B67" s="64">
        <v>13.83</v>
      </c>
      <c r="C67" s="64">
        <v>11.49</v>
      </c>
      <c r="D67" s="64">
        <v>17.100000000000001</v>
      </c>
      <c r="E67" s="64">
        <v>3.72</v>
      </c>
      <c r="F67" s="64">
        <v>6.23</v>
      </c>
      <c r="G67" s="64">
        <v>49.32</v>
      </c>
      <c r="H67" s="210" t="s">
        <v>36</v>
      </c>
      <c r="I67" s="64">
        <v>2.15</v>
      </c>
      <c r="J67" s="64">
        <v>0.7</v>
      </c>
      <c r="K67" s="64">
        <v>339.25</v>
      </c>
      <c r="L67" s="64">
        <v>25.48</v>
      </c>
      <c r="M67" s="64">
        <v>98.71</v>
      </c>
      <c r="N67" s="64">
        <v>224.3</v>
      </c>
      <c r="O67" s="64">
        <v>0</v>
      </c>
      <c r="P67" s="64">
        <v>0.55000000000000004</v>
      </c>
      <c r="Q67" s="64">
        <v>9.36</v>
      </c>
      <c r="R67" s="198"/>
      <c r="S67" s="198"/>
      <c r="T67" s="198"/>
      <c r="U67" s="198"/>
    </row>
    <row r="68" spans="1:21" s="12" customFormat="1" x14ac:dyDescent="0.25">
      <c r="A68" s="214" t="s">
        <v>975</v>
      </c>
      <c r="B68" s="64">
        <v>13.66</v>
      </c>
      <c r="C68" s="64">
        <v>9.41</v>
      </c>
      <c r="D68" s="64">
        <v>15.87</v>
      </c>
      <c r="E68" s="64">
        <v>4.05</v>
      </c>
      <c r="F68" s="64">
        <v>6.84</v>
      </c>
      <c r="G68" s="64">
        <v>41.74</v>
      </c>
      <c r="H68" s="210" t="s">
        <v>36</v>
      </c>
      <c r="I68" s="64">
        <v>2.13</v>
      </c>
      <c r="J68" s="64">
        <v>0.49</v>
      </c>
      <c r="K68" s="64">
        <v>328.79</v>
      </c>
      <c r="L68" s="64">
        <v>26.35</v>
      </c>
      <c r="M68" s="64">
        <v>98.69</v>
      </c>
      <c r="N68" s="64">
        <v>235.6</v>
      </c>
      <c r="O68" s="64">
        <v>0</v>
      </c>
      <c r="P68" s="64">
        <v>0.54</v>
      </c>
      <c r="Q68" s="64">
        <v>9.3800000000000008</v>
      </c>
      <c r="R68" s="198"/>
      <c r="S68" s="198"/>
      <c r="T68" s="198"/>
      <c r="U68" s="198"/>
    </row>
    <row r="69" spans="1:21" s="12" customFormat="1" x14ac:dyDescent="0.25">
      <c r="A69" s="214" t="s">
        <v>976</v>
      </c>
      <c r="B69" s="64">
        <v>12.12</v>
      </c>
      <c r="C69" s="64">
        <v>8.85</v>
      </c>
      <c r="D69" s="64">
        <v>14.34</v>
      </c>
      <c r="E69" s="64">
        <v>3.6</v>
      </c>
      <c r="F69" s="64">
        <v>7.2</v>
      </c>
      <c r="G69" s="64">
        <v>35.94</v>
      </c>
      <c r="H69" s="210" t="s">
        <v>36</v>
      </c>
      <c r="I69" s="64">
        <v>2.1</v>
      </c>
      <c r="J69" s="64">
        <v>1.1599999999999999</v>
      </c>
      <c r="K69" s="64">
        <v>340.24</v>
      </c>
      <c r="L69" s="64">
        <v>27.22</v>
      </c>
      <c r="M69" s="64">
        <v>98.51</v>
      </c>
      <c r="N69" s="64">
        <v>204.5</v>
      </c>
      <c r="O69" s="64">
        <v>0</v>
      </c>
      <c r="P69" s="64">
        <v>0.51</v>
      </c>
      <c r="Q69" s="64">
        <v>9.39</v>
      </c>
      <c r="R69" s="198"/>
      <c r="S69" s="198"/>
      <c r="T69" s="198"/>
      <c r="U69" s="198"/>
    </row>
    <row r="70" spans="1:21" s="12" customFormat="1" x14ac:dyDescent="0.25">
      <c r="A70" s="214" t="s">
        <v>977</v>
      </c>
      <c r="B70" s="64">
        <v>14.13</v>
      </c>
      <c r="C70" s="64">
        <v>10.220000000000001</v>
      </c>
      <c r="D70" s="64">
        <v>16.64</v>
      </c>
      <c r="E70" s="64">
        <v>4.09</v>
      </c>
      <c r="F70" s="64">
        <v>9.0299999999999994</v>
      </c>
      <c r="G70" s="64">
        <v>35.94</v>
      </c>
      <c r="H70" s="210" t="s">
        <v>36</v>
      </c>
      <c r="I70" s="64">
        <v>2.08</v>
      </c>
      <c r="J70" s="64">
        <v>1.2</v>
      </c>
      <c r="K70" s="64">
        <v>339.29</v>
      </c>
      <c r="L70" s="64">
        <v>27.45</v>
      </c>
      <c r="M70" s="64">
        <v>98.39</v>
      </c>
      <c r="N70" s="64">
        <v>151.5</v>
      </c>
      <c r="O70" s="64">
        <v>0</v>
      </c>
      <c r="P70" s="64">
        <v>0.52</v>
      </c>
      <c r="Q70" s="64">
        <v>9.4</v>
      </c>
      <c r="R70" s="198"/>
      <c r="S70" s="198"/>
      <c r="T70" s="198"/>
      <c r="U70" s="198"/>
    </row>
    <row r="71" spans="1:21" s="12" customFormat="1" x14ac:dyDescent="0.25">
      <c r="A71" s="214" t="s">
        <v>978</v>
      </c>
      <c r="B71" s="64">
        <v>14.15</v>
      </c>
      <c r="C71" s="64">
        <v>10.06</v>
      </c>
      <c r="D71" s="64">
        <v>16.600000000000001</v>
      </c>
      <c r="E71" s="64">
        <v>3.92</v>
      </c>
      <c r="F71" s="64">
        <v>9.2899999999999991</v>
      </c>
      <c r="G71" s="64">
        <v>35.94</v>
      </c>
      <c r="H71" s="210" t="s">
        <v>36</v>
      </c>
      <c r="I71" s="64">
        <v>2.06</v>
      </c>
      <c r="J71" s="64">
        <v>1.1299999999999999</v>
      </c>
      <c r="K71" s="64">
        <v>339.78</v>
      </c>
      <c r="L71" s="64">
        <v>27.25</v>
      </c>
      <c r="M71" s="64">
        <v>98.38</v>
      </c>
      <c r="N71" s="64">
        <v>133.5</v>
      </c>
      <c r="O71" s="64">
        <v>0</v>
      </c>
      <c r="P71" s="64">
        <v>0.54</v>
      </c>
      <c r="Q71" s="64">
        <v>9.41</v>
      </c>
      <c r="R71" s="198"/>
      <c r="S71" s="198"/>
      <c r="T71" s="198"/>
      <c r="U71" s="198"/>
    </row>
    <row r="72" spans="1:21" s="12" customFormat="1" x14ac:dyDescent="0.25">
      <c r="A72" s="214" t="s">
        <v>979</v>
      </c>
      <c r="B72" s="64">
        <v>13.09</v>
      </c>
      <c r="C72" s="64">
        <v>9.06</v>
      </c>
      <c r="D72" s="64">
        <v>15.23</v>
      </c>
      <c r="E72" s="64">
        <v>3.79</v>
      </c>
      <c r="F72" s="64">
        <v>7.44</v>
      </c>
      <c r="G72" s="64">
        <v>43.36</v>
      </c>
      <c r="H72" s="210" t="s">
        <v>36</v>
      </c>
      <c r="I72" s="64">
        <v>2.02</v>
      </c>
      <c r="J72" s="64">
        <v>1.46</v>
      </c>
      <c r="K72" s="64">
        <v>339.67</v>
      </c>
      <c r="L72" s="64">
        <v>27.18</v>
      </c>
      <c r="M72" s="64">
        <v>98.38</v>
      </c>
      <c r="N72" s="64">
        <v>133.5</v>
      </c>
      <c r="O72" s="64">
        <v>0</v>
      </c>
      <c r="P72" s="64">
        <v>0.55000000000000004</v>
      </c>
      <c r="Q72" s="64">
        <v>9.44</v>
      </c>
      <c r="R72" s="198"/>
      <c r="S72" s="198"/>
      <c r="T72" s="198"/>
      <c r="U72" s="198"/>
    </row>
    <row r="73" spans="1:21" s="12" customFormat="1" x14ac:dyDescent="0.25">
      <c r="A73" s="214" t="s">
        <v>980</v>
      </c>
      <c r="B73" s="64">
        <v>15.04</v>
      </c>
      <c r="C73" s="64">
        <v>10.82</v>
      </c>
      <c r="D73" s="64">
        <v>17.71</v>
      </c>
      <c r="E73" s="64">
        <v>3.75</v>
      </c>
      <c r="F73" s="64">
        <v>6.79</v>
      </c>
      <c r="G73" s="64">
        <v>49.03</v>
      </c>
      <c r="H73" s="210" t="s">
        <v>36</v>
      </c>
      <c r="I73" s="64">
        <v>1.99</v>
      </c>
      <c r="J73" s="64">
        <v>1.45</v>
      </c>
      <c r="K73" s="64">
        <v>339.26</v>
      </c>
      <c r="L73" s="64">
        <v>27.34</v>
      </c>
      <c r="M73" s="64">
        <v>98.47</v>
      </c>
      <c r="N73" s="64">
        <v>157.4</v>
      </c>
      <c r="O73" s="64">
        <v>0</v>
      </c>
      <c r="P73" s="64">
        <v>0.53</v>
      </c>
      <c r="Q73" s="64">
        <v>9.4700000000000006</v>
      </c>
      <c r="R73" s="198"/>
      <c r="S73" s="198"/>
      <c r="T73" s="198"/>
      <c r="U73" s="198"/>
    </row>
    <row r="74" spans="1:21" s="12" customFormat="1" x14ac:dyDescent="0.25">
      <c r="A74" s="214" t="s">
        <v>981</v>
      </c>
      <c r="B74" s="64">
        <v>17.59</v>
      </c>
      <c r="C74" s="64">
        <v>9.01</v>
      </c>
      <c r="D74" s="64">
        <v>18.809999999999999</v>
      </c>
      <c r="E74" s="64">
        <v>4.0599999999999996</v>
      </c>
      <c r="F74" s="64">
        <v>6.76</v>
      </c>
      <c r="G74" s="64">
        <v>49.03</v>
      </c>
      <c r="H74" s="210" t="s">
        <v>36</v>
      </c>
      <c r="I74" s="64">
        <v>1.97</v>
      </c>
      <c r="J74" s="64">
        <v>0.98</v>
      </c>
      <c r="K74" s="64">
        <v>336.31</v>
      </c>
      <c r="L74" s="64">
        <v>27.61</v>
      </c>
      <c r="M74" s="64">
        <v>98.47</v>
      </c>
      <c r="N74" s="64">
        <v>139.1</v>
      </c>
      <c r="O74" s="64">
        <v>0</v>
      </c>
      <c r="P74" s="64">
        <v>0.56000000000000005</v>
      </c>
      <c r="Q74" s="64">
        <v>9.5</v>
      </c>
      <c r="R74" s="198"/>
      <c r="S74" s="198"/>
      <c r="T74" s="198"/>
      <c r="U74" s="198"/>
    </row>
    <row r="75" spans="1:21" s="12" customFormat="1" x14ac:dyDescent="0.25">
      <c r="A75" s="214" t="s">
        <v>982</v>
      </c>
      <c r="B75" s="64">
        <v>20.07</v>
      </c>
      <c r="C75" s="64">
        <v>13.43</v>
      </c>
      <c r="D75" s="64">
        <v>23.11</v>
      </c>
      <c r="E75" s="64">
        <v>4.03</v>
      </c>
      <c r="F75" s="64">
        <v>8.14</v>
      </c>
      <c r="G75" s="64">
        <v>49.03</v>
      </c>
      <c r="H75" s="210" t="s">
        <v>36</v>
      </c>
      <c r="I75" s="64">
        <v>1.85</v>
      </c>
      <c r="J75" s="64">
        <v>0.89</v>
      </c>
      <c r="K75" s="64">
        <v>338.78</v>
      </c>
      <c r="L75" s="64">
        <v>27.49</v>
      </c>
      <c r="M75" s="64">
        <v>98.49</v>
      </c>
      <c r="N75" s="64">
        <v>69.400000000000006</v>
      </c>
      <c r="O75" s="64">
        <v>0</v>
      </c>
      <c r="P75" s="64">
        <v>0.6</v>
      </c>
      <c r="Q75" s="64">
        <v>9.51</v>
      </c>
      <c r="R75" s="198"/>
      <c r="S75" s="198"/>
      <c r="T75" s="198"/>
      <c r="U75" s="198"/>
    </row>
    <row r="76" spans="1:21" s="12" customFormat="1" x14ac:dyDescent="0.25">
      <c r="A76" s="214" t="s">
        <v>983</v>
      </c>
      <c r="B76" s="64">
        <v>24.49</v>
      </c>
      <c r="C76" s="64">
        <v>14.89</v>
      </c>
      <c r="D76" s="64">
        <v>27.39</v>
      </c>
      <c r="E76" s="64">
        <v>3.97</v>
      </c>
      <c r="F76" s="64">
        <v>9.17</v>
      </c>
      <c r="G76" s="64">
        <v>53.21</v>
      </c>
      <c r="H76" s="210" t="s">
        <v>36</v>
      </c>
      <c r="I76" s="64">
        <v>1.75</v>
      </c>
      <c r="J76" s="64">
        <v>0.59</v>
      </c>
      <c r="K76" s="64">
        <v>337.69</v>
      </c>
      <c r="L76" s="64">
        <v>27.1</v>
      </c>
      <c r="M76" s="64">
        <v>98.36</v>
      </c>
      <c r="N76" s="64">
        <v>49</v>
      </c>
      <c r="O76" s="64">
        <v>0</v>
      </c>
      <c r="P76" s="64">
        <v>0.7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4" t="s">
        <v>984</v>
      </c>
      <c r="B77" s="64">
        <v>34.909999999999997</v>
      </c>
      <c r="C77" s="64">
        <v>20.11</v>
      </c>
      <c r="D77" s="64">
        <v>38.5</v>
      </c>
      <c r="E77" s="64">
        <v>4.4000000000000004</v>
      </c>
      <c r="F77" s="64">
        <v>6.84</v>
      </c>
      <c r="G77" s="64">
        <v>56.56</v>
      </c>
      <c r="H77" s="64">
        <v>18.97</v>
      </c>
      <c r="I77" s="64">
        <v>1.75</v>
      </c>
      <c r="J77" s="64">
        <v>0.51</v>
      </c>
      <c r="K77" s="64">
        <v>341.42</v>
      </c>
      <c r="L77" s="64">
        <v>26.78</v>
      </c>
      <c r="M77" s="64">
        <v>98.36</v>
      </c>
      <c r="N77" s="64">
        <v>42.8</v>
      </c>
      <c r="O77" s="64">
        <v>0</v>
      </c>
      <c r="P77" s="64">
        <v>1.06</v>
      </c>
      <c r="Q77" s="64">
        <v>9.5500000000000007</v>
      </c>
      <c r="R77" s="198"/>
      <c r="S77" s="198"/>
      <c r="T77" s="198"/>
      <c r="U77" s="198"/>
    </row>
    <row r="78" spans="1:21" s="12" customFormat="1" x14ac:dyDescent="0.25">
      <c r="A78" s="214" t="s">
        <v>985</v>
      </c>
      <c r="B78" s="64">
        <v>23.87</v>
      </c>
      <c r="C78" s="64">
        <v>22.48</v>
      </c>
      <c r="D78" s="64">
        <v>30.88</v>
      </c>
      <c r="E78" s="64">
        <v>4.47</v>
      </c>
      <c r="F78" s="64">
        <v>5.37</v>
      </c>
      <c r="G78" s="64">
        <v>56.56</v>
      </c>
      <c r="H78" s="64">
        <v>18.97</v>
      </c>
      <c r="I78" s="64">
        <v>1.76</v>
      </c>
      <c r="J78" s="64">
        <v>0.04</v>
      </c>
      <c r="K78" s="64">
        <v>55.17</v>
      </c>
      <c r="L78" s="64">
        <v>26.52</v>
      </c>
      <c r="M78" s="64">
        <v>98.4</v>
      </c>
      <c r="N78" s="64">
        <v>38.4</v>
      </c>
      <c r="O78" s="64">
        <v>0</v>
      </c>
      <c r="P78" s="64">
        <v>1.1499999999999999</v>
      </c>
      <c r="Q78" s="64">
        <v>9.59</v>
      </c>
      <c r="R78" s="198"/>
      <c r="S78" s="198"/>
      <c r="T78" s="198"/>
      <c r="U78" s="198"/>
    </row>
    <row r="79" spans="1:21" s="12" customFormat="1" x14ac:dyDescent="0.25">
      <c r="A79" s="214" t="s">
        <v>986</v>
      </c>
      <c r="B79" s="64">
        <v>21.26</v>
      </c>
      <c r="C79" s="64">
        <v>15.87</v>
      </c>
      <c r="D79" s="64">
        <v>25.34</v>
      </c>
      <c r="E79" s="64">
        <v>4.2300000000000004</v>
      </c>
      <c r="F79" s="64">
        <v>4.53</v>
      </c>
      <c r="G79" s="64">
        <v>56.56</v>
      </c>
      <c r="H79" s="64">
        <v>18.97</v>
      </c>
      <c r="I79" s="64">
        <v>1.81</v>
      </c>
      <c r="J79" s="64">
        <v>0.25</v>
      </c>
      <c r="K79" s="64">
        <v>338.88</v>
      </c>
      <c r="L79" s="64">
        <v>26.26</v>
      </c>
      <c r="M79" s="64">
        <v>98.27</v>
      </c>
      <c r="N79" s="64">
        <v>35.700000000000003</v>
      </c>
      <c r="O79" s="64">
        <v>0</v>
      </c>
      <c r="P79" s="64">
        <v>1.25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4" t="s">
        <v>987</v>
      </c>
      <c r="B80" s="64">
        <v>36.44</v>
      </c>
      <c r="C80" s="64">
        <v>14.27</v>
      </c>
      <c r="D80" s="64">
        <v>36.35</v>
      </c>
      <c r="E80" s="64">
        <v>4.0599999999999996</v>
      </c>
      <c r="F80" s="64">
        <v>4.96</v>
      </c>
      <c r="G80" s="64">
        <v>63.72</v>
      </c>
      <c r="H80" s="64">
        <v>8.64</v>
      </c>
      <c r="I80" s="64">
        <v>1.86</v>
      </c>
      <c r="J80" s="64">
        <v>0.09</v>
      </c>
      <c r="K80" s="64">
        <v>329</v>
      </c>
      <c r="L80" s="64">
        <v>26.2</v>
      </c>
      <c r="M80" s="64">
        <v>98.2</v>
      </c>
      <c r="N80" s="64">
        <v>35.1</v>
      </c>
      <c r="O80" s="64">
        <v>0</v>
      </c>
      <c r="P80" s="64">
        <v>1.72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4" t="s">
        <v>988</v>
      </c>
      <c r="B81" s="64">
        <v>34.909999999999997</v>
      </c>
      <c r="C81" s="64">
        <v>18.09</v>
      </c>
      <c r="D81" s="64">
        <v>37.44</v>
      </c>
      <c r="E81" s="64">
        <v>4.28</v>
      </c>
      <c r="F81" s="64">
        <v>3.13</v>
      </c>
      <c r="G81" s="64">
        <v>69.2</v>
      </c>
      <c r="H81" s="64">
        <v>0.38</v>
      </c>
      <c r="I81" s="64">
        <v>1.91</v>
      </c>
      <c r="J81" s="64">
        <v>0.02</v>
      </c>
      <c r="K81" s="64">
        <v>311.13</v>
      </c>
      <c r="L81" s="64">
        <v>26.2</v>
      </c>
      <c r="M81" s="64">
        <v>98.26</v>
      </c>
      <c r="N81" s="64">
        <v>33.5</v>
      </c>
      <c r="O81" s="64">
        <v>0</v>
      </c>
      <c r="P81" s="64">
        <v>1.67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4" t="s">
        <v>989</v>
      </c>
      <c r="B82" s="64">
        <v>42.36</v>
      </c>
      <c r="C82" s="64">
        <v>20.34</v>
      </c>
      <c r="D82" s="64">
        <v>44.6</v>
      </c>
      <c r="E82" s="64">
        <v>4.6900000000000004</v>
      </c>
      <c r="F82" s="64">
        <v>3.32</v>
      </c>
      <c r="G82" s="64">
        <v>69.2</v>
      </c>
      <c r="H82" s="64">
        <v>0.38</v>
      </c>
      <c r="I82" s="64">
        <v>1.98</v>
      </c>
      <c r="J82" s="64">
        <v>0.1</v>
      </c>
      <c r="K82" s="64">
        <v>355.93</v>
      </c>
      <c r="L82" s="64">
        <v>26.12</v>
      </c>
      <c r="M82" s="64">
        <v>98.35</v>
      </c>
      <c r="N82" s="64">
        <v>32.5</v>
      </c>
      <c r="O82" s="64">
        <v>0</v>
      </c>
      <c r="P82" s="64">
        <v>1.57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990</v>
      </c>
      <c r="B83" s="64">
        <v>31.45</v>
      </c>
      <c r="C83" s="64">
        <v>16.690000000000001</v>
      </c>
      <c r="D83" s="64">
        <v>33.94</v>
      </c>
      <c r="E83" s="64">
        <v>4.5199999999999996</v>
      </c>
      <c r="F83" s="64">
        <v>4.09</v>
      </c>
      <c r="G83" s="64">
        <v>69.2</v>
      </c>
      <c r="H83" s="64">
        <v>0.38</v>
      </c>
      <c r="I83" s="64">
        <v>2.08</v>
      </c>
      <c r="J83" s="64">
        <v>0.02</v>
      </c>
      <c r="K83" s="64">
        <v>86.64</v>
      </c>
      <c r="L83" s="64">
        <v>26.07</v>
      </c>
      <c r="M83" s="64">
        <v>98.35</v>
      </c>
      <c r="N83" s="64">
        <v>32.5</v>
      </c>
      <c r="O83" s="64">
        <v>0</v>
      </c>
      <c r="P83" s="64">
        <v>1.34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4" t="s">
        <v>991</v>
      </c>
      <c r="B84" s="64">
        <v>9.0299999999999994</v>
      </c>
      <c r="C84" s="64">
        <v>23.95</v>
      </c>
      <c r="D84" s="64">
        <v>19.760000000000002</v>
      </c>
      <c r="E84" s="64">
        <v>4.01</v>
      </c>
      <c r="F84" s="64">
        <v>4.08</v>
      </c>
      <c r="G84" s="64">
        <v>73.58</v>
      </c>
      <c r="H84" s="64">
        <v>0.77</v>
      </c>
      <c r="I84" s="64">
        <v>2.17</v>
      </c>
      <c r="J84" s="64">
        <v>0.03</v>
      </c>
      <c r="K84" s="64">
        <v>148.93</v>
      </c>
      <c r="L84" s="64">
        <v>25.83</v>
      </c>
      <c r="M84" s="64">
        <v>98.33</v>
      </c>
      <c r="N84" s="64">
        <v>32.5</v>
      </c>
      <c r="O84" s="64">
        <v>0</v>
      </c>
      <c r="P84" s="64">
        <v>0.7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4" t="s">
        <v>992</v>
      </c>
      <c r="B85" s="64">
        <v>41.86</v>
      </c>
      <c r="C85" s="64">
        <v>11.98</v>
      </c>
      <c r="D85" s="64">
        <v>39.83</v>
      </c>
      <c r="E85" s="64">
        <v>4.18</v>
      </c>
      <c r="F85" s="64">
        <v>3.26</v>
      </c>
      <c r="G85" s="64">
        <v>77.09</v>
      </c>
      <c r="H85" s="64">
        <v>0.9</v>
      </c>
      <c r="I85" s="64">
        <v>2.2200000000000002</v>
      </c>
      <c r="J85" s="64">
        <v>0.04</v>
      </c>
      <c r="K85" s="64">
        <v>334.72</v>
      </c>
      <c r="L85" s="64">
        <v>25.72</v>
      </c>
      <c r="M85" s="64">
        <v>98.37</v>
      </c>
      <c r="N85" s="64">
        <v>32.5</v>
      </c>
      <c r="O85" s="64">
        <v>0</v>
      </c>
      <c r="P85" s="64">
        <v>2.06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4" t="s">
        <v>993</v>
      </c>
      <c r="B86" s="64">
        <v>39.6</v>
      </c>
      <c r="C86" s="64">
        <v>14.78</v>
      </c>
      <c r="D86" s="64">
        <v>39.44</v>
      </c>
      <c r="E86" s="64">
        <v>4.6900000000000004</v>
      </c>
      <c r="F86" s="64">
        <v>2.5</v>
      </c>
      <c r="G86" s="64">
        <v>77.09</v>
      </c>
      <c r="H86" s="64">
        <v>0.9</v>
      </c>
      <c r="I86" s="64">
        <v>2.2599999999999998</v>
      </c>
      <c r="J86" s="64">
        <v>0.05</v>
      </c>
      <c r="K86" s="64">
        <v>326.39</v>
      </c>
      <c r="L86" s="64">
        <v>25.46</v>
      </c>
      <c r="M86" s="64">
        <v>98.41</v>
      </c>
      <c r="N86" s="64">
        <v>32.4</v>
      </c>
      <c r="O86" s="64">
        <v>0</v>
      </c>
      <c r="P86" s="64">
        <v>1.78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4" t="s">
        <v>994</v>
      </c>
      <c r="B87" s="64">
        <v>28.15</v>
      </c>
      <c r="C87" s="64">
        <v>12.08</v>
      </c>
      <c r="D87" s="64">
        <v>28.86</v>
      </c>
      <c r="E87" s="64">
        <v>4.51</v>
      </c>
      <c r="F87" s="64">
        <v>3.48</v>
      </c>
      <c r="G87" s="64">
        <v>77.09</v>
      </c>
      <c r="H87" s="64">
        <v>0.9</v>
      </c>
      <c r="I87" s="64">
        <v>2.33</v>
      </c>
      <c r="J87" s="64">
        <v>0.12</v>
      </c>
      <c r="K87" s="64">
        <v>310.44</v>
      </c>
      <c r="L87" s="64">
        <v>25.53</v>
      </c>
      <c r="M87" s="64">
        <v>98.42</v>
      </c>
      <c r="N87" s="64">
        <v>32.299999999999997</v>
      </c>
      <c r="O87" s="64">
        <v>0</v>
      </c>
      <c r="P87" s="64">
        <v>1.35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4" t="s">
        <v>995</v>
      </c>
      <c r="B88" s="64">
        <v>20.59</v>
      </c>
      <c r="C88" s="64">
        <v>10.77</v>
      </c>
      <c r="D88" s="64">
        <v>22.13</v>
      </c>
      <c r="E88" s="64">
        <v>4.2</v>
      </c>
      <c r="F88" s="64">
        <v>3.19</v>
      </c>
      <c r="G88" s="64">
        <v>79.42</v>
      </c>
      <c r="H88" s="64">
        <v>0.26</v>
      </c>
      <c r="I88" s="64">
        <v>2.42</v>
      </c>
      <c r="J88" s="64">
        <v>0.38</v>
      </c>
      <c r="K88" s="64">
        <v>326.64999999999998</v>
      </c>
      <c r="L88" s="64">
        <v>25.58</v>
      </c>
      <c r="M88" s="64">
        <v>98.45</v>
      </c>
      <c r="N88" s="64">
        <v>32.1</v>
      </c>
      <c r="O88" s="64">
        <v>0</v>
      </c>
      <c r="P88" s="64">
        <v>1.06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4" t="s">
        <v>996</v>
      </c>
      <c r="B89" s="64">
        <v>24.79</v>
      </c>
      <c r="C89" s="64">
        <v>9.66</v>
      </c>
      <c r="D89" s="64">
        <v>24.93</v>
      </c>
      <c r="E89" s="64">
        <v>4.43</v>
      </c>
      <c r="F89" s="64">
        <v>3.03</v>
      </c>
      <c r="G89" s="64">
        <v>81.2</v>
      </c>
      <c r="H89" s="64">
        <v>0.05</v>
      </c>
      <c r="I89" s="64">
        <v>2.4900000000000002</v>
      </c>
      <c r="J89" s="64">
        <v>0.55000000000000004</v>
      </c>
      <c r="K89" s="64">
        <v>335.55</v>
      </c>
      <c r="L89" s="64">
        <v>25.52</v>
      </c>
      <c r="M89" s="64">
        <v>98.47</v>
      </c>
      <c r="N89" s="64">
        <v>32.200000000000003</v>
      </c>
      <c r="O89" s="64">
        <v>0</v>
      </c>
      <c r="P89" s="64">
        <v>1.08</v>
      </c>
      <c r="Q89" s="64">
        <v>9.66</v>
      </c>
      <c r="R89" s="198"/>
      <c r="S89" s="198"/>
      <c r="T89" s="198"/>
      <c r="U89" s="198"/>
    </row>
    <row r="90" spans="1:26" s="12" customFormat="1" x14ac:dyDescent="0.25">
      <c r="A90" s="214" t="s">
        <v>997</v>
      </c>
      <c r="B90" s="64">
        <v>33.56</v>
      </c>
      <c r="C90" s="64">
        <v>17.38</v>
      </c>
      <c r="D90" s="64">
        <v>35.75</v>
      </c>
      <c r="E90" s="64">
        <v>4.2699999999999996</v>
      </c>
      <c r="F90" s="64">
        <v>2.27</v>
      </c>
      <c r="G90" s="64">
        <v>81.2</v>
      </c>
      <c r="H90" s="64">
        <v>0.05</v>
      </c>
      <c r="I90" s="64">
        <v>2.5099999999999998</v>
      </c>
      <c r="J90" s="64">
        <v>0.15</v>
      </c>
      <c r="K90" s="64">
        <v>340.91</v>
      </c>
      <c r="L90" s="64">
        <v>25.35</v>
      </c>
      <c r="M90" s="64">
        <v>98.48</v>
      </c>
      <c r="N90" s="64">
        <v>32.5</v>
      </c>
      <c r="O90" s="64">
        <v>0</v>
      </c>
      <c r="P90" s="64">
        <v>1.26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4" t="s">
        <v>998</v>
      </c>
      <c r="B91" s="64">
        <v>42.67</v>
      </c>
      <c r="C91" s="64">
        <v>13.93</v>
      </c>
      <c r="D91" s="64">
        <v>41.49</v>
      </c>
      <c r="E91" s="64">
        <v>4.2300000000000004</v>
      </c>
      <c r="F91" s="64">
        <v>2.19</v>
      </c>
      <c r="G91" s="64">
        <v>81.2</v>
      </c>
      <c r="H91" s="64">
        <v>0.05</v>
      </c>
      <c r="I91" s="64">
        <v>2.52</v>
      </c>
      <c r="J91" s="64">
        <v>0.01</v>
      </c>
      <c r="K91" s="64">
        <v>282.86</v>
      </c>
      <c r="L91" s="64">
        <v>25.11</v>
      </c>
      <c r="M91" s="64">
        <v>98.5</v>
      </c>
      <c r="N91" s="64">
        <v>32.5</v>
      </c>
      <c r="O91" s="64">
        <v>0</v>
      </c>
      <c r="P91" s="64">
        <v>1.44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999</v>
      </c>
      <c r="B92" s="64">
        <v>28.04</v>
      </c>
      <c r="C92" s="64">
        <v>17.55</v>
      </c>
      <c r="D92" s="64">
        <v>31.66</v>
      </c>
      <c r="E92" s="64">
        <v>4.1500000000000004</v>
      </c>
      <c r="F92" s="64">
        <v>2.84</v>
      </c>
      <c r="G92" s="64">
        <v>80.73</v>
      </c>
      <c r="H92" s="64">
        <v>0.02</v>
      </c>
      <c r="I92" s="64">
        <v>2.5499999999999998</v>
      </c>
      <c r="J92" s="64">
        <v>0.06</v>
      </c>
      <c r="K92" s="64">
        <v>202.04</v>
      </c>
      <c r="L92" s="64">
        <v>24.94</v>
      </c>
      <c r="M92" s="64">
        <v>98.53</v>
      </c>
      <c r="N92" s="64">
        <v>32.4</v>
      </c>
      <c r="O92" s="64">
        <v>0</v>
      </c>
      <c r="P92" s="64">
        <v>0.93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4" t="s">
        <v>1000</v>
      </c>
      <c r="B93" s="64">
        <v>49.38</v>
      </c>
      <c r="C93" s="64">
        <v>12.3</v>
      </c>
      <c r="D93" s="64">
        <v>45.98</v>
      </c>
      <c r="E93" s="64">
        <v>4.2</v>
      </c>
      <c r="F93" s="64">
        <v>3.45</v>
      </c>
      <c r="G93" s="64">
        <v>80.37</v>
      </c>
      <c r="H93" s="6" t="s">
        <v>42</v>
      </c>
      <c r="I93" s="64">
        <v>2.58</v>
      </c>
      <c r="J93" s="64">
        <v>0.06</v>
      </c>
      <c r="K93" s="64">
        <v>306.95</v>
      </c>
      <c r="L93" s="64">
        <v>24.85</v>
      </c>
      <c r="M93" s="64">
        <v>98.54</v>
      </c>
      <c r="N93" s="64">
        <v>32.299999999999997</v>
      </c>
      <c r="O93" s="64">
        <v>0</v>
      </c>
      <c r="P93" s="64">
        <v>1.44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4" t="s">
        <v>1001</v>
      </c>
      <c r="B94" s="64">
        <v>82.11</v>
      </c>
      <c r="C94" s="64">
        <v>3.41</v>
      </c>
      <c r="D94" s="64">
        <v>66.38</v>
      </c>
      <c r="E94" s="64">
        <v>4.68</v>
      </c>
      <c r="F94" s="64">
        <v>3.19</v>
      </c>
      <c r="G94" s="64">
        <v>80.37</v>
      </c>
      <c r="H94" s="6" t="s">
        <v>42</v>
      </c>
      <c r="I94" s="64">
        <v>2.6</v>
      </c>
      <c r="J94" s="64">
        <v>0.06</v>
      </c>
      <c r="K94" s="64">
        <v>289.11</v>
      </c>
      <c r="L94" s="64">
        <v>24.78</v>
      </c>
      <c r="M94" s="64">
        <v>98.58</v>
      </c>
      <c r="N94" s="64">
        <v>32.200000000000003</v>
      </c>
      <c r="O94" s="64">
        <v>0</v>
      </c>
      <c r="P94" s="64">
        <v>2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4" t="s">
        <v>1002</v>
      </c>
      <c r="B95" s="64">
        <v>58.19</v>
      </c>
      <c r="C95" s="64">
        <v>11.48</v>
      </c>
      <c r="D95" s="64">
        <v>52.25</v>
      </c>
      <c r="E95" s="64">
        <v>4.72</v>
      </c>
      <c r="F95" s="64">
        <v>2.16</v>
      </c>
      <c r="G95" s="64">
        <v>80.37</v>
      </c>
      <c r="H95" s="6" t="s">
        <v>42</v>
      </c>
      <c r="I95" s="64">
        <v>2.63</v>
      </c>
      <c r="J95" s="64">
        <v>0.08</v>
      </c>
      <c r="K95" s="64">
        <v>212.03</v>
      </c>
      <c r="L95" s="64">
        <v>24.69</v>
      </c>
      <c r="M95" s="64">
        <v>98.61</v>
      </c>
      <c r="N95" s="64">
        <v>32.299999999999997</v>
      </c>
      <c r="O95" s="64">
        <v>0</v>
      </c>
      <c r="P95" s="64">
        <v>1.1399999999999999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4" t="s">
        <v>1003</v>
      </c>
      <c r="B96" s="64">
        <v>18.95</v>
      </c>
      <c r="C96" s="64">
        <v>13.6</v>
      </c>
      <c r="D96" s="64">
        <v>22.31</v>
      </c>
      <c r="E96" s="64">
        <v>4.1900000000000004</v>
      </c>
      <c r="F96" s="64">
        <v>2.5499999999999998</v>
      </c>
      <c r="G96" s="64">
        <v>80.27</v>
      </c>
      <c r="H96" s="6" t="s">
        <v>42</v>
      </c>
      <c r="I96" s="64">
        <v>2.69</v>
      </c>
      <c r="J96" s="64">
        <v>0.11</v>
      </c>
      <c r="K96" s="64">
        <v>174.8</v>
      </c>
      <c r="L96" s="64">
        <v>24.77</v>
      </c>
      <c r="M96" s="64">
        <v>98.64</v>
      </c>
      <c r="N96" s="64">
        <v>31.9</v>
      </c>
      <c r="O96" s="64">
        <v>0</v>
      </c>
      <c r="P96" s="64">
        <v>0.89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1004</v>
      </c>
      <c r="B97" s="64">
        <v>15.22</v>
      </c>
      <c r="C97" s="64">
        <v>8.66</v>
      </c>
      <c r="D97" s="64">
        <v>16.73</v>
      </c>
      <c r="E97" s="64">
        <v>4.0999999999999996</v>
      </c>
      <c r="F97" s="64">
        <v>3.27</v>
      </c>
      <c r="G97" s="64">
        <v>80.19</v>
      </c>
      <c r="H97" s="6" t="s">
        <v>42</v>
      </c>
      <c r="I97" s="64">
        <v>2.72</v>
      </c>
      <c r="J97" s="64">
        <v>0.06</v>
      </c>
      <c r="K97" s="64">
        <v>152.65</v>
      </c>
      <c r="L97" s="64">
        <v>24.72</v>
      </c>
      <c r="M97" s="64">
        <v>98.69</v>
      </c>
      <c r="N97" s="64">
        <v>32.1</v>
      </c>
      <c r="O97" s="64">
        <v>0</v>
      </c>
      <c r="P97" s="64">
        <v>0.59</v>
      </c>
      <c r="Q97" s="64">
        <v>9.66</v>
      </c>
      <c r="R97" s="198"/>
      <c r="S97" s="198"/>
      <c r="T97" s="198"/>
      <c r="U97" s="198"/>
    </row>
    <row r="98" spans="1:33" s="12" customFormat="1" x14ac:dyDescent="0.25">
      <c r="A98" s="214" t="s">
        <v>1005</v>
      </c>
      <c r="B98" s="64">
        <v>13.46</v>
      </c>
      <c r="C98" s="64">
        <v>10.11</v>
      </c>
      <c r="D98" s="64">
        <v>16.07</v>
      </c>
      <c r="E98" s="64">
        <v>4.3600000000000003</v>
      </c>
      <c r="F98" s="64">
        <v>3.76</v>
      </c>
      <c r="G98" s="64">
        <v>80.19</v>
      </c>
      <c r="H98" s="6" t="s">
        <v>42</v>
      </c>
      <c r="I98" s="64">
        <v>2.7</v>
      </c>
      <c r="J98" s="64">
        <v>0.09</v>
      </c>
      <c r="K98" s="64">
        <v>187.92</v>
      </c>
      <c r="L98" s="64">
        <v>24.51</v>
      </c>
      <c r="M98" s="64">
        <v>98.68</v>
      </c>
      <c r="N98" s="64">
        <v>32.299999999999997</v>
      </c>
      <c r="O98" s="64">
        <v>0</v>
      </c>
      <c r="P98" s="64">
        <v>0.46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4" t="s">
        <v>1006</v>
      </c>
      <c r="B99" s="64">
        <v>13.78</v>
      </c>
      <c r="C99" s="64">
        <v>7.06</v>
      </c>
      <c r="D99" s="64">
        <v>14.7</v>
      </c>
      <c r="E99" s="64">
        <v>4.18</v>
      </c>
      <c r="F99" s="64">
        <v>4.22</v>
      </c>
      <c r="G99" s="64">
        <v>80.19</v>
      </c>
      <c r="H99" s="6" t="s">
        <v>42</v>
      </c>
      <c r="I99" s="64">
        <v>2.64</v>
      </c>
      <c r="J99" s="64">
        <v>0.16</v>
      </c>
      <c r="K99" s="64">
        <v>153.56</v>
      </c>
      <c r="L99" s="64">
        <v>24.17</v>
      </c>
      <c r="M99" s="64">
        <v>98.67</v>
      </c>
      <c r="N99" s="64">
        <v>32.5</v>
      </c>
      <c r="O99" s="64">
        <v>0</v>
      </c>
      <c r="P99" s="64">
        <v>0.49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4" t="s">
        <v>1007</v>
      </c>
      <c r="B100" s="64">
        <v>22.49</v>
      </c>
      <c r="C100" s="64">
        <v>5.2</v>
      </c>
      <c r="D100" s="64">
        <v>20.68</v>
      </c>
      <c r="E100" s="64">
        <v>4.0599999999999996</v>
      </c>
      <c r="F100" s="64">
        <v>3.69</v>
      </c>
      <c r="G100" s="64">
        <v>68.010000000000005</v>
      </c>
      <c r="H100" s="6" t="s">
        <v>42</v>
      </c>
      <c r="I100" s="64">
        <v>2.58</v>
      </c>
      <c r="J100" s="64">
        <v>0.05</v>
      </c>
      <c r="K100" s="64">
        <v>279.57</v>
      </c>
      <c r="L100" s="64">
        <v>23.89</v>
      </c>
      <c r="M100" s="64">
        <v>98.66</v>
      </c>
      <c r="N100" s="64">
        <v>32.5</v>
      </c>
      <c r="O100" s="64">
        <v>0</v>
      </c>
      <c r="P100" s="64">
        <v>0.78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1008</v>
      </c>
      <c r="B101" s="64">
        <v>20.13</v>
      </c>
      <c r="C101" s="64">
        <v>6.57</v>
      </c>
      <c r="D101" s="64">
        <v>19.57</v>
      </c>
      <c r="E101" s="64">
        <v>3.71</v>
      </c>
      <c r="F101" s="64">
        <v>4.8600000000000003</v>
      </c>
      <c r="G101" s="64">
        <v>58.69</v>
      </c>
      <c r="H101" s="6" t="s">
        <v>42</v>
      </c>
      <c r="I101" s="64">
        <v>2.5099999999999998</v>
      </c>
      <c r="J101" s="64">
        <v>0.06</v>
      </c>
      <c r="K101" s="64">
        <v>318.87</v>
      </c>
      <c r="L101" s="64">
        <v>23.75</v>
      </c>
      <c r="M101" s="64">
        <v>98.64</v>
      </c>
      <c r="N101" s="64">
        <v>32.5</v>
      </c>
      <c r="O101" s="64">
        <v>0</v>
      </c>
      <c r="P101" s="64">
        <v>0.75</v>
      </c>
      <c r="Q101" s="64">
        <v>9.6999999999999993</v>
      </c>
      <c r="R101" s="198"/>
      <c r="S101" s="198"/>
      <c r="T101" s="198"/>
      <c r="U101" s="198"/>
    </row>
    <row r="102" spans="1:33" s="12" customFormat="1" x14ac:dyDescent="0.25">
      <c r="A102" s="214" t="s">
        <v>1009</v>
      </c>
      <c r="B102" s="64">
        <v>19.5</v>
      </c>
      <c r="C102" s="64">
        <v>9.52</v>
      </c>
      <c r="D102" s="64">
        <v>20.61</v>
      </c>
      <c r="E102" s="64">
        <v>4.03</v>
      </c>
      <c r="F102" s="64">
        <v>4.1399999999999997</v>
      </c>
      <c r="G102" s="64">
        <v>58.69</v>
      </c>
      <c r="H102" s="6" t="s">
        <v>42</v>
      </c>
      <c r="I102" s="64">
        <v>2.44</v>
      </c>
      <c r="J102" s="64">
        <v>0.02</v>
      </c>
      <c r="K102" s="64">
        <v>318.25</v>
      </c>
      <c r="L102" s="64">
        <v>23.65</v>
      </c>
      <c r="M102" s="64">
        <v>98.68</v>
      </c>
      <c r="N102" s="64">
        <v>32.4</v>
      </c>
      <c r="O102" s="64">
        <v>0</v>
      </c>
      <c r="P102" s="64">
        <v>0.73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4" t="s">
        <v>1010</v>
      </c>
      <c r="B103" s="64">
        <v>19.25</v>
      </c>
      <c r="C103" s="64">
        <v>6.62</v>
      </c>
      <c r="D103" s="64">
        <v>18.899999999999999</v>
      </c>
      <c r="E103" s="64">
        <v>3.56</v>
      </c>
      <c r="F103" s="64">
        <v>3.67</v>
      </c>
      <c r="G103" s="64">
        <v>58.69</v>
      </c>
      <c r="H103" s="6" t="s">
        <v>42</v>
      </c>
      <c r="I103" s="64">
        <v>2.38</v>
      </c>
      <c r="J103" s="64">
        <v>0</v>
      </c>
      <c r="K103" s="64">
        <v>165.1</v>
      </c>
      <c r="L103" s="64">
        <v>23.62</v>
      </c>
      <c r="M103" s="64">
        <v>98.73</v>
      </c>
      <c r="N103" s="64">
        <v>32.299999999999997</v>
      </c>
      <c r="O103" s="64">
        <v>0</v>
      </c>
      <c r="P103" s="64">
        <v>0.64</v>
      </c>
      <c r="Q103" s="64">
        <v>9.68</v>
      </c>
      <c r="R103" s="198"/>
      <c r="S103" s="198"/>
      <c r="T103" s="198"/>
      <c r="U103" s="198"/>
    </row>
    <row r="104" spans="1:33" s="12" customFormat="1" x14ac:dyDescent="0.25">
      <c r="A104" s="214" t="s">
        <v>1011</v>
      </c>
      <c r="B104" s="64">
        <v>8.75</v>
      </c>
      <c r="C104" s="64">
        <v>10.91</v>
      </c>
      <c r="D104" s="64">
        <v>12.72</v>
      </c>
      <c r="E104" s="64">
        <v>4.5</v>
      </c>
      <c r="F104" s="64">
        <v>5.36</v>
      </c>
      <c r="G104" s="64">
        <v>53.62</v>
      </c>
      <c r="H104" s="6" t="s">
        <v>42</v>
      </c>
      <c r="I104" s="64">
        <v>2.33</v>
      </c>
      <c r="J104" s="64">
        <v>0.04</v>
      </c>
      <c r="K104" s="64">
        <v>189.42</v>
      </c>
      <c r="L104" s="64">
        <v>23.62</v>
      </c>
      <c r="M104" s="64">
        <v>98.74</v>
      </c>
      <c r="N104" s="64">
        <v>32.5</v>
      </c>
      <c r="O104" s="64">
        <v>0</v>
      </c>
      <c r="P104" s="64">
        <v>0.36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6.81</v>
      </c>
      <c r="C106" s="67">
        <f>MIN(C9:C104)</f>
        <v>3.41</v>
      </c>
      <c r="D106" s="67">
        <f t="shared" ref="D106:Q106" si="0">MIN(D9:D104)</f>
        <v>9.08</v>
      </c>
      <c r="E106" s="67">
        <f t="shared" si="0"/>
        <v>0.91</v>
      </c>
      <c r="F106" s="67">
        <f t="shared" si="0"/>
        <v>2.16</v>
      </c>
      <c r="G106" s="67">
        <f t="shared" si="0"/>
        <v>9.33</v>
      </c>
      <c r="H106" s="67">
        <f t="shared" si="0"/>
        <v>0.02</v>
      </c>
      <c r="I106" s="67">
        <f t="shared" si="0"/>
        <v>1.1299999999999999</v>
      </c>
      <c r="J106" s="67">
        <f t="shared" si="0"/>
        <v>0</v>
      </c>
      <c r="K106" s="67">
        <f t="shared" si="0"/>
        <v>27.04</v>
      </c>
      <c r="L106" s="67">
        <f t="shared" si="0"/>
        <v>22.62</v>
      </c>
      <c r="M106" s="67">
        <f t="shared" si="0"/>
        <v>81.55</v>
      </c>
      <c r="N106" s="67">
        <f t="shared" si="0"/>
        <v>29.9</v>
      </c>
      <c r="O106" s="67">
        <f t="shared" si="0"/>
        <v>0</v>
      </c>
      <c r="P106" s="67">
        <f t="shared" si="0"/>
        <v>0.01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82.11</v>
      </c>
      <c r="C107" s="66">
        <f t="shared" ref="C107:Q107" si="1">MAX(C9:C104)</f>
        <v>23.95</v>
      </c>
      <c r="D107" s="66">
        <f t="shared" si="1"/>
        <v>66.38</v>
      </c>
      <c r="E107" s="66">
        <f t="shared" si="1"/>
        <v>4.72</v>
      </c>
      <c r="F107" s="66">
        <f t="shared" si="1"/>
        <v>12.08</v>
      </c>
      <c r="G107" s="66">
        <f t="shared" si="1"/>
        <v>132.07</v>
      </c>
      <c r="H107" s="66">
        <f t="shared" si="1"/>
        <v>22.43</v>
      </c>
      <c r="I107" s="66">
        <f t="shared" si="1"/>
        <v>2.82</v>
      </c>
      <c r="J107" s="66">
        <f t="shared" si="1"/>
        <v>1.67</v>
      </c>
      <c r="K107" s="66">
        <f t="shared" si="1"/>
        <v>355.93</v>
      </c>
      <c r="L107" s="66">
        <f t="shared" si="1"/>
        <v>31.94</v>
      </c>
      <c r="M107" s="66">
        <f t="shared" si="1"/>
        <v>98.74</v>
      </c>
      <c r="N107" s="66">
        <f t="shared" si="1"/>
        <v>927.6</v>
      </c>
      <c r="O107" s="66">
        <f t="shared" si="1"/>
        <v>0.8</v>
      </c>
      <c r="P107" s="66">
        <f t="shared" si="1"/>
        <v>2.06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15.993229166666671</v>
      </c>
      <c r="C108" s="67">
        <f t="shared" ref="C108:Q108" si="2">AVERAGE(C9:C104)</f>
        <v>10.355104166666667</v>
      </c>
      <c r="D108" s="67">
        <f t="shared" si="2"/>
        <v>18.207812500000003</v>
      </c>
      <c r="E108" s="67">
        <f t="shared" si="2"/>
        <v>3.2361458333333335</v>
      </c>
      <c r="F108" s="67">
        <f t="shared" si="2"/>
        <v>5.0536458333333316</v>
      </c>
      <c r="G108" s="67">
        <f t="shared" si="2"/>
        <v>53.245172413793078</v>
      </c>
      <c r="H108" s="67">
        <f t="shared" si="2"/>
        <v>8.825652173913042</v>
      </c>
      <c r="I108" s="67">
        <f t="shared" si="2"/>
        <v>1.9759374999999995</v>
      </c>
      <c r="J108" s="67">
        <f t="shared" si="2"/>
        <v>0.30541666666666656</v>
      </c>
      <c r="K108" s="67">
        <f t="shared" si="2"/>
        <v>250.39031249999996</v>
      </c>
      <c r="L108" s="67">
        <f t="shared" si="2"/>
        <v>25.395624999999995</v>
      </c>
      <c r="M108" s="67">
        <f t="shared" si="2"/>
        <v>97.216354166666676</v>
      </c>
      <c r="N108" s="67">
        <f t="shared" si="2"/>
        <v>134.98020833333331</v>
      </c>
      <c r="O108" s="67">
        <f t="shared" si="2"/>
        <v>2.5000000000000005E-2</v>
      </c>
      <c r="P108" s="67">
        <f t="shared" si="2"/>
        <v>0.60854166666666676</v>
      </c>
      <c r="Q108" s="67">
        <f t="shared" si="2"/>
        <v>9.4668749999999928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12.612137637153692</v>
      </c>
      <c r="C109" s="67">
        <f t="shared" ref="C109:Q109" si="3">STDEV(C9:C104)</f>
        <v>3.8094152044062293</v>
      </c>
      <c r="D109" s="67">
        <f t="shared" si="3"/>
        <v>10.812182914425737</v>
      </c>
      <c r="E109" s="67">
        <f t="shared" si="3"/>
        <v>1.2018620376133622</v>
      </c>
      <c r="F109" s="67">
        <f t="shared" si="3"/>
        <v>2.0153584608890789</v>
      </c>
      <c r="G109" s="67">
        <f t="shared" si="3"/>
        <v>31.053916573645793</v>
      </c>
      <c r="H109" s="67">
        <f t="shared" si="3"/>
        <v>6.6482858783879717</v>
      </c>
      <c r="I109" s="67">
        <f t="shared" si="3"/>
        <v>0.52586285609563144</v>
      </c>
      <c r="J109" s="67">
        <f t="shared" si="3"/>
        <v>0.40534044603639352</v>
      </c>
      <c r="K109" s="67">
        <f t="shared" si="3"/>
        <v>89.645062252291012</v>
      </c>
      <c r="L109" s="67">
        <f t="shared" si="3"/>
        <v>2.5091016687672352</v>
      </c>
      <c r="M109" s="67">
        <f t="shared" si="3"/>
        <v>3.1099115302331675</v>
      </c>
      <c r="N109" s="67">
        <f t="shared" si="3"/>
        <v>169.43676890450385</v>
      </c>
      <c r="O109" s="67">
        <f t="shared" si="3"/>
        <v>0.12396943596157717</v>
      </c>
      <c r="P109" s="67">
        <f t="shared" si="3"/>
        <v>0.44239296455495225</v>
      </c>
      <c r="Q109" s="67">
        <f t="shared" si="3"/>
        <v>0.13587387727711236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</f>
        <v>96</v>
      </c>
      <c r="H110" s="66">
        <f>COUNT(H9:H104)+50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1012</v>
      </c>
      <c r="B9" s="64">
        <v>14.41</v>
      </c>
      <c r="C9" s="64">
        <v>11.47</v>
      </c>
      <c r="D9" s="64">
        <v>17.55</v>
      </c>
      <c r="E9" s="64">
        <v>4.63</v>
      </c>
      <c r="F9" s="64">
        <v>3.69</v>
      </c>
      <c r="G9" s="64">
        <v>49.74</v>
      </c>
      <c r="H9" s="9" t="s">
        <v>36</v>
      </c>
      <c r="I9" s="64">
        <v>2.29</v>
      </c>
      <c r="J9" s="64">
        <v>0.02</v>
      </c>
      <c r="K9" s="64">
        <v>85.97</v>
      </c>
      <c r="L9" s="64">
        <v>23.62</v>
      </c>
      <c r="M9" s="64">
        <v>98.77</v>
      </c>
      <c r="N9" s="64">
        <v>32.299999999999997</v>
      </c>
      <c r="O9" s="64">
        <v>0</v>
      </c>
      <c r="P9" s="64">
        <v>0.61</v>
      </c>
      <c r="Q9" s="64">
        <v>9.68</v>
      </c>
      <c r="R9" s="198"/>
      <c r="S9" s="198"/>
      <c r="T9" s="198"/>
      <c r="U9" s="198"/>
    </row>
    <row r="10" spans="1:21" s="12" customFormat="1" x14ac:dyDescent="0.25">
      <c r="A10" s="214" t="s">
        <v>1013</v>
      </c>
      <c r="B10" s="64">
        <v>16.25</v>
      </c>
      <c r="C10" s="64">
        <v>10.11</v>
      </c>
      <c r="D10" s="64">
        <v>18.309999999999999</v>
      </c>
      <c r="E10" s="64">
        <v>5.07</v>
      </c>
      <c r="F10" s="64">
        <v>4.1399999999999997</v>
      </c>
      <c r="G10" s="64">
        <v>49.74</v>
      </c>
      <c r="H10" s="9" t="s">
        <v>36</v>
      </c>
      <c r="I10" s="64">
        <v>2.2400000000000002</v>
      </c>
      <c r="J10" s="64">
        <v>0.08</v>
      </c>
      <c r="K10" s="64">
        <v>5.73</v>
      </c>
      <c r="L10" s="64">
        <v>23.64</v>
      </c>
      <c r="M10" s="64">
        <v>98.8</v>
      </c>
      <c r="N10" s="64">
        <v>32.200000000000003</v>
      </c>
      <c r="O10" s="64">
        <v>0</v>
      </c>
      <c r="P10" s="64">
        <v>0.68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4" t="s">
        <v>1014</v>
      </c>
      <c r="B11" s="64">
        <v>11.38</v>
      </c>
      <c r="C11" s="64">
        <v>11.16</v>
      </c>
      <c r="D11" s="64">
        <v>14.96</v>
      </c>
      <c r="E11" s="64">
        <v>4.8</v>
      </c>
      <c r="F11" s="64">
        <v>3.64</v>
      </c>
      <c r="G11" s="64">
        <v>49.74</v>
      </c>
      <c r="H11" s="9" t="s">
        <v>36</v>
      </c>
      <c r="I11" s="64">
        <v>2.21</v>
      </c>
      <c r="J11" s="64">
        <v>7.0000000000000007E-2</v>
      </c>
      <c r="K11" s="64">
        <v>122.28</v>
      </c>
      <c r="L11" s="64">
        <v>23.71</v>
      </c>
      <c r="M11" s="64">
        <v>98.81</v>
      </c>
      <c r="N11" s="64">
        <v>32.200000000000003</v>
      </c>
      <c r="O11" s="64">
        <v>0</v>
      </c>
      <c r="P11" s="64">
        <v>0.54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4" t="s">
        <v>1015</v>
      </c>
      <c r="B12" s="64">
        <v>10.039999999999999</v>
      </c>
      <c r="C12" s="64">
        <v>11.79</v>
      </c>
      <c r="D12" s="64">
        <v>14.21</v>
      </c>
      <c r="E12" s="64">
        <v>4.72</v>
      </c>
      <c r="F12" s="64">
        <v>3.18</v>
      </c>
      <c r="G12" s="64">
        <v>49.15</v>
      </c>
      <c r="H12" s="9" t="s">
        <v>36</v>
      </c>
      <c r="I12" s="64">
        <v>2.1800000000000002</v>
      </c>
      <c r="J12" s="64">
        <v>0.03</v>
      </c>
      <c r="K12" s="64">
        <v>234.49</v>
      </c>
      <c r="L12" s="64">
        <v>23.83</v>
      </c>
      <c r="M12" s="64">
        <v>98.8</v>
      </c>
      <c r="N12" s="64">
        <v>32.4</v>
      </c>
      <c r="O12" s="64">
        <v>0</v>
      </c>
      <c r="P12" s="64">
        <v>0.56000000000000005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4" t="s">
        <v>1016</v>
      </c>
      <c r="B13" s="64">
        <v>11.46</v>
      </c>
      <c r="C13" s="64">
        <v>12.14</v>
      </c>
      <c r="D13" s="64">
        <v>15.54</v>
      </c>
      <c r="E13" s="64">
        <v>4.76</v>
      </c>
      <c r="F13" s="64">
        <v>3</v>
      </c>
      <c r="G13" s="64">
        <v>48.71</v>
      </c>
      <c r="H13" s="9" t="s">
        <v>36</v>
      </c>
      <c r="I13" s="64">
        <v>2.17</v>
      </c>
      <c r="J13" s="64">
        <v>0.06</v>
      </c>
      <c r="K13" s="64">
        <v>134.44999999999999</v>
      </c>
      <c r="L13" s="64">
        <v>23.89</v>
      </c>
      <c r="M13" s="64">
        <v>98.81</v>
      </c>
      <c r="N13" s="64">
        <v>32.4</v>
      </c>
      <c r="O13" s="64">
        <v>0</v>
      </c>
      <c r="P13" s="64">
        <v>0.64</v>
      </c>
      <c r="Q13" s="64">
        <v>9.67</v>
      </c>
      <c r="R13" s="198"/>
      <c r="S13" s="198"/>
      <c r="T13" s="198"/>
      <c r="U13" s="198"/>
    </row>
    <row r="14" spans="1:21" s="12" customFormat="1" x14ac:dyDescent="0.25">
      <c r="A14" s="214" t="s">
        <v>1017</v>
      </c>
      <c r="B14" s="64">
        <v>12.91</v>
      </c>
      <c r="C14" s="64">
        <v>10.37</v>
      </c>
      <c r="D14" s="64">
        <v>15.77</v>
      </c>
      <c r="E14" s="64">
        <v>5.08</v>
      </c>
      <c r="F14" s="64">
        <v>3.87</v>
      </c>
      <c r="G14" s="64">
        <v>48.71</v>
      </c>
      <c r="H14" s="9" t="s">
        <v>36</v>
      </c>
      <c r="I14" s="64">
        <v>2.2000000000000002</v>
      </c>
      <c r="J14" s="64">
        <v>0.16</v>
      </c>
      <c r="K14" s="64">
        <v>150.91</v>
      </c>
      <c r="L14" s="64">
        <v>23.95</v>
      </c>
      <c r="M14" s="64">
        <v>98.8</v>
      </c>
      <c r="N14" s="64">
        <v>32.4</v>
      </c>
      <c r="O14" s="64">
        <v>0</v>
      </c>
      <c r="P14" s="64">
        <v>0.6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4" t="s">
        <v>1018</v>
      </c>
      <c r="B15" s="64">
        <v>11.97</v>
      </c>
      <c r="C15" s="64">
        <v>7.57</v>
      </c>
      <c r="D15" s="64">
        <v>13.55</v>
      </c>
      <c r="E15" s="64">
        <v>5.04</v>
      </c>
      <c r="F15" s="64">
        <v>4.71</v>
      </c>
      <c r="G15" s="64">
        <v>48.71</v>
      </c>
      <c r="H15" s="9" t="s">
        <v>36</v>
      </c>
      <c r="I15" s="64">
        <v>2.2599999999999998</v>
      </c>
      <c r="J15" s="64">
        <v>0.12</v>
      </c>
      <c r="K15" s="64">
        <v>170.3</v>
      </c>
      <c r="L15" s="64">
        <v>23.93</v>
      </c>
      <c r="M15" s="64">
        <v>98.82</v>
      </c>
      <c r="N15" s="64">
        <v>32.5</v>
      </c>
      <c r="O15" s="64">
        <v>0</v>
      </c>
      <c r="P15" s="64">
        <v>0.48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4" t="s">
        <v>1019</v>
      </c>
      <c r="B16" s="64">
        <v>12.13</v>
      </c>
      <c r="C16" s="64">
        <v>6.04</v>
      </c>
      <c r="D16" s="64">
        <v>12.88</v>
      </c>
      <c r="E16" s="64">
        <v>5.18</v>
      </c>
      <c r="F16" s="64">
        <v>5.77</v>
      </c>
      <c r="G16" s="64">
        <v>46.76</v>
      </c>
      <c r="H16" s="9" t="s">
        <v>36</v>
      </c>
      <c r="I16" s="64">
        <v>2.2999999999999998</v>
      </c>
      <c r="J16" s="64">
        <v>0.08</v>
      </c>
      <c r="K16" s="64">
        <v>180.75</v>
      </c>
      <c r="L16" s="64">
        <v>23.89</v>
      </c>
      <c r="M16" s="64">
        <v>98.81</v>
      </c>
      <c r="N16" s="64">
        <v>32.5</v>
      </c>
      <c r="O16" s="64">
        <v>0</v>
      </c>
      <c r="P16" s="64">
        <v>0.43</v>
      </c>
      <c r="Q16" s="64">
        <v>9.68</v>
      </c>
      <c r="R16" s="198"/>
      <c r="S16" s="198"/>
      <c r="T16" s="198"/>
      <c r="U16" s="198"/>
    </row>
    <row r="17" spans="1:21" s="12" customFormat="1" x14ac:dyDescent="0.25">
      <c r="A17" s="214" t="s">
        <v>1020</v>
      </c>
      <c r="B17" s="64">
        <v>11.34</v>
      </c>
      <c r="C17" s="64">
        <v>5.36</v>
      </c>
      <c r="D17" s="64">
        <v>11.9</v>
      </c>
      <c r="E17" s="64">
        <v>5.0999999999999996</v>
      </c>
      <c r="F17" s="64">
        <v>8.48</v>
      </c>
      <c r="G17" s="64">
        <v>45.2</v>
      </c>
      <c r="H17" s="9" t="s">
        <v>36</v>
      </c>
      <c r="I17" s="64">
        <v>2.3199999999999998</v>
      </c>
      <c r="J17" s="64">
        <v>0.11</v>
      </c>
      <c r="K17" s="64">
        <v>157.30000000000001</v>
      </c>
      <c r="L17" s="64">
        <v>23.81</v>
      </c>
      <c r="M17" s="64">
        <v>98.73</v>
      </c>
      <c r="N17" s="64">
        <v>32.5</v>
      </c>
      <c r="O17" s="64">
        <v>0</v>
      </c>
      <c r="P17" s="64">
        <v>0.38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4" t="s">
        <v>1021</v>
      </c>
      <c r="B18" s="64">
        <v>16.579999999999998</v>
      </c>
      <c r="C18" s="64">
        <v>4.29</v>
      </c>
      <c r="D18" s="64">
        <v>15.54</v>
      </c>
      <c r="E18" s="64">
        <v>4.9800000000000004</v>
      </c>
      <c r="F18" s="64">
        <v>5.0599999999999996</v>
      </c>
      <c r="G18" s="64">
        <v>45.2</v>
      </c>
      <c r="H18" s="9" t="s">
        <v>36</v>
      </c>
      <c r="I18" s="64">
        <v>2.31</v>
      </c>
      <c r="J18" s="64">
        <v>0.02</v>
      </c>
      <c r="K18" s="64">
        <v>218.79</v>
      </c>
      <c r="L18" s="64">
        <v>23.73</v>
      </c>
      <c r="M18" s="64">
        <v>98.7</v>
      </c>
      <c r="N18" s="64">
        <v>32.5</v>
      </c>
      <c r="O18" s="64">
        <v>0</v>
      </c>
      <c r="P18" s="64">
        <v>0.5</v>
      </c>
      <c r="Q18" s="64">
        <v>9.65</v>
      </c>
      <c r="R18" s="198"/>
      <c r="S18" s="198"/>
      <c r="T18" s="198"/>
      <c r="U18" s="198"/>
    </row>
    <row r="19" spans="1:21" s="12" customFormat="1" x14ac:dyDescent="0.25">
      <c r="A19" s="214" t="s">
        <v>1022</v>
      </c>
      <c r="B19" s="64">
        <v>9.0299999999999994</v>
      </c>
      <c r="C19" s="64">
        <v>5.19</v>
      </c>
      <c r="D19" s="64">
        <v>9.9499999999999993</v>
      </c>
      <c r="E19" s="64">
        <v>4.95</v>
      </c>
      <c r="F19" s="64">
        <v>6.43</v>
      </c>
      <c r="G19" s="64">
        <v>45.2</v>
      </c>
      <c r="H19" s="9" t="s">
        <v>36</v>
      </c>
      <c r="I19" s="64">
        <v>2.2599999999999998</v>
      </c>
      <c r="J19" s="64">
        <v>0.05</v>
      </c>
      <c r="K19" s="64">
        <v>130.81</v>
      </c>
      <c r="L19" s="64">
        <v>23.64</v>
      </c>
      <c r="M19" s="64">
        <v>98.68</v>
      </c>
      <c r="N19" s="64">
        <v>32.5</v>
      </c>
      <c r="O19" s="64">
        <v>0</v>
      </c>
      <c r="P19" s="64">
        <v>0.27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4" t="s">
        <v>1023</v>
      </c>
      <c r="B20" s="64">
        <v>9.7799999999999994</v>
      </c>
      <c r="C20" s="64">
        <v>4.8</v>
      </c>
      <c r="D20" s="64">
        <v>10.36</v>
      </c>
      <c r="E20" s="64">
        <v>4.8600000000000003</v>
      </c>
      <c r="F20" s="64">
        <v>6.67</v>
      </c>
      <c r="G20" s="64">
        <v>40.08</v>
      </c>
      <c r="H20" s="9" t="s">
        <v>36</v>
      </c>
      <c r="I20" s="64">
        <v>2.2000000000000002</v>
      </c>
      <c r="J20" s="64">
        <v>0.11</v>
      </c>
      <c r="K20" s="64">
        <v>121.23</v>
      </c>
      <c r="L20" s="64">
        <v>23.56</v>
      </c>
      <c r="M20" s="64">
        <v>98.63</v>
      </c>
      <c r="N20" s="64">
        <v>32.4</v>
      </c>
      <c r="O20" s="64">
        <v>0</v>
      </c>
      <c r="P20" s="64">
        <v>0.32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4" t="s">
        <v>1024</v>
      </c>
      <c r="B21" s="64">
        <v>9.56</v>
      </c>
      <c r="C21" s="64">
        <v>5.36</v>
      </c>
      <c r="D21" s="64">
        <v>10.47</v>
      </c>
      <c r="E21" s="64">
        <v>5.1100000000000003</v>
      </c>
      <c r="F21" s="64">
        <v>6.22</v>
      </c>
      <c r="G21" s="64">
        <v>35.979999999999997</v>
      </c>
      <c r="H21" s="9" t="s">
        <v>36</v>
      </c>
      <c r="I21" s="64">
        <v>2.14</v>
      </c>
      <c r="J21" s="64">
        <v>0.01</v>
      </c>
      <c r="K21" s="64">
        <v>275.02999999999997</v>
      </c>
      <c r="L21" s="64">
        <v>23.46</v>
      </c>
      <c r="M21" s="64">
        <v>98.61</v>
      </c>
      <c r="N21" s="64">
        <v>32.5</v>
      </c>
      <c r="O21" s="64">
        <v>0</v>
      </c>
      <c r="P21" s="64">
        <v>0.31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4" t="s">
        <v>1025</v>
      </c>
      <c r="B22" s="64">
        <v>9.7100000000000009</v>
      </c>
      <c r="C22" s="64">
        <v>6.82</v>
      </c>
      <c r="D22" s="64">
        <v>11.35</v>
      </c>
      <c r="E22" s="64">
        <v>5.2</v>
      </c>
      <c r="F22" s="64">
        <v>5.6</v>
      </c>
      <c r="G22" s="64">
        <v>35.979999999999997</v>
      </c>
      <c r="H22" s="9" t="s">
        <v>36</v>
      </c>
      <c r="I22" s="64">
        <v>2.08</v>
      </c>
      <c r="J22" s="64">
        <v>7.0000000000000007E-2</v>
      </c>
      <c r="K22" s="64">
        <v>180.97</v>
      </c>
      <c r="L22" s="64">
        <v>23.4</v>
      </c>
      <c r="M22" s="64">
        <v>98.65</v>
      </c>
      <c r="N22" s="64">
        <v>32.299999999999997</v>
      </c>
      <c r="O22" s="64">
        <v>0</v>
      </c>
      <c r="P22" s="64">
        <v>0.25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4" t="s">
        <v>1026</v>
      </c>
      <c r="B23" s="64">
        <v>12.43</v>
      </c>
      <c r="C23" s="64">
        <v>6.08</v>
      </c>
      <c r="D23" s="64">
        <v>13.14</v>
      </c>
      <c r="E23" s="64">
        <v>4.99</v>
      </c>
      <c r="F23" s="64">
        <v>4.38</v>
      </c>
      <c r="G23" s="64">
        <v>35.979999999999997</v>
      </c>
      <c r="H23" s="9" t="s">
        <v>36</v>
      </c>
      <c r="I23" s="64">
        <v>2.0299999999999998</v>
      </c>
      <c r="J23" s="64">
        <v>0.06</v>
      </c>
      <c r="K23" s="64">
        <v>166.59</v>
      </c>
      <c r="L23" s="64">
        <v>23.35</v>
      </c>
      <c r="M23" s="64">
        <v>98.64</v>
      </c>
      <c r="N23" s="64">
        <v>32.299999999999997</v>
      </c>
      <c r="O23" s="64">
        <v>0</v>
      </c>
      <c r="P23" s="64">
        <v>0.42</v>
      </c>
      <c r="Q23" s="64">
        <v>9.66</v>
      </c>
      <c r="R23" s="198"/>
      <c r="S23" s="198"/>
      <c r="T23" s="198"/>
      <c r="U23" s="198"/>
    </row>
    <row r="24" spans="1:21" s="12" customFormat="1" x14ac:dyDescent="0.25">
      <c r="A24" s="214" t="s">
        <v>1027</v>
      </c>
      <c r="B24" s="64">
        <v>10.71</v>
      </c>
      <c r="C24" s="64">
        <v>5.43</v>
      </c>
      <c r="D24" s="64">
        <v>11.43</v>
      </c>
      <c r="E24" s="64">
        <v>5</v>
      </c>
      <c r="F24" s="64">
        <v>3.63</v>
      </c>
      <c r="G24" s="64">
        <v>29.27</v>
      </c>
      <c r="H24" s="64">
        <v>1.1000000000000001</v>
      </c>
      <c r="I24" s="64">
        <v>1.97</v>
      </c>
      <c r="J24" s="64">
        <v>0.03</v>
      </c>
      <c r="K24" s="64">
        <v>219.31</v>
      </c>
      <c r="L24" s="64">
        <v>23.32</v>
      </c>
      <c r="M24" s="64">
        <v>98.62</v>
      </c>
      <c r="N24" s="64">
        <v>32.4</v>
      </c>
      <c r="O24" s="64">
        <v>0</v>
      </c>
      <c r="P24" s="64">
        <v>0.32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4" t="s">
        <v>1028</v>
      </c>
      <c r="B25" s="64">
        <v>10.66</v>
      </c>
      <c r="C25" s="64">
        <v>5.83</v>
      </c>
      <c r="D25" s="64">
        <v>11.6</v>
      </c>
      <c r="E25" s="64">
        <v>4.79</v>
      </c>
      <c r="F25" s="64">
        <v>4.13</v>
      </c>
      <c r="G25" s="64">
        <v>23.91</v>
      </c>
      <c r="H25" s="64">
        <v>1.47</v>
      </c>
      <c r="I25" s="64">
        <v>1.92</v>
      </c>
      <c r="J25" s="64">
        <v>0.22</v>
      </c>
      <c r="K25" s="64">
        <v>116.76</v>
      </c>
      <c r="L25" s="64">
        <v>23.27</v>
      </c>
      <c r="M25" s="64">
        <v>98.6</v>
      </c>
      <c r="N25" s="64">
        <v>32.1</v>
      </c>
      <c r="O25" s="64">
        <v>0</v>
      </c>
      <c r="P25" s="64">
        <v>0.33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4" t="s">
        <v>1029</v>
      </c>
      <c r="B26" s="64">
        <v>12.97</v>
      </c>
      <c r="C26" s="64">
        <v>5.16</v>
      </c>
      <c r="D26" s="64">
        <v>13.1</v>
      </c>
      <c r="E26" s="64">
        <v>4.4400000000000004</v>
      </c>
      <c r="F26" s="64">
        <v>3.52</v>
      </c>
      <c r="G26" s="64">
        <v>23.91</v>
      </c>
      <c r="H26" s="64">
        <v>1.47</v>
      </c>
      <c r="I26" s="64">
        <v>1.88</v>
      </c>
      <c r="J26" s="64">
        <v>7.0000000000000007E-2</v>
      </c>
      <c r="K26" s="64">
        <v>170.37</v>
      </c>
      <c r="L26" s="64">
        <v>23.29</v>
      </c>
      <c r="M26" s="64">
        <v>98.59</v>
      </c>
      <c r="N26" s="64">
        <v>32.200000000000003</v>
      </c>
      <c r="O26" s="64">
        <v>0</v>
      </c>
      <c r="P26" s="64">
        <v>0.43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1030</v>
      </c>
      <c r="B27" s="64">
        <v>11.54</v>
      </c>
      <c r="C27" s="64">
        <v>5.85</v>
      </c>
      <c r="D27" s="64">
        <v>12.31</v>
      </c>
      <c r="E27" s="64">
        <v>4.67</v>
      </c>
      <c r="F27" s="64">
        <v>3.6</v>
      </c>
      <c r="G27" s="64">
        <v>23.91</v>
      </c>
      <c r="H27" s="64">
        <v>1.47</v>
      </c>
      <c r="I27" s="64">
        <v>1.83</v>
      </c>
      <c r="J27" s="64">
        <v>0</v>
      </c>
      <c r="K27" s="64">
        <v>182.94</v>
      </c>
      <c r="L27" s="64">
        <v>23.26</v>
      </c>
      <c r="M27" s="64">
        <v>98.62</v>
      </c>
      <c r="N27" s="64">
        <v>32.299999999999997</v>
      </c>
      <c r="O27" s="64">
        <v>0</v>
      </c>
      <c r="P27" s="64">
        <v>0.46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4" t="s">
        <v>1031</v>
      </c>
      <c r="B28" s="64">
        <v>9.23</v>
      </c>
      <c r="C28" s="64">
        <v>7.73</v>
      </c>
      <c r="D28" s="64">
        <v>11.44</v>
      </c>
      <c r="E28" s="64">
        <v>4.76</v>
      </c>
      <c r="F28" s="64">
        <v>5.1100000000000003</v>
      </c>
      <c r="G28" s="64">
        <v>24.07</v>
      </c>
      <c r="H28" s="64">
        <v>1.93</v>
      </c>
      <c r="I28" s="64">
        <v>1.78</v>
      </c>
      <c r="J28" s="64">
        <v>0.03</v>
      </c>
      <c r="K28" s="64">
        <v>152.12</v>
      </c>
      <c r="L28" s="64">
        <v>23.19</v>
      </c>
      <c r="M28" s="64">
        <v>98.64</v>
      </c>
      <c r="N28" s="64">
        <v>32.200000000000003</v>
      </c>
      <c r="O28" s="64">
        <v>0</v>
      </c>
      <c r="P28" s="64">
        <v>0.28000000000000003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4" t="s">
        <v>1032</v>
      </c>
      <c r="B29" s="64">
        <v>13.22</v>
      </c>
      <c r="C29" s="64">
        <v>7.27</v>
      </c>
      <c r="D29" s="64">
        <v>14.4</v>
      </c>
      <c r="E29" s="64">
        <v>4.75</v>
      </c>
      <c r="F29" s="64">
        <v>3.63</v>
      </c>
      <c r="G29" s="64">
        <v>24.19</v>
      </c>
      <c r="H29" s="64">
        <v>2.27</v>
      </c>
      <c r="I29" s="64">
        <v>1.75</v>
      </c>
      <c r="J29" s="64">
        <v>0.03</v>
      </c>
      <c r="K29" s="64">
        <v>262.73</v>
      </c>
      <c r="L29" s="64">
        <v>23.12</v>
      </c>
      <c r="M29" s="64">
        <v>98.63</v>
      </c>
      <c r="N29" s="64">
        <v>32.1</v>
      </c>
      <c r="O29" s="64">
        <v>0</v>
      </c>
      <c r="P29" s="64">
        <v>0.35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4" t="s">
        <v>1033</v>
      </c>
      <c r="B30" s="64">
        <v>10.42</v>
      </c>
      <c r="C30" s="64">
        <v>7.09</v>
      </c>
      <c r="D30" s="64">
        <v>12.06</v>
      </c>
      <c r="E30" s="64">
        <v>4.8</v>
      </c>
      <c r="F30" s="64">
        <v>3.69</v>
      </c>
      <c r="G30" s="64">
        <v>24.19</v>
      </c>
      <c r="H30" s="64">
        <v>2.27</v>
      </c>
      <c r="I30" s="64">
        <v>1.72</v>
      </c>
      <c r="J30" s="64">
        <v>0.02</v>
      </c>
      <c r="K30" s="64">
        <v>87.87</v>
      </c>
      <c r="L30" s="64">
        <v>23.12</v>
      </c>
      <c r="M30" s="64">
        <v>98.62</v>
      </c>
      <c r="N30" s="64">
        <v>32.299999999999997</v>
      </c>
      <c r="O30" s="64">
        <v>0</v>
      </c>
      <c r="P30" s="64">
        <v>0.28999999999999998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4" t="s">
        <v>1034</v>
      </c>
      <c r="B31" s="64">
        <v>11.56</v>
      </c>
      <c r="C31" s="64">
        <v>6.45</v>
      </c>
      <c r="D31" s="64">
        <v>12.64</v>
      </c>
      <c r="E31" s="64">
        <v>4.72</v>
      </c>
      <c r="F31" s="64">
        <v>4.04</v>
      </c>
      <c r="G31" s="64">
        <v>24.19</v>
      </c>
      <c r="H31" s="64">
        <v>2.27</v>
      </c>
      <c r="I31" s="64">
        <v>1.68</v>
      </c>
      <c r="J31" s="64">
        <v>0.04</v>
      </c>
      <c r="K31" s="64">
        <v>217.64</v>
      </c>
      <c r="L31" s="64">
        <v>23.14</v>
      </c>
      <c r="M31" s="64">
        <v>98.53</v>
      </c>
      <c r="N31" s="64">
        <v>33.9</v>
      </c>
      <c r="O31" s="64">
        <v>0</v>
      </c>
      <c r="P31" s="64">
        <v>0.33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4" t="s">
        <v>1035</v>
      </c>
      <c r="B32" s="64">
        <v>12.68</v>
      </c>
      <c r="C32" s="64">
        <v>7.79</v>
      </c>
      <c r="D32" s="64">
        <v>14.24</v>
      </c>
      <c r="E32" s="64">
        <v>4.91</v>
      </c>
      <c r="F32" s="64">
        <v>3.69</v>
      </c>
      <c r="G32" s="64">
        <v>21.85</v>
      </c>
      <c r="H32" s="64">
        <v>1.01</v>
      </c>
      <c r="I32" s="64">
        <v>1.65</v>
      </c>
      <c r="J32" s="64">
        <v>0.13</v>
      </c>
      <c r="K32" s="64">
        <v>140.06</v>
      </c>
      <c r="L32" s="64">
        <v>23.17</v>
      </c>
      <c r="M32" s="64">
        <v>98.51</v>
      </c>
      <c r="N32" s="64">
        <v>41.3</v>
      </c>
      <c r="O32" s="64">
        <v>0</v>
      </c>
      <c r="P32" s="64">
        <v>0.31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4" t="s">
        <v>1036</v>
      </c>
      <c r="B33" s="64">
        <v>13.32</v>
      </c>
      <c r="C33" s="64">
        <v>6.56</v>
      </c>
      <c r="D33" s="64">
        <v>14.11</v>
      </c>
      <c r="E33" s="64">
        <v>4.7300000000000004</v>
      </c>
      <c r="F33" s="64">
        <v>4.2</v>
      </c>
      <c r="G33" s="64">
        <v>19.98</v>
      </c>
      <c r="H33" s="64">
        <v>0.59</v>
      </c>
      <c r="I33" s="64">
        <v>1.63</v>
      </c>
      <c r="J33" s="64">
        <v>7.0000000000000007E-2</v>
      </c>
      <c r="K33" s="64">
        <v>130.22</v>
      </c>
      <c r="L33" s="64">
        <v>23.28</v>
      </c>
      <c r="M33" s="64">
        <v>98.5</v>
      </c>
      <c r="N33" s="64">
        <v>53.5</v>
      </c>
      <c r="O33" s="64">
        <v>0</v>
      </c>
      <c r="P33" s="64">
        <v>0.34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4" t="s">
        <v>1037</v>
      </c>
      <c r="B34" s="64">
        <v>13.13</v>
      </c>
      <c r="C34" s="64">
        <v>6.46</v>
      </c>
      <c r="D34" s="64">
        <v>13.9</v>
      </c>
      <c r="E34" s="64">
        <v>4.5</v>
      </c>
      <c r="F34" s="64">
        <v>3.77</v>
      </c>
      <c r="G34" s="64">
        <v>19.98</v>
      </c>
      <c r="H34" s="64">
        <v>0.59</v>
      </c>
      <c r="I34" s="64">
        <v>1.61</v>
      </c>
      <c r="J34" s="64">
        <v>0.02</v>
      </c>
      <c r="K34" s="64">
        <v>174.62</v>
      </c>
      <c r="L34" s="64">
        <v>23.46</v>
      </c>
      <c r="M34" s="64">
        <v>98.5</v>
      </c>
      <c r="N34" s="64">
        <v>65</v>
      </c>
      <c r="O34" s="64">
        <v>0</v>
      </c>
      <c r="P34" s="64">
        <v>0.33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4" t="s">
        <v>1038</v>
      </c>
      <c r="B35" s="64">
        <v>13.77</v>
      </c>
      <c r="C35" s="64">
        <v>6.17</v>
      </c>
      <c r="D35" s="64">
        <v>14.26</v>
      </c>
      <c r="E35" s="64">
        <v>4.72</v>
      </c>
      <c r="F35" s="64">
        <v>3.46</v>
      </c>
      <c r="G35" s="64">
        <v>19.98</v>
      </c>
      <c r="H35" s="64">
        <v>0.59</v>
      </c>
      <c r="I35" s="64">
        <v>1.68</v>
      </c>
      <c r="J35" s="64">
        <v>0.19</v>
      </c>
      <c r="K35" s="64">
        <v>136.78</v>
      </c>
      <c r="L35" s="64">
        <v>23.71</v>
      </c>
      <c r="M35" s="64">
        <v>98.5</v>
      </c>
      <c r="N35" s="64">
        <v>93.9</v>
      </c>
      <c r="O35" s="64">
        <v>0</v>
      </c>
      <c r="P35" s="64">
        <v>0.31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4" t="s">
        <v>1039</v>
      </c>
      <c r="B36" s="64">
        <v>19.11</v>
      </c>
      <c r="C36" s="64">
        <v>6.16</v>
      </c>
      <c r="D36" s="64">
        <v>18.54</v>
      </c>
      <c r="E36" s="64">
        <v>5.0599999999999996</v>
      </c>
      <c r="F36" s="64">
        <v>3.4</v>
      </c>
      <c r="G36" s="64">
        <v>22.49</v>
      </c>
      <c r="H36" s="64">
        <v>0.27</v>
      </c>
      <c r="I36" s="64">
        <v>1.73</v>
      </c>
      <c r="J36" s="64">
        <v>0.03</v>
      </c>
      <c r="K36" s="64">
        <v>275.2</v>
      </c>
      <c r="L36" s="64">
        <v>24.34</v>
      </c>
      <c r="M36" s="64">
        <v>98.49</v>
      </c>
      <c r="N36" s="64">
        <v>125.2</v>
      </c>
      <c r="O36" s="64">
        <v>0</v>
      </c>
      <c r="P36" s="64">
        <v>0.5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4" t="s">
        <v>1040</v>
      </c>
      <c r="B37" s="64">
        <v>21.57</v>
      </c>
      <c r="C37" s="64">
        <v>5.96</v>
      </c>
      <c r="D37" s="64">
        <v>20.3</v>
      </c>
      <c r="E37" s="64">
        <v>5.47</v>
      </c>
      <c r="F37" s="64">
        <v>3.69</v>
      </c>
      <c r="G37" s="64">
        <v>24.49</v>
      </c>
      <c r="H37" s="64">
        <v>0.17</v>
      </c>
      <c r="I37" s="64">
        <v>1.7</v>
      </c>
      <c r="J37" s="64">
        <v>0.06</v>
      </c>
      <c r="K37" s="64">
        <v>321.05</v>
      </c>
      <c r="L37" s="64">
        <v>24.85</v>
      </c>
      <c r="M37" s="64">
        <v>98.45</v>
      </c>
      <c r="N37" s="64">
        <v>149.19999999999999</v>
      </c>
      <c r="O37" s="64">
        <v>0</v>
      </c>
      <c r="P37" s="64">
        <v>0.52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14" t="s">
        <v>1041</v>
      </c>
      <c r="B38" s="64">
        <v>14.52</v>
      </c>
      <c r="C38" s="64">
        <v>6.33</v>
      </c>
      <c r="D38" s="64">
        <v>14.95</v>
      </c>
      <c r="E38" s="64">
        <v>5.08</v>
      </c>
      <c r="F38" s="64">
        <v>3.78</v>
      </c>
      <c r="G38" s="64">
        <v>24.49</v>
      </c>
      <c r="H38" s="64">
        <v>0.17</v>
      </c>
      <c r="I38" s="64">
        <v>1.59</v>
      </c>
      <c r="J38" s="64">
        <v>0.2</v>
      </c>
      <c r="K38" s="64">
        <v>143.11000000000001</v>
      </c>
      <c r="L38" s="64">
        <v>25.05</v>
      </c>
      <c r="M38" s="64">
        <v>98.3</v>
      </c>
      <c r="N38" s="64">
        <v>182.3</v>
      </c>
      <c r="O38" s="64">
        <v>0</v>
      </c>
      <c r="P38" s="64">
        <v>0.49</v>
      </c>
      <c r="Q38" s="64">
        <v>9.59</v>
      </c>
      <c r="R38" s="198"/>
      <c r="S38" s="198"/>
      <c r="T38" s="198"/>
      <c r="U38" s="198"/>
    </row>
    <row r="39" spans="1:21" s="12" customFormat="1" x14ac:dyDescent="0.25">
      <c r="A39" s="214" t="s">
        <v>1042</v>
      </c>
      <c r="B39" s="64">
        <v>13.05</v>
      </c>
      <c r="C39" s="64">
        <v>8.34</v>
      </c>
      <c r="D39" s="64">
        <v>14.82</v>
      </c>
      <c r="E39" s="64">
        <v>4.74</v>
      </c>
      <c r="F39" s="64">
        <v>5.32</v>
      </c>
      <c r="G39" s="64">
        <v>24.49</v>
      </c>
      <c r="H39" s="64">
        <v>0.17</v>
      </c>
      <c r="I39" s="64">
        <v>1.52</v>
      </c>
      <c r="J39" s="64">
        <v>0.26</v>
      </c>
      <c r="K39" s="64">
        <v>140.62</v>
      </c>
      <c r="L39" s="64">
        <v>25.4</v>
      </c>
      <c r="M39" s="64">
        <v>98.07</v>
      </c>
      <c r="N39" s="64">
        <v>212.3</v>
      </c>
      <c r="O39" s="64">
        <v>0</v>
      </c>
      <c r="P39" s="64">
        <v>0.45</v>
      </c>
      <c r="Q39" s="64">
        <v>9.59</v>
      </c>
      <c r="R39" s="198"/>
      <c r="S39" s="198"/>
      <c r="T39" s="198"/>
      <c r="U39" s="198"/>
    </row>
    <row r="40" spans="1:21" s="12" customFormat="1" x14ac:dyDescent="0.25">
      <c r="A40" s="214" t="s">
        <v>1043</v>
      </c>
      <c r="B40" s="64">
        <v>24.11</v>
      </c>
      <c r="C40" s="64">
        <v>8.07</v>
      </c>
      <c r="D40" s="64">
        <v>23.47</v>
      </c>
      <c r="E40" s="64">
        <v>4.67</v>
      </c>
      <c r="F40" s="64">
        <v>4.4800000000000004</v>
      </c>
      <c r="G40" s="64">
        <v>27.93</v>
      </c>
      <c r="H40" s="64">
        <v>0.08</v>
      </c>
      <c r="I40" s="64">
        <v>1.53</v>
      </c>
      <c r="J40" s="64">
        <v>0.24</v>
      </c>
      <c r="K40" s="64">
        <v>354.09</v>
      </c>
      <c r="L40" s="64">
        <v>26.08</v>
      </c>
      <c r="M40" s="64">
        <v>98.02</v>
      </c>
      <c r="N40" s="64">
        <v>201.6</v>
      </c>
      <c r="O40" s="64">
        <v>0</v>
      </c>
      <c r="P40" s="64">
        <v>0.69</v>
      </c>
      <c r="Q40" s="64">
        <v>9.59</v>
      </c>
      <c r="R40" s="198"/>
      <c r="S40" s="198"/>
      <c r="T40" s="198"/>
      <c r="U40" s="198"/>
    </row>
    <row r="41" spans="1:21" s="12" customFormat="1" x14ac:dyDescent="0.25">
      <c r="A41" s="214" t="s">
        <v>1044</v>
      </c>
      <c r="B41" s="64">
        <v>14.9</v>
      </c>
      <c r="C41" s="64">
        <v>5.95</v>
      </c>
      <c r="D41" s="64">
        <v>15.06</v>
      </c>
      <c r="E41" s="64">
        <v>4.93</v>
      </c>
      <c r="F41" s="64">
        <v>4.75</v>
      </c>
      <c r="G41" s="64">
        <v>30.56</v>
      </c>
      <c r="H41" s="64">
        <v>0.05</v>
      </c>
      <c r="I41" s="64">
        <v>1.54</v>
      </c>
      <c r="J41" s="64">
        <v>0.14000000000000001</v>
      </c>
      <c r="K41" s="64">
        <v>69.48</v>
      </c>
      <c r="L41" s="64">
        <v>27.02</v>
      </c>
      <c r="M41" s="64">
        <v>97.9</v>
      </c>
      <c r="N41" s="64">
        <v>252.8</v>
      </c>
      <c r="O41" s="64">
        <v>0</v>
      </c>
      <c r="P41" s="64">
        <v>0.5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4" t="s">
        <v>1045</v>
      </c>
      <c r="B42" s="64">
        <v>13.6</v>
      </c>
      <c r="C42" s="64">
        <v>9.08</v>
      </c>
      <c r="D42" s="64">
        <v>15.6</v>
      </c>
      <c r="E42" s="64">
        <v>5.05</v>
      </c>
      <c r="F42" s="64">
        <v>7.1</v>
      </c>
      <c r="G42" s="64">
        <v>30.56</v>
      </c>
      <c r="H42" s="64">
        <v>0.05</v>
      </c>
      <c r="I42" s="64">
        <v>1.58</v>
      </c>
      <c r="J42" s="64">
        <v>0.35</v>
      </c>
      <c r="K42" s="64">
        <v>354.59</v>
      </c>
      <c r="L42" s="64">
        <v>28.18</v>
      </c>
      <c r="M42" s="64">
        <v>97.13</v>
      </c>
      <c r="N42" s="64">
        <v>485.8</v>
      </c>
      <c r="O42" s="64">
        <v>0</v>
      </c>
      <c r="P42" s="64">
        <v>0.47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4" t="s">
        <v>1046</v>
      </c>
      <c r="B43" s="64">
        <v>15.79</v>
      </c>
      <c r="C43" s="64">
        <v>7.36</v>
      </c>
      <c r="D43" s="64">
        <v>16.510000000000002</v>
      </c>
      <c r="E43" s="64">
        <v>4.88</v>
      </c>
      <c r="F43" s="64">
        <v>5.67</v>
      </c>
      <c r="G43" s="64">
        <v>30.56</v>
      </c>
      <c r="H43" s="64">
        <v>0.05</v>
      </c>
      <c r="I43" s="64">
        <v>1.6</v>
      </c>
      <c r="J43" s="64">
        <v>0.37</v>
      </c>
      <c r="K43" s="64">
        <v>343.21</v>
      </c>
      <c r="L43" s="64">
        <v>30.88</v>
      </c>
      <c r="M43" s="64">
        <v>87.01</v>
      </c>
      <c r="N43" s="64">
        <v>543.79999999999995</v>
      </c>
      <c r="O43" s="64">
        <v>0</v>
      </c>
      <c r="P43" s="64">
        <v>0.5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4" t="s">
        <v>1047</v>
      </c>
      <c r="B44" s="64">
        <v>18.88</v>
      </c>
      <c r="C44" s="64">
        <v>9.73</v>
      </c>
      <c r="D44" s="64">
        <v>20.07</v>
      </c>
      <c r="E44" s="64">
        <v>4.84</v>
      </c>
      <c r="F44" s="64">
        <v>8.67</v>
      </c>
      <c r="G44" s="64">
        <v>34.14</v>
      </c>
      <c r="H44" s="64">
        <v>0.26</v>
      </c>
      <c r="I44" s="64">
        <v>1.61</v>
      </c>
      <c r="J44" s="64">
        <v>0.32</v>
      </c>
      <c r="K44" s="64">
        <v>333.17</v>
      </c>
      <c r="L44" s="64">
        <v>32.04</v>
      </c>
      <c r="M44" s="64">
        <v>78.739999999999995</v>
      </c>
      <c r="N44" s="64">
        <v>562</v>
      </c>
      <c r="O44" s="64">
        <v>0</v>
      </c>
      <c r="P44" s="64">
        <v>0.51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4" t="s">
        <v>1048</v>
      </c>
      <c r="B45" s="64">
        <v>17.239999999999998</v>
      </c>
      <c r="C45" s="64">
        <v>13.71</v>
      </c>
      <c r="D45" s="64">
        <v>20.93</v>
      </c>
      <c r="E45" s="64">
        <v>4.79</v>
      </c>
      <c r="F45" s="64">
        <v>7.73</v>
      </c>
      <c r="G45" s="64">
        <v>36.880000000000003</v>
      </c>
      <c r="H45" s="64">
        <v>0.35</v>
      </c>
      <c r="I45" s="64">
        <v>1.61</v>
      </c>
      <c r="J45" s="64">
        <v>0.22</v>
      </c>
      <c r="K45" s="64">
        <v>2.42</v>
      </c>
      <c r="L45" s="64">
        <v>32.79</v>
      </c>
      <c r="M45" s="64">
        <v>74.47</v>
      </c>
      <c r="N45" s="64">
        <v>609.9</v>
      </c>
      <c r="O45" s="64">
        <v>0</v>
      </c>
      <c r="P45" s="64">
        <v>0.57999999999999996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1049</v>
      </c>
      <c r="B46" s="64">
        <v>9.65</v>
      </c>
      <c r="C46" s="64">
        <v>9.0299999999999994</v>
      </c>
      <c r="D46" s="64">
        <v>12.45</v>
      </c>
      <c r="E46" s="64">
        <v>4.6900000000000004</v>
      </c>
      <c r="F46" s="64">
        <v>12.53</v>
      </c>
      <c r="G46" s="64">
        <v>36.880000000000003</v>
      </c>
      <c r="H46" s="64">
        <v>0.35</v>
      </c>
      <c r="I46" s="64">
        <v>1.63</v>
      </c>
      <c r="J46" s="64">
        <v>0.38</v>
      </c>
      <c r="K46" s="64">
        <v>135.09</v>
      </c>
      <c r="L46" s="64">
        <v>30.81</v>
      </c>
      <c r="M46" s="64">
        <v>83.63</v>
      </c>
      <c r="N46" s="64">
        <v>441</v>
      </c>
      <c r="O46" s="64">
        <v>0</v>
      </c>
      <c r="P46" s="64">
        <v>0.42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4" t="s">
        <v>1050</v>
      </c>
      <c r="B47" s="64">
        <v>11.85</v>
      </c>
      <c r="C47" s="64">
        <v>11.22</v>
      </c>
      <c r="D47" s="64">
        <v>15.36</v>
      </c>
      <c r="E47" s="64">
        <v>5.36</v>
      </c>
      <c r="F47" s="64">
        <v>12.38</v>
      </c>
      <c r="G47" s="64">
        <v>36.880000000000003</v>
      </c>
      <c r="H47" s="64">
        <v>0.35</v>
      </c>
      <c r="I47" s="64">
        <v>1.63</v>
      </c>
      <c r="J47" s="64">
        <v>0.43</v>
      </c>
      <c r="K47" s="64">
        <v>128.65</v>
      </c>
      <c r="L47" s="64">
        <v>29.64</v>
      </c>
      <c r="M47" s="64">
        <v>87.16</v>
      </c>
      <c r="N47" s="64">
        <v>311.39999999999998</v>
      </c>
      <c r="O47" s="64">
        <v>0</v>
      </c>
      <c r="P47" s="64">
        <v>0.42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4" t="s">
        <v>1051</v>
      </c>
      <c r="B48" s="64">
        <v>14.55</v>
      </c>
      <c r="C48" s="64">
        <v>15.41</v>
      </c>
      <c r="D48" s="64">
        <v>19.72</v>
      </c>
      <c r="E48" s="64">
        <v>5.08</v>
      </c>
      <c r="F48" s="64">
        <v>11.78</v>
      </c>
      <c r="G48" s="64">
        <v>37.11</v>
      </c>
      <c r="H48" s="9" t="s">
        <v>36</v>
      </c>
      <c r="I48" s="64">
        <v>1.64</v>
      </c>
      <c r="J48" s="64">
        <v>7.0000000000000007E-2</v>
      </c>
      <c r="K48" s="64">
        <v>82.74</v>
      </c>
      <c r="L48" s="64">
        <v>29.27</v>
      </c>
      <c r="M48" s="64">
        <v>89.64</v>
      </c>
      <c r="N48" s="64">
        <v>326.89999999999998</v>
      </c>
      <c r="O48" s="64">
        <v>0</v>
      </c>
      <c r="P48" s="64">
        <v>0.57999999999999996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1052</v>
      </c>
      <c r="B49" s="64">
        <v>15.85</v>
      </c>
      <c r="C49" s="64">
        <v>18.03</v>
      </c>
      <c r="D49" s="64">
        <v>22.13</v>
      </c>
      <c r="E49" s="64">
        <v>5.34</v>
      </c>
      <c r="F49" s="64">
        <v>11.99</v>
      </c>
      <c r="G49" s="64">
        <v>37.29</v>
      </c>
      <c r="H49" s="9" t="s">
        <v>36</v>
      </c>
      <c r="I49" s="64">
        <v>1.64</v>
      </c>
      <c r="J49" s="64">
        <v>0.42</v>
      </c>
      <c r="K49" s="64">
        <v>338.47</v>
      </c>
      <c r="L49" s="64">
        <v>30.29</v>
      </c>
      <c r="M49" s="64">
        <v>86.05</v>
      </c>
      <c r="N49" s="64">
        <v>243.3</v>
      </c>
      <c r="O49" s="64">
        <v>0</v>
      </c>
      <c r="P49" s="64">
        <v>0.73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4" t="s">
        <v>1053</v>
      </c>
      <c r="B50" s="64">
        <v>11.8</v>
      </c>
      <c r="C50" s="64">
        <v>18.079999999999998</v>
      </c>
      <c r="D50" s="64">
        <v>18.91</v>
      </c>
      <c r="E50" s="64">
        <v>5.48</v>
      </c>
      <c r="F50" s="64">
        <v>12.75</v>
      </c>
      <c r="G50" s="64">
        <v>37.29</v>
      </c>
      <c r="H50" s="9" t="s">
        <v>36</v>
      </c>
      <c r="I50" s="64">
        <v>1.65</v>
      </c>
      <c r="J50" s="64">
        <v>0.11</v>
      </c>
      <c r="K50" s="64">
        <v>147.78</v>
      </c>
      <c r="L50" s="64">
        <v>29.97</v>
      </c>
      <c r="M50" s="64">
        <v>85.54</v>
      </c>
      <c r="N50" s="64">
        <v>298</v>
      </c>
      <c r="O50" s="64">
        <v>0</v>
      </c>
      <c r="P50" s="64">
        <v>0.69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4" t="s">
        <v>1054</v>
      </c>
      <c r="B51" s="64">
        <v>5.76</v>
      </c>
      <c r="C51" s="64">
        <v>14.57</v>
      </c>
      <c r="D51" s="64">
        <v>12.23</v>
      </c>
      <c r="E51" s="64">
        <v>5.42</v>
      </c>
      <c r="F51" s="64">
        <v>18.62</v>
      </c>
      <c r="G51" s="64">
        <v>37.29</v>
      </c>
      <c r="H51" s="9" t="s">
        <v>36</v>
      </c>
      <c r="I51" s="64">
        <v>1.68</v>
      </c>
      <c r="J51" s="64">
        <v>0.48</v>
      </c>
      <c r="K51" s="64">
        <v>149.25</v>
      </c>
      <c r="L51" s="64">
        <v>29.6</v>
      </c>
      <c r="M51" s="64">
        <v>87.18</v>
      </c>
      <c r="N51" s="64">
        <v>622.6</v>
      </c>
      <c r="O51" s="64">
        <v>0</v>
      </c>
      <c r="P51" s="64">
        <v>0.36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14" t="s">
        <v>1055</v>
      </c>
      <c r="B52" s="64">
        <v>4.3</v>
      </c>
      <c r="C52" s="64">
        <v>14.54</v>
      </c>
      <c r="D52" s="64">
        <v>11.04</v>
      </c>
      <c r="E52" s="64">
        <v>5.42</v>
      </c>
      <c r="F52" s="64">
        <v>17.5</v>
      </c>
      <c r="G52" s="64">
        <v>30.43</v>
      </c>
      <c r="H52" s="9" t="s">
        <v>36</v>
      </c>
      <c r="I52" s="64">
        <v>1.64</v>
      </c>
      <c r="J52" s="64">
        <v>0.42</v>
      </c>
      <c r="K52" s="64">
        <v>136.72999999999999</v>
      </c>
      <c r="L52" s="64">
        <v>29.96</v>
      </c>
      <c r="M52" s="64">
        <v>86.21</v>
      </c>
      <c r="N52" s="64">
        <v>535.20000000000005</v>
      </c>
      <c r="O52" s="64">
        <v>0</v>
      </c>
      <c r="P52" s="64">
        <v>0.34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14" t="s">
        <v>1056</v>
      </c>
      <c r="B53" s="64">
        <v>7.01</v>
      </c>
      <c r="C53" s="64">
        <v>17.04</v>
      </c>
      <c r="D53" s="64">
        <v>14.52</v>
      </c>
      <c r="E53" s="64">
        <v>5.18</v>
      </c>
      <c r="F53" s="64">
        <v>15.75</v>
      </c>
      <c r="G53" s="64">
        <v>24.94</v>
      </c>
      <c r="H53" s="9" t="s">
        <v>36</v>
      </c>
      <c r="I53" s="64">
        <v>1.51</v>
      </c>
      <c r="J53" s="64">
        <v>0.16</v>
      </c>
      <c r="K53" s="64">
        <v>76.75</v>
      </c>
      <c r="L53" s="64">
        <v>30.23</v>
      </c>
      <c r="M53" s="64">
        <v>85.36</v>
      </c>
      <c r="N53" s="64">
        <v>327</v>
      </c>
      <c r="O53" s="64">
        <v>0</v>
      </c>
      <c r="P53" s="64">
        <v>0.45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4" t="s">
        <v>1057</v>
      </c>
      <c r="B54" s="64">
        <v>6.24</v>
      </c>
      <c r="C54" s="64">
        <v>16.23</v>
      </c>
      <c r="D54" s="64">
        <v>13.48</v>
      </c>
      <c r="E54" s="64">
        <v>5.22</v>
      </c>
      <c r="F54" s="64">
        <v>13.11</v>
      </c>
      <c r="G54" s="64">
        <v>24.94</v>
      </c>
      <c r="H54" s="9" t="s">
        <v>36</v>
      </c>
      <c r="I54" s="64">
        <v>1.5</v>
      </c>
      <c r="J54" s="64">
        <v>0.18</v>
      </c>
      <c r="K54" s="64">
        <v>164.01</v>
      </c>
      <c r="L54" s="64">
        <v>29.82</v>
      </c>
      <c r="M54" s="64">
        <v>86.5</v>
      </c>
      <c r="N54" s="64">
        <v>376.8</v>
      </c>
      <c r="O54" s="64">
        <v>0</v>
      </c>
      <c r="P54" s="64">
        <v>0.45</v>
      </c>
      <c r="Q54" s="64">
        <v>9.19</v>
      </c>
      <c r="R54" s="198"/>
      <c r="S54" s="198"/>
      <c r="T54" s="198"/>
      <c r="U54" s="198"/>
    </row>
    <row r="55" spans="1:21" s="12" customFormat="1" x14ac:dyDescent="0.25">
      <c r="A55" s="214" t="s">
        <v>1058</v>
      </c>
      <c r="B55" s="64">
        <v>4.45</v>
      </c>
      <c r="C55" s="64">
        <v>13.28</v>
      </c>
      <c r="D55" s="64">
        <v>10.51</v>
      </c>
      <c r="E55" s="64">
        <v>5.1100000000000003</v>
      </c>
      <c r="F55" s="64">
        <v>12.64</v>
      </c>
      <c r="G55" s="64">
        <v>24.94</v>
      </c>
      <c r="H55" s="9" t="s">
        <v>36</v>
      </c>
      <c r="I55" s="64">
        <v>1.55</v>
      </c>
      <c r="J55" s="64">
        <v>0.52</v>
      </c>
      <c r="K55" s="64">
        <v>170.63</v>
      </c>
      <c r="L55" s="64">
        <v>29.02</v>
      </c>
      <c r="M55" s="64">
        <v>91</v>
      </c>
      <c r="N55" s="64">
        <v>245.2</v>
      </c>
      <c r="O55" s="64">
        <v>0</v>
      </c>
      <c r="P55" s="64">
        <v>0.35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4" t="s">
        <v>1059</v>
      </c>
      <c r="B56" s="64">
        <v>9.25</v>
      </c>
      <c r="C56" s="64">
        <v>25.78</v>
      </c>
      <c r="D56" s="64">
        <v>20.89</v>
      </c>
      <c r="E56" s="64">
        <v>5.22</v>
      </c>
      <c r="F56" s="64">
        <v>14.26</v>
      </c>
      <c r="G56" s="64">
        <v>35.700000000000003</v>
      </c>
      <c r="H56" s="9" t="s">
        <v>36</v>
      </c>
      <c r="I56" s="64">
        <v>1.65</v>
      </c>
      <c r="J56" s="64">
        <v>0.1</v>
      </c>
      <c r="K56" s="64">
        <v>324.89</v>
      </c>
      <c r="L56" s="64">
        <v>29.52</v>
      </c>
      <c r="M56" s="64">
        <v>89.14</v>
      </c>
      <c r="N56" s="64">
        <v>158.30000000000001</v>
      </c>
      <c r="O56" s="64">
        <v>0</v>
      </c>
      <c r="P56" s="64">
        <v>0.7</v>
      </c>
      <c r="Q56" s="64">
        <v>9.1999999999999993</v>
      </c>
      <c r="R56" s="198"/>
      <c r="S56" s="198"/>
      <c r="T56" s="198"/>
      <c r="U56" s="198"/>
    </row>
    <row r="57" spans="1:21" s="12" customFormat="1" x14ac:dyDescent="0.25">
      <c r="A57" s="214" t="s">
        <v>1060</v>
      </c>
      <c r="B57" s="64">
        <v>7.36</v>
      </c>
      <c r="C57" s="64">
        <v>22.89</v>
      </c>
      <c r="D57" s="64">
        <v>17.86</v>
      </c>
      <c r="E57" s="64">
        <v>5.37</v>
      </c>
      <c r="F57" s="64">
        <v>14.26</v>
      </c>
      <c r="G57" s="64">
        <v>44.31</v>
      </c>
      <c r="H57" s="9" t="s">
        <v>36</v>
      </c>
      <c r="I57" s="64">
        <v>1.66</v>
      </c>
      <c r="J57" s="64">
        <v>0.19</v>
      </c>
      <c r="K57" s="64">
        <v>137.13</v>
      </c>
      <c r="L57" s="64">
        <v>29</v>
      </c>
      <c r="M57" s="64">
        <v>92.13</v>
      </c>
      <c r="N57" s="64">
        <v>176.6</v>
      </c>
      <c r="O57" s="64">
        <v>0</v>
      </c>
      <c r="P57" s="64">
        <v>0.55000000000000004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14" t="s">
        <v>1061</v>
      </c>
      <c r="B58" s="64">
        <v>15.98</v>
      </c>
      <c r="C58" s="64">
        <v>27.68</v>
      </c>
      <c r="D58" s="64">
        <v>27.28</v>
      </c>
      <c r="E58" s="64">
        <v>5.47</v>
      </c>
      <c r="F58" s="64">
        <v>8.9</v>
      </c>
      <c r="G58" s="64">
        <v>44.31</v>
      </c>
      <c r="H58" s="9" t="s">
        <v>36</v>
      </c>
      <c r="I58" s="64">
        <v>1.73</v>
      </c>
      <c r="J58" s="64">
        <v>0.1</v>
      </c>
      <c r="K58" s="64">
        <v>322.63</v>
      </c>
      <c r="L58" s="64">
        <v>29.51</v>
      </c>
      <c r="M58" s="64">
        <v>90.72</v>
      </c>
      <c r="N58" s="64">
        <v>261.2</v>
      </c>
      <c r="O58" s="64">
        <v>0</v>
      </c>
      <c r="P58" s="64">
        <v>0.92</v>
      </c>
      <c r="Q58" s="64">
        <v>9.2799999999999994</v>
      </c>
      <c r="R58" s="198"/>
      <c r="S58" s="198"/>
      <c r="T58" s="198"/>
      <c r="U58" s="198"/>
    </row>
    <row r="59" spans="1:21" s="12" customFormat="1" x14ac:dyDescent="0.25">
      <c r="A59" s="214" t="s">
        <v>1062</v>
      </c>
      <c r="B59" s="64">
        <v>8.7799999999999994</v>
      </c>
      <c r="C59" s="64">
        <v>22.25</v>
      </c>
      <c r="D59" s="64">
        <v>18.66</v>
      </c>
      <c r="E59" s="64">
        <v>5</v>
      </c>
      <c r="F59" s="64">
        <v>8.35</v>
      </c>
      <c r="G59" s="64">
        <v>44.31</v>
      </c>
      <c r="H59" s="9" t="s">
        <v>36</v>
      </c>
      <c r="I59" s="64">
        <v>1.83</v>
      </c>
      <c r="J59" s="64">
        <v>0.18</v>
      </c>
      <c r="K59" s="64">
        <v>322.89999999999998</v>
      </c>
      <c r="L59" s="64">
        <v>30.46</v>
      </c>
      <c r="M59" s="64">
        <v>86.72</v>
      </c>
      <c r="N59" s="64">
        <v>390</v>
      </c>
      <c r="O59" s="64">
        <v>0</v>
      </c>
      <c r="P59" s="64">
        <v>0.64</v>
      </c>
      <c r="Q59" s="64">
        <v>9.32</v>
      </c>
      <c r="R59" s="198"/>
      <c r="S59" s="198"/>
      <c r="T59" s="198"/>
      <c r="U59" s="198"/>
    </row>
    <row r="60" spans="1:21" s="12" customFormat="1" x14ac:dyDescent="0.25">
      <c r="A60" s="214" t="s">
        <v>1063</v>
      </c>
      <c r="B60" s="64">
        <v>5.61</v>
      </c>
      <c r="C60" s="64">
        <v>20.92</v>
      </c>
      <c r="D60" s="64">
        <v>15.43</v>
      </c>
      <c r="E60" s="64">
        <v>4.83</v>
      </c>
      <c r="F60" s="64">
        <v>13.63</v>
      </c>
      <c r="G60" s="64">
        <v>64.86</v>
      </c>
      <c r="H60" s="9" t="s">
        <v>36</v>
      </c>
      <c r="I60" s="64">
        <v>1.89</v>
      </c>
      <c r="J60" s="64">
        <v>0.02</v>
      </c>
      <c r="K60" s="64">
        <v>120.82</v>
      </c>
      <c r="L60" s="64">
        <v>30.69</v>
      </c>
      <c r="M60" s="64">
        <v>83.61</v>
      </c>
      <c r="N60" s="64">
        <v>605.4</v>
      </c>
      <c r="O60" s="64">
        <v>0</v>
      </c>
      <c r="P60" s="64">
        <v>0.53</v>
      </c>
      <c r="Q60" s="64">
        <v>9.34</v>
      </c>
      <c r="R60" s="198"/>
      <c r="S60" s="198"/>
      <c r="T60" s="198"/>
      <c r="U60" s="198"/>
    </row>
    <row r="61" spans="1:21" s="12" customFormat="1" x14ac:dyDescent="0.25">
      <c r="A61" s="214" t="s">
        <v>1064</v>
      </c>
      <c r="B61" s="64">
        <v>8.9700000000000006</v>
      </c>
      <c r="C61" s="64">
        <v>24.24</v>
      </c>
      <c r="D61" s="64">
        <v>19.850000000000001</v>
      </c>
      <c r="E61" s="64">
        <v>5.15</v>
      </c>
      <c r="F61" s="64">
        <v>19.489999999999998</v>
      </c>
      <c r="G61" s="64">
        <v>81.290000000000006</v>
      </c>
      <c r="H61" s="64">
        <v>10.51</v>
      </c>
      <c r="I61" s="64">
        <v>1.89</v>
      </c>
      <c r="J61" s="64">
        <v>0.38</v>
      </c>
      <c r="K61" s="64">
        <v>351.28</v>
      </c>
      <c r="L61" s="64">
        <v>31.52</v>
      </c>
      <c r="M61" s="64">
        <v>79.45</v>
      </c>
      <c r="N61" s="64">
        <v>326.8</v>
      </c>
      <c r="O61" s="64">
        <v>0</v>
      </c>
      <c r="P61" s="64">
        <v>0.69</v>
      </c>
      <c r="Q61" s="64">
        <v>9.3000000000000007</v>
      </c>
      <c r="R61" s="198"/>
      <c r="S61" s="198"/>
      <c r="T61" s="198"/>
      <c r="U61" s="198"/>
    </row>
    <row r="62" spans="1:21" s="12" customFormat="1" x14ac:dyDescent="0.25">
      <c r="A62" s="214" t="s">
        <v>1065</v>
      </c>
      <c r="B62" s="64">
        <v>11.45</v>
      </c>
      <c r="C62" s="64">
        <v>23.87</v>
      </c>
      <c r="D62" s="64">
        <v>21.65</v>
      </c>
      <c r="E62" s="64">
        <v>5.1100000000000003</v>
      </c>
      <c r="F62" s="64">
        <v>15.9</v>
      </c>
      <c r="G62" s="64">
        <v>81.290000000000006</v>
      </c>
      <c r="H62" s="64">
        <v>11.41</v>
      </c>
      <c r="I62" s="64">
        <v>1.81</v>
      </c>
      <c r="J62" s="64">
        <v>0.45</v>
      </c>
      <c r="K62" s="64">
        <v>338.62</v>
      </c>
      <c r="L62" s="64">
        <v>31.82</v>
      </c>
      <c r="M62" s="64">
        <v>78.37</v>
      </c>
      <c r="N62" s="64">
        <v>281.7</v>
      </c>
      <c r="O62" s="64">
        <v>0</v>
      </c>
      <c r="P62" s="64">
        <v>0.75</v>
      </c>
      <c r="Q62" s="64">
        <v>9.27</v>
      </c>
      <c r="R62" s="198"/>
      <c r="S62" s="198"/>
      <c r="T62" s="198"/>
      <c r="U62" s="198"/>
    </row>
    <row r="63" spans="1:21" s="12" customFormat="1" x14ac:dyDescent="0.25">
      <c r="A63" s="214" t="s">
        <v>1066</v>
      </c>
      <c r="B63" s="64">
        <v>8.11</v>
      </c>
      <c r="C63" s="64">
        <v>19.079999999999998</v>
      </c>
      <c r="D63" s="64">
        <v>16.48</v>
      </c>
      <c r="E63" s="64">
        <v>5.92</v>
      </c>
      <c r="F63" s="64">
        <v>19.87</v>
      </c>
      <c r="G63" s="64">
        <v>81.290000000000006</v>
      </c>
      <c r="H63" s="64">
        <v>11.41</v>
      </c>
      <c r="I63" s="64">
        <v>1.84</v>
      </c>
      <c r="J63" s="64">
        <v>0.74</v>
      </c>
      <c r="K63" s="64">
        <v>339.58</v>
      </c>
      <c r="L63" s="64">
        <v>32.03</v>
      </c>
      <c r="M63" s="64">
        <v>75.86</v>
      </c>
      <c r="N63" s="64">
        <v>280.3</v>
      </c>
      <c r="O63" s="64">
        <v>0</v>
      </c>
      <c r="P63" s="64">
        <v>0.65</v>
      </c>
      <c r="Q63" s="64">
        <v>9.26</v>
      </c>
      <c r="R63" s="198"/>
      <c r="S63" s="198"/>
      <c r="T63" s="198"/>
      <c r="U63" s="198"/>
    </row>
    <row r="64" spans="1:21" s="12" customFormat="1" x14ac:dyDescent="0.25">
      <c r="A64" s="214" t="s">
        <v>1067</v>
      </c>
      <c r="B64" s="64">
        <v>5.09</v>
      </c>
      <c r="C64" s="64">
        <v>17.489999999999998</v>
      </c>
      <c r="D64" s="64">
        <v>13.22</v>
      </c>
      <c r="E64" s="64">
        <v>4.95</v>
      </c>
      <c r="F64" s="64">
        <v>25.3</v>
      </c>
      <c r="G64" s="64">
        <v>108.95</v>
      </c>
      <c r="H64" s="64">
        <v>8.14</v>
      </c>
      <c r="I64" s="64">
        <v>1.9</v>
      </c>
      <c r="J64" s="64">
        <v>0.38</v>
      </c>
      <c r="K64" s="64">
        <v>119.62</v>
      </c>
      <c r="L64" s="64">
        <v>31.03</v>
      </c>
      <c r="M64" s="64">
        <v>75.180000000000007</v>
      </c>
      <c r="N64" s="64">
        <v>217.4</v>
      </c>
      <c r="O64" s="64">
        <v>0</v>
      </c>
      <c r="P64" s="64">
        <v>0.43</v>
      </c>
      <c r="Q64" s="64">
        <v>9.27</v>
      </c>
      <c r="R64" s="198"/>
      <c r="S64" s="198"/>
      <c r="T64" s="198"/>
      <c r="U64" s="198"/>
    </row>
    <row r="65" spans="1:21" s="12" customFormat="1" x14ac:dyDescent="0.25">
      <c r="A65" s="214" t="s">
        <v>1068</v>
      </c>
      <c r="B65" s="64">
        <v>4.09</v>
      </c>
      <c r="C65" s="64">
        <v>13.01</v>
      </c>
      <c r="D65" s="64">
        <v>10.08</v>
      </c>
      <c r="E65" s="64">
        <v>5.19</v>
      </c>
      <c r="F65" s="64">
        <v>24.53</v>
      </c>
      <c r="G65" s="64">
        <v>130.09</v>
      </c>
      <c r="H65" s="64">
        <v>6.28</v>
      </c>
      <c r="I65" s="64">
        <v>1.94</v>
      </c>
      <c r="J65" s="64">
        <v>0.27</v>
      </c>
      <c r="K65" s="64">
        <v>140.59</v>
      </c>
      <c r="L65" s="64">
        <v>30.17</v>
      </c>
      <c r="M65" s="64">
        <v>74.25</v>
      </c>
      <c r="N65" s="64">
        <v>210.8</v>
      </c>
      <c r="O65" s="64">
        <v>0</v>
      </c>
      <c r="P65" s="64">
        <v>0.3</v>
      </c>
      <c r="Q65" s="64">
        <v>9.2899999999999991</v>
      </c>
      <c r="R65" s="198"/>
      <c r="S65" s="198"/>
      <c r="T65" s="198"/>
      <c r="U65" s="198"/>
    </row>
    <row r="66" spans="1:21" s="12" customFormat="1" x14ac:dyDescent="0.25">
      <c r="A66" s="214" t="s">
        <v>1069</v>
      </c>
      <c r="B66" s="64">
        <v>4.22</v>
      </c>
      <c r="C66" s="64">
        <v>12.07</v>
      </c>
      <c r="D66" s="64">
        <v>9.69</v>
      </c>
      <c r="E66" s="64">
        <v>5.21</v>
      </c>
      <c r="F66" s="64">
        <v>24.82</v>
      </c>
      <c r="G66" s="64">
        <v>130.09</v>
      </c>
      <c r="H66" s="64">
        <v>6.28</v>
      </c>
      <c r="I66" s="64">
        <v>1.95</v>
      </c>
      <c r="J66" s="64">
        <v>0.59</v>
      </c>
      <c r="K66" s="64">
        <v>130.91</v>
      </c>
      <c r="L66" s="64">
        <v>30.33</v>
      </c>
      <c r="M66" s="64">
        <v>72.66</v>
      </c>
      <c r="N66" s="64">
        <v>227.6</v>
      </c>
      <c r="O66" s="64">
        <v>0</v>
      </c>
      <c r="P66" s="64">
        <v>0.27</v>
      </c>
      <c r="Q66" s="64">
        <v>9.2899999999999991</v>
      </c>
      <c r="R66" s="198"/>
      <c r="S66" s="198"/>
      <c r="T66" s="198"/>
      <c r="U66" s="198"/>
    </row>
    <row r="67" spans="1:21" s="12" customFormat="1" x14ac:dyDescent="0.25">
      <c r="A67" s="214" t="s">
        <v>1070</v>
      </c>
      <c r="B67" s="64">
        <v>4.68</v>
      </c>
      <c r="C67" s="64">
        <v>12.58</v>
      </c>
      <c r="D67" s="64">
        <v>10.33</v>
      </c>
      <c r="E67" s="64">
        <v>5.18</v>
      </c>
      <c r="F67" s="64">
        <v>23.86</v>
      </c>
      <c r="G67" s="64">
        <v>130.09</v>
      </c>
      <c r="H67" s="64">
        <v>6.28</v>
      </c>
      <c r="I67" s="64">
        <v>1.93</v>
      </c>
      <c r="J67" s="64">
        <v>0.85</v>
      </c>
      <c r="K67" s="64">
        <v>129.34</v>
      </c>
      <c r="L67" s="64">
        <v>30.14</v>
      </c>
      <c r="M67" s="64">
        <v>72.47</v>
      </c>
      <c r="N67" s="64">
        <v>207.8</v>
      </c>
      <c r="O67" s="64">
        <v>0</v>
      </c>
      <c r="P67" s="64">
        <v>0.28000000000000003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14" t="s">
        <v>1071</v>
      </c>
      <c r="B68" s="64">
        <v>4.7699999999999996</v>
      </c>
      <c r="C68" s="64">
        <v>13.04</v>
      </c>
      <c r="D68" s="64">
        <v>10.64</v>
      </c>
      <c r="E68" s="64">
        <v>5.08</v>
      </c>
      <c r="F68" s="64">
        <v>25.31</v>
      </c>
      <c r="G68" s="64">
        <v>108.42</v>
      </c>
      <c r="H68" s="64">
        <v>6.28</v>
      </c>
      <c r="I68" s="64">
        <v>1.92</v>
      </c>
      <c r="J68" s="64">
        <v>0.28999999999999998</v>
      </c>
      <c r="K68" s="64">
        <v>117.25</v>
      </c>
      <c r="L68" s="64">
        <v>30.38</v>
      </c>
      <c r="M68" s="64">
        <v>71.58</v>
      </c>
      <c r="N68" s="64">
        <v>198.2</v>
      </c>
      <c r="O68" s="64">
        <v>0</v>
      </c>
      <c r="P68" s="64">
        <v>0.25</v>
      </c>
      <c r="Q68" s="64">
        <v>9.3000000000000007</v>
      </c>
      <c r="R68" s="198"/>
      <c r="S68" s="198"/>
      <c r="T68" s="198"/>
      <c r="U68" s="198"/>
    </row>
    <row r="69" spans="1:21" s="12" customFormat="1" x14ac:dyDescent="0.25">
      <c r="A69" s="214" t="s">
        <v>1072</v>
      </c>
      <c r="B69" s="64">
        <v>5.35</v>
      </c>
      <c r="C69" s="64">
        <v>14.05</v>
      </c>
      <c r="D69" s="64">
        <v>11.63</v>
      </c>
      <c r="E69" s="64">
        <v>5.53</v>
      </c>
      <c r="F69" s="64">
        <v>19.829999999999998</v>
      </c>
      <c r="G69" s="64">
        <v>91.84</v>
      </c>
      <c r="H69" s="64">
        <v>6.28</v>
      </c>
      <c r="I69" s="64">
        <v>1.88</v>
      </c>
      <c r="J69" s="64">
        <v>0.33</v>
      </c>
      <c r="K69" s="64">
        <v>127.81</v>
      </c>
      <c r="L69" s="64">
        <v>30.68</v>
      </c>
      <c r="M69" s="64">
        <v>72.739999999999995</v>
      </c>
      <c r="N69" s="64">
        <v>189.1</v>
      </c>
      <c r="O69" s="64">
        <v>0</v>
      </c>
      <c r="P69" s="64">
        <v>0.41</v>
      </c>
      <c r="Q69" s="64">
        <v>9.2899999999999991</v>
      </c>
      <c r="R69" s="198"/>
      <c r="S69" s="198"/>
      <c r="T69" s="198"/>
      <c r="U69" s="198"/>
    </row>
    <row r="70" spans="1:21" s="12" customFormat="1" x14ac:dyDescent="0.25">
      <c r="A70" s="214" t="s">
        <v>1073</v>
      </c>
      <c r="B70" s="64">
        <v>4.09</v>
      </c>
      <c r="C70" s="64">
        <v>11.95</v>
      </c>
      <c r="D70" s="64">
        <v>9.52</v>
      </c>
      <c r="E70" s="64">
        <v>5.36</v>
      </c>
      <c r="F70" s="64">
        <v>24.65</v>
      </c>
      <c r="G70" s="64">
        <v>91.84</v>
      </c>
      <c r="H70" s="64">
        <v>6.28</v>
      </c>
      <c r="I70" s="64">
        <v>1.84</v>
      </c>
      <c r="J70" s="64">
        <v>0.55000000000000004</v>
      </c>
      <c r="K70" s="64">
        <v>129.37</v>
      </c>
      <c r="L70" s="64">
        <v>30.06</v>
      </c>
      <c r="M70" s="64">
        <v>77.55</v>
      </c>
      <c r="N70" s="64">
        <v>142.4</v>
      </c>
      <c r="O70" s="64">
        <v>0</v>
      </c>
      <c r="P70" s="64">
        <v>0.26</v>
      </c>
      <c r="Q70" s="64">
        <v>9.27</v>
      </c>
      <c r="R70" s="198"/>
      <c r="S70" s="198"/>
      <c r="T70" s="198"/>
      <c r="U70" s="198"/>
    </row>
    <row r="71" spans="1:21" s="12" customFormat="1" x14ac:dyDescent="0.25">
      <c r="A71" s="214" t="s">
        <v>1074</v>
      </c>
      <c r="B71" s="64">
        <v>3.64</v>
      </c>
      <c r="C71" s="64">
        <v>10.5</v>
      </c>
      <c r="D71" s="64">
        <v>8.4</v>
      </c>
      <c r="E71" s="64">
        <v>5.23</v>
      </c>
      <c r="F71" s="64">
        <v>27.07</v>
      </c>
      <c r="G71" s="64">
        <v>91.84</v>
      </c>
      <c r="H71" s="64">
        <v>6.28</v>
      </c>
      <c r="I71" s="64">
        <v>1.8</v>
      </c>
      <c r="J71" s="64">
        <v>0.53</v>
      </c>
      <c r="K71" s="64">
        <v>132.88</v>
      </c>
      <c r="L71" s="64">
        <v>29.84</v>
      </c>
      <c r="M71" s="64">
        <v>77.430000000000007</v>
      </c>
      <c r="N71" s="64">
        <v>132</v>
      </c>
      <c r="O71" s="64">
        <v>0</v>
      </c>
      <c r="P71" s="64">
        <v>0.21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14" t="s">
        <v>1075</v>
      </c>
      <c r="B72" s="64">
        <v>5.77</v>
      </c>
      <c r="C72" s="64">
        <v>15.39</v>
      </c>
      <c r="D72" s="64">
        <v>12.67</v>
      </c>
      <c r="E72" s="64">
        <v>3.95</v>
      </c>
      <c r="F72" s="64">
        <v>20.97</v>
      </c>
      <c r="G72" s="64">
        <v>85.65</v>
      </c>
      <c r="H72" s="64">
        <v>6.28</v>
      </c>
      <c r="I72" s="64">
        <v>1.74</v>
      </c>
      <c r="J72" s="64">
        <v>0.15</v>
      </c>
      <c r="K72" s="64">
        <v>359.31</v>
      </c>
      <c r="L72" s="64">
        <v>30.02</v>
      </c>
      <c r="M72" s="64">
        <v>78.650000000000006</v>
      </c>
      <c r="N72" s="64">
        <v>127.3</v>
      </c>
      <c r="O72" s="64">
        <v>0</v>
      </c>
      <c r="P72" s="64">
        <v>0.45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14" t="s">
        <v>1076</v>
      </c>
      <c r="B73" s="64">
        <v>5.2</v>
      </c>
      <c r="C73" s="64">
        <v>18.71</v>
      </c>
      <c r="D73" s="64">
        <v>13.95</v>
      </c>
      <c r="E73" s="64">
        <v>4.29</v>
      </c>
      <c r="F73" s="64">
        <v>24.06</v>
      </c>
      <c r="G73" s="64">
        <v>80.91</v>
      </c>
      <c r="H73" s="64">
        <v>6.28</v>
      </c>
      <c r="I73" s="64">
        <v>1.68</v>
      </c>
      <c r="J73" s="64">
        <v>0.28000000000000003</v>
      </c>
      <c r="K73" s="64">
        <v>122.18</v>
      </c>
      <c r="L73" s="64">
        <v>30.28</v>
      </c>
      <c r="M73" s="64">
        <v>75.36</v>
      </c>
      <c r="N73" s="64">
        <v>122</v>
      </c>
      <c r="O73" s="64">
        <v>0</v>
      </c>
      <c r="P73" s="64">
        <v>0.28000000000000003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14" t="s">
        <v>1077</v>
      </c>
      <c r="B74" s="64">
        <v>4</v>
      </c>
      <c r="C74" s="64">
        <v>17.170000000000002</v>
      </c>
      <c r="D74" s="64">
        <v>12.18</v>
      </c>
      <c r="E74" s="64">
        <v>4.34</v>
      </c>
      <c r="F74" s="64">
        <v>25.32</v>
      </c>
      <c r="G74" s="64">
        <v>80.91</v>
      </c>
      <c r="H74" s="64">
        <v>6.28</v>
      </c>
      <c r="I74" s="64">
        <v>1.65</v>
      </c>
      <c r="J74" s="64">
        <v>0.23</v>
      </c>
      <c r="K74" s="64">
        <v>106.7</v>
      </c>
      <c r="L74" s="64">
        <v>29.93</v>
      </c>
      <c r="M74" s="64">
        <v>78.209999999999994</v>
      </c>
      <c r="N74" s="64">
        <v>98.7</v>
      </c>
      <c r="O74" s="64">
        <v>0</v>
      </c>
      <c r="P74" s="64">
        <v>0.28000000000000003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14" t="s">
        <v>1078</v>
      </c>
      <c r="B75" s="64">
        <v>3.68</v>
      </c>
      <c r="C75" s="64">
        <v>15.75</v>
      </c>
      <c r="D75" s="64">
        <v>11.18</v>
      </c>
      <c r="E75" s="64">
        <v>4.25</v>
      </c>
      <c r="F75" s="64">
        <v>26.85</v>
      </c>
      <c r="G75" s="64">
        <v>80.91</v>
      </c>
      <c r="H75" s="64">
        <v>6.28</v>
      </c>
      <c r="I75" s="64">
        <v>1.62</v>
      </c>
      <c r="J75" s="64">
        <v>0.35</v>
      </c>
      <c r="K75" s="64">
        <v>122.15</v>
      </c>
      <c r="L75" s="64">
        <v>29.74</v>
      </c>
      <c r="M75" s="64">
        <v>77.040000000000006</v>
      </c>
      <c r="N75" s="64">
        <v>88.3</v>
      </c>
      <c r="O75" s="64">
        <v>0</v>
      </c>
      <c r="P75" s="64">
        <v>0.25</v>
      </c>
      <c r="Q75" s="64">
        <v>9.23</v>
      </c>
      <c r="R75" s="198"/>
      <c r="S75" s="198"/>
      <c r="T75" s="198"/>
      <c r="U75" s="198"/>
    </row>
    <row r="76" spans="1:21" s="12" customFormat="1" x14ac:dyDescent="0.25">
      <c r="A76" s="214" t="s">
        <v>1079</v>
      </c>
      <c r="B76" s="64">
        <v>3.48</v>
      </c>
      <c r="C76" s="64">
        <v>13.27</v>
      </c>
      <c r="D76" s="64">
        <v>9.7200000000000006</v>
      </c>
      <c r="E76" s="64">
        <v>3.97</v>
      </c>
      <c r="F76" s="64">
        <v>29.55</v>
      </c>
      <c r="G76" s="64">
        <v>75.61</v>
      </c>
      <c r="H76" s="64">
        <v>6.28</v>
      </c>
      <c r="I76" s="64">
        <v>1.59</v>
      </c>
      <c r="J76" s="64">
        <v>0.4</v>
      </c>
      <c r="K76" s="64">
        <v>127.11</v>
      </c>
      <c r="L76" s="64">
        <v>29.55</v>
      </c>
      <c r="M76" s="64">
        <v>79.61</v>
      </c>
      <c r="N76" s="64">
        <v>77.7</v>
      </c>
      <c r="O76" s="64">
        <v>0</v>
      </c>
      <c r="P76" s="64">
        <v>0.25</v>
      </c>
      <c r="Q76" s="64">
        <v>9.2200000000000006</v>
      </c>
      <c r="R76" s="198"/>
      <c r="S76" s="198"/>
      <c r="T76" s="198"/>
      <c r="U76" s="198"/>
    </row>
    <row r="77" spans="1:21" s="12" customFormat="1" x14ac:dyDescent="0.25">
      <c r="A77" s="214" t="s">
        <v>1080</v>
      </c>
      <c r="B77" s="64">
        <v>8.0500000000000007</v>
      </c>
      <c r="C77" s="64">
        <v>23.71</v>
      </c>
      <c r="D77" s="64">
        <v>18.84</v>
      </c>
      <c r="E77" s="64">
        <v>4.3600000000000003</v>
      </c>
      <c r="F77" s="64">
        <v>20.63</v>
      </c>
      <c r="G77" s="64">
        <v>71.55</v>
      </c>
      <c r="H77" s="64">
        <v>6.28</v>
      </c>
      <c r="I77" s="64">
        <v>1.56</v>
      </c>
      <c r="J77" s="64">
        <v>0.09</v>
      </c>
      <c r="K77" s="64">
        <v>346.94</v>
      </c>
      <c r="L77" s="64">
        <v>29.42</v>
      </c>
      <c r="M77" s="64">
        <v>79.3</v>
      </c>
      <c r="N77" s="64">
        <v>63.8</v>
      </c>
      <c r="O77" s="64">
        <v>0</v>
      </c>
      <c r="P77" s="64">
        <v>0.71</v>
      </c>
      <c r="Q77" s="64">
        <v>9.2100000000000009</v>
      </c>
      <c r="R77" s="198"/>
      <c r="S77" s="198"/>
      <c r="T77" s="198"/>
      <c r="U77" s="198"/>
    </row>
    <row r="78" spans="1:21" s="12" customFormat="1" x14ac:dyDescent="0.25">
      <c r="A78" s="214" t="s">
        <v>1081</v>
      </c>
      <c r="B78" s="64">
        <v>3.81</v>
      </c>
      <c r="C78" s="64">
        <v>16.559999999999999</v>
      </c>
      <c r="D78" s="64">
        <v>11.71</v>
      </c>
      <c r="E78" s="64">
        <v>4.4400000000000004</v>
      </c>
      <c r="F78" s="64">
        <v>26.77</v>
      </c>
      <c r="G78" s="64">
        <v>71.55</v>
      </c>
      <c r="H78" s="64">
        <v>6.28</v>
      </c>
      <c r="I78" s="64">
        <v>1.53</v>
      </c>
      <c r="J78" s="64">
        <v>0.18</v>
      </c>
      <c r="K78" s="64">
        <v>123.5</v>
      </c>
      <c r="L78" s="64">
        <v>29.18</v>
      </c>
      <c r="M78" s="64">
        <v>79.7</v>
      </c>
      <c r="N78" s="64">
        <v>53.7</v>
      </c>
      <c r="O78" s="64">
        <v>0</v>
      </c>
      <c r="P78" s="64">
        <v>0.34</v>
      </c>
      <c r="Q78" s="64">
        <v>9.2200000000000006</v>
      </c>
      <c r="R78" s="198"/>
      <c r="S78" s="198"/>
      <c r="T78" s="198"/>
      <c r="U78" s="198"/>
    </row>
    <row r="79" spans="1:21" s="12" customFormat="1" x14ac:dyDescent="0.25">
      <c r="A79" s="214" t="s">
        <v>1082</v>
      </c>
      <c r="B79" s="64">
        <v>3.9</v>
      </c>
      <c r="C79" s="64">
        <v>17.89</v>
      </c>
      <c r="D79" s="64">
        <v>12.48</v>
      </c>
      <c r="E79" s="64">
        <v>4.83</v>
      </c>
      <c r="F79" s="64">
        <v>25.51</v>
      </c>
      <c r="G79" s="64">
        <v>71.55</v>
      </c>
      <c r="H79" s="64">
        <v>6.28</v>
      </c>
      <c r="I79" s="64">
        <v>1.52</v>
      </c>
      <c r="J79" s="64">
        <v>0.16</v>
      </c>
      <c r="K79" s="64">
        <v>131.33000000000001</v>
      </c>
      <c r="L79" s="64">
        <v>28.94</v>
      </c>
      <c r="M79" s="64">
        <v>81.31</v>
      </c>
      <c r="N79" s="64">
        <v>45.7</v>
      </c>
      <c r="O79" s="64">
        <v>0</v>
      </c>
      <c r="P79" s="64">
        <v>0.39</v>
      </c>
      <c r="Q79" s="64">
        <v>9.24</v>
      </c>
      <c r="R79" s="198"/>
      <c r="S79" s="198"/>
      <c r="T79" s="198"/>
      <c r="U79" s="198"/>
    </row>
    <row r="80" spans="1:21" s="12" customFormat="1" x14ac:dyDescent="0.25">
      <c r="A80" s="214" t="s">
        <v>1083</v>
      </c>
      <c r="B80" s="64">
        <v>3.55</v>
      </c>
      <c r="C80" s="64">
        <v>19.309999999999999</v>
      </c>
      <c r="D80" s="64">
        <v>12.94</v>
      </c>
      <c r="E80" s="64">
        <v>4.72</v>
      </c>
      <c r="F80" s="64">
        <v>23.4</v>
      </c>
      <c r="G80" s="64">
        <v>77.31</v>
      </c>
      <c r="H80" s="64">
        <v>6.28</v>
      </c>
      <c r="I80" s="64">
        <v>1.52</v>
      </c>
      <c r="J80" s="64">
        <v>0.27</v>
      </c>
      <c r="K80" s="64">
        <v>124.08</v>
      </c>
      <c r="L80" s="64">
        <v>28.73</v>
      </c>
      <c r="M80" s="64">
        <v>82.75</v>
      </c>
      <c r="N80" s="64">
        <v>37.1</v>
      </c>
      <c r="O80" s="64">
        <v>0</v>
      </c>
      <c r="P80" s="64">
        <v>0.35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14" t="s">
        <v>1084</v>
      </c>
      <c r="B81" s="64">
        <v>3.93</v>
      </c>
      <c r="C81" s="64">
        <v>25.79</v>
      </c>
      <c r="D81" s="64">
        <v>16.63</v>
      </c>
      <c r="E81" s="64">
        <v>4.17</v>
      </c>
      <c r="F81" s="64">
        <v>21.29</v>
      </c>
      <c r="G81" s="64">
        <v>81.72</v>
      </c>
      <c r="H81" s="64">
        <v>6.28</v>
      </c>
      <c r="I81" s="64">
        <v>1.49</v>
      </c>
      <c r="J81" s="64">
        <v>0.04</v>
      </c>
      <c r="K81" s="64">
        <v>140.84</v>
      </c>
      <c r="L81" s="64">
        <v>28.44</v>
      </c>
      <c r="M81" s="64">
        <v>85.39</v>
      </c>
      <c r="N81" s="64">
        <v>33</v>
      </c>
      <c r="O81" s="64">
        <v>0</v>
      </c>
      <c r="P81" s="64">
        <v>0.37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4" t="s">
        <v>1085</v>
      </c>
      <c r="B82" s="64">
        <v>36.44</v>
      </c>
      <c r="C82" s="64">
        <v>37.65</v>
      </c>
      <c r="D82" s="64">
        <v>48.8</v>
      </c>
      <c r="E82" s="64">
        <v>4.7300000000000004</v>
      </c>
      <c r="F82" s="64">
        <v>8.2100000000000009</v>
      </c>
      <c r="G82" s="64">
        <v>81.72</v>
      </c>
      <c r="H82" s="64">
        <v>6.28</v>
      </c>
      <c r="I82" s="64">
        <v>1.4</v>
      </c>
      <c r="J82" s="64">
        <v>0.16</v>
      </c>
      <c r="K82" s="64">
        <v>333.25</v>
      </c>
      <c r="L82" s="64">
        <v>27.98</v>
      </c>
      <c r="M82" s="64">
        <v>94.3</v>
      </c>
      <c r="N82" s="64">
        <v>32.1</v>
      </c>
      <c r="O82" s="64">
        <v>0</v>
      </c>
      <c r="P82" s="64">
        <v>1.49</v>
      </c>
      <c r="Q82" s="64">
        <v>9.27</v>
      </c>
      <c r="R82" s="198"/>
      <c r="S82" s="198"/>
      <c r="T82" s="198"/>
      <c r="U82" s="198"/>
    </row>
    <row r="83" spans="1:26" s="12" customFormat="1" x14ac:dyDescent="0.25">
      <c r="A83" s="214" t="s">
        <v>1086</v>
      </c>
      <c r="B83" s="64">
        <v>29.71</v>
      </c>
      <c r="C83" s="64">
        <v>34.32</v>
      </c>
      <c r="D83" s="64">
        <v>41.75</v>
      </c>
      <c r="E83" s="64">
        <v>4.75</v>
      </c>
      <c r="F83" s="64">
        <v>6.5</v>
      </c>
      <c r="G83" s="64">
        <v>81.72</v>
      </c>
      <c r="H83" s="64">
        <v>6.28</v>
      </c>
      <c r="I83" s="64">
        <v>1.35</v>
      </c>
      <c r="J83" s="64">
        <v>0.08</v>
      </c>
      <c r="K83" s="64">
        <v>327.39</v>
      </c>
      <c r="L83" s="64">
        <v>27.5</v>
      </c>
      <c r="M83" s="64">
        <v>97.74</v>
      </c>
      <c r="N83" s="64">
        <v>32.1</v>
      </c>
      <c r="O83" s="64">
        <v>0</v>
      </c>
      <c r="P83" s="64">
        <v>2.21</v>
      </c>
      <c r="Q83" s="64">
        <v>9.3000000000000007</v>
      </c>
      <c r="R83" s="198"/>
      <c r="S83" s="198"/>
      <c r="T83" s="198"/>
      <c r="U83" s="198"/>
    </row>
    <row r="84" spans="1:26" s="12" customFormat="1" x14ac:dyDescent="0.25">
      <c r="A84" s="214" t="s">
        <v>1087</v>
      </c>
      <c r="B84" s="64">
        <v>23.8</v>
      </c>
      <c r="C84" s="64">
        <v>38.22</v>
      </c>
      <c r="D84" s="64">
        <v>39.049999999999997</v>
      </c>
      <c r="E84" s="64">
        <v>4.87</v>
      </c>
      <c r="F84" s="64">
        <v>7.34</v>
      </c>
      <c r="G84" s="64">
        <v>95.32</v>
      </c>
      <c r="H84" s="64">
        <v>6.28</v>
      </c>
      <c r="I84" s="64">
        <v>1.42</v>
      </c>
      <c r="J84" s="64">
        <v>0.08</v>
      </c>
      <c r="K84" s="64">
        <v>320.74</v>
      </c>
      <c r="L84" s="64">
        <v>27.14</v>
      </c>
      <c r="M84" s="64">
        <v>97.7</v>
      </c>
      <c r="N84" s="64">
        <v>31.9</v>
      </c>
      <c r="O84" s="64">
        <v>0</v>
      </c>
      <c r="P84" s="64">
        <v>2.1800000000000002</v>
      </c>
      <c r="Q84" s="64">
        <v>9.36</v>
      </c>
      <c r="R84" s="198"/>
      <c r="S84" s="198"/>
      <c r="T84" s="198"/>
      <c r="U84" s="198"/>
    </row>
    <row r="85" spans="1:26" s="12" customFormat="1" x14ac:dyDescent="0.25">
      <c r="A85" s="214" t="s">
        <v>1088</v>
      </c>
      <c r="B85" s="64">
        <v>32.4</v>
      </c>
      <c r="C85" s="64">
        <v>30.78</v>
      </c>
      <c r="D85" s="64">
        <v>42.06</v>
      </c>
      <c r="E85" s="64">
        <v>4.87</v>
      </c>
      <c r="F85" s="64">
        <v>7.27</v>
      </c>
      <c r="G85" s="64">
        <v>106.21</v>
      </c>
      <c r="H85" s="64">
        <v>6.28</v>
      </c>
      <c r="I85" s="64">
        <v>1.55</v>
      </c>
      <c r="J85" s="64">
        <v>0.14000000000000001</v>
      </c>
      <c r="K85" s="64">
        <v>343.03</v>
      </c>
      <c r="L85" s="64">
        <v>27</v>
      </c>
      <c r="M85" s="64">
        <v>97.71</v>
      </c>
      <c r="N85" s="64">
        <v>31.8</v>
      </c>
      <c r="O85" s="64">
        <v>0</v>
      </c>
      <c r="P85" s="64">
        <v>1.79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14" t="s">
        <v>1089</v>
      </c>
      <c r="B86" s="64">
        <v>9.43</v>
      </c>
      <c r="C86" s="64">
        <v>37.68</v>
      </c>
      <c r="D86" s="64">
        <v>27.24</v>
      </c>
      <c r="E86" s="64">
        <v>4.7699999999999996</v>
      </c>
      <c r="F86" s="64">
        <v>7.17</v>
      </c>
      <c r="G86" s="64">
        <v>106.21</v>
      </c>
      <c r="H86" s="64">
        <v>6.28</v>
      </c>
      <c r="I86" s="64">
        <v>1.71</v>
      </c>
      <c r="J86" s="64">
        <v>0.05</v>
      </c>
      <c r="K86" s="64">
        <v>127.23</v>
      </c>
      <c r="L86" s="64">
        <v>26.9</v>
      </c>
      <c r="M86" s="64">
        <v>97.72</v>
      </c>
      <c r="N86" s="64">
        <v>31.7</v>
      </c>
      <c r="O86" s="64">
        <v>0</v>
      </c>
      <c r="P86" s="64">
        <v>1.45</v>
      </c>
      <c r="Q86" s="64">
        <v>9.4600000000000009</v>
      </c>
      <c r="R86" s="198"/>
      <c r="S86" s="198"/>
      <c r="T86" s="198"/>
      <c r="U86" s="198"/>
    </row>
    <row r="87" spans="1:26" s="12" customFormat="1" x14ac:dyDescent="0.25">
      <c r="A87" s="214" t="s">
        <v>1090</v>
      </c>
      <c r="B87" s="64">
        <v>34.33</v>
      </c>
      <c r="C87" s="64">
        <v>30.69</v>
      </c>
      <c r="D87" s="64">
        <v>43.56</v>
      </c>
      <c r="E87" s="64">
        <v>4.84</v>
      </c>
      <c r="F87" s="64">
        <v>6.6</v>
      </c>
      <c r="G87" s="64">
        <v>106.21</v>
      </c>
      <c r="H87" s="64">
        <v>6.28</v>
      </c>
      <c r="I87" s="64">
        <v>1.85</v>
      </c>
      <c r="J87" s="64">
        <v>0.08</v>
      </c>
      <c r="K87" s="64">
        <v>123.86</v>
      </c>
      <c r="L87" s="64">
        <v>26.99</v>
      </c>
      <c r="M87" s="64">
        <v>97.74</v>
      </c>
      <c r="N87" s="64">
        <v>31.7</v>
      </c>
      <c r="O87" s="64">
        <v>0</v>
      </c>
      <c r="P87" s="64">
        <v>1.4</v>
      </c>
      <c r="Q87" s="64">
        <v>9.48</v>
      </c>
      <c r="R87" s="198"/>
      <c r="S87" s="198"/>
      <c r="T87" s="198"/>
      <c r="U87" s="198"/>
    </row>
    <row r="88" spans="1:26" s="12" customFormat="1" x14ac:dyDescent="0.25">
      <c r="A88" s="214" t="s">
        <v>1091</v>
      </c>
      <c r="B88" s="64">
        <v>39.57</v>
      </c>
      <c r="C88" s="64">
        <v>35.39</v>
      </c>
      <c r="D88" s="64">
        <v>50.22</v>
      </c>
      <c r="E88" s="64">
        <v>4.8099999999999996</v>
      </c>
      <c r="F88" s="64">
        <v>2.83</v>
      </c>
      <c r="G88" s="64">
        <v>117.23</v>
      </c>
      <c r="H88" s="9" t="s">
        <v>36</v>
      </c>
      <c r="I88" s="64">
        <v>1.96</v>
      </c>
      <c r="J88" s="64">
        <v>0.03</v>
      </c>
      <c r="K88" s="64">
        <v>295.16000000000003</v>
      </c>
      <c r="L88" s="64">
        <v>26.95</v>
      </c>
      <c r="M88" s="64">
        <v>97.72</v>
      </c>
      <c r="N88" s="64">
        <v>32.299999999999997</v>
      </c>
      <c r="O88" s="64">
        <v>0</v>
      </c>
      <c r="P88" s="64">
        <v>1.58</v>
      </c>
      <c r="Q88" s="64">
        <v>9.51</v>
      </c>
      <c r="R88" s="198"/>
      <c r="S88" s="198"/>
      <c r="T88" s="198"/>
      <c r="U88" s="198"/>
    </row>
    <row r="89" spans="1:26" s="12" customFormat="1" x14ac:dyDescent="0.25">
      <c r="A89" s="214" t="s">
        <v>1092</v>
      </c>
      <c r="B89" s="64">
        <v>25.55</v>
      </c>
      <c r="C89" s="64">
        <v>36.01</v>
      </c>
      <c r="D89" s="64">
        <v>39.299999999999997</v>
      </c>
      <c r="E89" s="64">
        <v>4.82</v>
      </c>
      <c r="F89" s="64">
        <v>3.88</v>
      </c>
      <c r="G89" s="64">
        <v>125.65</v>
      </c>
      <c r="H89" s="9" t="s">
        <v>36</v>
      </c>
      <c r="I89" s="64">
        <v>2.0299999999999998</v>
      </c>
      <c r="J89" s="64">
        <v>7.0000000000000007E-2</v>
      </c>
      <c r="K89" s="64">
        <v>307.32</v>
      </c>
      <c r="L89" s="64">
        <v>26.92</v>
      </c>
      <c r="M89" s="64">
        <v>97.72</v>
      </c>
      <c r="N89" s="64">
        <v>32.4</v>
      </c>
      <c r="O89" s="64">
        <v>0</v>
      </c>
      <c r="P89" s="64">
        <v>1.43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14" t="s">
        <v>1093</v>
      </c>
      <c r="B90" s="64">
        <v>20.69</v>
      </c>
      <c r="C90" s="64">
        <v>39.76</v>
      </c>
      <c r="D90" s="64">
        <v>37.369999999999997</v>
      </c>
      <c r="E90" s="64">
        <v>4.6399999999999997</v>
      </c>
      <c r="F90" s="64">
        <v>4</v>
      </c>
      <c r="G90" s="64">
        <v>125.65</v>
      </c>
      <c r="H90" s="9" t="s">
        <v>36</v>
      </c>
      <c r="I90" s="64">
        <v>2.13</v>
      </c>
      <c r="J90" s="64">
        <v>0.03</v>
      </c>
      <c r="K90" s="64">
        <v>307.47000000000003</v>
      </c>
      <c r="L90" s="64">
        <v>26.88</v>
      </c>
      <c r="M90" s="64">
        <v>97.73</v>
      </c>
      <c r="N90" s="64">
        <v>32.4</v>
      </c>
      <c r="O90" s="64">
        <v>0</v>
      </c>
      <c r="P90" s="64">
        <v>1.24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4" t="s">
        <v>1094</v>
      </c>
      <c r="B91" s="64">
        <v>45.95</v>
      </c>
      <c r="C91" s="64">
        <v>33.97</v>
      </c>
      <c r="D91" s="64">
        <v>54.6</v>
      </c>
      <c r="E91" s="64">
        <v>4.68</v>
      </c>
      <c r="F91" s="64">
        <v>4.7300000000000004</v>
      </c>
      <c r="G91" s="64">
        <v>125.65</v>
      </c>
      <c r="H91" s="9" t="s">
        <v>36</v>
      </c>
      <c r="I91" s="64">
        <v>2.23</v>
      </c>
      <c r="J91" s="64">
        <v>0.04</v>
      </c>
      <c r="K91" s="64">
        <v>57.01</v>
      </c>
      <c r="L91" s="64">
        <v>26.94</v>
      </c>
      <c r="M91" s="64">
        <v>97.74</v>
      </c>
      <c r="N91" s="64">
        <v>32.5</v>
      </c>
      <c r="O91" s="64">
        <v>0</v>
      </c>
      <c r="P91" s="64">
        <v>1.88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4" t="s">
        <v>1095</v>
      </c>
      <c r="B92" s="64">
        <v>18.079999999999998</v>
      </c>
      <c r="C92" s="64">
        <v>39.47</v>
      </c>
      <c r="D92" s="64">
        <v>35.119999999999997</v>
      </c>
      <c r="E92" s="64">
        <v>4.8</v>
      </c>
      <c r="F92" s="64">
        <v>4.05</v>
      </c>
      <c r="G92" s="64">
        <v>124.79</v>
      </c>
      <c r="H92" s="9" t="s">
        <v>36</v>
      </c>
      <c r="I92" s="64">
        <v>2.3199999999999998</v>
      </c>
      <c r="J92" s="64">
        <v>0.04</v>
      </c>
      <c r="K92" s="64">
        <v>176.65</v>
      </c>
      <c r="L92" s="64">
        <v>27.08</v>
      </c>
      <c r="M92" s="64">
        <v>97.72</v>
      </c>
      <c r="N92" s="64">
        <v>32.5</v>
      </c>
      <c r="O92" s="64">
        <v>0</v>
      </c>
      <c r="P92" s="64">
        <v>1.1499999999999999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4" t="s">
        <v>1096</v>
      </c>
      <c r="B93" s="64">
        <v>23.79</v>
      </c>
      <c r="C93" s="64">
        <v>35.549999999999997</v>
      </c>
      <c r="D93" s="64">
        <v>37.65</v>
      </c>
      <c r="E93" s="64">
        <v>4.47</v>
      </c>
      <c r="F93" s="64">
        <v>4.75</v>
      </c>
      <c r="G93" s="64">
        <v>124.12</v>
      </c>
      <c r="H93" s="64">
        <v>11.17</v>
      </c>
      <c r="I93" s="64">
        <v>2.42</v>
      </c>
      <c r="J93" s="64">
        <v>0.03</v>
      </c>
      <c r="K93" s="64">
        <v>201.58</v>
      </c>
      <c r="L93" s="64">
        <v>26.95</v>
      </c>
      <c r="M93" s="64">
        <v>97.76</v>
      </c>
      <c r="N93" s="64">
        <v>32.5</v>
      </c>
      <c r="O93" s="64">
        <v>0</v>
      </c>
      <c r="P93" s="64">
        <v>1.26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4" t="s">
        <v>1097</v>
      </c>
      <c r="B94" s="64">
        <v>16.72</v>
      </c>
      <c r="C94" s="64">
        <v>12.48</v>
      </c>
      <c r="D94" s="64">
        <v>19.93</v>
      </c>
      <c r="E94" s="64">
        <v>4.29</v>
      </c>
      <c r="F94" s="64">
        <v>4.07</v>
      </c>
      <c r="G94" s="64">
        <v>124.12</v>
      </c>
      <c r="H94" s="64">
        <v>11.17</v>
      </c>
      <c r="I94" s="64">
        <v>2.5099999999999998</v>
      </c>
      <c r="J94" s="64">
        <v>0.19</v>
      </c>
      <c r="K94" s="64">
        <v>317.99</v>
      </c>
      <c r="L94" s="64">
        <v>26.83</v>
      </c>
      <c r="M94" s="64">
        <v>97.77</v>
      </c>
      <c r="N94" s="64">
        <v>32.6</v>
      </c>
      <c r="O94" s="64">
        <v>0</v>
      </c>
      <c r="P94" s="64">
        <v>1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4" t="s">
        <v>1098</v>
      </c>
      <c r="B95" s="64">
        <v>16.84</v>
      </c>
      <c r="C95" s="64">
        <v>41.88</v>
      </c>
      <c r="D95" s="64">
        <v>35.39</v>
      </c>
      <c r="E95" s="64">
        <v>4.2300000000000004</v>
      </c>
      <c r="F95" s="64">
        <v>2.64</v>
      </c>
      <c r="G95" s="64">
        <v>124.12</v>
      </c>
      <c r="H95" s="64">
        <v>11.17</v>
      </c>
      <c r="I95" s="64">
        <v>2.61</v>
      </c>
      <c r="J95" s="64">
        <v>0.31</v>
      </c>
      <c r="K95" s="64">
        <v>315.93</v>
      </c>
      <c r="L95" s="64">
        <v>26.27</v>
      </c>
      <c r="M95" s="64">
        <v>97.72</v>
      </c>
      <c r="N95" s="64">
        <v>33.299999999999997</v>
      </c>
      <c r="O95" s="64">
        <v>0</v>
      </c>
      <c r="P95" s="64">
        <v>0.94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4" t="s">
        <v>1099</v>
      </c>
      <c r="B96" s="64">
        <v>15.12</v>
      </c>
      <c r="C96" s="64">
        <v>12.09</v>
      </c>
      <c r="D96" s="64">
        <v>18.440000000000001</v>
      </c>
      <c r="E96" s="64">
        <v>4</v>
      </c>
      <c r="F96" s="64">
        <v>6.08</v>
      </c>
      <c r="G96" s="64">
        <v>113.01</v>
      </c>
      <c r="H96" s="64">
        <v>8.52</v>
      </c>
      <c r="I96" s="64">
        <v>2.62</v>
      </c>
      <c r="J96" s="64">
        <v>0.19</v>
      </c>
      <c r="K96" s="64">
        <v>317.41000000000003</v>
      </c>
      <c r="L96" s="64">
        <v>25.77</v>
      </c>
      <c r="M96" s="64">
        <v>97.74</v>
      </c>
      <c r="N96" s="64">
        <v>33</v>
      </c>
      <c r="O96" s="64">
        <v>0</v>
      </c>
      <c r="P96" s="64">
        <v>0.95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1100</v>
      </c>
      <c r="B97" s="64">
        <v>21.29</v>
      </c>
      <c r="C97" s="64">
        <v>22.06</v>
      </c>
      <c r="D97" s="64">
        <v>28.6</v>
      </c>
      <c r="E97" s="64">
        <v>4.0599999999999996</v>
      </c>
      <c r="F97" s="64">
        <v>9.07</v>
      </c>
      <c r="G97" s="64">
        <v>104.12</v>
      </c>
      <c r="H97" s="64">
        <v>6.37</v>
      </c>
      <c r="I97" s="64">
        <v>2.56</v>
      </c>
      <c r="J97" s="64">
        <v>0.11</v>
      </c>
      <c r="K97" s="64">
        <v>343.68</v>
      </c>
      <c r="L97" s="64">
        <v>25.49</v>
      </c>
      <c r="M97" s="64">
        <v>97.75</v>
      </c>
      <c r="N97" s="64">
        <v>32.799999999999997</v>
      </c>
      <c r="O97" s="64">
        <v>0</v>
      </c>
      <c r="P97" s="64">
        <v>1.36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4" t="s">
        <v>1101</v>
      </c>
      <c r="B98" s="64">
        <v>13.97</v>
      </c>
      <c r="C98" s="64">
        <v>23.13</v>
      </c>
      <c r="D98" s="64">
        <v>23.29</v>
      </c>
      <c r="E98" s="64">
        <v>3.93</v>
      </c>
      <c r="F98" s="64">
        <v>7.37</v>
      </c>
      <c r="G98" s="64">
        <v>104.12</v>
      </c>
      <c r="H98" s="64">
        <v>6.37</v>
      </c>
      <c r="I98" s="64">
        <v>2.5499999999999998</v>
      </c>
      <c r="J98" s="64">
        <v>0.17</v>
      </c>
      <c r="K98" s="64">
        <v>344.52</v>
      </c>
      <c r="L98" s="64">
        <v>25.29</v>
      </c>
      <c r="M98" s="64">
        <v>97.77</v>
      </c>
      <c r="N98" s="64">
        <v>32.6</v>
      </c>
      <c r="O98" s="64">
        <v>0</v>
      </c>
      <c r="P98" s="64">
        <v>1.44</v>
      </c>
      <c r="Q98" s="64">
        <v>9.64</v>
      </c>
      <c r="R98" s="198"/>
      <c r="S98" s="198"/>
      <c r="T98" s="198"/>
      <c r="U98" s="198"/>
    </row>
    <row r="99" spans="1:33" s="12" customFormat="1" x14ac:dyDescent="0.25">
      <c r="A99" s="214" t="s">
        <v>1102</v>
      </c>
      <c r="B99" s="64">
        <v>10.02</v>
      </c>
      <c r="C99" s="64">
        <v>22.09</v>
      </c>
      <c r="D99" s="64">
        <v>19.579999999999998</v>
      </c>
      <c r="E99" s="64">
        <v>3.99</v>
      </c>
      <c r="F99" s="64">
        <v>7.6</v>
      </c>
      <c r="G99" s="64">
        <v>104.12</v>
      </c>
      <c r="H99" s="64">
        <v>6.37</v>
      </c>
      <c r="I99" s="64">
        <v>2.59</v>
      </c>
      <c r="J99" s="64">
        <v>0.08</v>
      </c>
      <c r="K99" s="64">
        <v>159.78</v>
      </c>
      <c r="L99" s="64">
        <v>25.09</v>
      </c>
      <c r="M99" s="64">
        <v>97.78</v>
      </c>
      <c r="N99" s="64">
        <v>32.6</v>
      </c>
      <c r="O99" s="64">
        <v>0</v>
      </c>
      <c r="P99" s="64">
        <v>1.1399999999999999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4" t="s">
        <v>1103</v>
      </c>
      <c r="B100" s="64">
        <v>10.5</v>
      </c>
      <c r="C100" s="64">
        <v>24.5</v>
      </c>
      <c r="D100" s="64">
        <v>21.22</v>
      </c>
      <c r="E100" s="64">
        <v>3.87</v>
      </c>
      <c r="F100" s="64">
        <v>6.49</v>
      </c>
      <c r="G100" s="64">
        <v>101.61</v>
      </c>
      <c r="H100" s="64">
        <v>6.3</v>
      </c>
      <c r="I100" s="64">
        <v>2.65</v>
      </c>
      <c r="J100" s="64">
        <v>0.31</v>
      </c>
      <c r="K100" s="64">
        <v>162.38999999999999</v>
      </c>
      <c r="L100" s="64">
        <v>25.17</v>
      </c>
      <c r="M100" s="64">
        <v>97.78</v>
      </c>
      <c r="N100" s="64">
        <v>32.200000000000003</v>
      </c>
      <c r="O100" s="64">
        <v>0</v>
      </c>
      <c r="P100" s="64">
        <v>0.96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1104</v>
      </c>
      <c r="B101" s="64">
        <v>10.64</v>
      </c>
      <c r="C101" s="64">
        <v>21.84</v>
      </c>
      <c r="D101" s="64">
        <v>19.95</v>
      </c>
      <c r="E101" s="64">
        <v>4.01</v>
      </c>
      <c r="F101" s="64">
        <v>6.32</v>
      </c>
      <c r="G101" s="64">
        <v>99.69</v>
      </c>
      <c r="H101" s="64">
        <v>6.28</v>
      </c>
      <c r="I101" s="64">
        <v>2.67</v>
      </c>
      <c r="J101" s="64">
        <v>0.05</v>
      </c>
      <c r="K101" s="64">
        <v>307.35000000000002</v>
      </c>
      <c r="L101" s="64">
        <v>25.22</v>
      </c>
      <c r="M101" s="64">
        <v>97.81</v>
      </c>
      <c r="N101" s="64">
        <v>32.5</v>
      </c>
      <c r="O101" s="64">
        <v>0</v>
      </c>
      <c r="P101" s="64">
        <v>1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4" t="s">
        <v>1105</v>
      </c>
      <c r="B102" s="64">
        <v>13.8</v>
      </c>
      <c r="C102" s="64">
        <v>17.25</v>
      </c>
      <c r="D102" s="64">
        <v>20.079999999999998</v>
      </c>
      <c r="E102" s="64">
        <v>3.71</v>
      </c>
      <c r="F102" s="64">
        <v>6.39</v>
      </c>
      <c r="G102" s="64">
        <v>99.69</v>
      </c>
      <c r="H102" s="64">
        <v>6.28</v>
      </c>
      <c r="I102" s="64">
        <v>2.69</v>
      </c>
      <c r="J102" s="64">
        <v>0.1</v>
      </c>
      <c r="K102" s="64">
        <v>319.64</v>
      </c>
      <c r="L102" s="64">
        <v>25.08</v>
      </c>
      <c r="M102" s="64">
        <v>97.83</v>
      </c>
      <c r="N102" s="64">
        <v>32.6</v>
      </c>
      <c r="O102" s="64">
        <v>0</v>
      </c>
      <c r="P102" s="64">
        <v>1.23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4" t="s">
        <v>1106</v>
      </c>
      <c r="B103" s="64">
        <v>10.78</v>
      </c>
      <c r="C103" s="64">
        <v>15.45</v>
      </c>
      <c r="D103" s="64">
        <v>16.71</v>
      </c>
      <c r="E103" s="64">
        <v>4.1100000000000003</v>
      </c>
      <c r="F103" s="64">
        <v>8.25</v>
      </c>
      <c r="G103" s="64">
        <v>99.69</v>
      </c>
      <c r="H103" s="64">
        <v>6.28</v>
      </c>
      <c r="I103" s="64">
        <v>2.71</v>
      </c>
      <c r="J103" s="64">
        <v>0.31</v>
      </c>
      <c r="K103" s="64">
        <v>332.35</v>
      </c>
      <c r="L103" s="64">
        <v>24.86</v>
      </c>
      <c r="M103" s="64">
        <v>97.84</v>
      </c>
      <c r="N103" s="64">
        <v>32.5</v>
      </c>
      <c r="O103" s="64">
        <v>0</v>
      </c>
      <c r="P103" s="64">
        <v>1.17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4" t="s">
        <v>1107</v>
      </c>
      <c r="B104" s="64">
        <v>13.88</v>
      </c>
      <c r="C104" s="64">
        <v>13.41</v>
      </c>
      <c r="D104" s="64">
        <v>18.14</v>
      </c>
      <c r="E104" s="64">
        <v>4.42</v>
      </c>
      <c r="F104" s="64">
        <v>7.16</v>
      </c>
      <c r="G104" s="64">
        <v>91.66</v>
      </c>
      <c r="H104" s="64">
        <v>6.28</v>
      </c>
      <c r="I104" s="64">
        <v>2.76</v>
      </c>
      <c r="J104" s="64">
        <v>0.87</v>
      </c>
      <c r="K104" s="64">
        <v>338.22</v>
      </c>
      <c r="L104" s="64">
        <v>24.88</v>
      </c>
      <c r="M104" s="64">
        <v>97.85</v>
      </c>
      <c r="N104" s="64">
        <v>32.299999999999997</v>
      </c>
      <c r="O104" s="64">
        <v>0</v>
      </c>
      <c r="P104" s="64">
        <v>1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3.48</v>
      </c>
      <c r="C106" s="67">
        <f>MIN(C9:C104)</f>
        <v>4.29</v>
      </c>
      <c r="D106" s="67">
        <f t="shared" ref="D106:Q106" si="0">MIN(D9:D104)</f>
        <v>8.4</v>
      </c>
      <c r="E106" s="67">
        <f t="shared" si="0"/>
        <v>3.71</v>
      </c>
      <c r="F106" s="67">
        <f t="shared" si="0"/>
        <v>2.64</v>
      </c>
      <c r="G106" s="67">
        <f t="shared" si="0"/>
        <v>19.98</v>
      </c>
      <c r="H106" s="67">
        <f t="shared" si="0"/>
        <v>0.05</v>
      </c>
      <c r="I106" s="67">
        <f t="shared" si="0"/>
        <v>1.35</v>
      </c>
      <c r="J106" s="67">
        <f t="shared" si="0"/>
        <v>0</v>
      </c>
      <c r="K106" s="67">
        <f t="shared" si="0"/>
        <v>2.42</v>
      </c>
      <c r="L106" s="67">
        <f t="shared" si="0"/>
        <v>23.12</v>
      </c>
      <c r="M106" s="67">
        <f t="shared" si="0"/>
        <v>71.58</v>
      </c>
      <c r="N106" s="67">
        <f t="shared" si="0"/>
        <v>31.7</v>
      </c>
      <c r="O106" s="67">
        <f t="shared" si="0"/>
        <v>0</v>
      </c>
      <c r="P106" s="67">
        <f t="shared" si="0"/>
        <v>0.21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45.95</v>
      </c>
      <c r="C107" s="66">
        <f t="shared" ref="C107:Q107" si="1">MAX(C9:C104)</f>
        <v>41.88</v>
      </c>
      <c r="D107" s="66">
        <f t="shared" si="1"/>
        <v>54.6</v>
      </c>
      <c r="E107" s="66">
        <f t="shared" si="1"/>
        <v>5.92</v>
      </c>
      <c r="F107" s="66">
        <f t="shared" si="1"/>
        <v>29.55</v>
      </c>
      <c r="G107" s="66">
        <f t="shared" si="1"/>
        <v>130.09</v>
      </c>
      <c r="H107" s="66">
        <f t="shared" si="1"/>
        <v>11.41</v>
      </c>
      <c r="I107" s="66">
        <f t="shared" si="1"/>
        <v>2.76</v>
      </c>
      <c r="J107" s="66">
        <f t="shared" si="1"/>
        <v>0.87</v>
      </c>
      <c r="K107" s="66">
        <f t="shared" si="1"/>
        <v>359.31</v>
      </c>
      <c r="L107" s="66">
        <f t="shared" si="1"/>
        <v>32.79</v>
      </c>
      <c r="M107" s="66">
        <f t="shared" si="1"/>
        <v>98.82</v>
      </c>
      <c r="N107" s="66">
        <f t="shared" si="1"/>
        <v>622.6</v>
      </c>
      <c r="O107" s="66">
        <f t="shared" si="1"/>
        <v>0</v>
      </c>
      <c r="P107" s="66">
        <f t="shared" si="1"/>
        <v>2.21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12.88052083333333</v>
      </c>
      <c r="C108" s="67">
        <f t="shared" ref="C108:Q108" si="2">AVERAGE(C9:C104)</f>
        <v>16.19875</v>
      </c>
      <c r="D108" s="67">
        <f t="shared" si="2"/>
        <v>18.786770833333332</v>
      </c>
      <c r="E108" s="67">
        <f t="shared" si="2"/>
        <v>4.811041666666668</v>
      </c>
      <c r="F108" s="67">
        <f t="shared" si="2"/>
        <v>10.501041666666667</v>
      </c>
      <c r="G108" s="67">
        <f t="shared" si="2"/>
        <v>64.515729166666645</v>
      </c>
      <c r="H108" s="67">
        <f t="shared" si="2"/>
        <v>4.7273015873015858</v>
      </c>
      <c r="I108" s="67">
        <f t="shared" si="2"/>
        <v>1.906458333333334</v>
      </c>
      <c r="J108" s="67">
        <f t="shared" si="2"/>
        <v>0.19666666666666666</v>
      </c>
      <c r="K108" s="67">
        <f t="shared" si="2"/>
        <v>201.70593749999992</v>
      </c>
      <c r="L108" s="67">
        <f t="shared" si="2"/>
        <v>27.047604166666659</v>
      </c>
      <c r="M108" s="67">
        <f t="shared" si="2"/>
        <v>91.363437500000018</v>
      </c>
      <c r="N108" s="67">
        <f t="shared" si="2"/>
        <v>141.13749999999999</v>
      </c>
      <c r="O108" s="67">
        <f t="shared" si="2"/>
        <v>0</v>
      </c>
      <c r="P108" s="67">
        <f t="shared" si="2"/>
        <v>0.66489583333333335</v>
      </c>
      <c r="Q108" s="67">
        <f t="shared" si="2"/>
        <v>9.4964583333333312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8.1383536896911046</v>
      </c>
      <c r="C109" s="67">
        <f t="shared" ref="C109:Q109" si="3">STDEV(C9:C104)</f>
        <v>9.9838502487504019</v>
      </c>
      <c r="D109" s="67">
        <f t="shared" si="3"/>
        <v>9.978844200005458</v>
      </c>
      <c r="E109" s="67">
        <f t="shared" si="3"/>
        <v>0.43289351836867929</v>
      </c>
      <c r="F109" s="67">
        <f t="shared" si="3"/>
        <v>7.8438376052282575</v>
      </c>
      <c r="G109" s="67">
        <f t="shared" si="3"/>
        <v>35.814290260050463</v>
      </c>
      <c r="H109" s="67">
        <f t="shared" si="3"/>
        <v>3.4358518718066797</v>
      </c>
      <c r="I109" s="67">
        <f t="shared" si="3"/>
        <v>0.3623199492355243</v>
      </c>
      <c r="J109" s="67">
        <f t="shared" si="3"/>
        <v>0.184634299525856</v>
      </c>
      <c r="K109" s="67">
        <f t="shared" si="3"/>
        <v>97.20923235965796</v>
      </c>
      <c r="L109" s="67">
        <f t="shared" si="3"/>
        <v>2.9084670387252558</v>
      </c>
      <c r="M109" s="67">
        <f t="shared" si="3"/>
        <v>9.0737430132077712</v>
      </c>
      <c r="N109" s="67">
        <f t="shared" si="3"/>
        <v>158.83609708388741</v>
      </c>
      <c r="O109" s="67">
        <f t="shared" si="3"/>
        <v>0</v>
      </c>
      <c r="P109" s="67">
        <f t="shared" si="3"/>
        <v>0.45035890901571446</v>
      </c>
      <c r="Q109" s="67">
        <f t="shared" si="3"/>
        <v>0.17707553646406124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COUNT(H9:H104)+33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1108</v>
      </c>
      <c r="B9" s="64">
        <v>14.63</v>
      </c>
      <c r="C9" s="64">
        <v>10.050000000000001</v>
      </c>
      <c r="D9" s="64">
        <v>16.98</v>
      </c>
      <c r="E9" s="64">
        <v>4.6100000000000003</v>
      </c>
      <c r="F9" s="64">
        <v>5.68</v>
      </c>
      <c r="G9" s="64">
        <v>85.52</v>
      </c>
      <c r="H9" s="64">
        <v>6.28</v>
      </c>
      <c r="I9" s="64">
        <v>2.82</v>
      </c>
      <c r="J9" s="64">
        <v>0.66</v>
      </c>
      <c r="K9" s="64">
        <v>341.32</v>
      </c>
      <c r="L9" s="64">
        <v>24.93</v>
      </c>
      <c r="M9" s="64">
        <v>97.87</v>
      </c>
      <c r="N9" s="64">
        <v>32.700000000000003</v>
      </c>
      <c r="O9" s="64">
        <v>0</v>
      </c>
      <c r="P9" s="64">
        <v>0.9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4" t="s">
        <v>1109</v>
      </c>
      <c r="B10" s="64">
        <v>12.1</v>
      </c>
      <c r="C10" s="64">
        <v>15.35</v>
      </c>
      <c r="D10" s="64">
        <v>17.73</v>
      </c>
      <c r="E10" s="64">
        <v>4.68</v>
      </c>
      <c r="F10" s="64">
        <v>9.23</v>
      </c>
      <c r="G10" s="64">
        <v>85.52</v>
      </c>
      <c r="H10" s="64">
        <v>6.28</v>
      </c>
      <c r="I10" s="64">
        <v>2.82</v>
      </c>
      <c r="J10" s="64">
        <v>0.6</v>
      </c>
      <c r="K10" s="64">
        <v>337.24</v>
      </c>
      <c r="L10" s="64">
        <v>24.98</v>
      </c>
      <c r="M10" s="64">
        <v>97.89</v>
      </c>
      <c r="N10" s="64">
        <v>32.5</v>
      </c>
      <c r="O10" s="64">
        <v>0</v>
      </c>
      <c r="P10" s="64">
        <v>0.69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4" t="s">
        <v>1110</v>
      </c>
      <c r="B11" s="64">
        <v>13.24</v>
      </c>
      <c r="C11" s="64">
        <v>9.58</v>
      </c>
      <c r="D11" s="64">
        <v>15.62</v>
      </c>
      <c r="E11" s="64">
        <v>4.71</v>
      </c>
      <c r="F11" s="64">
        <v>7.79</v>
      </c>
      <c r="G11" s="64">
        <v>85.52</v>
      </c>
      <c r="H11" s="64">
        <v>6.28</v>
      </c>
      <c r="I11" s="64">
        <v>2.78</v>
      </c>
      <c r="J11" s="64">
        <v>0.81</v>
      </c>
      <c r="K11" s="64">
        <v>337.89</v>
      </c>
      <c r="L11" s="64">
        <v>25.01</v>
      </c>
      <c r="M11" s="64">
        <v>97.86</v>
      </c>
      <c r="N11" s="64">
        <v>32.6</v>
      </c>
      <c r="O11" s="64">
        <v>0</v>
      </c>
      <c r="P11" s="64">
        <v>0.81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4" t="s">
        <v>1111</v>
      </c>
      <c r="B12" s="64">
        <v>7.29</v>
      </c>
      <c r="C12" s="64">
        <v>15.85</v>
      </c>
      <c r="D12" s="64">
        <v>14.13</v>
      </c>
      <c r="E12" s="64">
        <v>4.59</v>
      </c>
      <c r="F12" s="64">
        <v>9.06</v>
      </c>
      <c r="G12" s="64">
        <v>83.84</v>
      </c>
      <c r="H12" s="64">
        <v>6.28</v>
      </c>
      <c r="I12" s="64">
        <v>2.73</v>
      </c>
      <c r="J12" s="64">
        <v>0.59</v>
      </c>
      <c r="K12" s="64">
        <v>338.55</v>
      </c>
      <c r="L12" s="64">
        <v>25.03</v>
      </c>
      <c r="M12" s="64">
        <v>97.84</v>
      </c>
      <c r="N12" s="64">
        <v>32.6</v>
      </c>
      <c r="O12" s="64">
        <v>0</v>
      </c>
      <c r="P12" s="64">
        <v>0.51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4" t="s">
        <v>1112</v>
      </c>
      <c r="B13" s="64">
        <v>9.9600000000000009</v>
      </c>
      <c r="C13" s="64">
        <v>14.06</v>
      </c>
      <c r="D13" s="64">
        <v>15.33</v>
      </c>
      <c r="E13" s="64">
        <v>4.5</v>
      </c>
      <c r="F13" s="64">
        <v>5.33</v>
      </c>
      <c r="G13" s="64">
        <v>82.56</v>
      </c>
      <c r="H13" s="64">
        <v>6.28</v>
      </c>
      <c r="I13" s="64">
        <v>2.69</v>
      </c>
      <c r="J13" s="64">
        <v>0.16</v>
      </c>
      <c r="K13" s="64">
        <v>354.66</v>
      </c>
      <c r="L13" s="64">
        <v>24.98</v>
      </c>
      <c r="M13" s="64">
        <v>97.83</v>
      </c>
      <c r="N13" s="64">
        <v>32.9</v>
      </c>
      <c r="O13" s="64">
        <v>0</v>
      </c>
      <c r="P13" s="64">
        <v>0.5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4" t="s">
        <v>1113</v>
      </c>
      <c r="B14" s="64">
        <v>8.7799999999999994</v>
      </c>
      <c r="C14" s="64">
        <v>20.68</v>
      </c>
      <c r="D14" s="64">
        <v>17.850000000000001</v>
      </c>
      <c r="E14" s="64">
        <v>4.7</v>
      </c>
      <c r="F14" s="64">
        <v>5.28</v>
      </c>
      <c r="G14" s="64">
        <v>82.56</v>
      </c>
      <c r="H14" s="64">
        <v>6.28</v>
      </c>
      <c r="I14" s="64">
        <v>2.66</v>
      </c>
      <c r="J14" s="64">
        <v>0.24</v>
      </c>
      <c r="K14" s="64">
        <v>342.14</v>
      </c>
      <c r="L14" s="64">
        <v>24.97</v>
      </c>
      <c r="M14" s="64">
        <v>97.84</v>
      </c>
      <c r="N14" s="64">
        <v>32.9</v>
      </c>
      <c r="O14" s="64">
        <v>0</v>
      </c>
      <c r="P14" s="64">
        <v>0.4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4" t="s">
        <v>1114</v>
      </c>
      <c r="B15" s="64">
        <v>11.05</v>
      </c>
      <c r="C15" s="64">
        <v>17.93</v>
      </c>
      <c r="D15" s="64">
        <v>18.23</v>
      </c>
      <c r="E15" s="64">
        <v>4.46</v>
      </c>
      <c r="F15" s="64">
        <v>6</v>
      </c>
      <c r="G15" s="64">
        <v>82.56</v>
      </c>
      <c r="H15" s="64">
        <v>6.28</v>
      </c>
      <c r="I15" s="64">
        <v>2.62</v>
      </c>
      <c r="J15" s="64">
        <v>0.2</v>
      </c>
      <c r="K15" s="64">
        <v>338.68</v>
      </c>
      <c r="L15" s="64">
        <v>24.9</v>
      </c>
      <c r="M15" s="64">
        <v>97.85</v>
      </c>
      <c r="N15" s="64">
        <v>32.9</v>
      </c>
      <c r="O15" s="64">
        <v>0</v>
      </c>
      <c r="P15" s="64">
        <v>0.54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4" t="s">
        <v>1115</v>
      </c>
      <c r="B16" s="64">
        <v>8.0500000000000007</v>
      </c>
      <c r="C16" s="64">
        <v>18.62</v>
      </c>
      <c r="D16" s="64">
        <v>16.18</v>
      </c>
      <c r="E16" s="64">
        <v>4.3899999999999997</v>
      </c>
      <c r="F16" s="64">
        <v>6.16</v>
      </c>
      <c r="G16" s="64">
        <v>88.24</v>
      </c>
      <c r="H16" s="64">
        <v>11.99</v>
      </c>
      <c r="I16" s="64">
        <v>2.6</v>
      </c>
      <c r="J16" s="64">
        <v>0.05</v>
      </c>
      <c r="K16" s="64">
        <v>123.17</v>
      </c>
      <c r="L16" s="64">
        <v>24.78</v>
      </c>
      <c r="M16" s="64">
        <v>97.85</v>
      </c>
      <c r="N16" s="64">
        <v>32.9</v>
      </c>
      <c r="O16" s="64">
        <v>0</v>
      </c>
      <c r="P16" s="64">
        <v>0.56999999999999995</v>
      </c>
      <c r="Q16" s="64">
        <v>9.59</v>
      </c>
      <c r="R16" s="198"/>
      <c r="S16" s="198"/>
      <c r="T16" s="198"/>
      <c r="U16" s="198"/>
    </row>
    <row r="17" spans="1:21" s="12" customFormat="1" x14ac:dyDescent="0.25">
      <c r="A17" s="214" t="s">
        <v>1116</v>
      </c>
      <c r="B17" s="64">
        <v>10.23</v>
      </c>
      <c r="C17" s="64">
        <v>17.489999999999998</v>
      </c>
      <c r="D17" s="64">
        <v>17.34</v>
      </c>
      <c r="E17" s="64">
        <v>4.42</v>
      </c>
      <c r="F17" s="64">
        <v>4.1900000000000004</v>
      </c>
      <c r="G17" s="64">
        <v>92.79</v>
      </c>
      <c r="H17" s="64">
        <v>16.57</v>
      </c>
      <c r="I17" s="64">
        <v>2.6</v>
      </c>
      <c r="J17" s="64">
        <v>0.08</v>
      </c>
      <c r="K17" s="64">
        <v>294.45999999999998</v>
      </c>
      <c r="L17" s="64">
        <v>24.69</v>
      </c>
      <c r="M17" s="64">
        <v>97.9</v>
      </c>
      <c r="N17" s="64">
        <v>32.9</v>
      </c>
      <c r="O17" s="64">
        <v>0</v>
      </c>
      <c r="P17" s="64">
        <v>0.64</v>
      </c>
      <c r="Q17" s="64">
        <v>9.59</v>
      </c>
      <c r="R17" s="198"/>
      <c r="S17" s="198"/>
      <c r="T17" s="198"/>
      <c r="U17" s="198"/>
    </row>
    <row r="18" spans="1:21" s="12" customFormat="1" x14ac:dyDescent="0.25">
      <c r="A18" s="214" t="s">
        <v>1117</v>
      </c>
      <c r="B18" s="64">
        <v>10.25</v>
      </c>
      <c r="C18" s="64">
        <v>14.23</v>
      </c>
      <c r="D18" s="64">
        <v>15.65</v>
      </c>
      <c r="E18" s="64">
        <v>4.54</v>
      </c>
      <c r="F18" s="64">
        <v>5.16</v>
      </c>
      <c r="G18" s="64">
        <v>92.79</v>
      </c>
      <c r="H18" s="64">
        <v>16.57</v>
      </c>
      <c r="I18" s="64">
        <v>2.58</v>
      </c>
      <c r="J18" s="64">
        <v>0.24</v>
      </c>
      <c r="K18" s="64">
        <v>321.88</v>
      </c>
      <c r="L18" s="64">
        <v>24.73</v>
      </c>
      <c r="M18" s="64">
        <v>97.86</v>
      </c>
      <c r="N18" s="64">
        <v>32.700000000000003</v>
      </c>
      <c r="O18" s="64">
        <v>0</v>
      </c>
      <c r="P18" s="64">
        <v>0.57999999999999996</v>
      </c>
      <c r="Q18" s="64">
        <v>9.57</v>
      </c>
      <c r="R18" s="198"/>
      <c r="S18" s="198"/>
      <c r="T18" s="198"/>
      <c r="U18" s="198"/>
    </row>
    <row r="19" spans="1:21" s="12" customFormat="1" x14ac:dyDescent="0.25">
      <c r="A19" s="214" t="s">
        <v>1118</v>
      </c>
      <c r="B19" s="64">
        <v>10</v>
      </c>
      <c r="C19" s="64">
        <v>10.59</v>
      </c>
      <c r="D19" s="64">
        <v>13.56</v>
      </c>
      <c r="E19" s="64">
        <v>4.33</v>
      </c>
      <c r="F19" s="64">
        <v>8.1</v>
      </c>
      <c r="G19" s="64">
        <v>92.79</v>
      </c>
      <c r="H19" s="64">
        <v>16.57</v>
      </c>
      <c r="I19" s="64">
        <v>2.56</v>
      </c>
      <c r="J19" s="64">
        <v>0.09</v>
      </c>
      <c r="K19" s="64">
        <v>311.5</v>
      </c>
      <c r="L19" s="64">
        <v>24.75</v>
      </c>
      <c r="M19" s="64">
        <v>97.88</v>
      </c>
      <c r="N19" s="64">
        <v>32.9</v>
      </c>
      <c r="O19" s="64">
        <v>0</v>
      </c>
      <c r="P19" s="64">
        <v>0.43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4" t="s">
        <v>1119</v>
      </c>
      <c r="B20" s="64">
        <v>9.15</v>
      </c>
      <c r="C20" s="64">
        <v>9.35</v>
      </c>
      <c r="D20" s="64">
        <v>12.22</v>
      </c>
      <c r="E20" s="64">
        <v>4.3099999999999996</v>
      </c>
      <c r="F20" s="64">
        <v>8.07</v>
      </c>
      <c r="G20" s="64">
        <v>94.01</v>
      </c>
      <c r="H20" s="6" t="s">
        <v>42</v>
      </c>
      <c r="I20" s="64">
        <v>2.5099999999999998</v>
      </c>
      <c r="J20" s="64">
        <v>7.0000000000000007E-2</v>
      </c>
      <c r="K20" s="64">
        <v>323.29000000000002</v>
      </c>
      <c r="L20" s="64">
        <v>24.5</v>
      </c>
      <c r="M20" s="64">
        <v>97.9</v>
      </c>
      <c r="N20" s="64">
        <v>32.9</v>
      </c>
      <c r="O20" s="64">
        <v>0</v>
      </c>
      <c r="P20" s="64">
        <v>0.3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4" t="s">
        <v>1120</v>
      </c>
      <c r="B21" s="64">
        <v>9.0299999999999994</v>
      </c>
      <c r="C21" s="64">
        <v>9.2200000000000006</v>
      </c>
      <c r="D21" s="64">
        <v>12.06</v>
      </c>
      <c r="E21" s="64">
        <v>4.46</v>
      </c>
      <c r="F21" s="64">
        <v>7.37</v>
      </c>
      <c r="G21" s="64">
        <v>94.98</v>
      </c>
      <c r="H21" s="6" t="s">
        <v>42</v>
      </c>
      <c r="I21" s="64">
        <v>2.46</v>
      </c>
      <c r="J21" s="64">
        <v>0.11</v>
      </c>
      <c r="K21" s="64">
        <v>330.64</v>
      </c>
      <c r="L21" s="64">
        <v>24.24</v>
      </c>
      <c r="M21" s="64">
        <v>97.91</v>
      </c>
      <c r="N21" s="64">
        <v>32.9</v>
      </c>
      <c r="O21" s="64">
        <v>0</v>
      </c>
      <c r="P21" s="64">
        <v>0.28999999999999998</v>
      </c>
      <c r="Q21" s="64">
        <v>9.57</v>
      </c>
      <c r="R21" s="198"/>
      <c r="S21" s="198"/>
      <c r="T21" s="198"/>
      <c r="U21" s="198"/>
    </row>
    <row r="22" spans="1:21" s="12" customFormat="1" x14ac:dyDescent="0.25">
      <c r="A22" s="214" t="s">
        <v>1121</v>
      </c>
      <c r="B22" s="64">
        <v>8.75</v>
      </c>
      <c r="C22" s="64">
        <v>8.75</v>
      </c>
      <c r="D22" s="64">
        <v>11.59</v>
      </c>
      <c r="E22" s="64">
        <v>4.67</v>
      </c>
      <c r="F22" s="64">
        <v>6.51</v>
      </c>
      <c r="G22" s="64">
        <v>94.98</v>
      </c>
      <c r="H22" s="6" t="s">
        <v>42</v>
      </c>
      <c r="I22" s="64">
        <v>2.4</v>
      </c>
      <c r="J22" s="64">
        <v>0.11</v>
      </c>
      <c r="K22" s="64">
        <v>292.20999999999998</v>
      </c>
      <c r="L22" s="64">
        <v>24.14</v>
      </c>
      <c r="M22" s="64">
        <v>97.93</v>
      </c>
      <c r="N22" s="64">
        <v>32.9</v>
      </c>
      <c r="O22" s="64">
        <v>0</v>
      </c>
      <c r="P22" s="64">
        <v>0.3</v>
      </c>
      <c r="Q22" s="64">
        <v>9.57</v>
      </c>
      <c r="R22" s="198"/>
      <c r="S22" s="198"/>
      <c r="T22" s="198"/>
      <c r="U22" s="198"/>
    </row>
    <row r="23" spans="1:21" s="12" customFormat="1" x14ac:dyDescent="0.25">
      <c r="A23" s="214" t="s">
        <v>1122</v>
      </c>
      <c r="B23" s="64">
        <v>8.85</v>
      </c>
      <c r="C23" s="64">
        <v>9.19</v>
      </c>
      <c r="D23" s="64">
        <v>11.9</v>
      </c>
      <c r="E23" s="64">
        <v>4.28</v>
      </c>
      <c r="F23" s="64">
        <v>7.94</v>
      </c>
      <c r="G23" s="64">
        <v>94.98</v>
      </c>
      <c r="H23" s="6" t="s">
        <v>42</v>
      </c>
      <c r="I23" s="64">
        <v>2.36</v>
      </c>
      <c r="J23" s="64">
        <v>0.18</v>
      </c>
      <c r="K23" s="64">
        <v>322.57</v>
      </c>
      <c r="L23" s="64">
        <v>24.15</v>
      </c>
      <c r="M23" s="64">
        <v>97.93</v>
      </c>
      <c r="N23" s="64">
        <v>32.9</v>
      </c>
      <c r="O23" s="64">
        <v>0</v>
      </c>
      <c r="P23" s="64">
        <v>0.3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14" t="s">
        <v>1123</v>
      </c>
      <c r="B24" s="64">
        <v>9.0500000000000007</v>
      </c>
      <c r="C24" s="64">
        <v>11.33</v>
      </c>
      <c r="D24" s="64">
        <v>13.17</v>
      </c>
      <c r="E24" s="64">
        <v>4.3899999999999997</v>
      </c>
      <c r="F24" s="64">
        <v>7.21</v>
      </c>
      <c r="G24" s="64">
        <v>84.77</v>
      </c>
      <c r="H24" s="6" t="s">
        <v>42</v>
      </c>
      <c r="I24" s="64">
        <v>2.3199999999999998</v>
      </c>
      <c r="J24" s="64">
        <v>0.18</v>
      </c>
      <c r="K24" s="64">
        <v>339.25</v>
      </c>
      <c r="L24" s="64">
        <v>24.16</v>
      </c>
      <c r="M24" s="64">
        <v>97.93</v>
      </c>
      <c r="N24" s="64">
        <v>32.9</v>
      </c>
      <c r="O24" s="64">
        <v>0</v>
      </c>
      <c r="P24" s="64">
        <v>0.25</v>
      </c>
      <c r="Q24" s="64">
        <v>9.5500000000000007</v>
      </c>
      <c r="R24" s="198"/>
      <c r="S24" s="198"/>
      <c r="T24" s="198"/>
      <c r="U24" s="198"/>
    </row>
    <row r="25" spans="1:21" s="12" customFormat="1" x14ac:dyDescent="0.25">
      <c r="A25" s="214" t="s">
        <v>1124</v>
      </c>
      <c r="B25" s="64">
        <v>11.25</v>
      </c>
      <c r="C25" s="64">
        <v>10.11</v>
      </c>
      <c r="D25" s="64">
        <v>14.3</v>
      </c>
      <c r="E25" s="64">
        <v>4.6100000000000003</v>
      </c>
      <c r="F25" s="64">
        <v>7.34</v>
      </c>
      <c r="G25" s="64">
        <v>76.61</v>
      </c>
      <c r="H25" s="64">
        <v>6.28</v>
      </c>
      <c r="I25" s="64">
        <v>2.2799999999999998</v>
      </c>
      <c r="J25" s="64">
        <v>0.33</v>
      </c>
      <c r="K25" s="64">
        <v>344.05</v>
      </c>
      <c r="L25" s="64">
        <v>24.03</v>
      </c>
      <c r="M25" s="64">
        <v>97.91</v>
      </c>
      <c r="N25" s="64">
        <v>32.9</v>
      </c>
      <c r="O25" s="64">
        <v>0</v>
      </c>
      <c r="P25" s="64">
        <v>0.28999999999999998</v>
      </c>
      <c r="Q25" s="64">
        <v>9.5500000000000007</v>
      </c>
      <c r="R25" s="198"/>
      <c r="S25" s="198"/>
      <c r="T25" s="198"/>
      <c r="U25" s="198"/>
    </row>
    <row r="26" spans="1:21" s="12" customFormat="1" x14ac:dyDescent="0.25">
      <c r="A26" s="214" t="s">
        <v>1125</v>
      </c>
      <c r="B26" s="64">
        <v>10.48</v>
      </c>
      <c r="C26" s="64">
        <v>6.86</v>
      </c>
      <c r="D26" s="64">
        <v>11.99</v>
      </c>
      <c r="E26" s="64">
        <v>4.49</v>
      </c>
      <c r="F26" s="64">
        <v>4.37</v>
      </c>
      <c r="G26" s="64">
        <v>76.61</v>
      </c>
      <c r="H26" s="64">
        <v>6.28</v>
      </c>
      <c r="I26" s="64">
        <v>2.2400000000000002</v>
      </c>
      <c r="J26" s="64">
        <v>0.28000000000000003</v>
      </c>
      <c r="K26" s="64">
        <v>318.82</v>
      </c>
      <c r="L26" s="64">
        <v>24</v>
      </c>
      <c r="M26" s="64">
        <v>97.92</v>
      </c>
      <c r="N26" s="64">
        <v>33</v>
      </c>
      <c r="O26" s="64">
        <v>0</v>
      </c>
      <c r="P26" s="64">
        <v>0.48</v>
      </c>
      <c r="Q26" s="64">
        <v>9.5299999999999994</v>
      </c>
      <c r="R26" s="198"/>
      <c r="S26" s="198"/>
      <c r="T26" s="198"/>
      <c r="U26" s="198"/>
    </row>
    <row r="27" spans="1:21" s="12" customFormat="1" x14ac:dyDescent="0.25">
      <c r="A27" s="214" t="s">
        <v>1126</v>
      </c>
      <c r="B27" s="64">
        <v>13.06</v>
      </c>
      <c r="C27" s="64">
        <v>8.48</v>
      </c>
      <c r="D27" s="64">
        <v>14.9</v>
      </c>
      <c r="E27" s="64">
        <v>4.7</v>
      </c>
      <c r="F27" s="64">
        <v>5.6</v>
      </c>
      <c r="G27" s="64">
        <v>76.61</v>
      </c>
      <c r="H27" s="64">
        <v>6.28</v>
      </c>
      <c r="I27" s="64">
        <v>2.19</v>
      </c>
      <c r="J27" s="64">
        <v>0.26</v>
      </c>
      <c r="K27" s="64">
        <v>338.7</v>
      </c>
      <c r="L27" s="64">
        <v>24.18</v>
      </c>
      <c r="M27" s="64">
        <v>97.9</v>
      </c>
      <c r="N27" s="64">
        <v>33.1</v>
      </c>
      <c r="O27" s="64">
        <v>0</v>
      </c>
      <c r="P27" s="64">
        <v>0.34</v>
      </c>
      <c r="Q27" s="64">
        <v>9.52</v>
      </c>
      <c r="R27" s="198"/>
      <c r="S27" s="198"/>
      <c r="T27" s="198"/>
      <c r="U27" s="198"/>
    </row>
    <row r="28" spans="1:21" s="12" customFormat="1" x14ac:dyDescent="0.25">
      <c r="A28" s="214" t="s">
        <v>1127</v>
      </c>
      <c r="B28" s="64">
        <v>15.2</v>
      </c>
      <c r="C28" s="64">
        <v>13.57</v>
      </c>
      <c r="D28" s="64">
        <v>19.28</v>
      </c>
      <c r="E28" s="64">
        <v>4.72</v>
      </c>
      <c r="F28" s="64">
        <v>4.29</v>
      </c>
      <c r="G28" s="64">
        <v>73.64</v>
      </c>
      <c r="H28" s="64">
        <v>7.28</v>
      </c>
      <c r="I28" s="64">
        <v>2.14</v>
      </c>
      <c r="J28" s="64">
        <v>0.09</v>
      </c>
      <c r="K28" s="64">
        <v>73.31</v>
      </c>
      <c r="L28" s="64">
        <v>24.25</v>
      </c>
      <c r="M28" s="64">
        <v>97.88</v>
      </c>
      <c r="N28" s="64">
        <v>33.299999999999997</v>
      </c>
      <c r="O28" s="64">
        <v>0</v>
      </c>
      <c r="P28" s="64">
        <v>0.33</v>
      </c>
      <c r="Q28" s="64">
        <v>9.51</v>
      </c>
      <c r="R28" s="198"/>
      <c r="S28" s="198"/>
      <c r="T28" s="198"/>
      <c r="U28" s="198"/>
    </row>
    <row r="29" spans="1:21" s="12" customFormat="1" x14ac:dyDescent="0.25">
      <c r="A29" s="214" t="s">
        <v>1128</v>
      </c>
      <c r="B29" s="64">
        <v>12.67</v>
      </c>
      <c r="C29" s="64">
        <v>13.08</v>
      </c>
      <c r="D29" s="64">
        <v>16.989999999999998</v>
      </c>
      <c r="E29" s="64">
        <v>4.57</v>
      </c>
      <c r="F29" s="64">
        <v>5.22</v>
      </c>
      <c r="G29" s="64">
        <v>71.260000000000005</v>
      </c>
      <c r="H29" s="64">
        <v>7.62</v>
      </c>
      <c r="I29" s="64">
        <v>2.09</v>
      </c>
      <c r="J29" s="64">
        <v>0.04</v>
      </c>
      <c r="K29" s="64">
        <v>271.45999999999998</v>
      </c>
      <c r="L29" s="64">
        <v>24.02</v>
      </c>
      <c r="M29" s="64">
        <v>97.91</v>
      </c>
      <c r="N29" s="64">
        <v>33.200000000000003</v>
      </c>
      <c r="O29" s="64">
        <v>0</v>
      </c>
      <c r="P29" s="64">
        <v>0.3</v>
      </c>
      <c r="Q29" s="64">
        <v>9.51</v>
      </c>
      <c r="R29" s="198"/>
      <c r="S29" s="198"/>
      <c r="T29" s="198"/>
      <c r="U29" s="198"/>
    </row>
    <row r="30" spans="1:21" s="12" customFormat="1" x14ac:dyDescent="0.25">
      <c r="A30" s="214" t="s">
        <v>1129</v>
      </c>
      <c r="B30" s="64">
        <v>12.79</v>
      </c>
      <c r="C30" s="64">
        <v>10.34</v>
      </c>
      <c r="D30" s="64">
        <v>15.65</v>
      </c>
      <c r="E30" s="64">
        <v>4.25</v>
      </c>
      <c r="F30" s="64">
        <v>5.17</v>
      </c>
      <c r="G30" s="64">
        <v>71.260000000000005</v>
      </c>
      <c r="H30" s="64">
        <v>7.62</v>
      </c>
      <c r="I30" s="64">
        <v>2.06</v>
      </c>
      <c r="J30" s="64">
        <v>0.36</v>
      </c>
      <c r="K30" s="64">
        <v>342.66</v>
      </c>
      <c r="L30" s="64">
        <v>23.97</v>
      </c>
      <c r="M30" s="64">
        <v>97.93</v>
      </c>
      <c r="N30" s="64">
        <v>33.200000000000003</v>
      </c>
      <c r="O30" s="64">
        <v>0</v>
      </c>
      <c r="P30" s="64">
        <v>0.38</v>
      </c>
      <c r="Q30" s="64">
        <v>9.51</v>
      </c>
      <c r="R30" s="198"/>
      <c r="S30" s="198"/>
      <c r="T30" s="198"/>
      <c r="U30" s="198"/>
    </row>
    <row r="31" spans="1:21" s="12" customFormat="1" x14ac:dyDescent="0.25">
      <c r="A31" s="214" t="s">
        <v>1130</v>
      </c>
      <c r="B31" s="64">
        <v>12.48</v>
      </c>
      <c r="C31" s="64">
        <v>11.96</v>
      </c>
      <c r="D31" s="64">
        <v>16.260000000000002</v>
      </c>
      <c r="E31" s="64">
        <v>4.2300000000000004</v>
      </c>
      <c r="F31" s="64">
        <v>4.74</v>
      </c>
      <c r="G31" s="64">
        <v>71.260000000000005</v>
      </c>
      <c r="H31" s="64">
        <v>7.62</v>
      </c>
      <c r="I31" s="64">
        <v>2.0299999999999998</v>
      </c>
      <c r="J31" s="64">
        <v>0.31</v>
      </c>
      <c r="K31" s="64">
        <v>335.85</v>
      </c>
      <c r="L31" s="64">
        <v>24.06</v>
      </c>
      <c r="M31" s="64">
        <v>97.91</v>
      </c>
      <c r="N31" s="64">
        <v>33.9</v>
      </c>
      <c r="O31" s="64">
        <v>0</v>
      </c>
      <c r="P31" s="64">
        <v>0.35</v>
      </c>
      <c r="Q31" s="64">
        <v>9.5</v>
      </c>
      <c r="R31" s="198"/>
      <c r="S31" s="198"/>
      <c r="T31" s="198"/>
      <c r="U31" s="198"/>
    </row>
    <row r="32" spans="1:21" s="12" customFormat="1" x14ac:dyDescent="0.25">
      <c r="A32" s="214" t="s">
        <v>1131</v>
      </c>
      <c r="B32" s="64">
        <v>10.28</v>
      </c>
      <c r="C32" s="64">
        <v>11.82</v>
      </c>
      <c r="D32" s="64">
        <v>14.42</v>
      </c>
      <c r="E32" s="64">
        <v>4.3</v>
      </c>
      <c r="F32" s="64">
        <v>4.6399999999999997</v>
      </c>
      <c r="G32" s="64">
        <v>70.44</v>
      </c>
      <c r="H32" s="64">
        <v>8.9</v>
      </c>
      <c r="I32" s="64">
        <v>2</v>
      </c>
      <c r="J32" s="64">
        <v>0.28000000000000003</v>
      </c>
      <c r="K32" s="64">
        <v>327.33999999999997</v>
      </c>
      <c r="L32" s="64">
        <v>24.23</v>
      </c>
      <c r="M32" s="64">
        <v>97.88</v>
      </c>
      <c r="N32" s="64">
        <v>37.200000000000003</v>
      </c>
      <c r="O32" s="64">
        <v>0</v>
      </c>
      <c r="P32" s="64">
        <v>0.46</v>
      </c>
      <c r="Q32" s="64">
        <v>9.51</v>
      </c>
      <c r="R32" s="198"/>
      <c r="S32" s="198"/>
      <c r="T32" s="198"/>
      <c r="U32" s="198"/>
    </row>
    <row r="33" spans="1:21" s="12" customFormat="1" x14ac:dyDescent="0.25">
      <c r="A33" s="214" t="s">
        <v>1132</v>
      </c>
      <c r="B33" s="64">
        <v>17.11</v>
      </c>
      <c r="C33" s="64">
        <v>11.29</v>
      </c>
      <c r="D33" s="64">
        <v>19.61</v>
      </c>
      <c r="E33" s="64">
        <v>4.46</v>
      </c>
      <c r="F33" s="64">
        <v>3.99</v>
      </c>
      <c r="G33" s="64">
        <v>69.77</v>
      </c>
      <c r="H33" s="64">
        <v>9.32</v>
      </c>
      <c r="I33" s="64">
        <v>1.97</v>
      </c>
      <c r="J33" s="64">
        <v>0.3</v>
      </c>
      <c r="K33" s="64">
        <v>338.37</v>
      </c>
      <c r="L33" s="64">
        <v>24.44</v>
      </c>
      <c r="M33" s="64">
        <v>97.88</v>
      </c>
      <c r="N33" s="64">
        <v>44</v>
      </c>
      <c r="O33" s="64">
        <v>0</v>
      </c>
      <c r="P33" s="64">
        <v>0.51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14" t="s">
        <v>1133</v>
      </c>
      <c r="B34" s="64">
        <v>12.55</v>
      </c>
      <c r="C34" s="64">
        <v>14.49</v>
      </c>
      <c r="D34" s="64">
        <v>17.63</v>
      </c>
      <c r="E34" s="64">
        <v>4.37</v>
      </c>
      <c r="F34" s="64">
        <v>4.4000000000000004</v>
      </c>
      <c r="G34" s="64">
        <v>69.77</v>
      </c>
      <c r="H34" s="64">
        <v>9.32</v>
      </c>
      <c r="I34" s="64">
        <v>1.94</v>
      </c>
      <c r="J34" s="64">
        <v>7.0000000000000007E-2</v>
      </c>
      <c r="K34" s="64">
        <v>146.6</v>
      </c>
      <c r="L34" s="64">
        <v>24.56</v>
      </c>
      <c r="M34" s="64">
        <v>97.86</v>
      </c>
      <c r="N34" s="64">
        <v>66.5</v>
      </c>
      <c r="O34" s="64">
        <v>0</v>
      </c>
      <c r="P34" s="64">
        <v>0.43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4" t="s">
        <v>1134</v>
      </c>
      <c r="B35" s="64">
        <v>21.67</v>
      </c>
      <c r="C35" s="64">
        <v>11.24</v>
      </c>
      <c r="D35" s="64">
        <v>23.25</v>
      </c>
      <c r="E35" s="64">
        <v>4.51</v>
      </c>
      <c r="F35" s="64">
        <v>3.55</v>
      </c>
      <c r="G35" s="64">
        <v>69.77</v>
      </c>
      <c r="H35" s="64">
        <v>9.32</v>
      </c>
      <c r="I35" s="64">
        <v>1.93</v>
      </c>
      <c r="J35" s="64">
        <v>0.06</v>
      </c>
      <c r="K35" s="64">
        <v>344.24</v>
      </c>
      <c r="L35" s="64">
        <v>24.83</v>
      </c>
      <c r="M35" s="64">
        <v>97.88</v>
      </c>
      <c r="N35" s="64">
        <v>88</v>
      </c>
      <c r="O35" s="64">
        <v>0</v>
      </c>
      <c r="P35" s="64">
        <v>0.54</v>
      </c>
      <c r="Q35" s="64">
        <v>9.5399999999999991</v>
      </c>
      <c r="R35" s="198"/>
      <c r="S35" s="198"/>
      <c r="T35" s="198"/>
      <c r="U35" s="198"/>
    </row>
    <row r="36" spans="1:21" s="12" customFormat="1" x14ac:dyDescent="0.25">
      <c r="A36" s="214" t="s">
        <v>1135</v>
      </c>
      <c r="B36" s="64">
        <v>18.23</v>
      </c>
      <c r="C36" s="64">
        <v>11.99</v>
      </c>
      <c r="D36" s="64">
        <v>20.88</v>
      </c>
      <c r="E36" s="64">
        <v>4.47</v>
      </c>
      <c r="F36" s="64">
        <v>5.6</v>
      </c>
      <c r="G36" s="64">
        <v>77.349999999999994</v>
      </c>
      <c r="H36" s="64">
        <v>7.66</v>
      </c>
      <c r="I36" s="64">
        <v>1.92</v>
      </c>
      <c r="J36" s="64">
        <v>0.11</v>
      </c>
      <c r="K36" s="64">
        <v>342.06</v>
      </c>
      <c r="L36" s="64">
        <v>25.3</v>
      </c>
      <c r="M36" s="64">
        <v>97.84</v>
      </c>
      <c r="N36" s="64">
        <v>94.2</v>
      </c>
      <c r="O36" s="64">
        <v>0</v>
      </c>
      <c r="P36" s="64">
        <v>0.51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4" t="s">
        <v>1136</v>
      </c>
      <c r="B37" s="64">
        <v>19.78</v>
      </c>
      <c r="C37" s="64">
        <v>9.52</v>
      </c>
      <c r="D37" s="64">
        <v>20.83</v>
      </c>
      <c r="E37" s="64">
        <v>4.53</v>
      </c>
      <c r="F37" s="64">
        <v>7.18</v>
      </c>
      <c r="G37" s="64">
        <v>83.41</v>
      </c>
      <c r="H37" s="64">
        <v>7.1</v>
      </c>
      <c r="I37" s="64">
        <v>1.92</v>
      </c>
      <c r="J37" s="64">
        <v>0.38</v>
      </c>
      <c r="K37" s="64">
        <v>333.3</v>
      </c>
      <c r="L37" s="64">
        <v>25.65</v>
      </c>
      <c r="M37" s="64">
        <v>97.83</v>
      </c>
      <c r="N37" s="64">
        <v>109.9</v>
      </c>
      <c r="O37" s="64">
        <v>0</v>
      </c>
      <c r="P37" s="64">
        <v>0.54</v>
      </c>
      <c r="Q37" s="64">
        <v>9.59</v>
      </c>
      <c r="R37" s="198"/>
      <c r="S37" s="198"/>
      <c r="T37" s="198"/>
      <c r="U37" s="198"/>
    </row>
    <row r="38" spans="1:21" s="12" customFormat="1" x14ac:dyDescent="0.25">
      <c r="A38" s="214" t="s">
        <v>1137</v>
      </c>
      <c r="B38" s="64">
        <v>16.37</v>
      </c>
      <c r="C38" s="64">
        <v>11.33</v>
      </c>
      <c r="D38" s="64">
        <v>19.05</v>
      </c>
      <c r="E38" s="64">
        <v>4.55</v>
      </c>
      <c r="F38" s="64">
        <v>8.35</v>
      </c>
      <c r="G38" s="64">
        <v>83.41</v>
      </c>
      <c r="H38" s="64">
        <v>7.1</v>
      </c>
      <c r="I38" s="64">
        <v>1.92</v>
      </c>
      <c r="J38" s="64">
        <v>0.31</v>
      </c>
      <c r="K38" s="64">
        <v>337.84</v>
      </c>
      <c r="L38" s="64">
        <v>26.31</v>
      </c>
      <c r="M38" s="64">
        <v>97.78</v>
      </c>
      <c r="N38" s="64">
        <v>163.4</v>
      </c>
      <c r="O38" s="64">
        <v>0</v>
      </c>
      <c r="P38" s="64">
        <v>0.56000000000000005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4" t="s">
        <v>1138</v>
      </c>
      <c r="B39" s="64">
        <v>14.87</v>
      </c>
      <c r="C39" s="64">
        <v>13.62</v>
      </c>
      <c r="D39" s="64">
        <v>19.04</v>
      </c>
      <c r="E39" s="64">
        <v>4.3600000000000003</v>
      </c>
      <c r="F39" s="64">
        <v>7.8</v>
      </c>
      <c r="G39" s="64">
        <v>83.41</v>
      </c>
      <c r="H39" s="64">
        <v>7.1</v>
      </c>
      <c r="I39" s="64">
        <v>1.93</v>
      </c>
      <c r="J39" s="64">
        <v>0.28000000000000003</v>
      </c>
      <c r="K39" s="64">
        <v>350.65</v>
      </c>
      <c r="L39" s="64">
        <v>27.04</v>
      </c>
      <c r="M39" s="64">
        <v>97.75</v>
      </c>
      <c r="N39" s="64">
        <v>206</v>
      </c>
      <c r="O39" s="64">
        <v>0</v>
      </c>
      <c r="P39" s="64">
        <v>0.56000000000000005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4" t="s">
        <v>1139</v>
      </c>
      <c r="B40" s="64">
        <v>25.57</v>
      </c>
      <c r="C40" s="64">
        <v>13.6</v>
      </c>
      <c r="D40" s="64">
        <v>27.61</v>
      </c>
      <c r="E40" s="64">
        <v>4.7699999999999996</v>
      </c>
      <c r="F40" s="64">
        <v>7.65</v>
      </c>
      <c r="G40" s="64">
        <v>85.05</v>
      </c>
      <c r="H40" s="6" t="s">
        <v>42</v>
      </c>
      <c r="I40" s="64">
        <v>1.94</v>
      </c>
      <c r="J40" s="64">
        <v>0.47</v>
      </c>
      <c r="K40" s="64">
        <v>341.64</v>
      </c>
      <c r="L40" s="64">
        <v>28.01</v>
      </c>
      <c r="M40" s="64">
        <v>97.07</v>
      </c>
      <c r="N40" s="64">
        <v>252.9</v>
      </c>
      <c r="O40" s="64">
        <v>0</v>
      </c>
      <c r="P40" s="64">
        <v>0.66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4" t="s">
        <v>1140</v>
      </c>
      <c r="B41" s="64">
        <v>16.489999999999998</v>
      </c>
      <c r="C41" s="64">
        <v>12.78</v>
      </c>
      <c r="D41" s="64">
        <v>19.899999999999999</v>
      </c>
      <c r="E41" s="64">
        <v>4.99</v>
      </c>
      <c r="F41" s="64">
        <v>8.68</v>
      </c>
      <c r="G41" s="64">
        <v>86.37</v>
      </c>
      <c r="H41" s="6" t="s">
        <v>42</v>
      </c>
      <c r="I41" s="64">
        <v>1.94</v>
      </c>
      <c r="J41" s="64">
        <v>0.35</v>
      </c>
      <c r="K41" s="64">
        <v>349.66</v>
      </c>
      <c r="L41" s="64">
        <v>29.05</v>
      </c>
      <c r="M41" s="64">
        <v>89.94</v>
      </c>
      <c r="N41" s="64">
        <v>293.3</v>
      </c>
      <c r="O41" s="64">
        <v>0</v>
      </c>
      <c r="P41" s="64">
        <v>0.56000000000000005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4" t="s">
        <v>1141</v>
      </c>
      <c r="B42" s="64">
        <v>19.260000000000002</v>
      </c>
      <c r="C42" s="64">
        <v>13.22</v>
      </c>
      <c r="D42" s="64">
        <v>22.35</v>
      </c>
      <c r="E42" s="64">
        <v>4.9400000000000004</v>
      </c>
      <c r="F42" s="64">
        <v>9.5</v>
      </c>
      <c r="G42" s="64">
        <v>86.37</v>
      </c>
      <c r="H42" s="6" t="s">
        <v>42</v>
      </c>
      <c r="I42" s="64">
        <v>1.96</v>
      </c>
      <c r="J42" s="64">
        <v>0.47</v>
      </c>
      <c r="K42" s="64">
        <v>342.49</v>
      </c>
      <c r="L42" s="64">
        <v>29.9</v>
      </c>
      <c r="M42" s="64">
        <v>85.9</v>
      </c>
      <c r="N42" s="64">
        <v>325.39999999999998</v>
      </c>
      <c r="O42" s="64">
        <v>0</v>
      </c>
      <c r="P42" s="64">
        <v>0.57999999999999996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1142</v>
      </c>
      <c r="B43" s="64">
        <v>16.579999999999998</v>
      </c>
      <c r="C43" s="64">
        <v>14.86</v>
      </c>
      <c r="D43" s="64">
        <v>21.06</v>
      </c>
      <c r="E43" s="64">
        <v>5.14</v>
      </c>
      <c r="F43" s="64">
        <v>10.029999999999999</v>
      </c>
      <c r="G43" s="64">
        <v>86.37</v>
      </c>
      <c r="H43" s="6" t="s">
        <v>42</v>
      </c>
      <c r="I43" s="64">
        <v>1.96</v>
      </c>
      <c r="J43" s="64">
        <v>0.47</v>
      </c>
      <c r="K43" s="64">
        <v>336.33</v>
      </c>
      <c r="L43" s="64">
        <v>30.78</v>
      </c>
      <c r="M43" s="64">
        <v>79.900000000000006</v>
      </c>
      <c r="N43" s="64">
        <v>392.2</v>
      </c>
      <c r="O43" s="64">
        <v>0</v>
      </c>
      <c r="P43" s="64">
        <v>0.6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4" t="s">
        <v>1143</v>
      </c>
      <c r="B44" s="64">
        <v>18.809999999999999</v>
      </c>
      <c r="C44" s="64">
        <v>13.47</v>
      </c>
      <c r="D44" s="64">
        <v>22.12</v>
      </c>
      <c r="E44" s="64">
        <v>5.21</v>
      </c>
      <c r="F44" s="64">
        <v>5.91</v>
      </c>
      <c r="G44" s="64">
        <v>87.75</v>
      </c>
      <c r="H44" s="6" t="s">
        <v>42</v>
      </c>
      <c r="I44" s="64">
        <v>1.96</v>
      </c>
      <c r="J44" s="64">
        <v>0.43</v>
      </c>
      <c r="K44" s="64">
        <v>338.37</v>
      </c>
      <c r="L44" s="64">
        <v>31.8</v>
      </c>
      <c r="M44" s="64">
        <v>73.52</v>
      </c>
      <c r="N44" s="64">
        <v>377.5</v>
      </c>
      <c r="O44" s="64">
        <v>0</v>
      </c>
      <c r="P44" s="64">
        <v>0.64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1144</v>
      </c>
      <c r="B45" s="64">
        <v>18.98</v>
      </c>
      <c r="C45" s="64">
        <v>14.41</v>
      </c>
      <c r="D45" s="64">
        <v>22.75</v>
      </c>
      <c r="E45" s="64">
        <v>4.8</v>
      </c>
      <c r="F45" s="64">
        <v>7.18</v>
      </c>
      <c r="G45" s="64">
        <v>88.86</v>
      </c>
      <c r="H45" s="64">
        <v>7.14</v>
      </c>
      <c r="I45" s="64">
        <v>1.96</v>
      </c>
      <c r="J45" s="64">
        <v>0.28999999999999998</v>
      </c>
      <c r="K45" s="64">
        <v>334.92</v>
      </c>
      <c r="L45" s="64">
        <v>31.87</v>
      </c>
      <c r="M45" s="64">
        <v>73.819999999999993</v>
      </c>
      <c r="N45" s="64">
        <v>458</v>
      </c>
      <c r="O45" s="64">
        <v>0</v>
      </c>
      <c r="P45" s="64">
        <v>0.61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1145</v>
      </c>
      <c r="B46" s="64">
        <v>14.27</v>
      </c>
      <c r="C46" s="64">
        <v>16.03</v>
      </c>
      <c r="D46" s="64">
        <v>19.82</v>
      </c>
      <c r="E46" s="64">
        <v>5.09</v>
      </c>
      <c r="F46" s="64">
        <v>7.19</v>
      </c>
      <c r="G46" s="64">
        <v>88.86</v>
      </c>
      <c r="H46" s="64">
        <v>7.14</v>
      </c>
      <c r="I46" s="64">
        <v>1.95</v>
      </c>
      <c r="J46" s="64">
        <v>0.43</v>
      </c>
      <c r="K46" s="64">
        <v>340.01</v>
      </c>
      <c r="L46" s="64">
        <v>32.43</v>
      </c>
      <c r="M46" s="64">
        <v>71.31</v>
      </c>
      <c r="N46" s="64">
        <v>507.8</v>
      </c>
      <c r="O46" s="64">
        <v>0</v>
      </c>
      <c r="P46" s="64">
        <v>0.57999999999999996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4" t="s">
        <v>1146</v>
      </c>
      <c r="B47" s="64">
        <v>19.600000000000001</v>
      </c>
      <c r="C47" s="64">
        <v>16.61</v>
      </c>
      <c r="D47" s="64">
        <v>24.4</v>
      </c>
      <c r="E47" s="64">
        <v>4.96</v>
      </c>
      <c r="F47" s="64">
        <v>8.7799999999999994</v>
      </c>
      <c r="G47" s="64">
        <v>88.86</v>
      </c>
      <c r="H47" s="64">
        <v>7.14</v>
      </c>
      <c r="I47" s="64">
        <v>1.94</v>
      </c>
      <c r="J47" s="64">
        <v>0.57999999999999996</v>
      </c>
      <c r="K47" s="64">
        <v>342.87</v>
      </c>
      <c r="L47" s="64">
        <v>33.17</v>
      </c>
      <c r="M47" s="64">
        <v>68.97</v>
      </c>
      <c r="N47" s="64">
        <v>544.29999999999995</v>
      </c>
      <c r="O47" s="64">
        <v>0</v>
      </c>
      <c r="P47" s="64">
        <v>0.78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4" t="s">
        <v>1147</v>
      </c>
      <c r="B48" s="64">
        <v>12.71</v>
      </c>
      <c r="C48" s="64">
        <v>17.350000000000001</v>
      </c>
      <c r="D48" s="64">
        <v>19.260000000000002</v>
      </c>
      <c r="E48" s="64">
        <v>5.15</v>
      </c>
      <c r="F48" s="64">
        <v>10.54</v>
      </c>
      <c r="G48" s="64">
        <v>95.5</v>
      </c>
      <c r="H48" s="64">
        <v>14.71</v>
      </c>
      <c r="I48" s="64">
        <v>1.94</v>
      </c>
      <c r="J48" s="64">
        <v>0.3</v>
      </c>
      <c r="K48" s="64">
        <v>354.45</v>
      </c>
      <c r="L48" s="64">
        <v>33.090000000000003</v>
      </c>
      <c r="M48" s="64">
        <v>70.09</v>
      </c>
      <c r="N48" s="64">
        <v>595.79999999999995</v>
      </c>
      <c r="O48" s="64">
        <v>0</v>
      </c>
      <c r="P48" s="64">
        <v>0.67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1148</v>
      </c>
      <c r="B49" s="64">
        <v>17.440000000000001</v>
      </c>
      <c r="C49" s="64">
        <v>18.22</v>
      </c>
      <c r="D49" s="64">
        <v>23.5</v>
      </c>
      <c r="E49" s="64">
        <v>4.8899999999999997</v>
      </c>
      <c r="F49" s="64">
        <v>10.19</v>
      </c>
      <c r="G49" s="64">
        <v>100.57</v>
      </c>
      <c r="H49" s="64">
        <v>17.23</v>
      </c>
      <c r="I49" s="64">
        <v>1.95</v>
      </c>
      <c r="J49" s="64">
        <v>0.21</v>
      </c>
      <c r="K49" s="64">
        <v>327.8</v>
      </c>
      <c r="L49" s="64">
        <v>32.31</v>
      </c>
      <c r="M49" s="64">
        <v>73.55</v>
      </c>
      <c r="N49" s="64">
        <v>434.9</v>
      </c>
      <c r="O49" s="64">
        <v>0</v>
      </c>
      <c r="P49" s="64">
        <v>0.79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4" t="s">
        <v>1149</v>
      </c>
      <c r="B50" s="64">
        <v>15.86</v>
      </c>
      <c r="C50" s="64">
        <v>12.82</v>
      </c>
      <c r="D50" s="64">
        <v>19.420000000000002</v>
      </c>
      <c r="E50" s="64">
        <v>5.55</v>
      </c>
      <c r="F50" s="64">
        <v>10.199999999999999</v>
      </c>
      <c r="G50" s="64">
        <v>100.57</v>
      </c>
      <c r="H50" s="64">
        <v>17.23</v>
      </c>
      <c r="I50" s="64">
        <v>1.95</v>
      </c>
      <c r="J50" s="64">
        <v>0.09</v>
      </c>
      <c r="K50" s="64">
        <v>294.19</v>
      </c>
      <c r="L50" s="64">
        <v>32.85</v>
      </c>
      <c r="M50" s="64">
        <v>72.33</v>
      </c>
      <c r="N50" s="64">
        <v>635.79999999999995</v>
      </c>
      <c r="O50" s="64">
        <v>0</v>
      </c>
      <c r="P50" s="64">
        <v>0.68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4" t="s">
        <v>1150</v>
      </c>
      <c r="B51" s="64">
        <v>13.95</v>
      </c>
      <c r="C51" s="64">
        <v>12.64</v>
      </c>
      <c r="D51" s="64">
        <v>17.79</v>
      </c>
      <c r="E51" s="64">
        <v>5.31</v>
      </c>
      <c r="F51" s="64">
        <v>13.81</v>
      </c>
      <c r="G51" s="64">
        <v>100.57</v>
      </c>
      <c r="H51" s="64">
        <v>17.23</v>
      </c>
      <c r="I51" s="64">
        <v>1.96</v>
      </c>
      <c r="J51" s="64">
        <v>0.06</v>
      </c>
      <c r="K51" s="64">
        <v>15.82</v>
      </c>
      <c r="L51" s="64">
        <v>32.950000000000003</v>
      </c>
      <c r="M51" s="64">
        <v>71.510000000000005</v>
      </c>
      <c r="N51" s="64">
        <v>640.79999999999995</v>
      </c>
      <c r="O51" s="64">
        <v>0</v>
      </c>
      <c r="P51" s="64">
        <v>0.62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4" t="s">
        <v>1151</v>
      </c>
      <c r="B52" s="64">
        <v>11.22</v>
      </c>
      <c r="C52" s="64">
        <v>13</v>
      </c>
      <c r="D52" s="64">
        <v>15.79</v>
      </c>
      <c r="E52" s="64">
        <v>5.36</v>
      </c>
      <c r="F52" s="64">
        <v>13.94</v>
      </c>
      <c r="G52" s="64">
        <v>102.08</v>
      </c>
      <c r="H52" s="64">
        <v>15.19</v>
      </c>
      <c r="I52" s="64">
        <v>1.95</v>
      </c>
      <c r="J52" s="64">
        <v>0.13</v>
      </c>
      <c r="K52" s="64">
        <v>123.69</v>
      </c>
      <c r="L52" s="64">
        <v>32.22</v>
      </c>
      <c r="M52" s="64">
        <v>74.599999999999994</v>
      </c>
      <c r="N52" s="64">
        <v>706.9</v>
      </c>
      <c r="O52" s="64">
        <v>0</v>
      </c>
      <c r="P52" s="64">
        <v>0.56000000000000005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4" t="s">
        <v>1152</v>
      </c>
      <c r="B53" s="64">
        <v>14.78</v>
      </c>
      <c r="C53" s="64">
        <v>15.56</v>
      </c>
      <c r="D53" s="64">
        <v>19.98</v>
      </c>
      <c r="E53" s="64">
        <v>5.55</v>
      </c>
      <c r="F53" s="64">
        <v>12.64</v>
      </c>
      <c r="G53" s="64">
        <v>103.29</v>
      </c>
      <c r="H53" s="64">
        <v>14.39</v>
      </c>
      <c r="I53" s="64">
        <v>1.95</v>
      </c>
      <c r="J53" s="64">
        <v>0.39</v>
      </c>
      <c r="K53" s="64">
        <v>336.95</v>
      </c>
      <c r="L53" s="64">
        <v>33.380000000000003</v>
      </c>
      <c r="M53" s="64">
        <v>68.040000000000006</v>
      </c>
      <c r="N53" s="64">
        <v>471.4</v>
      </c>
      <c r="O53" s="64">
        <v>0</v>
      </c>
      <c r="P53" s="64">
        <v>0.72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4" t="s">
        <v>1153</v>
      </c>
      <c r="B54" s="64">
        <v>12.59</v>
      </c>
      <c r="C54" s="64">
        <v>17.59</v>
      </c>
      <c r="D54" s="64">
        <v>19.29</v>
      </c>
      <c r="E54" s="64">
        <v>5.6</v>
      </c>
      <c r="F54" s="64">
        <v>16.37</v>
      </c>
      <c r="G54" s="64">
        <v>103.29</v>
      </c>
      <c r="H54" s="64">
        <v>14.39</v>
      </c>
      <c r="I54" s="64">
        <v>1.92</v>
      </c>
      <c r="J54" s="64">
        <v>0.11</v>
      </c>
      <c r="K54" s="64">
        <v>280.23</v>
      </c>
      <c r="L54" s="64">
        <v>33.33</v>
      </c>
      <c r="M54" s="64">
        <v>66.44</v>
      </c>
      <c r="N54" s="64">
        <v>480.8</v>
      </c>
      <c r="O54" s="64">
        <v>0</v>
      </c>
      <c r="P54" s="64">
        <v>0.65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1154</v>
      </c>
      <c r="B55" s="64">
        <v>9.0299999999999994</v>
      </c>
      <c r="C55" s="64">
        <v>14.21</v>
      </c>
      <c r="D55" s="64">
        <v>14.66</v>
      </c>
      <c r="E55" s="64">
        <v>6.06</v>
      </c>
      <c r="F55" s="64">
        <v>19.32</v>
      </c>
      <c r="G55" s="64">
        <v>103.29</v>
      </c>
      <c r="H55" s="64">
        <v>14.39</v>
      </c>
      <c r="I55" s="64">
        <v>1.91</v>
      </c>
      <c r="J55" s="64">
        <v>0.35</v>
      </c>
      <c r="K55" s="64">
        <v>127.81</v>
      </c>
      <c r="L55" s="64">
        <v>32.57</v>
      </c>
      <c r="M55" s="64">
        <v>68.95</v>
      </c>
      <c r="N55" s="64">
        <v>654.20000000000005</v>
      </c>
      <c r="O55" s="64">
        <v>0</v>
      </c>
      <c r="P55" s="64">
        <v>0.49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4" t="s">
        <v>1155</v>
      </c>
      <c r="B56" s="64">
        <v>11.41</v>
      </c>
      <c r="C56" s="64">
        <v>16.29</v>
      </c>
      <c r="D56" s="64">
        <v>17.670000000000002</v>
      </c>
      <c r="E56" s="64">
        <v>5.96</v>
      </c>
      <c r="F56" s="64">
        <v>18.91</v>
      </c>
      <c r="G56" s="64">
        <v>110.29</v>
      </c>
      <c r="H56" s="64">
        <v>10.82</v>
      </c>
      <c r="I56" s="64">
        <v>2</v>
      </c>
      <c r="J56" s="64">
        <v>0.34</v>
      </c>
      <c r="K56" s="64">
        <v>326.3</v>
      </c>
      <c r="L56" s="64">
        <v>33.03</v>
      </c>
      <c r="M56" s="64">
        <v>69.510000000000005</v>
      </c>
      <c r="N56" s="64">
        <v>357.8</v>
      </c>
      <c r="O56" s="64">
        <v>0</v>
      </c>
      <c r="P56" s="64">
        <v>0.67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4" t="s">
        <v>1156</v>
      </c>
      <c r="B57" s="64">
        <v>11.27</v>
      </c>
      <c r="C57" s="64">
        <v>20.57</v>
      </c>
      <c r="D57" s="64">
        <v>19.78</v>
      </c>
      <c r="E57" s="64">
        <v>5.88</v>
      </c>
      <c r="F57" s="64">
        <v>20.59</v>
      </c>
      <c r="G57" s="64">
        <v>115.65</v>
      </c>
      <c r="H57" s="64">
        <v>9.6300000000000008</v>
      </c>
      <c r="I57" s="64">
        <v>1.97</v>
      </c>
      <c r="J57" s="64">
        <v>0.25</v>
      </c>
      <c r="K57" s="64">
        <v>328.08</v>
      </c>
      <c r="L57" s="64">
        <v>32.799999999999997</v>
      </c>
      <c r="M57" s="64">
        <v>71.28</v>
      </c>
      <c r="N57" s="64">
        <v>142.80000000000001</v>
      </c>
      <c r="O57" s="64">
        <v>0</v>
      </c>
      <c r="P57" s="64">
        <v>0.66</v>
      </c>
      <c r="Q57" s="64">
        <v>9.56</v>
      </c>
      <c r="R57" s="198"/>
      <c r="S57" s="198"/>
      <c r="T57" s="198"/>
      <c r="U57" s="198"/>
    </row>
    <row r="58" spans="1:21" s="12" customFormat="1" x14ac:dyDescent="0.25">
      <c r="A58" s="214" t="s">
        <v>1157</v>
      </c>
      <c r="B58" s="64">
        <v>10.34</v>
      </c>
      <c r="C58" s="64">
        <v>19.7</v>
      </c>
      <c r="D58" s="64">
        <v>18.59</v>
      </c>
      <c r="E58" s="64">
        <v>5.75</v>
      </c>
      <c r="F58" s="64">
        <v>17.96</v>
      </c>
      <c r="G58" s="64">
        <v>115.65</v>
      </c>
      <c r="H58" s="64">
        <v>9.6300000000000008</v>
      </c>
      <c r="I58" s="64">
        <v>1.89</v>
      </c>
      <c r="J58" s="64">
        <v>1.02</v>
      </c>
      <c r="K58" s="64">
        <v>341.15</v>
      </c>
      <c r="L58" s="64">
        <v>31.04</v>
      </c>
      <c r="M58" s="64">
        <v>80.45</v>
      </c>
      <c r="N58" s="64">
        <v>72.900000000000006</v>
      </c>
      <c r="O58" s="64">
        <v>0</v>
      </c>
      <c r="P58" s="64">
        <v>0.68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4" t="s">
        <v>1158</v>
      </c>
      <c r="B59" s="64">
        <v>11.07</v>
      </c>
      <c r="C59" s="64">
        <v>19.03</v>
      </c>
      <c r="D59" s="64">
        <v>18.82</v>
      </c>
      <c r="E59" s="64">
        <v>5.58</v>
      </c>
      <c r="F59" s="64">
        <v>16.45</v>
      </c>
      <c r="G59" s="64">
        <v>115.65</v>
      </c>
      <c r="H59" s="64">
        <v>9.6300000000000008</v>
      </c>
      <c r="I59" s="64">
        <v>1.88</v>
      </c>
      <c r="J59" s="64">
        <v>0.56000000000000005</v>
      </c>
      <c r="K59" s="64">
        <v>335.86</v>
      </c>
      <c r="L59" s="64">
        <v>30.2</v>
      </c>
      <c r="M59" s="64">
        <v>86.51</v>
      </c>
      <c r="N59" s="64">
        <v>59.7</v>
      </c>
      <c r="O59" s="64">
        <v>0</v>
      </c>
      <c r="P59" s="64">
        <v>0.73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4" t="s">
        <v>1159</v>
      </c>
      <c r="B60" s="64">
        <v>8.92</v>
      </c>
      <c r="C60" s="64">
        <v>15.61</v>
      </c>
      <c r="D60" s="64">
        <v>15.31</v>
      </c>
      <c r="E60" s="64">
        <v>5.57</v>
      </c>
      <c r="F60" s="64">
        <v>14.08</v>
      </c>
      <c r="G60" s="64">
        <v>113.48</v>
      </c>
      <c r="H60" s="64">
        <v>8.25</v>
      </c>
      <c r="I60" s="64">
        <v>1.88</v>
      </c>
      <c r="J60" s="64">
        <v>0.66</v>
      </c>
      <c r="K60" s="64">
        <v>141.05000000000001</v>
      </c>
      <c r="L60" s="64">
        <v>28.33</v>
      </c>
      <c r="M60" s="64">
        <v>92.17</v>
      </c>
      <c r="N60" s="64">
        <v>69.7</v>
      </c>
      <c r="O60" s="64">
        <v>0</v>
      </c>
      <c r="P60" s="64">
        <v>0.56999999999999995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14" t="s">
        <v>1160</v>
      </c>
      <c r="B61" s="64">
        <v>9.0399999999999991</v>
      </c>
      <c r="C61" s="64">
        <v>10.89</v>
      </c>
      <c r="D61" s="64">
        <v>12.94</v>
      </c>
      <c r="E61" s="64">
        <v>5.85</v>
      </c>
      <c r="F61" s="64">
        <v>11.08</v>
      </c>
      <c r="G61" s="64">
        <v>111.74</v>
      </c>
      <c r="H61" s="64">
        <v>6.54</v>
      </c>
      <c r="I61" s="64">
        <v>1.87</v>
      </c>
      <c r="J61" s="64">
        <v>0.92</v>
      </c>
      <c r="K61" s="64">
        <v>135.86000000000001</v>
      </c>
      <c r="L61" s="64">
        <v>26.78</v>
      </c>
      <c r="M61" s="64">
        <v>96.07</v>
      </c>
      <c r="N61" s="64">
        <v>138.30000000000001</v>
      </c>
      <c r="O61" s="64">
        <v>0</v>
      </c>
      <c r="P61" s="64">
        <v>0.53</v>
      </c>
      <c r="Q61" s="64">
        <v>9.52</v>
      </c>
      <c r="R61" s="198"/>
      <c r="S61" s="198"/>
      <c r="T61" s="198"/>
      <c r="U61" s="198"/>
    </row>
    <row r="62" spans="1:21" s="12" customFormat="1" x14ac:dyDescent="0.25">
      <c r="A62" s="214" t="s">
        <v>1161</v>
      </c>
      <c r="B62" s="64">
        <v>9.49</v>
      </c>
      <c r="C62" s="64">
        <v>10.75</v>
      </c>
      <c r="D62" s="64">
        <v>13.23</v>
      </c>
      <c r="E62" s="64">
        <v>5.48</v>
      </c>
      <c r="F62" s="64">
        <v>10</v>
      </c>
      <c r="G62" s="64">
        <v>111.74</v>
      </c>
      <c r="H62" s="64">
        <v>6.54</v>
      </c>
      <c r="I62" s="64">
        <v>1.86</v>
      </c>
      <c r="J62" s="64">
        <v>0.49</v>
      </c>
      <c r="K62" s="64">
        <v>145.97999999999999</v>
      </c>
      <c r="L62" s="64">
        <v>26.55</v>
      </c>
      <c r="M62" s="64">
        <v>91.36</v>
      </c>
      <c r="N62" s="64">
        <v>193.1</v>
      </c>
      <c r="O62" s="64">
        <v>0</v>
      </c>
      <c r="P62" s="64">
        <v>0.52</v>
      </c>
      <c r="Q62" s="64">
        <v>9.5</v>
      </c>
      <c r="R62" s="198"/>
      <c r="S62" s="198"/>
      <c r="T62" s="198"/>
      <c r="U62" s="198"/>
    </row>
    <row r="63" spans="1:21" s="12" customFormat="1" x14ac:dyDescent="0.25">
      <c r="A63" s="214" t="s">
        <v>1162</v>
      </c>
      <c r="B63" s="64">
        <v>8.9499999999999993</v>
      </c>
      <c r="C63" s="64">
        <v>11.44</v>
      </c>
      <c r="D63" s="64">
        <v>13.15</v>
      </c>
      <c r="E63" s="64">
        <v>5.44</v>
      </c>
      <c r="F63" s="64">
        <v>10.16</v>
      </c>
      <c r="G63" s="64">
        <v>111.74</v>
      </c>
      <c r="H63" s="64">
        <v>6.54</v>
      </c>
      <c r="I63" s="64">
        <v>1.82</v>
      </c>
      <c r="J63" s="64">
        <v>0.1</v>
      </c>
      <c r="K63" s="64">
        <v>186.77</v>
      </c>
      <c r="L63" s="64">
        <v>27.14</v>
      </c>
      <c r="M63" s="64">
        <v>91.08</v>
      </c>
      <c r="N63" s="64">
        <v>220.6</v>
      </c>
      <c r="O63" s="64">
        <v>0</v>
      </c>
      <c r="P63" s="64">
        <v>0.49</v>
      </c>
      <c r="Q63" s="64">
        <v>9.4600000000000009</v>
      </c>
      <c r="R63" s="198"/>
      <c r="S63" s="198"/>
      <c r="T63" s="198"/>
      <c r="U63" s="198"/>
    </row>
    <row r="64" spans="1:21" s="12" customFormat="1" x14ac:dyDescent="0.25">
      <c r="A64" s="214" t="s">
        <v>1163</v>
      </c>
      <c r="B64" s="64">
        <v>8.02</v>
      </c>
      <c r="C64" s="64">
        <v>15.72</v>
      </c>
      <c r="D64" s="64">
        <v>14.64</v>
      </c>
      <c r="E64" s="64">
        <v>5.22</v>
      </c>
      <c r="F64" s="64">
        <v>13.78</v>
      </c>
      <c r="G64" s="64">
        <v>98.89</v>
      </c>
      <c r="H64" s="64">
        <v>7</v>
      </c>
      <c r="I64" s="64">
        <v>1.78</v>
      </c>
      <c r="J64" s="64">
        <v>0.55000000000000004</v>
      </c>
      <c r="K64" s="64">
        <v>141.76</v>
      </c>
      <c r="L64" s="64">
        <v>27.53</v>
      </c>
      <c r="M64" s="64">
        <v>93.77</v>
      </c>
      <c r="N64" s="64">
        <v>198.1</v>
      </c>
      <c r="O64" s="64">
        <v>0</v>
      </c>
      <c r="P64" s="64">
        <v>0.36</v>
      </c>
      <c r="Q64" s="64">
        <v>9.43</v>
      </c>
      <c r="R64" s="198"/>
      <c r="S64" s="198"/>
      <c r="T64" s="198"/>
      <c r="U64" s="198"/>
    </row>
    <row r="65" spans="1:21" s="12" customFormat="1" x14ac:dyDescent="0.25">
      <c r="A65" s="214" t="s">
        <v>1164</v>
      </c>
      <c r="B65" s="64">
        <v>7.05</v>
      </c>
      <c r="C65" s="64">
        <v>14.19</v>
      </c>
      <c r="D65" s="64">
        <v>13.06</v>
      </c>
      <c r="E65" s="64">
        <v>5.22</v>
      </c>
      <c r="F65" s="64">
        <v>15.77</v>
      </c>
      <c r="G65" s="64">
        <v>89.06</v>
      </c>
      <c r="H65" s="64">
        <v>7.15</v>
      </c>
      <c r="I65" s="64">
        <v>1.75</v>
      </c>
      <c r="J65" s="64">
        <v>0.26</v>
      </c>
      <c r="K65" s="64">
        <v>157.62</v>
      </c>
      <c r="L65" s="64">
        <v>27.72</v>
      </c>
      <c r="M65" s="64">
        <v>92.57</v>
      </c>
      <c r="N65" s="64">
        <v>207.4</v>
      </c>
      <c r="O65" s="64">
        <v>0</v>
      </c>
      <c r="P65" s="64">
        <v>0.37</v>
      </c>
      <c r="Q65" s="64">
        <v>9.4</v>
      </c>
      <c r="R65" s="198"/>
      <c r="S65" s="198"/>
      <c r="T65" s="198"/>
      <c r="U65" s="198"/>
    </row>
    <row r="66" spans="1:21" s="12" customFormat="1" x14ac:dyDescent="0.25">
      <c r="A66" s="214" t="s">
        <v>1165</v>
      </c>
      <c r="B66" s="64">
        <v>6.02</v>
      </c>
      <c r="C66" s="64">
        <v>16.16</v>
      </c>
      <c r="D66" s="64">
        <v>13.27</v>
      </c>
      <c r="E66" s="64">
        <v>5.3</v>
      </c>
      <c r="F66" s="64">
        <v>17.420000000000002</v>
      </c>
      <c r="G66" s="64">
        <v>89.06</v>
      </c>
      <c r="H66" s="64">
        <v>7.15</v>
      </c>
      <c r="I66" s="64">
        <v>1.71</v>
      </c>
      <c r="J66" s="64">
        <v>0.43</v>
      </c>
      <c r="K66" s="64">
        <v>136.83000000000001</v>
      </c>
      <c r="L66" s="64">
        <v>28.36</v>
      </c>
      <c r="M66" s="64">
        <v>91.74</v>
      </c>
      <c r="N66" s="64">
        <v>160.9</v>
      </c>
      <c r="O66" s="64">
        <v>0</v>
      </c>
      <c r="P66" s="64">
        <v>0.34</v>
      </c>
      <c r="Q66" s="64">
        <v>9.3800000000000008</v>
      </c>
      <c r="R66" s="198"/>
      <c r="S66" s="198"/>
      <c r="T66" s="198"/>
      <c r="U66" s="198"/>
    </row>
    <row r="67" spans="1:21" s="12" customFormat="1" x14ac:dyDescent="0.25">
      <c r="A67" s="214" t="s">
        <v>1166</v>
      </c>
      <c r="B67" s="64">
        <v>6.73</v>
      </c>
      <c r="C67" s="64">
        <v>13.66</v>
      </c>
      <c r="D67" s="64">
        <v>12.53</v>
      </c>
      <c r="E67" s="64">
        <v>5.18</v>
      </c>
      <c r="F67" s="64">
        <v>14.32</v>
      </c>
      <c r="G67" s="64">
        <v>89.06</v>
      </c>
      <c r="H67" s="64">
        <v>7.15</v>
      </c>
      <c r="I67" s="64">
        <v>1.67</v>
      </c>
      <c r="J67" s="64">
        <v>0.53</v>
      </c>
      <c r="K67" s="64">
        <v>163.54</v>
      </c>
      <c r="L67" s="64">
        <v>27.83</v>
      </c>
      <c r="M67" s="64">
        <v>95.25</v>
      </c>
      <c r="N67" s="64">
        <v>124.4</v>
      </c>
      <c r="O67" s="64">
        <v>0</v>
      </c>
      <c r="P67" s="64">
        <v>0.43</v>
      </c>
      <c r="Q67" s="64">
        <v>9.3699999999999992</v>
      </c>
      <c r="R67" s="198"/>
      <c r="S67" s="198"/>
      <c r="T67" s="198"/>
      <c r="U67" s="198"/>
    </row>
    <row r="68" spans="1:21" s="12" customFormat="1" x14ac:dyDescent="0.25">
      <c r="A68" s="214" t="s">
        <v>1167</v>
      </c>
      <c r="B68" s="64">
        <v>5.4</v>
      </c>
      <c r="C68" s="64">
        <v>15.42</v>
      </c>
      <c r="D68" s="64">
        <v>12.39</v>
      </c>
      <c r="E68" s="64">
        <v>5.16</v>
      </c>
      <c r="F68" s="64">
        <v>15.47</v>
      </c>
      <c r="G68" s="64">
        <v>81.38</v>
      </c>
      <c r="H68" s="64">
        <v>12.12</v>
      </c>
      <c r="I68" s="64">
        <v>1.63</v>
      </c>
      <c r="J68" s="64">
        <v>7.0000000000000007E-2</v>
      </c>
      <c r="K68" s="64">
        <v>144.66999999999999</v>
      </c>
      <c r="L68" s="64">
        <v>27.34</v>
      </c>
      <c r="M68" s="64">
        <v>97.75</v>
      </c>
      <c r="N68" s="64">
        <v>149.4</v>
      </c>
      <c r="O68" s="64">
        <v>0</v>
      </c>
      <c r="P68" s="64">
        <v>0.33</v>
      </c>
      <c r="Q68" s="64">
        <v>9.36</v>
      </c>
      <c r="R68" s="198"/>
      <c r="S68" s="198"/>
      <c r="T68" s="198"/>
      <c r="U68" s="198"/>
    </row>
    <row r="69" spans="1:21" s="12" customFormat="1" x14ac:dyDescent="0.25">
      <c r="A69" s="214" t="s">
        <v>1168</v>
      </c>
      <c r="B69" s="64">
        <v>4.84</v>
      </c>
      <c r="C69" s="64">
        <v>15.71</v>
      </c>
      <c r="D69" s="64">
        <v>12.09</v>
      </c>
      <c r="E69" s="64">
        <v>4.91</v>
      </c>
      <c r="F69" s="64">
        <v>13.6</v>
      </c>
      <c r="G69" s="64">
        <v>75.23</v>
      </c>
      <c r="H69" s="64">
        <v>14.07</v>
      </c>
      <c r="I69" s="64">
        <v>1.61</v>
      </c>
      <c r="J69" s="64">
        <v>0.1</v>
      </c>
      <c r="K69" s="64">
        <v>172.39</v>
      </c>
      <c r="L69" s="64">
        <v>27.74</v>
      </c>
      <c r="M69" s="64">
        <v>97.71</v>
      </c>
      <c r="N69" s="64">
        <v>124.8</v>
      </c>
      <c r="O69" s="64">
        <v>0</v>
      </c>
      <c r="P69" s="64">
        <v>0.38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4" t="s">
        <v>1169</v>
      </c>
      <c r="B70" s="64">
        <v>8.1999999999999993</v>
      </c>
      <c r="C70" s="64">
        <v>16.28</v>
      </c>
      <c r="D70" s="64">
        <v>15.08</v>
      </c>
      <c r="E70" s="64">
        <v>5.0199999999999996</v>
      </c>
      <c r="F70" s="64">
        <v>14.51</v>
      </c>
      <c r="G70" s="64">
        <v>75.23</v>
      </c>
      <c r="H70" s="64">
        <v>14.07</v>
      </c>
      <c r="I70" s="64">
        <v>1.58</v>
      </c>
      <c r="J70" s="64">
        <v>0.04</v>
      </c>
      <c r="K70" s="64">
        <v>3.91</v>
      </c>
      <c r="L70" s="64">
        <v>28.04</v>
      </c>
      <c r="M70" s="64">
        <v>97.66</v>
      </c>
      <c r="N70" s="64">
        <v>115.1</v>
      </c>
      <c r="O70" s="64">
        <v>0</v>
      </c>
      <c r="P70" s="64">
        <v>0.44</v>
      </c>
      <c r="Q70" s="64">
        <v>9.33</v>
      </c>
      <c r="R70" s="198"/>
      <c r="S70" s="198"/>
      <c r="T70" s="198"/>
      <c r="U70" s="198"/>
    </row>
    <row r="71" spans="1:21" s="12" customFormat="1" x14ac:dyDescent="0.25">
      <c r="A71" s="214" t="s">
        <v>1170</v>
      </c>
      <c r="B71" s="64">
        <v>16.059999999999999</v>
      </c>
      <c r="C71" s="64">
        <v>17.77</v>
      </c>
      <c r="D71" s="64">
        <v>14.75</v>
      </c>
      <c r="E71" s="64">
        <v>6.06</v>
      </c>
      <c r="F71" s="64">
        <v>9.6</v>
      </c>
      <c r="G71" s="64">
        <v>75.23</v>
      </c>
      <c r="H71" s="64">
        <v>14.07</v>
      </c>
      <c r="I71" s="64">
        <v>1.54</v>
      </c>
      <c r="J71" s="64">
        <v>0.13</v>
      </c>
      <c r="K71" s="64">
        <v>318.33999999999997</v>
      </c>
      <c r="L71" s="64">
        <v>28.9</v>
      </c>
      <c r="M71" s="64">
        <v>97.73</v>
      </c>
      <c r="N71" s="64">
        <v>145.19999999999999</v>
      </c>
      <c r="O71" s="64">
        <v>0</v>
      </c>
      <c r="P71" s="64">
        <v>0.64</v>
      </c>
      <c r="Q71" s="64">
        <v>9.33</v>
      </c>
      <c r="R71" s="198"/>
      <c r="S71" s="198"/>
      <c r="T71" s="198"/>
      <c r="U71" s="198"/>
    </row>
    <row r="72" spans="1:21" s="12" customFormat="1" x14ac:dyDescent="0.25">
      <c r="A72" s="214" t="s">
        <v>1171</v>
      </c>
      <c r="B72" s="64">
        <v>10.08</v>
      </c>
      <c r="C72" s="64">
        <v>16.55</v>
      </c>
      <c r="D72" s="64">
        <v>16.73</v>
      </c>
      <c r="E72" s="64">
        <v>4.93</v>
      </c>
      <c r="F72" s="64">
        <v>12.35</v>
      </c>
      <c r="G72" s="64">
        <v>75.760000000000005</v>
      </c>
      <c r="H72" s="64">
        <v>10.58</v>
      </c>
      <c r="I72" s="64">
        <v>1.54</v>
      </c>
      <c r="J72" s="64">
        <v>0.01</v>
      </c>
      <c r="K72" s="64">
        <v>283.66000000000003</v>
      </c>
      <c r="L72" s="64">
        <v>29.26</v>
      </c>
      <c r="M72" s="64">
        <v>96.53</v>
      </c>
      <c r="N72" s="64">
        <v>143.30000000000001</v>
      </c>
      <c r="O72" s="64">
        <v>0</v>
      </c>
      <c r="P72" s="64">
        <v>0.64</v>
      </c>
      <c r="Q72" s="64">
        <v>9.34</v>
      </c>
      <c r="R72" s="198"/>
      <c r="S72" s="198"/>
      <c r="T72" s="198"/>
      <c r="U72" s="198"/>
    </row>
    <row r="73" spans="1:21" s="12" customFormat="1" x14ac:dyDescent="0.25">
      <c r="A73" s="214" t="s">
        <v>1172</v>
      </c>
      <c r="B73" s="64">
        <v>5.91</v>
      </c>
      <c r="C73" s="64">
        <v>14.48</v>
      </c>
      <c r="D73" s="64">
        <v>12.31</v>
      </c>
      <c r="E73" s="64">
        <v>5.07</v>
      </c>
      <c r="F73" s="64">
        <v>12.72</v>
      </c>
      <c r="G73" s="64">
        <v>76.19</v>
      </c>
      <c r="H73" s="64">
        <v>9.41</v>
      </c>
      <c r="I73" s="64">
        <v>1.53</v>
      </c>
      <c r="J73" s="64">
        <v>0.36</v>
      </c>
      <c r="K73" s="64">
        <v>147.69999999999999</v>
      </c>
      <c r="L73" s="64">
        <v>28.75</v>
      </c>
      <c r="M73" s="64">
        <v>97.67</v>
      </c>
      <c r="N73" s="64">
        <v>95.8</v>
      </c>
      <c r="O73" s="64">
        <v>0</v>
      </c>
      <c r="P73" s="64">
        <v>0.27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14" t="s">
        <v>1173</v>
      </c>
      <c r="B74" s="64">
        <v>5.3</v>
      </c>
      <c r="C74" s="64">
        <v>13.64</v>
      </c>
      <c r="D74" s="64">
        <v>11.38</v>
      </c>
      <c r="E74" s="64">
        <v>4.9400000000000004</v>
      </c>
      <c r="F74" s="64">
        <v>12.79</v>
      </c>
      <c r="G74" s="64">
        <v>76.19</v>
      </c>
      <c r="H74" s="64">
        <v>9.41</v>
      </c>
      <c r="I74" s="64">
        <v>1.53</v>
      </c>
      <c r="J74" s="64">
        <v>0.1</v>
      </c>
      <c r="K74" s="64">
        <v>172.23</v>
      </c>
      <c r="L74" s="64">
        <v>28.39</v>
      </c>
      <c r="M74" s="64">
        <v>97.74</v>
      </c>
      <c r="N74" s="64">
        <v>66.599999999999994</v>
      </c>
      <c r="O74" s="64">
        <v>0</v>
      </c>
      <c r="P74" s="64">
        <v>0.3</v>
      </c>
      <c r="Q74" s="64">
        <v>9.3699999999999992</v>
      </c>
      <c r="R74" s="198"/>
      <c r="S74" s="198"/>
      <c r="T74" s="198"/>
      <c r="U74" s="198"/>
    </row>
    <row r="75" spans="1:21" s="12" customFormat="1" x14ac:dyDescent="0.25">
      <c r="A75" s="214" t="s">
        <v>1174</v>
      </c>
      <c r="B75" s="64">
        <v>11.75</v>
      </c>
      <c r="C75" s="64">
        <v>12.88</v>
      </c>
      <c r="D75" s="64">
        <v>16.149999999999999</v>
      </c>
      <c r="E75" s="64">
        <v>4.71</v>
      </c>
      <c r="F75" s="64">
        <v>7.05</v>
      </c>
      <c r="G75" s="64">
        <v>76.19</v>
      </c>
      <c r="H75" s="64">
        <v>9.41</v>
      </c>
      <c r="I75" s="64">
        <v>1.51</v>
      </c>
      <c r="J75" s="64">
        <v>0.89</v>
      </c>
      <c r="K75" s="64">
        <v>326.64</v>
      </c>
      <c r="L75" s="64">
        <v>28.26</v>
      </c>
      <c r="M75" s="64">
        <v>97.52</v>
      </c>
      <c r="N75" s="64">
        <v>55.6</v>
      </c>
      <c r="O75" s="64">
        <v>0</v>
      </c>
      <c r="P75" s="64">
        <v>0.56999999999999995</v>
      </c>
      <c r="Q75" s="64">
        <v>9.36</v>
      </c>
      <c r="R75" s="198"/>
      <c r="S75" s="198"/>
      <c r="T75" s="198"/>
      <c r="U75" s="198"/>
    </row>
    <row r="76" spans="1:21" s="12" customFormat="1" x14ac:dyDescent="0.25">
      <c r="A76" s="214" t="s">
        <v>1175</v>
      </c>
      <c r="B76" s="64">
        <v>8.7100000000000009</v>
      </c>
      <c r="C76" s="64">
        <v>16.829999999999998</v>
      </c>
      <c r="D76" s="64">
        <v>15.78</v>
      </c>
      <c r="E76" s="64">
        <v>4.99</v>
      </c>
      <c r="F76" s="64">
        <v>2.67</v>
      </c>
      <c r="G76" s="64">
        <v>73.819999999999993</v>
      </c>
      <c r="H76" s="64">
        <v>7.93</v>
      </c>
      <c r="I76" s="64">
        <v>1.49</v>
      </c>
      <c r="J76" s="64">
        <v>1.89</v>
      </c>
      <c r="K76" s="64">
        <v>334.9</v>
      </c>
      <c r="L76" s="64">
        <v>27.15</v>
      </c>
      <c r="M76" s="64">
        <v>97.76</v>
      </c>
      <c r="N76" s="64">
        <v>54.5</v>
      </c>
      <c r="O76" s="64">
        <v>0</v>
      </c>
      <c r="P76" s="64">
        <v>0.49</v>
      </c>
      <c r="Q76" s="64">
        <v>9.36</v>
      </c>
      <c r="R76" s="198"/>
      <c r="S76" s="198"/>
      <c r="T76" s="198"/>
      <c r="U76" s="198"/>
    </row>
    <row r="77" spans="1:21" s="12" customFormat="1" x14ac:dyDescent="0.25">
      <c r="A77" s="214" t="s">
        <v>1176</v>
      </c>
      <c r="B77" s="64">
        <v>8.84</v>
      </c>
      <c r="C77" s="64">
        <v>9.0299999999999994</v>
      </c>
      <c r="D77" s="64">
        <v>11.8</v>
      </c>
      <c r="E77" s="64">
        <v>5.27</v>
      </c>
      <c r="F77" s="64">
        <v>2.61</v>
      </c>
      <c r="G77" s="64">
        <v>71.92</v>
      </c>
      <c r="H77" s="64">
        <v>6.78</v>
      </c>
      <c r="I77" s="64">
        <v>1.47</v>
      </c>
      <c r="J77" s="64">
        <v>1.95</v>
      </c>
      <c r="K77" s="64">
        <v>335.96</v>
      </c>
      <c r="L77" s="64">
        <v>25.61</v>
      </c>
      <c r="M77" s="64">
        <v>97.87</v>
      </c>
      <c r="N77" s="64">
        <v>49.9</v>
      </c>
      <c r="O77" s="64">
        <v>0</v>
      </c>
      <c r="P77" s="64">
        <v>0.47</v>
      </c>
      <c r="Q77" s="64">
        <v>9.36</v>
      </c>
      <c r="R77" s="198"/>
      <c r="S77" s="198"/>
      <c r="T77" s="198"/>
      <c r="U77" s="198"/>
    </row>
    <row r="78" spans="1:21" s="12" customFormat="1" x14ac:dyDescent="0.25">
      <c r="A78" s="214" t="s">
        <v>1177</v>
      </c>
      <c r="B78" s="64">
        <v>8.56</v>
      </c>
      <c r="C78" s="64">
        <v>8.4700000000000006</v>
      </c>
      <c r="D78" s="64">
        <v>11.29</v>
      </c>
      <c r="E78" s="64">
        <v>5.21</v>
      </c>
      <c r="F78" s="64">
        <v>2.96</v>
      </c>
      <c r="G78" s="64">
        <v>71.92</v>
      </c>
      <c r="H78" s="64">
        <v>6.78</v>
      </c>
      <c r="I78" s="64">
        <v>1.43</v>
      </c>
      <c r="J78" s="64">
        <v>0.72</v>
      </c>
      <c r="K78" s="64">
        <v>336.03</v>
      </c>
      <c r="L78" s="64">
        <v>23.63</v>
      </c>
      <c r="M78" s="64">
        <v>97.98</v>
      </c>
      <c r="N78" s="64">
        <v>49.4</v>
      </c>
      <c r="O78" s="64">
        <v>0</v>
      </c>
      <c r="P78" s="64">
        <v>0.46</v>
      </c>
      <c r="Q78" s="64">
        <v>9.33</v>
      </c>
      <c r="R78" s="198"/>
      <c r="S78" s="198"/>
      <c r="T78" s="198"/>
      <c r="U78" s="198"/>
    </row>
    <row r="79" spans="1:21" s="12" customFormat="1" x14ac:dyDescent="0.25">
      <c r="A79" s="214" t="s">
        <v>1178</v>
      </c>
      <c r="B79" s="64">
        <v>8.61</v>
      </c>
      <c r="C79" s="64">
        <v>8.01</v>
      </c>
      <c r="D79" s="64">
        <v>11.09</v>
      </c>
      <c r="E79" s="64">
        <v>5.27</v>
      </c>
      <c r="F79" s="64">
        <v>2.2799999999999998</v>
      </c>
      <c r="G79" s="64">
        <v>71.92</v>
      </c>
      <c r="H79" s="64">
        <v>6.78</v>
      </c>
      <c r="I79" s="64">
        <v>1.39</v>
      </c>
      <c r="J79" s="64">
        <v>0.08</v>
      </c>
      <c r="K79" s="64">
        <v>176.65</v>
      </c>
      <c r="L79" s="64">
        <v>23.14</v>
      </c>
      <c r="M79" s="64">
        <v>97.98</v>
      </c>
      <c r="N79" s="64">
        <v>45.1</v>
      </c>
      <c r="O79" s="64">
        <v>0</v>
      </c>
      <c r="P79" s="64">
        <v>0.47</v>
      </c>
      <c r="Q79" s="64">
        <v>9.31</v>
      </c>
      <c r="R79" s="198"/>
      <c r="S79" s="198"/>
      <c r="T79" s="198"/>
      <c r="U79" s="198"/>
    </row>
    <row r="80" spans="1:21" s="12" customFormat="1" x14ac:dyDescent="0.25">
      <c r="A80" s="214" t="s">
        <v>1179</v>
      </c>
      <c r="B80" s="64">
        <v>8.77</v>
      </c>
      <c r="C80" s="64">
        <v>8.01</v>
      </c>
      <c r="D80" s="64">
        <v>11.21</v>
      </c>
      <c r="E80" s="64">
        <v>5.09</v>
      </c>
      <c r="F80" s="64">
        <v>2.75</v>
      </c>
      <c r="G80" s="64">
        <v>59.39</v>
      </c>
      <c r="H80" s="64">
        <v>6.77</v>
      </c>
      <c r="I80" s="64">
        <v>1.35</v>
      </c>
      <c r="J80" s="64">
        <v>0.24</v>
      </c>
      <c r="K80" s="64">
        <v>151.66</v>
      </c>
      <c r="L80" s="64">
        <v>23.25</v>
      </c>
      <c r="M80" s="64">
        <v>97.95</v>
      </c>
      <c r="N80" s="64">
        <v>41</v>
      </c>
      <c r="O80" s="64">
        <v>0</v>
      </c>
      <c r="P80" s="64">
        <v>0.48</v>
      </c>
      <c r="Q80" s="64">
        <v>9.31</v>
      </c>
      <c r="R80" s="198"/>
      <c r="S80" s="198"/>
      <c r="T80" s="198"/>
      <c r="U80" s="198"/>
    </row>
    <row r="81" spans="1:26" s="12" customFormat="1" x14ac:dyDescent="0.25">
      <c r="A81" s="214" t="s">
        <v>1180</v>
      </c>
      <c r="B81" s="64">
        <v>9.26</v>
      </c>
      <c r="C81" s="64">
        <v>8.14</v>
      </c>
      <c r="D81" s="64">
        <v>11.68</v>
      </c>
      <c r="E81" s="64">
        <v>4.9000000000000004</v>
      </c>
      <c r="F81" s="64">
        <v>2.3199999999999998</v>
      </c>
      <c r="G81" s="64">
        <v>49.36</v>
      </c>
      <c r="H81" s="64">
        <v>6.77</v>
      </c>
      <c r="I81" s="64">
        <v>1.33</v>
      </c>
      <c r="J81" s="64">
        <v>0.15</v>
      </c>
      <c r="K81" s="64">
        <v>134.49</v>
      </c>
      <c r="L81" s="64">
        <v>23.48</v>
      </c>
      <c r="M81" s="64">
        <v>97.96</v>
      </c>
      <c r="N81" s="64">
        <v>31.6</v>
      </c>
      <c r="O81" s="64">
        <v>0</v>
      </c>
      <c r="P81" s="64">
        <v>0.5</v>
      </c>
      <c r="Q81" s="64">
        <v>9.31</v>
      </c>
      <c r="R81" s="198"/>
      <c r="S81" s="198"/>
      <c r="T81" s="198"/>
      <c r="U81" s="198"/>
    </row>
    <row r="82" spans="1:26" s="12" customFormat="1" x14ac:dyDescent="0.25">
      <c r="A82" s="214" t="s">
        <v>1181</v>
      </c>
      <c r="B82" s="64">
        <v>28.72</v>
      </c>
      <c r="C82" s="64">
        <v>12.1</v>
      </c>
      <c r="D82" s="64">
        <v>29.35</v>
      </c>
      <c r="E82" s="64">
        <v>5.25</v>
      </c>
      <c r="F82" s="64">
        <v>3.39</v>
      </c>
      <c r="G82" s="64">
        <v>49.36</v>
      </c>
      <c r="H82" s="64">
        <v>6.77</v>
      </c>
      <c r="I82" s="64">
        <v>1.38</v>
      </c>
      <c r="J82" s="64">
        <v>0.05</v>
      </c>
      <c r="K82" s="64">
        <v>298.5</v>
      </c>
      <c r="L82" s="64">
        <v>23.74</v>
      </c>
      <c r="M82" s="64">
        <v>97.97</v>
      </c>
      <c r="N82" s="64">
        <v>30.6</v>
      </c>
      <c r="O82" s="64">
        <v>0</v>
      </c>
      <c r="P82" s="64">
        <v>0.98</v>
      </c>
      <c r="Q82" s="64">
        <v>9.32</v>
      </c>
      <c r="R82" s="198"/>
      <c r="S82" s="198"/>
      <c r="T82" s="198"/>
      <c r="U82" s="198"/>
    </row>
    <row r="83" spans="1:26" s="12" customFormat="1" x14ac:dyDescent="0.25">
      <c r="A83" s="214" t="s">
        <v>1182</v>
      </c>
      <c r="B83" s="64">
        <v>12.6</v>
      </c>
      <c r="C83" s="64">
        <v>7.69</v>
      </c>
      <c r="D83" s="64">
        <v>14.12</v>
      </c>
      <c r="E83" s="64">
        <v>5.0199999999999996</v>
      </c>
      <c r="F83" s="64">
        <v>2.93</v>
      </c>
      <c r="G83" s="64">
        <v>49.36</v>
      </c>
      <c r="H83" s="64">
        <v>6.77</v>
      </c>
      <c r="I83" s="64">
        <v>1.42</v>
      </c>
      <c r="J83" s="64">
        <v>0.04</v>
      </c>
      <c r="K83" s="64">
        <v>237.6</v>
      </c>
      <c r="L83" s="64">
        <v>23.88</v>
      </c>
      <c r="M83" s="64">
        <v>97.95</v>
      </c>
      <c r="N83" s="64">
        <v>30.9</v>
      </c>
      <c r="O83" s="64">
        <v>0</v>
      </c>
      <c r="P83" s="64">
        <v>0.54</v>
      </c>
      <c r="Q83" s="64">
        <v>9.3699999999999992</v>
      </c>
      <c r="R83" s="198"/>
      <c r="S83" s="198"/>
      <c r="T83" s="198"/>
      <c r="U83" s="198"/>
    </row>
    <row r="84" spans="1:26" s="12" customFormat="1" x14ac:dyDescent="0.25">
      <c r="A84" s="214" t="s">
        <v>1183</v>
      </c>
      <c r="B84" s="64">
        <v>12.53</v>
      </c>
      <c r="C84" s="64">
        <v>9.01</v>
      </c>
      <c r="D84" s="64">
        <v>14.76</v>
      </c>
      <c r="E84" s="64">
        <v>5</v>
      </c>
      <c r="F84" s="64">
        <v>2.25</v>
      </c>
      <c r="G84" s="64">
        <v>45.17</v>
      </c>
      <c r="H84" s="64">
        <v>12.94</v>
      </c>
      <c r="I84" s="64">
        <v>1.51</v>
      </c>
      <c r="J84" s="64">
        <v>0.26</v>
      </c>
      <c r="K84" s="64">
        <v>121.14</v>
      </c>
      <c r="L84" s="64">
        <v>23.7</v>
      </c>
      <c r="M84" s="64">
        <v>97.97</v>
      </c>
      <c r="N84" s="64">
        <v>31.4</v>
      </c>
      <c r="O84" s="64">
        <v>0</v>
      </c>
      <c r="P84" s="64">
        <v>0.56000000000000005</v>
      </c>
      <c r="Q84" s="64">
        <v>9.41</v>
      </c>
      <c r="R84" s="198"/>
      <c r="S84" s="198"/>
      <c r="T84" s="198"/>
      <c r="U84" s="198"/>
    </row>
    <row r="85" spans="1:26" s="12" customFormat="1" x14ac:dyDescent="0.25">
      <c r="A85" s="214" t="s">
        <v>1184</v>
      </c>
      <c r="B85" s="64">
        <v>14.64</v>
      </c>
      <c r="C85" s="64">
        <v>16.28</v>
      </c>
      <c r="D85" s="64">
        <v>20.239999999999998</v>
      </c>
      <c r="E85" s="64">
        <v>4.9800000000000004</v>
      </c>
      <c r="F85" s="64">
        <v>3.18</v>
      </c>
      <c r="G85" s="64">
        <v>41.81</v>
      </c>
      <c r="H85" s="64">
        <v>18.11</v>
      </c>
      <c r="I85" s="64">
        <v>1.61</v>
      </c>
      <c r="J85" s="64">
        <v>0.02</v>
      </c>
      <c r="K85" s="64">
        <v>163.66999999999999</v>
      </c>
      <c r="L85" s="64">
        <v>23.66</v>
      </c>
      <c r="M85" s="64">
        <v>97.97</v>
      </c>
      <c r="N85" s="64">
        <v>31.3</v>
      </c>
      <c r="O85" s="64">
        <v>0</v>
      </c>
      <c r="P85" s="64">
        <v>0.65</v>
      </c>
      <c r="Q85" s="64">
        <v>9.44</v>
      </c>
      <c r="R85" s="198"/>
      <c r="S85" s="198"/>
      <c r="T85" s="198"/>
      <c r="U85" s="198"/>
    </row>
    <row r="86" spans="1:26" s="12" customFormat="1" x14ac:dyDescent="0.25">
      <c r="A86" s="214" t="s">
        <v>1185</v>
      </c>
      <c r="B86" s="64">
        <v>12.08</v>
      </c>
      <c r="C86" s="64">
        <v>22.13</v>
      </c>
      <c r="D86" s="64">
        <v>21.25</v>
      </c>
      <c r="E86" s="64">
        <v>4.74</v>
      </c>
      <c r="F86" s="64">
        <v>2.95</v>
      </c>
      <c r="G86" s="64">
        <v>41.81</v>
      </c>
      <c r="H86" s="64">
        <v>18.11</v>
      </c>
      <c r="I86" s="64">
        <v>1.7</v>
      </c>
      <c r="J86" s="64">
        <v>0.05</v>
      </c>
      <c r="K86" s="64">
        <v>352.51</v>
      </c>
      <c r="L86" s="64">
        <v>23.66</v>
      </c>
      <c r="M86" s="64">
        <v>97.95</v>
      </c>
      <c r="N86" s="64">
        <v>31.3</v>
      </c>
      <c r="O86" s="64">
        <v>0</v>
      </c>
      <c r="P86" s="64">
        <v>0.75</v>
      </c>
      <c r="Q86" s="64">
        <v>9.44</v>
      </c>
      <c r="R86" s="198"/>
      <c r="S86" s="198"/>
      <c r="T86" s="198"/>
      <c r="U86" s="198"/>
    </row>
    <row r="87" spans="1:26" s="12" customFormat="1" x14ac:dyDescent="0.25">
      <c r="A87" s="214" t="s">
        <v>1186</v>
      </c>
      <c r="B87" s="64">
        <v>18.420000000000002</v>
      </c>
      <c r="C87" s="64">
        <v>26.41</v>
      </c>
      <c r="D87" s="64">
        <v>28.57</v>
      </c>
      <c r="E87" s="64">
        <v>4.9800000000000004</v>
      </c>
      <c r="F87" s="64">
        <v>2.86</v>
      </c>
      <c r="G87" s="64">
        <v>41.81</v>
      </c>
      <c r="H87" s="64">
        <v>18.11</v>
      </c>
      <c r="I87" s="64">
        <v>1.76</v>
      </c>
      <c r="J87" s="64">
        <v>0.08</v>
      </c>
      <c r="K87" s="64">
        <v>131.22999999999999</v>
      </c>
      <c r="L87" s="64">
        <v>23.69</v>
      </c>
      <c r="M87" s="64">
        <v>97.94</v>
      </c>
      <c r="N87" s="64">
        <v>30.9</v>
      </c>
      <c r="O87" s="64">
        <v>0</v>
      </c>
      <c r="P87" s="64">
        <v>0.99</v>
      </c>
      <c r="Q87" s="64">
        <v>9.4700000000000006</v>
      </c>
      <c r="R87" s="198"/>
      <c r="S87" s="198"/>
      <c r="T87" s="198"/>
      <c r="U87" s="198"/>
    </row>
    <row r="88" spans="1:26" s="12" customFormat="1" x14ac:dyDescent="0.25">
      <c r="A88" s="214" t="s">
        <v>1187</v>
      </c>
      <c r="B88" s="64">
        <v>14.05</v>
      </c>
      <c r="C88" s="64">
        <v>22.87</v>
      </c>
      <c r="D88" s="64">
        <v>23.21</v>
      </c>
      <c r="E88" s="64">
        <v>4.7</v>
      </c>
      <c r="F88" s="64">
        <v>2.41</v>
      </c>
      <c r="G88" s="64">
        <v>42.98</v>
      </c>
      <c r="H88" s="64">
        <v>11.19</v>
      </c>
      <c r="I88" s="64">
        <v>1.91</v>
      </c>
      <c r="J88" s="64">
        <v>0.1</v>
      </c>
      <c r="K88" s="64">
        <v>268.24</v>
      </c>
      <c r="L88" s="64">
        <v>23.75</v>
      </c>
      <c r="M88" s="64">
        <v>97.91</v>
      </c>
      <c r="N88" s="64">
        <v>31.1</v>
      </c>
      <c r="O88" s="64">
        <v>0</v>
      </c>
      <c r="P88" s="64">
        <v>0.77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4" t="s">
        <v>1188</v>
      </c>
      <c r="B89" s="64">
        <v>34.04</v>
      </c>
      <c r="C89" s="64">
        <v>18.77</v>
      </c>
      <c r="D89" s="64">
        <v>37.11</v>
      </c>
      <c r="E89" s="64">
        <v>4.8499999999999996</v>
      </c>
      <c r="F89" s="64">
        <v>3.92</v>
      </c>
      <c r="G89" s="64">
        <v>43.92</v>
      </c>
      <c r="H89" s="64">
        <v>8.8800000000000008</v>
      </c>
      <c r="I89" s="64">
        <v>1.94</v>
      </c>
      <c r="J89" s="64">
        <v>0.02</v>
      </c>
      <c r="K89" s="64">
        <v>185.5</v>
      </c>
      <c r="L89" s="64">
        <v>23.84</v>
      </c>
      <c r="M89" s="64">
        <v>97.9</v>
      </c>
      <c r="N89" s="64">
        <v>30.5</v>
      </c>
      <c r="O89" s="64">
        <v>0</v>
      </c>
      <c r="P89" s="64">
        <v>1.45</v>
      </c>
      <c r="Q89" s="64">
        <v>9.5299999999999994</v>
      </c>
      <c r="R89" s="198"/>
      <c r="S89" s="198"/>
      <c r="T89" s="198"/>
      <c r="U89" s="198"/>
    </row>
    <row r="90" spans="1:26" s="12" customFormat="1" x14ac:dyDescent="0.25">
      <c r="A90" s="214" t="s">
        <v>1189</v>
      </c>
      <c r="B90" s="64">
        <v>48.71</v>
      </c>
      <c r="C90" s="64">
        <v>15.33</v>
      </c>
      <c r="D90" s="64">
        <v>47.07</v>
      </c>
      <c r="E90" s="64">
        <v>5.19</v>
      </c>
      <c r="F90" s="64">
        <v>2.5</v>
      </c>
      <c r="G90" s="64">
        <v>43.92</v>
      </c>
      <c r="H90" s="64">
        <v>8.8800000000000008</v>
      </c>
      <c r="I90" s="64">
        <v>1.96</v>
      </c>
      <c r="J90" s="64">
        <v>0.12</v>
      </c>
      <c r="K90" s="64">
        <v>354.02</v>
      </c>
      <c r="L90" s="64">
        <v>23.99</v>
      </c>
      <c r="M90" s="64">
        <v>97.9</v>
      </c>
      <c r="N90" s="64">
        <v>30.7</v>
      </c>
      <c r="O90" s="64">
        <v>0</v>
      </c>
      <c r="P90" s="64">
        <v>2.0699999999999998</v>
      </c>
      <c r="Q90" s="64">
        <v>9.58</v>
      </c>
      <c r="R90" s="198"/>
      <c r="S90" s="198"/>
      <c r="T90" s="198"/>
      <c r="U90" s="198"/>
    </row>
    <row r="91" spans="1:26" s="12" customFormat="1" x14ac:dyDescent="0.25">
      <c r="A91" s="214" t="s">
        <v>1190</v>
      </c>
      <c r="B91" s="64">
        <v>31.26</v>
      </c>
      <c r="C91" s="64">
        <v>14.18</v>
      </c>
      <c r="D91" s="64">
        <v>32.479999999999997</v>
      </c>
      <c r="E91" s="64">
        <v>5.08</v>
      </c>
      <c r="F91" s="64">
        <v>3</v>
      </c>
      <c r="G91" s="64">
        <v>43.92</v>
      </c>
      <c r="H91" s="64">
        <v>8.8800000000000008</v>
      </c>
      <c r="I91" s="64">
        <v>2.08</v>
      </c>
      <c r="J91" s="64">
        <v>0.13</v>
      </c>
      <c r="K91" s="64">
        <v>102.31</v>
      </c>
      <c r="L91" s="64">
        <v>24.09</v>
      </c>
      <c r="M91" s="64">
        <v>97.89</v>
      </c>
      <c r="N91" s="64">
        <v>30.9</v>
      </c>
      <c r="O91" s="64">
        <v>0</v>
      </c>
      <c r="P91" s="64">
        <v>1.34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4" t="s">
        <v>1191</v>
      </c>
      <c r="B92" s="64">
        <v>38.549999999999997</v>
      </c>
      <c r="C92" s="64">
        <v>21.18</v>
      </c>
      <c r="D92" s="64">
        <v>41.98</v>
      </c>
      <c r="E92" s="64">
        <v>4.79</v>
      </c>
      <c r="F92" s="64">
        <v>2.31</v>
      </c>
      <c r="G92" s="64">
        <v>45.2</v>
      </c>
      <c r="H92" s="64">
        <v>7.73</v>
      </c>
      <c r="I92" s="64">
        <v>2.25</v>
      </c>
      <c r="J92" s="64">
        <v>0.28000000000000003</v>
      </c>
      <c r="K92" s="64">
        <v>147.97999999999999</v>
      </c>
      <c r="L92" s="64">
        <v>24.09</v>
      </c>
      <c r="M92" s="64">
        <v>97.88</v>
      </c>
      <c r="N92" s="64">
        <v>31.1</v>
      </c>
      <c r="O92" s="64">
        <v>0</v>
      </c>
      <c r="P92" s="64">
        <v>1.25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4" t="s">
        <v>1192</v>
      </c>
      <c r="B93" s="64">
        <v>39.65</v>
      </c>
      <c r="C93" s="64">
        <v>8.93</v>
      </c>
      <c r="D93" s="64">
        <v>36.46</v>
      </c>
      <c r="E93" s="64">
        <v>5.55</v>
      </c>
      <c r="F93" s="64">
        <v>2.54</v>
      </c>
      <c r="G93" s="64">
        <v>46.23</v>
      </c>
      <c r="H93" s="64">
        <v>6.9</v>
      </c>
      <c r="I93" s="64">
        <v>2.4</v>
      </c>
      <c r="J93" s="64">
        <v>0.1</v>
      </c>
      <c r="K93" s="64">
        <v>230.26</v>
      </c>
      <c r="L93" s="64">
        <v>24.18</v>
      </c>
      <c r="M93" s="64">
        <v>97.87</v>
      </c>
      <c r="N93" s="64">
        <v>31.3</v>
      </c>
      <c r="O93" s="64">
        <v>0</v>
      </c>
      <c r="P93" s="64">
        <v>1.2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4" t="s">
        <v>1193</v>
      </c>
      <c r="B94" s="64">
        <v>20.68</v>
      </c>
      <c r="C94" s="64">
        <v>21.56</v>
      </c>
      <c r="D94" s="64">
        <v>27.85</v>
      </c>
      <c r="E94" s="64">
        <v>4.97</v>
      </c>
      <c r="F94" s="64">
        <v>3.24</v>
      </c>
      <c r="G94" s="64">
        <v>46.23</v>
      </c>
      <c r="H94" s="64">
        <v>6.9</v>
      </c>
      <c r="I94" s="64">
        <v>2.54</v>
      </c>
      <c r="J94" s="64">
        <v>0.2</v>
      </c>
      <c r="K94" s="64">
        <v>160.63999999999999</v>
      </c>
      <c r="L94" s="64">
        <v>23.99</v>
      </c>
      <c r="M94" s="64">
        <v>97.89</v>
      </c>
      <c r="N94" s="64">
        <v>31.8</v>
      </c>
      <c r="O94" s="64">
        <v>0</v>
      </c>
      <c r="P94" s="64">
        <v>0.85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1194</v>
      </c>
      <c r="B95" s="64">
        <v>15.54</v>
      </c>
      <c r="C95" s="64">
        <v>16.41</v>
      </c>
      <c r="D95" s="64">
        <v>21.04</v>
      </c>
      <c r="E95" s="64">
        <v>4.96</v>
      </c>
      <c r="F95" s="64">
        <v>3.35</v>
      </c>
      <c r="G95" s="64">
        <v>46.23</v>
      </c>
      <c r="H95" s="64">
        <v>6.9</v>
      </c>
      <c r="I95" s="64">
        <v>2.68</v>
      </c>
      <c r="J95" s="64">
        <v>0.03</v>
      </c>
      <c r="K95" s="64">
        <v>353.46</v>
      </c>
      <c r="L95" s="64">
        <v>24.01</v>
      </c>
      <c r="M95" s="64">
        <v>97.9</v>
      </c>
      <c r="N95" s="64">
        <v>31.3</v>
      </c>
      <c r="O95" s="64">
        <v>0</v>
      </c>
      <c r="P95" s="64">
        <v>0.68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4" t="s">
        <v>1195</v>
      </c>
      <c r="B96" s="64">
        <v>19.55</v>
      </c>
      <c r="C96" s="64">
        <v>14.83</v>
      </c>
      <c r="D96" s="64">
        <v>23.43</v>
      </c>
      <c r="E96" s="64">
        <v>4.55</v>
      </c>
      <c r="F96" s="64">
        <v>3.09</v>
      </c>
      <c r="G96" s="64">
        <v>45.23</v>
      </c>
      <c r="H96" s="64">
        <v>6.6</v>
      </c>
      <c r="I96" s="64">
        <v>2.77</v>
      </c>
      <c r="J96" s="64">
        <v>0.16</v>
      </c>
      <c r="K96" s="64">
        <v>150.26</v>
      </c>
      <c r="L96" s="64">
        <v>24</v>
      </c>
      <c r="M96" s="64">
        <v>97.86</v>
      </c>
      <c r="N96" s="64">
        <v>31.3</v>
      </c>
      <c r="O96" s="64">
        <v>0</v>
      </c>
      <c r="P96" s="64">
        <v>0.63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1196</v>
      </c>
      <c r="B97" s="64">
        <v>16.149999999999999</v>
      </c>
      <c r="C97" s="64">
        <v>15.76</v>
      </c>
      <c r="D97" s="64">
        <v>21.18</v>
      </c>
      <c r="E97" s="64">
        <v>4.8099999999999996</v>
      </c>
      <c r="F97" s="64">
        <v>2.34</v>
      </c>
      <c r="G97" s="64">
        <v>44.43</v>
      </c>
      <c r="H97" s="64">
        <v>6.44</v>
      </c>
      <c r="I97" s="64">
        <v>2.79</v>
      </c>
      <c r="J97" s="64">
        <v>0.1</v>
      </c>
      <c r="K97" s="64">
        <v>190.85</v>
      </c>
      <c r="L97" s="64">
        <v>23.9</v>
      </c>
      <c r="M97" s="64">
        <v>97.87</v>
      </c>
      <c r="N97" s="64">
        <v>31.4</v>
      </c>
      <c r="O97" s="64">
        <v>0</v>
      </c>
      <c r="P97" s="64">
        <v>0.66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4" t="s">
        <v>1197</v>
      </c>
      <c r="B98" s="64">
        <v>12.71</v>
      </c>
      <c r="C98" s="64">
        <v>16.78</v>
      </c>
      <c r="D98" s="64">
        <v>18.96</v>
      </c>
      <c r="E98" s="64">
        <v>4.92</v>
      </c>
      <c r="F98" s="64">
        <v>3.52</v>
      </c>
      <c r="G98" s="64">
        <v>44.43</v>
      </c>
      <c r="H98" s="64">
        <v>6.44</v>
      </c>
      <c r="I98" s="64">
        <v>2.78</v>
      </c>
      <c r="J98" s="64">
        <v>0.02</v>
      </c>
      <c r="K98" s="64">
        <v>283.26</v>
      </c>
      <c r="L98" s="64">
        <v>23.82</v>
      </c>
      <c r="M98" s="64">
        <v>97.88</v>
      </c>
      <c r="N98" s="64">
        <v>31.2</v>
      </c>
      <c r="O98" s="64">
        <v>0</v>
      </c>
      <c r="P98" s="64">
        <v>0.49</v>
      </c>
      <c r="Q98" s="64">
        <v>9.64</v>
      </c>
      <c r="R98" s="198"/>
      <c r="S98" s="198"/>
      <c r="T98" s="198"/>
      <c r="U98" s="198"/>
    </row>
    <row r="99" spans="1:33" s="12" customFormat="1" x14ac:dyDescent="0.25">
      <c r="A99" s="214" t="s">
        <v>1198</v>
      </c>
      <c r="B99" s="64">
        <v>19.5</v>
      </c>
      <c r="C99" s="64">
        <v>16.71</v>
      </c>
      <c r="D99" s="64">
        <v>24.36</v>
      </c>
      <c r="E99" s="64">
        <v>4.96</v>
      </c>
      <c r="F99" s="64">
        <v>3.34</v>
      </c>
      <c r="G99" s="64">
        <v>44.43</v>
      </c>
      <c r="H99" s="64">
        <v>6.44</v>
      </c>
      <c r="I99" s="64">
        <v>2.75</v>
      </c>
      <c r="J99" s="64">
        <v>0.11</v>
      </c>
      <c r="K99" s="64">
        <v>306.95</v>
      </c>
      <c r="L99" s="64">
        <v>23.68</v>
      </c>
      <c r="M99" s="64">
        <v>97.94</v>
      </c>
      <c r="N99" s="64">
        <v>31.4</v>
      </c>
      <c r="O99" s="64">
        <v>0</v>
      </c>
      <c r="P99" s="64">
        <v>0.6</v>
      </c>
      <c r="Q99" s="64">
        <v>9.65</v>
      </c>
      <c r="R99" s="198"/>
      <c r="S99" s="198"/>
      <c r="T99" s="198"/>
      <c r="U99" s="198"/>
    </row>
    <row r="100" spans="1:33" s="12" customFormat="1" x14ac:dyDescent="0.25">
      <c r="A100" s="214" t="s">
        <v>1199</v>
      </c>
      <c r="B100" s="64">
        <v>10.63</v>
      </c>
      <c r="C100" s="64">
        <v>13.97</v>
      </c>
      <c r="D100" s="64">
        <v>15.83</v>
      </c>
      <c r="E100" s="64">
        <v>5.03</v>
      </c>
      <c r="F100" s="64">
        <v>4.4400000000000004</v>
      </c>
      <c r="G100" s="64">
        <v>42.43</v>
      </c>
      <c r="H100" s="64">
        <v>6.38</v>
      </c>
      <c r="I100" s="64">
        <v>2.71</v>
      </c>
      <c r="J100" s="64">
        <v>0.05</v>
      </c>
      <c r="K100" s="64">
        <v>292.68</v>
      </c>
      <c r="L100" s="64">
        <v>23.7</v>
      </c>
      <c r="M100" s="64">
        <v>98.03</v>
      </c>
      <c r="N100" s="64">
        <v>31.3</v>
      </c>
      <c r="O100" s="64">
        <v>0</v>
      </c>
      <c r="P100" s="64">
        <v>0.5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1200</v>
      </c>
      <c r="B101" s="64">
        <v>13.78</v>
      </c>
      <c r="C101" s="64">
        <v>11.3</v>
      </c>
      <c r="D101" s="64">
        <v>16.95</v>
      </c>
      <c r="E101" s="64">
        <v>4.84</v>
      </c>
      <c r="F101" s="64">
        <v>4.22</v>
      </c>
      <c r="G101" s="64">
        <v>40.83</v>
      </c>
      <c r="H101" s="64">
        <v>6.32</v>
      </c>
      <c r="I101" s="64">
        <v>2.69</v>
      </c>
      <c r="J101" s="64">
        <v>0.04</v>
      </c>
      <c r="K101" s="64">
        <v>248.05</v>
      </c>
      <c r="L101" s="64">
        <v>23.57</v>
      </c>
      <c r="M101" s="64">
        <v>98.03</v>
      </c>
      <c r="N101" s="64">
        <v>31.4</v>
      </c>
      <c r="O101" s="64">
        <v>0</v>
      </c>
      <c r="P101" s="64">
        <v>0.47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4" t="s">
        <v>1201</v>
      </c>
      <c r="B102" s="64">
        <v>11.68</v>
      </c>
      <c r="C102" s="64">
        <v>12.26</v>
      </c>
      <c r="D102" s="64">
        <v>15.77</v>
      </c>
      <c r="E102" s="64">
        <v>4.9400000000000004</v>
      </c>
      <c r="F102" s="64">
        <v>5.0199999999999996</v>
      </c>
      <c r="G102" s="64">
        <v>40.83</v>
      </c>
      <c r="H102" s="64">
        <v>6.32</v>
      </c>
      <c r="I102" s="64">
        <v>2.66</v>
      </c>
      <c r="J102" s="64">
        <v>0.02</v>
      </c>
      <c r="K102" s="64">
        <v>240.42</v>
      </c>
      <c r="L102" s="64">
        <v>23.59</v>
      </c>
      <c r="M102" s="64">
        <v>98.03</v>
      </c>
      <c r="N102" s="64">
        <v>31.2</v>
      </c>
      <c r="O102" s="64">
        <v>0</v>
      </c>
      <c r="P102" s="64">
        <v>0.43</v>
      </c>
      <c r="Q102" s="64">
        <v>9.67</v>
      </c>
      <c r="R102" s="198"/>
      <c r="S102" s="198"/>
      <c r="T102" s="198"/>
      <c r="U102" s="198"/>
    </row>
    <row r="103" spans="1:33" s="12" customFormat="1" x14ac:dyDescent="0.25">
      <c r="A103" s="214" t="s">
        <v>1202</v>
      </c>
      <c r="B103" s="64">
        <v>11.66</v>
      </c>
      <c r="C103" s="64">
        <v>14.93</v>
      </c>
      <c r="D103" s="64">
        <v>17.149999999999999</v>
      </c>
      <c r="E103" s="64">
        <v>4.24</v>
      </c>
      <c r="F103" s="64">
        <v>2.89</v>
      </c>
      <c r="G103" s="64">
        <v>40.83</v>
      </c>
      <c r="H103" s="64">
        <v>6.32</v>
      </c>
      <c r="I103" s="64">
        <v>2.62</v>
      </c>
      <c r="J103" s="64">
        <v>0.05</v>
      </c>
      <c r="K103" s="64">
        <v>229.8</v>
      </c>
      <c r="L103" s="64">
        <v>23.55</v>
      </c>
      <c r="M103" s="64">
        <v>98.03</v>
      </c>
      <c r="N103" s="64">
        <v>31.2</v>
      </c>
      <c r="O103" s="64">
        <v>0</v>
      </c>
      <c r="P103" s="64">
        <v>0.41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4" t="s">
        <v>1203</v>
      </c>
      <c r="B104" s="64">
        <v>12.52</v>
      </c>
      <c r="C104" s="64">
        <v>11.93</v>
      </c>
      <c r="D104" s="64">
        <v>16.27</v>
      </c>
      <c r="E104" s="64">
        <v>5.57</v>
      </c>
      <c r="F104" s="64">
        <v>4.03</v>
      </c>
      <c r="G104" s="64">
        <v>37.270000000000003</v>
      </c>
      <c r="H104" s="64">
        <v>6.31</v>
      </c>
      <c r="I104" s="64">
        <v>2.61</v>
      </c>
      <c r="J104" s="64">
        <v>0.04</v>
      </c>
      <c r="K104" s="64">
        <v>166.02</v>
      </c>
      <c r="L104" s="64">
        <v>23.61</v>
      </c>
      <c r="M104" s="64">
        <v>98.03</v>
      </c>
      <c r="N104" s="64">
        <v>31.2</v>
      </c>
      <c r="O104" s="64">
        <v>0</v>
      </c>
      <c r="P104" s="64">
        <v>0.37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4.84</v>
      </c>
      <c r="C106" s="67">
        <f>MIN(C9:C104)</f>
        <v>6.86</v>
      </c>
      <c r="D106" s="67">
        <f t="shared" ref="D106:Q106" si="0">MIN(D9:D104)</f>
        <v>11.09</v>
      </c>
      <c r="E106" s="67">
        <f t="shared" si="0"/>
        <v>4.2300000000000004</v>
      </c>
      <c r="F106" s="67">
        <f t="shared" si="0"/>
        <v>2.25</v>
      </c>
      <c r="G106" s="67">
        <f t="shared" si="0"/>
        <v>37.270000000000003</v>
      </c>
      <c r="H106" s="67">
        <f t="shared" si="0"/>
        <v>6.28</v>
      </c>
      <c r="I106" s="67">
        <f t="shared" si="0"/>
        <v>1.33</v>
      </c>
      <c r="J106" s="67">
        <f t="shared" si="0"/>
        <v>0.01</v>
      </c>
      <c r="K106" s="67">
        <f t="shared" si="0"/>
        <v>3.91</v>
      </c>
      <c r="L106" s="67">
        <f t="shared" si="0"/>
        <v>23.14</v>
      </c>
      <c r="M106" s="67">
        <f t="shared" si="0"/>
        <v>66.44</v>
      </c>
      <c r="N106" s="67">
        <f t="shared" si="0"/>
        <v>30.5</v>
      </c>
      <c r="O106" s="67">
        <f t="shared" si="0"/>
        <v>0</v>
      </c>
      <c r="P106" s="67">
        <f t="shared" si="0"/>
        <v>0.25</v>
      </c>
      <c r="Q106" s="67">
        <f t="shared" si="0"/>
        <v>9.31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48.71</v>
      </c>
      <c r="C107" s="66">
        <f t="shared" ref="C107:Q107" si="1">MAX(C9:C104)</f>
        <v>26.41</v>
      </c>
      <c r="D107" s="66">
        <f t="shared" si="1"/>
        <v>47.07</v>
      </c>
      <c r="E107" s="66">
        <f t="shared" si="1"/>
        <v>6.06</v>
      </c>
      <c r="F107" s="66">
        <f t="shared" si="1"/>
        <v>20.59</v>
      </c>
      <c r="G107" s="66">
        <f t="shared" si="1"/>
        <v>115.65</v>
      </c>
      <c r="H107" s="66">
        <f t="shared" si="1"/>
        <v>18.11</v>
      </c>
      <c r="I107" s="66">
        <f t="shared" si="1"/>
        <v>2.82</v>
      </c>
      <c r="J107" s="66">
        <f t="shared" si="1"/>
        <v>1.95</v>
      </c>
      <c r="K107" s="66">
        <f t="shared" si="1"/>
        <v>354.66</v>
      </c>
      <c r="L107" s="66">
        <f t="shared" si="1"/>
        <v>33.380000000000003</v>
      </c>
      <c r="M107" s="66">
        <f t="shared" si="1"/>
        <v>98.03</v>
      </c>
      <c r="N107" s="66">
        <f t="shared" si="1"/>
        <v>706.9</v>
      </c>
      <c r="O107" s="66">
        <f t="shared" si="1"/>
        <v>0</v>
      </c>
      <c r="P107" s="66">
        <f t="shared" si="1"/>
        <v>2.0699999999999998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13.901979166666671</v>
      </c>
      <c r="C108" s="67">
        <f t="shared" ref="C108:Q108" si="2">AVERAGE(C9:C104)</f>
        <v>14.009270833333339</v>
      </c>
      <c r="D108" s="67">
        <f t="shared" si="2"/>
        <v>18.389895833333327</v>
      </c>
      <c r="E108" s="67">
        <f t="shared" si="2"/>
        <v>4.9417708333333348</v>
      </c>
      <c r="F108" s="67">
        <f t="shared" si="2"/>
        <v>7.6163541666666665</v>
      </c>
      <c r="G108" s="67">
        <f t="shared" si="2"/>
        <v>76.469166666666638</v>
      </c>
      <c r="H108" s="67">
        <f t="shared" si="2"/>
        <v>9.3286046511627898</v>
      </c>
      <c r="I108" s="67">
        <f t="shared" si="2"/>
        <v>2.0597916666666665</v>
      </c>
      <c r="J108" s="67">
        <f t="shared" si="2"/>
        <v>0.29031250000000008</v>
      </c>
      <c r="K108" s="67">
        <f t="shared" si="2"/>
        <v>260.1803124999999</v>
      </c>
      <c r="L108" s="67">
        <f t="shared" si="2"/>
        <v>26.494375000000002</v>
      </c>
      <c r="M108" s="67">
        <f t="shared" si="2"/>
        <v>92.835729166666681</v>
      </c>
      <c r="N108" s="67">
        <f t="shared" si="2"/>
        <v>137.17187499999997</v>
      </c>
      <c r="O108" s="67">
        <f t="shared" si="2"/>
        <v>0</v>
      </c>
      <c r="P108" s="67">
        <f t="shared" si="2"/>
        <v>0.58552083333333338</v>
      </c>
      <c r="Q108" s="67">
        <f t="shared" si="2"/>
        <v>9.5345833333333321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7.3875058991575528</v>
      </c>
      <c r="C109" s="67">
        <f t="shared" ref="C109:Q109" si="3">STDEV(C9:C104)</f>
        <v>3.8307595082552024</v>
      </c>
      <c r="D109" s="67">
        <f t="shared" si="3"/>
        <v>6.501885798474448</v>
      </c>
      <c r="E109" s="67">
        <f t="shared" si="3"/>
        <v>0.44110625236692463</v>
      </c>
      <c r="F109" s="67">
        <f t="shared" si="3"/>
        <v>4.7292347483313382</v>
      </c>
      <c r="G109" s="67">
        <f t="shared" si="3"/>
        <v>22.1533870365908</v>
      </c>
      <c r="H109" s="67">
        <f t="shared" si="3"/>
        <v>3.6738036589090313</v>
      </c>
      <c r="I109" s="67">
        <f t="shared" si="3"/>
        <v>0.42141860465679304</v>
      </c>
      <c r="J109" s="67">
        <f t="shared" si="3"/>
        <v>0.32730302433195158</v>
      </c>
      <c r="K109" s="67">
        <f t="shared" si="3"/>
        <v>93.288138992818759</v>
      </c>
      <c r="L109" s="67">
        <f t="shared" si="3"/>
        <v>3.2075308793688984</v>
      </c>
      <c r="M109" s="67">
        <f t="shared" si="3"/>
        <v>9.6976930240667674</v>
      </c>
      <c r="N109" s="67">
        <f t="shared" si="3"/>
        <v>175.18664555155252</v>
      </c>
      <c r="O109" s="67">
        <f t="shared" si="3"/>
        <v>0</v>
      </c>
      <c r="P109" s="67">
        <f t="shared" si="3"/>
        <v>0.26856291938141147</v>
      </c>
      <c r="Q109" s="67">
        <f t="shared" si="3"/>
        <v>0.10991783215002661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1204</v>
      </c>
      <c r="B9" s="64">
        <v>13.18</v>
      </c>
      <c r="C9" s="64">
        <v>11.3</v>
      </c>
      <c r="D9" s="64">
        <v>16.48</v>
      </c>
      <c r="E9" s="64">
        <v>5.0999999999999996</v>
      </c>
      <c r="F9" s="64">
        <v>4.53</v>
      </c>
      <c r="G9" s="64">
        <v>34.43</v>
      </c>
      <c r="H9" s="64">
        <v>6.29</v>
      </c>
      <c r="I9" s="64">
        <v>2.58</v>
      </c>
      <c r="J9" s="64">
        <v>0.05</v>
      </c>
      <c r="K9" s="64">
        <v>14.33</v>
      </c>
      <c r="L9" s="64">
        <v>23.59</v>
      </c>
      <c r="M9" s="64">
        <v>98.03</v>
      </c>
      <c r="N9" s="64">
        <v>31.3</v>
      </c>
      <c r="O9" s="64">
        <v>0</v>
      </c>
      <c r="P9" s="64">
        <v>0.36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4" t="s">
        <v>1205</v>
      </c>
      <c r="B10" s="64">
        <v>9.4499999999999993</v>
      </c>
      <c r="C10" s="64">
        <v>10.53</v>
      </c>
      <c r="D10" s="64">
        <v>13.08</v>
      </c>
      <c r="E10" s="64">
        <v>5.24</v>
      </c>
      <c r="F10" s="64">
        <v>3.86</v>
      </c>
      <c r="G10" s="64">
        <v>34.43</v>
      </c>
      <c r="H10" s="64">
        <v>6.29</v>
      </c>
      <c r="I10" s="64">
        <v>2.5499999999999998</v>
      </c>
      <c r="J10" s="64">
        <v>0.03</v>
      </c>
      <c r="K10" s="64">
        <v>307.5</v>
      </c>
      <c r="L10" s="64">
        <v>23.56</v>
      </c>
      <c r="M10" s="64">
        <v>98.03</v>
      </c>
      <c r="N10" s="64">
        <v>31.1</v>
      </c>
      <c r="O10" s="64">
        <v>0</v>
      </c>
      <c r="P10" s="64">
        <v>0.28999999999999998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4" t="s">
        <v>1206</v>
      </c>
      <c r="B11" s="64">
        <v>20.65</v>
      </c>
      <c r="C11" s="64">
        <v>7.6</v>
      </c>
      <c r="D11" s="64">
        <v>20.53</v>
      </c>
      <c r="E11" s="64">
        <v>5.51</v>
      </c>
      <c r="F11" s="64">
        <v>3.41</v>
      </c>
      <c r="G11" s="64">
        <v>34.43</v>
      </c>
      <c r="H11" s="64">
        <v>6.29</v>
      </c>
      <c r="I11" s="64">
        <v>2.5099999999999998</v>
      </c>
      <c r="J11" s="64">
        <v>0.04</v>
      </c>
      <c r="K11" s="64">
        <v>79.599999999999994</v>
      </c>
      <c r="L11" s="64">
        <v>23.48</v>
      </c>
      <c r="M11" s="64">
        <v>98.04</v>
      </c>
      <c r="N11" s="64">
        <v>31.1</v>
      </c>
      <c r="O11" s="64">
        <v>0</v>
      </c>
      <c r="P11" s="64">
        <v>0.52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4" t="s">
        <v>1207</v>
      </c>
      <c r="B12" s="64">
        <v>12.5</v>
      </c>
      <c r="C12" s="64">
        <v>11.37</v>
      </c>
      <c r="D12" s="64">
        <v>15.96</v>
      </c>
      <c r="E12" s="64">
        <v>5.68</v>
      </c>
      <c r="F12" s="64">
        <v>3.39</v>
      </c>
      <c r="G12" s="64">
        <v>37.6</v>
      </c>
      <c r="H12" s="64">
        <v>6.28</v>
      </c>
      <c r="I12" s="64">
        <v>2.4500000000000002</v>
      </c>
      <c r="J12" s="64">
        <v>0.06</v>
      </c>
      <c r="K12" s="64">
        <v>313.29000000000002</v>
      </c>
      <c r="L12" s="64">
        <v>23.44</v>
      </c>
      <c r="M12" s="64">
        <v>98.04</v>
      </c>
      <c r="N12" s="64">
        <v>31.1</v>
      </c>
      <c r="O12" s="64">
        <v>0</v>
      </c>
      <c r="P12" s="64">
        <v>0.33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1208</v>
      </c>
      <c r="B13" s="64">
        <v>12.04</v>
      </c>
      <c r="C13" s="64">
        <v>10.27</v>
      </c>
      <c r="D13" s="64">
        <v>15.02</v>
      </c>
      <c r="E13" s="64">
        <v>5.16</v>
      </c>
      <c r="F13" s="64">
        <v>2.89</v>
      </c>
      <c r="G13" s="64">
        <v>40.03</v>
      </c>
      <c r="H13" s="64">
        <v>6.28</v>
      </c>
      <c r="I13" s="64">
        <v>2.4</v>
      </c>
      <c r="J13" s="64">
        <v>0.04</v>
      </c>
      <c r="K13" s="64">
        <v>313.29000000000002</v>
      </c>
      <c r="L13" s="64">
        <v>23.42</v>
      </c>
      <c r="M13" s="64">
        <v>98.04</v>
      </c>
      <c r="N13" s="64">
        <v>31.1</v>
      </c>
      <c r="O13" s="64">
        <v>0</v>
      </c>
      <c r="P13" s="64">
        <v>0.43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4" t="s">
        <v>1209</v>
      </c>
      <c r="B14" s="64">
        <v>14.22</v>
      </c>
      <c r="C14" s="64">
        <v>6.71</v>
      </c>
      <c r="D14" s="64">
        <v>14.91</v>
      </c>
      <c r="E14" s="64">
        <v>5.44</v>
      </c>
      <c r="F14" s="64">
        <v>4.8600000000000003</v>
      </c>
      <c r="G14" s="64">
        <v>40.03</v>
      </c>
      <c r="H14" s="64">
        <v>6.28</v>
      </c>
      <c r="I14" s="64">
        <v>2.36</v>
      </c>
      <c r="J14" s="64">
        <v>0.04</v>
      </c>
      <c r="K14" s="64">
        <v>303.79000000000002</v>
      </c>
      <c r="L14" s="64">
        <v>23.59</v>
      </c>
      <c r="M14" s="64">
        <v>98.05</v>
      </c>
      <c r="N14" s="64">
        <v>31</v>
      </c>
      <c r="O14" s="64">
        <v>0</v>
      </c>
      <c r="P14" s="64">
        <v>0.43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4" t="s">
        <v>1210</v>
      </c>
      <c r="B15" s="64">
        <v>11.43</v>
      </c>
      <c r="C15" s="64">
        <v>5.93</v>
      </c>
      <c r="D15" s="64">
        <v>12.27</v>
      </c>
      <c r="E15" s="64">
        <v>5.17</v>
      </c>
      <c r="F15" s="64">
        <v>4.2300000000000004</v>
      </c>
      <c r="G15" s="64">
        <v>40.03</v>
      </c>
      <c r="H15" s="64">
        <v>6.28</v>
      </c>
      <c r="I15" s="64">
        <v>2.3199999999999998</v>
      </c>
      <c r="J15" s="64">
        <v>0.01</v>
      </c>
      <c r="K15" s="64">
        <v>220.64</v>
      </c>
      <c r="L15" s="64">
        <v>23.68</v>
      </c>
      <c r="M15" s="64">
        <v>98.05</v>
      </c>
      <c r="N15" s="64">
        <v>31</v>
      </c>
      <c r="O15" s="64">
        <v>0</v>
      </c>
      <c r="P15" s="64">
        <v>0.32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4" t="s">
        <v>1211</v>
      </c>
      <c r="B16" s="64">
        <v>14.21</v>
      </c>
      <c r="C16" s="64">
        <v>4.6900000000000004</v>
      </c>
      <c r="D16" s="64">
        <v>13.85</v>
      </c>
      <c r="E16" s="64">
        <v>5.23</v>
      </c>
      <c r="F16" s="64">
        <v>4.5</v>
      </c>
      <c r="G16" s="64">
        <v>37.76</v>
      </c>
      <c r="H16" s="64">
        <v>8.36</v>
      </c>
      <c r="I16" s="64">
        <v>2.27</v>
      </c>
      <c r="J16" s="64">
        <v>0.05</v>
      </c>
      <c r="K16" s="64">
        <v>279.91000000000003</v>
      </c>
      <c r="L16" s="64">
        <v>23.75</v>
      </c>
      <c r="M16" s="64">
        <v>98.05</v>
      </c>
      <c r="N16" s="64">
        <v>31</v>
      </c>
      <c r="O16" s="64">
        <v>0</v>
      </c>
      <c r="P16" s="64">
        <v>0.44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4" t="s">
        <v>1212</v>
      </c>
      <c r="B17" s="64">
        <v>10.06</v>
      </c>
      <c r="C17" s="64">
        <v>7.3</v>
      </c>
      <c r="D17" s="64">
        <v>11.88</v>
      </c>
      <c r="E17" s="64">
        <v>5.19</v>
      </c>
      <c r="F17" s="64">
        <v>4.28</v>
      </c>
      <c r="G17" s="64">
        <v>35.94</v>
      </c>
      <c r="H17" s="64">
        <v>9.06</v>
      </c>
      <c r="I17" s="64">
        <v>2.21</v>
      </c>
      <c r="J17" s="64">
        <v>0.05</v>
      </c>
      <c r="K17" s="64">
        <v>234.25</v>
      </c>
      <c r="L17" s="64">
        <v>23.84</v>
      </c>
      <c r="M17" s="64">
        <v>98.03</v>
      </c>
      <c r="N17" s="64">
        <v>31</v>
      </c>
      <c r="O17" s="64">
        <v>0</v>
      </c>
      <c r="P17" s="64">
        <v>0.35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4" t="s">
        <v>1213</v>
      </c>
      <c r="B18" s="64">
        <v>10.96</v>
      </c>
      <c r="C18" s="64">
        <v>6.37</v>
      </c>
      <c r="D18" s="64">
        <v>12.12</v>
      </c>
      <c r="E18" s="64">
        <v>5.28</v>
      </c>
      <c r="F18" s="64">
        <v>2.99</v>
      </c>
      <c r="G18" s="64">
        <v>35.94</v>
      </c>
      <c r="H18" s="64">
        <v>9.06</v>
      </c>
      <c r="I18" s="64">
        <v>2.17</v>
      </c>
      <c r="J18" s="64">
        <v>0.02</v>
      </c>
      <c r="K18" s="64">
        <v>292.37</v>
      </c>
      <c r="L18" s="64">
        <v>23.88</v>
      </c>
      <c r="M18" s="64">
        <v>98.03</v>
      </c>
      <c r="N18" s="64">
        <v>31</v>
      </c>
      <c r="O18" s="64">
        <v>0</v>
      </c>
      <c r="P18" s="64">
        <v>0.43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1214</v>
      </c>
      <c r="B19" s="64">
        <v>9.11</v>
      </c>
      <c r="C19" s="64">
        <v>6.83</v>
      </c>
      <c r="D19" s="64">
        <v>10.87</v>
      </c>
      <c r="E19" s="64">
        <v>5.33</v>
      </c>
      <c r="F19" s="64">
        <v>3.39</v>
      </c>
      <c r="G19" s="64">
        <v>35.94</v>
      </c>
      <c r="H19" s="64">
        <v>9.06</v>
      </c>
      <c r="I19" s="64">
        <v>2.13</v>
      </c>
      <c r="J19" s="64">
        <v>0.01</v>
      </c>
      <c r="K19" s="64">
        <v>112.05</v>
      </c>
      <c r="L19" s="64">
        <v>23.91</v>
      </c>
      <c r="M19" s="64">
        <v>98.03</v>
      </c>
      <c r="N19" s="64">
        <v>31.4</v>
      </c>
      <c r="O19" s="64">
        <v>0</v>
      </c>
      <c r="P19" s="64">
        <v>0.47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1215</v>
      </c>
      <c r="B20" s="64">
        <v>9.0399999999999991</v>
      </c>
      <c r="C20" s="64">
        <v>7.02</v>
      </c>
      <c r="D20" s="64">
        <v>10.92</v>
      </c>
      <c r="E20" s="64">
        <v>5.0599999999999996</v>
      </c>
      <c r="F20" s="64">
        <v>3.67</v>
      </c>
      <c r="G20" s="64">
        <v>34.770000000000003</v>
      </c>
      <c r="H20" s="212" t="s">
        <v>42</v>
      </c>
      <c r="I20" s="64">
        <v>2.1</v>
      </c>
      <c r="J20" s="64">
        <v>0</v>
      </c>
      <c r="K20" s="64">
        <v>230.67</v>
      </c>
      <c r="L20" s="64">
        <v>23.89</v>
      </c>
      <c r="M20" s="64">
        <v>98.03</v>
      </c>
      <c r="N20" s="64">
        <v>31.4</v>
      </c>
      <c r="O20" s="64">
        <v>0</v>
      </c>
      <c r="P20" s="64">
        <v>0.48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1216</v>
      </c>
      <c r="B21" s="64">
        <v>10.1</v>
      </c>
      <c r="C21" s="64">
        <v>7.41</v>
      </c>
      <c r="D21" s="64">
        <v>11.98</v>
      </c>
      <c r="E21" s="64">
        <v>5.19</v>
      </c>
      <c r="F21" s="64">
        <v>4.22</v>
      </c>
      <c r="G21" s="64">
        <v>33.83</v>
      </c>
      <c r="H21" s="212" t="s">
        <v>42</v>
      </c>
      <c r="I21" s="64">
        <v>2.08</v>
      </c>
      <c r="J21" s="64">
        <v>0.04</v>
      </c>
      <c r="K21" s="64">
        <v>296.67</v>
      </c>
      <c r="L21" s="64">
        <v>23.86</v>
      </c>
      <c r="M21" s="64">
        <v>98.03</v>
      </c>
      <c r="N21" s="64">
        <v>31.4</v>
      </c>
      <c r="O21" s="64">
        <v>0</v>
      </c>
      <c r="P21" s="64">
        <v>0.45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1217</v>
      </c>
      <c r="B22" s="64">
        <v>8.4600000000000009</v>
      </c>
      <c r="C22" s="64">
        <v>7.82</v>
      </c>
      <c r="D22" s="64">
        <v>10.87</v>
      </c>
      <c r="E22" s="64">
        <v>4.82</v>
      </c>
      <c r="F22" s="64">
        <v>3.47</v>
      </c>
      <c r="G22" s="64">
        <v>33.83</v>
      </c>
      <c r="H22" s="212" t="s">
        <v>42</v>
      </c>
      <c r="I22" s="64">
        <v>2.0699999999999998</v>
      </c>
      <c r="J22" s="64">
        <v>0.05</v>
      </c>
      <c r="K22" s="64">
        <v>296.64999999999998</v>
      </c>
      <c r="L22" s="64">
        <v>23.87</v>
      </c>
      <c r="M22" s="64">
        <v>98.03</v>
      </c>
      <c r="N22" s="64">
        <v>31.4</v>
      </c>
      <c r="O22" s="64">
        <v>0</v>
      </c>
      <c r="P22" s="64">
        <v>0.45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4" t="s">
        <v>1218</v>
      </c>
      <c r="B23" s="64">
        <v>9.7899999999999991</v>
      </c>
      <c r="C23" s="64">
        <v>7.77</v>
      </c>
      <c r="D23" s="64">
        <v>11.91</v>
      </c>
      <c r="E23" s="64">
        <v>5.08</v>
      </c>
      <c r="F23" s="64">
        <v>3.12</v>
      </c>
      <c r="G23" s="64">
        <v>33.83</v>
      </c>
      <c r="H23" s="212" t="s">
        <v>42</v>
      </c>
      <c r="I23" s="64">
        <v>2.06</v>
      </c>
      <c r="J23" s="64">
        <v>0.04</v>
      </c>
      <c r="K23" s="64">
        <v>72.09</v>
      </c>
      <c r="L23" s="64">
        <v>23.88</v>
      </c>
      <c r="M23" s="64">
        <v>98.03</v>
      </c>
      <c r="N23" s="64">
        <v>31.4</v>
      </c>
      <c r="O23" s="64">
        <v>0</v>
      </c>
      <c r="P23" s="64">
        <v>0.45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4" t="s">
        <v>1219</v>
      </c>
      <c r="B24" s="64">
        <v>9.4600000000000009</v>
      </c>
      <c r="C24" s="64">
        <v>10.08</v>
      </c>
      <c r="D24" s="64">
        <v>12.86</v>
      </c>
      <c r="E24" s="64">
        <v>5.01</v>
      </c>
      <c r="F24" s="64">
        <v>3.78</v>
      </c>
      <c r="G24" s="64">
        <v>33.4</v>
      </c>
      <c r="H24" s="212" t="s">
        <v>42</v>
      </c>
      <c r="I24" s="64">
        <v>2.06</v>
      </c>
      <c r="J24" s="64">
        <v>0.02</v>
      </c>
      <c r="K24" s="64">
        <v>279.63</v>
      </c>
      <c r="L24" s="64">
        <v>23.83</v>
      </c>
      <c r="M24" s="64">
        <v>98.03</v>
      </c>
      <c r="N24" s="64">
        <v>31.3</v>
      </c>
      <c r="O24" s="64">
        <v>0</v>
      </c>
      <c r="P24" s="64">
        <v>0.43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4" t="s">
        <v>1220</v>
      </c>
      <c r="B25" s="64">
        <v>12.21</v>
      </c>
      <c r="C25" s="64">
        <v>9.6</v>
      </c>
      <c r="D25" s="64">
        <v>14.81</v>
      </c>
      <c r="E25" s="64">
        <v>5.16</v>
      </c>
      <c r="F25" s="64">
        <v>3.7</v>
      </c>
      <c r="G25" s="64">
        <v>33.06</v>
      </c>
      <c r="H25" s="212" t="s">
        <v>42</v>
      </c>
      <c r="I25" s="64">
        <v>2.06</v>
      </c>
      <c r="J25" s="64">
        <v>0.03</v>
      </c>
      <c r="K25" s="64">
        <v>241.35</v>
      </c>
      <c r="L25" s="64">
        <v>23.8</v>
      </c>
      <c r="M25" s="64">
        <v>98.03</v>
      </c>
      <c r="N25" s="64">
        <v>31.4</v>
      </c>
      <c r="O25" s="64">
        <v>0</v>
      </c>
      <c r="P25" s="64">
        <v>0.43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1221</v>
      </c>
      <c r="B26" s="64">
        <v>9.01</v>
      </c>
      <c r="C26" s="64">
        <v>10.47</v>
      </c>
      <c r="D26" s="64">
        <v>12.69</v>
      </c>
      <c r="E26" s="64">
        <v>5.21</v>
      </c>
      <c r="F26" s="64">
        <v>3.56</v>
      </c>
      <c r="G26" s="64">
        <v>33.06</v>
      </c>
      <c r="H26" s="212" t="s">
        <v>42</v>
      </c>
      <c r="I26" s="64">
        <v>2.06</v>
      </c>
      <c r="J26" s="64">
        <v>0.06</v>
      </c>
      <c r="K26" s="64">
        <v>195.29</v>
      </c>
      <c r="L26" s="64">
        <v>23.8</v>
      </c>
      <c r="M26" s="64">
        <v>98.03</v>
      </c>
      <c r="N26" s="64">
        <v>31.3</v>
      </c>
      <c r="O26" s="64">
        <v>0</v>
      </c>
      <c r="P26" s="64">
        <v>0.38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1222</v>
      </c>
      <c r="B27" s="64">
        <v>9.32</v>
      </c>
      <c r="C27" s="64">
        <v>8.02</v>
      </c>
      <c r="D27" s="64">
        <v>11.66</v>
      </c>
      <c r="E27" s="64">
        <v>5.38</v>
      </c>
      <c r="F27" s="64">
        <v>4.74</v>
      </c>
      <c r="G27" s="64">
        <v>33.06</v>
      </c>
      <c r="H27" s="212" t="s">
        <v>42</v>
      </c>
      <c r="I27" s="64">
        <v>2.06</v>
      </c>
      <c r="J27" s="64">
        <v>0.06</v>
      </c>
      <c r="K27" s="64">
        <v>172.11</v>
      </c>
      <c r="L27" s="64">
        <v>23.84</v>
      </c>
      <c r="M27" s="64">
        <v>98.03</v>
      </c>
      <c r="N27" s="64">
        <v>31.4</v>
      </c>
      <c r="O27" s="64">
        <v>0</v>
      </c>
      <c r="P27" s="64">
        <v>0.34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1223</v>
      </c>
      <c r="B28" s="64">
        <v>8.6999999999999993</v>
      </c>
      <c r="C28" s="64">
        <v>8.18</v>
      </c>
      <c r="D28" s="64">
        <v>11.25</v>
      </c>
      <c r="E28" s="64">
        <v>5.37</v>
      </c>
      <c r="F28" s="64">
        <v>4.4400000000000004</v>
      </c>
      <c r="G28" s="64">
        <v>37.01</v>
      </c>
      <c r="H28" s="212" t="s">
        <v>42</v>
      </c>
      <c r="I28" s="64">
        <v>2.06</v>
      </c>
      <c r="J28" s="64">
        <v>0.02</v>
      </c>
      <c r="K28" s="64">
        <v>200.21</v>
      </c>
      <c r="L28" s="64">
        <v>23.86</v>
      </c>
      <c r="M28" s="64">
        <v>98.03</v>
      </c>
      <c r="N28" s="64">
        <v>31.4</v>
      </c>
      <c r="O28" s="64">
        <v>0</v>
      </c>
      <c r="P28" s="64">
        <v>0.44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4" t="s">
        <v>1224</v>
      </c>
      <c r="B29" s="64">
        <v>14.69</v>
      </c>
      <c r="C29" s="64">
        <v>7.15</v>
      </c>
      <c r="D29" s="64">
        <v>15.52</v>
      </c>
      <c r="E29" s="64">
        <v>5.22</v>
      </c>
      <c r="F29" s="64">
        <v>2.56</v>
      </c>
      <c r="G29" s="64">
        <v>40.159999999999997</v>
      </c>
      <c r="H29" s="212" t="s">
        <v>42</v>
      </c>
      <c r="I29" s="64">
        <v>2.0499999999999998</v>
      </c>
      <c r="J29" s="64">
        <v>0.06</v>
      </c>
      <c r="K29" s="64">
        <v>0.63</v>
      </c>
      <c r="L29" s="64">
        <v>23.84</v>
      </c>
      <c r="M29" s="64">
        <v>98.04</v>
      </c>
      <c r="N29" s="64">
        <v>31.4</v>
      </c>
      <c r="O29" s="64">
        <v>0</v>
      </c>
      <c r="P29" s="64">
        <v>0.47</v>
      </c>
      <c r="Q29" s="64">
        <v>9.58</v>
      </c>
      <c r="R29" s="198"/>
      <c r="S29" s="198"/>
      <c r="T29" s="198"/>
      <c r="U29" s="198"/>
    </row>
    <row r="30" spans="1:21" s="12" customFormat="1" x14ac:dyDescent="0.25">
      <c r="A30" s="214" t="s">
        <v>1225</v>
      </c>
      <c r="B30" s="64">
        <v>9.94</v>
      </c>
      <c r="C30" s="64">
        <v>8.91</v>
      </c>
      <c r="D30" s="64">
        <v>12.62</v>
      </c>
      <c r="E30" s="64">
        <v>5.1100000000000003</v>
      </c>
      <c r="F30" s="64">
        <v>3.85</v>
      </c>
      <c r="G30" s="64">
        <v>40.159999999999997</v>
      </c>
      <c r="H30" s="212" t="s">
        <v>42</v>
      </c>
      <c r="I30" s="64">
        <v>2.0299999999999998</v>
      </c>
      <c r="J30" s="64">
        <v>0.02</v>
      </c>
      <c r="K30" s="64">
        <v>16.489999999999998</v>
      </c>
      <c r="L30" s="64">
        <v>23.82</v>
      </c>
      <c r="M30" s="64">
        <v>98.02</v>
      </c>
      <c r="N30" s="64">
        <v>31.4</v>
      </c>
      <c r="O30" s="64">
        <v>0</v>
      </c>
      <c r="P30" s="64">
        <v>0.35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14" t="s">
        <v>1226</v>
      </c>
      <c r="B31" s="64">
        <v>9.68</v>
      </c>
      <c r="C31" s="64">
        <v>9.9700000000000006</v>
      </c>
      <c r="D31" s="64">
        <v>12.97</v>
      </c>
      <c r="E31" s="64">
        <v>4.95</v>
      </c>
      <c r="F31" s="64">
        <v>2.61</v>
      </c>
      <c r="G31" s="64">
        <v>40.159999999999997</v>
      </c>
      <c r="H31" s="212" t="s">
        <v>42</v>
      </c>
      <c r="I31" s="64">
        <v>1.99</v>
      </c>
      <c r="J31" s="64">
        <v>0.11</v>
      </c>
      <c r="K31" s="64">
        <v>137.32</v>
      </c>
      <c r="L31" s="64">
        <v>23.77</v>
      </c>
      <c r="M31" s="64">
        <v>98</v>
      </c>
      <c r="N31" s="64">
        <v>32.700000000000003</v>
      </c>
      <c r="O31" s="64">
        <v>0</v>
      </c>
      <c r="P31" s="64">
        <v>0.39</v>
      </c>
      <c r="Q31" s="64">
        <v>9.57</v>
      </c>
      <c r="R31" s="198"/>
      <c r="S31" s="198"/>
      <c r="T31" s="198"/>
      <c r="U31" s="198"/>
    </row>
    <row r="32" spans="1:21" s="12" customFormat="1" x14ac:dyDescent="0.25">
      <c r="A32" s="214" t="s">
        <v>1227</v>
      </c>
      <c r="B32" s="64">
        <v>13.87</v>
      </c>
      <c r="C32" s="64">
        <v>9.66</v>
      </c>
      <c r="D32" s="64">
        <v>16.170000000000002</v>
      </c>
      <c r="E32" s="64">
        <v>5.31</v>
      </c>
      <c r="F32" s="64">
        <v>2.69</v>
      </c>
      <c r="G32" s="64">
        <v>41.47</v>
      </c>
      <c r="H32" s="64">
        <v>20.74</v>
      </c>
      <c r="I32" s="64">
        <v>1.97</v>
      </c>
      <c r="J32" s="64">
        <v>7.0000000000000007E-2</v>
      </c>
      <c r="K32" s="64">
        <v>175.68</v>
      </c>
      <c r="L32" s="64">
        <v>23.89</v>
      </c>
      <c r="M32" s="64">
        <v>97.96</v>
      </c>
      <c r="N32" s="64">
        <v>39.799999999999997</v>
      </c>
      <c r="O32" s="64">
        <v>0</v>
      </c>
      <c r="P32" s="64">
        <v>0.37</v>
      </c>
      <c r="Q32" s="64">
        <v>9.56</v>
      </c>
      <c r="R32" s="198"/>
      <c r="S32" s="198"/>
      <c r="T32" s="198"/>
      <c r="U32" s="198"/>
    </row>
    <row r="33" spans="1:21" s="12" customFormat="1" x14ac:dyDescent="0.25">
      <c r="A33" s="214" t="s">
        <v>1228</v>
      </c>
      <c r="B33" s="64">
        <v>13.32</v>
      </c>
      <c r="C33" s="64">
        <v>8.18</v>
      </c>
      <c r="D33" s="64">
        <v>14.95</v>
      </c>
      <c r="E33" s="64">
        <v>5.38</v>
      </c>
      <c r="F33" s="64">
        <v>2.95</v>
      </c>
      <c r="G33" s="64">
        <v>42.52</v>
      </c>
      <c r="H33" s="64">
        <v>9.4499999999999993</v>
      </c>
      <c r="I33" s="64">
        <v>1.98</v>
      </c>
      <c r="J33" s="64">
        <v>0.06</v>
      </c>
      <c r="K33" s="64">
        <v>197.57</v>
      </c>
      <c r="L33" s="64">
        <v>24.06</v>
      </c>
      <c r="M33" s="64">
        <v>98.05</v>
      </c>
      <c r="N33" s="64">
        <v>57.3</v>
      </c>
      <c r="O33" s="64">
        <v>0</v>
      </c>
      <c r="P33" s="64">
        <v>0.42</v>
      </c>
      <c r="Q33" s="64">
        <v>9.5500000000000007</v>
      </c>
      <c r="R33" s="198"/>
      <c r="S33" s="198"/>
      <c r="T33" s="198"/>
      <c r="U33" s="198"/>
    </row>
    <row r="34" spans="1:21" s="12" customFormat="1" x14ac:dyDescent="0.25">
      <c r="A34" s="214" t="s">
        <v>1229</v>
      </c>
      <c r="B34" s="64">
        <v>12.83</v>
      </c>
      <c r="C34" s="64">
        <v>7.38</v>
      </c>
      <c r="D34" s="64">
        <v>14.14</v>
      </c>
      <c r="E34" s="64">
        <v>5.24</v>
      </c>
      <c r="F34" s="64">
        <v>2.33</v>
      </c>
      <c r="G34" s="64">
        <v>42.52</v>
      </c>
      <c r="H34" s="64">
        <v>9.4499999999999993</v>
      </c>
      <c r="I34" s="64">
        <v>1.98</v>
      </c>
      <c r="J34" s="64">
        <v>0.03</v>
      </c>
      <c r="K34" s="64">
        <v>277.61</v>
      </c>
      <c r="L34" s="64">
        <v>24.24</v>
      </c>
      <c r="M34" s="64">
        <v>98.09</v>
      </c>
      <c r="N34" s="64">
        <v>76.099999999999994</v>
      </c>
      <c r="O34" s="64">
        <v>0</v>
      </c>
      <c r="P34" s="64">
        <v>0.43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14" t="s">
        <v>1230</v>
      </c>
      <c r="B35" s="64">
        <v>14.64</v>
      </c>
      <c r="C35" s="64">
        <v>6.11</v>
      </c>
      <c r="D35" s="64">
        <v>14.93</v>
      </c>
      <c r="E35" s="64">
        <v>5.23</v>
      </c>
      <c r="F35" s="64">
        <v>3.6</v>
      </c>
      <c r="G35" s="64">
        <v>42.52</v>
      </c>
      <c r="H35" s="64">
        <v>9.4499999999999993</v>
      </c>
      <c r="I35" s="64">
        <v>1.98</v>
      </c>
      <c r="J35" s="64">
        <v>0.09</v>
      </c>
      <c r="K35" s="64">
        <v>295.07</v>
      </c>
      <c r="L35" s="64">
        <v>24.39</v>
      </c>
      <c r="M35" s="64">
        <v>98.1</v>
      </c>
      <c r="N35" s="64">
        <v>88.7</v>
      </c>
      <c r="O35" s="64">
        <v>0</v>
      </c>
      <c r="P35" s="64">
        <v>0.44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4" t="s">
        <v>1231</v>
      </c>
      <c r="B36" s="64">
        <v>14.1</v>
      </c>
      <c r="C36" s="64">
        <v>5.5</v>
      </c>
      <c r="D36" s="64">
        <v>14.18</v>
      </c>
      <c r="E36" s="64">
        <v>5.27</v>
      </c>
      <c r="F36" s="64">
        <v>2.78</v>
      </c>
      <c r="G36" s="64">
        <v>42.07</v>
      </c>
      <c r="H36" s="64">
        <v>10.45</v>
      </c>
      <c r="I36" s="64">
        <v>1.98</v>
      </c>
      <c r="J36" s="64">
        <v>0.06</v>
      </c>
      <c r="K36" s="64">
        <v>309.31</v>
      </c>
      <c r="L36" s="64">
        <v>24.54</v>
      </c>
      <c r="M36" s="64">
        <v>98.06</v>
      </c>
      <c r="N36" s="64">
        <v>115.8</v>
      </c>
      <c r="O36" s="64">
        <v>0</v>
      </c>
      <c r="P36" s="64">
        <v>0.44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4" t="s">
        <v>1232</v>
      </c>
      <c r="B37" s="64">
        <v>12.47</v>
      </c>
      <c r="C37" s="64">
        <v>7.26</v>
      </c>
      <c r="D37" s="64">
        <v>13.8</v>
      </c>
      <c r="E37" s="64">
        <v>5.15</v>
      </c>
      <c r="F37" s="64">
        <v>3.65</v>
      </c>
      <c r="G37" s="64">
        <v>41.72</v>
      </c>
      <c r="H37" s="64">
        <v>10.86</v>
      </c>
      <c r="I37" s="64">
        <v>1.96</v>
      </c>
      <c r="J37" s="64">
        <v>0.12</v>
      </c>
      <c r="K37" s="64">
        <v>302.7</v>
      </c>
      <c r="L37" s="64">
        <v>25.23</v>
      </c>
      <c r="M37" s="64">
        <v>98.05</v>
      </c>
      <c r="N37" s="64">
        <v>194.1</v>
      </c>
      <c r="O37" s="64">
        <v>0</v>
      </c>
      <c r="P37" s="64">
        <v>0.4</v>
      </c>
      <c r="Q37" s="64">
        <v>9.56</v>
      </c>
      <c r="R37" s="198"/>
      <c r="S37" s="198"/>
      <c r="T37" s="198"/>
      <c r="U37" s="198"/>
    </row>
    <row r="38" spans="1:21" s="12" customFormat="1" x14ac:dyDescent="0.25">
      <c r="A38" s="214" t="s">
        <v>1233</v>
      </c>
      <c r="B38" s="64">
        <v>16.899999999999999</v>
      </c>
      <c r="C38" s="64">
        <v>5.34</v>
      </c>
      <c r="D38" s="64">
        <v>16.34</v>
      </c>
      <c r="E38" s="64">
        <v>5.3</v>
      </c>
      <c r="F38" s="64">
        <v>3.5</v>
      </c>
      <c r="G38" s="64">
        <v>41.72</v>
      </c>
      <c r="H38" s="64">
        <v>10.86</v>
      </c>
      <c r="I38" s="64">
        <v>1.94</v>
      </c>
      <c r="J38" s="64">
        <v>0.18</v>
      </c>
      <c r="K38" s="64">
        <v>331.16</v>
      </c>
      <c r="L38" s="64">
        <v>26.87</v>
      </c>
      <c r="M38" s="64">
        <v>97.96</v>
      </c>
      <c r="N38" s="64">
        <v>213</v>
      </c>
      <c r="O38" s="64">
        <v>0</v>
      </c>
      <c r="P38" s="64">
        <v>0.47</v>
      </c>
      <c r="Q38" s="64">
        <v>9.5500000000000007</v>
      </c>
      <c r="R38" s="198"/>
      <c r="S38" s="198"/>
      <c r="T38" s="198"/>
      <c r="U38" s="198"/>
    </row>
    <row r="39" spans="1:21" s="12" customFormat="1" x14ac:dyDescent="0.25">
      <c r="A39" s="214" t="s">
        <v>1234</v>
      </c>
      <c r="B39" s="64">
        <v>16.21</v>
      </c>
      <c r="C39" s="64">
        <v>6.79</v>
      </c>
      <c r="D39" s="64">
        <v>16.55</v>
      </c>
      <c r="E39" s="64">
        <v>5.32</v>
      </c>
      <c r="F39" s="64">
        <v>5.63</v>
      </c>
      <c r="G39" s="64">
        <v>41.72</v>
      </c>
      <c r="H39" s="64">
        <v>10.86</v>
      </c>
      <c r="I39" s="64">
        <v>1.92</v>
      </c>
      <c r="J39" s="64">
        <v>0.13</v>
      </c>
      <c r="K39" s="64">
        <v>314.29000000000002</v>
      </c>
      <c r="L39" s="64">
        <v>27.76</v>
      </c>
      <c r="M39" s="64">
        <v>97.89</v>
      </c>
      <c r="N39" s="64">
        <v>221.4</v>
      </c>
      <c r="O39" s="64">
        <v>0</v>
      </c>
      <c r="P39" s="64">
        <v>0.49</v>
      </c>
      <c r="Q39" s="64">
        <v>9.57</v>
      </c>
      <c r="R39" s="198"/>
      <c r="S39" s="198"/>
      <c r="T39" s="198"/>
      <c r="U39" s="198"/>
    </row>
    <row r="40" spans="1:21" s="12" customFormat="1" x14ac:dyDescent="0.25">
      <c r="A40" s="214" t="s">
        <v>1235</v>
      </c>
      <c r="B40" s="64">
        <v>18.239999999999998</v>
      </c>
      <c r="C40" s="64">
        <v>9.23</v>
      </c>
      <c r="D40" s="64">
        <v>19.45</v>
      </c>
      <c r="E40" s="64">
        <v>5.28</v>
      </c>
      <c r="F40" s="64">
        <v>5.87</v>
      </c>
      <c r="G40" s="64">
        <v>44.61</v>
      </c>
      <c r="H40" s="64">
        <v>7.63</v>
      </c>
      <c r="I40" s="64">
        <v>1.92</v>
      </c>
      <c r="J40" s="64">
        <v>0.32</v>
      </c>
      <c r="K40" s="64">
        <v>336.44</v>
      </c>
      <c r="L40" s="64">
        <v>28.39</v>
      </c>
      <c r="M40" s="64">
        <v>97.84</v>
      </c>
      <c r="N40" s="64">
        <v>235.7</v>
      </c>
      <c r="O40" s="64">
        <v>0</v>
      </c>
      <c r="P40" s="64">
        <v>0.43</v>
      </c>
      <c r="Q40" s="64">
        <v>9.59</v>
      </c>
      <c r="R40" s="198"/>
      <c r="S40" s="198"/>
      <c r="T40" s="198"/>
      <c r="U40" s="198"/>
    </row>
    <row r="41" spans="1:21" s="12" customFormat="1" x14ac:dyDescent="0.25">
      <c r="A41" s="214" t="s">
        <v>1236</v>
      </c>
      <c r="B41" s="64">
        <v>17.97</v>
      </c>
      <c r="C41" s="64">
        <v>10.130000000000001</v>
      </c>
      <c r="D41" s="64">
        <v>19.7</v>
      </c>
      <c r="E41" s="64">
        <v>5.15</v>
      </c>
      <c r="F41" s="64">
        <v>5.37</v>
      </c>
      <c r="G41" s="64">
        <v>46.92</v>
      </c>
      <c r="H41" s="64">
        <v>6.55</v>
      </c>
      <c r="I41" s="64">
        <v>1.93</v>
      </c>
      <c r="J41" s="64">
        <v>0.08</v>
      </c>
      <c r="K41" s="64">
        <v>335.51</v>
      </c>
      <c r="L41" s="64">
        <v>28.6</v>
      </c>
      <c r="M41" s="64">
        <v>97.82</v>
      </c>
      <c r="N41" s="64">
        <v>306.89999999999998</v>
      </c>
      <c r="O41" s="64">
        <v>0</v>
      </c>
      <c r="P41" s="64">
        <v>0.44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4" t="s">
        <v>1237</v>
      </c>
      <c r="B42" s="64">
        <v>14.87</v>
      </c>
      <c r="C42" s="64">
        <v>10.01</v>
      </c>
      <c r="D42" s="64">
        <v>17.16</v>
      </c>
      <c r="E42" s="64">
        <v>5.25</v>
      </c>
      <c r="F42" s="64">
        <v>6.19</v>
      </c>
      <c r="G42" s="64">
        <v>46.92</v>
      </c>
      <c r="H42" s="64">
        <v>6.55</v>
      </c>
      <c r="I42" s="64">
        <v>1.93</v>
      </c>
      <c r="J42" s="64">
        <v>0.3</v>
      </c>
      <c r="K42" s="64">
        <v>133.36000000000001</v>
      </c>
      <c r="L42" s="64">
        <v>28.81</v>
      </c>
      <c r="M42" s="64">
        <v>97.73</v>
      </c>
      <c r="N42" s="64">
        <v>415</v>
      </c>
      <c r="O42" s="64">
        <v>0</v>
      </c>
      <c r="P42" s="64">
        <v>0.35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4" t="s">
        <v>1238</v>
      </c>
      <c r="B43" s="64">
        <v>16.45</v>
      </c>
      <c r="C43" s="64">
        <v>11.54</v>
      </c>
      <c r="D43" s="64">
        <v>19.21</v>
      </c>
      <c r="E43" s="64">
        <v>5.33</v>
      </c>
      <c r="F43" s="64">
        <v>5.75</v>
      </c>
      <c r="G43" s="64">
        <v>46.92</v>
      </c>
      <c r="H43" s="64">
        <v>6.55</v>
      </c>
      <c r="I43" s="64">
        <v>1.93</v>
      </c>
      <c r="J43" s="64">
        <v>0.17</v>
      </c>
      <c r="K43" s="64">
        <v>326.3</v>
      </c>
      <c r="L43" s="64">
        <v>29.48</v>
      </c>
      <c r="M43" s="64">
        <v>96.83</v>
      </c>
      <c r="N43" s="64">
        <v>255.8</v>
      </c>
      <c r="O43" s="64">
        <v>0</v>
      </c>
      <c r="P43" s="64">
        <v>0.49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4" t="s">
        <v>1239</v>
      </c>
      <c r="B44" s="64">
        <v>24.16</v>
      </c>
      <c r="C44" s="64">
        <v>13.55</v>
      </c>
      <c r="D44" s="64">
        <v>26.45</v>
      </c>
      <c r="E44" s="64">
        <v>5.77</v>
      </c>
      <c r="F44" s="64">
        <v>8.39</v>
      </c>
      <c r="G44" s="64">
        <v>48.11</v>
      </c>
      <c r="H44" s="64">
        <v>6.42</v>
      </c>
      <c r="I44" s="64">
        <v>1.91</v>
      </c>
      <c r="J44" s="64">
        <v>0.41</v>
      </c>
      <c r="K44" s="64">
        <v>342.8</v>
      </c>
      <c r="L44" s="64">
        <v>30.04</v>
      </c>
      <c r="M44" s="64">
        <v>93.14</v>
      </c>
      <c r="N44" s="64">
        <v>355.8</v>
      </c>
      <c r="O44" s="64">
        <v>0</v>
      </c>
      <c r="P44" s="64">
        <v>0.6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1240</v>
      </c>
      <c r="B45" s="64">
        <v>10.41</v>
      </c>
      <c r="C45" s="64">
        <v>10.01</v>
      </c>
      <c r="D45" s="64">
        <v>13.58</v>
      </c>
      <c r="E45" s="64">
        <v>5.59</v>
      </c>
      <c r="F45" s="64">
        <v>10.1</v>
      </c>
      <c r="G45" s="64">
        <v>49.06</v>
      </c>
      <c r="H45" s="64">
        <v>6.3</v>
      </c>
      <c r="I45" s="64">
        <v>1.9</v>
      </c>
      <c r="J45" s="64">
        <v>0.22</v>
      </c>
      <c r="K45" s="64">
        <v>114.79</v>
      </c>
      <c r="L45" s="64">
        <v>30.37</v>
      </c>
      <c r="M45" s="64">
        <v>88.94</v>
      </c>
      <c r="N45" s="64">
        <v>647.79999999999995</v>
      </c>
      <c r="O45" s="64">
        <v>0</v>
      </c>
      <c r="P45" s="64">
        <v>0.35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1241</v>
      </c>
      <c r="B46" s="64">
        <v>12.48</v>
      </c>
      <c r="C46" s="64">
        <v>9</v>
      </c>
      <c r="D46" s="64">
        <v>14.71</v>
      </c>
      <c r="E46" s="64">
        <v>5.7</v>
      </c>
      <c r="F46" s="64">
        <v>7.59</v>
      </c>
      <c r="G46" s="64">
        <v>49.06</v>
      </c>
      <c r="H46" s="64">
        <v>6.3</v>
      </c>
      <c r="I46" s="64">
        <v>1.9</v>
      </c>
      <c r="J46" s="64">
        <v>0.09</v>
      </c>
      <c r="K46" s="64">
        <v>227.49</v>
      </c>
      <c r="L46" s="64">
        <v>30.91</v>
      </c>
      <c r="M46" s="64">
        <v>89.39</v>
      </c>
      <c r="N46" s="64">
        <v>582</v>
      </c>
      <c r="O46" s="64">
        <v>0</v>
      </c>
      <c r="P46" s="64">
        <v>0.44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4" t="s">
        <v>1242</v>
      </c>
      <c r="B47" s="64">
        <v>14.6</v>
      </c>
      <c r="C47" s="64">
        <v>13.13</v>
      </c>
      <c r="D47" s="64">
        <v>18.57</v>
      </c>
      <c r="E47" s="64">
        <v>5.89</v>
      </c>
      <c r="F47" s="64">
        <v>12.65</v>
      </c>
      <c r="G47" s="64">
        <v>49.06</v>
      </c>
      <c r="H47" s="64">
        <v>6.3</v>
      </c>
      <c r="I47" s="64">
        <v>1.89</v>
      </c>
      <c r="J47" s="64">
        <v>0.4</v>
      </c>
      <c r="K47" s="64">
        <v>332.18</v>
      </c>
      <c r="L47" s="64">
        <v>32.49</v>
      </c>
      <c r="M47" s="64">
        <v>78.17</v>
      </c>
      <c r="N47" s="64">
        <v>641.79999999999995</v>
      </c>
      <c r="O47" s="64">
        <v>0</v>
      </c>
      <c r="P47" s="64">
        <v>0.49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1243</v>
      </c>
      <c r="B48" s="64">
        <v>12.7</v>
      </c>
      <c r="C48" s="64">
        <v>18.37</v>
      </c>
      <c r="D48" s="64">
        <v>19.78</v>
      </c>
      <c r="E48" s="64">
        <v>5.48</v>
      </c>
      <c r="F48" s="64">
        <v>10.86</v>
      </c>
      <c r="G48" s="64">
        <v>48.23</v>
      </c>
      <c r="H48" s="64">
        <v>11.14</v>
      </c>
      <c r="I48" s="64">
        <v>1.87</v>
      </c>
      <c r="J48" s="64">
        <v>0.26</v>
      </c>
      <c r="K48" s="64">
        <v>327.52999999999997</v>
      </c>
      <c r="L48" s="64">
        <v>32.729999999999997</v>
      </c>
      <c r="M48" s="64">
        <v>75.989999999999995</v>
      </c>
      <c r="N48" s="64">
        <v>259.2</v>
      </c>
      <c r="O48" s="64">
        <v>0</v>
      </c>
      <c r="P48" s="64">
        <v>0.65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4" t="s">
        <v>1244</v>
      </c>
      <c r="B49" s="64">
        <v>14.25</v>
      </c>
      <c r="C49" s="64">
        <v>12.85</v>
      </c>
      <c r="D49" s="64">
        <v>18.14</v>
      </c>
      <c r="E49" s="64">
        <v>5.53</v>
      </c>
      <c r="F49" s="64">
        <v>8.75</v>
      </c>
      <c r="G49" s="64">
        <v>47.57</v>
      </c>
      <c r="H49" s="64">
        <v>13.03</v>
      </c>
      <c r="I49" s="64">
        <v>1.86</v>
      </c>
      <c r="J49" s="64">
        <v>1.66</v>
      </c>
      <c r="K49" s="64">
        <v>338.48</v>
      </c>
      <c r="L49" s="64">
        <v>30.01</v>
      </c>
      <c r="M49" s="64">
        <v>89.12</v>
      </c>
      <c r="N49" s="64">
        <v>118.1</v>
      </c>
      <c r="O49" s="64">
        <v>0</v>
      </c>
      <c r="P49" s="64">
        <v>0.54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4" t="s">
        <v>1245</v>
      </c>
      <c r="B50" s="64">
        <v>14.77</v>
      </c>
      <c r="C50" s="64">
        <v>8.75</v>
      </c>
      <c r="D50" s="64">
        <v>16.420000000000002</v>
      </c>
      <c r="E50" s="64">
        <v>5.86</v>
      </c>
      <c r="F50" s="64">
        <v>9.0500000000000007</v>
      </c>
      <c r="G50" s="64">
        <v>47.57</v>
      </c>
      <c r="H50" s="64">
        <v>13.03</v>
      </c>
      <c r="I50" s="64">
        <v>1.87</v>
      </c>
      <c r="J50" s="64">
        <v>1.05</v>
      </c>
      <c r="K50" s="64">
        <v>331.48</v>
      </c>
      <c r="L50" s="64">
        <v>26.96</v>
      </c>
      <c r="M50" s="64">
        <v>97.85</v>
      </c>
      <c r="N50" s="64">
        <v>137.30000000000001</v>
      </c>
      <c r="O50" s="64">
        <v>0</v>
      </c>
      <c r="P50" s="64">
        <v>0.48</v>
      </c>
      <c r="Q50" s="64">
        <v>9.59</v>
      </c>
      <c r="R50" s="198"/>
      <c r="S50" s="198"/>
      <c r="T50" s="198"/>
      <c r="U50" s="198"/>
    </row>
    <row r="51" spans="1:21" s="12" customFormat="1" x14ac:dyDescent="0.25">
      <c r="A51" s="214" t="s">
        <v>1246</v>
      </c>
      <c r="B51" s="64">
        <v>14.76</v>
      </c>
      <c r="C51" s="64">
        <v>7.03</v>
      </c>
      <c r="D51" s="64">
        <v>15.51</v>
      </c>
      <c r="E51" s="64">
        <v>5.93</v>
      </c>
      <c r="F51" s="64">
        <v>8.11</v>
      </c>
      <c r="G51" s="64">
        <v>47.57</v>
      </c>
      <c r="H51" s="64">
        <v>13.03</v>
      </c>
      <c r="I51" s="64">
        <v>1.87</v>
      </c>
      <c r="J51" s="64">
        <v>0.28000000000000003</v>
      </c>
      <c r="K51" s="64">
        <v>323.18</v>
      </c>
      <c r="L51" s="64">
        <v>25.18</v>
      </c>
      <c r="M51" s="64">
        <v>97.93</v>
      </c>
      <c r="N51" s="64">
        <v>78.7</v>
      </c>
      <c r="O51" s="64">
        <v>0</v>
      </c>
      <c r="P51" s="64">
        <v>0.46</v>
      </c>
      <c r="Q51" s="64">
        <v>9.57</v>
      </c>
      <c r="R51" s="198"/>
      <c r="S51" s="198"/>
      <c r="T51" s="198"/>
      <c r="U51" s="198"/>
    </row>
    <row r="52" spans="1:21" s="12" customFormat="1" x14ac:dyDescent="0.25">
      <c r="A52" s="214" t="s">
        <v>1247</v>
      </c>
      <c r="B52" s="64">
        <v>12.56</v>
      </c>
      <c r="C52" s="64">
        <v>7.77</v>
      </c>
      <c r="D52" s="64">
        <v>14.13</v>
      </c>
      <c r="E52" s="64">
        <v>5.6</v>
      </c>
      <c r="F52" s="64">
        <v>8.57</v>
      </c>
      <c r="G52" s="64">
        <v>48.57</v>
      </c>
      <c r="H52" s="64">
        <v>8.57</v>
      </c>
      <c r="I52" s="64">
        <v>1.84</v>
      </c>
      <c r="J52" s="64">
        <v>0.02</v>
      </c>
      <c r="K52" s="64">
        <v>45.34</v>
      </c>
      <c r="L52" s="64">
        <v>24.29</v>
      </c>
      <c r="M52" s="64">
        <v>98</v>
      </c>
      <c r="N52" s="64">
        <v>151.9</v>
      </c>
      <c r="O52" s="64">
        <v>0</v>
      </c>
      <c r="P52" s="64">
        <v>0.43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4" t="s">
        <v>1248</v>
      </c>
      <c r="B53" s="64">
        <v>14.41</v>
      </c>
      <c r="C53" s="64">
        <v>7.51</v>
      </c>
      <c r="D53" s="64">
        <v>15.48</v>
      </c>
      <c r="E53" s="64">
        <v>5.7</v>
      </c>
      <c r="F53" s="64">
        <v>6.17</v>
      </c>
      <c r="G53" s="64">
        <v>49.33</v>
      </c>
      <c r="H53" s="64">
        <v>7.09</v>
      </c>
      <c r="I53" s="64">
        <v>1.81</v>
      </c>
      <c r="J53" s="64">
        <v>0.11</v>
      </c>
      <c r="K53" s="64">
        <v>344.61</v>
      </c>
      <c r="L53" s="64">
        <v>23.88</v>
      </c>
      <c r="M53" s="64">
        <v>98.07</v>
      </c>
      <c r="N53" s="64">
        <v>149.1</v>
      </c>
      <c r="O53" s="64">
        <v>0</v>
      </c>
      <c r="P53" s="64">
        <v>0.47</v>
      </c>
      <c r="Q53" s="64">
        <v>9.5500000000000007</v>
      </c>
      <c r="R53" s="198"/>
      <c r="S53" s="198"/>
      <c r="T53" s="198"/>
      <c r="U53" s="198"/>
    </row>
    <row r="54" spans="1:21" s="12" customFormat="1" x14ac:dyDescent="0.25">
      <c r="A54" s="214" t="s">
        <v>1249</v>
      </c>
      <c r="B54" s="64">
        <v>21.55</v>
      </c>
      <c r="C54" s="64">
        <v>14.08</v>
      </c>
      <c r="D54" s="64">
        <v>24.64</v>
      </c>
      <c r="E54" s="64">
        <v>5.63</v>
      </c>
      <c r="F54" s="64">
        <v>3.5</v>
      </c>
      <c r="G54" s="64">
        <v>49.33</v>
      </c>
      <c r="H54" s="64">
        <v>7.09</v>
      </c>
      <c r="I54" s="64">
        <v>1.78</v>
      </c>
      <c r="J54" s="64">
        <v>0.25</v>
      </c>
      <c r="K54" s="64">
        <v>136.4</v>
      </c>
      <c r="L54" s="64">
        <v>24.17</v>
      </c>
      <c r="M54" s="64">
        <v>98.07</v>
      </c>
      <c r="N54" s="64">
        <v>199.7</v>
      </c>
      <c r="O54" s="64">
        <v>0</v>
      </c>
      <c r="P54" s="64">
        <v>0.45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14" t="s">
        <v>1250</v>
      </c>
      <c r="B55" s="64">
        <v>18.739999999999998</v>
      </c>
      <c r="C55" s="64">
        <v>13.5</v>
      </c>
      <c r="D55" s="64">
        <v>22.08</v>
      </c>
      <c r="E55" s="64">
        <v>5.65</v>
      </c>
      <c r="F55" s="64">
        <v>4.72</v>
      </c>
      <c r="G55" s="64">
        <v>49.33</v>
      </c>
      <c r="H55" s="64">
        <v>7.09</v>
      </c>
      <c r="I55" s="64">
        <v>1.76</v>
      </c>
      <c r="J55" s="64">
        <v>0.18</v>
      </c>
      <c r="K55" s="64">
        <v>130.1</v>
      </c>
      <c r="L55" s="64">
        <v>24.61</v>
      </c>
      <c r="M55" s="64">
        <v>98.03</v>
      </c>
      <c r="N55" s="64">
        <v>288.10000000000002</v>
      </c>
      <c r="O55" s="64">
        <v>0</v>
      </c>
      <c r="P55" s="64">
        <v>0.48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4" t="s">
        <v>1251</v>
      </c>
      <c r="B56" s="64">
        <v>16.23</v>
      </c>
      <c r="C56" s="64">
        <v>15.43</v>
      </c>
      <c r="D56" s="64">
        <v>21.08</v>
      </c>
      <c r="E56" s="64">
        <v>5.48</v>
      </c>
      <c r="F56" s="64">
        <v>9.44</v>
      </c>
      <c r="G56" s="64">
        <v>47.85</v>
      </c>
      <c r="H56" s="64">
        <v>6.83</v>
      </c>
      <c r="I56" s="64">
        <v>1.74</v>
      </c>
      <c r="J56" s="64">
        <v>0.14000000000000001</v>
      </c>
      <c r="K56" s="64">
        <v>335.01</v>
      </c>
      <c r="L56" s="64">
        <v>26.23</v>
      </c>
      <c r="M56" s="64">
        <v>97.95</v>
      </c>
      <c r="N56" s="64">
        <v>327</v>
      </c>
      <c r="O56" s="64">
        <v>0</v>
      </c>
      <c r="P56" s="64">
        <v>0.59</v>
      </c>
      <c r="Q56" s="64">
        <v>9.59</v>
      </c>
      <c r="R56" s="198"/>
      <c r="S56" s="198"/>
      <c r="T56" s="198"/>
      <c r="U56" s="198"/>
    </row>
    <row r="57" spans="1:21" s="12" customFormat="1" x14ac:dyDescent="0.25">
      <c r="A57" s="214" t="s">
        <v>1252</v>
      </c>
      <c r="B57" s="64">
        <v>15.49</v>
      </c>
      <c r="C57" s="64">
        <v>11.64</v>
      </c>
      <c r="D57" s="64">
        <v>18.489999999999998</v>
      </c>
      <c r="E57" s="64">
        <v>5.53</v>
      </c>
      <c r="F57" s="64">
        <v>9.56</v>
      </c>
      <c r="G57" s="64">
        <v>46.66</v>
      </c>
      <c r="H57" s="64">
        <v>6.75</v>
      </c>
      <c r="I57" s="64">
        <v>1.71</v>
      </c>
      <c r="J57" s="64">
        <v>0.47</v>
      </c>
      <c r="K57" s="64">
        <v>334.51</v>
      </c>
      <c r="L57" s="64">
        <v>26.73</v>
      </c>
      <c r="M57" s="64">
        <v>97.87</v>
      </c>
      <c r="N57" s="64">
        <v>302</v>
      </c>
      <c r="O57" s="64">
        <v>0</v>
      </c>
      <c r="P57" s="64">
        <v>0.52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4" t="s">
        <v>1253</v>
      </c>
      <c r="B58" s="64">
        <v>15.83</v>
      </c>
      <c r="C58" s="64">
        <v>14.67</v>
      </c>
      <c r="D58" s="64">
        <v>20.350000000000001</v>
      </c>
      <c r="E58" s="64">
        <v>5.77</v>
      </c>
      <c r="F58" s="64">
        <v>8.25</v>
      </c>
      <c r="G58" s="64">
        <v>46.66</v>
      </c>
      <c r="H58" s="64">
        <v>6.75</v>
      </c>
      <c r="I58" s="64">
        <v>1.7</v>
      </c>
      <c r="J58" s="64">
        <v>0.13</v>
      </c>
      <c r="K58" s="64">
        <v>323.95999999999998</v>
      </c>
      <c r="L58" s="64">
        <v>27.27</v>
      </c>
      <c r="M58" s="64">
        <v>97.72</v>
      </c>
      <c r="N58" s="64">
        <v>262.60000000000002</v>
      </c>
      <c r="O58" s="64">
        <v>0</v>
      </c>
      <c r="P58" s="64">
        <v>0.54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4" t="s">
        <v>1254</v>
      </c>
      <c r="B59" s="64">
        <v>10.220000000000001</v>
      </c>
      <c r="C59" s="64">
        <v>11.45</v>
      </c>
      <c r="D59" s="64">
        <v>14.18</v>
      </c>
      <c r="E59" s="64">
        <v>5.49</v>
      </c>
      <c r="F59" s="64">
        <v>11.29</v>
      </c>
      <c r="G59" s="64">
        <v>46.66</v>
      </c>
      <c r="H59" s="64">
        <v>6.75</v>
      </c>
      <c r="I59" s="64">
        <v>1.7</v>
      </c>
      <c r="J59" s="64">
        <v>0.36</v>
      </c>
      <c r="K59" s="64">
        <v>129.44999999999999</v>
      </c>
      <c r="L59" s="64">
        <v>26.58</v>
      </c>
      <c r="M59" s="64">
        <v>97.73</v>
      </c>
      <c r="N59" s="64">
        <v>201.7</v>
      </c>
      <c r="O59" s="64">
        <v>0</v>
      </c>
      <c r="P59" s="64">
        <v>0.36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4" t="s">
        <v>1255</v>
      </c>
      <c r="B60" s="64">
        <v>16.010000000000002</v>
      </c>
      <c r="C60" s="64">
        <v>16.34</v>
      </c>
      <c r="D60" s="64">
        <v>21.38</v>
      </c>
      <c r="E60" s="64">
        <v>5.56</v>
      </c>
      <c r="F60" s="64">
        <v>8.02</v>
      </c>
      <c r="G60" s="64">
        <v>43.18</v>
      </c>
      <c r="H60" s="64">
        <v>6.52</v>
      </c>
      <c r="I60" s="64">
        <v>1.69</v>
      </c>
      <c r="J60" s="64">
        <v>0.19</v>
      </c>
      <c r="K60" s="64">
        <v>339.88</v>
      </c>
      <c r="L60" s="64">
        <v>26.55</v>
      </c>
      <c r="M60" s="64">
        <v>97.87</v>
      </c>
      <c r="N60" s="64">
        <v>256.39999999999998</v>
      </c>
      <c r="O60" s="64">
        <v>0</v>
      </c>
      <c r="P60" s="64">
        <v>0.68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4" t="s">
        <v>1256</v>
      </c>
      <c r="B61" s="64">
        <v>16.54</v>
      </c>
      <c r="C61" s="64">
        <v>14.48</v>
      </c>
      <c r="D61" s="64">
        <v>20.83</v>
      </c>
      <c r="E61" s="64">
        <v>5.6</v>
      </c>
      <c r="F61" s="64">
        <v>10.65</v>
      </c>
      <c r="G61" s="64">
        <v>40.4</v>
      </c>
      <c r="H61" s="64">
        <v>6.35</v>
      </c>
      <c r="I61" s="64">
        <v>1.68</v>
      </c>
      <c r="J61" s="64">
        <v>0.08</v>
      </c>
      <c r="K61" s="64">
        <v>28.21</v>
      </c>
      <c r="L61" s="64">
        <v>27.07</v>
      </c>
      <c r="M61" s="64">
        <v>97.77</v>
      </c>
      <c r="N61" s="64">
        <v>275</v>
      </c>
      <c r="O61" s="64">
        <v>0</v>
      </c>
      <c r="P61" s="64">
        <v>0.56000000000000005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4" t="s">
        <v>1257</v>
      </c>
      <c r="B62" s="64">
        <v>16.68</v>
      </c>
      <c r="C62" s="64">
        <v>8.89</v>
      </c>
      <c r="D62" s="64">
        <v>18.02</v>
      </c>
      <c r="E62" s="64">
        <v>5.6</v>
      </c>
      <c r="F62" s="64">
        <v>10.58</v>
      </c>
      <c r="G62" s="64">
        <v>40.4</v>
      </c>
      <c r="H62" s="64">
        <v>6.35</v>
      </c>
      <c r="I62" s="64">
        <v>1.69</v>
      </c>
      <c r="J62" s="64">
        <v>1.0900000000000001</v>
      </c>
      <c r="K62" s="64">
        <v>336.52</v>
      </c>
      <c r="L62" s="64">
        <v>27.76</v>
      </c>
      <c r="M62" s="64">
        <v>96.48</v>
      </c>
      <c r="N62" s="64">
        <v>361.4</v>
      </c>
      <c r="O62" s="64">
        <v>0</v>
      </c>
      <c r="P62" s="64">
        <v>0.55000000000000004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4" t="s">
        <v>1258</v>
      </c>
      <c r="B63" s="64">
        <v>12.35</v>
      </c>
      <c r="C63" s="64">
        <v>10.34</v>
      </c>
      <c r="D63" s="64">
        <v>15.31</v>
      </c>
      <c r="E63" s="64">
        <v>5.92</v>
      </c>
      <c r="F63" s="64">
        <v>14.59</v>
      </c>
      <c r="G63" s="64">
        <v>40.4</v>
      </c>
      <c r="H63" s="64">
        <v>6.35</v>
      </c>
      <c r="I63" s="64">
        <v>1.69</v>
      </c>
      <c r="J63" s="64">
        <v>1.01</v>
      </c>
      <c r="K63" s="64">
        <v>337.37</v>
      </c>
      <c r="L63" s="64">
        <v>28.83</v>
      </c>
      <c r="M63" s="64">
        <v>92.7</v>
      </c>
      <c r="N63" s="64">
        <v>247.4</v>
      </c>
      <c r="O63" s="64">
        <v>0</v>
      </c>
      <c r="P63" s="64">
        <v>0.47</v>
      </c>
      <c r="Q63" s="64">
        <v>9.6300000000000008</v>
      </c>
      <c r="R63" s="198"/>
      <c r="S63" s="198"/>
      <c r="T63" s="198"/>
      <c r="U63" s="198"/>
    </row>
    <row r="64" spans="1:21" s="12" customFormat="1" x14ac:dyDescent="0.25">
      <c r="A64" s="214" t="s">
        <v>1259</v>
      </c>
      <c r="B64" s="64">
        <v>12.7</v>
      </c>
      <c r="C64" s="64">
        <v>9.68</v>
      </c>
      <c r="D64" s="64">
        <v>15.24</v>
      </c>
      <c r="E64" s="64">
        <v>5.45</v>
      </c>
      <c r="F64" s="64">
        <v>10.119999999999999</v>
      </c>
      <c r="G64" s="64">
        <v>44.72</v>
      </c>
      <c r="H64" s="64">
        <v>7.42</v>
      </c>
      <c r="I64" s="64">
        <v>1.69</v>
      </c>
      <c r="J64" s="64">
        <v>1.19</v>
      </c>
      <c r="K64" s="64">
        <v>339.43</v>
      </c>
      <c r="L64" s="64">
        <v>29.32</v>
      </c>
      <c r="M64" s="64">
        <v>92.13</v>
      </c>
      <c r="N64" s="64">
        <v>227.3</v>
      </c>
      <c r="O64" s="64">
        <v>0</v>
      </c>
      <c r="P64" s="64">
        <v>0.49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4" t="s">
        <v>1260</v>
      </c>
      <c r="B65" s="64">
        <v>12.17</v>
      </c>
      <c r="C65" s="64">
        <v>9.7100000000000009</v>
      </c>
      <c r="D65" s="64">
        <v>14.83</v>
      </c>
      <c r="E65" s="64">
        <v>5.72</v>
      </c>
      <c r="F65" s="64">
        <v>14.91</v>
      </c>
      <c r="G65" s="64">
        <v>48.02</v>
      </c>
      <c r="H65" s="64">
        <v>7.78</v>
      </c>
      <c r="I65" s="64">
        <v>1.66</v>
      </c>
      <c r="J65" s="64">
        <v>0.81</v>
      </c>
      <c r="K65" s="64">
        <v>337.26</v>
      </c>
      <c r="L65" s="64">
        <v>29.72</v>
      </c>
      <c r="M65" s="64">
        <v>86.79</v>
      </c>
      <c r="N65" s="64">
        <v>201.7</v>
      </c>
      <c r="O65" s="64">
        <v>0</v>
      </c>
      <c r="P65" s="64">
        <v>0.46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4" t="s">
        <v>1261</v>
      </c>
      <c r="B66" s="64">
        <v>13.64</v>
      </c>
      <c r="C66" s="64">
        <v>12.73</v>
      </c>
      <c r="D66" s="64">
        <v>17.59</v>
      </c>
      <c r="E66" s="64">
        <v>5.4</v>
      </c>
      <c r="F66" s="64">
        <v>13.93</v>
      </c>
      <c r="G66" s="64">
        <v>48.02</v>
      </c>
      <c r="H66" s="64">
        <v>7.78</v>
      </c>
      <c r="I66" s="64">
        <v>1.61</v>
      </c>
      <c r="J66" s="64">
        <v>0.68</v>
      </c>
      <c r="K66" s="64">
        <v>338.32</v>
      </c>
      <c r="L66" s="64">
        <v>29.46</v>
      </c>
      <c r="M66" s="64">
        <v>87.95</v>
      </c>
      <c r="N66" s="64">
        <v>182.1</v>
      </c>
      <c r="O66" s="64">
        <v>0</v>
      </c>
      <c r="P66" s="64">
        <v>0.46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4" t="s">
        <v>1262</v>
      </c>
      <c r="B67" s="64">
        <v>13.17</v>
      </c>
      <c r="C67" s="64">
        <v>13.32</v>
      </c>
      <c r="D67" s="64">
        <v>17.52</v>
      </c>
      <c r="E67" s="64">
        <v>5.53</v>
      </c>
      <c r="F67" s="64">
        <v>13.77</v>
      </c>
      <c r="G67" s="64">
        <v>48.02</v>
      </c>
      <c r="H67" s="64">
        <v>7.78</v>
      </c>
      <c r="I67" s="64">
        <v>1.57</v>
      </c>
      <c r="J67" s="64">
        <v>1.19</v>
      </c>
      <c r="K67" s="64">
        <v>336.63</v>
      </c>
      <c r="L67" s="64">
        <v>29.45</v>
      </c>
      <c r="M67" s="64">
        <v>89.42</v>
      </c>
      <c r="N67" s="64">
        <v>175.6</v>
      </c>
      <c r="O67" s="64">
        <v>0</v>
      </c>
      <c r="P67" s="64">
        <v>0.54</v>
      </c>
      <c r="Q67" s="64">
        <v>9.5299999999999994</v>
      </c>
      <c r="R67" s="198"/>
      <c r="S67" s="198"/>
      <c r="T67" s="198"/>
      <c r="U67" s="198"/>
    </row>
    <row r="68" spans="1:21" s="12" customFormat="1" x14ac:dyDescent="0.25">
      <c r="A68" s="214" t="s">
        <v>1263</v>
      </c>
      <c r="B68" s="64">
        <v>10.4</v>
      </c>
      <c r="C68" s="64">
        <v>13.14</v>
      </c>
      <c r="D68" s="64">
        <v>15.21</v>
      </c>
      <c r="E68" s="64">
        <v>5.67</v>
      </c>
      <c r="F68" s="64">
        <v>13.13</v>
      </c>
      <c r="G68" s="64">
        <v>45.72</v>
      </c>
      <c r="H68" s="64">
        <v>12.13</v>
      </c>
      <c r="I68" s="64">
        <v>1.55</v>
      </c>
      <c r="J68" s="64">
        <v>0.49</v>
      </c>
      <c r="K68" s="64">
        <v>329.66</v>
      </c>
      <c r="L68" s="64">
        <v>29.11</v>
      </c>
      <c r="M68" s="64">
        <v>89.24</v>
      </c>
      <c r="N68" s="64">
        <v>157.1</v>
      </c>
      <c r="O68" s="64">
        <v>0</v>
      </c>
      <c r="P68" s="64">
        <v>0.52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14" t="s">
        <v>1264</v>
      </c>
      <c r="B69" s="64">
        <v>11.91</v>
      </c>
      <c r="C69" s="64">
        <v>16.2</v>
      </c>
      <c r="D69" s="64">
        <v>18.02</v>
      </c>
      <c r="E69" s="64">
        <v>5.54</v>
      </c>
      <c r="F69" s="64">
        <v>12.05</v>
      </c>
      <c r="G69" s="64">
        <v>43.96</v>
      </c>
      <c r="H69" s="64">
        <v>13.49</v>
      </c>
      <c r="I69" s="64">
        <v>1.53</v>
      </c>
      <c r="J69" s="64">
        <v>0.18</v>
      </c>
      <c r="K69" s="64">
        <v>0.17</v>
      </c>
      <c r="L69" s="64">
        <v>28.56</v>
      </c>
      <c r="M69" s="64">
        <v>93.86</v>
      </c>
      <c r="N69" s="64">
        <v>140.19999999999999</v>
      </c>
      <c r="O69" s="64">
        <v>0</v>
      </c>
      <c r="P69" s="64">
        <v>0.54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14" t="s">
        <v>1265</v>
      </c>
      <c r="B70" s="64">
        <v>17.32</v>
      </c>
      <c r="C70" s="64">
        <v>15.43</v>
      </c>
      <c r="D70" s="64">
        <v>21.96</v>
      </c>
      <c r="E70" s="64">
        <v>5.93</v>
      </c>
      <c r="F70" s="64">
        <v>13.21</v>
      </c>
      <c r="G70" s="64">
        <v>43.96</v>
      </c>
      <c r="H70" s="64">
        <v>13.49</v>
      </c>
      <c r="I70" s="64">
        <v>1.52</v>
      </c>
      <c r="J70" s="64">
        <v>0.79</v>
      </c>
      <c r="K70" s="64">
        <v>339.68</v>
      </c>
      <c r="L70" s="64">
        <v>28.7</v>
      </c>
      <c r="M70" s="64">
        <v>94.66</v>
      </c>
      <c r="N70" s="64">
        <v>136.1</v>
      </c>
      <c r="O70" s="64">
        <v>0</v>
      </c>
      <c r="P70" s="64">
        <v>0.62</v>
      </c>
      <c r="Q70" s="64">
        <v>9.48</v>
      </c>
      <c r="R70" s="198"/>
      <c r="S70" s="198"/>
      <c r="T70" s="198"/>
      <c r="U70" s="198"/>
    </row>
    <row r="71" spans="1:21" s="12" customFormat="1" x14ac:dyDescent="0.25">
      <c r="A71" s="214" t="s">
        <v>1266</v>
      </c>
      <c r="B71" s="64">
        <v>14.11</v>
      </c>
      <c r="C71" s="64">
        <v>16.170000000000002</v>
      </c>
      <c r="D71" s="64">
        <v>19.77</v>
      </c>
      <c r="E71" s="64">
        <v>6.12</v>
      </c>
      <c r="F71" s="64">
        <v>9.89</v>
      </c>
      <c r="G71" s="64">
        <v>43.96</v>
      </c>
      <c r="H71" s="64">
        <v>13.49</v>
      </c>
      <c r="I71" s="64">
        <v>1.52</v>
      </c>
      <c r="J71" s="64">
        <v>0.9</v>
      </c>
      <c r="K71" s="64">
        <v>336.2</v>
      </c>
      <c r="L71" s="64">
        <v>28.83</v>
      </c>
      <c r="M71" s="64">
        <v>95.02</v>
      </c>
      <c r="N71" s="64">
        <v>130.1</v>
      </c>
      <c r="O71" s="64">
        <v>0</v>
      </c>
      <c r="P71" s="64">
        <v>0.59</v>
      </c>
      <c r="Q71" s="64">
        <v>9.48</v>
      </c>
      <c r="R71" s="198"/>
      <c r="S71" s="198"/>
      <c r="T71" s="198"/>
      <c r="U71" s="198"/>
    </row>
    <row r="72" spans="1:21" s="12" customFormat="1" x14ac:dyDescent="0.25">
      <c r="A72" s="214" t="s">
        <v>1267</v>
      </c>
      <c r="B72" s="64">
        <v>15</v>
      </c>
      <c r="C72" s="64">
        <v>18.670000000000002</v>
      </c>
      <c r="D72" s="64">
        <v>21.79</v>
      </c>
      <c r="E72" s="64">
        <v>5.08</v>
      </c>
      <c r="F72" s="64">
        <v>11.51</v>
      </c>
      <c r="G72" s="64">
        <v>57.17</v>
      </c>
      <c r="H72" s="64">
        <v>12.46</v>
      </c>
      <c r="I72" s="64">
        <v>1.54</v>
      </c>
      <c r="J72" s="64">
        <v>0.62</v>
      </c>
      <c r="K72" s="64">
        <v>331.71</v>
      </c>
      <c r="L72" s="64">
        <v>28.48</v>
      </c>
      <c r="M72" s="64">
        <v>97.32</v>
      </c>
      <c r="N72" s="64">
        <v>102.9</v>
      </c>
      <c r="O72" s="64">
        <v>0</v>
      </c>
      <c r="P72" s="64">
        <v>0.62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14" t="s">
        <v>1268</v>
      </c>
      <c r="B73" s="64">
        <v>16.89</v>
      </c>
      <c r="C73" s="64">
        <v>13.96</v>
      </c>
      <c r="D73" s="64">
        <v>20.83</v>
      </c>
      <c r="E73" s="64">
        <v>5.58</v>
      </c>
      <c r="F73" s="64">
        <v>8.4600000000000009</v>
      </c>
      <c r="G73" s="64">
        <v>67.27</v>
      </c>
      <c r="H73" s="64">
        <v>12.14</v>
      </c>
      <c r="I73" s="64">
        <v>1.53</v>
      </c>
      <c r="J73" s="64">
        <v>0.61</v>
      </c>
      <c r="K73" s="64">
        <v>333.12</v>
      </c>
      <c r="L73" s="64">
        <v>28.33</v>
      </c>
      <c r="M73" s="64">
        <v>97.88</v>
      </c>
      <c r="N73" s="64">
        <v>105.2</v>
      </c>
      <c r="O73" s="64">
        <v>0</v>
      </c>
      <c r="P73" s="64">
        <v>0.61</v>
      </c>
      <c r="Q73" s="64">
        <v>9.4600000000000009</v>
      </c>
      <c r="R73" s="198"/>
      <c r="S73" s="198"/>
      <c r="T73" s="198"/>
      <c r="U73" s="198"/>
    </row>
    <row r="74" spans="1:21" s="12" customFormat="1" x14ac:dyDescent="0.25">
      <c r="A74" s="214" t="s">
        <v>1269</v>
      </c>
      <c r="B74" s="64">
        <v>14.88</v>
      </c>
      <c r="C74" s="64">
        <v>20.190000000000001</v>
      </c>
      <c r="D74" s="64">
        <v>22.48</v>
      </c>
      <c r="E74" s="64">
        <v>5.18</v>
      </c>
      <c r="F74" s="64">
        <v>10.09</v>
      </c>
      <c r="G74" s="64">
        <v>67.27</v>
      </c>
      <c r="H74" s="64">
        <v>12.14</v>
      </c>
      <c r="I74" s="64">
        <v>1.53</v>
      </c>
      <c r="J74" s="64">
        <v>0.16</v>
      </c>
      <c r="K74" s="64">
        <v>317.26</v>
      </c>
      <c r="L74" s="64">
        <v>28.41</v>
      </c>
      <c r="M74" s="64">
        <v>97.59</v>
      </c>
      <c r="N74" s="64">
        <v>108.6</v>
      </c>
      <c r="O74" s="64">
        <v>0</v>
      </c>
      <c r="P74" s="64">
        <v>0.63</v>
      </c>
      <c r="Q74" s="64">
        <v>9.48</v>
      </c>
      <c r="R74" s="198"/>
      <c r="S74" s="198"/>
      <c r="T74" s="198"/>
      <c r="U74" s="198"/>
    </row>
    <row r="75" spans="1:21" s="12" customFormat="1" x14ac:dyDescent="0.25">
      <c r="A75" s="214" t="s">
        <v>1270</v>
      </c>
      <c r="B75" s="64">
        <v>13.63</v>
      </c>
      <c r="C75" s="64">
        <v>15.97</v>
      </c>
      <c r="D75" s="64">
        <v>19.27</v>
      </c>
      <c r="E75" s="64">
        <v>5.25</v>
      </c>
      <c r="F75" s="64">
        <v>12.25</v>
      </c>
      <c r="G75" s="64">
        <v>67.27</v>
      </c>
      <c r="H75" s="64">
        <v>12.14</v>
      </c>
      <c r="I75" s="64">
        <v>1.55</v>
      </c>
      <c r="J75" s="64">
        <v>0.79</v>
      </c>
      <c r="K75" s="64">
        <v>331.97</v>
      </c>
      <c r="L75" s="64">
        <v>28.42</v>
      </c>
      <c r="M75" s="64">
        <v>96.29</v>
      </c>
      <c r="N75" s="64">
        <v>103.6</v>
      </c>
      <c r="O75" s="64">
        <v>0</v>
      </c>
      <c r="P75" s="64">
        <v>0.54</v>
      </c>
      <c r="Q75" s="64">
        <v>9.5</v>
      </c>
      <c r="R75" s="198"/>
      <c r="S75" s="198"/>
      <c r="T75" s="198"/>
      <c r="U75" s="198"/>
    </row>
    <row r="76" spans="1:21" s="12" customFormat="1" x14ac:dyDescent="0.25">
      <c r="A76" s="214" t="s">
        <v>1271</v>
      </c>
      <c r="B76" s="64">
        <v>12.45</v>
      </c>
      <c r="C76" s="64">
        <v>14.16</v>
      </c>
      <c r="D76" s="64">
        <v>17.38</v>
      </c>
      <c r="E76" s="64">
        <v>5.12</v>
      </c>
      <c r="F76" s="64">
        <v>13.25</v>
      </c>
      <c r="G76" s="64">
        <v>80.95</v>
      </c>
      <c r="H76" s="64">
        <v>9.49</v>
      </c>
      <c r="I76" s="64">
        <v>1.56</v>
      </c>
      <c r="J76" s="64">
        <v>0.84</v>
      </c>
      <c r="K76" s="64">
        <v>333.9</v>
      </c>
      <c r="L76" s="64">
        <v>28.27</v>
      </c>
      <c r="M76" s="64">
        <v>97.83</v>
      </c>
      <c r="N76" s="64">
        <v>104.7</v>
      </c>
      <c r="O76" s="64">
        <v>0</v>
      </c>
      <c r="P76" s="64">
        <v>0.59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4" t="s">
        <v>1272</v>
      </c>
      <c r="B77" s="64">
        <v>17.96</v>
      </c>
      <c r="C77" s="64">
        <v>17.43</v>
      </c>
      <c r="D77" s="64">
        <v>23.51</v>
      </c>
      <c r="E77" s="64">
        <v>5.41</v>
      </c>
      <c r="F77" s="64">
        <v>11.47</v>
      </c>
      <c r="G77" s="64">
        <v>91.41</v>
      </c>
      <c r="H77" s="64">
        <v>7.68</v>
      </c>
      <c r="I77" s="64">
        <v>1.57</v>
      </c>
      <c r="J77" s="64">
        <v>0.67</v>
      </c>
      <c r="K77" s="64">
        <v>330.39</v>
      </c>
      <c r="L77" s="64">
        <v>28.21</v>
      </c>
      <c r="M77" s="64">
        <v>97.89</v>
      </c>
      <c r="N77" s="64">
        <v>97.3</v>
      </c>
      <c r="O77" s="64">
        <v>0</v>
      </c>
      <c r="P77" s="64">
        <v>0.68</v>
      </c>
      <c r="Q77" s="64">
        <v>9.5299999999999994</v>
      </c>
      <c r="R77" s="198"/>
      <c r="S77" s="198"/>
      <c r="T77" s="198"/>
      <c r="U77" s="198"/>
    </row>
    <row r="78" spans="1:21" s="12" customFormat="1" x14ac:dyDescent="0.25">
      <c r="A78" s="214" t="s">
        <v>1273</v>
      </c>
      <c r="B78" s="64">
        <v>13.63</v>
      </c>
      <c r="C78" s="64">
        <v>14.69</v>
      </c>
      <c r="D78" s="64">
        <v>18.61</v>
      </c>
      <c r="E78" s="64">
        <v>5.26</v>
      </c>
      <c r="F78" s="64">
        <v>9.52</v>
      </c>
      <c r="G78" s="64">
        <v>91.41</v>
      </c>
      <c r="H78" s="64">
        <v>7.68</v>
      </c>
      <c r="I78" s="64">
        <v>1.58</v>
      </c>
      <c r="J78" s="64">
        <v>0.62</v>
      </c>
      <c r="K78" s="64">
        <v>330.55</v>
      </c>
      <c r="L78" s="64">
        <v>27.68</v>
      </c>
      <c r="M78" s="64">
        <v>97.35</v>
      </c>
      <c r="N78" s="64">
        <v>62.8</v>
      </c>
      <c r="O78" s="64">
        <v>0</v>
      </c>
      <c r="P78" s="64">
        <v>0.7</v>
      </c>
      <c r="Q78" s="64">
        <v>9.5399999999999991</v>
      </c>
      <c r="R78" s="198"/>
      <c r="S78" s="198"/>
      <c r="T78" s="198"/>
      <c r="U78" s="198"/>
    </row>
    <row r="79" spans="1:21" s="12" customFormat="1" x14ac:dyDescent="0.25">
      <c r="A79" s="214" t="s">
        <v>1274</v>
      </c>
      <c r="B79" s="64">
        <v>13.38</v>
      </c>
      <c r="C79" s="64">
        <v>15.01</v>
      </c>
      <c r="D79" s="64">
        <v>18.57</v>
      </c>
      <c r="E79" s="64">
        <v>5.27</v>
      </c>
      <c r="F79" s="64">
        <v>10.73</v>
      </c>
      <c r="G79" s="64">
        <v>91.41</v>
      </c>
      <c r="H79" s="64">
        <v>7.68</v>
      </c>
      <c r="I79" s="64">
        <v>1.61</v>
      </c>
      <c r="J79" s="64">
        <v>0.62</v>
      </c>
      <c r="K79" s="64">
        <v>328.96</v>
      </c>
      <c r="L79" s="64">
        <v>27.4</v>
      </c>
      <c r="M79" s="64">
        <v>97.37</v>
      </c>
      <c r="N79" s="64">
        <v>42.7</v>
      </c>
      <c r="O79" s="64">
        <v>0</v>
      </c>
      <c r="P79" s="64">
        <v>0.71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14" t="s">
        <v>1275</v>
      </c>
      <c r="B80" s="64">
        <v>21</v>
      </c>
      <c r="C80" s="64">
        <v>15.61</v>
      </c>
      <c r="D80" s="64">
        <v>24.97</v>
      </c>
      <c r="E80" s="64">
        <v>5.25</v>
      </c>
      <c r="F80" s="64">
        <v>8.92</v>
      </c>
      <c r="G80" s="64">
        <v>87.84</v>
      </c>
      <c r="H80" s="64">
        <v>6.89</v>
      </c>
      <c r="I80" s="64">
        <v>1.64</v>
      </c>
      <c r="J80" s="64">
        <v>0.74</v>
      </c>
      <c r="K80" s="64">
        <v>331.27</v>
      </c>
      <c r="L80" s="64">
        <v>26.85</v>
      </c>
      <c r="M80" s="64">
        <v>97.61</v>
      </c>
      <c r="N80" s="64">
        <v>34.200000000000003</v>
      </c>
      <c r="O80" s="64">
        <v>0</v>
      </c>
      <c r="P80" s="64">
        <v>0.85</v>
      </c>
      <c r="Q80" s="64">
        <v>9.5500000000000007</v>
      </c>
      <c r="R80" s="198"/>
      <c r="S80" s="198"/>
      <c r="T80" s="198"/>
      <c r="U80" s="198"/>
    </row>
    <row r="81" spans="1:26" s="12" customFormat="1" x14ac:dyDescent="0.25">
      <c r="A81" s="214" t="s">
        <v>1276</v>
      </c>
      <c r="B81" s="64">
        <v>15.26</v>
      </c>
      <c r="C81" s="64">
        <v>11.09</v>
      </c>
      <c r="D81" s="64">
        <v>18.03</v>
      </c>
      <c r="E81" s="64">
        <v>5.31</v>
      </c>
      <c r="F81" s="64">
        <v>11.54</v>
      </c>
      <c r="G81" s="64">
        <v>85.11</v>
      </c>
      <c r="H81" s="64">
        <v>6.64</v>
      </c>
      <c r="I81" s="64">
        <v>1.67</v>
      </c>
      <c r="J81" s="64">
        <v>0.89</v>
      </c>
      <c r="K81" s="64">
        <v>334.08</v>
      </c>
      <c r="L81" s="64">
        <v>26.5</v>
      </c>
      <c r="M81" s="64">
        <v>97.7</v>
      </c>
      <c r="N81" s="64">
        <v>32.299999999999997</v>
      </c>
      <c r="O81" s="64">
        <v>0</v>
      </c>
      <c r="P81" s="64">
        <v>0.7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4" t="s">
        <v>1277</v>
      </c>
      <c r="B82" s="64">
        <v>15.76</v>
      </c>
      <c r="C82" s="64">
        <v>11.7</v>
      </c>
      <c r="D82" s="64">
        <v>18.760000000000002</v>
      </c>
      <c r="E82" s="64">
        <v>5.2</v>
      </c>
      <c r="F82" s="64">
        <v>10.44</v>
      </c>
      <c r="G82" s="64">
        <v>85.11</v>
      </c>
      <c r="H82" s="64">
        <v>6.64</v>
      </c>
      <c r="I82" s="64">
        <v>1.73</v>
      </c>
      <c r="J82" s="64">
        <v>0.52</v>
      </c>
      <c r="K82" s="64">
        <v>325.85000000000002</v>
      </c>
      <c r="L82" s="64">
        <v>26.18</v>
      </c>
      <c r="M82" s="64">
        <v>97.4</v>
      </c>
      <c r="N82" s="64">
        <v>31.8</v>
      </c>
      <c r="O82" s="64">
        <v>0</v>
      </c>
      <c r="P82" s="64">
        <v>0.7</v>
      </c>
      <c r="Q82" s="64">
        <v>9.5500000000000007</v>
      </c>
      <c r="R82" s="198"/>
      <c r="S82" s="198"/>
      <c r="T82" s="198"/>
      <c r="U82" s="198"/>
    </row>
    <row r="83" spans="1:26" s="12" customFormat="1" x14ac:dyDescent="0.25">
      <c r="A83" s="214" t="s">
        <v>1278</v>
      </c>
      <c r="B83" s="64">
        <v>16.66</v>
      </c>
      <c r="C83" s="64">
        <v>12.6</v>
      </c>
      <c r="D83" s="64">
        <v>19.899999999999999</v>
      </c>
      <c r="E83" s="64">
        <v>5.33</v>
      </c>
      <c r="F83" s="64">
        <v>8.48</v>
      </c>
      <c r="G83" s="64">
        <v>85.11</v>
      </c>
      <c r="H83" s="64">
        <v>6.64</v>
      </c>
      <c r="I83" s="64">
        <v>1.78</v>
      </c>
      <c r="J83" s="64">
        <v>0.21</v>
      </c>
      <c r="K83" s="64">
        <v>328.49</v>
      </c>
      <c r="L83" s="64">
        <v>26.12</v>
      </c>
      <c r="M83" s="64">
        <v>97.42</v>
      </c>
      <c r="N83" s="64">
        <v>31.8</v>
      </c>
      <c r="O83" s="64">
        <v>0</v>
      </c>
      <c r="P83" s="64">
        <v>0.91</v>
      </c>
      <c r="Q83" s="64">
        <v>9.56</v>
      </c>
      <c r="R83" s="198"/>
      <c r="S83" s="198"/>
      <c r="T83" s="198"/>
      <c r="U83" s="198"/>
    </row>
    <row r="84" spans="1:26" s="12" customFormat="1" x14ac:dyDescent="0.25">
      <c r="A84" s="214" t="s">
        <v>1279</v>
      </c>
      <c r="B84" s="64">
        <v>19.760000000000002</v>
      </c>
      <c r="C84" s="64">
        <v>15.46</v>
      </c>
      <c r="D84" s="64">
        <v>23.92</v>
      </c>
      <c r="E84" s="64">
        <v>5.24</v>
      </c>
      <c r="F84" s="64">
        <v>8.0500000000000007</v>
      </c>
      <c r="G84" s="64">
        <v>82.91</v>
      </c>
      <c r="H84" s="64">
        <v>6.49</v>
      </c>
      <c r="I84" s="64">
        <v>1.81</v>
      </c>
      <c r="J84" s="64">
        <v>0.02</v>
      </c>
      <c r="K84" s="64">
        <v>71.099999999999994</v>
      </c>
      <c r="L84" s="64">
        <v>25.83</v>
      </c>
      <c r="M84" s="64">
        <v>97.56</v>
      </c>
      <c r="N84" s="64">
        <v>32</v>
      </c>
      <c r="O84" s="64">
        <v>0</v>
      </c>
      <c r="P84" s="64">
        <v>0.84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4" t="s">
        <v>1280</v>
      </c>
      <c r="B85" s="64">
        <v>12.87</v>
      </c>
      <c r="C85" s="64">
        <v>15.21</v>
      </c>
      <c r="D85" s="64">
        <v>18.27</v>
      </c>
      <c r="E85" s="64">
        <v>5.32</v>
      </c>
      <c r="F85" s="64">
        <v>8.92</v>
      </c>
      <c r="G85" s="64">
        <v>81.23</v>
      </c>
      <c r="H85" s="64">
        <v>6.38</v>
      </c>
      <c r="I85" s="64">
        <v>1.85</v>
      </c>
      <c r="J85" s="64">
        <v>7.0000000000000007E-2</v>
      </c>
      <c r="K85" s="64">
        <v>316.13</v>
      </c>
      <c r="L85" s="64">
        <v>25.71</v>
      </c>
      <c r="M85" s="64">
        <v>97.88</v>
      </c>
      <c r="N85" s="64">
        <v>31.9</v>
      </c>
      <c r="O85" s="64">
        <v>0</v>
      </c>
      <c r="P85" s="64">
        <v>0.78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14" t="s">
        <v>1281</v>
      </c>
      <c r="B86" s="64">
        <v>16.559999999999999</v>
      </c>
      <c r="C86" s="64">
        <v>15.82</v>
      </c>
      <c r="D86" s="64">
        <v>21.55</v>
      </c>
      <c r="E86" s="64">
        <v>5.32</v>
      </c>
      <c r="F86" s="64">
        <v>7.42</v>
      </c>
      <c r="G86" s="64">
        <v>81.23</v>
      </c>
      <c r="H86" s="64">
        <v>6.38</v>
      </c>
      <c r="I86" s="64">
        <v>1.89</v>
      </c>
      <c r="J86" s="64">
        <v>0.14000000000000001</v>
      </c>
      <c r="K86" s="64">
        <v>128.94999999999999</v>
      </c>
      <c r="L86" s="64">
        <v>25.61</v>
      </c>
      <c r="M86" s="64">
        <v>97.42</v>
      </c>
      <c r="N86" s="64">
        <v>31.7</v>
      </c>
      <c r="O86" s="64">
        <v>0</v>
      </c>
      <c r="P86" s="64">
        <v>0.66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4" t="s">
        <v>1282</v>
      </c>
      <c r="B87" s="64">
        <v>15.94</v>
      </c>
      <c r="C87" s="64">
        <v>16.45</v>
      </c>
      <c r="D87" s="64">
        <v>21.38</v>
      </c>
      <c r="E87" s="64">
        <v>5.05</v>
      </c>
      <c r="F87" s="64">
        <v>8.52</v>
      </c>
      <c r="G87" s="64">
        <v>81.23</v>
      </c>
      <c r="H87" s="64">
        <v>6.38</v>
      </c>
      <c r="I87" s="64">
        <v>1.9</v>
      </c>
      <c r="J87" s="64">
        <v>0.03</v>
      </c>
      <c r="K87" s="64">
        <v>267.02999999999997</v>
      </c>
      <c r="L87" s="64">
        <v>25.66</v>
      </c>
      <c r="M87" s="64">
        <v>97.38</v>
      </c>
      <c r="N87" s="64">
        <v>31.9</v>
      </c>
      <c r="O87" s="64">
        <v>0</v>
      </c>
      <c r="P87" s="64">
        <v>0.96</v>
      </c>
      <c r="Q87" s="64">
        <v>9.57</v>
      </c>
      <c r="R87" s="198"/>
      <c r="S87" s="198"/>
      <c r="T87" s="198"/>
      <c r="U87" s="198"/>
    </row>
    <row r="88" spans="1:26" s="12" customFormat="1" x14ac:dyDescent="0.25">
      <c r="A88" s="214" t="s">
        <v>1283</v>
      </c>
      <c r="B88" s="64">
        <v>13.49</v>
      </c>
      <c r="C88" s="64">
        <v>17.440000000000001</v>
      </c>
      <c r="D88" s="64">
        <v>19.93</v>
      </c>
      <c r="E88" s="64">
        <v>5.03</v>
      </c>
      <c r="F88" s="64">
        <v>7.78</v>
      </c>
      <c r="G88" s="64">
        <v>78.42</v>
      </c>
      <c r="H88" s="64">
        <v>6.32</v>
      </c>
      <c r="I88" s="64">
        <v>1.91</v>
      </c>
      <c r="J88" s="64">
        <v>0.08</v>
      </c>
      <c r="K88" s="64">
        <v>306.12</v>
      </c>
      <c r="L88" s="64">
        <v>25.56</v>
      </c>
      <c r="M88" s="64">
        <v>97.41</v>
      </c>
      <c r="N88" s="64">
        <v>31.8</v>
      </c>
      <c r="O88" s="64">
        <v>0</v>
      </c>
      <c r="P88" s="64">
        <v>0.98</v>
      </c>
      <c r="Q88" s="64">
        <v>9.57</v>
      </c>
      <c r="R88" s="198"/>
      <c r="S88" s="198"/>
      <c r="T88" s="198"/>
      <c r="U88" s="198"/>
    </row>
    <row r="89" spans="1:26" s="12" customFormat="1" x14ac:dyDescent="0.25">
      <c r="A89" s="214" t="s">
        <v>1284</v>
      </c>
      <c r="B89" s="64">
        <v>25.95</v>
      </c>
      <c r="C89" s="64">
        <v>15.17</v>
      </c>
      <c r="D89" s="64">
        <v>28.74</v>
      </c>
      <c r="E89" s="64">
        <v>4.97</v>
      </c>
      <c r="F89" s="64">
        <v>7.32</v>
      </c>
      <c r="G89" s="64">
        <v>76.28</v>
      </c>
      <c r="H89" s="64">
        <v>6.31</v>
      </c>
      <c r="I89" s="64">
        <v>1.92</v>
      </c>
      <c r="J89" s="64">
        <v>0.27</v>
      </c>
      <c r="K89" s="64">
        <v>324.83</v>
      </c>
      <c r="L89" s="64">
        <v>25.65</v>
      </c>
      <c r="M89" s="64">
        <v>97.85</v>
      </c>
      <c r="N89" s="64">
        <v>31.8</v>
      </c>
      <c r="O89" s="64">
        <v>0</v>
      </c>
      <c r="P89" s="64">
        <v>1.26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4" t="s">
        <v>1285</v>
      </c>
      <c r="B90" s="64">
        <v>21.89</v>
      </c>
      <c r="C90" s="64">
        <v>15.28</v>
      </c>
      <c r="D90" s="64">
        <v>25.54</v>
      </c>
      <c r="E90" s="64">
        <v>5.41</v>
      </c>
      <c r="F90" s="64">
        <v>6.82</v>
      </c>
      <c r="G90" s="64">
        <v>76.28</v>
      </c>
      <c r="H90" s="64">
        <v>6.31</v>
      </c>
      <c r="I90" s="64">
        <v>1.96</v>
      </c>
      <c r="J90" s="64">
        <v>0.28000000000000003</v>
      </c>
      <c r="K90" s="64">
        <v>331.41</v>
      </c>
      <c r="L90" s="64">
        <v>25.78</v>
      </c>
      <c r="M90" s="64">
        <v>97.39</v>
      </c>
      <c r="N90" s="64">
        <v>31.9</v>
      </c>
      <c r="O90" s="64">
        <v>0</v>
      </c>
      <c r="P90" s="64">
        <v>1.19</v>
      </c>
      <c r="Q90" s="64">
        <v>9.58</v>
      </c>
      <c r="R90" s="198"/>
      <c r="S90" s="198"/>
      <c r="T90" s="198"/>
      <c r="U90" s="198"/>
    </row>
    <row r="91" spans="1:26" s="12" customFormat="1" x14ac:dyDescent="0.25">
      <c r="A91" s="214" t="s">
        <v>1286</v>
      </c>
      <c r="B91" s="64">
        <v>11.15</v>
      </c>
      <c r="C91" s="64">
        <v>13.88</v>
      </c>
      <c r="D91" s="64">
        <v>16.190000000000001</v>
      </c>
      <c r="E91" s="64">
        <v>4.9800000000000004</v>
      </c>
      <c r="F91" s="64">
        <v>7.69</v>
      </c>
      <c r="G91" s="64">
        <v>76.28</v>
      </c>
      <c r="H91" s="64">
        <v>6.31</v>
      </c>
      <c r="I91" s="64">
        <v>2.02</v>
      </c>
      <c r="J91" s="64">
        <v>0.3</v>
      </c>
      <c r="K91" s="64">
        <v>132.33000000000001</v>
      </c>
      <c r="L91" s="64">
        <v>25.66</v>
      </c>
      <c r="M91" s="64">
        <v>97.42</v>
      </c>
      <c r="N91" s="64">
        <v>32.1</v>
      </c>
      <c r="O91" s="64">
        <v>0</v>
      </c>
      <c r="P91" s="64">
        <v>0.66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4" t="s">
        <v>1287</v>
      </c>
      <c r="B92" s="64">
        <v>10.57</v>
      </c>
      <c r="C92" s="64">
        <v>17.68</v>
      </c>
      <c r="D92" s="64">
        <v>17.71</v>
      </c>
      <c r="E92" s="64">
        <v>4.87</v>
      </c>
      <c r="F92" s="64">
        <v>7.46</v>
      </c>
      <c r="G92" s="64">
        <v>74.83</v>
      </c>
      <c r="H92" s="64">
        <v>6.3</v>
      </c>
      <c r="I92" s="64">
        <v>2.0699999999999998</v>
      </c>
      <c r="J92" s="64">
        <v>0.1</v>
      </c>
      <c r="K92" s="64">
        <v>157.09</v>
      </c>
      <c r="L92" s="64">
        <v>25.46</v>
      </c>
      <c r="M92" s="64">
        <v>97.42</v>
      </c>
      <c r="N92" s="64">
        <v>31.9</v>
      </c>
      <c r="O92" s="64">
        <v>0</v>
      </c>
      <c r="P92" s="64">
        <v>0.51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4" t="s">
        <v>1288</v>
      </c>
      <c r="B93" s="64">
        <v>8.9700000000000006</v>
      </c>
      <c r="C93" s="64">
        <v>18.18</v>
      </c>
      <c r="D93" s="64">
        <v>16.690000000000001</v>
      </c>
      <c r="E93" s="64">
        <v>5.0199999999999996</v>
      </c>
      <c r="F93" s="64">
        <v>7.02</v>
      </c>
      <c r="G93" s="64">
        <v>73.73</v>
      </c>
      <c r="H93" s="64">
        <v>6.29</v>
      </c>
      <c r="I93" s="64">
        <v>2.08</v>
      </c>
      <c r="J93" s="64">
        <v>0.23</v>
      </c>
      <c r="K93" s="64">
        <v>127.94</v>
      </c>
      <c r="L93" s="64">
        <v>25.46</v>
      </c>
      <c r="M93" s="64">
        <v>97.89</v>
      </c>
      <c r="N93" s="64">
        <v>31.8</v>
      </c>
      <c r="O93" s="64">
        <v>0</v>
      </c>
      <c r="P93" s="64">
        <v>0.57999999999999996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4" t="s">
        <v>1289</v>
      </c>
      <c r="B94" s="64">
        <v>18.72</v>
      </c>
      <c r="C94" s="64">
        <v>21.68</v>
      </c>
      <c r="D94" s="64">
        <v>26.34</v>
      </c>
      <c r="E94" s="64">
        <v>5.1100000000000003</v>
      </c>
      <c r="F94" s="64">
        <v>3.76</v>
      </c>
      <c r="G94" s="64">
        <v>73.73</v>
      </c>
      <c r="H94" s="64">
        <v>6.29</v>
      </c>
      <c r="I94" s="64">
        <v>2.08</v>
      </c>
      <c r="J94" s="64">
        <v>0.02</v>
      </c>
      <c r="K94" s="64">
        <v>318.91000000000003</v>
      </c>
      <c r="L94" s="64">
        <v>25.52</v>
      </c>
      <c r="M94" s="64">
        <v>97.28</v>
      </c>
      <c r="N94" s="64">
        <v>31.9</v>
      </c>
      <c r="O94" s="64">
        <v>0</v>
      </c>
      <c r="P94" s="64">
        <v>0.89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1290</v>
      </c>
      <c r="B95" s="64">
        <v>26.1</v>
      </c>
      <c r="C95" s="64">
        <v>17.45</v>
      </c>
      <c r="D95" s="64">
        <v>30.04</v>
      </c>
      <c r="E95" s="64">
        <v>5.0199999999999996</v>
      </c>
      <c r="F95" s="64">
        <v>4.97</v>
      </c>
      <c r="G95" s="64">
        <v>73.73</v>
      </c>
      <c r="H95" s="64">
        <v>6.29</v>
      </c>
      <c r="I95" s="64">
        <v>2.08</v>
      </c>
      <c r="J95" s="64">
        <v>0.16</v>
      </c>
      <c r="K95" s="64">
        <v>336.2</v>
      </c>
      <c r="L95" s="64">
        <v>25.49</v>
      </c>
      <c r="M95" s="64">
        <v>97.98</v>
      </c>
      <c r="N95" s="64">
        <v>32</v>
      </c>
      <c r="O95" s="64">
        <v>0</v>
      </c>
      <c r="P95" s="64">
        <v>1.1299999999999999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4" t="s">
        <v>1291</v>
      </c>
      <c r="B96" s="64">
        <v>15.67</v>
      </c>
      <c r="C96" s="64">
        <v>24.28</v>
      </c>
      <c r="D96" s="64">
        <v>25.25</v>
      </c>
      <c r="E96" s="64">
        <v>5.4</v>
      </c>
      <c r="F96" s="64">
        <v>3.25</v>
      </c>
      <c r="G96" s="64">
        <v>66.03</v>
      </c>
      <c r="H96" s="64">
        <v>6.28</v>
      </c>
      <c r="I96" s="64">
        <v>2.09</v>
      </c>
      <c r="J96" s="64">
        <v>0.12</v>
      </c>
      <c r="K96" s="64">
        <v>137.19</v>
      </c>
      <c r="L96" s="64">
        <v>25.33</v>
      </c>
      <c r="M96" s="64">
        <v>97.97</v>
      </c>
      <c r="N96" s="64">
        <v>31.8</v>
      </c>
      <c r="O96" s="64">
        <v>0</v>
      </c>
      <c r="P96" s="64">
        <v>0.82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1292</v>
      </c>
      <c r="B97" s="64">
        <v>24.07</v>
      </c>
      <c r="C97" s="64">
        <v>22.42</v>
      </c>
      <c r="D97" s="64">
        <v>31.01</v>
      </c>
      <c r="E97" s="64">
        <v>5.09</v>
      </c>
      <c r="F97" s="64">
        <v>3.81</v>
      </c>
      <c r="G97" s="64">
        <v>60.13</v>
      </c>
      <c r="H97" s="64">
        <v>6.28</v>
      </c>
      <c r="I97" s="64">
        <v>2.12</v>
      </c>
      <c r="J97" s="64">
        <v>0.06</v>
      </c>
      <c r="K97" s="64">
        <v>188.19</v>
      </c>
      <c r="L97" s="64">
        <v>25.28</v>
      </c>
      <c r="M97" s="64">
        <v>97.97</v>
      </c>
      <c r="N97" s="64">
        <v>31.9</v>
      </c>
      <c r="O97" s="64">
        <v>0</v>
      </c>
      <c r="P97" s="64">
        <v>0.61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4" t="s">
        <v>1293</v>
      </c>
      <c r="B98" s="64">
        <v>16.059999999999999</v>
      </c>
      <c r="C98" s="64">
        <v>23.22</v>
      </c>
      <c r="D98" s="64">
        <v>25.01</v>
      </c>
      <c r="E98" s="64">
        <v>5.19</v>
      </c>
      <c r="F98" s="64">
        <v>2.66</v>
      </c>
      <c r="G98" s="64">
        <v>60.13</v>
      </c>
      <c r="H98" s="64">
        <v>6.28</v>
      </c>
      <c r="I98" s="64">
        <v>2.14</v>
      </c>
      <c r="J98" s="64">
        <v>0.03</v>
      </c>
      <c r="K98" s="64">
        <v>221.73</v>
      </c>
      <c r="L98" s="64">
        <v>25.18</v>
      </c>
      <c r="M98" s="64">
        <v>98.01</v>
      </c>
      <c r="N98" s="64">
        <v>31.8</v>
      </c>
      <c r="O98" s="64">
        <v>0</v>
      </c>
      <c r="P98" s="64">
        <v>0.63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4" t="s">
        <v>1294</v>
      </c>
      <c r="B99" s="64">
        <v>32.340000000000003</v>
      </c>
      <c r="C99" s="64">
        <v>14.12</v>
      </c>
      <c r="D99" s="64">
        <v>33.159999999999997</v>
      </c>
      <c r="E99" s="64">
        <v>5.14</v>
      </c>
      <c r="F99" s="64">
        <v>2.5099999999999998</v>
      </c>
      <c r="G99" s="64">
        <v>60.13</v>
      </c>
      <c r="H99" s="64">
        <v>6.28</v>
      </c>
      <c r="I99" s="64">
        <v>2.16</v>
      </c>
      <c r="J99" s="64">
        <v>0.22</v>
      </c>
      <c r="K99" s="64">
        <v>344.94</v>
      </c>
      <c r="L99" s="64">
        <v>25.15</v>
      </c>
      <c r="M99" s="64">
        <v>98.04</v>
      </c>
      <c r="N99" s="64">
        <v>32</v>
      </c>
      <c r="O99" s="64">
        <v>0</v>
      </c>
      <c r="P99" s="64">
        <v>1.03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4" t="s">
        <v>1295</v>
      </c>
      <c r="B100" s="64">
        <v>32.54</v>
      </c>
      <c r="C100" s="64">
        <v>16.78</v>
      </c>
      <c r="D100" s="64">
        <v>34.86</v>
      </c>
      <c r="E100" s="64">
        <v>5.16</v>
      </c>
      <c r="F100" s="64">
        <v>2.68</v>
      </c>
      <c r="G100" s="64">
        <v>64.63</v>
      </c>
      <c r="H100" s="64">
        <v>6.65</v>
      </c>
      <c r="I100" s="64">
        <v>2.15</v>
      </c>
      <c r="J100" s="64">
        <v>0.06</v>
      </c>
      <c r="K100" s="64">
        <v>345.83</v>
      </c>
      <c r="L100" s="64">
        <v>24.96</v>
      </c>
      <c r="M100" s="64">
        <v>98.05</v>
      </c>
      <c r="N100" s="64">
        <v>32</v>
      </c>
      <c r="O100" s="64">
        <v>0</v>
      </c>
      <c r="P100" s="64">
        <v>1.03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1296</v>
      </c>
      <c r="B101" s="64">
        <v>36.54</v>
      </c>
      <c r="C101" s="64">
        <v>15.07</v>
      </c>
      <c r="D101" s="64">
        <v>37.18</v>
      </c>
      <c r="E101" s="64">
        <v>5.1100000000000003</v>
      </c>
      <c r="F101" s="64">
        <v>2.76</v>
      </c>
      <c r="G101" s="64">
        <v>68.06</v>
      </c>
      <c r="H101" s="64">
        <v>6.76</v>
      </c>
      <c r="I101" s="64">
        <v>2.16</v>
      </c>
      <c r="J101" s="64">
        <v>0.05</v>
      </c>
      <c r="K101" s="64">
        <v>355.96</v>
      </c>
      <c r="L101" s="64">
        <v>24.81</v>
      </c>
      <c r="M101" s="64">
        <v>98.06</v>
      </c>
      <c r="N101" s="64">
        <v>31.8</v>
      </c>
      <c r="O101" s="64">
        <v>0</v>
      </c>
      <c r="P101" s="64">
        <v>0.88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4" t="s">
        <v>1297</v>
      </c>
      <c r="B102" s="64">
        <v>27.98</v>
      </c>
      <c r="C102" s="64">
        <v>16.559999999999999</v>
      </c>
      <c r="D102" s="64">
        <v>31.09</v>
      </c>
      <c r="E102" s="64">
        <v>5.01</v>
      </c>
      <c r="F102" s="64">
        <v>2.39</v>
      </c>
      <c r="G102" s="64">
        <v>68.06</v>
      </c>
      <c r="H102" s="64">
        <v>6.76</v>
      </c>
      <c r="I102" s="64">
        <v>2.1800000000000002</v>
      </c>
      <c r="J102" s="64">
        <v>0.09</v>
      </c>
      <c r="K102" s="64">
        <v>309.26</v>
      </c>
      <c r="L102" s="64">
        <v>24.78</v>
      </c>
      <c r="M102" s="64">
        <v>98.06</v>
      </c>
      <c r="N102" s="64">
        <v>31.8</v>
      </c>
      <c r="O102" s="64">
        <v>0</v>
      </c>
      <c r="P102" s="64">
        <v>0.99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4" t="s">
        <v>1298</v>
      </c>
      <c r="B103" s="64">
        <v>19.690000000000001</v>
      </c>
      <c r="C103" s="64">
        <v>21</v>
      </c>
      <c r="D103" s="64">
        <v>26.76</v>
      </c>
      <c r="E103" s="64">
        <v>4.96</v>
      </c>
      <c r="F103" s="64">
        <v>2.2799999999999998</v>
      </c>
      <c r="G103" s="64">
        <v>68.06</v>
      </c>
      <c r="H103" s="64">
        <v>6.76</v>
      </c>
      <c r="I103" s="64">
        <v>2.2000000000000002</v>
      </c>
      <c r="J103" s="64">
        <v>0.12</v>
      </c>
      <c r="K103" s="64">
        <v>349.25</v>
      </c>
      <c r="L103" s="64">
        <v>24.84</v>
      </c>
      <c r="M103" s="64">
        <v>98.06</v>
      </c>
      <c r="N103" s="64">
        <v>31.8</v>
      </c>
      <c r="O103" s="64">
        <v>0</v>
      </c>
      <c r="P103" s="64">
        <v>0.73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4" t="s">
        <v>1299</v>
      </c>
      <c r="B104" s="64">
        <v>15.94</v>
      </c>
      <c r="C104" s="64">
        <v>19.29</v>
      </c>
      <c r="D104" s="64">
        <v>22.86</v>
      </c>
      <c r="E104" s="64">
        <v>4.97</v>
      </c>
      <c r="F104" s="64">
        <v>2.33</v>
      </c>
      <c r="G104" s="64">
        <v>68.39</v>
      </c>
      <c r="H104" s="64">
        <v>6.7</v>
      </c>
      <c r="I104" s="64">
        <v>2.2200000000000002</v>
      </c>
      <c r="J104" s="64">
        <v>0.45</v>
      </c>
      <c r="K104" s="64">
        <v>339.18</v>
      </c>
      <c r="L104" s="64">
        <v>24.87</v>
      </c>
      <c r="M104" s="64">
        <v>98.05</v>
      </c>
      <c r="N104" s="64">
        <v>31.6</v>
      </c>
      <c r="O104" s="64">
        <v>0</v>
      </c>
      <c r="P104" s="64">
        <v>0.75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8.4600000000000009</v>
      </c>
      <c r="C106" s="67">
        <f>MIN(C9:C104)</f>
        <v>4.6900000000000004</v>
      </c>
      <c r="D106" s="67">
        <f t="shared" ref="D106:Q106" si="0">MIN(D9:D104)</f>
        <v>10.87</v>
      </c>
      <c r="E106" s="67">
        <f t="shared" si="0"/>
        <v>4.82</v>
      </c>
      <c r="F106" s="67">
        <f t="shared" si="0"/>
        <v>2.2799999999999998</v>
      </c>
      <c r="G106" s="67">
        <f t="shared" si="0"/>
        <v>33.06</v>
      </c>
      <c r="H106" s="67">
        <f t="shared" si="0"/>
        <v>6.28</v>
      </c>
      <c r="I106" s="67">
        <f t="shared" si="0"/>
        <v>1.52</v>
      </c>
      <c r="J106" s="67">
        <f t="shared" si="0"/>
        <v>0</v>
      </c>
      <c r="K106" s="67">
        <f t="shared" si="0"/>
        <v>0.17</v>
      </c>
      <c r="L106" s="67">
        <f t="shared" si="0"/>
        <v>23.42</v>
      </c>
      <c r="M106" s="67">
        <f t="shared" si="0"/>
        <v>75.989999999999995</v>
      </c>
      <c r="N106" s="67">
        <f t="shared" si="0"/>
        <v>31</v>
      </c>
      <c r="O106" s="67">
        <f t="shared" si="0"/>
        <v>0</v>
      </c>
      <c r="P106" s="67">
        <f t="shared" si="0"/>
        <v>0.28999999999999998</v>
      </c>
      <c r="Q106" s="67">
        <f t="shared" si="0"/>
        <v>9.4600000000000009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36.54</v>
      </c>
      <c r="C107" s="66">
        <f t="shared" ref="C107:Q107" si="1">MAX(C9:C104)</f>
        <v>24.28</v>
      </c>
      <c r="D107" s="66">
        <f t="shared" si="1"/>
        <v>37.18</v>
      </c>
      <c r="E107" s="66">
        <f t="shared" si="1"/>
        <v>6.12</v>
      </c>
      <c r="F107" s="66">
        <f t="shared" si="1"/>
        <v>14.91</v>
      </c>
      <c r="G107" s="66">
        <f t="shared" si="1"/>
        <v>91.41</v>
      </c>
      <c r="H107" s="66">
        <f t="shared" si="1"/>
        <v>20.74</v>
      </c>
      <c r="I107" s="66">
        <f t="shared" si="1"/>
        <v>2.58</v>
      </c>
      <c r="J107" s="66">
        <f t="shared" si="1"/>
        <v>1.66</v>
      </c>
      <c r="K107" s="66">
        <f t="shared" si="1"/>
        <v>355.96</v>
      </c>
      <c r="L107" s="66">
        <f t="shared" si="1"/>
        <v>32.729999999999997</v>
      </c>
      <c r="M107" s="66">
        <f t="shared" si="1"/>
        <v>98.1</v>
      </c>
      <c r="N107" s="66">
        <f t="shared" si="1"/>
        <v>647.79999999999995</v>
      </c>
      <c r="O107" s="66">
        <f t="shared" si="1"/>
        <v>0</v>
      </c>
      <c r="P107" s="66">
        <f t="shared" si="1"/>
        <v>1.26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15.203541666666666</v>
      </c>
      <c r="C108" s="67">
        <f t="shared" ref="C108:Q108" si="2">AVERAGE(C9:C104)</f>
        <v>12.365833333333335</v>
      </c>
      <c r="D108" s="67">
        <f t="shared" si="2"/>
        <v>18.650625000000002</v>
      </c>
      <c r="E108" s="67">
        <f t="shared" si="2"/>
        <v>5.3369791666666666</v>
      </c>
      <c r="F108" s="67">
        <f t="shared" si="2"/>
        <v>6.8257291666666644</v>
      </c>
      <c r="G108" s="67">
        <f t="shared" si="2"/>
        <v>53.403437499999988</v>
      </c>
      <c r="H108" s="67">
        <f t="shared" si="2"/>
        <v>8.1351190476190407</v>
      </c>
      <c r="I108" s="67">
        <f t="shared" si="2"/>
        <v>1.925416666666667</v>
      </c>
      <c r="J108" s="67">
        <f t="shared" si="2"/>
        <v>0.28479166666666672</v>
      </c>
      <c r="K108" s="67">
        <f t="shared" si="2"/>
        <v>258.63427083333335</v>
      </c>
      <c r="L108" s="67">
        <f t="shared" si="2"/>
        <v>26.16364583333333</v>
      </c>
      <c r="M108" s="67">
        <f t="shared" si="2"/>
        <v>96.456145833333281</v>
      </c>
      <c r="N108" s="67">
        <f t="shared" si="2"/>
        <v>121.45729166666662</v>
      </c>
      <c r="O108" s="67">
        <f t="shared" si="2"/>
        <v>0</v>
      </c>
      <c r="P108" s="67">
        <f t="shared" si="2"/>
        <v>0.57374999999999987</v>
      </c>
      <c r="Q108" s="67">
        <f t="shared" si="2"/>
        <v>9.5909375000000008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5.2651581630997688</v>
      </c>
      <c r="C109" s="67">
        <f t="shared" ref="C109:Q109" si="3">STDEV(C9:C104)</f>
        <v>4.5103008807714451</v>
      </c>
      <c r="D109" s="67">
        <f t="shared" si="3"/>
        <v>5.5810057219484248</v>
      </c>
      <c r="E109" s="67">
        <f t="shared" si="3"/>
        <v>0.26888510475926974</v>
      </c>
      <c r="F109" s="67">
        <f t="shared" si="3"/>
        <v>3.5769745359927239</v>
      </c>
      <c r="G109" s="67">
        <f t="shared" si="3"/>
        <v>17.172870822018606</v>
      </c>
      <c r="H109" s="67">
        <f t="shared" si="3"/>
        <v>2.6572662345122042</v>
      </c>
      <c r="I109" s="67">
        <f t="shared" si="3"/>
        <v>0.24958878461081999</v>
      </c>
      <c r="J109" s="67">
        <f t="shared" si="3"/>
        <v>0.34043309619138995</v>
      </c>
      <c r="K109" s="67">
        <f t="shared" si="3"/>
        <v>101.36074789680461</v>
      </c>
      <c r="L109" s="67">
        <f t="shared" si="3"/>
        <v>2.2716393893729872</v>
      </c>
      <c r="M109" s="67">
        <f t="shared" si="3"/>
        <v>3.8343424248677054</v>
      </c>
      <c r="N109" s="67">
        <f t="shared" si="3"/>
        <v>133.85066521258273</v>
      </c>
      <c r="O109" s="67">
        <f t="shared" si="3"/>
        <v>0</v>
      </c>
      <c r="P109" s="67">
        <f t="shared" si="3"/>
        <v>0.20566835849058243</v>
      </c>
      <c r="Q109" s="67">
        <f t="shared" si="3"/>
        <v>4.8926972972078736E-2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COUNT(H9:H104)+12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1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1300</v>
      </c>
      <c r="B9" s="64">
        <v>13.7</v>
      </c>
      <c r="C9" s="64">
        <v>20.86</v>
      </c>
      <c r="D9" s="64">
        <v>21.89</v>
      </c>
      <c r="E9" s="64">
        <v>4.9000000000000004</v>
      </c>
      <c r="F9" s="64">
        <v>2.97</v>
      </c>
      <c r="G9" s="64">
        <v>68.64</v>
      </c>
      <c r="H9" s="64">
        <v>6.68</v>
      </c>
      <c r="I9" s="64">
        <v>2.2200000000000002</v>
      </c>
      <c r="J9" s="64">
        <v>0.39</v>
      </c>
      <c r="K9" s="64">
        <v>333.14</v>
      </c>
      <c r="L9" s="64">
        <v>25.05</v>
      </c>
      <c r="M9" s="64">
        <v>98.04</v>
      </c>
      <c r="N9" s="64">
        <v>31.7</v>
      </c>
      <c r="O9" s="64">
        <v>0</v>
      </c>
      <c r="P9" s="64">
        <v>0.62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4" t="s">
        <v>1301</v>
      </c>
      <c r="B10" s="64">
        <v>16.05</v>
      </c>
      <c r="C10" s="64">
        <v>15.26</v>
      </c>
      <c r="D10" s="64">
        <v>20.84</v>
      </c>
      <c r="E10" s="64">
        <v>4.6500000000000004</v>
      </c>
      <c r="F10" s="64">
        <v>3.08</v>
      </c>
      <c r="G10" s="64">
        <v>68.64</v>
      </c>
      <c r="H10" s="64">
        <v>6.68</v>
      </c>
      <c r="I10" s="64">
        <v>2.2200000000000002</v>
      </c>
      <c r="J10" s="64">
        <v>0.34</v>
      </c>
      <c r="K10" s="64">
        <v>333.96</v>
      </c>
      <c r="L10" s="64">
        <v>25.18</v>
      </c>
      <c r="M10" s="64">
        <v>98.05</v>
      </c>
      <c r="N10" s="64">
        <v>32</v>
      </c>
      <c r="O10" s="64">
        <v>0</v>
      </c>
      <c r="P10" s="64">
        <v>0.68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4" t="s">
        <v>1302</v>
      </c>
      <c r="B11" s="64">
        <v>15.86</v>
      </c>
      <c r="C11" s="64">
        <v>14.08</v>
      </c>
      <c r="D11" s="64">
        <v>20.07</v>
      </c>
      <c r="E11" s="64">
        <v>4.74</v>
      </c>
      <c r="F11" s="64">
        <v>3.2</v>
      </c>
      <c r="G11" s="64">
        <v>68.64</v>
      </c>
      <c r="H11" s="64">
        <v>6.68</v>
      </c>
      <c r="I11" s="64">
        <v>2.2200000000000002</v>
      </c>
      <c r="J11" s="64">
        <v>0.35</v>
      </c>
      <c r="K11" s="64">
        <v>338.9</v>
      </c>
      <c r="L11" s="64">
        <v>25.2</v>
      </c>
      <c r="M11" s="64">
        <v>98.05</v>
      </c>
      <c r="N11" s="64">
        <v>32.1</v>
      </c>
      <c r="O11" s="64">
        <v>0</v>
      </c>
      <c r="P11" s="64">
        <v>0.7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4" t="s">
        <v>1303</v>
      </c>
      <c r="B12" s="64">
        <v>13.46</v>
      </c>
      <c r="C12" s="64">
        <v>12.92</v>
      </c>
      <c r="D12" s="64">
        <v>17.54</v>
      </c>
      <c r="E12" s="64">
        <v>4.71</v>
      </c>
      <c r="F12" s="64">
        <v>3.61</v>
      </c>
      <c r="G12" s="64">
        <v>71.290000000000006</v>
      </c>
      <c r="H12" s="212" t="s">
        <v>42</v>
      </c>
      <c r="I12" s="64">
        <v>2.2200000000000002</v>
      </c>
      <c r="J12" s="64">
        <v>0.59</v>
      </c>
      <c r="K12" s="64">
        <v>330.53</v>
      </c>
      <c r="L12" s="64">
        <v>25.13</v>
      </c>
      <c r="M12" s="64">
        <v>98.03</v>
      </c>
      <c r="N12" s="64">
        <v>32</v>
      </c>
      <c r="O12" s="64">
        <v>0</v>
      </c>
      <c r="P12" s="64">
        <v>0.86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4" t="s">
        <v>1304</v>
      </c>
      <c r="B13" s="64">
        <v>9.74</v>
      </c>
      <c r="C13" s="64">
        <v>14.71</v>
      </c>
      <c r="D13" s="64">
        <v>15.5</v>
      </c>
      <c r="E13" s="64">
        <v>4.66</v>
      </c>
      <c r="F13" s="64">
        <v>6</v>
      </c>
      <c r="G13" s="64">
        <v>73.31</v>
      </c>
      <c r="H13" s="212" t="s">
        <v>42</v>
      </c>
      <c r="I13" s="64">
        <v>2.21</v>
      </c>
      <c r="J13" s="64">
        <v>0.33</v>
      </c>
      <c r="K13" s="64">
        <v>336.32</v>
      </c>
      <c r="L13" s="64">
        <v>25.11</v>
      </c>
      <c r="M13" s="64">
        <v>98.01</v>
      </c>
      <c r="N13" s="64">
        <v>32.1</v>
      </c>
      <c r="O13" s="64">
        <v>0</v>
      </c>
      <c r="P13" s="64">
        <v>0.7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4" t="s">
        <v>1305</v>
      </c>
      <c r="B14" s="64">
        <v>10.32</v>
      </c>
      <c r="C14" s="64">
        <v>14.32</v>
      </c>
      <c r="D14" s="64">
        <v>15.76</v>
      </c>
      <c r="E14" s="64">
        <v>4.8099999999999996</v>
      </c>
      <c r="F14" s="64">
        <v>4.3</v>
      </c>
      <c r="G14" s="64">
        <v>73.31</v>
      </c>
      <c r="H14" s="212" t="s">
        <v>42</v>
      </c>
      <c r="I14" s="64">
        <v>2.2200000000000002</v>
      </c>
      <c r="J14" s="64">
        <v>0.33</v>
      </c>
      <c r="K14" s="64">
        <v>338.53</v>
      </c>
      <c r="L14" s="64">
        <v>25.05</v>
      </c>
      <c r="M14" s="64">
        <v>98.02</v>
      </c>
      <c r="N14" s="64">
        <v>32</v>
      </c>
      <c r="O14" s="64">
        <v>0</v>
      </c>
      <c r="P14" s="64">
        <v>0.71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4" t="s">
        <v>1306</v>
      </c>
      <c r="B15" s="64">
        <v>10.210000000000001</v>
      </c>
      <c r="C15" s="64">
        <v>14.85</v>
      </c>
      <c r="D15" s="64">
        <v>15.94</v>
      </c>
      <c r="E15" s="64">
        <v>5.0599999999999996</v>
      </c>
      <c r="F15" s="64">
        <v>4.9800000000000004</v>
      </c>
      <c r="G15" s="64">
        <v>73.31</v>
      </c>
      <c r="H15" s="212" t="s">
        <v>42</v>
      </c>
      <c r="I15" s="64">
        <v>2.2200000000000002</v>
      </c>
      <c r="J15" s="64">
        <v>0.15</v>
      </c>
      <c r="K15" s="64">
        <v>335.04</v>
      </c>
      <c r="L15" s="64">
        <v>25.07</v>
      </c>
      <c r="M15" s="64">
        <v>98.01</v>
      </c>
      <c r="N15" s="64">
        <v>32.1</v>
      </c>
      <c r="O15" s="64">
        <v>0</v>
      </c>
      <c r="P15" s="64">
        <v>0.73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4" t="s">
        <v>1307</v>
      </c>
      <c r="B16" s="64">
        <v>12.63</v>
      </c>
      <c r="C16" s="64">
        <v>9.82</v>
      </c>
      <c r="D16" s="64">
        <v>15.26</v>
      </c>
      <c r="E16" s="64">
        <v>4.96</v>
      </c>
      <c r="F16" s="64">
        <v>4.87</v>
      </c>
      <c r="G16" s="64">
        <v>82.49</v>
      </c>
      <c r="H16" s="212" t="s">
        <v>42</v>
      </c>
      <c r="I16" s="64">
        <v>2.23</v>
      </c>
      <c r="J16" s="64">
        <v>0.25</v>
      </c>
      <c r="K16" s="64">
        <v>137.61000000000001</v>
      </c>
      <c r="L16" s="64">
        <v>24.42</v>
      </c>
      <c r="M16" s="64">
        <v>98.08</v>
      </c>
      <c r="N16" s="64">
        <v>33.200000000000003</v>
      </c>
      <c r="O16" s="64">
        <v>0.2</v>
      </c>
      <c r="P16" s="64">
        <v>0.68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4" t="s">
        <v>1308</v>
      </c>
      <c r="B17" s="64">
        <v>14.8</v>
      </c>
      <c r="C17" s="64">
        <v>5.3</v>
      </c>
      <c r="D17" s="64">
        <v>14.64</v>
      </c>
      <c r="E17" s="64">
        <v>5.4</v>
      </c>
      <c r="F17" s="64">
        <v>6.85</v>
      </c>
      <c r="G17" s="64">
        <v>89.83</v>
      </c>
      <c r="H17" s="64">
        <v>6.28</v>
      </c>
      <c r="I17" s="64">
        <v>2.23</v>
      </c>
      <c r="J17" s="64">
        <v>0.57999999999999996</v>
      </c>
      <c r="K17" s="64">
        <v>130.33000000000001</v>
      </c>
      <c r="L17" s="64">
        <v>23.07</v>
      </c>
      <c r="M17" s="64">
        <v>98.05</v>
      </c>
      <c r="N17" s="64">
        <v>33.299999999999997</v>
      </c>
      <c r="O17" s="64">
        <v>0.8</v>
      </c>
      <c r="P17" s="64">
        <v>0.59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4" t="s">
        <v>1309</v>
      </c>
      <c r="B18" s="64">
        <v>13.9</v>
      </c>
      <c r="C18" s="64">
        <v>5.49</v>
      </c>
      <c r="D18" s="64">
        <v>14.01</v>
      </c>
      <c r="E18" s="64">
        <v>5.09</v>
      </c>
      <c r="F18" s="64">
        <v>7.68</v>
      </c>
      <c r="G18" s="64">
        <v>89.83</v>
      </c>
      <c r="H18" s="64">
        <v>6.28</v>
      </c>
      <c r="I18" s="64">
        <v>2.2200000000000002</v>
      </c>
      <c r="J18" s="64">
        <v>0.56999999999999995</v>
      </c>
      <c r="K18" s="64">
        <v>135.54</v>
      </c>
      <c r="L18" s="64">
        <v>22.41</v>
      </c>
      <c r="M18" s="64">
        <v>97.92</v>
      </c>
      <c r="N18" s="64">
        <v>32.700000000000003</v>
      </c>
      <c r="O18" s="64">
        <v>0.2</v>
      </c>
      <c r="P18" s="64">
        <v>0.54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1310</v>
      </c>
      <c r="B19" s="64">
        <v>12.49</v>
      </c>
      <c r="C19" s="64">
        <v>6.59</v>
      </c>
      <c r="D19" s="64">
        <v>13.46</v>
      </c>
      <c r="E19" s="64">
        <v>4.6500000000000004</v>
      </c>
      <c r="F19" s="64">
        <v>10.050000000000001</v>
      </c>
      <c r="G19" s="64">
        <v>89.83</v>
      </c>
      <c r="H19" s="64">
        <v>6.28</v>
      </c>
      <c r="I19" s="64">
        <v>2.1800000000000002</v>
      </c>
      <c r="J19" s="64">
        <v>0.12</v>
      </c>
      <c r="K19" s="64">
        <v>150.80000000000001</v>
      </c>
      <c r="L19" s="64">
        <v>22.35</v>
      </c>
      <c r="M19" s="64">
        <v>97.96</v>
      </c>
      <c r="N19" s="64">
        <v>32.1</v>
      </c>
      <c r="O19" s="64">
        <v>0</v>
      </c>
      <c r="P19" s="64">
        <v>0.37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4" t="s">
        <v>1311</v>
      </c>
      <c r="B20" s="64">
        <v>11.28</v>
      </c>
      <c r="C20" s="64">
        <v>7.46</v>
      </c>
      <c r="D20" s="64">
        <v>12.95</v>
      </c>
      <c r="E20" s="64">
        <v>5.05</v>
      </c>
      <c r="F20" s="64">
        <v>8.06</v>
      </c>
      <c r="G20" s="64">
        <v>72.41</v>
      </c>
      <c r="H20" s="64">
        <v>6.28</v>
      </c>
      <c r="I20" s="64">
        <v>2.13</v>
      </c>
      <c r="J20" s="64">
        <v>0.05</v>
      </c>
      <c r="K20" s="64">
        <v>314.11</v>
      </c>
      <c r="L20" s="64">
        <v>22.4</v>
      </c>
      <c r="M20" s="64">
        <v>97.98</v>
      </c>
      <c r="N20" s="64">
        <v>32.1</v>
      </c>
      <c r="O20" s="64">
        <v>0</v>
      </c>
      <c r="P20" s="64">
        <v>0.37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4" t="s">
        <v>1312</v>
      </c>
      <c r="B21" s="64">
        <v>16.260000000000002</v>
      </c>
      <c r="C21" s="64">
        <v>3.73</v>
      </c>
      <c r="D21" s="64">
        <v>14.99</v>
      </c>
      <c r="E21" s="64">
        <v>5.07</v>
      </c>
      <c r="F21" s="64">
        <v>2.77</v>
      </c>
      <c r="G21" s="64">
        <v>58.47</v>
      </c>
      <c r="H21" s="64">
        <v>6.28</v>
      </c>
      <c r="I21" s="64">
        <v>2.09</v>
      </c>
      <c r="J21" s="64">
        <v>0.57999999999999996</v>
      </c>
      <c r="K21" s="64">
        <v>334.46</v>
      </c>
      <c r="L21" s="64">
        <v>22.36</v>
      </c>
      <c r="M21" s="64">
        <v>98</v>
      </c>
      <c r="N21" s="64">
        <v>32.700000000000003</v>
      </c>
      <c r="O21" s="64">
        <v>2</v>
      </c>
      <c r="P21" s="64">
        <v>0.62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1313</v>
      </c>
      <c r="B22" s="64">
        <v>13.94</v>
      </c>
      <c r="C22" s="64">
        <v>5.03</v>
      </c>
      <c r="D22" s="64">
        <v>13.81</v>
      </c>
      <c r="E22" s="64">
        <v>5.21</v>
      </c>
      <c r="F22" s="64">
        <v>6.78</v>
      </c>
      <c r="G22" s="64">
        <v>58.47</v>
      </c>
      <c r="H22" s="64">
        <v>6.28</v>
      </c>
      <c r="I22" s="64">
        <v>2.0299999999999998</v>
      </c>
      <c r="J22" s="64">
        <v>0.74</v>
      </c>
      <c r="K22" s="64">
        <v>338.55</v>
      </c>
      <c r="L22" s="64">
        <v>21.94</v>
      </c>
      <c r="M22" s="64">
        <v>98</v>
      </c>
      <c r="N22" s="64">
        <v>33</v>
      </c>
      <c r="O22" s="64">
        <v>0</v>
      </c>
      <c r="P22" s="64">
        <v>0.52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4" t="s">
        <v>1314</v>
      </c>
      <c r="B23" s="64">
        <v>15.7</v>
      </c>
      <c r="C23" s="64">
        <v>3.86</v>
      </c>
      <c r="D23" s="64">
        <v>14.61</v>
      </c>
      <c r="E23" s="64">
        <v>4.84</v>
      </c>
      <c r="F23" s="64">
        <v>4.28</v>
      </c>
      <c r="G23" s="64">
        <v>58.47</v>
      </c>
      <c r="H23" s="64">
        <v>6.28</v>
      </c>
      <c r="I23" s="64">
        <v>1.96</v>
      </c>
      <c r="J23" s="64">
        <v>0.17</v>
      </c>
      <c r="K23" s="64">
        <v>337.57</v>
      </c>
      <c r="L23" s="64">
        <v>21.94</v>
      </c>
      <c r="M23" s="64">
        <v>97.98</v>
      </c>
      <c r="N23" s="64">
        <v>31.7</v>
      </c>
      <c r="O23" s="64">
        <v>1</v>
      </c>
      <c r="P23" s="64">
        <v>0.53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1315</v>
      </c>
      <c r="B24" s="64">
        <v>10.82</v>
      </c>
      <c r="C24" s="64">
        <v>9.2200000000000006</v>
      </c>
      <c r="D24" s="64">
        <v>13.49</v>
      </c>
      <c r="E24" s="64">
        <v>4.84</v>
      </c>
      <c r="F24" s="64">
        <v>7.05</v>
      </c>
      <c r="G24" s="64">
        <v>45.07</v>
      </c>
      <c r="H24" s="64">
        <v>6.28</v>
      </c>
      <c r="I24" s="64">
        <v>1.89</v>
      </c>
      <c r="J24" s="64">
        <v>0.18</v>
      </c>
      <c r="K24" s="64">
        <v>358.84</v>
      </c>
      <c r="L24" s="64">
        <v>22.1</v>
      </c>
      <c r="M24" s="64">
        <v>97.98</v>
      </c>
      <c r="N24" s="64">
        <v>32</v>
      </c>
      <c r="O24" s="64">
        <v>0</v>
      </c>
      <c r="P24" s="64">
        <v>0.3</v>
      </c>
      <c r="Q24" s="64">
        <v>9.58</v>
      </c>
      <c r="R24" s="198"/>
      <c r="S24" s="198"/>
      <c r="T24" s="198"/>
      <c r="U24" s="198"/>
    </row>
    <row r="25" spans="1:21" s="12" customFormat="1" x14ac:dyDescent="0.25">
      <c r="A25" s="214" t="s">
        <v>1316</v>
      </c>
      <c r="B25" s="64">
        <v>14.94</v>
      </c>
      <c r="C25" s="64">
        <v>4.26</v>
      </c>
      <c r="D25" s="64">
        <v>14.21</v>
      </c>
      <c r="E25" s="64">
        <v>4.7699999999999996</v>
      </c>
      <c r="F25" s="64">
        <v>2.65</v>
      </c>
      <c r="G25" s="64">
        <v>34.35</v>
      </c>
      <c r="H25" s="64">
        <v>6.28</v>
      </c>
      <c r="I25" s="64">
        <v>1.85</v>
      </c>
      <c r="J25" s="64">
        <v>0.91</v>
      </c>
      <c r="K25" s="64">
        <v>338.65</v>
      </c>
      <c r="L25" s="64">
        <v>22.33</v>
      </c>
      <c r="M25" s="64">
        <v>97.99</v>
      </c>
      <c r="N25" s="64">
        <v>31.9</v>
      </c>
      <c r="O25" s="64">
        <v>0</v>
      </c>
      <c r="P25" s="64">
        <v>0.53</v>
      </c>
      <c r="Q25" s="64">
        <v>9.56</v>
      </c>
      <c r="R25" s="198"/>
      <c r="S25" s="198"/>
      <c r="T25" s="198"/>
      <c r="U25" s="198"/>
    </row>
    <row r="26" spans="1:21" s="12" customFormat="1" x14ac:dyDescent="0.25">
      <c r="A26" s="214" t="s">
        <v>1317</v>
      </c>
      <c r="B26" s="64">
        <v>13.19</v>
      </c>
      <c r="C26" s="64">
        <v>8.1199999999999992</v>
      </c>
      <c r="D26" s="64">
        <v>14.82</v>
      </c>
      <c r="E26" s="64">
        <v>4.8899999999999997</v>
      </c>
      <c r="F26" s="64">
        <v>6.87</v>
      </c>
      <c r="G26" s="64">
        <v>34.35</v>
      </c>
      <c r="H26" s="64">
        <v>6.28</v>
      </c>
      <c r="I26" s="64">
        <v>1.81</v>
      </c>
      <c r="J26" s="64">
        <v>0.41</v>
      </c>
      <c r="K26" s="64">
        <v>339.7</v>
      </c>
      <c r="L26" s="64">
        <v>22.48</v>
      </c>
      <c r="M26" s="64">
        <v>98</v>
      </c>
      <c r="N26" s="64">
        <v>32</v>
      </c>
      <c r="O26" s="64">
        <v>0</v>
      </c>
      <c r="P26" s="64">
        <v>0.33</v>
      </c>
      <c r="Q26" s="64">
        <v>9.5500000000000007</v>
      </c>
      <c r="R26" s="198"/>
      <c r="S26" s="198"/>
      <c r="T26" s="198"/>
      <c r="U26" s="198"/>
    </row>
    <row r="27" spans="1:21" s="12" customFormat="1" x14ac:dyDescent="0.25">
      <c r="A27" s="214" t="s">
        <v>1318</v>
      </c>
      <c r="B27" s="64">
        <v>12.02</v>
      </c>
      <c r="C27" s="64">
        <v>8.14</v>
      </c>
      <c r="D27" s="64">
        <v>13.89</v>
      </c>
      <c r="E27" s="64">
        <v>4.74</v>
      </c>
      <c r="F27" s="64">
        <v>4.1100000000000003</v>
      </c>
      <c r="G27" s="64">
        <v>34.35</v>
      </c>
      <c r="H27" s="64">
        <v>6.28</v>
      </c>
      <c r="I27" s="64">
        <v>1.76</v>
      </c>
      <c r="J27" s="64">
        <v>0.05</v>
      </c>
      <c r="K27" s="64">
        <v>49.27</v>
      </c>
      <c r="L27" s="64">
        <v>22.5</v>
      </c>
      <c r="M27" s="64">
        <v>98</v>
      </c>
      <c r="N27" s="64">
        <v>32</v>
      </c>
      <c r="O27" s="64">
        <v>0</v>
      </c>
      <c r="P27" s="64">
        <v>0.42</v>
      </c>
      <c r="Q27" s="64">
        <v>9.5299999999999994</v>
      </c>
      <c r="R27" s="198"/>
      <c r="S27" s="198"/>
      <c r="T27" s="198"/>
      <c r="U27" s="198"/>
    </row>
    <row r="28" spans="1:21" s="12" customFormat="1" x14ac:dyDescent="0.25">
      <c r="A28" s="214" t="s">
        <v>1319</v>
      </c>
      <c r="B28" s="64">
        <v>16.32</v>
      </c>
      <c r="C28" s="64">
        <v>14.94</v>
      </c>
      <c r="D28" s="64">
        <v>20.9</v>
      </c>
      <c r="E28" s="64">
        <v>4.5999999999999996</v>
      </c>
      <c r="F28" s="64">
        <v>6.15</v>
      </c>
      <c r="G28" s="64">
        <v>30.76</v>
      </c>
      <c r="H28" s="64">
        <v>6.28</v>
      </c>
      <c r="I28" s="64">
        <v>1.71</v>
      </c>
      <c r="J28" s="64">
        <v>0.14000000000000001</v>
      </c>
      <c r="K28" s="64">
        <v>344.23</v>
      </c>
      <c r="L28" s="64">
        <v>22.62</v>
      </c>
      <c r="M28" s="64">
        <v>97.99</v>
      </c>
      <c r="N28" s="64">
        <v>31.9</v>
      </c>
      <c r="O28" s="64">
        <v>0</v>
      </c>
      <c r="P28" s="64">
        <v>0.27</v>
      </c>
      <c r="Q28" s="64">
        <v>9.5299999999999994</v>
      </c>
      <c r="R28" s="198"/>
      <c r="S28" s="198"/>
      <c r="T28" s="198"/>
      <c r="U28" s="198"/>
    </row>
    <row r="29" spans="1:21" s="12" customFormat="1" x14ac:dyDescent="0.25">
      <c r="A29" s="214" t="s">
        <v>1320</v>
      </c>
      <c r="B29" s="64">
        <v>12.15</v>
      </c>
      <c r="C29" s="64">
        <v>9.98</v>
      </c>
      <c r="D29" s="64">
        <v>14.96</v>
      </c>
      <c r="E29" s="64">
        <v>4.6900000000000004</v>
      </c>
      <c r="F29" s="64">
        <v>2.9</v>
      </c>
      <c r="G29" s="64">
        <v>27.89</v>
      </c>
      <c r="H29" s="64">
        <v>6.28</v>
      </c>
      <c r="I29" s="64">
        <v>1.69</v>
      </c>
      <c r="J29" s="64">
        <v>0.17</v>
      </c>
      <c r="K29" s="64">
        <v>346.5</v>
      </c>
      <c r="L29" s="64">
        <v>22.75</v>
      </c>
      <c r="M29" s="64">
        <v>98</v>
      </c>
      <c r="N29" s="64">
        <v>32.1</v>
      </c>
      <c r="O29" s="64">
        <v>0.2</v>
      </c>
      <c r="P29" s="64">
        <v>0.44</v>
      </c>
      <c r="Q29" s="64">
        <v>9.52</v>
      </c>
      <c r="R29" s="198"/>
      <c r="S29" s="198"/>
      <c r="T29" s="198"/>
      <c r="U29" s="198"/>
    </row>
    <row r="30" spans="1:21" s="12" customFormat="1" x14ac:dyDescent="0.25">
      <c r="A30" s="214" t="s">
        <v>1321</v>
      </c>
      <c r="B30" s="64">
        <v>10.68</v>
      </c>
      <c r="C30" s="64">
        <v>12.06</v>
      </c>
      <c r="D30" s="64">
        <v>14.86</v>
      </c>
      <c r="E30" s="64">
        <v>4.8600000000000003</v>
      </c>
      <c r="F30" s="64">
        <v>4.76</v>
      </c>
      <c r="G30" s="64">
        <v>27.89</v>
      </c>
      <c r="H30" s="64">
        <v>6.28</v>
      </c>
      <c r="I30" s="64">
        <v>1.67</v>
      </c>
      <c r="J30" s="64">
        <v>0.47</v>
      </c>
      <c r="K30" s="64">
        <v>334.21</v>
      </c>
      <c r="L30" s="64">
        <v>22.65</v>
      </c>
      <c r="M30" s="64">
        <v>97.56</v>
      </c>
      <c r="N30" s="64">
        <v>32.9</v>
      </c>
      <c r="O30" s="64">
        <v>0</v>
      </c>
      <c r="P30" s="64">
        <v>0.41</v>
      </c>
      <c r="Q30" s="64">
        <v>9.52</v>
      </c>
      <c r="R30" s="198"/>
      <c r="S30" s="198"/>
      <c r="T30" s="198"/>
      <c r="U30" s="198"/>
    </row>
    <row r="31" spans="1:21" s="12" customFormat="1" x14ac:dyDescent="0.25">
      <c r="A31" s="214" t="s">
        <v>1322</v>
      </c>
      <c r="B31" s="64">
        <v>13.48</v>
      </c>
      <c r="C31" s="64">
        <v>10.68</v>
      </c>
      <c r="D31" s="64">
        <v>16.39</v>
      </c>
      <c r="E31" s="64">
        <v>4.99</v>
      </c>
      <c r="F31" s="64">
        <v>6.5</v>
      </c>
      <c r="G31" s="64">
        <v>27.89</v>
      </c>
      <c r="H31" s="64">
        <v>6.28</v>
      </c>
      <c r="I31" s="64">
        <v>1.65</v>
      </c>
      <c r="J31" s="64">
        <v>0.87</v>
      </c>
      <c r="K31" s="64">
        <v>337.83</v>
      </c>
      <c r="L31" s="64">
        <v>22.25</v>
      </c>
      <c r="M31" s="64">
        <v>96.16</v>
      </c>
      <c r="N31" s="64">
        <v>33.700000000000003</v>
      </c>
      <c r="O31" s="64">
        <v>0</v>
      </c>
      <c r="P31" s="64">
        <v>0.4</v>
      </c>
      <c r="Q31" s="64">
        <v>9.52</v>
      </c>
      <c r="R31" s="198"/>
      <c r="S31" s="198"/>
      <c r="T31" s="198"/>
      <c r="U31" s="198"/>
    </row>
    <row r="32" spans="1:21" s="12" customFormat="1" x14ac:dyDescent="0.25">
      <c r="A32" s="214" t="s">
        <v>1323</v>
      </c>
      <c r="B32" s="64">
        <v>14.44</v>
      </c>
      <c r="C32" s="64">
        <v>13.06</v>
      </c>
      <c r="D32" s="64">
        <v>18.41</v>
      </c>
      <c r="E32" s="64">
        <v>5.2</v>
      </c>
      <c r="F32" s="64">
        <v>5.69</v>
      </c>
      <c r="G32" s="64">
        <v>32.130000000000003</v>
      </c>
      <c r="H32" s="64">
        <v>6.28</v>
      </c>
      <c r="I32" s="64">
        <v>1.63</v>
      </c>
      <c r="J32" s="64">
        <v>0.42</v>
      </c>
      <c r="K32" s="64">
        <v>338.67</v>
      </c>
      <c r="L32" s="64">
        <v>22.3</v>
      </c>
      <c r="M32" s="64">
        <v>96.08</v>
      </c>
      <c r="N32" s="64">
        <v>38.9</v>
      </c>
      <c r="O32" s="64">
        <v>0</v>
      </c>
      <c r="P32" s="64">
        <v>0.44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14" t="s">
        <v>1324</v>
      </c>
      <c r="B33" s="64">
        <v>15.02</v>
      </c>
      <c r="C33" s="64">
        <v>12.5</v>
      </c>
      <c r="D33" s="64">
        <v>18.579999999999998</v>
      </c>
      <c r="E33" s="64">
        <v>4.9000000000000004</v>
      </c>
      <c r="F33" s="64">
        <v>6.06</v>
      </c>
      <c r="G33" s="64">
        <v>35.520000000000003</v>
      </c>
      <c r="H33" s="64">
        <v>6.28</v>
      </c>
      <c r="I33" s="64">
        <v>1.6</v>
      </c>
      <c r="J33" s="64">
        <v>0.62</v>
      </c>
      <c r="K33" s="64">
        <v>340.67</v>
      </c>
      <c r="L33" s="64">
        <v>22.45</v>
      </c>
      <c r="M33" s="64">
        <v>96.09</v>
      </c>
      <c r="N33" s="64">
        <v>53.2</v>
      </c>
      <c r="O33" s="64">
        <v>0</v>
      </c>
      <c r="P33" s="64">
        <v>0.52</v>
      </c>
      <c r="Q33" s="64">
        <v>9.5299999999999994</v>
      </c>
      <c r="R33" s="198"/>
      <c r="S33" s="198"/>
      <c r="T33" s="198"/>
      <c r="U33" s="198"/>
    </row>
    <row r="34" spans="1:21" s="12" customFormat="1" x14ac:dyDescent="0.25">
      <c r="A34" s="214" t="s">
        <v>1325</v>
      </c>
      <c r="B34" s="64">
        <v>15.2</v>
      </c>
      <c r="C34" s="64">
        <v>11.67</v>
      </c>
      <c r="D34" s="64">
        <v>18.28</v>
      </c>
      <c r="E34" s="64">
        <v>5.24</v>
      </c>
      <c r="F34" s="64">
        <v>4.12</v>
      </c>
      <c r="G34" s="64">
        <v>35.520000000000003</v>
      </c>
      <c r="H34" s="64">
        <v>6.28</v>
      </c>
      <c r="I34" s="64">
        <v>1.6</v>
      </c>
      <c r="J34" s="64">
        <v>0.69</v>
      </c>
      <c r="K34" s="64">
        <v>339.46</v>
      </c>
      <c r="L34" s="64">
        <v>22.68</v>
      </c>
      <c r="M34" s="64">
        <v>96.14</v>
      </c>
      <c r="N34" s="64">
        <v>62.5</v>
      </c>
      <c r="O34" s="64">
        <v>0</v>
      </c>
      <c r="P34" s="64">
        <v>0.51</v>
      </c>
      <c r="Q34" s="64">
        <v>9.5399999999999991</v>
      </c>
      <c r="R34" s="198"/>
      <c r="S34" s="198"/>
      <c r="T34" s="198"/>
      <c r="U34" s="198"/>
    </row>
    <row r="35" spans="1:21" s="12" customFormat="1" x14ac:dyDescent="0.25">
      <c r="A35" s="214" t="s">
        <v>1326</v>
      </c>
      <c r="B35" s="64">
        <v>16.04</v>
      </c>
      <c r="C35" s="64">
        <v>13.16</v>
      </c>
      <c r="D35" s="64">
        <v>19.71</v>
      </c>
      <c r="E35" s="64">
        <v>5.25</v>
      </c>
      <c r="F35" s="64">
        <v>4.84</v>
      </c>
      <c r="G35" s="64">
        <v>35.520000000000003</v>
      </c>
      <c r="H35" s="64">
        <v>6.28</v>
      </c>
      <c r="I35" s="64">
        <v>1.61</v>
      </c>
      <c r="J35" s="64">
        <v>0.56999999999999995</v>
      </c>
      <c r="K35" s="64">
        <v>340.97</v>
      </c>
      <c r="L35" s="64">
        <v>22.95</v>
      </c>
      <c r="M35" s="64">
        <v>96.15</v>
      </c>
      <c r="N35" s="64">
        <v>74.2</v>
      </c>
      <c r="O35" s="64">
        <v>0</v>
      </c>
      <c r="P35" s="64">
        <v>0.55000000000000004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14" t="s">
        <v>1327</v>
      </c>
      <c r="B36" s="64">
        <v>18.61</v>
      </c>
      <c r="C36" s="64">
        <v>12.35</v>
      </c>
      <c r="D36" s="64">
        <v>21.37</v>
      </c>
      <c r="E36" s="64">
        <v>5.04</v>
      </c>
      <c r="F36" s="64">
        <v>7.2</v>
      </c>
      <c r="G36" s="64">
        <v>48.67</v>
      </c>
      <c r="H36" s="64">
        <v>6.28</v>
      </c>
      <c r="I36" s="64">
        <v>1.63</v>
      </c>
      <c r="J36" s="64">
        <v>0.56999999999999995</v>
      </c>
      <c r="K36" s="64">
        <v>341.63</v>
      </c>
      <c r="L36" s="64">
        <v>23.13</v>
      </c>
      <c r="M36" s="64">
        <v>96.11</v>
      </c>
      <c r="N36" s="64">
        <v>123.5</v>
      </c>
      <c r="O36" s="64">
        <v>0</v>
      </c>
      <c r="P36" s="64">
        <v>0.54</v>
      </c>
      <c r="Q36" s="64">
        <v>9.56</v>
      </c>
      <c r="R36" s="198"/>
      <c r="S36" s="198"/>
      <c r="T36" s="198"/>
      <c r="U36" s="198"/>
    </row>
    <row r="37" spans="1:21" s="12" customFormat="1" x14ac:dyDescent="0.25">
      <c r="A37" s="214" t="s">
        <v>1328</v>
      </c>
      <c r="B37" s="64">
        <v>23.56</v>
      </c>
      <c r="C37" s="64">
        <v>11.8</v>
      </c>
      <c r="D37" s="64">
        <v>25.06</v>
      </c>
      <c r="E37" s="64">
        <v>5.35</v>
      </c>
      <c r="F37" s="64">
        <v>4.6399999999999997</v>
      </c>
      <c r="G37" s="64">
        <v>58.73</v>
      </c>
      <c r="H37" s="64">
        <v>6.28</v>
      </c>
      <c r="I37" s="64">
        <v>1.66</v>
      </c>
      <c r="J37" s="64">
        <v>0.06</v>
      </c>
      <c r="K37" s="64">
        <v>325.98</v>
      </c>
      <c r="L37" s="64">
        <v>23.27</v>
      </c>
      <c r="M37" s="64">
        <v>96.13</v>
      </c>
      <c r="N37" s="64">
        <v>140.19999999999999</v>
      </c>
      <c r="O37" s="64">
        <v>0</v>
      </c>
      <c r="P37" s="64">
        <v>0.6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14" t="s">
        <v>1329</v>
      </c>
      <c r="B38" s="64">
        <v>22.53</v>
      </c>
      <c r="C38" s="64">
        <v>13.36</v>
      </c>
      <c r="D38" s="64">
        <v>25.05</v>
      </c>
      <c r="E38" s="64">
        <v>5.42</v>
      </c>
      <c r="F38" s="64">
        <v>4.59</v>
      </c>
      <c r="G38" s="64">
        <v>58.73</v>
      </c>
      <c r="H38" s="64">
        <v>6.28</v>
      </c>
      <c r="I38" s="64">
        <v>1.69</v>
      </c>
      <c r="J38" s="64">
        <v>0.18</v>
      </c>
      <c r="K38" s="64">
        <v>345.82</v>
      </c>
      <c r="L38" s="64">
        <v>23.61</v>
      </c>
      <c r="M38" s="64">
        <v>96.19</v>
      </c>
      <c r="N38" s="64">
        <v>184.6</v>
      </c>
      <c r="O38" s="64">
        <v>0</v>
      </c>
      <c r="P38" s="64">
        <v>0.74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4" t="s">
        <v>1330</v>
      </c>
      <c r="B39" s="64">
        <v>26.25</v>
      </c>
      <c r="C39" s="64">
        <v>13.45</v>
      </c>
      <c r="D39" s="64">
        <v>28.08</v>
      </c>
      <c r="E39" s="64">
        <v>5.42</v>
      </c>
      <c r="F39" s="64">
        <v>3.75</v>
      </c>
      <c r="G39" s="64">
        <v>58.73</v>
      </c>
      <c r="H39" s="64">
        <v>6.28</v>
      </c>
      <c r="I39" s="64">
        <v>1.71</v>
      </c>
      <c r="J39" s="64">
        <v>0.1</v>
      </c>
      <c r="K39" s="64">
        <v>343.65</v>
      </c>
      <c r="L39" s="64">
        <v>24.16</v>
      </c>
      <c r="M39" s="64">
        <v>96.18</v>
      </c>
      <c r="N39" s="64">
        <v>253.5</v>
      </c>
      <c r="O39" s="64">
        <v>0</v>
      </c>
      <c r="P39" s="64">
        <v>0.84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4" t="s">
        <v>1331</v>
      </c>
      <c r="B40" s="64">
        <v>23.29</v>
      </c>
      <c r="C40" s="64">
        <v>12.51</v>
      </c>
      <c r="D40" s="64">
        <v>25.21</v>
      </c>
      <c r="E40" s="64">
        <v>3.9</v>
      </c>
      <c r="F40" s="64">
        <v>3.42</v>
      </c>
      <c r="G40" s="64">
        <v>66.400000000000006</v>
      </c>
      <c r="H40" s="64">
        <v>6.28</v>
      </c>
      <c r="I40" s="64">
        <v>1.73</v>
      </c>
      <c r="J40" s="64">
        <v>0.43</v>
      </c>
      <c r="K40" s="64">
        <v>342.22</v>
      </c>
      <c r="L40" s="64">
        <v>25.04</v>
      </c>
      <c r="M40" s="64">
        <v>96.2</v>
      </c>
      <c r="N40" s="64">
        <v>373.5</v>
      </c>
      <c r="O40" s="64">
        <v>0</v>
      </c>
      <c r="P40" s="64">
        <v>0.76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4" t="s">
        <v>1332</v>
      </c>
      <c r="B41" s="64">
        <v>22.78</v>
      </c>
      <c r="C41" s="64">
        <v>7.51</v>
      </c>
      <c r="D41" s="64">
        <v>22.19</v>
      </c>
      <c r="E41" s="64">
        <v>5.03</v>
      </c>
      <c r="F41" s="64">
        <v>7.16</v>
      </c>
      <c r="G41" s="64">
        <v>72.53</v>
      </c>
      <c r="H41" s="64">
        <v>6.28</v>
      </c>
      <c r="I41" s="64">
        <v>1.75</v>
      </c>
      <c r="J41" s="64">
        <v>0.26</v>
      </c>
      <c r="K41" s="64">
        <v>14.2</v>
      </c>
      <c r="L41" s="64">
        <v>26.19</v>
      </c>
      <c r="M41" s="64">
        <v>95.91</v>
      </c>
      <c r="N41" s="64">
        <v>386.3</v>
      </c>
      <c r="O41" s="64">
        <v>0</v>
      </c>
      <c r="P41" s="64">
        <v>0.64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4" t="s">
        <v>1333</v>
      </c>
      <c r="B42" s="64">
        <v>20.92</v>
      </c>
      <c r="C42" s="64">
        <v>8.6300000000000008</v>
      </c>
      <c r="D42" s="64">
        <v>21.29</v>
      </c>
      <c r="E42" s="64">
        <v>5.19</v>
      </c>
      <c r="F42" s="64">
        <v>7.17</v>
      </c>
      <c r="G42" s="64">
        <v>72.53</v>
      </c>
      <c r="H42" s="64">
        <v>6.28</v>
      </c>
      <c r="I42" s="64">
        <v>1.78</v>
      </c>
      <c r="J42" s="64">
        <v>0.35</v>
      </c>
      <c r="K42" s="64">
        <v>122.95</v>
      </c>
      <c r="L42" s="64">
        <v>27.14</v>
      </c>
      <c r="M42" s="64">
        <v>95.8</v>
      </c>
      <c r="N42" s="64">
        <v>451.7</v>
      </c>
      <c r="O42" s="64">
        <v>0</v>
      </c>
      <c r="P42" s="64">
        <v>0.61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4" t="s">
        <v>1334</v>
      </c>
      <c r="B43" s="64">
        <v>18.89</v>
      </c>
      <c r="C43" s="64">
        <v>12.26</v>
      </c>
      <c r="D43" s="64">
        <v>21.56</v>
      </c>
      <c r="E43" s="64">
        <v>4.92</v>
      </c>
      <c r="F43" s="64">
        <v>8.59</v>
      </c>
      <c r="G43" s="64">
        <v>72.53</v>
      </c>
      <c r="H43" s="64">
        <v>6.28</v>
      </c>
      <c r="I43" s="64">
        <v>1.79</v>
      </c>
      <c r="J43" s="64">
        <v>0.64</v>
      </c>
      <c r="K43" s="64">
        <v>124.29</v>
      </c>
      <c r="L43" s="64">
        <v>27.16</v>
      </c>
      <c r="M43" s="64">
        <v>95.67</v>
      </c>
      <c r="N43" s="64">
        <v>427.2</v>
      </c>
      <c r="O43" s="64">
        <v>0</v>
      </c>
      <c r="P43" s="64">
        <v>0.46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4" t="s">
        <v>1335</v>
      </c>
      <c r="B44" s="64">
        <v>19.96</v>
      </c>
      <c r="C44" s="64">
        <v>10.85</v>
      </c>
      <c r="D44" s="64">
        <v>21.68</v>
      </c>
      <c r="E44" s="64">
        <v>4.95</v>
      </c>
      <c r="F44" s="64">
        <v>6.17</v>
      </c>
      <c r="G44" s="64">
        <v>67.17</v>
      </c>
      <c r="H44" s="64">
        <v>6.28</v>
      </c>
      <c r="I44" s="64">
        <v>1.78</v>
      </c>
      <c r="J44" s="64">
        <v>0.76</v>
      </c>
      <c r="K44" s="64">
        <v>337.08</v>
      </c>
      <c r="L44" s="64">
        <v>28.6</v>
      </c>
      <c r="M44" s="64">
        <v>92.25</v>
      </c>
      <c r="N44" s="64">
        <v>479.3</v>
      </c>
      <c r="O44" s="64">
        <v>0</v>
      </c>
      <c r="P44" s="64">
        <v>0.62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1336</v>
      </c>
      <c r="B45" s="64">
        <v>17.649999999999999</v>
      </c>
      <c r="C45" s="64">
        <v>11.73</v>
      </c>
      <c r="D45" s="64">
        <v>20.28</v>
      </c>
      <c r="E45" s="64">
        <v>5.29</v>
      </c>
      <c r="F45" s="64">
        <v>9.67</v>
      </c>
      <c r="G45" s="64">
        <v>62.88</v>
      </c>
      <c r="H45" s="64">
        <v>6.28</v>
      </c>
      <c r="I45" s="64">
        <v>1.77</v>
      </c>
      <c r="J45" s="64">
        <v>0.5</v>
      </c>
      <c r="K45" s="64">
        <v>344.51</v>
      </c>
      <c r="L45" s="64">
        <v>29.87</v>
      </c>
      <c r="M45" s="64">
        <v>83.45</v>
      </c>
      <c r="N45" s="64">
        <v>576.4</v>
      </c>
      <c r="O45" s="64">
        <v>0</v>
      </c>
      <c r="P45" s="64">
        <v>0.56000000000000005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1337</v>
      </c>
      <c r="B46" s="64">
        <v>18.84</v>
      </c>
      <c r="C46" s="64">
        <v>11.41</v>
      </c>
      <c r="D46" s="64">
        <v>21.07</v>
      </c>
      <c r="E46" s="64">
        <v>4.75</v>
      </c>
      <c r="F46" s="64">
        <v>7.9</v>
      </c>
      <c r="G46" s="64">
        <v>62.88</v>
      </c>
      <c r="H46" s="64">
        <v>6.28</v>
      </c>
      <c r="I46" s="64">
        <v>1.77</v>
      </c>
      <c r="J46" s="64">
        <v>0.54</v>
      </c>
      <c r="K46" s="64">
        <v>340.36</v>
      </c>
      <c r="L46" s="64">
        <v>30.47</v>
      </c>
      <c r="M46" s="64">
        <v>81.67</v>
      </c>
      <c r="N46" s="64">
        <v>690.4</v>
      </c>
      <c r="O46" s="64">
        <v>0</v>
      </c>
      <c r="P46" s="64">
        <v>0.5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4" t="s">
        <v>1338</v>
      </c>
      <c r="B47" s="64">
        <v>17.600000000000001</v>
      </c>
      <c r="C47" s="64">
        <v>11.42</v>
      </c>
      <c r="D47" s="64">
        <v>20.079999999999998</v>
      </c>
      <c r="E47" s="64">
        <v>5.0599999999999996</v>
      </c>
      <c r="F47" s="64">
        <v>12.02</v>
      </c>
      <c r="G47" s="64">
        <v>62.88</v>
      </c>
      <c r="H47" s="64">
        <v>6.28</v>
      </c>
      <c r="I47" s="64">
        <v>1.76</v>
      </c>
      <c r="J47" s="64">
        <v>0.79</v>
      </c>
      <c r="K47" s="64">
        <v>337.02</v>
      </c>
      <c r="L47" s="64">
        <v>31.73</v>
      </c>
      <c r="M47" s="64">
        <v>75.260000000000005</v>
      </c>
      <c r="N47" s="64">
        <v>457.3</v>
      </c>
      <c r="O47" s="64">
        <v>0</v>
      </c>
      <c r="P47" s="64">
        <v>0.61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4" t="s">
        <v>1339</v>
      </c>
      <c r="B48" s="64">
        <v>17.07</v>
      </c>
      <c r="C48" s="64">
        <v>14.77</v>
      </c>
      <c r="D48" s="64">
        <v>21.4</v>
      </c>
      <c r="E48" s="64">
        <v>5.24</v>
      </c>
      <c r="F48" s="64">
        <v>9.77</v>
      </c>
      <c r="G48" s="64">
        <v>62.02</v>
      </c>
      <c r="H48" s="64">
        <v>9.8699999999999992</v>
      </c>
      <c r="I48" s="64">
        <v>1.74</v>
      </c>
      <c r="J48" s="64">
        <v>0.26</v>
      </c>
      <c r="K48" s="64">
        <v>120.58</v>
      </c>
      <c r="L48" s="64">
        <v>29.71</v>
      </c>
      <c r="M48" s="64">
        <v>85.48</v>
      </c>
      <c r="N48" s="64">
        <v>464.1</v>
      </c>
      <c r="O48" s="64">
        <v>0</v>
      </c>
      <c r="P48" s="64">
        <v>0.45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1340</v>
      </c>
      <c r="B49" s="64">
        <v>16.87</v>
      </c>
      <c r="C49" s="64">
        <v>16.57</v>
      </c>
      <c r="D49" s="64">
        <v>22.19</v>
      </c>
      <c r="E49" s="64">
        <v>4.87</v>
      </c>
      <c r="F49" s="64">
        <v>8.9600000000000009</v>
      </c>
      <c r="G49" s="64">
        <v>61.36</v>
      </c>
      <c r="H49" s="64">
        <v>11.07</v>
      </c>
      <c r="I49" s="64">
        <v>1.73</v>
      </c>
      <c r="J49" s="64">
        <v>0.67</v>
      </c>
      <c r="K49" s="64">
        <v>124.28</v>
      </c>
      <c r="L49" s="64">
        <v>29.5</v>
      </c>
      <c r="M49" s="64">
        <v>85.65</v>
      </c>
      <c r="N49" s="64">
        <v>845.8</v>
      </c>
      <c r="O49" s="64">
        <v>0</v>
      </c>
      <c r="P49" s="64">
        <v>0.38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4" t="s">
        <v>1341</v>
      </c>
      <c r="B50" s="64">
        <v>21.59</v>
      </c>
      <c r="C50" s="64">
        <v>15.36</v>
      </c>
      <c r="D50" s="64">
        <v>25.34</v>
      </c>
      <c r="E50" s="64">
        <v>5.15</v>
      </c>
      <c r="F50" s="64">
        <v>8.31</v>
      </c>
      <c r="G50" s="64">
        <v>61.36</v>
      </c>
      <c r="H50" s="64">
        <v>11.07</v>
      </c>
      <c r="I50" s="64">
        <v>1.71</v>
      </c>
      <c r="J50" s="64">
        <v>0.42</v>
      </c>
      <c r="K50" s="64">
        <v>129.51</v>
      </c>
      <c r="L50" s="64">
        <v>29.22</v>
      </c>
      <c r="M50" s="64">
        <v>86.06</v>
      </c>
      <c r="N50" s="64">
        <v>641.9</v>
      </c>
      <c r="O50" s="64">
        <v>0</v>
      </c>
      <c r="P50" s="64">
        <v>0.49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4" t="s">
        <v>1342</v>
      </c>
      <c r="B51" s="64">
        <v>9.1300000000000008</v>
      </c>
      <c r="C51" s="64">
        <v>17.440000000000001</v>
      </c>
      <c r="D51" s="64">
        <v>16.43</v>
      </c>
      <c r="E51" s="64">
        <v>5.18</v>
      </c>
      <c r="F51" s="64">
        <v>12.37</v>
      </c>
      <c r="G51" s="64">
        <v>61.36</v>
      </c>
      <c r="H51" s="64">
        <v>11.07</v>
      </c>
      <c r="I51" s="64">
        <v>1.69</v>
      </c>
      <c r="J51" s="64">
        <v>0.81</v>
      </c>
      <c r="K51" s="64">
        <v>129.15</v>
      </c>
      <c r="L51" s="64">
        <v>29.31</v>
      </c>
      <c r="M51" s="64">
        <v>84.66</v>
      </c>
      <c r="N51" s="64">
        <v>665.3</v>
      </c>
      <c r="O51" s="64">
        <v>0</v>
      </c>
      <c r="P51" s="64">
        <v>0.22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4" t="s">
        <v>1343</v>
      </c>
      <c r="B52" s="64">
        <v>11.49</v>
      </c>
      <c r="C52" s="64">
        <v>16.82</v>
      </c>
      <c r="D52" s="64">
        <v>18.010000000000002</v>
      </c>
      <c r="E52" s="64">
        <v>4.8</v>
      </c>
      <c r="F52" s="64">
        <v>11.92</v>
      </c>
      <c r="G52" s="64">
        <v>59.17</v>
      </c>
      <c r="H52" s="64">
        <v>8.1199999999999992</v>
      </c>
      <c r="I52" s="64">
        <v>1.63</v>
      </c>
      <c r="J52" s="64">
        <v>0.45</v>
      </c>
      <c r="K52" s="64">
        <v>129.47</v>
      </c>
      <c r="L52" s="64">
        <v>29.73</v>
      </c>
      <c r="M52" s="64">
        <v>83.82</v>
      </c>
      <c r="N52" s="64">
        <v>867.9</v>
      </c>
      <c r="O52" s="64">
        <v>0</v>
      </c>
      <c r="P52" s="64">
        <v>0.27</v>
      </c>
      <c r="Q52" s="64">
        <v>9.44</v>
      </c>
      <c r="R52" s="198"/>
      <c r="S52" s="198"/>
      <c r="T52" s="198"/>
      <c r="U52" s="198"/>
    </row>
    <row r="53" spans="1:21" s="12" customFormat="1" x14ac:dyDescent="0.25">
      <c r="A53" s="214" t="s">
        <v>1344</v>
      </c>
      <c r="B53" s="64">
        <v>10.36</v>
      </c>
      <c r="C53" s="64">
        <v>17.010000000000002</v>
      </c>
      <c r="D53" s="64">
        <v>17.2</v>
      </c>
      <c r="E53" s="64">
        <v>4.82</v>
      </c>
      <c r="F53" s="64">
        <v>10.3</v>
      </c>
      <c r="G53" s="64">
        <v>57.42</v>
      </c>
      <c r="H53" s="64">
        <v>7.14</v>
      </c>
      <c r="I53" s="64">
        <v>1.1299999999999999</v>
      </c>
      <c r="J53" s="64">
        <v>0.53</v>
      </c>
      <c r="K53" s="64">
        <v>120.93</v>
      </c>
      <c r="L53" s="64">
        <v>30.16</v>
      </c>
      <c r="M53" s="64">
        <v>80.400000000000006</v>
      </c>
      <c r="N53" s="64">
        <v>721.2</v>
      </c>
      <c r="O53" s="64">
        <v>0</v>
      </c>
      <c r="P53" s="64">
        <v>0.28999999999999998</v>
      </c>
      <c r="Q53" s="64">
        <v>9.33</v>
      </c>
      <c r="R53" s="198"/>
      <c r="S53" s="198"/>
      <c r="T53" s="198"/>
      <c r="U53" s="198"/>
    </row>
    <row r="54" spans="1:21" s="12" customFormat="1" x14ac:dyDescent="0.25">
      <c r="A54" s="214" t="s">
        <v>1345</v>
      </c>
      <c r="B54" s="64">
        <v>7.76</v>
      </c>
      <c r="C54" s="64">
        <v>15.37</v>
      </c>
      <c r="D54" s="64">
        <v>14.26</v>
      </c>
      <c r="E54" s="64">
        <v>5.0599999999999996</v>
      </c>
      <c r="F54" s="64">
        <v>12.14</v>
      </c>
      <c r="G54" s="64">
        <v>57.42</v>
      </c>
      <c r="H54" s="64">
        <v>7.14</v>
      </c>
      <c r="I54" s="64">
        <v>0.79</v>
      </c>
      <c r="J54" s="64">
        <v>0.89</v>
      </c>
      <c r="K54" s="64">
        <v>125.25</v>
      </c>
      <c r="L54" s="64">
        <v>29.21</v>
      </c>
      <c r="M54" s="64">
        <v>84.78</v>
      </c>
      <c r="N54" s="64">
        <v>664.6</v>
      </c>
      <c r="O54" s="64">
        <v>0</v>
      </c>
      <c r="P54" s="64">
        <v>0.19</v>
      </c>
      <c r="Q54" s="64">
        <v>9.31</v>
      </c>
      <c r="R54" s="198"/>
      <c r="S54" s="198"/>
      <c r="T54" s="198"/>
      <c r="U54" s="198"/>
    </row>
    <row r="55" spans="1:21" s="12" customFormat="1" x14ac:dyDescent="0.25">
      <c r="A55" s="214" t="s">
        <v>1346</v>
      </c>
      <c r="B55" s="64">
        <v>8.09</v>
      </c>
      <c r="C55" s="64">
        <v>16.53</v>
      </c>
      <c r="D55" s="64">
        <v>15.13</v>
      </c>
      <c r="E55" s="64">
        <v>5.14</v>
      </c>
      <c r="F55" s="64">
        <v>11.57</v>
      </c>
      <c r="G55" s="64">
        <v>57.42</v>
      </c>
      <c r="H55" s="64">
        <v>7.14</v>
      </c>
      <c r="I55" s="64">
        <v>0.82</v>
      </c>
      <c r="J55" s="64">
        <v>1.08</v>
      </c>
      <c r="K55" s="64">
        <v>130.59</v>
      </c>
      <c r="L55" s="64">
        <v>29.61</v>
      </c>
      <c r="M55" s="64">
        <v>82.15</v>
      </c>
      <c r="N55" s="64">
        <v>818.9</v>
      </c>
      <c r="O55" s="64">
        <v>0</v>
      </c>
      <c r="P55" s="64">
        <v>0.27</v>
      </c>
      <c r="Q55" s="64">
        <v>9.3000000000000007</v>
      </c>
      <c r="R55" s="198"/>
      <c r="S55" s="198"/>
      <c r="T55" s="198"/>
      <c r="U55" s="198"/>
    </row>
    <row r="56" spans="1:21" s="12" customFormat="1" x14ac:dyDescent="0.25">
      <c r="A56" s="214" t="s">
        <v>1347</v>
      </c>
      <c r="B56" s="64">
        <v>5.98</v>
      </c>
      <c r="C56" s="64">
        <v>14.92</v>
      </c>
      <c r="D56" s="64">
        <v>12.6</v>
      </c>
      <c r="E56" s="64">
        <v>5.26</v>
      </c>
      <c r="F56" s="64">
        <v>9.1999999999999993</v>
      </c>
      <c r="G56" s="64">
        <v>56.69</v>
      </c>
      <c r="H56" s="64">
        <v>6.62</v>
      </c>
      <c r="I56" s="64">
        <v>0.86</v>
      </c>
      <c r="J56" s="64">
        <v>1.22</v>
      </c>
      <c r="K56" s="64">
        <v>128.87</v>
      </c>
      <c r="L56" s="64">
        <v>29.23</v>
      </c>
      <c r="M56" s="64">
        <v>85.36</v>
      </c>
      <c r="N56" s="64">
        <v>461.7</v>
      </c>
      <c r="O56" s="64">
        <v>0</v>
      </c>
      <c r="P56" s="64">
        <v>0.25</v>
      </c>
      <c r="Q56" s="64">
        <v>9.2799999999999994</v>
      </c>
      <c r="R56" s="198"/>
      <c r="S56" s="198"/>
      <c r="T56" s="198"/>
      <c r="U56" s="198"/>
    </row>
    <row r="57" spans="1:21" s="12" customFormat="1" x14ac:dyDescent="0.25">
      <c r="A57" s="214" t="s">
        <v>1348</v>
      </c>
      <c r="B57" s="64">
        <v>7.51</v>
      </c>
      <c r="C57" s="64">
        <v>22.54</v>
      </c>
      <c r="D57" s="64">
        <v>17.8</v>
      </c>
      <c r="E57" s="64">
        <v>5.62</v>
      </c>
      <c r="F57" s="64">
        <v>9.8699999999999992</v>
      </c>
      <c r="G57" s="64">
        <v>56.13</v>
      </c>
      <c r="H57" s="64">
        <v>6.45</v>
      </c>
      <c r="I57" s="64">
        <v>0.88</v>
      </c>
      <c r="J57" s="64">
        <v>0.33</v>
      </c>
      <c r="K57" s="64">
        <v>124.49</v>
      </c>
      <c r="L57" s="64">
        <v>29.15</v>
      </c>
      <c r="M57" s="64">
        <v>87.35</v>
      </c>
      <c r="N57" s="64">
        <v>341.3</v>
      </c>
      <c r="O57" s="64">
        <v>0</v>
      </c>
      <c r="P57" s="64">
        <v>0.3</v>
      </c>
      <c r="Q57" s="64">
        <v>9.27</v>
      </c>
      <c r="R57" s="198"/>
      <c r="S57" s="198"/>
      <c r="T57" s="198"/>
      <c r="U57" s="198"/>
    </row>
    <row r="58" spans="1:21" s="12" customFormat="1" x14ac:dyDescent="0.25">
      <c r="A58" s="214" t="s">
        <v>1349</v>
      </c>
      <c r="B58" s="64">
        <v>7.03</v>
      </c>
      <c r="C58" s="64">
        <v>18.28</v>
      </c>
      <c r="D58" s="64">
        <v>15.19</v>
      </c>
      <c r="E58" s="64">
        <v>5.49</v>
      </c>
      <c r="F58" s="64">
        <v>9.4600000000000009</v>
      </c>
      <c r="G58" s="64">
        <v>56.13</v>
      </c>
      <c r="H58" s="64">
        <v>6.45</v>
      </c>
      <c r="I58" s="64">
        <v>0.89</v>
      </c>
      <c r="J58" s="64">
        <v>0.52</v>
      </c>
      <c r="K58" s="64">
        <v>133.91</v>
      </c>
      <c r="L58" s="64">
        <v>29.43</v>
      </c>
      <c r="M58" s="64">
        <v>86.99</v>
      </c>
      <c r="N58" s="64">
        <v>519</v>
      </c>
      <c r="O58" s="64">
        <v>0</v>
      </c>
      <c r="P58" s="64">
        <v>0.31</v>
      </c>
      <c r="Q58" s="64">
        <v>9.25</v>
      </c>
      <c r="R58" s="198"/>
      <c r="S58" s="198"/>
      <c r="T58" s="198"/>
      <c r="U58" s="198"/>
    </row>
    <row r="59" spans="1:21" s="12" customFormat="1" x14ac:dyDescent="0.25">
      <c r="A59" s="214" t="s">
        <v>1350</v>
      </c>
      <c r="B59" s="64">
        <v>6.07</v>
      </c>
      <c r="C59" s="64">
        <v>15.37</v>
      </c>
      <c r="D59" s="64">
        <v>12.9</v>
      </c>
      <c r="E59" s="64">
        <v>5.78</v>
      </c>
      <c r="F59" s="64">
        <v>10.4</v>
      </c>
      <c r="G59" s="64">
        <v>56.13</v>
      </c>
      <c r="H59" s="64">
        <v>6.45</v>
      </c>
      <c r="I59" s="64">
        <v>0.9</v>
      </c>
      <c r="J59" s="64">
        <v>1.1200000000000001</v>
      </c>
      <c r="K59" s="64">
        <v>130.28</v>
      </c>
      <c r="L59" s="64">
        <v>29.86</v>
      </c>
      <c r="M59" s="64">
        <v>84.05</v>
      </c>
      <c r="N59" s="64">
        <v>610.5</v>
      </c>
      <c r="O59" s="64">
        <v>0</v>
      </c>
      <c r="P59" s="64">
        <v>0.23</v>
      </c>
      <c r="Q59" s="64">
        <v>9.25</v>
      </c>
      <c r="R59" s="198"/>
      <c r="S59" s="198"/>
      <c r="T59" s="198"/>
      <c r="U59" s="198"/>
    </row>
    <row r="60" spans="1:21" s="12" customFormat="1" x14ac:dyDescent="0.25">
      <c r="A60" s="214" t="s">
        <v>1351</v>
      </c>
      <c r="B60" s="64">
        <v>6.39</v>
      </c>
      <c r="C60" s="64">
        <v>16.329999999999998</v>
      </c>
      <c r="D60" s="64">
        <v>13.66</v>
      </c>
      <c r="E60" s="64">
        <v>5.88</v>
      </c>
      <c r="F60" s="64">
        <v>13.94</v>
      </c>
      <c r="G60" s="64">
        <v>54.66</v>
      </c>
      <c r="H60" s="64">
        <v>9.82</v>
      </c>
      <c r="I60" s="64">
        <v>0.91</v>
      </c>
      <c r="J60" s="64">
        <v>0.46</v>
      </c>
      <c r="K60" s="64">
        <v>123.15</v>
      </c>
      <c r="L60" s="64">
        <v>29.64</v>
      </c>
      <c r="M60" s="64">
        <v>85.21</v>
      </c>
      <c r="N60" s="64">
        <v>339</v>
      </c>
      <c r="O60" s="64">
        <v>0</v>
      </c>
      <c r="P60" s="64">
        <v>0.23</v>
      </c>
      <c r="Q60" s="64">
        <v>9.26</v>
      </c>
      <c r="R60" s="198"/>
      <c r="S60" s="198"/>
      <c r="T60" s="198"/>
      <c r="U60" s="198"/>
    </row>
    <row r="61" spans="1:21" s="12" customFormat="1" x14ac:dyDescent="0.25">
      <c r="A61" s="214" t="s">
        <v>1352</v>
      </c>
      <c r="B61" s="64">
        <v>7.06</v>
      </c>
      <c r="C61" s="64">
        <v>17.11</v>
      </c>
      <c r="D61" s="64">
        <v>14.6</v>
      </c>
      <c r="E61" s="64">
        <v>5.88</v>
      </c>
      <c r="F61" s="64">
        <v>8.65</v>
      </c>
      <c r="G61" s="64">
        <v>53.48</v>
      </c>
      <c r="H61" s="64">
        <v>12.39</v>
      </c>
      <c r="I61" s="64">
        <v>0.93</v>
      </c>
      <c r="J61" s="64">
        <v>0.67</v>
      </c>
      <c r="K61" s="64">
        <v>127.45</v>
      </c>
      <c r="L61" s="64">
        <v>29.8</v>
      </c>
      <c r="M61" s="64">
        <v>85.25</v>
      </c>
      <c r="N61" s="64">
        <v>387.1</v>
      </c>
      <c r="O61" s="64">
        <v>0</v>
      </c>
      <c r="P61" s="64">
        <v>0.32</v>
      </c>
      <c r="Q61" s="64">
        <v>9.25</v>
      </c>
      <c r="R61" s="198"/>
      <c r="S61" s="198"/>
      <c r="T61" s="198"/>
      <c r="U61" s="198"/>
    </row>
    <row r="62" spans="1:21" s="12" customFormat="1" x14ac:dyDescent="0.25">
      <c r="A62" s="214" t="s">
        <v>1353</v>
      </c>
      <c r="B62" s="64">
        <v>5.08</v>
      </c>
      <c r="C62" s="64">
        <v>13.07</v>
      </c>
      <c r="D62" s="64">
        <v>10.9</v>
      </c>
      <c r="E62" s="64">
        <v>8.0299999999999994</v>
      </c>
      <c r="F62" s="64">
        <v>11.98</v>
      </c>
      <c r="G62" s="64">
        <v>53.48</v>
      </c>
      <c r="H62" s="64">
        <v>12.39</v>
      </c>
      <c r="I62" s="64">
        <v>0.89</v>
      </c>
      <c r="J62" s="64">
        <v>0.53</v>
      </c>
      <c r="K62" s="64">
        <v>124.65</v>
      </c>
      <c r="L62" s="64">
        <v>29.7</v>
      </c>
      <c r="M62" s="64">
        <v>83.96</v>
      </c>
      <c r="N62" s="64">
        <v>396.1</v>
      </c>
      <c r="O62" s="64">
        <v>0</v>
      </c>
      <c r="P62" s="64">
        <v>0.25</v>
      </c>
      <c r="Q62" s="64">
        <v>9.2200000000000006</v>
      </c>
      <c r="R62" s="198"/>
      <c r="S62" s="198"/>
      <c r="T62" s="198"/>
      <c r="U62" s="198"/>
    </row>
    <row r="63" spans="1:21" s="12" customFormat="1" x14ac:dyDescent="0.25">
      <c r="A63" s="214" t="s">
        <v>1354</v>
      </c>
      <c r="B63" s="64">
        <v>5.81</v>
      </c>
      <c r="C63" s="64">
        <v>11.38</v>
      </c>
      <c r="D63" s="64">
        <v>10.6</v>
      </c>
      <c r="E63" s="64">
        <v>6.49</v>
      </c>
      <c r="F63" s="64">
        <v>6.64</v>
      </c>
      <c r="G63" s="64">
        <v>53.48</v>
      </c>
      <c r="H63" s="64">
        <v>12.39</v>
      </c>
      <c r="I63" s="64">
        <v>0.85</v>
      </c>
      <c r="J63" s="64">
        <v>0.88</v>
      </c>
      <c r="K63" s="64">
        <v>338.05</v>
      </c>
      <c r="L63" s="64">
        <v>29.87</v>
      </c>
      <c r="M63" s="64">
        <v>85.76</v>
      </c>
      <c r="N63" s="64">
        <v>178.7</v>
      </c>
      <c r="O63" s="64">
        <v>0</v>
      </c>
      <c r="P63" s="64">
        <v>0.28000000000000003</v>
      </c>
      <c r="Q63" s="64">
        <v>9.19</v>
      </c>
      <c r="R63" s="198"/>
      <c r="S63" s="198"/>
      <c r="T63" s="198"/>
      <c r="U63" s="198"/>
    </row>
    <row r="64" spans="1:21" s="12" customFormat="1" x14ac:dyDescent="0.25">
      <c r="A64" s="214" t="s">
        <v>1355</v>
      </c>
      <c r="B64" s="64">
        <v>6.53</v>
      </c>
      <c r="C64" s="64">
        <v>12.61</v>
      </c>
      <c r="D64" s="64">
        <v>11.82</v>
      </c>
      <c r="E64" s="64">
        <v>6.95</v>
      </c>
      <c r="F64" s="64">
        <v>5.87</v>
      </c>
      <c r="G64" s="64">
        <v>57.01</v>
      </c>
      <c r="H64" s="64">
        <v>16.02</v>
      </c>
      <c r="I64" s="64">
        <v>0.91</v>
      </c>
      <c r="J64" s="64">
        <v>1.42</v>
      </c>
      <c r="K64" s="64">
        <v>338.92</v>
      </c>
      <c r="L64" s="64">
        <v>29.98</v>
      </c>
      <c r="M64" s="64">
        <v>86.21</v>
      </c>
      <c r="N64" s="64">
        <v>268.2</v>
      </c>
      <c r="O64" s="64">
        <v>0</v>
      </c>
      <c r="P64" s="64">
        <v>0.32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14" t="s">
        <v>1356</v>
      </c>
      <c r="B65" s="64">
        <v>6.73</v>
      </c>
      <c r="C65" s="64">
        <v>13.56</v>
      </c>
      <c r="D65" s="64">
        <v>12.48</v>
      </c>
      <c r="E65" s="64">
        <v>6.85</v>
      </c>
      <c r="F65" s="64">
        <v>5.82</v>
      </c>
      <c r="G65" s="64">
        <v>59.72</v>
      </c>
      <c r="H65" s="64">
        <v>17.23</v>
      </c>
      <c r="I65" s="64">
        <v>0.98</v>
      </c>
      <c r="J65" s="64">
        <v>1.31</v>
      </c>
      <c r="K65" s="64">
        <v>339.94</v>
      </c>
      <c r="L65" s="64">
        <v>30.55</v>
      </c>
      <c r="M65" s="64">
        <v>83.51</v>
      </c>
      <c r="N65" s="64">
        <v>224.1</v>
      </c>
      <c r="O65" s="64">
        <v>0</v>
      </c>
      <c r="P65" s="64">
        <v>0.33</v>
      </c>
      <c r="Q65" s="64">
        <v>9.2200000000000006</v>
      </c>
      <c r="R65" s="198"/>
      <c r="S65" s="198"/>
      <c r="T65" s="198"/>
      <c r="U65" s="198"/>
    </row>
    <row r="66" spans="1:21" s="12" customFormat="1" x14ac:dyDescent="0.25">
      <c r="A66" s="214" t="s">
        <v>1357</v>
      </c>
      <c r="B66" s="64">
        <v>8.1300000000000008</v>
      </c>
      <c r="C66" s="64">
        <v>14.48</v>
      </c>
      <c r="D66" s="64">
        <v>14.09</v>
      </c>
      <c r="E66" s="64">
        <v>6.88</v>
      </c>
      <c r="F66" s="64">
        <v>5.92</v>
      </c>
      <c r="G66" s="64">
        <v>59.72</v>
      </c>
      <c r="H66" s="64">
        <v>17.23</v>
      </c>
      <c r="I66" s="64">
        <v>0.98</v>
      </c>
      <c r="J66" s="64">
        <v>0.86</v>
      </c>
      <c r="K66" s="64">
        <v>340.17</v>
      </c>
      <c r="L66" s="64">
        <v>30.45</v>
      </c>
      <c r="M66" s="64">
        <v>84.15</v>
      </c>
      <c r="N66" s="64">
        <v>159.1</v>
      </c>
      <c r="O66" s="64">
        <v>0</v>
      </c>
      <c r="P66" s="64">
        <v>0.4</v>
      </c>
      <c r="Q66" s="64">
        <v>9.24</v>
      </c>
      <c r="R66" s="198"/>
      <c r="S66" s="198"/>
      <c r="T66" s="198"/>
      <c r="U66" s="198"/>
    </row>
    <row r="67" spans="1:21" s="12" customFormat="1" x14ac:dyDescent="0.25">
      <c r="A67" s="214" t="s">
        <v>1358</v>
      </c>
      <c r="B67" s="64">
        <v>6.22</v>
      </c>
      <c r="C67" s="64">
        <v>15.9</v>
      </c>
      <c r="D67" s="64">
        <v>13.29</v>
      </c>
      <c r="E67" s="64">
        <v>7.47</v>
      </c>
      <c r="F67" s="64">
        <v>14.37</v>
      </c>
      <c r="G67" s="64">
        <v>59.72</v>
      </c>
      <c r="H67" s="64">
        <v>17.23</v>
      </c>
      <c r="I67" s="64">
        <v>0.99</v>
      </c>
      <c r="J67" s="64">
        <v>0.39</v>
      </c>
      <c r="K67" s="64">
        <v>126.18</v>
      </c>
      <c r="L67" s="64">
        <v>29.47</v>
      </c>
      <c r="M67" s="64">
        <v>86.75</v>
      </c>
      <c r="N67" s="64">
        <v>145.80000000000001</v>
      </c>
      <c r="O67" s="64">
        <v>0</v>
      </c>
      <c r="P67" s="64">
        <v>0.32</v>
      </c>
      <c r="Q67" s="64">
        <v>9.27</v>
      </c>
      <c r="R67" s="198"/>
      <c r="S67" s="198"/>
      <c r="T67" s="198"/>
      <c r="U67" s="198"/>
    </row>
    <row r="68" spans="1:21" s="12" customFormat="1" x14ac:dyDescent="0.25">
      <c r="A68" s="214" t="s">
        <v>1359</v>
      </c>
      <c r="B68" s="64">
        <v>5.04</v>
      </c>
      <c r="C68" s="64">
        <v>13.42</v>
      </c>
      <c r="D68" s="64">
        <v>11.06</v>
      </c>
      <c r="E68" s="64">
        <v>7.17</v>
      </c>
      <c r="F68" s="64">
        <v>20.260000000000002</v>
      </c>
      <c r="G68" s="64">
        <v>48.84</v>
      </c>
      <c r="H68" s="64">
        <v>20.3</v>
      </c>
      <c r="I68" s="64">
        <v>1.04</v>
      </c>
      <c r="J68" s="64">
        <v>0.86</v>
      </c>
      <c r="K68" s="64">
        <v>126.31</v>
      </c>
      <c r="L68" s="64">
        <v>28.94</v>
      </c>
      <c r="M68" s="64">
        <v>86.29</v>
      </c>
      <c r="N68" s="64">
        <v>170.5</v>
      </c>
      <c r="O68" s="64">
        <v>0</v>
      </c>
      <c r="P68" s="64">
        <v>0.28999999999999998</v>
      </c>
      <c r="Q68" s="64">
        <v>9.25</v>
      </c>
      <c r="R68" s="198"/>
      <c r="S68" s="198"/>
      <c r="T68" s="198"/>
      <c r="U68" s="198"/>
    </row>
    <row r="69" spans="1:21" s="12" customFormat="1" x14ac:dyDescent="0.25">
      <c r="A69" s="214" t="s">
        <v>1360</v>
      </c>
      <c r="B69" s="64">
        <v>4.29</v>
      </c>
      <c r="C69" s="64">
        <v>11.38</v>
      </c>
      <c r="D69" s="64">
        <v>9.3800000000000008</v>
      </c>
      <c r="E69" s="64">
        <v>6.61</v>
      </c>
      <c r="F69" s="64">
        <v>22.58</v>
      </c>
      <c r="G69" s="64">
        <v>40.520000000000003</v>
      </c>
      <c r="H69" s="64">
        <v>21.33</v>
      </c>
      <c r="I69" s="64">
        <v>1.1499999999999999</v>
      </c>
      <c r="J69" s="64">
        <v>0.91</v>
      </c>
      <c r="K69" s="64">
        <v>126.14</v>
      </c>
      <c r="L69" s="64">
        <v>28.9</v>
      </c>
      <c r="M69" s="64">
        <v>86.66</v>
      </c>
      <c r="N69" s="64">
        <v>186</v>
      </c>
      <c r="O69" s="64">
        <v>0</v>
      </c>
      <c r="P69" s="64">
        <v>0.23</v>
      </c>
      <c r="Q69" s="64">
        <v>9.24</v>
      </c>
      <c r="R69" s="198"/>
      <c r="S69" s="198"/>
      <c r="T69" s="198"/>
      <c r="U69" s="198"/>
    </row>
    <row r="70" spans="1:21" s="12" customFormat="1" x14ac:dyDescent="0.25">
      <c r="A70" s="214" t="s">
        <v>1361</v>
      </c>
      <c r="B70" s="64">
        <v>4.32</v>
      </c>
      <c r="C70" s="64">
        <v>12.78</v>
      </c>
      <c r="D70" s="64">
        <v>10.14</v>
      </c>
      <c r="E70" s="64">
        <v>5.71</v>
      </c>
      <c r="F70" s="64">
        <v>20.97</v>
      </c>
      <c r="G70" s="64">
        <v>40.520000000000003</v>
      </c>
      <c r="H70" s="64">
        <v>21.33</v>
      </c>
      <c r="I70" s="64">
        <v>1.24</v>
      </c>
      <c r="J70" s="64">
        <v>0.77</v>
      </c>
      <c r="K70" s="64">
        <v>130.19</v>
      </c>
      <c r="L70" s="64">
        <v>28.96</v>
      </c>
      <c r="M70" s="64">
        <v>86.61</v>
      </c>
      <c r="N70" s="64">
        <v>187.4</v>
      </c>
      <c r="O70" s="64">
        <v>0</v>
      </c>
      <c r="P70" s="64">
        <v>0.22</v>
      </c>
      <c r="Q70" s="64">
        <v>9.23</v>
      </c>
      <c r="R70" s="198"/>
      <c r="S70" s="198"/>
      <c r="T70" s="198"/>
      <c r="U70" s="198"/>
    </row>
    <row r="71" spans="1:21" s="12" customFormat="1" x14ac:dyDescent="0.25">
      <c r="A71" s="214" t="s">
        <v>1362</v>
      </c>
      <c r="B71" s="64">
        <v>4.1399999999999997</v>
      </c>
      <c r="C71" s="64">
        <v>11.68</v>
      </c>
      <c r="D71" s="64">
        <v>9.42</v>
      </c>
      <c r="E71" s="64">
        <v>5.77</v>
      </c>
      <c r="F71" s="64">
        <v>20.93</v>
      </c>
      <c r="G71" s="64">
        <v>40.520000000000003</v>
      </c>
      <c r="H71" s="64">
        <v>21.33</v>
      </c>
      <c r="I71" s="64">
        <v>1.1499999999999999</v>
      </c>
      <c r="J71" s="64">
        <v>0.54</v>
      </c>
      <c r="K71" s="64">
        <v>120.72</v>
      </c>
      <c r="L71" s="64">
        <v>29.09</v>
      </c>
      <c r="M71" s="64">
        <v>86.37</v>
      </c>
      <c r="N71" s="64">
        <v>168</v>
      </c>
      <c r="O71" s="64">
        <v>0</v>
      </c>
      <c r="P71" s="64">
        <v>0.22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4" t="s">
        <v>1363</v>
      </c>
      <c r="B72" s="64">
        <v>4.0199999999999996</v>
      </c>
      <c r="C72" s="64">
        <v>11.23</v>
      </c>
      <c r="D72" s="64">
        <v>9.1</v>
      </c>
      <c r="E72" s="64">
        <v>5.62</v>
      </c>
      <c r="F72" s="64">
        <v>20.76</v>
      </c>
      <c r="G72" s="64">
        <v>48.32</v>
      </c>
      <c r="H72" s="64">
        <v>13.2</v>
      </c>
      <c r="I72" s="64">
        <v>1.1299999999999999</v>
      </c>
      <c r="J72" s="64">
        <v>0.64</v>
      </c>
      <c r="K72" s="64">
        <v>124.84</v>
      </c>
      <c r="L72" s="64">
        <v>28.9</v>
      </c>
      <c r="M72" s="64">
        <v>86.56</v>
      </c>
      <c r="N72" s="64">
        <v>140.69999999999999</v>
      </c>
      <c r="O72" s="64">
        <v>0</v>
      </c>
      <c r="P72" s="64">
        <v>0.23</v>
      </c>
      <c r="Q72" s="64">
        <v>9.2200000000000006</v>
      </c>
      <c r="R72" s="198"/>
      <c r="S72" s="198"/>
      <c r="T72" s="198"/>
      <c r="U72" s="198"/>
    </row>
    <row r="73" spans="1:21" s="12" customFormat="1" x14ac:dyDescent="0.25">
      <c r="A73" s="214" t="s">
        <v>1364</v>
      </c>
      <c r="B73" s="64">
        <v>3.87</v>
      </c>
      <c r="C73" s="64">
        <v>12.18</v>
      </c>
      <c r="D73" s="64">
        <v>9.4600000000000009</v>
      </c>
      <c r="E73" s="64">
        <v>5.05</v>
      </c>
      <c r="F73" s="64">
        <v>21.75</v>
      </c>
      <c r="G73" s="64">
        <v>54.28</v>
      </c>
      <c r="H73" s="64">
        <v>10.49</v>
      </c>
      <c r="I73" s="64">
        <v>1.1599999999999999</v>
      </c>
      <c r="J73" s="64">
        <v>0.79</v>
      </c>
      <c r="K73" s="64">
        <v>125.32</v>
      </c>
      <c r="L73" s="64">
        <v>28.77</v>
      </c>
      <c r="M73" s="64">
        <v>86.87</v>
      </c>
      <c r="N73" s="64">
        <v>131</v>
      </c>
      <c r="O73" s="64">
        <v>0</v>
      </c>
      <c r="P73" s="64">
        <v>0.21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14" t="s">
        <v>1365</v>
      </c>
      <c r="B74" s="64">
        <v>4.57</v>
      </c>
      <c r="C74" s="64">
        <v>13.1</v>
      </c>
      <c r="D74" s="64">
        <v>10.51</v>
      </c>
      <c r="E74" s="64">
        <v>5.36</v>
      </c>
      <c r="F74" s="64">
        <v>17.79</v>
      </c>
      <c r="G74" s="64">
        <v>54.28</v>
      </c>
      <c r="H74" s="64">
        <v>10.49</v>
      </c>
      <c r="I74" s="64">
        <v>1.1599999999999999</v>
      </c>
      <c r="J74" s="64">
        <v>0.55000000000000004</v>
      </c>
      <c r="K74" s="64">
        <v>129.18</v>
      </c>
      <c r="L74" s="64">
        <v>28.7</v>
      </c>
      <c r="M74" s="64">
        <v>89.53</v>
      </c>
      <c r="N74" s="64">
        <v>107.1</v>
      </c>
      <c r="O74" s="64">
        <v>0</v>
      </c>
      <c r="P74" s="64">
        <v>0.27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14" t="s">
        <v>1366</v>
      </c>
      <c r="B75" s="64">
        <v>3.91</v>
      </c>
      <c r="C75" s="64">
        <v>13.15</v>
      </c>
      <c r="D75" s="64">
        <v>10</v>
      </c>
      <c r="E75" s="64">
        <v>5.15</v>
      </c>
      <c r="F75" s="64">
        <v>22.56</v>
      </c>
      <c r="G75" s="64">
        <v>54.28</v>
      </c>
      <c r="H75" s="64">
        <v>10.49</v>
      </c>
      <c r="I75" s="64">
        <v>1.1499999999999999</v>
      </c>
      <c r="J75" s="64">
        <v>0.42</v>
      </c>
      <c r="K75" s="64">
        <v>125.83</v>
      </c>
      <c r="L75" s="64">
        <v>28.61</v>
      </c>
      <c r="M75" s="64">
        <v>90.97</v>
      </c>
      <c r="N75" s="64">
        <v>95.6</v>
      </c>
      <c r="O75" s="64">
        <v>0</v>
      </c>
      <c r="P75" s="64">
        <v>0.23</v>
      </c>
      <c r="Q75" s="64">
        <v>9.25</v>
      </c>
      <c r="R75" s="198"/>
      <c r="S75" s="198"/>
      <c r="T75" s="198"/>
      <c r="U75" s="198"/>
    </row>
    <row r="76" spans="1:21" s="12" customFormat="1" x14ac:dyDescent="0.25">
      <c r="A76" s="214" t="s">
        <v>1367</v>
      </c>
      <c r="B76" s="64">
        <v>4.4000000000000004</v>
      </c>
      <c r="C76" s="64">
        <v>12.89</v>
      </c>
      <c r="D76" s="64">
        <v>10.26</v>
      </c>
      <c r="E76" s="64">
        <v>5.16</v>
      </c>
      <c r="F76" s="64">
        <v>19.100000000000001</v>
      </c>
      <c r="G76" s="64">
        <v>53.24</v>
      </c>
      <c r="H76" s="64">
        <v>8.82</v>
      </c>
      <c r="I76" s="64">
        <v>1.1399999999999999</v>
      </c>
      <c r="J76" s="64">
        <v>0.8</v>
      </c>
      <c r="K76" s="64">
        <v>126.29</v>
      </c>
      <c r="L76" s="64">
        <v>28.38</v>
      </c>
      <c r="M76" s="64">
        <v>93.65</v>
      </c>
      <c r="N76" s="64">
        <v>72.099999999999994</v>
      </c>
      <c r="O76" s="64">
        <v>0</v>
      </c>
      <c r="P76" s="64">
        <v>0.31</v>
      </c>
      <c r="Q76" s="64">
        <v>9.24</v>
      </c>
      <c r="R76" s="198"/>
      <c r="S76" s="198"/>
      <c r="T76" s="198"/>
      <c r="U76" s="198"/>
    </row>
    <row r="77" spans="1:21" s="12" customFormat="1" x14ac:dyDescent="0.25">
      <c r="A77" s="214" t="s">
        <v>1368</v>
      </c>
      <c r="B77" s="64">
        <v>4.3600000000000003</v>
      </c>
      <c r="C77" s="64">
        <v>13.43</v>
      </c>
      <c r="D77" s="64">
        <v>10.51</v>
      </c>
      <c r="E77" s="64">
        <v>5.16</v>
      </c>
      <c r="F77" s="64">
        <v>17.170000000000002</v>
      </c>
      <c r="G77" s="64">
        <v>52.41</v>
      </c>
      <c r="H77" s="64">
        <v>7.54</v>
      </c>
      <c r="I77" s="64">
        <v>1.1299999999999999</v>
      </c>
      <c r="J77" s="64">
        <v>0.86</v>
      </c>
      <c r="K77" s="64">
        <v>117.14</v>
      </c>
      <c r="L77" s="64">
        <v>28.1</v>
      </c>
      <c r="M77" s="64">
        <v>96.02</v>
      </c>
      <c r="N77" s="64">
        <v>67.7</v>
      </c>
      <c r="O77" s="64">
        <v>0</v>
      </c>
      <c r="P77" s="64">
        <v>0.27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14" t="s">
        <v>1369</v>
      </c>
      <c r="B78" s="64">
        <v>4.62</v>
      </c>
      <c r="C78" s="64">
        <v>11.77</v>
      </c>
      <c r="D78" s="64">
        <v>9.85</v>
      </c>
      <c r="E78" s="64">
        <v>5.09</v>
      </c>
      <c r="F78" s="64">
        <v>14.27</v>
      </c>
      <c r="G78" s="64">
        <v>52.41</v>
      </c>
      <c r="H78" s="64">
        <v>7.54</v>
      </c>
      <c r="I78" s="64">
        <v>1.1200000000000001</v>
      </c>
      <c r="J78" s="64">
        <v>1.08</v>
      </c>
      <c r="K78" s="64">
        <v>118.81</v>
      </c>
      <c r="L78" s="64">
        <v>27.57</v>
      </c>
      <c r="M78" s="64">
        <v>96.39</v>
      </c>
      <c r="N78" s="64">
        <v>60.8</v>
      </c>
      <c r="O78" s="64">
        <v>0</v>
      </c>
      <c r="P78" s="64">
        <v>0.26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4" t="s">
        <v>1370</v>
      </c>
      <c r="B79" s="64">
        <v>4.38</v>
      </c>
      <c r="C79" s="64">
        <v>10.37</v>
      </c>
      <c r="D79" s="64">
        <v>8.93</v>
      </c>
      <c r="E79" s="64">
        <v>5.35</v>
      </c>
      <c r="F79" s="64">
        <v>19.12</v>
      </c>
      <c r="G79" s="64">
        <v>52.41</v>
      </c>
      <c r="H79" s="64">
        <v>7.54</v>
      </c>
      <c r="I79" s="64">
        <v>1.05</v>
      </c>
      <c r="J79" s="64">
        <v>0.44</v>
      </c>
      <c r="K79" s="64">
        <v>120.83</v>
      </c>
      <c r="L79" s="64">
        <v>27.08</v>
      </c>
      <c r="M79" s="64">
        <v>96.52</v>
      </c>
      <c r="N79" s="64">
        <v>43.2</v>
      </c>
      <c r="O79" s="64">
        <v>0</v>
      </c>
      <c r="P79" s="64">
        <v>0.26</v>
      </c>
      <c r="Q79" s="64">
        <v>9.26</v>
      </c>
      <c r="R79" s="198"/>
      <c r="S79" s="198"/>
      <c r="T79" s="198"/>
      <c r="U79" s="198"/>
    </row>
    <row r="80" spans="1:21" s="12" customFormat="1" x14ac:dyDescent="0.25">
      <c r="A80" s="214" t="s">
        <v>1371</v>
      </c>
      <c r="B80" s="64">
        <v>3.99</v>
      </c>
      <c r="C80" s="64">
        <v>11.56</v>
      </c>
      <c r="D80" s="64">
        <v>9.24</v>
      </c>
      <c r="E80" s="64">
        <v>5.35</v>
      </c>
      <c r="F80" s="64">
        <v>18.21</v>
      </c>
      <c r="G80" s="64">
        <v>47.92</v>
      </c>
      <c r="H80" s="64">
        <v>6.9</v>
      </c>
      <c r="I80" s="64">
        <v>1.07</v>
      </c>
      <c r="J80" s="64">
        <v>0.56999999999999995</v>
      </c>
      <c r="K80" s="64">
        <v>115.42</v>
      </c>
      <c r="L80" s="64">
        <v>26.85</v>
      </c>
      <c r="M80" s="64">
        <v>96.55</v>
      </c>
      <c r="N80" s="64">
        <v>35.6</v>
      </c>
      <c r="O80" s="64">
        <v>0</v>
      </c>
      <c r="P80" s="64">
        <v>0.26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14" t="s">
        <v>1372</v>
      </c>
      <c r="B81" s="64">
        <v>4.62</v>
      </c>
      <c r="C81" s="64">
        <v>15.73</v>
      </c>
      <c r="D81" s="64">
        <v>11.93</v>
      </c>
      <c r="E81" s="64">
        <v>5.61</v>
      </c>
      <c r="F81" s="64">
        <v>13.48</v>
      </c>
      <c r="G81" s="64">
        <v>44.32</v>
      </c>
      <c r="H81" s="64">
        <v>6.68</v>
      </c>
      <c r="I81" s="64">
        <v>1.1200000000000001</v>
      </c>
      <c r="J81" s="64">
        <v>0.53</v>
      </c>
      <c r="K81" s="64">
        <v>122.24</v>
      </c>
      <c r="L81" s="64">
        <v>26.72</v>
      </c>
      <c r="M81" s="64">
        <v>95.75</v>
      </c>
      <c r="N81" s="64">
        <v>31.2</v>
      </c>
      <c r="O81" s="64">
        <v>0</v>
      </c>
      <c r="P81" s="64">
        <v>0.28000000000000003</v>
      </c>
      <c r="Q81" s="64">
        <v>9.26</v>
      </c>
      <c r="R81" s="198"/>
      <c r="S81" s="198"/>
      <c r="T81" s="198"/>
      <c r="U81" s="198"/>
    </row>
    <row r="82" spans="1:26" s="12" customFormat="1" x14ac:dyDescent="0.25">
      <c r="A82" s="214" t="s">
        <v>1373</v>
      </c>
      <c r="B82" s="64">
        <v>4.63</v>
      </c>
      <c r="C82" s="64">
        <v>16.39</v>
      </c>
      <c r="D82" s="64">
        <v>12.28</v>
      </c>
      <c r="E82" s="64">
        <v>5.45</v>
      </c>
      <c r="F82" s="64">
        <v>14.5</v>
      </c>
      <c r="G82" s="64">
        <v>44.32</v>
      </c>
      <c r="H82" s="64">
        <v>6.68</v>
      </c>
      <c r="I82" s="64">
        <v>1.1299999999999999</v>
      </c>
      <c r="J82" s="64">
        <v>0.43</v>
      </c>
      <c r="K82" s="64">
        <v>118.84</v>
      </c>
      <c r="L82" s="64">
        <v>26.57</v>
      </c>
      <c r="M82" s="64">
        <v>95.54</v>
      </c>
      <c r="N82" s="64">
        <v>30.9</v>
      </c>
      <c r="O82" s="64">
        <v>0</v>
      </c>
      <c r="P82" s="64">
        <v>0.27</v>
      </c>
      <c r="Q82" s="64">
        <v>9.26</v>
      </c>
      <c r="R82" s="198"/>
      <c r="S82" s="198"/>
      <c r="T82" s="198"/>
      <c r="U82" s="198"/>
    </row>
    <row r="83" spans="1:26" s="12" customFormat="1" x14ac:dyDescent="0.25">
      <c r="A83" s="214" t="s">
        <v>1374</v>
      </c>
      <c r="B83" s="64">
        <v>4.3</v>
      </c>
      <c r="C83" s="64">
        <v>18</v>
      </c>
      <c r="D83" s="64">
        <v>12.85</v>
      </c>
      <c r="E83" s="64">
        <v>5.0999999999999996</v>
      </c>
      <c r="F83" s="64">
        <v>14.07</v>
      </c>
      <c r="G83" s="64">
        <v>44.32</v>
      </c>
      <c r="H83" s="64">
        <v>6.68</v>
      </c>
      <c r="I83" s="64">
        <v>1.1299999999999999</v>
      </c>
      <c r="J83" s="64">
        <v>0.4</v>
      </c>
      <c r="K83" s="64">
        <v>129.94999999999999</v>
      </c>
      <c r="L83" s="64">
        <v>26.51</v>
      </c>
      <c r="M83" s="64">
        <v>96.31</v>
      </c>
      <c r="N83" s="64">
        <v>30.6</v>
      </c>
      <c r="O83" s="64">
        <v>0</v>
      </c>
      <c r="P83" s="64">
        <v>0.34</v>
      </c>
      <c r="Q83" s="64">
        <v>9.26</v>
      </c>
      <c r="R83" s="198"/>
      <c r="S83" s="198"/>
      <c r="T83" s="198"/>
      <c r="U83" s="198"/>
    </row>
    <row r="84" spans="1:26" s="12" customFormat="1" x14ac:dyDescent="0.25">
      <c r="A84" s="214" t="s">
        <v>1375</v>
      </c>
      <c r="B84" s="64">
        <v>8.77</v>
      </c>
      <c r="C84" s="64">
        <v>17.96</v>
      </c>
      <c r="D84" s="64">
        <v>16.420000000000002</v>
      </c>
      <c r="E84" s="64">
        <v>5.14</v>
      </c>
      <c r="F84" s="64">
        <v>11.87</v>
      </c>
      <c r="G84" s="64">
        <v>45.35</v>
      </c>
      <c r="H84" s="64">
        <v>6.48</v>
      </c>
      <c r="I84" s="64">
        <v>1.1399999999999999</v>
      </c>
      <c r="J84" s="64">
        <v>0.31</v>
      </c>
      <c r="K84" s="64">
        <v>136.19</v>
      </c>
      <c r="L84" s="64">
        <v>26.43</v>
      </c>
      <c r="M84" s="64">
        <v>96.64</v>
      </c>
      <c r="N84" s="64">
        <v>30.6</v>
      </c>
      <c r="O84" s="64">
        <v>0</v>
      </c>
      <c r="P84" s="64">
        <v>0.63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4" t="s">
        <v>1376</v>
      </c>
      <c r="B85" s="64">
        <v>5.94</v>
      </c>
      <c r="C85" s="64">
        <v>19.440000000000001</v>
      </c>
      <c r="D85" s="64">
        <v>14.92</v>
      </c>
      <c r="E85" s="64">
        <v>5.53</v>
      </c>
      <c r="F85" s="64">
        <v>9.1300000000000008</v>
      </c>
      <c r="G85" s="64">
        <v>46.13</v>
      </c>
      <c r="H85" s="64">
        <v>6.41</v>
      </c>
      <c r="I85" s="64">
        <v>1.1599999999999999</v>
      </c>
      <c r="J85" s="64">
        <v>0.13</v>
      </c>
      <c r="K85" s="64">
        <v>143.18</v>
      </c>
      <c r="L85" s="64">
        <v>26.25</v>
      </c>
      <c r="M85" s="64">
        <v>96.53</v>
      </c>
      <c r="N85" s="64">
        <v>30.6</v>
      </c>
      <c r="O85" s="64">
        <v>0</v>
      </c>
      <c r="P85" s="64">
        <v>0.63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4" t="s">
        <v>1377</v>
      </c>
      <c r="B86" s="64">
        <v>7.15</v>
      </c>
      <c r="C86" s="64">
        <v>24.89</v>
      </c>
      <c r="D86" s="64">
        <v>18.73</v>
      </c>
      <c r="E86" s="64">
        <v>5.55</v>
      </c>
      <c r="F86" s="64">
        <v>8.92</v>
      </c>
      <c r="G86" s="64">
        <v>46.13</v>
      </c>
      <c r="H86" s="64">
        <v>6.41</v>
      </c>
      <c r="I86" s="64">
        <v>1.19</v>
      </c>
      <c r="J86" s="64">
        <v>0.1</v>
      </c>
      <c r="K86" s="64">
        <v>121.22</v>
      </c>
      <c r="L86" s="64">
        <v>26.11</v>
      </c>
      <c r="M86" s="64">
        <v>96.44</v>
      </c>
      <c r="N86" s="64">
        <v>30.6</v>
      </c>
      <c r="O86" s="64">
        <v>0</v>
      </c>
      <c r="P86" s="64">
        <v>0.82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14" t="s">
        <v>1378</v>
      </c>
      <c r="B87" s="64">
        <v>18.760000000000002</v>
      </c>
      <c r="C87" s="64">
        <v>28.2</v>
      </c>
      <c r="D87" s="64">
        <v>29.78</v>
      </c>
      <c r="E87" s="64">
        <v>5.63</v>
      </c>
      <c r="F87" s="64">
        <v>8.65</v>
      </c>
      <c r="G87" s="64">
        <v>46.13</v>
      </c>
      <c r="H87" s="64">
        <v>6.41</v>
      </c>
      <c r="I87" s="64">
        <v>1.18</v>
      </c>
      <c r="J87" s="64">
        <v>0.06</v>
      </c>
      <c r="K87" s="64">
        <v>346.38</v>
      </c>
      <c r="L87" s="64">
        <v>26.12</v>
      </c>
      <c r="M87" s="64">
        <v>96.07</v>
      </c>
      <c r="N87" s="64">
        <v>30.6</v>
      </c>
      <c r="O87" s="64">
        <v>0</v>
      </c>
      <c r="P87" s="64">
        <v>1.61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4" t="s">
        <v>1379</v>
      </c>
      <c r="B88" s="64">
        <v>12.2</v>
      </c>
      <c r="C88" s="64">
        <v>26.61</v>
      </c>
      <c r="D88" s="64">
        <v>23.69</v>
      </c>
      <c r="E88" s="64">
        <v>5.6</v>
      </c>
      <c r="F88" s="64">
        <v>8.1999999999999993</v>
      </c>
      <c r="G88" s="64">
        <v>54.08</v>
      </c>
      <c r="H88" s="64">
        <v>6.35</v>
      </c>
      <c r="I88" s="64">
        <v>1.2</v>
      </c>
      <c r="J88" s="64">
        <v>7.0000000000000007E-2</v>
      </c>
      <c r="K88" s="64">
        <v>141.86000000000001</v>
      </c>
      <c r="L88" s="64">
        <v>26.11</v>
      </c>
      <c r="M88" s="64">
        <v>96.5</v>
      </c>
      <c r="N88" s="64">
        <v>30.6</v>
      </c>
      <c r="O88" s="64">
        <v>0</v>
      </c>
      <c r="P88" s="64">
        <v>1.1299999999999999</v>
      </c>
      <c r="Q88" s="64">
        <v>9.27</v>
      </c>
      <c r="R88" s="198"/>
      <c r="S88" s="198"/>
      <c r="T88" s="198"/>
      <c r="U88" s="198"/>
    </row>
    <row r="89" spans="1:26" s="12" customFormat="1" x14ac:dyDescent="0.25">
      <c r="A89" s="214" t="s">
        <v>1380</v>
      </c>
      <c r="B89" s="64">
        <v>10.06</v>
      </c>
      <c r="C89" s="64">
        <v>20.91</v>
      </c>
      <c r="D89" s="64">
        <v>18.989999999999998</v>
      </c>
      <c r="E89" s="64">
        <v>5.2</v>
      </c>
      <c r="F89" s="64">
        <v>8.2899999999999991</v>
      </c>
      <c r="G89" s="64">
        <v>60.15</v>
      </c>
      <c r="H89" s="64">
        <v>6.33</v>
      </c>
      <c r="I89" s="64">
        <v>1.33</v>
      </c>
      <c r="J89" s="64">
        <v>0.1</v>
      </c>
      <c r="K89" s="64">
        <v>147.06</v>
      </c>
      <c r="L89" s="64">
        <v>26.01</v>
      </c>
      <c r="M89" s="64">
        <v>96.51</v>
      </c>
      <c r="N89" s="64">
        <v>30.6</v>
      </c>
      <c r="O89" s="64">
        <v>0</v>
      </c>
      <c r="P89" s="64">
        <v>0.78</v>
      </c>
      <c r="Q89" s="64">
        <v>9.2799999999999994</v>
      </c>
      <c r="R89" s="198"/>
      <c r="S89" s="198"/>
      <c r="T89" s="198"/>
      <c r="U89" s="198"/>
    </row>
    <row r="90" spans="1:26" s="12" customFormat="1" x14ac:dyDescent="0.25">
      <c r="A90" s="214" t="s">
        <v>1381</v>
      </c>
      <c r="B90" s="64">
        <v>12.73</v>
      </c>
      <c r="C90" s="64">
        <v>23.6</v>
      </c>
      <c r="D90" s="64">
        <v>22.54</v>
      </c>
      <c r="E90" s="64">
        <v>5.42</v>
      </c>
      <c r="F90" s="64">
        <v>10.77</v>
      </c>
      <c r="G90" s="64">
        <v>60.15</v>
      </c>
      <c r="H90" s="64">
        <v>6.33</v>
      </c>
      <c r="I90" s="64">
        <v>1.42</v>
      </c>
      <c r="J90" s="64">
        <v>0.05</v>
      </c>
      <c r="K90" s="64">
        <v>296.14999999999998</v>
      </c>
      <c r="L90" s="64">
        <v>26</v>
      </c>
      <c r="M90" s="64">
        <v>96.56</v>
      </c>
      <c r="N90" s="64">
        <v>30.6</v>
      </c>
      <c r="O90" s="64">
        <v>0</v>
      </c>
      <c r="P90" s="64">
        <v>1.1299999999999999</v>
      </c>
      <c r="Q90" s="64">
        <v>9.3000000000000007</v>
      </c>
      <c r="R90" s="198"/>
      <c r="S90" s="198"/>
      <c r="T90" s="198"/>
      <c r="U90" s="198"/>
    </row>
    <row r="91" spans="1:26" s="12" customFormat="1" x14ac:dyDescent="0.25">
      <c r="A91" s="214" t="s">
        <v>1382</v>
      </c>
      <c r="B91" s="64">
        <v>21.87</v>
      </c>
      <c r="C91" s="64">
        <v>23.47</v>
      </c>
      <c r="D91" s="64">
        <v>29.62</v>
      </c>
      <c r="E91" s="64">
        <v>5.55</v>
      </c>
      <c r="F91" s="64">
        <v>8.5</v>
      </c>
      <c r="G91" s="64">
        <v>60.15</v>
      </c>
      <c r="H91" s="64">
        <v>6.33</v>
      </c>
      <c r="I91" s="64">
        <v>1.48</v>
      </c>
      <c r="J91" s="64">
        <v>0.43</v>
      </c>
      <c r="K91" s="64">
        <v>337.7</v>
      </c>
      <c r="L91" s="64">
        <v>26.09</v>
      </c>
      <c r="M91" s="64">
        <v>96.64</v>
      </c>
      <c r="N91" s="64">
        <v>30.3</v>
      </c>
      <c r="O91" s="64">
        <v>0</v>
      </c>
      <c r="P91" s="64">
        <v>1.44</v>
      </c>
      <c r="Q91" s="64">
        <v>9.3000000000000007</v>
      </c>
      <c r="R91" s="198"/>
      <c r="S91" s="198"/>
      <c r="T91" s="198"/>
      <c r="U91" s="198"/>
    </row>
    <row r="92" spans="1:26" s="12" customFormat="1" x14ac:dyDescent="0.25">
      <c r="A92" s="214" t="s">
        <v>1383</v>
      </c>
      <c r="B92" s="64">
        <v>24.81</v>
      </c>
      <c r="C92" s="64">
        <v>19.53</v>
      </c>
      <c r="D92" s="64">
        <v>30.06</v>
      </c>
      <c r="E92" s="64">
        <v>5.49</v>
      </c>
      <c r="F92" s="64">
        <v>9.6999999999999993</v>
      </c>
      <c r="G92" s="64">
        <v>61.33</v>
      </c>
      <c r="H92" s="64">
        <v>6.31</v>
      </c>
      <c r="I92" s="64">
        <v>1.56</v>
      </c>
      <c r="J92" s="64">
        <v>0.62</v>
      </c>
      <c r="K92" s="64">
        <v>339.51</v>
      </c>
      <c r="L92" s="64">
        <v>26.16</v>
      </c>
      <c r="M92" s="64">
        <v>96.77</v>
      </c>
      <c r="N92" s="64">
        <v>30.4</v>
      </c>
      <c r="O92" s="64">
        <v>0</v>
      </c>
      <c r="P92" s="64">
        <v>1.38</v>
      </c>
      <c r="Q92" s="64">
        <v>9.33</v>
      </c>
      <c r="R92" s="198"/>
      <c r="S92" s="198"/>
      <c r="T92" s="198"/>
      <c r="U92" s="198"/>
    </row>
    <row r="93" spans="1:26" s="12" customFormat="1" x14ac:dyDescent="0.25">
      <c r="A93" s="214" t="s">
        <v>1384</v>
      </c>
      <c r="B93" s="64">
        <v>24.49</v>
      </c>
      <c r="C93" s="64">
        <v>15.25</v>
      </c>
      <c r="D93" s="64">
        <v>24.69</v>
      </c>
      <c r="E93" s="64">
        <v>5.63</v>
      </c>
      <c r="F93" s="64">
        <v>4.9000000000000004</v>
      </c>
      <c r="G93" s="64">
        <v>62.23</v>
      </c>
      <c r="H93" s="64">
        <v>6.29</v>
      </c>
      <c r="I93" s="64">
        <v>1.66</v>
      </c>
      <c r="J93" s="64">
        <v>0.67</v>
      </c>
      <c r="K93" s="64">
        <v>338.43</v>
      </c>
      <c r="L93" s="64">
        <v>26.09</v>
      </c>
      <c r="M93" s="64">
        <v>96.79</v>
      </c>
      <c r="N93" s="64">
        <v>30.6</v>
      </c>
      <c r="O93" s="64">
        <v>0</v>
      </c>
      <c r="P93" s="64">
        <v>1.05</v>
      </c>
      <c r="Q93" s="64">
        <v>9.35</v>
      </c>
      <c r="R93" s="198"/>
      <c r="S93" s="198"/>
      <c r="T93" s="198"/>
      <c r="U93" s="198"/>
    </row>
    <row r="94" spans="1:26" s="12" customFormat="1" x14ac:dyDescent="0.25">
      <c r="A94" s="214" t="s">
        <v>1385</v>
      </c>
      <c r="B94" s="64">
        <v>13.23</v>
      </c>
      <c r="C94" s="64">
        <v>10.32</v>
      </c>
      <c r="D94" s="64">
        <v>15.73</v>
      </c>
      <c r="E94" s="64">
        <v>5.4</v>
      </c>
      <c r="F94" s="64">
        <v>3.78</v>
      </c>
      <c r="G94" s="64">
        <v>62.23</v>
      </c>
      <c r="H94" s="64">
        <v>6.29</v>
      </c>
      <c r="I94" s="64">
        <v>1.75</v>
      </c>
      <c r="J94" s="64">
        <v>0.97</v>
      </c>
      <c r="K94" s="64">
        <v>334.89</v>
      </c>
      <c r="L94" s="64">
        <v>25.94</v>
      </c>
      <c r="M94" s="64">
        <v>96.84</v>
      </c>
      <c r="N94" s="64">
        <v>30.9</v>
      </c>
      <c r="O94" s="64">
        <v>0</v>
      </c>
      <c r="P94" s="64">
        <v>0.78</v>
      </c>
      <c r="Q94" s="64">
        <v>9.4</v>
      </c>
      <c r="R94" s="198"/>
      <c r="S94" s="198"/>
      <c r="T94" s="198"/>
      <c r="U94" s="198"/>
    </row>
    <row r="95" spans="1:26" s="12" customFormat="1" x14ac:dyDescent="0.25">
      <c r="A95" s="214" t="s">
        <v>1386</v>
      </c>
      <c r="B95" s="64">
        <v>15.64</v>
      </c>
      <c r="C95" s="64">
        <v>16.440000000000001</v>
      </c>
      <c r="D95" s="64">
        <v>21.13</v>
      </c>
      <c r="E95" s="64">
        <v>5.56</v>
      </c>
      <c r="F95" s="64">
        <v>5.38</v>
      </c>
      <c r="G95" s="64">
        <v>62.23</v>
      </c>
      <c r="H95" s="64">
        <v>6.29</v>
      </c>
      <c r="I95" s="64">
        <v>1.82</v>
      </c>
      <c r="J95" s="64">
        <v>0.93</v>
      </c>
      <c r="K95" s="64">
        <v>338.68</v>
      </c>
      <c r="L95" s="64">
        <v>25.77</v>
      </c>
      <c r="M95" s="64">
        <v>96.87</v>
      </c>
      <c r="N95" s="64">
        <v>30.9</v>
      </c>
      <c r="O95" s="64">
        <v>0</v>
      </c>
      <c r="P95" s="64">
        <v>0.94</v>
      </c>
      <c r="Q95" s="64">
        <v>9.43</v>
      </c>
      <c r="R95" s="198"/>
      <c r="S95" s="198"/>
      <c r="T95" s="198"/>
      <c r="U95" s="198"/>
    </row>
    <row r="96" spans="1:26" s="12" customFormat="1" x14ac:dyDescent="0.25">
      <c r="A96" s="214" t="s">
        <v>1387</v>
      </c>
      <c r="B96" s="64">
        <v>14.19</v>
      </c>
      <c r="C96" s="64">
        <v>18.64</v>
      </c>
      <c r="D96" s="64">
        <v>21.12</v>
      </c>
      <c r="E96" s="64">
        <v>5.39</v>
      </c>
      <c r="F96" s="64">
        <v>5.16</v>
      </c>
      <c r="G96" s="64">
        <v>78.42</v>
      </c>
      <c r="H96" s="64">
        <v>6.29</v>
      </c>
      <c r="I96" s="64">
        <v>1.9</v>
      </c>
      <c r="J96" s="64">
        <v>0.93</v>
      </c>
      <c r="K96" s="64">
        <v>338.85</v>
      </c>
      <c r="L96" s="64">
        <v>25.63</v>
      </c>
      <c r="M96" s="64">
        <v>96.9</v>
      </c>
      <c r="N96" s="64">
        <v>30.9</v>
      </c>
      <c r="O96" s="64">
        <v>0</v>
      </c>
      <c r="P96" s="64">
        <v>0.91</v>
      </c>
      <c r="Q96" s="64">
        <v>9.4600000000000009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1388</v>
      </c>
      <c r="B97" s="64">
        <v>12.73</v>
      </c>
      <c r="C97" s="64">
        <v>12.75</v>
      </c>
      <c r="D97" s="64">
        <v>16.809999999999999</v>
      </c>
      <c r="E97" s="64">
        <v>5.72</v>
      </c>
      <c r="F97" s="64">
        <v>5.21</v>
      </c>
      <c r="G97" s="64">
        <v>90.8</v>
      </c>
      <c r="H97" s="64">
        <v>6.28</v>
      </c>
      <c r="I97" s="64">
        <v>1.98</v>
      </c>
      <c r="J97" s="64">
        <v>1.1000000000000001</v>
      </c>
      <c r="K97" s="64">
        <v>338.28</v>
      </c>
      <c r="L97" s="64">
        <v>25.5</v>
      </c>
      <c r="M97" s="64">
        <v>96.91</v>
      </c>
      <c r="N97" s="64">
        <v>31</v>
      </c>
      <c r="O97" s="64">
        <v>0</v>
      </c>
      <c r="P97" s="64">
        <v>0.76</v>
      </c>
      <c r="Q97" s="64">
        <v>9.5</v>
      </c>
      <c r="R97" s="198"/>
      <c r="S97" s="198"/>
      <c r="T97" s="198"/>
      <c r="U97" s="198"/>
    </row>
    <row r="98" spans="1:33" s="12" customFormat="1" x14ac:dyDescent="0.25">
      <c r="A98" s="214" t="s">
        <v>1389</v>
      </c>
      <c r="B98" s="64">
        <v>16.149999999999999</v>
      </c>
      <c r="C98" s="64">
        <v>13.82</v>
      </c>
      <c r="D98" s="64">
        <v>20.16</v>
      </c>
      <c r="E98" s="64">
        <v>5.91</v>
      </c>
      <c r="F98" s="64">
        <v>5.2</v>
      </c>
      <c r="G98" s="64">
        <v>90.8</v>
      </c>
      <c r="H98" s="64">
        <v>6.28</v>
      </c>
      <c r="I98" s="64">
        <v>2.04</v>
      </c>
      <c r="J98" s="64">
        <v>0.69</v>
      </c>
      <c r="K98" s="64">
        <v>337.72</v>
      </c>
      <c r="L98" s="64">
        <v>25.36</v>
      </c>
      <c r="M98" s="64">
        <v>96.98</v>
      </c>
      <c r="N98" s="64">
        <v>31</v>
      </c>
      <c r="O98" s="64">
        <v>0</v>
      </c>
      <c r="P98" s="64">
        <v>0.87</v>
      </c>
      <c r="Q98" s="64">
        <v>9.5299999999999994</v>
      </c>
      <c r="R98" s="198"/>
      <c r="S98" s="198"/>
      <c r="T98" s="198"/>
      <c r="U98" s="198"/>
    </row>
    <row r="99" spans="1:33" s="12" customFormat="1" x14ac:dyDescent="0.25">
      <c r="A99" s="214" t="s">
        <v>1390</v>
      </c>
      <c r="B99" s="64">
        <v>20.45</v>
      </c>
      <c r="C99" s="64">
        <v>15.52</v>
      </c>
      <c r="D99" s="64">
        <v>24.5</v>
      </c>
      <c r="E99" s="64">
        <v>5.76</v>
      </c>
      <c r="F99" s="64">
        <v>6.22</v>
      </c>
      <c r="G99" s="64">
        <v>90.8</v>
      </c>
      <c r="H99" s="64">
        <v>6.28</v>
      </c>
      <c r="I99" s="64">
        <v>2.0699999999999998</v>
      </c>
      <c r="J99" s="64">
        <v>0.71</v>
      </c>
      <c r="K99" s="64">
        <v>338.19</v>
      </c>
      <c r="L99" s="64">
        <v>25.21</v>
      </c>
      <c r="M99" s="64">
        <v>97.05</v>
      </c>
      <c r="N99" s="64">
        <v>30.9</v>
      </c>
      <c r="O99" s="64">
        <v>0</v>
      </c>
      <c r="P99" s="64">
        <v>0.8</v>
      </c>
      <c r="Q99" s="64">
        <v>9.5399999999999991</v>
      </c>
      <c r="R99" s="198"/>
      <c r="S99" s="198"/>
      <c r="T99" s="198"/>
      <c r="U99" s="198"/>
    </row>
    <row r="100" spans="1:33" s="12" customFormat="1" x14ac:dyDescent="0.25">
      <c r="A100" s="214" t="s">
        <v>1391</v>
      </c>
      <c r="B100" s="64">
        <v>12.02</v>
      </c>
      <c r="C100" s="64">
        <v>16.38</v>
      </c>
      <c r="D100" s="64">
        <v>18.2</v>
      </c>
      <c r="E100" s="64">
        <v>5.32</v>
      </c>
      <c r="F100" s="64">
        <v>4.5599999999999996</v>
      </c>
      <c r="G100" s="64">
        <v>96.48</v>
      </c>
      <c r="H100" s="64">
        <v>6.28</v>
      </c>
      <c r="I100" s="64">
        <v>2.1</v>
      </c>
      <c r="J100" s="64">
        <v>0.2</v>
      </c>
      <c r="K100" s="64">
        <v>332.17</v>
      </c>
      <c r="L100" s="64">
        <v>25.06</v>
      </c>
      <c r="M100" s="64">
        <v>97.21</v>
      </c>
      <c r="N100" s="64">
        <v>30.8</v>
      </c>
      <c r="O100" s="64">
        <v>0</v>
      </c>
      <c r="P100" s="64">
        <v>0.76</v>
      </c>
      <c r="Q100" s="64">
        <v>9.57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1392</v>
      </c>
      <c r="B101" s="64">
        <v>14.58</v>
      </c>
      <c r="C101" s="64">
        <v>17.420000000000002</v>
      </c>
      <c r="D101" s="64">
        <v>20.8</v>
      </c>
      <c r="E101" s="64">
        <v>5.67</v>
      </c>
      <c r="F101" s="64">
        <v>4.76</v>
      </c>
      <c r="G101" s="64">
        <v>101.02</v>
      </c>
      <c r="H101" s="64">
        <v>6.28</v>
      </c>
      <c r="I101" s="64">
        <v>2.15</v>
      </c>
      <c r="J101" s="64">
        <v>0.7</v>
      </c>
      <c r="K101" s="64">
        <v>338.32</v>
      </c>
      <c r="L101" s="64">
        <v>24.92</v>
      </c>
      <c r="M101" s="64">
        <v>97.32</v>
      </c>
      <c r="N101" s="64">
        <v>30.6</v>
      </c>
      <c r="O101" s="64">
        <v>0</v>
      </c>
      <c r="P101" s="64">
        <v>0.82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4" t="s">
        <v>1393</v>
      </c>
      <c r="B102" s="64">
        <v>13.65</v>
      </c>
      <c r="C102" s="64">
        <v>12.38</v>
      </c>
      <c r="D102" s="64">
        <v>17.41</v>
      </c>
      <c r="E102" s="64">
        <v>6.23</v>
      </c>
      <c r="F102" s="64">
        <v>3.08</v>
      </c>
      <c r="G102" s="64">
        <v>101.02</v>
      </c>
      <c r="H102" s="64">
        <v>6.28</v>
      </c>
      <c r="I102" s="64">
        <v>2.21</v>
      </c>
      <c r="J102" s="64">
        <v>0.57999999999999996</v>
      </c>
      <c r="K102" s="64">
        <v>336.53</v>
      </c>
      <c r="L102" s="64">
        <v>24.78</v>
      </c>
      <c r="M102" s="64">
        <v>97.32</v>
      </c>
      <c r="N102" s="64">
        <v>30.7</v>
      </c>
      <c r="O102" s="64">
        <v>0</v>
      </c>
      <c r="P102" s="64">
        <v>0.83</v>
      </c>
      <c r="Q102" s="64">
        <v>9.59</v>
      </c>
      <c r="R102" s="198"/>
      <c r="S102" s="198"/>
      <c r="T102" s="198"/>
      <c r="U102" s="198"/>
    </row>
    <row r="103" spans="1:33" s="12" customFormat="1" x14ac:dyDescent="0.25">
      <c r="A103" s="214" t="s">
        <v>1394</v>
      </c>
      <c r="B103" s="64">
        <v>14.63</v>
      </c>
      <c r="C103" s="64">
        <v>20.239999999999998</v>
      </c>
      <c r="D103" s="64">
        <v>22.3</v>
      </c>
      <c r="E103" s="64">
        <v>5.78</v>
      </c>
      <c r="F103" s="64">
        <v>4.6399999999999997</v>
      </c>
      <c r="G103" s="64">
        <v>101.02</v>
      </c>
      <c r="H103" s="64">
        <v>6.28</v>
      </c>
      <c r="I103" s="64">
        <v>2.27</v>
      </c>
      <c r="J103" s="64">
        <v>0.26</v>
      </c>
      <c r="K103" s="64">
        <v>330.31</v>
      </c>
      <c r="L103" s="64">
        <v>24.71</v>
      </c>
      <c r="M103" s="64">
        <v>97.3</v>
      </c>
      <c r="N103" s="64">
        <v>30.7</v>
      </c>
      <c r="O103" s="64">
        <v>0</v>
      </c>
      <c r="P103" s="64">
        <v>0.97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14" t="s">
        <v>1395</v>
      </c>
      <c r="B104" s="64">
        <v>12.29</v>
      </c>
      <c r="C104" s="64">
        <v>13.71</v>
      </c>
      <c r="D104" s="64">
        <v>17.010000000000002</v>
      </c>
      <c r="E104" s="64">
        <v>4.79</v>
      </c>
      <c r="F104" s="64">
        <v>5.59</v>
      </c>
      <c r="G104" s="64">
        <v>98.17</v>
      </c>
      <c r="H104" s="64">
        <v>6.28</v>
      </c>
      <c r="I104" s="64">
        <v>2.2999999999999998</v>
      </c>
      <c r="J104" s="64">
        <v>0.34</v>
      </c>
      <c r="K104" s="64">
        <v>333.2</v>
      </c>
      <c r="L104" s="64">
        <v>24.63</v>
      </c>
      <c r="M104" s="64">
        <v>97.32</v>
      </c>
      <c r="N104" s="64">
        <v>30.7</v>
      </c>
      <c r="O104" s="64">
        <v>0</v>
      </c>
      <c r="P104" s="64">
        <v>0.83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3.87</v>
      </c>
      <c r="C106" s="67">
        <f>MIN(C9:C104)</f>
        <v>3.73</v>
      </c>
      <c r="D106" s="67">
        <f t="shared" ref="D106:Q106" si="0">MIN(D9:D104)</f>
        <v>8.93</v>
      </c>
      <c r="E106" s="67">
        <f t="shared" si="0"/>
        <v>3.9</v>
      </c>
      <c r="F106" s="67">
        <f t="shared" si="0"/>
        <v>2.65</v>
      </c>
      <c r="G106" s="67">
        <f t="shared" si="0"/>
        <v>27.89</v>
      </c>
      <c r="H106" s="67">
        <f t="shared" si="0"/>
        <v>6.28</v>
      </c>
      <c r="I106" s="67">
        <f t="shared" si="0"/>
        <v>0.79</v>
      </c>
      <c r="J106" s="67">
        <f t="shared" si="0"/>
        <v>0.05</v>
      </c>
      <c r="K106" s="67">
        <f t="shared" si="0"/>
        <v>14.2</v>
      </c>
      <c r="L106" s="67">
        <f t="shared" si="0"/>
        <v>21.94</v>
      </c>
      <c r="M106" s="67">
        <f t="shared" si="0"/>
        <v>75.260000000000005</v>
      </c>
      <c r="N106" s="67">
        <f t="shared" si="0"/>
        <v>30.3</v>
      </c>
      <c r="O106" s="67">
        <f t="shared" si="0"/>
        <v>0</v>
      </c>
      <c r="P106" s="67">
        <f t="shared" si="0"/>
        <v>0.19</v>
      </c>
      <c r="Q106" s="67">
        <f t="shared" si="0"/>
        <v>9.19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26.25</v>
      </c>
      <c r="C107" s="66">
        <f t="shared" ref="C107:Q107" si="1">MAX(C9:C104)</f>
        <v>28.2</v>
      </c>
      <c r="D107" s="66">
        <f t="shared" si="1"/>
        <v>30.06</v>
      </c>
      <c r="E107" s="66">
        <f t="shared" si="1"/>
        <v>8.0299999999999994</v>
      </c>
      <c r="F107" s="66">
        <f t="shared" si="1"/>
        <v>22.58</v>
      </c>
      <c r="G107" s="66">
        <f t="shared" si="1"/>
        <v>101.02</v>
      </c>
      <c r="H107" s="66">
        <f t="shared" si="1"/>
        <v>21.33</v>
      </c>
      <c r="I107" s="66">
        <f t="shared" si="1"/>
        <v>2.2999999999999998</v>
      </c>
      <c r="J107" s="66">
        <f t="shared" si="1"/>
        <v>1.42</v>
      </c>
      <c r="K107" s="66">
        <f t="shared" si="1"/>
        <v>358.84</v>
      </c>
      <c r="L107" s="66">
        <f t="shared" si="1"/>
        <v>31.73</v>
      </c>
      <c r="M107" s="66">
        <f t="shared" si="1"/>
        <v>98.08</v>
      </c>
      <c r="N107" s="66">
        <f t="shared" si="1"/>
        <v>867.9</v>
      </c>
      <c r="O107" s="66">
        <f t="shared" si="1"/>
        <v>2</v>
      </c>
      <c r="P107" s="66">
        <f t="shared" si="1"/>
        <v>1.61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12.210625000000006</v>
      </c>
      <c r="C108" s="67">
        <f t="shared" ref="C108:Q108" si="2">AVERAGE(C9:C104)</f>
        <v>13.867812500000001</v>
      </c>
      <c r="D108" s="67">
        <f t="shared" si="2"/>
        <v>17.001145833333336</v>
      </c>
      <c r="E108" s="67">
        <f t="shared" si="2"/>
        <v>5.3636458333333339</v>
      </c>
      <c r="F108" s="67">
        <f t="shared" si="2"/>
        <v>8.9682291666666654</v>
      </c>
      <c r="G108" s="67">
        <f t="shared" si="2"/>
        <v>59.421354166666674</v>
      </c>
      <c r="H108" s="67">
        <f t="shared" si="2"/>
        <v>8.2209890109890047</v>
      </c>
      <c r="I108" s="67">
        <f t="shared" si="2"/>
        <v>1.5633333333333332</v>
      </c>
      <c r="J108" s="67">
        <f t="shared" si="2"/>
        <v>0.53729166666666661</v>
      </c>
      <c r="K108" s="67">
        <f t="shared" si="2"/>
        <v>237.11239583333338</v>
      </c>
      <c r="L108" s="67">
        <f t="shared" si="2"/>
        <v>26.335625000000011</v>
      </c>
      <c r="M108" s="67">
        <f t="shared" si="2"/>
        <v>93.070312499999957</v>
      </c>
      <c r="N108" s="67">
        <f t="shared" si="2"/>
        <v>181.65937499999995</v>
      </c>
      <c r="O108" s="67">
        <f t="shared" si="2"/>
        <v>4.5833333333333337E-2</v>
      </c>
      <c r="P108" s="67">
        <f t="shared" si="2"/>
        <v>0.54104166666666653</v>
      </c>
      <c r="Q108" s="67">
        <f t="shared" si="2"/>
        <v>9.4477083333333347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5.943663377253551</v>
      </c>
      <c r="C109" s="67">
        <f t="shared" ref="C109:Q109" si="3">STDEV(C9:C104)</f>
        <v>4.6771784574001849</v>
      </c>
      <c r="D109" s="67">
        <f t="shared" si="3"/>
        <v>5.14184645716254</v>
      </c>
      <c r="E109" s="67">
        <f t="shared" si="3"/>
        <v>0.64518315602978005</v>
      </c>
      <c r="F109" s="67">
        <f t="shared" si="3"/>
        <v>5.2160949286630682</v>
      </c>
      <c r="G109" s="67">
        <f t="shared" si="3"/>
        <v>17.272816953680486</v>
      </c>
      <c r="H109" s="67">
        <f t="shared" si="3"/>
        <v>3.8203883034014843</v>
      </c>
      <c r="I109" s="67">
        <f t="shared" si="3"/>
        <v>0.45652847185475304</v>
      </c>
      <c r="J109" s="67">
        <f t="shared" si="3"/>
        <v>0.31149040423394192</v>
      </c>
      <c r="K109" s="67">
        <f t="shared" si="3"/>
        <v>108.38580301035536</v>
      </c>
      <c r="L109" s="67">
        <f t="shared" si="3"/>
        <v>2.7240762074894267</v>
      </c>
      <c r="M109" s="67">
        <f t="shared" si="3"/>
        <v>5.8240082875022354</v>
      </c>
      <c r="N109" s="67">
        <f t="shared" si="3"/>
        <v>227.45736932127014</v>
      </c>
      <c r="O109" s="67">
        <f t="shared" si="3"/>
        <v>0.24188586550235747</v>
      </c>
      <c r="P109" s="67">
        <f t="shared" si="3"/>
        <v>0.29233894951495737</v>
      </c>
      <c r="Q109" s="67">
        <f t="shared" si="3"/>
        <v>0.17347518655668656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1396</v>
      </c>
      <c r="B9" s="64">
        <v>9.98</v>
      </c>
      <c r="C9" s="64">
        <v>13.33</v>
      </c>
      <c r="D9" s="64">
        <v>14.97</v>
      </c>
      <c r="E9" s="64">
        <v>4.99</v>
      </c>
      <c r="F9" s="64">
        <v>8.08</v>
      </c>
      <c r="G9" s="64">
        <v>95.99</v>
      </c>
      <c r="H9" s="64">
        <v>6.28</v>
      </c>
      <c r="I9" s="64">
        <v>2.33</v>
      </c>
      <c r="J9" s="64">
        <v>0.19</v>
      </c>
      <c r="K9" s="64">
        <v>324.23</v>
      </c>
      <c r="L9" s="64">
        <v>24.57</v>
      </c>
      <c r="M9" s="64">
        <v>97.34</v>
      </c>
      <c r="N9" s="64">
        <v>30.7</v>
      </c>
      <c r="O9" s="64">
        <v>0</v>
      </c>
      <c r="P9" s="64">
        <v>0.68</v>
      </c>
      <c r="Q9" s="64">
        <v>9.57</v>
      </c>
      <c r="R9" s="198"/>
      <c r="S9" s="198"/>
      <c r="T9" s="198"/>
      <c r="U9" s="198"/>
    </row>
    <row r="10" spans="1:21" s="12" customFormat="1" x14ac:dyDescent="0.25">
      <c r="A10" s="214" t="s">
        <v>1397</v>
      </c>
      <c r="B10" s="64">
        <v>11.47</v>
      </c>
      <c r="C10" s="64">
        <v>9.1300000000000008</v>
      </c>
      <c r="D10" s="64">
        <v>13.96</v>
      </c>
      <c r="E10" s="64">
        <v>5.38</v>
      </c>
      <c r="F10" s="64">
        <v>8.85</v>
      </c>
      <c r="G10" s="64">
        <v>95.99</v>
      </c>
      <c r="H10" s="64">
        <v>6.28</v>
      </c>
      <c r="I10" s="64">
        <v>2.35</v>
      </c>
      <c r="J10" s="64">
        <v>0.25</v>
      </c>
      <c r="K10" s="64">
        <v>331.44</v>
      </c>
      <c r="L10" s="64">
        <v>24.48</v>
      </c>
      <c r="M10" s="64">
        <v>97.39</v>
      </c>
      <c r="N10" s="64">
        <v>30.6</v>
      </c>
      <c r="O10" s="64">
        <v>0</v>
      </c>
      <c r="P10" s="64">
        <v>0.66</v>
      </c>
      <c r="Q10" s="64">
        <v>9.57</v>
      </c>
      <c r="R10" s="198"/>
      <c r="S10" s="198"/>
      <c r="T10" s="198"/>
      <c r="U10" s="198"/>
    </row>
    <row r="11" spans="1:21" s="12" customFormat="1" x14ac:dyDescent="0.25">
      <c r="A11" s="214" t="s">
        <v>1398</v>
      </c>
      <c r="B11" s="64">
        <v>8.58</v>
      </c>
      <c r="C11" s="64">
        <v>11.53</v>
      </c>
      <c r="D11" s="64">
        <v>12.9</v>
      </c>
      <c r="E11" s="64">
        <v>4.7699999999999996</v>
      </c>
      <c r="F11" s="64">
        <v>9</v>
      </c>
      <c r="G11" s="64">
        <v>95.99</v>
      </c>
      <c r="H11" s="64">
        <v>6.28</v>
      </c>
      <c r="I11" s="64">
        <v>2.33</v>
      </c>
      <c r="J11" s="64">
        <v>0.04</v>
      </c>
      <c r="K11" s="64">
        <v>188.35</v>
      </c>
      <c r="L11" s="64">
        <v>24.53</v>
      </c>
      <c r="M11" s="64">
        <v>97.38</v>
      </c>
      <c r="N11" s="64">
        <v>30.8</v>
      </c>
      <c r="O11" s="64">
        <v>0</v>
      </c>
      <c r="P11" s="64">
        <v>0.46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14" t="s">
        <v>1399</v>
      </c>
      <c r="B12" s="64">
        <v>9.4700000000000006</v>
      </c>
      <c r="C12" s="64">
        <v>9.85</v>
      </c>
      <c r="D12" s="64">
        <v>12.74</v>
      </c>
      <c r="E12" s="64">
        <v>5.0999999999999996</v>
      </c>
      <c r="F12" s="64">
        <v>6.97</v>
      </c>
      <c r="G12" s="64">
        <v>91.91</v>
      </c>
      <c r="H12" s="64">
        <v>6.28</v>
      </c>
      <c r="I12" s="64">
        <v>2.2999999999999998</v>
      </c>
      <c r="J12" s="64">
        <v>0.06</v>
      </c>
      <c r="K12" s="64">
        <v>316.45999999999998</v>
      </c>
      <c r="L12" s="64">
        <v>24.46</v>
      </c>
      <c r="M12" s="64">
        <v>97.39</v>
      </c>
      <c r="N12" s="64">
        <v>30.9</v>
      </c>
      <c r="O12" s="64">
        <v>0</v>
      </c>
      <c r="P12" s="64">
        <v>0.49</v>
      </c>
      <c r="Q12" s="64">
        <v>9.5399999999999991</v>
      </c>
      <c r="R12" s="198"/>
      <c r="S12" s="198"/>
      <c r="T12" s="198"/>
      <c r="U12" s="198"/>
    </row>
    <row r="13" spans="1:21" s="12" customFormat="1" x14ac:dyDescent="0.25">
      <c r="A13" s="214" t="s">
        <v>1400</v>
      </c>
      <c r="B13" s="64">
        <v>8.7200000000000006</v>
      </c>
      <c r="C13" s="64">
        <v>9.5500000000000007</v>
      </c>
      <c r="D13" s="64">
        <v>11.99</v>
      </c>
      <c r="E13" s="64">
        <v>4.6500000000000004</v>
      </c>
      <c r="F13" s="64">
        <v>7.86</v>
      </c>
      <c r="G13" s="64">
        <v>88.79</v>
      </c>
      <c r="H13" s="64">
        <v>6.28</v>
      </c>
      <c r="I13" s="64">
        <v>2.27</v>
      </c>
      <c r="J13" s="64">
        <v>0.05</v>
      </c>
      <c r="K13" s="64">
        <v>177.42</v>
      </c>
      <c r="L13" s="64">
        <v>24.35</v>
      </c>
      <c r="M13" s="64">
        <v>97.38</v>
      </c>
      <c r="N13" s="64">
        <v>30.9</v>
      </c>
      <c r="O13" s="64">
        <v>0</v>
      </c>
      <c r="P13" s="64">
        <v>0.43</v>
      </c>
      <c r="Q13" s="64">
        <v>9.5299999999999994</v>
      </c>
      <c r="R13" s="198"/>
      <c r="S13" s="198"/>
      <c r="T13" s="198"/>
      <c r="U13" s="198"/>
    </row>
    <row r="14" spans="1:21" s="12" customFormat="1" x14ac:dyDescent="0.25">
      <c r="A14" s="214" t="s">
        <v>1401</v>
      </c>
      <c r="B14" s="64">
        <v>9.9700000000000006</v>
      </c>
      <c r="C14" s="64">
        <v>7.25</v>
      </c>
      <c r="D14" s="64">
        <v>11.78</v>
      </c>
      <c r="E14" s="64">
        <v>4.8</v>
      </c>
      <c r="F14" s="64">
        <v>5.42</v>
      </c>
      <c r="G14" s="64">
        <v>88.79</v>
      </c>
      <c r="H14" s="64">
        <v>6.28</v>
      </c>
      <c r="I14" s="64">
        <v>2.25</v>
      </c>
      <c r="J14" s="64">
        <v>0.05</v>
      </c>
      <c r="K14" s="64">
        <v>137.01</v>
      </c>
      <c r="L14" s="64">
        <v>24.23</v>
      </c>
      <c r="M14" s="64">
        <v>97.43</v>
      </c>
      <c r="N14" s="64">
        <v>30.8</v>
      </c>
      <c r="O14" s="64">
        <v>0</v>
      </c>
      <c r="P14" s="64">
        <v>0.55000000000000004</v>
      </c>
      <c r="Q14" s="64">
        <v>9.51</v>
      </c>
      <c r="R14" s="198"/>
      <c r="S14" s="198"/>
      <c r="T14" s="198"/>
      <c r="U14" s="198"/>
    </row>
    <row r="15" spans="1:21" s="12" customFormat="1" x14ac:dyDescent="0.25">
      <c r="A15" s="214" t="s">
        <v>1402</v>
      </c>
      <c r="B15" s="64">
        <v>8.08</v>
      </c>
      <c r="C15" s="64">
        <v>7.93</v>
      </c>
      <c r="D15" s="64">
        <v>10.62</v>
      </c>
      <c r="E15" s="64">
        <v>4.71</v>
      </c>
      <c r="F15" s="64">
        <v>7.45</v>
      </c>
      <c r="G15" s="64">
        <v>88.79</v>
      </c>
      <c r="H15" s="64">
        <v>6.28</v>
      </c>
      <c r="I15" s="64">
        <v>2.2000000000000002</v>
      </c>
      <c r="J15" s="64">
        <v>0.06</v>
      </c>
      <c r="K15" s="64">
        <v>155.71</v>
      </c>
      <c r="L15" s="64">
        <v>24.17</v>
      </c>
      <c r="M15" s="64">
        <v>97.43</v>
      </c>
      <c r="N15" s="64">
        <v>30.6</v>
      </c>
      <c r="O15" s="64">
        <v>0</v>
      </c>
      <c r="P15" s="64">
        <v>0.42</v>
      </c>
      <c r="Q15" s="64">
        <v>9.5</v>
      </c>
      <c r="R15" s="198"/>
      <c r="S15" s="198"/>
      <c r="T15" s="198"/>
      <c r="U15" s="198"/>
    </row>
    <row r="16" spans="1:21" s="12" customFormat="1" x14ac:dyDescent="0.25">
      <c r="A16" s="214" t="s">
        <v>1403</v>
      </c>
      <c r="B16" s="64">
        <v>7.9</v>
      </c>
      <c r="C16" s="64">
        <v>8.1199999999999992</v>
      </c>
      <c r="D16" s="64">
        <v>10.58</v>
      </c>
      <c r="E16" s="64">
        <v>4.8099999999999996</v>
      </c>
      <c r="F16" s="64">
        <v>9.64</v>
      </c>
      <c r="G16" s="64">
        <v>80.59</v>
      </c>
      <c r="H16" s="64">
        <v>6.28</v>
      </c>
      <c r="I16" s="64">
        <v>2.15</v>
      </c>
      <c r="J16" s="64">
        <v>0.12</v>
      </c>
      <c r="K16" s="64">
        <v>312.64</v>
      </c>
      <c r="L16" s="64">
        <v>24.15</v>
      </c>
      <c r="M16" s="64">
        <v>97.5</v>
      </c>
      <c r="N16" s="64">
        <v>30.7</v>
      </c>
      <c r="O16" s="64">
        <v>0</v>
      </c>
      <c r="P16" s="64">
        <v>0.35</v>
      </c>
      <c r="Q16" s="64">
        <v>9.5</v>
      </c>
      <c r="R16" s="198"/>
      <c r="S16" s="198"/>
      <c r="T16" s="198"/>
      <c r="U16" s="198"/>
    </row>
    <row r="17" spans="1:21" s="12" customFormat="1" x14ac:dyDescent="0.25">
      <c r="A17" s="214" t="s">
        <v>1404</v>
      </c>
      <c r="B17" s="64">
        <v>8.4499999999999993</v>
      </c>
      <c r="C17" s="64">
        <v>8.11</v>
      </c>
      <c r="D17" s="64">
        <v>11.02</v>
      </c>
      <c r="E17" s="64">
        <v>4.6500000000000004</v>
      </c>
      <c r="F17" s="64">
        <v>9.52</v>
      </c>
      <c r="G17" s="64">
        <v>74.03</v>
      </c>
      <c r="H17" s="64">
        <v>6.28</v>
      </c>
      <c r="I17" s="64">
        <v>2.11</v>
      </c>
      <c r="J17" s="64">
        <v>0.13</v>
      </c>
      <c r="K17" s="64">
        <v>133.51</v>
      </c>
      <c r="L17" s="64">
        <v>24.04</v>
      </c>
      <c r="M17" s="64">
        <v>97.5</v>
      </c>
      <c r="N17" s="64">
        <v>30.6</v>
      </c>
      <c r="O17" s="64">
        <v>0</v>
      </c>
      <c r="P17" s="64">
        <v>0.36</v>
      </c>
      <c r="Q17" s="64">
        <v>9.49</v>
      </c>
      <c r="R17" s="198"/>
      <c r="S17" s="198"/>
      <c r="T17" s="198"/>
      <c r="U17" s="198"/>
    </row>
    <row r="18" spans="1:21" s="12" customFormat="1" x14ac:dyDescent="0.25">
      <c r="A18" s="214" t="s">
        <v>1405</v>
      </c>
      <c r="B18" s="64">
        <v>8.4499999999999993</v>
      </c>
      <c r="C18" s="64">
        <v>7.84</v>
      </c>
      <c r="D18" s="64">
        <v>10.87</v>
      </c>
      <c r="E18" s="64">
        <v>4.62</v>
      </c>
      <c r="F18" s="64">
        <v>10.33</v>
      </c>
      <c r="G18" s="64">
        <v>74.03</v>
      </c>
      <c r="H18" s="64">
        <v>6.28</v>
      </c>
      <c r="I18" s="64">
        <v>2.08</v>
      </c>
      <c r="J18" s="64">
        <v>0.14000000000000001</v>
      </c>
      <c r="K18" s="64">
        <v>143</v>
      </c>
      <c r="L18" s="64">
        <v>24.02</v>
      </c>
      <c r="M18" s="64">
        <v>97.52</v>
      </c>
      <c r="N18" s="64">
        <v>30.6</v>
      </c>
      <c r="O18" s="64">
        <v>0</v>
      </c>
      <c r="P18" s="64">
        <v>0.39</v>
      </c>
      <c r="Q18" s="64">
        <v>9.49</v>
      </c>
      <c r="R18" s="198"/>
      <c r="S18" s="198"/>
      <c r="T18" s="198"/>
      <c r="U18" s="198"/>
    </row>
    <row r="19" spans="1:21" s="12" customFormat="1" x14ac:dyDescent="0.25">
      <c r="A19" s="214" t="s">
        <v>1406</v>
      </c>
      <c r="B19" s="64">
        <v>7.56</v>
      </c>
      <c r="C19" s="64">
        <v>8.2200000000000006</v>
      </c>
      <c r="D19" s="64">
        <v>10.36</v>
      </c>
      <c r="E19" s="64">
        <v>4.7</v>
      </c>
      <c r="F19" s="64">
        <v>8.89</v>
      </c>
      <c r="G19" s="64">
        <v>74.03</v>
      </c>
      <c r="H19" s="64">
        <v>6.28</v>
      </c>
      <c r="I19" s="64">
        <v>2.04</v>
      </c>
      <c r="J19" s="64">
        <v>0.34</v>
      </c>
      <c r="K19" s="64">
        <v>127.72</v>
      </c>
      <c r="L19" s="64">
        <v>24.09</v>
      </c>
      <c r="M19" s="64">
        <v>97.52</v>
      </c>
      <c r="N19" s="64">
        <v>30.5</v>
      </c>
      <c r="O19" s="64">
        <v>0</v>
      </c>
      <c r="P19" s="64">
        <v>0.34</v>
      </c>
      <c r="Q19" s="64">
        <v>9.49</v>
      </c>
      <c r="R19" s="198"/>
      <c r="S19" s="198"/>
      <c r="T19" s="198"/>
      <c r="U19" s="198"/>
    </row>
    <row r="20" spans="1:21" s="12" customFormat="1" x14ac:dyDescent="0.25">
      <c r="A20" s="214" t="s">
        <v>1407</v>
      </c>
      <c r="B20" s="64">
        <v>6.75</v>
      </c>
      <c r="C20" s="64">
        <v>8.5</v>
      </c>
      <c r="D20" s="64">
        <v>9.85</v>
      </c>
      <c r="E20" s="64">
        <v>4.49</v>
      </c>
      <c r="F20" s="64">
        <v>8.5299999999999994</v>
      </c>
      <c r="G20" s="64">
        <v>63.19</v>
      </c>
      <c r="H20" s="64">
        <v>6.28</v>
      </c>
      <c r="I20" s="64">
        <v>2.0099999999999998</v>
      </c>
      <c r="J20" s="64">
        <v>0.09</v>
      </c>
      <c r="K20" s="64">
        <v>156.06</v>
      </c>
      <c r="L20" s="64">
        <v>24.1</v>
      </c>
      <c r="M20" s="64">
        <v>97.55</v>
      </c>
      <c r="N20" s="64">
        <v>30.7</v>
      </c>
      <c r="O20" s="64">
        <v>0</v>
      </c>
      <c r="P20" s="64">
        <v>0.31</v>
      </c>
      <c r="Q20" s="64">
        <v>9.49</v>
      </c>
      <c r="R20" s="198"/>
      <c r="S20" s="198"/>
      <c r="T20" s="198"/>
      <c r="U20" s="198"/>
    </row>
    <row r="21" spans="1:21" s="12" customFormat="1" x14ac:dyDescent="0.25">
      <c r="A21" s="214" t="s">
        <v>1408</v>
      </c>
      <c r="B21" s="64">
        <v>7.44</v>
      </c>
      <c r="C21" s="64">
        <v>7.61</v>
      </c>
      <c r="D21" s="64">
        <v>9.94</v>
      </c>
      <c r="E21" s="64">
        <v>4.6900000000000004</v>
      </c>
      <c r="F21" s="64">
        <v>9.44</v>
      </c>
      <c r="G21" s="64">
        <v>54.52</v>
      </c>
      <c r="H21" s="64">
        <v>6.28</v>
      </c>
      <c r="I21" s="64">
        <v>1.99</v>
      </c>
      <c r="J21" s="64">
        <v>0.21</v>
      </c>
      <c r="K21" s="64">
        <v>124.19</v>
      </c>
      <c r="L21" s="64">
        <v>24.04</v>
      </c>
      <c r="M21" s="64">
        <v>97.56</v>
      </c>
      <c r="N21" s="64">
        <v>30.7</v>
      </c>
      <c r="O21" s="64">
        <v>0</v>
      </c>
      <c r="P21" s="64">
        <v>0.32</v>
      </c>
      <c r="Q21" s="64">
        <v>9.48</v>
      </c>
      <c r="R21" s="198"/>
      <c r="S21" s="198"/>
      <c r="T21" s="198"/>
      <c r="U21" s="198"/>
    </row>
    <row r="22" spans="1:21" s="12" customFormat="1" x14ac:dyDescent="0.25">
      <c r="A22" s="214" t="s">
        <v>1409</v>
      </c>
      <c r="B22" s="64">
        <v>7.55</v>
      </c>
      <c r="C22" s="64">
        <v>7.09</v>
      </c>
      <c r="D22" s="64">
        <v>9.76</v>
      </c>
      <c r="E22" s="64">
        <v>4.62</v>
      </c>
      <c r="F22" s="64">
        <v>9.0500000000000007</v>
      </c>
      <c r="G22" s="64">
        <v>54.52</v>
      </c>
      <c r="H22" s="64">
        <v>6.28</v>
      </c>
      <c r="I22" s="64">
        <v>1.95</v>
      </c>
      <c r="J22" s="64">
        <v>0.02</v>
      </c>
      <c r="K22" s="64">
        <v>158.75</v>
      </c>
      <c r="L22" s="64">
        <v>24.05</v>
      </c>
      <c r="M22" s="64">
        <v>97.58</v>
      </c>
      <c r="N22" s="64">
        <v>30.8</v>
      </c>
      <c r="O22" s="64">
        <v>0</v>
      </c>
      <c r="P22" s="64">
        <v>0.33</v>
      </c>
      <c r="Q22" s="64">
        <v>9.4700000000000006</v>
      </c>
      <c r="R22" s="198"/>
      <c r="S22" s="198"/>
      <c r="T22" s="198"/>
      <c r="U22" s="198"/>
    </row>
    <row r="23" spans="1:21" s="12" customFormat="1" x14ac:dyDescent="0.25">
      <c r="A23" s="214" t="s">
        <v>1410</v>
      </c>
      <c r="B23" s="64">
        <v>7.02</v>
      </c>
      <c r="C23" s="64">
        <v>7.55</v>
      </c>
      <c r="D23" s="64">
        <v>9.58</v>
      </c>
      <c r="E23" s="64">
        <v>4.62</v>
      </c>
      <c r="F23" s="64">
        <v>8.1</v>
      </c>
      <c r="G23" s="64">
        <v>54.52</v>
      </c>
      <c r="H23" s="64">
        <v>6.28</v>
      </c>
      <c r="I23" s="64">
        <v>1.92</v>
      </c>
      <c r="J23" s="64">
        <v>0.38</v>
      </c>
      <c r="K23" s="64">
        <v>128.55000000000001</v>
      </c>
      <c r="L23" s="64">
        <v>23.95</v>
      </c>
      <c r="M23" s="64">
        <v>97.63</v>
      </c>
      <c r="N23" s="64">
        <v>30.6</v>
      </c>
      <c r="O23" s="64">
        <v>0</v>
      </c>
      <c r="P23" s="64">
        <v>0.34</v>
      </c>
      <c r="Q23" s="64">
        <v>9.4600000000000009</v>
      </c>
      <c r="R23" s="198"/>
      <c r="S23" s="198"/>
      <c r="T23" s="198"/>
      <c r="U23" s="198"/>
    </row>
    <row r="24" spans="1:21" s="12" customFormat="1" x14ac:dyDescent="0.25">
      <c r="A24" s="214" t="s">
        <v>1411</v>
      </c>
      <c r="B24" s="64">
        <v>7.63</v>
      </c>
      <c r="C24" s="64">
        <v>6.86</v>
      </c>
      <c r="D24" s="64">
        <v>9.6999999999999993</v>
      </c>
      <c r="E24" s="64">
        <v>4.79</v>
      </c>
      <c r="F24" s="64">
        <v>5.74</v>
      </c>
      <c r="G24" s="64">
        <v>53.36</v>
      </c>
      <c r="H24" s="64">
        <v>6.28</v>
      </c>
      <c r="I24" s="64">
        <v>1.89</v>
      </c>
      <c r="J24" s="64">
        <v>0.05</v>
      </c>
      <c r="K24" s="64">
        <v>134.99</v>
      </c>
      <c r="L24" s="64">
        <v>23.88</v>
      </c>
      <c r="M24" s="64">
        <v>97.64</v>
      </c>
      <c r="N24" s="64">
        <v>30.7</v>
      </c>
      <c r="O24" s="64">
        <v>0</v>
      </c>
      <c r="P24" s="64">
        <v>0.44</v>
      </c>
      <c r="Q24" s="64">
        <v>9.4499999999999993</v>
      </c>
      <c r="R24" s="198"/>
      <c r="S24" s="198"/>
      <c r="T24" s="198"/>
      <c r="U24" s="198"/>
    </row>
    <row r="25" spans="1:21" s="12" customFormat="1" x14ac:dyDescent="0.25">
      <c r="A25" s="214" t="s">
        <v>1412</v>
      </c>
      <c r="B25" s="64">
        <v>6.28</v>
      </c>
      <c r="C25" s="64">
        <v>8.06</v>
      </c>
      <c r="D25" s="64">
        <v>9.25</v>
      </c>
      <c r="E25" s="64">
        <v>4.8899999999999997</v>
      </c>
      <c r="F25" s="64">
        <v>7.87</v>
      </c>
      <c r="G25" s="64">
        <v>52.42</v>
      </c>
      <c r="H25" s="64">
        <v>6.28</v>
      </c>
      <c r="I25" s="64">
        <v>1.85</v>
      </c>
      <c r="J25" s="64">
        <v>0.1</v>
      </c>
      <c r="K25" s="64">
        <v>125.24</v>
      </c>
      <c r="L25" s="64">
        <v>23.83</v>
      </c>
      <c r="M25" s="64">
        <v>97.65</v>
      </c>
      <c r="N25" s="64">
        <v>30.7</v>
      </c>
      <c r="O25" s="64">
        <v>0</v>
      </c>
      <c r="P25" s="64">
        <v>0.28999999999999998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14" t="s">
        <v>1413</v>
      </c>
      <c r="B26" s="64">
        <v>7.64</v>
      </c>
      <c r="C26" s="64">
        <v>7.09</v>
      </c>
      <c r="D26" s="64">
        <v>9.83</v>
      </c>
      <c r="E26" s="64">
        <v>4.96</v>
      </c>
      <c r="F26" s="64">
        <v>6.34</v>
      </c>
      <c r="G26" s="64">
        <v>52.42</v>
      </c>
      <c r="H26" s="64">
        <v>6.28</v>
      </c>
      <c r="I26" s="64">
        <v>1.81</v>
      </c>
      <c r="J26" s="64">
        <v>0.43</v>
      </c>
      <c r="K26" s="64">
        <v>127.83</v>
      </c>
      <c r="L26" s="64">
        <v>23.85</v>
      </c>
      <c r="M26" s="64">
        <v>97.65</v>
      </c>
      <c r="N26" s="64">
        <v>30.6</v>
      </c>
      <c r="O26" s="64">
        <v>0</v>
      </c>
      <c r="P26" s="64">
        <v>0.39</v>
      </c>
      <c r="Q26" s="64">
        <v>9.41</v>
      </c>
      <c r="R26" s="198"/>
      <c r="S26" s="198"/>
      <c r="T26" s="198"/>
      <c r="U26" s="198"/>
    </row>
    <row r="27" spans="1:21" s="12" customFormat="1" x14ac:dyDescent="0.25">
      <c r="A27" s="214" t="s">
        <v>1414</v>
      </c>
      <c r="B27" s="64">
        <v>5.84</v>
      </c>
      <c r="C27" s="64">
        <v>7.98</v>
      </c>
      <c r="D27" s="64">
        <v>8.85</v>
      </c>
      <c r="E27" s="64">
        <v>4.66</v>
      </c>
      <c r="F27" s="64">
        <v>8.41</v>
      </c>
      <c r="G27" s="64">
        <v>52.42</v>
      </c>
      <c r="H27" s="64">
        <v>6.28</v>
      </c>
      <c r="I27" s="64">
        <v>1.78</v>
      </c>
      <c r="J27" s="64">
        <v>0.4</v>
      </c>
      <c r="K27" s="64">
        <v>114.94</v>
      </c>
      <c r="L27" s="64">
        <v>23.86</v>
      </c>
      <c r="M27" s="64">
        <v>97.65</v>
      </c>
      <c r="N27" s="64">
        <v>30.6</v>
      </c>
      <c r="O27" s="64">
        <v>0</v>
      </c>
      <c r="P27" s="64">
        <v>0.26</v>
      </c>
      <c r="Q27" s="64">
        <v>9.41</v>
      </c>
      <c r="R27" s="198"/>
      <c r="S27" s="198"/>
      <c r="T27" s="198"/>
      <c r="U27" s="198"/>
    </row>
    <row r="28" spans="1:21" s="12" customFormat="1" x14ac:dyDescent="0.25">
      <c r="A28" s="214" t="s">
        <v>1415</v>
      </c>
      <c r="B28" s="64">
        <v>6.67</v>
      </c>
      <c r="C28" s="64">
        <v>7.85</v>
      </c>
      <c r="D28" s="64">
        <v>9.4499999999999993</v>
      </c>
      <c r="E28" s="64">
        <v>4.4400000000000004</v>
      </c>
      <c r="F28" s="64">
        <v>4.54</v>
      </c>
      <c r="G28" s="64">
        <v>42.99</v>
      </c>
      <c r="H28" s="64">
        <v>6.28</v>
      </c>
      <c r="I28" s="64">
        <v>1.75</v>
      </c>
      <c r="J28" s="64">
        <v>0.41</v>
      </c>
      <c r="K28" s="64">
        <v>129.18</v>
      </c>
      <c r="L28" s="64">
        <v>23.83</v>
      </c>
      <c r="M28" s="64">
        <v>97.65</v>
      </c>
      <c r="N28" s="64">
        <v>30.8</v>
      </c>
      <c r="O28" s="64">
        <v>0</v>
      </c>
      <c r="P28" s="64">
        <v>0.38</v>
      </c>
      <c r="Q28" s="64">
        <v>9.39</v>
      </c>
      <c r="R28" s="198"/>
      <c r="S28" s="198"/>
      <c r="T28" s="198"/>
      <c r="U28" s="198"/>
    </row>
    <row r="29" spans="1:21" s="12" customFormat="1" x14ac:dyDescent="0.25">
      <c r="A29" s="214" t="s">
        <v>1416</v>
      </c>
      <c r="B29" s="64">
        <v>10.4</v>
      </c>
      <c r="C29" s="64">
        <v>10.130000000000001</v>
      </c>
      <c r="D29" s="64">
        <v>13.63</v>
      </c>
      <c r="E29" s="64">
        <v>4.47</v>
      </c>
      <c r="F29" s="64">
        <v>6.1</v>
      </c>
      <c r="G29" s="64">
        <v>35.44</v>
      </c>
      <c r="H29" s="64">
        <v>6.28</v>
      </c>
      <c r="I29" s="64">
        <v>1.71</v>
      </c>
      <c r="J29" s="64">
        <v>0.09</v>
      </c>
      <c r="K29" s="64">
        <v>305.77999999999997</v>
      </c>
      <c r="L29" s="64">
        <v>23.72</v>
      </c>
      <c r="M29" s="64">
        <v>97.7</v>
      </c>
      <c r="N29" s="64">
        <v>30.7</v>
      </c>
      <c r="O29" s="64">
        <v>0</v>
      </c>
      <c r="P29" s="64">
        <v>0.35</v>
      </c>
      <c r="Q29" s="64">
        <v>9.39</v>
      </c>
      <c r="R29" s="198"/>
      <c r="S29" s="198"/>
      <c r="T29" s="198"/>
      <c r="U29" s="198"/>
    </row>
    <row r="30" spans="1:21" s="12" customFormat="1" x14ac:dyDescent="0.25">
      <c r="A30" s="214" t="s">
        <v>1417</v>
      </c>
      <c r="B30" s="64">
        <v>11.36</v>
      </c>
      <c r="C30" s="64">
        <v>8.18</v>
      </c>
      <c r="D30" s="64">
        <v>13.39</v>
      </c>
      <c r="E30" s="64">
        <v>4.82</v>
      </c>
      <c r="F30" s="64">
        <v>4.07</v>
      </c>
      <c r="G30" s="64">
        <v>35.44</v>
      </c>
      <c r="H30" s="64">
        <v>6.28</v>
      </c>
      <c r="I30" s="64">
        <v>1.79</v>
      </c>
      <c r="J30" s="64">
        <v>0.35</v>
      </c>
      <c r="K30" s="64">
        <v>341.22</v>
      </c>
      <c r="L30" s="64">
        <v>23.77</v>
      </c>
      <c r="M30" s="64">
        <v>97.71</v>
      </c>
      <c r="N30" s="64">
        <v>30.7</v>
      </c>
      <c r="O30" s="64">
        <v>0</v>
      </c>
      <c r="P30" s="64">
        <v>0.45</v>
      </c>
      <c r="Q30" s="64">
        <v>9.39</v>
      </c>
      <c r="R30" s="198"/>
      <c r="S30" s="198"/>
      <c r="T30" s="198"/>
      <c r="U30" s="198"/>
    </row>
    <row r="31" spans="1:21" s="12" customFormat="1" x14ac:dyDescent="0.25">
      <c r="A31" s="214" t="s">
        <v>1418</v>
      </c>
      <c r="B31" s="64">
        <v>15.85</v>
      </c>
      <c r="C31" s="64">
        <v>10.65</v>
      </c>
      <c r="D31" s="64">
        <v>18.27</v>
      </c>
      <c r="E31" s="64">
        <v>4.74</v>
      </c>
      <c r="F31" s="64">
        <v>4.5999999999999996</v>
      </c>
      <c r="G31" s="64">
        <v>35.44</v>
      </c>
      <c r="H31" s="64">
        <v>6.28</v>
      </c>
      <c r="I31" s="64">
        <v>1.74</v>
      </c>
      <c r="J31" s="64">
        <v>0.01</v>
      </c>
      <c r="K31" s="64">
        <v>215.64</v>
      </c>
      <c r="L31" s="64">
        <v>23.66</v>
      </c>
      <c r="M31" s="64">
        <v>97.73</v>
      </c>
      <c r="N31" s="64">
        <v>31.8</v>
      </c>
      <c r="O31" s="64">
        <v>0</v>
      </c>
      <c r="P31" s="64">
        <v>0.48</v>
      </c>
      <c r="Q31" s="64">
        <v>9.39</v>
      </c>
      <c r="R31" s="198"/>
      <c r="S31" s="198"/>
      <c r="T31" s="198"/>
      <c r="U31" s="198"/>
    </row>
    <row r="32" spans="1:21" s="12" customFormat="1" x14ac:dyDescent="0.25">
      <c r="A32" s="214" t="s">
        <v>1419</v>
      </c>
      <c r="B32" s="64">
        <v>11.64</v>
      </c>
      <c r="C32" s="64">
        <v>9.17</v>
      </c>
      <c r="D32" s="64">
        <v>14.12</v>
      </c>
      <c r="E32" s="64">
        <v>4.3899999999999997</v>
      </c>
      <c r="F32" s="64">
        <v>5.23</v>
      </c>
      <c r="G32" s="64">
        <v>38.83</v>
      </c>
      <c r="H32" s="64">
        <v>6.33</v>
      </c>
      <c r="I32" s="64">
        <v>1.75</v>
      </c>
      <c r="J32" s="64">
        <v>0</v>
      </c>
      <c r="K32" s="64">
        <v>304.67</v>
      </c>
      <c r="L32" s="64">
        <v>23.6</v>
      </c>
      <c r="M32" s="64">
        <v>97.73</v>
      </c>
      <c r="N32" s="64">
        <v>38.299999999999997</v>
      </c>
      <c r="O32" s="64">
        <v>0</v>
      </c>
      <c r="P32" s="64">
        <v>0.43</v>
      </c>
      <c r="Q32" s="64">
        <v>9.4</v>
      </c>
      <c r="R32" s="198"/>
      <c r="S32" s="198"/>
      <c r="T32" s="198"/>
      <c r="U32" s="198"/>
    </row>
    <row r="33" spans="1:21" s="12" customFormat="1" x14ac:dyDescent="0.25">
      <c r="A33" s="214" t="s">
        <v>1420</v>
      </c>
      <c r="B33" s="64">
        <v>10.27</v>
      </c>
      <c r="C33" s="64">
        <v>8.34</v>
      </c>
      <c r="D33" s="64">
        <v>12.6</v>
      </c>
      <c r="E33" s="64">
        <v>4.62</v>
      </c>
      <c r="F33" s="64">
        <v>5.3</v>
      </c>
      <c r="G33" s="64">
        <v>41.55</v>
      </c>
      <c r="H33" s="64">
        <v>6.35</v>
      </c>
      <c r="I33" s="64">
        <v>1.72</v>
      </c>
      <c r="J33" s="64">
        <v>0.02</v>
      </c>
      <c r="K33" s="64">
        <v>249.58</v>
      </c>
      <c r="L33" s="64">
        <v>23.68</v>
      </c>
      <c r="M33" s="64">
        <v>97.73</v>
      </c>
      <c r="N33" s="64">
        <v>49.6</v>
      </c>
      <c r="O33" s="64">
        <v>0</v>
      </c>
      <c r="P33" s="64">
        <v>0.43</v>
      </c>
      <c r="Q33" s="64">
        <v>9.41</v>
      </c>
      <c r="R33" s="198"/>
      <c r="S33" s="198"/>
      <c r="T33" s="198"/>
      <c r="U33" s="198"/>
    </row>
    <row r="34" spans="1:21" s="12" customFormat="1" x14ac:dyDescent="0.25">
      <c r="A34" s="214" t="s">
        <v>1421</v>
      </c>
      <c r="B34" s="64">
        <v>12.59</v>
      </c>
      <c r="C34" s="64">
        <v>9.24</v>
      </c>
      <c r="D34" s="64">
        <v>14.92</v>
      </c>
      <c r="E34" s="64">
        <v>4.49</v>
      </c>
      <c r="F34" s="64">
        <v>7.62</v>
      </c>
      <c r="G34" s="64">
        <v>41.55</v>
      </c>
      <c r="H34" s="64">
        <v>6.35</v>
      </c>
      <c r="I34" s="64">
        <v>1.73</v>
      </c>
      <c r="J34" s="64">
        <v>0.18</v>
      </c>
      <c r="K34" s="64">
        <v>334</v>
      </c>
      <c r="L34" s="64">
        <v>23.89</v>
      </c>
      <c r="M34" s="64">
        <v>97.73</v>
      </c>
      <c r="N34" s="64">
        <v>61.9</v>
      </c>
      <c r="O34" s="64">
        <v>0</v>
      </c>
      <c r="P34" s="64">
        <v>0.47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4" t="s">
        <v>1422</v>
      </c>
      <c r="B35" s="64">
        <v>19.98</v>
      </c>
      <c r="C35" s="64">
        <v>6.81</v>
      </c>
      <c r="D35" s="64">
        <v>19.559999999999999</v>
      </c>
      <c r="E35" s="64">
        <v>4.6500000000000004</v>
      </c>
      <c r="F35" s="64">
        <v>7.11</v>
      </c>
      <c r="G35" s="64">
        <v>41.55</v>
      </c>
      <c r="H35" s="64">
        <v>6.35</v>
      </c>
      <c r="I35" s="64">
        <v>1.69</v>
      </c>
      <c r="J35" s="64">
        <v>0.6</v>
      </c>
      <c r="K35" s="64">
        <v>339.64</v>
      </c>
      <c r="L35" s="64">
        <v>24.15</v>
      </c>
      <c r="M35" s="64">
        <v>97.75</v>
      </c>
      <c r="N35" s="64">
        <v>68.099999999999994</v>
      </c>
      <c r="O35" s="64">
        <v>0</v>
      </c>
      <c r="P35" s="64">
        <v>0.51</v>
      </c>
      <c r="Q35" s="64">
        <v>9.4499999999999993</v>
      </c>
      <c r="R35" s="198"/>
      <c r="S35" s="198"/>
      <c r="T35" s="198"/>
      <c r="U35" s="198"/>
    </row>
    <row r="36" spans="1:21" s="12" customFormat="1" x14ac:dyDescent="0.25">
      <c r="A36" s="214" t="s">
        <v>1423</v>
      </c>
      <c r="B36" s="64">
        <v>18.03</v>
      </c>
      <c r="C36" s="64">
        <v>6.21</v>
      </c>
      <c r="D36" s="64">
        <v>17.57</v>
      </c>
      <c r="E36" s="64">
        <v>4.2699999999999996</v>
      </c>
      <c r="F36" s="64">
        <v>7.78</v>
      </c>
      <c r="G36" s="64">
        <v>43.83</v>
      </c>
      <c r="H36" s="64">
        <v>6.33</v>
      </c>
      <c r="I36" s="64">
        <v>1.7</v>
      </c>
      <c r="J36" s="64">
        <v>0.76</v>
      </c>
      <c r="K36" s="64">
        <v>341.44</v>
      </c>
      <c r="L36" s="64">
        <v>24.34</v>
      </c>
      <c r="M36" s="64">
        <v>97.75</v>
      </c>
      <c r="N36" s="64">
        <v>62.6</v>
      </c>
      <c r="O36" s="64">
        <v>0</v>
      </c>
      <c r="P36" s="64">
        <v>0.48</v>
      </c>
      <c r="Q36" s="64">
        <v>9.4600000000000009</v>
      </c>
      <c r="R36" s="198"/>
      <c r="S36" s="198"/>
      <c r="T36" s="198"/>
      <c r="U36" s="198"/>
    </row>
    <row r="37" spans="1:21" s="12" customFormat="1" x14ac:dyDescent="0.25">
      <c r="A37" s="214" t="s">
        <v>1424</v>
      </c>
      <c r="B37" s="64">
        <v>24.15</v>
      </c>
      <c r="C37" s="64">
        <v>9.85</v>
      </c>
      <c r="D37" s="64">
        <v>24.31</v>
      </c>
      <c r="E37" s="64">
        <v>4.6500000000000004</v>
      </c>
      <c r="F37" s="64">
        <v>7.5</v>
      </c>
      <c r="G37" s="64">
        <v>45.66</v>
      </c>
      <c r="H37" s="64">
        <v>6.32</v>
      </c>
      <c r="I37" s="64">
        <v>1.66</v>
      </c>
      <c r="J37" s="64">
        <v>0.39</v>
      </c>
      <c r="K37" s="64">
        <v>335.23</v>
      </c>
      <c r="L37" s="64">
        <v>24.36</v>
      </c>
      <c r="M37" s="64">
        <v>97.73</v>
      </c>
      <c r="N37" s="64">
        <v>63.3</v>
      </c>
      <c r="O37" s="64">
        <v>0.2</v>
      </c>
      <c r="P37" s="64">
        <v>0.43</v>
      </c>
      <c r="Q37" s="64">
        <v>9.48</v>
      </c>
      <c r="R37" s="198"/>
      <c r="S37" s="198"/>
      <c r="T37" s="198"/>
      <c r="U37" s="198"/>
    </row>
    <row r="38" spans="1:21" s="12" customFormat="1" x14ac:dyDescent="0.25">
      <c r="A38" s="214" t="s">
        <v>1425</v>
      </c>
      <c r="B38" s="64">
        <v>15.76</v>
      </c>
      <c r="C38" s="64">
        <v>9.08</v>
      </c>
      <c r="D38" s="64">
        <v>17.38</v>
      </c>
      <c r="E38" s="64">
        <v>4.5199999999999996</v>
      </c>
      <c r="F38" s="64">
        <v>7.7</v>
      </c>
      <c r="G38" s="64">
        <v>45.66</v>
      </c>
      <c r="H38" s="64">
        <v>6.32</v>
      </c>
      <c r="I38" s="64">
        <v>1.59</v>
      </c>
      <c r="J38" s="64">
        <v>0.09</v>
      </c>
      <c r="K38" s="64">
        <v>326.75</v>
      </c>
      <c r="L38" s="64">
        <v>24.48</v>
      </c>
      <c r="M38" s="64">
        <v>97.71</v>
      </c>
      <c r="N38" s="64">
        <v>85</v>
      </c>
      <c r="O38" s="64">
        <v>0</v>
      </c>
      <c r="P38" s="64">
        <v>0.46</v>
      </c>
      <c r="Q38" s="64">
        <v>9.51</v>
      </c>
      <c r="R38" s="198"/>
      <c r="S38" s="198"/>
      <c r="T38" s="198"/>
      <c r="U38" s="198"/>
    </row>
    <row r="39" spans="1:21" s="12" customFormat="1" x14ac:dyDescent="0.25">
      <c r="A39" s="214" t="s">
        <v>1426</v>
      </c>
      <c r="B39" s="64">
        <v>14.09</v>
      </c>
      <c r="C39" s="64">
        <v>8.41</v>
      </c>
      <c r="D39" s="64">
        <v>15.69</v>
      </c>
      <c r="E39" s="64">
        <v>4.71</v>
      </c>
      <c r="F39" s="64">
        <v>7.96</v>
      </c>
      <c r="G39" s="64">
        <v>45.66</v>
      </c>
      <c r="H39" s="64">
        <v>6.32</v>
      </c>
      <c r="I39" s="64">
        <v>1.58</v>
      </c>
      <c r="J39" s="64">
        <v>0.03</v>
      </c>
      <c r="K39" s="64">
        <v>70</v>
      </c>
      <c r="L39" s="64">
        <v>24.72</v>
      </c>
      <c r="M39" s="64">
        <v>97.67</v>
      </c>
      <c r="N39" s="64">
        <v>122</v>
      </c>
      <c r="O39" s="64">
        <v>0</v>
      </c>
      <c r="P39" s="64">
        <v>0.5</v>
      </c>
      <c r="Q39" s="64">
        <v>9.5299999999999994</v>
      </c>
      <c r="R39" s="198"/>
      <c r="S39" s="198"/>
      <c r="T39" s="198"/>
      <c r="U39" s="198"/>
    </row>
    <row r="40" spans="1:21" s="12" customFormat="1" x14ac:dyDescent="0.25">
      <c r="A40" s="214" t="s">
        <v>1427</v>
      </c>
      <c r="B40" s="64">
        <v>23.1</v>
      </c>
      <c r="C40" s="64">
        <v>10.35</v>
      </c>
      <c r="D40" s="64">
        <v>23.93</v>
      </c>
      <c r="E40" s="64">
        <v>4.55</v>
      </c>
      <c r="F40" s="64">
        <v>5.84</v>
      </c>
      <c r="G40" s="64">
        <v>45.19</v>
      </c>
      <c r="H40" s="64">
        <v>6.31</v>
      </c>
      <c r="I40" s="64">
        <v>1.68</v>
      </c>
      <c r="J40" s="64">
        <v>7.0000000000000007E-2</v>
      </c>
      <c r="K40" s="64">
        <v>4.1100000000000003</v>
      </c>
      <c r="L40" s="64">
        <v>25.2</v>
      </c>
      <c r="M40" s="64">
        <v>97.65</v>
      </c>
      <c r="N40" s="64">
        <v>205.8</v>
      </c>
      <c r="O40" s="64">
        <v>0</v>
      </c>
      <c r="P40" s="64">
        <v>0.53</v>
      </c>
      <c r="Q40" s="64">
        <v>9.5399999999999991</v>
      </c>
      <c r="R40" s="198"/>
      <c r="S40" s="198"/>
      <c r="T40" s="198"/>
      <c r="U40" s="198"/>
    </row>
    <row r="41" spans="1:21" s="12" customFormat="1" x14ac:dyDescent="0.25">
      <c r="A41" s="214" t="s">
        <v>1428</v>
      </c>
      <c r="B41" s="64">
        <v>18.07</v>
      </c>
      <c r="C41" s="64">
        <v>7.98</v>
      </c>
      <c r="D41" s="64">
        <v>18.66</v>
      </c>
      <c r="E41" s="64">
        <v>4.18</v>
      </c>
      <c r="F41" s="64">
        <v>7.54</v>
      </c>
      <c r="G41" s="64">
        <v>44.81</v>
      </c>
      <c r="H41" s="64">
        <v>6.3</v>
      </c>
      <c r="I41" s="64">
        <v>1.75</v>
      </c>
      <c r="J41" s="64">
        <v>0.12</v>
      </c>
      <c r="K41" s="64">
        <v>131.82</v>
      </c>
      <c r="L41" s="64">
        <v>26.35</v>
      </c>
      <c r="M41" s="64">
        <v>97.57</v>
      </c>
      <c r="N41" s="64">
        <v>294.8</v>
      </c>
      <c r="O41" s="64">
        <v>0</v>
      </c>
      <c r="P41" s="64">
        <v>0.54</v>
      </c>
      <c r="Q41" s="64">
        <v>9.5500000000000007</v>
      </c>
      <c r="R41" s="198"/>
      <c r="S41" s="198"/>
      <c r="T41" s="198"/>
      <c r="U41" s="198"/>
    </row>
    <row r="42" spans="1:21" s="12" customFormat="1" x14ac:dyDescent="0.25">
      <c r="A42" s="214" t="s">
        <v>1429</v>
      </c>
      <c r="B42" s="64">
        <v>12.06</v>
      </c>
      <c r="C42" s="64">
        <v>7</v>
      </c>
      <c r="D42" s="64">
        <v>13.33</v>
      </c>
      <c r="E42" s="64">
        <v>4.26</v>
      </c>
      <c r="F42" s="64">
        <v>8.76</v>
      </c>
      <c r="G42" s="64">
        <v>44.81</v>
      </c>
      <c r="H42" s="64">
        <v>6.3</v>
      </c>
      <c r="I42" s="64">
        <v>1.75</v>
      </c>
      <c r="J42" s="64">
        <v>0.53</v>
      </c>
      <c r="K42" s="64">
        <v>128.11000000000001</v>
      </c>
      <c r="L42" s="64">
        <v>26.78</v>
      </c>
      <c r="M42" s="64">
        <v>97.51</v>
      </c>
      <c r="N42" s="64">
        <v>336.4</v>
      </c>
      <c r="O42" s="64">
        <v>0</v>
      </c>
      <c r="P42" s="64">
        <v>0.42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14" t="s">
        <v>1430</v>
      </c>
      <c r="B43" s="64">
        <v>12.15</v>
      </c>
      <c r="C43" s="64">
        <v>9.17</v>
      </c>
      <c r="D43" s="64">
        <v>14.54</v>
      </c>
      <c r="E43" s="64">
        <v>4.3899999999999997</v>
      </c>
      <c r="F43" s="64">
        <v>8.58</v>
      </c>
      <c r="G43" s="64">
        <v>44.81</v>
      </c>
      <c r="H43" s="64">
        <v>6.3</v>
      </c>
      <c r="I43" s="64">
        <v>1.64</v>
      </c>
      <c r="J43" s="64">
        <v>0.81</v>
      </c>
      <c r="K43" s="64">
        <v>127.64</v>
      </c>
      <c r="L43" s="64">
        <v>26.92</v>
      </c>
      <c r="M43" s="64">
        <v>97.51</v>
      </c>
      <c r="N43" s="64">
        <v>466</v>
      </c>
      <c r="O43" s="64">
        <v>0</v>
      </c>
      <c r="P43" s="64">
        <v>0.4</v>
      </c>
      <c r="Q43" s="64">
        <v>9.5399999999999991</v>
      </c>
      <c r="R43" s="198"/>
      <c r="S43" s="198"/>
      <c r="T43" s="198"/>
      <c r="U43" s="198"/>
    </row>
    <row r="44" spans="1:21" s="12" customFormat="1" x14ac:dyDescent="0.25">
      <c r="A44" s="214" t="s">
        <v>1431</v>
      </c>
      <c r="B44" s="64">
        <v>10.46</v>
      </c>
      <c r="C44" s="64">
        <v>7.99</v>
      </c>
      <c r="D44" s="64">
        <v>12.56</v>
      </c>
      <c r="E44" s="64">
        <v>4.01</v>
      </c>
      <c r="F44" s="64">
        <v>10.72</v>
      </c>
      <c r="G44" s="64">
        <v>46.38</v>
      </c>
      <c r="H44" s="64">
        <v>6.3</v>
      </c>
      <c r="I44" s="64">
        <v>1.55</v>
      </c>
      <c r="J44" s="64">
        <v>0.73</v>
      </c>
      <c r="K44" s="64">
        <v>129.35</v>
      </c>
      <c r="L44" s="64">
        <v>27.39</v>
      </c>
      <c r="M44" s="64">
        <v>97.19</v>
      </c>
      <c r="N44" s="64">
        <v>523.1</v>
      </c>
      <c r="O44" s="64">
        <v>0</v>
      </c>
      <c r="P44" s="64">
        <v>0.36</v>
      </c>
      <c r="Q44" s="64">
        <v>9.5399999999999991</v>
      </c>
      <c r="R44" s="198"/>
      <c r="S44" s="198"/>
      <c r="T44" s="198"/>
      <c r="U44" s="198"/>
    </row>
    <row r="45" spans="1:21" s="12" customFormat="1" x14ac:dyDescent="0.25">
      <c r="A45" s="214" t="s">
        <v>1432</v>
      </c>
      <c r="B45" s="64">
        <v>10.34</v>
      </c>
      <c r="C45" s="64">
        <v>7.03</v>
      </c>
      <c r="D45" s="64">
        <v>11.96</v>
      </c>
      <c r="E45" s="64">
        <v>4.45</v>
      </c>
      <c r="F45" s="64">
        <v>9.2799999999999994</v>
      </c>
      <c r="G45" s="64">
        <v>47.63</v>
      </c>
      <c r="H45" s="64">
        <v>6.29</v>
      </c>
      <c r="I45" s="64">
        <v>1.53</v>
      </c>
      <c r="J45" s="64">
        <v>0.54</v>
      </c>
      <c r="K45" s="64">
        <v>124.89</v>
      </c>
      <c r="L45" s="64">
        <v>27.66</v>
      </c>
      <c r="M45" s="64">
        <v>96.81</v>
      </c>
      <c r="N45" s="64">
        <v>464.5</v>
      </c>
      <c r="O45" s="64">
        <v>0</v>
      </c>
      <c r="P45" s="64">
        <v>0.36</v>
      </c>
      <c r="Q45" s="64">
        <v>9.52</v>
      </c>
      <c r="R45" s="198"/>
      <c r="S45" s="198"/>
      <c r="T45" s="198"/>
      <c r="U45" s="198"/>
    </row>
    <row r="46" spans="1:21" s="12" customFormat="1" x14ac:dyDescent="0.25">
      <c r="A46" s="214" t="s">
        <v>1433</v>
      </c>
      <c r="B46" s="64">
        <v>10.08</v>
      </c>
      <c r="C46" s="64">
        <v>6.11</v>
      </c>
      <c r="D46" s="64">
        <v>11.28</v>
      </c>
      <c r="E46" s="64">
        <v>4.5</v>
      </c>
      <c r="F46" s="64">
        <v>10.53</v>
      </c>
      <c r="G46" s="64">
        <v>47.63</v>
      </c>
      <c r="H46" s="64">
        <v>6.29</v>
      </c>
      <c r="I46" s="64">
        <v>1.52</v>
      </c>
      <c r="J46" s="64">
        <v>1.1399999999999999</v>
      </c>
      <c r="K46" s="64">
        <v>130.11000000000001</v>
      </c>
      <c r="L46" s="64">
        <v>27.9</v>
      </c>
      <c r="M46" s="64">
        <v>95.01</v>
      </c>
      <c r="N46" s="64">
        <v>670.5</v>
      </c>
      <c r="O46" s="64">
        <v>0</v>
      </c>
      <c r="P46" s="64">
        <v>0.35</v>
      </c>
      <c r="Q46" s="64">
        <v>9.52</v>
      </c>
      <c r="R46" s="198"/>
      <c r="S46" s="198"/>
      <c r="T46" s="198"/>
      <c r="U46" s="198"/>
    </row>
    <row r="47" spans="1:21" s="12" customFormat="1" x14ac:dyDescent="0.25">
      <c r="A47" s="214" t="s">
        <v>1434</v>
      </c>
      <c r="B47" s="64">
        <v>9.01</v>
      </c>
      <c r="C47" s="64">
        <v>7.21</v>
      </c>
      <c r="D47" s="64">
        <v>11</v>
      </c>
      <c r="E47" s="64">
        <v>4.5</v>
      </c>
      <c r="F47" s="64">
        <v>11.02</v>
      </c>
      <c r="G47" s="64">
        <v>47.63</v>
      </c>
      <c r="H47" s="64">
        <v>6.29</v>
      </c>
      <c r="I47" s="64">
        <v>1.59</v>
      </c>
      <c r="J47" s="64">
        <v>0.75</v>
      </c>
      <c r="K47" s="64">
        <v>127.03</v>
      </c>
      <c r="L47" s="64">
        <v>28.74</v>
      </c>
      <c r="M47" s="64">
        <v>91.53</v>
      </c>
      <c r="N47" s="64">
        <v>746.7</v>
      </c>
      <c r="O47" s="64">
        <v>0</v>
      </c>
      <c r="P47" s="64">
        <v>0.33</v>
      </c>
      <c r="Q47" s="64">
        <v>9.5</v>
      </c>
      <c r="R47" s="198"/>
      <c r="S47" s="198"/>
      <c r="T47" s="198"/>
      <c r="U47" s="198"/>
    </row>
    <row r="48" spans="1:21" s="12" customFormat="1" x14ac:dyDescent="0.25">
      <c r="A48" s="214" t="s">
        <v>1435</v>
      </c>
      <c r="B48" s="64">
        <v>11.95</v>
      </c>
      <c r="C48" s="64">
        <v>8.64</v>
      </c>
      <c r="D48" s="64">
        <v>14.1</v>
      </c>
      <c r="E48" s="64">
        <v>4.1900000000000004</v>
      </c>
      <c r="F48" s="64">
        <v>10.56</v>
      </c>
      <c r="G48" s="64">
        <v>44.11</v>
      </c>
      <c r="H48" s="64">
        <v>8.8000000000000007</v>
      </c>
      <c r="I48" s="64">
        <v>1.64</v>
      </c>
      <c r="J48" s="64">
        <v>0.45</v>
      </c>
      <c r="K48" s="64">
        <v>124.05</v>
      </c>
      <c r="L48" s="64">
        <v>29.08</v>
      </c>
      <c r="M48" s="64">
        <v>90.75</v>
      </c>
      <c r="N48" s="64">
        <v>752.7</v>
      </c>
      <c r="O48" s="64">
        <v>0</v>
      </c>
      <c r="P48" s="64">
        <v>0.4</v>
      </c>
      <c r="Q48" s="64">
        <v>9.4600000000000009</v>
      </c>
      <c r="R48" s="198"/>
      <c r="S48" s="198"/>
      <c r="T48" s="198"/>
      <c r="U48" s="198"/>
    </row>
    <row r="49" spans="1:21" s="12" customFormat="1" x14ac:dyDescent="0.25">
      <c r="A49" s="214" t="s">
        <v>1436</v>
      </c>
      <c r="B49" s="64">
        <v>9.76</v>
      </c>
      <c r="C49" s="64">
        <v>10.24</v>
      </c>
      <c r="D49" s="64">
        <v>13.18</v>
      </c>
      <c r="E49" s="64">
        <v>4.51</v>
      </c>
      <c r="F49" s="64">
        <v>11.17</v>
      </c>
      <c r="G49" s="64">
        <v>41.3</v>
      </c>
      <c r="H49" s="64">
        <v>9.64</v>
      </c>
      <c r="I49" s="64">
        <v>1.62</v>
      </c>
      <c r="J49" s="64">
        <v>0.71</v>
      </c>
      <c r="K49" s="64">
        <v>127.38</v>
      </c>
      <c r="L49" s="64">
        <v>29.72</v>
      </c>
      <c r="M49" s="64">
        <v>85.68</v>
      </c>
      <c r="N49" s="64">
        <v>700.3</v>
      </c>
      <c r="O49" s="64">
        <v>0</v>
      </c>
      <c r="P49" s="64">
        <v>0.43</v>
      </c>
      <c r="Q49" s="64">
        <v>9.4600000000000009</v>
      </c>
      <c r="R49" s="198"/>
      <c r="S49" s="198"/>
      <c r="T49" s="198"/>
      <c r="U49" s="198"/>
    </row>
    <row r="50" spans="1:21" s="12" customFormat="1" x14ac:dyDescent="0.25">
      <c r="A50" s="214" t="s">
        <v>1437</v>
      </c>
      <c r="B50" s="64">
        <v>8.83</v>
      </c>
      <c r="C50" s="64">
        <v>6.57</v>
      </c>
      <c r="D50" s="64">
        <v>10.51</v>
      </c>
      <c r="E50" s="64">
        <v>4.74</v>
      </c>
      <c r="F50" s="64">
        <v>13.65</v>
      </c>
      <c r="G50" s="64">
        <v>41.3</v>
      </c>
      <c r="H50" s="64">
        <v>9.64</v>
      </c>
      <c r="I50" s="64">
        <v>1.59</v>
      </c>
      <c r="J50" s="64">
        <v>1.07</v>
      </c>
      <c r="K50" s="64">
        <v>128.78</v>
      </c>
      <c r="L50" s="64">
        <v>28.95</v>
      </c>
      <c r="M50" s="64">
        <v>87.78</v>
      </c>
      <c r="N50" s="64">
        <v>766.2</v>
      </c>
      <c r="O50" s="64">
        <v>0</v>
      </c>
      <c r="P50" s="64">
        <v>0.31</v>
      </c>
      <c r="Q50" s="64">
        <v>9.4499999999999993</v>
      </c>
      <c r="R50" s="198"/>
      <c r="S50" s="198"/>
      <c r="T50" s="198"/>
      <c r="U50" s="198"/>
    </row>
    <row r="51" spans="1:21" s="12" customFormat="1" x14ac:dyDescent="0.25">
      <c r="A51" s="214" t="s">
        <v>1438</v>
      </c>
      <c r="B51" s="64">
        <v>7.8</v>
      </c>
      <c r="C51" s="64">
        <v>6.05</v>
      </c>
      <c r="D51" s="64">
        <v>9.41</v>
      </c>
      <c r="E51" s="64">
        <v>4.32</v>
      </c>
      <c r="F51" s="64">
        <v>12.54</v>
      </c>
      <c r="G51" s="64">
        <v>41.3</v>
      </c>
      <c r="H51" s="64">
        <v>9.64</v>
      </c>
      <c r="I51" s="64">
        <v>1.57</v>
      </c>
      <c r="J51" s="64">
        <v>0.87</v>
      </c>
      <c r="K51" s="64">
        <v>130.79</v>
      </c>
      <c r="L51" s="64">
        <v>29.35</v>
      </c>
      <c r="M51" s="64">
        <v>84.79</v>
      </c>
      <c r="N51" s="64">
        <v>854.2</v>
      </c>
      <c r="O51" s="64">
        <v>0</v>
      </c>
      <c r="P51" s="64">
        <v>0.27</v>
      </c>
      <c r="Q51" s="64">
        <v>9.43</v>
      </c>
      <c r="R51" s="198"/>
      <c r="S51" s="198"/>
      <c r="T51" s="198"/>
      <c r="U51" s="198"/>
    </row>
    <row r="52" spans="1:21" s="12" customFormat="1" x14ac:dyDescent="0.25">
      <c r="A52" s="214" t="s">
        <v>1439</v>
      </c>
      <c r="B52" s="64">
        <v>8.61</v>
      </c>
      <c r="C52" s="64">
        <v>7.84</v>
      </c>
      <c r="D52" s="64">
        <v>11</v>
      </c>
      <c r="E52" s="64">
        <v>4.57</v>
      </c>
      <c r="F52" s="64">
        <v>11.7</v>
      </c>
      <c r="G52" s="64">
        <v>39.520000000000003</v>
      </c>
      <c r="H52" s="64">
        <v>9.7899999999999991</v>
      </c>
      <c r="I52" s="64">
        <v>1.55</v>
      </c>
      <c r="J52" s="64">
        <v>0.75</v>
      </c>
      <c r="K52" s="64">
        <v>135.19</v>
      </c>
      <c r="L52" s="64">
        <v>29.91</v>
      </c>
      <c r="M52" s="64">
        <v>82.64</v>
      </c>
      <c r="N52" s="64">
        <v>880.6</v>
      </c>
      <c r="O52" s="64">
        <v>0</v>
      </c>
      <c r="P52" s="64">
        <v>0.34</v>
      </c>
      <c r="Q52" s="64">
        <v>9.41</v>
      </c>
      <c r="R52" s="198"/>
      <c r="S52" s="198"/>
      <c r="T52" s="198"/>
      <c r="U52" s="198"/>
    </row>
    <row r="53" spans="1:21" s="12" customFormat="1" x14ac:dyDescent="0.25">
      <c r="A53" s="214" t="s">
        <v>1440</v>
      </c>
      <c r="B53" s="64">
        <v>8.7200000000000006</v>
      </c>
      <c r="C53" s="64">
        <v>7.49</v>
      </c>
      <c r="D53" s="64">
        <v>10.9</v>
      </c>
      <c r="E53" s="64">
        <v>4.68</v>
      </c>
      <c r="F53" s="64">
        <v>12.12</v>
      </c>
      <c r="G53" s="64">
        <v>38.090000000000003</v>
      </c>
      <c r="H53" s="64">
        <v>9.85</v>
      </c>
      <c r="I53" s="64">
        <v>1.51</v>
      </c>
      <c r="J53" s="64">
        <v>1.26</v>
      </c>
      <c r="K53" s="64">
        <v>130.61000000000001</v>
      </c>
      <c r="L53" s="64">
        <v>29.58</v>
      </c>
      <c r="M53" s="64">
        <v>81.98</v>
      </c>
      <c r="N53" s="64">
        <v>944.3</v>
      </c>
      <c r="O53" s="64">
        <v>0</v>
      </c>
      <c r="P53" s="64">
        <v>0.32</v>
      </c>
      <c r="Q53" s="64">
        <v>9.41</v>
      </c>
      <c r="R53" s="198"/>
      <c r="S53" s="198"/>
      <c r="T53" s="198"/>
      <c r="U53" s="198"/>
    </row>
    <row r="54" spans="1:21" s="12" customFormat="1" x14ac:dyDescent="0.25">
      <c r="A54" s="214" t="s">
        <v>1441</v>
      </c>
      <c r="B54" s="64">
        <v>8</v>
      </c>
      <c r="C54" s="64">
        <v>6.42</v>
      </c>
      <c r="D54" s="64">
        <v>9.77</v>
      </c>
      <c r="E54" s="64">
        <v>4.83</v>
      </c>
      <c r="F54" s="64">
        <v>10.79</v>
      </c>
      <c r="G54" s="64">
        <v>38.090000000000003</v>
      </c>
      <c r="H54" s="64">
        <v>9.85</v>
      </c>
      <c r="I54" s="64">
        <v>1.49</v>
      </c>
      <c r="J54" s="64">
        <v>1.74</v>
      </c>
      <c r="K54" s="64">
        <v>127.03</v>
      </c>
      <c r="L54" s="64">
        <v>29.42</v>
      </c>
      <c r="M54" s="64">
        <v>82.92</v>
      </c>
      <c r="N54" s="64">
        <v>904.4</v>
      </c>
      <c r="O54" s="64">
        <v>0</v>
      </c>
      <c r="P54" s="64">
        <v>0.3</v>
      </c>
      <c r="Q54" s="64">
        <v>9.41</v>
      </c>
      <c r="R54" s="198"/>
      <c r="S54" s="198"/>
      <c r="T54" s="198"/>
      <c r="U54" s="198"/>
    </row>
    <row r="55" spans="1:21" s="12" customFormat="1" x14ac:dyDescent="0.25">
      <c r="A55" s="214" t="s">
        <v>1442</v>
      </c>
      <c r="B55" s="64">
        <v>7.59</v>
      </c>
      <c r="C55" s="64">
        <v>8.67</v>
      </c>
      <c r="D55" s="64">
        <v>10.62</v>
      </c>
      <c r="E55" s="64">
        <v>4.4000000000000004</v>
      </c>
      <c r="F55" s="64">
        <v>11.21</v>
      </c>
      <c r="G55" s="64">
        <v>38.090000000000003</v>
      </c>
      <c r="H55" s="64">
        <v>9.85</v>
      </c>
      <c r="I55" s="64">
        <v>1.47</v>
      </c>
      <c r="J55" s="64">
        <v>0.52</v>
      </c>
      <c r="K55" s="64">
        <v>124.39</v>
      </c>
      <c r="L55" s="64">
        <v>29.76</v>
      </c>
      <c r="M55" s="64">
        <v>83.6</v>
      </c>
      <c r="N55" s="64">
        <v>694.4</v>
      </c>
      <c r="O55" s="64">
        <v>0</v>
      </c>
      <c r="P55" s="64">
        <v>0.3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14" t="s">
        <v>1443</v>
      </c>
      <c r="B56" s="64">
        <v>9.68</v>
      </c>
      <c r="C56" s="64">
        <v>8.0500000000000007</v>
      </c>
      <c r="D56" s="64">
        <v>11.97</v>
      </c>
      <c r="E56" s="64">
        <v>4.79</v>
      </c>
      <c r="F56" s="64">
        <v>11.13</v>
      </c>
      <c r="G56" s="64">
        <v>39.17</v>
      </c>
      <c r="H56" s="64">
        <v>8.99</v>
      </c>
      <c r="I56" s="64">
        <v>1.44</v>
      </c>
      <c r="J56" s="64">
        <v>0.37</v>
      </c>
      <c r="K56" s="64">
        <v>135.56</v>
      </c>
      <c r="L56" s="64">
        <v>29.67</v>
      </c>
      <c r="M56" s="64">
        <v>83.27</v>
      </c>
      <c r="N56" s="64">
        <v>587.9</v>
      </c>
      <c r="O56" s="64">
        <v>0</v>
      </c>
      <c r="P56" s="64">
        <v>0.33</v>
      </c>
      <c r="Q56" s="64">
        <v>9.3699999999999992</v>
      </c>
      <c r="R56" s="198"/>
      <c r="S56" s="198"/>
      <c r="T56" s="198"/>
      <c r="U56" s="198"/>
    </row>
    <row r="57" spans="1:21" s="12" customFormat="1" x14ac:dyDescent="0.25">
      <c r="A57" s="214" t="s">
        <v>1444</v>
      </c>
      <c r="B57" s="64">
        <v>8.6</v>
      </c>
      <c r="C57" s="64">
        <v>8.8000000000000007</v>
      </c>
      <c r="D57" s="64">
        <v>11.5</v>
      </c>
      <c r="E57" s="64">
        <v>4.7</v>
      </c>
      <c r="F57" s="64">
        <v>11.67</v>
      </c>
      <c r="G57" s="64">
        <v>40.03</v>
      </c>
      <c r="H57" s="64">
        <v>8.6999999999999993</v>
      </c>
      <c r="I57" s="64">
        <v>1.42</v>
      </c>
      <c r="J57" s="64">
        <v>0.76</v>
      </c>
      <c r="K57" s="64">
        <v>129.15</v>
      </c>
      <c r="L57" s="64">
        <v>30.06</v>
      </c>
      <c r="M57" s="64">
        <v>79.8</v>
      </c>
      <c r="N57" s="64">
        <v>739.7</v>
      </c>
      <c r="O57" s="64">
        <v>0</v>
      </c>
      <c r="P57" s="64">
        <v>0.33</v>
      </c>
      <c r="Q57" s="64">
        <v>9.3699999999999992</v>
      </c>
      <c r="R57" s="198"/>
      <c r="S57" s="198"/>
      <c r="T57" s="198"/>
      <c r="U57" s="198"/>
    </row>
    <row r="58" spans="1:21" s="12" customFormat="1" x14ac:dyDescent="0.25">
      <c r="A58" s="214" t="s">
        <v>1445</v>
      </c>
      <c r="B58" s="64">
        <v>7.76</v>
      </c>
      <c r="C58" s="64">
        <v>7.31</v>
      </c>
      <c r="D58" s="64">
        <v>10.050000000000001</v>
      </c>
      <c r="E58" s="64">
        <v>4.3099999999999996</v>
      </c>
      <c r="F58" s="64">
        <v>12.18</v>
      </c>
      <c r="G58" s="64">
        <v>40.03</v>
      </c>
      <c r="H58" s="64">
        <v>8.6999999999999993</v>
      </c>
      <c r="I58" s="64">
        <v>1.41</v>
      </c>
      <c r="J58" s="64">
        <v>1.19</v>
      </c>
      <c r="K58" s="64">
        <v>127.36</v>
      </c>
      <c r="L58" s="64">
        <v>29.55</v>
      </c>
      <c r="M58" s="64">
        <v>81.760000000000005</v>
      </c>
      <c r="N58" s="64">
        <v>752.6</v>
      </c>
      <c r="O58" s="64">
        <v>0</v>
      </c>
      <c r="P58" s="64">
        <v>0.28000000000000003</v>
      </c>
      <c r="Q58" s="64">
        <v>9.3699999999999992</v>
      </c>
      <c r="R58" s="198"/>
      <c r="S58" s="198"/>
      <c r="T58" s="198"/>
      <c r="U58" s="198"/>
    </row>
    <row r="59" spans="1:21" s="12" customFormat="1" x14ac:dyDescent="0.25">
      <c r="A59" s="214" t="s">
        <v>1446</v>
      </c>
      <c r="B59" s="64">
        <v>7.72</v>
      </c>
      <c r="C59" s="64">
        <v>6.61</v>
      </c>
      <c r="D59" s="64">
        <v>9.64</v>
      </c>
      <c r="E59" s="64">
        <v>4.76</v>
      </c>
      <c r="F59" s="64">
        <v>9.1300000000000008</v>
      </c>
      <c r="G59" s="64">
        <v>40.03</v>
      </c>
      <c r="H59" s="64">
        <v>8.6999999999999993</v>
      </c>
      <c r="I59" s="64">
        <v>1.39</v>
      </c>
      <c r="J59" s="64">
        <v>1.06</v>
      </c>
      <c r="K59" s="64">
        <v>130.56</v>
      </c>
      <c r="L59" s="64">
        <v>29.7</v>
      </c>
      <c r="M59" s="64">
        <v>79.959999999999994</v>
      </c>
      <c r="N59" s="64">
        <v>598.9</v>
      </c>
      <c r="O59" s="64">
        <v>0</v>
      </c>
      <c r="P59" s="64">
        <v>0.3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4" t="s">
        <v>1447</v>
      </c>
      <c r="B60" s="64">
        <v>7.19</v>
      </c>
      <c r="C60" s="64">
        <v>6.62</v>
      </c>
      <c r="D60" s="64">
        <v>9.23</v>
      </c>
      <c r="E60" s="64">
        <v>4.63</v>
      </c>
      <c r="F60" s="64">
        <v>13.6</v>
      </c>
      <c r="G60" s="64">
        <v>38.29</v>
      </c>
      <c r="H60" s="64">
        <v>8.2799999999999994</v>
      </c>
      <c r="I60" s="64">
        <v>1.37</v>
      </c>
      <c r="J60" s="64">
        <v>1.0900000000000001</v>
      </c>
      <c r="K60" s="64">
        <v>120.83</v>
      </c>
      <c r="L60" s="64">
        <v>29.57</v>
      </c>
      <c r="M60" s="64">
        <v>76.91</v>
      </c>
      <c r="N60" s="64">
        <v>689.6</v>
      </c>
      <c r="O60" s="64">
        <v>0</v>
      </c>
      <c r="P60" s="64">
        <v>0.25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4" t="s">
        <v>1448</v>
      </c>
      <c r="B61" s="64">
        <v>7.95</v>
      </c>
      <c r="C61" s="64">
        <v>7.89</v>
      </c>
      <c r="D61" s="64">
        <v>10.5</v>
      </c>
      <c r="E61" s="64">
        <v>4.72</v>
      </c>
      <c r="F61" s="64">
        <v>10.15</v>
      </c>
      <c r="G61" s="64">
        <v>36.96</v>
      </c>
      <c r="H61" s="64">
        <v>7.98</v>
      </c>
      <c r="I61" s="64">
        <v>1.33</v>
      </c>
      <c r="J61" s="64">
        <v>0.85</v>
      </c>
      <c r="K61" s="64">
        <v>125.17</v>
      </c>
      <c r="L61" s="64">
        <v>29.74</v>
      </c>
      <c r="M61" s="64">
        <v>75.91</v>
      </c>
      <c r="N61" s="64">
        <v>491.2</v>
      </c>
      <c r="O61" s="64">
        <v>0</v>
      </c>
      <c r="P61" s="64">
        <v>0.27</v>
      </c>
      <c r="Q61" s="64">
        <v>9.3000000000000007</v>
      </c>
      <c r="R61" s="198"/>
      <c r="S61" s="198"/>
      <c r="T61" s="198"/>
      <c r="U61" s="198"/>
    </row>
    <row r="62" spans="1:21" s="12" customFormat="1" x14ac:dyDescent="0.25">
      <c r="A62" s="214" t="s">
        <v>1449</v>
      </c>
      <c r="B62" s="64">
        <v>8.65</v>
      </c>
      <c r="C62" s="64">
        <v>8.44</v>
      </c>
      <c r="D62" s="64">
        <v>11.34</v>
      </c>
      <c r="E62" s="64">
        <v>4.68</v>
      </c>
      <c r="F62" s="64">
        <v>11.91</v>
      </c>
      <c r="G62" s="64">
        <v>36.96</v>
      </c>
      <c r="H62" s="64">
        <v>7.98</v>
      </c>
      <c r="I62" s="64">
        <v>1.29</v>
      </c>
      <c r="J62" s="64">
        <v>0.53</v>
      </c>
      <c r="K62" s="64">
        <v>120.26</v>
      </c>
      <c r="L62" s="64">
        <v>30.18</v>
      </c>
      <c r="M62" s="64">
        <v>74.7</v>
      </c>
      <c r="N62" s="64">
        <v>514.4</v>
      </c>
      <c r="O62" s="64">
        <v>0</v>
      </c>
      <c r="P62" s="64">
        <v>0.3</v>
      </c>
      <c r="Q62" s="64">
        <v>9.2899999999999991</v>
      </c>
      <c r="R62" s="198"/>
      <c r="S62" s="198"/>
      <c r="T62" s="198"/>
      <c r="U62" s="198"/>
    </row>
    <row r="63" spans="1:21" s="12" customFormat="1" x14ac:dyDescent="0.25">
      <c r="A63" s="214" t="s">
        <v>1450</v>
      </c>
      <c r="B63" s="64">
        <v>5.56</v>
      </c>
      <c r="C63" s="64">
        <v>5.89</v>
      </c>
      <c r="D63" s="64">
        <v>7.54</v>
      </c>
      <c r="E63" s="64">
        <v>3.89</v>
      </c>
      <c r="F63" s="64">
        <v>13.34</v>
      </c>
      <c r="G63" s="64">
        <v>36.96</v>
      </c>
      <c r="H63" s="64">
        <v>7.98</v>
      </c>
      <c r="I63" s="64">
        <v>1.26</v>
      </c>
      <c r="J63" s="64">
        <v>1.37</v>
      </c>
      <c r="K63" s="64">
        <v>128.08000000000001</v>
      </c>
      <c r="L63" s="64">
        <v>29.86</v>
      </c>
      <c r="M63" s="64">
        <v>74.48</v>
      </c>
      <c r="N63" s="64">
        <v>257.39999999999998</v>
      </c>
      <c r="O63" s="64">
        <v>0</v>
      </c>
      <c r="P63" s="64">
        <v>0.2</v>
      </c>
      <c r="Q63" s="64">
        <v>9.2899999999999991</v>
      </c>
      <c r="R63" s="198"/>
      <c r="S63" s="198"/>
      <c r="T63" s="198"/>
      <c r="U63" s="198"/>
    </row>
    <row r="64" spans="1:21" s="12" customFormat="1" x14ac:dyDescent="0.25">
      <c r="A64" s="214" t="s">
        <v>1451</v>
      </c>
      <c r="B64" s="64">
        <v>7.31</v>
      </c>
      <c r="C64" s="64">
        <v>6.97</v>
      </c>
      <c r="D64" s="64">
        <v>9.51</v>
      </c>
      <c r="E64" s="64">
        <v>4.37</v>
      </c>
      <c r="F64" s="64">
        <v>11.34</v>
      </c>
      <c r="G64" s="64">
        <v>34.72</v>
      </c>
      <c r="H64" s="64">
        <v>9.48</v>
      </c>
      <c r="I64" s="64">
        <v>1.17</v>
      </c>
      <c r="J64" s="64">
        <v>0.39</v>
      </c>
      <c r="K64" s="64">
        <v>126.89</v>
      </c>
      <c r="L64" s="64">
        <v>29.56</v>
      </c>
      <c r="M64" s="64">
        <v>78.489999999999995</v>
      </c>
      <c r="N64" s="64">
        <v>214.4</v>
      </c>
      <c r="O64" s="64">
        <v>0</v>
      </c>
      <c r="P64" s="64">
        <v>0.26</v>
      </c>
      <c r="Q64" s="64">
        <v>9.2799999999999994</v>
      </c>
      <c r="R64" s="198"/>
      <c r="S64" s="198"/>
      <c r="T64" s="198"/>
      <c r="U64" s="198"/>
    </row>
    <row r="65" spans="1:21" s="12" customFormat="1" x14ac:dyDescent="0.25">
      <c r="A65" s="214" t="s">
        <v>1452</v>
      </c>
      <c r="B65" s="64">
        <v>6.66</v>
      </c>
      <c r="C65" s="64">
        <v>7.37</v>
      </c>
      <c r="D65" s="64">
        <v>9.19</v>
      </c>
      <c r="E65" s="64">
        <v>4.26</v>
      </c>
      <c r="F65" s="64">
        <v>13.65</v>
      </c>
      <c r="G65" s="64">
        <v>32.93</v>
      </c>
      <c r="H65" s="64">
        <v>9.98</v>
      </c>
      <c r="I65" s="64">
        <v>1.1599999999999999</v>
      </c>
      <c r="J65" s="64">
        <v>1.49</v>
      </c>
      <c r="K65" s="64">
        <v>124.32</v>
      </c>
      <c r="L65" s="64">
        <v>29.23</v>
      </c>
      <c r="M65" s="64">
        <v>79.25</v>
      </c>
      <c r="N65" s="64">
        <v>190.4</v>
      </c>
      <c r="O65" s="64">
        <v>0</v>
      </c>
      <c r="P65" s="64">
        <v>0.22</v>
      </c>
      <c r="Q65" s="64">
        <v>9.2799999999999994</v>
      </c>
      <c r="R65" s="198"/>
      <c r="S65" s="198"/>
      <c r="T65" s="198"/>
      <c r="U65" s="198"/>
    </row>
    <row r="66" spans="1:21" s="12" customFormat="1" x14ac:dyDescent="0.25">
      <c r="A66" s="214" t="s">
        <v>1453</v>
      </c>
      <c r="B66" s="64">
        <v>7.45</v>
      </c>
      <c r="C66" s="64">
        <v>7.96</v>
      </c>
      <c r="D66" s="64">
        <v>10.130000000000001</v>
      </c>
      <c r="E66" s="64">
        <v>4.6900000000000004</v>
      </c>
      <c r="F66" s="64">
        <v>12.26</v>
      </c>
      <c r="G66" s="64">
        <v>32.93</v>
      </c>
      <c r="H66" s="64">
        <v>9.98</v>
      </c>
      <c r="I66" s="64">
        <v>1.19</v>
      </c>
      <c r="J66" s="64">
        <v>0.71</v>
      </c>
      <c r="K66" s="64">
        <v>131.34</v>
      </c>
      <c r="L66" s="64">
        <v>29.36</v>
      </c>
      <c r="M66" s="64">
        <v>79.27</v>
      </c>
      <c r="N66" s="64">
        <v>199</v>
      </c>
      <c r="O66" s="64">
        <v>0</v>
      </c>
      <c r="P66" s="64">
        <v>0.22</v>
      </c>
      <c r="Q66" s="64">
        <v>9.26</v>
      </c>
      <c r="R66" s="198"/>
      <c r="S66" s="198"/>
      <c r="T66" s="198"/>
      <c r="U66" s="198"/>
    </row>
    <row r="67" spans="1:21" s="12" customFormat="1" x14ac:dyDescent="0.25">
      <c r="A67" s="214" t="s">
        <v>1454</v>
      </c>
      <c r="B67" s="64">
        <v>7.12</v>
      </c>
      <c r="C67" s="64">
        <v>8.98</v>
      </c>
      <c r="D67" s="64">
        <v>10.4</v>
      </c>
      <c r="E67" s="64">
        <v>4.5999999999999996</v>
      </c>
      <c r="F67" s="64">
        <v>12.82</v>
      </c>
      <c r="G67" s="64">
        <v>32.93</v>
      </c>
      <c r="H67" s="64">
        <v>9.98</v>
      </c>
      <c r="I67" s="64">
        <v>1.17</v>
      </c>
      <c r="J67" s="64">
        <v>0.83</v>
      </c>
      <c r="K67" s="64">
        <v>125.25</v>
      </c>
      <c r="L67" s="64">
        <v>29.55</v>
      </c>
      <c r="M67" s="64">
        <v>80.37</v>
      </c>
      <c r="N67" s="64">
        <v>172.1</v>
      </c>
      <c r="O67" s="64">
        <v>0</v>
      </c>
      <c r="P67" s="64">
        <v>0.25</v>
      </c>
      <c r="Q67" s="64">
        <v>9.26</v>
      </c>
      <c r="R67" s="198"/>
      <c r="S67" s="198"/>
      <c r="T67" s="198"/>
      <c r="U67" s="198"/>
    </row>
    <row r="68" spans="1:21" s="12" customFormat="1" x14ac:dyDescent="0.25">
      <c r="A68" s="214" t="s">
        <v>1455</v>
      </c>
      <c r="B68" s="64">
        <v>7.84</v>
      </c>
      <c r="C68" s="64">
        <v>8.89</v>
      </c>
      <c r="D68" s="64">
        <v>10.89</v>
      </c>
      <c r="E68" s="64">
        <v>4.5199999999999996</v>
      </c>
      <c r="F68" s="64">
        <v>10.53</v>
      </c>
      <c r="G68" s="64">
        <v>30.84</v>
      </c>
      <c r="H68" s="64">
        <v>9.81</v>
      </c>
      <c r="I68" s="64">
        <v>1.1499999999999999</v>
      </c>
      <c r="J68" s="64">
        <v>0.65</v>
      </c>
      <c r="K68" s="64">
        <v>130.76</v>
      </c>
      <c r="L68" s="64">
        <v>29.4</v>
      </c>
      <c r="M68" s="64">
        <v>80.680000000000007</v>
      </c>
      <c r="N68" s="64">
        <v>159.4</v>
      </c>
      <c r="O68" s="64">
        <v>0</v>
      </c>
      <c r="P68" s="64">
        <v>0.28999999999999998</v>
      </c>
      <c r="Q68" s="64">
        <v>9.26</v>
      </c>
      <c r="R68" s="198"/>
      <c r="S68" s="198"/>
      <c r="T68" s="198"/>
      <c r="U68" s="198"/>
    </row>
    <row r="69" spans="1:21" s="12" customFormat="1" x14ac:dyDescent="0.25">
      <c r="A69" s="214" t="s">
        <v>1456</v>
      </c>
      <c r="B69" s="64">
        <v>9.58</v>
      </c>
      <c r="C69" s="64">
        <v>10.26</v>
      </c>
      <c r="D69" s="64">
        <v>13.04</v>
      </c>
      <c r="E69" s="64">
        <v>4.55</v>
      </c>
      <c r="F69" s="64">
        <v>11.59</v>
      </c>
      <c r="G69" s="64">
        <v>29.24</v>
      </c>
      <c r="H69" s="64">
        <v>9.76</v>
      </c>
      <c r="I69" s="64">
        <v>1.1299999999999999</v>
      </c>
      <c r="J69" s="64">
        <v>0.13</v>
      </c>
      <c r="K69" s="64">
        <v>87.64</v>
      </c>
      <c r="L69" s="64">
        <v>29.67</v>
      </c>
      <c r="M69" s="64">
        <v>79.98</v>
      </c>
      <c r="N69" s="64">
        <v>160.1</v>
      </c>
      <c r="O69" s="64">
        <v>0</v>
      </c>
      <c r="P69" s="64">
        <v>0.38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14" t="s">
        <v>1457</v>
      </c>
      <c r="B70" s="64">
        <v>6.88</v>
      </c>
      <c r="C70" s="64">
        <v>8.16</v>
      </c>
      <c r="D70" s="64">
        <v>9.7799999999999994</v>
      </c>
      <c r="E70" s="64">
        <v>4.4400000000000004</v>
      </c>
      <c r="F70" s="64">
        <v>12.37</v>
      </c>
      <c r="G70" s="64">
        <v>29.24</v>
      </c>
      <c r="H70" s="64">
        <v>9.76</v>
      </c>
      <c r="I70" s="64">
        <v>1.05</v>
      </c>
      <c r="J70" s="64">
        <v>1.02</v>
      </c>
      <c r="K70" s="64">
        <v>129.35</v>
      </c>
      <c r="L70" s="64">
        <v>29.43</v>
      </c>
      <c r="M70" s="64">
        <v>78.290000000000006</v>
      </c>
      <c r="N70" s="64">
        <v>118.5</v>
      </c>
      <c r="O70" s="64">
        <v>0</v>
      </c>
      <c r="P70" s="64">
        <v>0.22</v>
      </c>
      <c r="Q70" s="64">
        <v>9.2799999999999994</v>
      </c>
      <c r="R70" s="198"/>
      <c r="S70" s="198"/>
      <c r="T70" s="198"/>
      <c r="U70" s="198"/>
    </row>
    <row r="71" spans="1:21" s="12" customFormat="1" x14ac:dyDescent="0.25">
      <c r="A71" s="214" t="s">
        <v>1458</v>
      </c>
      <c r="B71" s="64">
        <v>7.45</v>
      </c>
      <c r="C71" s="64">
        <v>8.8000000000000007</v>
      </c>
      <c r="D71" s="64">
        <v>10.58</v>
      </c>
      <c r="E71" s="64">
        <v>4.4400000000000004</v>
      </c>
      <c r="F71" s="64">
        <v>13.77</v>
      </c>
      <c r="G71" s="64">
        <v>29.24</v>
      </c>
      <c r="H71" s="64">
        <v>9.76</v>
      </c>
      <c r="I71" s="64">
        <v>1.07</v>
      </c>
      <c r="J71" s="64">
        <v>0.37</v>
      </c>
      <c r="K71" s="64">
        <v>131.52000000000001</v>
      </c>
      <c r="L71" s="64">
        <v>29.13</v>
      </c>
      <c r="M71" s="64">
        <v>82.42</v>
      </c>
      <c r="N71" s="64">
        <v>115.4</v>
      </c>
      <c r="O71" s="64">
        <v>0</v>
      </c>
      <c r="P71" s="64">
        <v>0.24</v>
      </c>
      <c r="Q71" s="64">
        <v>9.2899999999999991</v>
      </c>
      <c r="R71" s="198"/>
      <c r="S71" s="198"/>
      <c r="T71" s="198"/>
      <c r="U71" s="198"/>
    </row>
    <row r="72" spans="1:21" s="12" customFormat="1" x14ac:dyDescent="0.25">
      <c r="A72" s="214" t="s">
        <v>1459</v>
      </c>
      <c r="B72" s="64">
        <v>8.32</v>
      </c>
      <c r="C72" s="64">
        <v>8.93</v>
      </c>
      <c r="D72" s="64">
        <v>11.34</v>
      </c>
      <c r="E72" s="64">
        <v>4.84</v>
      </c>
      <c r="F72" s="64">
        <v>12.58</v>
      </c>
      <c r="G72" s="64">
        <v>30.42</v>
      </c>
      <c r="H72" s="64">
        <v>9.1300000000000008</v>
      </c>
      <c r="I72" s="64">
        <v>1.1200000000000001</v>
      </c>
      <c r="J72" s="64">
        <v>0.28999999999999998</v>
      </c>
      <c r="K72" s="64">
        <v>111.63</v>
      </c>
      <c r="L72" s="64">
        <v>29.4</v>
      </c>
      <c r="M72" s="64">
        <v>80.319999999999993</v>
      </c>
      <c r="N72" s="64">
        <v>142.1</v>
      </c>
      <c r="O72" s="64">
        <v>0</v>
      </c>
      <c r="P72" s="64">
        <v>0.28000000000000003</v>
      </c>
      <c r="Q72" s="64">
        <v>9.3000000000000007</v>
      </c>
      <c r="R72" s="198"/>
      <c r="S72" s="198"/>
      <c r="T72" s="198"/>
      <c r="U72" s="198"/>
    </row>
    <row r="73" spans="1:21" s="12" customFormat="1" x14ac:dyDescent="0.25">
      <c r="A73" s="214" t="s">
        <v>1460</v>
      </c>
      <c r="B73" s="64">
        <v>8.52</v>
      </c>
      <c r="C73" s="64">
        <v>9.31</v>
      </c>
      <c r="D73" s="64">
        <v>11.69</v>
      </c>
      <c r="E73" s="64">
        <v>5.26</v>
      </c>
      <c r="F73" s="64">
        <v>13.57</v>
      </c>
      <c r="G73" s="64">
        <v>31.33</v>
      </c>
      <c r="H73" s="64">
        <v>8.92</v>
      </c>
      <c r="I73" s="64">
        <v>1.1100000000000001</v>
      </c>
      <c r="J73" s="64">
        <v>0.49</v>
      </c>
      <c r="K73" s="64">
        <v>129.56</v>
      </c>
      <c r="L73" s="64">
        <v>29.34</v>
      </c>
      <c r="M73" s="64">
        <v>81.569999999999993</v>
      </c>
      <c r="N73" s="64">
        <v>119.9</v>
      </c>
      <c r="O73" s="64">
        <v>0</v>
      </c>
      <c r="P73" s="64">
        <v>0.28000000000000003</v>
      </c>
      <c r="Q73" s="64">
        <v>9.3000000000000007</v>
      </c>
      <c r="R73" s="198"/>
      <c r="S73" s="198"/>
      <c r="T73" s="198"/>
      <c r="U73" s="198"/>
    </row>
    <row r="74" spans="1:21" s="12" customFormat="1" x14ac:dyDescent="0.25">
      <c r="A74" s="214" t="s">
        <v>1461</v>
      </c>
      <c r="B74" s="64">
        <v>6.52</v>
      </c>
      <c r="C74" s="64">
        <v>8.02</v>
      </c>
      <c r="D74" s="64">
        <v>9.42</v>
      </c>
      <c r="E74" s="64">
        <v>5.0999999999999996</v>
      </c>
      <c r="F74" s="64">
        <v>14.54</v>
      </c>
      <c r="G74" s="64">
        <v>31.33</v>
      </c>
      <c r="H74" s="64">
        <v>8.92</v>
      </c>
      <c r="I74" s="64">
        <v>1.1200000000000001</v>
      </c>
      <c r="J74" s="64">
        <v>1.2</v>
      </c>
      <c r="K74" s="64">
        <v>128.12</v>
      </c>
      <c r="L74" s="64">
        <v>28.86</v>
      </c>
      <c r="M74" s="64">
        <v>86.86</v>
      </c>
      <c r="N74" s="64">
        <v>118.8</v>
      </c>
      <c r="O74" s="64">
        <v>0</v>
      </c>
      <c r="P74" s="64">
        <v>0.25</v>
      </c>
      <c r="Q74" s="64">
        <v>9.3000000000000007</v>
      </c>
      <c r="R74" s="198"/>
      <c r="S74" s="198"/>
      <c r="T74" s="198"/>
      <c r="U74" s="198"/>
    </row>
    <row r="75" spans="1:21" s="12" customFormat="1" x14ac:dyDescent="0.25">
      <c r="A75" s="214" t="s">
        <v>1462</v>
      </c>
      <c r="B75" s="64">
        <v>5.45</v>
      </c>
      <c r="C75" s="64">
        <v>7.87</v>
      </c>
      <c r="D75" s="64">
        <v>9.01</v>
      </c>
      <c r="E75" s="64">
        <v>4.75</v>
      </c>
      <c r="F75" s="64">
        <v>13.93</v>
      </c>
      <c r="G75" s="64">
        <v>31.33</v>
      </c>
      <c r="H75" s="64">
        <v>8.92</v>
      </c>
      <c r="I75" s="64">
        <v>1.1200000000000001</v>
      </c>
      <c r="J75" s="64">
        <v>1.17</v>
      </c>
      <c r="K75" s="64">
        <v>127.77</v>
      </c>
      <c r="L75" s="64">
        <v>28.66</v>
      </c>
      <c r="M75" s="64">
        <v>83.35</v>
      </c>
      <c r="N75" s="64">
        <v>89</v>
      </c>
      <c r="O75" s="64">
        <v>0</v>
      </c>
      <c r="P75" s="64">
        <v>0.22</v>
      </c>
      <c r="Q75" s="64">
        <v>0</v>
      </c>
      <c r="R75" s="198"/>
      <c r="S75" s="198"/>
      <c r="T75" s="198"/>
      <c r="U75" s="198"/>
    </row>
    <row r="76" spans="1:21" s="12" customFormat="1" x14ac:dyDescent="0.25">
      <c r="A76" s="214" t="s">
        <v>1463</v>
      </c>
      <c r="B76" s="64">
        <v>7.45</v>
      </c>
      <c r="C76" s="64">
        <v>10.42</v>
      </c>
      <c r="D76" s="64">
        <v>11.42</v>
      </c>
      <c r="E76" s="64">
        <v>4.72</v>
      </c>
      <c r="F76" s="64">
        <v>10.67</v>
      </c>
      <c r="G76" s="64">
        <v>27.96</v>
      </c>
      <c r="H76" s="64">
        <v>8.59</v>
      </c>
      <c r="I76" s="64">
        <v>1.1200000000000001</v>
      </c>
      <c r="J76" s="64">
        <v>0.47</v>
      </c>
      <c r="K76" s="64">
        <v>131.71</v>
      </c>
      <c r="L76" s="64">
        <v>28.58</v>
      </c>
      <c r="M76" s="64">
        <v>85.49</v>
      </c>
      <c r="N76" s="64">
        <v>80</v>
      </c>
      <c r="O76" s="64">
        <v>0</v>
      </c>
      <c r="P76" s="64">
        <v>0.34</v>
      </c>
      <c r="Q76" s="64">
        <v>9.2899999999999991</v>
      </c>
      <c r="R76" s="198"/>
      <c r="S76" s="198"/>
      <c r="T76" s="198"/>
      <c r="U76" s="198"/>
    </row>
    <row r="77" spans="1:21" s="12" customFormat="1" x14ac:dyDescent="0.25">
      <c r="A77" s="214" t="s">
        <v>1464</v>
      </c>
      <c r="B77" s="64">
        <v>6.12</v>
      </c>
      <c r="C77" s="64">
        <v>10.93</v>
      </c>
      <c r="D77" s="64">
        <v>10.62</v>
      </c>
      <c r="E77" s="64">
        <v>5.3</v>
      </c>
      <c r="F77" s="64">
        <v>9.61</v>
      </c>
      <c r="G77" s="64">
        <v>25.26</v>
      </c>
      <c r="H77" s="64">
        <v>8.34</v>
      </c>
      <c r="I77" s="64">
        <v>1.1100000000000001</v>
      </c>
      <c r="J77" s="64">
        <v>0.71</v>
      </c>
      <c r="K77" s="64">
        <v>128.38999999999999</v>
      </c>
      <c r="L77" s="64">
        <v>28.47</v>
      </c>
      <c r="M77" s="64">
        <v>86.63</v>
      </c>
      <c r="N77" s="64">
        <v>66.8</v>
      </c>
      <c r="O77" s="64">
        <v>0</v>
      </c>
      <c r="P77" s="64">
        <v>0.25</v>
      </c>
      <c r="Q77" s="64">
        <v>9.27</v>
      </c>
      <c r="R77" s="198"/>
      <c r="S77" s="198"/>
      <c r="T77" s="198"/>
      <c r="U77" s="198"/>
    </row>
    <row r="78" spans="1:21" s="12" customFormat="1" x14ac:dyDescent="0.25">
      <c r="A78" s="214" t="s">
        <v>1465</v>
      </c>
      <c r="B78" s="64">
        <v>6.81</v>
      </c>
      <c r="C78" s="64">
        <v>14.44</v>
      </c>
      <c r="D78" s="64">
        <v>13.01</v>
      </c>
      <c r="E78" s="64">
        <v>5.16</v>
      </c>
      <c r="F78" s="64">
        <v>9.35</v>
      </c>
      <c r="G78" s="64">
        <v>25.26</v>
      </c>
      <c r="H78" s="64">
        <v>8.34</v>
      </c>
      <c r="I78" s="64">
        <v>1.1100000000000001</v>
      </c>
      <c r="J78" s="64">
        <v>0.21</v>
      </c>
      <c r="K78" s="64">
        <v>122.42</v>
      </c>
      <c r="L78" s="64">
        <v>28.29</v>
      </c>
      <c r="M78" s="64">
        <v>88.37</v>
      </c>
      <c r="N78" s="64">
        <v>59.3</v>
      </c>
      <c r="O78" s="64">
        <v>0</v>
      </c>
      <c r="P78" s="64">
        <v>0.31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4" t="s">
        <v>1466</v>
      </c>
      <c r="B79" s="64">
        <v>6.72</v>
      </c>
      <c r="C79" s="64">
        <v>10.75</v>
      </c>
      <c r="D79" s="64">
        <v>11</v>
      </c>
      <c r="E79" s="64">
        <v>5.33</v>
      </c>
      <c r="F79" s="64">
        <v>9.69</v>
      </c>
      <c r="G79" s="64">
        <v>25.26</v>
      </c>
      <c r="H79" s="64">
        <v>8.34</v>
      </c>
      <c r="I79" s="64">
        <v>1.1000000000000001</v>
      </c>
      <c r="J79" s="64">
        <v>0.39</v>
      </c>
      <c r="K79" s="64">
        <v>132.11000000000001</v>
      </c>
      <c r="L79" s="64">
        <v>28.18</v>
      </c>
      <c r="M79" s="64">
        <v>89.71</v>
      </c>
      <c r="N79" s="64">
        <v>47.8</v>
      </c>
      <c r="O79" s="64">
        <v>0</v>
      </c>
      <c r="P79" s="64">
        <v>0.36</v>
      </c>
      <c r="Q79" s="64">
        <v>9.26</v>
      </c>
      <c r="R79" s="198"/>
      <c r="S79" s="198"/>
      <c r="T79" s="198"/>
      <c r="U79" s="198"/>
    </row>
    <row r="80" spans="1:21" s="12" customFormat="1" x14ac:dyDescent="0.25">
      <c r="A80" s="214" t="s">
        <v>1467</v>
      </c>
      <c r="B80" s="64">
        <v>11.42</v>
      </c>
      <c r="C80" s="64">
        <v>15.77</v>
      </c>
      <c r="D80" s="64">
        <v>17.399999999999999</v>
      </c>
      <c r="E80" s="64">
        <v>5.07</v>
      </c>
      <c r="F80" s="64">
        <v>7.06</v>
      </c>
      <c r="G80" s="64">
        <v>23.02</v>
      </c>
      <c r="H80" s="64">
        <v>8.52</v>
      </c>
      <c r="I80" s="64">
        <v>1.1100000000000001</v>
      </c>
      <c r="J80" s="64">
        <v>0.13</v>
      </c>
      <c r="K80" s="64">
        <v>143.74</v>
      </c>
      <c r="L80" s="64">
        <v>28.11</v>
      </c>
      <c r="M80" s="64">
        <v>91.42</v>
      </c>
      <c r="N80" s="64">
        <v>35.700000000000003</v>
      </c>
      <c r="O80" s="64">
        <v>0</v>
      </c>
      <c r="P80" s="64">
        <v>0.5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14" t="s">
        <v>1468</v>
      </c>
      <c r="B81" s="64">
        <v>6.42</v>
      </c>
      <c r="C81" s="64">
        <v>11.9</v>
      </c>
      <c r="D81" s="64">
        <v>11.37</v>
      </c>
      <c r="E81" s="64">
        <v>4.9800000000000004</v>
      </c>
      <c r="F81" s="64">
        <v>11.57</v>
      </c>
      <c r="G81" s="64">
        <v>21.23</v>
      </c>
      <c r="H81" s="64">
        <v>8.57</v>
      </c>
      <c r="I81" s="64">
        <v>1.1200000000000001</v>
      </c>
      <c r="J81" s="64">
        <v>0.56999999999999995</v>
      </c>
      <c r="K81" s="64">
        <v>128.59</v>
      </c>
      <c r="L81" s="64">
        <v>28</v>
      </c>
      <c r="M81" s="64">
        <v>91.85</v>
      </c>
      <c r="N81" s="64">
        <v>31.3</v>
      </c>
      <c r="O81" s="64">
        <v>0</v>
      </c>
      <c r="P81" s="64">
        <v>0.28999999999999998</v>
      </c>
      <c r="Q81" s="64">
        <v>9.27</v>
      </c>
      <c r="R81" s="198"/>
      <c r="S81" s="198"/>
      <c r="T81" s="198"/>
      <c r="U81" s="198"/>
    </row>
    <row r="82" spans="1:26" s="12" customFormat="1" x14ac:dyDescent="0.25">
      <c r="A82" s="214" t="s">
        <v>1469</v>
      </c>
      <c r="B82" s="64">
        <v>4.82</v>
      </c>
      <c r="C82" s="64">
        <v>12.62</v>
      </c>
      <c r="D82" s="64">
        <v>10.46</v>
      </c>
      <c r="E82" s="64">
        <v>4.88</v>
      </c>
      <c r="F82" s="64">
        <v>9.1300000000000008</v>
      </c>
      <c r="G82" s="64">
        <v>21.23</v>
      </c>
      <c r="H82" s="64">
        <v>8.57</v>
      </c>
      <c r="I82" s="64">
        <v>1.1399999999999999</v>
      </c>
      <c r="J82" s="64">
        <v>0.22</v>
      </c>
      <c r="K82" s="64">
        <v>119.35</v>
      </c>
      <c r="L82" s="64">
        <v>27.82</v>
      </c>
      <c r="M82" s="64">
        <v>93.76</v>
      </c>
      <c r="N82" s="64">
        <v>31</v>
      </c>
      <c r="O82" s="64">
        <v>0</v>
      </c>
      <c r="P82" s="64">
        <v>0.34</v>
      </c>
      <c r="Q82" s="64">
        <v>9.27</v>
      </c>
      <c r="R82" s="198"/>
      <c r="S82" s="198"/>
      <c r="T82" s="198"/>
      <c r="U82" s="198"/>
    </row>
    <row r="83" spans="1:26" s="12" customFormat="1" x14ac:dyDescent="0.25">
      <c r="A83" s="214" t="s">
        <v>1470</v>
      </c>
      <c r="B83" s="64">
        <v>4.32</v>
      </c>
      <c r="C83" s="64">
        <v>13.56</v>
      </c>
      <c r="D83" s="64">
        <v>10.54</v>
      </c>
      <c r="E83" s="64">
        <v>5.0199999999999996</v>
      </c>
      <c r="F83" s="64">
        <v>9.14</v>
      </c>
      <c r="G83" s="64">
        <v>21.23</v>
      </c>
      <c r="H83" s="64">
        <v>8.57</v>
      </c>
      <c r="I83" s="64">
        <v>1.1599999999999999</v>
      </c>
      <c r="J83" s="64">
        <v>0.37</v>
      </c>
      <c r="K83" s="64">
        <v>133.44999999999999</v>
      </c>
      <c r="L83" s="64">
        <v>27.63</v>
      </c>
      <c r="M83" s="64">
        <v>96.09</v>
      </c>
      <c r="N83" s="64">
        <v>30.8</v>
      </c>
      <c r="O83" s="64">
        <v>0</v>
      </c>
      <c r="P83" s="64">
        <v>0.35</v>
      </c>
      <c r="Q83" s="64">
        <v>9.27</v>
      </c>
      <c r="R83" s="198"/>
      <c r="S83" s="198"/>
      <c r="T83" s="198"/>
      <c r="U83" s="198"/>
    </row>
    <row r="84" spans="1:26" s="12" customFormat="1" x14ac:dyDescent="0.25">
      <c r="A84" s="214" t="s">
        <v>1471</v>
      </c>
      <c r="B84" s="64">
        <v>4.05</v>
      </c>
      <c r="C84" s="64">
        <v>12.62</v>
      </c>
      <c r="D84" s="64">
        <v>9.84</v>
      </c>
      <c r="E84" s="64">
        <v>4.91</v>
      </c>
      <c r="F84" s="64">
        <v>8.67</v>
      </c>
      <c r="G84" s="64">
        <v>24.24</v>
      </c>
      <c r="H84" s="64">
        <v>8.3699999999999992</v>
      </c>
      <c r="I84" s="64">
        <v>1.19</v>
      </c>
      <c r="J84" s="64">
        <v>0.27</v>
      </c>
      <c r="K84" s="64">
        <v>124.69</v>
      </c>
      <c r="L84" s="64">
        <v>27.53</v>
      </c>
      <c r="M84" s="64">
        <v>96.97</v>
      </c>
      <c r="N84" s="64">
        <v>30.7</v>
      </c>
      <c r="O84" s="64">
        <v>0</v>
      </c>
      <c r="P84" s="64">
        <v>0.4</v>
      </c>
      <c r="Q84" s="64">
        <v>9.27</v>
      </c>
      <c r="R84" s="198"/>
      <c r="S84" s="198"/>
      <c r="T84" s="198"/>
      <c r="U84" s="198"/>
    </row>
    <row r="85" spans="1:26" s="12" customFormat="1" x14ac:dyDescent="0.25">
      <c r="A85" s="214" t="s">
        <v>1472</v>
      </c>
      <c r="B85" s="64">
        <v>6.14</v>
      </c>
      <c r="C85" s="64">
        <v>15.03</v>
      </c>
      <c r="D85" s="64">
        <v>12.77</v>
      </c>
      <c r="E85" s="64">
        <v>4.8600000000000003</v>
      </c>
      <c r="F85" s="64">
        <v>6.57</v>
      </c>
      <c r="G85" s="64">
        <v>26.66</v>
      </c>
      <c r="H85" s="64">
        <v>8.3000000000000007</v>
      </c>
      <c r="I85" s="64">
        <v>1.1299999999999999</v>
      </c>
      <c r="J85" s="64">
        <v>0.55000000000000004</v>
      </c>
      <c r="K85" s="64">
        <v>127.85</v>
      </c>
      <c r="L85" s="64">
        <v>27.58</v>
      </c>
      <c r="M85" s="64">
        <v>95.34</v>
      </c>
      <c r="N85" s="64">
        <v>30.3</v>
      </c>
      <c r="O85" s="64">
        <v>0</v>
      </c>
      <c r="P85" s="64">
        <v>0.31</v>
      </c>
      <c r="Q85" s="64">
        <v>9.27</v>
      </c>
      <c r="R85" s="198"/>
      <c r="S85" s="198"/>
      <c r="T85" s="198"/>
      <c r="U85" s="198"/>
    </row>
    <row r="86" spans="1:26" s="12" customFormat="1" x14ac:dyDescent="0.25">
      <c r="A86" s="214" t="s">
        <v>1473</v>
      </c>
      <c r="B86" s="64">
        <v>7.04</v>
      </c>
      <c r="C86" s="64">
        <v>15.94</v>
      </c>
      <c r="D86" s="64">
        <v>13.98</v>
      </c>
      <c r="E86" s="64">
        <v>4.84</v>
      </c>
      <c r="F86" s="64">
        <v>6.15</v>
      </c>
      <c r="G86" s="64">
        <v>26.66</v>
      </c>
      <c r="H86" s="64">
        <v>8.3000000000000007</v>
      </c>
      <c r="I86" s="64">
        <v>1.0900000000000001</v>
      </c>
      <c r="J86" s="64">
        <v>0.19</v>
      </c>
      <c r="K86" s="64">
        <v>133.41999999999999</v>
      </c>
      <c r="L86" s="64">
        <v>27.57</v>
      </c>
      <c r="M86" s="64">
        <v>95.63</v>
      </c>
      <c r="N86" s="64">
        <v>30.7</v>
      </c>
      <c r="O86" s="64">
        <v>0</v>
      </c>
      <c r="P86" s="64">
        <v>0.34</v>
      </c>
      <c r="Q86" s="64">
        <v>9.27</v>
      </c>
      <c r="R86" s="198"/>
      <c r="S86" s="198"/>
      <c r="T86" s="198"/>
      <c r="U86" s="198"/>
    </row>
    <row r="87" spans="1:26" s="12" customFormat="1" x14ac:dyDescent="0.25">
      <c r="A87" s="214" t="s">
        <v>1474</v>
      </c>
      <c r="B87" s="64">
        <v>6.91</v>
      </c>
      <c r="C87" s="64">
        <v>17.95</v>
      </c>
      <c r="D87" s="64">
        <v>14.92</v>
      </c>
      <c r="E87" s="64">
        <v>4.66</v>
      </c>
      <c r="F87" s="64">
        <v>4.66</v>
      </c>
      <c r="G87" s="64">
        <v>26.66</v>
      </c>
      <c r="H87" s="64">
        <v>8.3000000000000007</v>
      </c>
      <c r="I87" s="64">
        <v>1.1100000000000001</v>
      </c>
      <c r="J87" s="64">
        <v>0.35</v>
      </c>
      <c r="K87" s="64">
        <v>122.29</v>
      </c>
      <c r="L87" s="64">
        <v>27.4</v>
      </c>
      <c r="M87" s="64">
        <v>97.48</v>
      </c>
      <c r="N87" s="64">
        <v>30.7</v>
      </c>
      <c r="O87" s="64">
        <v>0</v>
      </c>
      <c r="P87" s="64">
        <v>0.42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4" t="s">
        <v>1475</v>
      </c>
      <c r="B88" s="64">
        <v>7.92</v>
      </c>
      <c r="C88" s="64">
        <v>17.29</v>
      </c>
      <c r="D88" s="64">
        <v>15.39</v>
      </c>
      <c r="E88" s="64">
        <v>4.8899999999999997</v>
      </c>
      <c r="F88" s="64">
        <v>5.25</v>
      </c>
      <c r="G88" s="64">
        <v>29</v>
      </c>
      <c r="H88" s="64">
        <v>8.0500000000000007</v>
      </c>
      <c r="I88" s="64">
        <v>1.1100000000000001</v>
      </c>
      <c r="J88" s="64">
        <v>0.47</v>
      </c>
      <c r="K88" s="64">
        <v>116.1</v>
      </c>
      <c r="L88" s="64">
        <v>27.42</v>
      </c>
      <c r="M88" s="64">
        <v>97.59</v>
      </c>
      <c r="N88" s="64">
        <v>30.6</v>
      </c>
      <c r="O88" s="64">
        <v>0</v>
      </c>
      <c r="P88" s="64">
        <v>0.41</v>
      </c>
      <c r="Q88" s="64">
        <v>9.2899999999999991</v>
      </c>
      <c r="R88" s="198"/>
      <c r="S88" s="198"/>
      <c r="T88" s="198"/>
      <c r="U88" s="198"/>
    </row>
    <row r="89" spans="1:26" s="12" customFormat="1" x14ac:dyDescent="0.25">
      <c r="A89" s="214" t="s">
        <v>1476</v>
      </c>
      <c r="B89" s="64">
        <v>6.25</v>
      </c>
      <c r="C89" s="64">
        <v>12.6</v>
      </c>
      <c r="D89" s="64">
        <v>11.6</v>
      </c>
      <c r="E89" s="64">
        <v>5.0599999999999996</v>
      </c>
      <c r="F89" s="64">
        <v>6.36</v>
      </c>
      <c r="G89" s="64">
        <v>30.87</v>
      </c>
      <c r="H89" s="64">
        <v>7.97</v>
      </c>
      <c r="I89" s="64">
        <v>1.1299999999999999</v>
      </c>
      <c r="J89" s="64">
        <v>0.4</v>
      </c>
      <c r="K89" s="64">
        <v>137.21</v>
      </c>
      <c r="L89" s="64">
        <v>27.17</v>
      </c>
      <c r="M89" s="64">
        <v>97.62</v>
      </c>
      <c r="N89" s="64">
        <v>31</v>
      </c>
      <c r="O89" s="64">
        <v>0</v>
      </c>
      <c r="P89" s="64">
        <v>0.33</v>
      </c>
      <c r="Q89" s="64">
        <v>9.31</v>
      </c>
      <c r="R89" s="198"/>
      <c r="S89" s="198"/>
      <c r="T89" s="198"/>
      <c r="U89" s="198"/>
    </row>
    <row r="90" spans="1:26" s="12" customFormat="1" x14ac:dyDescent="0.25">
      <c r="A90" s="214" t="s">
        <v>1477</v>
      </c>
      <c r="B90" s="64">
        <v>7.55</v>
      </c>
      <c r="C90" s="64">
        <v>10.54</v>
      </c>
      <c r="D90" s="64">
        <v>11.56</v>
      </c>
      <c r="E90" s="64">
        <v>5.18</v>
      </c>
      <c r="F90" s="64">
        <v>7.85</v>
      </c>
      <c r="G90" s="64">
        <v>30.87</v>
      </c>
      <c r="H90" s="64">
        <v>7.97</v>
      </c>
      <c r="I90" s="64">
        <v>1.1599999999999999</v>
      </c>
      <c r="J90" s="64">
        <v>0.21</v>
      </c>
      <c r="K90" s="64">
        <v>171.81</v>
      </c>
      <c r="L90" s="64">
        <v>26.64</v>
      </c>
      <c r="M90" s="64">
        <v>97.65</v>
      </c>
      <c r="N90" s="64">
        <v>31.2</v>
      </c>
      <c r="O90" s="64">
        <v>0</v>
      </c>
      <c r="P90" s="64">
        <v>0.28000000000000003</v>
      </c>
      <c r="Q90" s="64">
        <v>9.31</v>
      </c>
      <c r="R90" s="198"/>
      <c r="S90" s="198"/>
      <c r="T90" s="198"/>
      <c r="U90" s="198"/>
    </row>
    <row r="91" spans="1:26" s="12" customFormat="1" x14ac:dyDescent="0.25">
      <c r="A91" s="214" t="s">
        <v>1478</v>
      </c>
      <c r="B91" s="64">
        <v>8.5299999999999994</v>
      </c>
      <c r="C91" s="64">
        <v>11.49</v>
      </c>
      <c r="D91" s="64">
        <v>12.85</v>
      </c>
      <c r="E91" s="64">
        <v>4.9400000000000004</v>
      </c>
      <c r="F91" s="64">
        <v>4.74</v>
      </c>
      <c r="G91" s="64">
        <v>30.87</v>
      </c>
      <c r="H91" s="64">
        <v>7.97</v>
      </c>
      <c r="I91" s="64">
        <v>1.18</v>
      </c>
      <c r="J91" s="64">
        <v>0.37</v>
      </c>
      <c r="K91" s="64">
        <v>157.87</v>
      </c>
      <c r="L91" s="64">
        <v>26.44</v>
      </c>
      <c r="M91" s="64">
        <v>97.65</v>
      </c>
      <c r="N91" s="64">
        <v>30.7</v>
      </c>
      <c r="O91" s="64">
        <v>0</v>
      </c>
      <c r="P91" s="64">
        <v>0.3</v>
      </c>
      <c r="Q91" s="64">
        <v>9.33</v>
      </c>
      <c r="R91" s="198"/>
      <c r="S91" s="198"/>
      <c r="T91" s="198"/>
      <c r="U91" s="198"/>
    </row>
    <row r="92" spans="1:26" s="12" customFormat="1" x14ac:dyDescent="0.25">
      <c r="A92" s="214" t="s">
        <v>1479</v>
      </c>
      <c r="B92" s="64">
        <v>11.37</v>
      </c>
      <c r="C92" s="64">
        <v>10.51</v>
      </c>
      <c r="D92" s="64">
        <v>14.61</v>
      </c>
      <c r="E92" s="64">
        <v>5.04</v>
      </c>
      <c r="F92" s="64">
        <v>5.59</v>
      </c>
      <c r="G92" s="64">
        <v>32.880000000000003</v>
      </c>
      <c r="H92" s="64">
        <v>7.84</v>
      </c>
      <c r="I92" s="64">
        <v>1.19</v>
      </c>
      <c r="J92" s="64">
        <v>0.33</v>
      </c>
      <c r="K92" s="64">
        <v>171.61</v>
      </c>
      <c r="L92" s="64">
        <v>26.39</v>
      </c>
      <c r="M92" s="64">
        <v>97.63</v>
      </c>
      <c r="N92" s="64">
        <v>30.7</v>
      </c>
      <c r="O92" s="64">
        <v>0</v>
      </c>
      <c r="P92" s="64">
        <v>0.31</v>
      </c>
      <c r="Q92" s="64">
        <v>9.33</v>
      </c>
      <c r="R92" s="198"/>
      <c r="S92" s="198"/>
      <c r="T92" s="198"/>
      <c r="U92" s="198"/>
    </row>
    <row r="93" spans="1:26" s="12" customFormat="1" x14ac:dyDescent="0.25">
      <c r="A93" s="214" t="s">
        <v>1480</v>
      </c>
      <c r="B93" s="64">
        <v>10.28</v>
      </c>
      <c r="C93" s="64">
        <v>11.11</v>
      </c>
      <c r="D93" s="64">
        <v>14.04</v>
      </c>
      <c r="E93" s="64">
        <v>4.9400000000000004</v>
      </c>
      <c r="F93" s="64">
        <v>6.1</v>
      </c>
      <c r="G93" s="64">
        <v>34.479999999999997</v>
      </c>
      <c r="H93" s="64">
        <v>7.74</v>
      </c>
      <c r="I93" s="64">
        <v>1.2</v>
      </c>
      <c r="J93" s="64">
        <v>0.38</v>
      </c>
      <c r="K93" s="64">
        <v>161.88</v>
      </c>
      <c r="L93" s="64">
        <v>26.27</v>
      </c>
      <c r="M93" s="64">
        <v>97.63</v>
      </c>
      <c r="N93" s="64">
        <v>30.7</v>
      </c>
      <c r="O93" s="64">
        <v>0</v>
      </c>
      <c r="P93" s="64">
        <v>0.27</v>
      </c>
      <c r="Q93" s="64">
        <v>9.34</v>
      </c>
      <c r="R93" s="198"/>
      <c r="S93" s="198"/>
      <c r="T93" s="198"/>
      <c r="U93" s="198"/>
    </row>
    <row r="94" spans="1:26" s="12" customFormat="1" x14ac:dyDescent="0.25">
      <c r="A94" s="214" t="s">
        <v>1481</v>
      </c>
      <c r="B94" s="64">
        <v>10</v>
      </c>
      <c r="C94" s="64">
        <v>11.48</v>
      </c>
      <c r="D94" s="64">
        <v>14.01</v>
      </c>
      <c r="E94" s="64">
        <v>4.8600000000000003</v>
      </c>
      <c r="F94" s="64">
        <v>5.28</v>
      </c>
      <c r="G94" s="64">
        <v>34.479999999999997</v>
      </c>
      <c r="H94" s="64">
        <v>7.74</v>
      </c>
      <c r="I94" s="64">
        <v>1.21</v>
      </c>
      <c r="J94" s="64">
        <v>0.13</v>
      </c>
      <c r="K94" s="64">
        <v>167.08</v>
      </c>
      <c r="L94" s="64">
        <v>26.13</v>
      </c>
      <c r="M94" s="64">
        <v>97.63</v>
      </c>
      <c r="N94" s="64">
        <v>30.8</v>
      </c>
      <c r="O94" s="64">
        <v>0</v>
      </c>
      <c r="P94" s="64">
        <v>0.26</v>
      </c>
      <c r="Q94" s="64">
        <v>9.34</v>
      </c>
      <c r="R94" s="198"/>
      <c r="S94" s="198"/>
      <c r="T94" s="198"/>
      <c r="U94" s="198"/>
    </row>
    <row r="95" spans="1:26" s="12" customFormat="1" x14ac:dyDescent="0.25">
      <c r="A95" s="214" t="s">
        <v>1482</v>
      </c>
      <c r="B95" s="64">
        <v>9.7100000000000009</v>
      </c>
      <c r="C95" s="64">
        <v>12.68</v>
      </c>
      <c r="D95" s="64">
        <v>14.42</v>
      </c>
      <c r="E95" s="64">
        <v>5.07</v>
      </c>
      <c r="F95" s="64">
        <v>4.91</v>
      </c>
      <c r="G95" s="64">
        <v>34.479999999999997</v>
      </c>
      <c r="H95" s="64">
        <v>7.74</v>
      </c>
      <c r="I95" s="64">
        <v>1.3</v>
      </c>
      <c r="J95" s="64">
        <v>0.18</v>
      </c>
      <c r="K95" s="64">
        <v>168.19</v>
      </c>
      <c r="L95" s="64">
        <v>26.02</v>
      </c>
      <c r="M95" s="64">
        <v>97.62</v>
      </c>
      <c r="N95" s="64">
        <v>30.7</v>
      </c>
      <c r="O95" s="64">
        <v>0</v>
      </c>
      <c r="P95" s="64">
        <v>0.28999999999999998</v>
      </c>
      <c r="Q95" s="64">
        <v>9.33</v>
      </c>
      <c r="R95" s="198"/>
      <c r="S95" s="198"/>
      <c r="T95" s="198"/>
      <c r="U95" s="198"/>
    </row>
    <row r="96" spans="1:26" s="12" customFormat="1" x14ac:dyDescent="0.25">
      <c r="A96" s="214" t="s">
        <v>1483</v>
      </c>
      <c r="B96" s="64">
        <v>7.1</v>
      </c>
      <c r="C96" s="64">
        <v>13.72</v>
      </c>
      <c r="D96" s="64">
        <v>12.86</v>
      </c>
      <c r="E96" s="64">
        <v>4.74</v>
      </c>
      <c r="F96" s="64">
        <v>7.24</v>
      </c>
      <c r="G96" s="64">
        <v>32.61</v>
      </c>
      <c r="H96" s="64">
        <v>7.6</v>
      </c>
      <c r="I96" s="64">
        <v>1.26</v>
      </c>
      <c r="J96" s="64">
        <v>0.04</v>
      </c>
      <c r="K96" s="64">
        <v>313.79000000000002</v>
      </c>
      <c r="L96" s="64">
        <v>25.88</v>
      </c>
      <c r="M96" s="64">
        <v>97.64</v>
      </c>
      <c r="N96" s="64">
        <v>30.8</v>
      </c>
      <c r="O96" s="64">
        <v>0</v>
      </c>
      <c r="P96" s="64">
        <v>0.28999999999999998</v>
      </c>
      <c r="Q96" s="64">
        <v>9.34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1484</v>
      </c>
      <c r="B97" s="64">
        <v>8.43</v>
      </c>
      <c r="C97" s="64">
        <v>14.36</v>
      </c>
      <c r="D97" s="64">
        <v>14.26</v>
      </c>
      <c r="E97" s="64">
        <v>4.79</v>
      </c>
      <c r="F97" s="64">
        <v>3.85</v>
      </c>
      <c r="G97" s="64">
        <v>31.12</v>
      </c>
      <c r="H97" s="64">
        <v>7.56</v>
      </c>
      <c r="I97" s="64">
        <v>1.17</v>
      </c>
      <c r="J97" s="64">
        <v>0.12</v>
      </c>
      <c r="K97" s="64">
        <v>140.16999999999999</v>
      </c>
      <c r="L97" s="64">
        <v>25.81</v>
      </c>
      <c r="M97" s="64">
        <v>97.65</v>
      </c>
      <c r="N97" s="64">
        <v>30.6</v>
      </c>
      <c r="O97" s="64">
        <v>0</v>
      </c>
      <c r="P97" s="64">
        <v>0.34</v>
      </c>
      <c r="Q97" s="64">
        <v>9.33</v>
      </c>
      <c r="R97" s="198"/>
      <c r="S97" s="198"/>
      <c r="T97" s="198"/>
      <c r="U97" s="198"/>
    </row>
    <row r="98" spans="1:33" s="12" customFormat="1" x14ac:dyDescent="0.25">
      <c r="A98" s="214" t="s">
        <v>1485</v>
      </c>
      <c r="B98" s="64">
        <v>9.3000000000000007</v>
      </c>
      <c r="C98" s="64">
        <v>14.91</v>
      </c>
      <c r="D98" s="64">
        <v>15.25</v>
      </c>
      <c r="E98" s="64">
        <v>4.6900000000000004</v>
      </c>
      <c r="F98" s="64">
        <v>5.05</v>
      </c>
      <c r="G98" s="64">
        <v>31.12</v>
      </c>
      <c r="H98" s="64">
        <v>7.56</v>
      </c>
      <c r="I98" s="64">
        <v>1.17</v>
      </c>
      <c r="J98" s="64">
        <v>0.34</v>
      </c>
      <c r="K98" s="64">
        <v>165.87</v>
      </c>
      <c r="L98" s="64">
        <v>25.91</v>
      </c>
      <c r="M98" s="64">
        <v>97.63</v>
      </c>
      <c r="N98" s="64">
        <v>30.5</v>
      </c>
      <c r="O98" s="64">
        <v>0.2</v>
      </c>
      <c r="P98" s="64">
        <v>0.28999999999999998</v>
      </c>
      <c r="Q98" s="64">
        <v>9.34</v>
      </c>
      <c r="R98" s="198"/>
      <c r="S98" s="198"/>
      <c r="T98" s="198"/>
      <c r="U98" s="198"/>
    </row>
    <row r="99" spans="1:33" s="12" customFormat="1" x14ac:dyDescent="0.25">
      <c r="A99" s="214" t="s">
        <v>1486</v>
      </c>
      <c r="B99" s="64">
        <v>8.98</v>
      </c>
      <c r="C99" s="64">
        <v>11.65</v>
      </c>
      <c r="D99" s="64">
        <v>13.29</v>
      </c>
      <c r="E99" s="64">
        <v>4.75</v>
      </c>
      <c r="F99" s="64">
        <v>6.06</v>
      </c>
      <c r="G99" s="64">
        <v>31.12</v>
      </c>
      <c r="H99" s="64">
        <v>7.56</v>
      </c>
      <c r="I99" s="64">
        <v>1.17</v>
      </c>
      <c r="J99" s="64">
        <v>0.3</v>
      </c>
      <c r="K99" s="64">
        <v>173.02</v>
      </c>
      <c r="L99" s="64">
        <v>25.68</v>
      </c>
      <c r="M99" s="64">
        <v>97.65</v>
      </c>
      <c r="N99" s="64">
        <v>30.8</v>
      </c>
      <c r="O99" s="64">
        <v>0</v>
      </c>
      <c r="P99" s="64">
        <v>0.25</v>
      </c>
      <c r="Q99" s="64">
        <v>9.33</v>
      </c>
      <c r="R99" s="198"/>
      <c r="S99" s="198"/>
      <c r="T99" s="198"/>
      <c r="U99" s="198"/>
    </row>
    <row r="100" spans="1:33" s="12" customFormat="1" x14ac:dyDescent="0.25">
      <c r="A100" s="214" t="s">
        <v>1487</v>
      </c>
      <c r="B100" s="64">
        <v>7.46</v>
      </c>
      <c r="C100" s="64">
        <v>11.82</v>
      </c>
      <c r="D100" s="64">
        <v>12.16</v>
      </c>
      <c r="E100" s="64">
        <v>4.62</v>
      </c>
      <c r="F100" s="64">
        <v>4.79</v>
      </c>
      <c r="G100" s="64">
        <v>29.19</v>
      </c>
      <c r="H100" s="64">
        <v>7.74</v>
      </c>
      <c r="I100" s="64">
        <v>1.17</v>
      </c>
      <c r="J100" s="64">
        <v>0.19</v>
      </c>
      <c r="K100" s="64">
        <v>188.71</v>
      </c>
      <c r="L100" s="64">
        <v>25.54</v>
      </c>
      <c r="M100" s="64">
        <v>97.66</v>
      </c>
      <c r="N100" s="64">
        <v>30.8</v>
      </c>
      <c r="O100" s="64">
        <v>0</v>
      </c>
      <c r="P100" s="64">
        <v>0.2</v>
      </c>
      <c r="Q100" s="64">
        <v>9.34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1488</v>
      </c>
      <c r="B101" s="64">
        <v>7.9</v>
      </c>
      <c r="C101" s="64">
        <v>9.86</v>
      </c>
      <c r="D101" s="64">
        <v>11.48</v>
      </c>
      <c r="E101" s="64">
        <v>4.66</v>
      </c>
      <c r="F101" s="64">
        <v>5.46</v>
      </c>
      <c r="G101" s="64">
        <v>27.65</v>
      </c>
      <c r="H101" s="64">
        <v>7.8</v>
      </c>
      <c r="I101" s="64">
        <v>1.1499999999999999</v>
      </c>
      <c r="J101" s="64">
        <v>0.16</v>
      </c>
      <c r="K101" s="64">
        <v>130.12</v>
      </c>
      <c r="L101" s="64">
        <v>25.45</v>
      </c>
      <c r="M101" s="64">
        <v>97.73</v>
      </c>
      <c r="N101" s="64">
        <v>30.6</v>
      </c>
      <c r="O101" s="64">
        <v>0</v>
      </c>
      <c r="P101" s="64">
        <v>0.23</v>
      </c>
      <c r="Q101" s="64">
        <v>9.34</v>
      </c>
      <c r="R101" s="198"/>
      <c r="S101" s="198"/>
      <c r="T101" s="198"/>
      <c r="U101" s="198"/>
    </row>
    <row r="102" spans="1:33" s="12" customFormat="1" x14ac:dyDescent="0.25">
      <c r="A102" s="214" t="s">
        <v>1489</v>
      </c>
      <c r="B102" s="64">
        <v>6.24</v>
      </c>
      <c r="C102" s="64">
        <v>11.07</v>
      </c>
      <c r="D102" s="64">
        <v>10.79</v>
      </c>
      <c r="E102" s="64">
        <v>4.91</v>
      </c>
      <c r="F102" s="64">
        <v>6.81</v>
      </c>
      <c r="G102" s="64">
        <v>27.65</v>
      </c>
      <c r="H102" s="64">
        <v>7.8</v>
      </c>
      <c r="I102" s="64">
        <v>1.1399999999999999</v>
      </c>
      <c r="J102" s="64">
        <v>0.43</v>
      </c>
      <c r="K102" s="64">
        <v>116.38</v>
      </c>
      <c r="L102" s="64">
        <v>25.42</v>
      </c>
      <c r="M102" s="64">
        <v>97.73</v>
      </c>
      <c r="N102" s="64">
        <v>30.6</v>
      </c>
      <c r="O102" s="64">
        <v>0</v>
      </c>
      <c r="P102" s="64">
        <v>0.16</v>
      </c>
      <c r="Q102" s="64">
        <v>9.34</v>
      </c>
      <c r="R102" s="198"/>
      <c r="S102" s="198"/>
      <c r="T102" s="198"/>
      <c r="U102" s="198"/>
    </row>
    <row r="103" spans="1:33" s="12" customFormat="1" x14ac:dyDescent="0.25">
      <c r="A103" s="214" t="s">
        <v>1490</v>
      </c>
      <c r="B103" s="64">
        <v>6.08</v>
      </c>
      <c r="C103" s="64">
        <v>8.98</v>
      </c>
      <c r="D103" s="64">
        <v>9.57</v>
      </c>
      <c r="E103" s="64">
        <v>4.5999999999999996</v>
      </c>
      <c r="F103" s="64">
        <v>5.46</v>
      </c>
      <c r="G103" s="64">
        <v>27.65</v>
      </c>
      <c r="H103" s="64">
        <v>7.8</v>
      </c>
      <c r="I103" s="64">
        <v>1.1299999999999999</v>
      </c>
      <c r="J103" s="64">
        <v>0.49</v>
      </c>
      <c r="K103" s="64">
        <v>122.92</v>
      </c>
      <c r="L103" s="64">
        <v>25.36</v>
      </c>
      <c r="M103" s="64">
        <v>97.72</v>
      </c>
      <c r="N103" s="64">
        <v>30.6</v>
      </c>
      <c r="O103" s="64">
        <v>0</v>
      </c>
      <c r="P103" s="64">
        <v>0.22</v>
      </c>
      <c r="Q103" s="64">
        <v>9.34</v>
      </c>
      <c r="R103" s="198"/>
      <c r="S103" s="198"/>
      <c r="T103" s="198"/>
      <c r="U103" s="198"/>
    </row>
    <row r="104" spans="1:33" s="12" customFormat="1" x14ac:dyDescent="0.25">
      <c r="A104" s="214" t="s">
        <v>1491</v>
      </c>
      <c r="B104" s="64">
        <v>5.77</v>
      </c>
      <c r="C104" s="64">
        <v>7.63</v>
      </c>
      <c r="D104" s="64">
        <v>8.61</v>
      </c>
      <c r="E104" s="64">
        <v>3.86</v>
      </c>
      <c r="F104" s="64">
        <v>6.64</v>
      </c>
      <c r="G104" s="64">
        <v>26.38</v>
      </c>
      <c r="H104" s="64">
        <v>7.86</v>
      </c>
      <c r="I104" s="64">
        <v>1.1200000000000001</v>
      </c>
      <c r="J104" s="64">
        <v>0.35</v>
      </c>
      <c r="K104" s="64">
        <v>127.21</v>
      </c>
      <c r="L104" s="64">
        <v>25.21</v>
      </c>
      <c r="M104" s="64">
        <v>97.77</v>
      </c>
      <c r="N104" s="64">
        <v>30.8</v>
      </c>
      <c r="O104" s="64">
        <v>0</v>
      </c>
      <c r="P104" s="64">
        <v>0.19</v>
      </c>
      <c r="Q104" s="64">
        <v>9.33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4.05</v>
      </c>
      <c r="C106" s="67">
        <f>MIN(C9:C104)</f>
        <v>5.89</v>
      </c>
      <c r="D106" s="67">
        <f t="shared" ref="D106:Q106" si="0">MIN(D9:D104)</f>
        <v>7.54</v>
      </c>
      <c r="E106" s="67">
        <f t="shared" si="0"/>
        <v>3.86</v>
      </c>
      <c r="F106" s="67">
        <f t="shared" si="0"/>
        <v>3.85</v>
      </c>
      <c r="G106" s="67">
        <f t="shared" si="0"/>
        <v>21.23</v>
      </c>
      <c r="H106" s="67">
        <f t="shared" si="0"/>
        <v>6.28</v>
      </c>
      <c r="I106" s="67">
        <f t="shared" si="0"/>
        <v>1.05</v>
      </c>
      <c r="J106" s="67">
        <f t="shared" si="0"/>
        <v>0</v>
      </c>
      <c r="K106" s="67">
        <f t="shared" si="0"/>
        <v>4.1100000000000003</v>
      </c>
      <c r="L106" s="67">
        <f t="shared" si="0"/>
        <v>23.6</v>
      </c>
      <c r="M106" s="67">
        <f t="shared" si="0"/>
        <v>74.48</v>
      </c>
      <c r="N106" s="67">
        <f t="shared" si="0"/>
        <v>30.3</v>
      </c>
      <c r="O106" s="67">
        <f t="shared" si="0"/>
        <v>0</v>
      </c>
      <c r="P106" s="67">
        <f t="shared" si="0"/>
        <v>0.16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24.15</v>
      </c>
      <c r="C107" s="66">
        <f t="shared" ref="C107:Q107" si="1">MAX(C9:C104)</f>
        <v>17.95</v>
      </c>
      <c r="D107" s="66">
        <f t="shared" si="1"/>
        <v>24.31</v>
      </c>
      <c r="E107" s="66">
        <f t="shared" si="1"/>
        <v>5.38</v>
      </c>
      <c r="F107" s="66">
        <f t="shared" si="1"/>
        <v>14.54</v>
      </c>
      <c r="G107" s="66">
        <f t="shared" si="1"/>
        <v>95.99</v>
      </c>
      <c r="H107" s="66">
        <f t="shared" si="1"/>
        <v>9.98</v>
      </c>
      <c r="I107" s="66">
        <f t="shared" si="1"/>
        <v>2.35</v>
      </c>
      <c r="J107" s="66">
        <f t="shared" si="1"/>
        <v>1.74</v>
      </c>
      <c r="K107" s="66">
        <f t="shared" si="1"/>
        <v>341.44</v>
      </c>
      <c r="L107" s="66">
        <f t="shared" si="1"/>
        <v>30.18</v>
      </c>
      <c r="M107" s="66">
        <f t="shared" si="1"/>
        <v>97.77</v>
      </c>
      <c r="N107" s="66">
        <f t="shared" si="1"/>
        <v>944.3</v>
      </c>
      <c r="O107" s="66">
        <f t="shared" si="1"/>
        <v>0.2</v>
      </c>
      <c r="P107" s="66">
        <f t="shared" si="1"/>
        <v>0.68</v>
      </c>
      <c r="Q107" s="66">
        <f t="shared" si="1"/>
        <v>9.57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9.0770833333333325</v>
      </c>
      <c r="C108" s="67">
        <f t="shared" ref="C108:Q108" si="2">AVERAGE(C9:C104)</f>
        <v>9.5316666666666663</v>
      </c>
      <c r="D108" s="67">
        <f t="shared" si="2"/>
        <v>12.260624999999996</v>
      </c>
      <c r="E108" s="67">
        <f t="shared" si="2"/>
        <v>4.6914583333333351</v>
      </c>
      <c r="F108" s="67">
        <f t="shared" si="2"/>
        <v>8.7789583333333319</v>
      </c>
      <c r="G108" s="67">
        <f t="shared" si="2"/>
        <v>42.422812500000013</v>
      </c>
      <c r="H108" s="67">
        <f t="shared" si="2"/>
        <v>7.6840625000000005</v>
      </c>
      <c r="I108" s="67">
        <f t="shared" si="2"/>
        <v>1.4936458333333327</v>
      </c>
      <c r="J108" s="67">
        <f t="shared" si="2"/>
        <v>0.45187499999999997</v>
      </c>
      <c r="K108" s="67">
        <f t="shared" si="2"/>
        <v>160.64083333333335</v>
      </c>
      <c r="L108" s="67">
        <f t="shared" si="2"/>
        <v>26.743541666666669</v>
      </c>
      <c r="M108" s="67">
        <f t="shared" si="2"/>
        <v>92.112291666666678</v>
      </c>
      <c r="N108" s="67">
        <f t="shared" si="2"/>
        <v>197.09583333333322</v>
      </c>
      <c r="O108" s="67">
        <f t="shared" si="2"/>
        <v>4.1666666666666666E-3</v>
      </c>
      <c r="P108" s="67">
        <f t="shared" si="2"/>
        <v>0.3472916666666665</v>
      </c>
      <c r="Q108" s="67">
        <f t="shared" si="2"/>
        <v>9.2896874999999977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3.5260951763930706</v>
      </c>
      <c r="C109" s="67">
        <f t="shared" ref="C109:Q109" si="3">STDEV(C9:C104)</f>
        <v>2.6412826496018438</v>
      </c>
      <c r="D109" s="67">
        <f t="shared" si="3"/>
        <v>2.9777079891119556</v>
      </c>
      <c r="E109" s="67">
        <f t="shared" si="3"/>
        <v>0.28991461235360377</v>
      </c>
      <c r="F109" s="67">
        <f t="shared" si="3"/>
        <v>2.7927102396160199</v>
      </c>
      <c r="G109" s="67">
        <f t="shared" si="3"/>
        <v>18.235912382648465</v>
      </c>
      <c r="H109" s="67">
        <f t="shared" si="3"/>
        <v>1.3076170195194292</v>
      </c>
      <c r="I109" s="67">
        <f t="shared" si="3"/>
        <v>0.37398316818771732</v>
      </c>
      <c r="J109" s="67">
        <f t="shared" si="3"/>
        <v>0.37941592924971018</v>
      </c>
      <c r="K109" s="67">
        <f t="shared" si="3"/>
        <v>70.713490347973732</v>
      </c>
      <c r="L109" s="67">
        <f t="shared" si="3"/>
        <v>2.2415065324659929</v>
      </c>
      <c r="M109" s="67">
        <f t="shared" si="3"/>
        <v>7.5710291978062729</v>
      </c>
      <c r="N109" s="67">
        <f t="shared" si="3"/>
        <v>268.02606664932574</v>
      </c>
      <c r="O109" s="67">
        <f t="shared" si="3"/>
        <v>2.8715177232759195E-2</v>
      </c>
      <c r="P109" s="67">
        <f t="shared" si="3"/>
        <v>9.9159405601780326E-2</v>
      </c>
      <c r="Q109" s="67">
        <f t="shared" si="3"/>
        <v>0.96292149007725647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1492</v>
      </c>
      <c r="B9" s="64">
        <v>5.72</v>
      </c>
      <c r="C9" s="64">
        <v>7.91</v>
      </c>
      <c r="D9" s="64">
        <v>8.7200000000000006</v>
      </c>
      <c r="E9" s="64">
        <v>4.22</v>
      </c>
      <c r="F9" s="64">
        <v>8.51</v>
      </c>
      <c r="G9" s="64">
        <v>25.41</v>
      </c>
      <c r="H9" s="64">
        <v>7.88</v>
      </c>
      <c r="I9" s="64">
        <v>1.18</v>
      </c>
      <c r="J9" s="64">
        <v>0.1</v>
      </c>
      <c r="K9" s="64">
        <v>135.69</v>
      </c>
      <c r="L9" s="64">
        <v>25.05</v>
      </c>
      <c r="M9" s="64">
        <v>97.8</v>
      </c>
      <c r="N9" s="64">
        <v>30.9</v>
      </c>
      <c r="O9" s="64">
        <v>0</v>
      </c>
      <c r="P9" s="64">
        <v>0.19</v>
      </c>
      <c r="Q9" s="64">
        <v>9.34</v>
      </c>
      <c r="R9" s="198"/>
      <c r="S9" s="198"/>
      <c r="T9" s="198"/>
      <c r="U9" s="198"/>
    </row>
    <row r="10" spans="1:21" s="12" customFormat="1" x14ac:dyDescent="0.25">
      <c r="A10" s="214" t="s">
        <v>1493</v>
      </c>
      <c r="B10" s="64">
        <v>5.19</v>
      </c>
      <c r="C10" s="64">
        <v>6.59</v>
      </c>
      <c r="D10" s="64">
        <v>7.61</v>
      </c>
      <c r="E10" s="64">
        <v>3.94</v>
      </c>
      <c r="F10" s="64">
        <v>9.1300000000000008</v>
      </c>
      <c r="G10" s="64">
        <v>25.41</v>
      </c>
      <c r="H10" s="64">
        <v>7.88</v>
      </c>
      <c r="I10" s="64">
        <v>1.1499999999999999</v>
      </c>
      <c r="J10" s="64">
        <v>0.08</v>
      </c>
      <c r="K10" s="64">
        <v>127.5</v>
      </c>
      <c r="L10" s="64">
        <v>24.94</v>
      </c>
      <c r="M10" s="64">
        <v>97.8</v>
      </c>
      <c r="N10" s="64">
        <v>30.8</v>
      </c>
      <c r="O10" s="64">
        <v>0</v>
      </c>
      <c r="P10" s="64">
        <v>0.17</v>
      </c>
      <c r="Q10" s="64">
        <v>9.3699999999999992</v>
      </c>
      <c r="R10" s="198"/>
      <c r="S10" s="198"/>
      <c r="T10" s="198"/>
      <c r="U10" s="198"/>
    </row>
    <row r="11" spans="1:21" s="12" customFormat="1" x14ac:dyDescent="0.25">
      <c r="A11" s="214" t="s">
        <v>1494</v>
      </c>
      <c r="B11" s="64">
        <v>5.32</v>
      </c>
      <c r="C11" s="64">
        <v>7.06</v>
      </c>
      <c r="D11" s="64">
        <v>7.96</v>
      </c>
      <c r="E11" s="64">
        <v>3.95</v>
      </c>
      <c r="F11" s="64">
        <v>9.1199999999999992</v>
      </c>
      <c r="G11" s="64">
        <v>25.41</v>
      </c>
      <c r="H11" s="64">
        <v>7.88</v>
      </c>
      <c r="I11" s="64">
        <v>1.08</v>
      </c>
      <c r="J11" s="64">
        <v>0.65</v>
      </c>
      <c r="K11" s="64">
        <v>127.04</v>
      </c>
      <c r="L11" s="64">
        <v>24.98</v>
      </c>
      <c r="M11" s="64">
        <v>97.81</v>
      </c>
      <c r="N11" s="64">
        <v>30.4</v>
      </c>
      <c r="O11" s="64">
        <v>0</v>
      </c>
      <c r="P11" s="64">
        <v>0.16</v>
      </c>
      <c r="Q11" s="64">
        <v>9.36</v>
      </c>
      <c r="R11" s="198"/>
      <c r="S11" s="198"/>
      <c r="T11" s="198"/>
      <c r="U11" s="198"/>
    </row>
    <row r="12" spans="1:21" s="12" customFormat="1" x14ac:dyDescent="0.25">
      <c r="A12" s="214" t="s">
        <v>1495</v>
      </c>
      <c r="B12" s="64">
        <v>4.99</v>
      </c>
      <c r="C12" s="64">
        <v>7.94</v>
      </c>
      <c r="D12" s="64">
        <v>8.15</v>
      </c>
      <c r="E12" s="64">
        <v>4.08</v>
      </c>
      <c r="F12" s="64">
        <v>8.6999999999999993</v>
      </c>
      <c r="G12" s="64">
        <v>25.31</v>
      </c>
      <c r="H12" s="64">
        <v>7.82</v>
      </c>
      <c r="I12" s="64">
        <v>1.1399999999999999</v>
      </c>
      <c r="J12" s="64">
        <v>0.46</v>
      </c>
      <c r="K12" s="64">
        <v>141.16999999999999</v>
      </c>
      <c r="L12" s="64">
        <v>25.03</v>
      </c>
      <c r="M12" s="64">
        <v>97.82</v>
      </c>
      <c r="N12" s="64">
        <v>30.6</v>
      </c>
      <c r="O12" s="64">
        <v>0</v>
      </c>
      <c r="P12" s="64">
        <v>0.18</v>
      </c>
      <c r="Q12" s="64">
        <v>9.36</v>
      </c>
      <c r="R12" s="198"/>
      <c r="S12" s="198"/>
      <c r="T12" s="198"/>
      <c r="U12" s="198"/>
    </row>
    <row r="13" spans="1:21" s="12" customFormat="1" x14ac:dyDescent="0.25">
      <c r="A13" s="214" t="s">
        <v>1496</v>
      </c>
      <c r="B13" s="64">
        <v>5.04</v>
      </c>
      <c r="C13" s="64">
        <v>8.4</v>
      </c>
      <c r="D13" s="64">
        <v>8.43</v>
      </c>
      <c r="E13" s="64">
        <v>3.95</v>
      </c>
      <c r="F13" s="64">
        <v>7.17</v>
      </c>
      <c r="G13" s="64">
        <v>25.23</v>
      </c>
      <c r="H13" s="64">
        <v>7.78</v>
      </c>
      <c r="I13" s="64">
        <v>1.1100000000000001</v>
      </c>
      <c r="J13" s="64">
        <v>0.2</v>
      </c>
      <c r="K13" s="64">
        <v>140.87</v>
      </c>
      <c r="L13" s="64">
        <v>24.97</v>
      </c>
      <c r="M13" s="64">
        <v>97.82</v>
      </c>
      <c r="N13" s="64">
        <v>30.7</v>
      </c>
      <c r="O13" s="64">
        <v>0</v>
      </c>
      <c r="P13" s="64">
        <v>0.18</v>
      </c>
      <c r="Q13" s="64">
        <v>9.36</v>
      </c>
      <c r="R13" s="198"/>
      <c r="S13" s="198"/>
      <c r="T13" s="198"/>
      <c r="U13" s="198"/>
    </row>
    <row r="14" spans="1:21" s="12" customFormat="1" x14ac:dyDescent="0.25">
      <c r="A14" s="214" t="s">
        <v>1497</v>
      </c>
      <c r="B14" s="64">
        <v>5.45</v>
      </c>
      <c r="C14" s="64">
        <v>8.33</v>
      </c>
      <c r="D14" s="64">
        <v>8.7200000000000006</v>
      </c>
      <c r="E14" s="64">
        <v>4.25</v>
      </c>
      <c r="F14" s="64">
        <v>9.69</v>
      </c>
      <c r="G14" s="64">
        <v>25.23</v>
      </c>
      <c r="H14" s="64">
        <v>7.78</v>
      </c>
      <c r="I14" s="64">
        <v>1.05</v>
      </c>
      <c r="J14" s="64">
        <v>0.41</v>
      </c>
      <c r="K14" s="64">
        <v>117.1</v>
      </c>
      <c r="L14" s="64">
        <v>24.99</v>
      </c>
      <c r="M14" s="64">
        <v>97.81</v>
      </c>
      <c r="N14" s="64">
        <v>30.6</v>
      </c>
      <c r="O14" s="64">
        <v>0</v>
      </c>
      <c r="P14" s="64">
        <v>0.19</v>
      </c>
      <c r="Q14" s="64">
        <v>9.35</v>
      </c>
      <c r="R14" s="198"/>
      <c r="S14" s="198"/>
      <c r="T14" s="198"/>
      <c r="U14" s="198"/>
    </row>
    <row r="15" spans="1:21" s="12" customFormat="1" x14ac:dyDescent="0.25">
      <c r="A15" s="214" t="s">
        <v>1498</v>
      </c>
      <c r="B15" s="64">
        <v>5.23</v>
      </c>
      <c r="C15" s="64">
        <v>9.3800000000000008</v>
      </c>
      <c r="D15" s="64">
        <v>9.09</v>
      </c>
      <c r="E15" s="64">
        <v>4.1900000000000004</v>
      </c>
      <c r="F15" s="64">
        <v>6.82</v>
      </c>
      <c r="G15" s="64">
        <v>25.23</v>
      </c>
      <c r="H15" s="64">
        <v>7.78</v>
      </c>
      <c r="I15" s="64">
        <v>1.1299999999999999</v>
      </c>
      <c r="J15" s="64">
        <v>0.27</v>
      </c>
      <c r="K15" s="64">
        <v>127.77</v>
      </c>
      <c r="L15" s="64">
        <v>24.9</v>
      </c>
      <c r="M15" s="64">
        <v>97.83</v>
      </c>
      <c r="N15" s="64">
        <v>30.7</v>
      </c>
      <c r="O15" s="64">
        <v>0</v>
      </c>
      <c r="P15" s="64">
        <v>0.18</v>
      </c>
      <c r="Q15" s="64">
        <v>9.34</v>
      </c>
      <c r="R15" s="198"/>
      <c r="S15" s="198"/>
      <c r="T15" s="198"/>
      <c r="U15" s="198"/>
    </row>
    <row r="16" spans="1:21" s="12" customFormat="1" x14ac:dyDescent="0.25">
      <c r="A16" s="214" t="s">
        <v>1499</v>
      </c>
      <c r="B16" s="64">
        <v>5.34</v>
      </c>
      <c r="C16" s="64">
        <v>8.9</v>
      </c>
      <c r="D16" s="64">
        <v>8.93</v>
      </c>
      <c r="E16" s="64">
        <v>3.92</v>
      </c>
      <c r="F16" s="64">
        <v>7.72</v>
      </c>
      <c r="G16" s="64">
        <v>26.66</v>
      </c>
      <c r="H16" s="64">
        <v>7.74</v>
      </c>
      <c r="I16" s="64">
        <v>1.18</v>
      </c>
      <c r="J16" s="64">
        <v>0.1</v>
      </c>
      <c r="K16" s="64">
        <v>115.06</v>
      </c>
      <c r="L16" s="64">
        <v>24.76</v>
      </c>
      <c r="M16" s="64">
        <v>97.85</v>
      </c>
      <c r="N16" s="64">
        <v>30.8</v>
      </c>
      <c r="O16" s="64">
        <v>0</v>
      </c>
      <c r="P16" s="64">
        <v>0.22</v>
      </c>
      <c r="Q16" s="64">
        <v>9.34</v>
      </c>
      <c r="R16" s="198"/>
      <c r="S16" s="198"/>
      <c r="T16" s="198"/>
      <c r="U16" s="198"/>
    </row>
    <row r="17" spans="1:21" s="12" customFormat="1" x14ac:dyDescent="0.25">
      <c r="A17" s="214" t="s">
        <v>1500</v>
      </c>
      <c r="B17" s="64">
        <v>4.9800000000000004</v>
      </c>
      <c r="C17" s="64">
        <v>9.42</v>
      </c>
      <c r="D17" s="64">
        <v>8.91</v>
      </c>
      <c r="E17" s="64">
        <v>4.03</v>
      </c>
      <c r="F17" s="64">
        <v>6.98</v>
      </c>
      <c r="G17" s="64">
        <v>27.81</v>
      </c>
      <c r="H17" s="64">
        <v>7.72</v>
      </c>
      <c r="I17" s="64">
        <v>1.08</v>
      </c>
      <c r="J17" s="64">
        <v>0.22</v>
      </c>
      <c r="K17" s="64">
        <v>122.48</v>
      </c>
      <c r="L17" s="64">
        <v>24.69</v>
      </c>
      <c r="M17" s="64">
        <v>97.84</v>
      </c>
      <c r="N17" s="64">
        <v>30.7</v>
      </c>
      <c r="O17" s="64">
        <v>0</v>
      </c>
      <c r="P17" s="64">
        <v>0.18</v>
      </c>
      <c r="Q17" s="64">
        <v>9.32</v>
      </c>
      <c r="R17" s="198"/>
      <c r="S17" s="198"/>
      <c r="T17" s="198"/>
      <c r="U17" s="198"/>
    </row>
    <row r="18" spans="1:21" s="12" customFormat="1" x14ac:dyDescent="0.25">
      <c r="A18" s="214" t="s">
        <v>1501</v>
      </c>
      <c r="B18" s="64">
        <v>4.32</v>
      </c>
      <c r="C18" s="64">
        <v>8.76</v>
      </c>
      <c r="D18" s="64">
        <v>8.0399999999999991</v>
      </c>
      <c r="E18" s="64">
        <v>4.13</v>
      </c>
      <c r="F18" s="64">
        <v>8.09</v>
      </c>
      <c r="G18" s="64">
        <v>27.81</v>
      </c>
      <c r="H18" s="64">
        <v>7.72</v>
      </c>
      <c r="I18" s="64">
        <v>1.02</v>
      </c>
      <c r="J18" s="64">
        <v>0.4</v>
      </c>
      <c r="K18" s="64">
        <v>125.49</v>
      </c>
      <c r="L18" s="64">
        <v>24.74</v>
      </c>
      <c r="M18" s="64">
        <v>97.76</v>
      </c>
      <c r="N18" s="64">
        <v>30.6</v>
      </c>
      <c r="O18" s="64">
        <v>0</v>
      </c>
      <c r="P18" s="64">
        <v>0.16</v>
      </c>
      <c r="Q18" s="64">
        <v>9.31</v>
      </c>
      <c r="R18" s="198"/>
      <c r="S18" s="198"/>
      <c r="T18" s="198"/>
      <c r="U18" s="198"/>
    </row>
    <row r="19" spans="1:21" s="12" customFormat="1" x14ac:dyDescent="0.25">
      <c r="A19" s="214" t="s">
        <v>1502</v>
      </c>
      <c r="B19" s="64">
        <v>5.03</v>
      </c>
      <c r="C19" s="64">
        <v>7.56</v>
      </c>
      <c r="D19" s="64">
        <v>7.98</v>
      </c>
      <c r="E19" s="64">
        <v>4.03</v>
      </c>
      <c r="F19" s="64">
        <v>4.67</v>
      </c>
      <c r="G19" s="64">
        <v>27.81</v>
      </c>
      <c r="H19" s="64">
        <v>7.72</v>
      </c>
      <c r="I19" s="64">
        <v>1.08</v>
      </c>
      <c r="J19" s="64">
        <v>0.44</v>
      </c>
      <c r="K19" s="64">
        <v>126.67</v>
      </c>
      <c r="L19" s="64">
        <v>24.69</v>
      </c>
      <c r="M19" s="64">
        <v>97.8</v>
      </c>
      <c r="N19" s="64">
        <v>30.7</v>
      </c>
      <c r="O19" s="64">
        <v>0</v>
      </c>
      <c r="P19" s="64">
        <v>0.18</v>
      </c>
      <c r="Q19" s="64">
        <v>9.3000000000000007</v>
      </c>
      <c r="R19" s="198"/>
      <c r="S19" s="198"/>
      <c r="T19" s="198"/>
      <c r="U19" s="198"/>
    </row>
    <row r="20" spans="1:21" s="12" customFormat="1" x14ac:dyDescent="0.25">
      <c r="A20" s="214" t="s">
        <v>1503</v>
      </c>
      <c r="B20" s="64">
        <v>4.8099999999999996</v>
      </c>
      <c r="C20" s="64">
        <v>8.2899999999999991</v>
      </c>
      <c r="D20" s="64">
        <v>8.19</v>
      </c>
      <c r="E20" s="64">
        <v>4.07</v>
      </c>
      <c r="F20" s="64">
        <v>4.88</v>
      </c>
      <c r="G20" s="64">
        <v>25.34</v>
      </c>
      <c r="H20" s="64">
        <v>7.71</v>
      </c>
      <c r="I20" s="64">
        <v>1.1200000000000001</v>
      </c>
      <c r="J20" s="64">
        <v>0.3</v>
      </c>
      <c r="K20" s="64">
        <v>145.69999999999999</v>
      </c>
      <c r="L20" s="64">
        <v>24.62</v>
      </c>
      <c r="M20" s="64">
        <v>97.86</v>
      </c>
      <c r="N20" s="64">
        <v>30.8</v>
      </c>
      <c r="O20" s="64">
        <v>0</v>
      </c>
      <c r="P20" s="64">
        <v>0.14000000000000001</v>
      </c>
      <c r="Q20" s="64">
        <v>9.3000000000000007</v>
      </c>
      <c r="R20" s="198"/>
      <c r="S20" s="198"/>
      <c r="T20" s="198"/>
      <c r="U20" s="198"/>
    </row>
    <row r="21" spans="1:21" s="12" customFormat="1" x14ac:dyDescent="0.25">
      <c r="A21" s="214" t="s">
        <v>1504</v>
      </c>
      <c r="B21" s="64">
        <v>5.38</v>
      </c>
      <c r="C21" s="64">
        <v>7.76</v>
      </c>
      <c r="D21" s="64">
        <v>8.36</v>
      </c>
      <c r="E21" s="64">
        <v>3.83</v>
      </c>
      <c r="F21" s="64">
        <v>5.56</v>
      </c>
      <c r="G21" s="64">
        <v>23.37</v>
      </c>
      <c r="H21" s="64">
        <v>7.71</v>
      </c>
      <c r="I21" s="64">
        <v>1.1100000000000001</v>
      </c>
      <c r="J21" s="64">
        <v>0.15</v>
      </c>
      <c r="K21" s="64">
        <v>151.83000000000001</v>
      </c>
      <c r="L21" s="64">
        <v>24.49</v>
      </c>
      <c r="M21" s="64">
        <v>97.88</v>
      </c>
      <c r="N21" s="64">
        <v>30.9</v>
      </c>
      <c r="O21" s="64">
        <v>0</v>
      </c>
      <c r="P21" s="64">
        <v>0.19</v>
      </c>
      <c r="Q21" s="64">
        <v>9.3000000000000007</v>
      </c>
      <c r="R21" s="198"/>
      <c r="S21" s="198"/>
      <c r="T21" s="198"/>
      <c r="U21" s="198"/>
    </row>
    <row r="22" spans="1:21" s="12" customFormat="1" x14ac:dyDescent="0.25">
      <c r="A22" s="214" t="s">
        <v>1505</v>
      </c>
      <c r="B22" s="64">
        <v>5.26</v>
      </c>
      <c r="C22" s="64">
        <v>7.69</v>
      </c>
      <c r="D22" s="64">
        <v>8.23</v>
      </c>
      <c r="E22" s="64">
        <v>4.05</v>
      </c>
      <c r="F22" s="64">
        <v>5.41</v>
      </c>
      <c r="G22" s="64">
        <v>23.37</v>
      </c>
      <c r="H22" s="64">
        <v>7.71</v>
      </c>
      <c r="I22" s="64">
        <v>1.1000000000000001</v>
      </c>
      <c r="J22" s="64">
        <v>0.2</v>
      </c>
      <c r="K22" s="64">
        <v>117.82</v>
      </c>
      <c r="L22" s="64">
        <v>24.38</v>
      </c>
      <c r="M22" s="64">
        <v>98.04</v>
      </c>
      <c r="N22" s="64">
        <v>30.7</v>
      </c>
      <c r="O22" s="64">
        <v>0</v>
      </c>
      <c r="P22" s="64">
        <v>0.14000000000000001</v>
      </c>
      <c r="Q22" s="64">
        <v>9.3000000000000007</v>
      </c>
      <c r="R22" s="198"/>
      <c r="S22" s="198"/>
      <c r="T22" s="198"/>
      <c r="U22" s="198"/>
    </row>
    <row r="23" spans="1:21" s="12" customFormat="1" x14ac:dyDescent="0.25">
      <c r="A23" s="214" t="s">
        <v>1506</v>
      </c>
      <c r="B23" s="64">
        <v>6.08</v>
      </c>
      <c r="C23" s="64">
        <v>6.81</v>
      </c>
      <c r="D23" s="64">
        <v>8.44</v>
      </c>
      <c r="E23" s="64">
        <v>3.83</v>
      </c>
      <c r="F23" s="64">
        <v>5.86</v>
      </c>
      <c r="G23" s="64">
        <v>23.37</v>
      </c>
      <c r="H23" s="64">
        <v>7.71</v>
      </c>
      <c r="I23" s="64">
        <v>1.0900000000000001</v>
      </c>
      <c r="J23" s="64">
        <v>0.11</v>
      </c>
      <c r="K23" s="64">
        <v>142.22</v>
      </c>
      <c r="L23" s="64">
        <v>24.32</v>
      </c>
      <c r="M23" s="64">
        <v>98.15</v>
      </c>
      <c r="N23" s="64">
        <v>30.8</v>
      </c>
      <c r="O23" s="64">
        <v>0</v>
      </c>
      <c r="P23" s="64">
        <v>0.18</v>
      </c>
      <c r="Q23" s="64">
        <v>9.2899999999999991</v>
      </c>
      <c r="R23" s="198"/>
      <c r="S23" s="198"/>
      <c r="T23" s="198"/>
      <c r="U23" s="198"/>
    </row>
    <row r="24" spans="1:21" s="12" customFormat="1" x14ac:dyDescent="0.25">
      <c r="A24" s="214" t="s">
        <v>1507</v>
      </c>
      <c r="B24" s="64">
        <v>5.0999999999999996</v>
      </c>
      <c r="C24" s="64">
        <v>8.2799999999999994</v>
      </c>
      <c r="D24" s="64">
        <v>8.42</v>
      </c>
      <c r="E24" s="64">
        <v>3.79</v>
      </c>
      <c r="F24" s="64">
        <v>6.29</v>
      </c>
      <c r="G24" s="64">
        <v>20.62</v>
      </c>
      <c r="H24" s="64">
        <v>7.75</v>
      </c>
      <c r="I24" s="64">
        <v>1.08</v>
      </c>
      <c r="J24" s="64">
        <v>0.34</v>
      </c>
      <c r="K24" s="64">
        <v>120.32</v>
      </c>
      <c r="L24" s="64">
        <v>24.33</v>
      </c>
      <c r="M24" s="64">
        <v>98.13</v>
      </c>
      <c r="N24" s="64">
        <v>30.7</v>
      </c>
      <c r="O24" s="64">
        <v>0</v>
      </c>
      <c r="P24" s="64">
        <v>0.13</v>
      </c>
      <c r="Q24" s="64">
        <v>9.2899999999999991</v>
      </c>
      <c r="R24" s="198"/>
      <c r="S24" s="198"/>
      <c r="T24" s="198"/>
      <c r="U24" s="198"/>
    </row>
    <row r="25" spans="1:21" s="12" customFormat="1" x14ac:dyDescent="0.25">
      <c r="A25" s="214" t="s">
        <v>1508</v>
      </c>
      <c r="B25" s="64">
        <v>5.81</v>
      </c>
      <c r="C25" s="64">
        <v>7</v>
      </c>
      <c r="D25" s="64">
        <v>8.32</v>
      </c>
      <c r="E25" s="64">
        <v>3.89</v>
      </c>
      <c r="F25" s="64">
        <v>7.22</v>
      </c>
      <c r="G25" s="64">
        <v>18.43</v>
      </c>
      <c r="H25" s="64">
        <v>7.76</v>
      </c>
      <c r="I25" s="64">
        <v>1.06</v>
      </c>
      <c r="J25" s="64">
        <v>0.45</v>
      </c>
      <c r="K25" s="64">
        <v>122.4</v>
      </c>
      <c r="L25" s="64">
        <v>24.32</v>
      </c>
      <c r="M25" s="64">
        <v>98.09</v>
      </c>
      <c r="N25" s="64">
        <v>30.7</v>
      </c>
      <c r="O25" s="64">
        <v>0</v>
      </c>
      <c r="P25" s="64">
        <v>0.18</v>
      </c>
      <c r="Q25" s="64">
        <v>9.2899999999999991</v>
      </c>
      <c r="R25" s="198"/>
      <c r="S25" s="198"/>
      <c r="T25" s="198"/>
      <c r="U25" s="198"/>
    </row>
    <row r="26" spans="1:21" s="12" customFormat="1" x14ac:dyDescent="0.25">
      <c r="A26" s="214" t="s">
        <v>1509</v>
      </c>
      <c r="B26" s="64">
        <v>5.51</v>
      </c>
      <c r="C26" s="64">
        <v>6.73</v>
      </c>
      <c r="D26" s="64">
        <v>7.94</v>
      </c>
      <c r="E26" s="64">
        <v>4.03</v>
      </c>
      <c r="F26" s="64">
        <v>9.2899999999999991</v>
      </c>
      <c r="G26" s="64">
        <v>18.43</v>
      </c>
      <c r="H26" s="64">
        <v>7.76</v>
      </c>
      <c r="I26" s="64">
        <v>1.05</v>
      </c>
      <c r="J26" s="64">
        <v>0.7</v>
      </c>
      <c r="K26" s="64">
        <v>126.11</v>
      </c>
      <c r="L26" s="64">
        <v>24.27</v>
      </c>
      <c r="M26" s="64">
        <v>98.02</v>
      </c>
      <c r="N26" s="64">
        <v>30.8</v>
      </c>
      <c r="O26" s="64">
        <v>0</v>
      </c>
      <c r="P26" s="64">
        <v>0.14000000000000001</v>
      </c>
      <c r="Q26" s="64">
        <v>9.3000000000000007</v>
      </c>
      <c r="R26" s="198"/>
      <c r="S26" s="198"/>
      <c r="T26" s="198"/>
      <c r="U26" s="198"/>
    </row>
    <row r="27" spans="1:21" s="12" customFormat="1" x14ac:dyDescent="0.25">
      <c r="A27" s="214" t="s">
        <v>1510</v>
      </c>
      <c r="B27" s="64">
        <v>5.0599999999999996</v>
      </c>
      <c r="C27" s="64">
        <v>7.07</v>
      </c>
      <c r="D27" s="64">
        <v>7.75</v>
      </c>
      <c r="E27" s="64">
        <v>3.89</v>
      </c>
      <c r="F27" s="64">
        <v>9.17</v>
      </c>
      <c r="G27" s="64">
        <v>18.43</v>
      </c>
      <c r="H27" s="64">
        <v>7.76</v>
      </c>
      <c r="I27" s="64">
        <v>1.03</v>
      </c>
      <c r="J27" s="64">
        <v>0.86</v>
      </c>
      <c r="K27" s="64">
        <v>122.65</v>
      </c>
      <c r="L27" s="64">
        <v>24.17</v>
      </c>
      <c r="M27" s="64">
        <v>98.01</v>
      </c>
      <c r="N27" s="64">
        <v>30.8</v>
      </c>
      <c r="O27" s="64">
        <v>0</v>
      </c>
      <c r="P27" s="64">
        <v>0.14000000000000001</v>
      </c>
      <c r="Q27" s="64">
        <v>9.32</v>
      </c>
      <c r="R27" s="198"/>
      <c r="S27" s="198"/>
      <c r="T27" s="198"/>
      <c r="U27" s="198"/>
    </row>
    <row r="28" spans="1:21" s="12" customFormat="1" x14ac:dyDescent="0.25">
      <c r="A28" s="214" t="s">
        <v>1511</v>
      </c>
      <c r="B28" s="64">
        <v>4.66</v>
      </c>
      <c r="C28" s="64">
        <v>7.52</v>
      </c>
      <c r="D28" s="64">
        <v>7.66</v>
      </c>
      <c r="E28" s="64">
        <v>3.82</v>
      </c>
      <c r="F28" s="64">
        <v>7.02</v>
      </c>
      <c r="G28" s="64">
        <v>18.39</v>
      </c>
      <c r="H28" s="64">
        <v>7.73</v>
      </c>
      <c r="I28" s="64">
        <v>1.02</v>
      </c>
      <c r="J28" s="64">
        <v>0.3</v>
      </c>
      <c r="K28" s="64">
        <v>132.56</v>
      </c>
      <c r="L28" s="64">
        <v>24.08</v>
      </c>
      <c r="M28" s="64">
        <v>98.03</v>
      </c>
      <c r="N28" s="64">
        <v>31</v>
      </c>
      <c r="O28" s="64">
        <v>0</v>
      </c>
      <c r="P28" s="64">
        <v>0.13</v>
      </c>
      <c r="Q28" s="64">
        <v>9.31</v>
      </c>
      <c r="R28" s="198"/>
      <c r="S28" s="198"/>
      <c r="T28" s="198"/>
      <c r="U28" s="198"/>
    </row>
    <row r="29" spans="1:21" s="12" customFormat="1" x14ac:dyDescent="0.25">
      <c r="A29" s="214" t="s">
        <v>1512</v>
      </c>
      <c r="B29" s="64">
        <v>5.17</v>
      </c>
      <c r="C29" s="64">
        <v>7.68</v>
      </c>
      <c r="D29" s="64">
        <v>8.16</v>
      </c>
      <c r="E29" s="64">
        <v>3.68</v>
      </c>
      <c r="F29" s="64">
        <v>5.58</v>
      </c>
      <c r="G29" s="64">
        <v>18.36</v>
      </c>
      <c r="H29" s="64">
        <v>7.71</v>
      </c>
      <c r="I29" s="64">
        <v>1.01</v>
      </c>
      <c r="J29" s="64">
        <v>0.22</v>
      </c>
      <c r="K29" s="64">
        <v>149.36000000000001</v>
      </c>
      <c r="L29" s="64">
        <v>23.99</v>
      </c>
      <c r="M29" s="64">
        <v>98.03</v>
      </c>
      <c r="N29" s="64">
        <v>30.9</v>
      </c>
      <c r="O29" s="64">
        <v>0</v>
      </c>
      <c r="P29" s="64">
        <v>0.15</v>
      </c>
      <c r="Q29" s="64">
        <v>9.32</v>
      </c>
      <c r="R29" s="198"/>
      <c r="S29" s="198"/>
      <c r="T29" s="198"/>
      <c r="U29" s="198"/>
    </row>
    <row r="30" spans="1:21" s="12" customFormat="1" x14ac:dyDescent="0.25">
      <c r="A30" s="214" t="s">
        <v>1513</v>
      </c>
      <c r="B30" s="64">
        <v>6.67</v>
      </c>
      <c r="C30" s="64">
        <v>7.19</v>
      </c>
      <c r="D30" s="64">
        <v>9.1</v>
      </c>
      <c r="E30" s="64">
        <v>3.83</v>
      </c>
      <c r="F30" s="64">
        <v>7.17</v>
      </c>
      <c r="G30" s="64">
        <v>18.36</v>
      </c>
      <c r="H30" s="64">
        <v>7.71</v>
      </c>
      <c r="I30" s="64">
        <v>1</v>
      </c>
      <c r="J30" s="64">
        <v>0.22</v>
      </c>
      <c r="K30" s="64">
        <v>149.11000000000001</v>
      </c>
      <c r="L30" s="64">
        <v>23.92</v>
      </c>
      <c r="M30" s="64">
        <v>98.04</v>
      </c>
      <c r="N30" s="64">
        <v>31</v>
      </c>
      <c r="O30" s="64">
        <v>0</v>
      </c>
      <c r="P30" s="64">
        <v>0.16</v>
      </c>
      <c r="Q30" s="64">
        <v>9.32</v>
      </c>
      <c r="R30" s="198"/>
      <c r="S30" s="198"/>
      <c r="T30" s="198"/>
      <c r="U30" s="198"/>
    </row>
    <row r="31" spans="1:21" s="12" customFormat="1" x14ac:dyDescent="0.25">
      <c r="A31" s="214" t="s">
        <v>1514</v>
      </c>
      <c r="B31" s="64">
        <v>7.04</v>
      </c>
      <c r="C31" s="64">
        <v>6.82</v>
      </c>
      <c r="D31" s="64">
        <v>9.2100000000000009</v>
      </c>
      <c r="E31" s="64">
        <v>3.97</v>
      </c>
      <c r="F31" s="64">
        <v>8.1300000000000008</v>
      </c>
      <c r="G31" s="64">
        <v>18.36</v>
      </c>
      <c r="H31" s="64">
        <v>7.71</v>
      </c>
      <c r="I31" s="64">
        <v>1</v>
      </c>
      <c r="J31" s="64">
        <v>0.34</v>
      </c>
      <c r="K31" s="64">
        <v>167.64</v>
      </c>
      <c r="L31" s="64">
        <v>23.84</v>
      </c>
      <c r="M31" s="64">
        <v>98.07</v>
      </c>
      <c r="N31" s="64">
        <v>32.299999999999997</v>
      </c>
      <c r="O31" s="64">
        <v>0</v>
      </c>
      <c r="P31" s="64">
        <v>0.17</v>
      </c>
      <c r="Q31" s="64">
        <v>9.33</v>
      </c>
      <c r="R31" s="198"/>
      <c r="S31" s="198"/>
      <c r="T31" s="198"/>
      <c r="U31" s="198"/>
    </row>
    <row r="32" spans="1:21" s="12" customFormat="1" x14ac:dyDescent="0.25">
      <c r="A32" s="214" t="s">
        <v>1515</v>
      </c>
      <c r="B32" s="64">
        <v>7.4</v>
      </c>
      <c r="C32" s="64">
        <v>6.38</v>
      </c>
      <c r="D32" s="64">
        <v>9.26</v>
      </c>
      <c r="E32" s="64">
        <v>3.8</v>
      </c>
      <c r="F32" s="64">
        <v>6.29</v>
      </c>
      <c r="G32" s="64">
        <v>20.16</v>
      </c>
      <c r="H32" s="64">
        <v>7.68</v>
      </c>
      <c r="I32" s="64">
        <v>0.99</v>
      </c>
      <c r="J32" s="64">
        <v>0.45</v>
      </c>
      <c r="K32" s="64">
        <v>156.91999999999999</v>
      </c>
      <c r="L32" s="64">
        <v>23.83</v>
      </c>
      <c r="M32" s="64">
        <v>98.07</v>
      </c>
      <c r="N32" s="64">
        <v>38.200000000000003</v>
      </c>
      <c r="O32" s="64">
        <v>0</v>
      </c>
      <c r="P32" s="64">
        <v>0.17</v>
      </c>
      <c r="Q32" s="64">
        <v>9.32</v>
      </c>
      <c r="R32" s="198"/>
      <c r="S32" s="198"/>
      <c r="T32" s="198"/>
      <c r="U32" s="198"/>
    </row>
    <row r="33" spans="1:21" s="12" customFormat="1" x14ac:dyDescent="0.25">
      <c r="A33" s="214" t="s">
        <v>1516</v>
      </c>
      <c r="B33" s="64">
        <v>8.0500000000000007</v>
      </c>
      <c r="C33" s="64">
        <v>6.3</v>
      </c>
      <c r="D33" s="64">
        <v>9.75</v>
      </c>
      <c r="E33" s="64">
        <v>4.1900000000000004</v>
      </c>
      <c r="F33" s="64">
        <v>7.5</v>
      </c>
      <c r="G33" s="64">
        <v>21.6</v>
      </c>
      <c r="H33" s="64">
        <v>7.67</v>
      </c>
      <c r="I33" s="64">
        <v>0.99</v>
      </c>
      <c r="J33" s="64">
        <v>0.44</v>
      </c>
      <c r="K33" s="64">
        <v>154.94999999999999</v>
      </c>
      <c r="L33" s="64">
        <v>23.92</v>
      </c>
      <c r="M33" s="64">
        <v>98.05</v>
      </c>
      <c r="N33" s="64">
        <v>50.1</v>
      </c>
      <c r="O33" s="64">
        <v>0</v>
      </c>
      <c r="P33" s="64">
        <v>0.17</v>
      </c>
      <c r="Q33" s="64">
        <v>9.32</v>
      </c>
      <c r="R33" s="198"/>
      <c r="S33" s="198"/>
      <c r="T33" s="198"/>
      <c r="U33" s="198"/>
    </row>
    <row r="34" spans="1:21" s="12" customFormat="1" x14ac:dyDescent="0.25">
      <c r="A34" s="214" t="s">
        <v>1517</v>
      </c>
      <c r="B34" s="64">
        <v>8.48</v>
      </c>
      <c r="C34" s="64">
        <v>5.31</v>
      </c>
      <c r="D34" s="64">
        <v>9.57</v>
      </c>
      <c r="E34" s="64">
        <v>4.03</v>
      </c>
      <c r="F34" s="64">
        <v>6.32</v>
      </c>
      <c r="G34" s="64">
        <v>21.6</v>
      </c>
      <c r="H34" s="64">
        <v>7.67</v>
      </c>
      <c r="I34" s="64">
        <v>1</v>
      </c>
      <c r="J34" s="64">
        <v>0.51</v>
      </c>
      <c r="K34" s="64">
        <v>177.62</v>
      </c>
      <c r="L34" s="64">
        <v>24</v>
      </c>
      <c r="M34" s="64">
        <v>98.05</v>
      </c>
      <c r="N34" s="64">
        <v>76.599999999999994</v>
      </c>
      <c r="O34" s="64">
        <v>0</v>
      </c>
      <c r="P34" s="64">
        <v>0.19</v>
      </c>
      <c r="Q34" s="64">
        <v>9.32</v>
      </c>
      <c r="R34" s="198"/>
      <c r="S34" s="198"/>
      <c r="T34" s="198"/>
      <c r="U34" s="198"/>
    </row>
    <row r="35" spans="1:21" s="12" customFormat="1" x14ac:dyDescent="0.25">
      <c r="A35" s="214" t="s">
        <v>1518</v>
      </c>
      <c r="B35" s="64">
        <v>7.84</v>
      </c>
      <c r="C35" s="64">
        <v>6.34</v>
      </c>
      <c r="D35" s="64">
        <v>9.6</v>
      </c>
      <c r="E35" s="64">
        <v>4.22</v>
      </c>
      <c r="F35" s="64">
        <v>6.52</v>
      </c>
      <c r="G35" s="64">
        <v>21.6</v>
      </c>
      <c r="H35" s="64">
        <v>7.67</v>
      </c>
      <c r="I35" s="64">
        <v>0.99</v>
      </c>
      <c r="J35" s="64">
        <v>0.05</v>
      </c>
      <c r="K35" s="64">
        <v>140.9</v>
      </c>
      <c r="L35" s="64">
        <v>24.62</v>
      </c>
      <c r="M35" s="64">
        <v>98.02</v>
      </c>
      <c r="N35" s="64">
        <v>149.1</v>
      </c>
      <c r="O35" s="64">
        <v>0</v>
      </c>
      <c r="P35" s="64">
        <v>0.16</v>
      </c>
      <c r="Q35" s="64">
        <v>9.3000000000000007</v>
      </c>
      <c r="R35" s="198"/>
      <c r="S35" s="198"/>
      <c r="T35" s="198"/>
      <c r="U35" s="198"/>
    </row>
    <row r="36" spans="1:21" s="12" customFormat="1" x14ac:dyDescent="0.25">
      <c r="A36" s="214" t="s">
        <v>1519</v>
      </c>
      <c r="B36" s="64">
        <v>7.56</v>
      </c>
      <c r="C36" s="64">
        <v>5.96</v>
      </c>
      <c r="D36" s="64">
        <v>9.17</v>
      </c>
      <c r="E36" s="64">
        <v>3.85</v>
      </c>
      <c r="F36" s="64">
        <v>9.24</v>
      </c>
      <c r="G36" s="64">
        <v>18.23</v>
      </c>
      <c r="H36" s="64">
        <v>7.64</v>
      </c>
      <c r="I36" s="64">
        <v>0.98</v>
      </c>
      <c r="J36" s="64">
        <v>0.2</v>
      </c>
      <c r="K36" s="64">
        <v>152.19999999999999</v>
      </c>
      <c r="L36" s="64">
        <v>25.01</v>
      </c>
      <c r="M36" s="64">
        <v>97.98</v>
      </c>
      <c r="N36" s="64">
        <v>126.3</v>
      </c>
      <c r="O36" s="64">
        <v>0</v>
      </c>
      <c r="P36" s="64">
        <v>0.16</v>
      </c>
      <c r="Q36" s="64">
        <v>9.2899999999999991</v>
      </c>
      <c r="R36" s="198"/>
      <c r="S36" s="198"/>
      <c r="T36" s="198"/>
      <c r="U36" s="198"/>
    </row>
    <row r="37" spans="1:21" s="12" customFormat="1" x14ac:dyDescent="0.25">
      <c r="A37" s="214" t="s">
        <v>1520</v>
      </c>
      <c r="B37" s="64">
        <v>7.47</v>
      </c>
      <c r="C37" s="64">
        <v>5.71</v>
      </c>
      <c r="D37" s="64">
        <v>8.9700000000000006</v>
      </c>
      <c r="E37" s="64">
        <v>3.86</v>
      </c>
      <c r="F37" s="64">
        <v>5.86</v>
      </c>
      <c r="G37" s="64">
        <v>15.53</v>
      </c>
      <c r="H37" s="64">
        <v>7.63</v>
      </c>
      <c r="I37" s="64">
        <v>0.97</v>
      </c>
      <c r="J37" s="64">
        <v>0.39</v>
      </c>
      <c r="K37" s="64">
        <v>162.32</v>
      </c>
      <c r="L37" s="64">
        <v>24.92</v>
      </c>
      <c r="M37" s="64">
        <v>97.98</v>
      </c>
      <c r="N37" s="64">
        <v>126.2</v>
      </c>
      <c r="O37" s="64">
        <v>0</v>
      </c>
      <c r="P37" s="64">
        <v>0.16</v>
      </c>
      <c r="Q37" s="64">
        <v>9.2799999999999994</v>
      </c>
      <c r="R37" s="198"/>
      <c r="S37" s="198"/>
      <c r="T37" s="198"/>
      <c r="U37" s="198"/>
    </row>
    <row r="38" spans="1:21" s="12" customFormat="1" x14ac:dyDescent="0.25">
      <c r="A38" s="214" t="s">
        <v>1521</v>
      </c>
      <c r="B38" s="64">
        <v>8.9</v>
      </c>
      <c r="C38" s="64">
        <v>6.95</v>
      </c>
      <c r="D38" s="64">
        <v>10.77</v>
      </c>
      <c r="E38" s="64">
        <v>3.92</v>
      </c>
      <c r="F38" s="64">
        <v>8.48</v>
      </c>
      <c r="G38" s="64">
        <v>15.53</v>
      </c>
      <c r="H38" s="64">
        <v>7.63</v>
      </c>
      <c r="I38" s="64">
        <v>0.95</v>
      </c>
      <c r="J38" s="64">
        <v>0.3</v>
      </c>
      <c r="K38" s="64">
        <v>139.62</v>
      </c>
      <c r="L38" s="64">
        <v>24.97</v>
      </c>
      <c r="M38" s="64">
        <v>97.98</v>
      </c>
      <c r="N38" s="64">
        <v>138.4</v>
      </c>
      <c r="O38" s="64">
        <v>0</v>
      </c>
      <c r="P38" s="64">
        <v>0.16</v>
      </c>
      <c r="Q38" s="64">
        <v>9.2799999999999994</v>
      </c>
      <c r="R38" s="198"/>
      <c r="S38" s="198"/>
      <c r="T38" s="198"/>
      <c r="U38" s="198"/>
    </row>
    <row r="39" spans="1:21" s="12" customFormat="1" x14ac:dyDescent="0.25">
      <c r="A39" s="214" t="s">
        <v>1522</v>
      </c>
      <c r="B39" s="64">
        <v>8.93</v>
      </c>
      <c r="C39" s="64">
        <v>6.68</v>
      </c>
      <c r="D39" s="64">
        <v>10.65</v>
      </c>
      <c r="E39" s="64">
        <v>4.07</v>
      </c>
      <c r="F39" s="64">
        <v>6.34</v>
      </c>
      <c r="G39" s="64">
        <v>15.53</v>
      </c>
      <c r="H39" s="64">
        <v>7.63</v>
      </c>
      <c r="I39" s="64">
        <v>0.94</v>
      </c>
      <c r="J39" s="64">
        <v>0.43</v>
      </c>
      <c r="K39" s="64">
        <v>146.86000000000001</v>
      </c>
      <c r="L39" s="64">
        <v>25.69</v>
      </c>
      <c r="M39" s="64">
        <v>97.94</v>
      </c>
      <c r="N39" s="64">
        <v>334.2</v>
      </c>
      <c r="O39" s="64">
        <v>0</v>
      </c>
      <c r="P39" s="64">
        <v>0.17</v>
      </c>
      <c r="Q39" s="64">
        <v>9.2899999999999991</v>
      </c>
      <c r="R39" s="198"/>
      <c r="S39" s="198"/>
      <c r="T39" s="198"/>
      <c r="U39" s="198"/>
    </row>
    <row r="40" spans="1:21" s="12" customFormat="1" x14ac:dyDescent="0.25">
      <c r="A40" s="214" t="s">
        <v>1523</v>
      </c>
      <c r="B40" s="64">
        <v>7.97</v>
      </c>
      <c r="C40" s="64">
        <v>5.83</v>
      </c>
      <c r="D40" s="64">
        <v>9.44</v>
      </c>
      <c r="E40" s="64">
        <v>5.31</v>
      </c>
      <c r="F40" s="64">
        <v>8.75</v>
      </c>
      <c r="G40" s="64">
        <v>14.51</v>
      </c>
      <c r="H40" s="64">
        <v>7.6</v>
      </c>
      <c r="I40" s="64">
        <v>0.93</v>
      </c>
      <c r="J40" s="64">
        <v>0.52</v>
      </c>
      <c r="K40" s="64">
        <v>158.25</v>
      </c>
      <c r="L40" s="64">
        <v>27.65</v>
      </c>
      <c r="M40" s="64">
        <v>95.91</v>
      </c>
      <c r="N40" s="64">
        <v>425.4</v>
      </c>
      <c r="O40" s="64">
        <v>0</v>
      </c>
      <c r="P40" s="64">
        <v>0.16</v>
      </c>
      <c r="Q40" s="64">
        <v>9.2899999999999991</v>
      </c>
      <c r="R40" s="198"/>
      <c r="S40" s="198"/>
      <c r="T40" s="198"/>
      <c r="U40" s="198"/>
    </row>
    <row r="41" spans="1:21" s="12" customFormat="1" x14ac:dyDescent="0.25">
      <c r="A41" s="214" t="s">
        <v>1524</v>
      </c>
      <c r="B41" s="64">
        <v>7.52</v>
      </c>
      <c r="C41" s="64">
        <v>5.8</v>
      </c>
      <c r="D41" s="64">
        <v>9.06</v>
      </c>
      <c r="E41" s="64">
        <v>4.78</v>
      </c>
      <c r="F41" s="64">
        <v>8.0399999999999991</v>
      </c>
      <c r="G41" s="64">
        <v>13.7</v>
      </c>
      <c r="H41" s="64">
        <v>7.59</v>
      </c>
      <c r="I41" s="64">
        <v>0.93</v>
      </c>
      <c r="J41" s="64">
        <v>0.43</v>
      </c>
      <c r="K41" s="64">
        <v>105.47</v>
      </c>
      <c r="L41" s="64">
        <v>28.05</v>
      </c>
      <c r="M41" s="64">
        <v>93.99</v>
      </c>
      <c r="N41" s="64">
        <v>465.3</v>
      </c>
      <c r="O41" s="64">
        <v>0</v>
      </c>
      <c r="P41" s="64">
        <v>0.16</v>
      </c>
      <c r="Q41" s="64">
        <v>9.2899999999999991</v>
      </c>
      <c r="R41" s="198"/>
      <c r="S41" s="198"/>
      <c r="T41" s="198"/>
      <c r="U41" s="198"/>
    </row>
    <row r="42" spans="1:21" s="12" customFormat="1" x14ac:dyDescent="0.25">
      <c r="A42" s="214" t="s">
        <v>1525</v>
      </c>
      <c r="B42" s="64">
        <v>6.23</v>
      </c>
      <c r="C42" s="64">
        <v>6.17</v>
      </c>
      <c r="D42" s="64">
        <v>8.2200000000000006</v>
      </c>
      <c r="E42" s="64">
        <v>5.49</v>
      </c>
      <c r="F42" s="64">
        <v>9.24</v>
      </c>
      <c r="G42" s="64">
        <v>13.7</v>
      </c>
      <c r="H42" s="64">
        <v>7.59</v>
      </c>
      <c r="I42" s="64">
        <v>0.92</v>
      </c>
      <c r="J42" s="64">
        <v>0.4</v>
      </c>
      <c r="K42" s="64">
        <v>116.7</v>
      </c>
      <c r="L42" s="64">
        <v>28.58</v>
      </c>
      <c r="M42" s="64">
        <v>89.48</v>
      </c>
      <c r="N42" s="64">
        <v>402.5</v>
      </c>
      <c r="O42" s="64">
        <v>0</v>
      </c>
      <c r="P42" s="64">
        <v>0.14000000000000001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4" t="s">
        <v>1526</v>
      </c>
      <c r="B43" s="64">
        <v>6.58</v>
      </c>
      <c r="C43" s="64">
        <v>5.82</v>
      </c>
      <c r="D43" s="64">
        <v>8.32</v>
      </c>
      <c r="E43" s="64">
        <v>5.29</v>
      </c>
      <c r="F43" s="64">
        <v>9.27</v>
      </c>
      <c r="G43" s="64">
        <v>13.7</v>
      </c>
      <c r="H43" s="64">
        <v>7.59</v>
      </c>
      <c r="I43" s="64">
        <v>0.91</v>
      </c>
      <c r="J43" s="64">
        <v>0.56999999999999995</v>
      </c>
      <c r="K43" s="64">
        <v>121.53</v>
      </c>
      <c r="L43" s="64">
        <v>28.52</v>
      </c>
      <c r="M43" s="64">
        <v>91.18</v>
      </c>
      <c r="N43" s="64">
        <v>481.7</v>
      </c>
      <c r="O43" s="64">
        <v>0</v>
      </c>
      <c r="P43" s="64">
        <v>0.16</v>
      </c>
      <c r="Q43" s="64">
        <v>9.2899999999999991</v>
      </c>
      <c r="R43" s="198"/>
      <c r="S43" s="198"/>
      <c r="T43" s="198"/>
      <c r="U43" s="198"/>
    </row>
    <row r="44" spans="1:21" s="12" customFormat="1" x14ac:dyDescent="0.25">
      <c r="A44" s="214" t="s">
        <v>1527</v>
      </c>
      <c r="B44" s="64">
        <v>5.96</v>
      </c>
      <c r="C44" s="64">
        <v>6.58</v>
      </c>
      <c r="D44" s="64">
        <v>8.2200000000000006</v>
      </c>
      <c r="E44" s="64">
        <v>5.32</v>
      </c>
      <c r="F44" s="64">
        <v>10.4</v>
      </c>
      <c r="G44" s="64">
        <v>15.05</v>
      </c>
      <c r="H44" s="64">
        <v>7.61</v>
      </c>
      <c r="I44" s="64">
        <v>0.9</v>
      </c>
      <c r="J44" s="64">
        <v>0.47</v>
      </c>
      <c r="K44" s="64">
        <v>121</v>
      </c>
      <c r="L44" s="64">
        <v>27.78</v>
      </c>
      <c r="M44" s="64">
        <v>96.34</v>
      </c>
      <c r="N44" s="64">
        <v>455.5</v>
      </c>
      <c r="O44" s="64">
        <v>0</v>
      </c>
      <c r="P44" s="64">
        <v>0.15</v>
      </c>
      <c r="Q44" s="64">
        <v>9.3000000000000007</v>
      </c>
      <c r="R44" s="198"/>
      <c r="S44" s="198"/>
      <c r="T44" s="198"/>
      <c r="U44" s="198"/>
    </row>
    <row r="45" spans="1:21" s="12" customFormat="1" x14ac:dyDescent="0.25">
      <c r="A45" s="214" t="s">
        <v>1528</v>
      </c>
      <c r="B45" s="64">
        <v>6.84</v>
      </c>
      <c r="C45" s="64">
        <v>8.08</v>
      </c>
      <c r="D45" s="64">
        <v>9.7100000000000009</v>
      </c>
      <c r="E45" s="64">
        <v>5.29</v>
      </c>
      <c r="F45" s="64">
        <v>10.85</v>
      </c>
      <c r="G45" s="64">
        <v>16.13</v>
      </c>
      <c r="H45" s="64">
        <v>7.62</v>
      </c>
      <c r="I45" s="64">
        <v>0.88</v>
      </c>
      <c r="J45" s="64">
        <v>0.54</v>
      </c>
      <c r="K45" s="64">
        <v>119.62</v>
      </c>
      <c r="L45" s="64">
        <v>28.13</v>
      </c>
      <c r="M45" s="64">
        <v>93.72</v>
      </c>
      <c r="N45" s="64">
        <v>461.9</v>
      </c>
      <c r="O45" s="64">
        <v>0</v>
      </c>
      <c r="P45" s="64">
        <v>0.18</v>
      </c>
      <c r="Q45" s="64">
        <v>9.31</v>
      </c>
      <c r="R45" s="198"/>
      <c r="S45" s="198"/>
      <c r="T45" s="198"/>
      <c r="U45" s="198"/>
    </row>
    <row r="46" spans="1:21" s="12" customFormat="1" x14ac:dyDescent="0.25">
      <c r="A46" s="214" t="s">
        <v>1529</v>
      </c>
      <c r="B46" s="64">
        <v>7.1</v>
      </c>
      <c r="C46" s="64">
        <v>7.12</v>
      </c>
      <c r="D46" s="64">
        <v>9.42</v>
      </c>
      <c r="E46" s="64">
        <v>5.0199999999999996</v>
      </c>
      <c r="F46" s="64">
        <v>11.65</v>
      </c>
      <c r="G46" s="64">
        <v>16.13</v>
      </c>
      <c r="H46" s="64">
        <v>7.62</v>
      </c>
      <c r="I46" s="64">
        <v>0.86</v>
      </c>
      <c r="J46" s="64">
        <v>0.52</v>
      </c>
      <c r="K46" s="64">
        <v>117.29</v>
      </c>
      <c r="L46" s="64">
        <v>28.55</v>
      </c>
      <c r="M46" s="64">
        <v>89.01</v>
      </c>
      <c r="N46" s="64">
        <v>687.2</v>
      </c>
      <c r="O46" s="64">
        <v>0</v>
      </c>
      <c r="P46" s="64">
        <v>0.15</v>
      </c>
      <c r="Q46" s="64">
        <v>9.31</v>
      </c>
      <c r="R46" s="198"/>
      <c r="S46" s="198"/>
      <c r="T46" s="198"/>
      <c r="U46" s="198"/>
    </row>
    <row r="47" spans="1:21" s="12" customFormat="1" x14ac:dyDescent="0.25">
      <c r="A47" s="214" t="s">
        <v>1530</v>
      </c>
      <c r="B47" s="64">
        <v>6.41</v>
      </c>
      <c r="C47" s="64">
        <v>6.53</v>
      </c>
      <c r="D47" s="64">
        <v>8.5500000000000007</v>
      </c>
      <c r="E47" s="64">
        <v>5.27</v>
      </c>
      <c r="F47" s="64">
        <v>12.3</v>
      </c>
      <c r="G47" s="64">
        <v>16.13</v>
      </c>
      <c r="H47" s="64">
        <v>7.62</v>
      </c>
      <c r="I47" s="64">
        <v>0.86</v>
      </c>
      <c r="J47" s="64">
        <v>0.46</v>
      </c>
      <c r="K47" s="64">
        <v>129.16</v>
      </c>
      <c r="L47" s="64">
        <v>29.68</v>
      </c>
      <c r="M47" s="64">
        <v>82.07</v>
      </c>
      <c r="N47" s="64">
        <v>773.9</v>
      </c>
      <c r="O47" s="64">
        <v>0</v>
      </c>
      <c r="P47" s="64">
        <v>0.14000000000000001</v>
      </c>
      <c r="Q47" s="64">
        <v>9.32</v>
      </c>
      <c r="R47" s="198"/>
      <c r="S47" s="198"/>
      <c r="T47" s="198"/>
      <c r="U47" s="198"/>
    </row>
    <row r="48" spans="1:21" s="12" customFormat="1" x14ac:dyDescent="0.25">
      <c r="A48" s="214" t="s">
        <v>1531</v>
      </c>
      <c r="B48" s="64">
        <v>6.1</v>
      </c>
      <c r="C48" s="64">
        <v>5.55</v>
      </c>
      <c r="D48" s="64">
        <v>7.79</v>
      </c>
      <c r="E48" s="64">
        <v>5.26</v>
      </c>
      <c r="F48" s="64">
        <v>11.37</v>
      </c>
      <c r="G48" s="64">
        <v>16.52</v>
      </c>
      <c r="H48" s="64">
        <v>7.59</v>
      </c>
      <c r="I48" s="64">
        <v>0.86</v>
      </c>
      <c r="J48" s="64">
        <v>0.92</v>
      </c>
      <c r="K48" s="64">
        <v>144.41</v>
      </c>
      <c r="L48" s="64">
        <v>29.48</v>
      </c>
      <c r="M48" s="64">
        <v>82.38</v>
      </c>
      <c r="N48" s="64">
        <v>702.4</v>
      </c>
      <c r="O48" s="64">
        <v>0</v>
      </c>
      <c r="P48" s="64">
        <v>0.15</v>
      </c>
      <c r="Q48" s="64">
        <v>9.31</v>
      </c>
      <c r="R48" s="198"/>
      <c r="S48" s="198"/>
      <c r="T48" s="198"/>
      <c r="U48" s="198"/>
    </row>
    <row r="49" spans="1:21" s="12" customFormat="1" x14ac:dyDescent="0.25">
      <c r="A49" s="214" t="s">
        <v>1532</v>
      </c>
      <c r="B49" s="64">
        <v>6.77</v>
      </c>
      <c r="C49" s="64">
        <v>6.66</v>
      </c>
      <c r="D49" s="64">
        <v>8.91</v>
      </c>
      <c r="E49" s="64">
        <v>5.38</v>
      </c>
      <c r="F49" s="64">
        <v>9.99</v>
      </c>
      <c r="G49" s="64">
        <v>16.84</v>
      </c>
      <c r="H49" s="64">
        <v>7.58</v>
      </c>
      <c r="I49" s="64">
        <v>0.85</v>
      </c>
      <c r="J49" s="64">
        <v>0.28999999999999998</v>
      </c>
      <c r="K49" s="64">
        <v>154.6</v>
      </c>
      <c r="L49" s="64">
        <v>29.69</v>
      </c>
      <c r="M49" s="64">
        <v>81.45</v>
      </c>
      <c r="N49" s="64">
        <v>716.7</v>
      </c>
      <c r="O49" s="64">
        <v>0</v>
      </c>
      <c r="P49" s="64">
        <v>0.15</v>
      </c>
      <c r="Q49" s="64">
        <v>9.3000000000000007</v>
      </c>
      <c r="R49" s="198"/>
      <c r="S49" s="198"/>
      <c r="T49" s="198"/>
      <c r="U49" s="198"/>
    </row>
    <row r="50" spans="1:21" s="12" customFormat="1" x14ac:dyDescent="0.25">
      <c r="A50" s="214" t="s">
        <v>1533</v>
      </c>
      <c r="B50" s="64">
        <v>6.62</v>
      </c>
      <c r="C50" s="64">
        <v>6.52</v>
      </c>
      <c r="D50" s="64">
        <v>8.7100000000000009</v>
      </c>
      <c r="E50" s="64">
        <v>5.17</v>
      </c>
      <c r="F50" s="64">
        <v>11.35</v>
      </c>
      <c r="G50" s="64">
        <v>16.84</v>
      </c>
      <c r="H50" s="64">
        <v>7.58</v>
      </c>
      <c r="I50" s="64">
        <v>0.85</v>
      </c>
      <c r="J50" s="64">
        <v>0.68</v>
      </c>
      <c r="K50" s="64">
        <v>141.59</v>
      </c>
      <c r="L50" s="64">
        <v>30.37</v>
      </c>
      <c r="M50" s="64">
        <v>76.510000000000005</v>
      </c>
      <c r="N50" s="64">
        <v>894.6</v>
      </c>
      <c r="O50" s="64">
        <v>0</v>
      </c>
      <c r="P50" s="64">
        <v>0.15</v>
      </c>
      <c r="Q50" s="64">
        <v>9.2899999999999991</v>
      </c>
      <c r="R50" s="198"/>
      <c r="S50" s="198"/>
      <c r="T50" s="198"/>
      <c r="U50" s="198"/>
    </row>
    <row r="51" spans="1:21" s="12" customFormat="1" x14ac:dyDescent="0.25">
      <c r="A51" s="214" t="s">
        <v>1534</v>
      </c>
      <c r="B51" s="64">
        <v>6.54</v>
      </c>
      <c r="C51" s="64">
        <v>6.02</v>
      </c>
      <c r="D51" s="64">
        <v>8.39</v>
      </c>
      <c r="E51" s="64">
        <v>5.35</v>
      </c>
      <c r="F51" s="64">
        <v>10.45</v>
      </c>
      <c r="G51" s="64">
        <v>16.84</v>
      </c>
      <c r="H51" s="64">
        <v>7.58</v>
      </c>
      <c r="I51" s="64">
        <v>0.85</v>
      </c>
      <c r="J51" s="64">
        <v>0.88</v>
      </c>
      <c r="K51" s="64">
        <v>139.88</v>
      </c>
      <c r="L51" s="64">
        <v>29.88</v>
      </c>
      <c r="M51" s="64">
        <v>80.17</v>
      </c>
      <c r="N51" s="64">
        <v>802.9</v>
      </c>
      <c r="O51" s="64">
        <v>0</v>
      </c>
      <c r="P51" s="64">
        <v>0.16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4" t="s">
        <v>1535</v>
      </c>
      <c r="B52" s="64">
        <v>6.01</v>
      </c>
      <c r="C52" s="64">
        <v>6.5</v>
      </c>
      <c r="D52" s="64">
        <v>8.2200000000000006</v>
      </c>
      <c r="E52" s="64">
        <v>5.43</v>
      </c>
      <c r="F52" s="64">
        <v>11.15</v>
      </c>
      <c r="G52" s="64">
        <v>17.93</v>
      </c>
      <c r="H52" s="64">
        <v>7.55</v>
      </c>
      <c r="I52" s="64">
        <v>0.85</v>
      </c>
      <c r="J52" s="64">
        <v>0.43</v>
      </c>
      <c r="K52" s="64">
        <v>137.6</v>
      </c>
      <c r="L52" s="64">
        <v>30.44</v>
      </c>
      <c r="M52" s="64">
        <v>76.459999999999994</v>
      </c>
      <c r="N52" s="64">
        <v>1029</v>
      </c>
      <c r="O52" s="64">
        <v>0</v>
      </c>
      <c r="P52" s="64">
        <v>0.16</v>
      </c>
      <c r="Q52" s="64">
        <v>9.26</v>
      </c>
      <c r="R52" s="198"/>
      <c r="S52" s="198"/>
      <c r="T52" s="198"/>
      <c r="U52" s="198"/>
    </row>
    <row r="53" spans="1:21" s="12" customFormat="1" x14ac:dyDescent="0.25">
      <c r="A53" s="214" t="s">
        <v>1536</v>
      </c>
      <c r="B53" s="64">
        <v>5.96</v>
      </c>
      <c r="C53" s="64">
        <v>6.51</v>
      </c>
      <c r="D53" s="64">
        <v>8.18</v>
      </c>
      <c r="E53" s="64">
        <v>5.4</v>
      </c>
      <c r="F53" s="64">
        <v>9.67</v>
      </c>
      <c r="G53" s="64">
        <v>18.760000000000002</v>
      </c>
      <c r="H53" s="64">
        <v>7.54</v>
      </c>
      <c r="I53" s="64">
        <v>0.86</v>
      </c>
      <c r="J53" s="64">
        <v>0.28999999999999998</v>
      </c>
      <c r="K53" s="64">
        <v>139.62</v>
      </c>
      <c r="L53" s="64">
        <v>30.92</v>
      </c>
      <c r="M53" s="64">
        <v>72.19</v>
      </c>
      <c r="N53" s="64">
        <v>636.9</v>
      </c>
      <c r="O53" s="64">
        <v>0</v>
      </c>
      <c r="P53" s="64">
        <v>0.15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4" t="s">
        <v>1537</v>
      </c>
      <c r="B54" s="64">
        <v>6.33</v>
      </c>
      <c r="C54" s="64">
        <v>6.17</v>
      </c>
      <c r="D54" s="64">
        <v>8.3000000000000007</v>
      </c>
      <c r="E54" s="64">
        <v>5.3</v>
      </c>
      <c r="F54" s="64">
        <v>7.87</v>
      </c>
      <c r="G54" s="64">
        <v>18.760000000000002</v>
      </c>
      <c r="H54" s="64">
        <v>7.54</v>
      </c>
      <c r="I54" s="64">
        <v>0.86</v>
      </c>
      <c r="J54" s="64">
        <v>0.31</v>
      </c>
      <c r="K54" s="64">
        <v>137.57</v>
      </c>
      <c r="L54" s="64">
        <v>30.72</v>
      </c>
      <c r="M54" s="64">
        <v>74.849999999999994</v>
      </c>
      <c r="N54" s="64">
        <v>978.6</v>
      </c>
      <c r="O54" s="64">
        <v>0</v>
      </c>
      <c r="P54" s="64">
        <v>0.16</v>
      </c>
      <c r="Q54" s="64">
        <v>9.23</v>
      </c>
      <c r="R54" s="198"/>
      <c r="S54" s="198"/>
      <c r="T54" s="198"/>
      <c r="U54" s="198"/>
    </row>
    <row r="55" spans="1:21" s="12" customFormat="1" x14ac:dyDescent="0.25">
      <c r="A55" s="214" t="s">
        <v>1538</v>
      </c>
      <c r="B55" s="64">
        <v>6.3</v>
      </c>
      <c r="C55" s="64">
        <v>6.18</v>
      </c>
      <c r="D55" s="64">
        <v>8.2799999999999994</v>
      </c>
      <c r="E55" s="64">
        <v>5.36</v>
      </c>
      <c r="F55" s="64">
        <v>8.8699999999999992</v>
      </c>
      <c r="G55" s="64">
        <v>18.760000000000002</v>
      </c>
      <c r="H55" s="64">
        <v>7.54</v>
      </c>
      <c r="I55" s="64">
        <v>0.85</v>
      </c>
      <c r="J55" s="64">
        <v>0.45</v>
      </c>
      <c r="K55" s="64">
        <v>132.74</v>
      </c>
      <c r="L55" s="64">
        <v>31.41</v>
      </c>
      <c r="M55" s="64">
        <v>68.790000000000006</v>
      </c>
      <c r="N55" s="64">
        <v>915.3</v>
      </c>
      <c r="O55" s="64">
        <v>0</v>
      </c>
      <c r="P55" s="64">
        <v>0.16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4" t="s">
        <v>1539</v>
      </c>
      <c r="B56" s="64">
        <v>6.2</v>
      </c>
      <c r="C56" s="64">
        <v>6.56</v>
      </c>
      <c r="D56" s="64">
        <v>8.4</v>
      </c>
      <c r="E56" s="64">
        <v>5.4</v>
      </c>
      <c r="F56" s="64">
        <v>8</v>
      </c>
      <c r="G56" s="64">
        <v>17.84</v>
      </c>
      <c r="H56" s="64">
        <v>7.7</v>
      </c>
      <c r="I56" s="64">
        <v>0.85</v>
      </c>
      <c r="J56" s="64">
        <v>0.71</v>
      </c>
      <c r="K56" s="64">
        <v>148.83000000000001</v>
      </c>
      <c r="L56" s="64">
        <v>31.03</v>
      </c>
      <c r="M56" s="64">
        <v>69.42</v>
      </c>
      <c r="N56" s="64">
        <v>1007.8</v>
      </c>
      <c r="O56" s="64">
        <v>0</v>
      </c>
      <c r="P56" s="64">
        <v>0.17</v>
      </c>
      <c r="Q56" s="64">
        <v>9.2100000000000009</v>
      </c>
      <c r="R56" s="198"/>
      <c r="S56" s="198"/>
      <c r="T56" s="198"/>
      <c r="U56" s="198"/>
    </row>
    <row r="57" spans="1:21" s="12" customFormat="1" x14ac:dyDescent="0.25">
      <c r="A57" s="214" t="s">
        <v>1540</v>
      </c>
      <c r="B57" s="64">
        <v>5.83</v>
      </c>
      <c r="C57" s="64">
        <v>6.04</v>
      </c>
      <c r="D57" s="64">
        <v>7.83</v>
      </c>
      <c r="E57" s="64">
        <v>5.17</v>
      </c>
      <c r="F57" s="64">
        <v>11.16</v>
      </c>
      <c r="G57" s="64">
        <v>17.100000000000001</v>
      </c>
      <c r="H57" s="64">
        <v>7.75</v>
      </c>
      <c r="I57" s="64">
        <v>0.84</v>
      </c>
      <c r="J57" s="64">
        <v>1.1299999999999999</v>
      </c>
      <c r="K57" s="64">
        <v>140.13999999999999</v>
      </c>
      <c r="L57" s="64">
        <v>30.84</v>
      </c>
      <c r="M57" s="64">
        <v>67.33</v>
      </c>
      <c r="N57" s="64">
        <v>986.4</v>
      </c>
      <c r="O57" s="64">
        <v>0</v>
      </c>
      <c r="P57" s="64">
        <v>0.15</v>
      </c>
      <c r="Q57" s="64">
        <v>9.19</v>
      </c>
      <c r="R57" s="198"/>
      <c r="S57" s="198"/>
      <c r="T57" s="198"/>
      <c r="U57" s="198"/>
    </row>
    <row r="58" spans="1:21" s="12" customFormat="1" x14ac:dyDescent="0.25">
      <c r="A58" s="214" t="s">
        <v>1541</v>
      </c>
      <c r="B58" s="64">
        <v>5.84</v>
      </c>
      <c r="C58" s="64">
        <v>6.23</v>
      </c>
      <c r="D58" s="64">
        <v>7.93</v>
      </c>
      <c r="E58" s="64">
        <v>5.01</v>
      </c>
      <c r="F58" s="64">
        <v>9.56</v>
      </c>
      <c r="G58" s="64">
        <v>17.100000000000001</v>
      </c>
      <c r="H58" s="64">
        <v>7.75</v>
      </c>
      <c r="I58" s="64">
        <v>0.84</v>
      </c>
      <c r="J58" s="64">
        <v>0.53</v>
      </c>
      <c r="K58" s="64">
        <v>147.80000000000001</v>
      </c>
      <c r="L58" s="64">
        <v>30.94</v>
      </c>
      <c r="M58" s="64">
        <v>68.569999999999993</v>
      </c>
      <c r="N58" s="64">
        <v>726.9</v>
      </c>
      <c r="O58" s="64">
        <v>0</v>
      </c>
      <c r="P58" s="64">
        <v>0.15</v>
      </c>
      <c r="Q58" s="64">
        <v>9.19</v>
      </c>
      <c r="R58" s="198"/>
      <c r="S58" s="198"/>
      <c r="T58" s="198"/>
      <c r="U58" s="198"/>
    </row>
    <row r="59" spans="1:21" s="12" customFormat="1" x14ac:dyDescent="0.25">
      <c r="A59" s="214" t="s">
        <v>1542</v>
      </c>
      <c r="B59" s="64">
        <v>6.12</v>
      </c>
      <c r="C59" s="64">
        <v>6.86</v>
      </c>
      <c r="D59" s="64">
        <v>8.49</v>
      </c>
      <c r="E59" s="64">
        <v>5.23</v>
      </c>
      <c r="F59" s="64">
        <v>10.91</v>
      </c>
      <c r="G59" s="64">
        <v>17.100000000000001</v>
      </c>
      <c r="H59" s="64">
        <v>7.75</v>
      </c>
      <c r="I59" s="64">
        <v>0.84</v>
      </c>
      <c r="J59" s="64">
        <v>0.69</v>
      </c>
      <c r="K59" s="64">
        <v>146.05000000000001</v>
      </c>
      <c r="L59" s="64">
        <v>30.84</v>
      </c>
      <c r="M59" s="64">
        <v>71.180000000000007</v>
      </c>
      <c r="N59" s="64">
        <v>890.4</v>
      </c>
      <c r="O59" s="64">
        <v>0</v>
      </c>
      <c r="P59" s="64">
        <v>0.15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14" t="s">
        <v>1543</v>
      </c>
      <c r="B60" s="64">
        <v>5.25</v>
      </c>
      <c r="C60" s="64">
        <v>7.42</v>
      </c>
      <c r="D60" s="64">
        <v>8.09</v>
      </c>
      <c r="E60" s="64">
        <v>5.1100000000000003</v>
      </c>
      <c r="F60" s="64">
        <v>13.59</v>
      </c>
      <c r="G60" s="64">
        <v>17.37</v>
      </c>
      <c r="H60" s="64">
        <v>7.82</v>
      </c>
      <c r="I60" s="64">
        <v>0.83</v>
      </c>
      <c r="J60" s="64">
        <v>0.8</v>
      </c>
      <c r="K60" s="64">
        <v>137.61000000000001</v>
      </c>
      <c r="L60" s="64">
        <v>30.93</v>
      </c>
      <c r="M60" s="64">
        <v>71.260000000000005</v>
      </c>
      <c r="N60" s="64">
        <v>888.3</v>
      </c>
      <c r="O60" s="64">
        <v>0</v>
      </c>
      <c r="P60" s="64">
        <v>0.13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4" t="s">
        <v>1544</v>
      </c>
      <c r="B61" s="64">
        <v>5.36</v>
      </c>
      <c r="C61" s="64">
        <v>7.07</v>
      </c>
      <c r="D61" s="64">
        <v>7.99</v>
      </c>
      <c r="E61" s="64">
        <v>5.18</v>
      </c>
      <c r="F61" s="64">
        <v>9.75</v>
      </c>
      <c r="G61" s="64">
        <v>17.59</v>
      </c>
      <c r="H61" s="64">
        <v>7.87</v>
      </c>
      <c r="I61" s="64">
        <v>0.82</v>
      </c>
      <c r="J61" s="64">
        <v>0.65</v>
      </c>
      <c r="K61" s="64">
        <v>159.61000000000001</v>
      </c>
      <c r="L61" s="64">
        <v>30.61</v>
      </c>
      <c r="M61" s="64">
        <v>70.97</v>
      </c>
      <c r="N61" s="64">
        <v>514.5</v>
      </c>
      <c r="O61" s="64">
        <v>0</v>
      </c>
      <c r="P61" s="64">
        <v>0.18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4" t="s">
        <v>1545</v>
      </c>
      <c r="B62" s="64">
        <v>5.7</v>
      </c>
      <c r="C62" s="64">
        <v>7.13</v>
      </c>
      <c r="D62" s="64">
        <v>8.3000000000000007</v>
      </c>
      <c r="E62" s="64">
        <v>5.18</v>
      </c>
      <c r="F62" s="64">
        <v>12.26</v>
      </c>
      <c r="G62" s="64">
        <v>17.59</v>
      </c>
      <c r="H62" s="64">
        <v>7.87</v>
      </c>
      <c r="I62" s="64">
        <v>0.82</v>
      </c>
      <c r="J62" s="64">
        <v>0.34</v>
      </c>
      <c r="K62" s="64">
        <v>141.43</v>
      </c>
      <c r="L62" s="64">
        <v>30.53</v>
      </c>
      <c r="M62" s="64">
        <v>72.91</v>
      </c>
      <c r="N62" s="64">
        <v>318.89999999999998</v>
      </c>
      <c r="O62" s="64">
        <v>0</v>
      </c>
      <c r="P62" s="64">
        <v>0.22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14" t="s">
        <v>1546</v>
      </c>
      <c r="B63" s="64">
        <v>5.64</v>
      </c>
      <c r="C63" s="64">
        <v>6.97</v>
      </c>
      <c r="D63" s="64">
        <v>8.16</v>
      </c>
      <c r="E63" s="64">
        <v>5.21</v>
      </c>
      <c r="F63" s="64">
        <v>11.79</v>
      </c>
      <c r="G63" s="64">
        <v>17.59</v>
      </c>
      <c r="H63" s="64">
        <v>7.87</v>
      </c>
      <c r="I63" s="64">
        <v>0.75</v>
      </c>
      <c r="J63" s="64">
        <v>0.52</v>
      </c>
      <c r="K63" s="64">
        <v>141.96</v>
      </c>
      <c r="L63" s="64">
        <v>30.69</v>
      </c>
      <c r="M63" s="64">
        <v>71.42</v>
      </c>
      <c r="N63" s="64">
        <v>191.1</v>
      </c>
      <c r="O63" s="64">
        <v>0</v>
      </c>
      <c r="P63" s="64">
        <v>0.2</v>
      </c>
      <c r="Q63" s="64">
        <v>9.2100000000000009</v>
      </c>
      <c r="R63" s="198"/>
      <c r="S63" s="198"/>
      <c r="T63" s="198"/>
      <c r="U63" s="198"/>
    </row>
    <row r="64" spans="1:21" s="12" customFormat="1" x14ac:dyDescent="0.25">
      <c r="A64" s="214" t="s">
        <v>1547</v>
      </c>
      <c r="B64" s="64">
        <v>5.42</v>
      </c>
      <c r="C64" s="64">
        <v>7.46</v>
      </c>
      <c r="D64" s="64">
        <v>8.24</v>
      </c>
      <c r="E64" s="64">
        <v>5.15</v>
      </c>
      <c r="F64" s="64">
        <v>12.48</v>
      </c>
      <c r="G64" s="64">
        <v>15.8</v>
      </c>
      <c r="H64" s="64">
        <v>7.84</v>
      </c>
      <c r="I64" s="64">
        <v>0.69</v>
      </c>
      <c r="J64" s="64">
        <v>0.82</v>
      </c>
      <c r="K64" s="64">
        <v>138.13999999999999</v>
      </c>
      <c r="L64" s="64">
        <v>30.93</v>
      </c>
      <c r="M64" s="64">
        <v>70.849999999999994</v>
      </c>
      <c r="N64" s="64">
        <v>202.2</v>
      </c>
      <c r="O64" s="64">
        <v>0</v>
      </c>
      <c r="P64" s="64">
        <v>0.22</v>
      </c>
      <c r="Q64" s="64">
        <v>9.2200000000000006</v>
      </c>
      <c r="R64" s="198"/>
      <c r="S64" s="198"/>
      <c r="T64" s="198"/>
      <c r="U64" s="198"/>
    </row>
    <row r="65" spans="1:21" s="12" customFormat="1" x14ac:dyDescent="0.25">
      <c r="A65" s="214" t="s">
        <v>1548</v>
      </c>
      <c r="B65" s="64">
        <v>4.95</v>
      </c>
      <c r="C65" s="64">
        <v>6.8</v>
      </c>
      <c r="D65" s="64">
        <v>7.52</v>
      </c>
      <c r="E65" s="64">
        <v>5.59</v>
      </c>
      <c r="F65" s="64">
        <v>12.8</v>
      </c>
      <c r="G65" s="64">
        <v>14.37</v>
      </c>
      <c r="H65" s="64">
        <v>7.83</v>
      </c>
      <c r="I65" s="64">
        <v>0.76</v>
      </c>
      <c r="J65" s="64">
        <v>0.59</v>
      </c>
      <c r="K65" s="64">
        <v>144.44</v>
      </c>
      <c r="L65" s="64">
        <v>30.67</v>
      </c>
      <c r="M65" s="64">
        <v>71.459999999999994</v>
      </c>
      <c r="N65" s="64">
        <v>214.8</v>
      </c>
      <c r="O65" s="64">
        <v>0</v>
      </c>
      <c r="P65" s="64">
        <v>0.19</v>
      </c>
      <c r="Q65" s="64">
        <v>9.1999999999999993</v>
      </c>
      <c r="R65" s="198"/>
      <c r="S65" s="198"/>
      <c r="T65" s="198"/>
      <c r="U65" s="198"/>
    </row>
    <row r="66" spans="1:21" s="12" customFormat="1" x14ac:dyDescent="0.25">
      <c r="A66" s="214" t="s">
        <v>1549</v>
      </c>
      <c r="B66" s="64">
        <v>10.87</v>
      </c>
      <c r="C66" s="64">
        <v>7.89</v>
      </c>
      <c r="D66" s="64">
        <v>12.63</v>
      </c>
      <c r="E66" s="64">
        <v>5.55</v>
      </c>
      <c r="F66" s="64">
        <v>11.95</v>
      </c>
      <c r="G66" s="64">
        <v>14.37</v>
      </c>
      <c r="H66" s="64">
        <v>7.83</v>
      </c>
      <c r="I66" s="64">
        <v>0.75</v>
      </c>
      <c r="J66" s="64">
        <v>0.28000000000000003</v>
      </c>
      <c r="K66" s="64">
        <v>0.53</v>
      </c>
      <c r="L66" s="64">
        <v>31.27</v>
      </c>
      <c r="M66" s="64">
        <v>70.430000000000007</v>
      </c>
      <c r="N66" s="64">
        <v>174.3</v>
      </c>
      <c r="O66" s="64">
        <v>0</v>
      </c>
      <c r="P66" s="64">
        <v>0.31</v>
      </c>
      <c r="Q66" s="64">
        <v>9.2100000000000009</v>
      </c>
      <c r="R66" s="198"/>
      <c r="S66" s="198"/>
      <c r="T66" s="198"/>
      <c r="U66" s="198"/>
    </row>
    <row r="67" spans="1:21" s="12" customFormat="1" x14ac:dyDescent="0.25">
      <c r="A67" s="214" t="s">
        <v>1550</v>
      </c>
      <c r="B67" s="64">
        <v>8.5</v>
      </c>
      <c r="C67" s="64">
        <v>9.91</v>
      </c>
      <c r="D67" s="64">
        <v>11.99</v>
      </c>
      <c r="E67" s="64">
        <v>5.5</v>
      </c>
      <c r="F67" s="64">
        <v>10.27</v>
      </c>
      <c r="G67" s="64">
        <v>14.37</v>
      </c>
      <c r="H67" s="64">
        <v>7.83</v>
      </c>
      <c r="I67" s="64">
        <v>0.7</v>
      </c>
      <c r="J67" s="64">
        <v>1.25</v>
      </c>
      <c r="K67" s="64">
        <v>334.23</v>
      </c>
      <c r="L67" s="64">
        <v>31.43</v>
      </c>
      <c r="M67" s="64">
        <v>72.22</v>
      </c>
      <c r="N67" s="64">
        <v>143.80000000000001</v>
      </c>
      <c r="O67" s="64">
        <v>0</v>
      </c>
      <c r="P67" s="64">
        <v>0.31</v>
      </c>
      <c r="Q67" s="64">
        <v>9.2200000000000006</v>
      </c>
      <c r="R67" s="198"/>
      <c r="S67" s="198"/>
      <c r="T67" s="198"/>
      <c r="U67" s="198"/>
    </row>
    <row r="68" spans="1:21" s="12" customFormat="1" x14ac:dyDescent="0.25">
      <c r="A68" s="214" t="s">
        <v>1551</v>
      </c>
      <c r="B68" s="64">
        <v>8.1300000000000008</v>
      </c>
      <c r="C68" s="64">
        <v>8.48</v>
      </c>
      <c r="D68" s="64">
        <v>10.95</v>
      </c>
      <c r="E68" s="64">
        <v>5.62</v>
      </c>
      <c r="F68" s="64">
        <v>10.42</v>
      </c>
      <c r="G68" s="64">
        <v>18.41</v>
      </c>
      <c r="H68" s="64">
        <v>7.79</v>
      </c>
      <c r="I68" s="64">
        <v>0.71</v>
      </c>
      <c r="J68" s="64">
        <v>1.7</v>
      </c>
      <c r="K68" s="64">
        <v>336.37</v>
      </c>
      <c r="L68" s="64">
        <v>30.94</v>
      </c>
      <c r="M68" s="64">
        <v>75.72</v>
      </c>
      <c r="N68" s="64">
        <v>175.8</v>
      </c>
      <c r="O68" s="64">
        <v>0</v>
      </c>
      <c r="P68" s="64">
        <v>0.33</v>
      </c>
      <c r="Q68" s="64">
        <v>9.23</v>
      </c>
      <c r="R68" s="198"/>
      <c r="S68" s="198"/>
      <c r="T68" s="198"/>
      <c r="U68" s="198"/>
    </row>
    <row r="69" spans="1:21" s="12" customFormat="1" x14ac:dyDescent="0.25">
      <c r="A69" s="214" t="s">
        <v>1552</v>
      </c>
      <c r="B69" s="64">
        <v>8.6199999999999992</v>
      </c>
      <c r="C69" s="64">
        <v>8</v>
      </c>
      <c r="D69" s="64">
        <v>11.1</v>
      </c>
      <c r="E69" s="64">
        <v>5.69</v>
      </c>
      <c r="F69" s="64">
        <v>8.48</v>
      </c>
      <c r="G69" s="64">
        <v>21.64</v>
      </c>
      <c r="H69" s="64">
        <v>7.78</v>
      </c>
      <c r="I69" s="64">
        <v>0.74</v>
      </c>
      <c r="J69" s="64">
        <v>1.65</v>
      </c>
      <c r="K69" s="64">
        <v>337.97</v>
      </c>
      <c r="L69" s="64">
        <v>30.94</v>
      </c>
      <c r="M69" s="64">
        <v>75.55</v>
      </c>
      <c r="N69" s="64">
        <v>164.1</v>
      </c>
      <c r="O69" s="64">
        <v>0</v>
      </c>
      <c r="P69" s="64">
        <v>0.31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4" t="s">
        <v>1553</v>
      </c>
      <c r="B70" s="64">
        <v>12.3</v>
      </c>
      <c r="C70" s="64">
        <v>12.49</v>
      </c>
      <c r="D70" s="64">
        <v>16.39</v>
      </c>
      <c r="E70" s="64">
        <v>5.97</v>
      </c>
      <c r="F70" s="64">
        <v>11.6</v>
      </c>
      <c r="G70" s="64">
        <v>21.64</v>
      </c>
      <c r="H70" s="64">
        <v>7.78</v>
      </c>
      <c r="I70" s="64">
        <v>0.79</v>
      </c>
      <c r="J70" s="64">
        <v>0.83</v>
      </c>
      <c r="K70" s="64">
        <v>336.84</v>
      </c>
      <c r="L70" s="64">
        <v>30.72</v>
      </c>
      <c r="M70" s="64">
        <v>84.93</v>
      </c>
      <c r="N70" s="64">
        <v>131.5</v>
      </c>
      <c r="O70" s="64">
        <v>0</v>
      </c>
      <c r="P70" s="64">
        <v>0.38</v>
      </c>
      <c r="Q70" s="64">
        <v>9.23</v>
      </c>
      <c r="R70" s="198"/>
      <c r="S70" s="198"/>
      <c r="T70" s="198"/>
      <c r="U70" s="198"/>
    </row>
    <row r="71" spans="1:21" s="12" customFormat="1" x14ac:dyDescent="0.25">
      <c r="A71" s="214" t="s">
        <v>1554</v>
      </c>
      <c r="B71" s="64">
        <v>9.9499999999999993</v>
      </c>
      <c r="C71" s="64">
        <v>10</v>
      </c>
      <c r="D71" s="64">
        <v>13.2</v>
      </c>
      <c r="E71" s="64">
        <v>5.49</v>
      </c>
      <c r="F71" s="64">
        <v>14.55</v>
      </c>
      <c r="G71" s="64">
        <v>21.64</v>
      </c>
      <c r="H71" s="64">
        <v>7.78</v>
      </c>
      <c r="I71" s="64">
        <v>0.82</v>
      </c>
      <c r="J71" s="64">
        <v>0.71</v>
      </c>
      <c r="K71" s="64">
        <v>341.77</v>
      </c>
      <c r="L71" s="64">
        <v>28.63</v>
      </c>
      <c r="M71" s="64">
        <v>97.94</v>
      </c>
      <c r="N71" s="64">
        <v>146</v>
      </c>
      <c r="O71" s="64">
        <v>0</v>
      </c>
      <c r="P71" s="64">
        <v>0.5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4" t="s">
        <v>1555</v>
      </c>
      <c r="B72" s="64">
        <v>9.0500000000000007</v>
      </c>
      <c r="C72" s="64">
        <v>12.29</v>
      </c>
      <c r="D72" s="64">
        <v>13.67</v>
      </c>
      <c r="E72" s="64">
        <v>4.6900000000000004</v>
      </c>
      <c r="F72" s="64">
        <v>11.9</v>
      </c>
      <c r="G72" s="64">
        <v>31.26</v>
      </c>
      <c r="H72" s="64">
        <v>7.75</v>
      </c>
      <c r="I72" s="64">
        <v>0.84</v>
      </c>
      <c r="J72" s="64">
        <v>0.49</v>
      </c>
      <c r="K72" s="64">
        <v>336.21</v>
      </c>
      <c r="L72" s="64">
        <v>28.54</v>
      </c>
      <c r="M72" s="64">
        <v>97.92</v>
      </c>
      <c r="N72" s="64">
        <v>116.5</v>
      </c>
      <c r="O72" s="64">
        <v>0</v>
      </c>
      <c r="P72" s="64">
        <v>0.64</v>
      </c>
      <c r="Q72" s="64">
        <v>9.24</v>
      </c>
      <c r="R72" s="198"/>
      <c r="S72" s="198"/>
      <c r="T72" s="198"/>
      <c r="U72" s="198"/>
    </row>
    <row r="73" spans="1:21" s="12" customFormat="1" x14ac:dyDescent="0.25">
      <c r="A73" s="214" t="s">
        <v>1556</v>
      </c>
      <c r="B73" s="64">
        <v>7.97</v>
      </c>
      <c r="C73" s="64">
        <v>15.46</v>
      </c>
      <c r="D73" s="64">
        <v>14.47</v>
      </c>
      <c r="E73" s="64">
        <v>3.77</v>
      </c>
      <c r="F73" s="64">
        <v>14.63</v>
      </c>
      <c r="G73" s="64">
        <v>38.61</v>
      </c>
      <c r="H73" s="64">
        <v>7.73</v>
      </c>
      <c r="I73" s="64">
        <v>0.86</v>
      </c>
      <c r="J73" s="64">
        <v>0.14000000000000001</v>
      </c>
      <c r="K73" s="64">
        <v>119.2</v>
      </c>
      <c r="L73" s="64">
        <v>28.52</v>
      </c>
      <c r="M73" s="64">
        <v>95.56</v>
      </c>
      <c r="N73" s="64">
        <v>97.3</v>
      </c>
      <c r="O73" s="64">
        <v>0</v>
      </c>
      <c r="P73" s="64">
        <v>0.45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4" t="s">
        <v>1557</v>
      </c>
      <c r="B74" s="64">
        <v>16.239999999999998</v>
      </c>
      <c r="C74" s="64">
        <v>18.61</v>
      </c>
      <c r="D74" s="64">
        <v>22.68</v>
      </c>
      <c r="E74" s="64">
        <v>3.81</v>
      </c>
      <c r="F74" s="64">
        <v>8.89</v>
      </c>
      <c r="G74" s="64">
        <v>38.61</v>
      </c>
      <c r="H74" s="64">
        <v>7.73</v>
      </c>
      <c r="I74" s="64">
        <v>0.88</v>
      </c>
      <c r="J74" s="64">
        <v>0.46</v>
      </c>
      <c r="K74" s="64">
        <v>341.38</v>
      </c>
      <c r="L74" s="64">
        <v>28.77</v>
      </c>
      <c r="M74" s="64">
        <v>95.71</v>
      </c>
      <c r="N74" s="64">
        <v>105.8</v>
      </c>
      <c r="O74" s="64">
        <v>0</v>
      </c>
      <c r="P74" s="64">
        <v>0.75</v>
      </c>
      <c r="Q74" s="64">
        <v>9.25</v>
      </c>
      <c r="R74" s="198"/>
      <c r="S74" s="198"/>
      <c r="T74" s="198"/>
      <c r="U74" s="198"/>
    </row>
    <row r="75" spans="1:21" s="12" customFormat="1" x14ac:dyDescent="0.25">
      <c r="A75" s="214" t="s">
        <v>1558</v>
      </c>
      <c r="B75" s="64">
        <v>5.31</v>
      </c>
      <c r="C75" s="64">
        <v>19.11</v>
      </c>
      <c r="D75" s="64">
        <v>14.24</v>
      </c>
      <c r="E75" s="64">
        <v>4.1399999999999997</v>
      </c>
      <c r="F75" s="64">
        <v>16.02</v>
      </c>
      <c r="G75" s="64">
        <v>38.61</v>
      </c>
      <c r="H75" s="64">
        <v>7.73</v>
      </c>
      <c r="I75" s="64">
        <v>0.9</v>
      </c>
      <c r="J75" s="64">
        <v>0.16</v>
      </c>
      <c r="K75" s="64">
        <v>142.54</v>
      </c>
      <c r="L75" s="64">
        <v>28.75</v>
      </c>
      <c r="M75" s="64">
        <v>90.6</v>
      </c>
      <c r="N75" s="64">
        <v>88.4</v>
      </c>
      <c r="O75" s="64">
        <v>0</v>
      </c>
      <c r="P75" s="64">
        <v>0.56999999999999995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4" t="s">
        <v>1559</v>
      </c>
      <c r="B76" s="64">
        <v>4.01</v>
      </c>
      <c r="C76" s="64">
        <v>15.29</v>
      </c>
      <c r="D76" s="64">
        <v>11.2</v>
      </c>
      <c r="E76" s="64">
        <v>4.07</v>
      </c>
      <c r="F76" s="64">
        <v>15.5</v>
      </c>
      <c r="G76" s="64">
        <v>43.26</v>
      </c>
      <c r="H76" s="64">
        <v>7.71</v>
      </c>
      <c r="I76" s="64">
        <v>0.93</v>
      </c>
      <c r="J76" s="64">
        <v>0.39</v>
      </c>
      <c r="K76" s="64">
        <v>111.43</v>
      </c>
      <c r="L76" s="64">
        <v>28.81</v>
      </c>
      <c r="M76" s="64">
        <v>87.28</v>
      </c>
      <c r="N76" s="64">
        <v>77.7</v>
      </c>
      <c r="O76" s="64">
        <v>0</v>
      </c>
      <c r="P76" s="64">
        <v>0.35</v>
      </c>
      <c r="Q76" s="64">
        <v>9.26</v>
      </c>
      <c r="R76" s="198"/>
      <c r="S76" s="198"/>
      <c r="T76" s="198"/>
      <c r="U76" s="198"/>
    </row>
    <row r="77" spans="1:21" s="12" customFormat="1" x14ac:dyDescent="0.25">
      <c r="A77" s="214" t="s">
        <v>1560</v>
      </c>
      <c r="B77" s="64">
        <v>5.25</v>
      </c>
      <c r="C77" s="64">
        <v>12.78</v>
      </c>
      <c r="D77" s="64">
        <v>10.88</v>
      </c>
      <c r="E77" s="64">
        <v>3.94</v>
      </c>
      <c r="F77" s="64">
        <v>14.16</v>
      </c>
      <c r="G77" s="64">
        <v>46.82</v>
      </c>
      <c r="H77" s="64">
        <v>7.69</v>
      </c>
      <c r="I77" s="64">
        <v>0.98</v>
      </c>
      <c r="J77" s="64">
        <v>0.24</v>
      </c>
      <c r="K77" s="64">
        <v>137.34</v>
      </c>
      <c r="L77" s="64">
        <v>28.84</v>
      </c>
      <c r="M77" s="64">
        <v>85.41</v>
      </c>
      <c r="N77" s="64">
        <v>66</v>
      </c>
      <c r="O77" s="64">
        <v>0</v>
      </c>
      <c r="P77" s="64">
        <v>0.28000000000000003</v>
      </c>
      <c r="Q77" s="64">
        <v>9.26</v>
      </c>
      <c r="R77" s="198"/>
      <c r="S77" s="198"/>
      <c r="T77" s="198"/>
      <c r="U77" s="198"/>
    </row>
    <row r="78" spans="1:21" s="12" customFormat="1" x14ac:dyDescent="0.25">
      <c r="A78" s="214" t="s">
        <v>1561</v>
      </c>
      <c r="B78" s="64">
        <v>5.14</v>
      </c>
      <c r="C78" s="64">
        <v>12.9</v>
      </c>
      <c r="D78" s="64">
        <v>10.86</v>
      </c>
      <c r="E78" s="64">
        <v>4.0599999999999996</v>
      </c>
      <c r="F78" s="64">
        <v>11.75</v>
      </c>
      <c r="G78" s="64">
        <v>46.82</v>
      </c>
      <c r="H78" s="64">
        <v>7.69</v>
      </c>
      <c r="I78" s="64">
        <v>1</v>
      </c>
      <c r="J78" s="64">
        <v>0.13</v>
      </c>
      <c r="K78" s="64">
        <v>162.91999999999999</v>
      </c>
      <c r="L78" s="64">
        <v>28.79</v>
      </c>
      <c r="M78" s="64">
        <v>84.7</v>
      </c>
      <c r="N78" s="64">
        <v>54.9</v>
      </c>
      <c r="O78" s="64">
        <v>0</v>
      </c>
      <c r="P78" s="64">
        <v>0.23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4" t="s">
        <v>1562</v>
      </c>
      <c r="B79" s="64">
        <v>5.23</v>
      </c>
      <c r="C79" s="64">
        <v>14.22</v>
      </c>
      <c r="D79" s="64">
        <v>11.62</v>
      </c>
      <c r="E79" s="64">
        <v>4.07</v>
      </c>
      <c r="F79" s="64">
        <v>9.74</v>
      </c>
      <c r="G79" s="64">
        <v>46.82</v>
      </c>
      <c r="H79" s="64">
        <v>7.69</v>
      </c>
      <c r="I79" s="64">
        <v>1</v>
      </c>
      <c r="J79" s="64">
        <v>0.28999999999999998</v>
      </c>
      <c r="K79" s="64">
        <v>150.36000000000001</v>
      </c>
      <c r="L79" s="64">
        <v>28.71</v>
      </c>
      <c r="M79" s="64">
        <v>84.24</v>
      </c>
      <c r="N79" s="64">
        <v>44.5</v>
      </c>
      <c r="O79" s="64">
        <v>0</v>
      </c>
      <c r="P79" s="64">
        <v>0.24</v>
      </c>
      <c r="Q79" s="64">
        <v>9.27</v>
      </c>
      <c r="R79" s="198"/>
      <c r="S79" s="198"/>
      <c r="T79" s="198"/>
      <c r="U79" s="198"/>
    </row>
    <row r="80" spans="1:21" s="12" customFormat="1" x14ac:dyDescent="0.25">
      <c r="A80" s="214" t="s">
        <v>1563</v>
      </c>
      <c r="B80" s="64">
        <v>4.59</v>
      </c>
      <c r="C80" s="64">
        <v>13.32</v>
      </c>
      <c r="D80" s="64">
        <v>10.64</v>
      </c>
      <c r="E80" s="64">
        <v>3.88</v>
      </c>
      <c r="F80" s="64">
        <v>11.62</v>
      </c>
      <c r="G80" s="64">
        <v>42.37</v>
      </c>
      <c r="H80" s="64">
        <v>7.66</v>
      </c>
      <c r="I80" s="64">
        <v>0.99</v>
      </c>
      <c r="J80" s="64">
        <v>0.65</v>
      </c>
      <c r="K80" s="64">
        <v>126.4</v>
      </c>
      <c r="L80" s="64">
        <v>28.58</v>
      </c>
      <c r="M80" s="64">
        <v>86.79</v>
      </c>
      <c r="N80" s="64">
        <v>36.200000000000003</v>
      </c>
      <c r="O80" s="64">
        <v>0</v>
      </c>
      <c r="P80" s="64">
        <v>0.26</v>
      </c>
      <c r="Q80" s="64">
        <v>9.27</v>
      </c>
      <c r="R80" s="198"/>
      <c r="S80" s="198"/>
      <c r="T80" s="198"/>
      <c r="U80" s="198"/>
    </row>
    <row r="81" spans="1:26" s="12" customFormat="1" x14ac:dyDescent="0.25">
      <c r="A81" s="214" t="s">
        <v>1564</v>
      </c>
      <c r="B81" s="64">
        <v>4.43</v>
      </c>
      <c r="C81" s="64">
        <v>14.22</v>
      </c>
      <c r="D81" s="64">
        <v>10.98</v>
      </c>
      <c r="E81" s="64">
        <v>3.68</v>
      </c>
      <c r="F81" s="64">
        <v>9.83</v>
      </c>
      <c r="G81" s="64">
        <v>38.81</v>
      </c>
      <c r="H81" s="64">
        <v>7.65</v>
      </c>
      <c r="I81" s="64">
        <v>0.97</v>
      </c>
      <c r="J81" s="64">
        <v>0.55000000000000004</v>
      </c>
      <c r="K81" s="64">
        <v>113.91</v>
      </c>
      <c r="L81" s="64">
        <v>28.55</v>
      </c>
      <c r="M81" s="64">
        <v>85.08</v>
      </c>
      <c r="N81" s="64">
        <v>32</v>
      </c>
      <c r="O81" s="64">
        <v>0</v>
      </c>
      <c r="P81" s="64">
        <v>0.26</v>
      </c>
      <c r="Q81" s="64">
        <v>9.2799999999999994</v>
      </c>
      <c r="R81" s="198"/>
      <c r="S81" s="198"/>
      <c r="T81" s="198"/>
      <c r="U81" s="198"/>
    </row>
    <row r="82" spans="1:26" s="12" customFormat="1" x14ac:dyDescent="0.25">
      <c r="A82" s="214" t="s">
        <v>1565</v>
      </c>
      <c r="B82" s="64">
        <v>4.51</v>
      </c>
      <c r="C82" s="64">
        <v>12.37</v>
      </c>
      <c r="D82" s="64">
        <v>10.08</v>
      </c>
      <c r="E82" s="64">
        <v>3.86</v>
      </c>
      <c r="F82" s="64">
        <v>11.32</v>
      </c>
      <c r="G82" s="64">
        <v>38.81</v>
      </c>
      <c r="H82" s="64">
        <v>7.65</v>
      </c>
      <c r="I82" s="64">
        <v>0.96</v>
      </c>
      <c r="J82" s="64">
        <v>0.43</v>
      </c>
      <c r="K82" s="64">
        <v>104.3</v>
      </c>
      <c r="L82" s="64">
        <v>28.52</v>
      </c>
      <c r="M82" s="64">
        <v>84.86</v>
      </c>
      <c r="N82" s="64">
        <v>31.6</v>
      </c>
      <c r="O82" s="64">
        <v>0</v>
      </c>
      <c r="P82" s="64">
        <v>0.27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4" t="s">
        <v>1566</v>
      </c>
      <c r="B83" s="64">
        <v>4.84</v>
      </c>
      <c r="C83" s="64">
        <v>13.18</v>
      </c>
      <c r="D83" s="64">
        <v>10.77</v>
      </c>
      <c r="E83" s="64">
        <v>4.2</v>
      </c>
      <c r="F83" s="64">
        <v>11.41</v>
      </c>
      <c r="G83" s="64">
        <v>38.81</v>
      </c>
      <c r="H83" s="64">
        <v>7.65</v>
      </c>
      <c r="I83" s="64">
        <v>0.96</v>
      </c>
      <c r="J83" s="64">
        <v>0.32</v>
      </c>
      <c r="K83" s="64">
        <v>108.93</v>
      </c>
      <c r="L83" s="64">
        <v>28.42</v>
      </c>
      <c r="M83" s="64">
        <v>87.18</v>
      </c>
      <c r="N83" s="64">
        <v>31.6</v>
      </c>
      <c r="O83" s="64">
        <v>0</v>
      </c>
      <c r="P83" s="64">
        <v>0.31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4" t="s">
        <v>1567</v>
      </c>
      <c r="B84" s="64">
        <v>6.12</v>
      </c>
      <c r="C84" s="64">
        <v>17.989999999999998</v>
      </c>
      <c r="D84" s="64">
        <v>14.31</v>
      </c>
      <c r="E84" s="64">
        <v>4.18</v>
      </c>
      <c r="F84" s="64">
        <v>7.38</v>
      </c>
      <c r="G84" s="64">
        <v>36.53</v>
      </c>
      <c r="H84" s="64">
        <v>7.62</v>
      </c>
      <c r="I84" s="64">
        <v>0.96</v>
      </c>
      <c r="J84" s="64">
        <v>0.32</v>
      </c>
      <c r="K84" s="64">
        <v>124.54</v>
      </c>
      <c r="L84" s="64">
        <v>28.14</v>
      </c>
      <c r="M84" s="64">
        <v>91.37</v>
      </c>
      <c r="N84" s="64">
        <v>31.7</v>
      </c>
      <c r="O84" s="64">
        <v>0</v>
      </c>
      <c r="P84" s="64">
        <v>0.37</v>
      </c>
      <c r="Q84" s="64">
        <v>9.2799999999999994</v>
      </c>
      <c r="R84" s="198"/>
      <c r="S84" s="198"/>
      <c r="T84" s="198"/>
      <c r="U84" s="198"/>
    </row>
    <row r="85" spans="1:26" s="12" customFormat="1" x14ac:dyDescent="0.25">
      <c r="A85" s="214" t="s">
        <v>1568</v>
      </c>
      <c r="B85" s="64">
        <v>5.33</v>
      </c>
      <c r="C85" s="64">
        <v>15.48</v>
      </c>
      <c r="D85" s="64">
        <v>12.36</v>
      </c>
      <c r="E85" s="64">
        <v>4.12</v>
      </c>
      <c r="F85" s="64">
        <v>10.49</v>
      </c>
      <c r="G85" s="64">
        <v>34.799999999999997</v>
      </c>
      <c r="H85" s="64">
        <v>7.61</v>
      </c>
      <c r="I85" s="64">
        <v>0.96</v>
      </c>
      <c r="J85" s="64">
        <v>0.77</v>
      </c>
      <c r="K85" s="64">
        <v>122.03</v>
      </c>
      <c r="L85" s="64">
        <v>28.13</v>
      </c>
      <c r="M85" s="64">
        <v>92.13</v>
      </c>
      <c r="N85" s="64">
        <v>31.4</v>
      </c>
      <c r="O85" s="64">
        <v>0</v>
      </c>
      <c r="P85" s="64">
        <v>0.32</v>
      </c>
      <c r="Q85" s="64">
        <v>9.2799999999999994</v>
      </c>
      <c r="R85" s="198"/>
      <c r="S85" s="198"/>
      <c r="T85" s="198"/>
      <c r="U85" s="198"/>
    </row>
    <row r="86" spans="1:26" s="12" customFormat="1" x14ac:dyDescent="0.25">
      <c r="A86" s="214" t="s">
        <v>1569</v>
      </c>
      <c r="B86" s="64">
        <v>4.37</v>
      </c>
      <c r="C86" s="64">
        <v>14.12</v>
      </c>
      <c r="D86" s="64">
        <v>10.88</v>
      </c>
      <c r="E86" s="64">
        <v>4.45</v>
      </c>
      <c r="F86" s="64">
        <v>10.84</v>
      </c>
      <c r="G86" s="64">
        <v>34.799999999999997</v>
      </c>
      <c r="H86" s="64">
        <v>7.61</v>
      </c>
      <c r="I86" s="64">
        <v>0.98</v>
      </c>
      <c r="J86" s="64">
        <v>0.17</v>
      </c>
      <c r="K86" s="64">
        <v>134.91999999999999</v>
      </c>
      <c r="L86" s="64">
        <v>28.04</v>
      </c>
      <c r="M86" s="64">
        <v>93.04</v>
      </c>
      <c r="N86" s="64">
        <v>31.7</v>
      </c>
      <c r="O86" s="64">
        <v>0</v>
      </c>
      <c r="P86" s="64">
        <v>0.34</v>
      </c>
      <c r="Q86" s="64">
        <v>9.2799999999999994</v>
      </c>
      <c r="R86" s="198"/>
      <c r="S86" s="198"/>
      <c r="T86" s="198"/>
      <c r="U86" s="198"/>
    </row>
    <row r="87" spans="1:26" s="12" customFormat="1" x14ac:dyDescent="0.25">
      <c r="A87" s="214" t="s">
        <v>1570</v>
      </c>
      <c r="B87" s="64">
        <v>5.3</v>
      </c>
      <c r="C87" s="64">
        <v>15.27</v>
      </c>
      <c r="D87" s="64">
        <v>12.23</v>
      </c>
      <c r="E87" s="64">
        <v>4.09</v>
      </c>
      <c r="F87" s="64">
        <v>7.22</v>
      </c>
      <c r="G87" s="64">
        <v>34.799999999999997</v>
      </c>
      <c r="H87" s="64">
        <v>7.61</v>
      </c>
      <c r="I87" s="64">
        <v>0.99</v>
      </c>
      <c r="J87" s="64">
        <v>0.16</v>
      </c>
      <c r="K87" s="64">
        <v>178.02</v>
      </c>
      <c r="L87" s="64">
        <v>27.88</v>
      </c>
      <c r="M87" s="64">
        <v>94.37</v>
      </c>
      <c r="N87" s="64">
        <v>31.6</v>
      </c>
      <c r="O87" s="64">
        <v>0</v>
      </c>
      <c r="P87" s="64">
        <v>0.36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4" t="s">
        <v>1571</v>
      </c>
      <c r="B88" s="64">
        <v>7.36</v>
      </c>
      <c r="C88" s="64">
        <v>19.87</v>
      </c>
      <c r="D88" s="64">
        <v>16.28</v>
      </c>
      <c r="E88" s="64">
        <v>4.29</v>
      </c>
      <c r="F88" s="64">
        <v>7.25</v>
      </c>
      <c r="G88" s="64">
        <v>31.53</v>
      </c>
      <c r="H88" s="64">
        <v>7.58</v>
      </c>
      <c r="I88" s="64">
        <v>0.99</v>
      </c>
      <c r="J88" s="64">
        <v>0.14000000000000001</v>
      </c>
      <c r="K88" s="64">
        <v>178.47</v>
      </c>
      <c r="L88" s="64">
        <v>27.74</v>
      </c>
      <c r="M88" s="64">
        <v>96.6</v>
      </c>
      <c r="N88" s="64">
        <v>31.6</v>
      </c>
      <c r="O88" s="64">
        <v>0</v>
      </c>
      <c r="P88" s="64">
        <v>0.41</v>
      </c>
      <c r="Q88" s="64">
        <v>9.26</v>
      </c>
      <c r="R88" s="198"/>
      <c r="S88" s="198"/>
      <c r="T88" s="198"/>
      <c r="U88" s="198"/>
    </row>
    <row r="89" spans="1:26" s="12" customFormat="1" x14ac:dyDescent="0.25">
      <c r="A89" s="214" t="s">
        <v>1572</v>
      </c>
      <c r="B89" s="64">
        <v>7.93</v>
      </c>
      <c r="C89" s="64">
        <v>23.5</v>
      </c>
      <c r="D89" s="64">
        <v>18.64</v>
      </c>
      <c r="E89" s="64">
        <v>4.08</v>
      </c>
      <c r="F89" s="64">
        <v>6.67</v>
      </c>
      <c r="G89" s="64">
        <v>28.92</v>
      </c>
      <c r="H89" s="64">
        <v>7.57</v>
      </c>
      <c r="I89" s="64">
        <v>0.99</v>
      </c>
      <c r="J89" s="64">
        <v>0.11</v>
      </c>
      <c r="K89" s="64">
        <v>189.7</v>
      </c>
      <c r="L89" s="64">
        <v>27.63</v>
      </c>
      <c r="M89" s="64">
        <v>97.54</v>
      </c>
      <c r="N89" s="64">
        <v>31.6</v>
      </c>
      <c r="O89" s="64">
        <v>0</v>
      </c>
      <c r="P89" s="64">
        <v>0.49</v>
      </c>
      <c r="Q89" s="64">
        <v>9.25</v>
      </c>
      <c r="R89" s="198"/>
      <c r="S89" s="198"/>
      <c r="T89" s="198"/>
      <c r="U89" s="198"/>
    </row>
    <row r="90" spans="1:26" s="12" customFormat="1" x14ac:dyDescent="0.25">
      <c r="A90" s="214" t="s">
        <v>1573</v>
      </c>
      <c r="B90" s="64">
        <v>15.96</v>
      </c>
      <c r="C90" s="64">
        <v>21.01</v>
      </c>
      <c r="D90" s="64">
        <v>23.77</v>
      </c>
      <c r="E90" s="64">
        <v>3.79</v>
      </c>
      <c r="F90" s="64">
        <v>6.32</v>
      </c>
      <c r="G90" s="64">
        <v>28.92</v>
      </c>
      <c r="H90" s="64">
        <v>7.57</v>
      </c>
      <c r="I90" s="64">
        <v>1.01</v>
      </c>
      <c r="J90" s="64">
        <v>0.03</v>
      </c>
      <c r="K90" s="64">
        <v>321.32</v>
      </c>
      <c r="L90" s="64">
        <v>27.58</v>
      </c>
      <c r="M90" s="64">
        <v>96.67</v>
      </c>
      <c r="N90" s="64">
        <v>31.5</v>
      </c>
      <c r="O90" s="64">
        <v>0</v>
      </c>
      <c r="P90" s="64">
        <v>0.7</v>
      </c>
      <c r="Q90" s="64">
        <v>9.25</v>
      </c>
      <c r="R90" s="198"/>
      <c r="S90" s="198"/>
      <c r="T90" s="198"/>
      <c r="U90" s="198"/>
    </row>
    <row r="91" spans="1:26" s="12" customFormat="1" x14ac:dyDescent="0.25">
      <c r="A91" s="214" t="s">
        <v>1574</v>
      </c>
      <c r="B91" s="64">
        <v>12.61</v>
      </c>
      <c r="C91" s="64">
        <v>19.71</v>
      </c>
      <c r="D91" s="64">
        <v>20.41</v>
      </c>
      <c r="E91" s="64">
        <v>3.93</v>
      </c>
      <c r="F91" s="64">
        <v>6.51</v>
      </c>
      <c r="G91" s="64">
        <v>28.92</v>
      </c>
      <c r="H91" s="64">
        <v>7.57</v>
      </c>
      <c r="I91" s="64">
        <v>1.04</v>
      </c>
      <c r="J91" s="64">
        <v>0.32</v>
      </c>
      <c r="K91" s="64">
        <v>124.81</v>
      </c>
      <c r="L91" s="64">
        <v>27.49</v>
      </c>
      <c r="M91" s="64">
        <v>96.16</v>
      </c>
      <c r="N91" s="64">
        <v>31.4</v>
      </c>
      <c r="O91" s="64">
        <v>0</v>
      </c>
      <c r="P91" s="64">
        <v>0.68</v>
      </c>
      <c r="Q91" s="64">
        <v>9.26</v>
      </c>
      <c r="R91" s="198"/>
      <c r="S91" s="198"/>
      <c r="T91" s="198"/>
      <c r="U91" s="198"/>
    </row>
    <row r="92" spans="1:26" s="12" customFormat="1" x14ac:dyDescent="0.25">
      <c r="A92" s="214" t="s">
        <v>1575</v>
      </c>
      <c r="B92" s="64">
        <v>6.51</v>
      </c>
      <c r="C92" s="64">
        <v>18.93</v>
      </c>
      <c r="D92" s="64">
        <v>15.11</v>
      </c>
      <c r="E92" s="64">
        <v>3.96</v>
      </c>
      <c r="F92" s="64">
        <v>6.46</v>
      </c>
      <c r="G92" s="64">
        <v>30.16</v>
      </c>
      <c r="H92" s="64">
        <v>7.55</v>
      </c>
      <c r="I92" s="64">
        <v>1.08</v>
      </c>
      <c r="J92" s="64">
        <v>0.19</v>
      </c>
      <c r="K92" s="64">
        <v>126.18</v>
      </c>
      <c r="L92" s="64">
        <v>27.66</v>
      </c>
      <c r="M92" s="64">
        <v>94.03</v>
      </c>
      <c r="N92" s="64">
        <v>31.4</v>
      </c>
      <c r="O92" s="64">
        <v>0</v>
      </c>
      <c r="P92" s="64">
        <v>0.41</v>
      </c>
      <c r="Q92" s="64">
        <v>9.2799999999999994</v>
      </c>
      <c r="R92" s="198"/>
      <c r="S92" s="198"/>
      <c r="T92" s="198"/>
      <c r="U92" s="198"/>
    </row>
    <row r="93" spans="1:26" s="12" customFormat="1" x14ac:dyDescent="0.25">
      <c r="A93" s="214" t="s">
        <v>1576</v>
      </c>
      <c r="B93" s="64">
        <v>9.8000000000000007</v>
      </c>
      <c r="C93" s="64">
        <v>18.399999999999999</v>
      </c>
      <c r="D93" s="64">
        <v>17.47</v>
      </c>
      <c r="E93" s="64">
        <v>3.86</v>
      </c>
      <c r="F93" s="64">
        <v>5.54</v>
      </c>
      <c r="G93" s="64">
        <v>31.11</v>
      </c>
      <c r="H93" s="64">
        <v>7.53</v>
      </c>
      <c r="I93" s="64">
        <v>1.1200000000000001</v>
      </c>
      <c r="J93" s="64">
        <v>0.21</v>
      </c>
      <c r="K93" s="64">
        <v>170.88</v>
      </c>
      <c r="L93" s="64">
        <v>27.53</v>
      </c>
      <c r="M93" s="64">
        <v>97.26</v>
      </c>
      <c r="N93" s="64">
        <v>31.6</v>
      </c>
      <c r="O93" s="64">
        <v>0</v>
      </c>
      <c r="P93" s="64">
        <v>0.41</v>
      </c>
      <c r="Q93" s="64">
        <v>9.2799999999999994</v>
      </c>
      <c r="R93" s="198"/>
      <c r="S93" s="198"/>
      <c r="T93" s="198"/>
      <c r="U93" s="198"/>
    </row>
    <row r="94" spans="1:26" s="12" customFormat="1" x14ac:dyDescent="0.25">
      <c r="A94" s="214" t="s">
        <v>1577</v>
      </c>
      <c r="B94" s="64">
        <v>13.01</v>
      </c>
      <c r="C94" s="64">
        <v>16.98</v>
      </c>
      <c r="D94" s="64">
        <v>19.3</v>
      </c>
      <c r="E94" s="64">
        <v>3.96</v>
      </c>
      <c r="F94" s="64">
        <v>5.26</v>
      </c>
      <c r="G94" s="64">
        <v>31.11</v>
      </c>
      <c r="H94" s="64">
        <v>7.53</v>
      </c>
      <c r="I94" s="64">
        <v>1.1299999999999999</v>
      </c>
      <c r="J94" s="64">
        <v>0.23</v>
      </c>
      <c r="K94" s="64">
        <v>165.94</v>
      </c>
      <c r="L94" s="64">
        <v>27.34</v>
      </c>
      <c r="M94" s="64">
        <v>97.93</v>
      </c>
      <c r="N94" s="64">
        <v>31.7</v>
      </c>
      <c r="O94" s="64">
        <v>0</v>
      </c>
      <c r="P94" s="64">
        <v>0.43</v>
      </c>
      <c r="Q94" s="64">
        <v>9.2899999999999991</v>
      </c>
      <c r="R94" s="198"/>
      <c r="S94" s="198"/>
      <c r="T94" s="198"/>
      <c r="U94" s="198"/>
    </row>
    <row r="95" spans="1:26" s="12" customFormat="1" x14ac:dyDescent="0.25">
      <c r="A95" s="214" t="s">
        <v>1578</v>
      </c>
      <c r="B95" s="64">
        <v>7.19</v>
      </c>
      <c r="C95" s="64">
        <v>14.38</v>
      </c>
      <c r="D95" s="64">
        <v>13.28</v>
      </c>
      <c r="E95" s="64">
        <v>3.77</v>
      </c>
      <c r="F95" s="64">
        <v>5.44</v>
      </c>
      <c r="G95" s="64">
        <v>31.11</v>
      </c>
      <c r="H95" s="64">
        <v>7.53</v>
      </c>
      <c r="I95" s="64">
        <v>1.1499999999999999</v>
      </c>
      <c r="J95" s="64">
        <v>0.42</v>
      </c>
      <c r="K95" s="64">
        <v>150.18</v>
      </c>
      <c r="L95" s="64">
        <v>27.12</v>
      </c>
      <c r="M95" s="64">
        <v>97.95</v>
      </c>
      <c r="N95" s="64">
        <v>31.7</v>
      </c>
      <c r="O95" s="64">
        <v>0</v>
      </c>
      <c r="P95" s="64">
        <v>0.37</v>
      </c>
      <c r="Q95" s="64">
        <v>9.31</v>
      </c>
      <c r="R95" s="198"/>
      <c r="S95" s="198"/>
      <c r="T95" s="198"/>
      <c r="U95" s="198"/>
    </row>
    <row r="96" spans="1:26" s="12" customFormat="1" x14ac:dyDescent="0.25">
      <c r="A96" s="214" t="s">
        <v>1579</v>
      </c>
      <c r="B96" s="64">
        <v>11.13</v>
      </c>
      <c r="C96" s="64">
        <v>15.26</v>
      </c>
      <c r="D96" s="64">
        <v>16.899999999999999</v>
      </c>
      <c r="E96" s="64">
        <v>3.9</v>
      </c>
      <c r="F96" s="64">
        <v>4.88</v>
      </c>
      <c r="G96" s="64">
        <v>30.75</v>
      </c>
      <c r="H96" s="64">
        <v>7.56</v>
      </c>
      <c r="I96" s="64">
        <v>1.18</v>
      </c>
      <c r="J96" s="64">
        <v>0.03</v>
      </c>
      <c r="K96" s="64">
        <v>182.74</v>
      </c>
      <c r="L96" s="64">
        <v>26.97</v>
      </c>
      <c r="M96" s="64">
        <v>97.95</v>
      </c>
      <c r="N96" s="64">
        <v>31.8</v>
      </c>
      <c r="O96" s="64">
        <v>0</v>
      </c>
      <c r="P96" s="64">
        <v>0.47</v>
      </c>
      <c r="Q96" s="64">
        <v>9.31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1580</v>
      </c>
      <c r="B97" s="64">
        <v>9.92</v>
      </c>
      <c r="C97" s="64">
        <v>15.12</v>
      </c>
      <c r="D97" s="64">
        <v>15.86</v>
      </c>
      <c r="E97" s="64">
        <v>3.86</v>
      </c>
      <c r="F97" s="64">
        <v>5</v>
      </c>
      <c r="G97" s="64">
        <v>30.47</v>
      </c>
      <c r="H97" s="64">
        <v>7.57</v>
      </c>
      <c r="I97" s="64">
        <v>1.2</v>
      </c>
      <c r="J97" s="64">
        <v>0.04</v>
      </c>
      <c r="K97" s="64">
        <v>235.61</v>
      </c>
      <c r="L97" s="64">
        <v>26.8</v>
      </c>
      <c r="M97" s="64">
        <v>97.95</v>
      </c>
      <c r="N97" s="64">
        <v>31.7</v>
      </c>
      <c r="O97" s="64">
        <v>0</v>
      </c>
      <c r="P97" s="64">
        <v>0.34</v>
      </c>
      <c r="Q97" s="64">
        <v>9.33</v>
      </c>
      <c r="R97" s="198"/>
      <c r="S97" s="198"/>
      <c r="T97" s="198"/>
      <c r="U97" s="198"/>
    </row>
    <row r="98" spans="1:33" s="12" customFormat="1" x14ac:dyDescent="0.25">
      <c r="A98" s="214" t="s">
        <v>1581</v>
      </c>
      <c r="B98" s="64">
        <v>6.55</v>
      </c>
      <c r="C98" s="64">
        <v>15.2</v>
      </c>
      <c r="D98" s="64">
        <v>13.19</v>
      </c>
      <c r="E98" s="64">
        <v>3.77</v>
      </c>
      <c r="F98" s="64">
        <v>5.05</v>
      </c>
      <c r="G98" s="64">
        <v>30.47</v>
      </c>
      <c r="H98" s="64">
        <v>7.57</v>
      </c>
      <c r="I98" s="64">
        <v>1.21</v>
      </c>
      <c r="J98" s="64">
        <v>0.04</v>
      </c>
      <c r="K98" s="64">
        <v>320.98</v>
      </c>
      <c r="L98" s="64">
        <v>26.68</v>
      </c>
      <c r="M98" s="64">
        <v>97.96</v>
      </c>
      <c r="N98" s="64">
        <v>31.7</v>
      </c>
      <c r="O98" s="64">
        <v>0</v>
      </c>
      <c r="P98" s="64">
        <v>0.32</v>
      </c>
      <c r="Q98" s="64">
        <v>9.36</v>
      </c>
      <c r="R98" s="198"/>
      <c r="S98" s="198"/>
      <c r="T98" s="198"/>
      <c r="U98" s="198"/>
    </row>
    <row r="99" spans="1:33" s="12" customFormat="1" x14ac:dyDescent="0.25">
      <c r="A99" s="214" t="s">
        <v>1582</v>
      </c>
      <c r="B99" s="64">
        <v>6.54</v>
      </c>
      <c r="C99" s="64">
        <v>14.09</v>
      </c>
      <c r="D99" s="64">
        <v>12.61</v>
      </c>
      <c r="E99" s="64">
        <v>3.9</v>
      </c>
      <c r="F99" s="64">
        <v>5.66</v>
      </c>
      <c r="G99" s="64">
        <v>30.47</v>
      </c>
      <c r="H99" s="64">
        <v>7.57</v>
      </c>
      <c r="I99" s="64">
        <v>1.21</v>
      </c>
      <c r="J99" s="64">
        <v>0.05</v>
      </c>
      <c r="K99" s="64">
        <v>286.12</v>
      </c>
      <c r="L99" s="64">
        <v>26.52</v>
      </c>
      <c r="M99" s="64">
        <v>97.98</v>
      </c>
      <c r="N99" s="64">
        <v>31.8</v>
      </c>
      <c r="O99" s="64">
        <v>0</v>
      </c>
      <c r="P99" s="64">
        <v>0.33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14" t="s">
        <v>1583</v>
      </c>
      <c r="B100" s="64">
        <v>4.8</v>
      </c>
      <c r="C100" s="64">
        <v>12.34</v>
      </c>
      <c r="D100" s="64">
        <v>10.3</v>
      </c>
      <c r="E100" s="64">
        <v>3.91</v>
      </c>
      <c r="F100" s="64">
        <v>5.44</v>
      </c>
      <c r="G100" s="64">
        <v>28.23</v>
      </c>
      <c r="H100" s="64">
        <v>7.54</v>
      </c>
      <c r="I100" s="64">
        <v>1.21</v>
      </c>
      <c r="J100" s="64">
        <v>0.09</v>
      </c>
      <c r="K100" s="64">
        <v>196.26</v>
      </c>
      <c r="L100" s="64">
        <v>26.49</v>
      </c>
      <c r="M100" s="64">
        <v>98.01</v>
      </c>
      <c r="N100" s="64">
        <v>31.6</v>
      </c>
      <c r="O100" s="64">
        <v>0</v>
      </c>
      <c r="P100" s="64">
        <v>0.33</v>
      </c>
      <c r="Q100" s="64">
        <v>9.3699999999999992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1584</v>
      </c>
      <c r="B101" s="64">
        <v>5.44</v>
      </c>
      <c r="C101" s="64">
        <v>8.6999999999999993</v>
      </c>
      <c r="D101" s="64">
        <v>8.9</v>
      </c>
      <c r="E101" s="64">
        <v>3.39</v>
      </c>
      <c r="F101" s="64">
        <v>6.75</v>
      </c>
      <c r="G101" s="64">
        <v>26.51</v>
      </c>
      <c r="H101" s="64">
        <v>7.53</v>
      </c>
      <c r="I101" s="64">
        <v>1.21</v>
      </c>
      <c r="J101" s="64">
        <v>0.06</v>
      </c>
      <c r="K101" s="64">
        <v>207.76</v>
      </c>
      <c r="L101" s="64">
        <v>26.29</v>
      </c>
      <c r="M101" s="64">
        <v>98.03</v>
      </c>
      <c r="N101" s="64">
        <v>31.7</v>
      </c>
      <c r="O101" s="64">
        <v>0</v>
      </c>
      <c r="P101" s="64">
        <v>0.28000000000000003</v>
      </c>
      <c r="Q101" s="64">
        <v>9.3699999999999992</v>
      </c>
      <c r="R101" s="198"/>
      <c r="S101" s="198"/>
      <c r="T101" s="198"/>
      <c r="U101" s="198"/>
    </row>
    <row r="102" spans="1:33" s="12" customFormat="1" x14ac:dyDescent="0.25">
      <c r="A102" s="214" t="s">
        <v>1585</v>
      </c>
      <c r="B102" s="64">
        <v>4.88</v>
      </c>
      <c r="C102" s="64">
        <v>7.6</v>
      </c>
      <c r="D102" s="64">
        <v>7.88</v>
      </c>
      <c r="E102" s="64">
        <v>3.74</v>
      </c>
      <c r="F102" s="64">
        <v>6.15</v>
      </c>
      <c r="G102" s="64">
        <v>26.51</v>
      </c>
      <c r="H102" s="64">
        <v>7.53</v>
      </c>
      <c r="I102" s="64">
        <v>1.22</v>
      </c>
      <c r="J102" s="64">
        <v>0.33</v>
      </c>
      <c r="K102" s="64">
        <v>136.32</v>
      </c>
      <c r="L102" s="64">
        <v>26.2</v>
      </c>
      <c r="M102" s="64">
        <v>98.03</v>
      </c>
      <c r="N102" s="64">
        <v>31.5</v>
      </c>
      <c r="O102" s="64">
        <v>0</v>
      </c>
      <c r="P102" s="64">
        <v>0.25</v>
      </c>
      <c r="Q102" s="64">
        <v>9.3699999999999992</v>
      </c>
      <c r="R102" s="198"/>
      <c r="S102" s="198"/>
      <c r="T102" s="198"/>
      <c r="U102" s="198"/>
    </row>
    <row r="103" spans="1:33" s="12" customFormat="1" x14ac:dyDescent="0.25">
      <c r="A103" s="214" t="s">
        <v>1586</v>
      </c>
      <c r="B103" s="64">
        <v>6.11</v>
      </c>
      <c r="C103" s="64">
        <v>6.47</v>
      </c>
      <c r="D103" s="64">
        <v>8.2799999999999994</v>
      </c>
      <c r="E103" s="64">
        <v>3.86</v>
      </c>
      <c r="F103" s="64">
        <v>8.5</v>
      </c>
      <c r="G103" s="64">
        <v>26.51</v>
      </c>
      <c r="H103" s="64">
        <v>7.53</v>
      </c>
      <c r="I103" s="64">
        <v>1.21</v>
      </c>
      <c r="J103" s="64">
        <v>0.9</v>
      </c>
      <c r="K103" s="64">
        <v>136.34</v>
      </c>
      <c r="L103" s="64">
        <v>26.07</v>
      </c>
      <c r="M103" s="64">
        <v>98.02</v>
      </c>
      <c r="N103" s="64">
        <v>31.6</v>
      </c>
      <c r="O103" s="64">
        <v>0</v>
      </c>
      <c r="P103" s="64">
        <v>0.31</v>
      </c>
      <c r="Q103" s="64">
        <v>9.36</v>
      </c>
      <c r="R103" s="198"/>
      <c r="S103" s="198"/>
      <c r="T103" s="198"/>
      <c r="U103" s="198"/>
    </row>
    <row r="104" spans="1:33" s="12" customFormat="1" x14ac:dyDescent="0.25">
      <c r="A104" s="214" t="s">
        <v>1587</v>
      </c>
      <c r="B104" s="64">
        <v>7.57</v>
      </c>
      <c r="C104" s="64">
        <v>5.48</v>
      </c>
      <c r="D104" s="64">
        <v>8.94</v>
      </c>
      <c r="E104" s="64">
        <v>4.8600000000000003</v>
      </c>
      <c r="F104" s="64">
        <v>7.29</v>
      </c>
      <c r="G104" s="64">
        <v>27.79</v>
      </c>
      <c r="H104" s="64">
        <v>7.5</v>
      </c>
      <c r="I104" s="64">
        <v>1.19</v>
      </c>
      <c r="J104" s="64">
        <v>0.96</v>
      </c>
      <c r="K104" s="64">
        <v>142.01</v>
      </c>
      <c r="L104" s="64">
        <v>25.63</v>
      </c>
      <c r="M104" s="64">
        <v>97.97</v>
      </c>
      <c r="N104" s="64">
        <v>31.7</v>
      </c>
      <c r="O104" s="64">
        <v>0</v>
      </c>
      <c r="P104" s="64">
        <v>0.33</v>
      </c>
      <c r="Q104" s="64">
        <v>9.35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4.01</v>
      </c>
      <c r="C106" s="67">
        <f>MIN(C9:C104)</f>
        <v>5.31</v>
      </c>
      <c r="D106" s="67">
        <f t="shared" ref="D106:Q106" si="0">MIN(D9:D104)</f>
        <v>7.52</v>
      </c>
      <c r="E106" s="67">
        <f t="shared" si="0"/>
        <v>3.39</v>
      </c>
      <c r="F106" s="67">
        <f t="shared" si="0"/>
        <v>4.67</v>
      </c>
      <c r="G106" s="67">
        <f t="shared" si="0"/>
        <v>13.7</v>
      </c>
      <c r="H106" s="67">
        <f t="shared" si="0"/>
        <v>7.5</v>
      </c>
      <c r="I106" s="67">
        <f t="shared" si="0"/>
        <v>0.69</v>
      </c>
      <c r="J106" s="67">
        <f t="shared" si="0"/>
        <v>0.03</v>
      </c>
      <c r="K106" s="67">
        <f t="shared" si="0"/>
        <v>0.53</v>
      </c>
      <c r="L106" s="67">
        <f t="shared" si="0"/>
        <v>23.83</v>
      </c>
      <c r="M106" s="67">
        <f t="shared" si="0"/>
        <v>67.33</v>
      </c>
      <c r="N106" s="67">
        <f t="shared" si="0"/>
        <v>30.4</v>
      </c>
      <c r="O106" s="67">
        <f t="shared" si="0"/>
        <v>0</v>
      </c>
      <c r="P106" s="67">
        <f t="shared" si="0"/>
        <v>0.13</v>
      </c>
      <c r="Q106" s="67">
        <f t="shared" si="0"/>
        <v>9.18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16.239999999999998</v>
      </c>
      <c r="C107" s="66">
        <f t="shared" ref="C107:Q107" si="1">MAX(C9:C104)</f>
        <v>23.5</v>
      </c>
      <c r="D107" s="66">
        <f t="shared" si="1"/>
        <v>23.77</v>
      </c>
      <c r="E107" s="66">
        <f t="shared" si="1"/>
        <v>5.97</v>
      </c>
      <c r="F107" s="66">
        <f t="shared" si="1"/>
        <v>16.02</v>
      </c>
      <c r="G107" s="66">
        <f t="shared" si="1"/>
        <v>46.82</v>
      </c>
      <c r="H107" s="66">
        <f t="shared" si="1"/>
        <v>7.88</v>
      </c>
      <c r="I107" s="66">
        <f t="shared" si="1"/>
        <v>1.22</v>
      </c>
      <c r="J107" s="66">
        <f t="shared" si="1"/>
        <v>1.7</v>
      </c>
      <c r="K107" s="66">
        <f t="shared" si="1"/>
        <v>341.77</v>
      </c>
      <c r="L107" s="66">
        <f t="shared" si="1"/>
        <v>31.43</v>
      </c>
      <c r="M107" s="66">
        <f t="shared" si="1"/>
        <v>98.15</v>
      </c>
      <c r="N107" s="66">
        <f t="shared" si="1"/>
        <v>1029</v>
      </c>
      <c r="O107" s="66">
        <f t="shared" si="1"/>
        <v>0</v>
      </c>
      <c r="P107" s="66">
        <f t="shared" si="1"/>
        <v>0.75</v>
      </c>
      <c r="Q107" s="66">
        <f t="shared" si="1"/>
        <v>9.3699999999999992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6.7573958333333328</v>
      </c>
      <c r="C108" s="67">
        <f t="shared" ref="C108:Q108" si="2">AVERAGE(C9:C104)</f>
        <v>9.8512500000000021</v>
      </c>
      <c r="D108" s="67">
        <f t="shared" si="2"/>
        <v>10.562291666666667</v>
      </c>
      <c r="E108" s="67">
        <f t="shared" si="2"/>
        <v>4.4335416666666667</v>
      </c>
      <c r="F108" s="67">
        <f t="shared" si="2"/>
        <v>8.8790625000000016</v>
      </c>
      <c r="G108" s="67">
        <f t="shared" si="2"/>
        <v>24.51854166666666</v>
      </c>
      <c r="H108" s="67">
        <f t="shared" si="2"/>
        <v>7.6764583333333327</v>
      </c>
      <c r="I108" s="67">
        <f t="shared" si="2"/>
        <v>0.97666666666666624</v>
      </c>
      <c r="J108" s="67">
        <f t="shared" si="2"/>
        <v>0.43197916666666664</v>
      </c>
      <c r="K108" s="67">
        <f t="shared" si="2"/>
        <v>159.61197916666671</v>
      </c>
      <c r="L108" s="67">
        <f t="shared" si="2"/>
        <v>27.46822916666666</v>
      </c>
      <c r="M108" s="67">
        <f t="shared" si="2"/>
        <v>90.159375000000026</v>
      </c>
      <c r="N108" s="67">
        <f t="shared" si="2"/>
        <v>217.71979166666657</v>
      </c>
      <c r="O108" s="67">
        <f t="shared" si="2"/>
        <v>0</v>
      </c>
      <c r="P108" s="67">
        <f t="shared" si="2"/>
        <v>0.25437499999999996</v>
      </c>
      <c r="Q108" s="67">
        <f t="shared" si="2"/>
        <v>9.2841666666666658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2.3098504142916982</v>
      </c>
      <c r="C109" s="67">
        <f t="shared" ref="C109:Q109" si="3">STDEV(C9:C104)</f>
        <v>4.4373207302557995</v>
      </c>
      <c r="D109" s="67">
        <f t="shared" si="3"/>
        <v>3.4431938903678745</v>
      </c>
      <c r="E109" s="67">
        <f t="shared" si="3"/>
        <v>0.67352174061994396</v>
      </c>
      <c r="F109" s="67">
        <f t="shared" si="3"/>
        <v>2.6725836417909195</v>
      </c>
      <c r="G109" s="67">
        <f t="shared" si="3"/>
        <v>8.5633548491190048</v>
      </c>
      <c r="H109" s="67">
        <f t="shared" si="3"/>
        <v>0.10225848740135968</v>
      </c>
      <c r="I109" s="67">
        <f t="shared" si="3"/>
        <v>0.13546540958112818</v>
      </c>
      <c r="J109" s="67">
        <f t="shared" si="3"/>
        <v>0.31731976166061732</v>
      </c>
      <c r="K109" s="67">
        <f t="shared" si="3"/>
        <v>63.900271535866267</v>
      </c>
      <c r="L109" s="67">
        <f t="shared" si="3"/>
        <v>2.4173883231339897</v>
      </c>
      <c r="M109" s="67">
        <f t="shared" si="3"/>
        <v>10.260162080642043</v>
      </c>
      <c r="N109" s="67">
        <f t="shared" si="3"/>
        <v>298.77990583451663</v>
      </c>
      <c r="O109" s="67">
        <f t="shared" si="3"/>
        <v>0</v>
      </c>
      <c r="P109" s="67">
        <f t="shared" si="3"/>
        <v>0.13699644636190195</v>
      </c>
      <c r="Q109" s="67">
        <f t="shared" si="3"/>
        <v>4.9047059392869914E-2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1588</v>
      </c>
      <c r="B9" s="64">
        <v>7</v>
      </c>
      <c r="C9" s="64">
        <v>5.72</v>
      </c>
      <c r="D9" s="64">
        <v>8.6</v>
      </c>
      <c r="E9" s="64">
        <v>4.28</v>
      </c>
      <c r="F9" s="64">
        <v>8.0500000000000007</v>
      </c>
      <c r="G9" s="64">
        <v>28.77</v>
      </c>
      <c r="H9" s="64">
        <v>7.49</v>
      </c>
      <c r="I9" s="64">
        <v>1.18</v>
      </c>
      <c r="J9" s="64">
        <v>7.0000000000000007E-2</v>
      </c>
      <c r="K9" s="64">
        <v>133.15</v>
      </c>
      <c r="L9" s="64">
        <v>25.48</v>
      </c>
      <c r="M9" s="64">
        <v>97.98</v>
      </c>
      <c r="N9" s="64">
        <v>31</v>
      </c>
      <c r="O9" s="64">
        <v>0</v>
      </c>
      <c r="P9" s="64">
        <v>0.24</v>
      </c>
      <c r="Q9" s="64">
        <v>9.32</v>
      </c>
      <c r="R9" s="198"/>
      <c r="S9" s="198"/>
      <c r="T9" s="198"/>
      <c r="U9" s="198"/>
    </row>
    <row r="10" spans="1:21" s="12" customFormat="1" x14ac:dyDescent="0.25">
      <c r="A10" s="214" t="s">
        <v>1589</v>
      </c>
      <c r="B10" s="64">
        <v>4.6500000000000004</v>
      </c>
      <c r="C10" s="64">
        <v>7.49</v>
      </c>
      <c r="D10" s="64">
        <v>7.64</v>
      </c>
      <c r="E10" s="64">
        <v>4.41</v>
      </c>
      <c r="F10" s="64">
        <v>8.0299999999999994</v>
      </c>
      <c r="G10" s="64">
        <v>28.77</v>
      </c>
      <c r="H10" s="64">
        <v>7.49</v>
      </c>
      <c r="I10" s="64">
        <v>1.1399999999999999</v>
      </c>
      <c r="J10" s="64">
        <v>0.22</v>
      </c>
      <c r="K10" s="64">
        <v>138.69</v>
      </c>
      <c r="L10" s="64">
        <v>25.37</v>
      </c>
      <c r="M10" s="64">
        <v>97.99</v>
      </c>
      <c r="N10" s="64">
        <v>30.8</v>
      </c>
      <c r="O10" s="64">
        <v>0</v>
      </c>
      <c r="P10" s="64">
        <v>0.17</v>
      </c>
      <c r="Q10" s="64">
        <v>9.32</v>
      </c>
      <c r="R10" s="198"/>
      <c r="S10" s="198"/>
      <c r="T10" s="198"/>
      <c r="U10" s="198"/>
    </row>
    <row r="11" spans="1:21" s="12" customFormat="1" x14ac:dyDescent="0.25">
      <c r="A11" s="214" t="s">
        <v>1590</v>
      </c>
      <c r="B11" s="64">
        <v>5.64</v>
      </c>
      <c r="C11" s="64">
        <v>7.23</v>
      </c>
      <c r="D11" s="64">
        <v>8.3000000000000007</v>
      </c>
      <c r="E11" s="64">
        <v>4.1100000000000003</v>
      </c>
      <c r="F11" s="64">
        <v>9.9499999999999993</v>
      </c>
      <c r="G11" s="64">
        <v>28.77</v>
      </c>
      <c r="H11" s="64">
        <v>7.49</v>
      </c>
      <c r="I11" s="64">
        <v>1.1000000000000001</v>
      </c>
      <c r="J11" s="64">
        <v>0.17</v>
      </c>
      <c r="K11" s="64">
        <v>125.75</v>
      </c>
      <c r="L11" s="64">
        <v>25.58</v>
      </c>
      <c r="M11" s="64">
        <v>98.03</v>
      </c>
      <c r="N11" s="64">
        <v>31.4</v>
      </c>
      <c r="O11" s="64">
        <v>0</v>
      </c>
      <c r="P11" s="64">
        <v>0.24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14" t="s">
        <v>1591</v>
      </c>
      <c r="B12" s="64">
        <v>3.95</v>
      </c>
      <c r="C12" s="64">
        <v>9.23</v>
      </c>
      <c r="D12" s="64">
        <v>7.99</v>
      </c>
      <c r="E12" s="64">
        <v>4.3600000000000003</v>
      </c>
      <c r="F12" s="64">
        <v>7.64</v>
      </c>
      <c r="G12" s="64">
        <v>25.1</v>
      </c>
      <c r="H12" s="64">
        <v>7.47</v>
      </c>
      <c r="I12" s="64">
        <v>1.07</v>
      </c>
      <c r="J12" s="64">
        <v>0.14000000000000001</v>
      </c>
      <c r="K12" s="64">
        <v>146</v>
      </c>
      <c r="L12" s="64">
        <v>25.73</v>
      </c>
      <c r="M12" s="64">
        <v>98.01</v>
      </c>
      <c r="N12" s="64">
        <v>31.5</v>
      </c>
      <c r="O12" s="64">
        <v>0</v>
      </c>
      <c r="P12" s="64">
        <v>0.19</v>
      </c>
      <c r="Q12" s="64">
        <v>9.31</v>
      </c>
      <c r="R12" s="198"/>
      <c r="S12" s="198"/>
      <c r="T12" s="198"/>
      <c r="U12" s="198"/>
    </row>
    <row r="13" spans="1:21" s="12" customFormat="1" x14ac:dyDescent="0.25">
      <c r="A13" s="214" t="s">
        <v>1592</v>
      </c>
      <c r="B13" s="64">
        <v>5.51</v>
      </c>
      <c r="C13" s="64">
        <v>7.01</v>
      </c>
      <c r="D13" s="64">
        <v>8.07</v>
      </c>
      <c r="E13" s="64">
        <v>4.12</v>
      </c>
      <c r="F13" s="64">
        <v>4.29</v>
      </c>
      <c r="G13" s="64">
        <v>22.3</v>
      </c>
      <c r="H13" s="64">
        <v>7.46</v>
      </c>
      <c r="I13" s="64">
        <v>1.05</v>
      </c>
      <c r="J13" s="64">
        <v>0.54</v>
      </c>
      <c r="K13" s="64">
        <v>150.69999999999999</v>
      </c>
      <c r="L13" s="64">
        <v>25.74</v>
      </c>
      <c r="M13" s="64">
        <v>98.01</v>
      </c>
      <c r="N13" s="64">
        <v>31.4</v>
      </c>
      <c r="O13" s="64">
        <v>0</v>
      </c>
      <c r="P13" s="64">
        <v>0.28999999999999998</v>
      </c>
      <c r="Q13" s="64">
        <v>9.3000000000000007</v>
      </c>
      <c r="R13" s="198"/>
      <c r="S13" s="198"/>
      <c r="T13" s="198"/>
      <c r="U13" s="198"/>
    </row>
    <row r="14" spans="1:21" s="12" customFormat="1" x14ac:dyDescent="0.25">
      <c r="A14" s="214" t="s">
        <v>1593</v>
      </c>
      <c r="B14" s="64">
        <v>5.95</v>
      </c>
      <c r="C14" s="64">
        <v>6.71</v>
      </c>
      <c r="D14" s="64">
        <v>8.2799999999999994</v>
      </c>
      <c r="E14" s="64">
        <v>4.24</v>
      </c>
      <c r="F14" s="64">
        <v>6.85</v>
      </c>
      <c r="G14" s="64">
        <v>22.3</v>
      </c>
      <c r="H14" s="64">
        <v>7.46</v>
      </c>
      <c r="I14" s="64">
        <v>1.03</v>
      </c>
      <c r="J14" s="64">
        <v>0.34</v>
      </c>
      <c r="K14" s="64">
        <v>151.94</v>
      </c>
      <c r="L14" s="64">
        <v>25.68</v>
      </c>
      <c r="M14" s="64">
        <v>98.03</v>
      </c>
      <c r="N14" s="64">
        <v>31.7</v>
      </c>
      <c r="O14" s="64">
        <v>0</v>
      </c>
      <c r="P14" s="64">
        <v>0.24</v>
      </c>
      <c r="Q14" s="64">
        <v>9.3000000000000007</v>
      </c>
      <c r="R14" s="198"/>
      <c r="S14" s="198"/>
      <c r="T14" s="198"/>
      <c r="U14" s="198"/>
    </row>
    <row r="15" spans="1:21" s="12" customFormat="1" x14ac:dyDescent="0.25">
      <c r="A15" s="214" t="s">
        <v>1594</v>
      </c>
      <c r="B15" s="64">
        <v>4.66</v>
      </c>
      <c r="C15" s="64">
        <v>7.56</v>
      </c>
      <c r="D15" s="64">
        <v>7.69</v>
      </c>
      <c r="E15" s="64">
        <v>4.55</v>
      </c>
      <c r="F15" s="64">
        <v>5.23</v>
      </c>
      <c r="G15" s="64">
        <v>22.3</v>
      </c>
      <c r="H15" s="64">
        <v>7.46</v>
      </c>
      <c r="I15" s="64">
        <v>1.03</v>
      </c>
      <c r="J15" s="64">
        <v>0.37</v>
      </c>
      <c r="K15" s="64">
        <v>135.44</v>
      </c>
      <c r="L15" s="64">
        <v>25.51</v>
      </c>
      <c r="M15" s="64">
        <v>97.56</v>
      </c>
      <c r="N15" s="64">
        <v>31.7</v>
      </c>
      <c r="O15" s="64">
        <v>0</v>
      </c>
      <c r="P15" s="64">
        <v>0.22</v>
      </c>
      <c r="Q15" s="64">
        <v>9.2899999999999991</v>
      </c>
      <c r="R15" s="198"/>
      <c r="S15" s="198"/>
      <c r="T15" s="198"/>
      <c r="U15" s="198"/>
    </row>
    <row r="16" spans="1:21" s="12" customFormat="1" x14ac:dyDescent="0.25">
      <c r="A16" s="214" t="s">
        <v>1595</v>
      </c>
      <c r="B16" s="64">
        <v>4.38</v>
      </c>
      <c r="C16" s="64">
        <v>6.72</v>
      </c>
      <c r="D16" s="64">
        <v>7.03</v>
      </c>
      <c r="E16" s="64">
        <v>4.09</v>
      </c>
      <c r="F16" s="64">
        <v>6.96</v>
      </c>
      <c r="G16" s="64">
        <v>22.43</v>
      </c>
      <c r="H16" s="64">
        <v>7.55</v>
      </c>
      <c r="I16" s="64">
        <v>1.01</v>
      </c>
      <c r="J16" s="64">
        <v>0.12</v>
      </c>
      <c r="K16" s="64">
        <v>150.66</v>
      </c>
      <c r="L16" s="64">
        <v>25.42</v>
      </c>
      <c r="M16" s="64">
        <v>97.54</v>
      </c>
      <c r="N16" s="64">
        <v>31.7</v>
      </c>
      <c r="O16" s="64">
        <v>0</v>
      </c>
      <c r="P16" s="64">
        <v>0.2</v>
      </c>
      <c r="Q16" s="64">
        <v>9.27</v>
      </c>
      <c r="R16" s="198"/>
      <c r="S16" s="198"/>
      <c r="T16" s="198"/>
      <c r="U16" s="198"/>
    </row>
    <row r="17" spans="1:21" s="12" customFormat="1" x14ac:dyDescent="0.25">
      <c r="A17" s="214" t="s">
        <v>1596</v>
      </c>
      <c r="B17" s="64">
        <v>4.1900000000000004</v>
      </c>
      <c r="C17" s="64">
        <v>6.49</v>
      </c>
      <c r="D17" s="64">
        <v>6.75</v>
      </c>
      <c r="E17" s="64">
        <v>4.1399999999999997</v>
      </c>
      <c r="F17" s="64">
        <v>6.24</v>
      </c>
      <c r="G17" s="64">
        <v>22.53</v>
      </c>
      <c r="H17" s="64">
        <v>7.58</v>
      </c>
      <c r="I17" s="64">
        <v>1</v>
      </c>
      <c r="J17" s="64">
        <v>0.47</v>
      </c>
      <c r="K17" s="64">
        <v>140.09</v>
      </c>
      <c r="L17" s="64">
        <v>25.3</v>
      </c>
      <c r="M17" s="64">
        <v>98.1</v>
      </c>
      <c r="N17" s="64">
        <v>31.6</v>
      </c>
      <c r="O17" s="64">
        <v>0</v>
      </c>
      <c r="P17" s="64">
        <v>0.23</v>
      </c>
      <c r="Q17" s="64">
        <v>9.2899999999999991</v>
      </c>
      <c r="R17" s="198"/>
      <c r="S17" s="198"/>
      <c r="T17" s="198"/>
      <c r="U17" s="198"/>
    </row>
    <row r="18" spans="1:21" s="12" customFormat="1" x14ac:dyDescent="0.25">
      <c r="A18" s="214" t="s">
        <v>1597</v>
      </c>
      <c r="B18" s="64">
        <v>4.6900000000000004</v>
      </c>
      <c r="C18" s="64">
        <v>6.28</v>
      </c>
      <c r="D18" s="64">
        <v>7.04</v>
      </c>
      <c r="E18" s="64">
        <v>4.01</v>
      </c>
      <c r="F18" s="64">
        <v>5.14</v>
      </c>
      <c r="G18" s="64">
        <v>22.53</v>
      </c>
      <c r="H18" s="64">
        <v>7.58</v>
      </c>
      <c r="I18" s="64">
        <v>1.07</v>
      </c>
      <c r="J18" s="64">
        <v>0.51</v>
      </c>
      <c r="K18" s="64">
        <v>141.6</v>
      </c>
      <c r="L18" s="64">
        <v>25.29</v>
      </c>
      <c r="M18" s="64">
        <v>97.58</v>
      </c>
      <c r="N18" s="64">
        <v>31.5</v>
      </c>
      <c r="O18" s="64">
        <v>0</v>
      </c>
      <c r="P18" s="64">
        <v>0.23</v>
      </c>
      <c r="Q18" s="64">
        <v>9.27</v>
      </c>
      <c r="R18" s="198"/>
      <c r="S18" s="198"/>
      <c r="T18" s="198"/>
      <c r="U18" s="198"/>
    </row>
    <row r="19" spans="1:21" s="12" customFormat="1" x14ac:dyDescent="0.25">
      <c r="A19" s="214" t="s">
        <v>1598</v>
      </c>
      <c r="B19" s="64">
        <v>4.6100000000000003</v>
      </c>
      <c r="C19" s="64">
        <v>6.05</v>
      </c>
      <c r="D19" s="64">
        <v>6.85</v>
      </c>
      <c r="E19" s="64">
        <v>4.24</v>
      </c>
      <c r="F19" s="64">
        <v>7.25</v>
      </c>
      <c r="G19" s="64">
        <v>22.53</v>
      </c>
      <c r="H19" s="64">
        <v>7.58</v>
      </c>
      <c r="I19" s="64">
        <v>1.04</v>
      </c>
      <c r="J19" s="64">
        <v>0.21</v>
      </c>
      <c r="K19" s="64">
        <v>124.75</v>
      </c>
      <c r="L19" s="64">
        <v>25.28</v>
      </c>
      <c r="M19" s="64">
        <v>97.59</v>
      </c>
      <c r="N19" s="64">
        <v>31.8</v>
      </c>
      <c r="O19" s="64">
        <v>0</v>
      </c>
      <c r="P19" s="64">
        <v>0.22</v>
      </c>
      <c r="Q19" s="64">
        <v>9.2799999999999994</v>
      </c>
      <c r="R19" s="198"/>
      <c r="S19" s="198"/>
      <c r="T19" s="198"/>
      <c r="U19" s="198"/>
    </row>
    <row r="20" spans="1:21" s="12" customFormat="1" x14ac:dyDescent="0.25">
      <c r="A20" s="214" t="s">
        <v>1599</v>
      </c>
      <c r="B20" s="64">
        <v>4.47</v>
      </c>
      <c r="C20" s="64">
        <v>6.19</v>
      </c>
      <c r="D20" s="64">
        <v>6.82</v>
      </c>
      <c r="E20" s="64">
        <v>4.33</v>
      </c>
      <c r="F20" s="64">
        <v>5.7</v>
      </c>
      <c r="G20" s="64">
        <v>19.190000000000001</v>
      </c>
      <c r="H20" s="64">
        <v>7.59</v>
      </c>
      <c r="I20" s="64">
        <v>0.97</v>
      </c>
      <c r="J20" s="64">
        <v>0.02</v>
      </c>
      <c r="K20" s="64">
        <v>262.14</v>
      </c>
      <c r="L20" s="64">
        <v>25.22</v>
      </c>
      <c r="M20" s="64">
        <v>97.61</v>
      </c>
      <c r="N20" s="64">
        <v>31.8</v>
      </c>
      <c r="O20" s="64">
        <v>0</v>
      </c>
      <c r="P20" s="64">
        <v>0.21</v>
      </c>
      <c r="Q20" s="64">
        <v>9.27</v>
      </c>
      <c r="R20" s="198"/>
      <c r="S20" s="198"/>
      <c r="T20" s="198"/>
      <c r="U20" s="198"/>
    </row>
    <row r="21" spans="1:21" s="12" customFormat="1" x14ac:dyDescent="0.25">
      <c r="A21" s="214" t="s">
        <v>1600</v>
      </c>
      <c r="B21" s="64">
        <v>3.95</v>
      </c>
      <c r="C21" s="64">
        <v>5.79</v>
      </c>
      <c r="D21" s="64">
        <v>6.19</v>
      </c>
      <c r="E21" s="64">
        <v>4.2699999999999996</v>
      </c>
      <c r="F21" s="64">
        <v>5.13</v>
      </c>
      <c r="G21" s="64">
        <v>16.52</v>
      </c>
      <c r="H21" s="64">
        <v>7.6</v>
      </c>
      <c r="I21" s="64">
        <v>1.03</v>
      </c>
      <c r="J21" s="64">
        <v>0.04</v>
      </c>
      <c r="K21" s="64">
        <v>201.15</v>
      </c>
      <c r="L21" s="64">
        <v>25.01</v>
      </c>
      <c r="M21" s="64">
        <v>98.13</v>
      </c>
      <c r="N21" s="64">
        <v>31.8</v>
      </c>
      <c r="O21" s="64">
        <v>0</v>
      </c>
      <c r="P21" s="64">
        <v>0.22</v>
      </c>
      <c r="Q21" s="64">
        <v>9.25</v>
      </c>
      <c r="R21" s="198"/>
      <c r="S21" s="198"/>
      <c r="T21" s="198"/>
      <c r="U21" s="198"/>
    </row>
    <row r="22" spans="1:21" s="12" customFormat="1" x14ac:dyDescent="0.25">
      <c r="A22" s="214" t="s">
        <v>1601</v>
      </c>
      <c r="B22" s="64">
        <v>4.16</v>
      </c>
      <c r="C22" s="64">
        <v>5.49</v>
      </c>
      <c r="D22" s="64">
        <v>6.2</v>
      </c>
      <c r="E22" s="64">
        <v>3.89</v>
      </c>
      <c r="F22" s="64">
        <v>6.5</v>
      </c>
      <c r="G22" s="64">
        <v>16.52</v>
      </c>
      <c r="H22" s="64">
        <v>7.6</v>
      </c>
      <c r="I22" s="64">
        <v>0.99</v>
      </c>
      <c r="J22" s="64">
        <v>0.18</v>
      </c>
      <c r="K22" s="64">
        <v>137.88999999999999</v>
      </c>
      <c r="L22" s="64">
        <v>24.93</v>
      </c>
      <c r="M22" s="64">
        <v>97.66</v>
      </c>
      <c r="N22" s="64">
        <v>31.7</v>
      </c>
      <c r="O22" s="64">
        <v>0</v>
      </c>
      <c r="P22" s="64">
        <v>0.21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14" t="s">
        <v>1602</v>
      </c>
      <c r="B23" s="64">
        <v>4.54</v>
      </c>
      <c r="C23" s="64">
        <v>5.21</v>
      </c>
      <c r="D23" s="64">
        <v>6.36</v>
      </c>
      <c r="E23" s="64">
        <v>3.98</v>
      </c>
      <c r="F23" s="64">
        <v>7.82</v>
      </c>
      <c r="G23" s="64">
        <v>16.52</v>
      </c>
      <c r="H23" s="64">
        <v>7.6</v>
      </c>
      <c r="I23" s="64">
        <v>1</v>
      </c>
      <c r="J23" s="64">
        <v>0.3</v>
      </c>
      <c r="K23" s="64">
        <v>132.37</v>
      </c>
      <c r="L23" s="64">
        <v>24.92</v>
      </c>
      <c r="M23" s="64">
        <v>97.65</v>
      </c>
      <c r="N23" s="64">
        <v>31.5</v>
      </c>
      <c r="O23" s="64">
        <v>0</v>
      </c>
      <c r="P23" s="64">
        <v>0.23</v>
      </c>
      <c r="Q23" s="64">
        <v>9.26</v>
      </c>
      <c r="R23" s="198"/>
      <c r="S23" s="198"/>
      <c r="T23" s="198"/>
      <c r="U23" s="198"/>
    </row>
    <row r="24" spans="1:21" s="12" customFormat="1" x14ac:dyDescent="0.25">
      <c r="A24" s="214" t="s">
        <v>1603</v>
      </c>
      <c r="B24" s="64">
        <v>4.54</v>
      </c>
      <c r="C24" s="64">
        <v>5.42</v>
      </c>
      <c r="D24" s="64">
        <v>6.47</v>
      </c>
      <c r="E24" s="64">
        <v>4.0199999999999996</v>
      </c>
      <c r="F24" s="64">
        <v>4.12</v>
      </c>
      <c r="G24" s="64">
        <v>14.52</v>
      </c>
      <c r="H24" s="64">
        <v>7.57</v>
      </c>
      <c r="I24" s="64">
        <v>1.04</v>
      </c>
      <c r="J24" s="64">
        <v>0.56999999999999995</v>
      </c>
      <c r="K24" s="64">
        <v>141.63</v>
      </c>
      <c r="L24" s="64">
        <v>24.98</v>
      </c>
      <c r="M24" s="64">
        <v>97.64</v>
      </c>
      <c r="N24" s="64">
        <v>31.5</v>
      </c>
      <c r="O24" s="64">
        <v>0</v>
      </c>
      <c r="P24" s="64">
        <v>0.22</v>
      </c>
      <c r="Q24" s="64">
        <v>9.26</v>
      </c>
      <c r="R24" s="198"/>
      <c r="S24" s="198"/>
      <c r="T24" s="198"/>
      <c r="U24" s="198"/>
    </row>
    <row r="25" spans="1:21" s="12" customFormat="1" x14ac:dyDescent="0.25">
      <c r="A25" s="214" t="s">
        <v>1604</v>
      </c>
      <c r="B25" s="64">
        <v>5.25</v>
      </c>
      <c r="C25" s="64">
        <v>5.41</v>
      </c>
      <c r="D25" s="64">
        <v>7.03</v>
      </c>
      <c r="E25" s="64">
        <v>3.77</v>
      </c>
      <c r="F25" s="64">
        <v>5.19</v>
      </c>
      <c r="G25" s="64">
        <v>12.92</v>
      </c>
      <c r="H25" s="64">
        <v>7.56</v>
      </c>
      <c r="I25" s="64">
        <v>1.02</v>
      </c>
      <c r="J25" s="64">
        <v>0.32</v>
      </c>
      <c r="K25" s="64">
        <v>141.38</v>
      </c>
      <c r="L25" s="64">
        <v>24.79</v>
      </c>
      <c r="M25" s="64">
        <v>98.12</v>
      </c>
      <c r="N25" s="64">
        <v>31.7</v>
      </c>
      <c r="O25" s="64">
        <v>0</v>
      </c>
      <c r="P25" s="64">
        <v>0.24</v>
      </c>
      <c r="Q25" s="64">
        <v>9.26</v>
      </c>
      <c r="R25" s="198"/>
      <c r="S25" s="198"/>
      <c r="T25" s="198"/>
      <c r="U25" s="198"/>
    </row>
    <row r="26" spans="1:21" s="12" customFormat="1" x14ac:dyDescent="0.25">
      <c r="A26" s="214" t="s">
        <v>1605</v>
      </c>
      <c r="B26" s="64">
        <v>5.67</v>
      </c>
      <c r="C26" s="64">
        <v>5.77</v>
      </c>
      <c r="D26" s="64">
        <v>7.56</v>
      </c>
      <c r="E26" s="64">
        <v>4.0999999999999996</v>
      </c>
      <c r="F26" s="64">
        <v>4.25</v>
      </c>
      <c r="G26" s="64">
        <v>12.92</v>
      </c>
      <c r="H26" s="64">
        <v>7.56</v>
      </c>
      <c r="I26" s="64">
        <v>1</v>
      </c>
      <c r="J26" s="64">
        <v>0.93</v>
      </c>
      <c r="K26" s="64">
        <v>141.05000000000001</v>
      </c>
      <c r="L26" s="64">
        <v>24.66</v>
      </c>
      <c r="M26" s="64">
        <v>97.73</v>
      </c>
      <c r="N26" s="64">
        <v>31.5</v>
      </c>
      <c r="O26" s="64">
        <v>0</v>
      </c>
      <c r="P26" s="64">
        <v>0.24</v>
      </c>
      <c r="Q26" s="64">
        <v>9.26</v>
      </c>
      <c r="R26" s="198"/>
      <c r="S26" s="198"/>
      <c r="T26" s="198"/>
      <c r="U26" s="198"/>
    </row>
    <row r="27" spans="1:21" s="12" customFormat="1" x14ac:dyDescent="0.25">
      <c r="A27" s="214" t="s">
        <v>1606</v>
      </c>
      <c r="B27" s="64">
        <v>5.39</v>
      </c>
      <c r="C27" s="64">
        <v>6.03</v>
      </c>
      <c r="D27" s="64">
        <v>7.48</v>
      </c>
      <c r="E27" s="64">
        <v>4</v>
      </c>
      <c r="F27" s="64">
        <v>8.85</v>
      </c>
      <c r="G27" s="64">
        <v>12.92</v>
      </c>
      <c r="H27" s="64">
        <v>7.56</v>
      </c>
      <c r="I27" s="64">
        <v>0.99</v>
      </c>
      <c r="J27" s="64">
        <v>0.68</v>
      </c>
      <c r="K27" s="64">
        <v>136.82</v>
      </c>
      <c r="L27" s="64">
        <v>24.62</v>
      </c>
      <c r="M27" s="64">
        <v>97.65</v>
      </c>
      <c r="N27" s="64">
        <v>31.6</v>
      </c>
      <c r="O27" s="64">
        <v>0</v>
      </c>
      <c r="P27" s="64">
        <v>0.21</v>
      </c>
      <c r="Q27" s="64">
        <v>9.26</v>
      </c>
      <c r="R27" s="198"/>
      <c r="S27" s="198"/>
      <c r="T27" s="198"/>
      <c r="U27" s="198"/>
    </row>
    <row r="28" spans="1:21" s="12" customFormat="1" x14ac:dyDescent="0.25">
      <c r="A28" s="214" t="s">
        <v>1607</v>
      </c>
      <c r="B28" s="64">
        <v>5.63</v>
      </c>
      <c r="C28" s="64">
        <v>6.35</v>
      </c>
      <c r="D28" s="64">
        <v>7.84</v>
      </c>
      <c r="E28" s="64">
        <v>4.22</v>
      </c>
      <c r="F28" s="64">
        <v>4.47</v>
      </c>
      <c r="G28" s="64">
        <v>12.78</v>
      </c>
      <c r="H28" s="64">
        <v>7.54</v>
      </c>
      <c r="I28" s="64">
        <v>0.98</v>
      </c>
      <c r="J28" s="64">
        <v>0.09</v>
      </c>
      <c r="K28" s="64">
        <v>143.44999999999999</v>
      </c>
      <c r="L28" s="64">
        <v>24.65</v>
      </c>
      <c r="M28" s="64">
        <v>97.65</v>
      </c>
      <c r="N28" s="64">
        <v>31.8</v>
      </c>
      <c r="O28" s="64">
        <v>0</v>
      </c>
      <c r="P28" s="64">
        <v>0.24</v>
      </c>
      <c r="Q28" s="64">
        <v>9.26</v>
      </c>
      <c r="R28" s="198"/>
      <c r="S28" s="198"/>
      <c r="T28" s="198"/>
      <c r="U28" s="198"/>
    </row>
    <row r="29" spans="1:21" s="12" customFormat="1" x14ac:dyDescent="0.25">
      <c r="A29" s="214" t="s">
        <v>1608</v>
      </c>
      <c r="B29" s="64">
        <v>5.86</v>
      </c>
      <c r="C29" s="64">
        <v>5.92</v>
      </c>
      <c r="D29" s="64">
        <v>7.79</v>
      </c>
      <c r="E29" s="64">
        <v>4.28</v>
      </c>
      <c r="F29" s="64">
        <v>5.59</v>
      </c>
      <c r="G29" s="64">
        <v>12.67</v>
      </c>
      <c r="H29" s="64">
        <v>7.52</v>
      </c>
      <c r="I29" s="64">
        <v>0.97</v>
      </c>
      <c r="J29" s="64">
        <v>0.42</v>
      </c>
      <c r="K29" s="64">
        <v>135.83000000000001</v>
      </c>
      <c r="L29" s="64">
        <v>24.42</v>
      </c>
      <c r="M29" s="64">
        <v>98.05</v>
      </c>
      <c r="N29" s="64">
        <v>31.9</v>
      </c>
      <c r="O29" s="64">
        <v>0</v>
      </c>
      <c r="P29" s="64">
        <v>0.23</v>
      </c>
      <c r="Q29" s="64">
        <v>9.25</v>
      </c>
      <c r="R29" s="198"/>
      <c r="S29" s="198"/>
      <c r="T29" s="198"/>
      <c r="U29" s="198"/>
    </row>
    <row r="30" spans="1:21" s="12" customFormat="1" x14ac:dyDescent="0.25">
      <c r="A30" s="214" t="s">
        <v>1609</v>
      </c>
      <c r="B30" s="64">
        <v>5.46</v>
      </c>
      <c r="C30" s="64">
        <v>6.4</v>
      </c>
      <c r="D30" s="64">
        <v>7.72</v>
      </c>
      <c r="E30" s="64">
        <v>4.05</v>
      </c>
      <c r="F30" s="64">
        <v>8.91</v>
      </c>
      <c r="G30" s="64">
        <v>12.67</v>
      </c>
      <c r="H30" s="64">
        <v>7.52</v>
      </c>
      <c r="I30" s="64">
        <v>0.96</v>
      </c>
      <c r="J30" s="64">
        <v>0.05</v>
      </c>
      <c r="K30" s="64">
        <v>216.14</v>
      </c>
      <c r="L30" s="64">
        <v>24.4</v>
      </c>
      <c r="M30" s="64">
        <v>97.79</v>
      </c>
      <c r="N30" s="64">
        <v>31.8</v>
      </c>
      <c r="O30" s="64">
        <v>0</v>
      </c>
      <c r="P30" s="64">
        <v>0.24</v>
      </c>
      <c r="Q30" s="64">
        <v>9.26</v>
      </c>
      <c r="R30" s="198"/>
      <c r="S30" s="198"/>
      <c r="T30" s="198"/>
      <c r="U30" s="198"/>
    </row>
    <row r="31" spans="1:21" s="12" customFormat="1" x14ac:dyDescent="0.25">
      <c r="A31" s="214" t="s">
        <v>1610</v>
      </c>
      <c r="B31" s="64">
        <v>5.22</v>
      </c>
      <c r="C31" s="64">
        <v>6.42</v>
      </c>
      <c r="D31" s="64">
        <v>7.54</v>
      </c>
      <c r="E31" s="64">
        <v>4.1100000000000003</v>
      </c>
      <c r="F31" s="64">
        <v>7.07</v>
      </c>
      <c r="G31" s="64">
        <v>12.67</v>
      </c>
      <c r="H31" s="64">
        <v>7.52</v>
      </c>
      <c r="I31" s="64">
        <v>0.96</v>
      </c>
      <c r="J31" s="64">
        <v>0.34</v>
      </c>
      <c r="K31" s="64">
        <v>132.36000000000001</v>
      </c>
      <c r="L31" s="64">
        <v>24.33</v>
      </c>
      <c r="M31" s="64">
        <v>97.64</v>
      </c>
      <c r="N31" s="64">
        <v>32.299999999999997</v>
      </c>
      <c r="O31" s="64">
        <v>0</v>
      </c>
      <c r="P31" s="64">
        <v>0.22</v>
      </c>
      <c r="Q31" s="64">
        <v>9.2799999999999994</v>
      </c>
      <c r="R31" s="198"/>
      <c r="S31" s="198"/>
      <c r="T31" s="198"/>
      <c r="U31" s="198"/>
    </row>
    <row r="32" spans="1:21" s="12" customFormat="1" x14ac:dyDescent="0.25">
      <c r="A32" s="214" t="s">
        <v>1611</v>
      </c>
      <c r="B32" s="64">
        <v>6.42</v>
      </c>
      <c r="C32" s="64">
        <v>8.43</v>
      </c>
      <c r="D32" s="64">
        <v>9.5500000000000007</v>
      </c>
      <c r="E32" s="64">
        <v>4.01</v>
      </c>
      <c r="F32" s="64">
        <v>6.81</v>
      </c>
      <c r="G32" s="64">
        <v>10.6</v>
      </c>
      <c r="H32" s="64">
        <v>7.5</v>
      </c>
      <c r="I32" s="64">
        <v>0.94</v>
      </c>
      <c r="J32" s="64">
        <v>0.44</v>
      </c>
      <c r="K32" s="64">
        <v>135.77000000000001</v>
      </c>
      <c r="L32" s="64">
        <v>24.41</v>
      </c>
      <c r="M32" s="64">
        <v>98.21</v>
      </c>
      <c r="N32" s="64">
        <v>34.5</v>
      </c>
      <c r="O32" s="64">
        <v>0</v>
      </c>
      <c r="P32" s="64">
        <v>0.21</v>
      </c>
      <c r="Q32" s="64">
        <v>9.3000000000000007</v>
      </c>
      <c r="R32" s="198"/>
      <c r="S32" s="198"/>
      <c r="T32" s="198"/>
      <c r="U32" s="198"/>
    </row>
    <row r="33" spans="1:21" s="12" customFormat="1" x14ac:dyDescent="0.25">
      <c r="A33" s="214" t="s">
        <v>1612</v>
      </c>
      <c r="B33" s="64">
        <v>6.49</v>
      </c>
      <c r="C33" s="64">
        <v>8.27</v>
      </c>
      <c r="D33" s="64">
        <v>9.5299999999999994</v>
      </c>
      <c r="E33" s="64">
        <v>4.29</v>
      </c>
      <c r="F33" s="64">
        <v>7.87</v>
      </c>
      <c r="G33" s="64">
        <v>8.94</v>
      </c>
      <c r="H33" s="64">
        <v>7.49</v>
      </c>
      <c r="I33" s="64">
        <v>0.92</v>
      </c>
      <c r="J33" s="64">
        <v>0.17</v>
      </c>
      <c r="K33" s="64">
        <v>160.94999999999999</v>
      </c>
      <c r="L33" s="64">
        <v>24.44</v>
      </c>
      <c r="M33" s="64">
        <v>98.23</v>
      </c>
      <c r="N33" s="64">
        <v>43.1</v>
      </c>
      <c r="O33" s="64">
        <v>0</v>
      </c>
      <c r="P33" s="64">
        <v>0.24</v>
      </c>
      <c r="Q33" s="64">
        <v>9.3000000000000007</v>
      </c>
      <c r="R33" s="198"/>
      <c r="S33" s="198"/>
      <c r="T33" s="198"/>
      <c r="U33" s="198"/>
    </row>
    <row r="34" spans="1:21" s="12" customFormat="1" x14ac:dyDescent="0.25">
      <c r="A34" s="214" t="s">
        <v>1613</v>
      </c>
      <c r="B34" s="64">
        <v>6.24</v>
      </c>
      <c r="C34" s="64">
        <v>8.2200000000000006</v>
      </c>
      <c r="D34" s="64">
        <v>9.3000000000000007</v>
      </c>
      <c r="E34" s="64">
        <v>4.32</v>
      </c>
      <c r="F34" s="64">
        <v>6.39</v>
      </c>
      <c r="G34" s="64">
        <v>8.94</v>
      </c>
      <c r="H34" s="64">
        <v>7.49</v>
      </c>
      <c r="I34" s="64">
        <v>0.92</v>
      </c>
      <c r="J34" s="64">
        <v>0.03</v>
      </c>
      <c r="K34" s="64">
        <v>249.89</v>
      </c>
      <c r="L34" s="64">
        <v>24.52</v>
      </c>
      <c r="M34" s="64">
        <v>98.23</v>
      </c>
      <c r="N34" s="64">
        <v>57.5</v>
      </c>
      <c r="O34" s="64">
        <v>0</v>
      </c>
      <c r="P34" s="64">
        <v>0.24</v>
      </c>
      <c r="Q34" s="64">
        <v>9.2899999999999991</v>
      </c>
      <c r="R34" s="198"/>
      <c r="S34" s="198"/>
      <c r="T34" s="198"/>
      <c r="U34" s="198"/>
    </row>
    <row r="35" spans="1:21" s="12" customFormat="1" x14ac:dyDescent="0.25">
      <c r="A35" s="214" t="s">
        <v>1614</v>
      </c>
      <c r="B35" s="64">
        <v>5.96</v>
      </c>
      <c r="C35" s="64">
        <v>6.72</v>
      </c>
      <c r="D35" s="64">
        <v>8.2899999999999991</v>
      </c>
      <c r="E35" s="64">
        <v>4.0999999999999996</v>
      </c>
      <c r="F35" s="64">
        <v>5.53</v>
      </c>
      <c r="G35" s="64">
        <v>8.94</v>
      </c>
      <c r="H35" s="64">
        <v>7.49</v>
      </c>
      <c r="I35" s="64">
        <v>0.93</v>
      </c>
      <c r="J35" s="64">
        <v>7.0000000000000007E-2</v>
      </c>
      <c r="K35" s="64">
        <v>277.51</v>
      </c>
      <c r="L35" s="64">
        <v>24.65</v>
      </c>
      <c r="M35" s="64">
        <v>98.12</v>
      </c>
      <c r="N35" s="64">
        <v>66.5</v>
      </c>
      <c r="O35" s="64">
        <v>0</v>
      </c>
      <c r="P35" s="64">
        <v>0.24</v>
      </c>
      <c r="Q35" s="64">
        <v>9.2899999999999991</v>
      </c>
      <c r="R35" s="198"/>
      <c r="S35" s="198"/>
      <c r="T35" s="198"/>
      <c r="U35" s="198"/>
    </row>
    <row r="36" spans="1:21" s="12" customFormat="1" x14ac:dyDescent="0.25">
      <c r="A36" s="214" t="s">
        <v>1615</v>
      </c>
      <c r="B36" s="64">
        <v>6.41</v>
      </c>
      <c r="C36" s="64">
        <v>6.92</v>
      </c>
      <c r="D36" s="64">
        <v>8.76</v>
      </c>
      <c r="E36" s="64">
        <v>4.4000000000000004</v>
      </c>
      <c r="F36" s="64">
        <v>6.26</v>
      </c>
      <c r="G36" s="64">
        <v>8.59</v>
      </c>
      <c r="H36" s="64">
        <v>7.46</v>
      </c>
      <c r="I36" s="64">
        <v>0.93</v>
      </c>
      <c r="J36" s="64">
        <v>0.1</v>
      </c>
      <c r="K36" s="64">
        <v>176.81</v>
      </c>
      <c r="L36" s="64">
        <v>24.87</v>
      </c>
      <c r="M36" s="64">
        <v>98.14</v>
      </c>
      <c r="N36" s="64">
        <v>79.5</v>
      </c>
      <c r="O36" s="64">
        <v>0</v>
      </c>
      <c r="P36" s="64">
        <v>0.27</v>
      </c>
      <c r="Q36" s="64">
        <v>9.2899999999999991</v>
      </c>
      <c r="R36" s="198"/>
      <c r="S36" s="198"/>
      <c r="T36" s="198"/>
      <c r="U36" s="198"/>
    </row>
    <row r="37" spans="1:21" s="12" customFormat="1" x14ac:dyDescent="0.25">
      <c r="A37" s="214" t="s">
        <v>1616</v>
      </c>
      <c r="B37" s="64">
        <v>8.14</v>
      </c>
      <c r="C37" s="64">
        <v>7.37</v>
      </c>
      <c r="D37" s="64">
        <v>10.38</v>
      </c>
      <c r="E37" s="64">
        <v>4.49</v>
      </c>
      <c r="F37" s="64">
        <v>5.14</v>
      </c>
      <c r="G37" s="64">
        <v>8.3000000000000007</v>
      </c>
      <c r="H37" s="64">
        <v>7.45</v>
      </c>
      <c r="I37" s="64">
        <v>0.92</v>
      </c>
      <c r="J37" s="64">
        <v>0.01</v>
      </c>
      <c r="K37" s="64">
        <v>275.89999999999998</v>
      </c>
      <c r="L37" s="64">
        <v>25.11</v>
      </c>
      <c r="M37" s="64">
        <v>98.14</v>
      </c>
      <c r="N37" s="64">
        <v>107.7</v>
      </c>
      <c r="O37" s="64">
        <v>0</v>
      </c>
      <c r="P37" s="64">
        <v>0.26</v>
      </c>
      <c r="Q37" s="64">
        <v>9.2899999999999991</v>
      </c>
      <c r="R37" s="198"/>
      <c r="S37" s="198"/>
      <c r="T37" s="198"/>
      <c r="U37" s="198"/>
    </row>
    <row r="38" spans="1:21" s="12" customFormat="1" x14ac:dyDescent="0.25">
      <c r="A38" s="214" t="s">
        <v>1617</v>
      </c>
      <c r="B38" s="64">
        <v>8.49</v>
      </c>
      <c r="C38" s="64">
        <v>5.59</v>
      </c>
      <c r="D38" s="64">
        <v>9.73</v>
      </c>
      <c r="E38" s="64">
        <v>4.3</v>
      </c>
      <c r="F38" s="64">
        <v>3.46</v>
      </c>
      <c r="G38" s="64">
        <v>8.3000000000000007</v>
      </c>
      <c r="H38" s="64">
        <v>7.45</v>
      </c>
      <c r="I38" s="64">
        <v>0.92</v>
      </c>
      <c r="J38" s="64">
        <v>7.0000000000000007E-2</v>
      </c>
      <c r="K38" s="64">
        <v>277.95999999999998</v>
      </c>
      <c r="L38" s="64">
        <v>25.34</v>
      </c>
      <c r="M38" s="64">
        <v>98.11</v>
      </c>
      <c r="N38" s="64">
        <v>141</v>
      </c>
      <c r="O38" s="64">
        <v>0</v>
      </c>
      <c r="P38" s="64">
        <v>0.28000000000000003</v>
      </c>
      <c r="Q38" s="64">
        <v>9.27</v>
      </c>
      <c r="R38" s="198"/>
      <c r="S38" s="198"/>
      <c r="T38" s="198"/>
      <c r="U38" s="198"/>
    </row>
    <row r="39" spans="1:21" s="12" customFormat="1" x14ac:dyDescent="0.25">
      <c r="A39" s="214" t="s">
        <v>1618</v>
      </c>
      <c r="B39" s="64">
        <v>7.45</v>
      </c>
      <c r="C39" s="64">
        <v>5.57</v>
      </c>
      <c r="D39" s="64">
        <v>8.89</v>
      </c>
      <c r="E39" s="64">
        <v>4.1100000000000003</v>
      </c>
      <c r="F39" s="64">
        <v>6.82</v>
      </c>
      <c r="G39" s="64">
        <v>8.3000000000000007</v>
      </c>
      <c r="H39" s="64">
        <v>7.45</v>
      </c>
      <c r="I39" s="64">
        <v>0.92</v>
      </c>
      <c r="J39" s="64">
        <v>0.12</v>
      </c>
      <c r="K39" s="64">
        <v>242.42</v>
      </c>
      <c r="L39" s="64">
        <v>25.82</v>
      </c>
      <c r="M39" s="64">
        <v>98.06</v>
      </c>
      <c r="N39" s="64">
        <v>169</v>
      </c>
      <c r="O39" s="64">
        <v>0</v>
      </c>
      <c r="P39" s="64">
        <v>0.28000000000000003</v>
      </c>
      <c r="Q39" s="64">
        <v>9.27</v>
      </c>
      <c r="R39" s="198"/>
      <c r="S39" s="198"/>
      <c r="T39" s="198"/>
      <c r="U39" s="198"/>
    </row>
    <row r="40" spans="1:21" s="12" customFormat="1" x14ac:dyDescent="0.25">
      <c r="A40" s="214" t="s">
        <v>1619</v>
      </c>
      <c r="B40" s="64">
        <v>7.45</v>
      </c>
      <c r="C40" s="64">
        <v>5.17</v>
      </c>
      <c r="D40" s="64">
        <v>8.68</v>
      </c>
      <c r="E40" s="64">
        <v>4.1100000000000003</v>
      </c>
      <c r="F40" s="64">
        <v>6.71</v>
      </c>
      <c r="G40" s="64">
        <v>10.48</v>
      </c>
      <c r="H40" s="64">
        <v>7.42</v>
      </c>
      <c r="I40" s="64">
        <v>0.91</v>
      </c>
      <c r="J40" s="64">
        <v>0.11</v>
      </c>
      <c r="K40" s="64">
        <v>272.42</v>
      </c>
      <c r="L40" s="64">
        <v>25.87</v>
      </c>
      <c r="M40" s="64">
        <v>98.02</v>
      </c>
      <c r="N40" s="64">
        <v>199.6</v>
      </c>
      <c r="O40" s="64">
        <v>0</v>
      </c>
      <c r="P40" s="64">
        <v>0.27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4" t="s">
        <v>1620</v>
      </c>
      <c r="B41" s="64">
        <v>6.73</v>
      </c>
      <c r="C41" s="64">
        <v>5.75</v>
      </c>
      <c r="D41" s="64">
        <v>8.4</v>
      </c>
      <c r="E41" s="64">
        <v>4.54</v>
      </c>
      <c r="F41" s="64">
        <v>9.11</v>
      </c>
      <c r="G41" s="64">
        <v>12.22</v>
      </c>
      <c r="H41" s="64">
        <v>7.42</v>
      </c>
      <c r="I41" s="64">
        <v>0.9</v>
      </c>
      <c r="J41" s="64">
        <v>0.08</v>
      </c>
      <c r="K41" s="64">
        <v>279.7</v>
      </c>
      <c r="L41" s="64">
        <v>26.12</v>
      </c>
      <c r="M41" s="64">
        <v>98</v>
      </c>
      <c r="N41" s="64">
        <v>170.9</v>
      </c>
      <c r="O41" s="64">
        <v>0</v>
      </c>
      <c r="P41" s="64">
        <v>0.26</v>
      </c>
      <c r="Q41" s="64">
        <v>9.24</v>
      </c>
      <c r="R41" s="198"/>
      <c r="S41" s="198"/>
      <c r="T41" s="198"/>
      <c r="U41" s="198"/>
    </row>
    <row r="42" spans="1:21" s="12" customFormat="1" x14ac:dyDescent="0.25">
      <c r="A42" s="214" t="s">
        <v>1621</v>
      </c>
      <c r="B42" s="64">
        <v>6.45</v>
      </c>
      <c r="C42" s="64">
        <v>5.99</v>
      </c>
      <c r="D42" s="64">
        <v>8.3000000000000007</v>
      </c>
      <c r="E42" s="64">
        <v>4.05</v>
      </c>
      <c r="F42" s="64">
        <v>6.25</v>
      </c>
      <c r="G42" s="64">
        <v>12.22</v>
      </c>
      <c r="H42" s="64">
        <v>7.42</v>
      </c>
      <c r="I42" s="64">
        <v>0.87</v>
      </c>
      <c r="J42" s="64">
        <v>0.1</v>
      </c>
      <c r="K42" s="64">
        <v>268.25</v>
      </c>
      <c r="L42" s="64">
        <v>25.93</v>
      </c>
      <c r="M42" s="64">
        <v>97.98</v>
      </c>
      <c r="N42" s="64">
        <v>130.5</v>
      </c>
      <c r="O42" s="64">
        <v>0</v>
      </c>
      <c r="P42" s="64">
        <v>0.26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14" t="s">
        <v>1622</v>
      </c>
      <c r="B43" s="64">
        <v>6.54</v>
      </c>
      <c r="C43" s="64">
        <v>5.89</v>
      </c>
      <c r="D43" s="64">
        <v>8.32</v>
      </c>
      <c r="E43" s="64">
        <v>3.75</v>
      </c>
      <c r="F43" s="64">
        <v>4.92</v>
      </c>
      <c r="G43" s="64">
        <v>12.22</v>
      </c>
      <c r="H43" s="64">
        <v>7.42</v>
      </c>
      <c r="I43" s="64">
        <v>0.86</v>
      </c>
      <c r="J43" s="64">
        <v>0.17</v>
      </c>
      <c r="K43" s="64">
        <v>280.32</v>
      </c>
      <c r="L43" s="64">
        <v>25.9</v>
      </c>
      <c r="M43" s="64">
        <v>98.01</v>
      </c>
      <c r="N43" s="64">
        <v>128.69999999999999</v>
      </c>
      <c r="O43" s="64">
        <v>0</v>
      </c>
      <c r="P43" s="64">
        <v>0.27</v>
      </c>
      <c r="Q43" s="64">
        <v>9.2100000000000009</v>
      </c>
      <c r="R43" s="198"/>
      <c r="S43" s="198"/>
      <c r="T43" s="198"/>
      <c r="U43" s="198"/>
    </row>
    <row r="44" spans="1:21" s="12" customFormat="1" x14ac:dyDescent="0.25">
      <c r="A44" s="214" t="s">
        <v>1623</v>
      </c>
      <c r="B44" s="64">
        <v>6.72</v>
      </c>
      <c r="C44" s="64">
        <v>8.18</v>
      </c>
      <c r="D44" s="64">
        <v>9.66</v>
      </c>
      <c r="E44" s="64">
        <v>3.79</v>
      </c>
      <c r="F44" s="64">
        <v>8.32</v>
      </c>
      <c r="G44" s="64">
        <v>16.07</v>
      </c>
      <c r="H44" s="64">
        <v>7.4</v>
      </c>
      <c r="I44" s="64">
        <v>0.86</v>
      </c>
      <c r="J44" s="64">
        <v>0.16</v>
      </c>
      <c r="K44" s="64">
        <v>291.14999999999998</v>
      </c>
      <c r="L44" s="64">
        <v>25.76</v>
      </c>
      <c r="M44" s="64">
        <v>98.02</v>
      </c>
      <c r="N44" s="64">
        <v>105.5</v>
      </c>
      <c r="O44" s="64">
        <v>0</v>
      </c>
      <c r="P44" s="64">
        <v>0.28000000000000003</v>
      </c>
      <c r="Q44" s="64">
        <v>9.1999999999999993</v>
      </c>
      <c r="R44" s="198"/>
      <c r="S44" s="198"/>
      <c r="T44" s="198"/>
      <c r="U44" s="198"/>
    </row>
    <row r="45" spans="1:21" s="12" customFormat="1" x14ac:dyDescent="0.25">
      <c r="A45" s="214" t="s">
        <v>1624</v>
      </c>
      <c r="B45" s="64">
        <v>6.83</v>
      </c>
      <c r="C45" s="64">
        <v>6.37</v>
      </c>
      <c r="D45" s="64">
        <v>8.81</v>
      </c>
      <c r="E45" s="64">
        <v>3.87</v>
      </c>
      <c r="F45" s="64">
        <v>5.67</v>
      </c>
      <c r="G45" s="64">
        <v>19.149999999999999</v>
      </c>
      <c r="H45" s="64">
        <v>7.38</v>
      </c>
      <c r="I45" s="64">
        <v>0.86</v>
      </c>
      <c r="J45" s="64">
        <v>0.13</v>
      </c>
      <c r="K45" s="64">
        <v>290.38</v>
      </c>
      <c r="L45" s="64">
        <v>25.83</v>
      </c>
      <c r="M45" s="64">
        <v>97.96</v>
      </c>
      <c r="N45" s="64">
        <v>135.69999999999999</v>
      </c>
      <c r="O45" s="64">
        <v>0</v>
      </c>
      <c r="P45" s="64">
        <v>0.28999999999999998</v>
      </c>
      <c r="Q45" s="64">
        <v>9.1999999999999993</v>
      </c>
      <c r="R45" s="198"/>
      <c r="S45" s="198"/>
      <c r="T45" s="198"/>
      <c r="U45" s="198"/>
    </row>
    <row r="46" spans="1:21" s="12" customFormat="1" x14ac:dyDescent="0.25">
      <c r="A46" s="214" t="s">
        <v>1625</v>
      </c>
      <c r="B46" s="64">
        <v>6.32</v>
      </c>
      <c r="C46" s="64">
        <v>6.73</v>
      </c>
      <c r="D46" s="64">
        <v>8.58</v>
      </c>
      <c r="E46" s="64">
        <v>4.03</v>
      </c>
      <c r="F46" s="64">
        <v>3.78</v>
      </c>
      <c r="G46" s="64">
        <v>19.149999999999999</v>
      </c>
      <c r="H46" s="64">
        <v>7.38</v>
      </c>
      <c r="I46" s="64">
        <v>0.86</v>
      </c>
      <c r="J46" s="64">
        <v>0.13</v>
      </c>
      <c r="K46" s="64">
        <v>297.29000000000002</v>
      </c>
      <c r="L46" s="64">
        <v>25.72</v>
      </c>
      <c r="M46" s="64">
        <v>97.93</v>
      </c>
      <c r="N46" s="64">
        <v>137.80000000000001</v>
      </c>
      <c r="O46" s="64">
        <v>0</v>
      </c>
      <c r="P46" s="64">
        <v>0.3</v>
      </c>
      <c r="Q46" s="64">
        <v>9.19</v>
      </c>
      <c r="R46" s="198"/>
      <c r="S46" s="198"/>
      <c r="T46" s="198"/>
      <c r="U46" s="198"/>
    </row>
    <row r="47" spans="1:21" s="12" customFormat="1" x14ac:dyDescent="0.25">
      <c r="A47" s="214" t="s">
        <v>1626</v>
      </c>
      <c r="B47" s="64">
        <v>6.6</v>
      </c>
      <c r="C47" s="64">
        <v>6.56</v>
      </c>
      <c r="D47" s="64">
        <v>8.7200000000000006</v>
      </c>
      <c r="E47" s="64">
        <v>3.78</v>
      </c>
      <c r="F47" s="64">
        <v>4.76</v>
      </c>
      <c r="G47" s="64">
        <v>19.149999999999999</v>
      </c>
      <c r="H47" s="64">
        <v>7.38</v>
      </c>
      <c r="I47" s="64">
        <v>0.88</v>
      </c>
      <c r="J47" s="64">
        <v>0.11</v>
      </c>
      <c r="K47" s="64">
        <v>284.99</v>
      </c>
      <c r="L47" s="64">
        <v>25.61</v>
      </c>
      <c r="M47" s="64">
        <v>97.96</v>
      </c>
      <c r="N47" s="64">
        <v>87</v>
      </c>
      <c r="O47" s="64">
        <v>0</v>
      </c>
      <c r="P47" s="64">
        <v>0.32</v>
      </c>
      <c r="Q47" s="64">
        <v>9.2100000000000009</v>
      </c>
      <c r="R47" s="198"/>
      <c r="S47" s="198"/>
      <c r="T47" s="198"/>
      <c r="U47" s="198"/>
    </row>
    <row r="48" spans="1:21" s="12" customFormat="1" x14ac:dyDescent="0.25">
      <c r="A48" s="214" t="s">
        <v>1627</v>
      </c>
      <c r="B48" s="64">
        <v>10.54</v>
      </c>
      <c r="C48" s="64">
        <v>8.81</v>
      </c>
      <c r="D48" s="64">
        <v>13.06</v>
      </c>
      <c r="E48" s="64">
        <v>3.63</v>
      </c>
      <c r="F48" s="64">
        <v>7.1</v>
      </c>
      <c r="G48" s="64">
        <v>19.71</v>
      </c>
      <c r="H48" s="64">
        <v>7.4</v>
      </c>
      <c r="I48" s="64">
        <v>0.9</v>
      </c>
      <c r="J48" s="64">
        <v>7.0000000000000007E-2</v>
      </c>
      <c r="K48" s="64">
        <v>292.13</v>
      </c>
      <c r="L48" s="64">
        <v>25.5</v>
      </c>
      <c r="M48" s="64">
        <v>97.99</v>
      </c>
      <c r="N48" s="64">
        <v>90.7</v>
      </c>
      <c r="O48" s="64">
        <v>0</v>
      </c>
      <c r="P48" s="64">
        <v>0.53</v>
      </c>
      <c r="Q48" s="64">
        <v>9.23</v>
      </c>
      <c r="R48" s="198"/>
      <c r="S48" s="198"/>
      <c r="T48" s="198"/>
      <c r="U48" s="198"/>
    </row>
    <row r="49" spans="1:21" s="12" customFormat="1" x14ac:dyDescent="0.25">
      <c r="A49" s="214" t="s">
        <v>1628</v>
      </c>
      <c r="B49" s="64">
        <v>9.23</v>
      </c>
      <c r="C49" s="64">
        <v>9.58</v>
      </c>
      <c r="D49" s="64">
        <v>12.41</v>
      </c>
      <c r="E49" s="64">
        <v>4.01</v>
      </c>
      <c r="F49" s="64">
        <v>9.0399999999999991</v>
      </c>
      <c r="G49" s="64">
        <v>20.149999999999999</v>
      </c>
      <c r="H49" s="64">
        <v>7.41</v>
      </c>
      <c r="I49" s="64">
        <v>0.92</v>
      </c>
      <c r="J49" s="64">
        <v>0.08</v>
      </c>
      <c r="K49" s="64">
        <v>244.35</v>
      </c>
      <c r="L49" s="64">
        <v>25.69</v>
      </c>
      <c r="M49" s="64">
        <v>97.91</v>
      </c>
      <c r="N49" s="64">
        <v>125.1</v>
      </c>
      <c r="O49" s="64">
        <v>0</v>
      </c>
      <c r="P49" s="64">
        <v>0.37</v>
      </c>
      <c r="Q49" s="64">
        <v>9.23</v>
      </c>
      <c r="R49" s="198"/>
      <c r="S49" s="198"/>
      <c r="T49" s="198"/>
      <c r="U49" s="198"/>
    </row>
    <row r="50" spans="1:21" s="12" customFormat="1" x14ac:dyDescent="0.25">
      <c r="A50" s="214" t="s">
        <v>1629</v>
      </c>
      <c r="B50" s="64">
        <v>10.49</v>
      </c>
      <c r="C50" s="64">
        <v>8.57</v>
      </c>
      <c r="D50" s="64">
        <v>12.84</v>
      </c>
      <c r="E50" s="64">
        <v>4.0999999999999996</v>
      </c>
      <c r="F50" s="64">
        <v>8.4</v>
      </c>
      <c r="G50" s="64">
        <v>20.149999999999999</v>
      </c>
      <c r="H50" s="64">
        <v>7.41</v>
      </c>
      <c r="I50" s="64">
        <v>0.94</v>
      </c>
      <c r="J50" s="64">
        <v>0.1</v>
      </c>
      <c r="K50" s="64">
        <v>290.14</v>
      </c>
      <c r="L50" s="64">
        <v>26.04</v>
      </c>
      <c r="M50" s="64">
        <v>97.96</v>
      </c>
      <c r="N50" s="64">
        <v>148.80000000000001</v>
      </c>
      <c r="O50" s="64">
        <v>0</v>
      </c>
      <c r="P50" s="64">
        <v>0.5</v>
      </c>
      <c r="Q50" s="64">
        <v>9.24</v>
      </c>
      <c r="R50" s="198"/>
      <c r="S50" s="198"/>
      <c r="T50" s="198"/>
      <c r="U50" s="198"/>
    </row>
    <row r="51" spans="1:21" s="12" customFormat="1" x14ac:dyDescent="0.25">
      <c r="A51" s="214" t="s">
        <v>1630</v>
      </c>
      <c r="B51" s="64">
        <v>7.13</v>
      </c>
      <c r="C51" s="64">
        <v>8.16</v>
      </c>
      <c r="D51" s="64">
        <v>9.99</v>
      </c>
      <c r="E51" s="64">
        <v>4.04</v>
      </c>
      <c r="F51" s="64">
        <v>7.26</v>
      </c>
      <c r="G51" s="64">
        <v>20.149999999999999</v>
      </c>
      <c r="H51" s="64">
        <v>7.41</v>
      </c>
      <c r="I51" s="64">
        <v>0.97</v>
      </c>
      <c r="J51" s="64">
        <v>0.05</v>
      </c>
      <c r="K51" s="64">
        <v>249.12</v>
      </c>
      <c r="L51" s="64">
        <v>26.08</v>
      </c>
      <c r="M51" s="64">
        <v>98.05</v>
      </c>
      <c r="N51" s="64">
        <v>157.19999999999999</v>
      </c>
      <c r="O51" s="64">
        <v>0</v>
      </c>
      <c r="P51" s="64">
        <v>0.33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14" t="s">
        <v>1631</v>
      </c>
      <c r="B52" s="64">
        <v>7.71</v>
      </c>
      <c r="C52" s="64">
        <v>9.16</v>
      </c>
      <c r="D52" s="64">
        <v>10.97</v>
      </c>
      <c r="E52" s="64">
        <v>4.37</v>
      </c>
      <c r="F52" s="64">
        <v>6.64</v>
      </c>
      <c r="G52" s="64">
        <v>20.88</v>
      </c>
      <c r="H52" s="64">
        <v>7.38</v>
      </c>
      <c r="I52" s="64">
        <v>1</v>
      </c>
      <c r="J52" s="64">
        <v>0.09</v>
      </c>
      <c r="K52" s="64">
        <v>274.58</v>
      </c>
      <c r="L52" s="64">
        <v>26.35</v>
      </c>
      <c r="M52" s="64">
        <v>97.95</v>
      </c>
      <c r="N52" s="64">
        <v>199.5</v>
      </c>
      <c r="O52" s="64">
        <v>0</v>
      </c>
      <c r="P52" s="64">
        <v>0.36</v>
      </c>
      <c r="Q52" s="64">
        <v>9.25</v>
      </c>
      <c r="R52" s="198"/>
      <c r="S52" s="198"/>
      <c r="T52" s="198"/>
      <c r="U52" s="198"/>
    </row>
    <row r="53" spans="1:21" s="12" customFormat="1" x14ac:dyDescent="0.25">
      <c r="A53" s="214" t="s">
        <v>1632</v>
      </c>
      <c r="B53" s="64">
        <v>9.9700000000000006</v>
      </c>
      <c r="C53" s="64">
        <v>9.92</v>
      </c>
      <c r="D53" s="64">
        <v>12.96</v>
      </c>
      <c r="E53" s="64">
        <v>4.3499999999999996</v>
      </c>
      <c r="F53" s="64">
        <v>4.83</v>
      </c>
      <c r="G53" s="64">
        <v>21.46</v>
      </c>
      <c r="H53" s="64">
        <v>7.37</v>
      </c>
      <c r="I53" s="64">
        <v>1</v>
      </c>
      <c r="J53" s="64">
        <v>0.11</v>
      </c>
      <c r="K53" s="64">
        <v>280.76</v>
      </c>
      <c r="L53" s="64">
        <v>27.07</v>
      </c>
      <c r="M53" s="64">
        <v>97.85</v>
      </c>
      <c r="N53" s="64">
        <v>164</v>
      </c>
      <c r="O53" s="64">
        <v>0</v>
      </c>
      <c r="P53" s="64">
        <v>0.52</v>
      </c>
      <c r="Q53" s="64">
        <v>9.2899999999999991</v>
      </c>
      <c r="R53" s="198"/>
      <c r="S53" s="198"/>
      <c r="T53" s="198"/>
      <c r="U53" s="198"/>
    </row>
    <row r="54" spans="1:21" s="12" customFormat="1" x14ac:dyDescent="0.25">
      <c r="A54" s="214" t="s">
        <v>1633</v>
      </c>
      <c r="B54" s="64">
        <v>10.91</v>
      </c>
      <c r="C54" s="64">
        <v>11.63</v>
      </c>
      <c r="D54" s="64">
        <v>14.83</v>
      </c>
      <c r="E54" s="64">
        <v>4.21</v>
      </c>
      <c r="F54" s="64">
        <v>5.71</v>
      </c>
      <c r="G54" s="64">
        <v>21.46</v>
      </c>
      <c r="H54" s="64">
        <v>7.37</v>
      </c>
      <c r="I54" s="64">
        <v>0.97</v>
      </c>
      <c r="J54" s="64">
        <v>0.08</v>
      </c>
      <c r="K54" s="64">
        <v>289.7</v>
      </c>
      <c r="L54" s="64">
        <v>26.81</v>
      </c>
      <c r="M54" s="64">
        <v>97.92</v>
      </c>
      <c r="N54" s="64">
        <v>147.4</v>
      </c>
      <c r="O54" s="64">
        <v>0</v>
      </c>
      <c r="P54" s="64">
        <v>0.49</v>
      </c>
      <c r="Q54" s="64">
        <v>9.32</v>
      </c>
      <c r="R54" s="198"/>
      <c r="S54" s="198"/>
      <c r="T54" s="198"/>
      <c r="U54" s="198"/>
    </row>
    <row r="55" spans="1:21" s="12" customFormat="1" x14ac:dyDescent="0.25">
      <c r="A55" s="214" t="s">
        <v>1634</v>
      </c>
      <c r="B55" s="64">
        <v>8.07</v>
      </c>
      <c r="C55" s="64">
        <v>10.24</v>
      </c>
      <c r="D55" s="64">
        <v>11.82</v>
      </c>
      <c r="E55" s="64">
        <v>4.3899999999999997</v>
      </c>
      <c r="F55" s="64">
        <v>7.06</v>
      </c>
      <c r="G55" s="64">
        <v>21.46</v>
      </c>
      <c r="H55" s="64">
        <v>7.37</v>
      </c>
      <c r="I55" s="64">
        <v>1.02</v>
      </c>
      <c r="J55" s="64">
        <v>0.09</v>
      </c>
      <c r="K55" s="64">
        <v>280.83</v>
      </c>
      <c r="L55" s="64">
        <v>26.64</v>
      </c>
      <c r="M55" s="64">
        <v>97.94</v>
      </c>
      <c r="N55" s="64">
        <v>131.5</v>
      </c>
      <c r="O55" s="64">
        <v>0</v>
      </c>
      <c r="P55" s="64">
        <v>0.49</v>
      </c>
      <c r="Q55" s="64">
        <v>9.32</v>
      </c>
      <c r="R55" s="198"/>
      <c r="S55" s="198"/>
      <c r="T55" s="198"/>
      <c r="U55" s="198"/>
    </row>
    <row r="56" spans="1:21" s="12" customFormat="1" x14ac:dyDescent="0.25">
      <c r="A56" s="214" t="s">
        <v>1635</v>
      </c>
      <c r="B56" s="64">
        <v>6.63</v>
      </c>
      <c r="C56" s="64">
        <v>11.31</v>
      </c>
      <c r="D56" s="64">
        <v>11.23</v>
      </c>
      <c r="E56" s="64">
        <v>4.26</v>
      </c>
      <c r="F56" s="64">
        <v>7.74</v>
      </c>
      <c r="G56" s="64">
        <v>24.51</v>
      </c>
      <c r="H56" s="64">
        <v>7.35</v>
      </c>
      <c r="I56" s="64">
        <v>1.07</v>
      </c>
      <c r="J56" s="64">
        <v>0.09</v>
      </c>
      <c r="K56" s="64">
        <v>208.49</v>
      </c>
      <c r="L56" s="64">
        <v>26.72</v>
      </c>
      <c r="M56" s="64">
        <v>97.96</v>
      </c>
      <c r="N56" s="64">
        <v>171.3</v>
      </c>
      <c r="O56" s="64">
        <v>0</v>
      </c>
      <c r="P56" s="64">
        <v>0.39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14" t="s">
        <v>1636</v>
      </c>
      <c r="B57" s="64">
        <v>7.85</v>
      </c>
      <c r="C57" s="64">
        <v>8.9600000000000009</v>
      </c>
      <c r="D57" s="64">
        <v>10.97</v>
      </c>
      <c r="E57" s="64">
        <v>4.0199999999999996</v>
      </c>
      <c r="F57" s="64">
        <v>5.0199999999999996</v>
      </c>
      <c r="G57" s="64">
        <v>26.95</v>
      </c>
      <c r="H57" s="64">
        <v>7.34</v>
      </c>
      <c r="I57" s="64">
        <v>1.07</v>
      </c>
      <c r="J57" s="64">
        <v>7.0000000000000007E-2</v>
      </c>
      <c r="K57" s="64">
        <v>291.32</v>
      </c>
      <c r="L57" s="64">
        <v>26.9</v>
      </c>
      <c r="M57" s="64">
        <v>97.99</v>
      </c>
      <c r="N57" s="64">
        <v>156.9</v>
      </c>
      <c r="O57" s="64">
        <v>0</v>
      </c>
      <c r="P57" s="64">
        <v>0.47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4" t="s">
        <v>1637</v>
      </c>
      <c r="B58" s="64">
        <v>10.61</v>
      </c>
      <c r="C58" s="64">
        <v>9.35</v>
      </c>
      <c r="D58" s="64">
        <v>13.39</v>
      </c>
      <c r="E58" s="64">
        <v>4.12</v>
      </c>
      <c r="F58" s="64">
        <v>8.09</v>
      </c>
      <c r="G58" s="64">
        <v>26.95</v>
      </c>
      <c r="H58" s="64">
        <v>7.34</v>
      </c>
      <c r="I58" s="64">
        <v>1.06</v>
      </c>
      <c r="J58" s="64">
        <v>0.09</v>
      </c>
      <c r="K58" s="64">
        <v>291.82</v>
      </c>
      <c r="L58" s="64">
        <v>27.05</v>
      </c>
      <c r="M58" s="64">
        <v>98.02</v>
      </c>
      <c r="N58" s="64">
        <v>103.4</v>
      </c>
      <c r="O58" s="64">
        <v>0</v>
      </c>
      <c r="P58" s="64">
        <v>0.55000000000000004</v>
      </c>
      <c r="Q58" s="64">
        <v>9.2899999999999991</v>
      </c>
      <c r="R58" s="198"/>
      <c r="S58" s="198"/>
      <c r="T58" s="198"/>
      <c r="U58" s="198"/>
    </row>
    <row r="59" spans="1:21" s="12" customFormat="1" x14ac:dyDescent="0.25">
      <c r="A59" s="214" t="s">
        <v>1638</v>
      </c>
      <c r="B59" s="64">
        <v>8.98</v>
      </c>
      <c r="C59" s="64">
        <v>7.94</v>
      </c>
      <c r="D59" s="64">
        <v>11.36</v>
      </c>
      <c r="E59" s="64">
        <v>3.95</v>
      </c>
      <c r="F59" s="64">
        <v>4.66</v>
      </c>
      <c r="G59" s="64">
        <v>26.95</v>
      </c>
      <c r="H59" s="64">
        <v>7.34</v>
      </c>
      <c r="I59" s="64">
        <v>1.06</v>
      </c>
      <c r="J59" s="64">
        <v>0.5</v>
      </c>
      <c r="K59" s="64">
        <v>313.79000000000002</v>
      </c>
      <c r="L59" s="64">
        <v>26.73</v>
      </c>
      <c r="M59" s="64">
        <v>98.02</v>
      </c>
      <c r="N59" s="64">
        <v>68.7</v>
      </c>
      <c r="O59" s="64">
        <v>0</v>
      </c>
      <c r="P59" s="64">
        <v>0.48</v>
      </c>
      <c r="Q59" s="64">
        <v>9.3000000000000007</v>
      </c>
      <c r="R59" s="198"/>
      <c r="S59" s="198"/>
      <c r="T59" s="198"/>
      <c r="U59" s="198"/>
    </row>
    <row r="60" spans="1:21" s="12" customFormat="1" x14ac:dyDescent="0.25">
      <c r="A60" s="214" t="s">
        <v>1639</v>
      </c>
      <c r="B60" s="64">
        <v>9.58</v>
      </c>
      <c r="C60" s="64">
        <v>7.01</v>
      </c>
      <c r="D60" s="64">
        <v>11.35</v>
      </c>
      <c r="E60" s="64">
        <v>4.1500000000000004</v>
      </c>
      <c r="F60" s="64">
        <v>6.26</v>
      </c>
      <c r="G60" s="64">
        <v>29.71</v>
      </c>
      <c r="H60" s="64">
        <v>7.41</v>
      </c>
      <c r="I60" s="64">
        <v>1.07</v>
      </c>
      <c r="J60" s="64">
        <v>0.74</v>
      </c>
      <c r="K60" s="64">
        <v>328.77</v>
      </c>
      <c r="L60" s="64">
        <v>26.37</v>
      </c>
      <c r="M60" s="64">
        <v>98.04</v>
      </c>
      <c r="N60" s="64">
        <v>69.599999999999994</v>
      </c>
      <c r="O60" s="64">
        <v>0</v>
      </c>
      <c r="P60" s="64">
        <v>0.52</v>
      </c>
      <c r="Q60" s="64">
        <v>9.3000000000000007</v>
      </c>
      <c r="R60" s="198"/>
      <c r="S60" s="198"/>
      <c r="T60" s="198"/>
      <c r="U60" s="198"/>
    </row>
    <row r="61" spans="1:21" s="12" customFormat="1" x14ac:dyDescent="0.25">
      <c r="A61" s="214" t="s">
        <v>1640</v>
      </c>
      <c r="B61" s="64">
        <v>11.02</v>
      </c>
      <c r="C61" s="64">
        <v>10.25</v>
      </c>
      <c r="D61" s="64">
        <v>14.19</v>
      </c>
      <c r="E61" s="64">
        <v>4.1100000000000003</v>
      </c>
      <c r="F61" s="64">
        <v>6.44</v>
      </c>
      <c r="G61" s="64">
        <v>31.92</v>
      </c>
      <c r="H61" s="64">
        <v>7.46</v>
      </c>
      <c r="I61" s="64">
        <v>1.1000000000000001</v>
      </c>
      <c r="J61" s="64">
        <v>0.55000000000000004</v>
      </c>
      <c r="K61" s="64">
        <v>323.32</v>
      </c>
      <c r="L61" s="64">
        <v>26.2</v>
      </c>
      <c r="M61" s="64">
        <v>98.06</v>
      </c>
      <c r="N61" s="64">
        <v>62.1</v>
      </c>
      <c r="O61" s="64">
        <v>0</v>
      </c>
      <c r="P61" s="64">
        <v>0.44</v>
      </c>
      <c r="Q61" s="64">
        <v>9.32</v>
      </c>
      <c r="R61" s="198"/>
      <c r="S61" s="198"/>
      <c r="T61" s="198"/>
      <c r="U61" s="198"/>
    </row>
    <row r="62" spans="1:21" s="12" customFormat="1" x14ac:dyDescent="0.25">
      <c r="A62" s="214" t="s">
        <v>1641</v>
      </c>
      <c r="B62" s="64">
        <v>8.07</v>
      </c>
      <c r="C62" s="64">
        <v>19.600000000000001</v>
      </c>
      <c r="D62" s="64">
        <v>16.71</v>
      </c>
      <c r="E62" s="64">
        <v>3.77</v>
      </c>
      <c r="F62" s="64">
        <v>5.9</v>
      </c>
      <c r="G62" s="64">
        <v>31.92</v>
      </c>
      <c r="H62" s="64">
        <v>7.46</v>
      </c>
      <c r="I62" s="64">
        <v>1.1499999999999999</v>
      </c>
      <c r="J62" s="64">
        <v>0.66</v>
      </c>
      <c r="K62" s="64">
        <v>320.22000000000003</v>
      </c>
      <c r="L62" s="64">
        <v>25.87</v>
      </c>
      <c r="M62" s="64">
        <v>98.11</v>
      </c>
      <c r="N62" s="64">
        <v>55.1</v>
      </c>
      <c r="O62" s="64">
        <v>0</v>
      </c>
      <c r="P62" s="64">
        <v>0.52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4" t="s">
        <v>1642</v>
      </c>
      <c r="B63" s="64">
        <v>7.44</v>
      </c>
      <c r="C63" s="64">
        <v>17.88</v>
      </c>
      <c r="D63" s="64">
        <v>15.3</v>
      </c>
      <c r="E63" s="64">
        <v>5.64</v>
      </c>
      <c r="F63" s="64">
        <v>6</v>
      </c>
      <c r="G63" s="64">
        <v>31.92</v>
      </c>
      <c r="H63" s="64">
        <v>7.46</v>
      </c>
      <c r="I63" s="64">
        <v>1.55</v>
      </c>
      <c r="J63" s="64">
        <v>1.0900000000000001</v>
      </c>
      <c r="K63" s="64">
        <v>332.03</v>
      </c>
      <c r="L63" s="64">
        <v>25.6</v>
      </c>
      <c r="M63" s="64">
        <v>98.1</v>
      </c>
      <c r="N63" s="64">
        <v>52.8</v>
      </c>
      <c r="O63" s="64">
        <v>0</v>
      </c>
      <c r="P63" s="64">
        <v>0.57999999999999996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1643</v>
      </c>
      <c r="B64" s="64">
        <v>9.3000000000000007</v>
      </c>
      <c r="C64" s="64">
        <v>14.73</v>
      </c>
      <c r="D64" s="64">
        <v>15.15</v>
      </c>
      <c r="E64" s="64">
        <v>3.78</v>
      </c>
      <c r="F64" s="64">
        <v>9.24</v>
      </c>
      <c r="G64" s="64">
        <v>34.229999999999997</v>
      </c>
      <c r="H64" s="64">
        <v>7.48</v>
      </c>
      <c r="I64" s="64">
        <v>1.9</v>
      </c>
      <c r="J64" s="64">
        <v>1.49</v>
      </c>
      <c r="K64" s="64">
        <v>335.3</v>
      </c>
      <c r="L64" s="64">
        <v>25.43</v>
      </c>
      <c r="M64" s="64">
        <v>98.13</v>
      </c>
      <c r="N64" s="64">
        <v>54.9</v>
      </c>
      <c r="O64" s="64">
        <v>0</v>
      </c>
      <c r="P64" s="64">
        <v>0.56999999999999995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14" t="s">
        <v>1644</v>
      </c>
      <c r="B65" s="64">
        <v>11.33</v>
      </c>
      <c r="C65" s="64">
        <v>13.6</v>
      </c>
      <c r="D65" s="64">
        <v>16.190000000000001</v>
      </c>
      <c r="E65" s="64">
        <v>4.03</v>
      </c>
      <c r="F65" s="64">
        <v>11.31</v>
      </c>
      <c r="G65" s="64">
        <v>36.08</v>
      </c>
      <c r="H65" s="64">
        <v>7.49</v>
      </c>
      <c r="I65" s="64">
        <v>2.0099999999999998</v>
      </c>
      <c r="J65" s="64">
        <v>1.38</v>
      </c>
      <c r="K65" s="64">
        <v>337.22</v>
      </c>
      <c r="L65" s="64">
        <v>25.42</v>
      </c>
      <c r="M65" s="64">
        <v>98.09</v>
      </c>
      <c r="N65" s="64">
        <v>64.8</v>
      </c>
      <c r="O65" s="64">
        <v>0</v>
      </c>
      <c r="P65" s="64">
        <v>0.54</v>
      </c>
      <c r="Q65" s="64">
        <v>9.3800000000000008</v>
      </c>
      <c r="R65" s="198"/>
      <c r="S65" s="198"/>
      <c r="T65" s="198"/>
      <c r="U65" s="198"/>
    </row>
    <row r="66" spans="1:21" s="12" customFormat="1" x14ac:dyDescent="0.25">
      <c r="A66" s="214" t="s">
        <v>1645</v>
      </c>
      <c r="B66" s="64">
        <v>12.62</v>
      </c>
      <c r="C66" s="64">
        <v>12.75</v>
      </c>
      <c r="D66" s="64">
        <v>16.72</v>
      </c>
      <c r="E66" s="64">
        <v>4.08</v>
      </c>
      <c r="F66" s="64">
        <v>11.13</v>
      </c>
      <c r="G66" s="64">
        <v>36.08</v>
      </c>
      <c r="H66" s="64">
        <v>7.49</v>
      </c>
      <c r="I66" s="64">
        <v>2.0099999999999998</v>
      </c>
      <c r="J66" s="64">
        <v>1.18</v>
      </c>
      <c r="K66" s="64">
        <v>340.77</v>
      </c>
      <c r="L66" s="64">
        <v>25.25</v>
      </c>
      <c r="M66" s="64">
        <v>98.09</v>
      </c>
      <c r="N66" s="64">
        <v>70.8</v>
      </c>
      <c r="O66" s="64">
        <v>0</v>
      </c>
      <c r="P66" s="64">
        <v>0.49</v>
      </c>
      <c r="Q66" s="64">
        <v>9.39</v>
      </c>
      <c r="R66" s="198"/>
      <c r="S66" s="198"/>
      <c r="T66" s="198"/>
      <c r="U66" s="198"/>
    </row>
    <row r="67" spans="1:21" s="12" customFormat="1" x14ac:dyDescent="0.25">
      <c r="A67" s="214" t="s">
        <v>1646</v>
      </c>
      <c r="B67" s="64">
        <v>18.09</v>
      </c>
      <c r="C67" s="64">
        <v>15.06</v>
      </c>
      <c r="D67" s="64">
        <v>22.38</v>
      </c>
      <c r="E67" s="64">
        <v>3.93</v>
      </c>
      <c r="F67" s="64">
        <v>9.82</v>
      </c>
      <c r="G67" s="64">
        <v>36.08</v>
      </c>
      <c r="H67" s="64">
        <v>7.49</v>
      </c>
      <c r="I67" s="64">
        <v>1.93</v>
      </c>
      <c r="J67" s="64">
        <v>0.86</v>
      </c>
      <c r="K67" s="64">
        <v>342.84</v>
      </c>
      <c r="L67" s="64">
        <v>25.17</v>
      </c>
      <c r="M67" s="64">
        <v>98.11</v>
      </c>
      <c r="N67" s="64">
        <v>77.2</v>
      </c>
      <c r="O67" s="64">
        <v>0</v>
      </c>
      <c r="P67" s="64">
        <v>0.61</v>
      </c>
      <c r="Q67" s="64">
        <v>9.42</v>
      </c>
      <c r="R67" s="198"/>
      <c r="S67" s="198"/>
      <c r="T67" s="198"/>
      <c r="U67" s="198"/>
    </row>
    <row r="68" spans="1:21" s="12" customFormat="1" x14ac:dyDescent="0.25">
      <c r="A68" s="214" t="s">
        <v>1647</v>
      </c>
      <c r="B68" s="64">
        <v>26.18</v>
      </c>
      <c r="C68" s="64">
        <v>18.34</v>
      </c>
      <c r="D68" s="64">
        <v>30.56</v>
      </c>
      <c r="E68" s="64">
        <v>4.3899999999999997</v>
      </c>
      <c r="F68" s="64">
        <v>6.84</v>
      </c>
      <c r="G68" s="64">
        <v>38.61</v>
      </c>
      <c r="H68" s="64">
        <v>7.46</v>
      </c>
      <c r="I68" s="64">
        <v>1.86</v>
      </c>
      <c r="J68" s="64">
        <v>0.77</v>
      </c>
      <c r="K68" s="64">
        <v>343.45</v>
      </c>
      <c r="L68" s="64">
        <v>25.16</v>
      </c>
      <c r="M68" s="64">
        <v>98.13</v>
      </c>
      <c r="N68" s="64">
        <v>75.2</v>
      </c>
      <c r="O68" s="64">
        <v>0</v>
      </c>
      <c r="P68" s="64">
        <v>0.94</v>
      </c>
      <c r="Q68" s="64">
        <v>9.4700000000000006</v>
      </c>
      <c r="R68" s="198"/>
      <c r="S68" s="198"/>
      <c r="T68" s="198"/>
      <c r="U68" s="198"/>
    </row>
    <row r="69" spans="1:21" s="12" customFormat="1" x14ac:dyDescent="0.25">
      <c r="A69" s="214" t="s">
        <v>1648</v>
      </c>
      <c r="B69" s="64">
        <v>32.42</v>
      </c>
      <c r="C69" s="64">
        <v>16.61</v>
      </c>
      <c r="D69" s="64">
        <v>34.65</v>
      </c>
      <c r="E69" s="64">
        <v>4.33</v>
      </c>
      <c r="F69" s="64">
        <v>5.98</v>
      </c>
      <c r="G69" s="64">
        <v>40.64</v>
      </c>
      <c r="H69" s="64">
        <v>7.45</v>
      </c>
      <c r="I69" s="64">
        <v>1.83</v>
      </c>
      <c r="J69" s="64">
        <v>0.56000000000000005</v>
      </c>
      <c r="K69" s="64">
        <v>341.96</v>
      </c>
      <c r="L69" s="64">
        <v>24.99</v>
      </c>
      <c r="M69" s="64">
        <v>98.11</v>
      </c>
      <c r="N69" s="64">
        <v>68</v>
      </c>
      <c r="O69" s="64">
        <v>0</v>
      </c>
      <c r="P69" s="64">
        <v>0.92</v>
      </c>
      <c r="Q69" s="64">
        <v>9.5299999999999994</v>
      </c>
      <c r="R69" s="198"/>
      <c r="S69" s="198"/>
      <c r="T69" s="198"/>
      <c r="U69" s="198"/>
    </row>
    <row r="70" spans="1:21" s="12" customFormat="1" x14ac:dyDescent="0.25">
      <c r="A70" s="214" t="s">
        <v>1649</v>
      </c>
      <c r="B70" s="64">
        <v>32.9</v>
      </c>
      <c r="C70" s="64">
        <v>20.48</v>
      </c>
      <c r="D70" s="64">
        <v>37.08</v>
      </c>
      <c r="E70" s="64">
        <v>4.6500000000000004</v>
      </c>
      <c r="F70" s="64">
        <v>6.2</v>
      </c>
      <c r="G70" s="64">
        <v>40.64</v>
      </c>
      <c r="H70" s="64">
        <v>7.45</v>
      </c>
      <c r="I70" s="64">
        <v>1.86</v>
      </c>
      <c r="J70" s="64">
        <v>0.28000000000000003</v>
      </c>
      <c r="K70" s="64">
        <v>337.29</v>
      </c>
      <c r="L70" s="64">
        <v>24.86</v>
      </c>
      <c r="M70" s="64">
        <v>98.13</v>
      </c>
      <c r="N70" s="64">
        <v>64.7</v>
      </c>
      <c r="O70" s="64">
        <v>0</v>
      </c>
      <c r="P70" s="64">
        <v>1.1000000000000001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4" t="s">
        <v>1650</v>
      </c>
      <c r="B71" s="64">
        <v>31.01</v>
      </c>
      <c r="C71" s="64">
        <v>21.53</v>
      </c>
      <c r="D71" s="64">
        <v>36.119999999999997</v>
      </c>
      <c r="E71" s="64">
        <v>4.2699999999999996</v>
      </c>
      <c r="F71" s="64">
        <v>5.92</v>
      </c>
      <c r="G71" s="64">
        <v>40.64</v>
      </c>
      <c r="H71" s="64">
        <v>7.45</v>
      </c>
      <c r="I71" s="64">
        <v>1.91</v>
      </c>
      <c r="J71" s="64">
        <v>0.32</v>
      </c>
      <c r="K71" s="64">
        <v>340.93</v>
      </c>
      <c r="L71" s="64">
        <v>24.81</v>
      </c>
      <c r="M71" s="64">
        <v>98.1</v>
      </c>
      <c r="N71" s="64">
        <v>64.400000000000006</v>
      </c>
      <c r="O71" s="64">
        <v>0</v>
      </c>
      <c r="P71" s="64">
        <v>1.06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4" t="s">
        <v>1651</v>
      </c>
      <c r="B72" s="64">
        <v>35.619999999999997</v>
      </c>
      <c r="C72" s="64">
        <v>20.03</v>
      </c>
      <c r="D72" s="64">
        <v>39.03</v>
      </c>
      <c r="E72" s="64">
        <v>4.4400000000000004</v>
      </c>
      <c r="F72" s="64">
        <v>3.66</v>
      </c>
      <c r="G72" s="64">
        <v>48.15</v>
      </c>
      <c r="H72" s="64">
        <v>7.42</v>
      </c>
      <c r="I72" s="64">
        <v>1.96</v>
      </c>
      <c r="J72" s="64">
        <v>0.28999999999999998</v>
      </c>
      <c r="K72" s="64">
        <v>331.58</v>
      </c>
      <c r="L72" s="64">
        <v>24.65</v>
      </c>
      <c r="M72" s="64">
        <v>98.12</v>
      </c>
      <c r="N72" s="64">
        <v>62.4</v>
      </c>
      <c r="O72" s="64">
        <v>0</v>
      </c>
      <c r="P72" s="64">
        <v>1.24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4" t="s">
        <v>1652</v>
      </c>
      <c r="B73" s="64">
        <v>26.95</v>
      </c>
      <c r="C73" s="64">
        <v>15.38</v>
      </c>
      <c r="D73" s="64">
        <v>29.64</v>
      </c>
      <c r="E73" s="64">
        <v>4.6900000000000004</v>
      </c>
      <c r="F73" s="64">
        <v>4.83</v>
      </c>
      <c r="G73" s="64">
        <v>54.15</v>
      </c>
      <c r="H73" s="64">
        <v>7.41</v>
      </c>
      <c r="I73" s="64">
        <v>2.02</v>
      </c>
      <c r="J73" s="64">
        <v>0.13</v>
      </c>
      <c r="K73" s="64">
        <v>342.14</v>
      </c>
      <c r="L73" s="64">
        <v>24.54</v>
      </c>
      <c r="M73" s="64">
        <v>98.11</v>
      </c>
      <c r="N73" s="64">
        <v>62.8</v>
      </c>
      <c r="O73" s="64">
        <v>0</v>
      </c>
      <c r="P73" s="64">
        <v>0.95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4" t="s">
        <v>1653</v>
      </c>
      <c r="B74" s="64">
        <v>44.78</v>
      </c>
      <c r="C74" s="64">
        <v>18.170000000000002</v>
      </c>
      <c r="D74" s="64">
        <v>45.14</v>
      </c>
      <c r="E74" s="64">
        <v>4.9000000000000004</v>
      </c>
      <c r="F74" s="64">
        <v>5.44</v>
      </c>
      <c r="G74" s="64">
        <v>54.15</v>
      </c>
      <c r="H74" s="64">
        <v>7.41</v>
      </c>
      <c r="I74" s="64">
        <v>2.11</v>
      </c>
      <c r="J74" s="64">
        <v>0.34</v>
      </c>
      <c r="K74" s="64">
        <v>343.34</v>
      </c>
      <c r="L74" s="64">
        <v>24.62</v>
      </c>
      <c r="M74" s="64">
        <v>98.08</v>
      </c>
      <c r="N74" s="64">
        <v>63.9</v>
      </c>
      <c r="O74" s="64">
        <v>0</v>
      </c>
      <c r="P74" s="64">
        <v>1.1000000000000001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4" t="s">
        <v>1654</v>
      </c>
      <c r="B75" s="64">
        <v>31.92</v>
      </c>
      <c r="C75" s="64">
        <v>18.809999999999999</v>
      </c>
      <c r="D75" s="64">
        <v>35.42</v>
      </c>
      <c r="E75" s="64">
        <v>5.19</v>
      </c>
      <c r="F75" s="64">
        <v>3.92</v>
      </c>
      <c r="G75" s="64">
        <v>54.15</v>
      </c>
      <c r="H75" s="64">
        <v>7.41</v>
      </c>
      <c r="I75" s="64">
        <v>2.34</v>
      </c>
      <c r="J75" s="64">
        <v>0.05</v>
      </c>
      <c r="K75" s="64">
        <v>319.06</v>
      </c>
      <c r="L75" s="64">
        <v>24.47</v>
      </c>
      <c r="M75" s="64">
        <v>98.08</v>
      </c>
      <c r="N75" s="64">
        <v>55.3</v>
      </c>
      <c r="O75" s="64">
        <v>0</v>
      </c>
      <c r="P75" s="64">
        <v>0.99</v>
      </c>
      <c r="Q75" s="64">
        <v>9.64</v>
      </c>
      <c r="R75" s="198"/>
      <c r="S75" s="198"/>
      <c r="T75" s="198"/>
      <c r="U75" s="198"/>
    </row>
    <row r="76" spans="1:21" s="12" customFormat="1" x14ac:dyDescent="0.25">
      <c r="A76" s="214" t="s">
        <v>1655</v>
      </c>
      <c r="B76" s="64">
        <v>28.44</v>
      </c>
      <c r="C76" s="64">
        <v>15.81</v>
      </c>
      <c r="D76" s="64">
        <v>31.07</v>
      </c>
      <c r="E76" s="64">
        <v>4.87</v>
      </c>
      <c r="F76" s="64">
        <v>3.45</v>
      </c>
      <c r="G76" s="64">
        <v>44.52</v>
      </c>
      <c r="H76" s="64">
        <v>7.39</v>
      </c>
      <c r="I76" s="64">
        <v>2.54</v>
      </c>
      <c r="J76" s="64">
        <v>0.06</v>
      </c>
      <c r="K76" s="64">
        <v>337.75</v>
      </c>
      <c r="L76" s="64">
        <v>24.14</v>
      </c>
      <c r="M76" s="64">
        <v>98.08</v>
      </c>
      <c r="N76" s="64">
        <v>43.7</v>
      </c>
      <c r="O76" s="64">
        <v>0</v>
      </c>
      <c r="P76" s="64">
        <v>1.04</v>
      </c>
      <c r="Q76" s="64">
        <v>9.66</v>
      </c>
      <c r="R76" s="198"/>
      <c r="S76" s="198"/>
      <c r="T76" s="198"/>
      <c r="U76" s="198"/>
    </row>
    <row r="77" spans="1:21" s="12" customFormat="1" x14ac:dyDescent="0.25">
      <c r="A77" s="214" t="s">
        <v>1656</v>
      </c>
      <c r="B77" s="64">
        <v>21.77</v>
      </c>
      <c r="C77" s="64">
        <v>13.9</v>
      </c>
      <c r="D77" s="64">
        <v>24.72</v>
      </c>
      <c r="E77" s="64">
        <v>4.84</v>
      </c>
      <c r="F77" s="64">
        <v>5.25</v>
      </c>
      <c r="G77" s="64">
        <v>36.82</v>
      </c>
      <c r="H77" s="64">
        <v>7.38</v>
      </c>
      <c r="I77" s="64">
        <v>2.58</v>
      </c>
      <c r="J77" s="64">
        <v>0.04</v>
      </c>
      <c r="K77" s="64">
        <v>273.54000000000002</v>
      </c>
      <c r="L77" s="64">
        <v>23.81</v>
      </c>
      <c r="M77" s="64">
        <v>98.11</v>
      </c>
      <c r="N77" s="64">
        <v>38.700000000000003</v>
      </c>
      <c r="O77" s="64">
        <v>0</v>
      </c>
      <c r="P77" s="64">
        <v>0.82</v>
      </c>
      <c r="Q77" s="64">
        <v>9.66</v>
      </c>
      <c r="R77" s="198"/>
      <c r="S77" s="198"/>
      <c r="T77" s="198"/>
      <c r="U77" s="198"/>
    </row>
    <row r="78" spans="1:21" s="12" customFormat="1" x14ac:dyDescent="0.25">
      <c r="A78" s="214" t="s">
        <v>1657</v>
      </c>
      <c r="B78" s="64">
        <v>30.13</v>
      </c>
      <c r="C78" s="64">
        <v>13.63</v>
      </c>
      <c r="D78" s="64">
        <v>31.28</v>
      </c>
      <c r="E78" s="64">
        <v>4.7300000000000004</v>
      </c>
      <c r="F78" s="64">
        <v>4.5599999999999996</v>
      </c>
      <c r="G78" s="64">
        <v>36.82</v>
      </c>
      <c r="H78" s="64">
        <v>7.38</v>
      </c>
      <c r="I78" s="64">
        <v>2.59</v>
      </c>
      <c r="J78" s="64">
        <v>7.0000000000000007E-2</v>
      </c>
      <c r="K78" s="64">
        <v>343.86</v>
      </c>
      <c r="L78" s="64">
        <v>23.7</v>
      </c>
      <c r="M78" s="64">
        <v>98.12</v>
      </c>
      <c r="N78" s="64">
        <v>36.4</v>
      </c>
      <c r="O78" s="64">
        <v>0</v>
      </c>
      <c r="P78" s="64">
        <v>1.02</v>
      </c>
      <c r="Q78" s="64">
        <v>9.67</v>
      </c>
      <c r="R78" s="198"/>
      <c r="S78" s="198"/>
      <c r="T78" s="198"/>
      <c r="U78" s="198"/>
    </row>
    <row r="79" spans="1:21" s="12" customFormat="1" x14ac:dyDescent="0.25">
      <c r="A79" s="214" t="s">
        <v>1658</v>
      </c>
      <c r="B79" s="64">
        <v>29.24</v>
      </c>
      <c r="C79" s="64">
        <v>11.9</v>
      </c>
      <c r="D79" s="64">
        <v>29.5</v>
      </c>
      <c r="E79" s="64">
        <v>4.87</v>
      </c>
      <c r="F79" s="64">
        <v>3.66</v>
      </c>
      <c r="G79" s="64">
        <v>36.82</v>
      </c>
      <c r="H79" s="64">
        <v>7.38</v>
      </c>
      <c r="I79" s="64">
        <v>2.57</v>
      </c>
      <c r="J79" s="64">
        <v>0.08</v>
      </c>
      <c r="K79" s="64">
        <v>340.84</v>
      </c>
      <c r="L79" s="64">
        <v>23.64</v>
      </c>
      <c r="M79" s="64">
        <v>98.13</v>
      </c>
      <c r="N79" s="64">
        <v>32.5</v>
      </c>
      <c r="O79" s="64">
        <v>0</v>
      </c>
      <c r="P79" s="64">
        <v>0.87</v>
      </c>
      <c r="Q79" s="64">
        <v>9.67</v>
      </c>
      <c r="R79" s="198"/>
      <c r="S79" s="198"/>
      <c r="T79" s="198"/>
      <c r="U79" s="198"/>
    </row>
    <row r="80" spans="1:21" s="12" customFormat="1" x14ac:dyDescent="0.25">
      <c r="A80" s="214" t="s">
        <v>1659</v>
      </c>
      <c r="B80" s="64">
        <v>23.08</v>
      </c>
      <c r="C80" s="64">
        <v>13.37</v>
      </c>
      <c r="D80" s="64">
        <v>25.49</v>
      </c>
      <c r="E80" s="64">
        <v>4.9000000000000004</v>
      </c>
      <c r="F80" s="64">
        <v>2.58</v>
      </c>
      <c r="G80" s="64">
        <v>48.52</v>
      </c>
      <c r="H80" s="64">
        <v>10.56</v>
      </c>
      <c r="I80" s="64">
        <v>2.61</v>
      </c>
      <c r="J80" s="64">
        <v>0.02</v>
      </c>
      <c r="K80" s="64">
        <v>338.64</v>
      </c>
      <c r="L80" s="64">
        <v>23.48</v>
      </c>
      <c r="M80" s="64">
        <v>98.13</v>
      </c>
      <c r="N80" s="64">
        <v>29.2</v>
      </c>
      <c r="O80" s="64">
        <v>0</v>
      </c>
      <c r="P80" s="64">
        <v>0.84</v>
      </c>
      <c r="Q80" s="64">
        <v>9.65</v>
      </c>
      <c r="R80" s="198"/>
      <c r="S80" s="198"/>
      <c r="T80" s="198"/>
      <c r="U80" s="198"/>
    </row>
    <row r="81" spans="1:26" s="12" customFormat="1" x14ac:dyDescent="0.25">
      <c r="A81" s="214" t="s">
        <v>1660</v>
      </c>
      <c r="B81" s="64">
        <v>26.17</v>
      </c>
      <c r="C81" s="64">
        <v>9.83</v>
      </c>
      <c r="D81" s="64">
        <v>26.13</v>
      </c>
      <c r="E81" s="64">
        <v>4.9400000000000004</v>
      </c>
      <c r="F81" s="64">
        <v>3.95</v>
      </c>
      <c r="G81" s="64">
        <v>57.89</v>
      </c>
      <c r="H81" s="64">
        <v>10.56</v>
      </c>
      <c r="I81" s="64">
        <v>2.65</v>
      </c>
      <c r="J81" s="64">
        <v>0.05</v>
      </c>
      <c r="K81" s="64">
        <v>320.92</v>
      </c>
      <c r="L81" s="64">
        <v>23.38</v>
      </c>
      <c r="M81" s="64">
        <v>98.14</v>
      </c>
      <c r="N81" s="64">
        <v>28</v>
      </c>
      <c r="O81" s="64">
        <v>0</v>
      </c>
      <c r="P81" s="64">
        <v>0.86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14" t="s">
        <v>1661</v>
      </c>
      <c r="B82" s="64">
        <v>40.42</v>
      </c>
      <c r="C82" s="64">
        <v>7.56</v>
      </c>
      <c r="D82" s="64">
        <v>36.299999999999997</v>
      </c>
      <c r="E82" s="64">
        <v>4.74</v>
      </c>
      <c r="F82" s="64">
        <v>3.17</v>
      </c>
      <c r="G82" s="64">
        <v>57.89</v>
      </c>
      <c r="H82" s="64">
        <v>10.56</v>
      </c>
      <c r="I82" s="64">
        <v>2.64</v>
      </c>
      <c r="J82" s="64">
        <v>0.05</v>
      </c>
      <c r="K82" s="64">
        <v>327.01</v>
      </c>
      <c r="L82" s="64">
        <v>23.41</v>
      </c>
      <c r="M82" s="64">
        <v>98.15</v>
      </c>
      <c r="N82" s="64">
        <v>27.7</v>
      </c>
      <c r="O82" s="64">
        <v>0</v>
      </c>
      <c r="P82" s="64">
        <v>1.18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4" t="s">
        <v>1662</v>
      </c>
      <c r="B83" s="64">
        <v>30.49</v>
      </c>
      <c r="C83" s="64">
        <v>14.81</v>
      </c>
      <c r="D83" s="64">
        <v>32.19</v>
      </c>
      <c r="E83" s="64">
        <v>5.03</v>
      </c>
      <c r="F83" s="64">
        <v>4.95</v>
      </c>
      <c r="G83" s="64">
        <v>57.89</v>
      </c>
      <c r="H83" s="64">
        <v>10.56</v>
      </c>
      <c r="I83" s="64">
        <v>2.64</v>
      </c>
      <c r="J83" s="64">
        <v>7.0000000000000007E-2</v>
      </c>
      <c r="K83" s="64">
        <v>321.36</v>
      </c>
      <c r="L83" s="64">
        <v>23.27</v>
      </c>
      <c r="M83" s="64">
        <v>98.15</v>
      </c>
      <c r="N83" s="64">
        <v>28</v>
      </c>
      <c r="O83" s="64">
        <v>0</v>
      </c>
      <c r="P83" s="64">
        <v>1.21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4" t="s">
        <v>1663</v>
      </c>
      <c r="B84" s="64">
        <v>39.68</v>
      </c>
      <c r="C84" s="64">
        <v>12.79</v>
      </c>
      <c r="D84" s="64">
        <v>38.42</v>
      </c>
      <c r="E84" s="64">
        <v>4.8899999999999997</v>
      </c>
      <c r="F84" s="64">
        <v>6.23</v>
      </c>
      <c r="G84" s="64">
        <v>52.13</v>
      </c>
      <c r="H84" s="64">
        <v>20.76</v>
      </c>
      <c r="I84" s="64">
        <v>2.66</v>
      </c>
      <c r="J84" s="64">
        <v>0.03</v>
      </c>
      <c r="K84" s="64">
        <v>66.48</v>
      </c>
      <c r="L84" s="64">
        <v>23.2</v>
      </c>
      <c r="M84" s="64">
        <v>98.15</v>
      </c>
      <c r="N84" s="64">
        <v>27.8</v>
      </c>
      <c r="O84" s="64">
        <v>0</v>
      </c>
      <c r="P84" s="64">
        <v>1.22</v>
      </c>
      <c r="Q84" s="64">
        <v>9.68</v>
      </c>
      <c r="R84" s="198"/>
      <c r="S84" s="198"/>
      <c r="T84" s="198"/>
      <c r="U84" s="198"/>
    </row>
    <row r="85" spans="1:26" s="12" customFormat="1" x14ac:dyDescent="0.25">
      <c r="A85" s="214" t="s">
        <v>1664</v>
      </c>
      <c r="B85" s="64">
        <v>18.510000000000002</v>
      </c>
      <c r="C85" s="64">
        <v>13.45</v>
      </c>
      <c r="D85" s="64">
        <v>21.87</v>
      </c>
      <c r="E85" s="64">
        <v>4.79</v>
      </c>
      <c r="F85" s="64">
        <v>5.86</v>
      </c>
      <c r="G85" s="64">
        <v>47.52</v>
      </c>
      <c r="H85" s="64">
        <v>6.28</v>
      </c>
      <c r="I85" s="64">
        <v>2.69</v>
      </c>
      <c r="J85" s="64">
        <v>0.08</v>
      </c>
      <c r="K85" s="64">
        <v>282.27999999999997</v>
      </c>
      <c r="L85" s="64">
        <v>23.18</v>
      </c>
      <c r="M85" s="64">
        <v>98.15</v>
      </c>
      <c r="N85" s="64">
        <v>28.1</v>
      </c>
      <c r="O85" s="64">
        <v>0</v>
      </c>
      <c r="P85" s="64">
        <v>0.77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4" t="s">
        <v>1665</v>
      </c>
      <c r="B86" s="64">
        <v>20.09</v>
      </c>
      <c r="C86" s="64">
        <v>11.68</v>
      </c>
      <c r="D86" s="64">
        <v>22.21</v>
      </c>
      <c r="E86" s="64">
        <v>4.6399999999999997</v>
      </c>
      <c r="F86" s="64">
        <v>4.96</v>
      </c>
      <c r="G86" s="64">
        <v>47.52</v>
      </c>
      <c r="H86" s="64">
        <v>6.28</v>
      </c>
      <c r="I86" s="64">
        <v>2.7</v>
      </c>
      <c r="J86" s="64">
        <v>0.1</v>
      </c>
      <c r="K86" s="64">
        <v>225.91</v>
      </c>
      <c r="L86" s="64">
        <v>23.25</v>
      </c>
      <c r="M86" s="64">
        <v>98.17</v>
      </c>
      <c r="N86" s="64">
        <v>28.1</v>
      </c>
      <c r="O86" s="64">
        <v>0</v>
      </c>
      <c r="P86" s="64">
        <v>0.8</v>
      </c>
      <c r="Q86" s="64">
        <v>9.68</v>
      </c>
      <c r="R86" s="198"/>
      <c r="S86" s="198"/>
      <c r="T86" s="198"/>
      <c r="U86" s="198"/>
    </row>
    <row r="87" spans="1:26" s="12" customFormat="1" x14ac:dyDescent="0.25">
      <c r="A87" s="214" t="s">
        <v>1666</v>
      </c>
      <c r="B87" s="64">
        <v>21.27</v>
      </c>
      <c r="C87" s="64">
        <v>8.57</v>
      </c>
      <c r="D87" s="64">
        <v>21.53</v>
      </c>
      <c r="E87" s="64">
        <v>4.7699999999999996</v>
      </c>
      <c r="F87" s="64">
        <v>3.91</v>
      </c>
      <c r="G87" s="64">
        <v>47.52</v>
      </c>
      <c r="H87" s="64">
        <v>6.28</v>
      </c>
      <c r="I87" s="64">
        <v>2.72</v>
      </c>
      <c r="J87" s="64">
        <v>0.08</v>
      </c>
      <c r="K87" s="64">
        <v>170.7</v>
      </c>
      <c r="L87" s="64">
        <v>23.28</v>
      </c>
      <c r="M87" s="64">
        <v>98.27</v>
      </c>
      <c r="N87" s="64">
        <v>28.1</v>
      </c>
      <c r="O87" s="64">
        <v>0</v>
      </c>
      <c r="P87" s="64">
        <v>0.76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4" t="s">
        <v>1667</v>
      </c>
      <c r="B88" s="64">
        <v>17.2</v>
      </c>
      <c r="C88" s="64">
        <v>9.93</v>
      </c>
      <c r="D88" s="64">
        <v>18.98</v>
      </c>
      <c r="E88" s="64">
        <v>4.6900000000000004</v>
      </c>
      <c r="F88" s="64">
        <v>4.42</v>
      </c>
      <c r="G88" s="64">
        <v>43.29</v>
      </c>
      <c r="H88" s="64">
        <v>6.28</v>
      </c>
      <c r="I88" s="64">
        <v>2.72</v>
      </c>
      <c r="J88" s="64">
        <v>0.08</v>
      </c>
      <c r="K88" s="64">
        <v>177.25</v>
      </c>
      <c r="L88" s="64">
        <v>23.17</v>
      </c>
      <c r="M88" s="64">
        <v>98.27</v>
      </c>
      <c r="N88" s="64">
        <v>28.4</v>
      </c>
      <c r="O88" s="64">
        <v>0</v>
      </c>
      <c r="P88" s="64">
        <v>0.61</v>
      </c>
      <c r="Q88" s="64">
        <v>9.68</v>
      </c>
      <c r="R88" s="198"/>
      <c r="S88" s="198"/>
      <c r="T88" s="198"/>
      <c r="U88" s="198"/>
    </row>
    <row r="89" spans="1:26" s="12" customFormat="1" x14ac:dyDescent="0.25">
      <c r="A89" s="214" t="s">
        <v>1668</v>
      </c>
      <c r="B89" s="64">
        <v>21.03</v>
      </c>
      <c r="C89" s="64">
        <v>10.24</v>
      </c>
      <c r="D89" s="64">
        <v>22.22</v>
      </c>
      <c r="E89" s="64">
        <v>4.78</v>
      </c>
      <c r="F89" s="64">
        <v>4.22</v>
      </c>
      <c r="G89" s="64">
        <v>39.909999999999997</v>
      </c>
      <c r="H89" s="64">
        <v>6.28</v>
      </c>
      <c r="I89" s="64">
        <v>2.7</v>
      </c>
      <c r="J89" s="64">
        <v>0.01</v>
      </c>
      <c r="K89" s="64">
        <v>169.68</v>
      </c>
      <c r="L89" s="64">
        <v>23.11</v>
      </c>
      <c r="M89" s="64">
        <v>98.27</v>
      </c>
      <c r="N89" s="64">
        <v>28.2</v>
      </c>
      <c r="O89" s="64">
        <v>0</v>
      </c>
      <c r="P89" s="64">
        <v>0.69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4" t="s">
        <v>1669</v>
      </c>
      <c r="B90" s="64">
        <v>18.100000000000001</v>
      </c>
      <c r="C90" s="64">
        <v>9.16</v>
      </c>
      <c r="D90" s="64">
        <v>19.3</v>
      </c>
      <c r="E90" s="64">
        <v>4.67</v>
      </c>
      <c r="F90" s="64">
        <v>4.87</v>
      </c>
      <c r="G90" s="64">
        <v>39.909999999999997</v>
      </c>
      <c r="H90" s="64">
        <v>6.28</v>
      </c>
      <c r="I90" s="64">
        <v>2.68</v>
      </c>
      <c r="J90" s="64">
        <v>0.02</v>
      </c>
      <c r="K90" s="64">
        <v>212.65</v>
      </c>
      <c r="L90" s="64">
        <v>23.2</v>
      </c>
      <c r="M90" s="64">
        <v>98.3</v>
      </c>
      <c r="N90" s="64">
        <v>27.9</v>
      </c>
      <c r="O90" s="64">
        <v>0</v>
      </c>
      <c r="P90" s="64">
        <v>0.65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14" t="s">
        <v>1670</v>
      </c>
      <c r="B91" s="64">
        <v>23.32</v>
      </c>
      <c r="C91" s="64">
        <v>5.69</v>
      </c>
      <c r="D91" s="64">
        <v>21.67</v>
      </c>
      <c r="E91" s="64">
        <v>4.6399999999999997</v>
      </c>
      <c r="F91" s="64">
        <v>3.15</v>
      </c>
      <c r="G91" s="64">
        <v>39.909999999999997</v>
      </c>
      <c r="H91" s="64">
        <v>6.28</v>
      </c>
      <c r="I91" s="64">
        <v>2.65</v>
      </c>
      <c r="J91" s="64">
        <v>0.04</v>
      </c>
      <c r="K91" s="64">
        <v>172.17</v>
      </c>
      <c r="L91" s="64">
        <v>23.39</v>
      </c>
      <c r="M91" s="64">
        <v>98.23</v>
      </c>
      <c r="N91" s="64">
        <v>27.7</v>
      </c>
      <c r="O91" s="64">
        <v>0</v>
      </c>
      <c r="P91" s="64">
        <v>0.74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14" t="s">
        <v>1671</v>
      </c>
      <c r="B92" s="64">
        <v>15.2</v>
      </c>
      <c r="C92" s="64">
        <v>11.16</v>
      </c>
      <c r="D92" s="64">
        <v>18.02</v>
      </c>
      <c r="E92" s="64">
        <v>4.53</v>
      </c>
      <c r="F92" s="64">
        <v>4.6100000000000003</v>
      </c>
      <c r="G92" s="64">
        <v>37.6</v>
      </c>
      <c r="H92" s="64">
        <v>6.28</v>
      </c>
      <c r="I92" s="64">
        <v>2.6</v>
      </c>
      <c r="J92" s="64">
        <v>0.09</v>
      </c>
      <c r="K92" s="64">
        <v>139.74</v>
      </c>
      <c r="L92" s="64">
        <v>23.56</v>
      </c>
      <c r="M92" s="64">
        <v>98.21</v>
      </c>
      <c r="N92" s="64">
        <v>27.6</v>
      </c>
      <c r="O92" s="64">
        <v>0</v>
      </c>
      <c r="P92" s="64">
        <v>0.52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14" t="s">
        <v>1672</v>
      </c>
      <c r="B93" s="64">
        <v>18.84</v>
      </c>
      <c r="C93" s="64">
        <v>6.28</v>
      </c>
      <c r="D93" s="64">
        <v>18.39</v>
      </c>
      <c r="E93" s="64">
        <v>4.22</v>
      </c>
      <c r="F93" s="64">
        <v>3.55</v>
      </c>
      <c r="G93" s="64">
        <v>35.76</v>
      </c>
      <c r="H93" s="64">
        <v>6.28</v>
      </c>
      <c r="I93" s="64">
        <v>2.56</v>
      </c>
      <c r="J93" s="64">
        <v>0.3</v>
      </c>
      <c r="K93" s="64">
        <v>132.62</v>
      </c>
      <c r="L93" s="64">
        <v>23.52</v>
      </c>
      <c r="M93" s="64">
        <v>98.22</v>
      </c>
      <c r="N93" s="64">
        <v>27.8</v>
      </c>
      <c r="O93" s="64">
        <v>0</v>
      </c>
      <c r="P93" s="64">
        <v>0.57999999999999996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4" t="s">
        <v>1673</v>
      </c>
      <c r="B94" s="64">
        <v>19.48</v>
      </c>
      <c r="C94" s="64">
        <v>7.06</v>
      </c>
      <c r="D94" s="64">
        <v>19.309999999999999</v>
      </c>
      <c r="E94" s="64">
        <v>4.5</v>
      </c>
      <c r="F94" s="64">
        <v>3.66</v>
      </c>
      <c r="G94" s="64">
        <v>35.76</v>
      </c>
      <c r="H94" s="64">
        <v>6.28</v>
      </c>
      <c r="I94" s="64">
        <v>2.52</v>
      </c>
      <c r="J94" s="64">
        <v>0.2</v>
      </c>
      <c r="K94" s="64">
        <v>156.94</v>
      </c>
      <c r="L94" s="64">
        <v>23.48</v>
      </c>
      <c r="M94" s="64">
        <v>98.23</v>
      </c>
      <c r="N94" s="64">
        <v>28</v>
      </c>
      <c r="O94" s="64">
        <v>0</v>
      </c>
      <c r="P94" s="64">
        <v>0.5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4" t="s">
        <v>1674</v>
      </c>
      <c r="B95" s="64">
        <v>17.21</v>
      </c>
      <c r="C95" s="64">
        <v>8.35</v>
      </c>
      <c r="D95" s="64">
        <v>18.16</v>
      </c>
      <c r="E95" s="64">
        <v>4.43</v>
      </c>
      <c r="F95" s="64">
        <v>3.47</v>
      </c>
      <c r="G95" s="64">
        <v>35.76</v>
      </c>
      <c r="H95" s="64">
        <v>6.28</v>
      </c>
      <c r="I95" s="64">
        <v>2.48</v>
      </c>
      <c r="J95" s="64">
        <v>7.0000000000000007E-2</v>
      </c>
      <c r="K95" s="64">
        <v>90.96</v>
      </c>
      <c r="L95" s="64">
        <v>23.47</v>
      </c>
      <c r="M95" s="64">
        <v>98.21</v>
      </c>
      <c r="N95" s="64">
        <v>28</v>
      </c>
      <c r="O95" s="64">
        <v>0</v>
      </c>
      <c r="P95" s="64">
        <v>0.55000000000000004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4" t="s">
        <v>1675</v>
      </c>
      <c r="B96" s="64">
        <v>32.83</v>
      </c>
      <c r="C96" s="64">
        <v>11.03</v>
      </c>
      <c r="D96" s="64">
        <v>32.090000000000003</v>
      </c>
      <c r="E96" s="64">
        <v>4.9000000000000004</v>
      </c>
      <c r="F96" s="64">
        <v>3.48</v>
      </c>
      <c r="G96" s="64">
        <v>33.07</v>
      </c>
      <c r="H96" s="64">
        <v>22.75</v>
      </c>
      <c r="I96" s="64">
        <v>2.44</v>
      </c>
      <c r="J96" s="64">
        <v>0.04</v>
      </c>
      <c r="K96" s="64">
        <v>333.69</v>
      </c>
      <c r="L96" s="64">
        <v>23.57</v>
      </c>
      <c r="M96" s="64">
        <v>98.22</v>
      </c>
      <c r="N96" s="64">
        <v>27.6</v>
      </c>
      <c r="O96" s="64">
        <v>0</v>
      </c>
      <c r="P96" s="64">
        <v>1.04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1676</v>
      </c>
      <c r="B97" s="64">
        <v>18.18</v>
      </c>
      <c r="C97" s="64">
        <v>12.97</v>
      </c>
      <c r="D97" s="64">
        <v>21.36</v>
      </c>
      <c r="E97" s="64">
        <v>4.72</v>
      </c>
      <c r="F97" s="64">
        <v>3.26</v>
      </c>
      <c r="G97" s="64">
        <v>30.92</v>
      </c>
      <c r="H97" s="64">
        <v>26.86</v>
      </c>
      <c r="I97" s="64">
        <v>2.39</v>
      </c>
      <c r="J97" s="64">
        <v>0.17</v>
      </c>
      <c r="K97" s="64">
        <v>175.75</v>
      </c>
      <c r="L97" s="64">
        <v>23.7</v>
      </c>
      <c r="M97" s="64">
        <v>98.22</v>
      </c>
      <c r="N97" s="64">
        <v>27.6</v>
      </c>
      <c r="O97" s="64">
        <v>0</v>
      </c>
      <c r="P97" s="64">
        <v>0.78</v>
      </c>
      <c r="Q97" s="64">
        <v>9.68</v>
      </c>
      <c r="R97" s="198"/>
      <c r="S97" s="198"/>
      <c r="T97" s="198"/>
      <c r="U97" s="198"/>
    </row>
    <row r="98" spans="1:33" s="12" customFormat="1" x14ac:dyDescent="0.25">
      <c r="A98" s="214" t="s">
        <v>1677</v>
      </c>
      <c r="B98" s="64">
        <v>24.87</v>
      </c>
      <c r="C98" s="64">
        <v>4.1100000000000003</v>
      </c>
      <c r="D98" s="64">
        <v>22.1</v>
      </c>
      <c r="E98" s="64">
        <v>4.66</v>
      </c>
      <c r="F98" s="64">
        <v>3.87</v>
      </c>
      <c r="G98" s="64">
        <v>30.92</v>
      </c>
      <c r="H98" s="64">
        <v>26.86</v>
      </c>
      <c r="I98" s="64">
        <v>2.39</v>
      </c>
      <c r="J98" s="64">
        <v>0.19</v>
      </c>
      <c r="K98" s="64">
        <v>167.37</v>
      </c>
      <c r="L98" s="64">
        <v>23.83</v>
      </c>
      <c r="M98" s="64">
        <v>98.02</v>
      </c>
      <c r="N98" s="64">
        <v>27.7</v>
      </c>
      <c r="O98" s="64">
        <v>0</v>
      </c>
      <c r="P98" s="64">
        <v>0.74</v>
      </c>
      <c r="Q98" s="64">
        <v>9.67</v>
      </c>
      <c r="R98" s="198"/>
      <c r="S98" s="198"/>
      <c r="T98" s="198"/>
      <c r="U98" s="198"/>
    </row>
    <row r="99" spans="1:33" s="12" customFormat="1" x14ac:dyDescent="0.25">
      <c r="A99" s="214" t="s">
        <v>1678</v>
      </c>
      <c r="B99" s="64">
        <v>19.47</v>
      </c>
      <c r="C99" s="64">
        <v>3.88</v>
      </c>
      <c r="D99" s="64">
        <v>17.64</v>
      </c>
      <c r="E99" s="64">
        <v>4.5599999999999996</v>
      </c>
      <c r="F99" s="64">
        <v>4.51</v>
      </c>
      <c r="G99" s="64">
        <v>30.92</v>
      </c>
      <c r="H99" s="64">
        <v>26.86</v>
      </c>
      <c r="I99" s="64">
        <v>2.38</v>
      </c>
      <c r="J99" s="64">
        <v>0.11</v>
      </c>
      <c r="K99" s="64">
        <v>188.88</v>
      </c>
      <c r="L99" s="64">
        <v>23.53</v>
      </c>
      <c r="M99" s="64">
        <v>97.88</v>
      </c>
      <c r="N99" s="64">
        <v>28.5</v>
      </c>
      <c r="O99" s="64">
        <v>0</v>
      </c>
      <c r="P99" s="64">
        <v>0.61</v>
      </c>
      <c r="Q99" s="64">
        <v>9.67</v>
      </c>
      <c r="R99" s="198"/>
      <c r="S99" s="198"/>
      <c r="T99" s="198"/>
      <c r="U99" s="198"/>
    </row>
    <row r="100" spans="1:33" s="12" customFormat="1" x14ac:dyDescent="0.25">
      <c r="A100" s="214" t="s">
        <v>1679</v>
      </c>
      <c r="B100" s="64">
        <v>14.16</v>
      </c>
      <c r="C100" s="64">
        <v>6.46</v>
      </c>
      <c r="D100" s="64">
        <v>14.73</v>
      </c>
      <c r="E100" s="64">
        <v>4.66</v>
      </c>
      <c r="F100" s="64">
        <v>4.54</v>
      </c>
      <c r="G100" s="64">
        <v>30.46</v>
      </c>
      <c r="H100" s="64">
        <v>15.5</v>
      </c>
      <c r="I100" s="64">
        <v>2.36</v>
      </c>
      <c r="J100" s="64">
        <v>0.34</v>
      </c>
      <c r="K100" s="64">
        <v>136.18</v>
      </c>
      <c r="L100" s="64">
        <v>23.43</v>
      </c>
      <c r="M100" s="64">
        <v>97.67</v>
      </c>
      <c r="N100" s="64">
        <v>28.2</v>
      </c>
      <c r="O100" s="64">
        <v>0</v>
      </c>
      <c r="P100" s="64">
        <v>0.42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1680</v>
      </c>
      <c r="B101" s="64">
        <v>11.65</v>
      </c>
      <c r="C101" s="64">
        <v>7.59</v>
      </c>
      <c r="D101" s="64">
        <v>13.31</v>
      </c>
      <c r="E101" s="64">
        <v>4.51</v>
      </c>
      <c r="F101" s="64">
        <v>7.31</v>
      </c>
      <c r="G101" s="64">
        <v>30.09</v>
      </c>
      <c r="H101" s="64">
        <v>11.23</v>
      </c>
      <c r="I101" s="64">
        <v>2.3199999999999998</v>
      </c>
      <c r="J101" s="64">
        <v>0.2</v>
      </c>
      <c r="K101" s="64">
        <v>144.16</v>
      </c>
      <c r="L101" s="64">
        <v>23.52</v>
      </c>
      <c r="M101" s="64">
        <v>97.66</v>
      </c>
      <c r="N101" s="64">
        <v>28.1</v>
      </c>
      <c r="O101" s="64">
        <v>0</v>
      </c>
      <c r="P101" s="64">
        <v>0.31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4" t="s">
        <v>1681</v>
      </c>
      <c r="B102" s="64">
        <v>12.52</v>
      </c>
      <c r="C102" s="64">
        <v>8.01</v>
      </c>
      <c r="D102" s="64">
        <v>14.22</v>
      </c>
      <c r="E102" s="64">
        <v>4.67</v>
      </c>
      <c r="F102" s="64">
        <v>6.22</v>
      </c>
      <c r="G102" s="64">
        <v>30.09</v>
      </c>
      <c r="H102" s="64">
        <v>11.23</v>
      </c>
      <c r="I102" s="64">
        <v>2.2799999999999998</v>
      </c>
      <c r="J102" s="64">
        <v>0.14000000000000001</v>
      </c>
      <c r="K102" s="64">
        <v>170.21</v>
      </c>
      <c r="L102" s="64">
        <v>23.39</v>
      </c>
      <c r="M102" s="64">
        <v>97.98</v>
      </c>
      <c r="N102" s="64">
        <v>28.2</v>
      </c>
      <c r="O102" s="64">
        <v>0</v>
      </c>
      <c r="P102" s="64">
        <v>0.37</v>
      </c>
      <c r="Q102" s="64">
        <v>9.67</v>
      </c>
      <c r="R102" s="198"/>
      <c r="S102" s="198"/>
      <c r="T102" s="198"/>
      <c r="U102" s="198"/>
    </row>
    <row r="103" spans="1:33" s="12" customFormat="1" x14ac:dyDescent="0.25">
      <c r="A103" s="214" t="s">
        <v>1682</v>
      </c>
      <c r="B103" s="64">
        <v>14.42</v>
      </c>
      <c r="C103" s="64">
        <v>7.96</v>
      </c>
      <c r="D103" s="64">
        <v>15.72</v>
      </c>
      <c r="E103" s="64">
        <v>4.5199999999999996</v>
      </c>
      <c r="F103" s="64">
        <v>7.4</v>
      </c>
      <c r="G103" s="64">
        <v>30.09</v>
      </c>
      <c r="H103" s="64">
        <v>11.23</v>
      </c>
      <c r="I103" s="64">
        <v>2.23</v>
      </c>
      <c r="J103" s="64">
        <v>0.45</v>
      </c>
      <c r="K103" s="64">
        <v>133.80000000000001</v>
      </c>
      <c r="L103" s="64">
        <v>23.43</v>
      </c>
      <c r="M103" s="64">
        <v>97.91</v>
      </c>
      <c r="N103" s="64">
        <v>28</v>
      </c>
      <c r="O103" s="64">
        <v>0</v>
      </c>
      <c r="P103" s="64">
        <v>0.36</v>
      </c>
      <c r="Q103" s="64">
        <v>9.67</v>
      </c>
      <c r="R103" s="198"/>
      <c r="S103" s="198"/>
      <c r="T103" s="198"/>
      <c r="U103" s="198"/>
    </row>
    <row r="104" spans="1:33" s="12" customFormat="1" x14ac:dyDescent="0.25">
      <c r="A104" s="214" t="s">
        <v>1683</v>
      </c>
      <c r="B104" s="64">
        <v>16.940000000000001</v>
      </c>
      <c r="C104" s="64">
        <v>5.23</v>
      </c>
      <c r="D104" s="64">
        <v>16.32</v>
      </c>
      <c r="E104" s="64">
        <v>4.5199999999999996</v>
      </c>
      <c r="F104" s="64">
        <v>6.28</v>
      </c>
      <c r="G104" s="64">
        <v>24.8</v>
      </c>
      <c r="H104" s="64">
        <v>8.26</v>
      </c>
      <c r="I104" s="64">
        <v>2.19</v>
      </c>
      <c r="J104" s="64">
        <v>0.84</v>
      </c>
      <c r="K104" s="64">
        <v>138.16999999999999</v>
      </c>
      <c r="L104" s="64">
        <v>23.39</v>
      </c>
      <c r="M104" s="64">
        <v>97.67</v>
      </c>
      <c r="N104" s="64">
        <v>28.7</v>
      </c>
      <c r="O104" s="64">
        <v>0</v>
      </c>
      <c r="P104" s="64">
        <v>0.46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3.95</v>
      </c>
      <c r="C106" s="67">
        <f>MIN(C9:C104)</f>
        <v>3.88</v>
      </c>
      <c r="D106" s="67">
        <f t="shared" ref="D106:Q106" si="0">MIN(D9:D104)</f>
        <v>6.19</v>
      </c>
      <c r="E106" s="67">
        <f t="shared" si="0"/>
        <v>3.63</v>
      </c>
      <c r="F106" s="67">
        <f t="shared" si="0"/>
        <v>2.58</v>
      </c>
      <c r="G106" s="67">
        <f t="shared" si="0"/>
        <v>8.3000000000000007</v>
      </c>
      <c r="H106" s="67">
        <f t="shared" si="0"/>
        <v>6.28</v>
      </c>
      <c r="I106" s="67">
        <f t="shared" si="0"/>
        <v>0.86</v>
      </c>
      <c r="J106" s="67">
        <f t="shared" si="0"/>
        <v>0.01</v>
      </c>
      <c r="K106" s="67">
        <f t="shared" si="0"/>
        <v>66.48</v>
      </c>
      <c r="L106" s="67">
        <f t="shared" si="0"/>
        <v>23.11</v>
      </c>
      <c r="M106" s="67">
        <f t="shared" si="0"/>
        <v>97.54</v>
      </c>
      <c r="N106" s="67">
        <f t="shared" si="0"/>
        <v>27.6</v>
      </c>
      <c r="O106" s="67">
        <f t="shared" si="0"/>
        <v>0</v>
      </c>
      <c r="P106" s="67">
        <f t="shared" si="0"/>
        <v>0.17</v>
      </c>
      <c r="Q106" s="67">
        <f t="shared" si="0"/>
        <v>9.19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44.78</v>
      </c>
      <c r="C107" s="66">
        <f t="shared" ref="C107:Q107" si="1">MAX(C9:C104)</f>
        <v>21.53</v>
      </c>
      <c r="D107" s="66">
        <f t="shared" si="1"/>
        <v>45.14</v>
      </c>
      <c r="E107" s="66">
        <f t="shared" si="1"/>
        <v>5.64</v>
      </c>
      <c r="F107" s="66">
        <f t="shared" si="1"/>
        <v>11.31</v>
      </c>
      <c r="G107" s="66">
        <f t="shared" si="1"/>
        <v>57.89</v>
      </c>
      <c r="H107" s="66">
        <f t="shared" si="1"/>
        <v>26.86</v>
      </c>
      <c r="I107" s="66">
        <f t="shared" si="1"/>
        <v>2.72</v>
      </c>
      <c r="J107" s="66">
        <f t="shared" si="1"/>
        <v>1.49</v>
      </c>
      <c r="K107" s="66">
        <f t="shared" si="1"/>
        <v>343.86</v>
      </c>
      <c r="L107" s="66">
        <f t="shared" si="1"/>
        <v>27.07</v>
      </c>
      <c r="M107" s="66">
        <f t="shared" si="1"/>
        <v>98.3</v>
      </c>
      <c r="N107" s="66">
        <f t="shared" si="1"/>
        <v>199.6</v>
      </c>
      <c r="O107" s="66">
        <f t="shared" si="1"/>
        <v>0</v>
      </c>
      <c r="P107" s="66">
        <f t="shared" si="1"/>
        <v>1.24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13.819479166666667</v>
      </c>
      <c r="C108" s="67">
        <f t="shared" ref="C108:Q108" si="2">AVERAGE(C9:C104)</f>
        <v>9.4884374999999981</v>
      </c>
      <c r="D108" s="67">
        <f t="shared" si="2"/>
        <v>16.029687499999998</v>
      </c>
      <c r="E108" s="67">
        <f t="shared" si="2"/>
        <v>4.3489583333333321</v>
      </c>
      <c r="F108" s="67">
        <f t="shared" si="2"/>
        <v>5.9252083333333312</v>
      </c>
      <c r="G108" s="67">
        <f t="shared" si="2"/>
        <v>28.059270833333354</v>
      </c>
      <c r="H108" s="67">
        <f t="shared" si="2"/>
        <v>8.5669791666666626</v>
      </c>
      <c r="I108" s="67">
        <f t="shared" si="2"/>
        <v>1.5843749999999996</v>
      </c>
      <c r="J108" s="67">
        <f t="shared" si="2"/>
        <v>0.26281249999999995</v>
      </c>
      <c r="K108" s="67">
        <f t="shared" si="2"/>
        <v>233.11927083333327</v>
      </c>
      <c r="L108" s="67">
        <f t="shared" si="2"/>
        <v>24.839895833333326</v>
      </c>
      <c r="M108" s="67">
        <f t="shared" si="2"/>
        <v>98.009687499999941</v>
      </c>
      <c r="N108" s="67">
        <f t="shared" si="2"/>
        <v>63.151041666666664</v>
      </c>
      <c r="O108" s="67">
        <f t="shared" si="2"/>
        <v>0</v>
      </c>
      <c r="P108" s="67">
        <f t="shared" si="2"/>
        <v>0.50854166666666656</v>
      </c>
      <c r="Q108" s="67">
        <f t="shared" si="2"/>
        <v>9.4237499999999876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10.109483028043433</v>
      </c>
      <c r="C109" s="67">
        <f t="shared" ref="C109:Q109" si="3">STDEV(C9:C104)</f>
        <v>4.1911245389890057</v>
      </c>
      <c r="D109" s="67">
        <f t="shared" si="3"/>
        <v>9.6159166794188895</v>
      </c>
      <c r="E109" s="67">
        <f t="shared" si="3"/>
        <v>0.36788293094025587</v>
      </c>
      <c r="F109" s="67">
        <f t="shared" si="3"/>
        <v>1.8664500383385714</v>
      </c>
      <c r="G109" s="67">
        <f t="shared" si="3"/>
        <v>13.374569840188748</v>
      </c>
      <c r="H109" s="67">
        <f t="shared" si="3"/>
        <v>4.0835371972919212</v>
      </c>
      <c r="I109" s="67">
        <f t="shared" si="3"/>
        <v>0.71421920930997762</v>
      </c>
      <c r="J109" s="67">
        <f t="shared" si="3"/>
        <v>0.305271934424651</v>
      </c>
      <c r="K109" s="67">
        <f t="shared" si="3"/>
        <v>82.361936293345181</v>
      </c>
      <c r="L109" s="67">
        <f t="shared" si="3"/>
        <v>1.0967986859292551</v>
      </c>
      <c r="M109" s="67">
        <f t="shared" si="3"/>
        <v>0.19068548436461577</v>
      </c>
      <c r="N109" s="67">
        <f t="shared" si="3"/>
        <v>47.416157572113612</v>
      </c>
      <c r="O109" s="67">
        <f t="shared" si="3"/>
        <v>0</v>
      </c>
      <c r="P109" s="67">
        <f t="shared" si="3"/>
        <v>0.29995080005917713</v>
      </c>
      <c r="Q109" s="67">
        <f t="shared" si="3"/>
        <v>0.18667308886195444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7" sqref="H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1686</v>
      </c>
      <c r="B9" s="64">
        <v>14.72</v>
      </c>
      <c r="C9" s="64">
        <v>4.3899999999999997</v>
      </c>
      <c r="D9" s="64">
        <v>14.1</v>
      </c>
      <c r="E9" s="64">
        <v>4.74</v>
      </c>
      <c r="F9" s="64">
        <v>8.49</v>
      </c>
      <c r="G9" s="64">
        <v>20.57</v>
      </c>
      <c r="H9" s="64">
        <v>6.77</v>
      </c>
      <c r="I9" s="64">
        <v>2.14</v>
      </c>
      <c r="J9" s="64">
        <v>0.75</v>
      </c>
      <c r="K9" s="64">
        <v>132.49</v>
      </c>
      <c r="L9" s="64">
        <v>23.33</v>
      </c>
      <c r="M9" s="64">
        <v>97.67</v>
      </c>
      <c r="N9" s="64">
        <v>28.4</v>
      </c>
      <c r="O9" s="64">
        <v>0</v>
      </c>
      <c r="P9" s="64">
        <v>0.41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4" t="s">
        <v>1687</v>
      </c>
      <c r="B10" s="64">
        <v>14.8</v>
      </c>
      <c r="C10" s="64">
        <v>4.26</v>
      </c>
      <c r="D10" s="64">
        <v>14.09</v>
      </c>
      <c r="E10" s="64">
        <v>5.18</v>
      </c>
      <c r="F10" s="64">
        <v>7.3</v>
      </c>
      <c r="G10" s="64">
        <v>20.57</v>
      </c>
      <c r="H10" s="64">
        <v>6.77</v>
      </c>
      <c r="I10" s="64">
        <v>2.1</v>
      </c>
      <c r="J10" s="64">
        <v>0.7</v>
      </c>
      <c r="K10" s="64">
        <v>141.62</v>
      </c>
      <c r="L10" s="64">
        <v>23.13</v>
      </c>
      <c r="M10" s="64">
        <v>97.94</v>
      </c>
      <c r="N10" s="64">
        <v>28.3</v>
      </c>
      <c r="O10" s="64">
        <v>0</v>
      </c>
      <c r="P10" s="64">
        <v>0.39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14" t="s">
        <v>1688</v>
      </c>
      <c r="B11" s="64">
        <v>14.8</v>
      </c>
      <c r="C11" s="64">
        <v>3.53</v>
      </c>
      <c r="D11" s="64">
        <v>13.71</v>
      </c>
      <c r="E11" s="64">
        <v>4.8899999999999997</v>
      </c>
      <c r="F11" s="64">
        <v>8.01</v>
      </c>
      <c r="G11" s="64">
        <v>20.57</v>
      </c>
      <c r="H11" s="64">
        <v>6.77</v>
      </c>
      <c r="I11" s="64">
        <v>2.06</v>
      </c>
      <c r="J11" s="64">
        <v>0.2</v>
      </c>
      <c r="K11" s="64">
        <v>161.32</v>
      </c>
      <c r="L11" s="64">
        <v>23.06</v>
      </c>
      <c r="M11" s="64">
        <v>97.96</v>
      </c>
      <c r="N11" s="64">
        <v>28</v>
      </c>
      <c r="O11" s="64">
        <v>0</v>
      </c>
      <c r="P11" s="64">
        <v>0.37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1689</v>
      </c>
      <c r="B12" s="64">
        <v>13.76</v>
      </c>
      <c r="C12" s="64">
        <v>4.1900000000000004</v>
      </c>
      <c r="D12" s="64">
        <v>13.22</v>
      </c>
      <c r="E12" s="64">
        <v>4.8600000000000003</v>
      </c>
      <c r="F12" s="64">
        <v>4.08</v>
      </c>
      <c r="G12" s="64">
        <v>19.489999999999998</v>
      </c>
      <c r="H12" s="64">
        <v>6.41</v>
      </c>
      <c r="I12" s="64">
        <v>2.0099999999999998</v>
      </c>
      <c r="J12" s="64">
        <v>0.03</v>
      </c>
      <c r="K12" s="64">
        <v>243.78</v>
      </c>
      <c r="L12" s="64">
        <v>23.06</v>
      </c>
      <c r="M12" s="64">
        <v>97.67</v>
      </c>
      <c r="N12" s="64">
        <v>28</v>
      </c>
      <c r="O12" s="64">
        <v>0</v>
      </c>
      <c r="P12" s="64">
        <v>0.35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4" t="s">
        <v>1690</v>
      </c>
      <c r="B13" s="64">
        <v>13.82</v>
      </c>
      <c r="C13" s="64">
        <v>3.88</v>
      </c>
      <c r="D13" s="64">
        <v>13.11</v>
      </c>
      <c r="E13" s="64">
        <v>5.05</v>
      </c>
      <c r="F13" s="64">
        <v>3.37</v>
      </c>
      <c r="G13" s="64">
        <v>18.62</v>
      </c>
      <c r="H13" s="64">
        <v>6.34</v>
      </c>
      <c r="I13" s="64">
        <v>1.97</v>
      </c>
      <c r="J13" s="64">
        <v>7.0000000000000007E-2</v>
      </c>
      <c r="K13" s="64">
        <v>132.65</v>
      </c>
      <c r="L13" s="64">
        <v>23.08</v>
      </c>
      <c r="M13" s="64">
        <v>97.67</v>
      </c>
      <c r="N13" s="64">
        <v>27.9</v>
      </c>
      <c r="O13" s="64">
        <v>0</v>
      </c>
      <c r="P13" s="64">
        <v>0.43</v>
      </c>
      <c r="Q13" s="64">
        <v>9.65</v>
      </c>
      <c r="R13" s="198"/>
      <c r="S13" s="198"/>
      <c r="T13" s="198"/>
      <c r="U13" s="198"/>
    </row>
    <row r="14" spans="1:21" s="12" customFormat="1" x14ac:dyDescent="0.25">
      <c r="A14" s="214" t="s">
        <v>1691</v>
      </c>
      <c r="B14" s="64">
        <v>15.23</v>
      </c>
      <c r="C14" s="64">
        <v>3.57</v>
      </c>
      <c r="D14" s="64">
        <v>14.08</v>
      </c>
      <c r="E14" s="64">
        <v>4.83</v>
      </c>
      <c r="F14" s="64">
        <v>4.5</v>
      </c>
      <c r="G14" s="64">
        <v>18.62</v>
      </c>
      <c r="H14" s="64">
        <v>6.34</v>
      </c>
      <c r="I14" s="64">
        <v>1.91</v>
      </c>
      <c r="J14" s="64">
        <v>0.05</v>
      </c>
      <c r="K14" s="64">
        <v>48</v>
      </c>
      <c r="L14" s="64">
        <v>22.96</v>
      </c>
      <c r="M14" s="64">
        <v>97.9</v>
      </c>
      <c r="N14" s="64">
        <v>28</v>
      </c>
      <c r="O14" s="64">
        <v>0</v>
      </c>
      <c r="P14" s="64">
        <v>0.49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4" t="s">
        <v>1692</v>
      </c>
      <c r="B15" s="64">
        <v>12.9</v>
      </c>
      <c r="C15" s="64">
        <v>3.4</v>
      </c>
      <c r="D15" s="64">
        <v>12.12</v>
      </c>
      <c r="E15" s="64">
        <v>4.9400000000000004</v>
      </c>
      <c r="F15" s="64">
        <v>4.03</v>
      </c>
      <c r="G15" s="64">
        <v>18.62</v>
      </c>
      <c r="H15" s="64">
        <v>6.34</v>
      </c>
      <c r="I15" s="64">
        <v>1.87</v>
      </c>
      <c r="J15" s="64">
        <v>7.0000000000000007E-2</v>
      </c>
      <c r="K15" s="64">
        <v>198.86</v>
      </c>
      <c r="L15" s="64">
        <v>22.9</v>
      </c>
      <c r="M15" s="64">
        <v>98.02</v>
      </c>
      <c r="N15" s="64">
        <v>28</v>
      </c>
      <c r="O15" s="64">
        <v>0</v>
      </c>
      <c r="P15" s="64">
        <v>0.4</v>
      </c>
      <c r="Q15" s="64">
        <v>9.66</v>
      </c>
      <c r="R15" s="198"/>
      <c r="S15" s="198"/>
      <c r="T15" s="198"/>
      <c r="U15" s="198"/>
    </row>
    <row r="16" spans="1:21" s="12" customFormat="1" x14ac:dyDescent="0.25">
      <c r="A16" s="214" t="s">
        <v>1693</v>
      </c>
      <c r="B16" s="64">
        <v>17.149999999999999</v>
      </c>
      <c r="C16" s="64">
        <v>3.09</v>
      </c>
      <c r="D16" s="64">
        <v>15.37</v>
      </c>
      <c r="E16" s="64">
        <v>4.8600000000000003</v>
      </c>
      <c r="F16" s="64">
        <v>3.33</v>
      </c>
      <c r="G16" s="64">
        <v>15.83</v>
      </c>
      <c r="H16" s="64">
        <v>29.78</v>
      </c>
      <c r="I16" s="64">
        <v>1.83</v>
      </c>
      <c r="J16" s="64">
        <v>0.08</v>
      </c>
      <c r="K16" s="64">
        <v>152.9</v>
      </c>
      <c r="L16" s="64">
        <v>22.88</v>
      </c>
      <c r="M16" s="64">
        <v>97.69</v>
      </c>
      <c r="N16" s="64">
        <v>28</v>
      </c>
      <c r="O16" s="64">
        <v>0</v>
      </c>
      <c r="P16" s="64">
        <v>0.55000000000000004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4" t="s">
        <v>1694</v>
      </c>
      <c r="B17" s="64">
        <v>12.31</v>
      </c>
      <c r="C17" s="64">
        <v>4.42</v>
      </c>
      <c r="D17" s="64">
        <v>12.18</v>
      </c>
      <c r="E17" s="64">
        <v>4.96</v>
      </c>
      <c r="F17" s="64">
        <v>4.29</v>
      </c>
      <c r="G17" s="64">
        <v>13.6</v>
      </c>
      <c r="H17" s="64">
        <v>39.15</v>
      </c>
      <c r="I17" s="64">
        <v>1.79</v>
      </c>
      <c r="J17" s="64">
        <v>0.16</v>
      </c>
      <c r="K17" s="64">
        <v>140.82</v>
      </c>
      <c r="L17" s="64">
        <v>22.91</v>
      </c>
      <c r="M17" s="64">
        <v>97.7</v>
      </c>
      <c r="N17" s="64">
        <v>28</v>
      </c>
      <c r="O17" s="64">
        <v>0</v>
      </c>
      <c r="P17" s="64">
        <v>0.35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4" t="s">
        <v>1695</v>
      </c>
      <c r="B18" s="64">
        <v>15.76</v>
      </c>
      <c r="C18" s="64">
        <v>3.31</v>
      </c>
      <c r="D18" s="64">
        <v>14.37</v>
      </c>
      <c r="E18" s="64">
        <v>4.88</v>
      </c>
      <c r="F18" s="64">
        <v>3.24</v>
      </c>
      <c r="G18" s="64">
        <v>13.6</v>
      </c>
      <c r="H18" s="64">
        <v>39.15</v>
      </c>
      <c r="I18" s="64">
        <v>1.76</v>
      </c>
      <c r="J18" s="64">
        <v>7.0000000000000007E-2</v>
      </c>
      <c r="K18" s="64">
        <v>141.33000000000001</v>
      </c>
      <c r="L18" s="64">
        <v>22.77</v>
      </c>
      <c r="M18" s="64">
        <v>97.9</v>
      </c>
      <c r="N18" s="64">
        <v>28</v>
      </c>
      <c r="O18" s="64">
        <v>0</v>
      </c>
      <c r="P18" s="64">
        <v>0.51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4" t="s">
        <v>1696</v>
      </c>
      <c r="B19" s="64">
        <v>11.77</v>
      </c>
      <c r="C19" s="64">
        <v>4.12</v>
      </c>
      <c r="D19" s="64">
        <v>11.59</v>
      </c>
      <c r="E19" s="64">
        <v>4.7699999999999996</v>
      </c>
      <c r="F19" s="64">
        <v>3.71</v>
      </c>
      <c r="G19" s="64">
        <v>13.6</v>
      </c>
      <c r="H19" s="64">
        <v>39.15</v>
      </c>
      <c r="I19" s="64">
        <v>1.72</v>
      </c>
      <c r="J19" s="64">
        <v>0.05</v>
      </c>
      <c r="K19" s="64">
        <v>190</v>
      </c>
      <c r="L19" s="64">
        <v>22.79</v>
      </c>
      <c r="M19" s="64">
        <v>98.04</v>
      </c>
      <c r="N19" s="64">
        <v>27.9</v>
      </c>
      <c r="O19" s="64">
        <v>0</v>
      </c>
      <c r="P19" s="64">
        <v>0.33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4" t="s">
        <v>1697</v>
      </c>
      <c r="B20" s="64">
        <v>13.99</v>
      </c>
      <c r="C20" s="64">
        <v>3.46</v>
      </c>
      <c r="D20" s="64">
        <v>13.03</v>
      </c>
      <c r="E20" s="64">
        <v>4.99</v>
      </c>
      <c r="F20" s="64">
        <v>3.61</v>
      </c>
      <c r="G20" s="64">
        <v>14.71</v>
      </c>
      <c r="H20" s="64">
        <v>16.5</v>
      </c>
      <c r="I20" s="64">
        <v>1.68</v>
      </c>
      <c r="J20" s="64">
        <v>0.2</v>
      </c>
      <c r="K20" s="64">
        <v>143.28</v>
      </c>
      <c r="L20" s="64">
        <v>22.85</v>
      </c>
      <c r="M20" s="64">
        <v>98.25</v>
      </c>
      <c r="N20" s="64">
        <v>28.1</v>
      </c>
      <c r="O20" s="64">
        <v>0</v>
      </c>
      <c r="P20" s="64">
        <v>0.41</v>
      </c>
      <c r="Q20" s="64">
        <v>9.6</v>
      </c>
      <c r="R20" s="198"/>
      <c r="S20" s="198"/>
      <c r="T20" s="198"/>
      <c r="U20" s="198"/>
    </row>
    <row r="21" spans="1:21" s="12" customFormat="1" x14ac:dyDescent="0.25">
      <c r="A21" s="214" t="s">
        <v>1698</v>
      </c>
      <c r="B21" s="64">
        <v>9.9499999999999993</v>
      </c>
      <c r="C21" s="64">
        <v>4.43</v>
      </c>
      <c r="D21" s="64">
        <v>10.3</v>
      </c>
      <c r="E21" s="64">
        <v>4.97</v>
      </c>
      <c r="F21" s="64">
        <v>5</v>
      </c>
      <c r="G21" s="64">
        <v>15.6</v>
      </c>
      <c r="H21" s="64">
        <v>13.27</v>
      </c>
      <c r="I21" s="64">
        <v>1.64</v>
      </c>
      <c r="J21" s="64">
        <v>0.25</v>
      </c>
      <c r="K21" s="64">
        <v>127.86</v>
      </c>
      <c r="L21" s="64">
        <v>22.81</v>
      </c>
      <c r="M21" s="64">
        <v>98.25</v>
      </c>
      <c r="N21" s="64">
        <v>28</v>
      </c>
      <c r="O21" s="64">
        <v>0</v>
      </c>
      <c r="P21" s="64">
        <v>0.28000000000000003</v>
      </c>
      <c r="Q21" s="64">
        <v>9.59</v>
      </c>
      <c r="R21" s="198"/>
      <c r="S21" s="198"/>
      <c r="T21" s="198"/>
      <c r="U21" s="198"/>
    </row>
    <row r="22" spans="1:21" s="12" customFormat="1" x14ac:dyDescent="0.25">
      <c r="A22" s="214" t="s">
        <v>1699</v>
      </c>
      <c r="B22" s="64">
        <v>11.41</v>
      </c>
      <c r="C22" s="64">
        <v>4.3600000000000003</v>
      </c>
      <c r="D22" s="64">
        <v>11.43</v>
      </c>
      <c r="E22" s="64">
        <v>4.91</v>
      </c>
      <c r="F22" s="64">
        <v>5.44</v>
      </c>
      <c r="G22" s="64">
        <v>15.6</v>
      </c>
      <c r="H22" s="64">
        <v>13.27</v>
      </c>
      <c r="I22" s="64">
        <v>1.61</v>
      </c>
      <c r="J22" s="64">
        <v>0.04</v>
      </c>
      <c r="K22" s="64">
        <v>9.4499999999999993</v>
      </c>
      <c r="L22" s="64">
        <v>22.85</v>
      </c>
      <c r="M22" s="64">
        <v>98.25</v>
      </c>
      <c r="N22" s="64">
        <v>27.9</v>
      </c>
      <c r="O22" s="64">
        <v>0</v>
      </c>
      <c r="P22" s="64">
        <v>0.3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4" t="s">
        <v>1700</v>
      </c>
      <c r="B23" s="64">
        <v>11.45</v>
      </c>
      <c r="C23" s="64">
        <v>4.96</v>
      </c>
      <c r="D23" s="64">
        <v>11.77</v>
      </c>
      <c r="E23" s="64">
        <v>4.58</v>
      </c>
      <c r="F23" s="64">
        <v>6.05</v>
      </c>
      <c r="G23" s="64">
        <v>15.6</v>
      </c>
      <c r="H23" s="64">
        <v>13.27</v>
      </c>
      <c r="I23" s="64">
        <v>1.66</v>
      </c>
      <c r="J23" s="64">
        <v>0.04</v>
      </c>
      <c r="K23" s="64">
        <v>121.27</v>
      </c>
      <c r="L23" s="64">
        <v>22.91</v>
      </c>
      <c r="M23" s="64">
        <v>98.26</v>
      </c>
      <c r="N23" s="64">
        <v>27.9</v>
      </c>
      <c r="O23" s="64">
        <v>0</v>
      </c>
      <c r="P23" s="64">
        <v>0.28999999999999998</v>
      </c>
      <c r="Q23" s="64">
        <v>9.59</v>
      </c>
      <c r="R23" s="198"/>
      <c r="S23" s="198"/>
      <c r="T23" s="198"/>
      <c r="U23" s="198"/>
    </row>
    <row r="24" spans="1:21" s="12" customFormat="1" x14ac:dyDescent="0.25">
      <c r="A24" s="214" t="s">
        <v>1701</v>
      </c>
      <c r="B24" s="64">
        <v>10.71</v>
      </c>
      <c r="C24" s="64">
        <v>6.06</v>
      </c>
      <c r="D24" s="64">
        <v>11.75</v>
      </c>
      <c r="E24" s="64">
        <v>4.67</v>
      </c>
      <c r="F24" s="64">
        <v>7</v>
      </c>
      <c r="G24" s="64">
        <v>14.19</v>
      </c>
      <c r="H24" s="64">
        <v>10.91</v>
      </c>
      <c r="I24" s="64">
        <v>1.59</v>
      </c>
      <c r="J24" s="64">
        <v>0.06</v>
      </c>
      <c r="K24" s="64">
        <v>167.14</v>
      </c>
      <c r="L24" s="64">
        <v>22.88</v>
      </c>
      <c r="M24" s="64">
        <v>98.26</v>
      </c>
      <c r="N24" s="64">
        <v>28</v>
      </c>
      <c r="O24" s="64">
        <v>0</v>
      </c>
      <c r="P24" s="64">
        <v>0.25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14" t="s">
        <v>1702</v>
      </c>
      <c r="B25" s="64">
        <v>10.53</v>
      </c>
      <c r="C25" s="64">
        <v>5.3</v>
      </c>
      <c r="D25" s="64">
        <v>11.22</v>
      </c>
      <c r="E25" s="64">
        <v>4.5199999999999996</v>
      </c>
      <c r="F25" s="64">
        <v>7.2</v>
      </c>
      <c r="G25" s="64">
        <v>13.06</v>
      </c>
      <c r="H25" s="64">
        <v>7.53</v>
      </c>
      <c r="I25" s="64">
        <v>1.5</v>
      </c>
      <c r="J25" s="64">
        <v>0.06</v>
      </c>
      <c r="K25" s="64">
        <v>98.81</v>
      </c>
      <c r="L25" s="64">
        <v>22.87</v>
      </c>
      <c r="M25" s="64">
        <v>98.27</v>
      </c>
      <c r="N25" s="64">
        <v>27.9</v>
      </c>
      <c r="O25" s="64">
        <v>0</v>
      </c>
      <c r="P25" s="64">
        <v>0.26</v>
      </c>
      <c r="Q25" s="64">
        <v>9.59</v>
      </c>
      <c r="R25" s="198"/>
      <c r="S25" s="198"/>
      <c r="T25" s="198"/>
      <c r="U25" s="198"/>
    </row>
    <row r="26" spans="1:21" s="12" customFormat="1" x14ac:dyDescent="0.25">
      <c r="A26" s="214" t="s">
        <v>1703</v>
      </c>
      <c r="B26" s="64">
        <v>10.47</v>
      </c>
      <c r="C26" s="64">
        <v>5.82</v>
      </c>
      <c r="D26" s="64">
        <v>11.44</v>
      </c>
      <c r="E26" s="64">
        <v>4.9800000000000004</v>
      </c>
      <c r="F26" s="64">
        <v>5.4</v>
      </c>
      <c r="G26" s="64">
        <v>13.06</v>
      </c>
      <c r="H26" s="64">
        <v>7.53</v>
      </c>
      <c r="I26" s="64">
        <v>1.47</v>
      </c>
      <c r="J26" s="64">
        <v>0.18</v>
      </c>
      <c r="K26" s="64">
        <v>120.15</v>
      </c>
      <c r="L26" s="64">
        <v>22.89</v>
      </c>
      <c r="M26" s="64">
        <v>98.28</v>
      </c>
      <c r="N26" s="64">
        <v>28</v>
      </c>
      <c r="O26" s="64">
        <v>0</v>
      </c>
      <c r="P26" s="64">
        <v>0.24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14" t="s">
        <v>1704</v>
      </c>
      <c r="B27" s="64">
        <v>10.74</v>
      </c>
      <c r="C27" s="64">
        <v>5.52</v>
      </c>
      <c r="D27" s="64">
        <v>11.49</v>
      </c>
      <c r="E27" s="64">
        <v>4.3499999999999996</v>
      </c>
      <c r="F27" s="64">
        <v>5.03</v>
      </c>
      <c r="G27" s="64">
        <v>13.06</v>
      </c>
      <c r="H27" s="64">
        <v>7.53</v>
      </c>
      <c r="I27" s="64">
        <v>1.44</v>
      </c>
      <c r="J27" s="64">
        <v>0.23</v>
      </c>
      <c r="K27" s="64">
        <v>144.47999999999999</v>
      </c>
      <c r="L27" s="64">
        <v>22.87</v>
      </c>
      <c r="M27" s="64">
        <v>98.27</v>
      </c>
      <c r="N27" s="64">
        <v>28</v>
      </c>
      <c r="O27" s="64">
        <v>0</v>
      </c>
      <c r="P27" s="64">
        <v>0.26</v>
      </c>
      <c r="Q27" s="64">
        <v>9.57</v>
      </c>
      <c r="R27" s="198"/>
      <c r="S27" s="198"/>
      <c r="T27" s="198"/>
      <c r="U27" s="198"/>
    </row>
    <row r="28" spans="1:21" s="12" customFormat="1" x14ac:dyDescent="0.25">
      <c r="A28" s="214" t="s">
        <v>1705</v>
      </c>
      <c r="B28" s="64">
        <v>13.47</v>
      </c>
      <c r="C28" s="64">
        <v>9.49</v>
      </c>
      <c r="D28" s="64">
        <v>15.76</v>
      </c>
      <c r="E28" s="64">
        <v>4.8099999999999996</v>
      </c>
      <c r="F28" s="64">
        <v>3.57</v>
      </c>
      <c r="G28" s="64">
        <v>11.01</v>
      </c>
      <c r="H28" s="64">
        <v>6.7</v>
      </c>
      <c r="I28" s="64">
        <v>1.42</v>
      </c>
      <c r="J28" s="64">
        <v>0.04</v>
      </c>
      <c r="K28" s="64">
        <v>71.83</v>
      </c>
      <c r="L28" s="64">
        <v>22.91</v>
      </c>
      <c r="M28" s="64">
        <v>98.26</v>
      </c>
      <c r="N28" s="64">
        <v>28</v>
      </c>
      <c r="O28" s="64">
        <v>0</v>
      </c>
      <c r="P28" s="64">
        <v>0.28999999999999998</v>
      </c>
      <c r="Q28" s="64">
        <v>9.57</v>
      </c>
      <c r="R28" s="198"/>
      <c r="S28" s="198"/>
      <c r="T28" s="198"/>
      <c r="U28" s="198"/>
    </row>
    <row r="29" spans="1:21" s="12" customFormat="1" x14ac:dyDescent="0.25">
      <c r="A29" s="214" t="s">
        <v>1706</v>
      </c>
      <c r="B29" s="64">
        <v>10.99</v>
      </c>
      <c r="C29" s="64">
        <v>7.04</v>
      </c>
      <c r="D29" s="64">
        <v>12.49</v>
      </c>
      <c r="E29" s="64">
        <v>4.93</v>
      </c>
      <c r="F29" s="64">
        <v>4.9000000000000004</v>
      </c>
      <c r="G29" s="64">
        <v>9.3800000000000008</v>
      </c>
      <c r="H29" s="64">
        <v>6.53</v>
      </c>
      <c r="I29" s="64">
        <v>1.4</v>
      </c>
      <c r="J29" s="64">
        <v>0.16</v>
      </c>
      <c r="K29" s="64">
        <v>144.6</v>
      </c>
      <c r="L29" s="64">
        <v>22.95</v>
      </c>
      <c r="M29" s="64">
        <v>98.27</v>
      </c>
      <c r="N29" s="64">
        <v>28</v>
      </c>
      <c r="O29" s="64">
        <v>0</v>
      </c>
      <c r="P29" s="64">
        <v>0.27</v>
      </c>
      <c r="Q29" s="64">
        <v>9.56</v>
      </c>
      <c r="R29" s="198"/>
      <c r="S29" s="198"/>
      <c r="T29" s="198"/>
      <c r="U29" s="198"/>
    </row>
    <row r="30" spans="1:21" s="12" customFormat="1" x14ac:dyDescent="0.25">
      <c r="A30" s="214" t="s">
        <v>1707</v>
      </c>
      <c r="B30" s="64">
        <v>13.04</v>
      </c>
      <c r="C30" s="64">
        <v>5.42</v>
      </c>
      <c r="D30" s="64">
        <v>13.29</v>
      </c>
      <c r="E30" s="64">
        <v>4.88</v>
      </c>
      <c r="F30" s="64">
        <v>3.71</v>
      </c>
      <c r="G30" s="64">
        <v>9.3800000000000008</v>
      </c>
      <c r="H30" s="64">
        <v>6.53</v>
      </c>
      <c r="I30" s="64">
        <v>1.38</v>
      </c>
      <c r="J30" s="64">
        <v>0.03</v>
      </c>
      <c r="K30" s="64">
        <v>223.01</v>
      </c>
      <c r="L30" s="64">
        <v>22.97</v>
      </c>
      <c r="M30" s="64">
        <v>98.32</v>
      </c>
      <c r="N30" s="64">
        <v>28</v>
      </c>
      <c r="O30" s="64">
        <v>0</v>
      </c>
      <c r="P30" s="64">
        <v>0.34</v>
      </c>
      <c r="Q30" s="64">
        <v>9.5399999999999991</v>
      </c>
      <c r="R30" s="198"/>
      <c r="S30" s="198"/>
      <c r="T30" s="198"/>
      <c r="U30" s="198"/>
    </row>
    <row r="31" spans="1:21" s="12" customFormat="1" x14ac:dyDescent="0.25">
      <c r="A31" s="214" t="s">
        <v>1708</v>
      </c>
      <c r="B31" s="64">
        <v>11.07</v>
      </c>
      <c r="C31" s="64">
        <v>7.71</v>
      </c>
      <c r="D31" s="64">
        <v>12.91</v>
      </c>
      <c r="E31" s="64">
        <v>4.5999999999999996</v>
      </c>
      <c r="F31" s="64">
        <v>4.03</v>
      </c>
      <c r="G31" s="64">
        <v>9.3800000000000008</v>
      </c>
      <c r="H31" s="64">
        <v>6.53</v>
      </c>
      <c r="I31" s="64">
        <v>1.36</v>
      </c>
      <c r="J31" s="64">
        <v>0.26</v>
      </c>
      <c r="K31" s="64">
        <v>136.27000000000001</v>
      </c>
      <c r="L31" s="64">
        <v>22.95</v>
      </c>
      <c r="M31" s="64">
        <v>98.35</v>
      </c>
      <c r="N31" s="64">
        <v>28.8</v>
      </c>
      <c r="O31" s="64">
        <v>0</v>
      </c>
      <c r="P31" s="64">
        <v>0.25</v>
      </c>
      <c r="Q31" s="64">
        <v>9.5299999999999994</v>
      </c>
      <c r="R31" s="198"/>
      <c r="S31" s="198"/>
      <c r="T31" s="198"/>
      <c r="U31" s="198"/>
    </row>
    <row r="32" spans="1:21" s="12" customFormat="1" x14ac:dyDescent="0.25">
      <c r="A32" s="214" t="s">
        <v>1709</v>
      </c>
      <c r="B32" s="64">
        <v>21.78</v>
      </c>
      <c r="C32" s="64">
        <v>6.97</v>
      </c>
      <c r="D32" s="64">
        <v>21.11</v>
      </c>
      <c r="E32" s="64">
        <v>4.66</v>
      </c>
      <c r="F32" s="64">
        <v>2.78</v>
      </c>
      <c r="G32" s="64">
        <v>14.14</v>
      </c>
      <c r="H32" s="64">
        <v>20.97</v>
      </c>
      <c r="I32" s="64">
        <v>1.33</v>
      </c>
      <c r="J32" s="64">
        <v>0.03</v>
      </c>
      <c r="K32" s="64">
        <v>29.68</v>
      </c>
      <c r="L32" s="64">
        <v>23.03</v>
      </c>
      <c r="M32" s="64">
        <v>98.35</v>
      </c>
      <c r="N32" s="64">
        <v>32.5</v>
      </c>
      <c r="O32" s="64">
        <v>0</v>
      </c>
      <c r="P32" s="64">
        <v>0.38</v>
      </c>
      <c r="Q32" s="64">
        <v>9.51</v>
      </c>
      <c r="R32" s="198"/>
      <c r="S32" s="198"/>
      <c r="T32" s="198"/>
      <c r="U32" s="198"/>
    </row>
    <row r="33" spans="1:21" s="12" customFormat="1" x14ac:dyDescent="0.25">
      <c r="A33" s="214" t="s">
        <v>1710</v>
      </c>
      <c r="B33" s="64">
        <v>12.19</v>
      </c>
      <c r="C33" s="64">
        <v>7.74</v>
      </c>
      <c r="D33" s="64">
        <v>13.82</v>
      </c>
      <c r="E33" s="64">
        <v>4.71</v>
      </c>
      <c r="F33" s="64">
        <v>3.34</v>
      </c>
      <c r="G33" s="64">
        <v>17.95</v>
      </c>
      <c r="H33" s="64">
        <v>24.58</v>
      </c>
      <c r="I33" s="64">
        <v>1.3</v>
      </c>
      <c r="J33" s="64">
        <v>0.02</v>
      </c>
      <c r="K33" s="64">
        <v>214.02</v>
      </c>
      <c r="L33" s="64">
        <v>23.13</v>
      </c>
      <c r="M33" s="64">
        <v>98.42</v>
      </c>
      <c r="N33" s="64">
        <v>39.299999999999997</v>
      </c>
      <c r="O33" s="64">
        <v>0</v>
      </c>
      <c r="P33" s="64">
        <v>0.31</v>
      </c>
      <c r="Q33" s="64">
        <v>9.52</v>
      </c>
      <c r="R33" s="198"/>
      <c r="S33" s="198"/>
      <c r="T33" s="198"/>
      <c r="U33" s="198"/>
    </row>
    <row r="34" spans="1:21" s="12" customFormat="1" x14ac:dyDescent="0.25">
      <c r="A34" s="214" t="s">
        <v>1711</v>
      </c>
      <c r="B34" s="64">
        <v>13.65</v>
      </c>
      <c r="C34" s="64">
        <v>5.58</v>
      </c>
      <c r="D34" s="64">
        <v>13.86</v>
      </c>
      <c r="E34" s="64">
        <v>4.68</v>
      </c>
      <c r="F34" s="64">
        <v>4.7300000000000004</v>
      </c>
      <c r="G34" s="64">
        <v>17.95</v>
      </c>
      <c r="H34" s="64">
        <v>24.58</v>
      </c>
      <c r="I34" s="64">
        <v>1.28</v>
      </c>
      <c r="J34" s="64">
        <v>0.47</v>
      </c>
      <c r="K34" s="64">
        <v>158.24</v>
      </c>
      <c r="L34" s="64">
        <v>23.17</v>
      </c>
      <c r="M34" s="64">
        <v>98.5</v>
      </c>
      <c r="N34" s="64">
        <v>46.1</v>
      </c>
      <c r="O34" s="64">
        <v>0</v>
      </c>
      <c r="P34" s="64">
        <v>0.33</v>
      </c>
      <c r="Q34" s="64">
        <v>9.52</v>
      </c>
      <c r="R34" s="198"/>
      <c r="S34" s="198"/>
      <c r="T34" s="198"/>
      <c r="U34" s="198"/>
    </row>
    <row r="35" spans="1:21" s="12" customFormat="1" x14ac:dyDescent="0.25">
      <c r="A35" s="214" t="s">
        <v>1712</v>
      </c>
      <c r="B35" s="64">
        <v>14.28</v>
      </c>
      <c r="C35" s="64">
        <v>4.92</v>
      </c>
      <c r="D35" s="64">
        <v>14.02</v>
      </c>
      <c r="E35" s="64">
        <v>4.75</v>
      </c>
      <c r="F35" s="64">
        <v>5.88</v>
      </c>
      <c r="G35" s="64">
        <v>17.95</v>
      </c>
      <c r="H35" s="64">
        <v>24.58</v>
      </c>
      <c r="I35" s="64">
        <v>1.27</v>
      </c>
      <c r="J35" s="64">
        <v>0.16</v>
      </c>
      <c r="K35" s="64">
        <v>192.46</v>
      </c>
      <c r="L35" s="64">
        <v>23.3</v>
      </c>
      <c r="M35" s="64">
        <v>98.5</v>
      </c>
      <c r="N35" s="64">
        <v>56.2</v>
      </c>
      <c r="O35" s="64">
        <v>0</v>
      </c>
      <c r="P35" s="64">
        <v>0.34</v>
      </c>
      <c r="Q35" s="64">
        <v>9.5299999999999994</v>
      </c>
      <c r="R35" s="198"/>
      <c r="S35" s="198"/>
      <c r="T35" s="198"/>
      <c r="U35" s="198"/>
    </row>
    <row r="36" spans="1:21" s="12" customFormat="1" x14ac:dyDescent="0.25">
      <c r="A36" s="214" t="s">
        <v>1713</v>
      </c>
      <c r="B36" s="64">
        <v>10.46</v>
      </c>
      <c r="C36" s="64">
        <v>7.11</v>
      </c>
      <c r="D36" s="64">
        <v>12.1</v>
      </c>
      <c r="E36" s="64">
        <v>4.83</v>
      </c>
      <c r="F36" s="64">
        <v>4.91</v>
      </c>
      <c r="G36" s="64">
        <v>16.96</v>
      </c>
      <c r="H36" s="64">
        <v>13.57</v>
      </c>
      <c r="I36" s="64">
        <v>1.26</v>
      </c>
      <c r="J36" s="64">
        <v>0.04</v>
      </c>
      <c r="K36" s="64">
        <v>178.07</v>
      </c>
      <c r="L36" s="64">
        <v>23.45</v>
      </c>
      <c r="M36" s="64">
        <v>98.5</v>
      </c>
      <c r="N36" s="64">
        <v>68.900000000000006</v>
      </c>
      <c r="O36" s="64">
        <v>0</v>
      </c>
      <c r="P36" s="64">
        <v>0.28000000000000003</v>
      </c>
      <c r="Q36" s="64">
        <v>9.52</v>
      </c>
      <c r="R36" s="198"/>
      <c r="S36" s="198"/>
      <c r="T36" s="198"/>
      <c r="U36" s="198"/>
    </row>
    <row r="37" spans="1:21" s="12" customFormat="1" x14ac:dyDescent="0.25">
      <c r="A37" s="214" t="s">
        <v>1714</v>
      </c>
      <c r="B37" s="64">
        <v>12.45</v>
      </c>
      <c r="C37" s="64">
        <v>6.18</v>
      </c>
      <c r="D37" s="64">
        <v>13.21</v>
      </c>
      <c r="E37" s="64">
        <v>4.9800000000000004</v>
      </c>
      <c r="F37" s="64">
        <v>5.42</v>
      </c>
      <c r="G37" s="64">
        <v>16.21</v>
      </c>
      <c r="H37" s="64">
        <v>10.67</v>
      </c>
      <c r="I37" s="64">
        <v>1.24</v>
      </c>
      <c r="J37" s="64">
        <v>0.12</v>
      </c>
      <c r="K37" s="64">
        <v>144.72</v>
      </c>
      <c r="L37" s="64">
        <v>23.68</v>
      </c>
      <c r="M37" s="64">
        <v>98.5</v>
      </c>
      <c r="N37" s="64">
        <v>79.8</v>
      </c>
      <c r="O37" s="64">
        <v>0</v>
      </c>
      <c r="P37" s="64">
        <v>0.32</v>
      </c>
      <c r="Q37" s="64">
        <v>9.51</v>
      </c>
      <c r="R37" s="198"/>
      <c r="S37" s="198"/>
      <c r="T37" s="198"/>
      <c r="U37" s="198"/>
    </row>
    <row r="38" spans="1:21" s="12" customFormat="1" x14ac:dyDescent="0.25">
      <c r="A38" s="214" t="s">
        <v>1715</v>
      </c>
      <c r="B38" s="64">
        <v>11.27</v>
      </c>
      <c r="C38" s="64">
        <v>6.42</v>
      </c>
      <c r="D38" s="64">
        <v>12.39</v>
      </c>
      <c r="E38" s="64">
        <v>4.78</v>
      </c>
      <c r="F38" s="64">
        <v>7.15</v>
      </c>
      <c r="G38" s="64">
        <v>16.21</v>
      </c>
      <c r="H38" s="64">
        <v>10.67</v>
      </c>
      <c r="I38" s="64">
        <v>1.22</v>
      </c>
      <c r="J38" s="64">
        <v>0.22</v>
      </c>
      <c r="K38" s="64">
        <v>145.35</v>
      </c>
      <c r="L38" s="64">
        <v>23.77</v>
      </c>
      <c r="M38" s="64">
        <v>98.48</v>
      </c>
      <c r="N38" s="64">
        <v>93.3</v>
      </c>
      <c r="O38" s="64">
        <v>0</v>
      </c>
      <c r="P38" s="64">
        <v>0.28000000000000003</v>
      </c>
      <c r="Q38" s="64">
        <v>9.5</v>
      </c>
      <c r="R38" s="198"/>
      <c r="S38" s="198"/>
      <c r="T38" s="198"/>
      <c r="U38" s="198"/>
    </row>
    <row r="39" spans="1:21" s="12" customFormat="1" x14ac:dyDescent="0.25">
      <c r="A39" s="214" t="s">
        <v>1716</v>
      </c>
      <c r="B39" s="64">
        <v>11.92</v>
      </c>
      <c r="C39" s="64">
        <v>6.75</v>
      </c>
      <c r="D39" s="64">
        <v>13.08</v>
      </c>
      <c r="E39" s="64">
        <v>4.76</v>
      </c>
      <c r="F39" s="64">
        <v>7.48</v>
      </c>
      <c r="G39" s="64">
        <v>16.21</v>
      </c>
      <c r="H39" s="64">
        <v>10.67</v>
      </c>
      <c r="I39" s="64">
        <v>1.22</v>
      </c>
      <c r="J39" s="64">
        <v>0.32</v>
      </c>
      <c r="K39" s="64">
        <v>169.89</v>
      </c>
      <c r="L39" s="64">
        <v>23.94</v>
      </c>
      <c r="M39" s="64">
        <v>98.48</v>
      </c>
      <c r="N39" s="64">
        <v>97.9</v>
      </c>
      <c r="O39" s="64">
        <v>0</v>
      </c>
      <c r="P39" s="64">
        <v>0.31</v>
      </c>
      <c r="Q39" s="64">
        <v>9.49</v>
      </c>
      <c r="R39" s="198"/>
      <c r="S39" s="198"/>
      <c r="T39" s="198"/>
      <c r="U39" s="198"/>
    </row>
    <row r="40" spans="1:21" s="12" customFormat="1" x14ac:dyDescent="0.25">
      <c r="A40" s="214" t="s">
        <v>1717</v>
      </c>
      <c r="B40" s="64">
        <v>14.3</v>
      </c>
      <c r="C40" s="64">
        <v>6.13</v>
      </c>
      <c r="D40" s="64">
        <v>14.67</v>
      </c>
      <c r="E40" s="64">
        <v>4.5599999999999996</v>
      </c>
      <c r="F40" s="64">
        <v>7.87</v>
      </c>
      <c r="G40" s="64">
        <v>16.260000000000002</v>
      </c>
      <c r="H40" s="64">
        <v>8.35</v>
      </c>
      <c r="I40" s="64">
        <v>1.21</v>
      </c>
      <c r="J40" s="64">
        <v>0.71</v>
      </c>
      <c r="K40" s="64">
        <v>149.66999999999999</v>
      </c>
      <c r="L40" s="64">
        <v>23.92</v>
      </c>
      <c r="M40" s="64">
        <v>98.48</v>
      </c>
      <c r="N40" s="64">
        <v>116.9</v>
      </c>
      <c r="O40" s="64">
        <v>0</v>
      </c>
      <c r="P40" s="64">
        <v>0.31</v>
      </c>
      <c r="Q40" s="64">
        <v>9.51</v>
      </c>
      <c r="R40" s="198"/>
      <c r="S40" s="198"/>
      <c r="T40" s="198"/>
      <c r="U40" s="198"/>
    </row>
    <row r="41" spans="1:21" s="12" customFormat="1" x14ac:dyDescent="0.25">
      <c r="A41" s="214" t="s">
        <v>1718</v>
      </c>
      <c r="B41" s="64">
        <v>13.13</v>
      </c>
      <c r="C41" s="64">
        <v>6.48</v>
      </c>
      <c r="D41" s="64">
        <v>13.92</v>
      </c>
      <c r="E41" s="64">
        <v>4.5199999999999996</v>
      </c>
      <c r="F41" s="64">
        <v>7.16</v>
      </c>
      <c r="G41" s="64">
        <v>16.3</v>
      </c>
      <c r="H41" s="64">
        <v>7.42</v>
      </c>
      <c r="I41" s="64">
        <v>1.19</v>
      </c>
      <c r="J41" s="64">
        <v>0.74</v>
      </c>
      <c r="K41" s="64">
        <v>142.72999999999999</v>
      </c>
      <c r="L41" s="64">
        <v>24.17</v>
      </c>
      <c r="M41" s="64">
        <v>98.47</v>
      </c>
      <c r="N41" s="64">
        <v>156.6</v>
      </c>
      <c r="O41" s="64">
        <v>0</v>
      </c>
      <c r="P41" s="64">
        <v>0.31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4" t="s">
        <v>1719</v>
      </c>
      <c r="B42" s="64">
        <v>13.95</v>
      </c>
      <c r="C42" s="64">
        <v>4.91</v>
      </c>
      <c r="D42" s="64">
        <v>13.76</v>
      </c>
      <c r="E42" s="64">
        <v>4.2</v>
      </c>
      <c r="F42" s="64">
        <v>4.42</v>
      </c>
      <c r="G42" s="64">
        <v>16.3</v>
      </c>
      <c r="H42" s="64">
        <v>7.42</v>
      </c>
      <c r="I42" s="64">
        <v>1.19</v>
      </c>
      <c r="J42" s="64">
        <v>1.01</v>
      </c>
      <c r="K42" s="64">
        <v>140.08000000000001</v>
      </c>
      <c r="L42" s="64">
        <v>24.44</v>
      </c>
      <c r="M42" s="64">
        <v>98.45</v>
      </c>
      <c r="N42" s="64">
        <v>218.3</v>
      </c>
      <c r="O42" s="64">
        <v>0</v>
      </c>
      <c r="P42" s="64">
        <v>0.32</v>
      </c>
      <c r="Q42" s="64">
        <v>9.52</v>
      </c>
      <c r="R42" s="198"/>
      <c r="S42" s="198"/>
      <c r="T42" s="198"/>
      <c r="U42" s="198"/>
    </row>
    <row r="43" spans="1:21" s="12" customFormat="1" x14ac:dyDescent="0.25">
      <c r="A43" s="214" t="s">
        <v>1720</v>
      </c>
      <c r="B43" s="64">
        <v>11.3</v>
      </c>
      <c r="C43" s="64">
        <v>5.43</v>
      </c>
      <c r="D43" s="64">
        <v>11.9</v>
      </c>
      <c r="E43" s="64">
        <v>4.28</v>
      </c>
      <c r="F43" s="64">
        <v>7.36</v>
      </c>
      <c r="G43" s="64">
        <v>16.3</v>
      </c>
      <c r="H43" s="64">
        <v>7.42</v>
      </c>
      <c r="I43" s="64">
        <v>1.17</v>
      </c>
      <c r="J43" s="64">
        <v>0.67</v>
      </c>
      <c r="K43" s="64">
        <v>142.34</v>
      </c>
      <c r="L43" s="64">
        <v>24.78</v>
      </c>
      <c r="M43" s="64">
        <v>98.44</v>
      </c>
      <c r="N43" s="64">
        <v>243</v>
      </c>
      <c r="O43" s="64">
        <v>0</v>
      </c>
      <c r="P43" s="64">
        <v>0.27</v>
      </c>
      <c r="Q43" s="64">
        <v>9.51</v>
      </c>
      <c r="R43" s="198"/>
      <c r="S43" s="198"/>
      <c r="T43" s="198"/>
      <c r="U43" s="198"/>
    </row>
    <row r="44" spans="1:21" s="12" customFormat="1" x14ac:dyDescent="0.25">
      <c r="A44" s="214" t="s">
        <v>1721</v>
      </c>
      <c r="B44" s="64">
        <v>13.93</v>
      </c>
      <c r="C44" s="64">
        <v>6.3</v>
      </c>
      <c r="D44" s="64">
        <v>14.46</v>
      </c>
      <c r="E44" s="64">
        <v>4.43</v>
      </c>
      <c r="F44" s="64">
        <v>5.81</v>
      </c>
      <c r="G44" s="64">
        <v>17.25</v>
      </c>
      <c r="H44" s="64">
        <v>6.96</v>
      </c>
      <c r="I44" s="64">
        <v>1.1599999999999999</v>
      </c>
      <c r="J44" s="64">
        <v>0.18</v>
      </c>
      <c r="K44" s="64">
        <v>130.04</v>
      </c>
      <c r="L44" s="64">
        <v>25.26</v>
      </c>
      <c r="M44" s="64">
        <v>98.43</v>
      </c>
      <c r="N44" s="64">
        <v>184.2</v>
      </c>
      <c r="O44" s="64">
        <v>0</v>
      </c>
      <c r="P44" s="64">
        <v>0.36</v>
      </c>
      <c r="Q44" s="64">
        <v>9.49</v>
      </c>
      <c r="R44" s="198"/>
      <c r="S44" s="198"/>
      <c r="T44" s="198"/>
      <c r="U44" s="198"/>
    </row>
    <row r="45" spans="1:21" s="12" customFormat="1" x14ac:dyDescent="0.25">
      <c r="A45" s="214" t="s">
        <v>1722</v>
      </c>
      <c r="B45" s="64">
        <v>11.57</v>
      </c>
      <c r="C45" s="64">
        <v>8.64</v>
      </c>
      <c r="D45" s="64">
        <v>13.8</v>
      </c>
      <c r="E45" s="64">
        <v>4.5</v>
      </c>
      <c r="F45" s="64">
        <v>5.28</v>
      </c>
      <c r="G45" s="64">
        <v>17.97</v>
      </c>
      <c r="H45" s="64">
        <v>6.6</v>
      </c>
      <c r="I45" s="64">
        <v>1.1499999999999999</v>
      </c>
      <c r="J45" s="64">
        <v>0.06</v>
      </c>
      <c r="K45" s="64">
        <v>231.64</v>
      </c>
      <c r="L45" s="64">
        <v>25.63</v>
      </c>
      <c r="M45" s="64">
        <v>98.4</v>
      </c>
      <c r="N45" s="64">
        <v>182.2</v>
      </c>
      <c r="O45" s="64">
        <v>0</v>
      </c>
      <c r="P45" s="64">
        <v>0.3</v>
      </c>
      <c r="Q45" s="64">
        <v>9.49</v>
      </c>
      <c r="R45" s="198"/>
      <c r="S45" s="198"/>
      <c r="T45" s="198"/>
      <c r="U45" s="198"/>
    </row>
    <row r="46" spans="1:21" s="12" customFormat="1" x14ac:dyDescent="0.25">
      <c r="A46" s="214" t="s">
        <v>1723</v>
      </c>
      <c r="B46" s="64">
        <v>12.01</v>
      </c>
      <c r="C46" s="64">
        <v>6.41</v>
      </c>
      <c r="D46" s="64">
        <v>12.98</v>
      </c>
      <c r="E46" s="64">
        <v>4.5999999999999996</v>
      </c>
      <c r="F46" s="64">
        <v>5.86</v>
      </c>
      <c r="G46" s="64">
        <v>17.97</v>
      </c>
      <c r="H46" s="64">
        <v>6.6</v>
      </c>
      <c r="I46" s="64">
        <v>1.1399999999999999</v>
      </c>
      <c r="J46" s="64">
        <v>0.23</v>
      </c>
      <c r="K46" s="64">
        <v>137.6</v>
      </c>
      <c r="L46" s="64">
        <v>25.61</v>
      </c>
      <c r="M46" s="64">
        <v>98.41</v>
      </c>
      <c r="N46" s="64">
        <v>223.6</v>
      </c>
      <c r="O46" s="64">
        <v>0</v>
      </c>
      <c r="P46" s="64">
        <v>0.31</v>
      </c>
      <c r="Q46" s="64">
        <v>9.48</v>
      </c>
      <c r="R46" s="198"/>
      <c r="S46" s="198"/>
      <c r="T46" s="198"/>
      <c r="U46" s="198"/>
    </row>
    <row r="47" spans="1:21" s="12" customFormat="1" x14ac:dyDescent="0.25">
      <c r="A47" s="214" t="s">
        <v>1724</v>
      </c>
      <c r="B47" s="64">
        <v>10.92</v>
      </c>
      <c r="C47" s="64">
        <v>8.4</v>
      </c>
      <c r="D47" s="64">
        <v>13.14</v>
      </c>
      <c r="E47" s="64">
        <v>4.67</v>
      </c>
      <c r="F47" s="64">
        <v>7.15</v>
      </c>
      <c r="G47" s="64">
        <v>17.97</v>
      </c>
      <c r="H47" s="64">
        <v>6.6</v>
      </c>
      <c r="I47" s="64">
        <v>1.1399999999999999</v>
      </c>
      <c r="J47" s="64">
        <v>0.16</v>
      </c>
      <c r="K47" s="64">
        <v>169.14</v>
      </c>
      <c r="L47" s="64">
        <v>25.97</v>
      </c>
      <c r="M47" s="64">
        <v>98.4</v>
      </c>
      <c r="N47" s="64">
        <v>239.3</v>
      </c>
      <c r="O47" s="64">
        <v>0</v>
      </c>
      <c r="P47" s="64">
        <v>0.34</v>
      </c>
      <c r="Q47" s="64">
        <v>9.4700000000000006</v>
      </c>
      <c r="R47" s="198"/>
      <c r="S47" s="198"/>
      <c r="T47" s="198"/>
      <c r="U47" s="198"/>
    </row>
    <row r="48" spans="1:21" s="12" customFormat="1" x14ac:dyDescent="0.25">
      <c r="A48" s="214" t="s">
        <v>1725</v>
      </c>
      <c r="B48" s="64">
        <v>12.64</v>
      </c>
      <c r="C48" s="64">
        <v>5.72</v>
      </c>
      <c r="D48" s="64">
        <v>13.13</v>
      </c>
      <c r="E48" s="64">
        <v>4.41</v>
      </c>
      <c r="F48" s="64">
        <v>6.21</v>
      </c>
      <c r="G48" s="64">
        <v>20.21</v>
      </c>
      <c r="H48" s="64">
        <v>20.67</v>
      </c>
      <c r="I48" s="64">
        <v>1.1299999999999999</v>
      </c>
      <c r="J48" s="64">
        <v>0.1</v>
      </c>
      <c r="K48" s="64">
        <v>353.36</v>
      </c>
      <c r="L48" s="64">
        <v>26.51</v>
      </c>
      <c r="M48" s="64">
        <v>98.37</v>
      </c>
      <c r="N48" s="64">
        <v>232</v>
      </c>
      <c r="O48" s="64">
        <v>0</v>
      </c>
      <c r="P48" s="64">
        <v>0.28000000000000003</v>
      </c>
      <c r="Q48" s="64">
        <v>9.4600000000000009</v>
      </c>
      <c r="R48" s="198"/>
      <c r="S48" s="198"/>
      <c r="T48" s="198"/>
      <c r="U48" s="198"/>
    </row>
    <row r="49" spans="1:21" s="12" customFormat="1" x14ac:dyDescent="0.25">
      <c r="A49" s="214" t="s">
        <v>1726</v>
      </c>
      <c r="B49" s="64">
        <v>11.88</v>
      </c>
      <c r="C49" s="64">
        <v>8.43</v>
      </c>
      <c r="D49" s="64">
        <v>13.94</v>
      </c>
      <c r="E49" s="64">
        <v>4.57</v>
      </c>
      <c r="F49" s="64">
        <v>9.89</v>
      </c>
      <c r="G49" s="64">
        <v>21.93</v>
      </c>
      <c r="H49" s="64">
        <v>22.36</v>
      </c>
      <c r="I49" s="64">
        <v>1.1200000000000001</v>
      </c>
      <c r="J49" s="64">
        <v>0.09</v>
      </c>
      <c r="K49" s="64">
        <v>119.21</v>
      </c>
      <c r="L49" s="64">
        <v>26.9</v>
      </c>
      <c r="M49" s="64">
        <v>98.37</v>
      </c>
      <c r="N49" s="64">
        <v>273.5</v>
      </c>
      <c r="O49" s="64">
        <v>0</v>
      </c>
      <c r="P49" s="64">
        <v>0.4</v>
      </c>
      <c r="Q49" s="64">
        <v>9.44</v>
      </c>
      <c r="R49" s="198"/>
      <c r="S49" s="198"/>
      <c r="T49" s="198"/>
      <c r="U49" s="198"/>
    </row>
    <row r="50" spans="1:21" s="12" customFormat="1" x14ac:dyDescent="0.25">
      <c r="A50" s="214" t="s">
        <v>1727</v>
      </c>
      <c r="B50" s="64">
        <v>19.559999999999999</v>
      </c>
      <c r="C50" s="64">
        <v>10.19</v>
      </c>
      <c r="D50" s="64">
        <v>20.88</v>
      </c>
      <c r="E50" s="64">
        <v>4.59</v>
      </c>
      <c r="F50" s="64">
        <v>7.43</v>
      </c>
      <c r="G50" s="64">
        <v>21.93</v>
      </c>
      <c r="H50" s="64">
        <v>22.36</v>
      </c>
      <c r="I50" s="64">
        <v>1.1100000000000001</v>
      </c>
      <c r="J50" s="64">
        <v>0.38</v>
      </c>
      <c r="K50" s="64">
        <v>343.74</v>
      </c>
      <c r="L50" s="64">
        <v>28.28</v>
      </c>
      <c r="M50" s="64">
        <v>97.07</v>
      </c>
      <c r="N50" s="64">
        <v>224.3</v>
      </c>
      <c r="O50" s="64">
        <v>0</v>
      </c>
      <c r="P50" s="64">
        <v>0.54</v>
      </c>
      <c r="Q50" s="64">
        <v>9.44</v>
      </c>
      <c r="R50" s="198"/>
      <c r="S50" s="198"/>
      <c r="T50" s="198"/>
      <c r="U50" s="198"/>
    </row>
    <row r="51" spans="1:21" s="12" customFormat="1" x14ac:dyDescent="0.25">
      <c r="A51" s="214" t="s">
        <v>1728</v>
      </c>
      <c r="B51" s="64">
        <v>10.119999999999999</v>
      </c>
      <c r="C51" s="64">
        <v>11.05</v>
      </c>
      <c r="D51" s="64">
        <v>13.89</v>
      </c>
      <c r="E51" s="64">
        <v>4.41</v>
      </c>
      <c r="F51" s="64">
        <v>9.5</v>
      </c>
      <c r="G51" s="64">
        <v>21.93</v>
      </c>
      <c r="H51" s="64">
        <v>22.36</v>
      </c>
      <c r="I51" s="64">
        <v>1.1200000000000001</v>
      </c>
      <c r="J51" s="64">
        <v>0.57999999999999996</v>
      </c>
      <c r="K51" s="64">
        <v>141.76</v>
      </c>
      <c r="L51" s="64">
        <v>28.08</v>
      </c>
      <c r="M51" s="64">
        <v>96.92</v>
      </c>
      <c r="N51" s="64">
        <v>269.5</v>
      </c>
      <c r="O51" s="64">
        <v>0</v>
      </c>
      <c r="P51" s="64">
        <v>0.43</v>
      </c>
      <c r="Q51" s="64">
        <v>9.4499999999999993</v>
      </c>
      <c r="R51" s="198"/>
      <c r="S51" s="198"/>
      <c r="T51" s="198"/>
      <c r="U51" s="198"/>
    </row>
    <row r="52" spans="1:21" s="12" customFormat="1" x14ac:dyDescent="0.25">
      <c r="A52" s="214" t="s">
        <v>1729</v>
      </c>
      <c r="B52" s="64">
        <v>8.94</v>
      </c>
      <c r="C52" s="64">
        <v>8.24</v>
      </c>
      <c r="D52" s="64">
        <v>11.47</v>
      </c>
      <c r="E52" s="64">
        <v>4.28</v>
      </c>
      <c r="F52" s="64">
        <v>10.5</v>
      </c>
      <c r="G52" s="64">
        <v>26.85</v>
      </c>
      <c r="H52" s="64">
        <v>15.07</v>
      </c>
      <c r="I52" s="64">
        <v>1.1399999999999999</v>
      </c>
      <c r="J52" s="64">
        <v>0.09</v>
      </c>
      <c r="K52" s="64">
        <v>152.06</v>
      </c>
      <c r="L52" s="64">
        <v>27.85</v>
      </c>
      <c r="M52" s="64">
        <v>97.41</v>
      </c>
      <c r="N52" s="64">
        <v>712.1</v>
      </c>
      <c r="O52" s="64">
        <v>0</v>
      </c>
      <c r="P52" s="64">
        <v>0.26</v>
      </c>
      <c r="Q52" s="64">
        <v>9.4700000000000006</v>
      </c>
      <c r="R52" s="198"/>
      <c r="S52" s="198"/>
      <c r="T52" s="198"/>
      <c r="U52" s="198"/>
    </row>
    <row r="53" spans="1:21" s="12" customFormat="1" x14ac:dyDescent="0.25">
      <c r="A53" s="214" t="s">
        <v>1730</v>
      </c>
      <c r="B53" s="64">
        <v>10.38</v>
      </c>
      <c r="C53" s="64">
        <v>8.93</v>
      </c>
      <c r="D53" s="64">
        <v>12.99</v>
      </c>
      <c r="E53" s="64">
        <v>4.5</v>
      </c>
      <c r="F53" s="64">
        <v>11.02</v>
      </c>
      <c r="G53" s="64">
        <v>30.61</v>
      </c>
      <c r="H53" s="64">
        <v>11.42</v>
      </c>
      <c r="I53" s="64">
        <v>1.1499999999999999</v>
      </c>
      <c r="J53" s="64">
        <v>0.28999999999999998</v>
      </c>
      <c r="K53" s="64">
        <v>337.98</v>
      </c>
      <c r="L53" s="64">
        <v>30.14</v>
      </c>
      <c r="M53" s="64">
        <v>85.92</v>
      </c>
      <c r="N53" s="64">
        <v>350.7</v>
      </c>
      <c r="O53" s="64">
        <v>0</v>
      </c>
      <c r="P53" s="64">
        <v>0.34</v>
      </c>
      <c r="Q53" s="64">
        <v>9.49</v>
      </c>
      <c r="R53" s="198"/>
      <c r="S53" s="198"/>
      <c r="T53" s="198"/>
      <c r="U53" s="198"/>
    </row>
    <row r="54" spans="1:21" s="12" customFormat="1" x14ac:dyDescent="0.25">
      <c r="A54" s="214" t="s">
        <v>1731</v>
      </c>
      <c r="B54" s="64">
        <v>13.37</v>
      </c>
      <c r="C54" s="64">
        <v>8.5500000000000007</v>
      </c>
      <c r="D54" s="64">
        <v>15.19</v>
      </c>
      <c r="E54" s="64">
        <v>4.58</v>
      </c>
      <c r="F54" s="64">
        <v>5.68</v>
      </c>
      <c r="G54" s="64">
        <v>30.61</v>
      </c>
      <c r="H54" s="64">
        <v>11.42</v>
      </c>
      <c r="I54" s="64">
        <v>1.1399999999999999</v>
      </c>
      <c r="J54" s="64">
        <v>0.2</v>
      </c>
      <c r="K54" s="64">
        <v>303.82</v>
      </c>
      <c r="L54" s="64">
        <v>30.17</v>
      </c>
      <c r="M54" s="64">
        <v>87.39</v>
      </c>
      <c r="N54" s="64">
        <v>466.9</v>
      </c>
      <c r="O54" s="64">
        <v>0</v>
      </c>
      <c r="P54" s="64">
        <v>0.41</v>
      </c>
      <c r="Q54" s="64">
        <v>9.5</v>
      </c>
      <c r="R54" s="198"/>
      <c r="S54" s="198"/>
      <c r="T54" s="198"/>
      <c r="U54" s="198"/>
    </row>
    <row r="55" spans="1:21" s="12" customFormat="1" x14ac:dyDescent="0.25">
      <c r="A55" s="214" t="s">
        <v>1732</v>
      </c>
      <c r="B55" s="64">
        <v>12.4</v>
      </c>
      <c r="C55" s="64">
        <v>6.26</v>
      </c>
      <c r="D55" s="64">
        <v>13.22</v>
      </c>
      <c r="E55" s="64">
        <v>4.33</v>
      </c>
      <c r="F55" s="64">
        <v>3.15</v>
      </c>
      <c r="G55" s="64">
        <v>30.61</v>
      </c>
      <c r="H55" s="64">
        <v>11.42</v>
      </c>
      <c r="I55" s="64">
        <v>1.1499999999999999</v>
      </c>
      <c r="J55" s="64">
        <v>0.19</v>
      </c>
      <c r="K55" s="64">
        <v>293.54000000000002</v>
      </c>
      <c r="L55" s="64">
        <v>27.09</v>
      </c>
      <c r="M55" s="64">
        <v>97.35</v>
      </c>
      <c r="N55" s="64">
        <v>174.1</v>
      </c>
      <c r="O55" s="64">
        <v>0</v>
      </c>
      <c r="P55" s="64">
        <v>0.34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14" t="s">
        <v>1733</v>
      </c>
      <c r="B56" s="64">
        <v>11.82</v>
      </c>
      <c r="C56" s="64">
        <v>9.4</v>
      </c>
      <c r="D56" s="64">
        <v>14.39</v>
      </c>
      <c r="E56" s="64">
        <v>4.4000000000000004</v>
      </c>
      <c r="F56" s="64">
        <v>5.35</v>
      </c>
      <c r="G56" s="64">
        <v>33.26</v>
      </c>
      <c r="H56" s="64">
        <v>8.5399999999999991</v>
      </c>
      <c r="I56" s="64">
        <v>1.1399999999999999</v>
      </c>
      <c r="J56" s="64">
        <v>0.99</v>
      </c>
      <c r="K56" s="64">
        <v>336.63</v>
      </c>
      <c r="L56" s="64">
        <v>25.76</v>
      </c>
      <c r="M56" s="64">
        <v>98.53</v>
      </c>
      <c r="N56" s="64">
        <v>94</v>
      </c>
      <c r="O56" s="64">
        <v>0.2</v>
      </c>
      <c r="P56" s="64">
        <v>0.42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4" t="s">
        <v>1734</v>
      </c>
      <c r="B57" s="64">
        <v>12.12</v>
      </c>
      <c r="C57" s="64">
        <v>10.06</v>
      </c>
      <c r="D57" s="64">
        <v>14.97</v>
      </c>
      <c r="E57" s="64">
        <v>4.46</v>
      </c>
      <c r="F57" s="64">
        <v>5.67</v>
      </c>
      <c r="G57" s="64">
        <v>35.369999999999997</v>
      </c>
      <c r="H57" s="64">
        <v>8.0299999999999994</v>
      </c>
      <c r="I57" s="64">
        <v>1.1299999999999999</v>
      </c>
      <c r="J57" s="64">
        <v>0.7</v>
      </c>
      <c r="K57" s="64">
        <v>332.91</v>
      </c>
      <c r="L57" s="64">
        <v>25.19</v>
      </c>
      <c r="M57" s="64">
        <v>98.58</v>
      </c>
      <c r="N57" s="64">
        <v>82</v>
      </c>
      <c r="O57" s="64">
        <v>0</v>
      </c>
      <c r="P57" s="64">
        <v>0.45</v>
      </c>
      <c r="Q57" s="64">
        <v>9.4600000000000009</v>
      </c>
      <c r="R57" s="198"/>
      <c r="S57" s="198"/>
      <c r="T57" s="198"/>
      <c r="U57" s="198"/>
    </row>
    <row r="58" spans="1:21" s="12" customFormat="1" x14ac:dyDescent="0.25">
      <c r="A58" s="214" t="s">
        <v>1735</v>
      </c>
      <c r="B58" s="64">
        <v>11.5</v>
      </c>
      <c r="C58" s="64">
        <v>10.79</v>
      </c>
      <c r="D58" s="64">
        <v>14.86</v>
      </c>
      <c r="E58" s="64">
        <v>4.32</v>
      </c>
      <c r="F58" s="64">
        <v>7.83</v>
      </c>
      <c r="G58" s="64">
        <v>35.369999999999997</v>
      </c>
      <c r="H58" s="64">
        <v>8.0299999999999994</v>
      </c>
      <c r="I58" s="64">
        <v>1.17</v>
      </c>
      <c r="J58" s="64">
        <v>0.48</v>
      </c>
      <c r="K58" s="64">
        <v>344.45</v>
      </c>
      <c r="L58" s="64">
        <v>24.6</v>
      </c>
      <c r="M58" s="64">
        <v>98.58</v>
      </c>
      <c r="N58" s="64">
        <v>81.599999999999994</v>
      </c>
      <c r="O58" s="64">
        <v>0</v>
      </c>
      <c r="P58" s="64">
        <v>0.51</v>
      </c>
      <c r="Q58" s="64">
        <v>9.4700000000000006</v>
      </c>
      <c r="R58" s="198"/>
      <c r="S58" s="198"/>
      <c r="T58" s="198"/>
      <c r="U58" s="198"/>
    </row>
    <row r="59" spans="1:21" s="12" customFormat="1" x14ac:dyDescent="0.25">
      <c r="A59" s="214" t="s">
        <v>1736</v>
      </c>
      <c r="B59" s="64">
        <v>14.27</v>
      </c>
      <c r="C59" s="64">
        <v>15.17</v>
      </c>
      <c r="D59" s="64">
        <v>19.37</v>
      </c>
      <c r="E59" s="64">
        <v>4.37</v>
      </c>
      <c r="F59" s="64">
        <v>9.99</v>
      </c>
      <c r="G59" s="64">
        <v>35.369999999999997</v>
      </c>
      <c r="H59" s="64">
        <v>8.0299999999999994</v>
      </c>
      <c r="I59" s="64">
        <v>1.24</v>
      </c>
      <c r="J59" s="64">
        <v>0.23</v>
      </c>
      <c r="K59" s="64">
        <v>335.53</v>
      </c>
      <c r="L59" s="64">
        <v>24.23</v>
      </c>
      <c r="M59" s="64">
        <v>98.6</v>
      </c>
      <c r="N59" s="64">
        <v>82.4</v>
      </c>
      <c r="O59" s="64">
        <v>0</v>
      </c>
      <c r="P59" s="64">
        <v>0.55000000000000004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14" t="s">
        <v>1737</v>
      </c>
      <c r="B60" s="64">
        <v>15</v>
      </c>
      <c r="C60" s="64">
        <v>11.34</v>
      </c>
      <c r="D60" s="64">
        <v>17.96</v>
      </c>
      <c r="E60" s="64">
        <v>4.4400000000000004</v>
      </c>
      <c r="F60" s="64">
        <v>8.67</v>
      </c>
      <c r="G60" s="64">
        <v>33.15</v>
      </c>
      <c r="H60" s="64">
        <v>7.24</v>
      </c>
      <c r="I60" s="64">
        <v>1.27</v>
      </c>
      <c r="J60" s="64">
        <v>0.25</v>
      </c>
      <c r="K60" s="64">
        <v>340.9</v>
      </c>
      <c r="L60" s="64">
        <v>23.87</v>
      </c>
      <c r="M60" s="64">
        <v>98.63</v>
      </c>
      <c r="N60" s="64">
        <v>61.9</v>
      </c>
      <c r="O60" s="64">
        <v>0</v>
      </c>
      <c r="P60" s="64">
        <v>0.51</v>
      </c>
      <c r="Q60" s="64">
        <v>9.4499999999999993</v>
      </c>
      <c r="R60" s="198"/>
      <c r="S60" s="198"/>
      <c r="T60" s="198"/>
      <c r="U60" s="198"/>
    </row>
    <row r="61" spans="1:21" s="12" customFormat="1" x14ac:dyDescent="0.25">
      <c r="A61" s="214" t="s">
        <v>1738</v>
      </c>
      <c r="B61" s="64">
        <v>10.41</v>
      </c>
      <c r="C61" s="64">
        <v>12.44</v>
      </c>
      <c r="D61" s="64">
        <v>14.84</v>
      </c>
      <c r="E61" s="64">
        <v>4.5599999999999996</v>
      </c>
      <c r="F61" s="64">
        <v>6.39</v>
      </c>
      <c r="G61" s="64">
        <v>31.37</v>
      </c>
      <c r="H61" s="64">
        <v>6.91</v>
      </c>
      <c r="I61" s="64">
        <v>1.27</v>
      </c>
      <c r="J61" s="64">
        <v>0.27</v>
      </c>
      <c r="K61" s="64">
        <v>137.26</v>
      </c>
      <c r="L61" s="64">
        <v>22.94</v>
      </c>
      <c r="M61" s="64">
        <v>98.61</v>
      </c>
      <c r="N61" s="64">
        <v>49.6</v>
      </c>
      <c r="O61" s="64">
        <v>0</v>
      </c>
      <c r="P61" s="64">
        <v>0.42</v>
      </c>
      <c r="Q61" s="64">
        <v>9.4499999999999993</v>
      </c>
      <c r="R61" s="198"/>
      <c r="S61" s="198"/>
      <c r="T61" s="198"/>
      <c r="U61" s="198"/>
    </row>
    <row r="62" spans="1:21" s="12" customFormat="1" x14ac:dyDescent="0.25">
      <c r="A62" s="214" t="s">
        <v>1739</v>
      </c>
      <c r="B62" s="64">
        <v>11.77</v>
      </c>
      <c r="C62" s="64">
        <v>6.6</v>
      </c>
      <c r="D62" s="64">
        <v>12.89</v>
      </c>
      <c r="E62" s="64">
        <v>4.28</v>
      </c>
      <c r="F62" s="64">
        <v>5.12</v>
      </c>
      <c r="G62" s="64">
        <v>31.37</v>
      </c>
      <c r="H62" s="64">
        <v>6.91</v>
      </c>
      <c r="I62" s="64">
        <v>1.29</v>
      </c>
      <c r="J62" s="64">
        <v>0.6</v>
      </c>
      <c r="K62" s="64">
        <v>150.01</v>
      </c>
      <c r="L62" s="64">
        <v>23</v>
      </c>
      <c r="M62" s="64">
        <v>98.56</v>
      </c>
      <c r="N62" s="64">
        <v>43.6</v>
      </c>
      <c r="O62" s="64">
        <v>0</v>
      </c>
      <c r="P62" s="64">
        <v>0.44</v>
      </c>
      <c r="Q62" s="64">
        <v>9.43</v>
      </c>
      <c r="R62" s="198"/>
      <c r="S62" s="198"/>
      <c r="T62" s="198"/>
      <c r="U62" s="198"/>
    </row>
    <row r="63" spans="1:21" s="12" customFormat="1" x14ac:dyDescent="0.25">
      <c r="A63" s="214" t="s">
        <v>1740</v>
      </c>
      <c r="B63" s="64">
        <v>10.62</v>
      </c>
      <c r="C63" s="64">
        <v>7.73</v>
      </c>
      <c r="D63" s="64">
        <v>12.55</v>
      </c>
      <c r="E63" s="64">
        <v>4.13</v>
      </c>
      <c r="F63" s="64">
        <v>7.3</v>
      </c>
      <c r="G63" s="64">
        <v>31.37</v>
      </c>
      <c r="H63" s="64">
        <v>6.91</v>
      </c>
      <c r="I63" s="64">
        <v>1.29</v>
      </c>
      <c r="J63" s="64">
        <v>0.98</v>
      </c>
      <c r="K63" s="64">
        <v>138.94</v>
      </c>
      <c r="L63" s="64">
        <v>22.77</v>
      </c>
      <c r="M63" s="64">
        <v>98.58</v>
      </c>
      <c r="N63" s="64">
        <v>44.6</v>
      </c>
      <c r="O63" s="64">
        <v>0</v>
      </c>
      <c r="P63" s="64">
        <v>0.41</v>
      </c>
      <c r="Q63" s="64">
        <v>9.44</v>
      </c>
      <c r="R63" s="198"/>
      <c r="S63" s="198"/>
      <c r="T63" s="198"/>
      <c r="U63" s="198"/>
    </row>
    <row r="64" spans="1:21" s="12" customFormat="1" x14ac:dyDescent="0.25">
      <c r="A64" s="214" t="s">
        <v>1741</v>
      </c>
      <c r="B64" s="64">
        <v>9.83</v>
      </c>
      <c r="C64" s="64">
        <v>10.31</v>
      </c>
      <c r="D64" s="64">
        <v>13.27</v>
      </c>
      <c r="E64" s="64">
        <v>3.81</v>
      </c>
      <c r="F64" s="64">
        <v>8.4700000000000006</v>
      </c>
      <c r="G64" s="64">
        <v>30.22</v>
      </c>
      <c r="H64" s="64">
        <v>20.76</v>
      </c>
      <c r="I64" s="64">
        <v>1.29</v>
      </c>
      <c r="J64" s="64">
        <v>0.37</v>
      </c>
      <c r="K64" s="64">
        <v>141.84</v>
      </c>
      <c r="L64" s="64">
        <v>22.46</v>
      </c>
      <c r="M64" s="64">
        <v>98.58</v>
      </c>
      <c r="N64" s="64">
        <v>41</v>
      </c>
      <c r="O64" s="64">
        <v>0</v>
      </c>
      <c r="P64" s="64">
        <v>0.36</v>
      </c>
      <c r="Q64" s="64">
        <v>9.42</v>
      </c>
      <c r="R64" s="198"/>
      <c r="S64" s="198"/>
      <c r="T64" s="198"/>
      <c r="U64" s="198"/>
    </row>
    <row r="65" spans="1:21" s="12" customFormat="1" x14ac:dyDescent="0.25">
      <c r="A65" s="214" t="s">
        <v>1742</v>
      </c>
      <c r="B65" s="64">
        <v>9.5299999999999994</v>
      </c>
      <c r="C65" s="64">
        <v>10.47</v>
      </c>
      <c r="D65" s="64">
        <v>13.11</v>
      </c>
      <c r="E65" s="64">
        <v>4.6100000000000003</v>
      </c>
      <c r="F65" s="64">
        <v>6.8</v>
      </c>
      <c r="G65" s="64">
        <v>29.3</v>
      </c>
      <c r="H65" s="64">
        <v>24.08</v>
      </c>
      <c r="I65" s="64">
        <v>1.29</v>
      </c>
      <c r="J65" s="64">
        <v>0.12</v>
      </c>
      <c r="K65" s="64">
        <v>147.72</v>
      </c>
      <c r="L65" s="64">
        <v>22.54</v>
      </c>
      <c r="M65" s="64">
        <v>98.58</v>
      </c>
      <c r="N65" s="64">
        <v>39.200000000000003</v>
      </c>
      <c r="O65" s="64">
        <v>0</v>
      </c>
      <c r="P65" s="64">
        <v>0.37</v>
      </c>
      <c r="Q65" s="64">
        <v>9.42</v>
      </c>
      <c r="R65" s="198"/>
      <c r="S65" s="198"/>
      <c r="T65" s="198"/>
      <c r="U65" s="198"/>
    </row>
    <row r="66" spans="1:21" s="12" customFormat="1" x14ac:dyDescent="0.25">
      <c r="A66" s="214" t="s">
        <v>1743</v>
      </c>
      <c r="B66" s="64">
        <v>11.08</v>
      </c>
      <c r="C66" s="64">
        <v>8.73</v>
      </c>
      <c r="D66" s="64">
        <v>13.44</v>
      </c>
      <c r="E66" s="64">
        <v>4.29</v>
      </c>
      <c r="F66" s="64">
        <v>3.04</v>
      </c>
      <c r="G66" s="64">
        <v>29.3</v>
      </c>
      <c r="H66" s="64">
        <v>24.08</v>
      </c>
      <c r="I66" s="64">
        <v>1.28</v>
      </c>
      <c r="J66" s="64">
        <v>0.03</v>
      </c>
      <c r="K66" s="64">
        <v>161.30000000000001</v>
      </c>
      <c r="L66" s="64">
        <v>22.5</v>
      </c>
      <c r="M66" s="64">
        <v>98.58</v>
      </c>
      <c r="N66" s="64">
        <v>41.8</v>
      </c>
      <c r="O66" s="64">
        <v>0</v>
      </c>
      <c r="P66" s="64">
        <v>0.42</v>
      </c>
      <c r="Q66" s="64">
        <v>9.41</v>
      </c>
      <c r="R66" s="198"/>
      <c r="S66" s="198"/>
      <c r="T66" s="198"/>
      <c r="U66" s="198"/>
    </row>
    <row r="67" spans="1:21" s="12" customFormat="1" x14ac:dyDescent="0.25">
      <c r="A67" s="214" t="s">
        <v>1744</v>
      </c>
      <c r="B67" s="64">
        <v>10.48</v>
      </c>
      <c r="C67" s="64">
        <v>8.0299999999999994</v>
      </c>
      <c r="D67" s="64">
        <v>12.6</v>
      </c>
      <c r="E67" s="64">
        <v>4.45</v>
      </c>
      <c r="F67" s="64">
        <v>5.1100000000000003</v>
      </c>
      <c r="G67" s="64">
        <v>29.3</v>
      </c>
      <c r="H67" s="64">
        <v>24.08</v>
      </c>
      <c r="I67" s="64">
        <v>1.27</v>
      </c>
      <c r="J67" s="64">
        <v>0.12</v>
      </c>
      <c r="K67" s="64">
        <v>154.59</v>
      </c>
      <c r="L67" s="64">
        <v>22.53</v>
      </c>
      <c r="M67" s="64">
        <v>98.59</v>
      </c>
      <c r="N67" s="64">
        <v>42.8</v>
      </c>
      <c r="O67" s="64">
        <v>0</v>
      </c>
      <c r="P67" s="64">
        <v>0.39</v>
      </c>
      <c r="Q67" s="64">
        <v>9.4</v>
      </c>
      <c r="R67" s="198"/>
      <c r="S67" s="198"/>
      <c r="T67" s="198"/>
      <c r="U67" s="198"/>
    </row>
    <row r="68" spans="1:21" s="12" customFormat="1" x14ac:dyDescent="0.25">
      <c r="A68" s="214" t="s">
        <v>1745</v>
      </c>
      <c r="B68" s="64">
        <v>11.14</v>
      </c>
      <c r="C68" s="64">
        <v>6.49</v>
      </c>
      <c r="D68" s="64">
        <v>12.32</v>
      </c>
      <c r="E68" s="64">
        <v>4.3099999999999996</v>
      </c>
      <c r="F68" s="64">
        <v>4.7</v>
      </c>
      <c r="G68" s="64">
        <v>25.29</v>
      </c>
      <c r="H68" s="64">
        <v>16.46</v>
      </c>
      <c r="I68" s="64">
        <v>1.27</v>
      </c>
      <c r="J68" s="64">
        <v>0.56000000000000005</v>
      </c>
      <c r="K68" s="64">
        <v>151.19999999999999</v>
      </c>
      <c r="L68" s="64">
        <v>22.48</v>
      </c>
      <c r="M68" s="64">
        <v>98.59</v>
      </c>
      <c r="N68" s="64">
        <v>44.3</v>
      </c>
      <c r="O68" s="64">
        <v>0</v>
      </c>
      <c r="P68" s="64">
        <v>0.4</v>
      </c>
      <c r="Q68" s="64">
        <v>9.39</v>
      </c>
      <c r="R68" s="198"/>
      <c r="S68" s="198"/>
      <c r="T68" s="198"/>
      <c r="U68" s="198"/>
    </row>
    <row r="69" spans="1:21" s="12" customFormat="1" x14ac:dyDescent="0.25">
      <c r="A69" s="214" t="s">
        <v>1746</v>
      </c>
      <c r="B69" s="64">
        <v>11.83</v>
      </c>
      <c r="C69" s="64">
        <v>6.81</v>
      </c>
      <c r="D69" s="64">
        <v>13.05</v>
      </c>
      <c r="E69" s="64">
        <v>4.16</v>
      </c>
      <c r="F69" s="64">
        <v>5.99</v>
      </c>
      <c r="G69" s="64">
        <v>22.09</v>
      </c>
      <c r="H69" s="64">
        <v>15.31</v>
      </c>
      <c r="I69" s="64">
        <v>1.36</v>
      </c>
      <c r="J69" s="64">
        <v>0.46</v>
      </c>
      <c r="K69" s="64">
        <v>157.13</v>
      </c>
      <c r="L69" s="64">
        <v>22.35</v>
      </c>
      <c r="M69" s="64">
        <v>98.59</v>
      </c>
      <c r="N69" s="64">
        <v>44.4</v>
      </c>
      <c r="O69" s="64">
        <v>0</v>
      </c>
      <c r="P69" s="64">
        <v>0.4</v>
      </c>
      <c r="Q69" s="64">
        <v>9.3800000000000008</v>
      </c>
      <c r="R69" s="198"/>
      <c r="S69" s="198"/>
      <c r="T69" s="198"/>
      <c r="U69" s="198"/>
    </row>
    <row r="70" spans="1:21" s="12" customFormat="1" x14ac:dyDescent="0.25">
      <c r="A70" s="214" t="s">
        <v>1747</v>
      </c>
      <c r="B70" s="64">
        <v>11.95</v>
      </c>
      <c r="C70" s="64">
        <v>9.48</v>
      </c>
      <c r="D70" s="64">
        <v>14.53</v>
      </c>
      <c r="E70" s="64">
        <v>4.28</v>
      </c>
      <c r="F70" s="64">
        <v>6.46</v>
      </c>
      <c r="G70" s="64">
        <v>22.09</v>
      </c>
      <c r="H70" s="64">
        <v>15.31</v>
      </c>
      <c r="I70" s="64">
        <v>1.33</v>
      </c>
      <c r="J70" s="64">
        <v>0.48</v>
      </c>
      <c r="K70" s="64">
        <v>153.59</v>
      </c>
      <c r="L70" s="64">
        <v>22.37</v>
      </c>
      <c r="M70" s="64">
        <v>98.58</v>
      </c>
      <c r="N70" s="64">
        <v>46.1</v>
      </c>
      <c r="O70" s="64">
        <v>0</v>
      </c>
      <c r="P70" s="64">
        <v>0.37</v>
      </c>
      <c r="Q70" s="64">
        <v>9.4</v>
      </c>
      <c r="R70" s="198"/>
      <c r="S70" s="198"/>
      <c r="T70" s="198"/>
      <c r="U70" s="198"/>
    </row>
    <row r="71" spans="1:21" s="12" customFormat="1" x14ac:dyDescent="0.25">
      <c r="A71" s="214" t="s">
        <v>1748</v>
      </c>
      <c r="B71" s="64">
        <v>11.21</v>
      </c>
      <c r="C71" s="64">
        <v>12.87</v>
      </c>
      <c r="D71" s="64">
        <v>15.72</v>
      </c>
      <c r="E71" s="64">
        <v>3.82</v>
      </c>
      <c r="F71" s="64">
        <v>6.76</v>
      </c>
      <c r="G71" s="64">
        <v>22.09</v>
      </c>
      <c r="H71" s="64">
        <v>15.31</v>
      </c>
      <c r="I71" s="64">
        <v>1.25</v>
      </c>
      <c r="J71" s="64">
        <v>0.25</v>
      </c>
      <c r="K71" s="64">
        <v>180.94</v>
      </c>
      <c r="L71" s="64">
        <v>22.4</v>
      </c>
      <c r="M71" s="64">
        <v>98.58</v>
      </c>
      <c r="N71" s="64">
        <v>47.5</v>
      </c>
      <c r="O71" s="64">
        <v>0</v>
      </c>
      <c r="P71" s="64">
        <v>0.35</v>
      </c>
      <c r="Q71" s="64">
        <v>9.42</v>
      </c>
      <c r="R71" s="198"/>
      <c r="S71" s="198"/>
      <c r="T71" s="198"/>
      <c r="U71" s="198"/>
    </row>
    <row r="72" spans="1:21" s="12" customFormat="1" x14ac:dyDescent="0.25">
      <c r="A72" s="214" t="s">
        <v>1749</v>
      </c>
      <c r="B72" s="64">
        <v>10.58</v>
      </c>
      <c r="C72" s="64">
        <v>10.89</v>
      </c>
      <c r="D72" s="64">
        <v>14.17</v>
      </c>
      <c r="E72" s="64">
        <v>3.89</v>
      </c>
      <c r="F72" s="64">
        <v>6.18</v>
      </c>
      <c r="G72" s="64">
        <v>19.739999999999998</v>
      </c>
      <c r="H72" s="64">
        <v>11.82</v>
      </c>
      <c r="I72" s="64">
        <v>1.26</v>
      </c>
      <c r="J72" s="64">
        <v>0.28000000000000003</v>
      </c>
      <c r="K72" s="64">
        <v>180.42</v>
      </c>
      <c r="L72" s="64">
        <v>22.45</v>
      </c>
      <c r="M72" s="64">
        <v>98.58</v>
      </c>
      <c r="N72" s="64">
        <v>49</v>
      </c>
      <c r="O72" s="64">
        <v>0</v>
      </c>
      <c r="P72" s="64">
        <v>0.37</v>
      </c>
      <c r="Q72" s="64">
        <v>9.43</v>
      </c>
      <c r="R72" s="198"/>
      <c r="S72" s="198"/>
      <c r="T72" s="198"/>
      <c r="U72" s="198"/>
    </row>
    <row r="73" spans="1:21" s="12" customFormat="1" x14ac:dyDescent="0.25">
      <c r="A73" s="214" t="s">
        <v>1750</v>
      </c>
      <c r="B73" s="64">
        <v>11.11</v>
      </c>
      <c r="C73" s="64">
        <v>13.28</v>
      </c>
      <c r="D73" s="64">
        <v>15.84</v>
      </c>
      <c r="E73" s="64">
        <v>4.0999999999999996</v>
      </c>
      <c r="F73" s="64">
        <v>5.87</v>
      </c>
      <c r="G73" s="64">
        <v>17.87</v>
      </c>
      <c r="H73" s="64">
        <v>10.07</v>
      </c>
      <c r="I73" s="64">
        <v>1.27</v>
      </c>
      <c r="J73" s="64">
        <v>0.14000000000000001</v>
      </c>
      <c r="K73" s="64">
        <v>126.13</v>
      </c>
      <c r="L73" s="64">
        <v>22.58</v>
      </c>
      <c r="M73" s="64">
        <v>98.58</v>
      </c>
      <c r="N73" s="64">
        <v>48.3</v>
      </c>
      <c r="O73" s="64">
        <v>0</v>
      </c>
      <c r="P73" s="64">
        <v>0.35</v>
      </c>
      <c r="Q73" s="64">
        <v>9.44</v>
      </c>
      <c r="R73" s="198"/>
      <c r="S73" s="198"/>
      <c r="T73" s="198"/>
      <c r="U73" s="198"/>
    </row>
    <row r="74" spans="1:21" s="12" customFormat="1" x14ac:dyDescent="0.25">
      <c r="A74" s="214" t="s">
        <v>1751</v>
      </c>
      <c r="B74" s="64">
        <v>10.54</v>
      </c>
      <c r="C74" s="64">
        <v>10.19</v>
      </c>
      <c r="D74" s="64">
        <v>13.77</v>
      </c>
      <c r="E74" s="64">
        <v>4.57</v>
      </c>
      <c r="F74" s="64">
        <v>4.84</v>
      </c>
      <c r="G74" s="64">
        <v>17.87</v>
      </c>
      <c r="H74" s="64">
        <v>10.07</v>
      </c>
      <c r="I74" s="64">
        <v>1.28</v>
      </c>
      <c r="J74" s="64">
        <v>0.33</v>
      </c>
      <c r="K74" s="64">
        <v>173.73</v>
      </c>
      <c r="L74" s="64">
        <v>22.62</v>
      </c>
      <c r="M74" s="64">
        <v>98.58</v>
      </c>
      <c r="N74" s="64">
        <v>47.6</v>
      </c>
      <c r="O74" s="64">
        <v>0</v>
      </c>
      <c r="P74" s="64">
        <v>0.37</v>
      </c>
      <c r="Q74" s="64">
        <v>9.4499999999999993</v>
      </c>
      <c r="R74" s="198"/>
      <c r="S74" s="198"/>
      <c r="T74" s="198"/>
      <c r="U74" s="198"/>
    </row>
    <row r="75" spans="1:21" s="12" customFormat="1" x14ac:dyDescent="0.25">
      <c r="A75" s="214" t="s">
        <v>1752</v>
      </c>
      <c r="B75" s="64">
        <v>11.75</v>
      </c>
      <c r="C75" s="64">
        <v>8.81</v>
      </c>
      <c r="D75" s="64">
        <v>14.02</v>
      </c>
      <c r="E75" s="64">
        <v>4.2699999999999996</v>
      </c>
      <c r="F75" s="64">
        <v>3.36</v>
      </c>
      <c r="G75" s="64">
        <v>17.87</v>
      </c>
      <c r="H75" s="64">
        <v>10.07</v>
      </c>
      <c r="I75" s="64">
        <v>1.37</v>
      </c>
      <c r="J75" s="64">
        <v>0.75</v>
      </c>
      <c r="K75" s="64">
        <v>153.26</v>
      </c>
      <c r="L75" s="64">
        <v>22.6</v>
      </c>
      <c r="M75" s="64">
        <v>98.56</v>
      </c>
      <c r="N75" s="64">
        <v>47.7</v>
      </c>
      <c r="O75" s="64">
        <v>0</v>
      </c>
      <c r="P75" s="64">
        <v>0.38</v>
      </c>
      <c r="Q75" s="64">
        <v>9.4499999999999993</v>
      </c>
      <c r="R75" s="198"/>
      <c r="S75" s="198"/>
      <c r="T75" s="198"/>
      <c r="U75" s="198"/>
    </row>
    <row r="76" spans="1:21" s="12" customFormat="1" x14ac:dyDescent="0.25">
      <c r="A76" s="214" t="s">
        <v>1753</v>
      </c>
      <c r="B76" s="64">
        <v>10.25</v>
      </c>
      <c r="C76" s="64">
        <v>10.09</v>
      </c>
      <c r="D76" s="64">
        <v>13.49</v>
      </c>
      <c r="E76" s="64">
        <v>4.03</v>
      </c>
      <c r="F76" s="64">
        <v>6.09</v>
      </c>
      <c r="G76" s="64">
        <v>15.14</v>
      </c>
      <c r="H76" s="64">
        <v>8.7100000000000009</v>
      </c>
      <c r="I76" s="64">
        <v>1.36</v>
      </c>
      <c r="J76" s="64">
        <v>0.12</v>
      </c>
      <c r="K76" s="64">
        <v>183.21</v>
      </c>
      <c r="L76" s="64">
        <v>22.66</v>
      </c>
      <c r="M76" s="64">
        <v>98.55</v>
      </c>
      <c r="N76" s="64">
        <v>42.5</v>
      </c>
      <c r="O76" s="64">
        <v>0</v>
      </c>
      <c r="P76" s="64">
        <v>0.33</v>
      </c>
      <c r="Q76" s="64">
        <v>9.4499999999999993</v>
      </c>
      <c r="R76" s="198"/>
      <c r="S76" s="198"/>
      <c r="T76" s="198"/>
      <c r="U76" s="198"/>
    </row>
    <row r="77" spans="1:21" s="12" customFormat="1" x14ac:dyDescent="0.25">
      <c r="A77" s="214" t="s">
        <v>1754</v>
      </c>
      <c r="B77" s="64">
        <v>11.07</v>
      </c>
      <c r="C77" s="64">
        <v>8.09</v>
      </c>
      <c r="D77" s="64">
        <v>13.1</v>
      </c>
      <c r="E77" s="64">
        <v>4.17</v>
      </c>
      <c r="F77" s="64">
        <v>3.63</v>
      </c>
      <c r="G77" s="64">
        <v>13.06</v>
      </c>
      <c r="H77" s="64">
        <v>7.95</v>
      </c>
      <c r="I77" s="64">
        <v>1.38</v>
      </c>
      <c r="J77" s="64">
        <v>0.26</v>
      </c>
      <c r="K77" s="64">
        <v>169.8</v>
      </c>
      <c r="L77" s="64">
        <v>22.69</v>
      </c>
      <c r="M77" s="64">
        <v>98.55</v>
      </c>
      <c r="N77" s="64">
        <v>39.6</v>
      </c>
      <c r="O77" s="64">
        <v>0</v>
      </c>
      <c r="P77" s="64">
        <v>0.39</v>
      </c>
      <c r="Q77" s="64">
        <v>9.43</v>
      </c>
      <c r="R77" s="198"/>
      <c r="S77" s="198"/>
      <c r="T77" s="198"/>
      <c r="U77" s="198"/>
    </row>
    <row r="78" spans="1:21" s="12" customFormat="1" x14ac:dyDescent="0.25">
      <c r="A78" s="214" t="s">
        <v>1755</v>
      </c>
      <c r="B78" s="64">
        <v>12.47</v>
      </c>
      <c r="C78" s="64">
        <v>6.1</v>
      </c>
      <c r="D78" s="64">
        <v>13.19</v>
      </c>
      <c r="E78" s="64">
        <v>4.46</v>
      </c>
      <c r="F78" s="64">
        <v>6.61</v>
      </c>
      <c r="G78" s="64">
        <v>13.06</v>
      </c>
      <c r="H78" s="64">
        <v>7.95</v>
      </c>
      <c r="I78" s="64">
        <v>1.45</v>
      </c>
      <c r="J78" s="64">
        <v>0.55000000000000004</v>
      </c>
      <c r="K78" s="64">
        <v>156.85</v>
      </c>
      <c r="L78" s="64">
        <v>22.81</v>
      </c>
      <c r="M78" s="64">
        <v>98.56</v>
      </c>
      <c r="N78" s="64">
        <v>35.6</v>
      </c>
      <c r="O78" s="64">
        <v>0</v>
      </c>
      <c r="P78" s="64">
        <v>0.38</v>
      </c>
      <c r="Q78" s="64">
        <v>9.42</v>
      </c>
      <c r="R78" s="198"/>
      <c r="S78" s="198"/>
      <c r="T78" s="198"/>
      <c r="U78" s="198"/>
    </row>
    <row r="79" spans="1:21" s="12" customFormat="1" x14ac:dyDescent="0.25">
      <c r="A79" s="214" t="s">
        <v>1756</v>
      </c>
      <c r="B79" s="64">
        <v>12.6</v>
      </c>
      <c r="C79" s="64">
        <v>5.35</v>
      </c>
      <c r="D79" s="64">
        <v>12.9</v>
      </c>
      <c r="E79" s="64">
        <v>4</v>
      </c>
      <c r="F79" s="64">
        <v>8.02</v>
      </c>
      <c r="G79" s="64">
        <v>13.06</v>
      </c>
      <c r="H79" s="64">
        <v>7.95</v>
      </c>
      <c r="I79" s="64">
        <v>1.36</v>
      </c>
      <c r="J79" s="64">
        <v>0.42</v>
      </c>
      <c r="K79" s="64">
        <v>147.79</v>
      </c>
      <c r="L79" s="64">
        <v>22.87</v>
      </c>
      <c r="M79" s="64">
        <v>98.58</v>
      </c>
      <c r="N79" s="64">
        <v>31.7</v>
      </c>
      <c r="O79" s="64">
        <v>0</v>
      </c>
      <c r="P79" s="64">
        <v>0.39</v>
      </c>
      <c r="Q79" s="64">
        <v>9.41</v>
      </c>
      <c r="R79" s="198"/>
      <c r="S79" s="198"/>
      <c r="T79" s="198"/>
      <c r="U79" s="198"/>
    </row>
    <row r="80" spans="1:21" s="12" customFormat="1" x14ac:dyDescent="0.25">
      <c r="A80" s="214" t="s">
        <v>1757</v>
      </c>
      <c r="B80" s="64">
        <v>11.19</v>
      </c>
      <c r="C80" s="64">
        <v>8.0399999999999991</v>
      </c>
      <c r="D80" s="64">
        <v>13.17</v>
      </c>
      <c r="E80" s="64">
        <v>4.3499999999999996</v>
      </c>
      <c r="F80" s="64">
        <v>7.19</v>
      </c>
      <c r="G80" s="64">
        <v>13.4</v>
      </c>
      <c r="H80" s="64">
        <v>22.55</v>
      </c>
      <c r="I80" s="64">
        <v>1.29</v>
      </c>
      <c r="J80" s="64">
        <v>0.55000000000000004</v>
      </c>
      <c r="K80" s="64">
        <v>146.78</v>
      </c>
      <c r="L80" s="64">
        <v>22.86</v>
      </c>
      <c r="M80" s="64">
        <v>98.58</v>
      </c>
      <c r="N80" s="64">
        <v>29.5</v>
      </c>
      <c r="O80" s="64">
        <v>0</v>
      </c>
      <c r="P80" s="64">
        <v>0.36</v>
      </c>
      <c r="Q80" s="64">
        <v>9.41</v>
      </c>
      <c r="R80" s="198"/>
      <c r="S80" s="198"/>
      <c r="T80" s="198"/>
      <c r="U80" s="198"/>
    </row>
    <row r="81" spans="1:26" s="12" customFormat="1" x14ac:dyDescent="0.25">
      <c r="A81" s="214" t="s">
        <v>1758</v>
      </c>
      <c r="B81" s="64">
        <v>11.81</v>
      </c>
      <c r="C81" s="64">
        <v>5.85</v>
      </c>
      <c r="D81" s="64">
        <v>12.53</v>
      </c>
      <c r="E81" s="64">
        <v>4.13</v>
      </c>
      <c r="F81" s="64">
        <v>5.39</v>
      </c>
      <c r="G81" s="64">
        <v>13.66</v>
      </c>
      <c r="H81" s="64">
        <v>23.67</v>
      </c>
      <c r="I81" s="64">
        <v>1.29</v>
      </c>
      <c r="J81" s="64">
        <v>0.33</v>
      </c>
      <c r="K81" s="64">
        <v>167.63</v>
      </c>
      <c r="L81" s="64">
        <v>22.82</v>
      </c>
      <c r="M81" s="64">
        <v>98.58</v>
      </c>
      <c r="N81" s="64">
        <v>28.5</v>
      </c>
      <c r="O81" s="64">
        <v>0</v>
      </c>
      <c r="P81" s="64">
        <v>0.39</v>
      </c>
      <c r="Q81" s="64">
        <v>9.41</v>
      </c>
      <c r="R81" s="198"/>
      <c r="S81" s="198"/>
      <c r="T81" s="198"/>
      <c r="U81" s="198"/>
    </row>
    <row r="82" spans="1:26" s="12" customFormat="1" x14ac:dyDescent="0.25">
      <c r="A82" s="214" t="s">
        <v>1759</v>
      </c>
      <c r="B82" s="64">
        <v>11.53</v>
      </c>
      <c r="C82" s="64">
        <v>6.3</v>
      </c>
      <c r="D82" s="64">
        <v>12.54</v>
      </c>
      <c r="E82" s="64">
        <v>4.3899999999999997</v>
      </c>
      <c r="F82" s="64">
        <v>6.26</v>
      </c>
      <c r="G82" s="64">
        <v>13.66</v>
      </c>
      <c r="H82" s="64">
        <v>23.67</v>
      </c>
      <c r="I82" s="64">
        <v>1.29</v>
      </c>
      <c r="J82" s="64">
        <v>0.34</v>
      </c>
      <c r="K82" s="64">
        <v>160.46</v>
      </c>
      <c r="L82" s="64">
        <v>22.86</v>
      </c>
      <c r="M82" s="64">
        <v>98.58</v>
      </c>
      <c r="N82" s="64">
        <v>28.2</v>
      </c>
      <c r="O82" s="64">
        <v>0</v>
      </c>
      <c r="P82" s="64">
        <v>0.37</v>
      </c>
      <c r="Q82" s="64">
        <v>9.42</v>
      </c>
      <c r="R82" s="198"/>
      <c r="S82" s="198"/>
      <c r="T82" s="198"/>
      <c r="U82" s="198"/>
    </row>
    <row r="83" spans="1:26" s="12" customFormat="1" x14ac:dyDescent="0.25">
      <c r="A83" s="214" t="s">
        <v>1760</v>
      </c>
      <c r="B83" s="64">
        <v>10.86</v>
      </c>
      <c r="C83" s="64">
        <v>6.72</v>
      </c>
      <c r="D83" s="64">
        <v>12.22</v>
      </c>
      <c r="E83" s="64">
        <v>3.87</v>
      </c>
      <c r="F83" s="64">
        <v>7.53</v>
      </c>
      <c r="G83" s="64">
        <v>13.66</v>
      </c>
      <c r="H83" s="64">
        <v>23.67</v>
      </c>
      <c r="I83" s="64">
        <v>1.29</v>
      </c>
      <c r="J83" s="64">
        <v>0.34</v>
      </c>
      <c r="K83" s="64">
        <v>149.26</v>
      </c>
      <c r="L83" s="64">
        <v>22.89</v>
      </c>
      <c r="M83" s="64">
        <v>98.58</v>
      </c>
      <c r="N83" s="64">
        <v>28.1</v>
      </c>
      <c r="O83" s="64">
        <v>0</v>
      </c>
      <c r="P83" s="64">
        <v>0.38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4" t="s">
        <v>1761</v>
      </c>
      <c r="B84" s="64">
        <v>10.56</v>
      </c>
      <c r="C84" s="64">
        <v>7.53</v>
      </c>
      <c r="D84" s="64">
        <v>12.4</v>
      </c>
      <c r="E84" s="64">
        <v>4.21</v>
      </c>
      <c r="F84" s="64">
        <v>5.84</v>
      </c>
      <c r="G84" s="64">
        <v>13.44</v>
      </c>
      <c r="H84" s="64">
        <v>15.21</v>
      </c>
      <c r="I84" s="64">
        <v>1.3</v>
      </c>
      <c r="J84" s="64">
        <v>0.54</v>
      </c>
      <c r="K84" s="64">
        <v>148.07</v>
      </c>
      <c r="L84" s="64">
        <v>22.92</v>
      </c>
      <c r="M84" s="64">
        <v>98.58</v>
      </c>
      <c r="N84" s="64">
        <v>28</v>
      </c>
      <c r="O84" s="64">
        <v>0</v>
      </c>
      <c r="P84" s="64">
        <v>0.38</v>
      </c>
      <c r="Q84" s="64">
        <v>9.4</v>
      </c>
      <c r="R84" s="198"/>
      <c r="S84" s="198"/>
      <c r="T84" s="198"/>
      <c r="U84" s="198"/>
    </row>
    <row r="85" spans="1:26" s="12" customFormat="1" x14ac:dyDescent="0.25">
      <c r="A85" s="214" t="s">
        <v>1762</v>
      </c>
      <c r="B85" s="64">
        <v>11.52</v>
      </c>
      <c r="C85" s="64">
        <v>9.25</v>
      </c>
      <c r="D85" s="64">
        <v>14.08</v>
      </c>
      <c r="E85" s="64">
        <v>3.99</v>
      </c>
      <c r="F85" s="64">
        <v>8.56</v>
      </c>
      <c r="G85" s="64">
        <v>13.27</v>
      </c>
      <c r="H85" s="64">
        <v>14.63</v>
      </c>
      <c r="I85" s="64">
        <v>1.31</v>
      </c>
      <c r="J85" s="64">
        <v>0.57999999999999996</v>
      </c>
      <c r="K85" s="64">
        <v>136.85</v>
      </c>
      <c r="L85" s="64">
        <v>22.96</v>
      </c>
      <c r="M85" s="64">
        <v>98.58</v>
      </c>
      <c r="N85" s="64">
        <v>28.1</v>
      </c>
      <c r="O85" s="64">
        <v>0</v>
      </c>
      <c r="P85" s="64">
        <v>0.37</v>
      </c>
      <c r="Q85" s="64">
        <v>9.4</v>
      </c>
      <c r="R85" s="198"/>
      <c r="S85" s="198"/>
      <c r="T85" s="198"/>
      <c r="U85" s="198"/>
    </row>
    <row r="86" spans="1:26" s="12" customFormat="1" x14ac:dyDescent="0.25">
      <c r="A86" s="214" t="s">
        <v>1763</v>
      </c>
      <c r="B86" s="64">
        <v>11.63</v>
      </c>
      <c r="C86" s="64">
        <v>8.24</v>
      </c>
      <c r="D86" s="64">
        <v>13.63</v>
      </c>
      <c r="E86" s="64">
        <v>3.83</v>
      </c>
      <c r="F86" s="64">
        <v>5.61</v>
      </c>
      <c r="G86" s="64">
        <v>13.27</v>
      </c>
      <c r="H86" s="64">
        <v>14.63</v>
      </c>
      <c r="I86" s="64">
        <v>1.32</v>
      </c>
      <c r="J86" s="64">
        <v>0.55000000000000004</v>
      </c>
      <c r="K86" s="64">
        <v>135.71</v>
      </c>
      <c r="L86" s="64">
        <v>22.99</v>
      </c>
      <c r="M86" s="64">
        <v>98.58</v>
      </c>
      <c r="N86" s="64">
        <v>28.2</v>
      </c>
      <c r="O86" s="64">
        <v>0</v>
      </c>
      <c r="P86" s="64">
        <v>0.38</v>
      </c>
      <c r="Q86" s="64">
        <v>9.39</v>
      </c>
      <c r="R86" s="198"/>
      <c r="S86" s="198"/>
      <c r="T86" s="198"/>
      <c r="U86" s="198"/>
    </row>
    <row r="87" spans="1:26" s="12" customFormat="1" x14ac:dyDescent="0.25">
      <c r="A87" s="214" t="s">
        <v>1764</v>
      </c>
      <c r="B87" s="64">
        <v>11.2</v>
      </c>
      <c r="C87" s="64">
        <v>8.2899999999999991</v>
      </c>
      <c r="D87" s="64">
        <v>13.31</v>
      </c>
      <c r="E87" s="64">
        <v>4.07</v>
      </c>
      <c r="F87" s="64">
        <v>6.81</v>
      </c>
      <c r="G87" s="64">
        <v>13.27</v>
      </c>
      <c r="H87" s="64">
        <v>14.63</v>
      </c>
      <c r="I87" s="64">
        <v>1.33</v>
      </c>
      <c r="J87" s="64">
        <v>0.26</v>
      </c>
      <c r="K87" s="64">
        <v>135.69999999999999</v>
      </c>
      <c r="L87" s="64">
        <v>23.03</v>
      </c>
      <c r="M87" s="64">
        <v>98.58</v>
      </c>
      <c r="N87" s="64">
        <v>28</v>
      </c>
      <c r="O87" s="64">
        <v>0</v>
      </c>
      <c r="P87" s="64">
        <v>0.43</v>
      </c>
      <c r="Q87" s="64">
        <v>9.41</v>
      </c>
      <c r="R87" s="198"/>
      <c r="S87" s="198"/>
      <c r="T87" s="198"/>
      <c r="U87" s="198"/>
    </row>
    <row r="88" spans="1:26" s="12" customFormat="1" x14ac:dyDescent="0.25">
      <c r="A88" s="214" t="s">
        <v>1765</v>
      </c>
      <c r="B88" s="64">
        <v>28.7</v>
      </c>
      <c r="C88" s="64">
        <v>8.9</v>
      </c>
      <c r="D88" s="64">
        <v>27.65</v>
      </c>
      <c r="E88" s="64">
        <v>4.2</v>
      </c>
      <c r="F88" s="64">
        <v>6.03</v>
      </c>
      <c r="G88" s="64">
        <v>12.97</v>
      </c>
      <c r="H88" s="64">
        <v>11.05</v>
      </c>
      <c r="I88" s="64">
        <v>1.32</v>
      </c>
      <c r="J88" s="64">
        <v>0.12</v>
      </c>
      <c r="K88" s="64">
        <v>330.01</v>
      </c>
      <c r="L88" s="64">
        <v>23.08</v>
      </c>
      <c r="M88" s="64">
        <v>98.57</v>
      </c>
      <c r="N88" s="64">
        <v>28</v>
      </c>
      <c r="O88" s="64">
        <v>0</v>
      </c>
      <c r="P88" s="64">
        <v>1.07</v>
      </c>
      <c r="Q88" s="64">
        <v>9.42</v>
      </c>
      <c r="R88" s="198"/>
      <c r="S88" s="198"/>
      <c r="T88" s="198"/>
      <c r="U88" s="198"/>
    </row>
    <row r="89" spans="1:26" s="12" customFormat="1" x14ac:dyDescent="0.25">
      <c r="A89" s="214" t="s">
        <v>1766</v>
      </c>
      <c r="B89" s="64">
        <v>15.04</v>
      </c>
      <c r="C89" s="64">
        <v>8.9</v>
      </c>
      <c r="D89" s="64">
        <v>16.71</v>
      </c>
      <c r="E89" s="64">
        <v>4.47</v>
      </c>
      <c r="F89" s="64">
        <v>7.09</v>
      </c>
      <c r="G89" s="64">
        <v>12.74</v>
      </c>
      <c r="H89" s="64">
        <v>10.45</v>
      </c>
      <c r="I89" s="64">
        <v>1.32</v>
      </c>
      <c r="J89" s="64">
        <v>0.05</v>
      </c>
      <c r="K89" s="64">
        <v>237.01</v>
      </c>
      <c r="L89" s="64">
        <v>23.02</v>
      </c>
      <c r="M89" s="64">
        <v>98.57</v>
      </c>
      <c r="N89" s="64">
        <v>28</v>
      </c>
      <c r="O89" s="64">
        <v>0</v>
      </c>
      <c r="P89" s="64">
        <v>0.74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4" t="s">
        <v>1767</v>
      </c>
      <c r="B90" s="64">
        <v>10.71</v>
      </c>
      <c r="C90" s="64">
        <v>8.9499999999999993</v>
      </c>
      <c r="D90" s="64">
        <v>13.26</v>
      </c>
      <c r="E90" s="64">
        <v>4.2</v>
      </c>
      <c r="F90" s="64">
        <v>7.02</v>
      </c>
      <c r="G90" s="64">
        <v>12.74</v>
      </c>
      <c r="H90" s="64">
        <v>10.45</v>
      </c>
      <c r="I90" s="64">
        <v>1.35</v>
      </c>
      <c r="J90" s="64">
        <v>0.03</v>
      </c>
      <c r="K90" s="64">
        <v>216.3</v>
      </c>
      <c r="L90" s="64">
        <v>22.99</v>
      </c>
      <c r="M90" s="64">
        <v>98.57</v>
      </c>
      <c r="N90" s="64">
        <v>27.9</v>
      </c>
      <c r="O90" s="64">
        <v>0</v>
      </c>
      <c r="P90" s="64">
        <v>0.57999999999999996</v>
      </c>
      <c r="Q90" s="64">
        <v>9.49</v>
      </c>
      <c r="R90" s="198"/>
      <c r="S90" s="198"/>
      <c r="T90" s="198"/>
      <c r="U90" s="198"/>
    </row>
    <row r="91" spans="1:26" s="12" customFormat="1" x14ac:dyDescent="0.25">
      <c r="A91" s="214" t="s">
        <v>1768</v>
      </c>
      <c r="B91" s="64">
        <v>14.64</v>
      </c>
      <c r="C91" s="64">
        <v>9.91</v>
      </c>
      <c r="D91" s="64">
        <v>16.91</v>
      </c>
      <c r="E91" s="64">
        <v>4.25</v>
      </c>
      <c r="F91" s="64">
        <v>7.77</v>
      </c>
      <c r="G91" s="64">
        <v>12.74</v>
      </c>
      <c r="H91" s="64">
        <v>10.45</v>
      </c>
      <c r="I91" s="64">
        <v>1.39</v>
      </c>
      <c r="J91" s="64">
        <v>7.0000000000000007E-2</v>
      </c>
      <c r="K91" s="64">
        <v>174.89</v>
      </c>
      <c r="L91" s="64">
        <v>23.01</v>
      </c>
      <c r="M91" s="64">
        <v>98.57</v>
      </c>
      <c r="N91" s="64">
        <v>27.9</v>
      </c>
      <c r="O91" s="64">
        <v>0</v>
      </c>
      <c r="P91" s="64">
        <v>0.64</v>
      </c>
      <c r="Q91" s="64">
        <v>9.49</v>
      </c>
      <c r="R91" s="198"/>
      <c r="S91" s="198"/>
      <c r="T91" s="198"/>
      <c r="U91" s="198"/>
    </row>
    <row r="92" spans="1:26" s="12" customFormat="1" x14ac:dyDescent="0.25">
      <c r="A92" s="214" t="s">
        <v>1769</v>
      </c>
      <c r="B92" s="64">
        <v>14.27</v>
      </c>
      <c r="C92" s="64">
        <v>10.33</v>
      </c>
      <c r="D92" s="64">
        <v>16.84</v>
      </c>
      <c r="E92" s="64">
        <v>4.42</v>
      </c>
      <c r="F92" s="64">
        <v>5.8</v>
      </c>
      <c r="G92" s="64">
        <v>12.51</v>
      </c>
      <c r="H92" s="64">
        <v>9.34</v>
      </c>
      <c r="I92" s="64">
        <v>1.42</v>
      </c>
      <c r="J92" s="64">
        <v>0.08</v>
      </c>
      <c r="K92" s="64">
        <v>188.62</v>
      </c>
      <c r="L92" s="64">
        <v>22.98</v>
      </c>
      <c r="M92" s="64">
        <v>98.56</v>
      </c>
      <c r="N92" s="64">
        <v>28</v>
      </c>
      <c r="O92" s="64">
        <v>0</v>
      </c>
      <c r="P92" s="64">
        <v>0.44</v>
      </c>
      <c r="Q92" s="64">
        <v>9.49</v>
      </c>
      <c r="R92" s="198"/>
      <c r="S92" s="198"/>
      <c r="T92" s="198"/>
      <c r="U92" s="198"/>
    </row>
    <row r="93" spans="1:26" s="12" customFormat="1" x14ac:dyDescent="0.25">
      <c r="A93" s="214" t="s">
        <v>1770</v>
      </c>
      <c r="B93" s="64">
        <v>11.97</v>
      </c>
      <c r="C93" s="64">
        <v>8.6300000000000008</v>
      </c>
      <c r="D93" s="64">
        <v>14.11</v>
      </c>
      <c r="E93" s="64">
        <v>4.33</v>
      </c>
      <c r="F93" s="64">
        <v>6.36</v>
      </c>
      <c r="G93" s="64">
        <v>12.33</v>
      </c>
      <c r="H93" s="64">
        <v>8.4499999999999993</v>
      </c>
      <c r="I93" s="64">
        <v>1.44</v>
      </c>
      <c r="J93" s="64">
        <v>0.11</v>
      </c>
      <c r="K93" s="64">
        <v>120.96</v>
      </c>
      <c r="L93" s="64">
        <v>22.99</v>
      </c>
      <c r="M93" s="64">
        <v>98.55</v>
      </c>
      <c r="N93" s="64">
        <v>27.8</v>
      </c>
      <c r="O93" s="64">
        <v>0</v>
      </c>
      <c r="P93" s="64">
        <v>0.42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4" t="s">
        <v>1771</v>
      </c>
      <c r="B94" s="64">
        <v>14.3</v>
      </c>
      <c r="C94" s="64">
        <v>6.97</v>
      </c>
      <c r="D94" s="64">
        <v>15.11</v>
      </c>
      <c r="E94" s="64">
        <v>4.51</v>
      </c>
      <c r="F94" s="64">
        <v>6.69</v>
      </c>
      <c r="G94" s="64">
        <v>12.33</v>
      </c>
      <c r="H94" s="64">
        <v>8.4499999999999993</v>
      </c>
      <c r="I94" s="64">
        <v>1.45</v>
      </c>
      <c r="J94" s="64">
        <v>0.11</v>
      </c>
      <c r="K94" s="64">
        <v>133.74</v>
      </c>
      <c r="L94" s="64">
        <v>22.99</v>
      </c>
      <c r="M94" s="64">
        <v>98.55</v>
      </c>
      <c r="N94" s="64">
        <v>28</v>
      </c>
      <c r="O94" s="64">
        <v>0</v>
      </c>
      <c r="P94" s="64">
        <v>0.45</v>
      </c>
      <c r="Q94" s="64">
        <v>9.51</v>
      </c>
      <c r="R94" s="198"/>
      <c r="S94" s="198"/>
      <c r="T94" s="198"/>
      <c r="U94" s="198"/>
    </row>
    <row r="95" spans="1:26" s="12" customFormat="1" x14ac:dyDescent="0.25">
      <c r="A95" s="214" t="s">
        <v>1772</v>
      </c>
      <c r="B95" s="64">
        <v>12.49</v>
      </c>
      <c r="C95" s="64">
        <v>6.14</v>
      </c>
      <c r="D95" s="64">
        <v>13.23</v>
      </c>
      <c r="E95" s="64">
        <v>4.4800000000000004</v>
      </c>
      <c r="F95" s="64">
        <v>5.97</v>
      </c>
      <c r="G95" s="64">
        <v>12.33</v>
      </c>
      <c r="H95" s="64">
        <v>8.4499999999999993</v>
      </c>
      <c r="I95" s="64">
        <v>1.45</v>
      </c>
      <c r="J95" s="64">
        <v>0.5</v>
      </c>
      <c r="K95" s="64">
        <v>138.59</v>
      </c>
      <c r="L95" s="64">
        <v>23</v>
      </c>
      <c r="M95" s="64">
        <v>98.55</v>
      </c>
      <c r="N95" s="64">
        <v>28</v>
      </c>
      <c r="O95" s="64">
        <v>0</v>
      </c>
      <c r="P95" s="64">
        <v>0.43</v>
      </c>
      <c r="Q95" s="64">
        <v>9.49</v>
      </c>
      <c r="R95" s="198"/>
      <c r="S95" s="198"/>
      <c r="T95" s="198"/>
      <c r="U95" s="198"/>
    </row>
    <row r="96" spans="1:26" s="12" customFormat="1" x14ac:dyDescent="0.25">
      <c r="A96" s="214" t="s">
        <v>1773</v>
      </c>
      <c r="B96" s="64">
        <v>10.64</v>
      </c>
      <c r="C96" s="64">
        <v>6.3</v>
      </c>
      <c r="D96" s="64">
        <v>11.83</v>
      </c>
      <c r="E96" s="64">
        <v>4.4800000000000004</v>
      </c>
      <c r="F96" s="64">
        <v>7.38</v>
      </c>
      <c r="G96" s="64">
        <v>15.57</v>
      </c>
      <c r="H96" s="64">
        <v>16.23</v>
      </c>
      <c r="I96" s="64">
        <v>1.44</v>
      </c>
      <c r="J96" s="64">
        <v>0.81</v>
      </c>
      <c r="K96" s="64">
        <v>132.21</v>
      </c>
      <c r="L96" s="64">
        <v>23.01</v>
      </c>
      <c r="M96" s="64">
        <v>98.55</v>
      </c>
      <c r="N96" s="64">
        <v>28.1</v>
      </c>
      <c r="O96" s="64">
        <v>0</v>
      </c>
      <c r="P96" s="64">
        <v>0.37</v>
      </c>
      <c r="Q96" s="64">
        <v>9.4700000000000006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1774</v>
      </c>
      <c r="B97" s="64">
        <v>12.22</v>
      </c>
      <c r="C97" s="64">
        <v>5.16</v>
      </c>
      <c r="D97" s="64">
        <v>12.49</v>
      </c>
      <c r="E97" s="64">
        <v>4.28</v>
      </c>
      <c r="F97" s="64">
        <v>5.53</v>
      </c>
      <c r="G97" s="64">
        <v>18.04</v>
      </c>
      <c r="H97" s="64">
        <v>20.12</v>
      </c>
      <c r="I97" s="64">
        <v>1.42</v>
      </c>
      <c r="J97" s="64">
        <v>0.56000000000000005</v>
      </c>
      <c r="K97" s="64">
        <v>143.94</v>
      </c>
      <c r="L97" s="64">
        <v>22.99</v>
      </c>
      <c r="M97" s="64">
        <v>98.55</v>
      </c>
      <c r="N97" s="64">
        <v>28.3</v>
      </c>
      <c r="O97" s="64">
        <v>0</v>
      </c>
      <c r="P97" s="64">
        <v>0.43</v>
      </c>
      <c r="Q97" s="64">
        <v>9.4700000000000006</v>
      </c>
      <c r="R97" s="198"/>
      <c r="S97" s="198"/>
      <c r="T97" s="198"/>
      <c r="U97" s="198"/>
    </row>
    <row r="98" spans="1:33" s="12" customFormat="1" x14ac:dyDescent="0.25">
      <c r="A98" s="214" t="s">
        <v>1775</v>
      </c>
      <c r="B98" s="64">
        <v>11.7</v>
      </c>
      <c r="C98" s="64">
        <v>7.54</v>
      </c>
      <c r="D98" s="64">
        <v>13.32</v>
      </c>
      <c r="E98" s="64">
        <v>4.13</v>
      </c>
      <c r="F98" s="64">
        <v>8.0399999999999991</v>
      </c>
      <c r="G98" s="64">
        <v>18.04</v>
      </c>
      <c r="H98" s="64">
        <v>20.12</v>
      </c>
      <c r="I98" s="64">
        <v>1.4</v>
      </c>
      <c r="J98" s="64">
        <v>0.61</v>
      </c>
      <c r="K98" s="64">
        <v>146.22999999999999</v>
      </c>
      <c r="L98" s="64">
        <v>23.01</v>
      </c>
      <c r="M98" s="64">
        <v>98.55</v>
      </c>
      <c r="N98" s="64">
        <v>28.2</v>
      </c>
      <c r="O98" s="64">
        <v>0</v>
      </c>
      <c r="P98" s="64">
        <v>0.35</v>
      </c>
      <c r="Q98" s="64">
        <v>9.4600000000000009</v>
      </c>
      <c r="R98" s="198"/>
      <c r="S98" s="198"/>
      <c r="T98" s="198"/>
      <c r="U98" s="198"/>
    </row>
    <row r="99" spans="1:33" s="12" customFormat="1" x14ac:dyDescent="0.25">
      <c r="A99" s="214" t="s">
        <v>1776</v>
      </c>
      <c r="B99" s="64">
        <v>12.65</v>
      </c>
      <c r="C99" s="64">
        <v>6.41</v>
      </c>
      <c r="D99" s="64">
        <v>13.49</v>
      </c>
      <c r="E99" s="64">
        <v>4.08</v>
      </c>
      <c r="F99" s="64">
        <v>6.05</v>
      </c>
      <c r="G99" s="64">
        <v>18.04</v>
      </c>
      <c r="H99" s="64">
        <v>20.12</v>
      </c>
      <c r="I99" s="64">
        <v>1.39</v>
      </c>
      <c r="J99" s="64">
        <v>0.53</v>
      </c>
      <c r="K99" s="64">
        <v>149.94999999999999</v>
      </c>
      <c r="L99" s="64">
        <v>23.02</v>
      </c>
      <c r="M99" s="64">
        <v>98.55</v>
      </c>
      <c r="N99" s="64">
        <v>28.3</v>
      </c>
      <c r="O99" s="64">
        <v>0</v>
      </c>
      <c r="P99" s="64">
        <v>0.41</v>
      </c>
      <c r="Q99" s="64">
        <v>9.4499999999999993</v>
      </c>
      <c r="R99" s="198"/>
      <c r="S99" s="198"/>
      <c r="T99" s="198"/>
      <c r="U99" s="198"/>
    </row>
    <row r="100" spans="1:33" s="12" customFormat="1" x14ac:dyDescent="0.25">
      <c r="A100" s="214" t="s">
        <v>1777</v>
      </c>
      <c r="B100" s="64">
        <v>11.25</v>
      </c>
      <c r="C100" s="64">
        <v>6.28</v>
      </c>
      <c r="D100" s="64">
        <v>12.31</v>
      </c>
      <c r="E100" s="64">
        <v>3.86</v>
      </c>
      <c r="F100" s="64">
        <v>6.79</v>
      </c>
      <c r="G100" s="64">
        <v>16.579999999999998</v>
      </c>
      <c r="H100" s="64">
        <v>15.92</v>
      </c>
      <c r="I100" s="64">
        <v>1.38</v>
      </c>
      <c r="J100" s="64">
        <v>0.68</v>
      </c>
      <c r="K100" s="64">
        <v>150.28</v>
      </c>
      <c r="L100" s="64">
        <v>23</v>
      </c>
      <c r="M100" s="64">
        <v>98.53</v>
      </c>
      <c r="N100" s="64">
        <v>28.4</v>
      </c>
      <c r="O100" s="64">
        <v>0</v>
      </c>
      <c r="P100" s="64">
        <v>0.37</v>
      </c>
      <c r="Q100" s="64">
        <v>9.4499999999999993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1778</v>
      </c>
      <c r="B101" s="64">
        <v>11.78</v>
      </c>
      <c r="C101" s="64">
        <v>4.79</v>
      </c>
      <c r="D101" s="64">
        <v>11.95</v>
      </c>
      <c r="E101" s="64">
        <v>4</v>
      </c>
      <c r="F101" s="64">
        <v>4.25</v>
      </c>
      <c r="G101" s="64">
        <v>15.46</v>
      </c>
      <c r="H101" s="64">
        <v>15.24</v>
      </c>
      <c r="I101" s="64">
        <v>1.36</v>
      </c>
      <c r="J101" s="64">
        <v>0.56000000000000005</v>
      </c>
      <c r="K101" s="64">
        <v>149.85</v>
      </c>
      <c r="L101" s="64">
        <v>23.02</v>
      </c>
      <c r="M101" s="64">
        <v>98.53</v>
      </c>
      <c r="N101" s="64">
        <v>28.4</v>
      </c>
      <c r="O101" s="64">
        <v>0</v>
      </c>
      <c r="P101" s="64">
        <v>0.4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4" t="s">
        <v>1779</v>
      </c>
      <c r="B102" s="64">
        <v>10.08</v>
      </c>
      <c r="C102" s="64">
        <v>6.16</v>
      </c>
      <c r="D102" s="64">
        <v>11.3</v>
      </c>
      <c r="E102" s="64">
        <v>4.17</v>
      </c>
      <c r="F102" s="64">
        <v>3.96</v>
      </c>
      <c r="G102" s="64">
        <v>15.46</v>
      </c>
      <c r="H102" s="64">
        <v>15.24</v>
      </c>
      <c r="I102" s="64">
        <v>1.34</v>
      </c>
      <c r="J102" s="64">
        <v>0.56999999999999995</v>
      </c>
      <c r="K102" s="64">
        <v>147.72999999999999</v>
      </c>
      <c r="L102" s="64">
        <v>23.02</v>
      </c>
      <c r="M102" s="64">
        <v>98.53</v>
      </c>
      <c r="N102" s="64">
        <v>28.4</v>
      </c>
      <c r="O102" s="64">
        <v>0</v>
      </c>
      <c r="P102" s="64">
        <v>0.35</v>
      </c>
      <c r="Q102" s="64">
        <v>9.4499999999999993</v>
      </c>
      <c r="R102" s="198"/>
      <c r="S102" s="198"/>
      <c r="T102" s="198"/>
      <c r="U102" s="198"/>
    </row>
    <row r="103" spans="1:33" s="12" customFormat="1" x14ac:dyDescent="0.25">
      <c r="A103" s="214" t="s">
        <v>1780</v>
      </c>
      <c r="B103" s="64">
        <v>10.76</v>
      </c>
      <c r="C103" s="64">
        <v>5.64</v>
      </c>
      <c r="D103" s="64">
        <v>11.58</v>
      </c>
      <c r="E103" s="64">
        <v>4.1399999999999997</v>
      </c>
      <c r="F103" s="64">
        <v>4.38</v>
      </c>
      <c r="G103" s="64">
        <v>15.46</v>
      </c>
      <c r="H103" s="64">
        <v>15.24</v>
      </c>
      <c r="I103" s="64">
        <v>1.33</v>
      </c>
      <c r="J103" s="64">
        <v>0.41</v>
      </c>
      <c r="K103" s="64">
        <v>145.72999999999999</v>
      </c>
      <c r="L103" s="64">
        <v>23.03</v>
      </c>
      <c r="M103" s="64">
        <v>98.53</v>
      </c>
      <c r="N103" s="64">
        <v>28.3</v>
      </c>
      <c r="O103" s="64">
        <v>0</v>
      </c>
      <c r="P103" s="64">
        <v>0.35</v>
      </c>
      <c r="Q103" s="64">
        <v>9.4499999999999993</v>
      </c>
      <c r="R103" s="198"/>
      <c r="S103" s="198"/>
      <c r="T103" s="198"/>
      <c r="U103" s="198"/>
    </row>
    <row r="104" spans="1:33" s="12" customFormat="1" x14ac:dyDescent="0.25">
      <c r="A104" s="214" t="s">
        <v>1781</v>
      </c>
      <c r="B104" s="64">
        <v>10.02</v>
      </c>
      <c r="C104" s="64">
        <v>6.28</v>
      </c>
      <c r="D104" s="64">
        <v>11.31</v>
      </c>
      <c r="E104" s="64">
        <v>4.3899999999999997</v>
      </c>
      <c r="F104" s="64">
        <v>5.1100000000000003</v>
      </c>
      <c r="G104" s="64">
        <v>15.65</v>
      </c>
      <c r="H104" s="64">
        <v>14.52</v>
      </c>
      <c r="I104" s="64">
        <v>1.31</v>
      </c>
      <c r="J104" s="64">
        <v>0.17</v>
      </c>
      <c r="K104" s="64">
        <v>160.66999999999999</v>
      </c>
      <c r="L104" s="64">
        <v>23.01</v>
      </c>
      <c r="M104" s="64">
        <v>98.53</v>
      </c>
      <c r="N104" s="64">
        <v>28.2</v>
      </c>
      <c r="O104" s="64">
        <v>0</v>
      </c>
      <c r="P104" s="64">
        <v>0.32</v>
      </c>
      <c r="Q104" s="64">
        <v>9.43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8.94</v>
      </c>
      <c r="C106" s="67">
        <f>MIN(C9:C104)</f>
        <v>3.09</v>
      </c>
      <c r="D106" s="67">
        <f t="shared" ref="D106:Q106" si="0">MIN(D9:D104)</f>
        <v>10.3</v>
      </c>
      <c r="E106" s="67">
        <f t="shared" si="0"/>
        <v>3.81</v>
      </c>
      <c r="F106" s="67">
        <f t="shared" si="0"/>
        <v>2.78</v>
      </c>
      <c r="G106" s="67">
        <f t="shared" si="0"/>
        <v>9.3800000000000008</v>
      </c>
      <c r="H106" s="67">
        <f t="shared" si="0"/>
        <v>6.34</v>
      </c>
      <c r="I106" s="67">
        <f t="shared" si="0"/>
        <v>1.1100000000000001</v>
      </c>
      <c r="J106" s="67">
        <f t="shared" si="0"/>
        <v>0.02</v>
      </c>
      <c r="K106" s="67">
        <f t="shared" si="0"/>
        <v>9.4499999999999993</v>
      </c>
      <c r="L106" s="67">
        <f t="shared" si="0"/>
        <v>22.35</v>
      </c>
      <c r="M106" s="67">
        <f t="shared" si="0"/>
        <v>85.92</v>
      </c>
      <c r="N106" s="67">
        <f t="shared" si="0"/>
        <v>27.8</v>
      </c>
      <c r="O106" s="67">
        <f t="shared" si="0"/>
        <v>0</v>
      </c>
      <c r="P106" s="67">
        <f t="shared" si="0"/>
        <v>0.24</v>
      </c>
      <c r="Q106" s="67">
        <f t="shared" si="0"/>
        <v>9.3800000000000008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28.7</v>
      </c>
      <c r="C107" s="66">
        <f t="shared" ref="C107:Q107" si="1">MAX(C9:C104)</f>
        <v>15.17</v>
      </c>
      <c r="D107" s="66">
        <f t="shared" si="1"/>
        <v>27.65</v>
      </c>
      <c r="E107" s="66">
        <f t="shared" si="1"/>
        <v>5.18</v>
      </c>
      <c r="F107" s="66">
        <f t="shared" si="1"/>
        <v>11.02</v>
      </c>
      <c r="G107" s="66">
        <f t="shared" si="1"/>
        <v>35.369999999999997</v>
      </c>
      <c r="H107" s="66">
        <f t="shared" si="1"/>
        <v>39.15</v>
      </c>
      <c r="I107" s="66">
        <f t="shared" si="1"/>
        <v>2.14</v>
      </c>
      <c r="J107" s="66">
        <f t="shared" si="1"/>
        <v>1.01</v>
      </c>
      <c r="K107" s="66">
        <f t="shared" si="1"/>
        <v>353.36</v>
      </c>
      <c r="L107" s="66">
        <f t="shared" si="1"/>
        <v>30.17</v>
      </c>
      <c r="M107" s="66">
        <f t="shared" si="1"/>
        <v>98.63</v>
      </c>
      <c r="N107" s="66">
        <f t="shared" si="1"/>
        <v>712.1</v>
      </c>
      <c r="O107" s="66">
        <f t="shared" si="1"/>
        <v>0.2</v>
      </c>
      <c r="P107" s="66">
        <f t="shared" si="1"/>
        <v>1.07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12.413437500000002</v>
      </c>
      <c r="C108" s="67">
        <f t="shared" ref="C108:Q108" si="2">AVERAGE(C9:C104)</f>
        <v>7.2552083333333295</v>
      </c>
      <c r="D108" s="67">
        <f t="shared" si="2"/>
        <v>13.743541666666665</v>
      </c>
      <c r="E108" s="67">
        <f t="shared" si="2"/>
        <v>4.459791666666665</v>
      </c>
      <c r="F108" s="67">
        <f t="shared" si="2"/>
        <v>6.0096874999999983</v>
      </c>
      <c r="G108" s="67">
        <f t="shared" si="2"/>
        <v>18.571874999999988</v>
      </c>
      <c r="H108" s="67">
        <f t="shared" si="2"/>
        <v>13.717604166666669</v>
      </c>
      <c r="I108" s="67">
        <f t="shared" si="2"/>
        <v>1.381666666666667</v>
      </c>
      <c r="J108" s="67">
        <f t="shared" si="2"/>
        <v>0.31291666666666668</v>
      </c>
      <c r="K108" s="67">
        <f t="shared" si="2"/>
        <v>171.00374999999997</v>
      </c>
      <c r="L108" s="67">
        <f t="shared" si="2"/>
        <v>23.621041666666667</v>
      </c>
      <c r="M108" s="67">
        <f t="shared" si="2"/>
        <v>98.117916666666645</v>
      </c>
      <c r="N108" s="67">
        <f t="shared" si="2"/>
        <v>76.66562500000002</v>
      </c>
      <c r="O108" s="67">
        <f t="shared" si="2"/>
        <v>2.0833333333333333E-3</v>
      </c>
      <c r="P108" s="67">
        <f t="shared" si="2"/>
        <v>0.38541666666666674</v>
      </c>
      <c r="Q108" s="67">
        <f t="shared" si="2"/>
        <v>9.4941666666666666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2.6224395344491844</v>
      </c>
      <c r="C109" s="67">
        <f t="shared" ref="C109:Q109" si="3">STDEV(C9:C104)</f>
        <v>2.4431045733124872</v>
      </c>
      <c r="D109" s="67">
        <f t="shared" si="3"/>
        <v>2.3350780350610503</v>
      </c>
      <c r="E109" s="67">
        <f t="shared" si="3"/>
        <v>0.32170591070487986</v>
      </c>
      <c r="F109" s="67">
        <f t="shared" si="3"/>
        <v>1.7735723409785735</v>
      </c>
      <c r="G109" s="67">
        <f t="shared" si="3"/>
        <v>6.6045491997243255</v>
      </c>
      <c r="H109" s="67">
        <f t="shared" si="3"/>
        <v>7.600877476323876</v>
      </c>
      <c r="I109" s="67">
        <f t="shared" si="3"/>
        <v>0.23419589940527161</v>
      </c>
      <c r="J109" s="67">
        <f t="shared" si="3"/>
        <v>0.25432642376395231</v>
      </c>
      <c r="K109" s="67">
        <f t="shared" si="3"/>
        <v>67.958790628469956</v>
      </c>
      <c r="L109" s="67">
        <f t="shared" si="3"/>
        <v>1.6076432434609411</v>
      </c>
      <c r="M109" s="67">
        <f t="shared" si="3"/>
        <v>1.7193480506570646</v>
      </c>
      <c r="N109" s="67">
        <f t="shared" si="3"/>
        <v>104.0981114426244</v>
      </c>
      <c r="O109" s="67">
        <f t="shared" si="3"/>
        <v>2.0412414523193152E-2</v>
      </c>
      <c r="P109" s="67">
        <f t="shared" si="3"/>
        <v>0.10995613160343982</v>
      </c>
      <c r="Q109" s="67">
        <f t="shared" si="3"/>
        <v>7.7427951795835587E-2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22" sqref="F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1782</v>
      </c>
      <c r="B9" s="64">
        <v>8.74</v>
      </c>
      <c r="C9" s="64">
        <v>6.76</v>
      </c>
      <c r="D9" s="64">
        <v>10.54</v>
      </c>
      <c r="E9" s="64">
        <v>4.08</v>
      </c>
      <c r="F9" s="64">
        <v>5.73</v>
      </c>
      <c r="G9" s="64">
        <v>15.81</v>
      </c>
      <c r="H9" s="64">
        <v>13.07</v>
      </c>
      <c r="I9" s="64">
        <v>1.3</v>
      </c>
      <c r="J9" s="64">
        <v>0.06</v>
      </c>
      <c r="K9" s="64">
        <v>320.14</v>
      </c>
      <c r="L9" s="64">
        <v>23.04</v>
      </c>
      <c r="M9" s="64">
        <v>98.51</v>
      </c>
      <c r="N9" s="64">
        <v>28</v>
      </c>
      <c r="O9" s="64">
        <v>0</v>
      </c>
      <c r="P9" s="64">
        <v>0.28999999999999998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4" t="s">
        <v>1783</v>
      </c>
      <c r="B10" s="64">
        <v>8.85</v>
      </c>
      <c r="C10" s="64">
        <v>6.87</v>
      </c>
      <c r="D10" s="64">
        <v>10.69</v>
      </c>
      <c r="E10" s="64">
        <v>4.1900000000000004</v>
      </c>
      <c r="F10" s="64">
        <v>6.54</v>
      </c>
      <c r="G10" s="64">
        <v>15.81</v>
      </c>
      <c r="H10" s="64">
        <v>13.07</v>
      </c>
      <c r="I10" s="64">
        <v>1.28</v>
      </c>
      <c r="J10" s="64">
        <v>0.04</v>
      </c>
      <c r="K10" s="64">
        <v>188.73</v>
      </c>
      <c r="L10" s="64">
        <v>22.99</v>
      </c>
      <c r="M10" s="64">
        <v>98.5</v>
      </c>
      <c r="N10" s="64">
        <v>28</v>
      </c>
      <c r="O10" s="64">
        <v>0</v>
      </c>
      <c r="P10" s="64">
        <v>0.28000000000000003</v>
      </c>
      <c r="Q10" s="64">
        <v>9.4600000000000009</v>
      </c>
      <c r="R10" s="198"/>
      <c r="S10" s="198"/>
      <c r="T10" s="198"/>
      <c r="U10" s="198"/>
    </row>
    <row r="11" spans="1:21" s="12" customFormat="1" x14ac:dyDescent="0.25">
      <c r="A11" s="214" t="s">
        <v>1784</v>
      </c>
      <c r="B11" s="64">
        <v>8.81</v>
      </c>
      <c r="C11" s="64">
        <v>6.54</v>
      </c>
      <c r="D11" s="64">
        <v>10.48</v>
      </c>
      <c r="E11" s="64">
        <v>4.17</v>
      </c>
      <c r="F11" s="64">
        <v>6.76</v>
      </c>
      <c r="G11" s="64">
        <v>15.81</v>
      </c>
      <c r="H11" s="64">
        <v>13.07</v>
      </c>
      <c r="I11" s="64">
        <v>1.27</v>
      </c>
      <c r="J11" s="64">
        <v>0.03</v>
      </c>
      <c r="K11" s="64">
        <v>234.87</v>
      </c>
      <c r="L11" s="64">
        <v>22.98</v>
      </c>
      <c r="M11" s="64">
        <v>98.48</v>
      </c>
      <c r="N11" s="64">
        <v>27.9</v>
      </c>
      <c r="O11" s="64">
        <v>0</v>
      </c>
      <c r="P11" s="64">
        <v>0.28000000000000003</v>
      </c>
      <c r="Q11" s="64">
        <v>9.4600000000000009</v>
      </c>
      <c r="R11" s="198"/>
      <c r="S11" s="198"/>
      <c r="T11" s="198"/>
      <c r="U11" s="198"/>
    </row>
    <row r="12" spans="1:21" s="12" customFormat="1" x14ac:dyDescent="0.25">
      <c r="A12" s="214" t="s">
        <v>1785</v>
      </c>
      <c r="B12" s="64">
        <v>8.4</v>
      </c>
      <c r="C12" s="64">
        <v>6.01</v>
      </c>
      <c r="D12" s="64">
        <v>9.8800000000000008</v>
      </c>
      <c r="E12" s="64">
        <v>4.3600000000000003</v>
      </c>
      <c r="F12" s="64">
        <v>6.35</v>
      </c>
      <c r="G12" s="64">
        <v>16.07</v>
      </c>
      <c r="H12" s="64">
        <v>10.62</v>
      </c>
      <c r="I12" s="64">
        <v>1.26</v>
      </c>
      <c r="J12" s="64">
        <v>0.17</v>
      </c>
      <c r="K12" s="64">
        <v>145.84</v>
      </c>
      <c r="L12" s="64">
        <v>22.93</v>
      </c>
      <c r="M12" s="64">
        <v>98.48</v>
      </c>
      <c r="N12" s="64">
        <v>28</v>
      </c>
      <c r="O12" s="64">
        <v>0</v>
      </c>
      <c r="P12" s="64">
        <v>0.3</v>
      </c>
      <c r="Q12" s="64">
        <v>9.4600000000000009</v>
      </c>
      <c r="R12" s="198"/>
      <c r="S12" s="198"/>
      <c r="T12" s="198"/>
      <c r="U12" s="198"/>
    </row>
    <row r="13" spans="1:21" s="12" customFormat="1" x14ac:dyDescent="0.25">
      <c r="A13" s="214" t="s">
        <v>1786</v>
      </c>
      <c r="B13" s="64">
        <v>8.68</v>
      </c>
      <c r="C13" s="64">
        <v>5.38</v>
      </c>
      <c r="D13" s="64">
        <v>9.77</v>
      </c>
      <c r="E13" s="64">
        <v>4.58</v>
      </c>
      <c r="F13" s="64">
        <v>5.91</v>
      </c>
      <c r="G13" s="64">
        <v>16.27</v>
      </c>
      <c r="H13" s="64">
        <v>10.35</v>
      </c>
      <c r="I13" s="64">
        <v>1.24</v>
      </c>
      <c r="J13" s="64">
        <v>0.03</v>
      </c>
      <c r="K13" s="64">
        <v>321.77999999999997</v>
      </c>
      <c r="L13" s="64">
        <v>22.91</v>
      </c>
      <c r="M13" s="64">
        <v>98.48</v>
      </c>
      <c r="N13" s="64">
        <v>28</v>
      </c>
      <c r="O13" s="64">
        <v>0</v>
      </c>
      <c r="P13" s="64">
        <v>0.27</v>
      </c>
      <c r="Q13" s="64">
        <v>9.4600000000000009</v>
      </c>
      <c r="R13" s="198"/>
      <c r="S13" s="198"/>
      <c r="T13" s="198"/>
      <c r="U13" s="198"/>
    </row>
    <row r="14" spans="1:21" s="12" customFormat="1" x14ac:dyDescent="0.25">
      <c r="A14" s="214" t="s">
        <v>1787</v>
      </c>
      <c r="B14" s="64">
        <v>8.4499999999999993</v>
      </c>
      <c r="C14" s="64">
        <v>5.56</v>
      </c>
      <c r="D14" s="64">
        <v>9.68</v>
      </c>
      <c r="E14" s="64">
        <v>4.53</v>
      </c>
      <c r="F14" s="64">
        <v>7.26</v>
      </c>
      <c r="G14" s="64">
        <v>16.27</v>
      </c>
      <c r="H14" s="64">
        <v>10.35</v>
      </c>
      <c r="I14" s="64">
        <v>1.23</v>
      </c>
      <c r="J14" s="64">
        <v>0.1</v>
      </c>
      <c r="K14" s="64">
        <v>156.51</v>
      </c>
      <c r="L14" s="64">
        <v>22.87</v>
      </c>
      <c r="M14" s="64">
        <v>98.48</v>
      </c>
      <c r="N14" s="64">
        <v>28</v>
      </c>
      <c r="O14" s="64">
        <v>0</v>
      </c>
      <c r="P14" s="64">
        <v>0.27</v>
      </c>
      <c r="Q14" s="64">
        <v>9.4700000000000006</v>
      </c>
      <c r="R14" s="198"/>
      <c r="S14" s="198"/>
      <c r="T14" s="198"/>
      <c r="U14" s="198"/>
    </row>
    <row r="15" spans="1:21" s="12" customFormat="1" x14ac:dyDescent="0.25">
      <c r="A15" s="214" t="s">
        <v>1788</v>
      </c>
      <c r="B15" s="64">
        <v>8.58</v>
      </c>
      <c r="C15" s="64">
        <v>5.68</v>
      </c>
      <c r="D15" s="64">
        <v>9.85</v>
      </c>
      <c r="E15" s="64">
        <v>4.43</v>
      </c>
      <c r="F15" s="64">
        <v>6.23</v>
      </c>
      <c r="G15" s="64">
        <v>16.27</v>
      </c>
      <c r="H15" s="64">
        <v>10.35</v>
      </c>
      <c r="I15" s="64">
        <v>1.23</v>
      </c>
      <c r="J15" s="64">
        <v>0.6</v>
      </c>
      <c r="K15" s="64">
        <v>142.61000000000001</v>
      </c>
      <c r="L15" s="64">
        <v>22.88</v>
      </c>
      <c r="M15" s="64">
        <v>98.48</v>
      </c>
      <c r="N15" s="64">
        <v>27.8</v>
      </c>
      <c r="O15" s="64">
        <v>0</v>
      </c>
      <c r="P15" s="64">
        <v>0.27</v>
      </c>
      <c r="Q15" s="64">
        <v>9.4600000000000009</v>
      </c>
      <c r="R15" s="198"/>
      <c r="S15" s="198"/>
      <c r="T15" s="198"/>
      <c r="U15" s="198"/>
    </row>
    <row r="16" spans="1:21" s="12" customFormat="1" x14ac:dyDescent="0.25">
      <c r="A16" s="214" t="s">
        <v>1789</v>
      </c>
      <c r="B16" s="64">
        <v>9.11</v>
      </c>
      <c r="C16" s="64">
        <v>5.56</v>
      </c>
      <c r="D16" s="64">
        <v>10.210000000000001</v>
      </c>
      <c r="E16" s="64">
        <v>4.42</v>
      </c>
      <c r="F16" s="64">
        <v>5.26</v>
      </c>
      <c r="G16" s="64">
        <v>13.57</v>
      </c>
      <c r="H16" s="64">
        <v>15.18</v>
      </c>
      <c r="I16" s="64">
        <v>1.22</v>
      </c>
      <c r="J16" s="64">
        <v>0.54</v>
      </c>
      <c r="K16" s="64">
        <v>153.47</v>
      </c>
      <c r="L16" s="64">
        <v>22.92</v>
      </c>
      <c r="M16" s="64">
        <v>98.48</v>
      </c>
      <c r="N16" s="64">
        <v>28</v>
      </c>
      <c r="O16" s="64">
        <v>0</v>
      </c>
      <c r="P16" s="64">
        <v>0.3</v>
      </c>
      <c r="Q16" s="64">
        <v>9.44</v>
      </c>
      <c r="R16" s="198"/>
      <c r="S16" s="198"/>
      <c r="T16" s="198"/>
      <c r="U16" s="198"/>
    </row>
    <row r="17" spans="1:21" s="12" customFormat="1" x14ac:dyDescent="0.25">
      <c r="A17" s="214" t="s">
        <v>1790</v>
      </c>
      <c r="B17" s="64">
        <v>10.06</v>
      </c>
      <c r="C17" s="64">
        <v>4.74</v>
      </c>
      <c r="D17" s="64">
        <v>10.54</v>
      </c>
      <c r="E17" s="64">
        <v>4.5999999999999996</v>
      </c>
      <c r="F17" s="64">
        <v>4.5599999999999996</v>
      </c>
      <c r="G17" s="64">
        <v>11.41</v>
      </c>
      <c r="H17" s="64">
        <v>17.239999999999998</v>
      </c>
      <c r="I17" s="64">
        <v>1.22</v>
      </c>
      <c r="J17" s="64">
        <v>0.28000000000000003</v>
      </c>
      <c r="K17" s="64">
        <v>152.21</v>
      </c>
      <c r="L17" s="64">
        <v>22.9</v>
      </c>
      <c r="M17" s="64">
        <v>98.48</v>
      </c>
      <c r="N17" s="64">
        <v>28</v>
      </c>
      <c r="O17" s="64">
        <v>0</v>
      </c>
      <c r="P17" s="64">
        <v>0.32</v>
      </c>
      <c r="Q17" s="64">
        <v>9.42</v>
      </c>
      <c r="R17" s="198"/>
      <c r="S17" s="198"/>
      <c r="T17" s="198"/>
      <c r="U17" s="198"/>
    </row>
    <row r="18" spans="1:21" s="12" customFormat="1" x14ac:dyDescent="0.25">
      <c r="A18" s="214" t="s">
        <v>1791</v>
      </c>
      <c r="B18" s="64">
        <v>10.199999999999999</v>
      </c>
      <c r="C18" s="64">
        <v>4.49</v>
      </c>
      <c r="D18" s="64">
        <v>10.53</v>
      </c>
      <c r="E18" s="64">
        <v>4.42</v>
      </c>
      <c r="F18" s="64">
        <v>4.34</v>
      </c>
      <c r="G18" s="64">
        <v>11.41</v>
      </c>
      <c r="H18" s="64">
        <v>17.239999999999998</v>
      </c>
      <c r="I18" s="64">
        <v>1.2</v>
      </c>
      <c r="J18" s="64">
        <v>0.31</v>
      </c>
      <c r="K18" s="64">
        <v>169.74</v>
      </c>
      <c r="L18" s="64">
        <v>22.87</v>
      </c>
      <c r="M18" s="64">
        <v>98.49</v>
      </c>
      <c r="N18" s="64">
        <v>28.1</v>
      </c>
      <c r="O18" s="64">
        <v>0</v>
      </c>
      <c r="P18" s="64">
        <v>0.33</v>
      </c>
      <c r="Q18" s="64">
        <v>9.4</v>
      </c>
      <c r="R18" s="198"/>
      <c r="S18" s="198"/>
      <c r="T18" s="198"/>
      <c r="U18" s="198"/>
    </row>
    <row r="19" spans="1:21" s="12" customFormat="1" x14ac:dyDescent="0.25">
      <c r="A19" s="214" t="s">
        <v>1792</v>
      </c>
      <c r="B19" s="64">
        <v>10.69</v>
      </c>
      <c r="C19" s="64">
        <v>4.5599999999999996</v>
      </c>
      <c r="D19" s="64">
        <v>10.95</v>
      </c>
      <c r="E19" s="64">
        <v>4.6100000000000003</v>
      </c>
      <c r="F19" s="64">
        <v>3.93</v>
      </c>
      <c r="G19" s="64">
        <v>11.41</v>
      </c>
      <c r="H19" s="64">
        <v>17.239999999999998</v>
      </c>
      <c r="I19" s="64">
        <v>1.18</v>
      </c>
      <c r="J19" s="64">
        <v>0.59</v>
      </c>
      <c r="K19" s="64">
        <v>156.83000000000001</v>
      </c>
      <c r="L19" s="64">
        <v>22.85</v>
      </c>
      <c r="M19" s="64">
        <v>98.5</v>
      </c>
      <c r="N19" s="64">
        <v>28.1</v>
      </c>
      <c r="O19" s="64">
        <v>0</v>
      </c>
      <c r="P19" s="64">
        <v>0.31</v>
      </c>
      <c r="Q19" s="64">
        <v>9.39</v>
      </c>
      <c r="R19" s="198"/>
      <c r="S19" s="198"/>
      <c r="T19" s="198"/>
      <c r="U19" s="198"/>
    </row>
    <row r="20" spans="1:21" s="12" customFormat="1" x14ac:dyDescent="0.25">
      <c r="A20" s="214" t="s">
        <v>1793</v>
      </c>
      <c r="B20" s="64">
        <v>11.31</v>
      </c>
      <c r="C20" s="64">
        <v>4.0199999999999996</v>
      </c>
      <c r="D20" s="64">
        <v>11.17</v>
      </c>
      <c r="E20" s="64">
        <v>4.59</v>
      </c>
      <c r="F20" s="64">
        <v>5.21</v>
      </c>
      <c r="G20" s="64">
        <v>9.83</v>
      </c>
      <c r="H20" s="64">
        <v>15.59</v>
      </c>
      <c r="I20" s="64">
        <v>1.18</v>
      </c>
      <c r="J20" s="64">
        <v>0.63</v>
      </c>
      <c r="K20" s="64">
        <v>144.93</v>
      </c>
      <c r="L20" s="64">
        <v>22.83</v>
      </c>
      <c r="M20" s="64">
        <v>98.5</v>
      </c>
      <c r="N20" s="64">
        <v>28.1</v>
      </c>
      <c r="O20" s="64">
        <v>0</v>
      </c>
      <c r="P20" s="64">
        <v>0.34</v>
      </c>
      <c r="Q20" s="64">
        <v>9.39</v>
      </c>
      <c r="R20" s="198"/>
      <c r="S20" s="198"/>
      <c r="T20" s="198"/>
      <c r="U20" s="198"/>
    </row>
    <row r="21" spans="1:21" s="12" customFormat="1" x14ac:dyDescent="0.25">
      <c r="A21" s="214" t="s">
        <v>1794</v>
      </c>
      <c r="B21" s="64">
        <v>8.86</v>
      </c>
      <c r="C21" s="64">
        <v>5.62</v>
      </c>
      <c r="D21" s="64">
        <v>10.039999999999999</v>
      </c>
      <c r="E21" s="64">
        <v>4.26</v>
      </c>
      <c r="F21" s="64">
        <v>6.3</v>
      </c>
      <c r="G21" s="64">
        <v>8.56</v>
      </c>
      <c r="H21" s="64">
        <v>14.77</v>
      </c>
      <c r="I21" s="64">
        <v>1.1599999999999999</v>
      </c>
      <c r="J21" s="64">
        <v>0.44</v>
      </c>
      <c r="K21" s="64">
        <v>150.6</v>
      </c>
      <c r="L21" s="64">
        <v>22.84</v>
      </c>
      <c r="M21" s="64">
        <v>98.5</v>
      </c>
      <c r="N21" s="64">
        <v>28</v>
      </c>
      <c r="O21" s="64">
        <v>0</v>
      </c>
      <c r="P21" s="64">
        <v>0.28999999999999998</v>
      </c>
      <c r="Q21" s="64">
        <v>9.3800000000000008</v>
      </c>
      <c r="R21" s="198"/>
      <c r="S21" s="198"/>
      <c r="T21" s="198"/>
      <c r="U21" s="198"/>
    </row>
    <row r="22" spans="1:21" s="12" customFormat="1" x14ac:dyDescent="0.25">
      <c r="A22" s="214" t="s">
        <v>1795</v>
      </c>
      <c r="B22" s="64">
        <v>9.19</v>
      </c>
      <c r="C22" s="64">
        <v>4.96</v>
      </c>
      <c r="D22" s="64">
        <v>9.9700000000000006</v>
      </c>
      <c r="E22" s="64">
        <v>4.41</v>
      </c>
      <c r="F22" s="64">
        <v>6.53</v>
      </c>
      <c r="G22" s="64">
        <v>8.56</v>
      </c>
      <c r="H22" s="64">
        <v>14.77</v>
      </c>
      <c r="I22" s="64">
        <v>1.1499999999999999</v>
      </c>
      <c r="J22" s="64">
        <v>0.32</v>
      </c>
      <c r="K22" s="64">
        <v>123.65</v>
      </c>
      <c r="L22" s="64">
        <v>22.91</v>
      </c>
      <c r="M22" s="64">
        <v>98.5</v>
      </c>
      <c r="N22" s="64">
        <v>28.1</v>
      </c>
      <c r="O22" s="64">
        <v>0</v>
      </c>
      <c r="P22" s="64">
        <v>0.27</v>
      </c>
      <c r="Q22" s="64">
        <v>9.3800000000000008</v>
      </c>
      <c r="R22" s="198"/>
      <c r="S22" s="198"/>
      <c r="T22" s="198"/>
      <c r="U22" s="198"/>
    </row>
    <row r="23" spans="1:21" s="12" customFormat="1" x14ac:dyDescent="0.25">
      <c r="A23" s="214" t="s">
        <v>1796</v>
      </c>
      <c r="B23" s="64">
        <v>6.81</v>
      </c>
      <c r="C23" s="64">
        <v>6.25</v>
      </c>
      <c r="D23" s="64">
        <v>8.73</v>
      </c>
      <c r="E23" s="64">
        <v>4.3</v>
      </c>
      <c r="F23" s="64">
        <v>5.25</v>
      </c>
      <c r="G23" s="64">
        <v>8.56</v>
      </c>
      <c r="H23" s="64">
        <v>14.77</v>
      </c>
      <c r="I23" s="64">
        <v>1.1399999999999999</v>
      </c>
      <c r="J23" s="64">
        <v>0.1</v>
      </c>
      <c r="K23" s="64">
        <v>135.78</v>
      </c>
      <c r="L23" s="64">
        <v>22.94</v>
      </c>
      <c r="M23" s="64">
        <v>98.5</v>
      </c>
      <c r="N23" s="64">
        <v>28.1</v>
      </c>
      <c r="O23" s="64">
        <v>0</v>
      </c>
      <c r="P23" s="64">
        <v>0.21</v>
      </c>
      <c r="Q23" s="64">
        <v>9.3699999999999992</v>
      </c>
      <c r="R23" s="198"/>
      <c r="S23" s="198"/>
      <c r="T23" s="198"/>
      <c r="U23" s="198"/>
    </row>
    <row r="24" spans="1:21" s="12" customFormat="1" x14ac:dyDescent="0.25">
      <c r="A24" s="214" t="s">
        <v>1797</v>
      </c>
      <c r="B24" s="64">
        <v>7.73</v>
      </c>
      <c r="C24" s="64">
        <v>6.02</v>
      </c>
      <c r="D24" s="64">
        <v>9.34</v>
      </c>
      <c r="E24" s="64">
        <v>4.09</v>
      </c>
      <c r="F24" s="64">
        <v>5.92</v>
      </c>
      <c r="G24" s="64">
        <v>11.07</v>
      </c>
      <c r="H24" s="64">
        <v>13.76</v>
      </c>
      <c r="I24" s="64">
        <v>1.1299999999999999</v>
      </c>
      <c r="J24" s="64">
        <v>0.3</v>
      </c>
      <c r="K24" s="64">
        <v>148.51</v>
      </c>
      <c r="L24" s="64">
        <v>22.92</v>
      </c>
      <c r="M24" s="64">
        <v>98.5</v>
      </c>
      <c r="N24" s="64">
        <v>28.1</v>
      </c>
      <c r="O24" s="64">
        <v>0</v>
      </c>
      <c r="P24" s="64">
        <v>0.23</v>
      </c>
      <c r="Q24" s="64">
        <v>9.36</v>
      </c>
      <c r="R24" s="198"/>
      <c r="S24" s="198"/>
      <c r="T24" s="198"/>
      <c r="U24" s="198"/>
    </row>
    <row r="25" spans="1:21" s="12" customFormat="1" x14ac:dyDescent="0.25">
      <c r="A25" s="214" t="s">
        <v>1798</v>
      </c>
      <c r="B25" s="64">
        <v>7.98</v>
      </c>
      <c r="C25" s="64">
        <v>5.98</v>
      </c>
      <c r="D25" s="64">
        <v>9.5299999999999994</v>
      </c>
      <c r="E25" s="64">
        <v>4.24</v>
      </c>
      <c r="F25" s="64">
        <v>3.87</v>
      </c>
      <c r="G25" s="64">
        <v>13.08</v>
      </c>
      <c r="H25" s="64">
        <v>13.28</v>
      </c>
      <c r="I25" s="64">
        <v>1.1200000000000001</v>
      </c>
      <c r="J25" s="64">
        <v>0.2</v>
      </c>
      <c r="K25" s="64">
        <v>147.11000000000001</v>
      </c>
      <c r="L25" s="64">
        <v>22.88</v>
      </c>
      <c r="M25" s="64">
        <v>98.48</v>
      </c>
      <c r="N25" s="64">
        <v>28</v>
      </c>
      <c r="O25" s="64">
        <v>0</v>
      </c>
      <c r="P25" s="64">
        <v>0.25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14" t="s">
        <v>1799</v>
      </c>
      <c r="B26" s="64">
        <v>9</v>
      </c>
      <c r="C26" s="64">
        <v>5.29</v>
      </c>
      <c r="D26" s="64">
        <v>9.98</v>
      </c>
      <c r="E26" s="64">
        <v>4.4800000000000004</v>
      </c>
      <c r="F26" s="64">
        <v>3.66</v>
      </c>
      <c r="G26" s="64">
        <v>13.08</v>
      </c>
      <c r="H26" s="64">
        <v>13.28</v>
      </c>
      <c r="I26" s="64">
        <v>1.1000000000000001</v>
      </c>
      <c r="J26" s="64">
        <v>0.27</v>
      </c>
      <c r="K26" s="64">
        <v>155.88</v>
      </c>
      <c r="L26" s="64">
        <v>22.86</v>
      </c>
      <c r="M26" s="64">
        <v>98.49</v>
      </c>
      <c r="N26" s="64">
        <v>28</v>
      </c>
      <c r="O26" s="64">
        <v>0</v>
      </c>
      <c r="P26" s="64">
        <v>0.27</v>
      </c>
      <c r="Q26" s="64">
        <v>9.35</v>
      </c>
      <c r="R26" s="198"/>
      <c r="S26" s="198"/>
      <c r="T26" s="198"/>
      <c r="U26" s="198"/>
    </row>
    <row r="27" spans="1:21" s="12" customFormat="1" x14ac:dyDescent="0.25">
      <c r="A27" s="214" t="s">
        <v>1800</v>
      </c>
      <c r="B27" s="64">
        <v>8.3000000000000007</v>
      </c>
      <c r="C27" s="64">
        <v>6.12</v>
      </c>
      <c r="D27" s="64">
        <v>9.85</v>
      </c>
      <c r="E27" s="64">
        <v>4.34</v>
      </c>
      <c r="F27" s="64">
        <v>3.85</v>
      </c>
      <c r="G27" s="64">
        <v>13.08</v>
      </c>
      <c r="H27" s="64">
        <v>13.28</v>
      </c>
      <c r="I27" s="64">
        <v>1.1499999999999999</v>
      </c>
      <c r="J27" s="64">
        <v>0.31</v>
      </c>
      <c r="K27" s="64">
        <v>139.09</v>
      </c>
      <c r="L27" s="64">
        <v>22.85</v>
      </c>
      <c r="M27" s="64">
        <v>98.49</v>
      </c>
      <c r="N27" s="64">
        <v>27.9</v>
      </c>
      <c r="O27" s="64">
        <v>0</v>
      </c>
      <c r="P27" s="64">
        <v>0.22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4" t="s">
        <v>1801</v>
      </c>
      <c r="B28" s="64">
        <v>8.2799999999999994</v>
      </c>
      <c r="C28" s="64">
        <v>6.42</v>
      </c>
      <c r="D28" s="64">
        <v>9.99</v>
      </c>
      <c r="E28" s="64">
        <v>4.3</v>
      </c>
      <c r="F28" s="64">
        <v>2.9</v>
      </c>
      <c r="G28" s="64">
        <v>13.2</v>
      </c>
      <c r="H28" s="64">
        <v>11.41</v>
      </c>
      <c r="I28" s="64">
        <v>1.1100000000000001</v>
      </c>
      <c r="J28" s="64">
        <v>0.37</v>
      </c>
      <c r="K28" s="64">
        <v>125.75</v>
      </c>
      <c r="L28" s="64">
        <v>22.88</v>
      </c>
      <c r="M28" s="64">
        <v>98.48</v>
      </c>
      <c r="N28" s="64">
        <v>27.8</v>
      </c>
      <c r="O28" s="64">
        <v>0</v>
      </c>
      <c r="P28" s="64">
        <v>0.22</v>
      </c>
      <c r="Q28" s="64">
        <v>9.39</v>
      </c>
      <c r="R28" s="198"/>
      <c r="S28" s="198"/>
      <c r="T28" s="198"/>
      <c r="U28" s="198"/>
    </row>
    <row r="29" spans="1:21" s="12" customFormat="1" x14ac:dyDescent="0.25">
      <c r="A29" s="214" t="s">
        <v>1802</v>
      </c>
      <c r="B29" s="64">
        <v>8.58</v>
      </c>
      <c r="C29" s="64">
        <v>6.24</v>
      </c>
      <c r="D29" s="64">
        <v>10.14</v>
      </c>
      <c r="E29" s="64">
        <v>4.53</v>
      </c>
      <c r="F29" s="64">
        <v>4.37</v>
      </c>
      <c r="G29" s="64">
        <v>13.3</v>
      </c>
      <c r="H29" s="64">
        <v>11.04</v>
      </c>
      <c r="I29" s="64">
        <v>1.1299999999999999</v>
      </c>
      <c r="J29" s="64">
        <v>0.47</v>
      </c>
      <c r="K29" s="64">
        <v>139.16999999999999</v>
      </c>
      <c r="L29" s="64">
        <v>22.88</v>
      </c>
      <c r="M29" s="64">
        <v>98.5</v>
      </c>
      <c r="N29" s="64">
        <v>27.7</v>
      </c>
      <c r="O29" s="64">
        <v>0</v>
      </c>
      <c r="P29" s="64">
        <v>0.24</v>
      </c>
      <c r="Q29" s="64">
        <v>9.4</v>
      </c>
      <c r="R29" s="198"/>
      <c r="S29" s="198"/>
      <c r="T29" s="198"/>
      <c r="U29" s="198"/>
    </row>
    <row r="30" spans="1:21" s="12" customFormat="1" x14ac:dyDescent="0.25">
      <c r="A30" s="214" t="s">
        <v>1803</v>
      </c>
      <c r="B30" s="64">
        <v>8.6199999999999992</v>
      </c>
      <c r="C30" s="64">
        <v>5.7</v>
      </c>
      <c r="D30" s="64">
        <v>9.89</v>
      </c>
      <c r="E30" s="64">
        <v>4.43</v>
      </c>
      <c r="F30" s="64">
        <v>5.98</v>
      </c>
      <c r="G30" s="64">
        <v>13.3</v>
      </c>
      <c r="H30" s="64">
        <v>11.04</v>
      </c>
      <c r="I30" s="64">
        <v>1.19</v>
      </c>
      <c r="J30" s="64">
        <v>0.48</v>
      </c>
      <c r="K30" s="64">
        <v>136.54</v>
      </c>
      <c r="L30" s="64">
        <v>22.89</v>
      </c>
      <c r="M30" s="64">
        <v>98.45</v>
      </c>
      <c r="N30" s="64">
        <v>28</v>
      </c>
      <c r="O30" s="64">
        <v>0</v>
      </c>
      <c r="P30" s="64">
        <v>0.23</v>
      </c>
      <c r="Q30" s="64">
        <v>9.41</v>
      </c>
      <c r="R30" s="198"/>
      <c r="S30" s="198"/>
      <c r="T30" s="198"/>
      <c r="U30" s="198"/>
    </row>
    <row r="31" spans="1:21" s="12" customFormat="1" x14ac:dyDescent="0.25">
      <c r="A31" s="214" t="s">
        <v>1804</v>
      </c>
      <c r="B31" s="64">
        <v>8.1</v>
      </c>
      <c r="C31" s="64">
        <v>5.84</v>
      </c>
      <c r="D31" s="64">
        <v>9.5500000000000007</v>
      </c>
      <c r="E31" s="64">
        <v>4.24</v>
      </c>
      <c r="F31" s="64">
        <v>4.92</v>
      </c>
      <c r="G31" s="64">
        <v>13.3</v>
      </c>
      <c r="H31" s="64">
        <v>11.04</v>
      </c>
      <c r="I31" s="64">
        <v>1.17</v>
      </c>
      <c r="J31" s="64">
        <v>0.28000000000000003</v>
      </c>
      <c r="K31" s="64">
        <v>132.44</v>
      </c>
      <c r="L31" s="64">
        <v>22.91</v>
      </c>
      <c r="M31" s="64">
        <v>98.48</v>
      </c>
      <c r="N31" s="64">
        <v>28.6</v>
      </c>
      <c r="O31" s="64">
        <v>0</v>
      </c>
      <c r="P31" s="64">
        <v>0.23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4" t="s">
        <v>1805</v>
      </c>
      <c r="B32" s="64">
        <v>8.77</v>
      </c>
      <c r="C32" s="64">
        <v>5.94</v>
      </c>
      <c r="D32" s="64">
        <v>10.14</v>
      </c>
      <c r="E32" s="64">
        <v>4.4000000000000004</v>
      </c>
      <c r="F32" s="64">
        <v>6.99</v>
      </c>
      <c r="G32" s="64">
        <v>11.1</v>
      </c>
      <c r="H32" s="64">
        <v>14.16</v>
      </c>
      <c r="I32" s="64">
        <v>1.1599999999999999</v>
      </c>
      <c r="J32" s="64">
        <v>0.05</v>
      </c>
      <c r="K32" s="64">
        <v>161.37</v>
      </c>
      <c r="L32" s="64">
        <v>22.91</v>
      </c>
      <c r="M32" s="64">
        <v>98.45</v>
      </c>
      <c r="N32" s="64">
        <v>33.1</v>
      </c>
      <c r="O32" s="64">
        <v>0</v>
      </c>
      <c r="P32" s="64">
        <v>0.24</v>
      </c>
      <c r="Q32" s="64">
        <v>9.41</v>
      </c>
      <c r="R32" s="198"/>
      <c r="S32" s="198"/>
      <c r="T32" s="198"/>
      <c r="U32" s="198"/>
    </row>
    <row r="33" spans="1:21" s="12" customFormat="1" x14ac:dyDescent="0.25">
      <c r="A33" s="214" t="s">
        <v>1806</v>
      </c>
      <c r="B33" s="64">
        <v>13.07</v>
      </c>
      <c r="C33" s="64">
        <v>6.65</v>
      </c>
      <c r="D33" s="64">
        <v>13.89</v>
      </c>
      <c r="E33" s="64">
        <v>4.5999999999999996</v>
      </c>
      <c r="F33" s="64">
        <v>7.15</v>
      </c>
      <c r="G33" s="64">
        <v>9.33</v>
      </c>
      <c r="H33" s="64">
        <v>14.88</v>
      </c>
      <c r="I33" s="64">
        <v>1.1499999999999999</v>
      </c>
      <c r="J33" s="64">
        <v>0.05</v>
      </c>
      <c r="K33" s="64">
        <v>170.5</v>
      </c>
      <c r="L33" s="64">
        <v>22.94</v>
      </c>
      <c r="M33" s="64">
        <v>98.45</v>
      </c>
      <c r="N33" s="64">
        <v>49.9</v>
      </c>
      <c r="O33" s="64">
        <v>0</v>
      </c>
      <c r="P33" s="64">
        <v>0.28000000000000003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4" t="s">
        <v>1807</v>
      </c>
      <c r="B34" s="64">
        <v>10.38</v>
      </c>
      <c r="C34" s="64">
        <v>4.91</v>
      </c>
      <c r="D34" s="64">
        <v>10.88</v>
      </c>
      <c r="E34" s="64">
        <v>4.54</v>
      </c>
      <c r="F34" s="64">
        <v>6.02</v>
      </c>
      <c r="G34" s="64">
        <v>9.33</v>
      </c>
      <c r="H34" s="64">
        <v>14.88</v>
      </c>
      <c r="I34" s="64">
        <v>1.1599999999999999</v>
      </c>
      <c r="J34" s="64">
        <v>7.0000000000000007E-2</v>
      </c>
      <c r="K34" s="64">
        <v>143.93</v>
      </c>
      <c r="L34" s="64">
        <v>23.04</v>
      </c>
      <c r="M34" s="64">
        <v>98.45</v>
      </c>
      <c r="N34" s="64">
        <v>60.1</v>
      </c>
      <c r="O34" s="64">
        <v>0</v>
      </c>
      <c r="P34" s="64">
        <v>0.28000000000000003</v>
      </c>
      <c r="Q34" s="64">
        <v>9.4</v>
      </c>
      <c r="R34" s="198"/>
      <c r="S34" s="198"/>
      <c r="T34" s="198"/>
      <c r="U34" s="198"/>
    </row>
    <row r="35" spans="1:21" s="12" customFormat="1" x14ac:dyDescent="0.25">
      <c r="A35" s="214" t="s">
        <v>1808</v>
      </c>
      <c r="B35" s="64">
        <v>16.739999999999998</v>
      </c>
      <c r="C35" s="64">
        <v>6.46</v>
      </c>
      <c r="D35" s="64">
        <v>16.8</v>
      </c>
      <c r="E35" s="64">
        <v>4.63</v>
      </c>
      <c r="F35" s="64">
        <v>6.66</v>
      </c>
      <c r="G35" s="64">
        <v>9.33</v>
      </c>
      <c r="H35" s="64">
        <v>14.88</v>
      </c>
      <c r="I35" s="64">
        <v>1.18</v>
      </c>
      <c r="J35" s="64">
        <v>0.34</v>
      </c>
      <c r="K35" s="64">
        <v>140.28</v>
      </c>
      <c r="L35" s="64">
        <v>23.13</v>
      </c>
      <c r="M35" s="64">
        <v>98.45</v>
      </c>
      <c r="N35" s="64">
        <v>71.8</v>
      </c>
      <c r="O35" s="64">
        <v>0.2</v>
      </c>
      <c r="P35" s="64">
        <v>0.27</v>
      </c>
      <c r="Q35" s="64">
        <v>9.39</v>
      </c>
      <c r="R35" s="198"/>
      <c r="S35" s="198"/>
      <c r="T35" s="198"/>
      <c r="U35" s="198"/>
    </row>
    <row r="36" spans="1:21" s="12" customFormat="1" x14ac:dyDescent="0.25">
      <c r="A36" s="214" t="s">
        <v>1809</v>
      </c>
      <c r="B36" s="64">
        <v>12.06</v>
      </c>
      <c r="C36" s="64">
        <v>4.76</v>
      </c>
      <c r="D36" s="64">
        <v>12.16</v>
      </c>
      <c r="E36" s="64">
        <v>4.55</v>
      </c>
      <c r="F36" s="64">
        <v>6.27</v>
      </c>
      <c r="G36" s="64">
        <v>11.1</v>
      </c>
      <c r="H36" s="64">
        <v>13.07</v>
      </c>
      <c r="I36" s="64">
        <v>1.17</v>
      </c>
      <c r="J36" s="64">
        <v>0.52</v>
      </c>
      <c r="K36" s="64">
        <v>136.62</v>
      </c>
      <c r="L36" s="64">
        <v>23.18</v>
      </c>
      <c r="M36" s="64">
        <v>98.45</v>
      </c>
      <c r="N36" s="64">
        <v>78.5</v>
      </c>
      <c r="O36" s="64">
        <v>0</v>
      </c>
      <c r="P36" s="64">
        <v>0.27</v>
      </c>
      <c r="Q36" s="64">
        <v>9.4</v>
      </c>
      <c r="R36" s="198"/>
      <c r="S36" s="198"/>
      <c r="T36" s="198"/>
      <c r="U36" s="198"/>
    </row>
    <row r="37" spans="1:21" s="12" customFormat="1" x14ac:dyDescent="0.25">
      <c r="A37" s="214" t="s">
        <v>1810</v>
      </c>
      <c r="B37" s="64">
        <v>11.33</v>
      </c>
      <c r="C37" s="64">
        <v>5.04</v>
      </c>
      <c r="D37" s="64">
        <v>11.72</v>
      </c>
      <c r="E37" s="64">
        <v>4.59</v>
      </c>
      <c r="F37" s="64">
        <v>6.54</v>
      </c>
      <c r="G37" s="64">
        <v>12.51</v>
      </c>
      <c r="H37" s="64">
        <v>12.3</v>
      </c>
      <c r="I37" s="64">
        <v>1.1599999999999999</v>
      </c>
      <c r="J37" s="64">
        <v>0.21</v>
      </c>
      <c r="K37" s="64">
        <v>143.97999999999999</v>
      </c>
      <c r="L37" s="64">
        <v>23.45</v>
      </c>
      <c r="M37" s="64">
        <v>98.45</v>
      </c>
      <c r="N37" s="64">
        <v>102.7</v>
      </c>
      <c r="O37" s="64">
        <v>0</v>
      </c>
      <c r="P37" s="64">
        <v>0.26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4" t="s">
        <v>1811</v>
      </c>
      <c r="B38" s="64">
        <v>12.03</v>
      </c>
      <c r="C38" s="64">
        <v>4.33</v>
      </c>
      <c r="D38" s="64">
        <v>11.91</v>
      </c>
      <c r="E38" s="64">
        <v>4.71</v>
      </c>
      <c r="F38" s="64">
        <v>5.17</v>
      </c>
      <c r="G38" s="64">
        <v>12.51</v>
      </c>
      <c r="H38" s="64">
        <v>12.3</v>
      </c>
      <c r="I38" s="64">
        <v>1.1599999999999999</v>
      </c>
      <c r="J38" s="64">
        <v>0.27</v>
      </c>
      <c r="K38" s="64">
        <v>145.21</v>
      </c>
      <c r="L38" s="64">
        <v>23.68</v>
      </c>
      <c r="M38" s="64">
        <v>98.45</v>
      </c>
      <c r="N38" s="64">
        <v>118.3</v>
      </c>
      <c r="O38" s="64">
        <v>0</v>
      </c>
      <c r="P38" s="64">
        <v>0.28999999999999998</v>
      </c>
      <c r="Q38" s="64">
        <v>9.4</v>
      </c>
      <c r="R38" s="198"/>
      <c r="S38" s="198"/>
      <c r="T38" s="198"/>
      <c r="U38" s="198"/>
    </row>
    <row r="39" spans="1:21" s="12" customFormat="1" x14ac:dyDescent="0.25">
      <c r="A39" s="214" t="s">
        <v>1812</v>
      </c>
      <c r="B39" s="64">
        <v>11.52</v>
      </c>
      <c r="C39" s="64">
        <v>5.84</v>
      </c>
      <c r="D39" s="64">
        <v>12.29</v>
      </c>
      <c r="E39" s="64">
        <v>4.5599999999999996</v>
      </c>
      <c r="F39" s="64">
        <v>7.01</v>
      </c>
      <c r="G39" s="64">
        <v>12.51</v>
      </c>
      <c r="H39" s="64">
        <v>12.3</v>
      </c>
      <c r="I39" s="64">
        <v>1.1499999999999999</v>
      </c>
      <c r="J39" s="64">
        <v>0.35</v>
      </c>
      <c r="K39" s="64">
        <v>132.38</v>
      </c>
      <c r="L39" s="64">
        <v>23.82</v>
      </c>
      <c r="M39" s="64">
        <v>98.45</v>
      </c>
      <c r="N39" s="64">
        <v>139.80000000000001</v>
      </c>
      <c r="O39" s="64">
        <v>0</v>
      </c>
      <c r="P39" s="64">
        <v>0.27</v>
      </c>
      <c r="Q39" s="64">
        <v>9.4</v>
      </c>
      <c r="R39" s="198"/>
      <c r="S39" s="198"/>
      <c r="T39" s="198"/>
      <c r="U39" s="198"/>
    </row>
    <row r="40" spans="1:21" s="12" customFormat="1" x14ac:dyDescent="0.25">
      <c r="A40" s="214" t="s">
        <v>1813</v>
      </c>
      <c r="B40" s="64">
        <v>12.27</v>
      </c>
      <c r="C40" s="64">
        <v>4.78</v>
      </c>
      <c r="D40" s="64">
        <v>12.34</v>
      </c>
      <c r="E40" s="64">
        <v>4.54</v>
      </c>
      <c r="F40" s="64">
        <v>5.04</v>
      </c>
      <c r="G40" s="64">
        <v>12.74</v>
      </c>
      <c r="H40" s="64">
        <v>11.95</v>
      </c>
      <c r="I40" s="64">
        <v>1.1499999999999999</v>
      </c>
      <c r="J40" s="64">
        <v>0.16</v>
      </c>
      <c r="K40" s="64">
        <v>155.82</v>
      </c>
      <c r="L40" s="64">
        <v>24.13</v>
      </c>
      <c r="M40" s="64">
        <v>98.41</v>
      </c>
      <c r="N40" s="64">
        <v>135.30000000000001</v>
      </c>
      <c r="O40" s="64">
        <v>0</v>
      </c>
      <c r="P40" s="64">
        <v>0.28999999999999998</v>
      </c>
      <c r="Q40" s="64">
        <v>9.4</v>
      </c>
      <c r="R40" s="198"/>
      <c r="S40" s="198"/>
      <c r="T40" s="198"/>
      <c r="U40" s="198"/>
    </row>
    <row r="41" spans="1:21" s="12" customFormat="1" x14ac:dyDescent="0.25">
      <c r="A41" s="214" t="s">
        <v>1814</v>
      </c>
      <c r="B41" s="64">
        <v>10.98</v>
      </c>
      <c r="C41" s="64">
        <v>4.84</v>
      </c>
      <c r="D41" s="64">
        <v>11.34</v>
      </c>
      <c r="E41" s="64">
        <v>4.72</v>
      </c>
      <c r="F41" s="64">
        <v>6.41</v>
      </c>
      <c r="G41" s="64">
        <v>12.92</v>
      </c>
      <c r="H41" s="64">
        <v>11.78</v>
      </c>
      <c r="I41" s="64">
        <v>1.1499999999999999</v>
      </c>
      <c r="J41" s="64">
        <v>0.08</v>
      </c>
      <c r="K41" s="64">
        <v>187.1</v>
      </c>
      <c r="L41" s="64">
        <v>24.33</v>
      </c>
      <c r="M41" s="64">
        <v>98.4</v>
      </c>
      <c r="N41" s="64">
        <v>163.5</v>
      </c>
      <c r="O41" s="64">
        <v>0</v>
      </c>
      <c r="P41" s="64">
        <v>0.27</v>
      </c>
      <c r="Q41" s="64">
        <v>9.4</v>
      </c>
      <c r="R41" s="198"/>
      <c r="S41" s="198"/>
      <c r="T41" s="198"/>
      <c r="U41" s="198"/>
    </row>
    <row r="42" spans="1:21" s="12" customFormat="1" x14ac:dyDescent="0.25">
      <c r="A42" s="214" t="s">
        <v>1815</v>
      </c>
      <c r="B42" s="64">
        <v>12.2</v>
      </c>
      <c r="C42" s="64">
        <v>4.46</v>
      </c>
      <c r="D42" s="64">
        <v>12.11</v>
      </c>
      <c r="E42" s="64">
        <v>4.46</v>
      </c>
      <c r="F42" s="64">
        <v>4.0199999999999996</v>
      </c>
      <c r="G42" s="64">
        <v>12.92</v>
      </c>
      <c r="H42" s="64">
        <v>11.78</v>
      </c>
      <c r="I42" s="64">
        <v>1.1499999999999999</v>
      </c>
      <c r="J42" s="64">
        <v>0.11</v>
      </c>
      <c r="K42" s="64">
        <v>225.8</v>
      </c>
      <c r="L42" s="64">
        <v>24.96</v>
      </c>
      <c r="M42" s="64">
        <v>98.36</v>
      </c>
      <c r="N42" s="64">
        <v>277.10000000000002</v>
      </c>
      <c r="O42" s="64">
        <v>0</v>
      </c>
      <c r="P42" s="64">
        <v>0.28000000000000003</v>
      </c>
      <c r="Q42" s="64">
        <v>9.4</v>
      </c>
      <c r="R42" s="198"/>
      <c r="S42" s="198"/>
      <c r="T42" s="198"/>
      <c r="U42" s="198"/>
    </row>
    <row r="43" spans="1:21" s="12" customFormat="1" x14ac:dyDescent="0.25">
      <c r="A43" s="214" t="s">
        <v>1816</v>
      </c>
      <c r="B43" s="64">
        <v>11.74</v>
      </c>
      <c r="C43" s="64">
        <v>4.75</v>
      </c>
      <c r="D43" s="64">
        <v>11.9</v>
      </c>
      <c r="E43" s="64">
        <v>4.3499999999999996</v>
      </c>
      <c r="F43" s="64">
        <v>5.47</v>
      </c>
      <c r="G43" s="64">
        <v>12.92</v>
      </c>
      <c r="H43" s="64">
        <v>11.78</v>
      </c>
      <c r="I43" s="64">
        <v>1.1399999999999999</v>
      </c>
      <c r="J43" s="64">
        <v>0.15</v>
      </c>
      <c r="K43" s="64">
        <v>213.86</v>
      </c>
      <c r="L43" s="64">
        <v>25.71</v>
      </c>
      <c r="M43" s="64">
        <v>98.29</v>
      </c>
      <c r="N43" s="64">
        <v>370.7</v>
      </c>
      <c r="O43" s="64">
        <v>0</v>
      </c>
      <c r="P43" s="64">
        <v>0.27</v>
      </c>
      <c r="Q43" s="64">
        <v>9.39</v>
      </c>
      <c r="R43" s="198"/>
      <c r="S43" s="198"/>
      <c r="T43" s="198"/>
      <c r="U43" s="198"/>
    </row>
    <row r="44" spans="1:21" s="12" customFormat="1" x14ac:dyDescent="0.25">
      <c r="A44" s="214" t="s">
        <v>1817</v>
      </c>
      <c r="B44" s="64">
        <v>11.33</v>
      </c>
      <c r="C44" s="64">
        <v>4.68</v>
      </c>
      <c r="D44" s="64">
        <v>11.53</v>
      </c>
      <c r="E44" s="64">
        <v>4.21</v>
      </c>
      <c r="F44" s="64">
        <v>2.84</v>
      </c>
      <c r="G44" s="64">
        <v>13.43</v>
      </c>
      <c r="H44" s="64">
        <v>10.41</v>
      </c>
      <c r="I44" s="64">
        <v>1.1299999999999999</v>
      </c>
      <c r="J44" s="64">
        <v>0.12</v>
      </c>
      <c r="K44" s="64">
        <v>274.43</v>
      </c>
      <c r="L44" s="64">
        <v>25.63</v>
      </c>
      <c r="M44" s="64">
        <v>98.28</v>
      </c>
      <c r="N44" s="64">
        <v>385.4</v>
      </c>
      <c r="O44" s="64">
        <v>0</v>
      </c>
      <c r="P44" s="64">
        <v>0.26</v>
      </c>
      <c r="Q44" s="64">
        <v>9.3800000000000008</v>
      </c>
      <c r="R44" s="198"/>
      <c r="S44" s="198"/>
      <c r="T44" s="198"/>
      <c r="U44" s="198"/>
    </row>
    <row r="45" spans="1:21" s="12" customFormat="1" x14ac:dyDescent="0.25">
      <c r="A45" s="214" t="s">
        <v>1818</v>
      </c>
      <c r="B45" s="64">
        <v>10.8</v>
      </c>
      <c r="C45" s="64">
        <v>5.0199999999999996</v>
      </c>
      <c r="D45" s="64">
        <v>11.29</v>
      </c>
      <c r="E45" s="64">
        <v>4.21</v>
      </c>
      <c r="F45" s="64">
        <v>3.62</v>
      </c>
      <c r="G45" s="64">
        <v>13.84</v>
      </c>
      <c r="H45" s="64">
        <v>10.130000000000001</v>
      </c>
      <c r="I45" s="64">
        <v>1.1100000000000001</v>
      </c>
      <c r="J45" s="64">
        <v>0.16</v>
      </c>
      <c r="K45" s="64">
        <v>282.54000000000002</v>
      </c>
      <c r="L45" s="64">
        <v>26.07</v>
      </c>
      <c r="M45" s="64">
        <v>98.25</v>
      </c>
      <c r="N45" s="64">
        <v>402.6</v>
      </c>
      <c r="O45" s="64">
        <v>0</v>
      </c>
      <c r="P45" s="64">
        <v>0.27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4" t="s">
        <v>1819</v>
      </c>
      <c r="B46" s="64">
        <v>10.08</v>
      </c>
      <c r="C46" s="64">
        <v>5.42</v>
      </c>
      <c r="D46" s="64">
        <v>10.91</v>
      </c>
      <c r="E46" s="64">
        <v>4.5199999999999996</v>
      </c>
      <c r="F46" s="64">
        <v>3.74</v>
      </c>
      <c r="G46" s="64">
        <v>13.84</v>
      </c>
      <c r="H46" s="64">
        <v>10.130000000000001</v>
      </c>
      <c r="I46" s="64">
        <v>1.1000000000000001</v>
      </c>
      <c r="J46" s="64">
        <v>0.1</v>
      </c>
      <c r="K46" s="64">
        <v>219.69</v>
      </c>
      <c r="L46" s="64">
        <v>26.82</v>
      </c>
      <c r="M46" s="64">
        <v>98.21</v>
      </c>
      <c r="N46" s="64">
        <v>601.79999999999995</v>
      </c>
      <c r="O46" s="64">
        <v>0</v>
      </c>
      <c r="P46" s="64">
        <v>0.25</v>
      </c>
      <c r="Q46" s="64">
        <v>9.35</v>
      </c>
      <c r="R46" s="198"/>
      <c r="S46" s="198"/>
      <c r="T46" s="198"/>
      <c r="U46" s="198"/>
    </row>
    <row r="47" spans="1:21" s="12" customFormat="1" x14ac:dyDescent="0.25">
      <c r="A47" s="214" t="s">
        <v>1820</v>
      </c>
      <c r="B47" s="64">
        <v>9.64</v>
      </c>
      <c r="C47" s="64">
        <v>5.49</v>
      </c>
      <c r="D47" s="64">
        <v>10.6</v>
      </c>
      <c r="E47" s="64">
        <v>4.2699999999999996</v>
      </c>
      <c r="F47" s="64">
        <v>5.32</v>
      </c>
      <c r="G47" s="64">
        <v>13.84</v>
      </c>
      <c r="H47" s="64">
        <v>10.130000000000001</v>
      </c>
      <c r="I47" s="64">
        <v>1.07</v>
      </c>
      <c r="J47" s="64">
        <v>0.15</v>
      </c>
      <c r="K47" s="64">
        <v>293.41000000000003</v>
      </c>
      <c r="L47" s="64">
        <v>27.22</v>
      </c>
      <c r="M47" s="64">
        <v>98.1</v>
      </c>
      <c r="N47" s="64">
        <v>593.29999999999995</v>
      </c>
      <c r="O47" s="64">
        <v>0</v>
      </c>
      <c r="P47" s="64">
        <v>0.25</v>
      </c>
      <c r="Q47" s="64">
        <v>9.33</v>
      </c>
      <c r="R47" s="198"/>
      <c r="S47" s="198"/>
      <c r="T47" s="198"/>
      <c r="U47" s="198"/>
    </row>
    <row r="48" spans="1:21" s="12" customFormat="1" x14ac:dyDescent="0.25">
      <c r="A48" s="214" t="s">
        <v>1821</v>
      </c>
      <c r="B48" s="64">
        <v>9.0399999999999991</v>
      </c>
      <c r="C48" s="64">
        <v>6.23</v>
      </c>
      <c r="D48" s="64">
        <v>10.5</v>
      </c>
      <c r="E48" s="64">
        <v>4.3099999999999996</v>
      </c>
      <c r="F48" s="64">
        <v>5.59</v>
      </c>
      <c r="G48" s="64">
        <v>12.48</v>
      </c>
      <c r="H48" s="64">
        <v>11.96</v>
      </c>
      <c r="I48" s="64">
        <v>1.04</v>
      </c>
      <c r="J48" s="64">
        <v>0.09</v>
      </c>
      <c r="K48" s="64">
        <v>270.75</v>
      </c>
      <c r="L48" s="64">
        <v>27.79</v>
      </c>
      <c r="M48" s="64">
        <v>97.24</v>
      </c>
      <c r="N48" s="64">
        <v>376.8</v>
      </c>
      <c r="O48" s="64">
        <v>0</v>
      </c>
      <c r="P48" s="64">
        <v>0.27</v>
      </c>
      <c r="Q48" s="64">
        <v>9.3000000000000007</v>
      </c>
      <c r="R48" s="198"/>
      <c r="S48" s="198"/>
      <c r="T48" s="198"/>
      <c r="U48" s="198"/>
    </row>
    <row r="49" spans="1:21" s="12" customFormat="1" x14ac:dyDescent="0.25">
      <c r="A49" s="214" t="s">
        <v>1822</v>
      </c>
      <c r="B49" s="211" t="s">
        <v>40</v>
      </c>
      <c r="C49" s="211" t="s">
        <v>40</v>
      </c>
      <c r="D49" s="211" t="s">
        <v>40</v>
      </c>
      <c r="E49" s="64">
        <v>4.66</v>
      </c>
      <c r="F49" s="64">
        <v>8.0299999999999994</v>
      </c>
      <c r="G49" s="64">
        <v>11.4</v>
      </c>
      <c r="H49" s="64">
        <v>12.75</v>
      </c>
      <c r="I49" s="64">
        <v>1.01</v>
      </c>
      <c r="J49" s="64">
        <v>0.1</v>
      </c>
      <c r="K49" s="64">
        <v>291.41000000000003</v>
      </c>
      <c r="L49" s="64">
        <v>27.74</v>
      </c>
      <c r="M49" s="64">
        <v>96</v>
      </c>
      <c r="N49" s="64">
        <v>447.2</v>
      </c>
      <c r="O49" s="64">
        <v>0</v>
      </c>
      <c r="P49" s="64">
        <v>0.28000000000000003</v>
      </c>
      <c r="Q49" s="64">
        <v>9.31</v>
      </c>
      <c r="R49" s="198"/>
      <c r="S49" s="198"/>
      <c r="T49" s="198"/>
      <c r="U49" s="198"/>
    </row>
    <row r="50" spans="1:21" s="12" customFormat="1" x14ac:dyDescent="0.25">
      <c r="A50" s="214" t="s">
        <v>1823</v>
      </c>
      <c r="B50" s="211" t="s">
        <v>40</v>
      </c>
      <c r="C50" s="211" t="s">
        <v>40</v>
      </c>
      <c r="D50" s="211" t="s">
        <v>40</v>
      </c>
      <c r="E50" s="64">
        <v>4.57</v>
      </c>
      <c r="F50" s="64">
        <v>7.6</v>
      </c>
      <c r="G50" s="64">
        <v>11.4</v>
      </c>
      <c r="H50" s="64">
        <v>12.75</v>
      </c>
      <c r="I50" s="64">
        <v>1</v>
      </c>
      <c r="J50" s="64">
        <v>0.15</v>
      </c>
      <c r="K50" s="64">
        <v>192</v>
      </c>
      <c r="L50" s="64">
        <v>27.64</v>
      </c>
      <c r="M50" s="64">
        <v>96.74</v>
      </c>
      <c r="N50" s="64">
        <v>631.6</v>
      </c>
      <c r="O50" s="64">
        <v>0</v>
      </c>
      <c r="P50" s="64">
        <v>0.23</v>
      </c>
      <c r="Q50" s="64">
        <v>9.3000000000000007</v>
      </c>
      <c r="R50" s="198"/>
      <c r="S50" s="198"/>
      <c r="T50" s="198"/>
      <c r="U50" s="198"/>
    </row>
    <row r="51" spans="1:21" s="12" customFormat="1" x14ac:dyDescent="0.25">
      <c r="A51" s="214" t="s">
        <v>1824</v>
      </c>
      <c r="B51" s="211" t="s">
        <v>40</v>
      </c>
      <c r="C51" s="211" t="s">
        <v>40</v>
      </c>
      <c r="D51" s="211" t="s">
        <v>40</v>
      </c>
      <c r="E51" s="64">
        <v>4.55</v>
      </c>
      <c r="F51" s="64">
        <v>7.98</v>
      </c>
      <c r="G51" s="64">
        <v>8.7100000000000009</v>
      </c>
      <c r="H51" s="64">
        <v>11.54</v>
      </c>
      <c r="I51" s="64">
        <v>1</v>
      </c>
      <c r="J51" s="64">
        <v>0.11</v>
      </c>
      <c r="K51" s="64">
        <v>260.43</v>
      </c>
      <c r="L51" s="64">
        <v>27.28</v>
      </c>
      <c r="M51" s="64">
        <v>97.64</v>
      </c>
      <c r="N51" s="64">
        <v>457.3</v>
      </c>
      <c r="O51" s="64">
        <v>0</v>
      </c>
      <c r="P51" s="64">
        <v>0.22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4" t="s">
        <v>1825</v>
      </c>
      <c r="B52" s="64">
        <v>4.2699999999999996</v>
      </c>
      <c r="C52" s="64">
        <v>9.61</v>
      </c>
      <c r="D52" s="64">
        <v>8.44</v>
      </c>
      <c r="E52" s="64">
        <v>4.28</v>
      </c>
      <c r="F52" s="64">
        <v>6.7</v>
      </c>
      <c r="G52" s="211" t="s">
        <v>40</v>
      </c>
      <c r="H52" s="211" t="s">
        <v>40</v>
      </c>
      <c r="I52" s="64">
        <v>0.92</v>
      </c>
      <c r="J52" s="64">
        <v>0.17</v>
      </c>
      <c r="K52" s="64">
        <v>230.24</v>
      </c>
      <c r="L52" s="64">
        <v>28.16</v>
      </c>
      <c r="M52" s="64">
        <v>93.05</v>
      </c>
      <c r="N52" s="64">
        <v>572.6</v>
      </c>
      <c r="O52" s="64">
        <v>0</v>
      </c>
      <c r="P52" s="64">
        <v>0.2</v>
      </c>
      <c r="Q52" s="64">
        <v>9.1999999999999993</v>
      </c>
      <c r="R52" s="198"/>
      <c r="S52" s="198"/>
      <c r="T52" s="198"/>
      <c r="U52" s="198"/>
    </row>
    <row r="53" spans="1:21" s="12" customFormat="1" x14ac:dyDescent="0.25">
      <c r="A53" s="214" t="s">
        <v>1826</v>
      </c>
      <c r="B53" s="64">
        <v>4.2</v>
      </c>
      <c r="C53" s="64">
        <v>9.8800000000000008</v>
      </c>
      <c r="D53" s="64">
        <v>8.5299999999999994</v>
      </c>
      <c r="E53" s="64">
        <v>4.1500000000000004</v>
      </c>
      <c r="F53" s="64">
        <v>7.28</v>
      </c>
      <c r="G53" s="211" t="s">
        <v>40</v>
      </c>
      <c r="H53" s="211" t="s">
        <v>40</v>
      </c>
      <c r="I53" s="64">
        <v>0.74</v>
      </c>
      <c r="J53" s="64">
        <v>0.11</v>
      </c>
      <c r="K53" s="64">
        <v>266.38</v>
      </c>
      <c r="L53" s="64">
        <v>28.27</v>
      </c>
      <c r="M53" s="64">
        <v>93.86</v>
      </c>
      <c r="N53" s="64">
        <v>530.4</v>
      </c>
      <c r="O53" s="64">
        <v>0</v>
      </c>
      <c r="P53" s="64">
        <v>0.2</v>
      </c>
      <c r="Q53" s="64">
        <v>9.18</v>
      </c>
      <c r="R53" s="198"/>
      <c r="S53" s="198"/>
      <c r="T53" s="198"/>
      <c r="U53" s="198"/>
    </row>
    <row r="54" spans="1:21" s="12" customFormat="1" x14ac:dyDescent="0.25">
      <c r="A54" s="214" t="s">
        <v>1827</v>
      </c>
      <c r="B54" s="64">
        <v>5</v>
      </c>
      <c r="C54" s="64">
        <v>9.6300000000000008</v>
      </c>
      <c r="D54" s="64">
        <v>9.0500000000000007</v>
      </c>
      <c r="E54" s="64">
        <v>4.2</v>
      </c>
      <c r="F54" s="64">
        <v>6.79</v>
      </c>
      <c r="G54" s="211" t="s">
        <v>40</v>
      </c>
      <c r="H54" s="211" t="s">
        <v>40</v>
      </c>
      <c r="I54" s="64">
        <v>0.66</v>
      </c>
      <c r="J54" s="64">
        <v>0.2</v>
      </c>
      <c r="K54" s="64">
        <v>304.68</v>
      </c>
      <c r="L54" s="64">
        <v>29.48</v>
      </c>
      <c r="M54" s="64">
        <v>88.42</v>
      </c>
      <c r="N54" s="64">
        <v>742.7</v>
      </c>
      <c r="O54" s="64">
        <v>0</v>
      </c>
      <c r="P54" s="64">
        <v>0.22</v>
      </c>
      <c r="Q54" s="64">
        <v>9.18</v>
      </c>
      <c r="R54" s="198"/>
      <c r="S54" s="198"/>
      <c r="T54" s="198"/>
      <c r="U54" s="198"/>
    </row>
    <row r="55" spans="1:21" s="12" customFormat="1" x14ac:dyDescent="0.25">
      <c r="A55" s="214" t="s">
        <v>1828</v>
      </c>
      <c r="B55" s="64">
        <v>5.26</v>
      </c>
      <c r="C55" s="64">
        <v>9.56</v>
      </c>
      <c r="D55" s="64">
        <v>9.2200000000000006</v>
      </c>
      <c r="E55" s="64">
        <v>4.47</v>
      </c>
      <c r="F55" s="64">
        <v>8.32</v>
      </c>
      <c r="G55" s="64">
        <v>32.31</v>
      </c>
      <c r="H55" s="64">
        <v>5.0999999999999996</v>
      </c>
      <c r="I55" s="64">
        <v>0.89</v>
      </c>
      <c r="J55" s="64">
        <v>0.13</v>
      </c>
      <c r="K55" s="64">
        <v>297.42</v>
      </c>
      <c r="L55" s="64">
        <v>30.02</v>
      </c>
      <c r="M55" s="64">
        <v>83.24</v>
      </c>
      <c r="N55" s="64">
        <v>573.1</v>
      </c>
      <c r="O55" s="64">
        <v>0</v>
      </c>
      <c r="P55" s="64">
        <v>0.25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4" t="s">
        <v>1829</v>
      </c>
      <c r="B56" s="64">
        <v>5.83</v>
      </c>
      <c r="C56" s="64">
        <v>9.5500000000000007</v>
      </c>
      <c r="D56" s="64">
        <v>9.67</v>
      </c>
      <c r="E56" s="64">
        <v>4.0999999999999996</v>
      </c>
      <c r="F56" s="64">
        <v>7.61</v>
      </c>
      <c r="G56" s="64">
        <v>126.43</v>
      </c>
      <c r="H56" s="64">
        <v>15.55</v>
      </c>
      <c r="I56" s="64">
        <v>1.1299999999999999</v>
      </c>
      <c r="J56" s="64">
        <v>0.05</v>
      </c>
      <c r="K56" s="64">
        <v>230.89</v>
      </c>
      <c r="L56" s="64">
        <v>29.38</v>
      </c>
      <c r="M56" s="64">
        <v>86.75</v>
      </c>
      <c r="N56" s="64">
        <v>381.9</v>
      </c>
      <c r="O56" s="64">
        <v>0</v>
      </c>
      <c r="P56" s="64">
        <v>0.27</v>
      </c>
      <c r="Q56" s="64">
        <v>9.17</v>
      </c>
      <c r="R56" s="198"/>
      <c r="S56" s="198"/>
      <c r="T56" s="198"/>
      <c r="U56" s="198"/>
    </row>
    <row r="57" spans="1:21" s="12" customFormat="1" x14ac:dyDescent="0.25">
      <c r="A57" s="214" t="s">
        <v>1830</v>
      </c>
      <c r="B57" s="64">
        <v>7.2</v>
      </c>
      <c r="C57" s="64">
        <v>11.56</v>
      </c>
      <c r="D57" s="64">
        <v>11.81</v>
      </c>
      <c r="E57" s="211" t="s">
        <v>40</v>
      </c>
      <c r="F57" s="64">
        <v>8.19</v>
      </c>
      <c r="G57" s="64">
        <v>126.43</v>
      </c>
      <c r="H57" s="64">
        <v>15.55</v>
      </c>
      <c r="I57" s="64">
        <v>1.19</v>
      </c>
      <c r="J57" s="64">
        <v>0.13</v>
      </c>
      <c r="K57" s="64">
        <v>312.67</v>
      </c>
      <c r="L57" s="64">
        <v>29.63</v>
      </c>
      <c r="M57" s="64">
        <v>84.97</v>
      </c>
      <c r="N57" s="64">
        <v>491.6</v>
      </c>
      <c r="O57" s="64">
        <v>0</v>
      </c>
      <c r="P57" s="64">
        <v>0.32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4" t="s">
        <v>1831</v>
      </c>
      <c r="B58" s="64">
        <v>5.64</v>
      </c>
      <c r="C58" s="64">
        <v>11.17</v>
      </c>
      <c r="D58" s="64">
        <v>10.36</v>
      </c>
      <c r="E58" s="211" t="s">
        <v>40</v>
      </c>
      <c r="F58" s="64">
        <v>7.37</v>
      </c>
      <c r="G58" s="64">
        <v>126.43</v>
      </c>
      <c r="H58" s="64">
        <v>15.55</v>
      </c>
      <c r="I58" s="64">
        <v>1.17</v>
      </c>
      <c r="J58" s="64">
        <v>0.09</v>
      </c>
      <c r="K58" s="64">
        <v>260.26</v>
      </c>
      <c r="L58" s="64">
        <v>29.6</v>
      </c>
      <c r="M58" s="64">
        <v>83.72</v>
      </c>
      <c r="N58" s="64">
        <v>557.20000000000005</v>
      </c>
      <c r="O58" s="64">
        <v>0</v>
      </c>
      <c r="P58" s="64">
        <v>0.25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4" t="s">
        <v>1832</v>
      </c>
      <c r="B59" s="64">
        <v>4.76</v>
      </c>
      <c r="C59" s="64">
        <v>10.14</v>
      </c>
      <c r="D59" s="64">
        <v>9.1199999999999992</v>
      </c>
      <c r="E59" s="211" t="s">
        <v>40</v>
      </c>
      <c r="F59" s="64">
        <v>9.4600000000000009</v>
      </c>
      <c r="G59" s="64">
        <v>118.78</v>
      </c>
      <c r="H59" s="64">
        <v>15.38</v>
      </c>
      <c r="I59" s="64">
        <v>1.1200000000000001</v>
      </c>
      <c r="J59" s="64">
        <v>0.14000000000000001</v>
      </c>
      <c r="K59" s="64">
        <v>147.15</v>
      </c>
      <c r="L59" s="64">
        <v>29.28</v>
      </c>
      <c r="M59" s="64">
        <v>86.38</v>
      </c>
      <c r="N59" s="64">
        <v>347.5</v>
      </c>
      <c r="O59" s="64">
        <v>0</v>
      </c>
      <c r="P59" s="64">
        <v>0.21</v>
      </c>
      <c r="Q59" s="64">
        <v>9.14</v>
      </c>
      <c r="R59" s="198"/>
      <c r="S59" s="198"/>
      <c r="T59" s="198"/>
      <c r="U59" s="198"/>
    </row>
    <row r="60" spans="1:21" s="12" customFormat="1" x14ac:dyDescent="0.25">
      <c r="A60" s="214" t="s">
        <v>1833</v>
      </c>
      <c r="B60" s="64">
        <v>4.91</v>
      </c>
      <c r="C60" s="64">
        <v>10.51</v>
      </c>
      <c r="D60" s="64">
        <v>9.43</v>
      </c>
      <c r="E60" s="64">
        <v>4.17</v>
      </c>
      <c r="F60" s="64">
        <v>7.47</v>
      </c>
      <c r="G60" s="64">
        <v>96.49</v>
      </c>
      <c r="H60" s="64">
        <v>15.05</v>
      </c>
      <c r="I60" s="64">
        <v>0.98</v>
      </c>
      <c r="J60" s="64">
        <v>0.14000000000000001</v>
      </c>
      <c r="K60" s="64">
        <v>287.70999999999998</v>
      </c>
      <c r="L60" s="64">
        <v>29.33</v>
      </c>
      <c r="M60" s="64">
        <v>87.65</v>
      </c>
      <c r="N60" s="64">
        <v>357.5</v>
      </c>
      <c r="O60" s="64">
        <v>0</v>
      </c>
      <c r="P60" s="64">
        <v>0.25</v>
      </c>
      <c r="Q60" s="64">
        <v>9.1300000000000008</v>
      </c>
      <c r="R60" s="198"/>
      <c r="S60" s="198"/>
      <c r="T60" s="198"/>
      <c r="U60" s="198"/>
    </row>
    <row r="61" spans="1:21" s="12" customFormat="1" x14ac:dyDescent="0.25">
      <c r="A61" s="214" t="s">
        <v>1834</v>
      </c>
      <c r="B61" s="64">
        <v>7.42</v>
      </c>
      <c r="C61" s="64">
        <v>10.74</v>
      </c>
      <c r="D61" s="64">
        <v>11.56</v>
      </c>
      <c r="E61" s="64">
        <v>4.26</v>
      </c>
      <c r="F61" s="64">
        <v>9.99</v>
      </c>
      <c r="G61" s="64">
        <v>96.49</v>
      </c>
      <c r="H61" s="64">
        <v>15.05</v>
      </c>
      <c r="I61" s="64">
        <v>0.85</v>
      </c>
      <c r="J61" s="64">
        <v>0.15</v>
      </c>
      <c r="K61" s="64">
        <v>329.08</v>
      </c>
      <c r="L61" s="64">
        <v>29.25</v>
      </c>
      <c r="M61" s="64">
        <v>88.71</v>
      </c>
      <c r="N61" s="64">
        <v>362.4</v>
      </c>
      <c r="O61" s="64">
        <v>0</v>
      </c>
      <c r="P61" s="64">
        <v>0.31</v>
      </c>
      <c r="Q61" s="64">
        <v>9.1300000000000008</v>
      </c>
      <c r="R61" s="198"/>
      <c r="S61" s="198"/>
      <c r="T61" s="198"/>
      <c r="U61" s="198"/>
    </row>
    <row r="62" spans="1:21" s="12" customFormat="1" x14ac:dyDescent="0.25">
      <c r="A62" s="214" t="s">
        <v>1835</v>
      </c>
      <c r="B62" s="64">
        <v>9.4600000000000009</v>
      </c>
      <c r="C62" s="64">
        <v>11.95</v>
      </c>
      <c r="D62" s="64">
        <v>13.83</v>
      </c>
      <c r="E62" s="64">
        <v>4.0199999999999996</v>
      </c>
      <c r="F62" s="64">
        <v>12.43</v>
      </c>
      <c r="G62" s="64">
        <v>96.49</v>
      </c>
      <c r="H62" s="64">
        <v>15.05</v>
      </c>
      <c r="I62" s="64">
        <v>0.88</v>
      </c>
      <c r="J62" s="64">
        <v>0.35</v>
      </c>
      <c r="K62" s="64">
        <v>335.53</v>
      </c>
      <c r="L62" s="64">
        <v>30.07</v>
      </c>
      <c r="M62" s="64">
        <v>84.84</v>
      </c>
      <c r="N62" s="64">
        <v>293.7</v>
      </c>
      <c r="O62" s="64">
        <v>0</v>
      </c>
      <c r="P62" s="64">
        <v>0.4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14" t="s">
        <v>1836</v>
      </c>
      <c r="B63" s="64">
        <v>9.92</v>
      </c>
      <c r="C63" s="64">
        <v>11.23</v>
      </c>
      <c r="D63" s="64">
        <v>13.82</v>
      </c>
      <c r="E63" s="64">
        <v>4.42</v>
      </c>
      <c r="F63" s="64">
        <v>10.26</v>
      </c>
      <c r="G63" s="64">
        <v>90.73</v>
      </c>
      <c r="H63" s="64">
        <v>14.17</v>
      </c>
      <c r="I63" s="64">
        <v>0.86</v>
      </c>
      <c r="J63" s="64">
        <v>0.17</v>
      </c>
      <c r="K63" s="64">
        <v>309.8</v>
      </c>
      <c r="L63" s="64">
        <v>30.43</v>
      </c>
      <c r="M63" s="64">
        <v>82.4</v>
      </c>
      <c r="N63" s="64">
        <v>246.6</v>
      </c>
      <c r="O63" s="64">
        <v>0</v>
      </c>
      <c r="P63" s="64">
        <v>0.4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4" t="s">
        <v>1837</v>
      </c>
      <c r="B64" s="64">
        <v>7.93</v>
      </c>
      <c r="C64" s="64">
        <v>9.02</v>
      </c>
      <c r="D64" s="64">
        <v>11.07</v>
      </c>
      <c r="E64" s="64">
        <v>3.94</v>
      </c>
      <c r="F64" s="64">
        <v>8.5299999999999994</v>
      </c>
      <c r="G64" s="64">
        <v>73.94</v>
      </c>
      <c r="H64" s="64">
        <v>12.38</v>
      </c>
      <c r="I64" s="64">
        <v>0.83</v>
      </c>
      <c r="J64" s="64">
        <v>0.06</v>
      </c>
      <c r="K64" s="64">
        <v>333.67</v>
      </c>
      <c r="L64" s="64">
        <v>30.34</v>
      </c>
      <c r="M64" s="64">
        <v>82.61</v>
      </c>
      <c r="N64" s="64">
        <v>245.5</v>
      </c>
      <c r="O64" s="64">
        <v>0</v>
      </c>
      <c r="P64" s="64">
        <v>0.37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14" t="s">
        <v>1838</v>
      </c>
      <c r="B65" s="64">
        <v>6.22</v>
      </c>
      <c r="C65" s="64">
        <v>9.25</v>
      </c>
      <c r="D65" s="64">
        <v>9.83</v>
      </c>
      <c r="E65" s="64">
        <v>4.22</v>
      </c>
      <c r="F65" s="64">
        <v>11.53</v>
      </c>
      <c r="G65" s="64">
        <v>73.94</v>
      </c>
      <c r="H65" s="64">
        <v>12.38</v>
      </c>
      <c r="I65" s="64">
        <v>0.91</v>
      </c>
      <c r="J65" s="64">
        <v>0.14000000000000001</v>
      </c>
      <c r="K65" s="64">
        <v>125.23</v>
      </c>
      <c r="L65" s="64">
        <v>29.52</v>
      </c>
      <c r="M65" s="64">
        <v>85.89</v>
      </c>
      <c r="N65" s="64">
        <v>230.2</v>
      </c>
      <c r="O65" s="64">
        <v>0</v>
      </c>
      <c r="P65" s="64">
        <v>0.28999999999999998</v>
      </c>
      <c r="Q65" s="64">
        <v>9.19</v>
      </c>
      <c r="R65" s="198"/>
      <c r="S65" s="198"/>
      <c r="T65" s="198"/>
      <c r="U65" s="198"/>
    </row>
    <row r="66" spans="1:21" s="12" customFormat="1" x14ac:dyDescent="0.25">
      <c r="A66" s="214" t="s">
        <v>1839</v>
      </c>
      <c r="B66" s="64">
        <v>6.71</v>
      </c>
      <c r="C66" s="64">
        <v>8.6300000000000008</v>
      </c>
      <c r="D66" s="64">
        <v>9.89</v>
      </c>
      <c r="E66" s="64">
        <v>4.1900000000000004</v>
      </c>
      <c r="F66" s="64">
        <v>12.36</v>
      </c>
      <c r="G66" s="64">
        <v>73.94</v>
      </c>
      <c r="H66" s="64">
        <v>12.38</v>
      </c>
      <c r="I66" s="64">
        <v>0.98</v>
      </c>
      <c r="J66" s="64">
        <v>0.18</v>
      </c>
      <c r="K66" s="64">
        <v>135.81</v>
      </c>
      <c r="L66" s="64">
        <v>29.15</v>
      </c>
      <c r="M66" s="64">
        <v>89.52</v>
      </c>
      <c r="N66" s="64">
        <v>193.4</v>
      </c>
      <c r="O66" s="64">
        <v>0</v>
      </c>
      <c r="P66" s="64">
        <v>0.28999999999999998</v>
      </c>
      <c r="Q66" s="64">
        <v>9.19</v>
      </c>
      <c r="R66" s="198"/>
      <c r="S66" s="198"/>
      <c r="T66" s="198"/>
      <c r="U66" s="198"/>
    </row>
    <row r="67" spans="1:21" s="12" customFormat="1" x14ac:dyDescent="0.25">
      <c r="A67" s="214" t="s">
        <v>1840</v>
      </c>
      <c r="B67" s="64">
        <v>7.54</v>
      </c>
      <c r="C67" s="64">
        <v>10.25</v>
      </c>
      <c r="D67" s="64">
        <v>11.4</v>
      </c>
      <c r="E67" s="64">
        <v>4.25</v>
      </c>
      <c r="F67" s="64">
        <v>9.89</v>
      </c>
      <c r="G67" s="64">
        <v>69.650000000000006</v>
      </c>
      <c r="H67" s="64">
        <v>11.93</v>
      </c>
      <c r="I67" s="64">
        <v>0.91</v>
      </c>
      <c r="J67" s="64">
        <v>0.25</v>
      </c>
      <c r="K67" s="64">
        <v>319.08</v>
      </c>
      <c r="L67" s="64">
        <v>29.39</v>
      </c>
      <c r="M67" s="64">
        <v>88.18</v>
      </c>
      <c r="N67" s="64">
        <v>173</v>
      </c>
      <c r="O67" s="64">
        <v>0</v>
      </c>
      <c r="P67" s="64">
        <v>0.34</v>
      </c>
      <c r="Q67" s="64">
        <v>9.18</v>
      </c>
      <c r="R67" s="198"/>
      <c r="S67" s="198"/>
      <c r="T67" s="198"/>
      <c r="U67" s="198"/>
    </row>
    <row r="68" spans="1:21" s="12" customFormat="1" x14ac:dyDescent="0.25">
      <c r="A68" s="214" t="s">
        <v>1841</v>
      </c>
      <c r="B68" s="64">
        <v>6.52</v>
      </c>
      <c r="C68" s="64">
        <v>10.29</v>
      </c>
      <c r="D68" s="64">
        <v>10.6</v>
      </c>
      <c r="E68" s="64">
        <v>4.3499999999999996</v>
      </c>
      <c r="F68" s="64">
        <v>8.9499999999999993</v>
      </c>
      <c r="G68" s="64">
        <v>57.16</v>
      </c>
      <c r="H68" s="64">
        <v>9.77</v>
      </c>
      <c r="I68" s="64">
        <v>0.91</v>
      </c>
      <c r="J68" s="64">
        <v>0.12</v>
      </c>
      <c r="K68" s="64">
        <v>291.36</v>
      </c>
      <c r="L68" s="64">
        <v>29.28</v>
      </c>
      <c r="M68" s="64">
        <v>88.12</v>
      </c>
      <c r="N68" s="64">
        <v>198.6</v>
      </c>
      <c r="O68" s="64">
        <v>0</v>
      </c>
      <c r="P68" s="64">
        <v>0.33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14" t="s">
        <v>1842</v>
      </c>
      <c r="B69" s="64">
        <v>9.66</v>
      </c>
      <c r="C69" s="64">
        <v>12.34</v>
      </c>
      <c r="D69" s="64">
        <v>14.2</v>
      </c>
      <c r="E69" s="64">
        <v>4.4400000000000004</v>
      </c>
      <c r="F69" s="64">
        <v>11.21</v>
      </c>
      <c r="G69" s="64">
        <v>57.16</v>
      </c>
      <c r="H69" s="64">
        <v>9.77</v>
      </c>
      <c r="I69" s="64">
        <v>0.89</v>
      </c>
      <c r="J69" s="64">
        <v>0.25</v>
      </c>
      <c r="K69" s="64">
        <v>324.2</v>
      </c>
      <c r="L69" s="64">
        <v>29.53</v>
      </c>
      <c r="M69" s="64">
        <v>87.31</v>
      </c>
      <c r="N69" s="64">
        <v>149.19999999999999</v>
      </c>
      <c r="O69" s="64">
        <v>0</v>
      </c>
      <c r="P69" s="64">
        <v>0.41</v>
      </c>
      <c r="Q69" s="64">
        <v>9.1999999999999993</v>
      </c>
      <c r="R69" s="198"/>
      <c r="S69" s="198"/>
      <c r="T69" s="198"/>
      <c r="U69" s="198"/>
    </row>
    <row r="70" spans="1:21" s="12" customFormat="1" x14ac:dyDescent="0.25">
      <c r="A70" s="214" t="s">
        <v>1843</v>
      </c>
      <c r="B70" s="64">
        <v>7.42</v>
      </c>
      <c r="C70" s="64">
        <v>13.52</v>
      </c>
      <c r="D70" s="64">
        <v>13.01</v>
      </c>
      <c r="E70" s="64">
        <v>4.55</v>
      </c>
      <c r="F70" s="64">
        <v>11.64</v>
      </c>
      <c r="G70" s="64">
        <v>57.16</v>
      </c>
      <c r="H70" s="64">
        <v>9.77</v>
      </c>
      <c r="I70" s="64">
        <v>0.83</v>
      </c>
      <c r="J70" s="64">
        <v>0.06</v>
      </c>
      <c r="K70" s="64">
        <v>183.79</v>
      </c>
      <c r="L70" s="64">
        <v>28.72</v>
      </c>
      <c r="M70" s="64">
        <v>92.88</v>
      </c>
      <c r="N70" s="64">
        <v>110.6</v>
      </c>
      <c r="O70" s="64">
        <v>0</v>
      </c>
      <c r="P70" s="64">
        <v>0.37</v>
      </c>
      <c r="Q70" s="64">
        <v>9.1999999999999993</v>
      </c>
      <c r="R70" s="198"/>
      <c r="S70" s="198"/>
      <c r="T70" s="198"/>
      <c r="U70" s="198"/>
    </row>
    <row r="71" spans="1:21" s="12" customFormat="1" x14ac:dyDescent="0.25">
      <c r="A71" s="214" t="s">
        <v>1844</v>
      </c>
      <c r="B71" s="64">
        <v>7.89</v>
      </c>
      <c r="C71" s="64">
        <v>13.46</v>
      </c>
      <c r="D71" s="64">
        <v>13.36</v>
      </c>
      <c r="E71" s="64">
        <v>3.95</v>
      </c>
      <c r="F71" s="64">
        <v>9.11</v>
      </c>
      <c r="G71" s="64">
        <v>56</v>
      </c>
      <c r="H71" s="64">
        <v>11.4</v>
      </c>
      <c r="I71" s="64">
        <v>0.84</v>
      </c>
      <c r="J71" s="64">
        <v>0.03</v>
      </c>
      <c r="K71" s="64">
        <v>241.4</v>
      </c>
      <c r="L71" s="64">
        <v>27.86</v>
      </c>
      <c r="M71" s="64">
        <v>97.7</v>
      </c>
      <c r="N71" s="64">
        <v>127.6</v>
      </c>
      <c r="O71" s="64">
        <v>0</v>
      </c>
      <c r="P71" s="64">
        <v>0.3</v>
      </c>
      <c r="Q71" s="64">
        <v>9.2100000000000009</v>
      </c>
      <c r="R71" s="198"/>
      <c r="S71" s="198"/>
      <c r="T71" s="198"/>
      <c r="U71" s="198"/>
    </row>
    <row r="72" spans="1:21" s="12" customFormat="1" x14ac:dyDescent="0.25">
      <c r="A72" s="214" t="s">
        <v>1845</v>
      </c>
      <c r="B72" s="64">
        <v>5.6</v>
      </c>
      <c r="C72" s="64">
        <v>9.48</v>
      </c>
      <c r="D72" s="64">
        <v>9.44</v>
      </c>
      <c r="E72" s="64">
        <v>4.2</v>
      </c>
      <c r="F72" s="64">
        <v>10.69</v>
      </c>
      <c r="G72" s="64">
        <v>52.64</v>
      </c>
      <c r="H72" s="64">
        <v>14.74</v>
      </c>
      <c r="I72" s="64">
        <v>0.85</v>
      </c>
      <c r="J72" s="64">
        <v>0.14000000000000001</v>
      </c>
      <c r="K72" s="64">
        <v>312.69</v>
      </c>
      <c r="L72" s="64">
        <v>28.43</v>
      </c>
      <c r="M72" s="64">
        <v>94.96</v>
      </c>
      <c r="N72" s="64">
        <v>187.5</v>
      </c>
      <c r="O72" s="64">
        <v>0</v>
      </c>
      <c r="P72" s="64">
        <v>0.31</v>
      </c>
      <c r="Q72" s="64">
        <v>9.2100000000000009</v>
      </c>
      <c r="R72" s="198"/>
      <c r="S72" s="198"/>
      <c r="T72" s="198"/>
      <c r="U72" s="198"/>
    </row>
    <row r="73" spans="1:21" s="12" customFormat="1" x14ac:dyDescent="0.25">
      <c r="A73" s="214" t="s">
        <v>1846</v>
      </c>
      <c r="B73" s="64">
        <v>10.09</v>
      </c>
      <c r="C73" s="64">
        <v>10.63</v>
      </c>
      <c r="D73" s="64">
        <v>13.65</v>
      </c>
      <c r="E73" s="64">
        <v>4.54</v>
      </c>
      <c r="F73" s="64">
        <v>10.64</v>
      </c>
      <c r="G73" s="64">
        <v>52.64</v>
      </c>
      <c r="H73" s="64">
        <v>14.74</v>
      </c>
      <c r="I73" s="64">
        <v>0.93</v>
      </c>
      <c r="J73" s="64">
        <v>0.09</v>
      </c>
      <c r="K73" s="64">
        <v>280.08999999999997</v>
      </c>
      <c r="L73" s="64">
        <v>29.25</v>
      </c>
      <c r="M73" s="64">
        <v>89.75</v>
      </c>
      <c r="N73" s="64">
        <v>153.4</v>
      </c>
      <c r="O73" s="64">
        <v>0</v>
      </c>
      <c r="P73" s="64">
        <v>0.43</v>
      </c>
      <c r="Q73" s="64">
        <v>9.2100000000000009</v>
      </c>
      <c r="R73" s="198"/>
      <c r="S73" s="198"/>
      <c r="T73" s="198"/>
      <c r="U73" s="198"/>
    </row>
    <row r="74" spans="1:21" s="12" customFormat="1" x14ac:dyDescent="0.25">
      <c r="A74" s="214" t="s">
        <v>1847</v>
      </c>
      <c r="B74" s="64">
        <v>14</v>
      </c>
      <c r="C74" s="64">
        <v>11.13</v>
      </c>
      <c r="D74" s="64">
        <v>17.03</v>
      </c>
      <c r="E74" s="64">
        <v>4.4800000000000004</v>
      </c>
      <c r="F74" s="64">
        <v>8.89</v>
      </c>
      <c r="G74" s="64">
        <v>52.64</v>
      </c>
      <c r="H74" s="64">
        <v>14.74</v>
      </c>
      <c r="I74" s="64">
        <v>0.99</v>
      </c>
      <c r="J74" s="64">
        <v>0.18</v>
      </c>
      <c r="K74" s="64">
        <v>332.29</v>
      </c>
      <c r="L74" s="64">
        <v>29.63</v>
      </c>
      <c r="M74" s="64">
        <v>87.82</v>
      </c>
      <c r="N74" s="64">
        <v>129.5</v>
      </c>
      <c r="O74" s="64">
        <v>0</v>
      </c>
      <c r="P74" s="64">
        <v>0.45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4" t="s">
        <v>1848</v>
      </c>
      <c r="B75" s="64">
        <v>6.95</v>
      </c>
      <c r="C75" s="64">
        <v>9.52</v>
      </c>
      <c r="D75" s="64">
        <v>10.55</v>
      </c>
      <c r="E75" s="64">
        <v>4.5599999999999996</v>
      </c>
      <c r="F75" s="64">
        <v>11.29</v>
      </c>
      <c r="G75" s="64">
        <v>49.43</v>
      </c>
      <c r="H75" s="64">
        <v>13.29</v>
      </c>
      <c r="I75" s="64">
        <v>0.92</v>
      </c>
      <c r="J75" s="64">
        <v>0.03</v>
      </c>
      <c r="K75" s="64">
        <v>279.39</v>
      </c>
      <c r="L75" s="64">
        <v>28.99</v>
      </c>
      <c r="M75" s="64">
        <v>87.97</v>
      </c>
      <c r="N75" s="64">
        <v>114.8</v>
      </c>
      <c r="O75" s="64">
        <v>0</v>
      </c>
      <c r="P75" s="64">
        <v>0.32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14" t="s">
        <v>1849</v>
      </c>
      <c r="B76" s="64">
        <v>5.12</v>
      </c>
      <c r="C76" s="64">
        <v>8.18</v>
      </c>
      <c r="D76" s="64">
        <v>8.3800000000000008</v>
      </c>
      <c r="E76" s="64">
        <v>4.66</v>
      </c>
      <c r="F76" s="64">
        <v>14.14</v>
      </c>
      <c r="G76" s="64">
        <v>40.090000000000003</v>
      </c>
      <c r="H76" s="64">
        <v>10.32</v>
      </c>
      <c r="I76" s="64">
        <v>0.87</v>
      </c>
      <c r="J76" s="64">
        <v>0.16</v>
      </c>
      <c r="K76" s="64">
        <v>181.89</v>
      </c>
      <c r="L76" s="64">
        <v>28.49</v>
      </c>
      <c r="M76" s="64">
        <v>87.59</v>
      </c>
      <c r="N76" s="64">
        <v>90.6</v>
      </c>
      <c r="O76" s="64">
        <v>0</v>
      </c>
      <c r="P76" s="64">
        <v>0.25</v>
      </c>
      <c r="Q76" s="64">
        <v>9.2100000000000009</v>
      </c>
      <c r="R76" s="198"/>
      <c r="S76" s="198"/>
      <c r="T76" s="198"/>
      <c r="U76" s="198"/>
    </row>
    <row r="77" spans="1:21" s="12" customFormat="1" x14ac:dyDescent="0.25">
      <c r="A77" s="214" t="s">
        <v>1850</v>
      </c>
      <c r="B77" s="64">
        <v>14.56</v>
      </c>
      <c r="C77" s="64">
        <v>15.18</v>
      </c>
      <c r="D77" s="64">
        <v>19.61</v>
      </c>
      <c r="E77" s="64">
        <v>4.6900000000000004</v>
      </c>
      <c r="F77" s="64">
        <v>9.1199999999999992</v>
      </c>
      <c r="G77" s="64">
        <v>40.090000000000003</v>
      </c>
      <c r="H77" s="64">
        <v>10.32</v>
      </c>
      <c r="I77" s="64">
        <v>0.87</v>
      </c>
      <c r="J77" s="64">
        <v>0.03</v>
      </c>
      <c r="K77" s="64">
        <v>314.86</v>
      </c>
      <c r="L77" s="64">
        <v>28.32</v>
      </c>
      <c r="M77" s="64">
        <v>90.91</v>
      </c>
      <c r="N77" s="64">
        <v>71.7</v>
      </c>
      <c r="O77" s="64">
        <v>0</v>
      </c>
      <c r="P77" s="64">
        <v>0.53</v>
      </c>
      <c r="Q77" s="64">
        <v>9.2100000000000009</v>
      </c>
      <c r="R77" s="198"/>
      <c r="S77" s="198"/>
      <c r="T77" s="198"/>
      <c r="U77" s="198"/>
    </row>
    <row r="78" spans="1:21" s="12" customFormat="1" x14ac:dyDescent="0.25">
      <c r="A78" s="214" t="s">
        <v>1851</v>
      </c>
      <c r="B78" s="64">
        <v>12.47</v>
      </c>
      <c r="C78" s="64">
        <v>15.93</v>
      </c>
      <c r="D78" s="64">
        <v>18.329999999999998</v>
      </c>
      <c r="E78" s="64">
        <v>4.58</v>
      </c>
      <c r="F78" s="64">
        <v>9.08</v>
      </c>
      <c r="G78" s="64">
        <v>40.090000000000003</v>
      </c>
      <c r="H78" s="64">
        <v>10.32</v>
      </c>
      <c r="I78" s="64">
        <v>0.86</v>
      </c>
      <c r="J78" s="64">
        <v>0.08</v>
      </c>
      <c r="K78" s="64">
        <v>149.54</v>
      </c>
      <c r="L78" s="64">
        <v>28.12</v>
      </c>
      <c r="M78" s="64">
        <v>92.89</v>
      </c>
      <c r="N78" s="64">
        <v>60</v>
      </c>
      <c r="O78" s="64">
        <v>0</v>
      </c>
      <c r="P78" s="64">
        <v>0.57999999999999996</v>
      </c>
      <c r="Q78" s="64">
        <v>9.2100000000000009</v>
      </c>
      <c r="R78" s="198"/>
      <c r="S78" s="198"/>
      <c r="T78" s="198"/>
      <c r="U78" s="198"/>
    </row>
    <row r="79" spans="1:21" s="12" customFormat="1" x14ac:dyDescent="0.25">
      <c r="A79" s="214" t="s">
        <v>1852</v>
      </c>
      <c r="B79" s="64">
        <v>5.0999999999999996</v>
      </c>
      <c r="C79" s="64">
        <v>12.05</v>
      </c>
      <c r="D79" s="64">
        <v>10.38</v>
      </c>
      <c r="E79" s="64">
        <v>4.63</v>
      </c>
      <c r="F79" s="64">
        <v>9.0399999999999991</v>
      </c>
      <c r="G79" s="64">
        <v>40.47</v>
      </c>
      <c r="H79" s="64">
        <v>9.3000000000000007</v>
      </c>
      <c r="I79" s="64">
        <v>0.86</v>
      </c>
      <c r="J79" s="64">
        <v>0.12</v>
      </c>
      <c r="K79" s="64">
        <v>140.25</v>
      </c>
      <c r="L79" s="64">
        <v>27.76</v>
      </c>
      <c r="M79" s="64">
        <v>94.72</v>
      </c>
      <c r="N79" s="64">
        <v>46</v>
      </c>
      <c r="O79" s="64">
        <v>0</v>
      </c>
      <c r="P79" s="64">
        <v>0.28000000000000003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14" t="s">
        <v>1853</v>
      </c>
      <c r="B80" s="64">
        <v>5.24</v>
      </c>
      <c r="C80" s="64">
        <v>16.96</v>
      </c>
      <c r="D80" s="64">
        <v>13.07</v>
      </c>
      <c r="E80" s="64">
        <v>4.7300000000000004</v>
      </c>
      <c r="F80" s="64">
        <v>9.92</v>
      </c>
      <c r="G80" s="64">
        <v>41.56</v>
      </c>
      <c r="H80" s="64">
        <v>7.22</v>
      </c>
      <c r="I80" s="64">
        <v>0.87</v>
      </c>
      <c r="J80" s="64">
        <v>0.05</v>
      </c>
      <c r="K80" s="64">
        <v>132.47</v>
      </c>
      <c r="L80" s="64">
        <v>27.46</v>
      </c>
      <c r="M80" s="64">
        <v>95.52</v>
      </c>
      <c r="N80" s="64">
        <v>32.5</v>
      </c>
      <c r="O80" s="64">
        <v>0</v>
      </c>
      <c r="P80" s="64">
        <v>0.26</v>
      </c>
      <c r="Q80" s="64">
        <v>9.2200000000000006</v>
      </c>
      <c r="R80" s="198"/>
      <c r="S80" s="198"/>
      <c r="T80" s="198"/>
      <c r="U80" s="198"/>
    </row>
    <row r="81" spans="1:26" s="12" customFormat="1" x14ac:dyDescent="0.25">
      <c r="A81" s="214" t="s">
        <v>1854</v>
      </c>
      <c r="B81" s="64">
        <v>6.82</v>
      </c>
      <c r="C81" s="64">
        <v>13.77</v>
      </c>
      <c r="D81" s="64">
        <v>12.67</v>
      </c>
      <c r="E81" s="64">
        <v>4.87</v>
      </c>
      <c r="F81" s="64">
        <v>8.7200000000000006</v>
      </c>
      <c r="G81" s="64">
        <v>41.56</v>
      </c>
      <c r="H81" s="64">
        <v>7.22</v>
      </c>
      <c r="I81" s="64">
        <v>0.88</v>
      </c>
      <c r="J81" s="64">
        <v>0.05</v>
      </c>
      <c r="K81" s="64">
        <v>216.31</v>
      </c>
      <c r="L81" s="64">
        <v>27.17</v>
      </c>
      <c r="M81" s="64">
        <v>98.19</v>
      </c>
      <c r="N81" s="64">
        <v>29.2</v>
      </c>
      <c r="O81" s="64">
        <v>0</v>
      </c>
      <c r="P81" s="64">
        <v>0.3</v>
      </c>
      <c r="Q81" s="64">
        <v>9.2200000000000006</v>
      </c>
      <c r="R81" s="198"/>
      <c r="S81" s="198"/>
      <c r="T81" s="198"/>
      <c r="U81" s="198"/>
    </row>
    <row r="82" spans="1:26" s="12" customFormat="1" x14ac:dyDescent="0.25">
      <c r="A82" s="214" t="s">
        <v>1855</v>
      </c>
      <c r="B82" s="64">
        <v>8.1</v>
      </c>
      <c r="C82" s="64">
        <v>18.66</v>
      </c>
      <c r="D82" s="64">
        <v>16.239999999999998</v>
      </c>
      <c r="E82" s="64">
        <v>4.55</v>
      </c>
      <c r="F82" s="64">
        <v>7.73</v>
      </c>
      <c r="G82" s="64">
        <v>41.56</v>
      </c>
      <c r="H82" s="64">
        <v>7.22</v>
      </c>
      <c r="I82" s="64">
        <v>0.87</v>
      </c>
      <c r="J82" s="64">
        <v>0.04</v>
      </c>
      <c r="K82" s="64">
        <v>110.87</v>
      </c>
      <c r="L82" s="64">
        <v>26.95</v>
      </c>
      <c r="M82" s="64">
        <v>98.23</v>
      </c>
      <c r="N82" s="64">
        <v>28.8</v>
      </c>
      <c r="O82" s="64">
        <v>0</v>
      </c>
      <c r="P82" s="64">
        <v>0.31</v>
      </c>
      <c r="Q82" s="64">
        <v>9.2200000000000006</v>
      </c>
      <c r="R82" s="198"/>
      <c r="S82" s="198"/>
      <c r="T82" s="198"/>
      <c r="U82" s="198"/>
    </row>
    <row r="83" spans="1:26" s="12" customFormat="1" x14ac:dyDescent="0.25">
      <c r="A83" s="214" t="s">
        <v>1856</v>
      </c>
      <c r="B83" s="64">
        <v>8.43</v>
      </c>
      <c r="C83" s="64">
        <v>21.15</v>
      </c>
      <c r="D83" s="64">
        <v>17.809999999999999</v>
      </c>
      <c r="E83" s="64">
        <v>4.58</v>
      </c>
      <c r="F83" s="64">
        <v>6.61</v>
      </c>
      <c r="G83" s="64">
        <v>41.29</v>
      </c>
      <c r="H83" s="64">
        <v>6.85</v>
      </c>
      <c r="I83" s="64">
        <v>0.87</v>
      </c>
      <c r="J83" s="64">
        <v>0.03</v>
      </c>
      <c r="K83" s="64">
        <v>33.03</v>
      </c>
      <c r="L83" s="64">
        <v>26.75</v>
      </c>
      <c r="M83" s="64">
        <v>98.27</v>
      </c>
      <c r="N83" s="64">
        <v>28.8</v>
      </c>
      <c r="O83" s="64">
        <v>0</v>
      </c>
      <c r="P83" s="64">
        <v>0.47</v>
      </c>
      <c r="Q83" s="64">
        <v>9.23</v>
      </c>
      <c r="R83" s="198"/>
      <c r="S83" s="198"/>
      <c r="T83" s="198"/>
      <c r="U83" s="198"/>
    </row>
    <row r="84" spans="1:26" s="12" customFormat="1" x14ac:dyDescent="0.25">
      <c r="A84" s="214" t="s">
        <v>1857</v>
      </c>
      <c r="B84" s="64">
        <v>30.51</v>
      </c>
      <c r="C84" s="64">
        <v>16.25</v>
      </c>
      <c r="D84" s="64">
        <v>32.96</v>
      </c>
      <c r="E84" s="64">
        <v>4.9400000000000004</v>
      </c>
      <c r="F84" s="64">
        <v>5.45</v>
      </c>
      <c r="G84" s="64">
        <v>40.49</v>
      </c>
      <c r="H84" s="64">
        <v>5.0599999999999996</v>
      </c>
      <c r="I84" s="64">
        <v>0.88</v>
      </c>
      <c r="J84" s="64">
        <v>0.1</v>
      </c>
      <c r="K84" s="64">
        <v>331.13</v>
      </c>
      <c r="L84" s="64">
        <v>26.54</v>
      </c>
      <c r="M84" s="64">
        <v>98.28</v>
      </c>
      <c r="N84" s="64">
        <v>28.8</v>
      </c>
      <c r="O84" s="64">
        <v>0</v>
      </c>
      <c r="P84" s="64">
        <v>1.39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4" t="s">
        <v>1858</v>
      </c>
      <c r="B85" s="64">
        <v>42.27</v>
      </c>
      <c r="C85" s="64">
        <v>13.92</v>
      </c>
      <c r="D85" s="64">
        <v>41.13</v>
      </c>
      <c r="E85" s="64">
        <v>5.08</v>
      </c>
      <c r="F85" s="64">
        <v>5.55</v>
      </c>
      <c r="G85" s="64">
        <v>40.49</v>
      </c>
      <c r="H85" s="64">
        <v>5.0599999999999996</v>
      </c>
      <c r="I85" s="64">
        <v>0.88</v>
      </c>
      <c r="J85" s="64">
        <v>0.13</v>
      </c>
      <c r="K85" s="64">
        <v>332.75</v>
      </c>
      <c r="L85" s="64">
        <v>26.31</v>
      </c>
      <c r="M85" s="64">
        <v>98.32</v>
      </c>
      <c r="N85" s="64">
        <v>28.7</v>
      </c>
      <c r="O85" s="64">
        <v>0</v>
      </c>
      <c r="P85" s="64">
        <v>1.72</v>
      </c>
      <c r="Q85" s="64">
        <v>9.2799999999999994</v>
      </c>
      <c r="R85" s="198"/>
      <c r="S85" s="198"/>
      <c r="T85" s="198"/>
      <c r="U85" s="198"/>
    </row>
    <row r="86" spans="1:26" s="12" customFormat="1" x14ac:dyDescent="0.25">
      <c r="A86" s="214" t="s">
        <v>1859</v>
      </c>
      <c r="B86" s="64">
        <v>22.38</v>
      </c>
      <c r="C86" s="64">
        <v>20.5</v>
      </c>
      <c r="D86" s="64">
        <v>28.66</v>
      </c>
      <c r="E86" s="64">
        <v>5.19</v>
      </c>
      <c r="F86" s="64">
        <v>6.52</v>
      </c>
      <c r="G86" s="64">
        <v>40.49</v>
      </c>
      <c r="H86" s="64">
        <v>5.0599999999999996</v>
      </c>
      <c r="I86" s="64">
        <v>1.02</v>
      </c>
      <c r="J86" s="64">
        <v>0.04</v>
      </c>
      <c r="K86" s="64">
        <v>303.12</v>
      </c>
      <c r="L86" s="64">
        <v>26.15</v>
      </c>
      <c r="M86" s="64">
        <v>98.31</v>
      </c>
      <c r="N86" s="64">
        <v>28.8</v>
      </c>
      <c r="O86" s="64">
        <v>0</v>
      </c>
      <c r="P86" s="64">
        <v>1.32</v>
      </c>
      <c r="Q86" s="64">
        <v>9.33</v>
      </c>
      <c r="R86" s="198"/>
      <c r="S86" s="198"/>
      <c r="T86" s="198"/>
      <c r="U86" s="198"/>
    </row>
    <row r="87" spans="1:26" s="12" customFormat="1" x14ac:dyDescent="0.25">
      <c r="A87" s="214" t="s">
        <v>1860</v>
      </c>
      <c r="B87" s="64">
        <v>27.43</v>
      </c>
      <c r="C87" s="64">
        <v>18.05</v>
      </c>
      <c r="D87" s="64">
        <v>31.43</v>
      </c>
      <c r="E87" s="64">
        <v>4.93</v>
      </c>
      <c r="F87" s="64">
        <v>6.98</v>
      </c>
      <c r="G87" s="64">
        <v>46.84</v>
      </c>
      <c r="H87" s="64">
        <v>5.47</v>
      </c>
      <c r="I87" s="64">
        <v>1.1399999999999999</v>
      </c>
      <c r="J87" s="64">
        <v>0.08</v>
      </c>
      <c r="K87" s="64">
        <v>320.85000000000002</v>
      </c>
      <c r="L87" s="64">
        <v>26.07</v>
      </c>
      <c r="M87" s="64">
        <v>98.31</v>
      </c>
      <c r="N87" s="64">
        <v>28.7</v>
      </c>
      <c r="O87" s="64">
        <v>0</v>
      </c>
      <c r="P87" s="64">
        <v>1.45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4" t="s">
        <v>1861</v>
      </c>
      <c r="B88" s="64">
        <v>16.32</v>
      </c>
      <c r="C88" s="64">
        <v>18.329999999999998</v>
      </c>
      <c r="D88" s="64">
        <v>22.67</v>
      </c>
      <c r="E88" s="64">
        <v>5.23</v>
      </c>
      <c r="F88" s="64">
        <v>6.52</v>
      </c>
      <c r="G88" s="64">
        <v>65.36</v>
      </c>
      <c r="H88" s="64">
        <v>6.32</v>
      </c>
      <c r="I88" s="64">
        <v>1.18</v>
      </c>
      <c r="J88" s="64">
        <v>0.05</v>
      </c>
      <c r="K88" s="64">
        <v>268.74</v>
      </c>
      <c r="L88" s="64">
        <v>26.01</v>
      </c>
      <c r="M88" s="64">
        <v>98.31</v>
      </c>
      <c r="N88" s="64">
        <v>28.7</v>
      </c>
      <c r="O88" s="64">
        <v>0</v>
      </c>
      <c r="P88" s="64">
        <v>1.39</v>
      </c>
      <c r="Q88" s="64">
        <v>9.41</v>
      </c>
      <c r="R88" s="198"/>
      <c r="S88" s="198"/>
      <c r="T88" s="198"/>
      <c r="U88" s="198"/>
    </row>
    <row r="89" spans="1:26" s="12" customFormat="1" x14ac:dyDescent="0.25">
      <c r="A89" s="214" t="s">
        <v>1862</v>
      </c>
      <c r="B89" s="64">
        <v>16.55</v>
      </c>
      <c r="C89" s="64">
        <v>19.54</v>
      </c>
      <c r="D89" s="64">
        <v>23.45</v>
      </c>
      <c r="E89" s="64">
        <v>5.32</v>
      </c>
      <c r="F89" s="64">
        <v>6.2</v>
      </c>
      <c r="G89" s="64">
        <v>65.36</v>
      </c>
      <c r="H89" s="64">
        <v>6.32</v>
      </c>
      <c r="I89" s="64">
        <v>1.36</v>
      </c>
      <c r="J89" s="64">
        <v>0.05</v>
      </c>
      <c r="K89" s="64">
        <v>238</v>
      </c>
      <c r="L89" s="64">
        <v>26</v>
      </c>
      <c r="M89" s="64">
        <v>98.34</v>
      </c>
      <c r="N89" s="64">
        <v>28.7</v>
      </c>
      <c r="O89" s="64">
        <v>0</v>
      </c>
      <c r="P89" s="64">
        <v>1.19</v>
      </c>
      <c r="Q89" s="64">
        <v>9.43</v>
      </c>
      <c r="R89" s="198"/>
      <c r="S89" s="198"/>
      <c r="T89" s="198"/>
      <c r="U89" s="198"/>
    </row>
    <row r="90" spans="1:26" s="12" customFormat="1" x14ac:dyDescent="0.25">
      <c r="A90" s="214" t="s">
        <v>1863</v>
      </c>
      <c r="B90" s="64">
        <v>8.1</v>
      </c>
      <c r="C90" s="64">
        <v>19.71</v>
      </c>
      <c r="D90" s="64">
        <v>16.79</v>
      </c>
      <c r="E90" s="64">
        <v>5.18</v>
      </c>
      <c r="F90" s="64">
        <v>9.1</v>
      </c>
      <c r="G90" s="64">
        <v>65.36</v>
      </c>
      <c r="H90" s="64">
        <v>6.32</v>
      </c>
      <c r="I90" s="64">
        <v>1.45</v>
      </c>
      <c r="J90" s="64">
        <v>0.02</v>
      </c>
      <c r="K90" s="64">
        <v>287.51</v>
      </c>
      <c r="L90" s="64">
        <v>26</v>
      </c>
      <c r="M90" s="64">
        <v>98.33</v>
      </c>
      <c r="N90" s="64">
        <v>28.8</v>
      </c>
      <c r="O90" s="64">
        <v>0</v>
      </c>
      <c r="P90" s="64">
        <v>0.96</v>
      </c>
      <c r="Q90" s="64">
        <v>9.4600000000000009</v>
      </c>
      <c r="R90" s="198"/>
      <c r="S90" s="198"/>
      <c r="T90" s="198"/>
      <c r="U90" s="198"/>
    </row>
    <row r="91" spans="1:26" s="12" customFormat="1" x14ac:dyDescent="0.25">
      <c r="A91" s="214" t="s">
        <v>1864</v>
      </c>
      <c r="B91" s="64">
        <v>24.61</v>
      </c>
      <c r="C91" s="64">
        <v>19.43</v>
      </c>
      <c r="D91" s="64">
        <v>29.89</v>
      </c>
      <c r="E91" s="64">
        <v>5.2</v>
      </c>
      <c r="F91" s="64">
        <v>5.7</v>
      </c>
      <c r="G91" s="64">
        <v>65.53</v>
      </c>
      <c r="H91" s="64">
        <v>5.7</v>
      </c>
      <c r="I91" s="64">
        <v>1.48</v>
      </c>
      <c r="J91" s="64">
        <v>0.04</v>
      </c>
      <c r="K91" s="64">
        <v>308.02999999999997</v>
      </c>
      <c r="L91" s="64">
        <v>25.99</v>
      </c>
      <c r="M91" s="64">
        <v>98.34</v>
      </c>
      <c r="N91" s="64">
        <v>28.6</v>
      </c>
      <c r="O91" s="64">
        <v>0</v>
      </c>
      <c r="P91" s="64">
        <v>1.41</v>
      </c>
      <c r="Q91" s="64">
        <v>9.4600000000000009</v>
      </c>
      <c r="R91" s="198"/>
      <c r="S91" s="198"/>
      <c r="T91" s="198"/>
      <c r="U91" s="198"/>
    </row>
    <row r="92" spans="1:26" s="12" customFormat="1" x14ac:dyDescent="0.25">
      <c r="A92" s="214" t="s">
        <v>1865</v>
      </c>
      <c r="B92" s="64">
        <v>56.69</v>
      </c>
      <c r="C92" s="64">
        <v>11.12</v>
      </c>
      <c r="D92" s="64">
        <v>51.27</v>
      </c>
      <c r="E92" s="64">
        <v>5.12</v>
      </c>
      <c r="F92" s="64">
        <v>5.55</v>
      </c>
      <c r="G92" s="64">
        <v>66.040000000000006</v>
      </c>
      <c r="H92" s="64">
        <v>4.43</v>
      </c>
      <c r="I92" s="64">
        <v>1.55</v>
      </c>
      <c r="J92" s="64">
        <v>0.1</v>
      </c>
      <c r="K92" s="64">
        <v>335.19</v>
      </c>
      <c r="L92" s="64">
        <v>25.89</v>
      </c>
      <c r="M92" s="64">
        <v>98.39</v>
      </c>
      <c r="N92" s="64">
        <v>28.7</v>
      </c>
      <c r="O92" s="64">
        <v>0</v>
      </c>
      <c r="P92" s="64">
        <v>1.56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4" t="s">
        <v>1866</v>
      </c>
      <c r="B93" s="64">
        <v>31.83</v>
      </c>
      <c r="C93" s="64">
        <v>12.28</v>
      </c>
      <c r="D93" s="64">
        <v>31.85</v>
      </c>
      <c r="E93" s="64">
        <v>5.53</v>
      </c>
      <c r="F93" s="64">
        <v>5.65</v>
      </c>
      <c r="G93" s="64">
        <v>66.040000000000006</v>
      </c>
      <c r="H93" s="64">
        <v>4.43</v>
      </c>
      <c r="I93" s="64">
        <v>1.61</v>
      </c>
      <c r="J93" s="64">
        <v>7.0000000000000007E-2</v>
      </c>
      <c r="K93" s="64">
        <v>1.64</v>
      </c>
      <c r="L93" s="64">
        <v>25.87</v>
      </c>
      <c r="M93" s="64">
        <v>98.42</v>
      </c>
      <c r="N93" s="64">
        <v>28.7</v>
      </c>
      <c r="O93" s="64">
        <v>0</v>
      </c>
      <c r="P93" s="64">
        <v>1.65</v>
      </c>
      <c r="Q93" s="64">
        <v>9.5</v>
      </c>
      <c r="R93" s="198"/>
      <c r="S93" s="198"/>
      <c r="T93" s="198"/>
      <c r="U93" s="198"/>
    </row>
    <row r="94" spans="1:26" s="12" customFormat="1" x14ac:dyDescent="0.25">
      <c r="A94" s="214" t="s">
        <v>1867</v>
      </c>
      <c r="B94" s="64">
        <v>10.65</v>
      </c>
      <c r="C94" s="64">
        <v>17.649999999999999</v>
      </c>
      <c r="D94" s="64">
        <v>17.760000000000002</v>
      </c>
      <c r="E94" s="64">
        <v>5.27</v>
      </c>
      <c r="F94" s="64">
        <v>6.98</v>
      </c>
      <c r="G94" s="64">
        <v>66.040000000000006</v>
      </c>
      <c r="H94" s="64">
        <v>4.43</v>
      </c>
      <c r="I94" s="64">
        <v>1.7</v>
      </c>
      <c r="J94" s="64">
        <v>0.05</v>
      </c>
      <c r="K94" s="64">
        <v>191.32</v>
      </c>
      <c r="L94" s="64">
        <v>26.04</v>
      </c>
      <c r="M94" s="64">
        <v>98.38</v>
      </c>
      <c r="N94" s="64">
        <v>29</v>
      </c>
      <c r="O94" s="64">
        <v>0</v>
      </c>
      <c r="P94" s="64">
        <v>0.75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4" t="s">
        <v>1868</v>
      </c>
      <c r="B95" s="64">
        <v>10.87</v>
      </c>
      <c r="C95" s="64">
        <v>14.22</v>
      </c>
      <c r="D95" s="64">
        <v>16.149999999999999</v>
      </c>
      <c r="E95" s="64">
        <v>4.7</v>
      </c>
      <c r="F95" s="64">
        <v>5.42</v>
      </c>
      <c r="G95" s="64">
        <v>66.95</v>
      </c>
      <c r="H95" s="64">
        <v>4.17</v>
      </c>
      <c r="I95" s="64">
        <v>1.81</v>
      </c>
      <c r="J95" s="64">
        <v>0.23</v>
      </c>
      <c r="K95" s="64">
        <v>145.33000000000001</v>
      </c>
      <c r="L95" s="64">
        <v>25.61</v>
      </c>
      <c r="M95" s="64">
        <v>98.43</v>
      </c>
      <c r="N95" s="64">
        <v>30.8</v>
      </c>
      <c r="O95" s="64">
        <v>0</v>
      </c>
      <c r="P95" s="64">
        <v>0.5</v>
      </c>
      <c r="Q95" s="64">
        <v>9.5500000000000007</v>
      </c>
      <c r="R95" s="198"/>
      <c r="S95" s="198"/>
      <c r="T95" s="198"/>
      <c r="U95" s="198"/>
    </row>
    <row r="96" spans="1:26" s="12" customFormat="1" x14ac:dyDescent="0.25">
      <c r="A96" s="214" t="s">
        <v>1869</v>
      </c>
      <c r="B96" s="64">
        <v>16.350000000000001</v>
      </c>
      <c r="C96" s="64">
        <v>13.67</v>
      </c>
      <c r="D96" s="64">
        <v>20.25</v>
      </c>
      <c r="E96" s="64">
        <v>4.87</v>
      </c>
      <c r="F96" s="64">
        <v>4.47</v>
      </c>
      <c r="G96" s="64">
        <v>69.599999999999994</v>
      </c>
      <c r="H96" s="64">
        <v>3.65</v>
      </c>
      <c r="I96" s="64">
        <v>1.86</v>
      </c>
      <c r="J96" s="64">
        <v>0.27</v>
      </c>
      <c r="K96" s="64">
        <v>138.03</v>
      </c>
      <c r="L96" s="64">
        <v>24.8</v>
      </c>
      <c r="M96" s="64">
        <v>98.45</v>
      </c>
      <c r="N96" s="64">
        <v>30.1</v>
      </c>
      <c r="O96" s="64">
        <v>0</v>
      </c>
      <c r="P96" s="64">
        <v>0.51</v>
      </c>
      <c r="Q96" s="64">
        <v>9.56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1870</v>
      </c>
      <c r="B97" s="64">
        <v>10.38</v>
      </c>
      <c r="C97" s="64">
        <v>16.53</v>
      </c>
      <c r="D97" s="64">
        <v>16.96</v>
      </c>
      <c r="E97" s="64">
        <v>4.57</v>
      </c>
      <c r="F97" s="64">
        <v>4.3099999999999996</v>
      </c>
      <c r="G97" s="64">
        <v>69.599999999999994</v>
      </c>
      <c r="H97" s="64">
        <v>3.65</v>
      </c>
      <c r="I97" s="64">
        <v>1.86</v>
      </c>
      <c r="J97" s="64">
        <v>0.25</v>
      </c>
      <c r="K97" s="64">
        <v>141.38</v>
      </c>
      <c r="L97" s="64">
        <v>24.74</v>
      </c>
      <c r="M97" s="64">
        <v>98.47</v>
      </c>
      <c r="N97" s="64">
        <v>28.9</v>
      </c>
      <c r="O97" s="64">
        <v>0</v>
      </c>
      <c r="P97" s="64">
        <v>0.48</v>
      </c>
      <c r="Q97" s="64">
        <v>9.57</v>
      </c>
      <c r="R97" s="198"/>
      <c r="S97" s="198"/>
      <c r="T97" s="198"/>
      <c r="U97" s="198"/>
    </row>
    <row r="98" spans="1:33" s="12" customFormat="1" x14ac:dyDescent="0.25">
      <c r="A98" s="214" t="s">
        <v>1871</v>
      </c>
      <c r="B98" s="64">
        <v>7.39</v>
      </c>
      <c r="C98" s="64">
        <v>14.6</v>
      </c>
      <c r="D98" s="64">
        <v>13.55</v>
      </c>
      <c r="E98" s="64">
        <v>4.62</v>
      </c>
      <c r="F98" s="64">
        <v>5.86</v>
      </c>
      <c r="G98" s="64">
        <v>69.599999999999994</v>
      </c>
      <c r="H98" s="64">
        <v>3.65</v>
      </c>
      <c r="I98" s="64">
        <v>1.84</v>
      </c>
      <c r="J98" s="64">
        <v>0.06</v>
      </c>
      <c r="K98" s="64">
        <v>26.4</v>
      </c>
      <c r="L98" s="64">
        <v>24.77</v>
      </c>
      <c r="M98" s="64">
        <v>98.48</v>
      </c>
      <c r="N98" s="64">
        <v>29</v>
      </c>
      <c r="O98" s="64">
        <v>0</v>
      </c>
      <c r="P98" s="64">
        <v>0.4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4" t="s">
        <v>1872</v>
      </c>
      <c r="B99" s="64">
        <v>9.3699999999999992</v>
      </c>
      <c r="C99" s="64">
        <v>12.27</v>
      </c>
      <c r="D99" s="64">
        <v>13.93</v>
      </c>
      <c r="E99" s="64">
        <v>4.4000000000000004</v>
      </c>
      <c r="F99" s="64">
        <v>5.12</v>
      </c>
      <c r="G99" s="64">
        <v>67.12</v>
      </c>
      <c r="H99" s="64">
        <v>3.72</v>
      </c>
      <c r="I99" s="64">
        <v>1.83</v>
      </c>
      <c r="J99" s="64">
        <v>0.04</v>
      </c>
      <c r="K99" s="64">
        <v>283.2</v>
      </c>
      <c r="L99" s="64">
        <v>24.84</v>
      </c>
      <c r="M99" s="64">
        <v>98.48</v>
      </c>
      <c r="N99" s="64">
        <v>28.7</v>
      </c>
      <c r="O99" s="64">
        <v>0</v>
      </c>
      <c r="P99" s="64">
        <v>0.47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14" t="s">
        <v>1873</v>
      </c>
      <c r="B100" s="64">
        <v>6.22</v>
      </c>
      <c r="C100" s="64">
        <v>12.04</v>
      </c>
      <c r="D100" s="64">
        <v>11.28</v>
      </c>
      <c r="E100" s="64">
        <v>4.3499999999999996</v>
      </c>
      <c r="F100" s="64">
        <v>5.27</v>
      </c>
      <c r="G100" s="64">
        <v>59.89</v>
      </c>
      <c r="H100" s="64">
        <v>4.04</v>
      </c>
      <c r="I100" s="64">
        <v>1.82</v>
      </c>
      <c r="J100" s="64">
        <v>0.05</v>
      </c>
      <c r="K100" s="64">
        <v>358.64</v>
      </c>
      <c r="L100" s="64">
        <v>24.77</v>
      </c>
      <c r="M100" s="64">
        <v>98.48</v>
      </c>
      <c r="N100" s="64">
        <v>29.1</v>
      </c>
      <c r="O100" s="64">
        <v>0</v>
      </c>
      <c r="P100" s="64">
        <v>0.33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1874</v>
      </c>
      <c r="B101" s="64">
        <v>7.55</v>
      </c>
      <c r="C101" s="64">
        <v>8.9</v>
      </c>
      <c r="D101" s="64">
        <v>10.7</v>
      </c>
      <c r="E101" s="64">
        <v>4.5599999999999996</v>
      </c>
      <c r="F101" s="64">
        <v>5.24</v>
      </c>
      <c r="G101" s="64">
        <v>59.89</v>
      </c>
      <c r="H101" s="64">
        <v>4.04</v>
      </c>
      <c r="I101" s="64">
        <v>1.8</v>
      </c>
      <c r="J101" s="64">
        <v>0.26</v>
      </c>
      <c r="K101" s="64">
        <v>138.13</v>
      </c>
      <c r="L101" s="64">
        <v>24.67</v>
      </c>
      <c r="M101" s="64">
        <v>98.48</v>
      </c>
      <c r="N101" s="64">
        <v>29.5</v>
      </c>
      <c r="O101" s="64">
        <v>0</v>
      </c>
      <c r="P101" s="64">
        <v>0.34</v>
      </c>
      <c r="Q101" s="64">
        <v>9.56</v>
      </c>
      <c r="R101" s="198"/>
      <c r="S101" s="198"/>
      <c r="T101" s="198"/>
      <c r="U101" s="198"/>
    </row>
    <row r="102" spans="1:33" s="12" customFormat="1" x14ac:dyDescent="0.25">
      <c r="A102" s="214" t="s">
        <v>1875</v>
      </c>
      <c r="B102" s="64">
        <v>9.26</v>
      </c>
      <c r="C102" s="64">
        <v>9.18</v>
      </c>
      <c r="D102" s="64">
        <v>12.22</v>
      </c>
      <c r="E102" s="64">
        <v>4.62</v>
      </c>
      <c r="F102" s="64">
        <v>5.16</v>
      </c>
      <c r="G102" s="64">
        <v>59.89</v>
      </c>
      <c r="H102" s="64">
        <v>4.04</v>
      </c>
      <c r="I102" s="64">
        <v>1.76</v>
      </c>
      <c r="J102" s="64">
        <v>0.03</v>
      </c>
      <c r="K102" s="64">
        <v>112.5</v>
      </c>
      <c r="L102" s="64">
        <v>24.49</v>
      </c>
      <c r="M102" s="64">
        <v>98.48</v>
      </c>
      <c r="N102" s="64">
        <v>29.4</v>
      </c>
      <c r="O102" s="64">
        <v>0</v>
      </c>
      <c r="P102" s="64">
        <v>0.33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14" t="s">
        <v>1876</v>
      </c>
      <c r="B103" s="64">
        <v>10.08</v>
      </c>
      <c r="C103" s="64">
        <v>12.18</v>
      </c>
      <c r="D103" s="64">
        <v>14.45</v>
      </c>
      <c r="E103" s="64">
        <v>4.32</v>
      </c>
      <c r="F103" s="64">
        <v>4.55</v>
      </c>
      <c r="G103" s="64">
        <v>55.51</v>
      </c>
      <c r="H103" s="64">
        <v>4.67</v>
      </c>
      <c r="I103" s="64">
        <v>1.71</v>
      </c>
      <c r="J103" s="64">
        <v>0.08</v>
      </c>
      <c r="K103" s="64">
        <v>151.63999999999999</v>
      </c>
      <c r="L103" s="64">
        <v>24.32</v>
      </c>
      <c r="M103" s="64">
        <v>98.48</v>
      </c>
      <c r="N103" s="64">
        <v>29.5</v>
      </c>
      <c r="O103" s="64">
        <v>0</v>
      </c>
      <c r="P103" s="64">
        <v>0.33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4" t="s">
        <v>1877</v>
      </c>
      <c r="B104" s="64">
        <v>8.67</v>
      </c>
      <c r="C104" s="64">
        <v>9.16</v>
      </c>
      <c r="D104" s="64">
        <v>11.74</v>
      </c>
      <c r="E104" s="64">
        <v>5.0599999999999996</v>
      </c>
      <c r="F104" s="64">
        <v>4.97</v>
      </c>
      <c r="G104" s="64">
        <v>42.75</v>
      </c>
      <c r="H104" s="64">
        <v>5.94</v>
      </c>
      <c r="I104" s="64">
        <v>1.68</v>
      </c>
      <c r="J104" s="64">
        <v>0.04</v>
      </c>
      <c r="K104" s="64">
        <v>313.02999999999997</v>
      </c>
      <c r="L104" s="64">
        <v>24.12</v>
      </c>
      <c r="M104" s="64">
        <v>98.48</v>
      </c>
      <c r="N104" s="64">
        <v>28.8</v>
      </c>
      <c r="O104" s="64">
        <v>0</v>
      </c>
      <c r="P104" s="64">
        <v>0.3</v>
      </c>
      <c r="Q104" s="64">
        <v>9.56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</v>
      </c>
      <c r="C106" s="67">
        <f>MIN(C9:C104)</f>
        <v>4.0199999999999996</v>
      </c>
      <c r="D106" s="67">
        <f t="shared" ref="D106:Q106" si="0">MIN(D9:D104)</f>
        <v>8.3800000000000008</v>
      </c>
      <c r="E106" s="67">
        <f t="shared" si="0"/>
        <v>3.94</v>
      </c>
      <c r="F106" s="67">
        <f t="shared" si="0"/>
        <v>2.84</v>
      </c>
      <c r="G106" s="67">
        <f t="shared" si="0"/>
        <v>8.56</v>
      </c>
      <c r="H106" s="67">
        <f t="shared" si="0"/>
        <v>3.65</v>
      </c>
      <c r="I106" s="67">
        <f t="shared" si="0"/>
        <v>0.66</v>
      </c>
      <c r="J106" s="67">
        <f t="shared" si="0"/>
        <v>0.02</v>
      </c>
      <c r="K106" s="67">
        <f t="shared" si="0"/>
        <v>1.64</v>
      </c>
      <c r="L106" s="67">
        <f t="shared" si="0"/>
        <v>22.83</v>
      </c>
      <c r="M106" s="67">
        <f t="shared" si="0"/>
        <v>82.4</v>
      </c>
      <c r="N106" s="67">
        <f t="shared" si="0"/>
        <v>27.7</v>
      </c>
      <c r="O106" s="67">
        <f t="shared" si="0"/>
        <v>0</v>
      </c>
      <c r="P106" s="67">
        <f t="shared" si="0"/>
        <v>0.2</v>
      </c>
      <c r="Q106" s="67">
        <f t="shared" si="0"/>
        <v>9.1300000000000008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56.69</v>
      </c>
      <c r="C107" s="66">
        <f t="shared" ref="C107:Q107" si="1">MAX(C9:C104)</f>
        <v>21.15</v>
      </c>
      <c r="D107" s="66">
        <f t="shared" si="1"/>
        <v>51.27</v>
      </c>
      <c r="E107" s="66">
        <f t="shared" si="1"/>
        <v>5.53</v>
      </c>
      <c r="F107" s="66">
        <f t="shared" si="1"/>
        <v>14.14</v>
      </c>
      <c r="G107" s="66">
        <f t="shared" si="1"/>
        <v>126.43</v>
      </c>
      <c r="H107" s="66">
        <f t="shared" si="1"/>
        <v>17.239999999999998</v>
      </c>
      <c r="I107" s="66">
        <f t="shared" si="1"/>
        <v>1.86</v>
      </c>
      <c r="J107" s="66">
        <f t="shared" si="1"/>
        <v>0.63</v>
      </c>
      <c r="K107" s="66">
        <f t="shared" si="1"/>
        <v>358.64</v>
      </c>
      <c r="L107" s="66">
        <f t="shared" si="1"/>
        <v>30.43</v>
      </c>
      <c r="M107" s="66">
        <f t="shared" si="1"/>
        <v>98.51</v>
      </c>
      <c r="N107" s="66">
        <f t="shared" si="1"/>
        <v>742.7</v>
      </c>
      <c r="O107" s="66">
        <f t="shared" si="1"/>
        <v>0.2</v>
      </c>
      <c r="P107" s="66">
        <f t="shared" si="1"/>
        <v>1.72</v>
      </c>
      <c r="Q107" s="66">
        <f t="shared" si="1"/>
        <v>9.57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10.935806451612901</v>
      </c>
      <c r="C108" s="67">
        <f t="shared" ref="C108:Q108" si="2">AVERAGE(C9:C104)</f>
        <v>9.727634408602146</v>
      </c>
      <c r="D108" s="67">
        <f t="shared" si="2"/>
        <v>13.850107526881722</v>
      </c>
      <c r="E108" s="67">
        <f t="shared" si="2"/>
        <v>4.5230107526881715</v>
      </c>
      <c r="F108" s="67">
        <f t="shared" si="2"/>
        <v>6.8815624999999985</v>
      </c>
      <c r="G108" s="67">
        <f t="shared" si="2"/>
        <v>40.318494623655916</v>
      </c>
      <c r="H108" s="67">
        <f t="shared" si="2"/>
        <v>10.691935483870964</v>
      </c>
      <c r="I108" s="67">
        <f t="shared" si="2"/>
        <v>1.1567708333333333</v>
      </c>
      <c r="J108" s="67">
        <f t="shared" si="2"/>
        <v>0.16895833333333332</v>
      </c>
      <c r="K108" s="67">
        <f t="shared" si="2"/>
        <v>211.87791666666666</v>
      </c>
      <c r="L108" s="67">
        <f t="shared" si="2"/>
        <v>25.898020833333337</v>
      </c>
      <c r="M108" s="67">
        <f t="shared" si="2"/>
        <v>95.481354166666662</v>
      </c>
      <c r="N108" s="67">
        <f t="shared" si="2"/>
        <v>152.1791666666667</v>
      </c>
      <c r="O108" s="67">
        <f t="shared" si="2"/>
        <v>2.0833333333333333E-3</v>
      </c>
      <c r="P108" s="67">
        <f t="shared" si="2"/>
        <v>0.42468749999999983</v>
      </c>
      <c r="Q108" s="67">
        <f t="shared" si="2"/>
        <v>9.3435416666666669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7.6891071063268859</v>
      </c>
      <c r="C109" s="67">
        <f t="shared" ref="C109:Q109" si="3">STDEV(C9:C104)</f>
        <v>4.6046378788483482</v>
      </c>
      <c r="D109" s="67">
        <f t="shared" si="3"/>
        <v>7.1723379389186199</v>
      </c>
      <c r="E109" s="67">
        <f t="shared" si="3"/>
        <v>0.31990074869177432</v>
      </c>
      <c r="F109" s="67">
        <f t="shared" si="3"/>
        <v>2.3201235575650814</v>
      </c>
      <c r="G109" s="67">
        <f t="shared" si="3"/>
        <v>31.242185734169457</v>
      </c>
      <c r="H109" s="67">
        <f t="shared" si="3"/>
        <v>3.9489256266088506</v>
      </c>
      <c r="I109" s="67">
        <f t="shared" si="3"/>
        <v>0.28512414578350198</v>
      </c>
      <c r="J109" s="67">
        <f t="shared" si="3"/>
        <v>0.14366979074227748</v>
      </c>
      <c r="K109" s="67">
        <f t="shared" si="3"/>
        <v>83.08157003707008</v>
      </c>
      <c r="L109" s="67">
        <f t="shared" si="3"/>
        <v>2.5398112734659168</v>
      </c>
      <c r="M109" s="67">
        <f t="shared" si="3"/>
        <v>4.8974656431543453</v>
      </c>
      <c r="N109" s="67">
        <f t="shared" si="3"/>
        <v>183.68961802978916</v>
      </c>
      <c r="O109" s="67">
        <f t="shared" si="3"/>
        <v>2.0412414523193152E-2</v>
      </c>
      <c r="P109" s="67">
        <f t="shared" si="3"/>
        <v>0.35346689899368322</v>
      </c>
      <c r="Q109" s="67">
        <f t="shared" si="3"/>
        <v>0.12801298590925664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 t="shared" ref="C110:E110" si="4">COUNT(C9:C104)+3</f>
        <v>96</v>
      </c>
      <c r="D110" s="66">
        <f t="shared" si="4"/>
        <v>96</v>
      </c>
      <c r="E110" s="66">
        <f t="shared" si="4"/>
        <v>96</v>
      </c>
      <c r="F110" s="66">
        <f t="shared" ref="B110:Q110" si="5">COUNT(F9:F104)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1878</v>
      </c>
      <c r="B9" s="64">
        <v>8.01</v>
      </c>
      <c r="C9" s="64">
        <v>7.14</v>
      </c>
      <c r="D9" s="64">
        <v>10.16</v>
      </c>
      <c r="E9" s="64">
        <v>4.87</v>
      </c>
      <c r="F9" s="64">
        <v>7.16</v>
      </c>
      <c r="G9" s="64">
        <v>42.75</v>
      </c>
      <c r="H9" s="64">
        <v>5.94</v>
      </c>
      <c r="I9" s="64">
        <v>1.66</v>
      </c>
      <c r="J9" s="64">
        <v>0.04</v>
      </c>
      <c r="K9" s="64">
        <v>95.37</v>
      </c>
      <c r="L9" s="64">
        <v>23.97</v>
      </c>
      <c r="M9" s="64">
        <v>98.48</v>
      </c>
      <c r="N9" s="64">
        <v>28.8</v>
      </c>
      <c r="O9" s="64">
        <v>0</v>
      </c>
      <c r="P9" s="64">
        <v>0.28999999999999998</v>
      </c>
      <c r="Q9" s="64">
        <v>9.5500000000000007</v>
      </c>
      <c r="R9" s="198"/>
      <c r="S9" s="198"/>
      <c r="T9" s="198"/>
      <c r="U9" s="198"/>
    </row>
    <row r="10" spans="1:21" s="12" customFormat="1" x14ac:dyDescent="0.25">
      <c r="A10" s="214" t="s">
        <v>1879</v>
      </c>
      <c r="B10" s="64">
        <v>8.64</v>
      </c>
      <c r="C10" s="64">
        <v>6.02</v>
      </c>
      <c r="D10" s="64">
        <v>10.07</v>
      </c>
      <c r="E10" s="64">
        <v>4.95</v>
      </c>
      <c r="F10" s="64">
        <v>5.05</v>
      </c>
      <c r="G10" s="64">
        <v>42.75</v>
      </c>
      <c r="H10" s="64">
        <v>5.94</v>
      </c>
      <c r="I10" s="64">
        <v>1.63</v>
      </c>
      <c r="J10" s="64">
        <v>0.18</v>
      </c>
      <c r="K10" s="64">
        <v>145.47999999999999</v>
      </c>
      <c r="L10" s="64">
        <v>23.9</v>
      </c>
      <c r="M10" s="64">
        <v>98.48</v>
      </c>
      <c r="N10" s="64">
        <v>28.8</v>
      </c>
      <c r="O10" s="64">
        <v>0</v>
      </c>
      <c r="P10" s="64">
        <v>0.28999999999999998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14" t="s">
        <v>1880</v>
      </c>
      <c r="B11" s="64">
        <v>7.05</v>
      </c>
      <c r="C11" s="64">
        <v>5.79</v>
      </c>
      <c r="D11" s="64">
        <v>8.68</v>
      </c>
      <c r="E11" s="64">
        <v>5.04</v>
      </c>
      <c r="F11" s="64">
        <v>5.69</v>
      </c>
      <c r="G11" s="64">
        <v>40.56</v>
      </c>
      <c r="H11" s="64">
        <v>5.36</v>
      </c>
      <c r="I11" s="64">
        <v>1.61</v>
      </c>
      <c r="J11" s="64">
        <v>0.03</v>
      </c>
      <c r="K11" s="64">
        <v>34.92</v>
      </c>
      <c r="L11" s="64">
        <v>23.92</v>
      </c>
      <c r="M11" s="64">
        <v>98.48</v>
      </c>
      <c r="N11" s="64">
        <v>28.8</v>
      </c>
      <c r="O11" s="64">
        <v>0</v>
      </c>
      <c r="P11" s="64">
        <v>0.28999999999999998</v>
      </c>
      <c r="Q11" s="64">
        <v>9.52</v>
      </c>
      <c r="R11" s="198"/>
      <c r="S11" s="198"/>
      <c r="T11" s="198"/>
      <c r="U11" s="198"/>
    </row>
    <row r="12" spans="1:21" s="12" customFormat="1" x14ac:dyDescent="0.25">
      <c r="A12" s="214" t="s">
        <v>1881</v>
      </c>
      <c r="B12" s="64">
        <v>7.57</v>
      </c>
      <c r="C12" s="64">
        <v>8.16</v>
      </c>
      <c r="D12" s="64">
        <v>10.33</v>
      </c>
      <c r="E12" s="64">
        <v>4.8600000000000003</v>
      </c>
      <c r="F12" s="64">
        <v>4.68</v>
      </c>
      <c r="G12" s="64">
        <v>34.18</v>
      </c>
      <c r="H12" s="64">
        <v>4.16</v>
      </c>
      <c r="I12" s="64">
        <v>1.58</v>
      </c>
      <c r="J12" s="64">
        <v>0.01</v>
      </c>
      <c r="K12" s="64">
        <v>105.47</v>
      </c>
      <c r="L12" s="64">
        <v>23.9</v>
      </c>
      <c r="M12" s="64">
        <v>98.48</v>
      </c>
      <c r="N12" s="64">
        <v>28.8</v>
      </c>
      <c r="O12" s="64">
        <v>0</v>
      </c>
      <c r="P12" s="64">
        <v>0.28000000000000003</v>
      </c>
      <c r="Q12" s="64">
        <v>9.51</v>
      </c>
      <c r="R12" s="198"/>
      <c r="S12" s="198"/>
      <c r="T12" s="198"/>
      <c r="U12" s="198"/>
    </row>
    <row r="13" spans="1:21" s="12" customFormat="1" x14ac:dyDescent="0.25">
      <c r="A13" s="214" t="s">
        <v>1882</v>
      </c>
      <c r="B13" s="64">
        <v>9.15</v>
      </c>
      <c r="C13" s="64">
        <v>7.05</v>
      </c>
      <c r="D13" s="64">
        <v>11.02</v>
      </c>
      <c r="E13" s="64">
        <v>4.99</v>
      </c>
      <c r="F13" s="64">
        <v>4.45</v>
      </c>
      <c r="G13" s="64">
        <v>34.18</v>
      </c>
      <c r="H13" s="64">
        <v>4.16</v>
      </c>
      <c r="I13" s="64">
        <v>1.55</v>
      </c>
      <c r="J13" s="64">
        <v>0.03</v>
      </c>
      <c r="K13" s="64">
        <v>57.58</v>
      </c>
      <c r="L13" s="64">
        <v>23.95</v>
      </c>
      <c r="M13" s="64">
        <v>98.49</v>
      </c>
      <c r="N13" s="64">
        <v>28.7</v>
      </c>
      <c r="O13" s="64">
        <v>0</v>
      </c>
      <c r="P13" s="64">
        <v>0.33</v>
      </c>
      <c r="Q13" s="64">
        <v>9.5</v>
      </c>
      <c r="R13" s="198"/>
      <c r="S13" s="198"/>
      <c r="T13" s="198"/>
      <c r="U13" s="198"/>
    </row>
    <row r="14" spans="1:21" s="12" customFormat="1" x14ac:dyDescent="0.25">
      <c r="A14" s="214" t="s">
        <v>1883</v>
      </c>
      <c r="B14" s="64">
        <v>6.7</v>
      </c>
      <c r="C14" s="64">
        <v>7.84</v>
      </c>
      <c r="D14" s="64">
        <v>9.4700000000000006</v>
      </c>
      <c r="E14" s="64">
        <v>5.18</v>
      </c>
      <c r="F14" s="64">
        <v>3.77</v>
      </c>
      <c r="G14" s="64">
        <v>34.18</v>
      </c>
      <c r="H14" s="64">
        <v>4.16</v>
      </c>
      <c r="I14" s="64">
        <v>1.52</v>
      </c>
      <c r="J14" s="64">
        <v>0.06</v>
      </c>
      <c r="K14" s="64">
        <v>157.22999999999999</v>
      </c>
      <c r="L14" s="64">
        <v>23.98</v>
      </c>
      <c r="M14" s="64">
        <v>98.5</v>
      </c>
      <c r="N14" s="64">
        <v>28.8</v>
      </c>
      <c r="O14" s="64">
        <v>0</v>
      </c>
      <c r="P14" s="64">
        <v>0.18</v>
      </c>
      <c r="Q14" s="64">
        <v>9.48</v>
      </c>
      <c r="R14" s="198"/>
      <c r="S14" s="198"/>
      <c r="T14" s="198"/>
      <c r="U14" s="198"/>
    </row>
    <row r="15" spans="1:21" s="12" customFormat="1" x14ac:dyDescent="0.25">
      <c r="A15" s="214" t="s">
        <v>1884</v>
      </c>
      <c r="B15" s="64">
        <v>5.99</v>
      </c>
      <c r="C15" s="64">
        <v>8.91</v>
      </c>
      <c r="D15" s="64">
        <v>9.4600000000000009</v>
      </c>
      <c r="E15" s="64">
        <v>5.09</v>
      </c>
      <c r="F15" s="64">
        <v>6.59</v>
      </c>
      <c r="G15" s="64">
        <v>32.18</v>
      </c>
      <c r="H15" s="64">
        <v>4.1100000000000003</v>
      </c>
      <c r="I15" s="64">
        <v>1.48</v>
      </c>
      <c r="J15" s="64">
        <v>0.05</v>
      </c>
      <c r="K15" s="64">
        <v>122.8</v>
      </c>
      <c r="L15" s="64">
        <v>24</v>
      </c>
      <c r="M15" s="64">
        <v>98.37</v>
      </c>
      <c r="N15" s="64">
        <v>29.2</v>
      </c>
      <c r="O15" s="64">
        <v>0</v>
      </c>
      <c r="P15" s="64">
        <v>0.17</v>
      </c>
      <c r="Q15" s="64">
        <v>9.4499999999999993</v>
      </c>
      <c r="R15" s="198"/>
      <c r="S15" s="198"/>
      <c r="T15" s="198"/>
      <c r="U15" s="198"/>
    </row>
    <row r="16" spans="1:21" s="12" customFormat="1" x14ac:dyDescent="0.25">
      <c r="A16" s="214" t="s">
        <v>1885</v>
      </c>
      <c r="B16" s="64">
        <v>5.92</v>
      </c>
      <c r="C16" s="64">
        <v>8.7899999999999991</v>
      </c>
      <c r="D16" s="64">
        <v>9.34</v>
      </c>
      <c r="E16" s="64">
        <v>4.6500000000000004</v>
      </c>
      <c r="F16" s="64">
        <v>4.1500000000000004</v>
      </c>
      <c r="G16" s="64">
        <v>26.36</v>
      </c>
      <c r="H16" s="64">
        <v>4</v>
      </c>
      <c r="I16" s="64">
        <v>1.52</v>
      </c>
      <c r="J16" s="64">
        <v>0.09</v>
      </c>
      <c r="K16" s="64">
        <v>161.27000000000001</v>
      </c>
      <c r="L16" s="64">
        <v>23.96</v>
      </c>
      <c r="M16" s="64">
        <v>98.37</v>
      </c>
      <c r="N16" s="64">
        <v>29.1</v>
      </c>
      <c r="O16" s="64">
        <v>0</v>
      </c>
      <c r="P16" s="64">
        <v>0.18</v>
      </c>
      <c r="Q16" s="64">
        <v>9.4499999999999993</v>
      </c>
      <c r="R16" s="198"/>
      <c r="S16" s="198"/>
      <c r="T16" s="198"/>
      <c r="U16" s="198"/>
    </row>
    <row r="17" spans="1:21" s="12" customFormat="1" x14ac:dyDescent="0.25">
      <c r="A17" s="214" t="s">
        <v>1886</v>
      </c>
      <c r="B17" s="64">
        <v>8.73</v>
      </c>
      <c r="C17" s="64">
        <v>5.26</v>
      </c>
      <c r="D17" s="64">
        <v>9.74</v>
      </c>
      <c r="E17" s="64">
        <v>4.71</v>
      </c>
      <c r="F17" s="64">
        <v>4.3</v>
      </c>
      <c r="G17" s="64">
        <v>26.36</v>
      </c>
      <c r="H17" s="64">
        <v>4</v>
      </c>
      <c r="I17" s="64">
        <v>1.45</v>
      </c>
      <c r="J17" s="64">
        <v>0.04</v>
      </c>
      <c r="K17" s="64">
        <v>259.23</v>
      </c>
      <c r="L17" s="64">
        <v>23.93</v>
      </c>
      <c r="M17" s="64">
        <v>98.4</v>
      </c>
      <c r="N17" s="64">
        <v>29</v>
      </c>
      <c r="O17" s="64">
        <v>0</v>
      </c>
      <c r="P17" s="64">
        <v>0.34</v>
      </c>
      <c r="Q17" s="64">
        <v>9.44</v>
      </c>
      <c r="R17" s="198"/>
      <c r="S17" s="198"/>
      <c r="T17" s="198"/>
      <c r="U17" s="198"/>
    </row>
    <row r="18" spans="1:21" s="12" customFormat="1" x14ac:dyDescent="0.25">
      <c r="A18" s="214" t="s">
        <v>1887</v>
      </c>
      <c r="B18" s="64">
        <v>6.47</v>
      </c>
      <c r="C18" s="64">
        <v>4.8600000000000003</v>
      </c>
      <c r="D18" s="64">
        <v>7.73</v>
      </c>
      <c r="E18" s="64">
        <v>4.79</v>
      </c>
      <c r="F18" s="64">
        <v>4.29</v>
      </c>
      <c r="G18" s="64">
        <v>26.36</v>
      </c>
      <c r="H18" s="64">
        <v>4</v>
      </c>
      <c r="I18" s="64">
        <v>1.35</v>
      </c>
      <c r="J18" s="64">
        <v>0.03</v>
      </c>
      <c r="K18" s="64">
        <v>262.07</v>
      </c>
      <c r="L18" s="64">
        <v>23.88</v>
      </c>
      <c r="M18" s="64">
        <v>98.4</v>
      </c>
      <c r="N18" s="64">
        <v>28.8</v>
      </c>
      <c r="O18" s="64">
        <v>0</v>
      </c>
      <c r="P18" s="64">
        <v>0.19</v>
      </c>
      <c r="Q18" s="64">
        <v>9.43</v>
      </c>
      <c r="R18" s="198"/>
      <c r="S18" s="198"/>
      <c r="T18" s="198"/>
      <c r="U18" s="198"/>
    </row>
    <row r="19" spans="1:21" s="12" customFormat="1" x14ac:dyDescent="0.25">
      <c r="A19" s="214" t="s">
        <v>1888</v>
      </c>
      <c r="B19" s="64">
        <v>8.66</v>
      </c>
      <c r="C19" s="64">
        <v>4.16</v>
      </c>
      <c r="D19" s="64">
        <v>9.1199999999999992</v>
      </c>
      <c r="E19" s="64">
        <v>4.7</v>
      </c>
      <c r="F19" s="64">
        <v>5</v>
      </c>
      <c r="G19" s="64">
        <v>26.42</v>
      </c>
      <c r="H19" s="64">
        <v>3.83</v>
      </c>
      <c r="I19" s="64">
        <v>1.31</v>
      </c>
      <c r="J19" s="64">
        <v>0.03</v>
      </c>
      <c r="K19" s="64">
        <v>42.72</v>
      </c>
      <c r="L19" s="64">
        <v>23.83</v>
      </c>
      <c r="M19" s="64">
        <v>98.4</v>
      </c>
      <c r="N19" s="64">
        <v>28.9</v>
      </c>
      <c r="O19" s="64">
        <v>0</v>
      </c>
      <c r="P19" s="64">
        <v>0.31</v>
      </c>
      <c r="Q19" s="64">
        <v>9.41</v>
      </c>
      <c r="R19" s="198"/>
      <c r="S19" s="198"/>
      <c r="T19" s="198"/>
      <c r="U19" s="198"/>
    </row>
    <row r="20" spans="1:21" s="12" customFormat="1" x14ac:dyDescent="0.25">
      <c r="A20" s="214" t="s">
        <v>1889</v>
      </c>
      <c r="B20" s="64">
        <v>7.92</v>
      </c>
      <c r="C20" s="64">
        <v>3.93</v>
      </c>
      <c r="D20" s="64">
        <v>8.41</v>
      </c>
      <c r="E20" s="64">
        <v>4.66</v>
      </c>
      <c r="F20" s="64">
        <v>4.1500000000000004</v>
      </c>
      <c r="G20" s="64">
        <v>26.6</v>
      </c>
      <c r="H20" s="64">
        <v>2.99</v>
      </c>
      <c r="I20" s="64">
        <v>1.28</v>
      </c>
      <c r="J20" s="64">
        <v>0.02</v>
      </c>
      <c r="K20" s="64">
        <v>305.92</v>
      </c>
      <c r="L20" s="64">
        <v>23.76</v>
      </c>
      <c r="M20" s="64">
        <v>98.4</v>
      </c>
      <c r="N20" s="64">
        <v>28.8</v>
      </c>
      <c r="O20" s="64">
        <v>0</v>
      </c>
      <c r="P20" s="64">
        <v>0.28999999999999998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14" t="s">
        <v>1890</v>
      </c>
      <c r="B21" s="64">
        <v>9.09</v>
      </c>
      <c r="C21" s="64">
        <v>3.72</v>
      </c>
      <c r="D21" s="64">
        <v>9.23</v>
      </c>
      <c r="E21" s="64">
        <v>4.5599999999999996</v>
      </c>
      <c r="F21" s="64">
        <v>3.88</v>
      </c>
      <c r="G21" s="64">
        <v>26.6</v>
      </c>
      <c r="H21" s="64">
        <v>2.99</v>
      </c>
      <c r="I21" s="64">
        <v>1.25</v>
      </c>
      <c r="J21" s="64">
        <v>0.06</v>
      </c>
      <c r="K21" s="64">
        <v>250.64</v>
      </c>
      <c r="L21" s="64">
        <v>23.72</v>
      </c>
      <c r="M21" s="64">
        <v>98.4</v>
      </c>
      <c r="N21" s="64">
        <v>28.8</v>
      </c>
      <c r="O21" s="64">
        <v>0</v>
      </c>
      <c r="P21" s="64">
        <v>0.36</v>
      </c>
      <c r="Q21" s="64">
        <v>9.39</v>
      </c>
      <c r="R21" s="198"/>
      <c r="S21" s="198"/>
      <c r="T21" s="198"/>
      <c r="U21" s="198"/>
    </row>
    <row r="22" spans="1:21" s="12" customFormat="1" x14ac:dyDescent="0.25">
      <c r="A22" s="214" t="s">
        <v>1891</v>
      </c>
      <c r="B22" s="64">
        <v>6.98</v>
      </c>
      <c r="C22" s="64">
        <v>4.95</v>
      </c>
      <c r="D22" s="64">
        <v>8.19</v>
      </c>
      <c r="E22" s="64">
        <v>4.34</v>
      </c>
      <c r="F22" s="64">
        <v>6.08</v>
      </c>
      <c r="G22" s="64">
        <v>26.6</v>
      </c>
      <c r="H22" s="64">
        <v>2.99</v>
      </c>
      <c r="I22" s="64">
        <v>1.3</v>
      </c>
      <c r="J22" s="64">
        <v>0.01</v>
      </c>
      <c r="K22" s="64">
        <v>245.41</v>
      </c>
      <c r="L22" s="64">
        <v>23.69</v>
      </c>
      <c r="M22" s="64">
        <v>98.4</v>
      </c>
      <c r="N22" s="64">
        <v>28.8</v>
      </c>
      <c r="O22" s="64">
        <v>0</v>
      </c>
      <c r="P22" s="64">
        <v>0.21</v>
      </c>
      <c r="Q22" s="64">
        <v>9.3800000000000008</v>
      </c>
      <c r="R22" s="198"/>
      <c r="S22" s="198"/>
      <c r="T22" s="198"/>
      <c r="U22" s="198"/>
    </row>
    <row r="23" spans="1:21" s="12" customFormat="1" x14ac:dyDescent="0.25">
      <c r="A23" s="214" t="s">
        <v>1892</v>
      </c>
      <c r="B23" s="64">
        <v>7</v>
      </c>
      <c r="C23" s="64">
        <v>5.97</v>
      </c>
      <c r="D23" s="64">
        <v>8.73</v>
      </c>
      <c r="E23" s="64">
        <v>4.43</v>
      </c>
      <c r="F23" s="64">
        <v>5.33</v>
      </c>
      <c r="G23" s="64">
        <v>24.72</v>
      </c>
      <c r="H23" s="64">
        <v>3.72</v>
      </c>
      <c r="I23" s="64">
        <v>1.25</v>
      </c>
      <c r="J23" s="64">
        <v>0.04</v>
      </c>
      <c r="K23" s="64">
        <v>251.96</v>
      </c>
      <c r="L23" s="64">
        <v>23.57</v>
      </c>
      <c r="M23" s="64">
        <v>98.4</v>
      </c>
      <c r="N23" s="64">
        <v>28.8</v>
      </c>
      <c r="O23" s="64">
        <v>0</v>
      </c>
      <c r="P23" s="64">
        <v>0.21</v>
      </c>
      <c r="Q23" s="64">
        <v>9.3800000000000008</v>
      </c>
      <c r="R23" s="198"/>
      <c r="S23" s="198"/>
      <c r="T23" s="198"/>
      <c r="U23" s="198"/>
    </row>
    <row r="24" spans="1:21" s="12" customFormat="1" x14ac:dyDescent="0.25">
      <c r="A24" s="214" t="s">
        <v>1893</v>
      </c>
      <c r="B24" s="64">
        <v>7.22</v>
      </c>
      <c r="C24" s="64">
        <v>5.51</v>
      </c>
      <c r="D24" s="64">
        <v>8.67</v>
      </c>
      <c r="E24" s="64">
        <v>4.76</v>
      </c>
      <c r="F24" s="64">
        <v>5.52</v>
      </c>
      <c r="G24" s="64">
        <v>19.239999999999998</v>
      </c>
      <c r="H24" s="64">
        <v>5.23</v>
      </c>
      <c r="I24" s="64">
        <v>1.23</v>
      </c>
      <c r="J24" s="64">
        <v>0.03</v>
      </c>
      <c r="K24" s="64">
        <v>290.5</v>
      </c>
      <c r="L24" s="64">
        <v>23.51</v>
      </c>
      <c r="M24" s="64">
        <v>98.4</v>
      </c>
      <c r="N24" s="64">
        <v>28.8</v>
      </c>
      <c r="O24" s="64">
        <v>0</v>
      </c>
      <c r="P24" s="64">
        <v>0.23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14" t="s">
        <v>1894</v>
      </c>
      <c r="B25" s="64">
        <v>7.15</v>
      </c>
      <c r="C25" s="64">
        <v>7.07</v>
      </c>
      <c r="D25" s="64">
        <v>9.43</v>
      </c>
      <c r="E25" s="64">
        <v>4.4800000000000004</v>
      </c>
      <c r="F25" s="64">
        <v>5.5</v>
      </c>
      <c r="G25" s="64">
        <v>19.239999999999998</v>
      </c>
      <c r="H25" s="64">
        <v>5.23</v>
      </c>
      <c r="I25" s="64">
        <v>1.26</v>
      </c>
      <c r="J25" s="64">
        <v>0.04</v>
      </c>
      <c r="K25" s="64">
        <v>288.61</v>
      </c>
      <c r="L25" s="64">
        <v>23.5</v>
      </c>
      <c r="M25" s="64">
        <v>98.4</v>
      </c>
      <c r="N25" s="64">
        <v>28.8</v>
      </c>
      <c r="O25" s="64">
        <v>0</v>
      </c>
      <c r="P25" s="64">
        <v>0.28000000000000003</v>
      </c>
      <c r="Q25" s="64">
        <v>9.3800000000000008</v>
      </c>
      <c r="R25" s="198"/>
      <c r="S25" s="198"/>
      <c r="T25" s="198"/>
      <c r="U25" s="198"/>
    </row>
    <row r="26" spans="1:21" s="12" customFormat="1" x14ac:dyDescent="0.25">
      <c r="A26" s="214" t="s">
        <v>1895</v>
      </c>
      <c r="B26" s="64">
        <v>6.84</v>
      </c>
      <c r="C26" s="64">
        <v>19.14</v>
      </c>
      <c r="D26" s="64">
        <v>15.48</v>
      </c>
      <c r="E26" s="64">
        <v>4.92</v>
      </c>
      <c r="F26" s="64">
        <v>5.54</v>
      </c>
      <c r="G26" s="64">
        <v>19.239999999999998</v>
      </c>
      <c r="H26" s="64">
        <v>5.23</v>
      </c>
      <c r="I26" s="64">
        <v>1.1599999999999999</v>
      </c>
      <c r="J26" s="64">
        <v>0.05</v>
      </c>
      <c r="K26" s="64">
        <v>308.42</v>
      </c>
      <c r="L26" s="64">
        <v>23.47</v>
      </c>
      <c r="M26" s="64">
        <v>98.4</v>
      </c>
      <c r="N26" s="64">
        <v>28.8</v>
      </c>
      <c r="O26" s="64">
        <v>0</v>
      </c>
      <c r="P26" s="64">
        <v>0.25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14" t="s">
        <v>1896</v>
      </c>
      <c r="B27" s="64">
        <v>7.71</v>
      </c>
      <c r="C27" s="64">
        <v>22.53</v>
      </c>
      <c r="D27" s="64">
        <v>17.95</v>
      </c>
      <c r="E27" s="64">
        <v>4.58</v>
      </c>
      <c r="F27" s="64">
        <v>6.24</v>
      </c>
      <c r="G27" s="64">
        <v>17.760000000000002</v>
      </c>
      <c r="H27" s="64">
        <v>4.72</v>
      </c>
      <c r="I27" s="64">
        <v>1.1000000000000001</v>
      </c>
      <c r="J27" s="64">
        <v>0.04</v>
      </c>
      <c r="K27" s="64">
        <v>276.54000000000002</v>
      </c>
      <c r="L27" s="64">
        <v>23.42</v>
      </c>
      <c r="M27" s="64">
        <v>98.4</v>
      </c>
      <c r="N27" s="64">
        <v>28.8</v>
      </c>
      <c r="O27" s="64">
        <v>0</v>
      </c>
      <c r="P27" s="64">
        <v>0.26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4" t="s">
        <v>1897</v>
      </c>
      <c r="B28" s="64">
        <v>6.9</v>
      </c>
      <c r="C28" s="64">
        <v>7.79</v>
      </c>
      <c r="D28" s="64">
        <v>9.6</v>
      </c>
      <c r="E28" s="64">
        <v>4.9000000000000004</v>
      </c>
      <c r="F28" s="64">
        <v>6.28</v>
      </c>
      <c r="G28" s="64">
        <v>13.47</v>
      </c>
      <c r="H28" s="64">
        <v>3.66</v>
      </c>
      <c r="I28" s="64">
        <v>1.08</v>
      </c>
      <c r="J28" s="64">
        <v>0.05</v>
      </c>
      <c r="K28" s="64">
        <v>308.86</v>
      </c>
      <c r="L28" s="64">
        <v>23.37</v>
      </c>
      <c r="M28" s="64">
        <v>98.4</v>
      </c>
      <c r="N28" s="64">
        <v>28.8</v>
      </c>
      <c r="O28" s="64">
        <v>0</v>
      </c>
      <c r="P28" s="64">
        <v>0.24</v>
      </c>
      <c r="Q28" s="64">
        <v>9.36</v>
      </c>
      <c r="R28" s="198"/>
      <c r="S28" s="198"/>
      <c r="T28" s="198"/>
      <c r="U28" s="198"/>
    </row>
    <row r="29" spans="1:21" s="12" customFormat="1" x14ac:dyDescent="0.25">
      <c r="A29" s="214" t="s">
        <v>1898</v>
      </c>
      <c r="B29" s="64">
        <v>7.95</v>
      </c>
      <c r="C29" s="64">
        <v>7.42</v>
      </c>
      <c r="D29" s="64">
        <v>10.25</v>
      </c>
      <c r="E29" s="64">
        <v>5.09</v>
      </c>
      <c r="F29" s="64">
        <v>5.44</v>
      </c>
      <c r="G29" s="64">
        <v>13.47</v>
      </c>
      <c r="H29" s="64">
        <v>3.66</v>
      </c>
      <c r="I29" s="64">
        <v>1.07</v>
      </c>
      <c r="J29" s="64">
        <v>0.04</v>
      </c>
      <c r="K29" s="64">
        <v>247.51</v>
      </c>
      <c r="L29" s="64">
        <v>23.27</v>
      </c>
      <c r="M29" s="64">
        <v>98.4</v>
      </c>
      <c r="N29" s="64">
        <v>28.8</v>
      </c>
      <c r="O29" s="64">
        <v>0</v>
      </c>
      <c r="P29" s="64">
        <v>0.26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4" t="s">
        <v>1899</v>
      </c>
      <c r="B30" s="64">
        <v>6.74</v>
      </c>
      <c r="C30" s="64">
        <v>8.4</v>
      </c>
      <c r="D30" s="64">
        <v>9.7899999999999991</v>
      </c>
      <c r="E30" s="64">
        <v>4.84</v>
      </c>
      <c r="F30" s="64">
        <v>5.15</v>
      </c>
      <c r="G30" s="64">
        <v>13.47</v>
      </c>
      <c r="H30" s="64">
        <v>3.66</v>
      </c>
      <c r="I30" s="64">
        <v>1.06</v>
      </c>
      <c r="J30" s="64">
        <v>0.06</v>
      </c>
      <c r="K30" s="64">
        <v>246.39</v>
      </c>
      <c r="L30" s="64">
        <v>23.21</v>
      </c>
      <c r="M30" s="64">
        <v>98.4</v>
      </c>
      <c r="N30" s="64">
        <v>28.8</v>
      </c>
      <c r="O30" s="64">
        <v>0</v>
      </c>
      <c r="P30" s="64">
        <v>0.26</v>
      </c>
      <c r="Q30" s="64">
        <v>9.35</v>
      </c>
      <c r="R30" s="198"/>
      <c r="S30" s="198"/>
      <c r="T30" s="198"/>
      <c r="U30" s="198"/>
    </row>
    <row r="31" spans="1:21" s="12" customFormat="1" x14ac:dyDescent="0.25">
      <c r="A31" s="214" t="s">
        <v>1900</v>
      </c>
      <c r="B31" s="64">
        <v>7.51</v>
      </c>
      <c r="C31" s="64">
        <v>6.46</v>
      </c>
      <c r="D31" s="64">
        <v>9.4</v>
      </c>
      <c r="E31" s="64">
        <v>4.82</v>
      </c>
      <c r="F31" s="64">
        <v>4.72</v>
      </c>
      <c r="G31" s="64">
        <v>13.76</v>
      </c>
      <c r="H31" s="64">
        <v>3.3</v>
      </c>
      <c r="I31" s="64">
        <v>1.05</v>
      </c>
      <c r="J31" s="64">
        <v>0.03</v>
      </c>
      <c r="K31" s="64">
        <v>197.16</v>
      </c>
      <c r="L31" s="64">
        <v>23.21</v>
      </c>
      <c r="M31" s="64">
        <v>98.42</v>
      </c>
      <c r="N31" s="64">
        <v>30.2</v>
      </c>
      <c r="O31" s="64">
        <v>0</v>
      </c>
      <c r="P31" s="64">
        <v>0.28000000000000003</v>
      </c>
      <c r="Q31" s="64">
        <v>9.34</v>
      </c>
      <c r="R31" s="198"/>
      <c r="S31" s="198"/>
      <c r="T31" s="198"/>
      <c r="U31" s="198"/>
    </row>
    <row r="32" spans="1:21" s="12" customFormat="1" x14ac:dyDescent="0.25">
      <c r="A32" s="214" t="s">
        <v>1901</v>
      </c>
      <c r="B32" s="64">
        <v>6.9</v>
      </c>
      <c r="C32" s="64">
        <v>8.1</v>
      </c>
      <c r="D32" s="64">
        <v>9.76</v>
      </c>
      <c r="E32" s="64">
        <v>5.14</v>
      </c>
      <c r="F32" s="64">
        <v>4.38</v>
      </c>
      <c r="G32" s="64">
        <v>14.63</v>
      </c>
      <c r="H32" s="64">
        <v>2.56</v>
      </c>
      <c r="I32" s="64">
        <v>1.03</v>
      </c>
      <c r="J32" s="64">
        <v>7.0000000000000007E-2</v>
      </c>
      <c r="K32" s="64">
        <v>200.25</v>
      </c>
      <c r="L32" s="64">
        <v>23.21</v>
      </c>
      <c r="M32" s="64">
        <v>98.41</v>
      </c>
      <c r="N32" s="64">
        <v>36.700000000000003</v>
      </c>
      <c r="O32" s="64">
        <v>0</v>
      </c>
      <c r="P32" s="64">
        <v>0.26</v>
      </c>
      <c r="Q32" s="64">
        <v>9.32</v>
      </c>
      <c r="R32" s="198"/>
      <c r="S32" s="198"/>
      <c r="T32" s="198"/>
      <c r="U32" s="198"/>
    </row>
    <row r="33" spans="1:21" s="12" customFormat="1" x14ac:dyDescent="0.25">
      <c r="A33" s="214" t="s">
        <v>1902</v>
      </c>
      <c r="B33" s="64">
        <v>10.89</v>
      </c>
      <c r="C33" s="64">
        <v>11.87</v>
      </c>
      <c r="D33" s="64">
        <v>14.93</v>
      </c>
      <c r="E33" s="64">
        <v>4.91</v>
      </c>
      <c r="F33" s="64">
        <v>4.58</v>
      </c>
      <c r="G33" s="64">
        <v>14.63</v>
      </c>
      <c r="H33" s="64">
        <v>2.56</v>
      </c>
      <c r="I33" s="64">
        <v>1.01</v>
      </c>
      <c r="J33" s="64">
        <v>0.08</v>
      </c>
      <c r="K33" s="64">
        <v>185.36</v>
      </c>
      <c r="L33" s="64">
        <v>23.32</v>
      </c>
      <c r="M33" s="64">
        <v>98.42</v>
      </c>
      <c r="N33" s="64">
        <v>51.1</v>
      </c>
      <c r="O33" s="64">
        <v>0</v>
      </c>
      <c r="P33" s="64">
        <v>0.27</v>
      </c>
      <c r="Q33" s="64">
        <v>9.32</v>
      </c>
      <c r="R33" s="198"/>
      <c r="S33" s="198"/>
      <c r="T33" s="198"/>
      <c r="U33" s="198"/>
    </row>
    <row r="34" spans="1:21" s="12" customFormat="1" x14ac:dyDescent="0.25">
      <c r="A34" s="214" t="s">
        <v>1903</v>
      </c>
      <c r="B34" s="64">
        <v>9.66</v>
      </c>
      <c r="C34" s="64">
        <v>11.43</v>
      </c>
      <c r="D34" s="64">
        <v>13.72</v>
      </c>
      <c r="E34" s="64">
        <v>4.6900000000000004</v>
      </c>
      <c r="F34" s="64">
        <v>3.91</v>
      </c>
      <c r="G34" s="64">
        <v>14.63</v>
      </c>
      <c r="H34" s="64">
        <v>2.56</v>
      </c>
      <c r="I34" s="64">
        <v>1</v>
      </c>
      <c r="J34" s="64">
        <v>7.0000000000000007E-2</v>
      </c>
      <c r="K34" s="64">
        <v>126.63</v>
      </c>
      <c r="L34" s="64">
        <v>23.58</v>
      </c>
      <c r="M34" s="64">
        <v>98.4</v>
      </c>
      <c r="N34" s="64">
        <v>68.400000000000006</v>
      </c>
      <c r="O34" s="64">
        <v>0</v>
      </c>
      <c r="P34" s="64">
        <v>0.27</v>
      </c>
      <c r="Q34" s="64">
        <v>9.32</v>
      </c>
      <c r="R34" s="198"/>
      <c r="S34" s="198"/>
      <c r="T34" s="198"/>
      <c r="U34" s="198"/>
    </row>
    <row r="35" spans="1:21" s="12" customFormat="1" x14ac:dyDescent="0.25">
      <c r="A35" s="214" t="s">
        <v>1904</v>
      </c>
      <c r="B35" s="64">
        <v>15.21</v>
      </c>
      <c r="C35" s="64">
        <v>10.32</v>
      </c>
      <c r="D35" s="64">
        <v>17.59</v>
      </c>
      <c r="E35" s="64">
        <v>4.75</v>
      </c>
      <c r="F35" s="64">
        <v>5.27</v>
      </c>
      <c r="G35" s="64">
        <v>16.61</v>
      </c>
      <c r="H35" s="64">
        <v>2.4300000000000002</v>
      </c>
      <c r="I35" s="64">
        <v>0.98</v>
      </c>
      <c r="J35" s="64">
        <v>0.03</v>
      </c>
      <c r="K35" s="64">
        <v>195.03</v>
      </c>
      <c r="L35" s="64">
        <v>23.98</v>
      </c>
      <c r="M35" s="64">
        <v>98.39</v>
      </c>
      <c r="N35" s="64">
        <v>103.9</v>
      </c>
      <c r="O35" s="64">
        <v>0</v>
      </c>
      <c r="P35" s="64">
        <v>0.37</v>
      </c>
      <c r="Q35" s="64">
        <v>9.33</v>
      </c>
      <c r="R35" s="198"/>
      <c r="S35" s="198"/>
      <c r="T35" s="198"/>
      <c r="U35" s="198"/>
    </row>
    <row r="36" spans="1:21" s="12" customFormat="1" x14ac:dyDescent="0.25">
      <c r="A36" s="214" t="s">
        <v>1905</v>
      </c>
      <c r="B36" s="64">
        <v>10.039999999999999</v>
      </c>
      <c r="C36" s="64">
        <v>9.4499999999999993</v>
      </c>
      <c r="D36" s="64">
        <v>12.99</v>
      </c>
      <c r="E36" s="64">
        <v>4.5199999999999996</v>
      </c>
      <c r="F36" s="64">
        <v>3.31</v>
      </c>
      <c r="G36" s="64">
        <v>22.35</v>
      </c>
      <c r="H36" s="64">
        <v>1.79</v>
      </c>
      <c r="I36" s="64">
        <v>0.97</v>
      </c>
      <c r="J36" s="64">
        <v>0.06</v>
      </c>
      <c r="K36" s="64">
        <v>116.98</v>
      </c>
      <c r="L36" s="64">
        <v>24.57</v>
      </c>
      <c r="M36" s="64">
        <v>98.35</v>
      </c>
      <c r="N36" s="64">
        <v>144.9</v>
      </c>
      <c r="O36" s="64">
        <v>0</v>
      </c>
      <c r="P36" s="64">
        <v>0.28999999999999998</v>
      </c>
      <c r="Q36" s="64">
        <v>9.34</v>
      </c>
      <c r="R36" s="198"/>
      <c r="S36" s="198"/>
      <c r="T36" s="198"/>
      <c r="U36" s="198"/>
    </row>
    <row r="37" spans="1:21" s="12" customFormat="1" x14ac:dyDescent="0.25">
      <c r="A37" s="214" t="s">
        <v>1906</v>
      </c>
      <c r="B37" s="64">
        <v>11.9</v>
      </c>
      <c r="C37" s="64">
        <v>7.25</v>
      </c>
      <c r="D37" s="64">
        <v>13.33</v>
      </c>
      <c r="E37" s="64">
        <v>5.0199999999999996</v>
      </c>
      <c r="F37" s="64">
        <v>3.11</v>
      </c>
      <c r="G37" s="64">
        <v>22.35</v>
      </c>
      <c r="H37" s="64">
        <v>1.79</v>
      </c>
      <c r="I37" s="64">
        <v>0.96</v>
      </c>
      <c r="J37" s="64">
        <v>0.06</v>
      </c>
      <c r="K37" s="64">
        <v>128.13999999999999</v>
      </c>
      <c r="L37" s="64">
        <v>25.36</v>
      </c>
      <c r="M37" s="64">
        <v>98.33</v>
      </c>
      <c r="N37" s="64">
        <v>183</v>
      </c>
      <c r="O37" s="64">
        <v>0</v>
      </c>
      <c r="P37" s="64">
        <v>0.3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4" t="s">
        <v>1907</v>
      </c>
      <c r="B38" s="64">
        <v>12.43</v>
      </c>
      <c r="C38" s="64">
        <v>8.32</v>
      </c>
      <c r="D38" s="64">
        <v>14.32</v>
      </c>
      <c r="E38" s="64">
        <v>4.57</v>
      </c>
      <c r="F38" s="64">
        <v>4.0199999999999996</v>
      </c>
      <c r="G38" s="64">
        <v>22.35</v>
      </c>
      <c r="H38" s="64">
        <v>1.79</v>
      </c>
      <c r="I38" s="64">
        <v>0.95</v>
      </c>
      <c r="J38" s="64">
        <v>0.05</v>
      </c>
      <c r="K38" s="64">
        <v>330.84</v>
      </c>
      <c r="L38" s="64">
        <v>26.37</v>
      </c>
      <c r="M38" s="64">
        <v>98.27</v>
      </c>
      <c r="N38" s="64">
        <v>239.6</v>
      </c>
      <c r="O38" s="64">
        <v>0</v>
      </c>
      <c r="P38" s="64">
        <v>0.4</v>
      </c>
      <c r="Q38" s="64">
        <v>9.33</v>
      </c>
      <c r="R38" s="198"/>
      <c r="S38" s="198"/>
      <c r="T38" s="198"/>
      <c r="U38" s="198"/>
    </row>
    <row r="39" spans="1:21" s="12" customFormat="1" x14ac:dyDescent="0.25">
      <c r="A39" s="214" t="s">
        <v>1908</v>
      </c>
      <c r="B39" s="64">
        <v>9.26</v>
      </c>
      <c r="C39" s="64">
        <v>6.27</v>
      </c>
      <c r="D39" s="64">
        <v>10.7</v>
      </c>
      <c r="E39" s="64">
        <v>4.8600000000000003</v>
      </c>
      <c r="F39" s="64">
        <v>5.93</v>
      </c>
      <c r="G39" s="64">
        <v>23.46</v>
      </c>
      <c r="H39" s="64">
        <v>3.27</v>
      </c>
      <c r="I39" s="64">
        <v>0.95</v>
      </c>
      <c r="J39" s="64">
        <v>7.0000000000000007E-2</v>
      </c>
      <c r="K39" s="64">
        <v>260.18</v>
      </c>
      <c r="L39" s="64">
        <v>27.24</v>
      </c>
      <c r="M39" s="64">
        <v>98.21</v>
      </c>
      <c r="N39" s="64">
        <v>272.10000000000002</v>
      </c>
      <c r="O39" s="64">
        <v>0</v>
      </c>
      <c r="P39" s="64">
        <v>0.35</v>
      </c>
      <c r="Q39" s="64">
        <v>9.34</v>
      </c>
      <c r="R39" s="198"/>
      <c r="S39" s="198"/>
      <c r="T39" s="198"/>
      <c r="U39" s="198"/>
    </row>
    <row r="40" spans="1:21" s="12" customFormat="1" x14ac:dyDescent="0.25">
      <c r="A40" s="214" t="s">
        <v>1909</v>
      </c>
      <c r="B40" s="64">
        <v>9.4600000000000009</v>
      </c>
      <c r="C40" s="64">
        <v>6.12</v>
      </c>
      <c r="D40" s="64">
        <v>10.78</v>
      </c>
      <c r="E40" s="64">
        <v>5.27</v>
      </c>
      <c r="F40" s="64">
        <v>7.18</v>
      </c>
      <c r="G40" s="64">
        <v>26.68</v>
      </c>
      <c r="H40" s="64">
        <v>6.3</v>
      </c>
      <c r="I40" s="64">
        <v>0.97</v>
      </c>
      <c r="J40" s="64">
        <v>7.0000000000000007E-2</v>
      </c>
      <c r="K40" s="64">
        <v>289.17</v>
      </c>
      <c r="L40" s="64">
        <v>27.22</v>
      </c>
      <c r="M40" s="64">
        <v>98.2</v>
      </c>
      <c r="N40" s="64">
        <v>383.3</v>
      </c>
      <c r="O40" s="64">
        <v>0</v>
      </c>
      <c r="P40" s="64">
        <v>0.31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14" t="s">
        <v>1910</v>
      </c>
      <c r="B41" s="64">
        <v>9.36</v>
      </c>
      <c r="C41" s="64">
        <v>6.05</v>
      </c>
      <c r="D41" s="64">
        <v>10.67</v>
      </c>
      <c r="E41" s="64">
        <v>5.1100000000000003</v>
      </c>
      <c r="F41" s="64">
        <v>7.91</v>
      </c>
      <c r="G41" s="64">
        <v>26.68</v>
      </c>
      <c r="H41" s="64">
        <v>6.3</v>
      </c>
      <c r="I41" s="64">
        <v>0.97</v>
      </c>
      <c r="J41" s="64">
        <v>0.14000000000000001</v>
      </c>
      <c r="K41" s="64">
        <v>286.89</v>
      </c>
      <c r="L41" s="64">
        <v>28.45</v>
      </c>
      <c r="M41" s="64">
        <v>96.28</v>
      </c>
      <c r="N41" s="64">
        <v>458</v>
      </c>
      <c r="O41" s="64">
        <v>0</v>
      </c>
      <c r="P41" s="64">
        <v>0.31</v>
      </c>
      <c r="Q41" s="64">
        <v>9.33</v>
      </c>
      <c r="R41" s="198"/>
      <c r="S41" s="198"/>
      <c r="T41" s="198"/>
      <c r="U41" s="198"/>
    </row>
    <row r="42" spans="1:21" s="12" customFormat="1" x14ac:dyDescent="0.25">
      <c r="A42" s="214" t="s">
        <v>1911</v>
      </c>
      <c r="B42" s="64">
        <v>9.7799999999999994</v>
      </c>
      <c r="C42" s="64">
        <v>5.73</v>
      </c>
      <c r="D42" s="64">
        <v>10.84</v>
      </c>
      <c r="E42" s="64">
        <v>5.37</v>
      </c>
      <c r="F42" s="64">
        <v>7.44</v>
      </c>
      <c r="G42" s="64">
        <v>26.68</v>
      </c>
      <c r="H42" s="64">
        <v>6.3</v>
      </c>
      <c r="I42" s="64">
        <v>0.96</v>
      </c>
      <c r="J42" s="64">
        <v>0.14000000000000001</v>
      </c>
      <c r="K42" s="64">
        <v>296.83</v>
      </c>
      <c r="L42" s="64">
        <v>29.91</v>
      </c>
      <c r="M42" s="64">
        <v>87.93</v>
      </c>
      <c r="N42" s="64">
        <v>511.3</v>
      </c>
      <c r="O42" s="64">
        <v>0</v>
      </c>
      <c r="P42" s="64">
        <v>0.32</v>
      </c>
      <c r="Q42" s="64">
        <v>9.34</v>
      </c>
      <c r="R42" s="198"/>
      <c r="S42" s="198"/>
      <c r="T42" s="198"/>
      <c r="U42" s="198"/>
    </row>
    <row r="43" spans="1:21" s="12" customFormat="1" x14ac:dyDescent="0.25">
      <c r="A43" s="214" t="s">
        <v>1912</v>
      </c>
      <c r="B43" s="64">
        <v>9.49</v>
      </c>
      <c r="C43" s="64">
        <v>8.9700000000000006</v>
      </c>
      <c r="D43" s="64">
        <v>12.29</v>
      </c>
      <c r="E43" s="64">
        <v>5.25</v>
      </c>
      <c r="F43" s="64">
        <v>8.84</v>
      </c>
      <c r="G43" s="64">
        <v>27.65</v>
      </c>
      <c r="H43" s="64">
        <v>5.68</v>
      </c>
      <c r="I43" s="64">
        <v>0.95</v>
      </c>
      <c r="J43" s="64">
        <v>0.11</v>
      </c>
      <c r="K43" s="64">
        <v>206.53</v>
      </c>
      <c r="L43" s="64">
        <v>29.38</v>
      </c>
      <c r="M43" s="64">
        <v>90</v>
      </c>
      <c r="N43" s="64">
        <v>605.1</v>
      </c>
      <c r="O43" s="64">
        <v>0</v>
      </c>
      <c r="P43" s="64">
        <v>0.3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4" t="s">
        <v>1913</v>
      </c>
      <c r="B44" s="64">
        <v>8.27</v>
      </c>
      <c r="C44" s="64">
        <v>6.6</v>
      </c>
      <c r="D44" s="64">
        <v>10.08</v>
      </c>
      <c r="E44" s="64">
        <v>5.34</v>
      </c>
      <c r="F44" s="64">
        <v>8.09</v>
      </c>
      <c r="G44" s="64">
        <v>30.49</v>
      </c>
      <c r="H44" s="64">
        <v>4.41</v>
      </c>
      <c r="I44" s="64">
        <v>0.94</v>
      </c>
      <c r="J44" s="64">
        <v>0.13</v>
      </c>
      <c r="K44" s="64">
        <v>250.59</v>
      </c>
      <c r="L44" s="64">
        <v>29.5</v>
      </c>
      <c r="M44" s="64">
        <v>88.8</v>
      </c>
      <c r="N44" s="64">
        <v>664.8</v>
      </c>
      <c r="O44" s="64">
        <v>0</v>
      </c>
      <c r="P44" s="64">
        <v>0.28999999999999998</v>
      </c>
      <c r="Q44" s="64">
        <v>9.32</v>
      </c>
      <c r="R44" s="198"/>
      <c r="S44" s="198"/>
      <c r="T44" s="198"/>
      <c r="U44" s="198"/>
    </row>
    <row r="45" spans="1:21" s="12" customFormat="1" x14ac:dyDescent="0.25">
      <c r="A45" s="214" t="s">
        <v>1914</v>
      </c>
      <c r="B45" s="64">
        <v>7.95</v>
      </c>
      <c r="C45" s="64">
        <v>6.25</v>
      </c>
      <c r="D45" s="64">
        <v>9.64</v>
      </c>
      <c r="E45" s="64">
        <v>5.3</v>
      </c>
      <c r="F45" s="64">
        <v>5.99</v>
      </c>
      <c r="G45" s="64">
        <v>30.49</v>
      </c>
      <c r="H45" s="64">
        <v>4.41</v>
      </c>
      <c r="I45" s="64">
        <v>0.93</v>
      </c>
      <c r="J45" s="64">
        <v>0.13</v>
      </c>
      <c r="K45" s="64">
        <v>262.44</v>
      </c>
      <c r="L45" s="64">
        <v>29.35</v>
      </c>
      <c r="M45" s="64">
        <v>88.71</v>
      </c>
      <c r="N45" s="64">
        <v>748.3</v>
      </c>
      <c r="O45" s="64">
        <v>0</v>
      </c>
      <c r="P45" s="64">
        <v>0.28999999999999998</v>
      </c>
      <c r="Q45" s="64">
        <v>9.3000000000000007</v>
      </c>
      <c r="R45" s="198"/>
      <c r="S45" s="198"/>
      <c r="T45" s="198"/>
      <c r="U45" s="198"/>
    </row>
    <row r="46" spans="1:21" s="12" customFormat="1" x14ac:dyDescent="0.25">
      <c r="A46" s="214" t="s">
        <v>1915</v>
      </c>
      <c r="B46" s="64">
        <v>7.43</v>
      </c>
      <c r="C46" s="64">
        <v>6.99</v>
      </c>
      <c r="D46" s="64">
        <v>9.61</v>
      </c>
      <c r="E46" s="64">
        <v>5.33</v>
      </c>
      <c r="F46" s="64">
        <v>8.23</v>
      </c>
      <c r="G46" s="64">
        <v>30.49</v>
      </c>
      <c r="H46" s="64">
        <v>4.41</v>
      </c>
      <c r="I46" s="64">
        <v>0.92</v>
      </c>
      <c r="J46" s="64">
        <v>0.19</v>
      </c>
      <c r="K46" s="64">
        <v>293.18</v>
      </c>
      <c r="L46" s="64">
        <v>30.5</v>
      </c>
      <c r="M46" s="64">
        <v>84.55</v>
      </c>
      <c r="N46" s="64">
        <v>572.1</v>
      </c>
      <c r="O46" s="64">
        <v>0</v>
      </c>
      <c r="P46" s="64">
        <v>0.28999999999999998</v>
      </c>
      <c r="Q46" s="64">
        <v>9.2899999999999991</v>
      </c>
      <c r="R46" s="198"/>
      <c r="S46" s="198"/>
      <c r="T46" s="198"/>
      <c r="U46" s="198"/>
    </row>
    <row r="47" spans="1:21" s="12" customFormat="1" x14ac:dyDescent="0.25">
      <c r="A47" s="214" t="s">
        <v>1916</v>
      </c>
      <c r="B47" s="64">
        <v>7.66</v>
      </c>
      <c r="C47" s="64">
        <v>8.42</v>
      </c>
      <c r="D47" s="64">
        <v>10.54</v>
      </c>
      <c r="E47" s="64">
        <v>5.42</v>
      </c>
      <c r="F47" s="64">
        <v>10.36</v>
      </c>
      <c r="G47" s="64">
        <v>29.92</v>
      </c>
      <c r="H47" s="64">
        <v>3.98</v>
      </c>
      <c r="I47" s="64">
        <v>0.92</v>
      </c>
      <c r="J47" s="64">
        <v>0.13</v>
      </c>
      <c r="K47" s="64">
        <v>296.88</v>
      </c>
      <c r="L47" s="64">
        <v>30.64</v>
      </c>
      <c r="M47" s="64">
        <v>80.989999999999995</v>
      </c>
      <c r="N47" s="64">
        <v>706.1</v>
      </c>
      <c r="O47" s="64">
        <v>0</v>
      </c>
      <c r="P47" s="64">
        <v>0.3</v>
      </c>
      <c r="Q47" s="64">
        <v>9.26</v>
      </c>
      <c r="R47" s="198"/>
      <c r="S47" s="198"/>
      <c r="T47" s="198"/>
      <c r="U47" s="198"/>
    </row>
    <row r="48" spans="1:21" s="12" customFormat="1" x14ac:dyDescent="0.25">
      <c r="A48" s="214" t="s">
        <v>1917</v>
      </c>
      <c r="B48" s="64">
        <v>7.04</v>
      </c>
      <c r="C48" s="64">
        <v>8.16</v>
      </c>
      <c r="D48" s="64">
        <v>9.91</v>
      </c>
      <c r="E48" s="64">
        <v>5.12</v>
      </c>
      <c r="F48" s="64">
        <v>5.0999999999999996</v>
      </c>
      <c r="G48" s="64">
        <v>28.27</v>
      </c>
      <c r="H48" s="64">
        <v>3.09</v>
      </c>
      <c r="I48" s="64">
        <v>0.92</v>
      </c>
      <c r="J48" s="64">
        <v>0.13</v>
      </c>
      <c r="K48" s="64">
        <v>232.42</v>
      </c>
      <c r="L48" s="64">
        <v>30.7</v>
      </c>
      <c r="M48" s="64">
        <v>80.459999999999994</v>
      </c>
      <c r="N48" s="64">
        <v>876.7</v>
      </c>
      <c r="O48" s="64">
        <v>0</v>
      </c>
      <c r="P48" s="64">
        <v>0.3</v>
      </c>
      <c r="Q48" s="64">
        <v>9.24</v>
      </c>
      <c r="R48" s="198"/>
      <c r="S48" s="198"/>
      <c r="T48" s="198"/>
      <c r="U48" s="198"/>
    </row>
    <row r="49" spans="1:21" s="12" customFormat="1" x14ac:dyDescent="0.25">
      <c r="A49" s="214" t="s">
        <v>1918</v>
      </c>
      <c r="B49" s="64">
        <v>6.54</v>
      </c>
      <c r="C49" s="64">
        <v>7.76</v>
      </c>
      <c r="D49" s="64">
        <v>9.3000000000000007</v>
      </c>
      <c r="E49" s="64">
        <v>5.56</v>
      </c>
      <c r="F49" s="64">
        <v>4.42</v>
      </c>
      <c r="G49" s="64">
        <v>28.27</v>
      </c>
      <c r="H49" s="64">
        <v>3.09</v>
      </c>
      <c r="I49" s="64">
        <v>0.92</v>
      </c>
      <c r="J49" s="64">
        <v>0.16</v>
      </c>
      <c r="K49" s="64">
        <v>292.18</v>
      </c>
      <c r="L49" s="64">
        <v>30.75</v>
      </c>
      <c r="M49" s="64">
        <v>80.03</v>
      </c>
      <c r="N49" s="64">
        <v>519.5</v>
      </c>
      <c r="O49" s="64">
        <v>0</v>
      </c>
      <c r="P49" s="64">
        <v>0.31</v>
      </c>
      <c r="Q49" s="64">
        <v>9.2100000000000009</v>
      </c>
      <c r="R49" s="198"/>
      <c r="S49" s="198"/>
      <c r="T49" s="198"/>
      <c r="U49" s="198"/>
    </row>
    <row r="50" spans="1:21" s="12" customFormat="1" x14ac:dyDescent="0.25">
      <c r="A50" s="214" t="s">
        <v>1919</v>
      </c>
      <c r="B50" s="64">
        <v>6.38</v>
      </c>
      <c r="C50" s="64">
        <v>8.17</v>
      </c>
      <c r="D50" s="64">
        <v>9.3800000000000008</v>
      </c>
      <c r="E50" s="64">
        <v>5.37</v>
      </c>
      <c r="F50" s="64">
        <v>6.81</v>
      </c>
      <c r="G50" s="64">
        <v>28.27</v>
      </c>
      <c r="H50" s="64">
        <v>3.09</v>
      </c>
      <c r="I50" s="64">
        <v>0.9</v>
      </c>
      <c r="J50" s="64">
        <v>0.13</v>
      </c>
      <c r="K50" s="64">
        <v>283.64999999999998</v>
      </c>
      <c r="L50" s="64">
        <v>30.59</v>
      </c>
      <c r="M50" s="64">
        <v>79.78</v>
      </c>
      <c r="N50" s="64">
        <v>796.1</v>
      </c>
      <c r="O50" s="64">
        <v>0</v>
      </c>
      <c r="P50" s="64">
        <v>0.3</v>
      </c>
      <c r="Q50" s="64">
        <v>9.19</v>
      </c>
      <c r="R50" s="198"/>
      <c r="S50" s="198"/>
      <c r="T50" s="198"/>
      <c r="U50" s="198"/>
    </row>
    <row r="51" spans="1:21" s="12" customFormat="1" x14ac:dyDescent="0.25">
      <c r="A51" s="214" t="s">
        <v>1920</v>
      </c>
      <c r="B51" s="64">
        <v>6.37</v>
      </c>
      <c r="C51" s="64">
        <v>8.11</v>
      </c>
      <c r="D51" s="64">
        <v>9.34</v>
      </c>
      <c r="E51" s="64">
        <v>5.08</v>
      </c>
      <c r="F51" s="64">
        <v>9.23</v>
      </c>
      <c r="G51" s="64">
        <v>28.08</v>
      </c>
      <c r="H51" s="64">
        <v>2.93</v>
      </c>
      <c r="I51" s="64">
        <v>0.87</v>
      </c>
      <c r="J51" s="64">
        <v>0.13</v>
      </c>
      <c r="K51" s="64">
        <v>260.98</v>
      </c>
      <c r="L51" s="64">
        <v>30.72</v>
      </c>
      <c r="M51" s="64">
        <v>78.930000000000007</v>
      </c>
      <c r="N51" s="64">
        <v>913.9</v>
      </c>
      <c r="O51" s="64">
        <v>0</v>
      </c>
      <c r="P51" s="64">
        <v>0.3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14" t="s">
        <v>1921</v>
      </c>
      <c r="B52" s="64">
        <v>5.76</v>
      </c>
      <c r="C52" s="64">
        <v>7.77</v>
      </c>
      <c r="D52" s="64">
        <v>8.68</v>
      </c>
      <c r="E52" s="64">
        <v>5.17</v>
      </c>
      <c r="F52" s="64">
        <v>8.2100000000000009</v>
      </c>
      <c r="G52" s="64">
        <v>27.53</v>
      </c>
      <c r="H52" s="64">
        <v>2.16</v>
      </c>
      <c r="I52" s="64">
        <v>0.86</v>
      </c>
      <c r="J52" s="64">
        <v>0.09</v>
      </c>
      <c r="K52" s="64">
        <v>256.02</v>
      </c>
      <c r="L52" s="64">
        <v>31</v>
      </c>
      <c r="M52" s="64">
        <v>76.55</v>
      </c>
      <c r="N52" s="64">
        <v>959</v>
      </c>
      <c r="O52" s="64">
        <v>0</v>
      </c>
      <c r="P52" s="64">
        <v>0.28000000000000003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14" t="s">
        <v>1922</v>
      </c>
      <c r="B53" s="64">
        <v>5.13</v>
      </c>
      <c r="C53" s="64">
        <v>7.79</v>
      </c>
      <c r="D53" s="64">
        <v>8.18</v>
      </c>
      <c r="E53" s="64">
        <v>5.01</v>
      </c>
      <c r="F53" s="64">
        <v>6.79</v>
      </c>
      <c r="G53" s="64">
        <v>27.53</v>
      </c>
      <c r="H53" s="64">
        <v>2.16</v>
      </c>
      <c r="I53" s="64">
        <v>0.86</v>
      </c>
      <c r="J53" s="64">
        <v>0.06</v>
      </c>
      <c r="K53" s="64">
        <v>255.19</v>
      </c>
      <c r="L53" s="64">
        <v>31.45</v>
      </c>
      <c r="M53" s="64">
        <v>75.36</v>
      </c>
      <c r="N53" s="64">
        <v>965.7</v>
      </c>
      <c r="O53" s="64">
        <v>0</v>
      </c>
      <c r="P53" s="64">
        <v>0.28000000000000003</v>
      </c>
      <c r="Q53" s="64">
        <v>9.14</v>
      </c>
      <c r="R53" s="198"/>
      <c r="S53" s="198"/>
      <c r="T53" s="198"/>
      <c r="U53" s="198"/>
    </row>
    <row r="54" spans="1:21" s="12" customFormat="1" x14ac:dyDescent="0.25">
      <c r="A54" s="214" t="s">
        <v>1923</v>
      </c>
      <c r="B54" s="64">
        <v>4.88</v>
      </c>
      <c r="C54" s="64">
        <v>7.51</v>
      </c>
      <c r="D54" s="64">
        <v>7.84</v>
      </c>
      <c r="E54" s="64">
        <v>5.28</v>
      </c>
      <c r="F54" s="64">
        <v>7.36</v>
      </c>
      <c r="G54" s="64">
        <v>27.53</v>
      </c>
      <c r="H54" s="64">
        <v>2.16</v>
      </c>
      <c r="I54" s="64">
        <v>0.84</v>
      </c>
      <c r="J54" s="64">
        <v>0.16</v>
      </c>
      <c r="K54" s="64">
        <v>272.02999999999997</v>
      </c>
      <c r="L54" s="64">
        <v>30.9</v>
      </c>
      <c r="M54" s="64">
        <v>75.59</v>
      </c>
      <c r="N54" s="64">
        <v>898</v>
      </c>
      <c r="O54" s="64">
        <v>0</v>
      </c>
      <c r="P54" s="64">
        <v>0.28999999999999998</v>
      </c>
      <c r="Q54" s="64">
        <v>9.1300000000000008</v>
      </c>
      <c r="R54" s="198"/>
      <c r="S54" s="198"/>
      <c r="T54" s="198"/>
      <c r="U54" s="198"/>
    </row>
    <row r="55" spans="1:21" s="12" customFormat="1" x14ac:dyDescent="0.25">
      <c r="A55" s="214" t="s">
        <v>1924</v>
      </c>
      <c r="B55" s="64">
        <v>4.57</v>
      </c>
      <c r="C55" s="64">
        <v>7.45</v>
      </c>
      <c r="D55" s="64">
        <v>7.55</v>
      </c>
      <c r="E55" s="64">
        <v>5.0199999999999996</v>
      </c>
      <c r="F55" s="64">
        <v>10.31</v>
      </c>
      <c r="G55" s="64">
        <v>28</v>
      </c>
      <c r="H55" s="64">
        <v>1.96</v>
      </c>
      <c r="I55" s="64">
        <v>0.84</v>
      </c>
      <c r="J55" s="64">
        <v>0.14000000000000001</v>
      </c>
      <c r="K55" s="64">
        <v>302.91000000000003</v>
      </c>
      <c r="L55" s="64">
        <v>30.93</v>
      </c>
      <c r="M55" s="64">
        <v>77.53</v>
      </c>
      <c r="N55" s="64">
        <v>832.7</v>
      </c>
      <c r="O55" s="64">
        <v>0</v>
      </c>
      <c r="P55" s="64">
        <v>0.26</v>
      </c>
      <c r="Q55" s="64">
        <v>9.1199999999999992</v>
      </c>
      <c r="R55" s="198"/>
      <c r="S55" s="198"/>
      <c r="T55" s="198"/>
      <c r="U55" s="198"/>
    </row>
    <row r="56" spans="1:21" s="12" customFormat="1" x14ac:dyDescent="0.25">
      <c r="A56" s="214" t="s">
        <v>1925</v>
      </c>
      <c r="B56" s="64">
        <v>4.6399999999999997</v>
      </c>
      <c r="C56" s="64">
        <v>7.38</v>
      </c>
      <c r="D56" s="64">
        <v>7.57</v>
      </c>
      <c r="E56" s="64">
        <v>5.09</v>
      </c>
      <c r="F56" s="64">
        <v>7.91</v>
      </c>
      <c r="G56" s="64">
        <v>29.34</v>
      </c>
      <c r="H56" s="64">
        <v>1.56</v>
      </c>
      <c r="I56" s="64">
        <v>0.83</v>
      </c>
      <c r="J56" s="64">
        <v>0.04</v>
      </c>
      <c r="K56" s="64">
        <v>321.83</v>
      </c>
      <c r="L56" s="64">
        <v>31.64</v>
      </c>
      <c r="M56" s="64">
        <v>73.989999999999995</v>
      </c>
      <c r="N56" s="64">
        <v>807.2</v>
      </c>
      <c r="O56" s="64">
        <v>0</v>
      </c>
      <c r="P56" s="64">
        <v>0.27</v>
      </c>
      <c r="Q56" s="64">
        <v>9.11</v>
      </c>
      <c r="R56" s="198"/>
      <c r="S56" s="198"/>
      <c r="T56" s="198"/>
      <c r="U56" s="198"/>
    </row>
    <row r="57" spans="1:21" s="12" customFormat="1" x14ac:dyDescent="0.25">
      <c r="A57" s="214" t="s">
        <v>1926</v>
      </c>
      <c r="B57" s="64">
        <v>3.07</v>
      </c>
      <c r="C57" s="64">
        <v>4.16</v>
      </c>
      <c r="D57" s="64">
        <v>4.63</v>
      </c>
      <c r="E57" s="64">
        <v>4.9800000000000004</v>
      </c>
      <c r="F57" s="64">
        <v>8.01</v>
      </c>
      <c r="G57" s="64">
        <v>29.34</v>
      </c>
      <c r="H57" s="64">
        <v>10.23</v>
      </c>
      <c r="I57" s="64">
        <v>0.81</v>
      </c>
      <c r="J57" s="64">
        <v>0.15</v>
      </c>
      <c r="K57" s="64">
        <v>206.98</v>
      </c>
      <c r="L57" s="64">
        <v>30.99</v>
      </c>
      <c r="M57" s="64">
        <v>73.89</v>
      </c>
      <c r="N57" s="64">
        <v>804.6</v>
      </c>
      <c r="O57" s="64">
        <v>0</v>
      </c>
      <c r="P57" s="64">
        <v>0.25</v>
      </c>
      <c r="Q57" s="64">
        <v>9.1199999999999992</v>
      </c>
      <c r="R57" s="198"/>
      <c r="S57" s="198"/>
      <c r="T57" s="198"/>
      <c r="U57" s="198"/>
    </row>
    <row r="58" spans="1:21" s="12" customFormat="1" x14ac:dyDescent="0.25">
      <c r="A58" s="214" t="s">
        <v>1927</v>
      </c>
      <c r="B58" s="64">
        <v>2.7</v>
      </c>
      <c r="C58" s="64">
        <v>3.6</v>
      </c>
      <c r="D58" s="64">
        <v>4.05</v>
      </c>
      <c r="E58" s="64">
        <v>5.54</v>
      </c>
      <c r="F58" s="64">
        <v>7.43</v>
      </c>
      <c r="G58" s="64">
        <v>29.34</v>
      </c>
      <c r="H58" s="64">
        <v>10.23</v>
      </c>
      <c r="I58" s="64">
        <v>0.78</v>
      </c>
      <c r="J58" s="64">
        <v>0.17</v>
      </c>
      <c r="K58" s="64">
        <v>295.17</v>
      </c>
      <c r="L58" s="64">
        <v>30.91</v>
      </c>
      <c r="M58" s="64">
        <v>77.03</v>
      </c>
      <c r="N58" s="64">
        <v>666.7</v>
      </c>
      <c r="O58" s="64">
        <v>0</v>
      </c>
      <c r="P58" s="64">
        <v>0.37</v>
      </c>
      <c r="Q58" s="64">
        <v>9.11</v>
      </c>
      <c r="R58" s="198"/>
      <c r="S58" s="198"/>
      <c r="T58" s="198"/>
      <c r="U58" s="198"/>
    </row>
    <row r="59" spans="1:21" s="12" customFormat="1" x14ac:dyDescent="0.25">
      <c r="A59" s="214" t="s">
        <v>1928</v>
      </c>
      <c r="B59" s="64">
        <v>5.04</v>
      </c>
      <c r="C59" s="64">
        <v>10.38</v>
      </c>
      <c r="D59" s="64">
        <v>9.4700000000000006</v>
      </c>
      <c r="E59" s="64">
        <v>5.28</v>
      </c>
      <c r="F59" s="64">
        <v>10.199999999999999</v>
      </c>
      <c r="G59" s="64">
        <v>29.34</v>
      </c>
      <c r="H59" s="64">
        <v>10.23</v>
      </c>
      <c r="I59" s="64">
        <v>0.75</v>
      </c>
      <c r="J59" s="64">
        <v>0.11</v>
      </c>
      <c r="K59" s="64">
        <v>285.98</v>
      </c>
      <c r="L59" s="64">
        <v>31.36</v>
      </c>
      <c r="M59" s="64">
        <v>73.81</v>
      </c>
      <c r="N59" s="64">
        <v>738.4</v>
      </c>
      <c r="O59" s="64">
        <v>0</v>
      </c>
      <c r="P59" s="64">
        <v>0.93</v>
      </c>
      <c r="Q59" s="64">
        <v>9.11</v>
      </c>
      <c r="R59" s="198"/>
      <c r="S59" s="198"/>
      <c r="T59" s="198"/>
      <c r="U59" s="198"/>
    </row>
    <row r="60" spans="1:21" s="12" customFormat="1" x14ac:dyDescent="0.25">
      <c r="A60" s="214" t="s">
        <v>1929</v>
      </c>
      <c r="B60" s="64">
        <v>3.96</v>
      </c>
      <c r="C60" s="64">
        <v>8.65</v>
      </c>
      <c r="D60" s="64">
        <v>7.69</v>
      </c>
      <c r="E60" s="64">
        <v>5.24</v>
      </c>
      <c r="F60" s="64">
        <v>8.68</v>
      </c>
      <c r="G60" s="64">
        <v>29.34</v>
      </c>
      <c r="H60" s="64">
        <v>10.23</v>
      </c>
      <c r="I60" s="64">
        <v>0.72</v>
      </c>
      <c r="J60" s="64">
        <v>0.08</v>
      </c>
      <c r="K60" s="64">
        <v>260.93</v>
      </c>
      <c r="L60" s="64">
        <v>30.87</v>
      </c>
      <c r="M60" s="64">
        <v>74.78</v>
      </c>
      <c r="N60" s="64">
        <v>760.5</v>
      </c>
      <c r="O60" s="64">
        <v>0</v>
      </c>
      <c r="P60" s="64">
        <v>5.09</v>
      </c>
      <c r="Q60" s="64">
        <v>9.1199999999999992</v>
      </c>
      <c r="R60" s="198"/>
      <c r="S60" s="198"/>
      <c r="T60" s="198"/>
      <c r="U60" s="198"/>
    </row>
    <row r="61" spans="1:21" s="12" customFormat="1" x14ac:dyDescent="0.25">
      <c r="A61" s="214" t="s">
        <v>1930</v>
      </c>
      <c r="B61" s="64">
        <v>3.62</v>
      </c>
      <c r="C61" s="64">
        <v>8.6300000000000008</v>
      </c>
      <c r="D61" s="64">
        <v>7.42</v>
      </c>
      <c r="E61" s="64">
        <v>5.32</v>
      </c>
      <c r="F61" s="64">
        <v>9.94</v>
      </c>
      <c r="G61" s="64">
        <v>29.34</v>
      </c>
      <c r="H61" s="64">
        <v>16.02</v>
      </c>
      <c r="I61" s="64">
        <v>13.31</v>
      </c>
      <c r="J61" s="64">
        <v>0.06</v>
      </c>
      <c r="K61" s="64">
        <v>222.16</v>
      </c>
      <c r="L61" s="64">
        <v>30.79</v>
      </c>
      <c r="M61" s="64">
        <v>76.459999999999994</v>
      </c>
      <c r="N61" s="64">
        <v>344.6</v>
      </c>
      <c r="O61" s="64">
        <v>0</v>
      </c>
      <c r="P61" s="64">
        <v>7.31</v>
      </c>
      <c r="Q61" s="64">
        <v>9.1199999999999992</v>
      </c>
      <c r="R61" s="198"/>
      <c r="S61" s="198"/>
      <c r="T61" s="198"/>
      <c r="U61" s="198"/>
    </row>
    <row r="62" spans="1:21" s="12" customFormat="1" x14ac:dyDescent="0.25">
      <c r="A62" s="214" t="s">
        <v>1931</v>
      </c>
      <c r="B62" s="64">
        <v>3.84</v>
      </c>
      <c r="C62" s="64">
        <v>8.6999999999999993</v>
      </c>
      <c r="D62" s="64">
        <v>7.63</v>
      </c>
      <c r="E62" s="64">
        <v>5.35</v>
      </c>
      <c r="F62" s="64">
        <v>8.9499999999999993</v>
      </c>
      <c r="G62" s="64">
        <v>29.34</v>
      </c>
      <c r="H62" s="64">
        <v>42.73</v>
      </c>
      <c r="I62" s="64">
        <v>48.13</v>
      </c>
      <c r="J62" s="64">
        <v>0.19</v>
      </c>
      <c r="K62" s="64">
        <v>174.38</v>
      </c>
      <c r="L62" s="64">
        <v>30.21</v>
      </c>
      <c r="M62" s="64">
        <v>79.64</v>
      </c>
      <c r="N62" s="64">
        <v>282.10000000000002</v>
      </c>
      <c r="O62" s="64">
        <v>0</v>
      </c>
      <c r="P62" s="64">
        <v>10.93</v>
      </c>
      <c r="Q62" s="64">
        <v>9.1300000000000008</v>
      </c>
      <c r="R62" s="198"/>
      <c r="S62" s="198"/>
      <c r="T62" s="198"/>
      <c r="U62" s="198"/>
    </row>
    <row r="63" spans="1:21" s="12" customFormat="1" x14ac:dyDescent="0.25">
      <c r="A63" s="214" t="s">
        <v>1932</v>
      </c>
      <c r="B63" s="64">
        <v>5.37</v>
      </c>
      <c r="C63" s="64">
        <v>9.73</v>
      </c>
      <c r="D63" s="64">
        <v>9.39</v>
      </c>
      <c r="E63" s="64">
        <v>6.12</v>
      </c>
      <c r="F63" s="64">
        <v>11.46</v>
      </c>
      <c r="G63" s="64">
        <v>29.34</v>
      </c>
      <c r="H63" s="64">
        <v>42.73</v>
      </c>
      <c r="I63" s="64">
        <v>88.1</v>
      </c>
      <c r="J63" s="64">
        <v>0.49</v>
      </c>
      <c r="K63" s="64">
        <v>147.66999999999999</v>
      </c>
      <c r="L63" s="64">
        <v>30.5</v>
      </c>
      <c r="M63" s="64">
        <v>77.31</v>
      </c>
      <c r="N63" s="64">
        <v>272.2</v>
      </c>
      <c r="O63" s="64">
        <v>0</v>
      </c>
      <c r="P63" s="64">
        <v>13.25</v>
      </c>
      <c r="Q63" s="64">
        <v>9.1199999999999992</v>
      </c>
      <c r="R63" s="198"/>
      <c r="S63" s="198"/>
      <c r="T63" s="198"/>
      <c r="U63" s="198"/>
    </row>
    <row r="64" spans="1:21" s="12" customFormat="1" x14ac:dyDescent="0.25">
      <c r="A64" s="214" t="s">
        <v>1933</v>
      </c>
      <c r="B64" s="64">
        <v>4.28</v>
      </c>
      <c r="C64" s="64">
        <v>8.4600000000000009</v>
      </c>
      <c r="D64" s="64">
        <v>7.85</v>
      </c>
      <c r="E64" s="64">
        <v>5.32</v>
      </c>
      <c r="F64" s="64">
        <v>12</v>
      </c>
      <c r="G64" s="64">
        <v>29.34</v>
      </c>
      <c r="H64" s="64">
        <v>42.73</v>
      </c>
      <c r="I64" s="64">
        <v>121.13</v>
      </c>
      <c r="J64" s="64">
        <v>0.56000000000000005</v>
      </c>
      <c r="K64" s="64">
        <v>144.59</v>
      </c>
      <c r="L64" s="64">
        <v>30.08</v>
      </c>
      <c r="M64" s="64">
        <v>79.89</v>
      </c>
      <c r="N64" s="64">
        <v>221.6</v>
      </c>
      <c r="O64" s="64">
        <v>0</v>
      </c>
      <c r="P64" s="64">
        <v>2.1</v>
      </c>
      <c r="Q64" s="64">
        <v>9.1199999999999992</v>
      </c>
      <c r="R64" s="198"/>
      <c r="S64" s="198"/>
      <c r="T64" s="198"/>
      <c r="U64" s="198"/>
    </row>
    <row r="65" spans="1:21" s="12" customFormat="1" x14ac:dyDescent="0.25">
      <c r="A65" s="214" t="s">
        <v>1934</v>
      </c>
      <c r="B65" s="64">
        <v>4.53</v>
      </c>
      <c r="C65" s="64">
        <v>8.89</v>
      </c>
      <c r="D65" s="64">
        <v>8.2799999999999994</v>
      </c>
      <c r="E65" s="64">
        <v>5.35</v>
      </c>
      <c r="F65" s="64">
        <v>9.67</v>
      </c>
      <c r="G65" s="210" t="s">
        <v>36</v>
      </c>
      <c r="H65" s="210" t="s">
        <v>36</v>
      </c>
      <c r="I65" s="64">
        <v>149.61000000000001</v>
      </c>
      <c r="J65" s="64">
        <v>0.12</v>
      </c>
      <c r="K65" s="64">
        <v>216.56</v>
      </c>
      <c r="L65" s="64">
        <v>30.05</v>
      </c>
      <c r="M65" s="64">
        <v>78.760000000000005</v>
      </c>
      <c r="N65" s="64">
        <v>198</v>
      </c>
      <c r="O65" s="64">
        <v>0</v>
      </c>
      <c r="P65" s="64">
        <v>6.14</v>
      </c>
      <c r="Q65" s="64">
        <v>9.1199999999999992</v>
      </c>
      <c r="R65" s="198"/>
      <c r="S65" s="198"/>
      <c r="T65" s="198"/>
      <c r="U65" s="198"/>
    </row>
    <row r="66" spans="1:21" s="12" customFormat="1" x14ac:dyDescent="0.25">
      <c r="A66" s="214" t="s">
        <v>1935</v>
      </c>
      <c r="B66" s="64">
        <v>3.69</v>
      </c>
      <c r="C66" s="64">
        <v>8.44</v>
      </c>
      <c r="D66" s="64">
        <v>7.37</v>
      </c>
      <c r="E66" s="64">
        <v>5.18</v>
      </c>
      <c r="F66" s="64">
        <v>6.87</v>
      </c>
      <c r="G66" s="210" t="s">
        <v>36</v>
      </c>
      <c r="H66" s="210" t="s">
        <v>36</v>
      </c>
      <c r="I66" s="64">
        <v>156.94</v>
      </c>
      <c r="J66" s="64">
        <v>0.39</v>
      </c>
      <c r="K66" s="64">
        <v>145.99</v>
      </c>
      <c r="L66" s="64">
        <v>29.74</v>
      </c>
      <c r="M66" s="64">
        <v>80.53</v>
      </c>
      <c r="N66" s="64">
        <v>199.1</v>
      </c>
      <c r="O66" s="64">
        <v>0</v>
      </c>
      <c r="P66" s="64">
        <v>6.66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4" t="s">
        <v>1936</v>
      </c>
      <c r="B67" s="64">
        <v>3.49</v>
      </c>
      <c r="C67" s="64">
        <v>8.5399999999999991</v>
      </c>
      <c r="D67" s="64">
        <v>7.25</v>
      </c>
      <c r="E67" s="64">
        <v>5.35</v>
      </c>
      <c r="F67" s="64">
        <v>3.65</v>
      </c>
      <c r="G67" s="210" t="s">
        <v>36</v>
      </c>
      <c r="H67" s="210" t="s">
        <v>36</v>
      </c>
      <c r="I67" s="64">
        <v>140.04</v>
      </c>
      <c r="J67" s="64">
        <v>0.16</v>
      </c>
      <c r="K67" s="64">
        <v>196.4</v>
      </c>
      <c r="L67" s="64">
        <v>29.84</v>
      </c>
      <c r="M67" s="64">
        <v>80.25</v>
      </c>
      <c r="N67" s="64">
        <v>193.8</v>
      </c>
      <c r="O67" s="64">
        <v>0</v>
      </c>
      <c r="P67" s="64">
        <v>6.14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4" t="s">
        <v>1937</v>
      </c>
      <c r="B68" s="64">
        <v>3.29</v>
      </c>
      <c r="C68" s="64">
        <v>7.79</v>
      </c>
      <c r="D68" s="64">
        <v>6.71</v>
      </c>
      <c r="E68" s="64">
        <v>5.33</v>
      </c>
      <c r="F68" s="64">
        <v>12.51</v>
      </c>
      <c r="G68" s="210" t="s">
        <v>36</v>
      </c>
      <c r="H68" s="210" t="s">
        <v>36</v>
      </c>
      <c r="I68" s="64">
        <v>118.56</v>
      </c>
      <c r="J68" s="64">
        <v>0.2</v>
      </c>
      <c r="K68" s="64">
        <v>168.91</v>
      </c>
      <c r="L68" s="64">
        <v>29.63</v>
      </c>
      <c r="M68" s="64">
        <v>82.2</v>
      </c>
      <c r="N68" s="64">
        <v>146.5</v>
      </c>
      <c r="O68" s="64">
        <v>0</v>
      </c>
      <c r="P68" s="64">
        <v>1.8</v>
      </c>
      <c r="Q68" s="64">
        <v>9.09</v>
      </c>
      <c r="R68" s="198"/>
      <c r="S68" s="198"/>
      <c r="T68" s="198"/>
      <c r="U68" s="198"/>
    </row>
    <row r="69" spans="1:21" s="12" customFormat="1" x14ac:dyDescent="0.25">
      <c r="A69" s="214" t="s">
        <v>1938</v>
      </c>
      <c r="B69" s="64">
        <v>4.1900000000000004</v>
      </c>
      <c r="C69" s="64">
        <v>8.1999999999999993</v>
      </c>
      <c r="D69" s="64">
        <v>7.65</v>
      </c>
      <c r="E69" s="64">
        <v>5.48</v>
      </c>
      <c r="F69" s="64">
        <v>10.41</v>
      </c>
      <c r="G69" s="210" t="s">
        <v>36</v>
      </c>
      <c r="H69" s="210" t="s">
        <v>36</v>
      </c>
      <c r="I69" s="64">
        <v>95.8</v>
      </c>
      <c r="J69" s="64">
        <v>0.15</v>
      </c>
      <c r="K69" s="64">
        <v>129.54</v>
      </c>
      <c r="L69" s="64">
        <v>29.62</v>
      </c>
      <c r="M69" s="64">
        <v>81.12</v>
      </c>
      <c r="N69" s="64">
        <v>144.4</v>
      </c>
      <c r="O69" s="64">
        <v>0</v>
      </c>
      <c r="P69" s="64">
        <v>1.04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14" t="s">
        <v>1939</v>
      </c>
      <c r="B70" s="64">
        <v>4.7300000000000004</v>
      </c>
      <c r="C70" s="64">
        <v>8.2799999999999994</v>
      </c>
      <c r="D70" s="64">
        <v>8.1199999999999992</v>
      </c>
      <c r="E70" s="64">
        <v>5.18</v>
      </c>
      <c r="F70" s="64">
        <v>10.67</v>
      </c>
      <c r="G70" s="64">
        <v>65.78</v>
      </c>
      <c r="H70" s="64">
        <v>25.2</v>
      </c>
      <c r="I70" s="64">
        <v>68.41</v>
      </c>
      <c r="J70" s="64">
        <v>0.09</v>
      </c>
      <c r="K70" s="64">
        <v>151.72999999999999</v>
      </c>
      <c r="L70" s="64">
        <v>29.7</v>
      </c>
      <c r="M70" s="64">
        <v>77.790000000000006</v>
      </c>
      <c r="N70" s="64">
        <v>125.2</v>
      </c>
      <c r="O70" s="64">
        <v>0</v>
      </c>
      <c r="P70" s="64">
        <v>1.1200000000000001</v>
      </c>
      <c r="Q70" s="64">
        <v>9.08</v>
      </c>
      <c r="R70" s="198"/>
      <c r="S70" s="198"/>
      <c r="T70" s="198"/>
      <c r="U70" s="198"/>
    </row>
    <row r="71" spans="1:21" s="12" customFormat="1" x14ac:dyDescent="0.25">
      <c r="A71" s="214" t="s">
        <v>1940</v>
      </c>
      <c r="B71" s="64">
        <v>5.16</v>
      </c>
      <c r="C71" s="64">
        <v>10.08</v>
      </c>
      <c r="D71" s="64">
        <v>9.4</v>
      </c>
      <c r="E71" s="64">
        <v>5.32</v>
      </c>
      <c r="F71" s="64">
        <v>14.32</v>
      </c>
      <c r="G71" s="64">
        <v>65.78</v>
      </c>
      <c r="H71" s="64">
        <v>25.2</v>
      </c>
      <c r="I71" s="64">
        <v>54.62</v>
      </c>
      <c r="J71" s="64">
        <v>0.22</v>
      </c>
      <c r="K71" s="64">
        <v>137.84</v>
      </c>
      <c r="L71" s="64">
        <v>29.65</v>
      </c>
      <c r="M71" s="64">
        <v>77.03</v>
      </c>
      <c r="N71" s="64">
        <v>111.1</v>
      </c>
      <c r="O71" s="64">
        <v>0</v>
      </c>
      <c r="P71" s="64">
        <v>0.34</v>
      </c>
      <c r="Q71" s="64">
        <v>9.08</v>
      </c>
      <c r="R71" s="198"/>
      <c r="S71" s="198"/>
      <c r="T71" s="198"/>
      <c r="U71" s="198"/>
    </row>
    <row r="72" spans="1:21" s="12" customFormat="1" x14ac:dyDescent="0.25">
      <c r="A72" s="214" t="s">
        <v>1941</v>
      </c>
      <c r="B72" s="64">
        <v>6.31</v>
      </c>
      <c r="C72" s="64">
        <v>9.7100000000000009</v>
      </c>
      <c r="D72" s="64">
        <v>10.130000000000001</v>
      </c>
      <c r="E72" s="64">
        <v>4.58</v>
      </c>
      <c r="F72" s="64">
        <v>11.98</v>
      </c>
      <c r="G72" s="64">
        <v>65.78</v>
      </c>
      <c r="H72" s="64">
        <v>25.2</v>
      </c>
      <c r="I72" s="64">
        <v>51.85</v>
      </c>
      <c r="J72" s="64">
        <v>0.19</v>
      </c>
      <c r="K72" s="64">
        <v>170.69</v>
      </c>
      <c r="L72" s="64">
        <v>29.5</v>
      </c>
      <c r="M72" s="64">
        <v>79.510000000000005</v>
      </c>
      <c r="N72" s="64">
        <v>103.3</v>
      </c>
      <c r="O72" s="64">
        <v>0</v>
      </c>
      <c r="P72" s="64">
        <v>0.28000000000000003</v>
      </c>
      <c r="Q72" s="64">
        <v>9.09</v>
      </c>
      <c r="R72" s="198"/>
      <c r="S72" s="198"/>
      <c r="T72" s="198"/>
      <c r="U72" s="198"/>
    </row>
    <row r="73" spans="1:21" s="12" customFormat="1" x14ac:dyDescent="0.25">
      <c r="A73" s="214" t="s">
        <v>1942</v>
      </c>
      <c r="B73" s="64">
        <v>4.6399999999999997</v>
      </c>
      <c r="C73" s="64">
        <v>8.43</v>
      </c>
      <c r="D73" s="64">
        <v>8.1199999999999992</v>
      </c>
      <c r="E73" s="64">
        <v>5.3</v>
      </c>
      <c r="F73" s="64">
        <v>11</v>
      </c>
      <c r="G73" s="64">
        <v>65.790000000000006</v>
      </c>
      <c r="H73" s="64">
        <v>25.2</v>
      </c>
      <c r="I73" s="64">
        <v>49.25</v>
      </c>
      <c r="J73" s="64">
        <v>0.05</v>
      </c>
      <c r="K73" s="64">
        <v>279.64999999999998</v>
      </c>
      <c r="L73" s="64">
        <v>29.33</v>
      </c>
      <c r="M73" s="64">
        <v>80.89</v>
      </c>
      <c r="N73" s="64">
        <v>95.7</v>
      </c>
      <c r="O73" s="64">
        <v>0</v>
      </c>
      <c r="P73" s="64">
        <v>0.52</v>
      </c>
      <c r="Q73" s="64">
        <v>9.09</v>
      </c>
      <c r="R73" s="198"/>
      <c r="S73" s="198"/>
      <c r="T73" s="198"/>
      <c r="U73" s="198"/>
    </row>
    <row r="74" spans="1:21" s="12" customFormat="1" x14ac:dyDescent="0.25">
      <c r="A74" s="214" t="s">
        <v>1943</v>
      </c>
      <c r="B74" s="64">
        <v>4.01</v>
      </c>
      <c r="C74" s="64">
        <v>7.49</v>
      </c>
      <c r="D74" s="64">
        <v>7.13</v>
      </c>
      <c r="E74" s="64">
        <v>5.23</v>
      </c>
      <c r="F74" s="64">
        <v>11.63</v>
      </c>
      <c r="G74" s="64">
        <v>66.64</v>
      </c>
      <c r="H74" s="64">
        <v>17.64</v>
      </c>
      <c r="I74" s="64">
        <v>46.74</v>
      </c>
      <c r="J74" s="64">
        <v>0.04</v>
      </c>
      <c r="K74" s="64">
        <v>291.91000000000003</v>
      </c>
      <c r="L74" s="64">
        <v>29.28</v>
      </c>
      <c r="M74" s="64">
        <v>80.59</v>
      </c>
      <c r="N74" s="64">
        <v>88.7</v>
      </c>
      <c r="O74" s="64">
        <v>0</v>
      </c>
      <c r="P74" s="64">
        <v>0.43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4" t="s">
        <v>1944</v>
      </c>
      <c r="B75" s="64">
        <v>7.68</v>
      </c>
      <c r="C75" s="64">
        <v>10</v>
      </c>
      <c r="D75" s="64">
        <v>11.37</v>
      </c>
      <c r="E75" s="64">
        <v>5.26</v>
      </c>
      <c r="F75" s="64">
        <v>11.91</v>
      </c>
      <c r="G75" s="64">
        <v>66.64</v>
      </c>
      <c r="H75" s="64">
        <v>17.64</v>
      </c>
      <c r="I75" s="64">
        <v>44.21</v>
      </c>
      <c r="J75" s="64">
        <v>0.04</v>
      </c>
      <c r="K75" s="64">
        <v>221.04</v>
      </c>
      <c r="L75" s="64">
        <v>29.25</v>
      </c>
      <c r="M75" s="64">
        <v>81.849999999999994</v>
      </c>
      <c r="N75" s="64">
        <v>84.5</v>
      </c>
      <c r="O75" s="64">
        <v>0</v>
      </c>
      <c r="P75" s="64">
        <v>0.04</v>
      </c>
      <c r="Q75" s="64">
        <v>9.1</v>
      </c>
      <c r="R75" s="198"/>
      <c r="S75" s="198"/>
      <c r="T75" s="198"/>
      <c r="U75" s="198"/>
    </row>
    <row r="76" spans="1:21" s="12" customFormat="1" x14ac:dyDescent="0.25">
      <c r="A76" s="214" t="s">
        <v>1945</v>
      </c>
      <c r="B76" s="64">
        <v>4.29</v>
      </c>
      <c r="C76" s="64">
        <v>9.5399999999999991</v>
      </c>
      <c r="D76" s="64">
        <v>8.42</v>
      </c>
      <c r="E76" s="64">
        <v>5.14</v>
      </c>
      <c r="F76" s="64">
        <v>12.3</v>
      </c>
      <c r="G76" s="64">
        <v>66.64</v>
      </c>
      <c r="H76" s="64">
        <v>17.64</v>
      </c>
      <c r="I76" s="64">
        <v>41.89</v>
      </c>
      <c r="J76" s="64">
        <v>0.09</v>
      </c>
      <c r="K76" s="64">
        <v>192.4</v>
      </c>
      <c r="L76" s="64">
        <v>29.11</v>
      </c>
      <c r="M76" s="64">
        <v>84.58</v>
      </c>
      <c r="N76" s="64">
        <v>83.4</v>
      </c>
      <c r="O76" s="64">
        <v>0</v>
      </c>
      <c r="P76" s="64">
        <v>0.04</v>
      </c>
      <c r="Q76" s="64">
        <v>9.11</v>
      </c>
      <c r="R76" s="198"/>
      <c r="S76" s="198"/>
      <c r="T76" s="198"/>
      <c r="U76" s="198"/>
    </row>
    <row r="77" spans="1:21" s="12" customFormat="1" x14ac:dyDescent="0.25">
      <c r="A77" s="214" t="s">
        <v>1946</v>
      </c>
      <c r="B77" s="64">
        <v>5.85</v>
      </c>
      <c r="C77" s="64">
        <v>9.99</v>
      </c>
      <c r="D77" s="64">
        <v>9.91</v>
      </c>
      <c r="E77" s="64">
        <v>5.41</v>
      </c>
      <c r="F77" s="64">
        <v>10.86</v>
      </c>
      <c r="G77" s="64">
        <v>66.5</v>
      </c>
      <c r="H77" s="64">
        <v>17.64</v>
      </c>
      <c r="I77" s="64">
        <v>39.81</v>
      </c>
      <c r="J77" s="64">
        <v>0.2</v>
      </c>
      <c r="K77" s="64">
        <v>144.06</v>
      </c>
      <c r="L77" s="64">
        <v>28.98</v>
      </c>
      <c r="M77" s="64">
        <v>86.52</v>
      </c>
      <c r="N77" s="64">
        <v>81.5</v>
      </c>
      <c r="O77" s="64">
        <v>0</v>
      </c>
      <c r="P77" s="64">
        <v>0.01</v>
      </c>
      <c r="Q77" s="64">
        <v>9.11</v>
      </c>
      <c r="R77" s="198"/>
      <c r="S77" s="198"/>
      <c r="T77" s="198"/>
      <c r="U77" s="198"/>
    </row>
    <row r="78" spans="1:21" s="12" customFormat="1" x14ac:dyDescent="0.25">
      <c r="A78" s="214" t="s">
        <v>1947</v>
      </c>
      <c r="B78" s="64">
        <v>4.55</v>
      </c>
      <c r="C78" s="64">
        <v>11.29</v>
      </c>
      <c r="D78" s="64">
        <v>9.5500000000000007</v>
      </c>
      <c r="E78" s="64">
        <v>5.66</v>
      </c>
      <c r="F78" s="64">
        <v>11.1</v>
      </c>
      <c r="G78" s="64">
        <v>54.26</v>
      </c>
      <c r="H78" s="64">
        <v>12.35</v>
      </c>
      <c r="I78" s="64">
        <v>37.880000000000003</v>
      </c>
      <c r="J78" s="64">
        <v>0.21</v>
      </c>
      <c r="K78" s="64">
        <v>142.30000000000001</v>
      </c>
      <c r="L78" s="64">
        <v>28.85</v>
      </c>
      <c r="M78" s="64">
        <v>87.09</v>
      </c>
      <c r="N78" s="64">
        <v>76.5</v>
      </c>
      <c r="O78" s="64">
        <v>0</v>
      </c>
      <c r="P78" s="64">
        <v>0</v>
      </c>
      <c r="Q78" s="64">
        <v>9.1199999999999992</v>
      </c>
      <c r="R78" s="198"/>
      <c r="S78" s="198"/>
      <c r="T78" s="198"/>
      <c r="U78" s="198"/>
    </row>
    <row r="79" spans="1:21" s="12" customFormat="1" x14ac:dyDescent="0.25">
      <c r="A79" s="214" t="s">
        <v>1948</v>
      </c>
      <c r="B79" s="64">
        <v>3.95</v>
      </c>
      <c r="C79" s="64">
        <v>10.88</v>
      </c>
      <c r="D79" s="64">
        <v>8.86</v>
      </c>
      <c r="E79" s="64">
        <v>5.57</v>
      </c>
      <c r="F79" s="64">
        <v>12.09</v>
      </c>
      <c r="G79" s="64">
        <v>54.26</v>
      </c>
      <c r="H79" s="64">
        <v>12.35</v>
      </c>
      <c r="I79" s="64">
        <v>36.270000000000003</v>
      </c>
      <c r="J79" s="64">
        <v>7.0000000000000007E-2</v>
      </c>
      <c r="K79" s="64">
        <v>234.34</v>
      </c>
      <c r="L79" s="64">
        <v>28.59</v>
      </c>
      <c r="M79" s="64">
        <v>88.41</v>
      </c>
      <c r="N79" s="64">
        <v>63.8</v>
      </c>
      <c r="O79" s="64">
        <v>0</v>
      </c>
      <c r="P79" s="64">
        <v>0.01</v>
      </c>
      <c r="Q79" s="64">
        <v>9.14</v>
      </c>
      <c r="R79" s="198"/>
      <c r="S79" s="198"/>
      <c r="T79" s="198"/>
      <c r="U79" s="198"/>
    </row>
    <row r="80" spans="1:21" s="12" customFormat="1" x14ac:dyDescent="0.25">
      <c r="A80" s="214" t="s">
        <v>1949</v>
      </c>
      <c r="B80" s="64">
        <v>5.1100000000000003</v>
      </c>
      <c r="C80" s="64">
        <v>14.78</v>
      </c>
      <c r="D80" s="64">
        <v>11.82</v>
      </c>
      <c r="E80" s="64">
        <v>5.73</v>
      </c>
      <c r="F80" s="64">
        <v>10.86</v>
      </c>
      <c r="G80" s="64">
        <v>54.26</v>
      </c>
      <c r="H80" s="64">
        <v>12.35</v>
      </c>
      <c r="I80" s="64">
        <v>34.72</v>
      </c>
      <c r="J80" s="64">
        <v>0.15</v>
      </c>
      <c r="K80" s="64">
        <v>139.35</v>
      </c>
      <c r="L80" s="64">
        <v>28.25</v>
      </c>
      <c r="M80" s="64">
        <v>93.69</v>
      </c>
      <c r="N80" s="64">
        <v>52.2</v>
      </c>
      <c r="O80" s="64">
        <v>0</v>
      </c>
      <c r="P80" s="64">
        <v>0</v>
      </c>
      <c r="Q80" s="64">
        <v>9.15</v>
      </c>
      <c r="R80" s="198"/>
      <c r="S80" s="198"/>
      <c r="T80" s="198"/>
      <c r="U80" s="198"/>
    </row>
    <row r="81" spans="1:26" s="12" customFormat="1" x14ac:dyDescent="0.25">
      <c r="A81" s="214" t="s">
        <v>1950</v>
      </c>
      <c r="B81" s="64">
        <v>5.0199999999999996</v>
      </c>
      <c r="C81" s="64">
        <v>14.56</v>
      </c>
      <c r="D81" s="64">
        <v>11.63</v>
      </c>
      <c r="E81" s="64">
        <v>5.67</v>
      </c>
      <c r="F81" s="64">
        <v>9.64</v>
      </c>
      <c r="G81" s="64">
        <v>54.17</v>
      </c>
      <c r="H81" s="64">
        <v>12.35</v>
      </c>
      <c r="I81" s="64">
        <v>33.21</v>
      </c>
      <c r="J81" s="64">
        <v>0.01</v>
      </c>
      <c r="K81" s="64">
        <v>185.79</v>
      </c>
      <c r="L81" s="64">
        <v>27.97</v>
      </c>
      <c r="M81" s="64">
        <v>94.81</v>
      </c>
      <c r="N81" s="64">
        <v>49.3</v>
      </c>
      <c r="O81" s="64">
        <v>0</v>
      </c>
      <c r="P81" s="64">
        <v>0</v>
      </c>
      <c r="Q81" s="64">
        <v>9.16</v>
      </c>
      <c r="R81" s="198"/>
      <c r="S81" s="198"/>
      <c r="T81" s="198"/>
      <c r="U81" s="198"/>
    </row>
    <row r="82" spans="1:26" s="12" customFormat="1" x14ac:dyDescent="0.25">
      <c r="A82" s="214" t="s">
        <v>1951</v>
      </c>
      <c r="B82" s="64">
        <v>8.27</v>
      </c>
      <c r="C82" s="64">
        <v>17.93</v>
      </c>
      <c r="D82" s="64">
        <v>16</v>
      </c>
      <c r="E82" s="64">
        <v>5.89</v>
      </c>
      <c r="F82" s="64">
        <v>7.8</v>
      </c>
      <c r="G82" s="64">
        <v>46.66</v>
      </c>
      <c r="H82" s="64">
        <v>8.65</v>
      </c>
      <c r="I82" s="64">
        <v>31.83</v>
      </c>
      <c r="J82" s="64">
        <v>0.25</v>
      </c>
      <c r="K82" s="64">
        <v>139.4</v>
      </c>
      <c r="L82" s="64">
        <v>27.82</v>
      </c>
      <c r="M82" s="64">
        <v>96</v>
      </c>
      <c r="N82" s="64">
        <v>48.6</v>
      </c>
      <c r="O82" s="64">
        <v>0</v>
      </c>
      <c r="P82" s="64">
        <v>0</v>
      </c>
      <c r="Q82" s="64">
        <v>9.16</v>
      </c>
      <c r="R82" s="198"/>
      <c r="S82" s="198"/>
      <c r="T82" s="198"/>
      <c r="U82" s="198"/>
    </row>
    <row r="83" spans="1:26" s="12" customFormat="1" x14ac:dyDescent="0.25">
      <c r="A83" s="214" t="s">
        <v>1952</v>
      </c>
      <c r="B83" s="64">
        <v>6.18</v>
      </c>
      <c r="C83" s="64">
        <v>17.88</v>
      </c>
      <c r="D83" s="64">
        <v>14.3</v>
      </c>
      <c r="E83" s="64">
        <v>5.8</v>
      </c>
      <c r="F83" s="64">
        <v>8.52</v>
      </c>
      <c r="G83" s="64">
        <v>46.66</v>
      </c>
      <c r="H83" s="64">
        <v>8.65</v>
      </c>
      <c r="I83" s="64">
        <v>30.61</v>
      </c>
      <c r="J83" s="64">
        <v>0.08</v>
      </c>
      <c r="K83" s="64">
        <v>99.94</v>
      </c>
      <c r="L83" s="64">
        <v>27.7</v>
      </c>
      <c r="M83" s="64">
        <v>95.89</v>
      </c>
      <c r="N83" s="64">
        <v>48.8</v>
      </c>
      <c r="O83" s="64">
        <v>0</v>
      </c>
      <c r="P83" s="64">
        <v>0</v>
      </c>
      <c r="Q83" s="64">
        <v>9.17</v>
      </c>
      <c r="R83" s="198"/>
      <c r="S83" s="198"/>
      <c r="T83" s="198"/>
      <c r="U83" s="198"/>
    </row>
    <row r="84" spans="1:26" s="12" customFormat="1" x14ac:dyDescent="0.25">
      <c r="A84" s="214" t="s">
        <v>1953</v>
      </c>
      <c r="B84" s="64">
        <v>6.84</v>
      </c>
      <c r="C84" s="64">
        <v>16.68</v>
      </c>
      <c r="D84" s="64">
        <v>14.2</v>
      </c>
      <c r="E84" s="64">
        <v>5.81</v>
      </c>
      <c r="F84" s="64">
        <v>8.83</v>
      </c>
      <c r="G84" s="64">
        <v>46.66</v>
      </c>
      <c r="H84" s="64">
        <v>8.65</v>
      </c>
      <c r="I84" s="64">
        <v>29.38</v>
      </c>
      <c r="J84" s="64">
        <v>0.04</v>
      </c>
      <c r="K84" s="64">
        <v>143.22999999999999</v>
      </c>
      <c r="L84" s="64">
        <v>27.42</v>
      </c>
      <c r="M84" s="64">
        <v>97.19</v>
      </c>
      <c r="N84" s="64">
        <v>48.9</v>
      </c>
      <c r="O84" s="64">
        <v>0</v>
      </c>
      <c r="P84" s="64">
        <v>0</v>
      </c>
      <c r="Q84" s="64">
        <v>9.18</v>
      </c>
      <c r="R84" s="198"/>
      <c r="S84" s="198"/>
      <c r="T84" s="198"/>
      <c r="U84" s="198"/>
    </row>
    <row r="85" spans="1:26" s="12" customFormat="1" x14ac:dyDescent="0.25">
      <c r="A85" s="214" t="s">
        <v>1954</v>
      </c>
      <c r="B85" s="64">
        <v>9.07</v>
      </c>
      <c r="C85" s="64">
        <v>19.98</v>
      </c>
      <c r="D85" s="64">
        <v>17.71</v>
      </c>
      <c r="E85" s="64">
        <v>6.04</v>
      </c>
      <c r="F85" s="64">
        <v>7.84</v>
      </c>
      <c r="G85" s="64">
        <v>46.62</v>
      </c>
      <c r="H85" s="64">
        <v>8.65</v>
      </c>
      <c r="I85" s="64">
        <v>28.14</v>
      </c>
      <c r="J85" s="64">
        <v>0.08</v>
      </c>
      <c r="K85" s="64">
        <v>198.16</v>
      </c>
      <c r="L85" s="64">
        <v>27.41</v>
      </c>
      <c r="M85" s="64">
        <v>97.06</v>
      </c>
      <c r="N85" s="64">
        <v>49</v>
      </c>
      <c r="O85" s="64">
        <v>0</v>
      </c>
      <c r="P85" s="64">
        <v>0.15</v>
      </c>
      <c r="Q85" s="64">
        <v>9.18</v>
      </c>
      <c r="R85" s="198"/>
      <c r="S85" s="198"/>
      <c r="T85" s="198"/>
      <c r="U85" s="198"/>
    </row>
    <row r="86" spans="1:26" s="12" customFormat="1" x14ac:dyDescent="0.25">
      <c r="A86" s="214" t="s">
        <v>1955</v>
      </c>
      <c r="B86" s="64">
        <v>6.42</v>
      </c>
      <c r="C86" s="64">
        <v>19.850000000000001</v>
      </c>
      <c r="D86" s="64">
        <v>15.52</v>
      </c>
      <c r="E86" s="64">
        <v>5.49</v>
      </c>
      <c r="F86" s="64">
        <v>6.02</v>
      </c>
      <c r="G86" s="64">
        <v>42.94</v>
      </c>
      <c r="H86" s="64">
        <v>10.93</v>
      </c>
      <c r="I86" s="64">
        <v>26.89</v>
      </c>
      <c r="J86" s="64">
        <v>0.18</v>
      </c>
      <c r="K86" s="64">
        <v>170.25</v>
      </c>
      <c r="L86" s="64">
        <v>27.32</v>
      </c>
      <c r="M86" s="64">
        <v>97.85</v>
      </c>
      <c r="N86" s="64">
        <v>49.7</v>
      </c>
      <c r="O86" s="64">
        <v>0</v>
      </c>
      <c r="P86" s="64">
        <v>0.2</v>
      </c>
      <c r="Q86" s="64">
        <v>9.19</v>
      </c>
      <c r="R86" s="198"/>
      <c r="S86" s="198"/>
      <c r="T86" s="198"/>
      <c r="U86" s="198"/>
    </row>
    <row r="87" spans="1:26" s="12" customFormat="1" x14ac:dyDescent="0.25">
      <c r="A87" s="214" t="s">
        <v>1956</v>
      </c>
      <c r="B87" s="64">
        <v>13.42</v>
      </c>
      <c r="C87" s="64">
        <v>20.18</v>
      </c>
      <c r="D87" s="64">
        <v>21.31</v>
      </c>
      <c r="E87" s="64">
        <v>5.95</v>
      </c>
      <c r="F87" s="64">
        <v>7.56</v>
      </c>
      <c r="G87" s="64">
        <v>42.94</v>
      </c>
      <c r="H87" s="64">
        <v>10.93</v>
      </c>
      <c r="I87" s="64">
        <v>25.79</v>
      </c>
      <c r="J87" s="64">
        <v>0.01</v>
      </c>
      <c r="K87" s="64">
        <v>10.25</v>
      </c>
      <c r="L87" s="64">
        <v>27.31</v>
      </c>
      <c r="M87" s="64">
        <v>97.72</v>
      </c>
      <c r="N87" s="64">
        <v>50.1</v>
      </c>
      <c r="O87" s="64">
        <v>0</v>
      </c>
      <c r="P87" s="64">
        <v>0.56999999999999995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4" t="s">
        <v>1957</v>
      </c>
      <c r="B88" s="64">
        <v>14.93</v>
      </c>
      <c r="C88" s="64">
        <v>20.079999999999998</v>
      </c>
      <c r="D88" s="64">
        <v>22.47</v>
      </c>
      <c r="E88" s="64">
        <v>5.55</v>
      </c>
      <c r="F88" s="64">
        <v>5.26</v>
      </c>
      <c r="G88" s="64">
        <v>42.94</v>
      </c>
      <c r="H88" s="64">
        <v>10.93</v>
      </c>
      <c r="I88" s="64">
        <v>24.65</v>
      </c>
      <c r="J88" s="64">
        <v>7.0000000000000007E-2</v>
      </c>
      <c r="K88" s="64">
        <v>150.33000000000001</v>
      </c>
      <c r="L88" s="64">
        <v>27.12</v>
      </c>
      <c r="M88" s="64">
        <v>98.05</v>
      </c>
      <c r="N88" s="64">
        <v>50.2</v>
      </c>
      <c r="O88" s="64">
        <v>0</v>
      </c>
      <c r="P88" s="64">
        <v>0.56999999999999995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14" t="s">
        <v>1958</v>
      </c>
      <c r="B89" s="64">
        <v>17.79</v>
      </c>
      <c r="C89" s="64">
        <v>21.71</v>
      </c>
      <c r="D89" s="64">
        <v>25.61</v>
      </c>
      <c r="E89" s="64">
        <v>5.65</v>
      </c>
      <c r="F89" s="64">
        <v>6.66</v>
      </c>
      <c r="G89" s="64">
        <v>43</v>
      </c>
      <c r="H89" s="64">
        <v>10.93</v>
      </c>
      <c r="I89" s="64">
        <v>23.5</v>
      </c>
      <c r="J89" s="64">
        <v>0.06</v>
      </c>
      <c r="K89" s="64">
        <v>328.9</v>
      </c>
      <c r="L89" s="64">
        <v>27.02</v>
      </c>
      <c r="M89" s="64">
        <v>98.03</v>
      </c>
      <c r="N89" s="64">
        <v>50.4</v>
      </c>
      <c r="O89" s="64">
        <v>0</v>
      </c>
      <c r="P89" s="64">
        <v>0.55000000000000004</v>
      </c>
      <c r="Q89" s="64">
        <v>9.1999999999999993</v>
      </c>
      <c r="R89" s="198"/>
      <c r="S89" s="198"/>
      <c r="T89" s="198"/>
      <c r="U89" s="198"/>
    </row>
    <row r="90" spans="1:26" s="12" customFormat="1" x14ac:dyDescent="0.25">
      <c r="A90" s="214" t="s">
        <v>1959</v>
      </c>
      <c r="B90" s="64">
        <v>17.5</v>
      </c>
      <c r="C90" s="64">
        <v>21.18</v>
      </c>
      <c r="D90" s="64">
        <v>25.1</v>
      </c>
      <c r="E90" s="64">
        <v>6.08</v>
      </c>
      <c r="F90" s="64">
        <v>3.42</v>
      </c>
      <c r="G90" s="64">
        <v>48.33</v>
      </c>
      <c r="H90" s="64">
        <v>7.84</v>
      </c>
      <c r="I90" s="64">
        <v>22.51</v>
      </c>
      <c r="J90" s="64">
        <v>0.08</v>
      </c>
      <c r="K90" s="64">
        <v>127.27</v>
      </c>
      <c r="L90" s="64">
        <v>26.76</v>
      </c>
      <c r="M90" s="64">
        <v>98.03</v>
      </c>
      <c r="N90" s="64">
        <v>50.3</v>
      </c>
      <c r="O90" s="64">
        <v>0</v>
      </c>
      <c r="P90" s="64">
        <v>0.98</v>
      </c>
      <c r="Q90" s="64">
        <v>9.2200000000000006</v>
      </c>
      <c r="R90" s="198"/>
      <c r="S90" s="198"/>
      <c r="T90" s="198"/>
      <c r="U90" s="198"/>
    </row>
    <row r="91" spans="1:26" s="12" customFormat="1" x14ac:dyDescent="0.25">
      <c r="A91" s="214" t="s">
        <v>1960</v>
      </c>
      <c r="B91" s="64">
        <v>26.23</v>
      </c>
      <c r="C91" s="64">
        <v>22.72</v>
      </c>
      <c r="D91" s="64">
        <v>32.9</v>
      </c>
      <c r="E91" s="64">
        <v>5.76</v>
      </c>
      <c r="F91" s="64">
        <v>3.69</v>
      </c>
      <c r="G91" s="64">
        <v>48.33</v>
      </c>
      <c r="H91" s="64">
        <v>7.84</v>
      </c>
      <c r="I91" s="64">
        <v>21.58</v>
      </c>
      <c r="J91" s="64">
        <v>7.0000000000000007E-2</v>
      </c>
      <c r="K91" s="64">
        <v>163.72999999999999</v>
      </c>
      <c r="L91" s="64">
        <v>26.81</v>
      </c>
      <c r="M91" s="64">
        <v>97.97</v>
      </c>
      <c r="N91" s="64">
        <v>50.2</v>
      </c>
      <c r="O91" s="64">
        <v>0</v>
      </c>
      <c r="P91" s="64">
        <v>0.32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14" t="s">
        <v>1961</v>
      </c>
      <c r="B92" s="64">
        <v>25.2</v>
      </c>
      <c r="C92" s="64">
        <v>20.23</v>
      </c>
      <c r="D92" s="64">
        <v>30.78</v>
      </c>
      <c r="E92" s="64">
        <v>5.8</v>
      </c>
      <c r="F92" s="64">
        <v>4.3600000000000003</v>
      </c>
      <c r="G92" s="64">
        <v>48.33</v>
      </c>
      <c r="H92" s="64">
        <v>7.84</v>
      </c>
      <c r="I92" s="64">
        <v>20.73</v>
      </c>
      <c r="J92" s="64">
        <v>0.06</v>
      </c>
      <c r="K92" s="64">
        <v>348.62</v>
      </c>
      <c r="L92" s="64">
        <v>26.66</v>
      </c>
      <c r="M92" s="64">
        <v>97.98</v>
      </c>
      <c r="N92" s="64">
        <v>50.5</v>
      </c>
      <c r="O92" s="64">
        <v>0</v>
      </c>
      <c r="P92" s="64">
        <v>0.6</v>
      </c>
      <c r="Q92" s="64">
        <v>9.2799999999999994</v>
      </c>
      <c r="R92" s="198"/>
      <c r="S92" s="198"/>
      <c r="T92" s="198"/>
      <c r="U92" s="198"/>
    </row>
    <row r="93" spans="1:26" s="12" customFormat="1" x14ac:dyDescent="0.25">
      <c r="A93" s="214" t="s">
        <v>1962</v>
      </c>
      <c r="B93" s="64">
        <v>10.72</v>
      </c>
      <c r="C93" s="64">
        <v>21.72</v>
      </c>
      <c r="D93" s="64">
        <v>19.940000000000001</v>
      </c>
      <c r="E93" s="64">
        <v>5.62</v>
      </c>
      <c r="F93" s="64">
        <v>5.79</v>
      </c>
      <c r="G93" s="64">
        <v>48.4</v>
      </c>
      <c r="H93" s="64">
        <v>7.84</v>
      </c>
      <c r="I93" s="64">
        <v>19.88</v>
      </c>
      <c r="J93" s="64">
        <v>0.04</v>
      </c>
      <c r="K93" s="64">
        <v>340.37</v>
      </c>
      <c r="L93" s="64">
        <v>26.49</v>
      </c>
      <c r="M93" s="64">
        <v>98</v>
      </c>
      <c r="N93" s="64">
        <v>50.5</v>
      </c>
      <c r="O93" s="64">
        <v>0</v>
      </c>
      <c r="P93" s="64">
        <v>0.45</v>
      </c>
      <c r="Q93" s="64">
        <v>9.31</v>
      </c>
      <c r="R93" s="198"/>
      <c r="S93" s="198"/>
      <c r="T93" s="198"/>
      <c r="U93" s="198"/>
    </row>
    <row r="94" spans="1:26" s="12" customFormat="1" x14ac:dyDescent="0.25">
      <c r="A94" s="214" t="s">
        <v>1963</v>
      </c>
      <c r="B94" s="64">
        <v>33.36</v>
      </c>
      <c r="C94" s="64">
        <v>18.57</v>
      </c>
      <c r="D94" s="64">
        <v>36.46</v>
      </c>
      <c r="E94" s="64">
        <v>5.75</v>
      </c>
      <c r="F94" s="64">
        <v>5.2</v>
      </c>
      <c r="G94" s="64">
        <v>55.1</v>
      </c>
      <c r="H94" s="64">
        <v>5.49</v>
      </c>
      <c r="I94" s="64">
        <v>19.02</v>
      </c>
      <c r="J94" s="64">
        <v>0.11</v>
      </c>
      <c r="K94" s="64">
        <v>322.92</v>
      </c>
      <c r="L94" s="64">
        <v>26.44</v>
      </c>
      <c r="M94" s="64">
        <v>98.02</v>
      </c>
      <c r="N94" s="64">
        <v>50.4</v>
      </c>
      <c r="O94" s="64">
        <v>0</v>
      </c>
      <c r="P94" s="64">
        <v>0.5</v>
      </c>
      <c r="Q94" s="64">
        <v>9.34</v>
      </c>
      <c r="R94" s="198"/>
      <c r="S94" s="198"/>
      <c r="T94" s="198"/>
      <c r="U94" s="198"/>
    </row>
    <row r="95" spans="1:26" s="12" customFormat="1" x14ac:dyDescent="0.25">
      <c r="A95" s="214" t="s">
        <v>1964</v>
      </c>
      <c r="B95" s="64">
        <v>32.56</v>
      </c>
      <c r="C95" s="64">
        <v>18.079999999999998</v>
      </c>
      <c r="D95" s="64">
        <v>35.56</v>
      </c>
      <c r="E95" s="64">
        <v>6.02</v>
      </c>
      <c r="F95" s="64">
        <v>4.66</v>
      </c>
      <c r="G95" s="64">
        <v>55.1</v>
      </c>
      <c r="H95" s="64">
        <v>5.49</v>
      </c>
      <c r="I95" s="64">
        <v>18.309999999999999</v>
      </c>
      <c r="J95" s="64">
        <v>0.12</v>
      </c>
      <c r="K95" s="64">
        <v>332.23</v>
      </c>
      <c r="L95" s="64">
        <v>26.35</v>
      </c>
      <c r="M95" s="64">
        <v>98.02</v>
      </c>
      <c r="N95" s="64">
        <v>50.1</v>
      </c>
      <c r="O95" s="64">
        <v>0</v>
      </c>
      <c r="P95" s="64">
        <v>0.44</v>
      </c>
      <c r="Q95" s="64">
        <v>9.39</v>
      </c>
      <c r="R95" s="198"/>
      <c r="S95" s="198"/>
      <c r="T95" s="198"/>
      <c r="U95" s="198"/>
    </row>
    <row r="96" spans="1:26" s="12" customFormat="1" x14ac:dyDescent="0.25">
      <c r="A96" s="214" t="s">
        <v>1965</v>
      </c>
      <c r="B96" s="64">
        <v>16.38</v>
      </c>
      <c r="C96" s="64">
        <v>18.36</v>
      </c>
      <c r="D96" s="64">
        <v>22.73</v>
      </c>
      <c r="E96" s="64">
        <v>5.85</v>
      </c>
      <c r="F96" s="64">
        <v>6.19</v>
      </c>
      <c r="G96" s="64">
        <v>55.1</v>
      </c>
      <c r="H96" s="64">
        <v>5.49</v>
      </c>
      <c r="I96" s="64">
        <v>17.670000000000002</v>
      </c>
      <c r="J96" s="64">
        <v>0.09</v>
      </c>
      <c r="K96" s="64">
        <v>316.23</v>
      </c>
      <c r="L96" s="64">
        <v>26.32</v>
      </c>
      <c r="M96" s="64">
        <v>98.04</v>
      </c>
      <c r="N96" s="64">
        <v>50.1</v>
      </c>
      <c r="O96" s="64">
        <v>0</v>
      </c>
      <c r="P96" s="64">
        <v>0.47</v>
      </c>
      <c r="Q96" s="64">
        <v>9.44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1966</v>
      </c>
      <c r="B97" s="64">
        <v>18.72</v>
      </c>
      <c r="C97" s="64">
        <v>17.77</v>
      </c>
      <c r="D97" s="64">
        <v>24.29</v>
      </c>
      <c r="E97" s="64">
        <v>5.8</v>
      </c>
      <c r="F97" s="64">
        <v>7.69</v>
      </c>
      <c r="G97" s="64">
        <v>55.23</v>
      </c>
      <c r="H97" s="64">
        <v>5.49</v>
      </c>
      <c r="I97" s="64">
        <v>17.02</v>
      </c>
      <c r="J97" s="64">
        <v>0.06</v>
      </c>
      <c r="K97" s="64">
        <v>4.55</v>
      </c>
      <c r="L97" s="64">
        <v>26.36</v>
      </c>
      <c r="M97" s="64">
        <v>98.04</v>
      </c>
      <c r="N97" s="64">
        <v>50</v>
      </c>
      <c r="O97" s="64">
        <v>0</v>
      </c>
      <c r="P97" s="64">
        <v>0.37</v>
      </c>
      <c r="Q97" s="64">
        <v>9.4600000000000009</v>
      </c>
      <c r="R97" s="198"/>
      <c r="S97" s="198"/>
      <c r="T97" s="198"/>
      <c r="U97" s="198"/>
    </row>
    <row r="98" spans="1:33" s="12" customFormat="1" x14ac:dyDescent="0.25">
      <c r="A98" s="214" t="s">
        <v>1967</v>
      </c>
      <c r="B98" s="64">
        <v>38.049999999999997</v>
      </c>
      <c r="C98" s="64">
        <v>13.04</v>
      </c>
      <c r="D98" s="64">
        <v>37.28</v>
      </c>
      <c r="E98" s="64">
        <v>5.83</v>
      </c>
      <c r="F98" s="64">
        <v>6.77</v>
      </c>
      <c r="G98" s="64">
        <v>66.989999999999995</v>
      </c>
      <c r="H98" s="64">
        <v>3.84</v>
      </c>
      <c r="I98" s="64">
        <v>16.43</v>
      </c>
      <c r="J98" s="64">
        <v>0.09</v>
      </c>
      <c r="K98" s="64">
        <v>328.04</v>
      </c>
      <c r="L98" s="64">
        <v>26.23</v>
      </c>
      <c r="M98" s="64">
        <v>98.07</v>
      </c>
      <c r="N98" s="64">
        <v>49.9</v>
      </c>
      <c r="O98" s="64">
        <v>0</v>
      </c>
      <c r="P98" s="64">
        <v>0.54</v>
      </c>
      <c r="Q98" s="64">
        <v>9.49</v>
      </c>
      <c r="R98" s="198"/>
      <c r="S98" s="198"/>
      <c r="T98" s="198"/>
      <c r="U98" s="198"/>
    </row>
    <row r="99" spans="1:33" s="12" customFormat="1" x14ac:dyDescent="0.25">
      <c r="A99" s="214" t="s">
        <v>1968</v>
      </c>
      <c r="B99" s="64">
        <v>15.66</v>
      </c>
      <c r="C99" s="64">
        <v>16.11</v>
      </c>
      <c r="D99" s="64">
        <v>20.97</v>
      </c>
      <c r="E99" s="64">
        <v>5.93</v>
      </c>
      <c r="F99" s="64">
        <v>7.81</v>
      </c>
      <c r="G99" s="64">
        <v>66.989999999999995</v>
      </c>
      <c r="H99" s="64">
        <v>3.84</v>
      </c>
      <c r="I99" s="64">
        <v>15.91</v>
      </c>
      <c r="J99" s="64">
        <v>0.03</v>
      </c>
      <c r="K99" s="64">
        <v>230.66</v>
      </c>
      <c r="L99" s="64">
        <v>26.15</v>
      </c>
      <c r="M99" s="64">
        <v>98.11</v>
      </c>
      <c r="N99" s="64">
        <v>49.7</v>
      </c>
      <c r="O99" s="64">
        <v>0</v>
      </c>
      <c r="P99" s="64">
        <v>0.3</v>
      </c>
      <c r="Q99" s="64">
        <v>9.52</v>
      </c>
      <c r="R99" s="198"/>
      <c r="S99" s="198"/>
      <c r="T99" s="198"/>
      <c r="U99" s="198"/>
    </row>
    <row r="100" spans="1:33" s="12" customFormat="1" x14ac:dyDescent="0.25">
      <c r="A100" s="214" t="s">
        <v>1969</v>
      </c>
      <c r="B100" s="64">
        <v>15.7</v>
      </c>
      <c r="C100" s="64">
        <v>16.8</v>
      </c>
      <c r="D100" s="64">
        <v>21.37</v>
      </c>
      <c r="E100" s="64">
        <v>5.87</v>
      </c>
      <c r="F100" s="64">
        <v>6.65</v>
      </c>
      <c r="G100" s="64">
        <v>66.989999999999995</v>
      </c>
      <c r="H100" s="64">
        <v>3.84</v>
      </c>
      <c r="I100" s="64">
        <v>15.4</v>
      </c>
      <c r="J100" s="64">
        <v>0.02</v>
      </c>
      <c r="K100" s="64">
        <v>282.8</v>
      </c>
      <c r="L100" s="64">
        <v>26.08</v>
      </c>
      <c r="M100" s="64">
        <v>98.12</v>
      </c>
      <c r="N100" s="64">
        <v>49.7</v>
      </c>
      <c r="O100" s="64">
        <v>0</v>
      </c>
      <c r="P100" s="64">
        <v>0.24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1970</v>
      </c>
      <c r="B101" s="64">
        <v>20.059999999999999</v>
      </c>
      <c r="C101" s="64">
        <v>15.95</v>
      </c>
      <c r="D101" s="64">
        <v>24.42</v>
      </c>
      <c r="E101" s="64">
        <v>5.75</v>
      </c>
      <c r="F101" s="64">
        <v>5.58</v>
      </c>
      <c r="G101" s="64">
        <v>66.98</v>
      </c>
      <c r="H101" s="64">
        <v>3.84</v>
      </c>
      <c r="I101" s="64">
        <v>14.87</v>
      </c>
      <c r="J101" s="64">
        <v>0.05</v>
      </c>
      <c r="K101" s="64">
        <v>305.26</v>
      </c>
      <c r="L101" s="64">
        <v>25.97</v>
      </c>
      <c r="M101" s="64">
        <v>98.11</v>
      </c>
      <c r="N101" s="64">
        <v>49.7</v>
      </c>
      <c r="O101" s="64">
        <v>0</v>
      </c>
      <c r="P101" s="64">
        <v>0.14000000000000001</v>
      </c>
      <c r="Q101" s="64">
        <v>9.5500000000000007</v>
      </c>
      <c r="R101" s="198"/>
      <c r="S101" s="198"/>
      <c r="T101" s="198"/>
      <c r="U101" s="198"/>
    </row>
    <row r="102" spans="1:33" s="12" customFormat="1" x14ac:dyDescent="0.25">
      <c r="A102" s="214" t="s">
        <v>1971</v>
      </c>
      <c r="B102" s="64">
        <v>28.15</v>
      </c>
      <c r="C102" s="64">
        <v>12.09</v>
      </c>
      <c r="D102" s="64">
        <v>28.89</v>
      </c>
      <c r="E102" s="64">
        <v>5.9</v>
      </c>
      <c r="F102" s="64">
        <v>7.2</v>
      </c>
      <c r="G102" s="64">
        <v>66.5</v>
      </c>
      <c r="H102" s="64">
        <v>8.9600000000000009</v>
      </c>
      <c r="I102" s="64">
        <v>14.37</v>
      </c>
      <c r="J102" s="64">
        <v>0.05</v>
      </c>
      <c r="K102" s="64">
        <v>262.77</v>
      </c>
      <c r="L102" s="64">
        <v>25.97</v>
      </c>
      <c r="M102" s="64">
        <v>98.13</v>
      </c>
      <c r="N102" s="64">
        <v>49.7</v>
      </c>
      <c r="O102" s="64">
        <v>0</v>
      </c>
      <c r="P102" s="64">
        <v>0.18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14" t="s">
        <v>1972</v>
      </c>
      <c r="B103" s="64">
        <v>13.18</v>
      </c>
      <c r="C103" s="64">
        <v>13.32</v>
      </c>
      <c r="D103" s="64">
        <v>17.52</v>
      </c>
      <c r="E103" s="64">
        <v>5.88</v>
      </c>
      <c r="F103" s="64">
        <v>3.96</v>
      </c>
      <c r="G103" s="64">
        <v>66.5</v>
      </c>
      <c r="H103" s="64">
        <v>8.9600000000000009</v>
      </c>
      <c r="I103" s="64">
        <v>13.9</v>
      </c>
      <c r="J103" s="64">
        <v>0.08</v>
      </c>
      <c r="K103" s="64">
        <v>200.55</v>
      </c>
      <c r="L103" s="64">
        <v>25.91</v>
      </c>
      <c r="M103" s="64">
        <v>98.13</v>
      </c>
      <c r="N103" s="64">
        <v>49.5</v>
      </c>
      <c r="O103" s="64">
        <v>0</v>
      </c>
      <c r="P103" s="64">
        <v>0.09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4" t="s">
        <v>1973</v>
      </c>
      <c r="B104" s="64">
        <v>8.61</v>
      </c>
      <c r="C104" s="64">
        <v>13.6</v>
      </c>
      <c r="D104" s="64">
        <v>14.01</v>
      </c>
      <c r="E104" s="64">
        <v>4.5999999999999996</v>
      </c>
      <c r="F104" s="64">
        <v>3.84</v>
      </c>
      <c r="G104" s="64">
        <v>66.5</v>
      </c>
      <c r="H104" s="64">
        <v>8.9600000000000009</v>
      </c>
      <c r="I104" s="64">
        <v>13.4</v>
      </c>
      <c r="J104" s="64">
        <v>0.02</v>
      </c>
      <c r="K104" s="64">
        <v>240.1</v>
      </c>
      <c r="L104" s="64">
        <v>25.77</v>
      </c>
      <c r="M104" s="64">
        <v>98.13</v>
      </c>
      <c r="N104" s="64">
        <v>49.7</v>
      </c>
      <c r="O104" s="64">
        <v>0</v>
      </c>
      <c r="P104" s="64">
        <v>0.03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</v>
      </c>
      <c r="C106" s="67">
        <f>MIN(C9:C104)</f>
        <v>3.6</v>
      </c>
      <c r="D106" s="67">
        <f t="shared" ref="D106:Q106" si="0">MIN(D9:D104)</f>
        <v>4.05</v>
      </c>
      <c r="E106" s="67">
        <f t="shared" si="0"/>
        <v>4.34</v>
      </c>
      <c r="F106" s="67">
        <f t="shared" si="0"/>
        <v>3.11</v>
      </c>
      <c r="G106" s="67">
        <f t="shared" si="0"/>
        <v>13.47</v>
      </c>
      <c r="H106" s="67">
        <f t="shared" si="0"/>
        <v>1.56</v>
      </c>
      <c r="I106" s="67">
        <f t="shared" si="0"/>
        <v>0.72</v>
      </c>
      <c r="J106" s="67">
        <f t="shared" si="0"/>
        <v>0.01</v>
      </c>
      <c r="K106" s="67">
        <f t="shared" si="0"/>
        <v>4.55</v>
      </c>
      <c r="L106" s="67">
        <f t="shared" si="0"/>
        <v>23.21</v>
      </c>
      <c r="M106" s="67">
        <f t="shared" si="0"/>
        <v>73.81</v>
      </c>
      <c r="N106" s="67">
        <f t="shared" si="0"/>
        <v>28.7</v>
      </c>
      <c r="O106" s="67">
        <f t="shared" si="0"/>
        <v>0</v>
      </c>
      <c r="P106" s="67">
        <f t="shared" si="0"/>
        <v>0</v>
      </c>
      <c r="Q106" s="67">
        <f t="shared" si="0"/>
        <v>9.07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38.049999999999997</v>
      </c>
      <c r="C107" s="66">
        <f t="shared" ref="C107:Q107" si="1">MAX(C9:C104)</f>
        <v>22.72</v>
      </c>
      <c r="D107" s="66">
        <f t="shared" si="1"/>
        <v>37.28</v>
      </c>
      <c r="E107" s="66">
        <f t="shared" si="1"/>
        <v>6.12</v>
      </c>
      <c r="F107" s="66">
        <f t="shared" si="1"/>
        <v>14.32</v>
      </c>
      <c r="G107" s="66">
        <f t="shared" si="1"/>
        <v>66.989999999999995</v>
      </c>
      <c r="H107" s="66">
        <f t="shared" si="1"/>
        <v>42.73</v>
      </c>
      <c r="I107" s="66">
        <f t="shared" si="1"/>
        <v>156.94</v>
      </c>
      <c r="J107" s="66">
        <f t="shared" si="1"/>
        <v>0.56000000000000005</v>
      </c>
      <c r="K107" s="66">
        <f t="shared" si="1"/>
        <v>348.62</v>
      </c>
      <c r="L107" s="66">
        <f t="shared" si="1"/>
        <v>31.64</v>
      </c>
      <c r="M107" s="66">
        <f t="shared" si="1"/>
        <v>98.5</v>
      </c>
      <c r="N107" s="66">
        <f t="shared" si="1"/>
        <v>965.7</v>
      </c>
      <c r="O107" s="66">
        <f t="shared" si="1"/>
        <v>0</v>
      </c>
      <c r="P107" s="66">
        <f t="shared" si="1"/>
        <v>13.25</v>
      </c>
      <c r="Q107" s="66">
        <f t="shared" si="1"/>
        <v>9.56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9.3153124999999992</v>
      </c>
      <c r="C108" s="67">
        <f t="shared" ref="C108:Q108" si="2">AVERAGE(C9:C104)</f>
        <v>10.605625000000002</v>
      </c>
      <c r="D108" s="67">
        <f t="shared" si="2"/>
        <v>13.010208333333333</v>
      </c>
      <c r="E108" s="67">
        <f t="shared" si="2"/>
        <v>5.2528125000000028</v>
      </c>
      <c r="F108" s="67">
        <f t="shared" si="2"/>
        <v>7.1155208333333357</v>
      </c>
      <c r="G108" s="67">
        <f t="shared" si="2"/>
        <v>37.960109890109877</v>
      </c>
      <c r="H108" s="67">
        <f t="shared" si="2"/>
        <v>8.3467032967032981</v>
      </c>
      <c r="I108" s="67">
        <f t="shared" si="2"/>
        <v>20.930520833333336</v>
      </c>
      <c r="J108" s="67">
        <f t="shared" si="2"/>
        <v>9.9583333333333343E-2</v>
      </c>
      <c r="K108" s="67">
        <f t="shared" si="2"/>
        <v>216.6469791666666</v>
      </c>
      <c r="L108" s="67">
        <f t="shared" si="2"/>
        <v>27.21479166666666</v>
      </c>
      <c r="M108" s="67">
        <f t="shared" si="2"/>
        <v>91.054687500000014</v>
      </c>
      <c r="N108" s="67">
        <f t="shared" si="2"/>
        <v>219.95416666666668</v>
      </c>
      <c r="O108" s="67">
        <f t="shared" si="2"/>
        <v>0</v>
      </c>
      <c r="P108" s="67">
        <f t="shared" si="2"/>
        <v>0.89562500000000034</v>
      </c>
      <c r="Q108" s="67">
        <f t="shared" si="2"/>
        <v>9.2815625000000015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6.7294022496918613</v>
      </c>
      <c r="C109" s="67">
        <f t="shared" ref="C109:Q109" si="3">STDEV(C9:C104)</f>
        <v>5.1366894545642463</v>
      </c>
      <c r="D109" s="67">
        <f t="shared" si="3"/>
        <v>7.1679466309054476</v>
      </c>
      <c r="E109" s="67">
        <f t="shared" si="3"/>
        <v>0.44002082038060547</v>
      </c>
      <c r="F109" s="67">
        <f t="shared" si="3"/>
        <v>2.6644438028430519</v>
      </c>
      <c r="G109" s="67">
        <f t="shared" si="3"/>
        <v>16.852796107900229</v>
      </c>
      <c r="H109" s="67">
        <f t="shared" si="3"/>
        <v>8.4374407724597837</v>
      </c>
      <c r="I109" s="67">
        <f t="shared" si="3"/>
        <v>33.860552716283181</v>
      </c>
      <c r="J109" s="67">
        <f t="shared" si="3"/>
        <v>8.9535840123755261E-2</v>
      </c>
      <c r="K109" s="67">
        <f t="shared" si="3"/>
        <v>80.46871580564779</v>
      </c>
      <c r="L109" s="67">
        <f t="shared" si="3"/>
        <v>2.7467580811095007</v>
      </c>
      <c r="M109" s="67">
        <f t="shared" si="3"/>
        <v>9.0708083494163887</v>
      </c>
      <c r="N109" s="67">
        <f t="shared" si="3"/>
        <v>285.57548469037107</v>
      </c>
      <c r="O109" s="67">
        <f t="shared" si="3"/>
        <v>0</v>
      </c>
      <c r="P109" s="67">
        <f t="shared" si="3"/>
        <v>2.1439318589426932</v>
      </c>
      <c r="Q109" s="67">
        <f t="shared" si="3"/>
        <v>0.14890002385917608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COUNT(G9:G104)+5</f>
        <v>96</v>
      </c>
      <c r="H110" s="66">
        <f>COUNT(H9:H104)+5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1974</v>
      </c>
      <c r="B9" s="64">
        <v>9.42</v>
      </c>
      <c r="C9" s="64">
        <v>13.6</v>
      </c>
      <c r="D9" s="64">
        <v>14.11</v>
      </c>
      <c r="E9" s="64">
        <v>4.5999999999999996</v>
      </c>
      <c r="F9" s="64">
        <v>5.3</v>
      </c>
      <c r="G9" s="64">
        <v>66.430000000000007</v>
      </c>
      <c r="H9" s="64">
        <v>8.9600000000000009</v>
      </c>
      <c r="I9" s="64">
        <v>13.4</v>
      </c>
      <c r="J9" s="64">
        <v>0.06</v>
      </c>
      <c r="K9" s="64">
        <v>326.05</v>
      </c>
      <c r="L9" s="64">
        <v>25.6</v>
      </c>
      <c r="M9" s="64">
        <v>98.16</v>
      </c>
      <c r="N9" s="64">
        <v>49.7</v>
      </c>
      <c r="O9" s="64">
        <v>0</v>
      </c>
      <c r="P9" s="64">
        <v>0.12</v>
      </c>
      <c r="Q9" s="64">
        <v>9.5500000000000007</v>
      </c>
      <c r="R9" s="198"/>
      <c r="S9" s="198"/>
      <c r="T9" s="198"/>
      <c r="U9" s="198"/>
    </row>
    <row r="10" spans="1:21" s="12" customFormat="1" x14ac:dyDescent="0.25">
      <c r="A10" s="214" t="s">
        <v>1975</v>
      </c>
      <c r="B10" s="64">
        <v>10.14</v>
      </c>
      <c r="C10" s="64">
        <v>12.54</v>
      </c>
      <c r="D10" s="64">
        <v>15.34</v>
      </c>
      <c r="E10" s="64">
        <v>4.59</v>
      </c>
      <c r="F10" s="64">
        <v>3.62</v>
      </c>
      <c r="G10" s="64">
        <v>59.98</v>
      </c>
      <c r="H10" s="64">
        <v>8.16</v>
      </c>
      <c r="I10" s="64">
        <v>12.9</v>
      </c>
      <c r="J10" s="64">
        <v>0.05</v>
      </c>
      <c r="K10" s="64">
        <v>222.96</v>
      </c>
      <c r="L10" s="64">
        <v>25.49</v>
      </c>
      <c r="M10" s="64">
        <v>98.15</v>
      </c>
      <c r="N10" s="64">
        <v>49.8</v>
      </c>
      <c r="O10" s="64">
        <v>0</v>
      </c>
      <c r="P10" s="64">
        <v>0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14" t="s">
        <v>1976</v>
      </c>
      <c r="B11" s="64">
        <v>8.76</v>
      </c>
      <c r="C11" s="64">
        <v>13.78</v>
      </c>
      <c r="D11" s="64">
        <v>14.37</v>
      </c>
      <c r="E11" s="64">
        <v>4.5199999999999996</v>
      </c>
      <c r="F11" s="64">
        <v>5.55</v>
      </c>
      <c r="G11" s="64">
        <v>59.98</v>
      </c>
      <c r="H11" s="64">
        <v>8.16</v>
      </c>
      <c r="I11" s="64">
        <v>12.4</v>
      </c>
      <c r="J11" s="64">
        <v>0.08</v>
      </c>
      <c r="K11" s="64">
        <v>236.09</v>
      </c>
      <c r="L11" s="64">
        <v>25.49</v>
      </c>
      <c r="M11" s="64">
        <v>98.13</v>
      </c>
      <c r="N11" s="64">
        <v>49.7</v>
      </c>
      <c r="O11" s="64">
        <v>0</v>
      </c>
      <c r="P11" s="64">
        <v>0.01</v>
      </c>
      <c r="Q11" s="64">
        <v>9.5299999999999994</v>
      </c>
      <c r="R11" s="198"/>
      <c r="S11" s="198"/>
      <c r="T11" s="198"/>
      <c r="U11" s="198"/>
    </row>
    <row r="12" spans="1:21" s="12" customFormat="1" x14ac:dyDescent="0.25">
      <c r="A12" s="214" t="s">
        <v>1977</v>
      </c>
      <c r="B12" s="64">
        <v>9.2200000000000006</v>
      </c>
      <c r="C12" s="64">
        <v>14.07</v>
      </c>
      <c r="D12" s="64">
        <v>12.54</v>
      </c>
      <c r="E12" s="64">
        <v>4.55</v>
      </c>
      <c r="F12" s="64">
        <v>4.68</v>
      </c>
      <c r="G12" s="64">
        <v>59.98</v>
      </c>
      <c r="H12" s="64">
        <v>8.16</v>
      </c>
      <c r="I12" s="64">
        <v>11.98</v>
      </c>
      <c r="J12" s="64">
        <v>0.04</v>
      </c>
      <c r="K12" s="64">
        <v>289.89</v>
      </c>
      <c r="L12" s="64">
        <v>25.64</v>
      </c>
      <c r="M12" s="64">
        <v>97.93</v>
      </c>
      <c r="N12" s="64">
        <v>49.5</v>
      </c>
      <c r="O12" s="64">
        <v>0</v>
      </c>
      <c r="P12" s="64">
        <v>0.23</v>
      </c>
      <c r="Q12" s="64">
        <v>9.5299999999999994</v>
      </c>
      <c r="R12" s="198"/>
      <c r="S12" s="198"/>
      <c r="T12" s="198"/>
      <c r="U12" s="198"/>
    </row>
    <row r="13" spans="1:21" s="12" customFormat="1" x14ac:dyDescent="0.25">
      <c r="A13" s="214" t="s">
        <v>1978</v>
      </c>
      <c r="B13" s="64">
        <v>7.09</v>
      </c>
      <c r="C13" s="64">
        <v>9.85</v>
      </c>
      <c r="D13" s="64">
        <v>10.5</v>
      </c>
      <c r="E13" s="64">
        <v>4.49</v>
      </c>
      <c r="F13" s="64">
        <v>7.22</v>
      </c>
      <c r="G13" s="64">
        <v>59.9</v>
      </c>
      <c r="H13" s="64">
        <v>8.16</v>
      </c>
      <c r="I13" s="64">
        <v>11.56</v>
      </c>
      <c r="J13" s="64">
        <v>0.09</v>
      </c>
      <c r="K13" s="64">
        <v>328.56</v>
      </c>
      <c r="L13" s="64">
        <v>25.65</v>
      </c>
      <c r="M13" s="64">
        <v>97.82</v>
      </c>
      <c r="N13" s="64">
        <v>49.6</v>
      </c>
      <c r="O13" s="64">
        <v>0</v>
      </c>
      <c r="P13" s="64">
        <v>0.23</v>
      </c>
      <c r="Q13" s="64">
        <v>9.51</v>
      </c>
      <c r="R13" s="198"/>
      <c r="S13" s="198"/>
      <c r="T13" s="198"/>
      <c r="U13" s="198"/>
    </row>
    <row r="14" spans="1:21" s="12" customFormat="1" x14ac:dyDescent="0.25">
      <c r="A14" s="214" t="s">
        <v>1979</v>
      </c>
      <c r="B14" s="64">
        <v>6.52</v>
      </c>
      <c r="C14" s="64">
        <v>9.23</v>
      </c>
      <c r="D14" s="64">
        <v>10.53</v>
      </c>
      <c r="E14" s="64">
        <v>4.37</v>
      </c>
      <c r="F14" s="64">
        <v>6.27</v>
      </c>
      <c r="G14" s="64">
        <v>52.36</v>
      </c>
      <c r="H14" s="64">
        <v>6.1</v>
      </c>
      <c r="I14" s="64">
        <v>11.09</v>
      </c>
      <c r="J14" s="64">
        <v>0.02</v>
      </c>
      <c r="K14" s="64">
        <v>29.59</v>
      </c>
      <c r="L14" s="64">
        <v>25.46</v>
      </c>
      <c r="M14" s="64">
        <v>97.86</v>
      </c>
      <c r="N14" s="64">
        <v>49.8</v>
      </c>
      <c r="O14" s="64">
        <v>0</v>
      </c>
      <c r="P14" s="64">
        <v>0.22</v>
      </c>
      <c r="Q14" s="64">
        <v>9.5</v>
      </c>
      <c r="R14" s="198"/>
      <c r="S14" s="198"/>
      <c r="T14" s="198"/>
      <c r="U14" s="198"/>
    </row>
    <row r="15" spans="1:21" s="12" customFormat="1" x14ac:dyDescent="0.25">
      <c r="A15" s="214" t="s">
        <v>1980</v>
      </c>
      <c r="B15" s="64">
        <v>6.08</v>
      </c>
      <c r="C15" s="64">
        <v>10.15</v>
      </c>
      <c r="D15" s="64">
        <v>10.25</v>
      </c>
      <c r="E15" s="64">
        <v>4.37</v>
      </c>
      <c r="F15" s="64">
        <v>5.03</v>
      </c>
      <c r="G15" s="64">
        <v>52.36</v>
      </c>
      <c r="H15" s="64">
        <v>6.1</v>
      </c>
      <c r="I15" s="64">
        <v>10.71</v>
      </c>
      <c r="J15" s="64">
        <v>0.09</v>
      </c>
      <c r="K15" s="64">
        <v>6.17</v>
      </c>
      <c r="L15" s="64">
        <v>25.22</v>
      </c>
      <c r="M15" s="64">
        <v>97.89</v>
      </c>
      <c r="N15" s="64">
        <v>49.9</v>
      </c>
      <c r="O15" s="64">
        <v>0</v>
      </c>
      <c r="P15" s="64">
        <v>0.24</v>
      </c>
      <c r="Q15" s="64">
        <v>9.49</v>
      </c>
      <c r="R15" s="198"/>
      <c r="S15" s="198"/>
      <c r="T15" s="198"/>
      <c r="U15" s="198"/>
    </row>
    <row r="16" spans="1:21" s="12" customFormat="1" x14ac:dyDescent="0.25">
      <c r="A16" s="214" t="s">
        <v>1981</v>
      </c>
      <c r="B16" s="64">
        <v>5.57</v>
      </c>
      <c r="C16" s="64">
        <v>10.28</v>
      </c>
      <c r="D16" s="64">
        <v>9.98</v>
      </c>
      <c r="E16" s="64">
        <v>4.5999999999999996</v>
      </c>
      <c r="F16" s="64">
        <v>6.13</v>
      </c>
      <c r="G16" s="64">
        <v>52.36</v>
      </c>
      <c r="H16" s="64">
        <v>6.1</v>
      </c>
      <c r="I16" s="64">
        <v>9.99</v>
      </c>
      <c r="J16" s="64">
        <v>0.08</v>
      </c>
      <c r="K16" s="64">
        <v>140.38</v>
      </c>
      <c r="L16" s="64">
        <v>25.08</v>
      </c>
      <c r="M16" s="64">
        <v>97.91</v>
      </c>
      <c r="N16" s="64">
        <v>49.9</v>
      </c>
      <c r="O16" s="64">
        <v>0</v>
      </c>
      <c r="P16" s="64">
        <v>0.23</v>
      </c>
      <c r="Q16" s="64">
        <v>9.48</v>
      </c>
      <c r="R16" s="198"/>
      <c r="S16" s="198"/>
      <c r="T16" s="198"/>
      <c r="U16" s="198"/>
    </row>
    <row r="17" spans="1:21" s="12" customFormat="1" x14ac:dyDescent="0.25">
      <c r="A17" s="214" t="s">
        <v>1982</v>
      </c>
      <c r="B17" s="64">
        <v>4.47</v>
      </c>
      <c r="C17" s="64">
        <v>10.56</v>
      </c>
      <c r="D17" s="64">
        <v>9.24</v>
      </c>
      <c r="E17" s="64">
        <v>4.51</v>
      </c>
      <c r="F17" s="64">
        <v>5.51</v>
      </c>
      <c r="G17" s="64">
        <v>52.36</v>
      </c>
      <c r="H17" s="64">
        <v>6.1</v>
      </c>
      <c r="I17" s="64">
        <v>9.6300000000000008</v>
      </c>
      <c r="J17" s="64">
        <v>0.05</v>
      </c>
      <c r="K17" s="64">
        <v>131.16</v>
      </c>
      <c r="L17" s="64">
        <v>25.08</v>
      </c>
      <c r="M17" s="64">
        <v>97.88</v>
      </c>
      <c r="N17" s="64">
        <v>49.7</v>
      </c>
      <c r="O17" s="64">
        <v>0</v>
      </c>
      <c r="P17" s="64">
        <v>0.19</v>
      </c>
      <c r="Q17" s="64">
        <v>9.4600000000000009</v>
      </c>
      <c r="R17" s="198"/>
      <c r="S17" s="198"/>
      <c r="T17" s="198"/>
      <c r="U17" s="198"/>
    </row>
    <row r="18" spans="1:21" s="12" customFormat="1" x14ac:dyDescent="0.25">
      <c r="A18" s="214" t="s">
        <v>1983</v>
      </c>
      <c r="B18" s="64">
        <v>3.77</v>
      </c>
      <c r="C18" s="64">
        <v>10.83</v>
      </c>
      <c r="D18" s="64">
        <v>8.93</v>
      </c>
      <c r="E18" s="64">
        <v>4.5599999999999996</v>
      </c>
      <c r="F18" s="64">
        <v>6.61</v>
      </c>
      <c r="G18" s="64">
        <v>40.61</v>
      </c>
      <c r="H18" s="64">
        <v>4.83</v>
      </c>
      <c r="I18" s="64">
        <v>9.32</v>
      </c>
      <c r="J18" s="64">
        <v>7.0000000000000007E-2</v>
      </c>
      <c r="K18" s="64">
        <v>173.2</v>
      </c>
      <c r="L18" s="64">
        <v>24.94</v>
      </c>
      <c r="M18" s="64">
        <v>97.88</v>
      </c>
      <c r="N18" s="64">
        <v>49.8</v>
      </c>
      <c r="O18" s="64">
        <v>0</v>
      </c>
      <c r="P18" s="64">
        <v>0.17</v>
      </c>
      <c r="Q18" s="64">
        <v>9.4600000000000009</v>
      </c>
      <c r="R18" s="198"/>
      <c r="S18" s="198"/>
      <c r="T18" s="198"/>
      <c r="U18" s="198"/>
    </row>
    <row r="19" spans="1:21" s="12" customFormat="1" x14ac:dyDescent="0.25">
      <c r="A19" s="214" t="s">
        <v>1984</v>
      </c>
      <c r="B19" s="64">
        <v>3.55</v>
      </c>
      <c r="C19" s="64">
        <v>11.3</v>
      </c>
      <c r="D19" s="64">
        <v>8.3699999999999992</v>
      </c>
      <c r="E19" s="64">
        <v>4.93</v>
      </c>
      <c r="F19" s="64">
        <v>6.63</v>
      </c>
      <c r="G19" s="64">
        <v>40.61</v>
      </c>
      <c r="H19" s="64">
        <v>4.83</v>
      </c>
      <c r="I19" s="64">
        <v>9.07</v>
      </c>
      <c r="J19" s="64">
        <v>0.02</v>
      </c>
      <c r="K19" s="64">
        <v>328.77</v>
      </c>
      <c r="L19" s="64">
        <v>24.9</v>
      </c>
      <c r="M19" s="64">
        <v>97.89</v>
      </c>
      <c r="N19" s="64">
        <v>49.8</v>
      </c>
      <c r="O19" s="64">
        <v>0</v>
      </c>
      <c r="P19" s="64">
        <v>0.17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4" t="s">
        <v>1985</v>
      </c>
      <c r="B20" s="64">
        <v>3.29</v>
      </c>
      <c r="C20" s="64">
        <v>10.58</v>
      </c>
      <c r="D20" s="64">
        <v>7.91</v>
      </c>
      <c r="E20" s="64">
        <v>4.49</v>
      </c>
      <c r="F20" s="64">
        <v>5.53</v>
      </c>
      <c r="G20" s="64">
        <v>40.61</v>
      </c>
      <c r="H20" s="64">
        <v>4.83</v>
      </c>
      <c r="I20" s="64">
        <v>8.81</v>
      </c>
      <c r="J20" s="64">
        <v>7.0000000000000007E-2</v>
      </c>
      <c r="K20" s="64">
        <v>165.16</v>
      </c>
      <c r="L20" s="64">
        <v>24.87</v>
      </c>
      <c r="M20" s="64">
        <v>97.91</v>
      </c>
      <c r="N20" s="64">
        <v>49.9</v>
      </c>
      <c r="O20" s="64">
        <v>0</v>
      </c>
      <c r="P20" s="64">
        <v>0.17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4" t="s">
        <v>1986</v>
      </c>
      <c r="B21" s="64">
        <v>3.47</v>
      </c>
      <c r="C21" s="64">
        <v>10.09</v>
      </c>
      <c r="D21" s="64">
        <v>8.5</v>
      </c>
      <c r="E21" s="64">
        <v>4.43</v>
      </c>
      <c r="F21" s="64">
        <v>5.49</v>
      </c>
      <c r="G21" s="64">
        <v>40.54</v>
      </c>
      <c r="H21" s="64">
        <v>4.83</v>
      </c>
      <c r="I21" s="64">
        <v>8.5299999999999994</v>
      </c>
      <c r="J21" s="64">
        <v>0</v>
      </c>
      <c r="K21" s="64">
        <v>183.12</v>
      </c>
      <c r="L21" s="64">
        <v>24.78</v>
      </c>
      <c r="M21" s="64">
        <v>97.95</v>
      </c>
      <c r="N21" s="64">
        <v>49.8</v>
      </c>
      <c r="O21" s="64">
        <v>0</v>
      </c>
      <c r="P21" s="64">
        <v>0.17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14" t="s">
        <v>1987</v>
      </c>
      <c r="B22" s="64">
        <v>3.33</v>
      </c>
      <c r="C22" s="64">
        <v>10.94</v>
      </c>
      <c r="D22" s="64">
        <v>9.07</v>
      </c>
      <c r="E22" s="64">
        <v>4.59</v>
      </c>
      <c r="F22" s="64">
        <v>4.4800000000000004</v>
      </c>
      <c r="G22" s="64">
        <v>33.93</v>
      </c>
      <c r="H22" s="64">
        <v>4.8499999999999996</v>
      </c>
      <c r="I22" s="64">
        <v>8.27</v>
      </c>
      <c r="J22" s="64">
        <v>0.11</v>
      </c>
      <c r="K22" s="64">
        <v>313.77</v>
      </c>
      <c r="L22" s="64">
        <v>24.7</v>
      </c>
      <c r="M22" s="64">
        <v>97.97</v>
      </c>
      <c r="N22" s="64">
        <v>49.8</v>
      </c>
      <c r="O22" s="64">
        <v>0</v>
      </c>
      <c r="P22" s="64">
        <v>0.21</v>
      </c>
      <c r="Q22" s="64">
        <v>9.43</v>
      </c>
      <c r="R22" s="198"/>
      <c r="S22" s="198"/>
      <c r="T22" s="198"/>
      <c r="U22" s="198"/>
    </row>
    <row r="23" spans="1:21" s="12" customFormat="1" x14ac:dyDescent="0.25">
      <c r="A23" s="214" t="s">
        <v>1988</v>
      </c>
      <c r="B23" s="64">
        <v>2.75</v>
      </c>
      <c r="C23" s="64">
        <v>12.25</v>
      </c>
      <c r="D23" s="64">
        <v>8.16</v>
      </c>
      <c r="E23" s="64">
        <v>4.25</v>
      </c>
      <c r="F23" s="64">
        <v>4.13</v>
      </c>
      <c r="G23" s="64">
        <v>33.93</v>
      </c>
      <c r="H23" s="64">
        <v>4.8499999999999996</v>
      </c>
      <c r="I23" s="64">
        <v>8.0500000000000007</v>
      </c>
      <c r="J23" s="64">
        <v>0.08</v>
      </c>
      <c r="K23" s="64">
        <v>234.48</v>
      </c>
      <c r="L23" s="64">
        <v>24.59</v>
      </c>
      <c r="M23" s="64">
        <v>97.99</v>
      </c>
      <c r="N23" s="64">
        <v>49.8</v>
      </c>
      <c r="O23" s="64">
        <v>0</v>
      </c>
      <c r="P23" s="64">
        <v>0.21</v>
      </c>
      <c r="Q23" s="64">
        <v>9.41</v>
      </c>
      <c r="R23" s="198"/>
      <c r="S23" s="198"/>
      <c r="T23" s="198"/>
      <c r="U23" s="198"/>
    </row>
    <row r="24" spans="1:21" s="12" customFormat="1" x14ac:dyDescent="0.25">
      <c r="A24" s="214" t="s">
        <v>1989</v>
      </c>
      <c r="B24" s="64">
        <v>3.41</v>
      </c>
      <c r="C24" s="64">
        <v>11.38</v>
      </c>
      <c r="D24" s="64">
        <v>8.68</v>
      </c>
      <c r="E24" s="64">
        <v>4.4400000000000004</v>
      </c>
      <c r="F24" s="64">
        <v>3.98</v>
      </c>
      <c r="G24" s="64">
        <v>33.93</v>
      </c>
      <c r="H24" s="64">
        <v>4.8499999999999996</v>
      </c>
      <c r="I24" s="64">
        <v>7.83</v>
      </c>
      <c r="J24" s="64">
        <v>0.11</v>
      </c>
      <c r="K24" s="64">
        <v>328.76</v>
      </c>
      <c r="L24" s="64">
        <v>24.49</v>
      </c>
      <c r="M24" s="64">
        <v>98.03</v>
      </c>
      <c r="N24" s="64">
        <v>49.8</v>
      </c>
      <c r="O24" s="64">
        <v>0</v>
      </c>
      <c r="P24" s="64">
        <v>0.28000000000000003</v>
      </c>
      <c r="Q24" s="64">
        <v>9.42</v>
      </c>
      <c r="R24" s="198"/>
      <c r="S24" s="198"/>
      <c r="T24" s="198"/>
      <c r="U24" s="198"/>
    </row>
    <row r="25" spans="1:21" s="12" customFormat="1" x14ac:dyDescent="0.25">
      <c r="A25" s="214" t="s">
        <v>1990</v>
      </c>
      <c r="B25" s="64">
        <v>6.37</v>
      </c>
      <c r="C25" s="64">
        <v>11.39</v>
      </c>
      <c r="D25" s="64">
        <v>11.58</v>
      </c>
      <c r="E25" s="64">
        <v>4.4400000000000004</v>
      </c>
      <c r="F25" s="64">
        <v>3.4</v>
      </c>
      <c r="G25" s="64">
        <v>33.950000000000003</v>
      </c>
      <c r="H25" s="64">
        <v>4.8499999999999996</v>
      </c>
      <c r="I25" s="64">
        <v>7.59</v>
      </c>
      <c r="J25" s="64">
        <v>0.08</v>
      </c>
      <c r="K25" s="64">
        <v>304.17</v>
      </c>
      <c r="L25" s="64">
        <v>24.38</v>
      </c>
      <c r="M25" s="64">
        <v>98.03</v>
      </c>
      <c r="N25" s="64">
        <v>49.8</v>
      </c>
      <c r="O25" s="64">
        <v>0</v>
      </c>
      <c r="P25" s="64">
        <v>0.26</v>
      </c>
      <c r="Q25" s="64">
        <v>9.4</v>
      </c>
      <c r="R25" s="198"/>
      <c r="S25" s="198"/>
      <c r="T25" s="198"/>
      <c r="U25" s="198"/>
    </row>
    <row r="26" spans="1:21" s="12" customFormat="1" x14ac:dyDescent="0.25">
      <c r="A26" s="214" t="s">
        <v>1991</v>
      </c>
      <c r="B26" s="64">
        <v>3.66</v>
      </c>
      <c r="C26" s="64">
        <v>12.39</v>
      </c>
      <c r="D26" s="64">
        <v>8.99</v>
      </c>
      <c r="E26" s="64">
        <v>4.6500000000000004</v>
      </c>
      <c r="F26" s="64">
        <v>6.5</v>
      </c>
      <c r="G26" s="64">
        <v>36.06</v>
      </c>
      <c r="H26" s="64">
        <v>3.45</v>
      </c>
      <c r="I26" s="64">
        <v>7.36</v>
      </c>
      <c r="J26" s="64">
        <v>7.0000000000000007E-2</v>
      </c>
      <c r="K26" s="64">
        <v>220.65</v>
      </c>
      <c r="L26" s="64">
        <v>24.33</v>
      </c>
      <c r="M26" s="64">
        <v>98.04</v>
      </c>
      <c r="N26" s="64">
        <v>49.7</v>
      </c>
      <c r="O26" s="64">
        <v>0</v>
      </c>
      <c r="P26" s="64">
        <v>0.28000000000000003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4" t="s">
        <v>1992</v>
      </c>
      <c r="B27" s="64">
        <v>6.29</v>
      </c>
      <c r="C27" s="64">
        <v>11.6</v>
      </c>
      <c r="D27" s="64">
        <v>11.27</v>
      </c>
      <c r="E27" s="64">
        <v>4.2699999999999996</v>
      </c>
      <c r="F27" s="64">
        <v>6.21</v>
      </c>
      <c r="G27" s="64">
        <v>36.06</v>
      </c>
      <c r="H27" s="64">
        <v>3.45</v>
      </c>
      <c r="I27" s="64">
        <v>7.16</v>
      </c>
      <c r="J27" s="64">
        <v>0.05</v>
      </c>
      <c r="K27" s="64">
        <v>329</v>
      </c>
      <c r="L27" s="64">
        <v>24.28</v>
      </c>
      <c r="M27" s="64">
        <v>98.04</v>
      </c>
      <c r="N27" s="64">
        <v>49.8</v>
      </c>
      <c r="O27" s="64">
        <v>0</v>
      </c>
      <c r="P27" s="64">
        <v>0.49</v>
      </c>
      <c r="Q27" s="64">
        <v>9.39</v>
      </c>
      <c r="R27" s="198"/>
      <c r="S27" s="198"/>
      <c r="T27" s="198"/>
      <c r="U27" s="198"/>
    </row>
    <row r="28" spans="1:21" s="12" customFormat="1" x14ac:dyDescent="0.25">
      <c r="A28" s="214" t="s">
        <v>1993</v>
      </c>
      <c r="B28" s="64">
        <v>5.04</v>
      </c>
      <c r="C28" s="64">
        <v>11.92</v>
      </c>
      <c r="D28" s="64">
        <v>10.33</v>
      </c>
      <c r="E28" s="64">
        <v>4.4400000000000004</v>
      </c>
      <c r="F28" s="64">
        <v>5.8</v>
      </c>
      <c r="G28" s="64">
        <v>36.06</v>
      </c>
      <c r="H28" s="64">
        <v>3.45</v>
      </c>
      <c r="I28" s="64">
        <v>6.95</v>
      </c>
      <c r="J28" s="64">
        <v>7.0000000000000007E-2</v>
      </c>
      <c r="K28" s="64">
        <v>328.5</v>
      </c>
      <c r="L28" s="64">
        <v>24.26</v>
      </c>
      <c r="M28" s="64">
        <v>98.04</v>
      </c>
      <c r="N28" s="64">
        <v>49.8</v>
      </c>
      <c r="O28" s="64">
        <v>0</v>
      </c>
      <c r="P28" s="64">
        <v>0.34</v>
      </c>
      <c r="Q28" s="64">
        <v>9.39</v>
      </c>
      <c r="R28" s="198"/>
      <c r="S28" s="198"/>
      <c r="T28" s="198"/>
      <c r="U28" s="198"/>
    </row>
    <row r="29" spans="1:21" s="12" customFormat="1" x14ac:dyDescent="0.25">
      <c r="A29" s="214" t="s">
        <v>1994</v>
      </c>
      <c r="B29" s="64">
        <v>3.44</v>
      </c>
      <c r="C29" s="64">
        <v>12.02</v>
      </c>
      <c r="D29" s="64">
        <v>8.7100000000000009</v>
      </c>
      <c r="E29" s="64">
        <v>4.21</v>
      </c>
      <c r="F29" s="64">
        <v>5.59</v>
      </c>
      <c r="G29" s="64">
        <v>36.17</v>
      </c>
      <c r="H29" s="64">
        <v>3.45</v>
      </c>
      <c r="I29" s="64">
        <v>6.77</v>
      </c>
      <c r="J29" s="64">
        <v>0.05</v>
      </c>
      <c r="K29" s="64">
        <v>14.31</v>
      </c>
      <c r="L29" s="64">
        <v>24.35</v>
      </c>
      <c r="M29" s="64">
        <v>98.05</v>
      </c>
      <c r="N29" s="64">
        <v>49.8</v>
      </c>
      <c r="O29" s="64">
        <v>0</v>
      </c>
      <c r="P29" s="64">
        <v>0.47</v>
      </c>
      <c r="Q29" s="64">
        <v>9.39</v>
      </c>
      <c r="R29" s="198"/>
      <c r="S29" s="198"/>
      <c r="T29" s="198"/>
      <c r="U29" s="198"/>
    </row>
    <row r="30" spans="1:21" s="12" customFormat="1" x14ac:dyDescent="0.25">
      <c r="A30" s="214" t="s">
        <v>1995</v>
      </c>
      <c r="B30" s="64">
        <v>3.28</v>
      </c>
      <c r="C30" s="64">
        <v>11.38</v>
      </c>
      <c r="D30" s="64">
        <v>8.66</v>
      </c>
      <c r="E30" s="64">
        <v>4.49</v>
      </c>
      <c r="F30" s="64">
        <v>5.38</v>
      </c>
      <c r="G30" s="64">
        <v>45.82</v>
      </c>
      <c r="H30" s="64">
        <v>2.41</v>
      </c>
      <c r="I30" s="64">
        <v>6.61</v>
      </c>
      <c r="J30" s="64">
        <v>0.03</v>
      </c>
      <c r="K30" s="64">
        <v>77.14</v>
      </c>
      <c r="L30" s="64">
        <v>24.32</v>
      </c>
      <c r="M30" s="64">
        <v>98.05</v>
      </c>
      <c r="N30" s="64">
        <v>49.8</v>
      </c>
      <c r="O30" s="64">
        <v>0</v>
      </c>
      <c r="P30" s="64">
        <v>0.31</v>
      </c>
      <c r="Q30" s="64">
        <v>9.39</v>
      </c>
      <c r="R30" s="198"/>
      <c r="S30" s="198"/>
      <c r="T30" s="198"/>
      <c r="U30" s="198"/>
    </row>
    <row r="31" spans="1:21" s="12" customFormat="1" x14ac:dyDescent="0.25">
      <c r="A31" s="214" t="s">
        <v>1996</v>
      </c>
      <c r="B31" s="64">
        <v>4.51</v>
      </c>
      <c r="C31" s="64">
        <v>11.55</v>
      </c>
      <c r="D31" s="64">
        <v>10.050000000000001</v>
      </c>
      <c r="E31" s="64">
        <v>4.43</v>
      </c>
      <c r="F31" s="64">
        <v>3.06</v>
      </c>
      <c r="G31" s="64">
        <v>45.82</v>
      </c>
      <c r="H31" s="64">
        <v>2.41</v>
      </c>
      <c r="I31" s="64">
        <v>6.47</v>
      </c>
      <c r="J31" s="64">
        <v>0.09</v>
      </c>
      <c r="K31" s="64">
        <v>331.2</v>
      </c>
      <c r="L31" s="64">
        <v>24.32</v>
      </c>
      <c r="M31" s="64">
        <v>98.05</v>
      </c>
      <c r="N31" s="64">
        <v>50.8</v>
      </c>
      <c r="O31" s="64">
        <v>0</v>
      </c>
      <c r="P31" s="64">
        <v>0.44</v>
      </c>
      <c r="Q31" s="64">
        <v>9.4</v>
      </c>
      <c r="R31" s="198"/>
      <c r="S31" s="198"/>
      <c r="T31" s="198"/>
      <c r="U31" s="198"/>
    </row>
    <row r="32" spans="1:21" s="12" customFormat="1" x14ac:dyDescent="0.25">
      <c r="A32" s="214" t="s">
        <v>1997</v>
      </c>
      <c r="B32" s="64">
        <v>6.22</v>
      </c>
      <c r="C32" s="64">
        <v>12.3</v>
      </c>
      <c r="D32" s="64">
        <v>11.59</v>
      </c>
      <c r="E32" s="64">
        <v>4.3899999999999997</v>
      </c>
      <c r="F32" s="64">
        <v>2.58</v>
      </c>
      <c r="G32" s="64">
        <v>45.82</v>
      </c>
      <c r="H32" s="64">
        <v>2.41</v>
      </c>
      <c r="I32" s="64">
        <v>6.31</v>
      </c>
      <c r="J32" s="64">
        <v>0.01</v>
      </c>
      <c r="K32" s="64">
        <v>322.94</v>
      </c>
      <c r="L32" s="64">
        <v>24.3</v>
      </c>
      <c r="M32" s="64">
        <v>97.47</v>
      </c>
      <c r="N32" s="64">
        <v>56.9</v>
      </c>
      <c r="O32" s="64">
        <v>0</v>
      </c>
      <c r="P32" s="64">
        <v>0.49</v>
      </c>
      <c r="Q32" s="64">
        <v>9.4</v>
      </c>
      <c r="R32" s="198"/>
      <c r="S32" s="198"/>
      <c r="T32" s="198"/>
      <c r="U32" s="198"/>
    </row>
    <row r="33" spans="1:21" s="12" customFormat="1" x14ac:dyDescent="0.25">
      <c r="A33" s="214" t="s">
        <v>1998</v>
      </c>
      <c r="B33" s="64">
        <v>8.8800000000000008</v>
      </c>
      <c r="C33" s="64">
        <v>12.63</v>
      </c>
      <c r="D33" s="64">
        <v>13.99</v>
      </c>
      <c r="E33" s="64">
        <v>4.3</v>
      </c>
      <c r="F33" s="64">
        <v>3.02</v>
      </c>
      <c r="G33" s="64">
        <v>45.87</v>
      </c>
      <c r="H33" s="64">
        <v>2.41</v>
      </c>
      <c r="I33" s="64">
        <v>6.15</v>
      </c>
      <c r="J33" s="64">
        <v>0.08</v>
      </c>
      <c r="K33" s="64">
        <v>334.31</v>
      </c>
      <c r="L33" s="64">
        <v>24.41</v>
      </c>
      <c r="M33" s="64">
        <v>97.97</v>
      </c>
      <c r="N33" s="64">
        <v>74.599999999999994</v>
      </c>
      <c r="O33" s="64">
        <v>0</v>
      </c>
      <c r="P33" s="64">
        <v>0.61</v>
      </c>
      <c r="Q33" s="64">
        <v>9.41</v>
      </c>
      <c r="R33" s="198"/>
      <c r="S33" s="198"/>
      <c r="T33" s="198"/>
      <c r="U33" s="198"/>
    </row>
    <row r="34" spans="1:21" s="12" customFormat="1" x14ac:dyDescent="0.25">
      <c r="A34" s="214" t="s">
        <v>1999</v>
      </c>
      <c r="B34" s="64">
        <v>5.65</v>
      </c>
      <c r="C34" s="64">
        <v>13.15</v>
      </c>
      <c r="D34" s="64">
        <v>10.66</v>
      </c>
      <c r="E34" s="64">
        <v>4.63</v>
      </c>
      <c r="F34" s="64">
        <v>4.32</v>
      </c>
      <c r="G34" s="64">
        <v>50.03</v>
      </c>
      <c r="H34" s="64">
        <v>1.74</v>
      </c>
      <c r="I34" s="64">
        <v>6.01</v>
      </c>
      <c r="J34" s="64">
        <v>7.0000000000000007E-2</v>
      </c>
      <c r="K34" s="64">
        <v>334.75</v>
      </c>
      <c r="L34" s="64">
        <v>24.99</v>
      </c>
      <c r="M34" s="64">
        <v>97.53</v>
      </c>
      <c r="N34" s="64">
        <v>83.1</v>
      </c>
      <c r="O34" s="64">
        <v>0</v>
      </c>
      <c r="P34" s="64">
        <v>0.51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4" t="s">
        <v>2000</v>
      </c>
      <c r="B35" s="64">
        <v>5.93</v>
      </c>
      <c r="C35" s="64">
        <v>11.73</v>
      </c>
      <c r="D35" s="64">
        <v>10.96</v>
      </c>
      <c r="E35" s="64">
        <v>4.22</v>
      </c>
      <c r="F35" s="64">
        <v>2.95</v>
      </c>
      <c r="G35" s="64">
        <v>50.03</v>
      </c>
      <c r="H35" s="64">
        <v>1.74</v>
      </c>
      <c r="I35" s="64">
        <v>5.91</v>
      </c>
      <c r="J35" s="64">
        <v>0.06</v>
      </c>
      <c r="K35" s="64">
        <v>327.08999999999997</v>
      </c>
      <c r="L35" s="64">
        <v>25.3</v>
      </c>
      <c r="M35" s="64">
        <v>97.42</v>
      </c>
      <c r="N35" s="64">
        <v>83.1</v>
      </c>
      <c r="O35" s="64">
        <v>0</v>
      </c>
      <c r="P35" s="64">
        <v>0.56000000000000005</v>
      </c>
      <c r="Q35" s="64">
        <v>9.4600000000000009</v>
      </c>
      <c r="R35" s="198"/>
      <c r="S35" s="198"/>
      <c r="T35" s="198"/>
      <c r="U35" s="198"/>
    </row>
    <row r="36" spans="1:21" s="12" customFormat="1" x14ac:dyDescent="0.25">
      <c r="A36" s="214" t="s">
        <v>2001</v>
      </c>
      <c r="B36" s="64">
        <v>7.11</v>
      </c>
      <c r="C36" s="64">
        <v>11.88</v>
      </c>
      <c r="D36" s="64">
        <v>12.05</v>
      </c>
      <c r="E36" s="64">
        <v>4.1900000000000004</v>
      </c>
      <c r="F36" s="64">
        <v>4.22</v>
      </c>
      <c r="G36" s="64">
        <v>50.03</v>
      </c>
      <c r="H36" s="64">
        <v>1.74</v>
      </c>
      <c r="I36" s="64">
        <v>5.82</v>
      </c>
      <c r="J36" s="64">
        <v>0.12</v>
      </c>
      <c r="K36" s="64">
        <v>318.89</v>
      </c>
      <c r="L36" s="64">
        <v>25.67</v>
      </c>
      <c r="M36" s="64">
        <v>97.41</v>
      </c>
      <c r="N36" s="64">
        <v>111.8</v>
      </c>
      <c r="O36" s="64">
        <v>0</v>
      </c>
      <c r="P36" s="64">
        <v>0.71</v>
      </c>
      <c r="Q36" s="64">
        <v>9.49</v>
      </c>
      <c r="R36" s="198"/>
      <c r="S36" s="198"/>
      <c r="T36" s="198"/>
      <c r="U36" s="198"/>
    </row>
    <row r="37" spans="1:21" s="12" customFormat="1" x14ac:dyDescent="0.25">
      <c r="A37" s="214" t="s">
        <v>2002</v>
      </c>
      <c r="B37" s="64">
        <v>8.2899999999999991</v>
      </c>
      <c r="C37" s="64">
        <v>12.15</v>
      </c>
      <c r="D37" s="64">
        <v>13.15</v>
      </c>
      <c r="E37" s="64">
        <v>4.3099999999999996</v>
      </c>
      <c r="F37" s="64">
        <v>4.04</v>
      </c>
      <c r="G37" s="64">
        <v>50.23</v>
      </c>
      <c r="H37" s="64">
        <v>1.74</v>
      </c>
      <c r="I37" s="64">
        <v>5.73</v>
      </c>
      <c r="J37" s="64">
        <v>0.15</v>
      </c>
      <c r="K37" s="64">
        <v>308.22000000000003</v>
      </c>
      <c r="L37" s="64">
        <v>26.66</v>
      </c>
      <c r="M37" s="64">
        <v>97.76</v>
      </c>
      <c r="N37" s="64">
        <v>258.3</v>
      </c>
      <c r="O37" s="64">
        <v>0</v>
      </c>
      <c r="P37" s="64">
        <v>0.7</v>
      </c>
      <c r="Q37" s="64">
        <v>9.52</v>
      </c>
      <c r="R37" s="198"/>
      <c r="S37" s="198"/>
      <c r="T37" s="198"/>
      <c r="U37" s="198"/>
    </row>
    <row r="38" spans="1:21" s="12" customFormat="1" x14ac:dyDescent="0.25">
      <c r="A38" s="214" t="s">
        <v>2003</v>
      </c>
      <c r="B38" s="64">
        <v>6.12</v>
      </c>
      <c r="C38" s="64">
        <v>12.44</v>
      </c>
      <c r="D38" s="64">
        <v>10.69</v>
      </c>
      <c r="E38" s="64">
        <v>4.62</v>
      </c>
      <c r="F38" s="64">
        <v>7.71</v>
      </c>
      <c r="G38" s="64">
        <v>67.290000000000006</v>
      </c>
      <c r="H38" s="64">
        <v>4.29</v>
      </c>
      <c r="I38" s="64">
        <v>5.67</v>
      </c>
      <c r="J38" s="64">
        <v>0.25</v>
      </c>
      <c r="K38" s="64">
        <v>329.21</v>
      </c>
      <c r="L38" s="64">
        <v>28.25</v>
      </c>
      <c r="M38" s="64">
        <v>97.42</v>
      </c>
      <c r="N38" s="64">
        <v>194.5</v>
      </c>
      <c r="O38" s="64">
        <v>0</v>
      </c>
      <c r="P38" s="64">
        <v>0.64</v>
      </c>
      <c r="Q38" s="64">
        <v>9.5500000000000007</v>
      </c>
      <c r="R38" s="198"/>
      <c r="S38" s="198"/>
      <c r="T38" s="198"/>
      <c r="U38" s="198"/>
    </row>
    <row r="39" spans="1:21" s="12" customFormat="1" x14ac:dyDescent="0.25">
      <c r="A39" s="214" t="s">
        <v>2004</v>
      </c>
      <c r="B39" s="64">
        <v>5.0599999999999996</v>
      </c>
      <c r="C39" s="64">
        <v>11.07</v>
      </c>
      <c r="D39" s="64">
        <v>9.41</v>
      </c>
      <c r="E39" s="64">
        <v>4.59</v>
      </c>
      <c r="F39" s="64">
        <v>6.41</v>
      </c>
      <c r="G39" s="64">
        <v>67.290000000000006</v>
      </c>
      <c r="H39" s="64">
        <v>4.29</v>
      </c>
      <c r="I39" s="64">
        <v>5.62</v>
      </c>
      <c r="J39" s="64">
        <v>0.17</v>
      </c>
      <c r="K39" s="64">
        <v>331.04</v>
      </c>
      <c r="L39" s="64">
        <v>28.13</v>
      </c>
      <c r="M39" s="64">
        <v>97.26</v>
      </c>
      <c r="N39" s="64">
        <v>180.8</v>
      </c>
      <c r="O39" s="64">
        <v>0</v>
      </c>
      <c r="P39" s="64">
        <v>0.7</v>
      </c>
      <c r="Q39" s="64">
        <v>9.58</v>
      </c>
      <c r="R39" s="198"/>
      <c r="S39" s="198"/>
      <c r="T39" s="198"/>
      <c r="U39" s="198"/>
    </row>
    <row r="40" spans="1:21" s="12" customFormat="1" x14ac:dyDescent="0.25">
      <c r="A40" s="214" t="s">
        <v>2005</v>
      </c>
      <c r="B40" s="64">
        <v>3.89</v>
      </c>
      <c r="C40" s="64">
        <v>10.25</v>
      </c>
      <c r="D40" s="64">
        <v>8.32</v>
      </c>
      <c r="E40" s="64">
        <v>4.8099999999999996</v>
      </c>
      <c r="F40" s="64">
        <v>4.97</v>
      </c>
      <c r="G40" s="64">
        <v>67.290000000000006</v>
      </c>
      <c r="H40" s="64">
        <v>4.29</v>
      </c>
      <c r="I40" s="64">
        <v>5.56</v>
      </c>
      <c r="J40" s="64">
        <v>0.13</v>
      </c>
      <c r="K40" s="64">
        <v>327.16000000000003</v>
      </c>
      <c r="L40" s="64">
        <v>27.57</v>
      </c>
      <c r="M40" s="64">
        <v>97.31</v>
      </c>
      <c r="N40" s="64">
        <v>135.9</v>
      </c>
      <c r="O40" s="64">
        <v>0</v>
      </c>
      <c r="P40" s="64">
        <v>0.77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4" t="s">
        <v>2006</v>
      </c>
      <c r="B41" s="64">
        <v>1.73</v>
      </c>
      <c r="C41" s="64">
        <v>9.9499999999999993</v>
      </c>
      <c r="D41" s="64">
        <v>5.83</v>
      </c>
      <c r="E41" s="64">
        <v>3.62</v>
      </c>
      <c r="F41" s="64">
        <v>5.38</v>
      </c>
      <c r="G41" s="64">
        <v>67.430000000000007</v>
      </c>
      <c r="H41" s="64">
        <v>4.29</v>
      </c>
      <c r="I41" s="64">
        <v>5.47</v>
      </c>
      <c r="J41" s="64">
        <v>0.09</v>
      </c>
      <c r="K41" s="64">
        <v>224.74</v>
      </c>
      <c r="L41" s="64">
        <v>26.08</v>
      </c>
      <c r="M41" s="64">
        <v>97.6</v>
      </c>
      <c r="N41" s="64">
        <v>129.30000000000001</v>
      </c>
      <c r="O41" s="64">
        <v>0</v>
      </c>
      <c r="P41" s="64">
        <v>0.57999999999999996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4" t="s">
        <v>2007</v>
      </c>
      <c r="B42" s="64">
        <v>0.05</v>
      </c>
      <c r="C42" s="64">
        <v>8.5</v>
      </c>
      <c r="D42" s="64">
        <v>3.23</v>
      </c>
      <c r="E42" s="64">
        <v>3.36</v>
      </c>
      <c r="F42" s="64">
        <v>6.84</v>
      </c>
      <c r="G42" s="64">
        <v>80.69</v>
      </c>
      <c r="H42" s="64">
        <v>3.42</v>
      </c>
      <c r="I42" s="64">
        <v>5.39</v>
      </c>
      <c r="J42" s="64">
        <v>0.1</v>
      </c>
      <c r="K42" s="64">
        <v>238.25</v>
      </c>
      <c r="L42" s="64">
        <v>26.03</v>
      </c>
      <c r="M42" s="64">
        <v>97.8</v>
      </c>
      <c r="N42" s="64">
        <v>191.7</v>
      </c>
      <c r="O42" s="64">
        <v>0</v>
      </c>
      <c r="P42" s="64">
        <v>0.56000000000000005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4" t="s">
        <v>2008</v>
      </c>
      <c r="B43" s="64">
        <v>0.7</v>
      </c>
      <c r="C43" s="64">
        <v>6.12</v>
      </c>
      <c r="D43" s="64">
        <v>4.41</v>
      </c>
      <c r="E43" s="64">
        <v>3.28</v>
      </c>
      <c r="F43" s="64">
        <v>5.89</v>
      </c>
      <c r="G43" s="64">
        <v>80.69</v>
      </c>
      <c r="H43" s="64">
        <v>3.42</v>
      </c>
      <c r="I43" s="64">
        <v>5.29</v>
      </c>
      <c r="J43" s="64">
        <v>0.1</v>
      </c>
      <c r="K43" s="64">
        <v>288.5</v>
      </c>
      <c r="L43" s="64">
        <v>26.91</v>
      </c>
      <c r="M43" s="64">
        <v>97.34</v>
      </c>
      <c r="N43" s="64">
        <v>250.6</v>
      </c>
      <c r="O43" s="64">
        <v>0</v>
      </c>
      <c r="P43" s="64">
        <v>0.62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4" t="s">
        <v>2009</v>
      </c>
      <c r="B44" s="64">
        <v>0.02</v>
      </c>
      <c r="C44" s="64">
        <v>7.35</v>
      </c>
      <c r="D44" s="64">
        <v>3.17</v>
      </c>
      <c r="E44" s="64">
        <v>3.34</v>
      </c>
      <c r="F44" s="64">
        <v>5.58</v>
      </c>
      <c r="G44" s="64">
        <v>80.69</v>
      </c>
      <c r="H44" s="64">
        <v>3.42</v>
      </c>
      <c r="I44" s="64">
        <v>5.17</v>
      </c>
      <c r="J44" s="64">
        <v>0.12</v>
      </c>
      <c r="K44" s="64">
        <v>315.20999999999998</v>
      </c>
      <c r="L44" s="64">
        <v>27.45</v>
      </c>
      <c r="M44" s="64">
        <v>97.33</v>
      </c>
      <c r="N44" s="64">
        <v>179.1</v>
      </c>
      <c r="O44" s="64">
        <v>0</v>
      </c>
      <c r="P44" s="64">
        <v>0.68</v>
      </c>
      <c r="Q44" s="64">
        <v>9.58</v>
      </c>
      <c r="R44" s="198"/>
      <c r="S44" s="198"/>
      <c r="T44" s="198"/>
      <c r="U44" s="198"/>
    </row>
    <row r="45" spans="1:21" s="12" customFormat="1" x14ac:dyDescent="0.25">
      <c r="A45" s="214" t="s">
        <v>2010</v>
      </c>
      <c r="B45" s="64">
        <v>0.19</v>
      </c>
      <c r="C45" s="64">
        <v>6.03</v>
      </c>
      <c r="D45" s="64">
        <v>3.59</v>
      </c>
      <c r="E45" s="64">
        <v>3.47</v>
      </c>
      <c r="F45" s="64">
        <v>3.31</v>
      </c>
      <c r="G45" s="64">
        <v>80.58</v>
      </c>
      <c r="H45" s="64">
        <v>3.42</v>
      </c>
      <c r="I45" s="64">
        <v>5.0599999999999996</v>
      </c>
      <c r="J45" s="64">
        <v>0.32</v>
      </c>
      <c r="K45" s="64">
        <v>150.47</v>
      </c>
      <c r="L45" s="64">
        <v>26.37</v>
      </c>
      <c r="M45" s="64">
        <v>97.45</v>
      </c>
      <c r="N45" s="64">
        <v>111.6</v>
      </c>
      <c r="O45" s="64">
        <v>0.4</v>
      </c>
      <c r="P45" s="64">
        <v>0.66</v>
      </c>
      <c r="Q45" s="64">
        <v>9.59</v>
      </c>
      <c r="R45" s="198"/>
      <c r="S45" s="198"/>
      <c r="T45" s="198"/>
      <c r="U45" s="198"/>
    </row>
    <row r="46" spans="1:21" s="12" customFormat="1" x14ac:dyDescent="0.25">
      <c r="A46" s="214" t="s">
        <v>2011</v>
      </c>
      <c r="B46" s="64">
        <v>0.09</v>
      </c>
      <c r="C46" s="64">
        <v>6.58</v>
      </c>
      <c r="D46" s="64">
        <v>2.85</v>
      </c>
      <c r="E46" s="64">
        <v>3.38</v>
      </c>
      <c r="F46" s="64">
        <v>4.7</v>
      </c>
      <c r="G46" s="64">
        <v>70.03</v>
      </c>
      <c r="H46" s="64">
        <v>2.87</v>
      </c>
      <c r="I46" s="64">
        <v>4.9800000000000004</v>
      </c>
      <c r="J46" s="64">
        <v>0.3</v>
      </c>
      <c r="K46" s="64">
        <v>122.63</v>
      </c>
      <c r="L46" s="64">
        <v>24.23</v>
      </c>
      <c r="M46" s="64">
        <v>97.99</v>
      </c>
      <c r="N46" s="64">
        <v>159.4</v>
      </c>
      <c r="O46" s="64">
        <v>0</v>
      </c>
      <c r="P46" s="64">
        <v>0.51</v>
      </c>
      <c r="Q46" s="64">
        <v>9.57</v>
      </c>
      <c r="R46" s="198"/>
      <c r="S46" s="198"/>
      <c r="T46" s="198"/>
      <c r="U46" s="198"/>
    </row>
    <row r="47" spans="1:21" s="12" customFormat="1" x14ac:dyDescent="0.25">
      <c r="A47" s="214" t="s">
        <v>2012</v>
      </c>
      <c r="B47" s="64">
        <v>0.48</v>
      </c>
      <c r="C47" s="64">
        <v>5.32</v>
      </c>
      <c r="D47" s="64">
        <v>3.52</v>
      </c>
      <c r="E47" s="64">
        <v>3.12</v>
      </c>
      <c r="F47" s="64">
        <v>3.49</v>
      </c>
      <c r="G47" s="64">
        <v>70.03</v>
      </c>
      <c r="H47" s="64">
        <v>2.87</v>
      </c>
      <c r="I47" s="64">
        <v>4.91</v>
      </c>
      <c r="J47" s="64">
        <v>0.54</v>
      </c>
      <c r="K47" s="64">
        <v>328.48</v>
      </c>
      <c r="L47" s="64">
        <v>24.16</v>
      </c>
      <c r="M47" s="64">
        <v>97.5</v>
      </c>
      <c r="N47" s="64">
        <v>158.6</v>
      </c>
      <c r="O47" s="64">
        <v>0</v>
      </c>
      <c r="P47" s="64">
        <v>0.63</v>
      </c>
      <c r="Q47" s="64">
        <v>9.5500000000000007</v>
      </c>
      <c r="R47" s="198"/>
      <c r="S47" s="198"/>
      <c r="T47" s="198"/>
      <c r="U47" s="198"/>
    </row>
    <row r="48" spans="1:21" s="12" customFormat="1" x14ac:dyDescent="0.25">
      <c r="A48" s="214" t="s">
        <v>2013</v>
      </c>
      <c r="B48" s="64">
        <v>0.11</v>
      </c>
      <c r="C48" s="64">
        <v>6</v>
      </c>
      <c r="D48" s="64">
        <v>3.7</v>
      </c>
      <c r="E48" s="64">
        <v>3.16</v>
      </c>
      <c r="F48" s="64">
        <v>7.83</v>
      </c>
      <c r="G48" s="64">
        <v>70.03</v>
      </c>
      <c r="H48" s="64">
        <v>2.87</v>
      </c>
      <c r="I48" s="64">
        <v>4.79</v>
      </c>
      <c r="J48" s="64">
        <v>0.16</v>
      </c>
      <c r="K48" s="64">
        <v>329.31</v>
      </c>
      <c r="L48" s="64">
        <v>25.02</v>
      </c>
      <c r="M48" s="64">
        <v>97.5</v>
      </c>
      <c r="N48" s="64">
        <v>374.9</v>
      </c>
      <c r="O48" s="64">
        <v>0</v>
      </c>
      <c r="P48" s="64">
        <v>0.73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4" t="s">
        <v>2014</v>
      </c>
      <c r="B49" s="64">
        <v>0</v>
      </c>
      <c r="C49" s="64">
        <v>6.92</v>
      </c>
      <c r="D49" s="64">
        <v>3.01</v>
      </c>
      <c r="E49" s="64">
        <v>3.34</v>
      </c>
      <c r="F49" s="64">
        <v>4.07</v>
      </c>
      <c r="G49" s="64">
        <v>69.86</v>
      </c>
      <c r="H49" s="64">
        <v>2.87</v>
      </c>
      <c r="I49" s="64">
        <v>4.6900000000000004</v>
      </c>
      <c r="J49" s="64">
        <v>0.18</v>
      </c>
      <c r="K49" s="64">
        <v>291.7</v>
      </c>
      <c r="L49" s="64">
        <v>25.8</v>
      </c>
      <c r="M49" s="64">
        <v>98.04</v>
      </c>
      <c r="N49" s="64">
        <v>514.29999999999995</v>
      </c>
      <c r="O49" s="64">
        <v>0</v>
      </c>
      <c r="P49" s="64">
        <v>0.59</v>
      </c>
      <c r="Q49" s="64">
        <v>9.5399999999999991</v>
      </c>
      <c r="R49" s="198"/>
      <c r="S49" s="198"/>
      <c r="T49" s="198"/>
      <c r="U49" s="198"/>
    </row>
    <row r="50" spans="1:21" s="12" customFormat="1" x14ac:dyDescent="0.25">
      <c r="A50" s="214" t="s">
        <v>2015</v>
      </c>
      <c r="B50" s="64">
        <v>0</v>
      </c>
      <c r="C50" s="64">
        <v>5.77</v>
      </c>
      <c r="D50" s="64">
        <v>2.63</v>
      </c>
      <c r="E50" s="64">
        <v>3.05</v>
      </c>
      <c r="F50" s="64">
        <v>2.52</v>
      </c>
      <c r="G50" s="64">
        <v>54.76</v>
      </c>
      <c r="H50" s="64">
        <v>2.39</v>
      </c>
      <c r="I50" s="64">
        <v>4.63</v>
      </c>
      <c r="J50" s="64">
        <v>0.24</v>
      </c>
      <c r="K50" s="64">
        <v>296.79000000000002</v>
      </c>
      <c r="L50" s="64">
        <v>27.94</v>
      </c>
      <c r="M50" s="64">
        <v>97.89</v>
      </c>
      <c r="N50" s="64">
        <v>929.1</v>
      </c>
      <c r="O50" s="64">
        <v>0</v>
      </c>
      <c r="P50" s="64">
        <v>0.61</v>
      </c>
      <c r="Q50" s="64">
        <v>9.5299999999999994</v>
      </c>
      <c r="R50" s="198"/>
      <c r="S50" s="198"/>
      <c r="T50" s="198"/>
      <c r="U50" s="198"/>
    </row>
    <row r="51" spans="1:21" s="12" customFormat="1" x14ac:dyDescent="0.25">
      <c r="A51" s="214" t="s">
        <v>2016</v>
      </c>
      <c r="B51" s="64">
        <v>0</v>
      </c>
      <c r="C51" s="64">
        <v>5.04</v>
      </c>
      <c r="D51" s="64">
        <v>2.58</v>
      </c>
      <c r="E51" s="64">
        <v>3.04</v>
      </c>
      <c r="F51" s="64">
        <v>2.61</v>
      </c>
      <c r="G51" s="64">
        <v>54.76</v>
      </c>
      <c r="H51" s="64">
        <v>2.39</v>
      </c>
      <c r="I51" s="64">
        <v>4.5199999999999996</v>
      </c>
      <c r="J51" s="64">
        <v>0.24</v>
      </c>
      <c r="K51" s="64">
        <v>295.14999999999998</v>
      </c>
      <c r="L51" s="64">
        <v>29.35</v>
      </c>
      <c r="M51" s="64">
        <v>95.69</v>
      </c>
      <c r="N51" s="64">
        <v>869</v>
      </c>
      <c r="O51" s="64">
        <v>0</v>
      </c>
      <c r="P51" s="64">
        <v>0.62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14" t="s">
        <v>2017</v>
      </c>
      <c r="B52" s="64">
        <v>6.33</v>
      </c>
      <c r="C52" s="64">
        <v>4.9400000000000004</v>
      </c>
      <c r="D52" s="64">
        <v>16.07</v>
      </c>
      <c r="E52" s="64">
        <v>3.29</v>
      </c>
      <c r="F52" s="64">
        <v>3.95</v>
      </c>
      <c r="G52" s="64">
        <v>54.76</v>
      </c>
      <c r="H52" s="64">
        <v>1.9</v>
      </c>
      <c r="I52" s="64">
        <v>4.37</v>
      </c>
      <c r="J52" s="64">
        <v>0.21</v>
      </c>
      <c r="K52" s="64">
        <v>293.74</v>
      </c>
      <c r="L52" s="64">
        <v>30.47</v>
      </c>
      <c r="M52" s="64">
        <v>90.16</v>
      </c>
      <c r="N52" s="64">
        <v>733.3</v>
      </c>
      <c r="O52" s="64">
        <v>0</v>
      </c>
      <c r="P52" s="64">
        <v>0.65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4" t="s">
        <v>2018</v>
      </c>
      <c r="B53" s="64">
        <v>7.07</v>
      </c>
      <c r="C53" s="64">
        <v>21.04</v>
      </c>
      <c r="D53" s="64">
        <v>16.38</v>
      </c>
      <c r="E53" s="64">
        <v>2.98</v>
      </c>
      <c r="F53" s="64">
        <v>4.83</v>
      </c>
      <c r="G53" s="210" t="s">
        <v>36</v>
      </c>
      <c r="H53" s="210" t="s">
        <v>36</v>
      </c>
      <c r="I53" s="64">
        <v>4.1500000000000004</v>
      </c>
      <c r="J53" s="64">
        <v>0.19</v>
      </c>
      <c r="K53" s="64">
        <v>289.3</v>
      </c>
      <c r="L53" s="64">
        <v>30.88</v>
      </c>
      <c r="M53" s="64">
        <v>86.16</v>
      </c>
      <c r="N53" s="64">
        <v>611.29999999999995</v>
      </c>
      <c r="O53" s="64">
        <v>0</v>
      </c>
      <c r="P53" s="64">
        <v>0.66</v>
      </c>
      <c r="Q53" s="64">
        <v>9.4</v>
      </c>
      <c r="R53" s="198"/>
      <c r="S53" s="198"/>
      <c r="T53" s="198"/>
      <c r="U53" s="198"/>
    </row>
    <row r="54" spans="1:21" s="12" customFormat="1" x14ac:dyDescent="0.25">
      <c r="A54" s="214" t="s">
        <v>2019</v>
      </c>
      <c r="B54" s="64">
        <v>6.96</v>
      </c>
      <c r="C54" s="64">
        <v>20.5</v>
      </c>
      <c r="D54" s="64">
        <v>12.97</v>
      </c>
      <c r="E54" s="64">
        <v>3.26</v>
      </c>
      <c r="F54" s="64">
        <v>6.52</v>
      </c>
      <c r="G54" s="210" t="s">
        <v>36</v>
      </c>
      <c r="H54" s="210" t="s">
        <v>36</v>
      </c>
      <c r="I54" s="64">
        <v>3.82</v>
      </c>
      <c r="J54" s="64">
        <v>0.15</v>
      </c>
      <c r="K54" s="64">
        <v>225.96</v>
      </c>
      <c r="L54" s="64">
        <v>30.21</v>
      </c>
      <c r="M54" s="64">
        <v>85.09</v>
      </c>
      <c r="N54" s="64">
        <v>796.6</v>
      </c>
      <c r="O54" s="64">
        <v>0</v>
      </c>
      <c r="P54" s="64">
        <v>0.6</v>
      </c>
      <c r="Q54" s="64">
        <v>9.3000000000000007</v>
      </c>
      <c r="R54" s="198"/>
      <c r="S54" s="198"/>
      <c r="T54" s="198"/>
      <c r="U54" s="198"/>
    </row>
    <row r="55" spans="1:21" s="12" customFormat="1" x14ac:dyDescent="0.25">
      <c r="A55" s="214" t="s">
        <v>2020</v>
      </c>
      <c r="B55" s="64">
        <v>5.87</v>
      </c>
      <c r="C55" s="64">
        <v>14.14</v>
      </c>
      <c r="D55" s="64">
        <v>11.77</v>
      </c>
      <c r="E55" s="64">
        <v>3.01</v>
      </c>
      <c r="F55" s="64">
        <v>8.1</v>
      </c>
      <c r="G55" s="210" t="s">
        <v>36</v>
      </c>
      <c r="H55" s="210" t="s">
        <v>36</v>
      </c>
      <c r="I55" s="64">
        <v>3.63</v>
      </c>
      <c r="J55" s="64">
        <v>0.18</v>
      </c>
      <c r="K55" s="64">
        <v>292.58999999999997</v>
      </c>
      <c r="L55" s="64">
        <v>29.83</v>
      </c>
      <c r="M55" s="64">
        <v>86.39</v>
      </c>
      <c r="N55" s="64">
        <v>292.8</v>
      </c>
      <c r="O55" s="64">
        <v>0</v>
      </c>
      <c r="P55" s="64">
        <v>0.61</v>
      </c>
      <c r="Q55" s="64">
        <v>9.26</v>
      </c>
      <c r="R55" s="198"/>
      <c r="S55" s="198"/>
      <c r="T55" s="198"/>
      <c r="U55" s="198"/>
    </row>
    <row r="56" spans="1:21" s="12" customFormat="1" x14ac:dyDescent="0.25">
      <c r="A56" s="214" t="s">
        <v>2021</v>
      </c>
      <c r="B56" s="64">
        <v>6.55</v>
      </c>
      <c r="C56" s="64">
        <v>13.52</v>
      </c>
      <c r="D56" s="64">
        <v>14.92</v>
      </c>
      <c r="E56" s="64">
        <v>3.5</v>
      </c>
      <c r="F56" s="64">
        <v>13.42</v>
      </c>
      <c r="G56" s="210" t="s">
        <v>36</v>
      </c>
      <c r="H56" s="210" t="s">
        <v>36</v>
      </c>
      <c r="I56" s="64">
        <v>3.56</v>
      </c>
      <c r="J56" s="64">
        <v>0.54</v>
      </c>
      <c r="K56" s="64">
        <v>326</v>
      </c>
      <c r="L56" s="64">
        <v>30.28</v>
      </c>
      <c r="M56" s="64">
        <v>87.38</v>
      </c>
      <c r="N56" s="64">
        <v>615.9</v>
      </c>
      <c r="O56" s="64">
        <v>0</v>
      </c>
      <c r="P56" s="64">
        <v>0.64</v>
      </c>
      <c r="Q56" s="64">
        <v>9.25</v>
      </c>
      <c r="R56" s="198"/>
      <c r="S56" s="198"/>
      <c r="T56" s="198"/>
      <c r="U56" s="198"/>
    </row>
    <row r="57" spans="1:21" s="12" customFormat="1" x14ac:dyDescent="0.25">
      <c r="A57" s="214" t="s">
        <v>2022</v>
      </c>
      <c r="B57" s="64">
        <v>6.29</v>
      </c>
      <c r="C57" s="64">
        <v>18.5</v>
      </c>
      <c r="D57" s="64">
        <v>18.579999999999998</v>
      </c>
      <c r="E57" s="64">
        <v>3.21</v>
      </c>
      <c r="F57" s="64">
        <v>14.35</v>
      </c>
      <c r="G57" s="210" t="s">
        <v>36</v>
      </c>
      <c r="H57" s="210" t="s">
        <v>36</v>
      </c>
      <c r="I57" s="64">
        <v>3.53</v>
      </c>
      <c r="J57" s="64">
        <v>0.48</v>
      </c>
      <c r="K57" s="64">
        <v>317.04000000000002</v>
      </c>
      <c r="L57" s="64">
        <v>22.5</v>
      </c>
      <c r="M57" s="64">
        <v>81.819999999999993</v>
      </c>
      <c r="N57" s="64">
        <v>970.4</v>
      </c>
      <c r="O57" s="64">
        <v>0</v>
      </c>
      <c r="P57" s="64">
        <v>0.62</v>
      </c>
      <c r="Q57" s="64">
        <v>9.24</v>
      </c>
      <c r="R57" s="198"/>
      <c r="S57" s="198"/>
      <c r="T57" s="198"/>
      <c r="U57" s="198"/>
    </row>
    <row r="58" spans="1:21" s="12" customFormat="1" x14ac:dyDescent="0.25">
      <c r="A58" s="214" t="s">
        <v>2023</v>
      </c>
      <c r="B58" s="64">
        <v>5.78</v>
      </c>
      <c r="C58" s="64">
        <v>14.87</v>
      </c>
      <c r="D58" s="64">
        <v>12.4</v>
      </c>
      <c r="E58" s="64">
        <v>3.4</v>
      </c>
      <c r="F58" s="64">
        <v>17.059999999999999</v>
      </c>
      <c r="G58" s="210" t="s">
        <v>36</v>
      </c>
      <c r="H58" s="210" t="s">
        <v>36</v>
      </c>
      <c r="I58" s="64">
        <v>3.33</v>
      </c>
      <c r="J58" s="64">
        <v>0.08</v>
      </c>
      <c r="K58" s="64">
        <v>242.97</v>
      </c>
      <c r="L58" s="64">
        <v>31.87</v>
      </c>
      <c r="M58" s="64">
        <v>70.75</v>
      </c>
      <c r="N58" s="64">
        <v>868.2</v>
      </c>
      <c r="O58" s="64">
        <v>0</v>
      </c>
      <c r="P58" s="64">
        <v>0.55000000000000004</v>
      </c>
      <c r="Q58" s="64">
        <v>0</v>
      </c>
      <c r="R58" s="198"/>
      <c r="S58" s="198"/>
      <c r="T58" s="198"/>
      <c r="U58" s="198"/>
    </row>
    <row r="59" spans="1:21" s="12" customFormat="1" x14ac:dyDescent="0.25">
      <c r="A59" s="214" t="s">
        <v>2024</v>
      </c>
      <c r="B59" s="64">
        <v>6.24</v>
      </c>
      <c r="C59" s="64">
        <v>15.42</v>
      </c>
      <c r="D59" s="64">
        <v>13.06</v>
      </c>
      <c r="E59" s="64">
        <v>3.34</v>
      </c>
      <c r="F59" s="64">
        <v>7.51</v>
      </c>
      <c r="G59" s="210" t="s">
        <v>36</v>
      </c>
      <c r="H59" s="210" t="s">
        <v>36</v>
      </c>
      <c r="I59" s="64">
        <v>3.17</v>
      </c>
      <c r="J59" s="64">
        <v>0.26</v>
      </c>
      <c r="K59" s="64">
        <v>303.64</v>
      </c>
      <c r="L59" s="64">
        <v>31.85</v>
      </c>
      <c r="M59" s="64">
        <v>75.55</v>
      </c>
      <c r="N59" s="64">
        <v>749.2</v>
      </c>
      <c r="O59" s="64">
        <v>0</v>
      </c>
      <c r="P59" s="64">
        <v>0.55000000000000004</v>
      </c>
      <c r="Q59" s="64">
        <v>9.24</v>
      </c>
      <c r="R59" s="198"/>
      <c r="S59" s="198"/>
      <c r="T59" s="198"/>
      <c r="U59" s="198"/>
    </row>
    <row r="60" spans="1:21" s="12" customFormat="1" x14ac:dyDescent="0.25">
      <c r="A60" s="214" t="s">
        <v>2025</v>
      </c>
      <c r="B60" s="64">
        <v>5.82</v>
      </c>
      <c r="C60" s="64">
        <v>14.17</v>
      </c>
      <c r="D60" s="64">
        <v>12.07</v>
      </c>
      <c r="E60" s="64">
        <v>3.17</v>
      </c>
      <c r="F60" s="64">
        <v>8.73</v>
      </c>
      <c r="G60" s="64">
        <v>13.22</v>
      </c>
      <c r="H60" s="64">
        <v>10.45</v>
      </c>
      <c r="I60" s="64">
        <v>3.03</v>
      </c>
      <c r="J60" s="64">
        <v>0.2</v>
      </c>
      <c r="K60" s="64">
        <v>279.45999999999998</v>
      </c>
      <c r="L60" s="64">
        <v>31.44</v>
      </c>
      <c r="M60" s="64">
        <v>74.650000000000006</v>
      </c>
      <c r="N60" s="64">
        <v>753.2</v>
      </c>
      <c r="O60" s="64">
        <v>0</v>
      </c>
      <c r="P60" s="64">
        <v>0.56999999999999995</v>
      </c>
      <c r="Q60" s="64">
        <v>9.2200000000000006</v>
      </c>
      <c r="R60" s="198"/>
      <c r="S60" s="198"/>
      <c r="T60" s="198"/>
      <c r="U60" s="198"/>
    </row>
    <row r="61" spans="1:21" s="12" customFormat="1" x14ac:dyDescent="0.25">
      <c r="A61" s="214" t="s">
        <v>2026</v>
      </c>
      <c r="B61" s="64">
        <v>5.38</v>
      </c>
      <c r="C61" s="64">
        <v>12.04</v>
      </c>
      <c r="D61" s="64">
        <v>10.61</v>
      </c>
      <c r="E61" s="64">
        <v>2.97</v>
      </c>
      <c r="F61" s="64">
        <v>8.02</v>
      </c>
      <c r="G61" s="64">
        <v>118.94</v>
      </c>
      <c r="H61" s="64">
        <v>83.61</v>
      </c>
      <c r="I61" s="64">
        <v>2.98</v>
      </c>
      <c r="J61" s="64">
        <v>0.12</v>
      </c>
      <c r="K61" s="64">
        <v>278.45999999999998</v>
      </c>
      <c r="L61" s="64">
        <v>30.94</v>
      </c>
      <c r="M61" s="64">
        <v>73.58</v>
      </c>
      <c r="N61" s="64">
        <v>331.9</v>
      </c>
      <c r="O61" s="64">
        <v>0</v>
      </c>
      <c r="P61" s="64">
        <v>0.52</v>
      </c>
      <c r="Q61" s="64">
        <v>9.19</v>
      </c>
      <c r="R61" s="198"/>
      <c r="S61" s="198"/>
      <c r="T61" s="198"/>
      <c r="U61" s="198"/>
    </row>
    <row r="62" spans="1:21" s="12" customFormat="1" x14ac:dyDescent="0.25">
      <c r="A62" s="214" t="s">
        <v>2027</v>
      </c>
      <c r="B62" s="64">
        <v>5.34</v>
      </c>
      <c r="C62" s="64">
        <v>11.35</v>
      </c>
      <c r="D62" s="64">
        <v>10.19</v>
      </c>
      <c r="E62" s="64">
        <v>3.04</v>
      </c>
      <c r="F62" s="64">
        <v>10.050000000000001</v>
      </c>
      <c r="G62" s="64">
        <v>118.94</v>
      </c>
      <c r="H62" s="64">
        <v>83.61</v>
      </c>
      <c r="I62" s="64">
        <v>2.92</v>
      </c>
      <c r="J62" s="64">
        <v>0.26</v>
      </c>
      <c r="K62" s="64">
        <v>207.13</v>
      </c>
      <c r="L62" s="64">
        <v>30.54</v>
      </c>
      <c r="M62" s="64">
        <v>75.52</v>
      </c>
      <c r="N62" s="64">
        <v>265.2</v>
      </c>
      <c r="O62" s="64">
        <v>0</v>
      </c>
      <c r="P62" s="64">
        <v>0.48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14" t="s">
        <v>2028</v>
      </c>
      <c r="B63" s="64">
        <v>5.82</v>
      </c>
      <c r="C63" s="64">
        <v>12.44</v>
      </c>
      <c r="D63" s="64">
        <v>11.17</v>
      </c>
      <c r="E63" s="64">
        <v>3.53</v>
      </c>
      <c r="F63" s="64">
        <v>13.04</v>
      </c>
      <c r="G63" s="64">
        <v>118.94</v>
      </c>
      <c r="H63" s="64">
        <v>83.61</v>
      </c>
      <c r="I63" s="64">
        <v>2.75</v>
      </c>
      <c r="J63" s="64">
        <v>0.16</v>
      </c>
      <c r="K63" s="64">
        <v>304.64</v>
      </c>
      <c r="L63" s="64">
        <v>30.84</v>
      </c>
      <c r="M63" s="64">
        <v>75.73</v>
      </c>
      <c r="N63" s="64">
        <v>254.8</v>
      </c>
      <c r="O63" s="64">
        <v>0</v>
      </c>
      <c r="P63" s="64">
        <v>0.44</v>
      </c>
      <c r="Q63" s="64">
        <v>9.14</v>
      </c>
      <c r="R63" s="198"/>
      <c r="S63" s="198"/>
      <c r="T63" s="198"/>
      <c r="U63" s="198"/>
    </row>
    <row r="64" spans="1:21" s="12" customFormat="1" x14ac:dyDescent="0.25">
      <c r="A64" s="214" t="s">
        <v>2029</v>
      </c>
      <c r="B64" s="64">
        <v>6.62</v>
      </c>
      <c r="C64" s="64">
        <v>12.99</v>
      </c>
      <c r="D64" s="64">
        <v>12.09</v>
      </c>
      <c r="E64" s="64">
        <v>2.86</v>
      </c>
      <c r="F64" s="64">
        <v>13.95</v>
      </c>
      <c r="G64" s="64">
        <v>118.33</v>
      </c>
      <c r="H64" s="64">
        <v>80.91</v>
      </c>
      <c r="I64" s="64">
        <v>2.4900000000000002</v>
      </c>
      <c r="J64" s="64">
        <v>7.0000000000000007E-2</v>
      </c>
      <c r="K64" s="64">
        <v>194.47</v>
      </c>
      <c r="L64" s="64">
        <v>30.92</v>
      </c>
      <c r="M64" s="64">
        <v>71.739999999999995</v>
      </c>
      <c r="N64" s="64">
        <v>203.1</v>
      </c>
      <c r="O64" s="64">
        <v>0</v>
      </c>
      <c r="P64" s="64">
        <v>0.46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4" t="s">
        <v>2030</v>
      </c>
      <c r="B65" s="64">
        <v>6.26</v>
      </c>
      <c r="C65" s="64">
        <v>12.97</v>
      </c>
      <c r="D65" s="64">
        <v>11.8</v>
      </c>
      <c r="E65" s="64">
        <v>3.13</v>
      </c>
      <c r="F65" s="64">
        <v>14.84</v>
      </c>
      <c r="G65" s="64">
        <v>113.94</v>
      </c>
      <c r="H65" s="64">
        <v>61.99</v>
      </c>
      <c r="I65" s="64">
        <v>2.2799999999999998</v>
      </c>
      <c r="J65" s="64">
        <v>0.11</v>
      </c>
      <c r="K65" s="64">
        <v>249.54</v>
      </c>
      <c r="L65" s="64">
        <v>30.66</v>
      </c>
      <c r="M65" s="64">
        <v>70.73</v>
      </c>
      <c r="N65" s="64">
        <v>174.7</v>
      </c>
      <c r="O65" s="64">
        <v>0</v>
      </c>
      <c r="P65" s="64">
        <v>0.32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4" t="s">
        <v>2031</v>
      </c>
      <c r="B66" s="64">
        <v>5.46</v>
      </c>
      <c r="C66" s="64">
        <v>11.19</v>
      </c>
      <c r="D66" s="64">
        <v>10.23</v>
      </c>
      <c r="E66" s="64">
        <v>3.29</v>
      </c>
      <c r="F66" s="64">
        <v>6.89</v>
      </c>
      <c r="G66" s="64">
        <v>113.94</v>
      </c>
      <c r="H66" s="64">
        <v>61.99</v>
      </c>
      <c r="I66" s="64">
        <v>2.2200000000000002</v>
      </c>
      <c r="J66" s="64">
        <v>0.16</v>
      </c>
      <c r="K66" s="64">
        <v>276.99</v>
      </c>
      <c r="L66" s="64">
        <v>30.55</v>
      </c>
      <c r="M66" s="64">
        <v>71.53</v>
      </c>
      <c r="N66" s="64">
        <v>161.30000000000001</v>
      </c>
      <c r="O66" s="64">
        <v>0</v>
      </c>
      <c r="P66" s="64">
        <v>0.39</v>
      </c>
      <c r="Q66" s="64">
        <v>9.16</v>
      </c>
      <c r="R66" s="198"/>
      <c r="S66" s="198"/>
      <c r="T66" s="198"/>
      <c r="U66" s="198"/>
    </row>
    <row r="67" spans="1:21" s="12" customFormat="1" x14ac:dyDescent="0.25">
      <c r="A67" s="214" t="s">
        <v>2032</v>
      </c>
      <c r="B67" s="64">
        <v>5.82</v>
      </c>
      <c r="C67" s="64">
        <v>12.92</v>
      </c>
      <c r="D67" s="64">
        <v>11.41</v>
      </c>
      <c r="E67" s="64">
        <v>3.07</v>
      </c>
      <c r="F67" s="64">
        <v>10.83</v>
      </c>
      <c r="G67" s="64">
        <v>113.94</v>
      </c>
      <c r="H67" s="64">
        <v>61.99</v>
      </c>
      <c r="I67" s="64">
        <v>2.19</v>
      </c>
      <c r="J67" s="64">
        <v>0.1</v>
      </c>
      <c r="K67" s="64">
        <v>240.54</v>
      </c>
      <c r="L67" s="64">
        <v>30.56</v>
      </c>
      <c r="M67" s="64">
        <v>72.27</v>
      </c>
      <c r="N67" s="64">
        <v>158.19999999999999</v>
      </c>
      <c r="O67" s="64">
        <v>0</v>
      </c>
      <c r="P67" s="64">
        <v>0.37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4" t="s">
        <v>2033</v>
      </c>
      <c r="B68" s="64">
        <v>5.22</v>
      </c>
      <c r="C68" s="64">
        <v>11.87</v>
      </c>
      <c r="D68" s="64">
        <v>10.39</v>
      </c>
      <c r="E68" s="64">
        <v>2.96</v>
      </c>
      <c r="F68" s="64">
        <v>11.06</v>
      </c>
      <c r="G68" s="64">
        <v>106.44</v>
      </c>
      <c r="H68" s="64">
        <v>59.29</v>
      </c>
      <c r="I68" s="64">
        <v>2.04</v>
      </c>
      <c r="J68" s="64">
        <v>0.17</v>
      </c>
      <c r="K68" s="64">
        <v>301.86</v>
      </c>
      <c r="L68" s="64">
        <v>30.65</v>
      </c>
      <c r="M68" s="64">
        <v>71.94</v>
      </c>
      <c r="N68" s="64">
        <v>154.6</v>
      </c>
      <c r="O68" s="64">
        <v>0</v>
      </c>
      <c r="P68" s="64">
        <v>0.35</v>
      </c>
      <c r="Q68" s="64">
        <v>9.15</v>
      </c>
      <c r="R68" s="198"/>
      <c r="S68" s="198"/>
      <c r="T68" s="198"/>
      <c r="U68" s="198"/>
    </row>
    <row r="69" spans="1:21" s="12" customFormat="1" x14ac:dyDescent="0.25">
      <c r="A69" s="214" t="s">
        <v>2034</v>
      </c>
      <c r="B69" s="64">
        <v>7.63</v>
      </c>
      <c r="C69" s="64">
        <v>14.91</v>
      </c>
      <c r="D69" s="64">
        <v>13.91</v>
      </c>
      <c r="E69" s="64">
        <v>3.35</v>
      </c>
      <c r="F69" s="64">
        <v>12.64</v>
      </c>
      <c r="G69" s="64">
        <v>75.47</v>
      </c>
      <c r="H69" s="64">
        <v>40.39</v>
      </c>
      <c r="I69" s="64">
        <v>1.93</v>
      </c>
      <c r="J69" s="64">
        <v>0.21</v>
      </c>
      <c r="K69" s="64">
        <v>299.11</v>
      </c>
      <c r="L69" s="64">
        <v>30.87</v>
      </c>
      <c r="M69" s="64">
        <v>72.099999999999994</v>
      </c>
      <c r="N69" s="64">
        <v>170.1</v>
      </c>
      <c r="O69" s="64">
        <v>0</v>
      </c>
      <c r="P69" s="64">
        <v>0.43</v>
      </c>
      <c r="Q69" s="64">
        <v>9.18</v>
      </c>
      <c r="R69" s="198"/>
      <c r="S69" s="198"/>
      <c r="T69" s="198"/>
      <c r="U69" s="198"/>
    </row>
    <row r="70" spans="1:21" s="12" customFormat="1" x14ac:dyDescent="0.25">
      <c r="A70" s="214" t="s">
        <v>2035</v>
      </c>
      <c r="B70" s="64">
        <v>6.66</v>
      </c>
      <c r="C70" s="64">
        <v>16.47</v>
      </c>
      <c r="D70" s="64">
        <v>13.94</v>
      </c>
      <c r="E70" s="64">
        <v>3.1</v>
      </c>
      <c r="F70" s="64">
        <v>11.33</v>
      </c>
      <c r="G70" s="64">
        <v>75.47</v>
      </c>
      <c r="H70" s="64">
        <v>40.39</v>
      </c>
      <c r="I70" s="64">
        <v>1.86</v>
      </c>
      <c r="J70" s="64">
        <v>0.19</v>
      </c>
      <c r="K70" s="64">
        <v>296.14</v>
      </c>
      <c r="L70" s="64">
        <v>30.68</v>
      </c>
      <c r="M70" s="64">
        <v>72.95</v>
      </c>
      <c r="N70" s="64">
        <v>151.19999999999999</v>
      </c>
      <c r="O70" s="64">
        <v>0</v>
      </c>
      <c r="P70" s="64">
        <v>0.4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14" t="s">
        <v>2036</v>
      </c>
      <c r="B71" s="64">
        <v>6.68</v>
      </c>
      <c r="C71" s="64">
        <v>15.04</v>
      </c>
      <c r="D71" s="64">
        <v>13.21</v>
      </c>
      <c r="E71" s="64">
        <v>3.21</v>
      </c>
      <c r="F71" s="64">
        <v>9.15</v>
      </c>
      <c r="G71" s="64">
        <v>75.47</v>
      </c>
      <c r="H71" s="64">
        <v>40.39</v>
      </c>
      <c r="I71" s="64">
        <v>1.79</v>
      </c>
      <c r="J71" s="64">
        <v>0.15</v>
      </c>
      <c r="K71" s="64">
        <v>263.64</v>
      </c>
      <c r="L71" s="64">
        <v>30.33</v>
      </c>
      <c r="M71" s="64">
        <v>74</v>
      </c>
      <c r="N71" s="64">
        <v>147.4</v>
      </c>
      <c r="O71" s="64">
        <v>0</v>
      </c>
      <c r="P71" s="64">
        <v>0.4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4" t="s">
        <v>2037</v>
      </c>
      <c r="B72" s="64">
        <v>6.27</v>
      </c>
      <c r="C72" s="64">
        <v>16.52</v>
      </c>
      <c r="D72" s="64">
        <v>13.66</v>
      </c>
      <c r="E72" s="64">
        <v>5.16</v>
      </c>
      <c r="F72" s="64">
        <v>13.9</v>
      </c>
      <c r="G72" s="64">
        <v>96.68</v>
      </c>
      <c r="H72" s="64">
        <v>38.11</v>
      </c>
      <c r="I72" s="64">
        <v>1.78</v>
      </c>
      <c r="J72" s="64">
        <v>0.13</v>
      </c>
      <c r="K72" s="64">
        <v>239.62</v>
      </c>
      <c r="L72" s="64">
        <v>30.13</v>
      </c>
      <c r="M72" s="64">
        <v>75.56</v>
      </c>
      <c r="N72" s="64">
        <v>170.8</v>
      </c>
      <c r="O72" s="64">
        <v>0</v>
      </c>
      <c r="P72" s="64">
        <v>0.4</v>
      </c>
      <c r="Q72" s="64">
        <v>9.24</v>
      </c>
      <c r="R72" s="198"/>
      <c r="S72" s="198"/>
      <c r="T72" s="198"/>
      <c r="U72" s="198"/>
    </row>
    <row r="73" spans="1:21" s="12" customFormat="1" x14ac:dyDescent="0.25">
      <c r="A73" s="214" t="s">
        <v>2038</v>
      </c>
      <c r="B73" s="64">
        <v>7.66</v>
      </c>
      <c r="C73" s="64">
        <v>17.88</v>
      </c>
      <c r="D73" s="64">
        <v>15.48</v>
      </c>
      <c r="E73" s="64">
        <v>5.46</v>
      </c>
      <c r="F73" s="64">
        <v>11.6</v>
      </c>
      <c r="G73" s="64">
        <v>266.39</v>
      </c>
      <c r="H73" s="64">
        <v>22.21</v>
      </c>
      <c r="I73" s="64">
        <v>1.78</v>
      </c>
      <c r="J73" s="64">
        <v>0.13</v>
      </c>
      <c r="K73" s="64">
        <v>295.88</v>
      </c>
      <c r="L73" s="64">
        <v>30.09</v>
      </c>
      <c r="M73" s="64">
        <v>76.349999999999994</v>
      </c>
      <c r="N73" s="64">
        <v>172.8</v>
      </c>
      <c r="O73" s="64">
        <v>0</v>
      </c>
      <c r="P73" s="64">
        <v>0.44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14" t="s">
        <v>2039</v>
      </c>
      <c r="B74" s="64">
        <v>9.92</v>
      </c>
      <c r="C74" s="64">
        <v>17.670000000000002</v>
      </c>
      <c r="D74" s="64">
        <v>17.190000000000001</v>
      </c>
      <c r="E74" s="64">
        <v>5.24</v>
      </c>
      <c r="F74" s="64">
        <v>13.15</v>
      </c>
      <c r="G74" s="210" t="s">
        <v>36</v>
      </c>
      <c r="H74" s="210" t="s">
        <v>36</v>
      </c>
      <c r="I74" s="64">
        <v>1.76</v>
      </c>
      <c r="J74" s="64">
        <v>0.32</v>
      </c>
      <c r="K74" s="64">
        <v>325.38</v>
      </c>
      <c r="L74" s="64">
        <v>30.42</v>
      </c>
      <c r="M74" s="64">
        <v>76.760000000000005</v>
      </c>
      <c r="N74" s="64">
        <v>137.19999999999999</v>
      </c>
      <c r="O74" s="64">
        <v>0</v>
      </c>
      <c r="P74" s="64">
        <v>0.47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4" t="s">
        <v>2040</v>
      </c>
      <c r="B75" s="64">
        <v>9.9600000000000009</v>
      </c>
      <c r="C75" s="64">
        <v>17.91</v>
      </c>
      <c r="D75" s="64">
        <v>17.350000000000001</v>
      </c>
      <c r="E75" s="64">
        <v>5.19</v>
      </c>
      <c r="F75" s="64">
        <v>14.74</v>
      </c>
      <c r="G75" s="210" t="s">
        <v>36</v>
      </c>
      <c r="H75" s="210" t="s">
        <v>36</v>
      </c>
      <c r="I75" s="64">
        <v>1.8</v>
      </c>
      <c r="J75" s="64">
        <v>0.09</v>
      </c>
      <c r="K75" s="64">
        <v>286.88</v>
      </c>
      <c r="L75" s="64">
        <v>30.24</v>
      </c>
      <c r="M75" s="64">
        <v>76.38</v>
      </c>
      <c r="N75" s="64">
        <v>104.7</v>
      </c>
      <c r="O75" s="64">
        <v>0</v>
      </c>
      <c r="P75" s="64">
        <v>0.51</v>
      </c>
      <c r="Q75" s="64">
        <v>9.24</v>
      </c>
      <c r="R75" s="198"/>
      <c r="S75" s="198"/>
      <c r="T75" s="198"/>
      <c r="U75" s="198"/>
    </row>
    <row r="76" spans="1:21" s="12" customFormat="1" x14ac:dyDescent="0.25">
      <c r="A76" s="214" t="s">
        <v>2041</v>
      </c>
      <c r="B76" s="64">
        <v>5.74</v>
      </c>
      <c r="C76" s="64">
        <v>16</v>
      </c>
      <c r="D76" s="64">
        <v>12.97</v>
      </c>
      <c r="E76" s="64">
        <v>5.32</v>
      </c>
      <c r="F76" s="64">
        <v>13</v>
      </c>
      <c r="G76" s="210" t="s">
        <v>36</v>
      </c>
      <c r="H76" s="210" t="s">
        <v>36</v>
      </c>
      <c r="I76" s="64">
        <v>1.86</v>
      </c>
      <c r="J76" s="64">
        <v>0.11</v>
      </c>
      <c r="K76" s="64">
        <v>178.66</v>
      </c>
      <c r="L76" s="64">
        <v>29.54</v>
      </c>
      <c r="M76" s="64">
        <v>80.64</v>
      </c>
      <c r="N76" s="64">
        <v>84</v>
      </c>
      <c r="O76" s="64">
        <v>0</v>
      </c>
      <c r="P76" s="64">
        <v>0.28000000000000003</v>
      </c>
      <c r="Q76" s="64">
        <v>9.23</v>
      </c>
      <c r="R76" s="198"/>
      <c r="S76" s="198"/>
      <c r="T76" s="198"/>
      <c r="U76" s="198"/>
    </row>
    <row r="77" spans="1:21" s="12" customFormat="1" x14ac:dyDescent="0.25">
      <c r="A77" s="214" t="s">
        <v>2042</v>
      </c>
      <c r="B77" s="64">
        <v>5.27</v>
      </c>
      <c r="C77" s="64">
        <v>14.46</v>
      </c>
      <c r="D77" s="64">
        <v>11.79</v>
      </c>
      <c r="E77" s="64">
        <v>5.77</v>
      </c>
      <c r="F77" s="64">
        <v>9.85</v>
      </c>
      <c r="G77" s="210" t="s">
        <v>36</v>
      </c>
      <c r="H77" s="210" t="s">
        <v>36</v>
      </c>
      <c r="I77" s="64">
        <v>1.89</v>
      </c>
      <c r="J77" s="64">
        <v>0.05</v>
      </c>
      <c r="K77" s="64">
        <v>200.37</v>
      </c>
      <c r="L77" s="64">
        <v>29.2</v>
      </c>
      <c r="M77" s="64">
        <v>80.72</v>
      </c>
      <c r="N77" s="64">
        <v>73.099999999999994</v>
      </c>
      <c r="O77" s="64">
        <v>0</v>
      </c>
      <c r="P77" s="64">
        <v>0.27</v>
      </c>
      <c r="Q77" s="64">
        <v>9.2200000000000006</v>
      </c>
      <c r="R77" s="198"/>
      <c r="S77" s="198"/>
      <c r="T77" s="198"/>
      <c r="U77" s="198"/>
    </row>
    <row r="78" spans="1:21" s="12" customFormat="1" x14ac:dyDescent="0.25">
      <c r="A78" s="214" t="s">
        <v>2043</v>
      </c>
      <c r="B78" s="64">
        <v>5.03</v>
      </c>
      <c r="C78" s="64">
        <v>15.96</v>
      </c>
      <c r="D78" s="64">
        <v>12.37</v>
      </c>
      <c r="E78" s="64">
        <v>5.08</v>
      </c>
      <c r="F78" s="64">
        <v>11.33</v>
      </c>
      <c r="G78" s="210" t="s">
        <v>36</v>
      </c>
      <c r="H78" s="210" t="s">
        <v>36</v>
      </c>
      <c r="I78" s="64">
        <v>1.86</v>
      </c>
      <c r="J78" s="64">
        <v>0.03</v>
      </c>
      <c r="K78" s="64">
        <v>218.79</v>
      </c>
      <c r="L78" s="64">
        <v>28.99</v>
      </c>
      <c r="M78" s="64">
        <v>84.83</v>
      </c>
      <c r="N78" s="64">
        <v>65.400000000000006</v>
      </c>
      <c r="O78" s="64">
        <v>0</v>
      </c>
      <c r="P78" s="64">
        <v>0.27</v>
      </c>
      <c r="Q78" s="64">
        <v>9.1999999999999993</v>
      </c>
      <c r="R78" s="198"/>
      <c r="S78" s="198"/>
      <c r="T78" s="198"/>
      <c r="U78" s="198"/>
    </row>
    <row r="79" spans="1:21" s="12" customFormat="1" x14ac:dyDescent="0.25">
      <c r="A79" s="214" t="s">
        <v>2044</v>
      </c>
      <c r="B79" s="64">
        <v>5.0999999999999996</v>
      </c>
      <c r="C79" s="64">
        <v>16.350000000000001</v>
      </c>
      <c r="D79" s="64">
        <v>12.63</v>
      </c>
      <c r="E79" s="64">
        <v>5.09</v>
      </c>
      <c r="F79" s="64">
        <v>11.47</v>
      </c>
      <c r="G79" s="210" t="s">
        <v>36</v>
      </c>
      <c r="H79" s="210" t="s">
        <v>36</v>
      </c>
      <c r="I79" s="64">
        <v>1.74</v>
      </c>
      <c r="J79" s="64">
        <v>0.06</v>
      </c>
      <c r="K79" s="64">
        <v>143.59</v>
      </c>
      <c r="L79" s="64">
        <v>28.74</v>
      </c>
      <c r="M79" s="64">
        <v>89.55</v>
      </c>
      <c r="N79" s="64">
        <v>57</v>
      </c>
      <c r="O79" s="64">
        <v>0</v>
      </c>
      <c r="P79" s="64">
        <v>0.3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14" t="s">
        <v>2045</v>
      </c>
      <c r="B80" s="64">
        <v>5.62</v>
      </c>
      <c r="C80" s="64">
        <v>18.68</v>
      </c>
      <c r="D80" s="64">
        <v>14.26</v>
      </c>
      <c r="E80" s="64">
        <v>5.0999999999999996</v>
      </c>
      <c r="F80" s="64">
        <v>8.86</v>
      </c>
      <c r="G80" s="210" t="s">
        <v>36</v>
      </c>
      <c r="H80" s="210" t="s">
        <v>36</v>
      </c>
      <c r="I80" s="64">
        <v>1.53</v>
      </c>
      <c r="J80" s="64">
        <v>0.06</v>
      </c>
      <c r="K80" s="64">
        <v>191.07</v>
      </c>
      <c r="L80" s="64">
        <v>28.57</v>
      </c>
      <c r="M80" s="64">
        <v>91.89</v>
      </c>
      <c r="N80" s="64">
        <v>61.8</v>
      </c>
      <c r="O80" s="64">
        <v>0</v>
      </c>
      <c r="P80" s="64">
        <v>0.36</v>
      </c>
      <c r="Q80" s="64">
        <v>9.18</v>
      </c>
      <c r="R80" s="198"/>
      <c r="S80" s="198"/>
      <c r="T80" s="198"/>
      <c r="U80" s="198"/>
    </row>
    <row r="81" spans="1:26" s="12" customFormat="1" x14ac:dyDescent="0.25">
      <c r="A81" s="214" t="s">
        <v>2046</v>
      </c>
      <c r="B81" s="64">
        <v>6.34</v>
      </c>
      <c r="C81" s="64">
        <v>19.8</v>
      </c>
      <c r="D81" s="64">
        <v>15.43</v>
      </c>
      <c r="E81" s="64">
        <v>5.19</v>
      </c>
      <c r="F81" s="64">
        <v>8.64</v>
      </c>
      <c r="G81" s="210" t="s">
        <v>36</v>
      </c>
      <c r="H81" s="210" t="s">
        <v>36</v>
      </c>
      <c r="I81" s="64">
        <v>1.4</v>
      </c>
      <c r="J81" s="64">
        <v>0.08</v>
      </c>
      <c r="K81" s="64">
        <v>217.91</v>
      </c>
      <c r="L81" s="64">
        <v>28.4</v>
      </c>
      <c r="M81" s="64">
        <v>92.39</v>
      </c>
      <c r="N81" s="64">
        <v>63.2</v>
      </c>
      <c r="O81" s="64">
        <v>0</v>
      </c>
      <c r="P81" s="64">
        <v>0.4</v>
      </c>
      <c r="Q81" s="64">
        <v>9.19</v>
      </c>
      <c r="R81" s="198"/>
      <c r="S81" s="198"/>
      <c r="T81" s="198"/>
      <c r="U81" s="198"/>
    </row>
    <row r="82" spans="1:26" s="12" customFormat="1" x14ac:dyDescent="0.25">
      <c r="A82" s="214" t="s">
        <v>2047</v>
      </c>
      <c r="B82" s="64">
        <v>5.74</v>
      </c>
      <c r="C82" s="64">
        <v>15.76</v>
      </c>
      <c r="D82" s="64">
        <v>12.84</v>
      </c>
      <c r="E82" s="64">
        <v>5.35</v>
      </c>
      <c r="F82" s="64">
        <v>11.49</v>
      </c>
      <c r="G82" s="210" t="s">
        <v>36</v>
      </c>
      <c r="H82" s="210" t="s">
        <v>36</v>
      </c>
      <c r="I82" s="64">
        <v>1.41</v>
      </c>
      <c r="J82" s="64">
        <v>0.09</v>
      </c>
      <c r="K82" s="64">
        <v>184.74</v>
      </c>
      <c r="L82" s="64">
        <v>28.26</v>
      </c>
      <c r="M82" s="64">
        <v>92.95</v>
      </c>
      <c r="N82" s="64">
        <v>62</v>
      </c>
      <c r="O82" s="64">
        <v>0</v>
      </c>
      <c r="P82" s="64">
        <v>0.35</v>
      </c>
      <c r="Q82" s="64">
        <v>9.1999999999999993</v>
      </c>
      <c r="R82" s="198"/>
      <c r="S82" s="198"/>
      <c r="T82" s="198"/>
      <c r="U82" s="198"/>
    </row>
    <row r="83" spans="1:26" s="12" customFormat="1" x14ac:dyDescent="0.25">
      <c r="A83" s="214" t="s">
        <v>2048</v>
      </c>
      <c r="B83" s="64">
        <v>13.57</v>
      </c>
      <c r="C83" s="64">
        <v>24.96</v>
      </c>
      <c r="D83" s="64">
        <v>23.93</v>
      </c>
      <c r="E83" s="64">
        <v>5.51</v>
      </c>
      <c r="F83" s="64">
        <v>8.4499999999999993</v>
      </c>
      <c r="G83" s="210" t="s">
        <v>36</v>
      </c>
      <c r="H83" s="210" t="s">
        <v>36</v>
      </c>
      <c r="I83" s="64">
        <v>1.39</v>
      </c>
      <c r="J83" s="64">
        <v>0.35</v>
      </c>
      <c r="K83" s="64">
        <v>132.21</v>
      </c>
      <c r="L83" s="64">
        <v>28.12</v>
      </c>
      <c r="M83" s="64">
        <v>95.8</v>
      </c>
      <c r="N83" s="64">
        <v>49.2</v>
      </c>
      <c r="O83" s="64">
        <v>0</v>
      </c>
      <c r="P83" s="64">
        <v>0.42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4" t="s">
        <v>2049</v>
      </c>
      <c r="B84" s="64">
        <v>9.02</v>
      </c>
      <c r="C84" s="64">
        <v>24.17</v>
      </c>
      <c r="D84" s="64">
        <v>19.86</v>
      </c>
      <c r="E84" s="64">
        <v>5.5</v>
      </c>
      <c r="F84" s="64">
        <v>9.1</v>
      </c>
      <c r="G84" s="210" t="s">
        <v>36</v>
      </c>
      <c r="H84" s="210" t="s">
        <v>36</v>
      </c>
      <c r="I84" s="64">
        <v>1.32</v>
      </c>
      <c r="J84" s="64">
        <v>0.01</v>
      </c>
      <c r="K84" s="64">
        <v>262.89</v>
      </c>
      <c r="L84" s="64">
        <v>27.92</v>
      </c>
      <c r="M84" s="64">
        <v>96.12</v>
      </c>
      <c r="N84" s="64">
        <v>43</v>
      </c>
      <c r="O84" s="64">
        <v>0</v>
      </c>
      <c r="P84" s="64">
        <v>0.45</v>
      </c>
      <c r="Q84" s="64">
        <v>9.2899999999999991</v>
      </c>
      <c r="R84" s="198"/>
      <c r="S84" s="198"/>
      <c r="T84" s="198"/>
      <c r="U84" s="198"/>
    </row>
    <row r="85" spans="1:26" s="12" customFormat="1" x14ac:dyDescent="0.25">
      <c r="A85" s="214" t="s">
        <v>2050</v>
      </c>
      <c r="B85" s="64">
        <v>7.42</v>
      </c>
      <c r="C85" s="64">
        <v>23.14</v>
      </c>
      <c r="D85" s="64">
        <v>18.04</v>
      </c>
      <c r="E85" s="64">
        <v>5.23</v>
      </c>
      <c r="F85" s="64">
        <v>7.6</v>
      </c>
      <c r="G85" s="64">
        <v>81.03</v>
      </c>
      <c r="H85" s="64">
        <v>84.55</v>
      </c>
      <c r="I85" s="64">
        <v>1.17</v>
      </c>
      <c r="J85" s="64">
        <v>0.08</v>
      </c>
      <c r="K85" s="64">
        <v>153.05000000000001</v>
      </c>
      <c r="L85" s="64">
        <v>27.77</v>
      </c>
      <c r="M85" s="64">
        <v>97.08</v>
      </c>
      <c r="N85" s="64">
        <v>42.9</v>
      </c>
      <c r="O85" s="64">
        <v>0</v>
      </c>
      <c r="P85" s="64">
        <v>0.57999999999999996</v>
      </c>
      <c r="Q85" s="64">
        <v>9.33</v>
      </c>
      <c r="R85" s="198"/>
      <c r="S85" s="198"/>
      <c r="T85" s="198"/>
      <c r="U85" s="198"/>
    </row>
    <row r="86" spans="1:26" s="12" customFormat="1" x14ac:dyDescent="0.25">
      <c r="A86" s="214" t="s">
        <v>2051</v>
      </c>
      <c r="B86" s="64">
        <v>11.51</v>
      </c>
      <c r="C86" s="64">
        <v>30.82</v>
      </c>
      <c r="D86" s="64">
        <v>25.33</v>
      </c>
      <c r="E86" s="64">
        <v>5.37</v>
      </c>
      <c r="F86" s="64">
        <v>5.7</v>
      </c>
      <c r="G86" s="64">
        <v>86.82</v>
      </c>
      <c r="H86" s="64">
        <v>84.55</v>
      </c>
      <c r="I86" s="64">
        <v>1.1399999999999999</v>
      </c>
      <c r="J86" s="64">
        <v>0.06</v>
      </c>
      <c r="K86" s="64">
        <v>91.77</v>
      </c>
      <c r="L86" s="64">
        <v>27.63</v>
      </c>
      <c r="M86" s="64">
        <v>97.73</v>
      </c>
      <c r="N86" s="64">
        <v>42.9</v>
      </c>
      <c r="O86" s="64">
        <v>0</v>
      </c>
      <c r="P86" s="64">
        <v>0.56999999999999995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4" t="s">
        <v>2052</v>
      </c>
      <c r="B87" s="64">
        <v>12.3</v>
      </c>
      <c r="C87" s="64">
        <v>29.23</v>
      </c>
      <c r="D87" s="64">
        <v>25.13</v>
      </c>
      <c r="E87" s="64">
        <v>5.22</v>
      </c>
      <c r="F87" s="64">
        <v>6.89</v>
      </c>
      <c r="G87" s="64">
        <v>86.82</v>
      </c>
      <c r="H87" s="64">
        <v>84.55</v>
      </c>
      <c r="I87" s="64">
        <v>1.29</v>
      </c>
      <c r="J87" s="64">
        <v>7.0000000000000007E-2</v>
      </c>
      <c r="K87" s="64">
        <v>228.93</v>
      </c>
      <c r="L87" s="64">
        <v>27.59</v>
      </c>
      <c r="M87" s="64">
        <v>97.82</v>
      </c>
      <c r="N87" s="64">
        <v>43</v>
      </c>
      <c r="O87" s="64">
        <v>0</v>
      </c>
      <c r="P87" s="64">
        <v>0.7</v>
      </c>
      <c r="Q87" s="64">
        <v>9.32</v>
      </c>
      <c r="R87" s="198"/>
      <c r="S87" s="198"/>
      <c r="T87" s="198"/>
      <c r="U87" s="198"/>
    </row>
    <row r="88" spans="1:26" s="12" customFormat="1" x14ac:dyDescent="0.25">
      <c r="A88" s="214" t="s">
        <v>2053</v>
      </c>
      <c r="B88" s="64">
        <v>7.18</v>
      </c>
      <c r="C88" s="64">
        <v>22.54</v>
      </c>
      <c r="D88" s="64">
        <v>17.53</v>
      </c>
      <c r="E88" s="64">
        <v>4.82</v>
      </c>
      <c r="F88" s="64">
        <v>9.31</v>
      </c>
      <c r="G88" s="64">
        <v>86.82</v>
      </c>
      <c r="H88" s="64">
        <v>84.55</v>
      </c>
      <c r="I88" s="64">
        <v>1.36</v>
      </c>
      <c r="J88" s="64">
        <v>0.13</v>
      </c>
      <c r="K88" s="64">
        <v>151.5</v>
      </c>
      <c r="L88" s="64">
        <v>27.53</v>
      </c>
      <c r="M88" s="64">
        <v>97.83</v>
      </c>
      <c r="N88" s="64">
        <v>42.8</v>
      </c>
      <c r="O88" s="64">
        <v>0</v>
      </c>
      <c r="P88" s="64">
        <v>0.53</v>
      </c>
      <c r="Q88" s="64">
        <v>9.3000000000000007</v>
      </c>
      <c r="R88" s="198"/>
      <c r="S88" s="198"/>
      <c r="T88" s="198"/>
      <c r="U88" s="198"/>
    </row>
    <row r="89" spans="1:26" s="12" customFormat="1" x14ac:dyDescent="0.25">
      <c r="A89" s="214" t="s">
        <v>2054</v>
      </c>
      <c r="B89" s="64">
        <v>8.06</v>
      </c>
      <c r="C89" s="64">
        <v>23.16</v>
      </c>
      <c r="D89" s="64">
        <v>18.559999999999999</v>
      </c>
      <c r="E89" s="64">
        <v>4.91</v>
      </c>
      <c r="F89" s="64">
        <v>5.94</v>
      </c>
      <c r="G89" s="64">
        <v>58.46</v>
      </c>
      <c r="H89" s="64">
        <v>56.8</v>
      </c>
      <c r="I89" s="64">
        <v>1.39</v>
      </c>
      <c r="J89" s="64">
        <v>0.03</v>
      </c>
      <c r="K89" s="64">
        <v>225.2</v>
      </c>
      <c r="L89" s="64">
        <v>27.44</v>
      </c>
      <c r="M89" s="64">
        <v>97.8</v>
      </c>
      <c r="N89" s="64">
        <v>42.9</v>
      </c>
      <c r="O89" s="64">
        <v>0</v>
      </c>
      <c r="P89" s="64">
        <v>0.6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4" t="s">
        <v>2055</v>
      </c>
      <c r="B90" s="64">
        <v>20.13</v>
      </c>
      <c r="C90" s="64">
        <v>28.02</v>
      </c>
      <c r="D90" s="64">
        <v>30.78</v>
      </c>
      <c r="E90" s="64">
        <v>5.19</v>
      </c>
      <c r="F90" s="64">
        <v>4.37</v>
      </c>
      <c r="G90" s="64">
        <v>56.43</v>
      </c>
      <c r="H90" s="64">
        <v>56.8</v>
      </c>
      <c r="I90" s="64">
        <v>1.45</v>
      </c>
      <c r="J90" s="64">
        <v>0.06</v>
      </c>
      <c r="K90" s="64">
        <v>293.10000000000002</v>
      </c>
      <c r="L90" s="64">
        <v>27.16</v>
      </c>
      <c r="M90" s="64">
        <v>97.86</v>
      </c>
      <c r="N90" s="64">
        <v>43.1</v>
      </c>
      <c r="O90" s="64">
        <v>0</v>
      </c>
      <c r="P90" s="64">
        <v>0.74</v>
      </c>
      <c r="Q90" s="64">
        <v>9.31</v>
      </c>
      <c r="R90" s="198"/>
      <c r="S90" s="198"/>
      <c r="T90" s="198"/>
      <c r="U90" s="198"/>
    </row>
    <row r="91" spans="1:26" s="12" customFormat="1" x14ac:dyDescent="0.25">
      <c r="A91" s="214" t="s">
        <v>2056</v>
      </c>
      <c r="B91" s="64">
        <v>23.86</v>
      </c>
      <c r="C91" s="64">
        <v>25.78</v>
      </c>
      <c r="D91" s="64">
        <v>32.6</v>
      </c>
      <c r="E91" s="64">
        <v>5.51</v>
      </c>
      <c r="F91" s="64">
        <v>5.27</v>
      </c>
      <c r="G91" s="64">
        <v>56.43</v>
      </c>
      <c r="H91" s="64">
        <v>56.8</v>
      </c>
      <c r="I91" s="64">
        <v>1.5</v>
      </c>
      <c r="J91" s="64">
        <v>0.18</v>
      </c>
      <c r="K91" s="64">
        <v>128.02000000000001</v>
      </c>
      <c r="L91" s="64">
        <v>27.03</v>
      </c>
      <c r="M91" s="64">
        <v>97.87</v>
      </c>
      <c r="N91" s="64">
        <v>42.8</v>
      </c>
      <c r="O91" s="64">
        <v>0</v>
      </c>
      <c r="P91" s="64">
        <v>0.83</v>
      </c>
      <c r="Q91" s="64">
        <v>9.32</v>
      </c>
      <c r="R91" s="198"/>
      <c r="S91" s="198"/>
      <c r="T91" s="198"/>
      <c r="U91" s="198"/>
    </row>
    <row r="92" spans="1:26" s="12" customFormat="1" x14ac:dyDescent="0.25">
      <c r="A92" s="214" t="s">
        <v>2057</v>
      </c>
      <c r="B92" s="64">
        <v>18.940000000000001</v>
      </c>
      <c r="C92" s="64">
        <v>22.69</v>
      </c>
      <c r="D92" s="64">
        <v>27.05</v>
      </c>
      <c r="E92" s="64">
        <v>5.31</v>
      </c>
      <c r="F92" s="64">
        <v>6.77</v>
      </c>
      <c r="G92" s="64">
        <v>56.43</v>
      </c>
      <c r="H92" s="64">
        <v>56.8</v>
      </c>
      <c r="I92" s="64">
        <v>1.58</v>
      </c>
      <c r="J92" s="64">
        <v>0.21</v>
      </c>
      <c r="K92" s="64">
        <v>150.97999999999999</v>
      </c>
      <c r="L92" s="64">
        <v>27.28</v>
      </c>
      <c r="M92" s="64">
        <v>97.85</v>
      </c>
      <c r="N92" s="64">
        <v>42.8</v>
      </c>
      <c r="O92" s="64">
        <v>0</v>
      </c>
      <c r="P92" s="64">
        <v>0.53</v>
      </c>
      <c r="Q92" s="64">
        <v>9.33</v>
      </c>
      <c r="R92" s="198"/>
      <c r="S92" s="198"/>
      <c r="T92" s="198"/>
      <c r="U92" s="198"/>
    </row>
    <row r="93" spans="1:26" s="12" customFormat="1" x14ac:dyDescent="0.25">
      <c r="A93" s="214" t="s">
        <v>2058</v>
      </c>
      <c r="B93" s="64">
        <v>19.100000000000001</v>
      </c>
      <c r="C93" s="64">
        <v>20.76</v>
      </c>
      <c r="D93" s="64">
        <v>26.17</v>
      </c>
      <c r="E93" s="64">
        <v>5.28</v>
      </c>
      <c r="F93" s="64">
        <v>8.2200000000000006</v>
      </c>
      <c r="G93" s="64">
        <v>50.22</v>
      </c>
      <c r="H93" s="64">
        <v>34.08</v>
      </c>
      <c r="I93" s="64">
        <v>1.66</v>
      </c>
      <c r="J93" s="64">
        <v>0.18</v>
      </c>
      <c r="K93" s="64">
        <v>140.72999999999999</v>
      </c>
      <c r="L93" s="64">
        <v>27.24</v>
      </c>
      <c r="M93" s="64">
        <v>97.87</v>
      </c>
      <c r="N93" s="64">
        <v>42.9</v>
      </c>
      <c r="O93" s="64">
        <v>0</v>
      </c>
      <c r="P93" s="64">
        <v>0.47</v>
      </c>
      <c r="Q93" s="64">
        <v>9.35</v>
      </c>
      <c r="R93" s="198"/>
      <c r="S93" s="198"/>
      <c r="T93" s="198"/>
      <c r="U93" s="198"/>
    </row>
    <row r="94" spans="1:26" s="12" customFormat="1" x14ac:dyDescent="0.25">
      <c r="A94" s="214" t="s">
        <v>2059</v>
      </c>
      <c r="B94" s="64">
        <v>15.31</v>
      </c>
      <c r="C94" s="64">
        <v>19.13</v>
      </c>
      <c r="D94" s="64">
        <v>22.27</v>
      </c>
      <c r="E94" s="64">
        <v>5.14</v>
      </c>
      <c r="F94" s="64">
        <v>6.65</v>
      </c>
      <c r="G94" s="64">
        <v>49.78</v>
      </c>
      <c r="H94" s="64">
        <v>34.08</v>
      </c>
      <c r="I94" s="64">
        <v>1.7</v>
      </c>
      <c r="J94" s="64">
        <v>0.03</v>
      </c>
      <c r="K94" s="64">
        <v>279.89999999999998</v>
      </c>
      <c r="L94" s="64">
        <v>27.06</v>
      </c>
      <c r="M94" s="64">
        <v>97.9</v>
      </c>
      <c r="N94" s="64">
        <v>43.4</v>
      </c>
      <c r="O94" s="64">
        <v>0</v>
      </c>
      <c r="P94" s="64">
        <v>0.56000000000000005</v>
      </c>
      <c r="Q94" s="64">
        <v>9.3699999999999992</v>
      </c>
      <c r="R94" s="198"/>
      <c r="S94" s="198"/>
      <c r="T94" s="198"/>
      <c r="U94" s="198"/>
    </row>
    <row r="95" spans="1:26" s="12" customFormat="1" x14ac:dyDescent="0.25">
      <c r="A95" s="214" t="s">
        <v>2060</v>
      </c>
      <c r="B95" s="64">
        <v>9.42</v>
      </c>
      <c r="C95" s="64">
        <v>14.23</v>
      </c>
      <c r="D95" s="64">
        <v>14.99</v>
      </c>
      <c r="E95" s="64">
        <v>5.15</v>
      </c>
      <c r="F95" s="64">
        <v>8.4700000000000006</v>
      </c>
      <c r="G95" s="64">
        <v>49.78</v>
      </c>
      <c r="H95" s="64">
        <v>34.08</v>
      </c>
      <c r="I95" s="64">
        <v>1.72</v>
      </c>
      <c r="J95" s="64">
        <v>0.16</v>
      </c>
      <c r="K95" s="64">
        <v>144.19</v>
      </c>
      <c r="L95" s="64">
        <v>26.8</v>
      </c>
      <c r="M95" s="64">
        <v>97.96</v>
      </c>
      <c r="N95" s="64">
        <v>43.3</v>
      </c>
      <c r="O95" s="64">
        <v>0</v>
      </c>
      <c r="P95" s="64">
        <v>0.49</v>
      </c>
      <c r="Q95" s="64">
        <v>9.36</v>
      </c>
      <c r="R95" s="198"/>
      <c r="S95" s="198"/>
      <c r="T95" s="198"/>
      <c r="U95" s="198"/>
    </row>
    <row r="96" spans="1:26" s="12" customFormat="1" x14ac:dyDescent="0.25">
      <c r="A96" s="214" t="s">
        <v>2061</v>
      </c>
      <c r="B96" s="64">
        <v>8.1999999999999993</v>
      </c>
      <c r="C96" s="64">
        <v>14.68</v>
      </c>
      <c r="D96" s="64">
        <v>14.24</v>
      </c>
      <c r="E96" s="64">
        <v>5.38</v>
      </c>
      <c r="F96" s="64">
        <v>7.09</v>
      </c>
      <c r="G96" s="64">
        <v>49.78</v>
      </c>
      <c r="H96" s="64">
        <v>34.08</v>
      </c>
      <c r="I96" s="64">
        <v>1.72</v>
      </c>
      <c r="J96" s="64">
        <v>0.04</v>
      </c>
      <c r="K96" s="64">
        <v>151.16</v>
      </c>
      <c r="L96" s="64">
        <v>26.63</v>
      </c>
      <c r="M96" s="64">
        <v>97.98</v>
      </c>
      <c r="N96" s="64">
        <v>43.5</v>
      </c>
      <c r="O96" s="64">
        <v>0</v>
      </c>
      <c r="P96" s="64">
        <v>0.45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2062</v>
      </c>
      <c r="B97" s="64">
        <v>8.81</v>
      </c>
      <c r="C97" s="64">
        <v>16.62</v>
      </c>
      <c r="D97" s="64">
        <v>15.75</v>
      </c>
      <c r="E97" s="64">
        <v>5.47</v>
      </c>
      <c r="F97" s="64">
        <v>6.64</v>
      </c>
      <c r="G97" s="64">
        <v>48.27</v>
      </c>
      <c r="H97" s="64">
        <v>20.36</v>
      </c>
      <c r="I97" s="64">
        <v>1.72</v>
      </c>
      <c r="J97" s="64">
        <v>0.03</v>
      </c>
      <c r="K97" s="64">
        <v>94.67</v>
      </c>
      <c r="L97" s="64">
        <v>26.46</v>
      </c>
      <c r="M97" s="64">
        <v>97.96</v>
      </c>
      <c r="N97" s="64">
        <v>43.7</v>
      </c>
      <c r="O97" s="64">
        <v>0</v>
      </c>
      <c r="P97" s="64">
        <v>0.4</v>
      </c>
      <c r="Q97" s="64">
        <v>9.35</v>
      </c>
      <c r="R97" s="198"/>
      <c r="S97" s="198"/>
      <c r="T97" s="198"/>
      <c r="U97" s="198"/>
    </row>
    <row r="98" spans="1:33" s="12" customFormat="1" x14ac:dyDescent="0.25">
      <c r="A98" s="214" t="s">
        <v>2063</v>
      </c>
      <c r="B98" s="64">
        <v>9.85</v>
      </c>
      <c r="C98" s="64">
        <v>14.19</v>
      </c>
      <c r="D98" s="64">
        <v>15.31</v>
      </c>
      <c r="E98" s="64">
        <v>5</v>
      </c>
      <c r="F98" s="64">
        <v>5.24</v>
      </c>
      <c r="G98" s="64">
        <v>48.16</v>
      </c>
      <c r="H98" s="64">
        <v>20.36</v>
      </c>
      <c r="I98" s="64">
        <v>1.73</v>
      </c>
      <c r="J98" s="64">
        <v>0.04</v>
      </c>
      <c r="K98" s="64">
        <v>267.23</v>
      </c>
      <c r="L98" s="64">
        <v>26.29</v>
      </c>
      <c r="M98" s="64">
        <v>98.01</v>
      </c>
      <c r="N98" s="64">
        <v>43.9</v>
      </c>
      <c r="O98" s="64">
        <v>0</v>
      </c>
      <c r="P98" s="64">
        <v>0.49</v>
      </c>
      <c r="Q98" s="64">
        <v>9.34</v>
      </c>
      <c r="R98" s="198"/>
      <c r="S98" s="198"/>
      <c r="T98" s="198"/>
      <c r="U98" s="198"/>
    </row>
    <row r="99" spans="1:33" s="12" customFormat="1" x14ac:dyDescent="0.25">
      <c r="A99" s="214" t="s">
        <v>2064</v>
      </c>
      <c r="B99" s="64">
        <v>8.66</v>
      </c>
      <c r="C99" s="64">
        <v>12.14</v>
      </c>
      <c r="D99" s="64">
        <v>13.29</v>
      </c>
      <c r="E99" s="64">
        <v>5.05</v>
      </c>
      <c r="F99" s="64">
        <v>7.03</v>
      </c>
      <c r="G99" s="64">
        <v>48.16</v>
      </c>
      <c r="H99" s="64">
        <v>20.36</v>
      </c>
      <c r="I99" s="64">
        <v>1.73</v>
      </c>
      <c r="J99" s="64">
        <v>0.13</v>
      </c>
      <c r="K99" s="64">
        <v>141.54</v>
      </c>
      <c r="L99" s="64">
        <v>26.14</v>
      </c>
      <c r="M99" s="64">
        <v>98.03</v>
      </c>
      <c r="N99" s="64">
        <v>44.3</v>
      </c>
      <c r="O99" s="64">
        <v>0</v>
      </c>
      <c r="P99" s="64">
        <v>0.33</v>
      </c>
      <c r="Q99" s="64">
        <v>9.34</v>
      </c>
      <c r="R99" s="198"/>
      <c r="S99" s="198"/>
      <c r="T99" s="198"/>
      <c r="U99" s="198"/>
    </row>
    <row r="100" spans="1:33" s="12" customFormat="1" x14ac:dyDescent="0.25">
      <c r="A100" s="214" t="s">
        <v>2065</v>
      </c>
      <c r="B100" s="64">
        <v>9.67</v>
      </c>
      <c r="C100" s="64">
        <v>14.67</v>
      </c>
      <c r="D100" s="64">
        <v>15.42</v>
      </c>
      <c r="E100" s="64">
        <v>5.27</v>
      </c>
      <c r="F100" s="64">
        <v>6</v>
      </c>
      <c r="G100" s="64">
        <v>48.16</v>
      </c>
      <c r="H100" s="64">
        <v>20.36</v>
      </c>
      <c r="I100" s="64">
        <v>1.73</v>
      </c>
      <c r="J100" s="64">
        <v>0.1</v>
      </c>
      <c r="K100" s="64">
        <v>177.62</v>
      </c>
      <c r="L100" s="64">
        <v>26.01</v>
      </c>
      <c r="M100" s="64">
        <v>98.03</v>
      </c>
      <c r="N100" s="64">
        <v>44.3</v>
      </c>
      <c r="O100" s="64">
        <v>0</v>
      </c>
      <c r="P100" s="64">
        <v>0.36</v>
      </c>
      <c r="Q100" s="64">
        <v>9.32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2066</v>
      </c>
      <c r="B101" s="64">
        <v>8.5399999999999991</v>
      </c>
      <c r="C101" s="64">
        <v>11.83</v>
      </c>
      <c r="D101" s="64">
        <v>13.03</v>
      </c>
      <c r="E101" s="64">
        <v>4.9800000000000004</v>
      </c>
      <c r="F101" s="64">
        <v>8.51</v>
      </c>
      <c r="G101" s="64">
        <v>43.64</v>
      </c>
      <c r="H101" s="64">
        <v>19.97</v>
      </c>
      <c r="I101" s="64">
        <v>1.73</v>
      </c>
      <c r="J101" s="64">
        <v>0.18</v>
      </c>
      <c r="K101" s="64">
        <v>120.1</v>
      </c>
      <c r="L101" s="64">
        <v>26.01</v>
      </c>
      <c r="M101" s="64">
        <v>98.03</v>
      </c>
      <c r="N101" s="64">
        <v>44.3</v>
      </c>
      <c r="O101" s="64">
        <v>0</v>
      </c>
      <c r="P101" s="64">
        <v>0.35</v>
      </c>
      <c r="Q101" s="64">
        <v>9.32</v>
      </c>
      <c r="R101" s="198"/>
      <c r="S101" s="198"/>
      <c r="T101" s="198"/>
      <c r="U101" s="198"/>
    </row>
    <row r="102" spans="1:33" s="12" customFormat="1" x14ac:dyDescent="0.25">
      <c r="A102" s="214" t="s">
        <v>2067</v>
      </c>
      <c r="B102" s="64">
        <v>7.09</v>
      </c>
      <c r="C102" s="64">
        <v>10.85</v>
      </c>
      <c r="D102" s="64">
        <v>11.36</v>
      </c>
      <c r="E102" s="64">
        <v>4.9000000000000004</v>
      </c>
      <c r="F102" s="64">
        <v>8.9499999999999993</v>
      </c>
      <c r="G102" s="64">
        <v>43.31</v>
      </c>
      <c r="H102" s="64">
        <v>19.97</v>
      </c>
      <c r="I102" s="64">
        <v>1.71</v>
      </c>
      <c r="J102" s="64">
        <v>0.03</v>
      </c>
      <c r="K102" s="64">
        <v>347.09</v>
      </c>
      <c r="L102" s="64">
        <v>25.91</v>
      </c>
      <c r="M102" s="64">
        <v>98.06</v>
      </c>
      <c r="N102" s="64">
        <v>44.5</v>
      </c>
      <c r="O102" s="64">
        <v>0</v>
      </c>
      <c r="P102" s="64">
        <v>0.28000000000000003</v>
      </c>
      <c r="Q102" s="64">
        <v>9.32</v>
      </c>
      <c r="R102" s="198"/>
      <c r="S102" s="198"/>
      <c r="T102" s="198"/>
      <c r="U102" s="198"/>
    </row>
    <row r="103" spans="1:33" s="12" customFormat="1" x14ac:dyDescent="0.25">
      <c r="A103" s="214" t="s">
        <v>2068</v>
      </c>
      <c r="B103" s="64">
        <v>7.77</v>
      </c>
      <c r="C103" s="64">
        <v>9.89</v>
      </c>
      <c r="D103" s="64">
        <v>11.4</v>
      </c>
      <c r="E103" s="64">
        <v>4.76</v>
      </c>
      <c r="F103" s="64">
        <v>6.56</v>
      </c>
      <c r="G103" s="64">
        <v>43.31</v>
      </c>
      <c r="H103" s="64">
        <v>19.97</v>
      </c>
      <c r="I103" s="64">
        <v>1.7</v>
      </c>
      <c r="J103" s="64">
        <v>0.03</v>
      </c>
      <c r="K103" s="64">
        <v>125.68</v>
      </c>
      <c r="L103" s="64">
        <v>25.76</v>
      </c>
      <c r="M103" s="64">
        <v>98.07</v>
      </c>
      <c r="N103" s="64">
        <v>44.5</v>
      </c>
      <c r="O103" s="64">
        <v>0</v>
      </c>
      <c r="P103" s="64">
        <v>0.34</v>
      </c>
      <c r="Q103" s="64">
        <v>9.31</v>
      </c>
      <c r="R103" s="198"/>
      <c r="S103" s="198"/>
      <c r="T103" s="198"/>
      <c r="U103" s="198"/>
    </row>
    <row r="104" spans="1:33" s="12" customFormat="1" x14ac:dyDescent="0.25">
      <c r="A104" s="214" t="s">
        <v>2069</v>
      </c>
      <c r="B104" s="64">
        <v>10.42</v>
      </c>
      <c r="C104" s="64">
        <v>10.09</v>
      </c>
      <c r="D104" s="64">
        <v>13.63</v>
      </c>
      <c r="E104" s="64">
        <v>5.23</v>
      </c>
      <c r="F104" s="64">
        <v>7.68</v>
      </c>
      <c r="G104" s="64">
        <v>43.31</v>
      </c>
      <c r="H104" s="64">
        <v>19.97</v>
      </c>
      <c r="I104" s="64">
        <v>1.69</v>
      </c>
      <c r="J104" s="64">
        <v>0.03</v>
      </c>
      <c r="K104" s="64">
        <v>84</v>
      </c>
      <c r="L104" s="64">
        <v>25.62</v>
      </c>
      <c r="M104" s="64">
        <v>98.09</v>
      </c>
      <c r="N104" s="64">
        <v>44.5</v>
      </c>
      <c r="O104" s="64">
        <v>0</v>
      </c>
      <c r="P104" s="64">
        <v>0.32</v>
      </c>
      <c r="Q104" s="64">
        <v>9.3000000000000007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4.9400000000000004</v>
      </c>
      <c r="D106" s="67">
        <f t="shared" ref="D106:Q106" si="0">MIN(D9:D104)</f>
        <v>2.58</v>
      </c>
      <c r="E106" s="67">
        <f t="shared" si="0"/>
        <v>2.86</v>
      </c>
      <c r="F106" s="67">
        <f t="shared" si="0"/>
        <v>2.52</v>
      </c>
      <c r="G106" s="67">
        <f t="shared" si="0"/>
        <v>13.22</v>
      </c>
      <c r="H106" s="67">
        <f t="shared" si="0"/>
        <v>1.74</v>
      </c>
      <c r="I106" s="67">
        <f t="shared" si="0"/>
        <v>1.1399999999999999</v>
      </c>
      <c r="J106" s="67">
        <f t="shared" si="0"/>
        <v>0</v>
      </c>
      <c r="K106" s="67">
        <f t="shared" si="0"/>
        <v>6.17</v>
      </c>
      <c r="L106" s="67">
        <f t="shared" si="0"/>
        <v>22.5</v>
      </c>
      <c r="M106" s="67">
        <f t="shared" si="0"/>
        <v>70.73</v>
      </c>
      <c r="N106" s="67">
        <f t="shared" si="0"/>
        <v>42.8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23.86</v>
      </c>
      <c r="C107" s="66">
        <f t="shared" ref="C107:Q107" si="1">MAX(C9:C104)</f>
        <v>30.82</v>
      </c>
      <c r="D107" s="66">
        <f t="shared" si="1"/>
        <v>32.6</v>
      </c>
      <c r="E107" s="66">
        <f t="shared" si="1"/>
        <v>5.77</v>
      </c>
      <c r="F107" s="66">
        <f t="shared" si="1"/>
        <v>17.059999999999999</v>
      </c>
      <c r="G107" s="66">
        <f t="shared" si="1"/>
        <v>266.39</v>
      </c>
      <c r="H107" s="66">
        <f t="shared" si="1"/>
        <v>84.55</v>
      </c>
      <c r="I107" s="66">
        <f t="shared" si="1"/>
        <v>13.4</v>
      </c>
      <c r="J107" s="66">
        <f t="shared" si="1"/>
        <v>0.54</v>
      </c>
      <c r="K107" s="66">
        <f t="shared" si="1"/>
        <v>347.09</v>
      </c>
      <c r="L107" s="66">
        <f t="shared" si="1"/>
        <v>31.87</v>
      </c>
      <c r="M107" s="66">
        <f t="shared" si="1"/>
        <v>98.16</v>
      </c>
      <c r="N107" s="66">
        <f t="shared" si="1"/>
        <v>970.4</v>
      </c>
      <c r="O107" s="66">
        <f t="shared" si="1"/>
        <v>0.4</v>
      </c>
      <c r="P107" s="66">
        <f t="shared" si="1"/>
        <v>0.83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6.616979166666666</v>
      </c>
      <c r="C108" s="67">
        <f t="shared" ref="C108:Q108" si="2">AVERAGE(C9:C104)</f>
        <v>13.924270833333333</v>
      </c>
      <c r="D108" s="67">
        <f t="shared" si="2"/>
        <v>12.648125</v>
      </c>
      <c r="E108" s="67">
        <f t="shared" si="2"/>
        <v>4.3254166666666665</v>
      </c>
      <c r="F108" s="67">
        <f t="shared" si="2"/>
        <v>7.3466666666666667</v>
      </c>
      <c r="G108" s="67">
        <f t="shared" si="2"/>
        <v>64.605512820512843</v>
      </c>
      <c r="H108" s="67">
        <f t="shared" si="2"/>
        <v>23.283333333333321</v>
      </c>
      <c r="I108" s="67">
        <f t="shared" si="2"/>
        <v>4.4907291666666689</v>
      </c>
      <c r="J108" s="67">
        <f t="shared" si="2"/>
        <v>0.12697916666666667</v>
      </c>
      <c r="K108" s="67">
        <f t="shared" si="2"/>
        <v>236.62072916666659</v>
      </c>
      <c r="L108" s="67">
        <f t="shared" si="2"/>
        <v>27.267604166666676</v>
      </c>
      <c r="M108" s="67">
        <f t="shared" si="2"/>
        <v>91.782708333333346</v>
      </c>
      <c r="N108" s="67">
        <f t="shared" si="2"/>
        <v>174.69062499999998</v>
      </c>
      <c r="O108" s="67">
        <f t="shared" si="2"/>
        <v>4.1666666666666666E-3</v>
      </c>
      <c r="P108" s="67">
        <f t="shared" si="2"/>
        <v>0.44552083333333359</v>
      </c>
      <c r="Q108" s="67">
        <f t="shared" si="2"/>
        <v>9.2691666666666688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4.217102053054588</v>
      </c>
      <c r="C109" s="67">
        <f t="shared" ref="C109:Q109" si="3">STDEV(C9:C104)</f>
        <v>5.3421637139767455</v>
      </c>
      <c r="D109" s="67">
        <f t="shared" si="3"/>
        <v>5.794087787518726</v>
      </c>
      <c r="E109" s="67">
        <f t="shared" si="3"/>
        <v>0.84765921239073705</v>
      </c>
      <c r="F109" s="67">
        <f t="shared" si="3"/>
        <v>3.2786485234545775</v>
      </c>
      <c r="G109" s="67">
        <f t="shared" si="3"/>
        <v>33.225198333178618</v>
      </c>
      <c r="H109" s="67">
        <f t="shared" si="3"/>
        <v>27.340813394196555</v>
      </c>
      <c r="I109" s="67">
        <f t="shared" si="3"/>
        <v>3.2107825721897139</v>
      </c>
      <c r="J109" s="67">
        <f t="shared" si="3"/>
        <v>0.10399513947818781</v>
      </c>
      <c r="K109" s="67">
        <f t="shared" si="3"/>
        <v>84.763239987314009</v>
      </c>
      <c r="L109" s="67">
        <f t="shared" si="3"/>
        <v>2.3603361690954858</v>
      </c>
      <c r="M109" s="67">
        <f t="shared" si="3"/>
        <v>9.5999735174157532</v>
      </c>
      <c r="N109" s="67">
        <f t="shared" si="3"/>
        <v>229.79173595058688</v>
      </c>
      <c r="O109" s="67">
        <f t="shared" si="3"/>
        <v>4.0824829046386304E-2</v>
      </c>
      <c r="P109" s="67">
        <f t="shared" si="3"/>
        <v>0.17702732344362501</v>
      </c>
      <c r="Q109" s="67">
        <f t="shared" si="3"/>
        <v>0.96554720418458762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COUNT(G9:G104)+18</f>
        <v>96</v>
      </c>
      <c r="H110" s="66">
        <f>COUNT(H9:H104)+18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2070</v>
      </c>
      <c r="B9" s="64">
        <v>9.3699999999999992</v>
      </c>
      <c r="C9" s="64">
        <v>10.46</v>
      </c>
      <c r="D9" s="64">
        <v>12.98</v>
      </c>
      <c r="E9" s="64">
        <v>5.24</v>
      </c>
      <c r="F9" s="64">
        <v>7.06</v>
      </c>
      <c r="G9" s="64">
        <v>39.71</v>
      </c>
      <c r="H9" s="64">
        <v>12.55</v>
      </c>
      <c r="I9" s="64">
        <v>1.67</v>
      </c>
      <c r="J9" s="64">
        <v>0.04</v>
      </c>
      <c r="K9" s="64">
        <v>198.57</v>
      </c>
      <c r="L9" s="64">
        <v>25.54</v>
      </c>
      <c r="M9" s="64">
        <v>98.08</v>
      </c>
      <c r="N9" s="64">
        <v>44.3</v>
      </c>
      <c r="O9" s="64">
        <v>0</v>
      </c>
      <c r="P9" s="64">
        <v>0.3</v>
      </c>
      <c r="Q9" s="64">
        <v>9.32</v>
      </c>
      <c r="R9" s="198"/>
      <c r="S9" s="198"/>
      <c r="T9" s="198"/>
      <c r="U9" s="198"/>
    </row>
    <row r="10" spans="1:21" s="12" customFormat="1" x14ac:dyDescent="0.25">
      <c r="A10" s="214" t="s">
        <v>2071</v>
      </c>
      <c r="B10" s="64">
        <v>9.4600000000000009</v>
      </c>
      <c r="C10" s="64">
        <v>11.19</v>
      </c>
      <c r="D10" s="64">
        <v>13.43</v>
      </c>
      <c r="E10" s="64">
        <v>4.79</v>
      </c>
      <c r="F10" s="64">
        <v>7.34</v>
      </c>
      <c r="G10" s="64">
        <v>39.46</v>
      </c>
      <c r="H10" s="64">
        <v>12.55</v>
      </c>
      <c r="I10" s="64">
        <v>1.66</v>
      </c>
      <c r="J10" s="64">
        <v>0.01</v>
      </c>
      <c r="K10" s="64">
        <v>71.44</v>
      </c>
      <c r="L10" s="64">
        <v>25.48</v>
      </c>
      <c r="M10" s="64">
        <v>98.1</v>
      </c>
      <c r="N10" s="64">
        <v>44.4</v>
      </c>
      <c r="O10" s="64">
        <v>0</v>
      </c>
      <c r="P10" s="64">
        <v>0.28999999999999998</v>
      </c>
      <c r="Q10" s="64">
        <v>9.33</v>
      </c>
      <c r="R10" s="198"/>
      <c r="S10" s="198"/>
      <c r="T10" s="198"/>
      <c r="U10" s="198"/>
    </row>
    <row r="11" spans="1:21" s="12" customFormat="1" x14ac:dyDescent="0.25">
      <c r="A11" s="214" t="s">
        <v>2072</v>
      </c>
      <c r="B11" s="64">
        <v>8.64</v>
      </c>
      <c r="C11" s="64">
        <v>10.09</v>
      </c>
      <c r="D11" s="64">
        <v>12.2</v>
      </c>
      <c r="E11" s="64">
        <v>4.87</v>
      </c>
      <c r="F11" s="64">
        <v>9.27</v>
      </c>
      <c r="G11" s="64">
        <v>39.46</v>
      </c>
      <c r="H11" s="64">
        <v>12.55</v>
      </c>
      <c r="I11" s="64">
        <v>1.64</v>
      </c>
      <c r="J11" s="64">
        <v>0.05</v>
      </c>
      <c r="K11" s="64">
        <v>323.52</v>
      </c>
      <c r="L11" s="64">
        <v>25.47</v>
      </c>
      <c r="M11" s="64">
        <v>98.1</v>
      </c>
      <c r="N11" s="64">
        <v>44.4</v>
      </c>
      <c r="O11" s="64">
        <v>0</v>
      </c>
      <c r="P11" s="64">
        <v>0.28999999999999998</v>
      </c>
      <c r="Q11" s="64">
        <v>9.34</v>
      </c>
      <c r="R11" s="198"/>
      <c r="S11" s="198"/>
      <c r="T11" s="198"/>
      <c r="U11" s="198"/>
    </row>
    <row r="12" spans="1:21" s="12" customFormat="1" x14ac:dyDescent="0.25">
      <c r="A12" s="214" t="s">
        <v>2073</v>
      </c>
      <c r="B12" s="64">
        <v>8.51</v>
      </c>
      <c r="C12" s="64">
        <v>9.5399999999999991</v>
      </c>
      <c r="D12" s="64">
        <v>11.8</v>
      </c>
      <c r="E12" s="64">
        <v>5.29</v>
      </c>
      <c r="F12" s="64">
        <v>9.07</v>
      </c>
      <c r="G12" s="64">
        <v>39.46</v>
      </c>
      <c r="H12" s="64">
        <v>12.55</v>
      </c>
      <c r="I12" s="64">
        <v>1.63</v>
      </c>
      <c r="J12" s="64">
        <v>0.08</v>
      </c>
      <c r="K12" s="64">
        <v>301.32</v>
      </c>
      <c r="L12" s="64">
        <v>25.47</v>
      </c>
      <c r="M12" s="64">
        <v>98.11</v>
      </c>
      <c r="N12" s="64">
        <v>44.3</v>
      </c>
      <c r="O12" s="64">
        <v>0</v>
      </c>
      <c r="P12" s="64">
        <v>0.28999999999999998</v>
      </c>
      <c r="Q12" s="64">
        <v>9.33</v>
      </c>
      <c r="R12" s="198"/>
      <c r="S12" s="198"/>
      <c r="T12" s="198"/>
      <c r="U12" s="198"/>
    </row>
    <row r="13" spans="1:21" s="12" customFormat="1" x14ac:dyDescent="0.25">
      <c r="A13" s="214" t="s">
        <v>2074</v>
      </c>
      <c r="B13" s="64">
        <v>8.93</v>
      </c>
      <c r="C13" s="64">
        <v>8.7799999999999994</v>
      </c>
      <c r="D13" s="64">
        <v>11.74</v>
      </c>
      <c r="E13" s="64">
        <v>4.8600000000000003</v>
      </c>
      <c r="F13" s="64">
        <v>9.24</v>
      </c>
      <c r="G13" s="64">
        <v>36.46</v>
      </c>
      <c r="H13" s="64">
        <v>7.65</v>
      </c>
      <c r="I13" s="64">
        <v>1.61</v>
      </c>
      <c r="J13" s="64">
        <v>0.04</v>
      </c>
      <c r="K13" s="64">
        <v>291.64</v>
      </c>
      <c r="L13" s="64">
        <v>25.46</v>
      </c>
      <c r="M13" s="64">
        <v>98.09</v>
      </c>
      <c r="N13" s="64">
        <v>44.4</v>
      </c>
      <c r="O13" s="64">
        <v>0</v>
      </c>
      <c r="P13" s="64">
        <v>0.3</v>
      </c>
      <c r="Q13" s="64">
        <v>9.32</v>
      </c>
      <c r="R13" s="198"/>
      <c r="S13" s="198"/>
      <c r="T13" s="198"/>
      <c r="U13" s="198"/>
    </row>
    <row r="14" spans="1:21" s="12" customFormat="1" x14ac:dyDescent="0.25">
      <c r="A14" s="214" t="s">
        <v>2075</v>
      </c>
      <c r="B14" s="64">
        <v>8.1199999999999992</v>
      </c>
      <c r="C14" s="64">
        <v>9.0399999999999991</v>
      </c>
      <c r="D14" s="64">
        <v>11.24</v>
      </c>
      <c r="E14" s="64">
        <v>5.07</v>
      </c>
      <c r="F14" s="64">
        <v>8.5</v>
      </c>
      <c r="G14" s="64">
        <v>36.24</v>
      </c>
      <c r="H14" s="64">
        <v>7.65</v>
      </c>
      <c r="I14" s="64">
        <v>1.59</v>
      </c>
      <c r="J14" s="64">
        <v>0.01</v>
      </c>
      <c r="K14" s="64">
        <v>328.26</v>
      </c>
      <c r="L14" s="64">
        <v>25.36</v>
      </c>
      <c r="M14" s="64">
        <v>98.13</v>
      </c>
      <c r="N14" s="64">
        <v>44.5</v>
      </c>
      <c r="O14" s="64">
        <v>0</v>
      </c>
      <c r="P14" s="64">
        <v>0.27</v>
      </c>
      <c r="Q14" s="64">
        <v>9.33</v>
      </c>
      <c r="R14" s="198"/>
      <c r="S14" s="198"/>
      <c r="T14" s="198"/>
      <c r="U14" s="198"/>
    </row>
    <row r="15" spans="1:21" s="12" customFormat="1" x14ac:dyDescent="0.25">
      <c r="A15" s="214" t="s">
        <v>2076</v>
      </c>
      <c r="B15" s="64">
        <v>7.72</v>
      </c>
      <c r="C15" s="64">
        <v>9.3699999999999992</v>
      </c>
      <c r="D15" s="64">
        <v>11.09</v>
      </c>
      <c r="E15" s="64">
        <v>5.39</v>
      </c>
      <c r="F15" s="64">
        <v>7.14</v>
      </c>
      <c r="G15" s="64">
        <v>36.24</v>
      </c>
      <c r="H15" s="64">
        <v>7.65</v>
      </c>
      <c r="I15" s="64">
        <v>1.57</v>
      </c>
      <c r="J15" s="64">
        <v>7.0000000000000007E-2</v>
      </c>
      <c r="K15" s="64">
        <v>162.61000000000001</v>
      </c>
      <c r="L15" s="64">
        <v>25.26</v>
      </c>
      <c r="M15" s="64">
        <v>98.12</v>
      </c>
      <c r="N15" s="64">
        <v>44.5</v>
      </c>
      <c r="O15" s="64">
        <v>0</v>
      </c>
      <c r="P15" s="64">
        <v>0.24</v>
      </c>
      <c r="Q15" s="64">
        <v>9.33</v>
      </c>
      <c r="R15" s="198"/>
      <c r="S15" s="198"/>
      <c r="T15" s="198"/>
      <c r="U15" s="198"/>
    </row>
    <row r="16" spans="1:21" s="12" customFormat="1" x14ac:dyDescent="0.25">
      <c r="A16" s="214" t="s">
        <v>2077</v>
      </c>
      <c r="B16" s="64">
        <v>7.97</v>
      </c>
      <c r="C16" s="64">
        <v>9.34</v>
      </c>
      <c r="D16" s="64">
        <v>11.27</v>
      </c>
      <c r="E16" s="64">
        <v>5.17</v>
      </c>
      <c r="F16" s="64">
        <v>6.09</v>
      </c>
      <c r="G16" s="64">
        <v>36.24</v>
      </c>
      <c r="H16" s="64">
        <v>7.65</v>
      </c>
      <c r="I16" s="64">
        <v>1.55</v>
      </c>
      <c r="J16" s="64">
        <v>0</v>
      </c>
      <c r="K16" s="64">
        <v>121.85</v>
      </c>
      <c r="L16" s="64">
        <v>25.1</v>
      </c>
      <c r="M16" s="64">
        <v>98.13</v>
      </c>
      <c r="N16" s="64">
        <v>44.5</v>
      </c>
      <c r="O16" s="64">
        <v>0</v>
      </c>
      <c r="P16" s="64">
        <v>0.28999999999999998</v>
      </c>
      <c r="Q16" s="64">
        <v>9.3000000000000007</v>
      </c>
      <c r="R16" s="198"/>
      <c r="S16" s="198"/>
      <c r="T16" s="198"/>
      <c r="U16" s="198"/>
    </row>
    <row r="17" spans="1:21" s="12" customFormat="1" x14ac:dyDescent="0.25">
      <c r="A17" s="214" t="s">
        <v>2078</v>
      </c>
      <c r="B17" s="64">
        <v>7.99</v>
      </c>
      <c r="C17" s="64">
        <v>9.32</v>
      </c>
      <c r="D17" s="64">
        <v>11.28</v>
      </c>
      <c r="E17" s="64">
        <v>5.29</v>
      </c>
      <c r="F17" s="64">
        <v>5.19</v>
      </c>
      <c r="G17" s="64">
        <v>29.78</v>
      </c>
      <c r="H17" s="64">
        <v>4.82</v>
      </c>
      <c r="I17" s="64">
        <v>1.53</v>
      </c>
      <c r="J17" s="64">
        <v>0.06</v>
      </c>
      <c r="K17" s="64">
        <v>217.04</v>
      </c>
      <c r="L17" s="64">
        <v>25.05</v>
      </c>
      <c r="M17" s="64">
        <v>98.11</v>
      </c>
      <c r="N17" s="64">
        <v>44.5</v>
      </c>
      <c r="O17" s="64">
        <v>0</v>
      </c>
      <c r="P17" s="64">
        <v>0.26</v>
      </c>
      <c r="Q17" s="64">
        <v>9.2899999999999991</v>
      </c>
      <c r="R17" s="198"/>
      <c r="S17" s="198"/>
      <c r="T17" s="198"/>
      <c r="U17" s="198"/>
    </row>
    <row r="18" spans="1:21" s="12" customFormat="1" x14ac:dyDescent="0.25">
      <c r="A18" s="214" t="s">
        <v>2079</v>
      </c>
      <c r="B18" s="64">
        <v>7.22</v>
      </c>
      <c r="C18" s="64">
        <v>10.48</v>
      </c>
      <c r="D18" s="64">
        <v>11.27</v>
      </c>
      <c r="E18" s="64">
        <v>4.93</v>
      </c>
      <c r="F18" s="64">
        <v>5.52</v>
      </c>
      <c r="G18" s="64">
        <v>29.32</v>
      </c>
      <c r="H18" s="64">
        <v>4.82</v>
      </c>
      <c r="I18" s="64">
        <v>1.51</v>
      </c>
      <c r="J18" s="64">
        <v>7.0000000000000007E-2</v>
      </c>
      <c r="K18" s="64">
        <v>216.87</v>
      </c>
      <c r="L18" s="64">
        <v>24.96</v>
      </c>
      <c r="M18" s="64">
        <v>98.14</v>
      </c>
      <c r="N18" s="64">
        <v>44.5</v>
      </c>
      <c r="O18" s="64">
        <v>0</v>
      </c>
      <c r="P18" s="64">
        <v>0.25</v>
      </c>
      <c r="Q18" s="64">
        <v>9.2899999999999991</v>
      </c>
      <c r="R18" s="198"/>
      <c r="S18" s="198"/>
      <c r="T18" s="198"/>
      <c r="U18" s="198"/>
    </row>
    <row r="19" spans="1:21" s="12" customFormat="1" x14ac:dyDescent="0.25">
      <c r="A19" s="214" t="s">
        <v>2080</v>
      </c>
      <c r="B19" s="64">
        <v>7.07</v>
      </c>
      <c r="C19" s="64">
        <v>11.27</v>
      </c>
      <c r="D19" s="64">
        <v>11.56</v>
      </c>
      <c r="E19" s="64">
        <v>5.12</v>
      </c>
      <c r="F19" s="64">
        <v>5.54</v>
      </c>
      <c r="G19" s="64">
        <v>29.32</v>
      </c>
      <c r="H19" s="64">
        <v>4.82</v>
      </c>
      <c r="I19" s="64">
        <v>1.49</v>
      </c>
      <c r="J19" s="64">
        <v>0.03</v>
      </c>
      <c r="K19" s="64">
        <v>88.18</v>
      </c>
      <c r="L19" s="64">
        <v>24.84</v>
      </c>
      <c r="M19" s="64">
        <v>98.15</v>
      </c>
      <c r="N19" s="64">
        <v>44.5</v>
      </c>
      <c r="O19" s="64">
        <v>0</v>
      </c>
      <c r="P19" s="64">
        <v>0.24</v>
      </c>
      <c r="Q19" s="64">
        <v>9.2799999999999994</v>
      </c>
      <c r="R19" s="198"/>
      <c r="S19" s="198"/>
      <c r="T19" s="198"/>
      <c r="U19" s="198"/>
    </row>
    <row r="20" spans="1:21" s="12" customFormat="1" x14ac:dyDescent="0.25">
      <c r="A20" s="214" t="s">
        <v>2081</v>
      </c>
      <c r="B20" s="64">
        <v>6.71</v>
      </c>
      <c r="C20" s="64">
        <v>11.56</v>
      </c>
      <c r="D20" s="64">
        <v>11.42</v>
      </c>
      <c r="E20" s="64">
        <v>5.04</v>
      </c>
      <c r="F20" s="64">
        <v>5.41</v>
      </c>
      <c r="G20" s="64">
        <v>29.32</v>
      </c>
      <c r="H20" s="64">
        <v>4.82</v>
      </c>
      <c r="I20" s="64">
        <v>1.48</v>
      </c>
      <c r="J20" s="64">
        <v>0.04</v>
      </c>
      <c r="K20" s="64">
        <v>329.88</v>
      </c>
      <c r="L20" s="64">
        <v>24.79</v>
      </c>
      <c r="M20" s="64">
        <v>98.15</v>
      </c>
      <c r="N20" s="64">
        <v>44.5</v>
      </c>
      <c r="O20" s="64">
        <v>0</v>
      </c>
      <c r="P20" s="64">
        <v>0.24</v>
      </c>
      <c r="Q20" s="64">
        <v>9.27</v>
      </c>
      <c r="R20" s="198"/>
      <c r="S20" s="198"/>
      <c r="T20" s="198"/>
      <c r="U20" s="198"/>
    </row>
    <row r="21" spans="1:21" s="12" customFormat="1" x14ac:dyDescent="0.25">
      <c r="A21" s="214" t="s">
        <v>2082</v>
      </c>
      <c r="B21" s="64">
        <v>6.33</v>
      </c>
      <c r="C21" s="64">
        <v>11.35</v>
      </c>
      <c r="D21" s="64">
        <v>11.01</v>
      </c>
      <c r="E21" s="64">
        <v>5.01</v>
      </c>
      <c r="F21" s="64">
        <v>4.46</v>
      </c>
      <c r="G21" s="64">
        <v>27.85</v>
      </c>
      <c r="H21" s="64">
        <v>9.9499999999999993</v>
      </c>
      <c r="I21" s="64">
        <v>1.46</v>
      </c>
      <c r="J21" s="64">
        <v>7.0000000000000007E-2</v>
      </c>
      <c r="K21" s="64">
        <v>232.28</v>
      </c>
      <c r="L21" s="64">
        <v>24.79</v>
      </c>
      <c r="M21" s="64">
        <v>98.15</v>
      </c>
      <c r="N21" s="64">
        <v>44.5</v>
      </c>
      <c r="O21" s="64">
        <v>0</v>
      </c>
      <c r="P21" s="64">
        <v>0.22</v>
      </c>
      <c r="Q21" s="64">
        <v>9.27</v>
      </c>
      <c r="R21" s="198"/>
      <c r="S21" s="198"/>
      <c r="T21" s="198"/>
      <c r="U21" s="198"/>
    </row>
    <row r="22" spans="1:21" s="12" customFormat="1" x14ac:dyDescent="0.25">
      <c r="A22" s="214" t="s">
        <v>2083</v>
      </c>
      <c r="B22" s="64">
        <v>7.04</v>
      </c>
      <c r="C22" s="64">
        <v>11.21</v>
      </c>
      <c r="D22" s="64">
        <v>11.5</v>
      </c>
      <c r="E22" s="64">
        <v>5.24</v>
      </c>
      <c r="F22" s="64">
        <v>6.27</v>
      </c>
      <c r="G22" s="64">
        <v>27.75</v>
      </c>
      <c r="H22" s="64">
        <v>9.9499999999999993</v>
      </c>
      <c r="I22" s="64">
        <v>1.45</v>
      </c>
      <c r="J22" s="64">
        <v>0.16</v>
      </c>
      <c r="K22" s="64">
        <v>122.32</v>
      </c>
      <c r="L22" s="64">
        <v>24.81</v>
      </c>
      <c r="M22" s="64">
        <v>98.15</v>
      </c>
      <c r="N22" s="64">
        <v>44.6</v>
      </c>
      <c r="O22" s="64">
        <v>0</v>
      </c>
      <c r="P22" s="64">
        <v>0.27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14" t="s">
        <v>2084</v>
      </c>
      <c r="B23" s="64">
        <v>6.41</v>
      </c>
      <c r="C23" s="64">
        <v>12.35</v>
      </c>
      <c r="D23" s="64">
        <v>11.59</v>
      </c>
      <c r="E23" s="64">
        <v>5.01</v>
      </c>
      <c r="F23" s="64">
        <v>5.29</v>
      </c>
      <c r="G23" s="64">
        <v>27.75</v>
      </c>
      <c r="H23" s="64">
        <v>9.9499999999999993</v>
      </c>
      <c r="I23" s="64">
        <v>1.43</v>
      </c>
      <c r="J23" s="64">
        <v>0.11</v>
      </c>
      <c r="K23" s="64">
        <v>148.80000000000001</v>
      </c>
      <c r="L23" s="64">
        <v>24.71</v>
      </c>
      <c r="M23" s="64">
        <v>98.15</v>
      </c>
      <c r="N23" s="64">
        <v>44.6</v>
      </c>
      <c r="O23" s="64">
        <v>0</v>
      </c>
      <c r="P23" s="64">
        <v>0.22</v>
      </c>
      <c r="Q23" s="64">
        <v>9.26</v>
      </c>
      <c r="R23" s="198"/>
      <c r="S23" s="198"/>
      <c r="T23" s="198"/>
      <c r="U23" s="198"/>
    </row>
    <row r="24" spans="1:21" s="12" customFormat="1" x14ac:dyDescent="0.25">
      <c r="A24" s="214" t="s">
        <v>2085</v>
      </c>
      <c r="B24" s="64">
        <v>6.48</v>
      </c>
      <c r="C24" s="64">
        <v>12.49</v>
      </c>
      <c r="D24" s="64">
        <v>11.72</v>
      </c>
      <c r="E24" s="64">
        <v>4.93</v>
      </c>
      <c r="F24" s="64">
        <v>7.38</v>
      </c>
      <c r="G24" s="64">
        <v>27.75</v>
      </c>
      <c r="H24" s="64">
        <v>9.9499999999999993</v>
      </c>
      <c r="I24" s="64">
        <v>1.42</v>
      </c>
      <c r="J24" s="64">
        <v>0.1</v>
      </c>
      <c r="K24" s="64">
        <v>175.16</v>
      </c>
      <c r="L24" s="64">
        <v>24.66</v>
      </c>
      <c r="M24" s="64">
        <v>98.15</v>
      </c>
      <c r="N24" s="64">
        <v>44.6</v>
      </c>
      <c r="O24" s="64">
        <v>0</v>
      </c>
      <c r="P24" s="64">
        <v>0.26</v>
      </c>
      <c r="Q24" s="64">
        <v>9.25</v>
      </c>
      <c r="R24" s="198"/>
      <c r="S24" s="198"/>
      <c r="T24" s="198"/>
      <c r="U24" s="198"/>
    </row>
    <row r="25" spans="1:21" s="12" customFormat="1" x14ac:dyDescent="0.25">
      <c r="A25" s="214" t="s">
        <v>2086</v>
      </c>
      <c r="B25" s="64">
        <v>7.28</v>
      </c>
      <c r="C25" s="64">
        <v>11.95</v>
      </c>
      <c r="D25" s="64">
        <v>12.08</v>
      </c>
      <c r="E25" s="64">
        <v>5.05</v>
      </c>
      <c r="F25" s="64">
        <v>6.79</v>
      </c>
      <c r="G25" s="64">
        <v>24.37</v>
      </c>
      <c r="H25" s="64">
        <v>7.79</v>
      </c>
      <c r="I25" s="64">
        <v>1.41</v>
      </c>
      <c r="J25" s="64">
        <v>0.09</v>
      </c>
      <c r="K25" s="64">
        <v>178.78</v>
      </c>
      <c r="L25" s="64">
        <v>24.65</v>
      </c>
      <c r="M25" s="64">
        <v>98.15</v>
      </c>
      <c r="N25" s="64">
        <v>44.6</v>
      </c>
      <c r="O25" s="64">
        <v>0</v>
      </c>
      <c r="P25" s="64">
        <v>0.28999999999999998</v>
      </c>
      <c r="Q25" s="64">
        <v>9.25</v>
      </c>
      <c r="R25" s="198"/>
      <c r="S25" s="198"/>
      <c r="T25" s="198"/>
      <c r="U25" s="198"/>
    </row>
    <row r="26" spans="1:21" s="12" customFormat="1" x14ac:dyDescent="0.25">
      <c r="A26" s="214" t="s">
        <v>2087</v>
      </c>
      <c r="B26" s="64">
        <v>7.29</v>
      </c>
      <c r="C26" s="64">
        <v>12.72</v>
      </c>
      <c r="D26" s="64">
        <v>12.49</v>
      </c>
      <c r="E26" s="64">
        <v>4.92</v>
      </c>
      <c r="F26" s="64">
        <v>8.08</v>
      </c>
      <c r="G26" s="64">
        <v>24.12</v>
      </c>
      <c r="H26" s="64">
        <v>7.79</v>
      </c>
      <c r="I26" s="64">
        <v>1.4</v>
      </c>
      <c r="J26" s="64">
        <v>0.08</v>
      </c>
      <c r="K26" s="64">
        <v>166.39</v>
      </c>
      <c r="L26" s="64">
        <v>24.6</v>
      </c>
      <c r="M26" s="64">
        <v>98.15</v>
      </c>
      <c r="N26" s="64">
        <v>44.7</v>
      </c>
      <c r="O26" s="64">
        <v>0</v>
      </c>
      <c r="P26" s="64">
        <v>0.26</v>
      </c>
      <c r="Q26" s="64">
        <v>9.27</v>
      </c>
      <c r="R26" s="198"/>
      <c r="S26" s="198"/>
      <c r="T26" s="198"/>
      <c r="U26" s="198"/>
    </row>
    <row r="27" spans="1:21" s="12" customFormat="1" x14ac:dyDescent="0.25">
      <c r="A27" s="214" t="s">
        <v>2088</v>
      </c>
      <c r="B27" s="64">
        <v>7.64</v>
      </c>
      <c r="C27" s="64">
        <v>12.55</v>
      </c>
      <c r="D27" s="64">
        <v>12.68</v>
      </c>
      <c r="E27" s="64">
        <v>5.22</v>
      </c>
      <c r="F27" s="64">
        <v>6.43</v>
      </c>
      <c r="G27" s="64">
        <v>24.12</v>
      </c>
      <c r="H27" s="64">
        <v>7.79</v>
      </c>
      <c r="I27" s="64">
        <v>1.39</v>
      </c>
      <c r="J27" s="64">
        <v>0.04</v>
      </c>
      <c r="K27" s="64">
        <v>253.2</v>
      </c>
      <c r="L27" s="64">
        <v>24.56</v>
      </c>
      <c r="M27" s="64">
        <v>98.15</v>
      </c>
      <c r="N27" s="64">
        <v>44.7</v>
      </c>
      <c r="O27" s="64">
        <v>0</v>
      </c>
      <c r="P27" s="64">
        <v>0.26</v>
      </c>
      <c r="Q27" s="64">
        <v>9.2899999999999991</v>
      </c>
      <c r="R27" s="198"/>
      <c r="S27" s="198"/>
      <c r="T27" s="198"/>
      <c r="U27" s="198"/>
    </row>
    <row r="28" spans="1:21" s="12" customFormat="1" x14ac:dyDescent="0.25">
      <c r="A28" s="214" t="s">
        <v>2089</v>
      </c>
      <c r="B28" s="64">
        <v>8.5500000000000007</v>
      </c>
      <c r="C28" s="64">
        <v>12.48</v>
      </c>
      <c r="D28" s="64">
        <v>13.38</v>
      </c>
      <c r="E28" s="64">
        <v>5.2</v>
      </c>
      <c r="F28" s="64">
        <v>6.61</v>
      </c>
      <c r="G28" s="64">
        <v>24.12</v>
      </c>
      <c r="H28" s="64">
        <v>7.79</v>
      </c>
      <c r="I28" s="64">
        <v>1.38</v>
      </c>
      <c r="J28" s="64">
        <v>7.0000000000000007E-2</v>
      </c>
      <c r="K28" s="64">
        <v>332.14</v>
      </c>
      <c r="L28" s="64">
        <v>24.5</v>
      </c>
      <c r="M28" s="64">
        <v>98.16</v>
      </c>
      <c r="N28" s="64">
        <v>44.9</v>
      </c>
      <c r="O28" s="64">
        <v>0</v>
      </c>
      <c r="P28" s="64">
        <v>0.32</v>
      </c>
      <c r="Q28" s="64">
        <v>9.2799999999999994</v>
      </c>
      <c r="R28" s="198"/>
      <c r="S28" s="198"/>
      <c r="T28" s="198"/>
      <c r="U28" s="198"/>
    </row>
    <row r="29" spans="1:21" s="12" customFormat="1" x14ac:dyDescent="0.25">
      <c r="A29" s="214" t="s">
        <v>2090</v>
      </c>
      <c r="B29" s="64">
        <v>8.26</v>
      </c>
      <c r="C29" s="64">
        <v>13.47</v>
      </c>
      <c r="D29" s="64">
        <v>13.66</v>
      </c>
      <c r="E29" s="64">
        <v>5.05</v>
      </c>
      <c r="F29" s="64">
        <v>5.24</v>
      </c>
      <c r="G29" s="64">
        <v>25.78</v>
      </c>
      <c r="H29" s="64">
        <v>5.37</v>
      </c>
      <c r="I29" s="64">
        <v>1.36</v>
      </c>
      <c r="J29" s="64">
        <v>7.0000000000000007E-2</v>
      </c>
      <c r="K29" s="64">
        <v>194.42</v>
      </c>
      <c r="L29" s="64">
        <v>24.42</v>
      </c>
      <c r="M29" s="64">
        <v>98.15</v>
      </c>
      <c r="N29" s="64">
        <v>44.8</v>
      </c>
      <c r="O29" s="64">
        <v>0</v>
      </c>
      <c r="P29" s="64">
        <v>0.28000000000000003</v>
      </c>
      <c r="Q29" s="64">
        <v>9.2899999999999991</v>
      </c>
      <c r="R29" s="198"/>
      <c r="S29" s="198"/>
      <c r="T29" s="198"/>
      <c r="U29" s="198"/>
    </row>
    <row r="30" spans="1:21" s="12" customFormat="1" x14ac:dyDescent="0.25">
      <c r="A30" s="214" t="s">
        <v>2091</v>
      </c>
      <c r="B30" s="64">
        <v>6.5</v>
      </c>
      <c r="C30" s="64">
        <v>13.13</v>
      </c>
      <c r="D30" s="64">
        <v>12.07</v>
      </c>
      <c r="E30" s="64">
        <v>4.83</v>
      </c>
      <c r="F30" s="64">
        <v>3.78</v>
      </c>
      <c r="G30" s="64">
        <v>25.9</v>
      </c>
      <c r="H30" s="64">
        <v>5.37</v>
      </c>
      <c r="I30" s="64">
        <v>1.35</v>
      </c>
      <c r="J30" s="64">
        <v>0.05</v>
      </c>
      <c r="K30" s="64">
        <v>203.07</v>
      </c>
      <c r="L30" s="64">
        <v>24.42</v>
      </c>
      <c r="M30" s="64">
        <v>98.17</v>
      </c>
      <c r="N30" s="64">
        <v>44.8</v>
      </c>
      <c r="O30" s="64">
        <v>0</v>
      </c>
      <c r="P30" s="64">
        <v>0.26</v>
      </c>
      <c r="Q30" s="64">
        <v>9.31</v>
      </c>
      <c r="R30" s="198"/>
      <c r="S30" s="198"/>
      <c r="T30" s="198"/>
      <c r="U30" s="198"/>
    </row>
    <row r="31" spans="1:21" s="12" customFormat="1" x14ac:dyDescent="0.25">
      <c r="A31" s="214" t="s">
        <v>2092</v>
      </c>
      <c r="B31" s="64">
        <v>5.44</v>
      </c>
      <c r="C31" s="64">
        <v>12.51</v>
      </c>
      <c r="D31" s="64">
        <v>10.9</v>
      </c>
      <c r="E31" s="64">
        <v>4.8600000000000003</v>
      </c>
      <c r="F31" s="64">
        <v>3.24</v>
      </c>
      <c r="G31" s="64">
        <v>25.9</v>
      </c>
      <c r="H31" s="64">
        <v>5.37</v>
      </c>
      <c r="I31" s="64">
        <v>1.35</v>
      </c>
      <c r="J31" s="64">
        <v>0.08</v>
      </c>
      <c r="K31" s="64">
        <v>131.36000000000001</v>
      </c>
      <c r="L31" s="64">
        <v>24.36</v>
      </c>
      <c r="M31" s="64">
        <v>98.18</v>
      </c>
      <c r="N31" s="64">
        <v>45.6</v>
      </c>
      <c r="O31" s="64">
        <v>0</v>
      </c>
      <c r="P31" s="64">
        <v>0.26</v>
      </c>
      <c r="Q31" s="64">
        <v>9.31</v>
      </c>
      <c r="R31" s="198"/>
      <c r="S31" s="198"/>
      <c r="T31" s="198"/>
      <c r="U31" s="198"/>
    </row>
    <row r="32" spans="1:21" s="12" customFormat="1" x14ac:dyDescent="0.25">
      <c r="A32" s="214" t="s">
        <v>2093</v>
      </c>
      <c r="B32" s="64">
        <v>12.92</v>
      </c>
      <c r="C32" s="64">
        <v>13.85</v>
      </c>
      <c r="D32" s="64">
        <v>17.600000000000001</v>
      </c>
      <c r="E32" s="64">
        <v>5.0599999999999996</v>
      </c>
      <c r="F32" s="64">
        <v>3.43</v>
      </c>
      <c r="G32" s="64">
        <v>25.9</v>
      </c>
      <c r="H32" s="64">
        <v>5.37</v>
      </c>
      <c r="I32" s="64">
        <v>1.35</v>
      </c>
      <c r="J32" s="64">
        <v>7.0000000000000007E-2</v>
      </c>
      <c r="K32" s="64">
        <v>144.54</v>
      </c>
      <c r="L32" s="64">
        <v>24.32</v>
      </c>
      <c r="M32" s="64">
        <v>98.17</v>
      </c>
      <c r="N32" s="64">
        <v>51</v>
      </c>
      <c r="O32" s="64">
        <v>0</v>
      </c>
      <c r="P32" s="64">
        <v>0.48</v>
      </c>
      <c r="Q32" s="64">
        <v>9.31</v>
      </c>
      <c r="R32" s="198"/>
      <c r="S32" s="198"/>
      <c r="T32" s="198"/>
      <c r="U32" s="198"/>
    </row>
    <row r="33" spans="1:21" s="12" customFormat="1" x14ac:dyDescent="0.25">
      <c r="A33" s="214" t="s">
        <v>2094</v>
      </c>
      <c r="B33" s="64">
        <v>13.91</v>
      </c>
      <c r="C33" s="64">
        <v>15.38</v>
      </c>
      <c r="D33" s="64">
        <v>19.190000000000001</v>
      </c>
      <c r="E33" s="64">
        <v>4.8</v>
      </c>
      <c r="F33" s="64">
        <v>3.64</v>
      </c>
      <c r="G33" s="64">
        <v>30.1</v>
      </c>
      <c r="H33" s="64">
        <v>3.76</v>
      </c>
      <c r="I33" s="64">
        <v>1.34</v>
      </c>
      <c r="J33" s="64">
        <v>0.14000000000000001</v>
      </c>
      <c r="K33" s="64">
        <v>148.94</v>
      </c>
      <c r="L33" s="64">
        <v>24.43</v>
      </c>
      <c r="M33" s="64">
        <v>98.17</v>
      </c>
      <c r="N33" s="64">
        <v>65.599999999999994</v>
      </c>
      <c r="O33" s="64">
        <v>0</v>
      </c>
      <c r="P33" s="64">
        <v>0.37</v>
      </c>
      <c r="Q33" s="64">
        <v>9.32</v>
      </c>
      <c r="R33" s="198"/>
      <c r="S33" s="198"/>
      <c r="T33" s="198"/>
      <c r="U33" s="198"/>
    </row>
    <row r="34" spans="1:21" s="12" customFormat="1" x14ac:dyDescent="0.25">
      <c r="A34" s="214" t="s">
        <v>2095</v>
      </c>
      <c r="B34" s="64">
        <v>9.75</v>
      </c>
      <c r="C34" s="64">
        <v>13.56</v>
      </c>
      <c r="D34" s="64">
        <v>14.91</v>
      </c>
      <c r="E34" s="64">
        <v>5.2</v>
      </c>
      <c r="F34" s="64">
        <v>5.4</v>
      </c>
      <c r="G34" s="64">
        <v>30.4</v>
      </c>
      <c r="H34" s="64">
        <v>3.76</v>
      </c>
      <c r="I34" s="64">
        <v>1.35</v>
      </c>
      <c r="J34" s="64">
        <v>0.23</v>
      </c>
      <c r="K34" s="64">
        <v>128.71</v>
      </c>
      <c r="L34" s="64">
        <v>24.84</v>
      </c>
      <c r="M34" s="64">
        <v>98.18</v>
      </c>
      <c r="N34" s="64">
        <v>97.2</v>
      </c>
      <c r="O34" s="64">
        <v>0</v>
      </c>
      <c r="P34" s="64">
        <v>0.33</v>
      </c>
      <c r="Q34" s="64">
        <v>9.32</v>
      </c>
      <c r="R34" s="198"/>
      <c r="S34" s="198"/>
      <c r="T34" s="198"/>
      <c r="U34" s="198"/>
    </row>
    <row r="35" spans="1:21" s="12" customFormat="1" x14ac:dyDescent="0.25">
      <c r="A35" s="214" t="s">
        <v>2096</v>
      </c>
      <c r="B35" s="64">
        <v>8.61</v>
      </c>
      <c r="C35" s="64">
        <v>12.33</v>
      </c>
      <c r="D35" s="64">
        <v>13.35</v>
      </c>
      <c r="E35" s="64">
        <v>4.9800000000000004</v>
      </c>
      <c r="F35" s="64">
        <v>5.55</v>
      </c>
      <c r="G35" s="64">
        <v>30.4</v>
      </c>
      <c r="H35" s="64">
        <v>3.76</v>
      </c>
      <c r="I35" s="64">
        <v>1.36</v>
      </c>
      <c r="J35" s="64">
        <v>0.08</v>
      </c>
      <c r="K35" s="64">
        <v>271.57</v>
      </c>
      <c r="L35" s="64">
        <v>25.69</v>
      </c>
      <c r="M35" s="64">
        <v>98.15</v>
      </c>
      <c r="N35" s="64">
        <v>153.6</v>
      </c>
      <c r="O35" s="64">
        <v>0</v>
      </c>
      <c r="P35" s="64">
        <v>0.36</v>
      </c>
      <c r="Q35" s="64">
        <v>9.32</v>
      </c>
      <c r="R35" s="198"/>
      <c r="S35" s="198"/>
      <c r="T35" s="198"/>
      <c r="U35" s="198"/>
    </row>
    <row r="36" spans="1:21" s="12" customFormat="1" x14ac:dyDescent="0.25">
      <c r="A36" s="214" t="s">
        <v>2097</v>
      </c>
      <c r="B36" s="64">
        <v>9.1300000000000008</v>
      </c>
      <c r="C36" s="64">
        <v>12.36</v>
      </c>
      <c r="D36" s="64">
        <v>13.78</v>
      </c>
      <c r="E36" s="64">
        <v>5.15</v>
      </c>
      <c r="F36" s="64">
        <v>6.03</v>
      </c>
      <c r="G36" s="64">
        <v>30.4</v>
      </c>
      <c r="H36" s="64">
        <v>3.76</v>
      </c>
      <c r="I36" s="64">
        <v>1.35</v>
      </c>
      <c r="J36" s="64">
        <v>0.08</v>
      </c>
      <c r="K36" s="64">
        <v>277.83999999999997</v>
      </c>
      <c r="L36" s="64">
        <v>26.96</v>
      </c>
      <c r="M36" s="64">
        <v>98.05</v>
      </c>
      <c r="N36" s="64">
        <v>196.5</v>
      </c>
      <c r="O36" s="64">
        <v>0</v>
      </c>
      <c r="P36" s="64">
        <v>0.35</v>
      </c>
      <c r="Q36" s="64">
        <v>9.33</v>
      </c>
      <c r="R36" s="198"/>
      <c r="S36" s="198"/>
      <c r="T36" s="198"/>
      <c r="U36" s="198"/>
    </row>
    <row r="37" spans="1:21" s="12" customFormat="1" x14ac:dyDescent="0.25">
      <c r="A37" s="214" t="s">
        <v>2098</v>
      </c>
      <c r="B37" s="64">
        <v>9.68</v>
      </c>
      <c r="C37" s="64">
        <v>12.38</v>
      </c>
      <c r="D37" s="64">
        <v>14.23</v>
      </c>
      <c r="E37" s="64">
        <v>5.0199999999999996</v>
      </c>
      <c r="F37" s="64">
        <v>4.07</v>
      </c>
      <c r="G37" s="64">
        <v>31.85</v>
      </c>
      <c r="H37" s="64">
        <v>5.15</v>
      </c>
      <c r="I37" s="64">
        <v>1.35</v>
      </c>
      <c r="J37" s="64">
        <v>0.11</v>
      </c>
      <c r="K37" s="64">
        <v>281.36</v>
      </c>
      <c r="L37" s="64">
        <v>27.88</v>
      </c>
      <c r="M37" s="64">
        <v>97.98</v>
      </c>
      <c r="N37" s="64">
        <v>247.1</v>
      </c>
      <c r="O37" s="64">
        <v>0</v>
      </c>
      <c r="P37" s="64">
        <v>0.41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4" t="s">
        <v>2099</v>
      </c>
      <c r="B38" s="64">
        <v>8.51</v>
      </c>
      <c r="C38" s="64">
        <v>12.2</v>
      </c>
      <c r="D38" s="64">
        <v>13.2</v>
      </c>
      <c r="E38" s="64">
        <v>4.96</v>
      </c>
      <c r="F38" s="64">
        <v>3.17</v>
      </c>
      <c r="G38" s="64">
        <v>31.96</v>
      </c>
      <c r="H38" s="64">
        <v>5.15</v>
      </c>
      <c r="I38" s="64">
        <v>1.36</v>
      </c>
      <c r="J38" s="64">
        <v>0.13</v>
      </c>
      <c r="K38" s="64">
        <v>283.89999999999998</v>
      </c>
      <c r="L38" s="64">
        <v>28.88</v>
      </c>
      <c r="M38" s="64">
        <v>97.16</v>
      </c>
      <c r="N38" s="64">
        <v>306.7</v>
      </c>
      <c r="O38" s="64">
        <v>0</v>
      </c>
      <c r="P38" s="64">
        <v>0.53</v>
      </c>
      <c r="Q38" s="64">
        <v>9.34</v>
      </c>
      <c r="R38" s="198"/>
      <c r="S38" s="198"/>
      <c r="T38" s="198"/>
      <c r="U38" s="198"/>
    </row>
    <row r="39" spans="1:21" s="12" customFormat="1" x14ac:dyDescent="0.25">
      <c r="A39" s="214" t="s">
        <v>2100</v>
      </c>
      <c r="B39" s="64">
        <v>9.4499999999999993</v>
      </c>
      <c r="C39" s="64">
        <v>13</v>
      </c>
      <c r="D39" s="64">
        <v>14.37</v>
      </c>
      <c r="E39" s="64">
        <v>4.87</v>
      </c>
      <c r="F39" s="64">
        <v>4.1900000000000004</v>
      </c>
      <c r="G39" s="64">
        <v>31.96</v>
      </c>
      <c r="H39" s="64">
        <v>5.15</v>
      </c>
      <c r="I39" s="64">
        <v>1.38</v>
      </c>
      <c r="J39" s="64">
        <v>0.15</v>
      </c>
      <c r="K39" s="64">
        <v>292.20999999999998</v>
      </c>
      <c r="L39" s="64">
        <v>30.79</v>
      </c>
      <c r="M39" s="64">
        <v>89.09</v>
      </c>
      <c r="N39" s="64">
        <v>375.2</v>
      </c>
      <c r="O39" s="64">
        <v>0</v>
      </c>
      <c r="P39" s="64">
        <v>0.55000000000000004</v>
      </c>
      <c r="Q39" s="64">
        <v>9.33</v>
      </c>
      <c r="R39" s="198"/>
      <c r="S39" s="198"/>
      <c r="T39" s="198"/>
      <c r="U39" s="198"/>
    </row>
    <row r="40" spans="1:21" s="12" customFormat="1" x14ac:dyDescent="0.25">
      <c r="A40" s="214" t="s">
        <v>2101</v>
      </c>
      <c r="B40" s="64">
        <v>8.68</v>
      </c>
      <c r="C40" s="64">
        <v>13.12</v>
      </c>
      <c r="D40" s="64">
        <v>13.81</v>
      </c>
      <c r="E40" s="64">
        <v>5.44</v>
      </c>
      <c r="F40" s="64">
        <v>7.31</v>
      </c>
      <c r="G40" s="64">
        <v>31.96</v>
      </c>
      <c r="H40" s="64">
        <v>5.15</v>
      </c>
      <c r="I40" s="64">
        <v>1.42</v>
      </c>
      <c r="J40" s="64">
        <v>0.16</v>
      </c>
      <c r="K40" s="64">
        <v>312.64999999999998</v>
      </c>
      <c r="L40" s="64">
        <v>31.52</v>
      </c>
      <c r="M40" s="64">
        <v>84.7</v>
      </c>
      <c r="N40" s="64">
        <v>438.1</v>
      </c>
      <c r="O40" s="64">
        <v>0</v>
      </c>
      <c r="P40" s="64">
        <v>0.59</v>
      </c>
      <c r="Q40" s="64">
        <v>9.34</v>
      </c>
      <c r="R40" s="198"/>
      <c r="S40" s="198"/>
      <c r="T40" s="198"/>
      <c r="U40" s="198"/>
    </row>
    <row r="41" spans="1:21" s="12" customFormat="1" x14ac:dyDescent="0.25">
      <c r="A41" s="214" t="s">
        <v>2102</v>
      </c>
      <c r="B41" s="64">
        <v>8.64</v>
      </c>
      <c r="C41" s="64">
        <v>14.03</v>
      </c>
      <c r="D41" s="64">
        <v>14.26</v>
      </c>
      <c r="E41" s="64">
        <v>5.4</v>
      </c>
      <c r="F41" s="64">
        <v>6.5</v>
      </c>
      <c r="G41" s="64">
        <v>40.770000000000003</v>
      </c>
      <c r="H41" s="64">
        <v>3.9</v>
      </c>
      <c r="I41" s="64">
        <v>1.49</v>
      </c>
      <c r="J41" s="64">
        <v>0.18</v>
      </c>
      <c r="K41" s="64">
        <v>309.52999999999997</v>
      </c>
      <c r="L41" s="64">
        <v>31.25</v>
      </c>
      <c r="M41" s="64">
        <v>83.92</v>
      </c>
      <c r="N41" s="64">
        <v>500.6</v>
      </c>
      <c r="O41" s="64">
        <v>0</v>
      </c>
      <c r="P41" s="64">
        <v>0.56000000000000005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14" t="s">
        <v>2103</v>
      </c>
      <c r="B42" s="64">
        <v>8.48</v>
      </c>
      <c r="C42" s="64">
        <v>13.62</v>
      </c>
      <c r="D42" s="64">
        <v>13.92</v>
      </c>
      <c r="E42" s="64">
        <v>5.28</v>
      </c>
      <c r="F42" s="64">
        <v>6.86</v>
      </c>
      <c r="G42" s="64">
        <v>41.4</v>
      </c>
      <c r="H42" s="64">
        <v>3.9</v>
      </c>
      <c r="I42" s="64">
        <v>1.57</v>
      </c>
      <c r="J42" s="64">
        <v>0.45</v>
      </c>
      <c r="K42" s="64">
        <v>323.55</v>
      </c>
      <c r="L42" s="64">
        <v>33.270000000000003</v>
      </c>
      <c r="M42" s="64">
        <v>72.180000000000007</v>
      </c>
      <c r="N42" s="64">
        <v>550.79999999999995</v>
      </c>
      <c r="O42" s="64">
        <v>0</v>
      </c>
      <c r="P42" s="64">
        <v>0.49</v>
      </c>
      <c r="Q42" s="64">
        <v>9.34</v>
      </c>
      <c r="R42" s="198"/>
      <c r="S42" s="198"/>
      <c r="T42" s="198"/>
      <c r="U42" s="198"/>
    </row>
    <row r="43" spans="1:21" s="12" customFormat="1" x14ac:dyDescent="0.25">
      <c r="A43" s="214" t="s">
        <v>2104</v>
      </c>
      <c r="B43" s="64">
        <v>8.44</v>
      </c>
      <c r="C43" s="64">
        <v>13.01</v>
      </c>
      <c r="D43" s="64">
        <v>13.56</v>
      </c>
      <c r="E43" s="64">
        <v>5.18</v>
      </c>
      <c r="F43" s="64">
        <v>10.130000000000001</v>
      </c>
      <c r="G43" s="64">
        <v>41.4</v>
      </c>
      <c r="H43" s="64">
        <v>3.9</v>
      </c>
      <c r="I43" s="64">
        <v>1.65</v>
      </c>
      <c r="J43" s="64">
        <v>0.49</v>
      </c>
      <c r="K43" s="64">
        <v>318.74</v>
      </c>
      <c r="L43" s="64">
        <v>34.35</v>
      </c>
      <c r="M43" s="64">
        <v>66.290000000000006</v>
      </c>
      <c r="N43" s="64">
        <v>588.5</v>
      </c>
      <c r="O43" s="64">
        <v>0</v>
      </c>
      <c r="P43" s="64">
        <v>0.51</v>
      </c>
      <c r="Q43" s="64">
        <v>9.34</v>
      </c>
      <c r="R43" s="198"/>
      <c r="S43" s="198"/>
      <c r="T43" s="198"/>
      <c r="U43" s="198"/>
    </row>
    <row r="44" spans="1:21" s="12" customFormat="1" x14ac:dyDescent="0.25">
      <c r="A44" s="214" t="s">
        <v>2105</v>
      </c>
      <c r="B44" s="64">
        <v>8.32</v>
      </c>
      <c r="C44" s="64">
        <v>13.99</v>
      </c>
      <c r="D44" s="64">
        <v>13.99</v>
      </c>
      <c r="E44" s="64">
        <v>5.08</v>
      </c>
      <c r="F44" s="64">
        <v>12.8</v>
      </c>
      <c r="G44" s="64">
        <v>41.4</v>
      </c>
      <c r="H44" s="64">
        <v>3.9</v>
      </c>
      <c r="I44" s="64">
        <v>1.69</v>
      </c>
      <c r="J44" s="64">
        <v>0.27</v>
      </c>
      <c r="K44" s="64">
        <v>311.73</v>
      </c>
      <c r="L44" s="64">
        <v>34.44</v>
      </c>
      <c r="M44" s="64">
        <v>64.94</v>
      </c>
      <c r="N44" s="64">
        <v>598.20000000000005</v>
      </c>
      <c r="O44" s="64">
        <v>0</v>
      </c>
      <c r="P44" s="64">
        <v>0.56000000000000005</v>
      </c>
      <c r="Q44" s="64">
        <v>9.34</v>
      </c>
      <c r="R44" s="198"/>
      <c r="S44" s="198"/>
      <c r="T44" s="198"/>
      <c r="U44" s="198"/>
    </row>
    <row r="45" spans="1:21" s="12" customFormat="1" x14ac:dyDescent="0.25">
      <c r="A45" s="214" t="s">
        <v>2106</v>
      </c>
      <c r="B45" s="64">
        <v>8.92</v>
      </c>
      <c r="C45" s="64">
        <v>15.66</v>
      </c>
      <c r="D45" s="64">
        <v>15.34</v>
      </c>
      <c r="E45" s="64">
        <v>5.46</v>
      </c>
      <c r="F45" s="64">
        <v>13.71</v>
      </c>
      <c r="G45" s="64">
        <v>45.62</v>
      </c>
      <c r="H45" s="64">
        <v>2.73</v>
      </c>
      <c r="I45" s="64">
        <v>1.71</v>
      </c>
      <c r="J45" s="64">
        <v>0.54</v>
      </c>
      <c r="K45" s="64">
        <v>326.02999999999997</v>
      </c>
      <c r="L45" s="64">
        <v>35.04</v>
      </c>
      <c r="M45" s="64">
        <v>62.99</v>
      </c>
      <c r="N45" s="64">
        <v>705.4</v>
      </c>
      <c r="O45" s="64">
        <v>0</v>
      </c>
      <c r="P45" s="64">
        <v>0.56999999999999995</v>
      </c>
      <c r="Q45" s="64">
        <v>9.35</v>
      </c>
      <c r="R45" s="198"/>
      <c r="S45" s="198"/>
      <c r="T45" s="198"/>
      <c r="U45" s="198"/>
    </row>
    <row r="46" spans="1:21" s="12" customFormat="1" x14ac:dyDescent="0.25">
      <c r="A46" s="214" t="s">
        <v>2107</v>
      </c>
      <c r="B46" s="64">
        <v>9.16</v>
      </c>
      <c r="C46" s="64">
        <v>16.16</v>
      </c>
      <c r="D46" s="64">
        <v>15.78</v>
      </c>
      <c r="E46" s="64">
        <v>5.16</v>
      </c>
      <c r="F46" s="64">
        <v>11.17</v>
      </c>
      <c r="G46" s="64">
        <v>45.92</v>
      </c>
      <c r="H46" s="64">
        <v>2.73</v>
      </c>
      <c r="I46" s="64">
        <v>1.74</v>
      </c>
      <c r="J46" s="64">
        <v>0.28000000000000003</v>
      </c>
      <c r="K46" s="64">
        <v>302.05</v>
      </c>
      <c r="L46" s="64">
        <v>34.28</v>
      </c>
      <c r="M46" s="64">
        <v>63.65</v>
      </c>
      <c r="N46" s="64">
        <v>749</v>
      </c>
      <c r="O46" s="64">
        <v>0</v>
      </c>
      <c r="P46" s="64">
        <v>0.52</v>
      </c>
      <c r="Q46" s="64">
        <v>9.36</v>
      </c>
      <c r="R46" s="198"/>
      <c r="S46" s="198"/>
      <c r="T46" s="198"/>
      <c r="U46" s="198"/>
    </row>
    <row r="47" spans="1:21" s="12" customFormat="1" x14ac:dyDescent="0.25">
      <c r="A47" s="214" t="s">
        <v>2108</v>
      </c>
      <c r="B47" s="64">
        <v>9.1999999999999993</v>
      </c>
      <c r="C47" s="64">
        <v>14.99</v>
      </c>
      <c r="D47" s="64">
        <v>15.21</v>
      </c>
      <c r="E47" s="64">
        <v>5.34</v>
      </c>
      <c r="F47" s="64">
        <v>13.67</v>
      </c>
      <c r="G47" s="64">
        <v>45.92</v>
      </c>
      <c r="H47" s="64">
        <v>2.73</v>
      </c>
      <c r="I47" s="64">
        <v>1.77</v>
      </c>
      <c r="J47" s="64">
        <v>0.41</v>
      </c>
      <c r="K47" s="64">
        <v>318.42</v>
      </c>
      <c r="L47" s="64">
        <v>34.619999999999997</v>
      </c>
      <c r="M47" s="64">
        <v>61.76</v>
      </c>
      <c r="N47" s="64">
        <v>719.2</v>
      </c>
      <c r="O47" s="64">
        <v>0</v>
      </c>
      <c r="P47" s="64">
        <v>0.46</v>
      </c>
      <c r="Q47" s="64">
        <v>9.36</v>
      </c>
      <c r="R47" s="198"/>
      <c r="S47" s="198"/>
      <c r="T47" s="198"/>
      <c r="U47" s="198"/>
    </row>
    <row r="48" spans="1:21" s="12" customFormat="1" x14ac:dyDescent="0.25">
      <c r="A48" s="214" t="s">
        <v>2109</v>
      </c>
      <c r="B48" s="64">
        <v>7.23</v>
      </c>
      <c r="C48" s="64">
        <v>13.93</v>
      </c>
      <c r="D48" s="64">
        <v>13.07</v>
      </c>
      <c r="E48" s="64">
        <v>5.6</v>
      </c>
      <c r="F48" s="64">
        <v>13.38</v>
      </c>
      <c r="G48" s="64">
        <v>45.92</v>
      </c>
      <c r="H48" s="64">
        <v>2.73</v>
      </c>
      <c r="I48" s="64">
        <v>1.77</v>
      </c>
      <c r="J48" s="64">
        <v>0.19</v>
      </c>
      <c r="K48" s="64">
        <v>304.85000000000002</v>
      </c>
      <c r="L48" s="64">
        <v>33.869999999999997</v>
      </c>
      <c r="M48" s="64">
        <v>65.16</v>
      </c>
      <c r="N48" s="64">
        <v>614.20000000000005</v>
      </c>
      <c r="O48" s="64">
        <v>0</v>
      </c>
      <c r="P48" s="64">
        <v>0.47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14" t="s">
        <v>2110</v>
      </c>
      <c r="B49" s="64">
        <v>6.92</v>
      </c>
      <c r="C49" s="64">
        <v>13.41</v>
      </c>
      <c r="D49" s="64">
        <v>12.55</v>
      </c>
      <c r="E49" s="64">
        <v>5.38</v>
      </c>
      <c r="F49" s="64">
        <v>12.06</v>
      </c>
      <c r="G49" s="64">
        <v>49.54</v>
      </c>
      <c r="H49" s="64">
        <v>1.91</v>
      </c>
      <c r="I49" s="64">
        <v>1.86</v>
      </c>
      <c r="J49" s="64">
        <v>0.53</v>
      </c>
      <c r="K49" s="64">
        <v>323.01</v>
      </c>
      <c r="L49" s="64">
        <v>34.22</v>
      </c>
      <c r="M49" s="64">
        <v>61.94</v>
      </c>
      <c r="N49" s="64">
        <v>845.8</v>
      </c>
      <c r="O49" s="64">
        <v>0</v>
      </c>
      <c r="P49" s="64">
        <v>0.49</v>
      </c>
      <c r="Q49" s="64">
        <v>9.34</v>
      </c>
      <c r="R49" s="198"/>
      <c r="S49" s="198"/>
      <c r="T49" s="198"/>
      <c r="U49" s="198"/>
    </row>
    <row r="50" spans="1:21" s="12" customFormat="1" x14ac:dyDescent="0.25">
      <c r="A50" s="214" t="s">
        <v>2111</v>
      </c>
      <c r="B50" s="64">
        <v>6.02</v>
      </c>
      <c r="C50" s="64">
        <v>12.7</v>
      </c>
      <c r="D50" s="64">
        <v>11.47</v>
      </c>
      <c r="E50" s="64">
        <v>5.21</v>
      </c>
      <c r="F50" s="64">
        <v>12.95</v>
      </c>
      <c r="G50" s="64">
        <v>49.8</v>
      </c>
      <c r="H50" s="64">
        <v>1.91</v>
      </c>
      <c r="I50" s="64">
        <v>1.92</v>
      </c>
      <c r="J50" s="64">
        <v>0.21</v>
      </c>
      <c r="K50" s="64">
        <v>280.91000000000003</v>
      </c>
      <c r="L50" s="64">
        <v>34.33</v>
      </c>
      <c r="M50" s="64">
        <v>59.68</v>
      </c>
      <c r="N50" s="64">
        <v>906.5</v>
      </c>
      <c r="O50" s="64">
        <v>0</v>
      </c>
      <c r="P50" s="64">
        <v>0.45</v>
      </c>
      <c r="Q50" s="64">
        <v>9.34</v>
      </c>
      <c r="R50" s="198"/>
      <c r="S50" s="198"/>
      <c r="T50" s="198"/>
      <c r="U50" s="198"/>
    </row>
    <row r="51" spans="1:21" s="12" customFormat="1" x14ac:dyDescent="0.25">
      <c r="A51" s="214" t="s">
        <v>2112</v>
      </c>
      <c r="B51" s="64">
        <v>5.4</v>
      </c>
      <c r="C51" s="64">
        <v>11.62</v>
      </c>
      <c r="D51" s="64">
        <v>10.4</v>
      </c>
      <c r="E51" s="64">
        <v>5.47</v>
      </c>
      <c r="F51" s="64">
        <v>7.58</v>
      </c>
      <c r="G51" s="64">
        <v>49.8</v>
      </c>
      <c r="H51" s="64">
        <v>1.91</v>
      </c>
      <c r="I51" s="64">
        <v>1.9</v>
      </c>
      <c r="J51" s="64">
        <v>0.14000000000000001</v>
      </c>
      <c r="K51" s="64">
        <v>281.57</v>
      </c>
      <c r="L51" s="64">
        <v>32.729999999999997</v>
      </c>
      <c r="M51" s="64">
        <v>64.61</v>
      </c>
      <c r="N51" s="64">
        <v>888.2</v>
      </c>
      <c r="O51" s="64">
        <v>0</v>
      </c>
      <c r="P51" s="64">
        <v>0.43</v>
      </c>
      <c r="Q51" s="64">
        <v>9.31</v>
      </c>
      <c r="R51" s="198"/>
      <c r="S51" s="198"/>
      <c r="T51" s="198"/>
      <c r="U51" s="198"/>
    </row>
    <row r="52" spans="1:21" s="12" customFormat="1" x14ac:dyDescent="0.25">
      <c r="A52" s="214" t="s">
        <v>2113</v>
      </c>
      <c r="B52" s="64">
        <v>5.66</v>
      </c>
      <c r="C52" s="64">
        <v>12.3</v>
      </c>
      <c r="D52" s="64">
        <v>10.96</v>
      </c>
      <c r="E52" s="64">
        <v>5.29</v>
      </c>
      <c r="F52" s="64">
        <v>10.42</v>
      </c>
      <c r="G52" s="64">
        <v>49.8</v>
      </c>
      <c r="H52" s="64">
        <v>1.91</v>
      </c>
      <c r="I52" s="64">
        <v>1.88</v>
      </c>
      <c r="J52" s="64">
        <v>0.66</v>
      </c>
      <c r="K52" s="64">
        <v>330.81</v>
      </c>
      <c r="L52" s="64">
        <v>34.86</v>
      </c>
      <c r="M52" s="64">
        <v>57.37</v>
      </c>
      <c r="N52" s="64">
        <v>781.6</v>
      </c>
      <c r="O52" s="64">
        <v>0</v>
      </c>
      <c r="P52" s="64">
        <v>0.49</v>
      </c>
      <c r="Q52" s="64">
        <v>9.2799999999999994</v>
      </c>
      <c r="R52" s="198"/>
      <c r="S52" s="198"/>
      <c r="T52" s="198"/>
      <c r="U52" s="198"/>
    </row>
    <row r="53" spans="1:21" s="12" customFormat="1" x14ac:dyDescent="0.25">
      <c r="A53" s="214" t="s">
        <v>2114</v>
      </c>
      <c r="B53" s="64">
        <v>5.71</v>
      </c>
      <c r="C53" s="64">
        <v>12.95</v>
      </c>
      <c r="D53" s="64">
        <v>11.35</v>
      </c>
      <c r="E53" s="64">
        <v>5.26</v>
      </c>
      <c r="F53" s="64">
        <v>11.97</v>
      </c>
      <c r="G53" s="64">
        <v>43.89</v>
      </c>
      <c r="H53" s="64">
        <v>1.38</v>
      </c>
      <c r="I53" s="64">
        <v>1.73</v>
      </c>
      <c r="J53" s="64">
        <v>0.57999999999999996</v>
      </c>
      <c r="K53" s="64">
        <v>322.61</v>
      </c>
      <c r="L53" s="64">
        <v>35.590000000000003</v>
      </c>
      <c r="M53" s="64">
        <v>54.51</v>
      </c>
      <c r="N53" s="64">
        <v>683.7</v>
      </c>
      <c r="O53" s="64">
        <v>0</v>
      </c>
      <c r="P53" s="64">
        <v>0.49</v>
      </c>
      <c r="Q53" s="64">
        <v>9.26</v>
      </c>
      <c r="R53" s="198"/>
      <c r="S53" s="198"/>
      <c r="T53" s="198"/>
      <c r="U53" s="198"/>
    </row>
    <row r="54" spans="1:21" s="12" customFormat="1" x14ac:dyDescent="0.25">
      <c r="A54" s="214" t="s">
        <v>2115</v>
      </c>
      <c r="B54" s="64">
        <v>5.58</v>
      </c>
      <c r="C54" s="64">
        <v>13.41</v>
      </c>
      <c r="D54" s="64">
        <v>11.48</v>
      </c>
      <c r="E54" s="64">
        <v>5.38</v>
      </c>
      <c r="F54" s="64">
        <v>9.9700000000000006</v>
      </c>
      <c r="G54" s="64">
        <v>43.47</v>
      </c>
      <c r="H54" s="64">
        <v>1.38</v>
      </c>
      <c r="I54" s="64">
        <v>1.63</v>
      </c>
      <c r="J54" s="64">
        <v>0.73</v>
      </c>
      <c r="K54" s="64">
        <v>329.41</v>
      </c>
      <c r="L54" s="64">
        <v>34.9</v>
      </c>
      <c r="M54" s="64">
        <v>57.03</v>
      </c>
      <c r="N54" s="64">
        <v>587</v>
      </c>
      <c r="O54" s="64">
        <v>0</v>
      </c>
      <c r="P54" s="64">
        <v>0.48</v>
      </c>
      <c r="Q54" s="64">
        <v>9.24</v>
      </c>
      <c r="R54" s="198"/>
      <c r="S54" s="198"/>
      <c r="T54" s="198"/>
      <c r="U54" s="198"/>
    </row>
    <row r="55" spans="1:21" s="12" customFormat="1" x14ac:dyDescent="0.25">
      <c r="A55" s="214" t="s">
        <v>2116</v>
      </c>
      <c r="B55" s="64">
        <v>5.51</v>
      </c>
      <c r="C55" s="64">
        <v>14</v>
      </c>
      <c r="D55" s="64">
        <v>11.74</v>
      </c>
      <c r="E55" s="64">
        <v>4.92</v>
      </c>
      <c r="F55" s="64">
        <v>8.0399999999999991</v>
      </c>
      <c r="G55" s="64">
        <v>43.47</v>
      </c>
      <c r="H55" s="64">
        <v>1.38</v>
      </c>
      <c r="I55" s="64">
        <v>1.6</v>
      </c>
      <c r="J55" s="64">
        <v>0.6</v>
      </c>
      <c r="K55" s="64">
        <v>322.92</v>
      </c>
      <c r="L55" s="64">
        <v>34.619999999999997</v>
      </c>
      <c r="M55" s="64">
        <v>56.41</v>
      </c>
      <c r="N55" s="64">
        <v>644.5</v>
      </c>
      <c r="O55" s="64">
        <v>0</v>
      </c>
      <c r="P55" s="64">
        <v>0.49</v>
      </c>
      <c r="Q55" s="64">
        <v>9.23</v>
      </c>
      <c r="R55" s="198"/>
      <c r="S55" s="198"/>
      <c r="T55" s="198"/>
      <c r="U55" s="198"/>
    </row>
    <row r="56" spans="1:21" s="12" customFormat="1" x14ac:dyDescent="0.25">
      <c r="A56" s="214" t="s">
        <v>2117</v>
      </c>
      <c r="B56" s="64">
        <v>5.13</v>
      </c>
      <c r="C56" s="64">
        <v>13.49</v>
      </c>
      <c r="D56" s="64">
        <v>11.16</v>
      </c>
      <c r="E56" s="64">
        <v>5.16</v>
      </c>
      <c r="F56" s="64">
        <v>8.56</v>
      </c>
      <c r="G56" s="64">
        <v>43.47</v>
      </c>
      <c r="H56" s="64">
        <v>1.38</v>
      </c>
      <c r="I56" s="64">
        <v>1.57</v>
      </c>
      <c r="J56" s="64">
        <v>0.19</v>
      </c>
      <c r="K56" s="64">
        <v>266</v>
      </c>
      <c r="L56" s="64">
        <v>32.979999999999997</v>
      </c>
      <c r="M56" s="64">
        <v>60.49</v>
      </c>
      <c r="N56" s="64">
        <v>906.6</v>
      </c>
      <c r="O56" s="64">
        <v>0</v>
      </c>
      <c r="P56" s="64">
        <v>0.46</v>
      </c>
      <c r="Q56" s="64">
        <v>9.2200000000000006</v>
      </c>
      <c r="R56" s="198"/>
      <c r="S56" s="198"/>
      <c r="T56" s="198"/>
      <c r="U56" s="198"/>
    </row>
    <row r="57" spans="1:21" s="12" customFormat="1" x14ac:dyDescent="0.25">
      <c r="A57" s="214" t="s">
        <v>2118</v>
      </c>
      <c r="B57" s="64">
        <v>9.16</v>
      </c>
      <c r="C57" s="64">
        <v>145.61000000000001</v>
      </c>
      <c r="D57" s="64">
        <v>83.42</v>
      </c>
      <c r="E57" s="64">
        <v>4.84</v>
      </c>
      <c r="F57" s="64">
        <v>7.65</v>
      </c>
      <c r="G57" s="64">
        <v>43.45</v>
      </c>
      <c r="H57" s="64">
        <v>5.0199999999999996</v>
      </c>
      <c r="I57" s="64">
        <v>1.55</v>
      </c>
      <c r="J57" s="64">
        <v>0.2</v>
      </c>
      <c r="K57" s="64">
        <v>302.04000000000002</v>
      </c>
      <c r="L57" s="64">
        <v>33.99</v>
      </c>
      <c r="M57" s="64">
        <v>58.88</v>
      </c>
      <c r="N57" s="64">
        <v>826.1</v>
      </c>
      <c r="O57" s="64">
        <v>0</v>
      </c>
      <c r="P57" s="64">
        <v>0.45</v>
      </c>
      <c r="Q57" s="64">
        <v>9.2100000000000009</v>
      </c>
      <c r="R57" s="198"/>
      <c r="S57" s="198"/>
      <c r="T57" s="198"/>
      <c r="U57" s="198"/>
    </row>
    <row r="58" spans="1:21" s="12" customFormat="1" x14ac:dyDescent="0.25">
      <c r="A58" s="214" t="s">
        <v>2119</v>
      </c>
      <c r="B58" s="64">
        <v>6.51</v>
      </c>
      <c r="C58" s="64">
        <v>48.5</v>
      </c>
      <c r="D58" s="64">
        <v>30.56</v>
      </c>
      <c r="E58" s="64">
        <v>4.96</v>
      </c>
      <c r="F58" s="64">
        <v>12.44</v>
      </c>
      <c r="G58" s="64">
        <v>43.45</v>
      </c>
      <c r="H58" s="64">
        <v>5.0199999999999996</v>
      </c>
      <c r="I58" s="64">
        <v>1.5</v>
      </c>
      <c r="J58" s="64">
        <v>0.05</v>
      </c>
      <c r="K58" s="64">
        <v>187.58</v>
      </c>
      <c r="L58" s="64">
        <v>32.69</v>
      </c>
      <c r="M58" s="64">
        <v>66.260000000000005</v>
      </c>
      <c r="N58" s="64">
        <v>547.20000000000005</v>
      </c>
      <c r="O58" s="64">
        <v>0</v>
      </c>
      <c r="P58" s="64">
        <v>0.45</v>
      </c>
      <c r="Q58" s="64">
        <v>9.1999999999999993</v>
      </c>
      <c r="R58" s="198"/>
      <c r="S58" s="198"/>
      <c r="T58" s="198"/>
      <c r="U58" s="198"/>
    </row>
    <row r="59" spans="1:21" s="12" customFormat="1" x14ac:dyDescent="0.25">
      <c r="A59" s="214" t="s">
        <v>2120</v>
      </c>
      <c r="B59" s="64">
        <v>4.62</v>
      </c>
      <c r="C59" s="64">
        <v>23.89</v>
      </c>
      <c r="D59" s="64">
        <v>16.18</v>
      </c>
      <c r="E59" s="64">
        <v>5.17</v>
      </c>
      <c r="F59" s="64">
        <v>12.49</v>
      </c>
      <c r="G59" s="64">
        <v>43.45</v>
      </c>
      <c r="H59" s="64">
        <v>5.0199999999999996</v>
      </c>
      <c r="I59" s="64">
        <v>1.47</v>
      </c>
      <c r="J59" s="64">
        <v>0.09</v>
      </c>
      <c r="K59" s="64">
        <v>280.17</v>
      </c>
      <c r="L59" s="64">
        <v>33.42</v>
      </c>
      <c r="M59" s="64">
        <v>63.57</v>
      </c>
      <c r="N59" s="64">
        <v>684.3</v>
      </c>
      <c r="O59" s="64">
        <v>0</v>
      </c>
      <c r="P59" s="64">
        <v>0.45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14" t="s">
        <v>2121</v>
      </c>
      <c r="B60" s="64">
        <v>8.61</v>
      </c>
      <c r="C60" s="64">
        <v>17.760000000000002</v>
      </c>
      <c r="D60" s="64">
        <v>16.190000000000001</v>
      </c>
      <c r="E60" s="64">
        <v>5.25</v>
      </c>
      <c r="F60" s="64">
        <v>13.71</v>
      </c>
      <c r="G60" s="64">
        <v>43.45</v>
      </c>
      <c r="H60" s="64">
        <v>5.0199999999999996</v>
      </c>
      <c r="I60" s="64">
        <v>1.48</v>
      </c>
      <c r="J60" s="64">
        <v>0.52</v>
      </c>
      <c r="K60" s="64">
        <v>327.94</v>
      </c>
      <c r="L60" s="64">
        <v>33.71</v>
      </c>
      <c r="M60" s="64">
        <v>61.27</v>
      </c>
      <c r="N60" s="64">
        <v>630.9</v>
      </c>
      <c r="O60" s="64">
        <v>0</v>
      </c>
      <c r="P60" s="64">
        <v>0.48</v>
      </c>
      <c r="Q60" s="64">
        <v>9.17</v>
      </c>
      <c r="R60" s="198"/>
      <c r="S60" s="198"/>
      <c r="T60" s="198"/>
      <c r="U60" s="198"/>
    </row>
    <row r="61" spans="1:21" s="12" customFormat="1" x14ac:dyDescent="0.25">
      <c r="A61" s="214" t="s">
        <v>2122</v>
      </c>
      <c r="B61" s="64">
        <v>6.02</v>
      </c>
      <c r="C61" s="64">
        <v>17.23</v>
      </c>
      <c r="D61" s="64">
        <v>13.83</v>
      </c>
      <c r="E61" s="64">
        <v>5.14</v>
      </c>
      <c r="F61" s="64">
        <v>16.29</v>
      </c>
      <c r="G61" s="64">
        <v>49.12</v>
      </c>
      <c r="H61" s="64">
        <v>4.6399999999999997</v>
      </c>
      <c r="I61" s="64">
        <v>1.49</v>
      </c>
      <c r="J61" s="64">
        <v>0.06</v>
      </c>
      <c r="K61" s="64">
        <v>207.18</v>
      </c>
      <c r="L61" s="64">
        <v>33.090000000000003</v>
      </c>
      <c r="M61" s="64">
        <v>62.71</v>
      </c>
      <c r="N61" s="64">
        <v>347.4</v>
      </c>
      <c r="O61" s="64">
        <v>0</v>
      </c>
      <c r="P61" s="64">
        <v>0.43</v>
      </c>
      <c r="Q61" s="64">
        <v>9.17</v>
      </c>
      <c r="R61" s="198"/>
      <c r="S61" s="198"/>
      <c r="T61" s="198"/>
      <c r="U61" s="198"/>
    </row>
    <row r="62" spans="1:21" s="12" customFormat="1" x14ac:dyDescent="0.25">
      <c r="A62" s="214" t="s">
        <v>2123</v>
      </c>
      <c r="B62" s="64">
        <v>4.2</v>
      </c>
      <c r="C62" s="64">
        <v>16.670000000000002</v>
      </c>
      <c r="D62" s="64">
        <v>12.08</v>
      </c>
      <c r="E62" s="64">
        <v>5.0999999999999996</v>
      </c>
      <c r="F62" s="64">
        <v>17.309999999999999</v>
      </c>
      <c r="G62" s="64">
        <v>49.53</v>
      </c>
      <c r="H62" s="64">
        <v>4.6399999999999997</v>
      </c>
      <c r="I62" s="64">
        <v>1.49</v>
      </c>
      <c r="J62" s="64">
        <v>0.21</v>
      </c>
      <c r="K62" s="64">
        <v>204.02</v>
      </c>
      <c r="L62" s="64">
        <v>31.75</v>
      </c>
      <c r="M62" s="64">
        <v>67.3</v>
      </c>
      <c r="N62" s="64">
        <v>187.2</v>
      </c>
      <c r="O62" s="64">
        <v>0</v>
      </c>
      <c r="P62" s="64">
        <v>0.4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14" t="s">
        <v>2124</v>
      </c>
      <c r="B63" s="64">
        <v>3.8</v>
      </c>
      <c r="C63" s="64">
        <v>17.010000000000002</v>
      </c>
      <c r="D63" s="64">
        <v>11.93</v>
      </c>
      <c r="E63" s="64">
        <v>5.51</v>
      </c>
      <c r="F63" s="64">
        <v>19.829999999999998</v>
      </c>
      <c r="G63" s="64">
        <v>49.53</v>
      </c>
      <c r="H63" s="64">
        <v>4.6399999999999997</v>
      </c>
      <c r="I63" s="64">
        <v>1.5</v>
      </c>
      <c r="J63" s="64">
        <v>0.28000000000000003</v>
      </c>
      <c r="K63" s="64">
        <v>158.44999999999999</v>
      </c>
      <c r="L63" s="64">
        <v>30.38</v>
      </c>
      <c r="M63" s="64">
        <v>75.69</v>
      </c>
      <c r="N63" s="64">
        <v>144.80000000000001</v>
      </c>
      <c r="O63" s="64">
        <v>0</v>
      </c>
      <c r="P63" s="64">
        <v>0.42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4" t="s">
        <v>2125</v>
      </c>
      <c r="B64" s="64">
        <v>3.55</v>
      </c>
      <c r="C64" s="64">
        <v>17.75</v>
      </c>
      <c r="D64" s="64">
        <v>12.12</v>
      </c>
      <c r="E64" s="64">
        <v>5.25</v>
      </c>
      <c r="F64" s="64">
        <v>15.37</v>
      </c>
      <c r="G64" s="64">
        <v>49.53</v>
      </c>
      <c r="H64" s="64">
        <v>4.6399999999999997</v>
      </c>
      <c r="I64" s="64">
        <v>1.5</v>
      </c>
      <c r="J64" s="64">
        <v>0.16</v>
      </c>
      <c r="K64" s="64">
        <v>278.77</v>
      </c>
      <c r="L64" s="64">
        <v>30.93</v>
      </c>
      <c r="M64" s="64">
        <v>72.55</v>
      </c>
      <c r="N64" s="64">
        <v>281.3</v>
      </c>
      <c r="O64" s="64">
        <v>0</v>
      </c>
      <c r="P64" s="64">
        <v>0.47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14" t="s">
        <v>2126</v>
      </c>
      <c r="B65" s="64">
        <v>3.66</v>
      </c>
      <c r="C65" s="64">
        <v>17.37</v>
      </c>
      <c r="D65" s="64">
        <v>12.01</v>
      </c>
      <c r="E65" s="64">
        <v>4.88</v>
      </c>
      <c r="F65" s="64">
        <v>17.079999999999998</v>
      </c>
      <c r="G65" s="64">
        <v>46.78</v>
      </c>
      <c r="H65" s="64">
        <v>7.94</v>
      </c>
      <c r="I65" s="64">
        <v>1.53</v>
      </c>
      <c r="J65" s="64">
        <v>0.16</v>
      </c>
      <c r="K65" s="64">
        <v>275.5</v>
      </c>
      <c r="L65" s="64">
        <v>31.93</v>
      </c>
      <c r="M65" s="64">
        <v>69.39</v>
      </c>
      <c r="N65" s="64">
        <v>289.7</v>
      </c>
      <c r="O65" s="64">
        <v>0</v>
      </c>
      <c r="P65" s="64">
        <v>0.47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14" t="s">
        <v>2127</v>
      </c>
      <c r="B66" s="64">
        <v>3.97</v>
      </c>
      <c r="C66" s="64">
        <v>16.7</v>
      </c>
      <c r="D66" s="64">
        <v>11.91</v>
      </c>
      <c r="E66" s="64">
        <v>5.16</v>
      </c>
      <c r="F66" s="64">
        <v>15.15</v>
      </c>
      <c r="G66" s="64">
        <v>46.59</v>
      </c>
      <c r="H66" s="64">
        <v>7.94</v>
      </c>
      <c r="I66" s="64">
        <v>1.56</v>
      </c>
      <c r="J66" s="64">
        <v>0.43</v>
      </c>
      <c r="K66" s="64">
        <v>317.62</v>
      </c>
      <c r="L66" s="64">
        <v>31.85</v>
      </c>
      <c r="M66" s="64">
        <v>70.62</v>
      </c>
      <c r="N66" s="64">
        <v>260.5</v>
      </c>
      <c r="O66" s="64">
        <v>0</v>
      </c>
      <c r="P66" s="64">
        <v>0.46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14" t="s">
        <v>2128</v>
      </c>
      <c r="B67" s="64">
        <v>3.98</v>
      </c>
      <c r="C67" s="64">
        <v>17.32</v>
      </c>
      <c r="D67" s="64">
        <v>12.24</v>
      </c>
      <c r="E67" s="64">
        <v>5.29</v>
      </c>
      <c r="F67" s="64">
        <v>16.62</v>
      </c>
      <c r="G67" s="64">
        <v>46.59</v>
      </c>
      <c r="H67" s="64">
        <v>7.94</v>
      </c>
      <c r="I67" s="64">
        <v>1.58</v>
      </c>
      <c r="J67" s="64">
        <v>0.37</v>
      </c>
      <c r="K67" s="64">
        <v>322.10000000000002</v>
      </c>
      <c r="L67" s="64">
        <v>32.15</v>
      </c>
      <c r="M67" s="64">
        <v>68.42</v>
      </c>
      <c r="N67" s="64">
        <v>158.5</v>
      </c>
      <c r="O67" s="64">
        <v>0</v>
      </c>
      <c r="P67" s="64">
        <v>0.49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4" t="s">
        <v>2129</v>
      </c>
      <c r="B68" s="64">
        <v>4.25</v>
      </c>
      <c r="C68" s="64">
        <v>17.739999999999998</v>
      </c>
      <c r="D68" s="64">
        <v>12.68</v>
      </c>
      <c r="E68" s="64">
        <v>5.4</v>
      </c>
      <c r="F68" s="64">
        <v>11.95</v>
      </c>
      <c r="G68" s="64">
        <v>46.59</v>
      </c>
      <c r="H68" s="64">
        <v>7.94</v>
      </c>
      <c r="I68" s="64">
        <v>1.68</v>
      </c>
      <c r="J68" s="64">
        <v>0.12</v>
      </c>
      <c r="K68" s="64">
        <v>287.36</v>
      </c>
      <c r="L68" s="64">
        <v>30.49</v>
      </c>
      <c r="M68" s="64">
        <v>72.69</v>
      </c>
      <c r="N68" s="64">
        <v>183.5</v>
      </c>
      <c r="O68" s="64">
        <v>0</v>
      </c>
      <c r="P68" s="64">
        <v>0.52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4" t="s">
        <v>2130</v>
      </c>
      <c r="B69" s="64">
        <v>4.05</v>
      </c>
      <c r="C69" s="64">
        <v>17.72</v>
      </c>
      <c r="D69" s="64">
        <v>12.5</v>
      </c>
      <c r="E69" s="64">
        <v>5.53</v>
      </c>
      <c r="F69" s="64">
        <v>12.9</v>
      </c>
      <c r="G69" s="64">
        <v>40.68</v>
      </c>
      <c r="H69" s="64">
        <v>7.06</v>
      </c>
      <c r="I69" s="64">
        <v>1.75</v>
      </c>
      <c r="J69" s="64">
        <v>0.11</v>
      </c>
      <c r="K69" s="64">
        <v>292.38</v>
      </c>
      <c r="L69" s="64">
        <v>30.27</v>
      </c>
      <c r="M69" s="64">
        <v>73.73</v>
      </c>
      <c r="N69" s="64">
        <v>163.19999999999999</v>
      </c>
      <c r="O69" s="64">
        <v>0</v>
      </c>
      <c r="P69" s="64">
        <v>0.48</v>
      </c>
      <c r="Q69" s="64">
        <v>9.15</v>
      </c>
      <c r="R69" s="198"/>
      <c r="S69" s="198"/>
      <c r="T69" s="198"/>
      <c r="U69" s="198"/>
    </row>
    <row r="70" spans="1:21" s="12" customFormat="1" x14ac:dyDescent="0.25">
      <c r="A70" s="214" t="s">
        <v>2131</v>
      </c>
      <c r="B70" s="64">
        <v>3.39</v>
      </c>
      <c r="C70" s="64">
        <v>16.53</v>
      </c>
      <c r="D70" s="64">
        <v>11.35</v>
      </c>
      <c r="E70" s="64">
        <v>5.32</v>
      </c>
      <c r="F70" s="64">
        <v>16.600000000000001</v>
      </c>
      <c r="G70" s="64">
        <v>40.26</v>
      </c>
      <c r="H70" s="64">
        <v>7.06</v>
      </c>
      <c r="I70" s="64">
        <v>1.74</v>
      </c>
      <c r="J70" s="64">
        <v>0.11</v>
      </c>
      <c r="K70" s="64">
        <v>282.70999999999998</v>
      </c>
      <c r="L70" s="64">
        <v>29.76</v>
      </c>
      <c r="M70" s="64">
        <v>73.64</v>
      </c>
      <c r="N70" s="64">
        <v>140.30000000000001</v>
      </c>
      <c r="O70" s="64">
        <v>0</v>
      </c>
      <c r="P70" s="64">
        <v>0.41</v>
      </c>
      <c r="Q70" s="64">
        <v>9.14</v>
      </c>
      <c r="R70" s="198"/>
      <c r="S70" s="198"/>
      <c r="T70" s="198"/>
      <c r="U70" s="198"/>
    </row>
    <row r="71" spans="1:21" s="12" customFormat="1" x14ac:dyDescent="0.25">
      <c r="A71" s="214" t="s">
        <v>2132</v>
      </c>
      <c r="B71" s="64">
        <v>4.66</v>
      </c>
      <c r="C71" s="64">
        <v>19.239999999999998</v>
      </c>
      <c r="D71" s="64">
        <v>13.79</v>
      </c>
      <c r="E71" s="64">
        <v>5.46</v>
      </c>
      <c r="F71" s="64">
        <v>14.27</v>
      </c>
      <c r="G71" s="64">
        <v>40.26</v>
      </c>
      <c r="H71" s="64">
        <v>7.06</v>
      </c>
      <c r="I71" s="64">
        <v>1.63</v>
      </c>
      <c r="J71" s="64">
        <v>7.0000000000000007E-2</v>
      </c>
      <c r="K71" s="64">
        <v>284.62</v>
      </c>
      <c r="L71" s="64">
        <v>30.05</v>
      </c>
      <c r="M71" s="64">
        <v>76.08</v>
      </c>
      <c r="N71" s="64">
        <v>151.30000000000001</v>
      </c>
      <c r="O71" s="64">
        <v>0</v>
      </c>
      <c r="P71" s="64">
        <v>0.54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4" t="s">
        <v>2133</v>
      </c>
      <c r="B72" s="64">
        <v>4.34</v>
      </c>
      <c r="C72" s="64">
        <v>19.82</v>
      </c>
      <c r="D72" s="64">
        <v>13.84</v>
      </c>
      <c r="E72" s="64">
        <v>4.37</v>
      </c>
      <c r="F72" s="64">
        <v>15.25</v>
      </c>
      <c r="G72" s="64">
        <v>40.26</v>
      </c>
      <c r="H72" s="64">
        <v>7.06</v>
      </c>
      <c r="I72" s="64">
        <v>1.54</v>
      </c>
      <c r="J72" s="64">
        <v>0.11</v>
      </c>
      <c r="K72" s="64">
        <v>309.14999999999998</v>
      </c>
      <c r="L72" s="64">
        <v>30.09</v>
      </c>
      <c r="M72" s="64">
        <v>77.25</v>
      </c>
      <c r="N72" s="64">
        <v>127.9</v>
      </c>
      <c r="O72" s="64">
        <v>0</v>
      </c>
      <c r="P72" s="64">
        <v>0.51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4" t="s">
        <v>2134</v>
      </c>
      <c r="B73" s="64">
        <v>4.58</v>
      </c>
      <c r="C73" s="64">
        <v>20.14</v>
      </c>
      <c r="D73" s="64">
        <v>14.19</v>
      </c>
      <c r="E73" s="64">
        <v>4.6900000000000004</v>
      </c>
      <c r="F73" s="64">
        <v>12.79</v>
      </c>
      <c r="G73" s="64">
        <v>44.8</v>
      </c>
      <c r="H73" s="64">
        <v>6.47</v>
      </c>
      <c r="I73" s="64">
        <v>1.53</v>
      </c>
      <c r="J73" s="64">
        <v>0.76</v>
      </c>
      <c r="K73" s="64">
        <v>326.62</v>
      </c>
      <c r="L73" s="64">
        <v>30.31</v>
      </c>
      <c r="M73" s="64">
        <v>78.459999999999994</v>
      </c>
      <c r="N73" s="64">
        <v>118.1</v>
      </c>
      <c r="O73" s="64">
        <v>0</v>
      </c>
      <c r="P73" s="64">
        <v>0.52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4" t="s">
        <v>2135</v>
      </c>
      <c r="B74" s="64">
        <v>4.5999999999999996</v>
      </c>
      <c r="C74" s="64">
        <v>16.22</v>
      </c>
      <c r="D74" s="64">
        <v>12.16</v>
      </c>
      <c r="E74" s="64">
        <v>4.33</v>
      </c>
      <c r="F74" s="64">
        <v>9.8800000000000008</v>
      </c>
      <c r="G74" s="64">
        <v>45.13</v>
      </c>
      <c r="H74" s="64">
        <v>6.47</v>
      </c>
      <c r="I74" s="64">
        <v>1.53</v>
      </c>
      <c r="J74" s="64">
        <v>1.27</v>
      </c>
      <c r="K74" s="64">
        <v>333.1</v>
      </c>
      <c r="L74" s="64">
        <v>30.08</v>
      </c>
      <c r="M74" s="64">
        <v>79.430000000000007</v>
      </c>
      <c r="N74" s="64">
        <v>109.9</v>
      </c>
      <c r="O74" s="64">
        <v>0</v>
      </c>
      <c r="P74" s="64">
        <v>0.51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4" t="s">
        <v>2136</v>
      </c>
      <c r="B75" s="64">
        <v>5.97</v>
      </c>
      <c r="C75" s="64">
        <v>18.62</v>
      </c>
      <c r="D75" s="64">
        <v>14.51</v>
      </c>
      <c r="E75" s="64">
        <v>4.87</v>
      </c>
      <c r="F75" s="64">
        <v>13.56</v>
      </c>
      <c r="G75" s="64">
        <v>45.13</v>
      </c>
      <c r="H75" s="64">
        <v>6.47</v>
      </c>
      <c r="I75" s="64">
        <v>1.62</v>
      </c>
      <c r="J75" s="64">
        <v>0.84</v>
      </c>
      <c r="K75" s="64">
        <v>334.4</v>
      </c>
      <c r="L75" s="64">
        <v>30.14</v>
      </c>
      <c r="M75" s="64">
        <v>77.16</v>
      </c>
      <c r="N75" s="64">
        <v>109.8</v>
      </c>
      <c r="O75" s="64">
        <v>0</v>
      </c>
      <c r="P75" s="64">
        <v>0.57999999999999996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4" t="s">
        <v>2137</v>
      </c>
      <c r="B76" s="64">
        <v>5.99</v>
      </c>
      <c r="C76" s="64">
        <v>20.79</v>
      </c>
      <c r="D76" s="64">
        <v>15.66</v>
      </c>
      <c r="E76" s="64">
        <v>4.99</v>
      </c>
      <c r="F76" s="64">
        <v>15.48</v>
      </c>
      <c r="G76" s="64">
        <v>45.13</v>
      </c>
      <c r="H76" s="64">
        <v>6.47</v>
      </c>
      <c r="I76" s="64">
        <v>1.59</v>
      </c>
      <c r="J76" s="64">
        <v>0.48</v>
      </c>
      <c r="K76" s="64">
        <v>333.88</v>
      </c>
      <c r="L76" s="64">
        <v>30.13</v>
      </c>
      <c r="M76" s="64">
        <v>74.88</v>
      </c>
      <c r="N76" s="64">
        <v>85.8</v>
      </c>
      <c r="O76" s="64">
        <v>0</v>
      </c>
      <c r="P76" s="64">
        <v>0.6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4" t="s">
        <v>2138</v>
      </c>
      <c r="B77" s="64">
        <v>9.41</v>
      </c>
      <c r="C77" s="64">
        <v>25.13</v>
      </c>
      <c r="D77" s="64">
        <v>20.67</v>
      </c>
      <c r="E77" s="64">
        <v>4.67</v>
      </c>
      <c r="F77" s="64">
        <v>12.17</v>
      </c>
      <c r="G77" s="64">
        <v>51.83</v>
      </c>
      <c r="H77" s="64">
        <v>4.53</v>
      </c>
      <c r="I77" s="64">
        <v>1.53</v>
      </c>
      <c r="J77" s="64">
        <v>0.53</v>
      </c>
      <c r="K77" s="64">
        <v>336.77</v>
      </c>
      <c r="L77" s="64">
        <v>29.78</v>
      </c>
      <c r="M77" s="64">
        <v>75.89</v>
      </c>
      <c r="N77" s="64">
        <v>62.5</v>
      </c>
      <c r="O77" s="64">
        <v>0</v>
      </c>
      <c r="P77" s="64">
        <v>0.68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4" t="s">
        <v>2139</v>
      </c>
      <c r="B78" s="64">
        <v>26.01</v>
      </c>
      <c r="C78" s="64">
        <v>42.26</v>
      </c>
      <c r="D78" s="64">
        <v>42.93</v>
      </c>
      <c r="E78" s="64">
        <v>4.96</v>
      </c>
      <c r="F78" s="64">
        <v>10.29</v>
      </c>
      <c r="G78" s="64">
        <v>52.3</v>
      </c>
      <c r="H78" s="64">
        <v>4.53</v>
      </c>
      <c r="I78" s="64">
        <v>1.53</v>
      </c>
      <c r="J78" s="64">
        <v>0.47</v>
      </c>
      <c r="K78" s="64">
        <v>337.54</v>
      </c>
      <c r="L78" s="64">
        <v>29.24</v>
      </c>
      <c r="M78" s="64">
        <v>78.989999999999995</v>
      </c>
      <c r="N78" s="64">
        <v>50.8</v>
      </c>
      <c r="O78" s="64">
        <v>0</v>
      </c>
      <c r="P78" s="64">
        <v>1.52</v>
      </c>
      <c r="Q78" s="64">
        <v>9.2100000000000009</v>
      </c>
      <c r="R78" s="198"/>
      <c r="S78" s="198"/>
      <c r="T78" s="198"/>
      <c r="U78" s="198"/>
    </row>
    <row r="79" spans="1:21" s="12" customFormat="1" x14ac:dyDescent="0.25">
      <c r="A79" s="214" t="s">
        <v>2140</v>
      </c>
      <c r="B79" s="64">
        <v>20.21</v>
      </c>
      <c r="C79" s="64">
        <v>37.880000000000003</v>
      </c>
      <c r="D79" s="64">
        <v>35.99</v>
      </c>
      <c r="E79" s="64">
        <v>4.97</v>
      </c>
      <c r="F79" s="64">
        <v>14.45</v>
      </c>
      <c r="G79" s="64">
        <v>52.3</v>
      </c>
      <c r="H79" s="64">
        <v>4.53</v>
      </c>
      <c r="I79" s="64">
        <v>1.55</v>
      </c>
      <c r="J79" s="64">
        <v>0.87</v>
      </c>
      <c r="K79" s="64">
        <v>341.69</v>
      </c>
      <c r="L79" s="64">
        <v>28.74</v>
      </c>
      <c r="M79" s="64">
        <v>81.99</v>
      </c>
      <c r="N79" s="64">
        <v>47</v>
      </c>
      <c r="O79" s="64">
        <v>0</v>
      </c>
      <c r="P79" s="64">
        <v>0.86</v>
      </c>
      <c r="Q79" s="64">
        <v>9.26</v>
      </c>
      <c r="R79" s="198"/>
      <c r="S79" s="198"/>
      <c r="T79" s="198"/>
      <c r="U79" s="198"/>
    </row>
    <row r="80" spans="1:21" s="12" customFormat="1" x14ac:dyDescent="0.25">
      <c r="A80" s="214" t="s">
        <v>2141</v>
      </c>
      <c r="B80" s="64">
        <v>17.649999999999999</v>
      </c>
      <c r="C80" s="64">
        <v>34.65</v>
      </c>
      <c r="D80" s="64">
        <v>32.26</v>
      </c>
      <c r="E80" s="64">
        <v>5.07</v>
      </c>
      <c r="F80" s="64">
        <v>13.8</v>
      </c>
      <c r="G80" s="64">
        <v>52.3</v>
      </c>
      <c r="H80" s="64">
        <v>4.53</v>
      </c>
      <c r="I80" s="64">
        <v>1.66</v>
      </c>
      <c r="J80" s="64">
        <v>0.74</v>
      </c>
      <c r="K80" s="64">
        <v>341.87</v>
      </c>
      <c r="L80" s="64">
        <v>28.45</v>
      </c>
      <c r="M80" s="64">
        <v>82.86</v>
      </c>
      <c r="N80" s="64">
        <v>42.7</v>
      </c>
      <c r="O80" s="64">
        <v>0</v>
      </c>
      <c r="P80" s="64">
        <v>0.92</v>
      </c>
      <c r="Q80" s="64">
        <v>9.3000000000000007</v>
      </c>
      <c r="R80" s="198"/>
      <c r="S80" s="198"/>
      <c r="T80" s="198"/>
      <c r="U80" s="198"/>
    </row>
    <row r="81" spans="1:26" s="12" customFormat="1" x14ac:dyDescent="0.25">
      <c r="A81" s="214" t="s">
        <v>2142</v>
      </c>
      <c r="B81" s="64">
        <v>20.48</v>
      </c>
      <c r="C81" s="64">
        <v>35.35</v>
      </c>
      <c r="D81" s="64">
        <v>34.89</v>
      </c>
      <c r="E81" s="64">
        <v>4.7300000000000004</v>
      </c>
      <c r="F81" s="64">
        <v>12.91</v>
      </c>
      <c r="G81" s="64">
        <v>57.22</v>
      </c>
      <c r="H81" s="64">
        <v>3.17</v>
      </c>
      <c r="I81" s="64">
        <v>1.75</v>
      </c>
      <c r="J81" s="64">
        <v>0.62</v>
      </c>
      <c r="K81" s="64">
        <v>340.9</v>
      </c>
      <c r="L81" s="64">
        <v>28.32</v>
      </c>
      <c r="M81" s="64">
        <v>82.26</v>
      </c>
      <c r="N81" s="64">
        <v>41.7</v>
      </c>
      <c r="O81" s="64">
        <v>0</v>
      </c>
      <c r="P81" s="64">
        <v>0.93</v>
      </c>
      <c r="Q81" s="64">
        <v>9.34</v>
      </c>
      <c r="R81" s="198"/>
      <c r="S81" s="198"/>
      <c r="T81" s="198"/>
      <c r="U81" s="198"/>
    </row>
    <row r="82" spans="1:26" s="12" customFormat="1" x14ac:dyDescent="0.25">
      <c r="A82" s="214" t="s">
        <v>2143</v>
      </c>
      <c r="B82" s="64">
        <v>13.85</v>
      </c>
      <c r="C82" s="64">
        <v>31.31</v>
      </c>
      <c r="D82" s="64">
        <v>27.46</v>
      </c>
      <c r="E82" s="64">
        <v>5.13</v>
      </c>
      <c r="F82" s="64">
        <v>10.19</v>
      </c>
      <c r="G82" s="64">
        <v>57.57</v>
      </c>
      <c r="H82" s="64">
        <v>3.17</v>
      </c>
      <c r="I82" s="64">
        <v>1.8</v>
      </c>
      <c r="J82" s="64">
        <v>0.31</v>
      </c>
      <c r="K82" s="64">
        <v>339.19</v>
      </c>
      <c r="L82" s="64">
        <v>28.17</v>
      </c>
      <c r="M82" s="64">
        <v>84.4</v>
      </c>
      <c r="N82" s="64">
        <v>41.6</v>
      </c>
      <c r="O82" s="64">
        <v>0</v>
      </c>
      <c r="P82" s="64">
        <v>1.1000000000000001</v>
      </c>
      <c r="Q82" s="64">
        <v>9.3800000000000008</v>
      </c>
      <c r="R82" s="198"/>
      <c r="S82" s="198"/>
      <c r="T82" s="198"/>
      <c r="U82" s="198"/>
    </row>
    <row r="83" spans="1:26" s="12" customFormat="1" x14ac:dyDescent="0.25">
      <c r="A83" s="214" t="s">
        <v>2144</v>
      </c>
      <c r="B83" s="64">
        <v>12.06</v>
      </c>
      <c r="C83" s="64">
        <v>35.1</v>
      </c>
      <c r="D83" s="64">
        <v>28.01</v>
      </c>
      <c r="E83" s="64">
        <v>4.7699999999999996</v>
      </c>
      <c r="F83" s="64">
        <v>5.81</v>
      </c>
      <c r="G83" s="64">
        <v>57.57</v>
      </c>
      <c r="H83" s="64">
        <v>3.17</v>
      </c>
      <c r="I83" s="64">
        <v>1.85</v>
      </c>
      <c r="J83" s="64">
        <v>0.06</v>
      </c>
      <c r="K83" s="64">
        <v>300.56</v>
      </c>
      <c r="L83" s="64">
        <v>28</v>
      </c>
      <c r="M83" s="64">
        <v>84.59</v>
      </c>
      <c r="N83" s="64">
        <v>41.7</v>
      </c>
      <c r="O83" s="64">
        <v>0</v>
      </c>
      <c r="P83" s="64">
        <v>1.43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4" t="s">
        <v>2145</v>
      </c>
      <c r="B84" s="64">
        <v>13.89</v>
      </c>
      <c r="C84" s="64">
        <v>34.659999999999997</v>
      </c>
      <c r="D84" s="64">
        <v>29.24</v>
      </c>
      <c r="E84" s="64">
        <v>4.78</v>
      </c>
      <c r="F84" s="64">
        <v>9.64</v>
      </c>
      <c r="G84" s="64">
        <v>57.57</v>
      </c>
      <c r="H84" s="64">
        <v>3.17</v>
      </c>
      <c r="I84" s="64">
        <v>1.92</v>
      </c>
      <c r="J84" s="64">
        <v>0.37</v>
      </c>
      <c r="K84" s="64">
        <v>339.88</v>
      </c>
      <c r="L84" s="64">
        <v>28.09</v>
      </c>
      <c r="M84" s="64">
        <v>87.24</v>
      </c>
      <c r="N84" s="64">
        <v>41.5</v>
      </c>
      <c r="O84" s="64">
        <v>0</v>
      </c>
      <c r="P84" s="64">
        <v>1.29</v>
      </c>
      <c r="Q84" s="64">
        <v>9.42</v>
      </c>
      <c r="R84" s="198"/>
      <c r="S84" s="198"/>
      <c r="T84" s="198"/>
      <c r="U84" s="198"/>
    </row>
    <row r="85" spans="1:26" s="12" customFormat="1" x14ac:dyDescent="0.25">
      <c r="A85" s="214" t="s">
        <v>2146</v>
      </c>
      <c r="B85" s="64">
        <v>18.14</v>
      </c>
      <c r="C85" s="64">
        <v>30.07</v>
      </c>
      <c r="D85" s="64">
        <v>30.26</v>
      </c>
      <c r="E85" s="64">
        <v>4.7699999999999996</v>
      </c>
      <c r="F85" s="64">
        <v>4.46</v>
      </c>
      <c r="G85" s="64">
        <v>60.4</v>
      </c>
      <c r="H85" s="64">
        <v>7</v>
      </c>
      <c r="I85" s="64">
        <v>2.0099999999999998</v>
      </c>
      <c r="J85" s="64">
        <v>0.21</v>
      </c>
      <c r="K85" s="64">
        <v>313.02999999999997</v>
      </c>
      <c r="L85" s="64">
        <v>27.61</v>
      </c>
      <c r="M85" s="64">
        <v>90.1</v>
      </c>
      <c r="N85" s="64">
        <v>42.6</v>
      </c>
      <c r="O85" s="64">
        <v>0</v>
      </c>
      <c r="P85" s="64">
        <v>0.63</v>
      </c>
      <c r="Q85" s="64">
        <v>9.44</v>
      </c>
      <c r="R85" s="198"/>
      <c r="S85" s="198"/>
      <c r="T85" s="198"/>
      <c r="U85" s="198"/>
    </row>
    <row r="86" spans="1:26" s="12" customFormat="1" x14ac:dyDescent="0.25">
      <c r="A86" s="214" t="s">
        <v>2147</v>
      </c>
      <c r="B86" s="64">
        <v>9.18</v>
      </c>
      <c r="C86" s="64">
        <v>17.84</v>
      </c>
      <c r="D86" s="64">
        <v>16.68</v>
      </c>
      <c r="E86" s="64">
        <v>4.55</v>
      </c>
      <c r="F86" s="64">
        <v>3.64</v>
      </c>
      <c r="G86" s="64">
        <v>60.61</v>
      </c>
      <c r="H86" s="64">
        <v>7</v>
      </c>
      <c r="I86" s="64">
        <v>2.09</v>
      </c>
      <c r="J86" s="64">
        <v>0.55000000000000004</v>
      </c>
      <c r="K86" s="64">
        <v>318.62</v>
      </c>
      <c r="L86" s="64">
        <v>26.53</v>
      </c>
      <c r="M86" s="64">
        <v>96.45</v>
      </c>
      <c r="N86" s="64">
        <v>42.8</v>
      </c>
      <c r="O86" s="64">
        <v>0</v>
      </c>
      <c r="P86" s="64">
        <v>0.61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4" t="s">
        <v>2148</v>
      </c>
      <c r="B87" s="64">
        <v>6.86</v>
      </c>
      <c r="C87" s="64">
        <v>15.45</v>
      </c>
      <c r="D87" s="64">
        <v>13.57</v>
      </c>
      <c r="E87" s="64">
        <v>4.71</v>
      </c>
      <c r="F87" s="64">
        <v>2.54</v>
      </c>
      <c r="G87" s="64">
        <v>60.61</v>
      </c>
      <c r="H87" s="64">
        <v>7</v>
      </c>
      <c r="I87" s="64">
        <v>2.08</v>
      </c>
      <c r="J87" s="64">
        <v>1.4</v>
      </c>
      <c r="K87" s="64">
        <v>321.76</v>
      </c>
      <c r="L87" s="64">
        <v>26.33</v>
      </c>
      <c r="M87" s="64">
        <v>96.99</v>
      </c>
      <c r="N87" s="64">
        <v>42.2</v>
      </c>
      <c r="O87" s="64">
        <v>0</v>
      </c>
      <c r="P87" s="64">
        <v>0.63</v>
      </c>
      <c r="Q87" s="64">
        <v>9.39</v>
      </c>
      <c r="R87" s="198"/>
      <c r="S87" s="198"/>
      <c r="T87" s="198"/>
      <c r="U87" s="198"/>
    </row>
    <row r="88" spans="1:26" s="12" customFormat="1" x14ac:dyDescent="0.25">
      <c r="A88" s="214" t="s">
        <v>2149</v>
      </c>
      <c r="B88" s="64">
        <v>6.07</v>
      </c>
      <c r="C88" s="64">
        <v>15.16</v>
      </c>
      <c r="D88" s="64">
        <v>12.79</v>
      </c>
      <c r="E88" s="64">
        <v>5.04</v>
      </c>
      <c r="F88" s="64">
        <v>2.39</v>
      </c>
      <c r="G88" s="64">
        <v>60.61</v>
      </c>
      <c r="H88" s="64">
        <v>7</v>
      </c>
      <c r="I88" s="64">
        <v>2.0099999999999998</v>
      </c>
      <c r="J88" s="64">
        <v>1.1399999999999999</v>
      </c>
      <c r="K88" s="64">
        <v>321.62</v>
      </c>
      <c r="L88" s="64">
        <v>25.94</v>
      </c>
      <c r="M88" s="64">
        <v>95.3</v>
      </c>
      <c r="N88" s="64">
        <v>42.4</v>
      </c>
      <c r="O88" s="64">
        <v>0</v>
      </c>
      <c r="P88" s="64">
        <v>0.6</v>
      </c>
      <c r="Q88" s="64">
        <v>9.36</v>
      </c>
      <c r="R88" s="198"/>
      <c r="S88" s="198"/>
      <c r="T88" s="198"/>
      <c r="U88" s="198"/>
    </row>
    <row r="89" spans="1:26" s="12" customFormat="1" x14ac:dyDescent="0.25">
      <c r="A89" s="214" t="s">
        <v>2150</v>
      </c>
      <c r="B89" s="64">
        <v>5.87</v>
      </c>
      <c r="C89" s="64">
        <v>14.97</v>
      </c>
      <c r="D89" s="64">
        <v>12.52</v>
      </c>
      <c r="E89" s="64">
        <v>4.58</v>
      </c>
      <c r="F89" s="64">
        <v>2.95</v>
      </c>
      <c r="G89" s="64">
        <v>59.65</v>
      </c>
      <c r="H89" s="64">
        <v>4.9000000000000004</v>
      </c>
      <c r="I89" s="64">
        <v>1.99</v>
      </c>
      <c r="J89" s="64">
        <v>0.41</v>
      </c>
      <c r="K89" s="64">
        <v>305.7</v>
      </c>
      <c r="L89" s="64">
        <v>25.27</v>
      </c>
      <c r="M89" s="64">
        <v>97.9</v>
      </c>
      <c r="N89" s="64">
        <v>42.4</v>
      </c>
      <c r="O89" s="64">
        <v>0</v>
      </c>
      <c r="P89" s="64">
        <v>0.56999999999999995</v>
      </c>
      <c r="Q89" s="64">
        <v>9.32</v>
      </c>
      <c r="R89" s="198"/>
      <c r="S89" s="198"/>
      <c r="T89" s="198"/>
      <c r="U89" s="198"/>
    </row>
    <row r="90" spans="1:26" s="12" customFormat="1" x14ac:dyDescent="0.25">
      <c r="A90" s="214" t="s">
        <v>2151</v>
      </c>
      <c r="B90" s="64">
        <v>5.58</v>
      </c>
      <c r="C90" s="64">
        <v>14.93</v>
      </c>
      <c r="D90" s="64">
        <v>12.28</v>
      </c>
      <c r="E90" s="64">
        <v>4.5199999999999996</v>
      </c>
      <c r="F90" s="64">
        <v>2.67</v>
      </c>
      <c r="G90" s="64">
        <v>59.59</v>
      </c>
      <c r="H90" s="64">
        <v>4.9000000000000004</v>
      </c>
      <c r="I90" s="64">
        <v>1.92</v>
      </c>
      <c r="J90" s="64">
        <v>0.35</v>
      </c>
      <c r="K90" s="64">
        <v>309.14</v>
      </c>
      <c r="L90" s="64">
        <v>24.54</v>
      </c>
      <c r="M90" s="64">
        <v>98.08</v>
      </c>
      <c r="N90" s="64">
        <v>42.3</v>
      </c>
      <c r="O90" s="64">
        <v>0</v>
      </c>
      <c r="P90" s="64">
        <v>0.53</v>
      </c>
      <c r="Q90" s="64">
        <v>9.2899999999999991</v>
      </c>
      <c r="R90" s="198"/>
      <c r="S90" s="198"/>
      <c r="T90" s="198"/>
      <c r="U90" s="198"/>
    </row>
    <row r="91" spans="1:26" s="12" customFormat="1" x14ac:dyDescent="0.25">
      <c r="A91" s="214" t="s">
        <v>2152</v>
      </c>
      <c r="B91" s="64">
        <v>5.15</v>
      </c>
      <c r="C91" s="64">
        <v>15.14</v>
      </c>
      <c r="D91" s="64">
        <v>12.04</v>
      </c>
      <c r="E91" s="64">
        <v>4.3499999999999996</v>
      </c>
      <c r="F91" s="64">
        <v>3.84</v>
      </c>
      <c r="G91" s="64">
        <v>59.59</v>
      </c>
      <c r="H91" s="64">
        <v>4.9000000000000004</v>
      </c>
      <c r="I91" s="64">
        <v>1.81</v>
      </c>
      <c r="J91" s="64">
        <v>0.24</v>
      </c>
      <c r="K91" s="64">
        <v>318.8</v>
      </c>
      <c r="L91" s="64">
        <v>24.06</v>
      </c>
      <c r="M91" s="64">
        <v>98.12</v>
      </c>
      <c r="N91" s="64">
        <v>41.9</v>
      </c>
      <c r="O91" s="64">
        <v>0</v>
      </c>
      <c r="P91" s="64">
        <v>0.52</v>
      </c>
      <c r="Q91" s="64">
        <v>9.26</v>
      </c>
      <c r="R91" s="198"/>
      <c r="S91" s="198"/>
      <c r="T91" s="198"/>
      <c r="U91" s="198"/>
    </row>
    <row r="92" spans="1:26" s="12" customFormat="1" x14ac:dyDescent="0.25">
      <c r="A92" s="214" t="s">
        <v>2153</v>
      </c>
      <c r="B92" s="64">
        <v>5.18</v>
      </c>
      <c r="C92" s="64">
        <v>16.72</v>
      </c>
      <c r="D92" s="64">
        <v>12.89</v>
      </c>
      <c r="E92" s="64">
        <v>4.21</v>
      </c>
      <c r="F92" s="64">
        <v>7.43</v>
      </c>
      <c r="G92" s="64">
        <v>59.59</v>
      </c>
      <c r="H92" s="64">
        <v>4.9000000000000004</v>
      </c>
      <c r="I92" s="64">
        <v>1.71</v>
      </c>
      <c r="J92" s="64">
        <v>0.12</v>
      </c>
      <c r="K92" s="64">
        <v>330.33</v>
      </c>
      <c r="L92" s="64">
        <v>23.9</v>
      </c>
      <c r="M92" s="64">
        <v>98.12</v>
      </c>
      <c r="N92" s="64">
        <v>41.5</v>
      </c>
      <c r="O92" s="64">
        <v>0</v>
      </c>
      <c r="P92" s="64">
        <v>0.53</v>
      </c>
      <c r="Q92" s="64">
        <v>9.25</v>
      </c>
      <c r="R92" s="198"/>
      <c r="S92" s="198"/>
      <c r="T92" s="198"/>
      <c r="U92" s="198"/>
    </row>
    <row r="93" spans="1:26" s="12" customFormat="1" x14ac:dyDescent="0.25">
      <c r="A93" s="214" t="s">
        <v>2154</v>
      </c>
      <c r="B93" s="64">
        <v>5.41</v>
      </c>
      <c r="C93" s="64">
        <v>15.71</v>
      </c>
      <c r="D93" s="64">
        <v>12.55</v>
      </c>
      <c r="E93" s="64">
        <v>4.2</v>
      </c>
      <c r="F93" s="64">
        <v>4.49</v>
      </c>
      <c r="G93" s="64">
        <v>48.6</v>
      </c>
      <c r="H93" s="64">
        <v>3.43</v>
      </c>
      <c r="I93" s="64">
        <v>1.65</v>
      </c>
      <c r="J93" s="64">
        <v>0.15</v>
      </c>
      <c r="K93" s="64">
        <v>2.2000000000000002</v>
      </c>
      <c r="L93" s="64">
        <v>23.88</v>
      </c>
      <c r="M93" s="64">
        <v>98.13</v>
      </c>
      <c r="N93" s="64">
        <v>41.4</v>
      </c>
      <c r="O93" s="64">
        <v>0</v>
      </c>
      <c r="P93" s="64">
        <v>0.55000000000000004</v>
      </c>
      <c r="Q93" s="64">
        <v>9.24</v>
      </c>
      <c r="R93" s="198"/>
      <c r="S93" s="198"/>
      <c r="T93" s="198"/>
      <c r="U93" s="198"/>
    </row>
    <row r="94" spans="1:26" s="12" customFormat="1" x14ac:dyDescent="0.25">
      <c r="A94" s="214" t="s">
        <v>2155</v>
      </c>
      <c r="B94" s="64">
        <v>6.28</v>
      </c>
      <c r="C94" s="64">
        <v>19.53</v>
      </c>
      <c r="D94" s="64">
        <v>15.24</v>
      </c>
      <c r="E94" s="64">
        <v>4.46</v>
      </c>
      <c r="F94" s="64">
        <v>7.38</v>
      </c>
      <c r="G94" s="64">
        <v>47.82</v>
      </c>
      <c r="H94" s="64">
        <v>3.43</v>
      </c>
      <c r="I94" s="64">
        <v>1.64</v>
      </c>
      <c r="J94" s="64">
        <v>0.26</v>
      </c>
      <c r="K94" s="64">
        <v>127.28</v>
      </c>
      <c r="L94" s="64">
        <v>23.86</v>
      </c>
      <c r="M94" s="64">
        <v>98.16</v>
      </c>
      <c r="N94" s="64">
        <v>41.2</v>
      </c>
      <c r="O94" s="64">
        <v>0</v>
      </c>
      <c r="P94" s="64">
        <v>0.41</v>
      </c>
      <c r="Q94" s="64">
        <v>9.25</v>
      </c>
      <c r="R94" s="198"/>
      <c r="S94" s="198"/>
      <c r="T94" s="198"/>
      <c r="U94" s="198"/>
    </row>
    <row r="95" spans="1:26" s="12" customFormat="1" x14ac:dyDescent="0.25">
      <c r="A95" s="214" t="s">
        <v>2156</v>
      </c>
      <c r="B95" s="64">
        <v>4.87</v>
      </c>
      <c r="C95" s="64">
        <v>19.079999999999998</v>
      </c>
      <c r="D95" s="64">
        <v>13.87</v>
      </c>
      <c r="E95" s="64">
        <v>4.3600000000000003</v>
      </c>
      <c r="F95" s="64">
        <v>10.66</v>
      </c>
      <c r="G95" s="64">
        <v>47.82</v>
      </c>
      <c r="H95" s="64">
        <v>3.43</v>
      </c>
      <c r="I95" s="64">
        <v>1.65</v>
      </c>
      <c r="J95" s="64">
        <v>0.2</v>
      </c>
      <c r="K95" s="64">
        <v>133.1</v>
      </c>
      <c r="L95" s="64">
        <v>24.06</v>
      </c>
      <c r="M95" s="64">
        <v>98.15</v>
      </c>
      <c r="N95" s="64">
        <v>41.1</v>
      </c>
      <c r="O95" s="64">
        <v>0</v>
      </c>
      <c r="P95" s="64">
        <v>0.45</v>
      </c>
      <c r="Q95" s="64">
        <v>9.25</v>
      </c>
      <c r="R95" s="198"/>
      <c r="S95" s="198"/>
      <c r="T95" s="198"/>
      <c r="U95" s="198"/>
    </row>
    <row r="96" spans="1:26" s="12" customFormat="1" x14ac:dyDescent="0.25">
      <c r="A96" s="214" t="s">
        <v>2157</v>
      </c>
      <c r="B96" s="64">
        <v>6.09</v>
      </c>
      <c r="C96" s="64">
        <v>20.36</v>
      </c>
      <c r="D96" s="64">
        <v>15.52</v>
      </c>
      <c r="E96" s="64">
        <v>4.43</v>
      </c>
      <c r="F96" s="64">
        <v>9.26</v>
      </c>
      <c r="G96" s="64">
        <v>47.82</v>
      </c>
      <c r="H96" s="64">
        <v>3.43</v>
      </c>
      <c r="I96" s="64">
        <v>1.66</v>
      </c>
      <c r="J96" s="64">
        <v>0.21</v>
      </c>
      <c r="K96" s="64">
        <v>324.39</v>
      </c>
      <c r="L96" s="64">
        <v>24.33</v>
      </c>
      <c r="M96" s="64">
        <v>98.15</v>
      </c>
      <c r="N96" s="64">
        <v>41.2</v>
      </c>
      <c r="O96" s="64">
        <v>0</v>
      </c>
      <c r="P96" s="64">
        <v>0.61</v>
      </c>
      <c r="Q96" s="64">
        <v>9.24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2158</v>
      </c>
      <c r="B97" s="64">
        <v>5.78</v>
      </c>
      <c r="C97" s="64">
        <v>17.440000000000001</v>
      </c>
      <c r="D97" s="64">
        <v>13.75</v>
      </c>
      <c r="E97" s="64">
        <v>4.53</v>
      </c>
      <c r="F97" s="64">
        <v>6.94</v>
      </c>
      <c r="G97" s="64">
        <v>45.29</v>
      </c>
      <c r="H97" s="64">
        <v>2.4</v>
      </c>
      <c r="I97" s="64">
        <v>1.65</v>
      </c>
      <c r="J97" s="64">
        <v>0.11</v>
      </c>
      <c r="K97" s="64">
        <v>303.5</v>
      </c>
      <c r="L97" s="64">
        <v>24.16</v>
      </c>
      <c r="M97" s="64">
        <v>98.13</v>
      </c>
      <c r="N97" s="64">
        <v>41.6</v>
      </c>
      <c r="O97" s="64">
        <v>0</v>
      </c>
      <c r="P97" s="64">
        <v>0.49</v>
      </c>
      <c r="Q97" s="64">
        <v>9.26</v>
      </c>
      <c r="R97" s="198"/>
      <c r="S97" s="198"/>
      <c r="T97" s="198"/>
      <c r="U97" s="198"/>
    </row>
    <row r="98" spans="1:33" s="12" customFormat="1" x14ac:dyDescent="0.25">
      <c r="A98" s="214" t="s">
        <v>2159</v>
      </c>
      <c r="B98" s="64">
        <v>5.78</v>
      </c>
      <c r="C98" s="64">
        <v>15.52</v>
      </c>
      <c r="D98" s="64">
        <v>12.75</v>
      </c>
      <c r="E98" s="64">
        <v>4.22</v>
      </c>
      <c r="F98" s="64">
        <v>9.26</v>
      </c>
      <c r="G98" s="64">
        <v>45.15</v>
      </c>
      <c r="H98" s="64">
        <v>2.4</v>
      </c>
      <c r="I98" s="64">
        <v>1.65</v>
      </c>
      <c r="J98" s="64">
        <v>0.09</v>
      </c>
      <c r="K98" s="64">
        <v>310.07</v>
      </c>
      <c r="L98" s="64">
        <v>23.72</v>
      </c>
      <c r="M98" s="64">
        <v>98.15</v>
      </c>
      <c r="N98" s="64">
        <v>41.6</v>
      </c>
      <c r="O98" s="64">
        <v>0</v>
      </c>
      <c r="P98" s="64">
        <v>0.41</v>
      </c>
      <c r="Q98" s="64">
        <v>9.27</v>
      </c>
      <c r="R98" s="198"/>
      <c r="S98" s="198"/>
      <c r="T98" s="198"/>
      <c r="U98" s="198"/>
    </row>
    <row r="99" spans="1:33" s="12" customFormat="1" x14ac:dyDescent="0.25">
      <c r="A99" s="214" t="s">
        <v>2160</v>
      </c>
      <c r="B99" s="64">
        <v>5.55</v>
      </c>
      <c r="C99" s="64">
        <v>13.91</v>
      </c>
      <c r="D99" s="64">
        <v>11.71</v>
      </c>
      <c r="E99" s="64">
        <v>3.99</v>
      </c>
      <c r="F99" s="64">
        <v>6.55</v>
      </c>
      <c r="G99" s="64">
        <v>45.15</v>
      </c>
      <c r="H99" s="64">
        <v>2.4</v>
      </c>
      <c r="I99" s="64">
        <v>1.63</v>
      </c>
      <c r="J99" s="64">
        <v>0.14000000000000001</v>
      </c>
      <c r="K99" s="64">
        <v>313.45999999999998</v>
      </c>
      <c r="L99" s="64">
        <v>23.56</v>
      </c>
      <c r="M99" s="64">
        <v>98.16</v>
      </c>
      <c r="N99" s="64">
        <v>41.6</v>
      </c>
      <c r="O99" s="64">
        <v>0</v>
      </c>
      <c r="P99" s="64">
        <v>0.47</v>
      </c>
      <c r="Q99" s="64">
        <v>9.2799999999999994</v>
      </c>
      <c r="R99" s="198"/>
      <c r="S99" s="198"/>
      <c r="T99" s="198"/>
      <c r="U99" s="198"/>
    </row>
    <row r="100" spans="1:33" s="12" customFormat="1" x14ac:dyDescent="0.25">
      <c r="A100" s="214" t="s">
        <v>2161</v>
      </c>
      <c r="B100" s="64">
        <v>5.39</v>
      </c>
      <c r="C100" s="64">
        <v>13.86</v>
      </c>
      <c r="D100" s="64">
        <v>11.56</v>
      </c>
      <c r="E100" s="64">
        <v>4.4800000000000004</v>
      </c>
      <c r="F100" s="64">
        <v>8.6199999999999992</v>
      </c>
      <c r="G100" s="64">
        <v>45.15</v>
      </c>
      <c r="H100" s="64">
        <v>2.4</v>
      </c>
      <c r="I100" s="64">
        <v>1.61</v>
      </c>
      <c r="J100" s="64">
        <v>0.19</v>
      </c>
      <c r="K100" s="64">
        <v>313.43</v>
      </c>
      <c r="L100" s="64">
        <v>23.6</v>
      </c>
      <c r="M100" s="64">
        <v>98.17</v>
      </c>
      <c r="N100" s="64">
        <v>41.5</v>
      </c>
      <c r="O100" s="64">
        <v>0</v>
      </c>
      <c r="P100" s="64">
        <v>0.47</v>
      </c>
      <c r="Q100" s="64">
        <v>9.27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2162</v>
      </c>
      <c r="B101" s="64">
        <v>6.23</v>
      </c>
      <c r="C101" s="64">
        <v>15.99</v>
      </c>
      <c r="D101" s="64">
        <v>13.35</v>
      </c>
      <c r="E101" s="64">
        <v>4.4400000000000004</v>
      </c>
      <c r="F101" s="64">
        <v>10.35</v>
      </c>
      <c r="G101" s="64">
        <v>30.68</v>
      </c>
      <c r="H101" s="64">
        <v>1.73</v>
      </c>
      <c r="I101" s="64">
        <v>1.59</v>
      </c>
      <c r="J101" s="64">
        <v>0.16</v>
      </c>
      <c r="K101" s="64">
        <v>323.66000000000003</v>
      </c>
      <c r="L101" s="64">
        <v>23.53</v>
      </c>
      <c r="M101" s="64">
        <v>98.17</v>
      </c>
      <c r="N101" s="64">
        <v>41.5</v>
      </c>
      <c r="O101" s="64">
        <v>0</v>
      </c>
      <c r="P101" s="64">
        <v>0.47</v>
      </c>
      <c r="Q101" s="64">
        <v>9.2799999999999994</v>
      </c>
      <c r="R101" s="198"/>
      <c r="S101" s="198"/>
      <c r="T101" s="198"/>
      <c r="U101" s="198"/>
    </row>
    <row r="102" spans="1:33" s="12" customFormat="1" x14ac:dyDescent="0.25">
      <c r="A102" s="214" t="s">
        <v>2163</v>
      </c>
      <c r="B102" s="64">
        <v>5.54</v>
      </c>
      <c r="C102" s="64">
        <v>17.559999999999999</v>
      </c>
      <c r="D102" s="64">
        <v>13.62</v>
      </c>
      <c r="E102" s="64">
        <v>4.28</v>
      </c>
      <c r="F102" s="64">
        <v>11.22</v>
      </c>
      <c r="G102" s="64">
        <v>29.64</v>
      </c>
      <c r="H102" s="64">
        <v>1.73</v>
      </c>
      <c r="I102" s="64">
        <v>1.59</v>
      </c>
      <c r="J102" s="64">
        <v>0.13</v>
      </c>
      <c r="K102" s="64">
        <v>144.75</v>
      </c>
      <c r="L102" s="64">
        <v>23.46</v>
      </c>
      <c r="M102" s="64">
        <v>98.18</v>
      </c>
      <c r="N102" s="64">
        <v>41.4</v>
      </c>
      <c r="O102" s="64">
        <v>0</v>
      </c>
      <c r="P102" s="64">
        <v>0.36</v>
      </c>
      <c r="Q102" s="64">
        <v>9.2799999999999994</v>
      </c>
      <c r="R102" s="198"/>
      <c r="S102" s="198"/>
      <c r="T102" s="198"/>
      <c r="U102" s="198"/>
    </row>
    <row r="103" spans="1:33" s="12" customFormat="1" x14ac:dyDescent="0.25">
      <c r="A103" s="214" t="s">
        <v>2164</v>
      </c>
      <c r="B103" s="64">
        <v>4.21</v>
      </c>
      <c r="C103" s="64">
        <v>14.82</v>
      </c>
      <c r="D103" s="64">
        <v>11.12</v>
      </c>
      <c r="E103" s="64">
        <v>4.4400000000000004</v>
      </c>
      <c r="F103" s="64">
        <v>10.19</v>
      </c>
      <c r="G103" s="64">
        <v>29.64</v>
      </c>
      <c r="H103" s="64">
        <v>1.73</v>
      </c>
      <c r="I103" s="64">
        <v>1.6</v>
      </c>
      <c r="J103" s="64">
        <v>0.46</v>
      </c>
      <c r="K103" s="64">
        <v>150.09</v>
      </c>
      <c r="L103" s="64">
        <v>23.32</v>
      </c>
      <c r="M103" s="64">
        <v>98.2</v>
      </c>
      <c r="N103" s="64">
        <v>41.3</v>
      </c>
      <c r="O103" s="64">
        <v>0</v>
      </c>
      <c r="P103" s="64">
        <v>0.37</v>
      </c>
      <c r="Q103" s="64">
        <v>9.2799999999999994</v>
      </c>
      <c r="R103" s="198"/>
      <c r="S103" s="198"/>
      <c r="T103" s="198"/>
      <c r="U103" s="198"/>
    </row>
    <row r="104" spans="1:33" s="12" customFormat="1" x14ac:dyDescent="0.25">
      <c r="A104" s="214" t="s">
        <v>2165</v>
      </c>
      <c r="B104" s="64">
        <v>4.59</v>
      </c>
      <c r="C104" s="64">
        <v>13.16</v>
      </c>
      <c r="D104" s="64">
        <v>10.56</v>
      </c>
      <c r="E104" s="64">
        <v>4.03</v>
      </c>
      <c r="F104" s="64">
        <v>7.06</v>
      </c>
      <c r="G104" s="64">
        <v>29.64</v>
      </c>
      <c r="H104" s="64">
        <v>1.73</v>
      </c>
      <c r="I104" s="64">
        <v>1.61</v>
      </c>
      <c r="J104" s="64">
        <v>0.05</v>
      </c>
      <c r="K104" s="64">
        <v>190.18</v>
      </c>
      <c r="L104" s="64">
        <v>23.32</v>
      </c>
      <c r="M104" s="64">
        <v>98.22</v>
      </c>
      <c r="N104" s="64">
        <v>41.3</v>
      </c>
      <c r="O104" s="64">
        <v>0</v>
      </c>
      <c r="P104" s="64">
        <v>0.43</v>
      </c>
      <c r="Q104" s="64">
        <v>9.2799999999999994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3.39</v>
      </c>
      <c r="C106" s="67">
        <f>MIN(C9:C104)</f>
        <v>8.7799999999999994</v>
      </c>
      <c r="D106" s="67">
        <f t="shared" ref="D106:Q106" si="0">MIN(D9:D104)</f>
        <v>10.4</v>
      </c>
      <c r="E106" s="67">
        <f t="shared" si="0"/>
        <v>3.99</v>
      </c>
      <c r="F106" s="67">
        <f t="shared" si="0"/>
        <v>2.39</v>
      </c>
      <c r="G106" s="67">
        <f t="shared" si="0"/>
        <v>24.12</v>
      </c>
      <c r="H106" s="67">
        <f t="shared" si="0"/>
        <v>1.38</v>
      </c>
      <c r="I106" s="67">
        <f t="shared" si="0"/>
        <v>1.34</v>
      </c>
      <c r="J106" s="67">
        <f t="shared" si="0"/>
        <v>0</v>
      </c>
      <c r="K106" s="67">
        <f t="shared" si="0"/>
        <v>2.2000000000000002</v>
      </c>
      <c r="L106" s="67">
        <f t="shared" si="0"/>
        <v>23.32</v>
      </c>
      <c r="M106" s="67">
        <f t="shared" si="0"/>
        <v>54.51</v>
      </c>
      <c r="N106" s="67">
        <f t="shared" si="0"/>
        <v>41.1</v>
      </c>
      <c r="O106" s="67">
        <f t="shared" si="0"/>
        <v>0</v>
      </c>
      <c r="P106" s="67">
        <f t="shared" si="0"/>
        <v>0.22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26.01</v>
      </c>
      <c r="C107" s="66">
        <f t="shared" ref="C107:Q107" si="1">MAX(C9:C104)</f>
        <v>145.61000000000001</v>
      </c>
      <c r="D107" s="66">
        <f t="shared" si="1"/>
        <v>83.42</v>
      </c>
      <c r="E107" s="66">
        <f t="shared" si="1"/>
        <v>5.6</v>
      </c>
      <c r="F107" s="66">
        <f t="shared" si="1"/>
        <v>19.829999999999998</v>
      </c>
      <c r="G107" s="66">
        <f t="shared" si="1"/>
        <v>60.61</v>
      </c>
      <c r="H107" s="66">
        <f t="shared" si="1"/>
        <v>12.55</v>
      </c>
      <c r="I107" s="66">
        <f t="shared" si="1"/>
        <v>2.09</v>
      </c>
      <c r="J107" s="66">
        <f t="shared" si="1"/>
        <v>1.4</v>
      </c>
      <c r="K107" s="66">
        <f t="shared" si="1"/>
        <v>341.87</v>
      </c>
      <c r="L107" s="66">
        <f t="shared" si="1"/>
        <v>35.590000000000003</v>
      </c>
      <c r="M107" s="66">
        <f t="shared" si="1"/>
        <v>98.22</v>
      </c>
      <c r="N107" s="66">
        <f t="shared" si="1"/>
        <v>906.6</v>
      </c>
      <c r="O107" s="66">
        <f t="shared" si="1"/>
        <v>0</v>
      </c>
      <c r="P107" s="66">
        <f t="shared" si="1"/>
        <v>1.52</v>
      </c>
      <c r="Q107" s="66">
        <f t="shared" si="1"/>
        <v>9.44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7.7198958333333332</v>
      </c>
      <c r="C108" s="67">
        <f t="shared" ref="C108:Q108" si="2">AVERAGE(C9:C104)</f>
        <v>18.02385416666667</v>
      </c>
      <c r="D108" s="67">
        <f t="shared" si="2"/>
        <v>15.60697916666666</v>
      </c>
      <c r="E108" s="67">
        <f t="shared" si="2"/>
        <v>4.9542708333333323</v>
      </c>
      <c r="F108" s="67">
        <f t="shared" si="2"/>
        <v>9.0549999999999979</v>
      </c>
      <c r="G108" s="67">
        <f t="shared" si="2"/>
        <v>41.816250000000046</v>
      </c>
      <c r="H108" s="67">
        <f t="shared" si="2"/>
        <v>5.2187499999999982</v>
      </c>
      <c r="I108" s="67">
        <f t="shared" si="2"/>
        <v>1.6048958333333339</v>
      </c>
      <c r="J108" s="67">
        <f t="shared" si="2"/>
        <v>0.27041666666666664</v>
      </c>
      <c r="K108" s="67">
        <f t="shared" si="2"/>
        <v>264.60479166666664</v>
      </c>
      <c r="L108" s="67">
        <f t="shared" si="2"/>
        <v>28.217708333333334</v>
      </c>
      <c r="M108" s="67">
        <f t="shared" si="2"/>
        <v>84.968020833333327</v>
      </c>
      <c r="N108" s="67">
        <f t="shared" si="2"/>
        <v>218.52604166666666</v>
      </c>
      <c r="O108" s="67">
        <f t="shared" si="2"/>
        <v>0</v>
      </c>
      <c r="P108" s="67">
        <f t="shared" si="2"/>
        <v>0.48468749999999999</v>
      </c>
      <c r="Q108" s="67">
        <f t="shared" si="2"/>
        <v>9.2758333333333258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3.8296443409941823</v>
      </c>
      <c r="C109" s="67">
        <f t="shared" ref="C109:Q109" si="3">STDEV(C9:C104)</f>
        <v>15.071506568760562</v>
      </c>
      <c r="D109" s="67">
        <f t="shared" si="3"/>
        <v>9.2810546269826038</v>
      </c>
      <c r="E109" s="67">
        <f t="shared" si="3"/>
        <v>0.36782359842919748</v>
      </c>
      <c r="F109" s="67">
        <f t="shared" si="3"/>
        <v>4.1234418428758</v>
      </c>
      <c r="G109" s="67">
        <f t="shared" si="3"/>
        <v>10.408441437501118</v>
      </c>
      <c r="H109" s="67">
        <f t="shared" si="3"/>
        <v>2.6642558949328161</v>
      </c>
      <c r="I109" s="67">
        <f t="shared" si="3"/>
        <v>0.17846122852798574</v>
      </c>
      <c r="J109" s="67">
        <f t="shared" si="3"/>
        <v>0.27787887049336213</v>
      </c>
      <c r="K109" s="67">
        <f t="shared" si="3"/>
        <v>78.009036885130612</v>
      </c>
      <c r="L109" s="67">
        <f t="shared" si="3"/>
        <v>3.8922883214367348</v>
      </c>
      <c r="M109" s="67">
        <f t="shared" si="3"/>
        <v>14.998775221561663</v>
      </c>
      <c r="N109" s="67">
        <f t="shared" si="3"/>
        <v>266.02621447589934</v>
      </c>
      <c r="O109" s="67">
        <f t="shared" si="3"/>
        <v>0</v>
      </c>
      <c r="P109" s="67">
        <f t="shared" si="3"/>
        <v>0.22892404221763837</v>
      </c>
      <c r="Q109" s="67">
        <f t="shared" si="3"/>
        <v>7.2076956923126517E-2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2166</v>
      </c>
      <c r="B9" s="64">
        <v>5.15</v>
      </c>
      <c r="C9" s="64">
        <v>11.38</v>
      </c>
      <c r="D9" s="64">
        <v>10.08</v>
      </c>
      <c r="E9" s="64">
        <v>4.6399999999999997</v>
      </c>
      <c r="F9" s="64">
        <v>5.44</v>
      </c>
      <c r="G9" s="64">
        <v>27.43</v>
      </c>
      <c r="H9" s="64">
        <v>1.28</v>
      </c>
      <c r="I9" s="64">
        <v>1.61</v>
      </c>
      <c r="J9" s="64">
        <v>0.12</v>
      </c>
      <c r="K9" s="64">
        <v>203.86</v>
      </c>
      <c r="L9" s="64">
        <v>23.35</v>
      </c>
      <c r="M9" s="64">
        <v>98.25</v>
      </c>
      <c r="N9" s="64">
        <v>41.4</v>
      </c>
      <c r="O9" s="64">
        <v>0</v>
      </c>
      <c r="P9" s="64">
        <v>0.46</v>
      </c>
      <c r="Q9" s="64">
        <v>9.25</v>
      </c>
      <c r="R9" s="198"/>
      <c r="S9" s="198"/>
      <c r="T9" s="198"/>
      <c r="U9" s="198"/>
    </row>
    <row r="10" spans="1:21" s="12" customFormat="1" x14ac:dyDescent="0.25">
      <c r="A10" s="214" t="s">
        <v>2167</v>
      </c>
      <c r="B10" s="64">
        <v>4.84</v>
      </c>
      <c r="C10" s="64">
        <v>11.36</v>
      </c>
      <c r="D10" s="64">
        <v>9.82</v>
      </c>
      <c r="E10" s="64">
        <v>4.5199999999999996</v>
      </c>
      <c r="F10" s="64">
        <v>7.98</v>
      </c>
      <c r="G10" s="64">
        <v>27.28</v>
      </c>
      <c r="H10" s="64">
        <v>1.28</v>
      </c>
      <c r="I10" s="64">
        <v>1.6</v>
      </c>
      <c r="J10" s="64">
        <v>0</v>
      </c>
      <c r="K10" s="64">
        <v>184.27</v>
      </c>
      <c r="L10" s="64">
        <v>23.2</v>
      </c>
      <c r="M10" s="64">
        <v>98.27</v>
      </c>
      <c r="N10" s="64">
        <v>41.6</v>
      </c>
      <c r="O10" s="64">
        <v>0</v>
      </c>
      <c r="P10" s="64">
        <v>0.4</v>
      </c>
      <c r="Q10" s="64">
        <v>9.23</v>
      </c>
      <c r="R10" s="198"/>
      <c r="S10" s="198"/>
      <c r="T10" s="198"/>
      <c r="U10" s="198"/>
    </row>
    <row r="11" spans="1:21" s="12" customFormat="1" x14ac:dyDescent="0.25">
      <c r="A11" s="214" t="s">
        <v>2168</v>
      </c>
      <c r="B11" s="64">
        <v>4.99</v>
      </c>
      <c r="C11" s="64">
        <v>11.09</v>
      </c>
      <c r="D11" s="64">
        <v>9.8000000000000007</v>
      </c>
      <c r="E11" s="64">
        <v>4.42</v>
      </c>
      <c r="F11" s="64">
        <v>4.37</v>
      </c>
      <c r="G11" s="64">
        <v>27.28</v>
      </c>
      <c r="H11" s="64">
        <v>1.28</v>
      </c>
      <c r="I11" s="64">
        <v>1.58</v>
      </c>
      <c r="J11" s="64">
        <v>0.09</v>
      </c>
      <c r="K11" s="64">
        <v>309.95</v>
      </c>
      <c r="L11" s="64">
        <v>23.23</v>
      </c>
      <c r="M11" s="64">
        <v>98.3</v>
      </c>
      <c r="N11" s="64">
        <v>41.5</v>
      </c>
      <c r="O11" s="64">
        <v>0</v>
      </c>
      <c r="P11" s="64">
        <v>0.45</v>
      </c>
      <c r="Q11" s="64">
        <v>9.2200000000000006</v>
      </c>
      <c r="R11" s="198"/>
      <c r="S11" s="198"/>
      <c r="T11" s="198"/>
      <c r="U11" s="198"/>
    </row>
    <row r="12" spans="1:21" s="12" customFormat="1" x14ac:dyDescent="0.25">
      <c r="A12" s="214" t="s">
        <v>2169</v>
      </c>
      <c r="B12" s="64">
        <v>5.14</v>
      </c>
      <c r="C12" s="64">
        <v>11.29</v>
      </c>
      <c r="D12" s="64">
        <v>10.02</v>
      </c>
      <c r="E12" s="64">
        <v>4.71</v>
      </c>
      <c r="F12" s="64">
        <v>3.96</v>
      </c>
      <c r="G12" s="64">
        <v>27.28</v>
      </c>
      <c r="H12" s="64">
        <v>1.28</v>
      </c>
      <c r="I12" s="64">
        <v>1.56</v>
      </c>
      <c r="J12" s="64">
        <v>0.11</v>
      </c>
      <c r="K12" s="64">
        <v>312.48</v>
      </c>
      <c r="L12" s="64">
        <v>23.16</v>
      </c>
      <c r="M12" s="64">
        <v>98.3</v>
      </c>
      <c r="N12" s="64">
        <v>41.6</v>
      </c>
      <c r="O12" s="64">
        <v>0</v>
      </c>
      <c r="P12" s="64">
        <v>0.42</v>
      </c>
      <c r="Q12" s="64">
        <v>9.2100000000000009</v>
      </c>
      <c r="R12" s="198"/>
      <c r="S12" s="198"/>
      <c r="T12" s="198"/>
      <c r="U12" s="198"/>
    </row>
    <row r="13" spans="1:21" s="12" customFormat="1" x14ac:dyDescent="0.25">
      <c r="A13" s="214" t="s">
        <v>2170</v>
      </c>
      <c r="B13" s="64">
        <v>4.95</v>
      </c>
      <c r="C13" s="64">
        <v>11.52</v>
      </c>
      <c r="D13" s="64">
        <v>9.99</v>
      </c>
      <c r="E13" s="64">
        <v>4.13</v>
      </c>
      <c r="F13" s="64">
        <v>2.98</v>
      </c>
      <c r="G13" s="64">
        <v>26.08</v>
      </c>
      <c r="H13" s="64">
        <v>2.92</v>
      </c>
      <c r="I13" s="64">
        <v>1.53</v>
      </c>
      <c r="J13" s="64">
        <v>0.1</v>
      </c>
      <c r="K13" s="64">
        <v>306.62</v>
      </c>
      <c r="L13" s="64">
        <v>23.16</v>
      </c>
      <c r="M13" s="64">
        <v>98.29</v>
      </c>
      <c r="N13" s="64">
        <v>41.5</v>
      </c>
      <c r="O13" s="64">
        <v>0</v>
      </c>
      <c r="P13" s="64">
        <v>0.42</v>
      </c>
      <c r="Q13" s="64">
        <v>9.1999999999999993</v>
      </c>
      <c r="R13" s="198"/>
      <c r="S13" s="198"/>
      <c r="T13" s="198"/>
      <c r="U13" s="198"/>
    </row>
    <row r="14" spans="1:21" s="12" customFormat="1" x14ac:dyDescent="0.25">
      <c r="A14" s="214" t="s">
        <v>2171</v>
      </c>
      <c r="B14" s="64">
        <v>5.0199999999999996</v>
      </c>
      <c r="C14" s="64">
        <v>11.57</v>
      </c>
      <c r="D14" s="64">
        <v>10.08</v>
      </c>
      <c r="E14" s="64">
        <v>4.49</v>
      </c>
      <c r="F14" s="64">
        <v>5.05</v>
      </c>
      <c r="G14" s="64">
        <v>26.01</v>
      </c>
      <c r="H14" s="64">
        <v>2.92</v>
      </c>
      <c r="I14" s="64">
        <v>1.49</v>
      </c>
      <c r="J14" s="64">
        <v>0.13</v>
      </c>
      <c r="K14" s="64">
        <v>306.48</v>
      </c>
      <c r="L14" s="64">
        <v>23.01</v>
      </c>
      <c r="M14" s="64">
        <v>98.3</v>
      </c>
      <c r="N14" s="64">
        <v>41.5</v>
      </c>
      <c r="O14" s="64">
        <v>0</v>
      </c>
      <c r="P14" s="64">
        <v>0.44</v>
      </c>
      <c r="Q14" s="64">
        <v>9.19</v>
      </c>
      <c r="R14" s="198"/>
      <c r="S14" s="198"/>
      <c r="T14" s="198"/>
      <c r="U14" s="198"/>
    </row>
    <row r="15" spans="1:21" s="12" customFormat="1" x14ac:dyDescent="0.25">
      <c r="A15" s="214" t="s">
        <v>2172</v>
      </c>
      <c r="B15" s="64">
        <v>4.82</v>
      </c>
      <c r="C15" s="64">
        <v>11.6</v>
      </c>
      <c r="D15" s="64">
        <v>9.92</v>
      </c>
      <c r="E15" s="64">
        <v>4.32</v>
      </c>
      <c r="F15" s="64">
        <v>4.87</v>
      </c>
      <c r="G15" s="64">
        <v>26.01</v>
      </c>
      <c r="H15" s="64">
        <v>2.92</v>
      </c>
      <c r="I15" s="64">
        <v>1.44</v>
      </c>
      <c r="J15" s="64">
        <v>0.24</v>
      </c>
      <c r="K15" s="64">
        <v>322.02</v>
      </c>
      <c r="L15" s="64">
        <v>23.14</v>
      </c>
      <c r="M15" s="64">
        <v>98.28</v>
      </c>
      <c r="N15" s="64">
        <v>41.4</v>
      </c>
      <c r="O15" s="64">
        <v>0</v>
      </c>
      <c r="P15" s="64">
        <v>0.42</v>
      </c>
      <c r="Q15" s="64">
        <v>9.17</v>
      </c>
      <c r="R15" s="198"/>
      <c r="S15" s="198"/>
      <c r="T15" s="198"/>
      <c r="U15" s="198"/>
    </row>
    <row r="16" spans="1:21" s="12" customFormat="1" x14ac:dyDescent="0.25">
      <c r="A16" s="214" t="s">
        <v>2173</v>
      </c>
      <c r="B16" s="64">
        <v>4.93</v>
      </c>
      <c r="C16" s="64">
        <v>11.63</v>
      </c>
      <c r="D16" s="64">
        <v>10.029999999999999</v>
      </c>
      <c r="E16" s="64">
        <v>4.28</v>
      </c>
      <c r="F16" s="64">
        <v>3.31</v>
      </c>
      <c r="G16" s="64">
        <v>26.01</v>
      </c>
      <c r="H16" s="64">
        <v>2.92</v>
      </c>
      <c r="I16" s="64">
        <v>1.43</v>
      </c>
      <c r="J16" s="64">
        <v>0.13</v>
      </c>
      <c r="K16" s="64">
        <v>307.7</v>
      </c>
      <c r="L16" s="64">
        <v>23.19</v>
      </c>
      <c r="M16" s="64">
        <v>98.24</v>
      </c>
      <c r="N16" s="64">
        <v>41.5</v>
      </c>
      <c r="O16" s="64">
        <v>0</v>
      </c>
      <c r="P16" s="64">
        <v>0.41</v>
      </c>
      <c r="Q16" s="64">
        <v>9.15</v>
      </c>
      <c r="R16" s="198"/>
      <c r="S16" s="198"/>
      <c r="T16" s="198"/>
      <c r="U16" s="198"/>
    </row>
    <row r="17" spans="1:21" s="12" customFormat="1" x14ac:dyDescent="0.25">
      <c r="A17" s="214" t="s">
        <v>2174</v>
      </c>
      <c r="B17" s="64">
        <v>4.8099999999999996</v>
      </c>
      <c r="C17" s="64">
        <v>11.73</v>
      </c>
      <c r="D17" s="64">
        <v>9.98</v>
      </c>
      <c r="E17" s="64">
        <v>4.45</v>
      </c>
      <c r="F17" s="64">
        <v>4.1900000000000004</v>
      </c>
      <c r="G17" s="64">
        <v>24.65</v>
      </c>
      <c r="H17" s="64">
        <v>2.5</v>
      </c>
      <c r="I17" s="64">
        <v>1.53</v>
      </c>
      <c r="J17" s="64">
        <v>0.1</v>
      </c>
      <c r="K17" s="64">
        <v>299.16000000000003</v>
      </c>
      <c r="L17" s="64">
        <v>23.25</v>
      </c>
      <c r="M17" s="64">
        <v>98.24</v>
      </c>
      <c r="N17" s="64">
        <v>41.2</v>
      </c>
      <c r="O17" s="64">
        <v>0</v>
      </c>
      <c r="P17" s="64">
        <v>0.36</v>
      </c>
      <c r="Q17" s="64">
        <v>9.16</v>
      </c>
      <c r="R17" s="198"/>
      <c r="S17" s="198"/>
      <c r="T17" s="198"/>
      <c r="U17" s="198"/>
    </row>
    <row r="18" spans="1:21" s="12" customFormat="1" x14ac:dyDescent="0.25">
      <c r="A18" s="214" t="s">
        <v>2175</v>
      </c>
      <c r="B18" s="64">
        <v>4.83</v>
      </c>
      <c r="C18" s="64">
        <v>11.38</v>
      </c>
      <c r="D18" s="64">
        <v>9.82</v>
      </c>
      <c r="E18" s="64">
        <v>4.43</v>
      </c>
      <c r="F18" s="64">
        <v>5.27</v>
      </c>
      <c r="G18" s="64">
        <v>24.55</v>
      </c>
      <c r="H18" s="64">
        <v>2.5</v>
      </c>
      <c r="I18" s="64">
        <v>1.6</v>
      </c>
      <c r="J18" s="64">
        <v>0.13</v>
      </c>
      <c r="K18" s="64">
        <v>297.02</v>
      </c>
      <c r="L18" s="64">
        <v>23.26</v>
      </c>
      <c r="M18" s="64">
        <v>98.28</v>
      </c>
      <c r="N18" s="64">
        <v>41.2</v>
      </c>
      <c r="O18" s="64">
        <v>0</v>
      </c>
      <c r="P18" s="64">
        <v>0.35</v>
      </c>
      <c r="Q18" s="64">
        <v>9.18</v>
      </c>
      <c r="R18" s="198"/>
      <c r="S18" s="198"/>
      <c r="T18" s="198"/>
      <c r="U18" s="198"/>
    </row>
    <row r="19" spans="1:21" s="12" customFormat="1" x14ac:dyDescent="0.25">
      <c r="A19" s="214" t="s">
        <v>2176</v>
      </c>
      <c r="B19" s="64">
        <v>4.9400000000000004</v>
      </c>
      <c r="C19" s="64">
        <v>12.03</v>
      </c>
      <c r="D19" s="64">
        <v>10.25</v>
      </c>
      <c r="E19" s="64">
        <v>4.25</v>
      </c>
      <c r="F19" s="64">
        <v>10.76</v>
      </c>
      <c r="G19" s="64">
        <v>24.55</v>
      </c>
      <c r="H19" s="64">
        <v>2.5</v>
      </c>
      <c r="I19" s="64">
        <v>1.57</v>
      </c>
      <c r="J19" s="64">
        <v>0.19</v>
      </c>
      <c r="K19" s="64">
        <v>309.37</v>
      </c>
      <c r="L19" s="64">
        <v>23.27</v>
      </c>
      <c r="M19" s="64">
        <v>98.28</v>
      </c>
      <c r="N19" s="64">
        <v>41.4</v>
      </c>
      <c r="O19" s="64">
        <v>0</v>
      </c>
      <c r="P19" s="64">
        <v>0.33</v>
      </c>
      <c r="Q19" s="64">
        <v>9.18</v>
      </c>
      <c r="R19" s="198"/>
      <c r="S19" s="198"/>
      <c r="T19" s="198"/>
      <c r="U19" s="198"/>
    </row>
    <row r="20" spans="1:21" s="12" customFormat="1" x14ac:dyDescent="0.25">
      <c r="A20" s="214" t="s">
        <v>2177</v>
      </c>
      <c r="B20" s="64">
        <v>5.07</v>
      </c>
      <c r="C20" s="64">
        <v>12.24</v>
      </c>
      <c r="D20" s="64">
        <v>10.46</v>
      </c>
      <c r="E20" s="64">
        <v>4.51</v>
      </c>
      <c r="F20" s="64">
        <v>10.23</v>
      </c>
      <c r="G20" s="64">
        <v>24.55</v>
      </c>
      <c r="H20" s="64">
        <v>2.5</v>
      </c>
      <c r="I20" s="64">
        <v>1.52</v>
      </c>
      <c r="J20" s="64">
        <v>0.17</v>
      </c>
      <c r="K20" s="64">
        <v>324.8</v>
      </c>
      <c r="L20" s="64">
        <v>23.26</v>
      </c>
      <c r="M20" s="64">
        <v>98.28</v>
      </c>
      <c r="N20" s="64">
        <v>41.4</v>
      </c>
      <c r="O20" s="64">
        <v>0</v>
      </c>
      <c r="P20" s="64">
        <v>0.42</v>
      </c>
      <c r="Q20" s="64">
        <v>9.18</v>
      </c>
      <c r="R20" s="198"/>
      <c r="S20" s="198"/>
      <c r="T20" s="198"/>
      <c r="U20" s="198"/>
    </row>
    <row r="21" spans="1:21" s="12" customFormat="1" x14ac:dyDescent="0.25">
      <c r="A21" s="214" t="s">
        <v>2178</v>
      </c>
      <c r="B21" s="64">
        <v>4.8499999999999996</v>
      </c>
      <c r="C21" s="64">
        <v>14.44</v>
      </c>
      <c r="D21" s="64">
        <v>11.44</v>
      </c>
      <c r="E21" s="64">
        <v>4.07</v>
      </c>
      <c r="F21" s="64">
        <v>10.07</v>
      </c>
      <c r="G21" s="64">
        <v>17.68</v>
      </c>
      <c r="H21" s="64">
        <v>3.91</v>
      </c>
      <c r="I21" s="64">
        <v>1.55</v>
      </c>
      <c r="J21" s="64">
        <v>0.1</v>
      </c>
      <c r="K21" s="64">
        <v>311.22000000000003</v>
      </c>
      <c r="L21" s="64">
        <v>23.18</v>
      </c>
      <c r="M21" s="64">
        <v>98.28</v>
      </c>
      <c r="N21" s="64">
        <v>41.4</v>
      </c>
      <c r="O21" s="64">
        <v>0</v>
      </c>
      <c r="P21" s="64">
        <v>0.51</v>
      </c>
      <c r="Q21" s="64">
        <v>9.18</v>
      </c>
      <c r="R21" s="198"/>
      <c r="S21" s="198"/>
      <c r="T21" s="198"/>
      <c r="U21" s="198"/>
    </row>
    <row r="22" spans="1:21" s="12" customFormat="1" x14ac:dyDescent="0.25">
      <c r="A22" s="214" t="s">
        <v>2179</v>
      </c>
      <c r="B22" s="64">
        <v>4.16</v>
      </c>
      <c r="C22" s="64">
        <v>14.58</v>
      </c>
      <c r="D22" s="64">
        <v>10.96</v>
      </c>
      <c r="E22" s="64">
        <v>4.1399999999999997</v>
      </c>
      <c r="F22" s="64">
        <v>8.18</v>
      </c>
      <c r="G22" s="64">
        <v>17.190000000000001</v>
      </c>
      <c r="H22" s="64">
        <v>3.91</v>
      </c>
      <c r="I22" s="64">
        <v>1.64</v>
      </c>
      <c r="J22" s="64">
        <v>7.0000000000000007E-2</v>
      </c>
      <c r="K22" s="64">
        <v>323.51</v>
      </c>
      <c r="L22" s="64">
        <v>23.14</v>
      </c>
      <c r="M22" s="64">
        <v>98.29</v>
      </c>
      <c r="N22" s="64">
        <v>41.4</v>
      </c>
      <c r="O22" s="64">
        <v>0</v>
      </c>
      <c r="P22" s="64">
        <v>0.37</v>
      </c>
      <c r="Q22" s="64">
        <v>9.19</v>
      </c>
      <c r="R22" s="198"/>
      <c r="S22" s="198"/>
      <c r="T22" s="198"/>
      <c r="U22" s="198"/>
    </row>
    <row r="23" spans="1:21" s="12" customFormat="1" x14ac:dyDescent="0.25">
      <c r="A23" s="214" t="s">
        <v>2180</v>
      </c>
      <c r="B23" s="64">
        <v>4.45</v>
      </c>
      <c r="C23" s="64">
        <v>15.29</v>
      </c>
      <c r="D23" s="64">
        <v>11.56</v>
      </c>
      <c r="E23" s="64">
        <v>4.46</v>
      </c>
      <c r="F23" s="64">
        <v>6.92</v>
      </c>
      <c r="G23" s="64">
        <v>17.190000000000001</v>
      </c>
      <c r="H23" s="64">
        <v>3.91</v>
      </c>
      <c r="I23" s="64">
        <v>1.74</v>
      </c>
      <c r="J23" s="64">
        <v>0.11</v>
      </c>
      <c r="K23" s="64">
        <v>331.14</v>
      </c>
      <c r="L23" s="64">
        <v>23.18</v>
      </c>
      <c r="M23" s="64">
        <v>98.3</v>
      </c>
      <c r="N23" s="64">
        <v>41.4</v>
      </c>
      <c r="O23" s="64">
        <v>0</v>
      </c>
      <c r="P23" s="64">
        <v>0.34</v>
      </c>
      <c r="Q23" s="64">
        <v>9.19</v>
      </c>
      <c r="R23" s="198"/>
      <c r="S23" s="198"/>
      <c r="T23" s="198"/>
      <c r="U23" s="198"/>
    </row>
    <row r="24" spans="1:21" s="12" customFormat="1" x14ac:dyDescent="0.25">
      <c r="A24" s="214" t="s">
        <v>2181</v>
      </c>
      <c r="B24" s="64">
        <v>4.54</v>
      </c>
      <c r="C24" s="64">
        <v>15.35</v>
      </c>
      <c r="D24" s="64">
        <v>11.66</v>
      </c>
      <c r="E24" s="64">
        <v>4.6399999999999997</v>
      </c>
      <c r="F24" s="64">
        <v>5.32</v>
      </c>
      <c r="G24" s="64">
        <v>17.190000000000001</v>
      </c>
      <c r="H24" s="64">
        <v>3.91</v>
      </c>
      <c r="I24" s="64">
        <v>1.8</v>
      </c>
      <c r="J24" s="64">
        <v>0.18</v>
      </c>
      <c r="K24" s="64">
        <v>305</v>
      </c>
      <c r="L24" s="64">
        <v>23.28</v>
      </c>
      <c r="M24" s="64">
        <v>98.26</v>
      </c>
      <c r="N24" s="64">
        <v>41.3</v>
      </c>
      <c r="O24" s="64">
        <v>0</v>
      </c>
      <c r="P24" s="64">
        <v>0.33</v>
      </c>
      <c r="Q24" s="64">
        <v>9.2100000000000009</v>
      </c>
      <c r="R24" s="198"/>
      <c r="S24" s="198"/>
      <c r="T24" s="198"/>
      <c r="U24" s="198"/>
    </row>
    <row r="25" spans="1:21" s="12" customFormat="1" x14ac:dyDescent="0.25">
      <c r="A25" s="214" t="s">
        <v>2182</v>
      </c>
      <c r="B25" s="64">
        <v>4.49</v>
      </c>
      <c r="C25" s="64">
        <v>13.75</v>
      </c>
      <c r="D25" s="64">
        <v>10.78</v>
      </c>
      <c r="E25" s="64">
        <v>4.5</v>
      </c>
      <c r="F25" s="64">
        <v>7.79</v>
      </c>
      <c r="G25" s="64">
        <v>19.71</v>
      </c>
      <c r="H25" s="64">
        <v>2.93</v>
      </c>
      <c r="I25" s="64">
        <v>1.83</v>
      </c>
      <c r="J25" s="64">
        <v>0.1</v>
      </c>
      <c r="K25" s="64">
        <v>260.43</v>
      </c>
      <c r="L25" s="64">
        <v>23.43</v>
      </c>
      <c r="M25" s="64">
        <v>98.24</v>
      </c>
      <c r="N25" s="64">
        <v>41.3</v>
      </c>
      <c r="O25" s="64">
        <v>0</v>
      </c>
      <c r="P25" s="64">
        <v>0.33</v>
      </c>
      <c r="Q25" s="64">
        <v>9.1999999999999993</v>
      </c>
      <c r="R25" s="198"/>
      <c r="S25" s="198"/>
      <c r="T25" s="198"/>
      <c r="U25" s="198"/>
    </row>
    <row r="26" spans="1:21" s="12" customFormat="1" x14ac:dyDescent="0.25">
      <c r="A26" s="214" t="s">
        <v>2183</v>
      </c>
      <c r="B26" s="64">
        <v>4.7</v>
      </c>
      <c r="C26" s="64">
        <v>12.37</v>
      </c>
      <c r="D26" s="64">
        <v>10.23</v>
      </c>
      <c r="E26" s="64">
        <v>4.7300000000000004</v>
      </c>
      <c r="F26" s="64">
        <v>4.95</v>
      </c>
      <c r="G26" s="64">
        <v>19.89</v>
      </c>
      <c r="H26" s="64">
        <v>2.93</v>
      </c>
      <c r="I26" s="64">
        <v>1.84</v>
      </c>
      <c r="J26" s="64">
        <v>0.17</v>
      </c>
      <c r="K26" s="64">
        <v>150.76</v>
      </c>
      <c r="L26" s="64">
        <v>23.27</v>
      </c>
      <c r="M26" s="64">
        <v>98.31</v>
      </c>
      <c r="N26" s="64">
        <v>41.4</v>
      </c>
      <c r="O26" s="64">
        <v>0</v>
      </c>
      <c r="P26" s="64">
        <v>0.38</v>
      </c>
      <c r="Q26" s="64">
        <v>9.19</v>
      </c>
      <c r="R26" s="198"/>
      <c r="S26" s="198"/>
      <c r="T26" s="198"/>
      <c r="U26" s="198"/>
    </row>
    <row r="27" spans="1:21" s="12" customFormat="1" x14ac:dyDescent="0.25">
      <c r="A27" s="214" t="s">
        <v>2184</v>
      </c>
      <c r="B27" s="64">
        <v>4.9400000000000004</v>
      </c>
      <c r="C27" s="64">
        <v>11.5</v>
      </c>
      <c r="D27" s="64">
        <v>9.9700000000000006</v>
      </c>
      <c r="E27" s="64">
        <v>4.6900000000000004</v>
      </c>
      <c r="F27" s="64">
        <v>5.6</v>
      </c>
      <c r="G27" s="64">
        <v>19.89</v>
      </c>
      <c r="H27" s="64">
        <v>2.93</v>
      </c>
      <c r="I27" s="64">
        <v>1.83</v>
      </c>
      <c r="J27" s="64">
        <v>0.06</v>
      </c>
      <c r="K27" s="64">
        <v>182.07</v>
      </c>
      <c r="L27" s="64">
        <v>22.98</v>
      </c>
      <c r="M27" s="64">
        <v>98.36</v>
      </c>
      <c r="N27" s="64">
        <v>41.5</v>
      </c>
      <c r="O27" s="64">
        <v>0</v>
      </c>
      <c r="P27" s="64">
        <v>0.38</v>
      </c>
      <c r="Q27" s="64">
        <v>9.17</v>
      </c>
      <c r="R27" s="198"/>
      <c r="S27" s="198"/>
      <c r="T27" s="198"/>
      <c r="U27" s="198"/>
    </row>
    <row r="28" spans="1:21" s="12" customFormat="1" x14ac:dyDescent="0.25">
      <c r="A28" s="214" t="s">
        <v>2185</v>
      </c>
      <c r="B28" s="64">
        <v>4.88</v>
      </c>
      <c r="C28" s="64">
        <v>11.45</v>
      </c>
      <c r="D28" s="64">
        <v>9.9</v>
      </c>
      <c r="E28" s="64">
        <v>4.47</v>
      </c>
      <c r="F28" s="64">
        <v>6.47</v>
      </c>
      <c r="G28" s="64">
        <v>19.89</v>
      </c>
      <c r="H28" s="64">
        <v>2.93</v>
      </c>
      <c r="I28" s="64">
        <v>1.83</v>
      </c>
      <c r="J28" s="64">
        <v>0.03</v>
      </c>
      <c r="K28" s="64">
        <v>52.03</v>
      </c>
      <c r="L28" s="64">
        <v>22.9</v>
      </c>
      <c r="M28" s="64">
        <v>98.38</v>
      </c>
      <c r="N28" s="64">
        <v>41.5</v>
      </c>
      <c r="O28" s="64">
        <v>0</v>
      </c>
      <c r="P28" s="64">
        <v>0.35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4" t="s">
        <v>2186</v>
      </c>
      <c r="B29" s="64">
        <v>5.8</v>
      </c>
      <c r="C29" s="64">
        <v>12</v>
      </c>
      <c r="D29" s="64">
        <v>10.92</v>
      </c>
      <c r="E29" s="64">
        <v>4.38</v>
      </c>
      <c r="F29" s="64">
        <v>5.72</v>
      </c>
      <c r="G29" s="64">
        <v>20.95</v>
      </c>
      <c r="H29" s="64">
        <v>2.64</v>
      </c>
      <c r="I29" s="64">
        <v>1.83</v>
      </c>
      <c r="J29" s="64">
        <v>0.06</v>
      </c>
      <c r="K29" s="64">
        <v>131.25</v>
      </c>
      <c r="L29" s="64">
        <v>22.85</v>
      </c>
      <c r="M29" s="64">
        <v>98.38</v>
      </c>
      <c r="N29" s="64">
        <v>41.2</v>
      </c>
      <c r="O29" s="64">
        <v>0</v>
      </c>
      <c r="P29" s="64">
        <v>0.36</v>
      </c>
      <c r="Q29" s="64">
        <v>9.17</v>
      </c>
      <c r="R29" s="198"/>
      <c r="S29" s="198"/>
      <c r="T29" s="198"/>
      <c r="U29" s="198"/>
    </row>
    <row r="30" spans="1:21" s="12" customFormat="1" x14ac:dyDescent="0.25">
      <c r="A30" s="214" t="s">
        <v>2187</v>
      </c>
      <c r="B30" s="64">
        <v>5.51</v>
      </c>
      <c r="C30" s="64">
        <v>13.36</v>
      </c>
      <c r="D30" s="64">
        <v>11.4</v>
      </c>
      <c r="E30" s="64">
        <v>4.72</v>
      </c>
      <c r="F30" s="64">
        <v>5.72</v>
      </c>
      <c r="G30" s="64">
        <v>21.03</v>
      </c>
      <c r="H30" s="64">
        <v>2.64</v>
      </c>
      <c r="I30" s="64">
        <v>1.83</v>
      </c>
      <c r="J30" s="64">
        <v>0.09</v>
      </c>
      <c r="K30" s="64">
        <v>188</v>
      </c>
      <c r="L30" s="64">
        <v>22.89</v>
      </c>
      <c r="M30" s="64">
        <v>98.38</v>
      </c>
      <c r="N30" s="64">
        <v>41.1</v>
      </c>
      <c r="O30" s="64">
        <v>0</v>
      </c>
      <c r="P30" s="64">
        <v>0.34</v>
      </c>
      <c r="Q30" s="64">
        <v>9.18</v>
      </c>
      <c r="R30" s="198"/>
      <c r="S30" s="198"/>
      <c r="T30" s="198"/>
      <c r="U30" s="198"/>
    </row>
    <row r="31" spans="1:21" s="12" customFormat="1" x14ac:dyDescent="0.25">
      <c r="A31" s="214" t="s">
        <v>2188</v>
      </c>
      <c r="B31" s="64">
        <v>5.6</v>
      </c>
      <c r="C31" s="64">
        <v>11.81</v>
      </c>
      <c r="D31" s="64">
        <v>10.66</v>
      </c>
      <c r="E31" s="64">
        <v>4.32</v>
      </c>
      <c r="F31" s="64">
        <v>5.52</v>
      </c>
      <c r="G31" s="64">
        <v>21.03</v>
      </c>
      <c r="H31" s="64">
        <v>2.64</v>
      </c>
      <c r="I31" s="64">
        <v>1.82</v>
      </c>
      <c r="J31" s="64">
        <v>0.06</v>
      </c>
      <c r="K31" s="64">
        <v>241.68</v>
      </c>
      <c r="L31" s="64">
        <v>22.93</v>
      </c>
      <c r="M31" s="64">
        <v>98.4</v>
      </c>
      <c r="N31" s="64">
        <v>41.9</v>
      </c>
      <c r="O31" s="64">
        <v>0</v>
      </c>
      <c r="P31" s="64">
        <v>0.36</v>
      </c>
      <c r="Q31" s="64">
        <v>9.18</v>
      </c>
      <c r="R31" s="198"/>
      <c r="S31" s="198"/>
      <c r="T31" s="198"/>
      <c r="U31" s="198"/>
    </row>
    <row r="32" spans="1:21" s="12" customFormat="1" x14ac:dyDescent="0.25">
      <c r="A32" s="214" t="s">
        <v>2189</v>
      </c>
      <c r="B32" s="64">
        <v>5.0599999999999996</v>
      </c>
      <c r="C32" s="64">
        <v>13.11</v>
      </c>
      <c r="D32" s="64">
        <v>10.91</v>
      </c>
      <c r="E32" s="64">
        <v>4.71</v>
      </c>
      <c r="F32" s="64">
        <v>6.24</v>
      </c>
      <c r="G32" s="64">
        <v>21.03</v>
      </c>
      <c r="H32" s="64">
        <v>2.64</v>
      </c>
      <c r="I32" s="64">
        <v>1.82</v>
      </c>
      <c r="J32" s="64">
        <v>0.1</v>
      </c>
      <c r="K32" s="64">
        <v>186.03</v>
      </c>
      <c r="L32" s="64">
        <v>22.86</v>
      </c>
      <c r="M32" s="64">
        <v>98.41</v>
      </c>
      <c r="N32" s="64">
        <v>48.6</v>
      </c>
      <c r="O32" s="64">
        <v>0</v>
      </c>
      <c r="P32" s="64">
        <v>0.3</v>
      </c>
      <c r="Q32" s="64">
        <v>9.18</v>
      </c>
      <c r="R32" s="198"/>
      <c r="S32" s="198"/>
      <c r="T32" s="198"/>
      <c r="U32" s="198"/>
    </row>
    <row r="33" spans="1:21" s="12" customFormat="1" x14ac:dyDescent="0.25">
      <c r="A33" s="214" t="s">
        <v>2190</v>
      </c>
      <c r="B33" s="64">
        <v>5.79</v>
      </c>
      <c r="C33" s="64">
        <v>11.65</v>
      </c>
      <c r="D33" s="64">
        <v>10.73</v>
      </c>
      <c r="E33" s="64">
        <v>4.75</v>
      </c>
      <c r="F33" s="64">
        <v>5.35</v>
      </c>
      <c r="G33" s="64">
        <v>20.59</v>
      </c>
      <c r="H33" s="64">
        <v>1.99</v>
      </c>
      <c r="I33" s="64">
        <v>1.81</v>
      </c>
      <c r="J33" s="64">
        <v>0.03</v>
      </c>
      <c r="K33" s="64">
        <v>272.64</v>
      </c>
      <c r="L33" s="64">
        <v>22.97</v>
      </c>
      <c r="M33" s="64">
        <v>98.38</v>
      </c>
      <c r="N33" s="64">
        <v>65.599999999999994</v>
      </c>
      <c r="O33" s="64">
        <v>0</v>
      </c>
      <c r="P33" s="64">
        <v>0.37</v>
      </c>
      <c r="Q33" s="64">
        <v>9.19</v>
      </c>
      <c r="R33" s="198"/>
      <c r="S33" s="198"/>
      <c r="T33" s="198"/>
      <c r="U33" s="198"/>
    </row>
    <row r="34" spans="1:21" s="12" customFormat="1" x14ac:dyDescent="0.25">
      <c r="A34" s="214" t="s">
        <v>2191</v>
      </c>
      <c r="B34" s="64">
        <v>6.54</v>
      </c>
      <c r="C34" s="64">
        <v>12.77</v>
      </c>
      <c r="D34" s="64">
        <v>11.91</v>
      </c>
      <c r="E34" s="64">
        <v>4.25</v>
      </c>
      <c r="F34" s="64">
        <v>6.88</v>
      </c>
      <c r="G34" s="64">
        <v>20.56</v>
      </c>
      <c r="H34" s="64">
        <v>1.99</v>
      </c>
      <c r="I34" s="64">
        <v>1.79</v>
      </c>
      <c r="J34" s="64">
        <v>0.08</v>
      </c>
      <c r="K34" s="64">
        <v>100.66</v>
      </c>
      <c r="L34" s="64">
        <v>23.3</v>
      </c>
      <c r="M34" s="64">
        <v>98.37</v>
      </c>
      <c r="N34" s="64">
        <v>89</v>
      </c>
      <c r="O34" s="64">
        <v>0</v>
      </c>
      <c r="P34" s="64">
        <v>0.34</v>
      </c>
      <c r="Q34" s="64">
        <v>9.19</v>
      </c>
      <c r="R34" s="198"/>
      <c r="S34" s="198"/>
      <c r="T34" s="198"/>
      <c r="U34" s="198"/>
    </row>
    <row r="35" spans="1:21" s="12" customFormat="1" x14ac:dyDescent="0.25">
      <c r="A35" s="214" t="s">
        <v>2192</v>
      </c>
      <c r="B35" s="64">
        <v>6.48</v>
      </c>
      <c r="C35" s="64">
        <v>14.39</v>
      </c>
      <c r="D35" s="64">
        <v>12.71</v>
      </c>
      <c r="E35" s="64">
        <v>4.32</v>
      </c>
      <c r="F35" s="64">
        <v>6.82</v>
      </c>
      <c r="G35" s="64">
        <v>20.56</v>
      </c>
      <c r="H35" s="64">
        <v>1.99</v>
      </c>
      <c r="I35" s="64">
        <v>1.77</v>
      </c>
      <c r="J35" s="64">
        <v>0.53</v>
      </c>
      <c r="K35" s="64">
        <v>138.72</v>
      </c>
      <c r="L35" s="64">
        <v>23.67</v>
      </c>
      <c r="M35" s="64">
        <v>98.35</v>
      </c>
      <c r="N35" s="64">
        <v>129.69999999999999</v>
      </c>
      <c r="O35" s="64">
        <v>0</v>
      </c>
      <c r="P35" s="64">
        <v>0.27</v>
      </c>
      <c r="Q35" s="64">
        <v>9.1999999999999993</v>
      </c>
      <c r="R35" s="198"/>
      <c r="S35" s="198"/>
      <c r="T35" s="198"/>
      <c r="U35" s="198"/>
    </row>
    <row r="36" spans="1:21" s="12" customFormat="1" x14ac:dyDescent="0.25">
      <c r="A36" s="214" t="s">
        <v>2193</v>
      </c>
      <c r="B36" s="64">
        <v>5.65</v>
      </c>
      <c r="C36" s="64">
        <v>14.41</v>
      </c>
      <c r="D36" s="64">
        <v>12.05</v>
      </c>
      <c r="E36" s="64">
        <v>4.32</v>
      </c>
      <c r="F36" s="64">
        <v>9.09</v>
      </c>
      <c r="G36" s="64">
        <v>20.56</v>
      </c>
      <c r="H36" s="64">
        <v>1.99</v>
      </c>
      <c r="I36" s="64">
        <v>1.76</v>
      </c>
      <c r="J36" s="64">
        <v>0.23</v>
      </c>
      <c r="K36" s="64">
        <v>135.4</v>
      </c>
      <c r="L36" s="64">
        <v>24.39</v>
      </c>
      <c r="M36" s="64">
        <v>98.32</v>
      </c>
      <c r="N36" s="64">
        <v>179.2</v>
      </c>
      <c r="O36" s="64">
        <v>0</v>
      </c>
      <c r="P36" s="64">
        <v>0.26</v>
      </c>
      <c r="Q36" s="64">
        <v>9.2200000000000006</v>
      </c>
      <c r="R36" s="198"/>
      <c r="S36" s="198"/>
      <c r="T36" s="198"/>
      <c r="U36" s="198"/>
    </row>
    <row r="37" spans="1:21" s="12" customFormat="1" x14ac:dyDescent="0.25">
      <c r="A37" s="214" t="s">
        <v>2194</v>
      </c>
      <c r="B37" s="64">
        <v>14.91</v>
      </c>
      <c r="C37" s="64">
        <v>19</v>
      </c>
      <c r="D37" s="64">
        <v>21.88</v>
      </c>
      <c r="E37" s="64">
        <v>4.8</v>
      </c>
      <c r="F37" s="64">
        <v>9.6199999999999992</v>
      </c>
      <c r="G37" s="64">
        <v>15.01</v>
      </c>
      <c r="H37" s="64">
        <v>5.17</v>
      </c>
      <c r="I37" s="64">
        <v>1.73</v>
      </c>
      <c r="J37" s="64">
        <v>0.36</v>
      </c>
      <c r="K37" s="64">
        <v>342.35</v>
      </c>
      <c r="L37" s="64">
        <v>26.1</v>
      </c>
      <c r="M37" s="64">
        <v>98.04</v>
      </c>
      <c r="N37" s="64">
        <v>226.9</v>
      </c>
      <c r="O37" s="64">
        <v>0</v>
      </c>
      <c r="P37" s="64">
        <v>0.42</v>
      </c>
      <c r="Q37" s="64">
        <v>9.23</v>
      </c>
      <c r="R37" s="198"/>
      <c r="S37" s="198"/>
      <c r="T37" s="198"/>
      <c r="U37" s="198"/>
    </row>
    <row r="38" spans="1:21" s="12" customFormat="1" x14ac:dyDescent="0.25">
      <c r="A38" s="214" t="s">
        <v>2195</v>
      </c>
      <c r="B38" s="64">
        <v>9.58</v>
      </c>
      <c r="C38" s="64">
        <v>16.39</v>
      </c>
      <c r="D38" s="64">
        <v>16.25</v>
      </c>
      <c r="E38" s="64">
        <v>4.66</v>
      </c>
      <c r="F38" s="64">
        <v>8.58</v>
      </c>
      <c r="G38" s="64">
        <v>14.62</v>
      </c>
      <c r="H38" s="64">
        <v>5.17</v>
      </c>
      <c r="I38" s="64">
        <v>1.71</v>
      </c>
      <c r="J38" s="64">
        <v>0.24</v>
      </c>
      <c r="K38" s="64">
        <v>141.86000000000001</v>
      </c>
      <c r="L38" s="64">
        <v>26.79</v>
      </c>
      <c r="M38" s="64">
        <v>96.12</v>
      </c>
      <c r="N38" s="64">
        <v>239.6</v>
      </c>
      <c r="O38" s="64">
        <v>0</v>
      </c>
      <c r="P38" s="64">
        <v>0.4</v>
      </c>
      <c r="Q38" s="64">
        <v>9.25</v>
      </c>
      <c r="R38" s="198"/>
      <c r="S38" s="198"/>
      <c r="T38" s="198"/>
      <c r="U38" s="198"/>
    </row>
    <row r="39" spans="1:21" s="12" customFormat="1" x14ac:dyDescent="0.25">
      <c r="A39" s="214" t="s">
        <v>2196</v>
      </c>
      <c r="B39" s="64">
        <v>6.48</v>
      </c>
      <c r="C39" s="64">
        <v>14.68</v>
      </c>
      <c r="D39" s="64">
        <v>12.86</v>
      </c>
      <c r="E39" s="64">
        <v>4.6399999999999997</v>
      </c>
      <c r="F39" s="64">
        <v>7.32</v>
      </c>
      <c r="G39" s="64">
        <v>14.62</v>
      </c>
      <c r="H39" s="64">
        <v>5.17</v>
      </c>
      <c r="I39" s="64">
        <v>1.73</v>
      </c>
      <c r="J39" s="64">
        <v>0.12</v>
      </c>
      <c r="K39" s="64">
        <v>112.3</v>
      </c>
      <c r="L39" s="64">
        <v>26.3</v>
      </c>
      <c r="M39" s="64">
        <v>97.64</v>
      </c>
      <c r="N39" s="64">
        <v>293.89999999999998</v>
      </c>
      <c r="O39" s="64">
        <v>0</v>
      </c>
      <c r="P39" s="64">
        <v>0.39</v>
      </c>
      <c r="Q39" s="64">
        <v>9.27</v>
      </c>
      <c r="R39" s="198"/>
      <c r="S39" s="198"/>
      <c r="T39" s="198"/>
      <c r="U39" s="198"/>
    </row>
    <row r="40" spans="1:21" s="12" customFormat="1" x14ac:dyDescent="0.25">
      <c r="A40" s="214" t="s">
        <v>2197</v>
      </c>
      <c r="B40" s="64">
        <v>7.65</v>
      </c>
      <c r="C40" s="64">
        <v>15.22</v>
      </c>
      <c r="D40" s="64">
        <v>14.08</v>
      </c>
      <c r="E40" s="64">
        <v>4.76</v>
      </c>
      <c r="F40" s="64">
        <v>6.98</v>
      </c>
      <c r="G40" s="64">
        <v>14.62</v>
      </c>
      <c r="H40" s="64">
        <v>5.17</v>
      </c>
      <c r="I40" s="64">
        <v>1.78</v>
      </c>
      <c r="J40" s="64">
        <v>0.7</v>
      </c>
      <c r="K40" s="64">
        <v>143.72999999999999</v>
      </c>
      <c r="L40" s="64">
        <v>27.22</v>
      </c>
      <c r="M40" s="64">
        <v>95.66</v>
      </c>
      <c r="N40" s="64">
        <v>334.1</v>
      </c>
      <c r="O40" s="64">
        <v>0</v>
      </c>
      <c r="P40" s="64">
        <v>0.41</v>
      </c>
      <c r="Q40" s="64">
        <v>9.27</v>
      </c>
      <c r="R40" s="198"/>
      <c r="S40" s="198"/>
      <c r="T40" s="198"/>
      <c r="U40" s="198"/>
    </row>
    <row r="41" spans="1:21" s="12" customFormat="1" x14ac:dyDescent="0.25">
      <c r="A41" s="214" t="s">
        <v>2198</v>
      </c>
      <c r="B41" s="64">
        <v>6.76</v>
      </c>
      <c r="C41" s="64">
        <v>14.35</v>
      </c>
      <c r="D41" s="64">
        <v>12.92</v>
      </c>
      <c r="E41" s="64">
        <v>5.36</v>
      </c>
      <c r="F41" s="64">
        <v>8.59</v>
      </c>
      <c r="G41" s="64">
        <v>35.07</v>
      </c>
      <c r="H41" s="64">
        <v>3.62</v>
      </c>
      <c r="I41" s="64">
        <v>1.83</v>
      </c>
      <c r="J41" s="64">
        <v>0.08</v>
      </c>
      <c r="K41" s="64">
        <v>208.7</v>
      </c>
      <c r="L41" s="64">
        <v>27.31</v>
      </c>
      <c r="M41" s="64">
        <v>96.54</v>
      </c>
      <c r="N41" s="64">
        <v>398.4</v>
      </c>
      <c r="O41" s="64">
        <v>0</v>
      </c>
      <c r="P41" s="64">
        <v>0.38</v>
      </c>
      <c r="Q41" s="64">
        <v>9.2899999999999991</v>
      </c>
      <c r="R41" s="198"/>
      <c r="S41" s="198"/>
      <c r="T41" s="198"/>
      <c r="U41" s="198"/>
    </row>
    <row r="42" spans="1:21" s="12" customFormat="1" x14ac:dyDescent="0.25">
      <c r="A42" s="214" t="s">
        <v>2199</v>
      </c>
      <c r="B42" s="64">
        <v>6.92</v>
      </c>
      <c r="C42" s="64">
        <v>12.71</v>
      </c>
      <c r="D42" s="64">
        <v>12.19</v>
      </c>
      <c r="E42" s="64">
        <v>5.3</v>
      </c>
      <c r="F42" s="64">
        <v>7.7</v>
      </c>
      <c r="G42" s="64">
        <v>36.53</v>
      </c>
      <c r="H42" s="64">
        <v>3.62</v>
      </c>
      <c r="I42" s="64">
        <v>1.87</v>
      </c>
      <c r="J42" s="64">
        <v>0.16</v>
      </c>
      <c r="K42" s="64">
        <v>278.02</v>
      </c>
      <c r="L42" s="64">
        <v>29.36</v>
      </c>
      <c r="M42" s="64">
        <v>85.99</v>
      </c>
      <c r="N42" s="64">
        <v>486.8</v>
      </c>
      <c r="O42" s="64">
        <v>0</v>
      </c>
      <c r="P42" s="64">
        <v>0.38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4" t="s">
        <v>2200</v>
      </c>
      <c r="B43" s="64">
        <v>7.52</v>
      </c>
      <c r="C43" s="64">
        <v>12.31</v>
      </c>
      <c r="D43" s="64">
        <v>12.46</v>
      </c>
      <c r="E43" s="64">
        <v>5.28</v>
      </c>
      <c r="F43" s="64">
        <v>6.19</v>
      </c>
      <c r="G43" s="64">
        <v>36.53</v>
      </c>
      <c r="H43" s="64">
        <v>3.62</v>
      </c>
      <c r="I43" s="64">
        <v>1.91</v>
      </c>
      <c r="J43" s="64">
        <v>0.15</v>
      </c>
      <c r="K43" s="64">
        <v>257.67</v>
      </c>
      <c r="L43" s="64">
        <v>29.92</v>
      </c>
      <c r="M43" s="64">
        <v>84.53</v>
      </c>
      <c r="N43" s="64">
        <v>564.1</v>
      </c>
      <c r="O43" s="64">
        <v>0</v>
      </c>
      <c r="P43" s="64">
        <v>0.39</v>
      </c>
      <c r="Q43" s="64">
        <v>9.2899999999999991</v>
      </c>
      <c r="R43" s="198"/>
      <c r="S43" s="198"/>
      <c r="T43" s="198"/>
      <c r="U43" s="198"/>
    </row>
    <row r="44" spans="1:21" s="12" customFormat="1" x14ac:dyDescent="0.25">
      <c r="A44" s="214" t="s">
        <v>2201</v>
      </c>
      <c r="B44" s="64">
        <v>7.56</v>
      </c>
      <c r="C44" s="64">
        <v>11.38</v>
      </c>
      <c r="D44" s="64">
        <v>12.01</v>
      </c>
      <c r="E44" s="64">
        <v>5.64</v>
      </c>
      <c r="F44" s="64">
        <v>6.09</v>
      </c>
      <c r="G44" s="64">
        <v>36.53</v>
      </c>
      <c r="H44" s="64">
        <v>3.62</v>
      </c>
      <c r="I44" s="64">
        <v>1.94</v>
      </c>
      <c r="J44" s="64">
        <v>0.1</v>
      </c>
      <c r="K44" s="64">
        <v>229.48</v>
      </c>
      <c r="L44" s="64">
        <v>30.34</v>
      </c>
      <c r="M44" s="64">
        <v>82.54</v>
      </c>
      <c r="N44" s="64">
        <v>614.5</v>
      </c>
      <c r="O44" s="64">
        <v>0</v>
      </c>
      <c r="P44" s="64">
        <v>0.4</v>
      </c>
      <c r="Q44" s="64">
        <v>9.27</v>
      </c>
      <c r="R44" s="198"/>
      <c r="S44" s="198"/>
      <c r="T44" s="198"/>
      <c r="U44" s="198"/>
    </row>
    <row r="45" spans="1:21" s="12" customFormat="1" x14ac:dyDescent="0.25">
      <c r="A45" s="214" t="s">
        <v>2202</v>
      </c>
      <c r="B45" s="64">
        <v>7.55</v>
      </c>
      <c r="C45" s="64">
        <v>13.27</v>
      </c>
      <c r="D45" s="64">
        <v>12.99</v>
      </c>
      <c r="E45" s="64">
        <v>5.37</v>
      </c>
      <c r="F45" s="64">
        <v>10.57</v>
      </c>
      <c r="G45" s="64">
        <v>43.25</v>
      </c>
      <c r="H45" s="64">
        <v>2.5299999999999998</v>
      </c>
      <c r="I45" s="64">
        <v>1.93</v>
      </c>
      <c r="J45" s="64">
        <v>0.02</v>
      </c>
      <c r="K45" s="64">
        <v>314.27</v>
      </c>
      <c r="L45" s="64">
        <v>31.3</v>
      </c>
      <c r="M45" s="64">
        <v>77.63</v>
      </c>
      <c r="N45" s="64">
        <v>665.6</v>
      </c>
      <c r="O45" s="64">
        <v>0</v>
      </c>
      <c r="P45" s="64">
        <v>0.45</v>
      </c>
      <c r="Q45" s="64">
        <v>9.27</v>
      </c>
      <c r="R45" s="198"/>
      <c r="S45" s="198"/>
      <c r="T45" s="198"/>
      <c r="U45" s="198"/>
    </row>
    <row r="46" spans="1:21" s="12" customFormat="1" x14ac:dyDescent="0.25">
      <c r="A46" s="214" t="s">
        <v>2203</v>
      </c>
      <c r="B46" s="64">
        <v>7.38</v>
      </c>
      <c r="C46" s="64">
        <v>12.79</v>
      </c>
      <c r="D46" s="64">
        <v>12.6</v>
      </c>
      <c r="E46" s="64">
        <v>5.15</v>
      </c>
      <c r="F46" s="64">
        <v>8.74</v>
      </c>
      <c r="G46" s="64">
        <v>43.73</v>
      </c>
      <c r="H46" s="64">
        <v>2.5299999999999998</v>
      </c>
      <c r="I46" s="64">
        <v>1.91</v>
      </c>
      <c r="J46" s="64">
        <v>0.12</v>
      </c>
      <c r="K46" s="64">
        <v>274.3</v>
      </c>
      <c r="L46" s="64">
        <v>32.090000000000003</v>
      </c>
      <c r="M46" s="64">
        <v>72.98</v>
      </c>
      <c r="N46" s="64">
        <v>709.1</v>
      </c>
      <c r="O46" s="64">
        <v>0</v>
      </c>
      <c r="P46" s="64">
        <v>0.41</v>
      </c>
      <c r="Q46" s="64">
        <v>9.27</v>
      </c>
      <c r="R46" s="198"/>
      <c r="S46" s="198"/>
      <c r="T46" s="198"/>
      <c r="U46" s="198"/>
    </row>
    <row r="47" spans="1:21" s="12" customFormat="1" x14ac:dyDescent="0.25">
      <c r="A47" s="214" t="s">
        <v>2204</v>
      </c>
      <c r="B47" s="64">
        <v>9.2799999999999994</v>
      </c>
      <c r="C47" s="64">
        <v>16.64</v>
      </c>
      <c r="D47" s="64">
        <v>16.14</v>
      </c>
      <c r="E47" s="64">
        <v>5.45</v>
      </c>
      <c r="F47" s="64">
        <v>12.19</v>
      </c>
      <c r="G47" s="64">
        <v>43.73</v>
      </c>
      <c r="H47" s="64">
        <v>2.5299999999999998</v>
      </c>
      <c r="I47" s="64">
        <v>1.95</v>
      </c>
      <c r="J47" s="64">
        <v>0.63</v>
      </c>
      <c r="K47" s="64">
        <v>339.19</v>
      </c>
      <c r="L47" s="64">
        <v>33.479999999999997</v>
      </c>
      <c r="M47" s="64">
        <v>65.73</v>
      </c>
      <c r="N47" s="64">
        <v>745.6</v>
      </c>
      <c r="O47" s="64">
        <v>0</v>
      </c>
      <c r="P47" s="64">
        <v>0.5</v>
      </c>
      <c r="Q47" s="64">
        <v>9.26</v>
      </c>
      <c r="R47" s="198"/>
      <c r="S47" s="198"/>
      <c r="T47" s="198"/>
      <c r="U47" s="198"/>
    </row>
    <row r="48" spans="1:21" s="12" customFormat="1" x14ac:dyDescent="0.25">
      <c r="A48" s="214" t="s">
        <v>2205</v>
      </c>
      <c r="B48" s="64">
        <v>9.1300000000000008</v>
      </c>
      <c r="C48" s="64">
        <v>18.940000000000001</v>
      </c>
      <c r="D48" s="64">
        <v>17.21</v>
      </c>
      <c r="E48" s="64">
        <v>5.43</v>
      </c>
      <c r="F48" s="64">
        <v>15.49</v>
      </c>
      <c r="G48" s="64">
        <v>43.73</v>
      </c>
      <c r="H48" s="64">
        <v>2.5299999999999998</v>
      </c>
      <c r="I48" s="64">
        <v>2</v>
      </c>
      <c r="J48" s="64">
        <v>0.08</v>
      </c>
      <c r="K48" s="64">
        <v>341.14</v>
      </c>
      <c r="L48" s="64">
        <v>33.96</v>
      </c>
      <c r="M48" s="64">
        <v>62.71</v>
      </c>
      <c r="N48" s="64">
        <v>780.5</v>
      </c>
      <c r="O48" s="64">
        <v>0</v>
      </c>
      <c r="P48" s="64">
        <v>0.52</v>
      </c>
      <c r="Q48" s="64">
        <v>9.26</v>
      </c>
      <c r="R48" s="198"/>
      <c r="S48" s="198"/>
      <c r="T48" s="198"/>
      <c r="U48" s="198"/>
    </row>
    <row r="49" spans="1:21" s="12" customFormat="1" x14ac:dyDescent="0.25">
      <c r="A49" s="214" t="s">
        <v>2206</v>
      </c>
      <c r="B49" s="64">
        <v>6.79</v>
      </c>
      <c r="C49" s="64">
        <v>15.57</v>
      </c>
      <c r="D49" s="64">
        <v>13.58</v>
      </c>
      <c r="E49" s="64">
        <v>5.2</v>
      </c>
      <c r="F49" s="64">
        <v>14.54</v>
      </c>
      <c r="G49" s="64">
        <v>50.27</v>
      </c>
      <c r="H49" s="64">
        <v>1.82</v>
      </c>
      <c r="I49" s="64">
        <v>2.0499999999999998</v>
      </c>
      <c r="J49" s="64">
        <v>0.1</v>
      </c>
      <c r="K49" s="64">
        <v>44.32</v>
      </c>
      <c r="L49" s="64">
        <v>32.43</v>
      </c>
      <c r="M49" s="64">
        <v>69.36</v>
      </c>
      <c r="N49" s="64">
        <v>777.5</v>
      </c>
      <c r="O49" s="64">
        <v>0</v>
      </c>
      <c r="P49" s="64">
        <v>0.48</v>
      </c>
      <c r="Q49" s="64">
        <v>9.25</v>
      </c>
      <c r="R49" s="198"/>
      <c r="S49" s="198"/>
      <c r="T49" s="198"/>
      <c r="U49" s="198"/>
    </row>
    <row r="50" spans="1:21" s="12" customFormat="1" x14ac:dyDescent="0.25">
      <c r="A50" s="214" t="s">
        <v>2207</v>
      </c>
      <c r="B50" s="64">
        <v>5.69</v>
      </c>
      <c r="C50" s="64">
        <v>15.68</v>
      </c>
      <c r="D50" s="64">
        <v>12.75</v>
      </c>
      <c r="E50" s="64">
        <v>5.34</v>
      </c>
      <c r="F50" s="64">
        <v>18.77</v>
      </c>
      <c r="G50" s="64">
        <v>50.74</v>
      </c>
      <c r="H50" s="64">
        <v>1.82</v>
      </c>
      <c r="I50" s="64">
        <v>2.09</v>
      </c>
      <c r="J50" s="64">
        <v>0.33</v>
      </c>
      <c r="K50" s="64">
        <v>143.41</v>
      </c>
      <c r="L50" s="64">
        <v>32.020000000000003</v>
      </c>
      <c r="M50" s="64">
        <v>71.48</v>
      </c>
      <c r="N50" s="64">
        <v>576.20000000000005</v>
      </c>
      <c r="O50" s="64">
        <v>0</v>
      </c>
      <c r="P50" s="64">
        <v>0.55000000000000004</v>
      </c>
      <c r="Q50" s="64">
        <v>9.26</v>
      </c>
      <c r="R50" s="198"/>
      <c r="S50" s="198"/>
      <c r="T50" s="198"/>
      <c r="U50" s="198"/>
    </row>
    <row r="51" spans="1:21" s="12" customFormat="1" x14ac:dyDescent="0.25">
      <c r="A51" s="214" t="s">
        <v>2208</v>
      </c>
      <c r="B51" s="64">
        <v>5.57</v>
      </c>
      <c r="C51" s="64">
        <v>16.79</v>
      </c>
      <c r="D51" s="64">
        <v>13.24</v>
      </c>
      <c r="E51" s="64">
        <v>5.59</v>
      </c>
      <c r="F51" s="64">
        <v>16.5</v>
      </c>
      <c r="G51" s="64">
        <v>50.74</v>
      </c>
      <c r="H51" s="64">
        <v>1.82</v>
      </c>
      <c r="I51" s="64">
        <v>2.14</v>
      </c>
      <c r="J51" s="64">
        <v>0.33</v>
      </c>
      <c r="K51" s="64">
        <v>332.6</v>
      </c>
      <c r="L51" s="64">
        <v>31.41</v>
      </c>
      <c r="M51" s="64">
        <v>76.430000000000007</v>
      </c>
      <c r="N51" s="64">
        <v>327.39999999999998</v>
      </c>
      <c r="O51" s="64">
        <v>0</v>
      </c>
      <c r="P51" s="64">
        <v>0.64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14" t="s">
        <v>2209</v>
      </c>
      <c r="B52" s="64">
        <v>6.01</v>
      </c>
      <c r="C52" s="64">
        <v>17.12</v>
      </c>
      <c r="D52" s="64">
        <v>13.77</v>
      </c>
      <c r="E52" s="64">
        <v>4.97</v>
      </c>
      <c r="F52" s="64">
        <v>13.85</v>
      </c>
      <c r="G52" s="64">
        <v>50.74</v>
      </c>
      <c r="H52" s="64">
        <v>1.82</v>
      </c>
      <c r="I52" s="64">
        <v>2.2200000000000002</v>
      </c>
      <c r="J52" s="64">
        <v>0.2</v>
      </c>
      <c r="K52" s="64">
        <v>14.11</v>
      </c>
      <c r="L52" s="64">
        <v>31.26</v>
      </c>
      <c r="M52" s="64">
        <v>76.95</v>
      </c>
      <c r="N52" s="64">
        <v>455.3</v>
      </c>
      <c r="O52" s="64">
        <v>0</v>
      </c>
      <c r="P52" s="64">
        <v>0.54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14" t="s">
        <v>2210</v>
      </c>
      <c r="B53" s="64">
        <v>6.97</v>
      </c>
      <c r="C53" s="64">
        <v>20.97</v>
      </c>
      <c r="D53" s="64">
        <v>16.54</v>
      </c>
      <c r="E53" s="64">
        <v>5.31</v>
      </c>
      <c r="F53" s="64">
        <v>17.59</v>
      </c>
      <c r="G53" s="64">
        <v>48.84</v>
      </c>
      <c r="H53" s="64">
        <v>4.79</v>
      </c>
      <c r="I53" s="64">
        <v>2.31</v>
      </c>
      <c r="J53" s="64">
        <v>0.41</v>
      </c>
      <c r="K53" s="64">
        <v>336.31</v>
      </c>
      <c r="L53" s="64">
        <v>31.17</v>
      </c>
      <c r="M53" s="64">
        <v>76.989999999999995</v>
      </c>
      <c r="N53" s="64">
        <v>188.5</v>
      </c>
      <c r="O53" s="64">
        <v>0</v>
      </c>
      <c r="P53" s="64">
        <v>0.63</v>
      </c>
      <c r="Q53" s="64">
        <v>9.2200000000000006</v>
      </c>
      <c r="R53" s="198"/>
      <c r="S53" s="198"/>
      <c r="T53" s="198"/>
      <c r="U53" s="198"/>
    </row>
    <row r="54" spans="1:21" s="12" customFormat="1" x14ac:dyDescent="0.25">
      <c r="A54" s="214" t="s">
        <v>2211</v>
      </c>
      <c r="B54" s="64">
        <v>14.82</v>
      </c>
      <c r="C54" s="64">
        <v>31.05</v>
      </c>
      <c r="D54" s="64">
        <v>28.11</v>
      </c>
      <c r="E54" s="64">
        <v>5.53</v>
      </c>
      <c r="F54" s="64">
        <v>19.71</v>
      </c>
      <c r="G54" s="64">
        <v>48.7</v>
      </c>
      <c r="H54" s="64">
        <v>4.79</v>
      </c>
      <c r="I54" s="64">
        <v>2.38</v>
      </c>
      <c r="J54" s="64">
        <v>0.26</v>
      </c>
      <c r="K54" s="64">
        <v>156.24</v>
      </c>
      <c r="L54" s="64">
        <v>29.95</v>
      </c>
      <c r="M54" s="64">
        <v>84.81</v>
      </c>
      <c r="N54" s="64">
        <v>111.3</v>
      </c>
      <c r="O54" s="64">
        <v>0</v>
      </c>
      <c r="P54" s="64">
        <v>0.64</v>
      </c>
      <c r="Q54" s="64">
        <v>9.23</v>
      </c>
      <c r="R54" s="198"/>
      <c r="S54" s="198"/>
      <c r="T54" s="198"/>
      <c r="U54" s="198"/>
    </row>
    <row r="55" spans="1:21" s="12" customFormat="1" x14ac:dyDescent="0.25">
      <c r="A55" s="214" t="s">
        <v>2212</v>
      </c>
      <c r="B55" s="64">
        <v>7.73</v>
      </c>
      <c r="C55" s="64">
        <v>25.39</v>
      </c>
      <c r="D55" s="64">
        <v>19.46</v>
      </c>
      <c r="E55" s="64">
        <v>5.43</v>
      </c>
      <c r="F55" s="64">
        <v>18.920000000000002</v>
      </c>
      <c r="G55" s="64">
        <v>48.7</v>
      </c>
      <c r="H55" s="64">
        <v>4.79</v>
      </c>
      <c r="I55" s="64">
        <v>2.44</v>
      </c>
      <c r="J55" s="64">
        <v>0.38</v>
      </c>
      <c r="K55" s="64">
        <v>150.18</v>
      </c>
      <c r="L55" s="64">
        <v>28.45</v>
      </c>
      <c r="M55" s="64">
        <v>94.07</v>
      </c>
      <c r="N55" s="64">
        <v>181</v>
      </c>
      <c r="O55" s="64">
        <v>0</v>
      </c>
      <c r="P55" s="64">
        <v>0.5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4" t="s">
        <v>2213</v>
      </c>
      <c r="B56" s="64">
        <v>12.11</v>
      </c>
      <c r="C56" s="64">
        <v>32.770000000000003</v>
      </c>
      <c r="D56" s="64">
        <v>26.84</v>
      </c>
      <c r="E56" s="64">
        <v>5.66</v>
      </c>
      <c r="F56" s="64">
        <v>22.66</v>
      </c>
      <c r="G56" s="64">
        <v>48.7</v>
      </c>
      <c r="H56" s="64">
        <v>4.79</v>
      </c>
      <c r="I56" s="64">
        <v>2.5099999999999998</v>
      </c>
      <c r="J56" s="64">
        <v>0.35</v>
      </c>
      <c r="K56" s="64">
        <v>340.06</v>
      </c>
      <c r="L56" s="64">
        <v>30.05</v>
      </c>
      <c r="M56" s="64">
        <v>83.46</v>
      </c>
      <c r="N56" s="64">
        <v>532.1</v>
      </c>
      <c r="O56" s="64">
        <v>0</v>
      </c>
      <c r="P56" s="64">
        <v>0.75</v>
      </c>
      <c r="Q56" s="64">
        <v>9.25</v>
      </c>
      <c r="R56" s="198"/>
      <c r="S56" s="198"/>
      <c r="T56" s="198"/>
      <c r="U56" s="198"/>
    </row>
    <row r="57" spans="1:21" s="12" customFormat="1" x14ac:dyDescent="0.25">
      <c r="A57" s="214" t="s">
        <v>2214</v>
      </c>
      <c r="B57" s="64">
        <v>8.2100000000000009</v>
      </c>
      <c r="C57" s="64">
        <v>29.59</v>
      </c>
      <c r="D57" s="64">
        <v>22.04</v>
      </c>
      <c r="E57" s="64">
        <v>5.96</v>
      </c>
      <c r="F57" s="64">
        <v>21.37</v>
      </c>
      <c r="G57" s="64">
        <v>57.07</v>
      </c>
      <c r="H57" s="64">
        <v>4.16</v>
      </c>
      <c r="I57" s="64">
        <v>2.56</v>
      </c>
      <c r="J57" s="64">
        <v>0.66</v>
      </c>
      <c r="K57" s="64">
        <v>137.86000000000001</v>
      </c>
      <c r="L57" s="64">
        <v>30.53</v>
      </c>
      <c r="M57" s="64">
        <v>75.569999999999993</v>
      </c>
      <c r="N57" s="64">
        <v>314.8</v>
      </c>
      <c r="O57" s="64">
        <v>0</v>
      </c>
      <c r="P57" s="64">
        <v>0.56000000000000005</v>
      </c>
      <c r="Q57" s="64">
        <v>9.26</v>
      </c>
      <c r="R57" s="198"/>
      <c r="S57" s="198"/>
      <c r="T57" s="198"/>
      <c r="U57" s="198"/>
    </row>
    <row r="58" spans="1:21" s="12" customFormat="1" x14ac:dyDescent="0.25">
      <c r="A58" s="214" t="s">
        <v>2215</v>
      </c>
      <c r="B58" s="64">
        <v>4.45</v>
      </c>
      <c r="C58" s="64">
        <v>19.48</v>
      </c>
      <c r="D58" s="64">
        <v>13.75</v>
      </c>
      <c r="E58" s="64">
        <v>5.54</v>
      </c>
      <c r="F58" s="64">
        <v>22.1</v>
      </c>
      <c r="G58" s="64">
        <v>57.67</v>
      </c>
      <c r="H58" s="64">
        <v>4.16</v>
      </c>
      <c r="I58" s="64">
        <v>2.59</v>
      </c>
      <c r="J58" s="64">
        <v>0.33</v>
      </c>
      <c r="K58" s="64">
        <v>2.1800000000000002</v>
      </c>
      <c r="L58" s="64">
        <v>30.17</v>
      </c>
      <c r="M58" s="64">
        <v>75.61</v>
      </c>
      <c r="N58" s="64">
        <v>611.6</v>
      </c>
      <c r="O58" s="64">
        <v>0</v>
      </c>
      <c r="P58" s="64">
        <v>0.48</v>
      </c>
      <c r="Q58" s="64">
        <v>9.25</v>
      </c>
      <c r="R58" s="198"/>
      <c r="S58" s="198"/>
      <c r="T58" s="198"/>
      <c r="U58" s="198"/>
    </row>
    <row r="59" spans="1:21" s="12" customFormat="1" x14ac:dyDescent="0.25">
      <c r="A59" s="214" t="s">
        <v>2216</v>
      </c>
      <c r="B59" s="64">
        <v>10.77</v>
      </c>
      <c r="C59" s="64">
        <v>31.51</v>
      </c>
      <c r="D59" s="64">
        <v>25.1</v>
      </c>
      <c r="E59" s="64">
        <v>5.77</v>
      </c>
      <c r="F59" s="64">
        <v>21.47</v>
      </c>
      <c r="G59" s="64">
        <v>57.67</v>
      </c>
      <c r="H59" s="64">
        <v>4.16</v>
      </c>
      <c r="I59" s="64">
        <v>2.61</v>
      </c>
      <c r="J59" s="64">
        <v>0.73</v>
      </c>
      <c r="K59" s="64">
        <v>336.63</v>
      </c>
      <c r="L59" s="64">
        <v>32.85</v>
      </c>
      <c r="M59" s="64">
        <v>63.67</v>
      </c>
      <c r="N59" s="64">
        <v>553.1</v>
      </c>
      <c r="O59" s="64">
        <v>0</v>
      </c>
      <c r="P59" s="64">
        <v>0.76</v>
      </c>
      <c r="Q59" s="64">
        <v>9.26</v>
      </c>
      <c r="R59" s="198"/>
      <c r="S59" s="198"/>
      <c r="T59" s="198"/>
      <c r="U59" s="198"/>
    </row>
    <row r="60" spans="1:21" s="12" customFormat="1" x14ac:dyDescent="0.25">
      <c r="A60" s="214" t="s">
        <v>2217</v>
      </c>
      <c r="B60" s="64">
        <v>10.199999999999999</v>
      </c>
      <c r="C60" s="64">
        <v>31.09</v>
      </c>
      <c r="D60" s="64">
        <v>24.42</v>
      </c>
      <c r="E60" s="64">
        <v>6.06</v>
      </c>
      <c r="F60" s="64">
        <v>20.59</v>
      </c>
      <c r="G60" s="64">
        <v>57.67</v>
      </c>
      <c r="H60" s="64">
        <v>4.16</v>
      </c>
      <c r="I60" s="64">
        <v>2.59</v>
      </c>
      <c r="J60" s="64">
        <v>0.52</v>
      </c>
      <c r="K60" s="64">
        <v>339.97</v>
      </c>
      <c r="L60" s="64">
        <v>32.33</v>
      </c>
      <c r="M60" s="64">
        <v>66.13</v>
      </c>
      <c r="N60" s="64">
        <v>236.1</v>
      </c>
      <c r="O60" s="64">
        <v>0</v>
      </c>
      <c r="P60" s="64">
        <v>0.71</v>
      </c>
      <c r="Q60" s="64">
        <v>9.27</v>
      </c>
      <c r="R60" s="198"/>
      <c r="S60" s="198"/>
      <c r="T60" s="198"/>
      <c r="U60" s="198"/>
    </row>
    <row r="61" spans="1:21" s="12" customFormat="1" x14ac:dyDescent="0.25">
      <c r="A61" s="214" t="s">
        <v>2218</v>
      </c>
      <c r="B61" s="64">
        <v>8.85</v>
      </c>
      <c r="C61" s="64">
        <v>28.16</v>
      </c>
      <c r="D61" s="64">
        <v>21.81</v>
      </c>
      <c r="E61" s="64">
        <v>5.97</v>
      </c>
      <c r="F61" s="64">
        <v>18.48</v>
      </c>
      <c r="G61" s="64">
        <v>68.84</v>
      </c>
      <c r="H61" s="64">
        <v>2.91</v>
      </c>
      <c r="I61" s="64">
        <v>2.57</v>
      </c>
      <c r="J61" s="64">
        <v>1.18</v>
      </c>
      <c r="K61" s="64">
        <v>337.46</v>
      </c>
      <c r="L61" s="64">
        <v>32.36</v>
      </c>
      <c r="M61" s="64">
        <v>67.599999999999994</v>
      </c>
      <c r="N61" s="64">
        <v>383.1</v>
      </c>
      <c r="O61" s="64">
        <v>0</v>
      </c>
      <c r="P61" s="64">
        <v>0.6</v>
      </c>
      <c r="Q61" s="64">
        <v>9.27</v>
      </c>
      <c r="R61" s="198"/>
      <c r="S61" s="198"/>
      <c r="T61" s="198"/>
      <c r="U61" s="198"/>
    </row>
    <row r="62" spans="1:21" s="12" customFormat="1" x14ac:dyDescent="0.25">
      <c r="A62" s="214" t="s">
        <v>2219</v>
      </c>
      <c r="B62" s="64">
        <v>4.9000000000000004</v>
      </c>
      <c r="C62" s="64">
        <v>20.74</v>
      </c>
      <c r="D62" s="64">
        <v>14.77</v>
      </c>
      <c r="E62" s="64">
        <v>5.79</v>
      </c>
      <c r="F62" s="64">
        <v>19.55</v>
      </c>
      <c r="G62" s="64">
        <v>69.64</v>
      </c>
      <c r="H62" s="64">
        <v>2.91</v>
      </c>
      <c r="I62" s="64">
        <v>2.56</v>
      </c>
      <c r="J62" s="64">
        <v>1.05</v>
      </c>
      <c r="K62" s="64">
        <v>337.82</v>
      </c>
      <c r="L62" s="64">
        <v>32.64</v>
      </c>
      <c r="M62" s="64">
        <v>65.81</v>
      </c>
      <c r="N62" s="64">
        <v>322.5</v>
      </c>
      <c r="O62" s="64">
        <v>0</v>
      </c>
      <c r="P62" s="64">
        <v>0.61</v>
      </c>
      <c r="Q62" s="64">
        <v>9.24</v>
      </c>
      <c r="R62" s="198"/>
      <c r="S62" s="198"/>
      <c r="T62" s="198"/>
      <c r="U62" s="198"/>
    </row>
    <row r="63" spans="1:21" s="12" customFormat="1" x14ac:dyDescent="0.25">
      <c r="A63" s="214" t="s">
        <v>2220</v>
      </c>
      <c r="B63" s="64">
        <v>5.43</v>
      </c>
      <c r="C63" s="64">
        <v>25.3</v>
      </c>
      <c r="D63" s="64">
        <v>17.57</v>
      </c>
      <c r="E63" s="64">
        <v>5.97</v>
      </c>
      <c r="F63" s="64">
        <v>20.63</v>
      </c>
      <c r="G63" s="64">
        <v>69.64</v>
      </c>
      <c r="H63" s="64">
        <v>2.91</v>
      </c>
      <c r="I63" s="64">
        <v>2.5099999999999998</v>
      </c>
      <c r="J63" s="64">
        <v>0.53</v>
      </c>
      <c r="K63" s="64">
        <v>334.5</v>
      </c>
      <c r="L63" s="64">
        <v>32.46</v>
      </c>
      <c r="M63" s="64">
        <v>66.72</v>
      </c>
      <c r="N63" s="64">
        <v>251.3</v>
      </c>
      <c r="O63" s="64">
        <v>0</v>
      </c>
      <c r="P63" s="64">
        <v>0.74</v>
      </c>
      <c r="Q63" s="64">
        <v>9.23</v>
      </c>
      <c r="R63" s="198"/>
      <c r="S63" s="198"/>
      <c r="T63" s="198"/>
      <c r="U63" s="198"/>
    </row>
    <row r="64" spans="1:21" s="12" customFormat="1" x14ac:dyDescent="0.25">
      <c r="A64" s="214" t="s">
        <v>2221</v>
      </c>
      <c r="B64" s="64">
        <v>5.6</v>
      </c>
      <c r="C64" s="64">
        <v>26.1</v>
      </c>
      <c r="D64" s="64">
        <v>18.12</v>
      </c>
      <c r="E64" s="64">
        <v>6</v>
      </c>
      <c r="F64" s="64">
        <v>19.93</v>
      </c>
      <c r="G64" s="64">
        <v>69.64</v>
      </c>
      <c r="H64" s="64">
        <v>2.91</v>
      </c>
      <c r="I64" s="64">
        <v>2.46</v>
      </c>
      <c r="J64" s="64">
        <v>0.34</v>
      </c>
      <c r="K64" s="64">
        <v>340.26</v>
      </c>
      <c r="L64" s="64">
        <v>31.51</v>
      </c>
      <c r="M64" s="64">
        <v>70.37</v>
      </c>
      <c r="N64" s="64">
        <v>201.4</v>
      </c>
      <c r="O64" s="64">
        <v>0</v>
      </c>
      <c r="P64" s="64">
        <v>0.61</v>
      </c>
      <c r="Q64" s="64">
        <v>9.24</v>
      </c>
      <c r="R64" s="198"/>
      <c r="S64" s="198"/>
      <c r="T64" s="198"/>
      <c r="U64" s="198"/>
    </row>
    <row r="65" spans="1:21" s="12" customFormat="1" x14ac:dyDescent="0.25">
      <c r="A65" s="214" t="s">
        <v>2222</v>
      </c>
      <c r="B65" s="64">
        <v>8.6300000000000008</v>
      </c>
      <c r="C65" s="64">
        <v>28.96</v>
      </c>
      <c r="D65" s="64">
        <v>22.05</v>
      </c>
      <c r="E65" s="64">
        <v>6.05</v>
      </c>
      <c r="F65" s="64">
        <v>22.48</v>
      </c>
      <c r="G65" s="64">
        <v>81.98</v>
      </c>
      <c r="H65" s="64">
        <v>3.76</v>
      </c>
      <c r="I65" s="64">
        <v>2.4500000000000002</v>
      </c>
      <c r="J65" s="64">
        <v>0.78</v>
      </c>
      <c r="K65" s="64">
        <v>337.65</v>
      </c>
      <c r="L65" s="64">
        <v>31.45</v>
      </c>
      <c r="M65" s="64">
        <v>69</v>
      </c>
      <c r="N65" s="64">
        <v>200.4</v>
      </c>
      <c r="O65" s="64">
        <v>0</v>
      </c>
      <c r="P65" s="64">
        <v>0.65</v>
      </c>
      <c r="Q65" s="64">
        <v>9.24</v>
      </c>
      <c r="R65" s="198"/>
      <c r="S65" s="198"/>
      <c r="T65" s="198"/>
      <c r="U65" s="198"/>
    </row>
    <row r="66" spans="1:21" s="12" customFormat="1" x14ac:dyDescent="0.25">
      <c r="A66" s="214" t="s">
        <v>2223</v>
      </c>
      <c r="B66" s="64">
        <v>6.7</v>
      </c>
      <c r="C66" s="64">
        <v>27.21</v>
      </c>
      <c r="D66" s="64">
        <v>19.59</v>
      </c>
      <c r="E66" s="64">
        <v>5.71</v>
      </c>
      <c r="F66" s="64">
        <v>19.57</v>
      </c>
      <c r="G66" s="64">
        <v>82.87</v>
      </c>
      <c r="H66" s="64">
        <v>3.76</v>
      </c>
      <c r="I66" s="64">
        <v>2.33</v>
      </c>
      <c r="J66" s="64">
        <v>0.45</v>
      </c>
      <c r="K66" s="64">
        <v>329.56</v>
      </c>
      <c r="L66" s="64">
        <v>31.57</v>
      </c>
      <c r="M66" s="64">
        <v>68.03</v>
      </c>
      <c r="N66" s="64">
        <v>218.7</v>
      </c>
      <c r="O66" s="64">
        <v>0</v>
      </c>
      <c r="P66" s="64">
        <v>0.72</v>
      </c>
      <c r="Q66" s="64">
        <v>9.23</v>
      </c>
      <c r="R66" s="198"/>
      <c r="S66" s="198"/>
      <c r="T66" s="198"/>
      <c r="U66" s="198"/>
    </row>
    <row r="67" spans="1:21" s="12" customFormat="1" x14ac:dyDescent="0.25">
      <c r="A67" s="214" t="s">
        <v>2224</v>
      </c>
      <c r="B67" s="64">
        <v>5.29</v>
      </c>
      <c r="C67" s="64">
        <v>25.79</v>
      </c>
      <c r="D67" s="64">
        <v>17.72</v>
      </c>
      <c r="E67" s="64">
        <v>5.75</v>
      </c>
      <c r="F67" s="64">
        <v>20.09</v>
      </c>
      <c r="G67" s="64">
        <v>82.87</v>
      </c>
      <c r="H67" s="64">
        <v>3.76</v>
      </c>
      <c r="I67" s="64">
        <v>2.25</v>
      </c>
      <c r="J67" s="64">
        <v>0.4</v>
      </c>
      <c r="K67" s="64">
        <v>338.55</v>
      </c>
      <c r="L67" s="64">
        <v>31.68</v>
      </c>
      <c r="M67" s="64">
        <v>66.08</v>
      </c>
      <c r="N67" s="64">
        <v>218</v>
      </c>
      <c r="O67" s="64">
        <v>0</v>
      </c>
      <c r="P67" s="64">
        <v>0.62</v>
      </c>
      <c r="Q67" s="64">
        <v>9.2200000000000006</v>
      </c>
      <c r="R67" s="198"/>
      <c r="S67" s="198"/>
      <c r="T67" s="198"/>
      <c r="U67" s="198"/>
    </row>
    <row r="68" spans="1:21" s="12" customFormat="1" x14ac:dyDescent="0.25">
      <c r="A68" s="214" t="s">
        <v>2225</v>
      </c>
      <c r="B68" s="64">
        <v>4.8099999999999996</v>
      </c>
      <c r="C68" s="64">
        <v>23.86</v>
      </c>
      <c r="D68" s="64">
        <v>16.32</v>
      </c>
      <c r="E68" s="64">
        <v>5.97</v>
      </c>
      <c r="F68" s="64">
        <v>21.02</v>
      </c>
      <c r="G68" s="64">
        <v>82.87</v>
      </c>
      <c r="H68" s="64">
        <v>3.76</v>
      </c>
      <c r="I68" s="64">
        <v>2.35</v>
      </c>
      <c r="J68" s="64">
        <v>0.41</v>
      </c>
      <c r="K68" s="64">
        <v>340.77</v>
      </c>
      <c r="L68" s="64">
        <v>31.83</v>
      </c>
      <c r="M68" s="64">
        <v>63.72</v>
      </c>
      <c r="N68" s="64">
        <v>204.1</v>
      </c>
      <c r="O68" s="64">
        <v>0</v>
      </c>
      <c r="P68" s="64">
        <v>0.64</v>
      </c>
      <c r="Q68" s="64">
        <v>9.2200000000000006</v>
      </c>
      <c r="R68" s="198"/>
      <c r="S68" s="198"/>
      <c r="T68" s="198"/>
      <c r="U68" s="198"/>
    </row>
    <row r="69" spans="1:21" s="12" customFormat="1" x14ac:dyDescent="0.25">
      <c r="A69" s="214" t="s">
        <v>2226</v>
      </c>
      <c r="B69" s="64">
        <v>6.67</v>
      </c>
      <c r="C69" s="64">
        <v>27.1</v>
      </c>
      <c r="D69" s="64">
        <v>19.5</v>
      </c>
      <c r="E69" s="64">
        <v>6.23</v>
      </c>
      <c r="F69" s="64">
        <v>20.079999999999998</v>
      </c>
      <c r="G69" s="64">
        <v>80.44</v>
      </c>
      <c r="H69" s="64">
        <v>5.88</v>
      </c>
      <c r="I69" s="64">
        <v>2.42</v>
      </c>
      <c r="J69" s="64">
        <v>0.56000000000000005</v>
      </c>
      <c r="K69" s="64">
        <v>333.83</v>
      </c>
      <c r="L69" s="64">
        <v>31.45</v>
      </c>
      <c r="M69" s="64">
        <v>62.96</v>
      </c>
      <c r="N69" s="64">
        <v>172.9</v>
      </c>
      <c r="O69" s="64">
        <v>0</v>
      </c>
      <c r="P69" s="64">
        <v>0.64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4" t="s">
        <v>2227</v>
      </c>
      <c r="B70" s="64">
        <v>6.24</v>
      </c>
      <c r="C70" s="64">
        <v>27.6</v>
      </c>
      <c r="D70" s="64">
        <v>19.420000000000002</v>
      </c>
      <c r="E70" s="64">
        <v>6.24</v>
      </c>
      <c r="F70" s="64">
        <v>20.77</v>
      </c>
      <c r="G70" s="64">
        <v>80.27</v>
      </c>
      <c r="H70" s="64">
        <v>5.88</v>
      </c>
      <c r="I70" s="64">
        <v>2.41</v>
      </c>
      <c r="J70" s="64">
        <v>0.71</v>
      </c>
      <c r="K70" s="64">
        <v>334.36</v>
      </c>
      <c r="L70" s="64">
        <v>31.52</v>
      </c>
      <c r="M70" s="64">
        <v>64.2</v>
      </c>
      <c r="N70" s="64">
        <v>177.4</v>
      </c>
      <c r="O70" s="64">
        <v>0</v>
      </c>
      <c r="P70" s="64">
        <v>0.79</v>
      </c>
      <c r="Q70" s="64">
        <v>9.2200000000000006</v>
      </c>
      <c r="R70" s="198"/>
      <c r="S70" s="198"/>
      <c r="T70" s="198"/>
      <c r="U70" s="198"/>
    </row>
    <row r="71" spans="1:21" s="12" customFormat="1" x14ac:dyDescent="0.25">
      <c r="A71" s="214" t="s">
        <v>2228</v>
      </c>
      <c r="B71" s="64">
        <v>5.83</v>
      </c>
      <c r="C71" s="64">
        <v>26.56</v>
      </c>
      <c r="D71" s="64">
        <v>18.55</v>
      </c>
      <c r="E71" s="64">
        <v>6.24</v>
      </c>
      <c r="F71" s="64">
        <v>22.25</v>
      </c>
      <c r="G71" s="64">
        <v>80.27</v>
      </c>
      <c r="H71" s="64">
        <v>5.88</v>
      </c>
      <c r="I71" s="64">
        <v>2.29</v>
      </c>
      <c r="J71" s="64">
        <v>0.15</v>
      </c>
      <c r="K71" s="64">
        <v>20.28</v>
      </c>
      <c r="L71" s="64">
        <v>31.38</v>
      </c>
      <c r="M71" s="64">
        <v>66.58</v>
      </c>
      <c r="N71" s="64">
        <v>180.7</v>
      </c>
      <c r="O71" s="64">
        <v>0</v>
      </c>
      <c r="P71" s="64">
        <v>0.57999999999999996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4" t="s">
        <v>2229</v>
      </c>
      <c r="B72" s="64">
        <v>3.55</v>
      </c>
      <c r="C72" s="64">
        <v>20.45</v>
      </c>
      <c r="D72" s="64">
        <v>13.53</v>
      </c>
      <c r="E72" s="64">
        <v>5.01</v>
      </c>
      <c r="F72" s="64">
        <v>21.71</v>
      </c>
      <c r="G72" s="64">
        <v>80.27</v>
      </c>
      <c r="H72" s="64">
        <v>5.88</v>
      </c>
      <c r="I72" s="64">
        <v>2.1800000000000002</v>
      </c>
      <c r="J72" s="64">
        <v>0.13</v>
      </c>
      <c r="K72" s="64">
        <v>342.89</v>
      </c>
      <c r="L72" s="64">
        <v>30.45</v>
      </c>
      <c r="M72" s="64">
        <v>69.77</v>
      </c>
      <c r="N72" s="64">
        <v>149.5</v>
      </c>
      <c r="O72" s="64">
        <v>0</v>
      </c>
      <c r="P72" s="64">
        <v>0.59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14" t="s">
        <v>2230</v>
      </c>
      <c r="B73" s="64">
        <v>9.0299999999999994</v>
      </c>
      <c r="C73" s="64">
        <v>30</v>
      </c>
      <c r="D73" s="64">
        <v>22.92</v>
      </c>
      <c r="E73" s="64">
        <v>5.43</v>
      </c>
      <c r="F73" s="64">
        <v>17.52</v>
      </c>
      <c r="G73" s="64">
        <v>78.599999999999994</v>
      </c>
      <c r="H73" s="64">
        <v>4.1100000000000003</v>
      </c>
      <c r="I73" s="64">
        <v>2.15</v>
      </c>
      <c r="J73" s="64">
        <v>0.18</v>
      </c>
      <c r="K73" s="64">
        <v>338.54</v>
      </c>
      <c r="L73" s="64">
        <v>30.33</v>
      </c>
      <c r="M73" s="64">
        <v>69.58</v>
      </c>
      <c r="N73" s="64">
        <v>121.1</v>
      </c>
      <c r="O73" s="64">
        <v>0</v>
      </c>
      <c r="P73" s="64">
        <v>0.73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14" t="s">
        <v>2231</v>
      </c>
      <c r="B74" s="64">
        <v>10.039999999999999</v>
      </c>
      <c r="C74" s="64">
        <v>32.47</v>
      </c>
      <c r="D74" s="64">
        <v>25.02</v>
      </c>
      <c r="E74" s="64">
        <v>5.84</v>
      </c>
      <c r="F74" s="64">
        <v>19.309999999999999</v>
      </c>
      <c r="G74" s="64">
        <v>78.48</v>
      </c>
      <c r="H74" s="64">
        <v>4.1100000000000003</v>
      </c>
      <c r="I74" s="64">
        <v>2.25</v>
      </c>
      <c r="J74" s="64">
        <v>0.81</v>
      </c>
      <c r="K74" s="64">
        <v>338.43</v>
      </c>
      <c r="L74" s="64">
        <v>30.25</v>
      </c>
      <c r="M74" s="64">
        <v>69.84</v>
      </c>
      <c r="N74" s="64">
        <v>100.8</v>
      </c>
      <c r="O74" s="64">
        <v>0</v>
      </c>
      <c r="P74" s="64">
        <v>0.7</v>
      </c>
      <c r="Q74" s="64">
        <v>9.27</v>
      </c>
      <c r="R74" s="198"/>
      <c r="S74" s="198"/>
      <c r="T74" s="198"/>
      <c r="U74" s="198"/>
    </row>
    <row r="75" spans="1:21" s="12" customFormat="1" x14ac:dyDescent="0.25">
      <c r="A75" s="214" t="s">
        <v>2232</v>
      </c>
      <c r="B75" s="64">
        <v>11.5</v>
      </c>
      <c r="C75" s="64">
        <v>30.13</v>
      </c>
      <c r="D75" s="64">
        <v>24.96</v>
      </c>
      <c r="E75" s="64">
        <v>5.8</v>
      </c>
      <c r="F75" s="64">
        <v>19.5</v>
      </c>
      <c r="G75" s="64">
        <v>78.48</v>
      </c>
      <c r="H75" s="64">
        <v>4.1100000000000003</v>
      </c>
      <c r="I75" s="64">
        <v>2.2200000000000002</v>
      </c>
      <c r="J75" s="64">
        <v>0.64</v>
      </c>
      <c r="K75" s="64">
        <v>335.16</v>
      </c>
      <c r="L75" s="64">
        <v>29.97</v>
      </c>
      <c r="M75" s="64">
        <v>71.599999999999994</v>
      </c>
      <c r="N75" s="64">
        <v>85.6</v>
      </c>
      <c r="O75" s="64">
        <v>0</v>
      </c>
      <c r="P75" s="64">
        <v>0.64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4" t="s">
        <v>2233</v>
      </c>
      <c r="B76" s="64">
        <v>4.91</v>
      </c>
      <c r="C76" s="64">
        <v>21.5</v>
      </c>
      <c r="D76" s="64">
        <v>15.17</v>
      </c>
      <c r="E76" s="64">
        <v>5.62</v>
      </c>
      <c r="F76" s="64">
        <v>21.09</v>
      </c>
      <c r="G76" s="64">
        <v>78.48</v>
      </c>
      <c r="H76" s="64">
        <v>4.1100000000000003</v>
      </c>
      <c r="I76" s="64">
        <v>2.12</v>
      </c>
      <c r="J76" s="64">
        <v>0.05</v>
      </c>
      <c r="K76" s="64">
        <v>84.26</v>
      </c>
      <c r="L76" s="64">
        <v>29.45</v>
      </c>
      <c r="M76" s="64">
        <v>77.88</v>
      </c>
      <c r="N76" s="64">
        <v>73.8</v>
      </c>
      <c r="O76" s="64">
        <v>0</v>
      </c>
      <c r="P76" s="64">
        <v>0.54</v>
      </c>
      <c r="Q76" s="64">
        <v>9.2899999999999991</v>
      </c>
      <c r="R76" s="198"/>
      <c r="S76" s="198"/>
      <c r="T76" s="198"/>
      <c r="U76" s="198"/>
    </row>
    <row r="77" spans="1:21" s="12" customFormat="1" x14ac:dyDescent="0.25">
      <c r="A77" s="214" t="s">
        <v>2234</v>
      </c>
      <c r="B77" s="64">
        <v>6.07</v>
      </c>
      <c r="C77" s="64">
        <v>22.46</v>
      </c>
      <c r="D77" s="64">
        <v>16.600000000000001</v>
      </c>
      <c r="E77" s="64">
        <v>5.56</v>
      </c>
      <c r="F77" s="64">
        <v>19.63</v>
      </c>
      <c r="G77" s="64">
        <v>81.19</v>
      </c>
      <c r="H77" s="64">
        <v>2.88</v>
      </c>
      <c r="I77" s="64">
        <v>2.12</v>
      </c>
      <c r="J77" s="64">
        <v>0.16</v>
      </c>
      <c r="K77" s="64">
        <v>355.37</v>
      </c>
      <c r="L77" s="64">
        <v>29.1</v>
      </c>
      <c r="M77" s="64">
        <v>79.94</v>
      </c>
      <c r="N77" s="64">
        <v>61.1</v>
      </c>
      <c r="O77" s="64">
        <v>0</v>
      </c>
      <c r="P77" s="64">
        <v>0.64</v>
      </c>
      <c r="Q77" s="64">
        <v>9.2899999999999991</v>
      </c>
      <c r="R77" s="198"/>
      <c r="S77" s="198"/>
      <c r="T77" s="198"/>
      <c r="U77" s="198"/>
    </row>
    <row r="78" spans="1:21" s="12" customFormat="1" x14ac:dyDescent="0.25">
      <c r="A78" s="214" t="s">
        <v>2235</v>
      </c>
      <c r="B78" s="64">
        <v>9.77</v>
      </c>
      <c r="C78" s="64">
        <v>30.86</v>
      </c>
      <c r="D78" s="64">
        <v>23.96</v>
      </c>
      <c r="E78" s="64">
        <v>5.49</v>
      </c>
      <c r="F78" s="64">
        <v>14.29</v>
      </c>
      <c r="G78" s="64">
        <v>81.38</v>
      </c>
      <c r="H78" s="64">
        <v>2.88</v>
      </c>
      <c r="I78" s="64">
        <v>2.11</v>
      </c>
      <c r="J78" s="64">
        <v>0.43</v>
      </c>
      <c r="K78" s="64">
        <v>334.77</v>
      </c>
      <c r="L78" s="64">
        <v>29.15</v>
      </c>
      <c r="M78" s="64">
        <v>79.900000000000006</v>
      </c>
      <c r="N78" s="64">
        <v>51.7</v>
      </c>
      <c r="O78" s="64">
        <v>0</v>
      </c>
      <c r="P78" s="64">
        <v>1.1200000000000001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4" t="s">
        <v>2236</v>
      </c>
      <c r="B79" s="64">
        <v>9.5299999999999994</v>
      </c>
      <c r="C79" s="64">
        <v>31.16</v>
      </c>
      <c r="D79" s="64">
        <v>23.92</v>
      </c>
      <c r="E79" s="64">
        <v>5.63</v>
      </c>
      <c r="F79" s="64">
        <v>14.58</v>
      </c>
      <c r="G79" s="64">
        <v>81.38</v>
      </c>
      <c r="H79" s="64">
        <v>2.88</v>
      </c>
      <c r="I79" s="64">
        <v>2.1</v>
      </c>
      <c r="J79" s="64">
        <v>0.27</v>
      </c>
      <c r="K79" s="64">
        <v>132.49</v>
      </c>
      <c r="L79" s="64">
        <v>28.91</v>
      </c>
      <c r="M79" s="64">
        <v>81.459999999999994</v>
      </c>
      <c r="N79" s="64">
        <v>43.8</v>
      </c>
      <c r="O79" s="64">
        <v>0</v>
      </c>
      <c r="P79" s="64">
        <v>0.74</v>
      </c>
      <c r="Q79" s="64">
        <v>9.31</v>
      </c>
      <c r="R79" s="198"/>
      <c r="S79" s="198"/>
      <c r="T79" s="198"/>
      <c r="U79" s="198"/>
    </row>
    <row r="80" spans="1:21" s="12" customFormat="1" x14ac:dyDescent="0.25">
      <c r="A80" s="214" t="s">
        <v>2237</v>
      </c>
      <c r="B80" s="64">
        <v>3.03</v>
      </c>
      <c r="C80" s="64">
        <v>19.11</v>
      </c>
      <c r="D80" s="64">
        <v>12.41</v>
      </c>
      <c r="E80" s="64">
        <v>5.37</v>
      </c>
      <c r="F80" s="64">
        <v>19.53</v>
      </c>
      <c r="G80" s="64">
        <v>81.38</v>
      </c>
      <c r="H80" s="64">
        <v>2.88</v>
      </c>
      <c r="I80" s="64">
        <v>2.12</v>
      </c>
      <c r="J80" s="64">
        <v>0.19</v>
      </c>
      <c r="K80" s="64">
        <v>134.69</v>
      </c>
      <c r="L80" s="64">
        <v>28.62</v>
      </c>
      <c r="M80" s="64">
        <v>83.51</v>
      </c>
      <c r="N80" s="64">
        <v>38.6</v>
      </c>
      <c r="O80" s="64">
        <v>0</v>
      </c>
      <c r="P80" s="64">
        <v>0.54</v>
      </c>
      <c r="Q80" s="64">
        <v>9.31</v>
      </c>
      <c r="R80" s="198"/>
      <c r="S80" s="198"/>
      <c r="T80" s="198"/>
      <c r="U80" s="198"/>
    </row>
    <row r="81" spans="1:26" s="12" customFormat="1" x14ac:dyDescent="0.25">
      <c r="A81" s="214" t="s">
        <v>2238</v>
      </c>
      <c r="B81" s="64">
        <v>10.53</v>
      </c>
      <c r="C81" s="64">
        <v>29.66</v>
      </c>
      <c r="D81" s="64">
        <v>23.94</v>
      </c>
      <c r="E81" s="64">
        <v>5.74</v>
      </c>
      <c r="F81" s="64">
        <v>13.68</v>
      </c>
      <c r="G81" s="64">
        <v>74.2</v>
      </c>
      <c r="H81" s="64">
        <v>2.02</v>
      </c>
      <c r="I81" s="64">
        <v>2.12</v>
      </c>
      <c r="J81" s="64">
        <v>0.25</v>
      </c>
      <c r="K81" s="64">
        <v>133.71</v>
      </c>
      <c r="L81" s="64">
        <v>28.5</v>
      </c>
      <c r="M81" s="64">
        <v>85.75</v>
      </c>
      <c r="N81" s="64">
        <v>37.700000000000003</v>
      </c>
      <c r="O81" s="64">
        <v>0</v>
      </c>
      <c r="P81" s="64">
        <v>0.77</v>
      </c>
      <c r="Q81" s="64">
        <v>9.2899999999999991</v>
      </c>
      <c r="R81" s="198"/>
      <c r="S81" s="198"/>
      <c r="T81" s="198"/>
      <c r="U81" s="198"/>
    </row>
    <row r="82" spans="1:26" s="12" customFormat="1" x14ac:dyDescent="0.25">
      <c r="A82" s="214" t="s">
        <v>2239</v>
      </c>
      <c r="B82" s="64">
        <v>3.87</v>
      </c>
      <c r="C82" s="64">
        <v>20.03</v>
      </c>
      <c r="D82" s="64">
        <v>13.57</v>
      </c>
      <c r="E82" s="64">
        <v>5.68</v>
      </c>
      <c r="F82" s="64">
        <v>12.91</v>
      </c>
      <c r="G82" s="64">
        <v>73.69</v>
      </c>
      <c r="H82" s="64">
        <v>2.02</v>
      </c>
      <c r="I82" s="64">
        <v>2.11</v>
      </c>
      <c r="J82" s="64">
        <v>0.06</v>
      </c>
      <c r="K82" s="64">
        <v>179.41</v>
      </c>
      <c r="L82" s="64">
        <v>28.18</v>
      </c>
      <c r="M82" s="64">
        <v>90.93</v>
      </c>
      <c r="N82" s="64">
        <v>37.799999999999997</v>
      </c>
      <c r="O82" s="64">
        <v>0</v>
      </c>
      <c r="P82" s="64">
        <v>0.6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4" t="s">
        <v>2240</v>
      </c>
      <c r="B83" s="64">
        <v>3.47</v>
      </c>
      <c r="C83" s="64">
        <v>18.489999999999998</v>
      </c>
      <c r="D83" s="64">
        <v>12.45</v>
      </c>
      <c r="E83" s="64">
        <v>5.18</v>
      </c>
      <c r="F83" s="64">
        <v>8.02</v>
      </c>
      <c r="G83" s="64">
        <v>73.69</v>
      </c>
      <c r="H83" s="64">
        <v>2.02</v>
      </c>
      <c r="I83" s="64">
        <v>2.1</v>
      </c>
      <c r="J83" s="64">
        <v>0.05</v>
      </c>
      <c r="K83" s="64">
        <v>310.18</v>
      </c>
      <c r="L83" s="64">
        <v>27.58</v>
      </c>
      <c r="M83" s="64">
        <v>83.62</v>
      </c>
      <c r="N83" s="64">
        <v>38.1</v>
      </c>
      <c r="O83" s="64">
        <v>0</v>
      </c>
      <c r="P83" s="64">
        <v>0.72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4" t="s">
        <v>2241</v>
      </c>
      <c r="B84" s="64">
        <v>4.8499999999999996</v>
      </c>
      <c r="C84" s="64">
        <v>22.81</v>
      </c>
      <c r="D84" s="64">
        <v>15.8</v>
      </c>
      <c r="E84" s="64">
        <v>5.26</v>
      </c>
      <c r="F84" s="64">
        <v>9</v>
      </c>
      <c r="G84" s="64">
        <v>73.69</v>
      </c>
      <c r="H84" s="64">
        <v>2.02</v>
      </c>
      <c r="I84" s="64">
        <v>2.09</v>
      </c>
      <c r="J84" s="64">
        <v>7.0000000000000007E-2</v>
      </c>
      <c r="K84" s="64">
        <v>188.55</v>
      </c>
      <c r="L84" s="64">
        <v>26.99</v>
      </c>
      <c r="M84" s="64">
        <v>88.94</v>
      </c>
      <c r="N84" s="64">
        <v>37.9</v>
      </c>
      <c r="O84" s="64">
        <v>0</v>
      </c>
      <c r="P84" s="64">
        <v>0.77</v>
      </c>
      <c r="Q84" s="64">
        <v>9.2799999999999994</v>
      </c>
      <c r="R84" s="198"/>
      <c r="S84" s="198"/>
      <c r="T84" s="198"/>
      <c r="U84" s="198"/>
    </row>
    <row r="85" spans="1:26" s="12" customFormat="1" x14ac:dyDescent="0.25">
      <c r="A85" s="214" t="s">
        <v>2242</v>
      </c>
      <c r="B85" s="64">
        <v>4.8099999999999996</v>
      </c>
      <c r="C85" s="64">
        <v>25.12</v>
      </c>
      <c r="D85" s="64">
        <v>16.989999999999998</v>
      </c>
      <c r="E85" s="64">
        <v>5.42</v>
      </c>
      <c r="F85" s="64">
        <v>4.8899999999999997</v>
      </c>
      <c r="G85" s="64">
        <v>69.75</v>
      </c>
      <c r="H85" s="64">
        <v>8.09</v>
      </c>
      <c r="I85" s="64">
        <v>2.1</v>
      </c>
      <c r="J85" s="64">
        <v>0.05</v>
      </c>
      <c r="K85" s="64">
        <v>5.16</v>
      </c>
      <c r="L85" s="64">
        <v>26.73</v>
      </c>
      <c r="M85" s="64">
        <v>92.68</v>
      </c>
      <c r="N85" s="64">
        <v>37.700000000000003</v>
      </c>
      <c r="O85" s="64">
        <v>0</v>
      </c>
      <c r="P85" s="64">
        <v>1.1299999999999999</v>
      </c>
      <c r="Q85" s="64">
        <v>9.26</v>
      </c>
      <c r="R85" s="198"/>
      <c r="S85" s="198"/>
      <c r="T85" s="198"/>
      <c r="U85" s="198"/>
    </row>
    <row r="86" spans="1:26" s="12" customFormat="1" x14ac:dyDescent="0.25">
      <c r="A86" s="214" t="s">
        <v>2243</v>
      </c>
      <c r="B86" s="64">
        <v>11.7</v>
      </c>
      <c r="C86" s="64">
        <v>30.4</v>
      </c>
      <c r="D86" s="64">
        <v>25.27</v>
      </c>
      <c r="E86" s="64">
        <v>5.44</v>
      </c>
      <c r="F86" s="64">
        <v>4.72</v>
      </c>
      <c r="G86" s="64">
        <v>69.47</v>
      </c>
      <c r="H86" s="64">
        <v>8.09</v>
      </c>
      <c r="I86" s="64">
        <v>2.11</v>
      </c>
      <c r="J86" s="64">
        <v>0.03</v>
      </c>
      <c r="K86" s="64">
        <v>103.19</v>
      </c>
      <c r="L86" s="64">
        <v>26.6</v>
      </c>
      <c r="M86" s="64">
        <v>93.29</v>
      </c>
      <c r="N86" s="64">
        <v>37.700000000000003</v>
      </c>
      <c r="O86" s="64">
        <v>0</v>
      </c>
      <c r="P86" s="64">
        <v>1.18</v>
      </c>
      <c r="Q86" s="64">
        <v>9.27</v>
      </c>
      <c r="R86" s="198"/>
      <c r="S86" s="198"/>
      <c r="T86" s="198"/>
      <c r="U86" s="198"/>
    </row>
    <row r="87" spans="1:26" s="12" customFormat="1" x14ac:dyDescent="0.25">
      <c r="A87" s="214" t="s">
        <v>2244</v>
      </c>
      <c r="B87" s="64">
        <v>5.12</v>
      </c>
      <c r="C87" s="64">
        <v>28.78</v>
      </c>
      <c r="D87" s="64">
        <v>19.149999999999999</v>
      </c>
      <c r="E87" s="64">
        <v>4.9400000000000004</v>
      </c>
      <c r="F87" s="64">
        <v>7.55</v>
      </c>
      <c r="G87" s="64">
        <v>69.47</v>
      </c>
      <c r="H87" s="64">
        <v>8.09</v>
      </c>
      <c r="I87" s="64">
        <v>2.14</v>
      </c>
      <c r="J87" s="64">
        <v>0.17</v>
      </c>
      <c r="K87" s="64">
        <v>148.04</v>
      </c>
      <c r="L87" s="64">
        <v>26.48</v>
      </c>
      <c r="M87" s="64">
        <v>95.66</v>
      </c>
      <c r="N87" s="64">
        <v>37.6</v>
      </c>
      <c r="O87" s="64">
        <v>0</v>
      </c>
      <c r="P87" s="64">
        <v>0.8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4" t="s">
        <v>2245</v>
      </c>
      <c r="B88" s="64">
        <v>2.79</v>
      </c>
      <c r="C88" s="64">
        <v>21.68</v>
      </c>
      <c r="D88" s="64">
        <v>13.57</v>
      </c>
      <c r="E88" s="64">
        <v>5.1100000000000003</v>
      </c>
      <c r="F88" s="64">
        <v>12.42</v>
      </c>
      <c r="G88" s="64">
        <v>69.47</v>
      </c>
      <c r="H88" s="64">
        <v>8.09</v>
      </c>
      <c r="I88" s="64">
        <v>2.2000000000000002</v>
      </c>
      <c r="J88" s="64">
        <v>0.43</v>
      </c>
      <c r="K88" s="64">
        <v>150.55000000000001</v>
      </c>
      <c r="L88" s="64">
        <v>26.02</v>
      </c>
      <c r="M88" s="64">
        <v>97.97</v>
      </c>
      <c r="N88" s="64">
        <v>37.799999999999997</v>
      </c>
      <c r="O88" s="64">
        <v>0</v>
      </c>
      <c r="P88" s="64">
        <v>0.55000000000000004</v>
      </c>
      <c r="Q88" s="64">
        <v>9.2799999999999994</v>
      </c>
      <c r="R88" s="198"/>
      <c r="S88" s="198"/>
      <c r="T88" s="198"/>
      <c r="U88" s="198"/>
    </row>
    <row r="89" spans="1:26" s="12" customFormat="1" x14ac:dyDescent="0.25">
      <c r="A89" s="214" t="s">
        <v>2246</v>
      </c>
      <c r="B89" s="64">
        <v>3.03</v>
      </c>
      <c r="C89" s="64">
        <v>21.86</v>
      </c>
      <c r="D89" s="64">
        <v>13.85</v>
      </c>
      <c r="E89" s="64">
        <v>5.15</v>
      </c>
      <c r="F89" s="64">
        <v>11.25</v>
      </c>
      <c r="G89" s="64">
        <v>73.709999999999994</v>
      </c>
      <c r="H89" s="64">
        <v>5.67</v>
      </c>
      <c r="I89" s="64">
        <v>2.21</v>
      </c>
      <c r="J89" s="64">
        <v>0.24</v>
      </c>
      <c r="K89" s="64">
        <v>143.58000000000001</v>
      </c>
      <c r="L89" s="64">
        <v>26</v>
      </c>
      <c r="M89" s="64">
        <v>97.97</v>
      </c>
      <c r="N89" s="64">
        <v>37.4</v>
      </c>
      <c r="O89" s="64">
        <v>0</v>
      </c>
      <c r="P89" s="64">
        <v>0.51</v>
      </c>
      <c r="Q89" s="64">
        <v>9.3000000000000007</v>
      </c>
      <c r="R89" s="198"/>
      <c r="S89" s="198"/>
      <c r="T89" s="198"/>
      <c r="U89" s="198"/>
    </row>
    <row r="90" spans="1:26" s="12" customFormat="1" x14ac:dyDescent="0.25">
      <c r="A90" s="214" t="s">
        <v>2247</v>
      </c>
      <c r="B90" s="64">
        <v>3.14</v>
      </c>
      <c r="C90" s="64">
        <v>22.89</v>
      </c>
      <c r="D90" s="64">
        <v>14.47</v>
      </c>
      <c r="E90" s="64">
        <v>5.07</v>
      </c>
      <c r="F90" s="64">
        <v>11.31</v>
      </c>
      <c r="G90" s="64">
        <v>74.02</v>
      </c>
      <c r="H90" s="64">
        <v>5.67</v>
      </c>
      <c r="I90" s="64">
        <v>2.21</v>
      </c>
      <c r="J90" s="64">
        <v>0.27</v>
      </c>
      <c r="K90" s="64">
        <v>132.09</v>
      </c>
      <c r="L90" s="64">
        <v>25.95</v>
      </c>
      <c r="M90" s="64">
        <v>97.85</v>
      </c>
      <c r="N90" s="64">
        <v>37.4</v>
      </c>
      <c r="O90" s="64">
        <v>0</v>
      </c>
      <c r="P90" s="64">
        <v>0.45</v>
      </c>
      <c r="Q90" s="64">
        <v>9.31</v>
      </c>
      <c r="R90" s="198"/>
      <c r="S90" s="198"/>
      <c r="T90" s="198"/>
      <c r="U90" s="198"/>
    </row>
    <row r="91" spans="1:26" s="12" customFormat="1" x14ac:dyDescent="0.25">
      <c r="A91" s="214" t="s">
        <v>2248</v>
      </c>
      <c r="B91" s="64">
        <v>3.06</v>
      </c>
      <c r="C91" s="64">
        <v>19.79</v>
      </c>
      <c r="D91" s="64">
        <v>12.79</v>
      </c>
      <c r="E91" s="64">
        <v>5.0999999999999996</v>
      </c>
      <c r="F91" s="64">
        <v>12.15</v>
      </c>
      <c r="G91" s="64">
        <v>74.02</v>
      </c>
      <c r="H91" s="64">
        <v>5.67</v>
      </c>
      <c r="I91" s="64">
        <v>2.19</v>
      </c>
      <c r="J91" s="64">
        <v>0.63</v>
      </c>
      <c r="K91" s="64">
        <v>147.81</v>
      </c>
      <c r="L91" s="64">
        <v>25.92</v>
      </c>
      <c r="M91" s="64">
        <v>97.99</v>
      </c>
      <c r="N91" s="64">
        <v>37.4</v>
      </c>
      <c r="O91" s="64">
        <v>0</v>
      </c>
      <c r="P91" s="64">
        <v>0.55000000000000004</v>
      </c>
      <c r="Q91" s="64">
        <v>9.32</v>
      </c>
      <c r="R91" s="198"/>
      <c r="S91" s="198"/>
      <c r="T91" s="198"/>
      <c r="U91" s="198"/>
    </row>
    <row r="92" spans="1:26" s="12" customFormat="1" x14ac:dyDescent="0.25">
      <c r="A92" s="214" t="s">
        <v>2249</v>
      </c>
      <c r="B92" s="64">
        <v>3.58</v>
      </c>
      <c r="C92" s="64">
        <v>18.38</v>
      </c>
      <c r="D92" s="64">
        <v>12.48</v>
      </c>
      <c r="E92" s="64">
        <v>5.21</v>
      </c>
      <c r="F92" s="64">
        <v>10.9</v>
      </c>
      <c r="G92" s="64">
        <v>74.02</v>
      </c>
      <c r="H92" s="64">
        <v>5.67</v>
      </c>
      <c r="I92" s="64">
        <v>2.1800000000000002</v>
      </c>
      <c r="J92" s="64">
        <v>0.42</v>
      </c>
      <c r="K92" s="64">
        <v>141.46</v>
      </c>
      <c r="L92" s="64">
        <v>25.86</v>
      </c>
      <c r="M92" s="64">
        <v>98</v>
      </c>
      <c r="N92" s="64">
        <v>37.4</v>
      </c>
      <c r="O92" s="64">
        <v>0</v>
      </c>
      <c r="P92" s="64">
        <v>0.47</v>
      </c>
      <c r="Q92" s="64">
        <v>9.32</v>
      </c>
      <c r="R92" s="198"/>
      <c r="S92" s="198"/>
      <c r="T92" s="198"/>
      <c r="U92" s="198"/>
    </row>
    <row r="93" spans="1:26" s="12" customFormat="1" x14ac:dyDescent="0.25">
      <c r="A93" s="214" t="s">
        <v>2250</v>
      </c>
      <c r="B93" s="64">
        <v>2.92</v>
      </c>
      <c r="C93" s="64">
        <v>19.350000000000001</v>
      </c>
      <c r="D93" s="64">
        <v>12.45</v>
      </c>
      <c r="E93" s="64">
        <v>4.84</v>
      </c>
      <c r="F93" s="64">
        <v>11.49</v>
      </c>
      <c r="G93" s="64">
        <v>62.16</v>
      </c>
      <c r="H93" s="64">
        <v>3.97</v>
      </c>
      <c r="I93" s="64">
        <v>2.17</v>
      </c>
      <c r="J93" s="64">
        <v>0.03</v>
      </c>
      <c r="K93" s="64">
        <v>128.9</v>
      </c>
      <c r="L93" s="64">
        <v>25.8</v>
      </c>
      <c r="M93" s="64">
        <v>98</v>
      </c>
      <c r="N93" s="64">
        <v>37.6</v>
      </c>
      <c r="O93" s="64">
        <v>0</v>
      </c>
      <c r="P93" s="64">
        <v>0.4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14" t="s">
        <v>2251</v>
      </c>
      <c r="B94" s="64">
        <v>1.84</v>
      </c>
      <c r="C94" s="64">
        <v>16.690000000000001</v>
      </c>
      <c r="D94" s="64">
        <v>10.199999999999999</v>
      </c>
      <c r="E94" s="64">
        <v>5.27</v>
      </c>
      <c r="F94" s="64">
        <v>14.37</v>
      </c>
      <c r="G94" s="64">
        <v>61.31</v>
      </c>
      <c r="H94" s="64">
        <v>3.97</v>
      </c>
      <c r="I94" s="64">
        <v>2.27</v>
      </c>
      <c r="J94" s="64">
        <v>0.06</v>
      </c>
      <c r="K94" s="64">
        <v>311.87</v>
      </c>
      <c r="L94" s="64">
        <v>25.75</v>
      </c>
      <c r="M94" s="64">
        <v>98.01</v>
      </c>
      <c r="N94" s="64">
        <v>37.6</v>
      </c>
      <c r="O94" s="64">
        <v>0</v>
      </c>
      <c r="P94" s="64">
        <v>0.42</v>
      </c>
      <c r="Q94" s="64">
        <v>9.33</v>
      </c>
      <c r="R94" s="198"/>
      <c r="S94" s="198"/>
      <c r="T94" s="198"/>
      <c r="U94" s="198"/>
    </row>
    <row r="95" spans="1:26" s="12" customFormat="1" x14ac:dyDescent="0.25">
      <c r="A95" s="214" t="s">
        <v>2252</v>
      </c>
      <c r="B95" s="64">
        <v>5.76</v>
      </c>
      <c r="C95" s="64">
        <v>19.46</v>
      </c>
      <c r="D95" s="64">
        <v>14.78</v>
      </c>
      <c r="E95" s="64">
        <v>5.45</v>
      </c>
      <c r="F95" s="64">
        <v>8.26</v>
      </c>
      <c r="G95" s="64">
        <v>61.31</v>
      </c>
      <c r="H95" s="64">
        <v>3.97</v>
      </c>
      <c r="I95" s="64">
        <v>2.2200000000000002</v>
      </c>
      <c r="J95" s="64">
        <v>0.09</v>
      </c>
      <c r="K95" s="64">
        <v>321.08</v>
      </c>
      <c r="L95" s="64">
        <v>25.69</v>
      </c>
      <c r="M95" s="64">
        <v>98.03</v>
      </c>
      <c r="N95" s="64">
        <v>37.5</v>
      </c>
      <c r="O95" s="64">
        <v>0</v>
      </c>
      <c r="P95" s="64">
        <v>0.86</v>
      </c>
      <c r="Q95" s="64">
        <v>9.34</v>
      </c>
      <c r="R95" s="198"/>
      <c r="S95" s="198"/>
      <c r="T95" s="198"/>
      <c r="U95" s="198"/>
    </row>
    <row r="96" spans="1:26" s="12" customFormat="1" x14ac:dyDescent="0.25">
      <c r="A96" s="214" t="s">
        <v>2253</v>
      </c>
      <c r="B96" s="64">
        <v>6.35</v>
      </c>
      <c r="C96" s="64">
        <v>21.62</v>
      </c>
      <c r="D96" s="64">
        <v>16.39</v>
      </c>
      <c r="E96" s="64">
        <v>4.97</v>
      </c>
      <c r="F96" s="64">
        <v>7.54</v>
      </c>
      <c r="G96" s="64">
        <v>61.31</v>
      </c>
      <c r="H96" s="64">
        <v>3.97</v>
      </c>
      <c r="I96" s="64">
        <v>2.11</v>
      </c>
      <c r="J96" s="64">
        <v>7.0000000000000007E-2</v>
      </c>
      <c r="K96" s="64">
        <v>306.63</v>
      </c>
      <c r="L96" s="64">
        <v>25.45</v>
      </c>
      <c r="M96" s="64">
        <v>98.04</v>
      </c>
      <c r="N96" s="64">
        <v>37.6</v>
      </c>
      <c r="O96" s="64">
        <v>0</v>
      </c>
      <c r="P96" s="64">
        <v>0.84</v>
      </c>
      <c r="Q96" s="64">
        <v>9.33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2254</v>
      </c>
      <c r="B97" s="64">
        <v>4.07</v>
      </c>
      <c r="C97" s="64">
        <v>20.02</v>
      </c>
      <c r="D97" s="64">
        <v>13.72</v>
      </c>
      <c r="E97" s="64">
        <v>5.2</v>
      </c>
      <c r="F97" s="64">
        <v>9.18</v>
      </c>
      <c r="G97" s="64">
        <v>61.36</v>
      </c>
      <c r="H97" s="64">
        <v>2.78</v>
      </c>
      <c r="I97" s="64">
        <v>2.1</v>
      </c>
      <c r="J97" s="64">
        <v>7.0000000000000007E-2</v>
      </c>
      <c r="K97" s="64">
        <v>305.17</v>
      </c>
      <c r="L97" s="64">
        <v>25.28</v>
      </c>
      <c r="M97" s="64">
        <v>98.03</v>
      </c>
      <c r="N97" s="64">
        <v>37.4</v>
      </c>
      <c r="O97" s="64">
        <v>0</v>
      </c>
      <c r="P97" s="64">
        <v>0.65</v>
      </c>
      <c r="Q97" s="64">
        <v>9.33</v>
      </c>
      <c r="R97" s="198"/>
      <c r="S97" s="198"/>
      <c r="T97" s="198"/>
      <c r="U97" s="198"/>
    </row>
    <row r="98" spans="1:33" s="12" customFormat="1" x14ac:dyDescent="0.25">
      <c r="A98" s="214" t="s">
        <v>2255</v>
      </c>
      <c r="B98" s="64">
        <v>2.95</v>
      </c>
      <c r="C98" s="64">
        <v>18.23</v>
      </c>
      <c r="D98" s="64">
        <v>11.89</v>
      </c>
      <c r="E98" s="64">
        <v>5.31</v>
      </c>
      <c r="F98" s="64">
        <v>12.86</v>
      </c>
      <c r="G98" s="64">
        <v>61.37</v>
      </c>
      <c r="H98" s="64">
        <v>2.78</v>
      </c>
      <c r="I98" s="64">
        <v>2.08</v>
      </c>
      <c r="J98" s="64">
        <v>0.12</v>
      </c>
      <c r="K98" s="64">
        <v>339.83</v>
      </c>
      <c r="L98" s="64">
        <v>25.2</v>
      </c>
      <c r="M98" s="64">
        <v>98.01</v>
      </c>
      <c r="N98" s="64">
        <v>37.5</v>
      </c>
      <c r="O98" s="64">
        <v>0</v>
      </c>
      <c r="P98" s="64">
        <v>0.54</v>
      </c>
      <c r="Q98" s="64">
        <v>9.33</v>
      </c>
      <c r="R98" s="198"/>
      <c r="S98" s="198"/>
      <c r="T98" s="198"/>
      <c r="U98" s="198"/>
    </row>
    <row r="99" spans="1:33" s="12" customFormat="1" x14ac:dyDescent="0.25">
      <c r="A99" s="214" t="s">
        <v>2256</v>
      </c>
      <c r="B99" s="64">
        <v>16.989999999999998</v>
      </c>
      <c r="C99" s="64">
        <v>26.44</v>
      </c>
      <c r="D99" s="64">
        <v>27.44</v>
      </c>
      <c r="E99" s="64">
        <v>5.26</v>
      </c>
      <c r="F99" s="64">
        <v>6.74</v>
      </c>
      <c r="G99" s="64">
        <v>61.37</v>
      </c>
      <c r="H99" s="64">
        <v>2.78</v>
      </c>
      <c r="I99" s="64">
        <v>2.0499999999999998</v>
      </c>
      <c r="J99" s="64">
        <v>0.1</v>
      </c>
      <c r="K99" s="64">
        <v>336.67</v>
      </c>
      <c r="L99" s="64">
        <v>25.17</v>
      </c>
      <c r="M99" s="64">
        <v>98.07</v>
      </c>
      <c r="N99" s="64">
        <v>37.5</v>
      </c>
      <c r="O99" s="64">
        <v>0</v>
      </c>
      <c r="P99" s="64">
        <v>0.57999999999999996</v>
      </c>
      <c r="Q99" s="64">
        <v>9.32</v>
      </c>
      <c r="R99" s="198"/>
      <c r="S99" s="198"/>
      <c r="T99" s="198"/>
      <c r="U99" s="198"/>
    </row>
    <row r="100" spans="1:33" s="12" customFormat="1" x14ac:dyDescent="0.25">
      <c r="A100" s="214" t="s">
        <v>2257</v>
      </c>
      <c r="B100" s="64">
        <v>4.83</v>
      </c>
      <c r="C100" s="64">
        <v>18.62</v>
      </c>
      <c r="D100" s="64">
        <v>13.6</v>
      </c>
      <c r="E100" s="64">
        <v>5.07</v>
      </c>
      <c r="F100" s="64">
        <v>11.44</v>
      </c>
      <c r="G100" s="64">
        <v>61.37</v>
      </c>
      <c r="H100" s="64">
        <v>2.78</v>
      </c>
      <c r="I100" s="64">
        <v>2.02</v>
      </c>
      <c r="J100" s="64">
        <v>0.08</v>
      </c>
      <c r="K100" s="64">
        <v>147.72999999999999</v>
      </c>
      <c r="L100" s="64">
        <v>25.17</v>
      </c>
      <c r="M100" s="64">
        <v>98.01</v>
      </c>
      <c r="N100" s="64">
        <v>37.299999999999997</v>
      </c>
      <c r="O100" s="64">
        <v>0</v>
      </c>
      <c r="P100" s="64">
        <v>0.41</v>
      </c>
      <c r="Q100" s="64">
        <v>9.31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2258</v>
      </c>
      <c r="B101" s="64">
        <v>1.74</v>
      </c>
      <c r="C101" s="64">
        <v>17.97</v>
      </c>
      <c r="D101" s="64">
        <v>10.78</v>
      </c>
      <c r="E101" s="64">
        <v>5.05</v>
      </c>
      <c r="F101" s="64">
        <v>11.87</v>
      </c>
      <c r="G101" s="64">
        <v>53.94</v>
      </c>
      <c r="H101" s="64">
        <v>5.77</v>
      </c>
      <c r="I101" s="64">
        <v>2</v>
      </c>
      <c r="J101" s="64">
        <v>0.05</v>
      </c>
      <c r="K101" s="64">
        <v>145.81</v>
      </c>
      <c r="L101" s="64">
        <v>25.24</v>
      </c>
      <c r="M101" s="64">
        <v>98</v>
      </c>
      <c r="N101" s="64">
        <v>37.4</v>
      </c>
      <c r="O101" s="64">
        <v>0</v>
      </c>
      <c r="P101" s="64">
        <v>0.31</v>
      </c>
      <c r="Q101" s="64">
        <v>9.32</v>
      </c>
      <c r="R101" s="198"/>
      <c r="S101" s="198"/>
      <c r="T101" s="198"/>
      <c r="U101" s="198"/>
    </row>
    <row r="102" spans="1:33" s="12" customFormat="1" x14ac:dyDescent="0.25">
      <c r="A102" s="214" t="s">
        <v>2259</v>
      </c>
      <c r="B102" s="64">
        <v>1.47</v>
      </c>
      <c r="C102" s="64">
        <v>15.95</v>
      </c>
      <c r="D102" s="64">
        <v>9.52</v>
      </c>
      <c r="E102" s="64">
        <v>4.93</v>
      </c>
      <c r="F102" s="64">
        <v>11</v>
      </c>
      <c r="G102" s="64">
        <v>53.41</v>
      </c>
      <c r="H102" s="64">
        <v>5.77</v>
      </c>
      <c r="I102" s="64">
        <v>1.97</v>
      </c>
      <c r="J102" s="64">
        <v>0.14000000000000001</v>
      </c>
      <c r="K102" s="64">
        <v>335.17</v>
      </c>
      <c r="L102" s="64">
        <v>25.16</v>
      </c>
      <c r="M102" s="64">
        <v>98.03</v>
      </c>
      <c r="N102" s="64">
        <v>37.5</v>
      </c>
      <c r="O102" s="64">
        <v>0</v>
      </c>
      <c r="P102" s="64">
        <v>0.47</v>
      </c>
      <c r="Q102" s="64">
        <v>9.31</v>
      </c>
      <c r="R102" s="198"/>
      <c r="S102" s="198"/>
      <c r="T102" s="198"/>
      <c r="U102" s="198"/>
    </row>
    <row r="103" spans="1:33" s="12" customFormat="1" x14ac:dyDescent="0.25">
      <c r="A103" s="214" t="s">
        <v>2260</v>
      </c>
      <c r="B103" s="64">
        <v>2.74</v>
      </c>
      <c r="C103" s="64">
        <v>18.010000000000002</v>
      </c>
      <c r="D103" s="64">
        <v>11.61</v>
      </c>
      <c r="E103" s="64">
        <v>5.07</v>
      </c>
      <c r="F103" s="64">
        <v>8.9</v>
      </c>
      <c r="G103" s="64">
        <v>53.41</v>
      </c>
      <c r="H103" s="64">
        <v>5.77</v>
      </c>
      <c r="I103" s="64">
        <v>1.93</v>
      </c>
      <c r="J103" s="64">
        <v>0.03</v>
      </c>
      <c r="K103" s="64">
        <v>66.5</v>
      </c>
      <c r="L103" s="64">
        <v>25.02</v>
      </c>
      <c r="M103" s="64">
        <v>98.04</v>
      </c>
      <c r="N103" s="64">
        <v>37.6</v>
      </c>
      <c r="O103" s="64">
        <v>0</v>
      </c>
      <c r="P103" s="64">
        <v>0.54</v>
      </c>
      <c r="Q103" s="64">
        <v>9.32</v>
      </c>
      <c r="R103" s="198"/>
      <c r="S103" s="198"/>
      <c r="T103" s="198"/>
      <c r="U103" s="198"/>
    </row>
    <row r="104" spans="1:33" s="12" customFormat="1" x14ac:dyDescent="0.25">
      <c r="A104" s="214" t="s">
        <v>2261</v>
      </c>
      <c r="B104" s="64">
        <v>2.1</v>
      </c>
      <c r="C104" s="64">
        <v>20.45</v>
      </c>
      <c r="D104" s="64">
        <v>12.37</v>
      </c>
      <c r="E104" s="64">
        <v>4.88</v>
      </c>
      <c r="F104" s="64">
        <v>9.08</v>
      </c>
      <c r="G104" s="64">
        <v>53.41</v>
      </c>
      <c r="H104" s="64">
        <v>5.77</v>
      </c>
      <c r="I104" s="64">
        <v>1.9</v>
      </c>
      <c r="J104" s="64">
        <v>0.05</v>
      </c>
      <c r="K104" s="64">
        <v>105.14</v>
      </c>
      <c r="L104" s="64">
        <v>24.94</v>
      </c>
      <c r="M104" s="64">
        <v>98.05</v>
      </c>
      <c r="N104" s="64">
        <v>37.5</v>
      </c>
      <c r="O104" s="64">
        <v>0</v>
      </c>
      <c r="P104" s="64">
        <v>0.51</v>
      </c>
      <c r="Q104" s="64">
        <v>9.3000000000000007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1.47</v>
      </c>
      <c r="C106" s="67">
        <f>MIN(C9:C104)</f>
        <v>11.09</v>
      </c>
      <c r="D106" s="67">
        <f t="shared" ref="D106:Q106" si="0">MIN(D9:D104)</f>
        <v>9.52</v>
      </c>
      <c r="E106" s="67">
        <f t="shared" si="0"/>
        <v>4.07</v>
      </c>
      <c r="F106" s="67">
        <f t="shared" si="0"/>
        <v>2.98</v>
      </c>
      <c r="G106" s="67">
        <f t="shared" si="0"/>
        <v>14.62</v>
      </c>
      <c r="H106" s="67">
        <f t="shared" si="0"/>
        <v>1.28</v>
      </c>
      <c r="I106" s="67">
        <f t="shared" si="0"/>
        <v>1.43</v>
      </c>
      <c r="J106" s="67">
        <f t="shared" si="0"/>
        <v>0</v>
      </c>
      <c r="K106" s="67">
        <f t="shared" si="0"/>
        <v>2.1800000000000002</v>
      </c>
      <c r="L106" s="67">
        <f t="shared" si="0"/>
        <v>22.85</v>
      </c>
      <c r="M106" s="67">
        <f t="shared" si="0"/>
        <v>62.71</v>
      </c>
      <c r="N106" s="67">
        <f t="shared" si="0"/>
        <v>37.299999999999997</v>
      </c>
      <c r="O106" s="67">
        <f t="shared" si="0"/>
        <v>0</v>
      </c>
      <c r="P106" s="67">
        <f t="shared" si="0"/>
        <v>0.26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16.989999999999998</v>
      </c>
      <c r="C107" s="66">
        <f t="shared" ref="C107:Q107" si="1">MAX(C9:C104)</f>
        <v>32.770000000000003</v>
      </c>
      <c r="D107" s="66">
        <f t="shared" si="1"/>
        <v>28.11</v>
      </c>
      <c r="E107" s="66">
        <f t="shared" si="1"/>
        <v>6.24</v>
      </c>
      <c r="F107" s="66">
        <f t="shared" si="1"/>
        <v>22.66</v>
      </c>
      <c r="G107" s="66">
        <f t="shared" si="1"/>
        <v>82.87</v>
      </c>
      <c r="H107" s="66">
        <f t="shared" si="1"/>
        <v>8.09</v>
      </c>
      <c r="I107" s="66">
        <f t="shared" si="1"/>
        <v>2.61</v>
      </c>
      <c r="J107" s="66">
        <f t="shared" si="1"/>
        <v>1.18</v>
      </c>
      <c r="K107" s="66">
        <f t="shared" si="1"/>
        <v>355.37</v>
      </c>
      <c r="L107" s="66">
        <f t="shared" si="1"/>
        <v>33.96</v>
      </c>
      <c r="M107" s="66">
        <f t="shared" si="1"/>
        <v>98.41</v>
      </c>
      <c r="N107" s="66">
        <f t="shared" si="1"/>
        <v>780.5</v>
      </c>
      <c r="O107" s="66">
        <f t="shared" si="1"/>
        <v>0</v>
      </c>
      <c r="P107" s="66">
        <f t="shared" si="1"/>
        <v>1.18</v>
      </c>
      <c r="Q107" s="66">
        <f t="shared" si="1"/>
        <v>9.34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6.1777083333333351</v>
      </c>
      <c r="C108" s="67">
        <f t="shared" ref="C108:Q108" si="2">AVERAGE(C9:C104)</f>
        <v>19.312083333333334</v>
      </c>
      <c r="D108" s="67">
        <f t="shared" si="2"/>
        <v>15.043958333333334</v>
      </c>
      <c r="E108" s="67">
        <f t="shared" si="2"/>
        <v>5.1363541666666679</v>
      </c>
      <c r="F108" s="67">
        <f t="shared" si="2"/>
        <v>11.924166666666659</v>
      </c>
      <c r="G108" s="67">
        <f t="shared" si="2"/>
        <v>49.75</v>
      </c>
      <c r="H108" s="67">
        <f t="shared" si="2"/>
        <v>3.6708333333333321</v>
      </c>
      <c r="I108" s="67">
        <f t="shared" si="2"/>
        <v>2.023750000000001</v>
      </c>
      <c r="J108" s="67">
        <f t="shared" si="2"/>
        <v>0.24843750000000001</v>
      </c>
      <c r="K108" s="67">
        <f t="shared" si="2"/>
        <v>234.65645833333326</v>
      </c>
      <c r="L108" s="67">
        <f t="shared" si="2"/>
        <v>27.263020833333329</v>
      </c>
      <c r="M108" s="67">
        <f t="shared" si="2"/>
        <v>87.446666666666673</v>
      </c>
      <c r="N108" s="67">
        <f t="shared" si="2"/>
        <v>172.36562500000002</v>
      </c>
      <c r="O108" s="67">
        <f t="shared" si="2"/>
        <v>0</v>
      </c>
      <c r="P108" s="67">
        <f t="shared" si="2"/>
        <v>0.53364583333333326</v>
      </c>
      <c r="Q108" s="67">
        <f t="shared" si="2"/>
        <v>9.2503124999999979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2.8573939098661816</v>
      </c>
      <c r="C109" s="67">
        <f t="shared" ref="C109:Q109" si="3">STDEV(C9:C104)</f>
        <v>6.6237233791507917</v>
      </c>
      <c r="D109" s="67">
        <f t="shared" si="3"/>
        <v>4.9835703707633927</v>
      </c>
      <c r="E109" s="67">
        <f t="shared" si="3"/>
        <v>0.56249466859072639</v>
      </c>
      <c r="F109" s="67">
        <f t="shared" si="3"/>
        <v>5.9796978741962183</v>
      </c>
      <c r="G109" s="67">
        <f t="shared" si="3"/>
        <v>23.314288864624572</v>
      </c>
      <c r="H109" s="67">
        <f t="shared" si="3"/>
        <v>1.5686344491587987</v>
      </c>
      <c r="I109" s="67">
        <f t="shared" si="3"/>
        <v>0.30195241869852613</v>
      </c>
      <c r="J109" s="67">
        <f t="shared" si="3"/>
        <v>0.23940860524040875</v>
      </c>
      <c r="K109" s="67">
        <f t="shared" si="3"/>
        <v>103.2748337406878</v>
      </c>
      <c r="L109" s="67">
        <f t="shared" si="3"/>
        <v>3.4643863646787452</v>
      </c>
      <c r="M109" s="67">
        <f t="shared" si="3"/>
        <v>12.921611408934533</v>
      </c>
      <c r="N109" s="67">
        <f t="shared" si="3"/>
        <v>203.62863712786722</v>
      </c>
      <c r="O109" s="67">
        <f t="shared" si="3"/>
        <v>0</v>
      </c>
      <c r="P109" s="67">
        <f t="shared" si="3"/>
        <v>0.18219780917087536</v>
      </c>
      <c r="Q109" s="67">
        <f t="shared" si="3"/>
        <v>4.9021007848944913E-2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2262</v>
      </c>
      <c r="B9" s="64">
        <v>2.71</v>
      </c>
      <c r="C9" s="64">
        <v>17.34</v>
      </c>
      <c r="D9" s="64">
        <v>11.23</v>
      </c>
      <c r="E9" s="64">
        <v>4.9400000000000004</v>
      </c>
      <c r="F9" s="64">
        <v>8.8699999999999992</v>
      </c>
      <c r="G9" s="64">
        <v>52.34</v>
      </c>
      <c r="H9" s="64">
        <v>4.2</v>
      </c>
      <c r="I9" s="64">
        <v>1.89</v>
      </c>
      <c r="J9" s="64">
        <v>0.1</v>
      </c>
      <c r="K9" s="64">
        <v>0.28000000000000003</v>
      </c>
      <c r="L9" s="64">
        <v>24.92</v>
      </c>
      <c r="M9" s="64">
        <v>98.08</v>
      </c>
      <c r="N9" s="64">
        <v>37.5</v>
      </c>
      <c r="O9" s="64">
        <v>0</v>
      </c>
      <c r="P9" s="64">
        <v>0.61</v>
      </c>
      <c r="Q9" s="64">
        <v>9.3000000000000007</v>
      </c>
      <c r="R9" s="198"/>
      <c r="S9" s="198"/>
      <c r="T9" s="198"/>
      <c r="U9" s="198"/>
    </row>
    <row r="10" spans="1:21" s="12" customFormat="1" x14ac:dyDescent="0.25">
      <c r="A10" s="214" t="s">
        <v>2263</v>
      </c>
      <c r="B10" s="64">
        <v>2.71</v>
      </c>
      <c r="C10" s="64">
        <v>18.57</v>
      </c>
      <c r="D10" s="64">
        <v>11.88</v>
      </c>
      <c r="E10" s="64">
        <v>4.95</v>
      </c>
      <c r="F10" s="64">
        <v>7.64</v>
      </c>
      <c r="G10" s="64">
        <v>52.27</v>
      </c>
      <c r="H10" s="64">
        <v>4.2</v>
      </c>
      <c r="I10" s="64">
        <v>1.87</v>
      </c>
      <c r="J10" s="64">
        <v>0.03</v>
      </c>
      <c r="K10" s="64">
        <v>131.96</v>
      </c>
      <c r="L10" s="64">
        <v>24.77</v>
      </c>
      <c r="M10" s="64">
        <v>98.1</v>
      </c>
      <c r="N10" s="64">
        <v>37.5</v>
      </c>
      <c r="O10" s="64">
        <v>0</v>
      </c>
      <c r="P10" s="64">
        <v>0.62</v>
      </c>
      <c r="Q10" s="64">
        <v>9.31</v>
      </c>
      <c r="R10" s="198"/>
      <c r="S10" s="198"/>
      <c r="T10" s="198"/>
      <c r="U10" s="198"/>
    </row>
    <row r="11" spans="1:21" s="12" customFormat="1" x14ac:dyDescent="0.25">
      <c r="A11" s="214" t="s">
        <v>2264</v>
      </c>
      <c r="B11" s="64">
        <v>3.05</v>
      </c>
      <c r="C11" s="64">
        <v>19.47</v>
      </c>
      <c r="D11" s="64">
        <v>12.62</v>
      </c>
      <c r="E11" s="64">
        <v>4.5999999999999996</v>
      </c>
      <c r="F11" s="64">
        <v>8.92</v>
      </c>
      <c r="G11" s="64">
        <v>52.27</v>
      </c>
      <c r="H11" s="64">
        <v>4.2</v>
      </c>
      <c r="I11" s="64">
        <v>1.87</v>
      </c>
      <c r="J11" s="64">
        <v>0.13</v>
      </c>
      <c r="K11" s="64">
        <v>323.74</v>
      </c>
      <c r="L11" s="64">
        <v>24.76</v>
      </c>
      <c r="M11" s="64">
        <v>98.1</v>
      </c>
      <c r="N11" s="64">
        <v>37.4</v>
      </c>
      <c r="O11" s="64">
        <v>0</v>
      </c>
      <c r="P11" s="64">
        <v>0.71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14" t="s">
        <v>2265</v>
      </c>
      <c r="B12" s="64">
        <v>3.14</v>
      </c>
      <c r="C12" s="64">
        <v>20.92</v>
      </c>
      <c r="D12" s="64">
        <v>13.45</v>
      </c>
      <c r="E12" s="64">
        <v>4.74</v>
      </c>
      <c r="F12" s="64">
        <v>8.39</v>
      </c>
      <c r="G12" s="64">
        <v>52.27</v>
      </c>
      <c r="H12" s="64">
        <v>4.2</v>
      </c>
      <c r="I12" s="64">
        <v>1.91</v>
      </c>
      <c r="J12" s="64">
        <v>7.0000000000000007E-2</v>
      </c>
      <c r="K12" s="64">
        <v>309.98</v>
      </c>
      <c r="L12" s="64">
        <v>24.78</v>
      </c>
      <c r="M12" s="64">
        <v>98.13</v>
      </c>
      <c r="N12" s="64">
        <v>37.6</v>
      </c>
      <c r="O12" s="64">
        <v>0</v>
      </c>
      <c r="P12" s="64">
        <v>0.81</v>
      </c>
      <c r="Q12" s="64">
        <v>9.34</v>
      </c>
      <c r="R12" s="198"/>
      <c r="S12" s="198"/>
      <c r="T12" s="198"/>
      <c r="U12" s="198"/>
    </row>
    <row r="13" spans="1:21" s="12" customFormat="1" x14ac:dyDescent="0.25">
      <c r="A13" s="214" t="s">
        <v>2266</v>
      </c>
      <c r="B13" s="64">
        <v>2.6</v>
      </c>
      <c r="C13" s="64">
        <v>20.69</v>
      </c>
      <c r="D13" s="64">
        <v>12.9</v>
      </c>
      <c r="E13" s="64">
        <v>4.71</v>
      </c>
      <c r="F13" s="64">
        <v>7.28</v>
      </c>
      <c r="G13" s="64">
        <v>54.84</v>
      </c>
      <c r="H13" s="64">
        <v>2.94</v>
      </c>
      <c r="I13" s="64">
        <v>1.97</v>
      </c>
      <c r="J13" s="64">
        <v>0.33</v>
      </c>
      <c r="K13" s="64">
        <v>332.99</v>
      </c>
      <c r="L13" s="64">
        <v>24.7</v>
      </c>
      <c r="M13" s="64">
        <v>98.14</v>
      </c>
      <c r="N13" s="64">
        <v>37.299999999999997</v>
      </c>
      <c r="O13" s="64">
        <v>0</v>
      </c>
      <c r="P13" s="64">
        <v>0.75</v>
      </c>
      <c r="Q13" s="64">
        <v>9.33</v>
      </c>
      <c r="R13" s="198"/>
      <c r="S13" s="198"/>
      <c r="T13" s="198"/>
      <c r="U13" s="198"/>
    </row>
    <row r="14" spans="1:21" s="12" customFormat="1" x14ac:dyDescent="0.25">
      <c r="A14" s="214" t="s">
        <v>2267</v>
      </c>
      <c r="B14" s="64">
        <v>2.21</v>
      </c>
      <c r="C14" s="64">
        <v>17.260000000000002</v>
      </c>
      <c r="D14" s="64">
        <v>10.79</v>
      </c>
      <c r="E14" s="64">
        <v>4.76</v>
      </c>
      <c r="F14" s="64">
        <v>8.69</v>
      </c>
      <c r="G14" s="64">
        <v>55.02</v>
      </c>
      <c r="H14" s="64">
        <v>2.94</v>
      </c>
      <c r="I14" s="64">
        <v>2.06</v>
      </c>
      <c r="J14" s="64">
        <v>0.69</v>
      </c>
      <c r="K14" s="64">
        <v>338.45</v>
      </c>
      <c r="L14" s="64">
        <v>24.73</v>
      </c>
      <c r="M14" s="64">
        <v>98.16</v>
      </c>
      <c r="N14" s="64">
        <v>37.299999999999997</v>
      </c>
      <c r="O14" s="64">
        <v>0</v>
      </c>
      <c r="P14" s="64">
        <v>0.61</v>
      </c>
      <c r="Q14" s="64">
        <v>9.35</v>
      </c>
      <c r="R14" s="198"/>
      <c r="S14" s="198"/>
      <c r="T14" s="198"/>
      <c r="U14" s="198"/>
    </row>
    <row r="15" spans="1:21" s="12" customFormat="1" x14ac:dyDescent="0.25">
      <c r="A15" s="214" t="s">
        <v>2268</v>
      </c>
      <c r="B15" s="64">
        <v>2.11</v>
      </c>
      <c r="C15" s="64">
        <v>15.18</v>
      </c>
      <c r="D15" s="64">
        <v>9.6300000000000008</v>
      </c>
      <c r="E15" s="64">
        <v>5.0199999999999996</v>
      </c>
      <c r="F15" s="64">
        <v>8.08</v>
      </c>
      <c r="G15" s="64">
        <v>55.02</v>
      </c>
      <c r="H15" s="64">
        <v>2.94</v>
      </c>
      <c r="I15" s="64">
        <v>2.14</v>
      </c>
      <c r="J15" s="64">
        <v>0.57999999999999996</v>
      </c>
      <c r="K15" s="64">
        <v>334.23</v>
      </c>
      <c r="L15" s="64">
        <v>24.71</v>
      </c>
      <c r="M15" s="64">
        <v>98.17</v>
      </c>
      <c r="N15" s="64">
        <v>37.4</v>
      </c>
      <c r="O15" s="64">
        <v>0</v>
      </c>
      <c r="P15" s="64">
        <v>0.56000000000000005</v>
      </c>
      <c r="Q15" s="64">
        <v>9.35</v>
      </c>
      <c r="R15" s="198"/>
      <c r="S15" s="198"/>
      <c r="T15" s="198"/>
      <c r="U15" s="198"/>
    </row>
    <row r="16" spans="1:21" s="12" customFormat="1" x14ac:dyDescent="0.25">
      <c r="A16" s="214" t="s">
        <v>2269</v>
      </c>
      <c r="B16" s="64">
        <v>1.76</v>
      </c>
      <c r="C16" s="64">
        <v>14.48</v>
      </c>
      <c r="D16" s="64">
        <v>8.98</v>
      </c>
      <c r="E16" s="64">
        <v>5.09</v>
      </c>
      <c r="F16" s="64">
        <v>6.82</v>
      </c>
      <c r="G16" s="64">
        <v>55.02</v>
      </c>
      <c r="H16" s="64">
        <v>2.94</v>
      </c>
      <c r="I16" s="64">
        <v>2.21</v>
      </c>
      <c r="J16" s="64">
        <v>0.36</v>
      </c>
      <c r="K16" s="64">
        <v>334.21</v>
      </c>
      <c r="L16" s="64">
        <v>24.71</v>
      </c>
      <c r="M16" s="64">
        <v>98.17</v>
      </c>
      <c r="N16" s="64">
        <v>37.5</v>
      </c>
      <c r="O16" s="64">
        <v>0</v>
      </c>
      <c r="P16" s="64">
        <v>0.53</v>
      </c>
      <c r="Q16" s="64">
        <v>9.35</v>
      </c>
      <c r="R16" s="198"/>
      <c r="S16" s="198"/>
      <c r="T16" s="198"/>
      <c r="U16" s="198"/>
    </row>
    <row r="17" spans="1:21" s="12" customFormat="1" x14ac:dyDescent="0.25">
      <c r="A17" s="214" t="s">
        <v>2270</v>
      </c>
      <c r="B17" s="64">
        <v>1.61</v>
      </c>
      <c r="C17" s="64">
        <v>14.58</v>
      </c>
      <c r="D17" s="64">
        <v>8.91</v>
      </c>
      <c r="E17" s="64">
        <v>4.91</v>
      </c>
      <c r="F17" s="64">
        <v>6.78</v>
      </c>
      <c r="G17" s="64">
        <v>62.44</v>
      </c>
      <c r="H17" s="64">
        <v>2.06</v>
      </c>
      <c r="I17" s="64">
        <v>2.27</v>
      </c>
      <c r="J17" s="64">
        <v>0.41</v>
      </c>
      <c r="K17" s="64">
        <v>329.72</v>
      </c>
      <c r="L17" s="64">
        <v>24.58</v>
      </c>
      <c r="M17" s="64">
        <v>98.15</v>
      </c>
      <c r="N17" s="64">
        <v>37.5</v>
      </c>
      <c r="O17" s="64">
        <v>0</v>
      </c>
      <c r="P17" s="64">
        <v>0.54</v>
      </c>
      <c r="Q17" s="64">
        <v>9.34</v>
      </c>
      <c r="R17" s="198"/>
      <c r="S17" s="198"/>
      <c r="T17" s="198"/>
      <c r="U17" s="198"/>
    </row>
    <row r="18" spans="1:21" s="12" customFormat="1" x14ac:dyDescent="0.25">
      <c r="A18" s="214" t="s">
        <v>2271</v>
      </c>
      <c r="B18" s="64">
        <v>2.16</v>
      </c>
      <c r="C18" s="64">
        <v>12.51</v>
      </c>
      <c r="D18" s="64">
        <v>8.27</v>
      </c>
      <c r="E18" s="64">
        <v>4.75</v>
      </c>
      <c r="F18" s="64">
        <v>6.91</v>
      </c>
      <c r="G18" s="64">
        <v>62.97</v>
      </c>
      <c r="H18" s="64">
        <v>2.06</v>
      </c>
      <c r="I18" s="64">
        <v>2.3199999999999998</v>
      </c>
      <c r="J18" s="64">
        <v>0.22</v>
      </c>
      <c r="K18" s="64">
        <v>309.49</v>
      </c>
      <c r="L18" s="64">
        <v>24.53</v>
      </c>
      <c r="M18" s="64">
        <v>98.11</v>
      </c>
      <c r="N18" s="64">
        <v>37.5</v>
      </c>
      <c r="O18" s="64">
        <v>0</v>
      </c>
      <c r="P18" s="64">
        <v>0.57999999999999996</v>
      </c>
      <c r="Q18" s="64">
        <v>9.33</v>
      </c>
      <c r="R18" s="198"/>
      <c r="S18" s="198"/>
      <c r="T18" s="198"/>
      <c r="U18" s="198"/>
    </row>
    <row r="19" spans="1:21" s="12" customFormat="1" x14ac:dyDescent="0.25">
      <c r="A19" s="214" t="s">
        <v>2272</v>
      </c>
      <c r="B19" s="64">
        <v>2.82</v>
      </c>
      <c r="C19" s="64">
        <v>11</v>
      </c>
      <c r="D19" s="64">
        <v>8.01</v>
      </c>
      <c r="E19" s="64">
        <v>5</v>
      </c>
      <c r="F19" s="64">
        <v>9.33</v>
      </c>
      <c r="G19" s="64">
        <v>62.97</v>
      </c>
      <c r="H19" s="64">
        <v>2.06</v>
      </c>
      <c r="I19" s="64">
        <v>2.35</v>
      </c>
      <c r="J19" s="64">
        <v>0.55000000000000004</v>
      </c>
      <c r="K19" s="64">
        <v>331.55</v>
      </c>
      <c r="L19" s="64">
        <v>24.55</v>
      </c>
      <c r="M19" s="64">
        <v>98.12</v>
      </c>
      <c r="N19" s="64">
        <v>37.5</v>
      </c>
      <c r="O19" s="64">
        <v>0</v>
      </c>
      <c r="P19" s="64">
        <v>0.55000000000000004</v>
      </c>
      <c r="Q19" s="64">
        <v>9.31</v>
      </c>
      <c r="R19" s="198"/>
      <c r="S19" s="198"/>
      <c r="T19" s="198"/>
      <c r="U19" s="198"/>
    </row>
    <row r="20" spans="1:21" s="12" customFormat="1" x14ac:dyDescent="0.25">
      <c r="A20" s="214" t="s">
        <v>2273</v>
      </c>
      <c r="B20" s="64">
        <v>2.0099999999999998</v>
      </c>
      <c r="C20" s="64">
        <v>11.74</v>
      </c>
      <c r="D20" s="64">
        <v>7.75</v>
      </c>
      <c r="E20" s="64">
        <v>4.8600000000000003</v>
      </c>
      <c r="F20" s="64">
        <v>9.75</v>
      </c>
      <c r="G20" s="64">
        <v>62.97</v>
      </c>
      <c r="H20" s="64">
        <v>2.06</v>
      </c>
      <c r="I20" s="64">
        <v>2.34</v>
      </c>
      <c r="J20" s="64">
        <v>0.87</v>
      </c>
      <c r="K20" s="64">
        <v>336.67</v>
      </c>
      <c r="L20" s="64">
        <v>24.66</v>
      </c>
      <c r="M20" s="64">
        <v>98.13</v>
      </c>
      <c r="N20" s="64">
        <v>37.5</v>
      </c>
      <c r="O20" s="64">
        <v>0</v>
      </c>
      <c r="P20" s="64">
        <v>0.43</v>
      </c>
      <c r="Q20" s="64">
        <v>9.3000000000000007</v>
      </c>
      <c r="R20" s="198"/>
      <c r="S20" s="198"/>
      <c r="T20" s="198"/>
      <c r="U20" s="198"/>
    </row>
    <row r="21" spans="1:21" s="12" customFormat="1" x14ac:dyDescent="0.25">
      <c r="A21" s="214" t="s">
        <v>2274</v>
      </c>
      <c r="B21" s="64">
        <v>2.2799999999999998</v>
      </c>
      <c r="C21" s="64">
        <v>11.12</v>
      </c>
      <c r="D21" s="64">
        <v>7.64</v>
      </c>
      <c r="E21" s="64">
        <v>4.72</v>
      </c>
      <c r="F21" s="64">
        <v>6.84</v>
      </c>
      <c r="G21" s="64">
        <v>57.77</v>
      </c>
      <c r="H21" s="64">
        <v>5.03</v>
      </c>
      <c r="I21" s="64">
        <v>2.2999999999999998</v>
      </c>
      <c r="J21" s="64">
        <v>0.88</v>
      </c>
      <c r="K21" s="64">
        <v>335.19</v>
      </c>
      <c r="L21" s="64">
        <v>24.62</v>
      </c>
      <c r="M21" s="64">
        <v>98.11</v>
      </c>
      <c r="N21" s="64">
        <v>37.799999999999997</v>
      </c>
      <c r="O21" s="64">
        <v>0</v>
      </c>
      <c r="P21" s="64">
        <v>0.51</v>
      </c>
      <c r="Q21" s="64">
        <v>9.3000000000000007</v>
      </c>
      <c r="R21" s="198"/>
      <c r="S21" s="198"/>
      <c r="T21" s="198"/>
      <c r="U21" s="198"/>
    </row>
    <row r="22" spans="1:21" s="12" customFormat="1" x14ac:dyDescent="0.25">
      <c r="A22" s="214" t="s">
        <v>2275</v>
      </c>
      <c r="B22" s="64">
        <v>2.86</v>
      </c>
      <c r="C22" s="64">
        <v>10.48</v>
      </c>
      <c r="D22" s="64">
        <v>7.77</v>
      </c>
      <c r="E22" s="64">
        <v>5.0599999999999996</v>
      </c>
      <c r="F22" s="64">
        <v>8.59</v>
      </c>
      <c r="G22" s="64">
        <v>57.39</v>
      </c>
      <c r="H22" s="64">
        <v>5.03</v>
      </c>
      <c r="I22" s="64">
        <v>2.27</v>
      </c>
      <c r="J22" s="64">
        <v>0.68</v>
      </c>
      <c r="K22" s="64">
        <v>335.28</v>
      </c>
      <c r="L22" s="64">
        <v>24.48</v>
      </c>
      <c r="M22" s="64">
        <v>98.11</v>
      </c>
      <c r="N22" s="64">
        <v>37.700000000000003</v>
      </c>
      <c r="O22" s="64">
        <v>0</v>
      </c>
      <c r="P22" s="64">
        <v>0.5</v>
      </c>
      <c r="Q22" s="64">
        <v>9.3000000000000007</v>
      </c>
      <c r="R22" s="198"/>
      <c r="S22" s="198"/>
      <c r="T22" s="198"/>
      <c r="U22" s="198"/>
    </row>
    <row r="23" spans="1:21" s="12" customFormat="1" x14ac:dyDescent="0.25">
      <c r="A23" s="214" t="s">
        <v>2276</v>
      </c>
      <c r="B23" s="64">
        <v>2.42</v>
      </c>
      <c r="C23" s="64">
        <v>10.38</v>
      </c>
      <c r="D23" s="64">
        <v>7.37</v>
      </c>
      <c r="E23" s="64">
        <v>4.83</v>
      </c>
      <c r="F23" s="64">
        <v>12.49</v>
      </c>
      <c r="G23" s="64">
        <v>57.39</v>
      </c>
      <c r="H23" s="64">
        <v>5.03</v>
      </c>
      <c r="I23" s="64">
        <v>2.2200000000000002</v>
      </c>
      <c r="J23" s="64">
        <v>0.38</v>
      </c>
      <c r="K23" s="64">
        <v>328.07</v>
      </c>
      <c r="L23" s="64">
        <v>24.46</v>
      </c>
      <c r="M23" s="64">
        <v>98.13</v>
      </c>
      <c r="N23" s="64">
        <v>37.5</v>
      </c>
      <c r="O23" s="64">
        <v>0</v>
      </c>
      <c r="P23" s="64">
        <v>0.41</v>
      </c>
      <c r="Q23" s="64">
        <v>9.2899999999999991</v>
      </c>
      <c r="R23" s="198"/>
      <c r="S23" s="198"/>
      <c r="T23" s="198"/>
      <c r="U23" s="198"/>
    </row>
    <row r="24" spans="1:21" s="12" customFormat="1" x14ac:dyDescent="0.25">
      <c r="A24" s="214" t="s">
        <v>2277</v>
      </c>
      <c r="B24" s="64">
        <v>2.56</v>
      </c>
      <c r="C24" s="64">
        <v>11.1</v>
      </c>
      <c r="D24" s="64">
        <v>7.85</v>
      </c>
      <c r="E24" s="64">
        <v>4.68</v>
      </c>
      <c r="F24" s="64">
        <v>10.29</v>
      </c>
      <c r="G24" s="64">
        <v>57.39</v>
      </c>
      <c r="H24" s="64">
        <v>5.03</v>
      </c>
      <c r="I24" s="64">
        <v>2.1800000000000002</v>
      </c>
      <c r="J24" s="64">
        <v>0.2</v>
      </c>
      <c r="K24" s="64">
        <v>344.25</v>
      </c>
      <c r="L24" s="64">
        <v>24.42</v>
      </c>
      <c r="M24" s="64">
        <v>98.13</v>
      </c>
      <c r="N24" s="64">
        <v>37.6</v>
      </c>
      <c r="O24" s="64">
        <v>0</v>
      </c>
      <c r="P24" s="64">
        <v>0.38</v>
      </c>
      <c r="Q24" s="64">
        <v>9.2799999999999994</v>
      </c>
      <c r="R24" s="198"/>
      <c r="S24" s="198"/>
      <c r="T24" s="198"/>
      <c r="U24" s="198"/>
    </row>
    <row r="25" spans="1:21" s="12" customFormat="1" x14ac:dyDescent="0.25">
      <c r="A25" s="214" t="s">
        <v>2278</v>
      </c>
      <c r="B25" s="64">
        <v>2.4</v>
      </c>
      <c r="C25" s="64">
        <v>12.96</v>
      </c>
      <c r="D25" s="64">
        <v>8.6999999999999993</v>
      </c>
      <c r="E25" s="64">
        <v>4.72</v>
      </c>
      <c r="F25" s="64">
        <v>9.5500000000000007</v>
      </c>
      <c r="G25" s="64">
        <v>51.84</v>
      </c>
      <c r="H25" s="64">
        <v>3.9</v>
      </c>
      <c r="I25" s="64">
        <v>2.13</v>
      </c>
      <c r="J25" s="64">
        <v>0.32</v>
      </c>
      <c r="K25" s="64">
        <v>124.68</v>
      </c>
      <c r="L25" s="64">
        <v>24.63</v>
      </c>
      <c r="M25" s="64">
        <v>98.08</v>
      </c>
      <c r="N25" s="64">
        <v>37.6</v>
      </c>
      <c r="O25" s="64">
        <v>0</v>
      </c>
      <c r="P25" s="64">
        <v>0.34</v>
      </c>
      <c r="Q25" s="64">
        <v>9.2799999999999994</v>
      </c>
      <c r="R25" s="198"/>
      <c r="S25" s="198"/>
      <c r="T25" s="198"/>
      <c r="U25" s="198"/>
    </row>
    <row r="26" spans="1:21" s="12" customFormat="1" x14ac:dyDescent="0.25">
      <c r="A26" s="214" t="s">
        <v>2279</v>
      </c>
      <c r="B26" s="64">
        <v>1.85</v>
      </c>
      <c r="C26" s="64">
        <v>12.98</v>
      </c>
      <c r="D26" s="64">
        <v>8.27</v>
      </c>
      <c r="E26" s="64">
        <v>4.78</v>
      </c>
      <c r="F26" s="64">
        <v>10.4</v>
      </c>
      <c r="G26" s="64">
        <v>51.44</v>
      </c>
      <c r="H26" s="64">
        <v>3.9</v>
      </c>
      <c r="I26" s="64">
        <v>2.1</v>
      </c>
      <c r="J26" s="64">
        <v>0.56999999999999995</v>
      </c>
      <c r="K26" s="64">
        <v>132.76</v>
      </c>
      <c r="L26" s="64">
        <v>24.56</v>
      </c>
      <c r="M26" s="64">
        <v>98.08</v>
      </c>
      <c r="N26" s="64">
        <v>38</v>
      </c>
      <c r="O26" s="64">
        <v>0</v>
      </c>
      <c r="P26" s="64">
        <v>0.47</v>
      </c>
      <c r="Q26" s="64">
        <v>9.27</v>
      </c>
      <c r="R26" s="198"/>
      <c r="S26" s="198"/>
      <c r="T26" s="198"/>
      <c r="U26" s="198"/>
    </row>
    <row r="27" spans="1:21" s="12" customFormat="1" x14ac:dyDescent="0.25">
      <c r="A27" s="214" t="s">
        <v>2280</v>
      </c>
      <c r="B27" s="64">
        <v>1.92</v>
      </c>
      <c r="C27" s="64">
        <v>11.43</v>
      </c>
      <c r="D27" s="64">
        <v>7.51</v>
      </c>
      <c r="E27" s="64">
        <v>4.5</v>
      </c>
      <c r="F27" s="64">
        <v>9.49</v>
      </c>
      <c r="G27" s="64">
        <v>51.44</v>
      </c>
      <c r="H27" s="64">
        <v>3.9</v>
      </c>
      <c r="I27" s="64">
        <v>2.0699999999999998</v>
      </c>
      <c r="J27" s="64">
        <v>1.29</v>
      </c>
      <c r="K27" s="64">
        <v>118.23</v>
      </c>
      <c r="L27" s="64">
        <v>24.15</v>
      </c>
      <c r="M27" s="64">
        <v>98.14</v>
      </c>
      <c r="N27" s="64">
        <v>39.200000000000003</v>
      </c>
      <c r="O27" s="64">
        <v>0</v>
      </c>
      <c r="P27" s="64">
        <v>0.43</v>
      </c>
      <c r="Q27" s="64">
        <v>9.27</v>
      </c>
      <c r="R27" s="198"/>
      <c r="S27" s="198"/>
      <c r="T27" s="198"/>
      <c r="U27" s="198"/>
    </row>
    <row r="28" spans="1:21" s="12" customFormat="1" x14ac:dyDescent="0.25">
      <c r="A28" s="214" t="s">
        <v>2281</v>
      </c>
      <c r="B28" s="64">
        <v>2.31</v>
      </c>
      <c r="C28" s="64">
        <v>10.53</v>
      </c>
      <c r="D28" s="64">
        <v>7.36</v>
      </c>
      <c r="E28" s="64">
        <v>5.0599999999999996</v>
      </c>
      <c r="F28" s="64">
        <v>13.21</v>
      </c>
      <c r="G28" s="64">
        <v>51.44</v>
      </c>
      <c r="H28" s="64">
        <v>3.9</v>
      </c>
      <c r="I28" s="64">
        <v>2.04</v>
      </c>
      <c r="J28" s="64">
        <v>1.34</v>
      </c>
      <c r="K28" s="64">
        <v>114.79</v>
      </c>
      <c r="L28" s="64">
        <v>22.62</v>
      </c>
      <c r="M28" s="64">
        <v>98.18</v>
      </c>
      <c r="N28" s="64">
        <v>41.2</v>
      </c>
      <c r="O28" s="64">
        <v>0</v>
      </c>
      <c r="P28" s="64">
        <v>0.41</v>
      </c>
      <c r="Q28" s="64">
        <v>9.26</v>
      </c>
      <c r="R28" s="198"/>
      <c r="S28" s="198"/>
      <c r="T28" s="198"/>
      <c r="U28" s="198"/>
    </row>
    <row r="29" spans="1:21" s="12" customFormat="1" x14ac:dyDescent="0.25">
      <c r="A29" s="214" t="s">
        <v>2282</v>
      </c>
      <c r="B29" s="64">
        <v>1.99</v>
      </c>
      <c r="C29" s="64">
        <v>10.72</v>
      </c>
      <c r="D29" s="64">
        <v>7.2</v>
      </c>
      <c r="E29" s="64">
        <v>4.83</v>
      </c>
      <c r="F29" s="64">
        <v>13.53</v>
      </c>
      <c r="G29" s="64">
        <v>49.4</v>
      </c>
      <c r="H29" s="64">
        <v>2.73</v>
      </c>
      <c r="I29" s="64">
        <v>1.98</v>
      </c>
      <c r="J29" s="64">
        <v>0.18</v>
      </c>
      <c r="K29" s="64">
        <v>93.18</v>
      </c>
      <c r="L29" s="64">
        <v>22.01</v>
      </c>
      <c r="M29" s="64">
        <v>98.23</v>
      </c>
      <c r="N29" s="64">
        <v>37.9</v>
      </c>
      <c r="O29" s="64">
        <v>0</v>
      </c>
      <c r="P29" s="64">
        <v>0.37</v>
      </c>
      <c r="Q29" s="64">
        <v>9.25</v>
      </c>
      <c r="R29" s="198"/>
      <c r="S29" s="198"/>
      <c r="T29" s="198"/>
      <c r="U29" s="198"/>
    </row>
    <row r="30" spans="1:21" s="12" customFormat="1" x14ac:dyDescent="0.25">
      <c r="A30" s="214" t="s">
        <v>2283</v>
      </c>
      <c r="B30" s="64">
        <v>1.89</v>
      </c>
      <c r="C30" s="64">
        <v>11.98</v>
      </c>
      <c r="D30" s="64">
        <v>7.77</v>
      </c>
      <c r="E30" s="64">
        <v>4.62</v>
      </c>
      <c r="F30" s="64">
        <v>14.16</v>
      </c>
      <c r="G30" s="64">
        <v>49.25</v>
      </c>
      <c r="H30" s="64">
        <v>2.73</v>
      </c>
      <c r="I30" s="64">
        <v>1.93</v>
      </c>
      <c r="J30" s="64">
        <v>0.16</v>
      </c>
      <c r="K30" s="64">
        <v>112.98</v>
      </c>
      <c r="L30" s="64">
        <v>22.04</v>
      </c>
      <c r="M30" s="64">
        <v>98.25</v>
      </c>
      <c r="N30" s="64">
        <v>37.700000000000003</v>
      </c>
      <c r="O30" s="64">
        <v>0</v>
      </c>
      <c r="P30" s="64">
        <v>0.36</v>
      </c>
      <c r="Q30" s="64">
        <v>9.25</v>
      </c>
      <c r="R30" s="198"/>
      <c r="S30" s="198"/>
      <c r="T30" s="198"/>
      <c r="U30" s="198"/>
    </row>
    <row r="31" spans="1:21" s="12" customFormat="1" x14ac:dyDescent="0.25">
      <c r="A31" s="214" t="s">
        <v>2284</v>
      </c>
      <c r="B31" s="64">
        <v>2.0099999999999998</v>
      </c>
      <c r="C31" s="64">
        <v>13.75</v>
      </c>
      <c r="D31" s="64">
        <v>8.8000000000000007</v>
      </c>
      <c r="E31" s="64">
        <v>4.58</v>
      </c>
      <c r="F31" s="64">
        <v>10.08</v>
      </c>
      <c r="G31" s="64">
        <v>49.25</v>
      </c>
      <c r="H31" s="64">
        <v>2.73</v>
      </c>
      <c r="I31" s="64">
        <v>1.89</v>
      </c>
      <c r="J31" s="64">
        <v>0.11</v>
      </c>
      <c r="K31" s="64">
        <v>288.82</v>
      </c>
      <c r="L31" s="64">
        <v>22.12</v>
      </c>
      <c r="M31" s="64">
        <v>98.25</v>
      </c>
      <c r="N31" s="64">
        <v>37.9</v>
      </c>
      <c r="O31" s="64">
        <v>0</v>
      </c>
      <c r="P31" s="64">
        <v>0.38</v>
      </c>
      <c r="Q31" s="64">
        <v>9.25</v>
      </c>
      <c r="R31" s="198"/>
      <c r="S31" s="198"/>
      <c r="T31" s="198"/>
      <c r="U31" s="198"/>
    </row>
    <row r="32" spans="1:21" s="12" customFormat="1" x14ac:dyDescent="0.25">
      <c r="A32" s="214" t="s">
        <v>2285</v>
      </c>
      <c r="B32" s="64">
        <v>1.86</v>
      </c>
      <c r="C32" s="64">
        <v>13.8</v>
      </c>
      <c r="D32" s="64">
        <v>8.6999999999999993</v>
      </c>
      <c r="E32" s="64">
        <v>4.79</v>
      </c>
      <c r="F32" s="64">
        <v>8.32</v>
      </c>
      <c r="G32" s="64">
        <v>49.25</v>
      </c>
      <c r="H32" s="64">
        <v>2.73</v>
      </c>
      <c r="I32" s="64">
        <v>1.86</v>
      </c>
      <c r="J32" s="64">
        <v>0.08</v>
      </c>
      <c r="K32" s="64">
        <v>202.28</v>
      </c>
      <c r="L32" s="64">
        <v>22.11</v>
      </c>
      <c r="M32" s="64">
        <v>98.25</v>
      </c>
      <c r="N32" s="64">
        <v>44.1</v>
      </c>
      <c r="O32" s="64">
        <v>0</v>
      </c>
      <c r="P32" s="64">
        <v>0.37</v>
      </c>
      <c r="Q32" s="64">
        <v>9.26</v>
      </c>
      <c r="R32" s="198"/>
      <c r="S32" s="198"/>
      <c r="T32" s="198"/>
      <c r="U32" s="198"/>
    </row>
    <row r="33" spans="1:21" s="12" customFormat="1" x14ac:dyDescent="0.25">
      <c r="A33" s="214" t="s">
        <v>2286</v>
      </c>
      <c r="B33" s="64">
        <v>1.74</v>
      </c>
      <c r="C33" s="64">
        <v>13.6</v>
      </c>
      <c r="D33" s="64">
        <v>8.5</v>
      </c>
      <c r="E33" s="64">
        <v>4.7699999999999996</v>
      </c>
      <c r="F33" s="64">
        <v>9.18</v>
      </c>
      <c r="G33" s="64">
        <v>33.61</v>
      </c>
      <c r="H33" s="64">
        <v>1.91</v>
      </c>
      <c r="I33" s="64">
        <v>1.96</v>
      </c>
      <c r="J33" s="64">
        <v>0.06</v>
      </c>
      <c r="K33" s="64">
        <v>308.13</v>
      </c>
      <c r="L33" s="64">
        <v>22.12</v>
      </c>
      <c r="M33" s="64">
        <v>98.24</v>
      </c>
      <c r="N33" s="64">
        <v>60.8</v>
      </c>
      <c r="O33" s="64">
        <v>0</v>
      </c>
      <c r="P33" s="64">
        <v>0.37</v>
      </c>
      <c r="Q33" s="64">
        <v>9.26</v>
      </c>
      <c r="R33" s="198"/>
      <c r="S33" s="198"/>
      <c r="T33" s="198"/>
      <c r="U33" s="198"/>
    </row>
    <row r="34" spans="1:21" s="12" customFormat="1" x14ac:dyDescent="0.25">
      <c r="A34" s="214" t="s">
        <v>2287</v>
      </c>
      <c r="B34" s="64">
        <v>1.97</v>
      </c>
      <c r="C34" s="64">
        <v>10.9</v>
      </c>
      <c r="D34" s="64">
        <v>7.28</v>
      </c>
      <c r="E34" s="64">
        <v>4.99</v>
      </c>
      <c r="F34" s="64">
        <v>8.91</v>
      </c>
      <c r="G34" s="64">
        <v>32.49</v>
      </c>
      <c r="H34" s="64">
        <v>1.91</v>
      </c>
      <c r="I34" s="64">
        <v>2.02</v>
      </c>
      <c r="J34" s="64">
        <v>0.05</v>
      </c>
      <c r="K34" s="64">
        <v>273.83</v>
      </c>
      <c r="L34" s="64">
        <v>22.22</v>
      </c>
      <c r="M34" s="64">
        <v>98.21</v>
      </c>
      <c r="N34" s="64">
        <v>76.599999999999994</v>
      </c>
      <c r="O34" s="64">
        <v>0</v>
      </c>
      <c r="P34" s="64">
        <v>0.4</v>
      </c>
      <c r="Q34" s="64">
        <v>9.25</v>
      </c>
      <c r="R34" s="198"/>
      <c r="S34" s="198"/>
      <c r="T34" s="198"/>
      <c r="U34" s="198"/>
    </row>
    <row r="35" spans="1:21" s="12" customFormat="1" x14ac:dyDescent="0.25">
      <c r="A35" s="214" t="s">
        <v>2288</v>
      </c>
      <c r="B35" s="64">
        <v>2.29</v>
      </c>
      <c r="C35" s="64">
        <v>10.18</v>
      </c>
      <c r="D35" s="64">
        <v>7.15</v>
      </c>
      <c r="E35" s="64">
        <v>4.75</v>
      </c>
      <c r="F35" s="64">
        <v>4.6900000000000004</v>
      </c>
      <c r="G35" s="64">
        <v>32.49</v>
      </c>
      <c r="H35" s="64">
        <v>1.91</v>
      </c>
      <c r="I35" s="64">
        <v>2</v>
      </c>
      <c r="J35" s="64">
        <v>0.1</v>
      </c>
      <c r="K35" s="64">
        <v>131.49</v>
      </c>
      <c r="L35" s="64">
        <v>22.32</v>
      </c>
      <c r="M35" s="64">
        <v>98.23</v>
      </c>
      <c r="N35" s="64">
        <v>94.7</v>
      </c>
      <c r="O35" s="64">
        <v>0</v>
      </c>
      <c r="P35" s="64">
        <v>0.44</v>
      </c>
      <c r="Q35" s="64">
        <v>9.23</v>
      </c>
      <c r="R35" s="198"/>
      <c r="S35" s="198"/>
      <c r="T35" s="198"/>
      <c r="U35" s="198"/>
    </row>
    <row r="36" spans="1:21" s="12" customFormat="1" x14ac:dyDescent="0.25">
      <c r="A36" s="214" t="s">
        <v>2289</v>
      </c>
      <c r="B36" s="64">
        <v>2.68</v>
      </c>
      <c r="C36" s="64">
        <v>11.17</v>
      </c>
      <c r="D36" s="64">
        <v>7.99</v>
      </c>
      <c r="E36" s="64">
        <v>4.6100000000000003</v>
      </c>
      <c r="F36" s="64">
        <v>4.5199999999999996</v>
      </c>
      <c r="G36" s="64">
        <v>32.49</v>
      </c>
      <c r="H36" s="64">
        <v>1.91</v>
      </c>
      <c r="I36" s="64">
        <v>1.96</v>
      </c>
      <c r="J36" s="64">
        <v>0.14000000000000001</v>
      </c>
      <c r="K36" s="64">
        <v>328.04</v>
      </c>
      <c r="L36" s="64">
        <v>23.03</v>
      </c>
      <c r="M36" s="64">
        <v>98.23</v>
      </c>
      <c r="N36" s="64">
        <v>142.30000000000001</v>
      </c>
      <c r="O36" s="64">
        <v>0</v>
      </c>
      <c r="P36" s="64">
        <v>0.44</v>
      </c>
      <c r="Q36" s="64">
        <v>9.2200000000000006</v>
      </c>
      <c r="R36" s="198"/>
      <c r="S36" s="198"/>
      <c r="T36" s="198"/>
      <c r="U36" s="198"/>
    </row>
    <row r="37" spans="1:21" s="12" customFormat="1" x14ac:dyDescent="0.25">
      <c r="A37" s="214" t="s">
        <v>2290</v>
      </c>
      <c r="B37" s="64">
        <v>3.7</v>
      </c>
      <c r="C37" s="64">
        <v>12.5</v>
      </c>
      <c r="D37" s="64">
        <v>9.5</v>
      </c>
      <c r="E37" s="64">
        <v>4.7</v>
      </c>
      <c r="F37" s="64">
        <v>3.91</v>
      </c>
      <c r="G37" s="64">
        <v>21.88</v>
      </c>
      <c r="H37" s="64">
        <v>6.4</v>
      </c>
      <c r="I37" s="64">
        <v>1.82</v>
      </c>
      <c r="J37" s="64">
        <v>0.14000000000000001</v>
      </c>
      <c r="K37" s="64">
        <v>318.79000000000002</v>
      </c>
      <c r="L37" s="64">
        <v>24.14</v>
      </c>
      <c r="M37" s="64">
        <v>98.18</v>
      </c>
      <c r="N37" s="64">
        <v>206</v>
      </c>
      <c r="O37" s="64">
        <v>0</v>
      </c>
      <c r="P37" s="64">
        <v>0.44</v>
      </c>
      <c r="Q37" s="64">
        <v>9.23</v>
      </c>
      <c r="R37" s="198"/>
      <c r="S37" s="198"/>
      <c r="T37" s="198"/>
      <c r="U37" s="198"/>
    </row>
    <row r="38" spans="1:21" s="12" customFormat="1" x14ac:dyDescent="0.25">
      <c r="A38" s="214" t="s">
        <v>2291</v>
      </c>
      <c r="B38" s="64">
        <v>3.83</v>
      </c>
      <c r="C38" s="64">
        <v>12.29</v>
      </c>
      <c r="D38" s="64">
        <v>9.49</v>
      </c>
      <c r="E38" s="64">
        <v>4.83</v>
      </c>
      <c r="F38" s="64">
        <v>5.23</v>
      </c>
      <c r="G38" s="64">
        <v>21.12</v>
      </c>
      <c r="H38" s="64">
        <v>6.4</v>
      </c>
      <c r="I38" s="64">
        <v>1.84</v>
      </c>
      <c r="J38" s="64">
        <v>0.35</v>
      </c>
      <c r="K38" s="64">
        <v>341.56</v>
      </c>
      <c r="L38" s="64">
        <v>25.41</v>
      </c>
      <c r="M38" s="64">
        <v>98.11</v>
      </c>
      <c r="N38" s="64">
        <v>242</v>
      </c>
      <c r="O38" s="64">
        <v>0</v>
      </c>
      <c r="P38" s="64">
        <v>0.5</v>
      </c>
      <c r="Q38" s="64">
        <v>9.23</v>
      </c>
      <c r="R38" s="198"/>
      <c r="S38" s="198"/>
      <c r="T38" s="198"/>
      <c r="U38" s="198"/>
    </row>
    <row r="39" spans="1:21" s="12" customFormat="1" x14ac:dyDescent="0.25">
      <c r="A39" s="214" t="s">
        <v>2292</v>
      </c>
      <c r="B39" s="64">
        <v>4.21</v>
      </c>
      <c r="C39" s="64">
        <v>15.37</v>
      </c>
      <c r="D39" s="64">
        <v>11.41</v>
      </c>
      <c r="E39" s="64">
        <v>4.88</v>
      </c>
      <c r="F39" s="64">
        <v>11.82</v>
      </c>
      <c r="G39" s="64">
        <v>21.12</v>
      </c>
      <c r="H39" s="64">
        <v>6.4</v>
      </c>
      <c r="I39" s="64">
        <v>1.8</v>
      </c>
      <c r="J39" s="64">
        <v>0.25</v>
      </c>
      <c r="K39" s="64">
        <v>357.83</v>
      </c>
      <c r="L39" s="64">
        <v>26.29</v>
      </c>
      <c r="M39" s="64">
        <v>98.04</v>
      </c>
      <c r="N39" s="64">
        <v>279.5</v>
      </c>
      <c r="O39" s="64">
        <v>0</v>
      </c>
      <c r="P39" s="64">
        <v>0.48</v>
      </c>
      <c r="Q39" s="64">
        <v>9.25</v>
      </c>
      <c r="R39" s="198"/>
      <c r="S39" s="198"/>
      <c r="T39" s="198"/>
      <c r="U39" s="198"/>
    </row>
    <row r="40" spans="1:21" s="12" customFormat="1" x14ac:dyDescent="0.25">
      <c r="A40" s="214" t="s">
        <v>2293</v>
      </c>
      <c r="B40" s="64">
        <v>3.52</v>
      </c>
      <c r="C40" s="64">
        <v>16.100000000000001</v>
      </c>
      <c r="D40" s="64">
        <v>11.24</v>
      </c>
      <c r="E40" s="64">
        <v>4.83</v>
      </c>
      <c r="F40" s="64">
        <v>12.12</v>
      </c>
      <c r="G40" s="64">
        <v>21.12</v>
      </c>
      <c r="H40" s="64">
        <v>6.4</v>
      </c>
      <c r="I40" s="64">
        <v>1.73</v>
      </c>
      <c r="J40" s="64">
        <v>0.3</v>
      </c>
      <c r="K40" s="64">
        <v>130.11000000000001</v>
      </c>
      <c r="L40" s="64">
        <v>26.9</v>
      </c>
      <c r="M40" s="64">
        <v>97.75</v>
      </c>
      <c r="N40" s="64">
        <v>346.8</v>
      </c>
      <c r="O40" s="64">
        <v>0</v>
      </c>
      <c r="P40" s="64">
        <v>0.44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4" t="s">
        <v>2294</v>
      </c>
      <c r="B41" s="64">
        <v>2.46</v>
      </c>
      <c r="C41" s="64">
        <v>16.05</v>
      </c>
      <c r="D41" s="64">
        <v>10.36</v>
      </c>
      <c r="E41" s="64">
        <v>5.0599999999999996</v>
      </c>
      <c r="F41" s="64">
        <v>12.29</v>
      </c>
      <c r="G41" s="64">
        <v>20.38</v>
      </c>
      <c r="H41" s="64">
        <v>4.4800000000000004</v>
      </c>
      <c r="I41" s="64">
        <v>1.72</v>
      </c>
      <c r="J41" s="64">
        <v>0.27</v>
      </c>
      <c r="K41" s="64">
        <v>127.14</v>
      </c>
      <c r="L41" s="64">
        <v>27.41</v>
      </c>
      <c r="M41" s="64">
        <v>96.54</v>
      </c>
      <c r="N41" s="64">
        <v>375.8</v>
      </c>
      <c r="O41" s="64">
        <v>0</v>
      </c>
      <c r="P41" s="64">
        <v>0.46</v>
      </c>
      <c r="Q41" s="64">
        <v>9.27</v>
      </c>
      <c r="R41" s="198"/>
      <c r="S41" s="198"/>
      <c r="T41" s="198"/>
      <c r="U41" s="198"/>
    </row>
    <row r="42" spans="1:21" s="12" customFormat="1" x14ac:dyDescent="0.25">
      <c r="A42" s="214" t="s">
        <v>2295</v>
      </c>
      <c r="B42" s="64">
        <v>3.16</v>
      </c>
      <c r="C42" s="64">
        <v>17.61</v>
      </c>
      <c r="D42" s="64">
        <v>11.74</v>
      </c>
      <c r="E42" s="64">
        <v>5.18</v>
      </c>
      <c r="F42" s="64">
        <v>7.88</v>
      </c>
      <c r="G42" s="64">
        <v>20.329999999999998</v>
      </c>
      <c r="H42" s="64">
        <v>4.4800000000000004</v>
      </c>
      <c r="I42" s="64">
        <v>1.71</v>
      </c>
      <c r="J42" s="64">
        <v>0.17</v>
      </c>
      <c r="K42" s="64">
        <v>186.96</v>
      </c>
      <c r="L42" s="64">
        <v>28.12</v>
      </c>
      <c r="M42" s="64">
        <v>95.52</v>
      </c>
      <c r="N42" s="64">
        <v>401.9</v>
      </c>
      <c r="O42" s="64">
        <v>0</v>
      </c>
      <c r="P42" s="64">
        <v>0.48</v>
      </c>
      <c r="Q42" s="64">
        <v>9.27</v>
      </c>
      <c r="R42" s="198"/>
      <c r="S42" s="198"/>
      <c r="T42" s="198"/>
      <c r="U42" s="198"/>
    </row>
    <row r="43" spans="1:21" s="12" customFormat="1" x14ac:dyDescent="0.25">
      <c r="A43" s="214" t="s">
        <v>2296</v>
      </c>
      <c r="B43" s="64">
        <v>3.44</v>
      </c>
      <c r="C43" s="64">
        <v>14.04</v>
      </c>
      <c r="D43" s="64">
        <v>10.09</v>
      </c>
      <c r="E43" s="64">
        <v>5.2</v>
      </c>
      <c r="F43" s="64">
        <v>8.7899999999999991</v>
      </c>
      <c r="G43" s="64">
        <v>20.329999999999998</v>
      </c>
      <c r="H43" s="64">
        <v>4.4800000000000004</v>
      </c>
      <c r="I43" s="64">
        <v>1.69</v>
      </c>
      <c r="J43" s="64">
        <v>0.17</v>
      </c>
      <c r="K43" s="64">
        <v>307.54000000000002</v>
      </c>
      <c r="L43" s="64">
        <v>28.95</v>
      </c>
      <c r="M43" s="64">
        <v>93.08</v>
      </c>
      <c r="N43" s="64">
        <v>424.9</v>
      </c>
      <c r="O43" s="64">
        <v>0</v>
      </c>
      <c r="P43" s="64">
        <v>0.52</v>
      </c>
      <c r="Q43" s="64">
        <v>9.26</v>
      </c>
      <c r="R43" s="198"/>
      <c r="S43" s="198"/>
      <c r="T43" s="198"/>
      <c r="U43" s="198"/>
    </row>
    <row r="44" spans="1:21" s="12" customFormat="1" x14ac:dyDescent="0.25">
      <c r="A44" s="214" t="s">
        <v>2297</v>
      </c>
      <c r="B44" s="64">
        <v>5</v>
      </c>
      <c r="C44" s="64">
        <v>19.420000000000002</v>
      </c>
      <c r="D44" s="64">
        <v>14.16</v>
      </c>
      <c r="E44" s="64">
        <v>5.48</v>
      </c>
      <c r="F44" s="64">
        <v>10.63</v>
      </c>
      <c r="G44" s="64">
        <v>20.329999999999998</v>
      </c>
      <c r="H44" s="64">
        <v>4.4800000000000004</v>
      </c>
      <c r="I44" s="64">
        <v>1.69</v>
      </c>
      <c r="J44" s="64">
        <v>0.08</v>
      </c>
      <c r="K44" s="64">
        <v>308.13</v>
      </c>
      <c r="L44" s="64">
        <v>29.89</v>
      </c>
      <c r="M44" s="64">
        <v>85.47</v>
      </c>
      <c r="N44" s="64">
        <v>332.1</v>
      </c>
      <c r="O44" s="64">
        <v>0</v>
      </c>
      <c r="P44" s="64">
        <v>0.69</v>
      </c>
      <c r="Q44" s="64">
        <v>9.27</v>
      </c>
      <c r="R44" s="198"/>
      <c r="S44" s="198"/>
      <c r="T44" s="198"/>
      <c r="U44" s="198"/>
    </row>
    <row r="45" spans="1:21" s="12" customFormat="1" x14ac:dyDescent="0.25">
      <c r="A45" s="214" t="s">
        <v>2298</v>
      </c>
      <c r="B45" s="64">
        <v>4.01</v>
      </c>
      <c r="C45" s="64">
        <v>16.46</v>
      </c>
      <c r="D45" s="64">
        <v>11.81</v>
      </c>
      <c r="E45" s="64">
        <v>5.28</v>
      </c>
      <c r="F45" s="64">
        <v>10.87</v>
      </c>
      <c r="G45" s="64">
        <v>39.549999999999997</v>
      </c>
      <c r="H45" s="64">
        <v>3.14</v>
      </c>
      <c r="I45" s="64">
        <v>1.71</v>
      </c>
      <c r="J45" s="64">
        <v>0.23</v>
      </c>
      <c r="K45" s="64">
        <v>155.61000000000001</v>
      </c>
      <c r="L45" s="64">
        <v>28.56</v>
      </c>
      <c r="M45" s="64">
        <v>94.44</v>
      </c>
      <c r="N45" s="64">
        <v>355.4</v>
      </c>
      <c r="O45" s="64">
        <v>0</v>
      </c>
      <c r="P45" s="64">
        <v>0.49</v>
      </c>
      <c r="Q45" s="64">
        <v>9.27</v>
      </c>
      <c r="R45" s="198"/>
      <c r="S45" s="198"/>
      <c r="T45" s="198"/>
      <c r="U45" s="198"/>
    </row>
    <row r="46" spans="1:21" s="12" customFormat="1" x14ac:dyDescent="0.25">
      <c r="A46" s="214" t="s">
        <v>2299</v>
      </c>
      <c r="B46" s="64">
        <v>3.65</v>
      </c>
      <c r="C46" s="64">
        <v>15.79</v>
      </c>
      <c r="D46" s="64">
        <v>11.17</v>
      </c>
      <c r="E46" s="64">
        <v>5.1100000000000003</v>
      </c>
      <c r="F46" s="64">
        <v>10.3</v>
      </c>
      <c r="G46" s="64">
        <v>40.92</v>
      </c>
      <c r="H46" s="64">
        <v>3.14</v>
      </c>
      <c r="I46" s="64">
        <v>1.74</v>
      </c>
      <c r="J46" s="64">
        <v>0.18</v>
      </c>
      <c r="K46" s="64">
        <v>315.89</v>
      </c>
      <c r="L46" s="64">
        <v>28.98</v>
      </c>
      <c r="M46" s="64">
        <v>94.19</v>
      </c>
      <c r="N46" s="64">
        <v>450.3</v>
      </c>
      <c r="O46" s="64">
        <v>0</v>
      </c>
      <c r="P46" s="64">
        <v>0.59</v>
      </c>
      <c r="Q46" s="64">
        <v>9.2799999999999994</v>
      </c>
      <c r="R46" s="198"/>
      <c r="S46" s="198"/>
      <c r="T46" s="198"/>
      <c r="U46" s="198"/>
    </row>
    <row r="47" spans="1:21" s="12" customFormat="1" x14ac:dyDescent="0.25">
      <c r="A47" s="214" t="s">
        <v>2300</v>
      </c>
      <c r="B47" s="64">
        <v>4.71</v>
      </c>
      <c r="C47" s="64">
        <v>16.989999999999998</v>
      </c>
      <c r="D47" s="64">
        <v>12.65</v>
      </c>
      <c r="E47" s="64">
        <v>5.36</v>
      </c>
      <c r="F47" s="64">
        <v>10.210000000000001</v>
      </c>
      <c r="G47" s="64">
        <v>40.92</v>
      </c>
      <c r="H47" s="64">
        <v>3.14</v>
      </c>
      <c r="I47" s="64">
        <v>1.75</v>
      </c>
      <c r="J47" s="64">
        <v>0.31</v>
      </c>
      <c r="K47" s="64">
        <v>336.64</v>
      </c>
      <c r="L47" s="64">
        <v>30.64</v>
      </c>
      <c r="M47" s="64">
        <v>85.13</v>
      </c>
      <c r="N47" s="64">
        <v>582.79999999999995</v>
      </c>
      <c r="O47" s="64">
        <v>0</v>
      </c>
      <c r="P47" s="64">
        <v>0.61</v>
      </c>
      <c r="Q47" s="64">
        <v>9.26</v>
      </c>
      <c r="R47" s="198"/>
      <c r="S47" s="198"/>
      <c r="T47" s="198"/>
      <c r="U47" s="198"/>
    </row>
    <row r="48" spans="1:21" s="12" customFormat="1" x14ac:dyDescent="0.25">
      <c r="A48" s="214" t="s">
        <v>2301</v>
      </c>
      <c r="B48" s="64">
        <v>4.3499999999999996</v>
      </c>
      <c r="C48" s="64">
        <v>19.399999999999999</v>
      </c>
      <c r="D48" s="64">
        <v>13.63</v>
      </c>
      <c r="E48" s="64">
        <v>5.36</v>
      </c>
      <c r="F48" s="64">
        <v>14.45</v>
      </c>
      <c r="G48" s="64">
        <v>40.92</v>
      </c>
      <c r="H48" s="64">
        <v>3.14</v>
      </c>
      <c r="I48" s="64">
        <v>1.77</v>
      </c>
      <c r="J48" s="64">
        <v>0.27</v>
      </c>
      <c r="K48" s="64">
        <v>333.03</v>
      </c>
      <c r="L48" s="64">
        <v>31.73</v>
      </c>
      <c r="M48" s="64">
        <v>78.650000000000006</v>
      </c>
      <c r="N48" s="64">
        <v>466.4</v>
      </c>
      <c r="O48" s="64">
        <v>0</v>
      </c>
      <c r="P48" s="64">
        <v>0.79</v>
      </c>
      <c r="Q48" s="64">
        <v>9.2799999999999994</v>
      </c>
      <c r="R48" s="198"/>
      <c r="S48" s="198"/>
      <c r="T48" s="198"/>
      <c r="U48" s="198"/>
    </row>
    <row r="49" spans="1:21" s="12" customFormat="1" x14ac:dyDescent="0.25">
      <c r="A49" s="214" t="s">
        <v>2302</v>
      </c>
      <c r="B49" s="64">
        <v>10.46</v>
      </c>
      <c r="C49" s="64">
        <v>30.56</v>
      </c>
      <c r="D49" s="64">
        <v>24.36</v>
      </c>
      <c r="E49" s="64">
        <v>5.52</v>
      </c>
      <c r="F49" s="64">
        <v>13.63</v>
      </c>
      <c r="G49" s="64">
        <v>58.36</v>
      </c>
      <c r="H49" s="64">
        <v>3.05</v>
      </c>
      <c r="I49" s="64">
        <v>1.8</v>
      </c>
      <c r="J49" s="64">
        <v>0.48</v>
      </c>
      <c r="K49" s="64">
        <v>338.9</v>
      </c>
      <c r="L49" s="64">
        <v>32.36</v>
      </c>
      <c r="M49" s="64">
        <v>75.42</v>
      </c>
      <c r="N49" s="64">
        <v>568.29999999999995</v>
      </c>
      <c r="O49" s="64">
        <v>0</v>
      </c>
      <c r="P49" s="64">
        <v>0.99</v>
      </c>
      <c r="Q49" s="64">
        <v>9.2899999999999991</v>
      </c>
      <c r="R49" s="198"/>
      <c r="S49" s="198"/>
      <c r="T49" s="198"/>
      <c r="U49" s="198"/>
    </row>
    <row r="50" spans="1:21" s="12" customFormat="1" x14ac:dyDescent="0.25">
      <c r="A50" s="214" t="s">
        <v>2303</v>
      </c>
      <c r="B50" s="64">
        <v>7.18</v>
      </c>
      <c r="C50" s="64">
        <v>28.27</v>
      </c>
      <c r="D50" s="64">
        <v>20.53</v>
      </c>
      <c r="E50" s="64">
        <v>5.64</v>
      </c>
      <c r="F50" s="64">
        <v>17.690000000000001</v>
      </c>
      <c r="G50" s="64">
        <v>59.61</v>
      </c>
      <c r="H50" s="64">
        <v>3.05</v>
      </c>
      <c r="I50" s="64">
        <v>1.83</v>
      </c>
      <c r="J50" s="64">
        <v>0.52</v>
      </c>
      <c r="K50" s="64">
        <v>339.58</v>
      </c>
      <c r="L50" s="64">
        <v>32.770000000000003</v>
      </c>
      <c r="M50" s="64">
        <v>71.400000000000006</v>
      </c>
      <c r="N50" s="64">
        <v>253.4</v>
      </c>
      <c r="O50" s="64">
        <v>0</v>
      </c>
      <c r="P50" s="64">
        <v>1.0900000000000001</v>
      </c>
      <c r="Q50" s="64">
        <v>9.31</v>
      </c>
      <c r="R50" s="198"/>
      <c r="S50" s="198"/>
      <c r="T50" s="198"/>
      <c r="U50" s="198"/>
    </row>
    <row r="51" spans="1:21" s="12" customFormat="1" x14ac:dyDescent="0.25">
      <c r="A51" s="214" t="s">
        <v>2304</v>
      </c>
      <c r="B51" s="64">
        <v>6.83</v>
      </c>
      <c r="C51" s="64">
        <v>27.3</v>
      </c>
      <c r="D51" s="64">
        <v>19.739999999999998</v>
      </c>
      <c r="E51" s="64">
        <v>5.57</v>
      </c>
      <c r="F51" s="64">
        <v>15.9</v>
      </c>
      <c r="G51" s="64">
        <v>59.61</v>
      </c>
      <c r="H51" s="64">
        <v>3.05</v>
      </c>
      <c r="I51" s="64">
        <v>1.88</v>
      </c>
      <c r="J51" s="64">
        <v>0.63</v>
      </c>
      <c r="K51" s="64">
        <v>338.01</v>
      </c>
      <c r="L51" s="64">
        <v>31.73</v>
      </c>
      <c r="M51" s="64">
        <v>74.069999999999993</v>
      </c>
      <c r="N51" s="64">
        <v>192.8</v>
      </c>
      <c r="O51" s="64">
        <v>0</v>
      </c>
      <c r="P51" s="64">
        <v>1.02</v>
      </c>
      <c r="Q51" s="64">
        <v>9.33</v>
      </c>
      <c r="R51" s="198"/>
      <c r="S51" s="198"/>
      <c r="T51" s="198"/>
      <c r="U51" s="198"/>
    </row>
    <row r="52" spans="1:21" s="12" customFormat="1" x14ac:dyDescent="0.25">
      <c r="A52" s="214" t="s">
        <v>2305</v>
      </c>
      <c r="B52" s="64">
        <v>12.38</v>
      </c>
      <c r="C52" s="64">
        <v>18.649999999999999</v>
      </c>
      <c r="D52" s="64">
        <v>19.670000000000002</v>
      </c>
      <c r="E52" s="64">
        <v>5.69</v>
      </c>
      <c r="F52" s="64">
        <v>16.34</v>
      </c>
      <c r="G52" s="64">
        <v>59.61</v>
      </c>
      <c r="H52" s="64">
        <v>3.05</v>
      </c>
      <c r="I52" s="64">
        <v>1.93</v>
      </c>
      <c r="J52" s="64">
        <v>0.54</v>
      </c>
      <c r="K52" s="64">
        <v>339.35</v>
      </c>
      <c r="L52" s="64">
        <v>31</v>
      </c>
      <c r="M52" s="64">
        <v>73.260000000000005</v>
      </c>
      <c r="N52" s="64">
        <v>343.5</v>
      </c>
      <c r="O52" s="64">
        <v>0</v>
      </c>
      <c r="P52" s="64">
        <v>1.02</v>
      </c>
      <c r="Q52" s="64">
        <v>9.34</v>
      </c>
      <c r="R52" s="198"/>
      <c r="S52" s="198"/>
      <c r="T52" s="198"/>
      <c r="U52" s="198"/>
    </row>
    <row r="53" spans="1:21" s="12" customFormat="1" x14ac:dyDescent="0.25">
      <c r="A53" s="214" t="s">
        <v>2306</v>
      </c>
      <c r="B53" s="64">
        <v>8.17</v>
      </c>
      <c r="C53" s="64">
        <v>19.079999999999998</v>
      </c>
      <c r="D53" s="64">
        <v>16.52</v>
      </c>
      <c r="E53" s="64">
        <v>5.94</v>
      </c>
      <c r="F53" s="64">
        <v>19.97</v>
      </c>
      <c r="G53" s="64">
        <v>65.25</v>
      </c>
      <c r="H53" s="64">
        <v>3.71</v>
      </c>
      <c r="I53" s="64">
        <v>1.97</v>
      </c>
      <c r="J53" s="64">
        <v>0.25</v>
      </c>
      <c r="K53" s="64">
        <v>332.3</v>
      </c>
      <c r="L53" s="64">
        <v>30.94</v>
      </c>
      <c r="M53" s="64">
        <v>66.41</v>
      </c>
      <c r="N53" s="64">
        <v>645</v>
      </c>
      <c r="O53" s="64">
        <v>0</v>
      </c>
      <c r="P53" s="64">
        <v>0.57999999999999996</v>
      </c>
      <c r="Q53" s="64">
        <v>9.36</v>
      </c>
      <c r="R53" s="198"/>
      <c r="S53" s="198"/>
      <c r="T53" s="198"/>
      <c r="U53" s="198"/>
    </row>
    <row r="54" spans="1:21" s="12" customFormat="1" x14ac:dyDescent="0.25">
      <c r="A54" s="214" t="s">
        <v>2307</v>
      </c>
      <c r="B54" s="64">
        <v>11.78</v>
      </c>
      <c r="C54" s="64">
        <v>16.98</v>
      </c>
      <c r="D54" s="64">
        <v>18.32</v>
      </c>
      <c r="E54" s="64">
        <v>6.16</v>
      </c>
      <c r="F54" s="64">
        <v>20.41</v>
      </c>
      <c r="G54" s="64">
        <v>65.650000000000006</v>
      </c>
      <c r="H54" s="64">
        <v>3.71</v>
      </c>
      <c r="I54" s="64">
        <v>2.02</v>
      </c>
      <c r="J54" s="64">
        <v>0.88</v>
      </c>
      <c r="K54" s="64">
        <v>337.7</v>
      </c>
      <c r="L54" s="64">
        <v>32.58</v>
      </c>
      <c r="M54" s="64">
        <v>62.94</v>
      </c>
      <c r="N54" s="64">
        <v>781.3</v>
      </c>
      <c r="O54" s="64">
        <v>0</v>
      </c>
      <c r="P54" s="64">
        <v>0.62</v>
      </c>
      <c r="Q54" s="64">
        <v>9.3800000000000008</v>
      </c>
      <c r="R54" s="198"/>
      <c r="S54" s="198"/>
      <c r="T54" s="198"/>
      <c r="U54" s="198"/>
    </row>
    <row r="55" spans="1:21" s="12" customFormat="1" x14ac:dyDescent="0.25">
      <c r="A55" s="214" t="s">
        <v>2308</v>
      </c>
      <c r="B55" s="64">
        <v>9.61</v>
      </c>
      <c r="C55" s="64">
        <v>15.56</v>
      </c>
      <c r="D55" s="64">
        <v>15.84</v>
      </c>
      <c r="E55" s="64">
        <v>6.61</v>
      </c>
      <c r="F55" s="64">
        <v>19.78</v>
      </c>
      <c r="G55" s="64">
        <v>65.650000000000006</v>
      </c>
      <c r="H55" s="64">
        <v>3.71</v>
      </c>
      <c r="I55" s="64">
        <v>2.0299999999999998</v>
      </c>
      <c r="J55" s="64">
        <v>0.52</v>
      </c>
      <c r="K55" s="64">
        <v>345.28</v>
      </c>
      <c r="L55" s="64">
        <v>32.14</v>
      </c>
      <c r="M55" s="64">
        <v>64.930000000000007</v>
      </c>
      <c r="N55" s="64">
        <v>698.6</v>
      </c>
      <c r="O55" s="64">
        <v>0</v>
      </c>
      <c r="P55" s="64">
        <v>0.57999999999999996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14" t="s">
        <v>2309</v>
      </c>
      <c r="B56" s="64">
        <v>10.46</v>
      </c>
      <c r="C56" s="64">
        <v>16.43</v>
      </c>
      <c r="D56" s="64">
        <v>16.97</v>
      </c>
      <c r="E56" s="64">
        <v>7</v>
      </c>
      <c r="F56" s="64">
        <v>19.25</v>
      </c>
      <c r="G56" s="64">
        <v>65.650000000000006</v>
      </c>
      <c r="H56" s="64">
        <v>3.71</v>
      </c>
      <c r="I56" s="64">
        <v>2.0099999999999998</v>
      </c>
      <c r="J56" s="64">
        <v>0.45</v>
      </c>
      <c r="K56" s="64">
        <v>336.79</v>
      </c>
      <c r="L56" s="64">
        <v>32.549999999999997</v>
      </c>
      <c r="M56" s="64">
        <v>63.33</v>
      </c>
      <c r="N56" s="64">
        <v>728.2</v>
      </c>
      <c r="O56" s="64">
        <v>0</v>
      </c>
      <c r="P56" s="64">
        <v>0.55000000000000004</v>
      </c>
      <c r="Q56" s="64">
        <v>9.36</v>
      </c>
      <c r="R56" s="198"/>
      <c r="S56" s="198"/>
      <c r="T56" s="198"/>
      <c r="U56" s="198"/>
    </row>
    <row r="57" spans="1:21" s="12" customFormat="1" x14ac:dyDescent="0.25">
      <c r="A57" s="214" t="s">
        <v>2310</v>
      </c>
      <c r="B57" s="64">
        <v>7.44</v>
      </c>
      <c r="C57" s="64">
        <v>18.88</v>
      </c>
      <c r="D57" s="64">
        <v>15.83</v>
      </c>
      <c r="E57" s="64">
        <v>6.57</v>
      </c>
      <c r="F57" s="64">
        <v>20.23</v>
      </c>
      <c r="G57" s="64">
        <v>95.56</v>
      </c>
      <c r="H57" s="64">
        <v>2.67</v>
      </c>
      <c r="I57" s="64">
        <v>1.96</v>
      </c>
      <c r="J57" s="64">
        <v>0.39</v>
      </c>
      <c r="K57" s="64">
        <v>349.31</v>
      </c>
      <c r="L57" s="64">
        <v>32.24</v>
      </c>
      <c r="M57" s="64">
        <v>67.11</v>
      </c>
      <c r="N57" s="64">
        <v>793.2</v>
      </c>
      <c r="O57" s="64">
        <v>0</v>
      </c>
      <c r="P57" s="64">
        <v>0.56999999999999995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4" t="s">
        <v>2311</v>
      </c>
      <c r="B58" s="64">
        <v>7.8</v>
      </c>
      <c r="C58" s="64">
        <v>19.72</v>
      </c>
      <c r="D58" s="64">
        <v>16.559999999999999</v>
      </c>
      <c r="E58" s="64">
        <v>6.57</v>
      </c>
      <c r="F58" s="64">
        <v>17.59</v>
      </c>
      <c r="G58" s="64">
        <v>97.69</v>
      </c>
      <c r="H58" s="64">
        <v>2.67</v>
      </c>
      <c r="I58" s="64">
        <v>1.85</v>
      </c>
      <c r="J58" s="64">
        <v>0.52</v>
      </c>
      <c r="K58" s="64">
        <v>336.34</v>
      </c>
      <c r="L58" s="64">
        <v>32.58</v>
      </c>
      <c r="M58" s="64">
        <v>64.47</v>
      </c>
      <c r="N58" s="64">
        <v>696.6</v>
      </c>
      <c r="O58" s="64">
        <v>0</v>
      </c>
      <c r="P58" s="64">
        <v>0.62</v>
      </c>
      <c r="Q58" s="64">
        <v>9.25</v>
      </c>
      <c r="R58" s="198"/>
      <c r="S58" s="198"/>
      <c r="T58" s="198"/>
      <c r="U58" s="198"/>
    </row>
    <row r="59" spans="1:21" s="12" customFormat="1" x14ac:dyDescent="0.25">
      <c r="A59" s="214" t="s">
        <v>2312</v>
      </c>
      <c r="B59" s="64">
        <v>7.47</v>
      </c>
      <c r="C59" s="64">
        <v>20.14</v>
      </c>
      <c r="D59" s="64">
        <v>16.510000000000002</v>
      </c>
      <c r="E59" s="64">
        <v>6.65</v>
      </c>
      <c r="F59" s="64">
        <v>20.61</v>
      </c>
      <c r="G59" s="64">
        <v>97.69</v>
      </c>
      <c r="H59" s="64">
        <v>2.67</v>
      </c>
      <c r="I59" s="64">
        <v>1.75</v>
      </c>
      <c r="J59" s="64">
        <v>0.91</v>
      </c>
      <c r="K59" s="64">
        <v>333.83</v>
      </c>
      <c r="L59" s="64">
        <v>33.380000000000003</v>
      </c>
      <c r="M59" s="64">
        <v>59.99</v>
      </c>
      <c r="N59" s="64">
        <v>764.5</v>
      </c>
      <c r="O59" s="64">
        <v>0</v>
      </c>
      <c r="P59" s="64">
        <v>0.57999999999999996</v>
      </c>
      <c r="Q59" s="64">
        <v>9.24</v>
      </c>
      <c r="R59" s="198"/>
      <c r="S59" s="198"/>
      <c r="T59" s="198"/>
      <c r="U59" s="198"/>
    </row>
    <row r="60" spans="1:21" s="12" customFormat="1" x14ac:dyDescent="0.25">
      <c r="A60" s="214" t="s">
        <v>2313</v>
      </c>
      <c r="B60" s="64">
        <v>8.11</v>
      </c>
      <c r="C60" s="64">
        <v>18.760000000000002</v>
      </c>
      <c r="D60" s="64">
        <v>16.309999999999999</v>
      </c>
      <c r="E60" s="64">
        <v>7.25</v>
      </c>
      <c r="F60" s="64">
        <v>18.13</v>
      </c>
      <c r="G60" s="64">
        <v>97.69</v>
      </c>
      <c r="H60" s="64">
        <v>2.67</v>
      </c>
      <c r="I60" s="64">
        <v>1.72</v>
      </c>
      <c r="J60" s="64">
        <v>0.95</v>
      </c>
      <c r="K60" s="64">
        <v>337.73</v>
      </c>
      <c r="L60" s="64">
        <v>34.1</v>
      </c>
      <c r="M60" s="64">
        <v>54.48</v>
      </c>
      <c r="N60" s="64">
        <v>536.70000000000005</v>
      </c>
      <c r="O60" s="64">
        <v>0</v>
      </c>
      <c r="P60" s="64">
        <v>0.6</v>
      </c>
      <c r="Q60" s="64">
        <v>9.24</v>
      </c>
      <c r="R60" s="198"/>
      <c r="S60" s="198"/>
      <c r="T60" s="198"/>
      <c r="U60" s="198"/>
    </row>
    <row r="61" spans="1:21" s="12" customFormat="1" x14ac:dyDescent="0.25">
      <c r="A61" s="214" t="s">
        <v>2314</v>
      </c>
      <c r="B61" s="64">
        <v>10.14</v>
      </c>
      <c r="C61" s="64">
        <v>23.36</v>
      </c>
      <c r="D61" s="64">
        <v>20.34</v>
      </c>
      <c r="E61" s="64">
        <v>6.9</v>
      </c>
      <c r="F61" s="64">
        <v>18.100000000000001</v>
      </c>
      <c r="G61" s="64">
        <v>95.1</v>
      </c>
      <c r="H61" s="64">
        <v>2.75</v>
      </c>
      <c r="I61" s="64">
        <v>1.71</v>
      </c>
      <c r="J61" s="64">
        <v>0.28000000000000003</v>
      </c>
      <c r="K61" s="64">
        <v>344.11</v>
      </c>
      <c r="L61" s="64">
        <v>32.76</v>
      </c>
      <c r="M61" s="64">
        <v>62.29</v>
      </c>
      <c r="N61" s="64">
        <v>332.6</v>
      </c>
      <c r="O61" s="64">
        <v>0</v>
      </c>
      <c r="P61" s="64">
        <v>0.57999999999999996</v>
      </c>
      <c r="Q61" s="64">
        <v>9.2200000000000006</v>
      </c>
      <c r="R61" s="198"/>
      <c r="S61" s="198"/>
      <c r="T61" s="198"/>
      <c r="U61" s="198"/>
    </row>
    <row r="62" spans="1:21" s="12" customFormat="1" x14ac:dyDescent="0.25">
      <c r="A62" s="214" t="s">
        <v>2315</v>
      </c>
      <c r="B62" s="64">
        <v>8.58</v>
      </c>
      <c r="C62" s="64">
        <v>18.14</v>
      </c>
      <c r="D62" s="64">
        <v>16.350000000000001</v>
      </c>
      <c r="E62" s="64">
        <v>6.58</v>
      </c>
      <c r="F62" s="64">
        <v>18.14</v>
      </c>
      <c r="G62" s="64">
        <v>94.92</v>
      </c>
      <c r="H62" s="64">
        <v>2.75</v>
      </c>
      <c r="I62" s="64">
        <v>1.71</v>
      </c>
      <c r="J62" s="64">
        <v>0.87</v>
      </c>
      <c r="K62" s="64">
        <v>336.14</v>
      </c>
      <c r="L62" s="64">
        <v>31.89</v>
      </c>
      <c r="M62" s="64">
        <v>62.33</v>
      </c>
      <c r="N62" s="64">
        <v>222.7</v>
      </c>
      <c r="O62" s="64">
        <v>0</v>
      </c>
      <c r="P62" s="64">
        <v>0.53</v>
      </c>
      <c r="Q62" s="64">
        <v>9.23</v>
      </c>
      <c r="R62" s="198"/>
      <c r="S62" s="198"/>
      <c r="T62" s="198"/>
      <c r="U62" s="198"/>
    </row>
    <row r="63" spans="1:21" s="12" customFormat="1" x14ac:dyDescent="0.25">
      <c r="A63" s="214" t="s">
        <v>2316</v>
      </c>
      <c r="B63" s="64">
        <v>11.19</v>
      </c>
      <c r="C63" s="64">
        <v>16.809999999999999</v>
      </c>
      <c r="D63" s="64">
        <v>17.760000000000002</v>
      </c>
      <c r="E63" s="64">
        <v>6.39</v>
      </c>
      <c r="F63" s="64">
        <v>21.63</v>
      </c>
      <c r="G63" s="64">
        <v>94.92</v>
      </c>
      <c r="H63" s="64">
        <v>2.75</v>
      </c>
      <c r="I63" s="64">
        <v>1.71</v>
      </c>
      <c r="J63" s="64">
        <v>1.42</v>
      </c>
      <c r="K63" s="64">
        <v>339.01</v>
      </c>
      <c r="L63" s="64">
        <v>31.95</v>
      </c>
      <c r="M63" s="64">
        <v>59.49</v>
      </c>
      <c r="N63" s="64">
        <v>298.8</v>
      </c>
      <c r="O63" s="64">
        <v>0</v>
      </c>
      <c r="P63" s="64">
        <v>0.49</v>
      </c>
      <c r="Q63" s="64">
        <v>9.2200000000000006</v>
      </c>
      <c r="R63" s="198"/>
      <c r="S63" s="198"/>
      <c r="T63" s="198"/>
      <c r="U63" s="198"/>
    </row>
    <row r="64" spans="1:21" s="12" customFormat="1" x14ac:dyDescent="0.25">
      <c r="A64" s="214" t="s">
        <v>2317</v>
      </c>
      <c r="B64" s="64">
        <v>11.44</v>
      </c>
      <c r="C64" s="64">
        <v>16.5</v>
      </c>
      <c r="D64" s="64">
        <v>17.8</v>
      </c>
      <c r="E64" s="64">
        <v>7.61</v>
      </c>
      <c r="F64" s="64">
        <v>22.14</v>
      </c>
      <c r="G64" s="64">
        <v>94.92</v>
      </c>
      <c r="H64" s="64">
        <v>2.75</v>
      </c>
      <c r="I64" s="64">
        <v>1.7</v>
      </c>
      <c r="J64" s="64">
        <v>1.45</v>
      </c>
      <c r="K64" s="64">
        <v>337.64</v>
      </c>
      <c r="L64" s="64">
        <v>32.33</v>
      </c>
      <c r="M64" s="64">
        <v>54.08</v>
      </c>
      <c r="N64" s="64">
        <v>290.39999999999998</v>
      </c>
      <c r="O64" s="64">
        <v>0</v>
      </c>
      <c r="P64" s="64">
        <v>0.48</v>
      </c>
      <c r="Q64" s="64">
        <v>9.2200000000000006</v>
      </c>
      <c r="R64" s="198"/>
      <c r="S64" s="198"/>
      <c r="T64" s="198"/>
      <c r="U64" s="198"/>
    </row>
    <row r="65" spans="1:21" s="12" customFormat="1" x14ac:dyDescent="0.25">
      <c r="A65" s="214" t="s">
        <v>2318</v>
      </c>
      <c r="B65" s="64">
        <v>10.58</v>
      </c>
      <c r="C65" s="64">
        <v>15.96</v>
      </c>
      <c r="D65" s="64">
        <v>16.82</v>
      </c>
      <c r="E65" s="64">
        <v>7.72</v>
      </c>
      <c r="F65" s="64">
        <v>15.93</v>
      </c>
      <c r="G65" s="64">
        <v>89.34</v>
      </c>
      <c r="H65" s="64">
        <v>2.09</v>
      </c>
      <c r="I65" s="64">
        <v>1.68</v>
      </c>
      <c r="J65" s="64">
        <v>1.49</v>
      </c>
      <c r="K65" s="64">
        <v>337.32</v>
      </c>
      <c r="L65" s="64">
        <v>32.36</v>
      </c>
      <c r="M65" s="64">
        <v>56.21</v>
      </c>
      <c r="N65" s="64">
        <v>270.8</v>
      </c>
      <c r="O65" s="64">
        <v>0</v>
      </c>
      <c r="P65" s="64">
        <v>0.48</v>
      </c>
      <c r="Q65" s="64">
        <v>9.23</v>
      </c>
      <c r="R65" s="198"/>
      <c r="S65" s="198"/>
      <c r="T65" s="198"/>
      <c r="U65" s="198"/>
    </row>
    <row r="66" spans="1:21" s="12" customFormat="1" x14ac:dyDescent="0.25">
      <c r="A66" s="214" t="s">
        <v>2319</v>
      </c>
      <c r="B66" s="64">
        <v>11.12</v>
      </c>
      <c r="C66" s="64">
        <v>18.600000000000001</v>
      </c>
      <c r="D66" s="64">
        <v>18.63</v>
      </c>
      <c r="E66" s="64">
        <v>7.29</v>
      </c>
      <c r="F66" s="64">
        <v>19.45</v>
      </c>
      <c r="G66" s="64">
        <v>88.94</v>
      </c>
      <c r="H66" s="64">
        <v>2.09</v>
      </c>
      <c r="I66" s="64">
        <v>1.65</v>
      </c>
      <c r="J66" s="64">
        <v>1.39</v>
      </c>
      <c r="K66" s="64">
        <v>337.57</v>
      </c>
      <c r="L66" s="64">
        <v>32.1</v>
      </c>
      <c r="M66" s="64">
        <v>58.22</v>
      </c>
      <c r="N66" s="64">
        <v>247.3</v>
      </c>
      <c r="O66" s="64">
        <v>0</v>
      </c>
      <c r="P66" s="64">
        <v>0.49</v>
      </c>
      <c r="Q66" s="64">
        <v>9.25</v>
      </c>
      <c r="R66" s="198"/>
      <c r="S66" s="198"/>
      <c r="T66" s="198"/>
      <c r="U66" s="198"/>
    </row>
    <row r="67" spans="1:21" s="12" customFormat="1" x14ac:dyDescent="0.25">
      <c r="A67" s="214" t="s">
        <v>2320</v>
      </c>
      <c r="B67" s="64">
        <v>12.47</v>
      </c>
      <c r="C67" s="64">
        <v>14.86</v>
      </c>
      <c r="D67" s="64">
        <v>17.649999999999999</v>
      </c>
      <c r="E67" s="64">
        <v>7.38</v>
      </c>
      <c r="F67" s="64">
        <v>17.059999999999999</v>
      </c>
      <c r="G67" s="64">
        <v>88.94</v>
      </c>
      <c r="H67" s="64">
        <v>2.09</v>
      </c>
      <c r="I67" s="64">
        <v>1.64</v>
      </c>
      <c r="J67" s="64">
        <v>1.43</v>
      </c>
      <c r="K67" s="64">
        <v>337.49</v>
      </c>
      <c r="L67" s="64">
        <v>31.69</v>
      </c>
      <c r="M67" s="64">
        <v>57.97</v>
      </c>
      <c r="N67" s="64">
        <v>171.1</v>
      </c>
      <c r="O67" s="64">
        <v>0</v>
      </c>
      <c r="P67" s="64">
        <v>0.53</v>
      </c>
      <c r="Q67" s="64">
        <v>9.2799999999999994</v>
      </c>
      <c r="R67" s="198"/>
      <c r="S67" s="198"/>
      <c r="T67" s="198"/>
      <c r="U67" s="198"/>
    </row>
    <row r="68" spans="1:21" s="12" customFormat="1" x14ac:dyDescent="0.25">
      <c r="A68" s="214" t="s">
        <v>2321</v>
      </c>
      <c r="B68" s="64">
        <v>13.05</v>
      </c>
      <c r="C68" s="64">
        <v>21.53</v>
      </c>
      <c r="D68" s="64">
        <v>21.71</v>
      </c>
      <c r="E68" s="64">
        <v>7.83</v>
      </c>
      <c r="F68" s="64">
        <v>19.7</v>
      </c>
      <c r="G68" s="64">
        <v>88.94</v>
      </c>
      <c r="H68" s="64">
        <v>2.09</v>
      </c>
      <c r="I68" s="64">
        <v>1.65</v>
      </c>
      <c r="J68" s="64">
        <v>1.22</v>
      </c>
      <c r="K68" s="64">
        <v>337.47</v>
      </c>
      <c r="L68" s="64">
        <v>30.76</v>
      </c>
      <c r="M68" s="64">
        <v>60.13</v>
      </c>
      <c r="N68" s="64">
        <v>116.6</v>
      </c>
      <c r="O68" s="64">
        <v>0</v>
      </c>
      <c r="P68" s="64">
        <v>0.59</v>
      </c>
      <c r="Q68" s="64">
        <v>9.3000000000000007</v>
      </c>
      <c r="R68" s="198"/>
      <c r="S68" s="198"/>
      <c r="T68" s="198"/>
      <c r="U68" s="198"/>
    </row>
    <row r="69" spans="1:21" s="12" customFormat="1" x14ac:dyDescent="0.25">
      <c r="A69" s="214" t="s">
        <v>2322</v>
      </c>
      <c r="B69" s="64">
        <v>12.25</v>
      </c>
      <c r="C69" s="64">
        <v>19.54</v>
      </c>
      <c r="D69" s="64">
        <v>20.03</v>
      </c>
      <c r="E69" s="64">
        <v>7.81</v>
      </c>
      <c r="F69" s="64">
        <v>20.079999999999998</v>
      </c>
      <c r="G69" s="64">
        <v>107.27</v>
      </c>
      <c r="H69" s="64">
        <v>3.24</v>
      </c>
      <c r="I69" s="64">
        <v>1.66</v>
      </c>
      <c r="J69" s="64">
        <v>1.08</v>
      </c>
      <c r="K69" s="64">
        <v>338.83</v>
      </c>
      <c r="L69" s="64">
        <v>30.1</v>
      </c>
      <c r="M69" s="64">
        <v>61.25</v>
      </c>
      <c r="N69" s="64">
        <v>93.2</v>
      </c>
      <c r="O69" s="64">
        <v>0</v>
      </c>
      <c r="P69" s="64">
        <v>0.54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4" t="s">
        <v>2323</v>
      </c>
      <c r="B70" s="64">
        <v>18.02</v>
      </c>
      <c r="C70" s="64">
        <v>25.92</v>
      </c>
      <c r="D70" s="64">
        <v>27.99</v>
      </c>
      <c r="E70" s="64">
        <v>7.51</v>
      </c>
      <c r="F70" s="64">
        <v>14.81</v>
      </c>
      <c r="G70" s="64">
        <v>108.58</v>
      </c>
      <c r="H70" s="64">
        <v>3.24</v>
      </c>
      <c r="I70" s="64">
        <v>1.69</v>
      </c>
      <c r="J70" s="64">
        <v>0.35</v>
      </c>
      <c r="K70" s="64">
        <v>332.39</v>
      </c>
      <c r="L70" s="64">
        <v>29.51</v>
      </c>
      <c r="M70" s="64">
        <v>64.239999999999995</v>
      </c>
      <c r="N70" s="64">
        <v>85.2</v>
      </c>
      <c r="O70" s="64">
        <v>0</v>
      </c>
      <c r="P70" s="64">
        <v>0.65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4" t="s">
        <v>2324</v>
      </c>
      <c r="B71" s="64">
        <v>23.7</v>
      </c>
      <c r="C71" s="64">
        <v>32.89</v>
      </c>
      <c r="D71" s="64">
        <v>36.19</v>
      </c>
      <c r="E71" s="64">
        <v>7.66</v>
      </c>
      <c r="F71" s="64">
        <v>13.32</v>
      </c>
      <c r="G71" s="64">
        <v>108.58</v>
      </c>
      <c r="H71" s="64">
        <v>3.24</v>
      </c>
      <c r="I71" s="64">
        <v>1.71</v>
      </c>
      <c r="J71" s="64">
        <v>0.3</v>
      </c>
      <c r="K71" s="64">
        <v>335.96</v>
      </c>
      <c r="L71" s="64">
        <v>29.23</v>
      </c>
      <c r="M71" s="64">
        <v>66.53</v>
      </c>
      <c r="N71" s="64">
        <v>81.7</v>
      </c>
      <c r="O71" s="64">
        <v>0</v>
      </c>
      <c r="P71" s="64">
        <v>0.83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4" t="s">
        <v>2325</v>
      </c>
      <c r="B72" s="64">
        <v>15.49</v>
      </c>
      <c r="C72" s="64">
        <v>30.12</v>
      </c>
      <c r="D72" s="64">
        <v>28.16</v>
      </c>
      <c r="E72" s="64">
        <v>4.2699999999999996</v>
      </c>
      <c r="F72" s="64">
        <v>13.87</v>
      </c>
      <c r="G72" s="64">
        <v>108.58</v>
      </c>
      <c r="H72" s="64">
        <v>3.24</v>
      </c>
      <c r="I72" s="64">
        <v>1.75</v>
      </c>
      <c r="J72" s="64">
        <v>0.28000000000000003</v>
      </c>
      <c r="K72" s="64">
        <v>331.83</v>
      </c>
      <c r="L72" s="64">
        <v>29.14</v>
      </c>
      <c r="M72" s="64">
        <v>69.040000000000006</v>
      </c>
      <c r="N72" s="64">
        <v>82.3</v>
      </c>
      <c r="O72" s="64">
        <v>0</v>
      </c>
      <c r="P72" s="64">
        <v>0.77</v>
      </c>
      <c r="Q72" s="64">
        <v>9.3800000000000008</v>
      </c>
      <c r="R72" s="198"/>
      <c r="S72" s="198"/>
      <c r="T72" s="198"/>
      <c r="U72" s="198"/>
    </row>
    <row r="73" spans="1:21" s="12" customFormat="1" x14ac:dyDescent="0.25">
      <c r="A73" s="214" t="s">
        <v>2326</v>
      </c>
      <c r="B73" s="64">
        <v>22.14</v>
      </c>
      <c r="C73" s="64">
        <v>35.14</v>
      </c>
      <c r="D73" s="64">
        <v>36.11</v>
      </c>
      <c r="E73" s="64">
        <v>5.79</v>
      </c>
      <c r="F73" s="64">
        <v>11.87</v>
      </c>
      <c r="G73" s="64">
        <v>110.08</v>
      </c>
      <c r="H73" s="64">
        <v>2.59</v>
      </c>
      <c r="I73" s="64">
        <v>1.78</v>
      </c>
      <c r="J73" s="64">
        <v>0.05</v>
      </c>
      <c r="K73" s="64">
        <v>35.119999999999997</v>
      </c>
      <c r="L73" s="64">
        <v>29.02</v>
      </c>
      <c r="M73" s="64">
        <v>71.55</v>
      </c>
      <c r="N73" s="64">
        <v>86.1</v>
      </c>
      <c r="O73" s="64">
        <v>0</v>
      </c>
      <c r="P73" s="64">
        <v>0.97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14" t="s">
        <v>2327</v>
      </c>
      <c r="B74" s="64">
        <v>5.21</v>
      </c>
      <c r="C74" s="64">
        <v>21.64</v>
      </c>
      <c r="D74" s="64">
        <v>15.48</v>
      </c>
      <c r="E74" s="64">
        <v>5.59</v>
      </c>
      <c r="F74" s="64">
        <v>16.75</v>
      </c>
      <c r="G74" s="64">
        <v>110.19</v>
      </c>
      <c r="H74" s="64">
        <v>2.59</v>
      </c>
      <c r="I74" s="64">
        <v>1.83</v>
      </c>
      <c r="J74" s="64">
        <v>0.35</v>
      </c>
      <c r="K74" s="64">
        <v>122.74</v>
      </c>
      <c r="L74" s="64">
        <v>28.78</v>
      </c>
      <c r="M74" s="64">
        <v>73.27</v>
      </c>
      <c r="N74" s="64">
        <v>87.9</v>
      </c>
      <c r="O74" s="64">
        <v>0</v>
      </c>
      <c r="P74" s="64">
        <v>0.48</v>
      </c>
      <c r="Q74" s="64">
        <v>9.3800000000000008</v>
      </c>
      <c r="R74" s="198"/>
      <c r="S74" s="198"/>
      <c r="T74" s="198"/>
      <c r="U74" s="198"/>
    </row>
    <row r="75" spans="1:21" s="12" customFormat="1" x14ac:dyDescent="0.25">
      <c r="A75" s="214" t="s">
        <v>2328</v>
      </c>
      <c r="B75" s="64">
        <v>4.5</v>
      </c>
      <c r="C75" s="64">
        <v>18.28</v>
      </c>
      <c r="D75" s="64">
        <v>13.16</v>
      </c>
      <c r="E75" s="64">
        <v>4.92</v>
      </c>
      <c r="F75" s="64">
        <v>20.079999999999998</v>
      </c>
      <c r="G75" s="64">
        <v>110.19</v>
      </c>
      <c r="H75" s="64">
        <v>2.59</v>
      </c>
      <c r="I75" s="64">
        <v>1.86</v>
      </c>
      <c r="J75" s="64">
        <v>0.32</v>
      </c>
      <c r="K75" s="64">
        <v>128.06</v>
      </c>
      <c r="L75" s="64">
        <v>28.67</v>
      </c>
      <c r="M75" s="64">
        <v>71.89</v>
      </c>
      <c r="N75" s="64">
        <v>87.3</v>
      </c>
      <c r="O75" s="64">
        <v>0</v>
      </c>
      <c r="P75" s="64">
        <v>0.31</v>
      </c>
      <c r="Q75" s="64">
        <v>9.34</v>
      </c>
      <c r="R75" s="198"/>
      <c r="S75" s="198"/>
      <c r="T75" s="198"/>
      <c r="U75" s="198"/>
    </row>
    <row r="76" spans="1:21" s="12" customFormat="1" x14ac:dyDescent="0.25">
      <c r="A76" s="214" t="s">
        <v>2329</v>
      </c>
      <c r="B76" s="64">
        <v>4.33</v>
      </c>
      <c r="C76" s="64">
        <v>16.190000000000001</v>
      </c>
      <c r="D76" s="64">
        <v>11.93</v>
      </c>
      <c r="E76" s="64">
        <v>5.22</v>
      </c>
      <c r="F76" s="64">
        <v>18.649999999999999</v>
      </c>
      <c r="G76" s="64">
        <v>110.19</v>
      </c>
      <c r="H76" s="64">
        <v>2.59</v>
      </c>
      <c r="I76" s="64">
        <v>1.82</v>
      </c>
      <c r="J76" s="64">
        <v>0.32</v>
      </c>
      <c r="K76" s="64">
        <v>126.5</v>
      </c>
      <c r="L76" s="64">
        <v>28.69</v>
      </c>
      <c r="M76" s="64">
        <v>71.849999999999994</v>
      </c>
      <c r="N76" s="64">
        <v>81.400000000000006</v>
      </c>
      <c r="O76" s="64">
        <v>0</v>
      </c>
      <c r="P76" s="64">
        <v>0.28999999999999998</v>
      </c>
      <c r="Q76" s="64">
        <v>9.2899999999999991</v>
      </c>
      <c r="R76" s="198"/>
      <c r="S76" s="198"/>
      <c r="T76" s="198"/>
      <c r="U76" s="198"/>
    </row>
    <row r="77" spans="1:21" s="12" customFormat="1" x14ac:dyDescent="0.25">
      <c r="A77" s="214" t="s">
        <v>2330</v>
      </c>
      <c r="B77" s="64">
        <v>4.2699999999999996</v>
      </c>
      <c r="C77" s="64">
        <v>17.07</v>
      </c>
      <c r="D77" s="64">
        <v>12.34</v>
      </c>
      <c r="E77" s="64">
        <v>5.21</v>
      </c>
      <c r="F77" s="64">
        <v>20.83</v>
      </c>
      <c r="G77" s="64">
        <v>99.73</v>
      </c>
      <c r="H77" s="64">
        <v>2.13</v>
      </c>
      <c r="I77" s="64">
        <v>1.73</v>
      </c>
      <c r="J77" s="64">
        <v>0.49</v>
      </c>
      <c r="K77" s="64">
        <v>128.58000000000001</v>
      </c>
      <c r="L77" s="64">
        <v>28.58</v>
      </c>
      <c r="M77" s="64">
        <v>73.38</v>
      </c>
      <c r="N77" s="64">
        <v>69.7</v>
      </c>
      <c r="O77" s="64">
        <v>0</v>
      </c>
      <c r="P77" s="64">
        <v>0.28999999999999998</v>
      </c>
      <c r="Q77" s="64">
        <v>9.26</v>
      </c>
      <c r="R77" s="198"/>
      <c r="S77" s="198"/>
      <c r="T77" s="198"/>
      <c r="U77" s="198"/>
    </row>
    <row r="78" spans="1:21" s="12" customFormat="1" x14ac:dyDescent="0.25">
      <c r="A78" s="214" t="s">
        <v>2331</v>
      </c>
      <c r="B78" s="64">
        <v>4.76</v>
      </c>
      <c r="C78" s="64">
        <v>19.96</v>
      </c>
      <c r="D78" s="64">
        <v>17.34</v>
      </c>
      <c r="E78" s="64">
        <v>5.43</v>
      </c>
      <c r="F78" s="64">
        <v>18.37</v>
      </c>
      <c r="G78" s="64">
        <v>98.98</v>
      </c>
      <c r="H78" s="64">
        <v>2.13</v>
      </c>
      <c r="I78" s="64">
        <v>1.62</v>
      </c>
      <c r="J78" s="64">
        <v>0.45</v>
      </c>
      <c r="K78" s="64">
        <v>124.64</v>
      </c>
      <c r="L78" s="64">
        <v>28.48</v>
      </c>
      <c r="M78" s="64">
        <v>74.05</v>
      </c>
      <c r="N78" s="64">
        <v>55.4</v>
      </c>
      <c r="O78" s="64">
        <v>0</v>
      </c>
      <c r="P78" s="64">
        <v>0.28000000000000003</v>
      </c>
      <c r="Q78" s="64">
        <v>9.23</v>
      </c>
      <c r="R78" s="198"/>
      <c r="S78" s="198"/>
      <c r="T78" s="198"/>
      <c r="U78" s="198"/>
    </row>
    <row r="79" spans="1:21" s="12" customFormat="1" x14ac:dyDescent="0.25">
      <c r="A79" s="214" t="s">
        <v>2332</v>
      </c>
      <c r="B79" s="64">
        <v>4.8600000000000003</v>
      </c>
      <c r="C79" s="64">
        <v>23.01</v>
      </c>
      <c r="D79" s="64">
        <v>15.92</v>
      </c>
      <c r="E79" s="64">
        <v>5.41</v>
      </c>
      <c r="F79" s="64">
        <v>14.12</v>
      </c>
      <c r="G79" s="64">
        <v>98.98</v>
      </c>
      <c r="H79" s="64">
        <v>2.13</v>
      </c>
      <c r="I79" s="64">
        <v>1.62</v>
      </c>
      <c r="J79" s="64">
        <v>0.98</v>
      </c>
      <c r="K79" s="64">
        <v>137.25</v>
      </c>
      <c r="L79" s="64">
        <v>28.21</v>
      </c>
      <c r="M79" s="64">
        <v>81.96</v>
      </c>
      <c r="N79" s="64">
        <v>50.4</v>
      </c>
      <c r="O79" s="64">
        <v>0</v>
      </c>
      <c r="P79" s="64">
        <v>0.35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14" t="s">
        <v>2333</v>
      </c>
      <c r="B80" s="64">
        <v>4.74</v>
      </c>
      <c r="C80" s="64">
        <v>17.32</v>
      </c>
      <c r="D80" s="64">
        <v>12.85</v>
      </c>
      <c r="E80" s="64">
        <v>4.92</v>
      </c>
      <c r="F80" s="64">
        <v>11.73</v>
      </c>
      <c r="G80" s="64">
        <v>98.98</v>
      </c>
      <c r="H80" s="64">
        <v>2.13</v>
      </c>
      <c r="I80" s="64">
        <v>1.6</v>
      </c>
      <c r="J80" s="64">
        <v>1.42</v>
      </c>
      <c r="K80" s="64">
        <v>144.69999999999999</v>
      </c>
      <c r="L80" s="64">
        <v>26.73</v>
      </c>
      <c r="M80" s="64">
        <v>98.17</v>
      </c>
      <c r="N80" s="64">
        <v>43.3</v>
      </c>
      <c r="O80" s="64">
        <v>0</v>
      </c>
      <c r="P80" s="64">
        <v>0.4</v>
      </c>
      <c r="Q80" s="64">
        <v>9.19</v>
      </c>
      <c r="R80" s="198"/>
      <c r="S80" s="198"/>
      <c r="T80" s="198"/>
      <c r="U80" s="198"/>
    </row>
    <row r="81" spans="1:26" s="12" customFormat="1" x14ac:dyDescent="0.25">
      <c r="A81" s="214" t="s">
        <v>2334</v>
      </c>
      <c r="B81" s="64">
        <v>5.0999999999999996</v>
      </c>
      <c r="C81" s="64">
        <v>17.43</v>
      </c>
      <c r="D81" s="64">
        <v>13.2</v>
      </c>
      <c r="E81" s="64">
        <v>4.93</v>
      </c>
      <c r="F81" s="64">
        <v>15.65</v>
      </c>
      <c r="G81" s="64">
        <v>92.17</v>
      </c>
      <c r="H81" s="64">
        <v>3.59</v>
      </c>
      <c r="I81" s="64">
        <v>1.53</v>
      </c>
      <c r="J81" s="64">
        <v>0.82</v>
      </c>
      <c r="K81" s="64">
        <v>138.47</v>
      </c>
      <c r="L81" s="64">
        <v>26.26</v>
      </c>
      <c r="M81" s="64">
        <v>98.07</v>
      </c>
      <c r="N81" s="64">
        <v>40.9</v>
      </c>
      <c r="O81" s="64">
        <v>0</v>
      </c>
      <c r="P81" s="64">
        <v>0.33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14" t="s">
        <v>2335</v>
      </c>
      <c r="B82" s="64">
        <v>5.47</v>
      </c>
      <c r="C82" s="64">
        <v>15.27</v>
      </c>
      <c r="D82" s="64">
        <v>12.37</v>
      </c>
      <c r="E82" s="64">
        <v>4.72</v>
      </c>
      <c r="F82" s="64">
        <v>9.24</v>
      </c>
      <c r="G82" s="64">
        <v>91.69</v>
      </c>
      <c r="H82" s="64">
        <v>3.59</v>
      </c>
      <c r="I82" s="64">
        <v>1.49</v>
      </c>
      <c r="J82" s="64">
        <v>1.49</v>
      </c>
      <c r="K82" s="64">
        <v>136.93</v>
      </c>
      <c r="L82" s="64">
        <v>25.84</v>
      </c>
      <c r="M82" s="64">
        <v>98.01</v>
      </c>
      <c r="N82" s="64">
        <v>40.9</v>
      </c>
      <c r="O82" s="64">
        <v>0</v>
      </c>
      <c r="P82" s="64">
        <v>0.4</v>
      </c>
      <c r="Q82" s="64">
        <v>9.19</v>
      </c>
      <c r="R82" s="198"/>
      <c r="S82" s="198"/>
      <c r="T82" s="198"/>
      <c r="U82" s="198"/>
    </row>
    <row r="83" spans="1:26" s="12" customFormat="1" x14ac:dyDescent="0.25">
      <c r="A83" s="214" t="s">
        <v>2336</v>
      </c>
      <c r="B83" s="64">
        <v>5.79</v>
      </c>
      <c r="C83" s="64">
        <v>14.62</v>
      </c>
      <c r="D83" s="64">
        <v>12.29</v>
      </c>
      <c r="E83" s="64">
        <v>4.79</v>
      </c>
      <c r="F83" s="64">
        <v>13.45</v>
      </c>
      <c r="G83" s="64">
        <v>91.69</v>
      </c>
      <c r="H83" s="64">
        <v>3.59</v>
      </c>
      <c r="I83" s="64">
        <v>1.49</v>
      </c>
      <c r="J83" s="64">
        <v>1.01</v>
      </c>
      <c r="K83" s="64">
        <v>143.83000000000001</v>
      </c>
      <c r="L83" s="64">
        <v>25.5</v>
      </c>
      <c r="M83" s="64">
        <v>98.01</v>
      </c>
      <c r="N83" s="64">
        <v>40.6</v>
      </c>
      <c r="O83" s="64">
        <v>0</v>
      </c>
      <c r="P83" s="64">
        <v>0.37</v>
      </c>
      <c r="Q83" s="64">
        <v>9.1999999999999993</v>
      </c>
      <c r="R83" s="198"/>
      <c r="S83" s="198"/>
      <c r="T83" s="198"/>
      <c r="U83" s="198"/>
    </row>
    <row r="84" spans="1:26" s="12" customFormat="1" x14ac:dyDescent="0.25">
      <c r="A84" s="214" t="s">
        <v>2337</v>
      </c>
      <c r="B84" s="64">
        <v>6.09</v>
      </c>
      <c r="C84" s="64">
        <v>16.989999999999998</v>
      </c>
      <c r="D84" s="64">
        <v>13.76</v>
      </c>
      <c r="E84" s="64">
        <v>4.7699999999999996</v>
      </c>
      <c r="F84" s="64">
        <v>13.35</v>
      </c>
      <c r="G84" s="64">
        <v>91.69</v>
      </c>
      <c r="H84" s="64">
        <v>3.59</v>
      </c>
      <c r="I84" s="64">
        <v>1.48</v>
      </c>
      <c r="J84" s="64">
        <v>0.87</v>
      </c>
      <c r="K84" s="64">
        <v>140.34</v>
      </c>
      <c r="L84" s="64">
        <v>25.34</v>
      </c>
      <c r="M84" s="64">
        <v>98.05</v>
      </c>
      <c r="N84" s="64">
        <v>40.4</v>
      </c>
      <c r="O84" s="64">
        <v>0</v>
      </c>
      <c r="P84" s="64">
        <v>0.34</v>
      </c>
      <c r="Q84" s="64">
        <v>9.23</v>
      </c>
      <c r="R84" s="198"/>
      <c r="S84" s="198"/>
      <c r="T84" s="198"/>
      <c r="U84" s="198"/>
    </row>
    <row r="85" spans="1:26" s="12" customFormat="1" x14ac:dyDescent="0.25">
      <c r="A85" s="214" t="s">
        <v>2338</v>
      </c>
      <c r="B85" s="64">
        <v>5.51</v>
      </c>
      <c r="C85" s="64">
        <v>14.29</v>
      </c>
      <c r="D85" s="64">
        <v>11.88</v>
      </c>
      <c r="E85" s="64">
        <v>4.4800000000000004</v>
      </c>
      <c r="F85" s="64">
        <v>12.94</v>
      </c>
      <c r="G85" s="64">
        <v>64.17</v>
      </c>
      <c r="H85" s="64">
        <v>6.47</v>
      </c>
      <c r="I85" s="64">
        <v>1.48</v>
      </c>
      <c r="J85" s="64">
        <v>0.95</v>
      </c>
      <c r="K85" s="64">
        <v>134.85</v>
      </c>
      <c r="L85" s="64">
        <v>25.24</v>
      </c>
      <c r="M85" s="64">
        <v>98.06</v>
      </c>
      <c r="N85" s="64">
        <v>40.200000000000003</v>
      </c>
      <c r="O85" s="64">
        <v>0</v>
      </c>
      <c r="P85" s="64">
        <v>0.35</v>
      </c>
      <c r="Q85" s="64">
        <v>9.23</v>
      </c>
      <c r="R85" s="198"/>
      <c r="S85" s="198"/>
      <c r="T85" s="198"/>
      <c r="U85" s="198"/>
    </row>
    <row r="86" spans="1:26" s="12" customFormat="1" x14ac:dyDescent="0.25">
      <c r="A86" s="214" t="s">
        <v>2339</v>
      </c>
      <c r="B86" s="64">
        <v>5.49</v>
      </c>
      <c r="C86" s="64">
        <v>12.54</v>
      </c>
      <c r="D86" s="64">
        <v>10.95</v>
      </c>
      <c r="E86" s="64">
        <v>4.57</v>
      </c>
      <c r="F86" s="64">
        <v>13.26</v>
      </c>
      <c r="G86" s="64">
        <v>62.21</v>
      </c>
      <c r="H86" s="64">
        <v>6.47</v>
      </c>
      <c r="I86" s="64">
        <v>1.47</v>
      </c>
      <c r="J86" s="64">
        <v>0.79</v>
      </c>
      <c r="K86" s="64">
        <v>131.53</v>
      </c>
      <c r="L86" s="64">
        <v>25</v>
      </c>
      <c r="M86" s="64">
        <v>98.1</v>
      </c>
      <c r="N86" s="64">
        <v>40.4</v>
      </c>
      <c r="O86" s="64">
        <v>0</v>
      </c>
      <c r="P86" s="64">
        <v>0.39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14" t="s">
        <v>2340</v>
      </c>
      <c r="B87" s="64">
        <v>5.44</v>
      </c>
      <c r="C87" s="64">
        <v>11.66</v>
      </c>
      <c r="D87" s="64">
        <v>10.46</v>
      </c>
      <c r="E87" s="64">
        <v>4.93</v>
      </c>
      <c r="F87" s="64">
        <v>14.46</v>
      </c>
      <c r="G87" s="64">
        <v>62.21</v>
      </c>
      <c r="H87" s="64">
        <v>6.47</v>
      </c>
      <c r="I87" s="64">
        <v>1.48</v>
      </c>
      <c r="J87" s="64">
        <v>0.79</v>
      </c>
      <c r="K87" s="64">
        <v>128.74</v>
      </c>
      <c r="L87" s="64">
        <v>24.85</v>
      </c>
      <c r="M87" s="64">
        <v>98.06</v>
      </c>
      <c r="N87" s="64">
        <v>40.299999999999997</v>
      </c>
      <c r="O87" s="64">
        <v>0</v>
      </c>
      <c r="P87" s="64">
        <v>0.38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4" t="s">
        <v>2341</v>
      </c>
      <c r="B88" s="64">
        <v>6.32</v>
      </c>
      <c r="C88" s="64">
        <v>14.32</v>
      </c>
      <c r="D88" s="64">
        <v>12.55</v>
      </c>
      <c r="E88" s="64">
        <v>4.8099999999999996</v>
      </c>
      <c r="F88" s="64">
        <v>13.21</v>
      </c>
      <c r="G88" s="64">
        <v>62.21</v>
      </c>
      <c r="H88" s="64">
        <v>6.47</v>
      </c>
      <c r="I88" s="64">
        <v>1.49</v>
      </c>
      <c r="J88" s="64">
        <v>0.84</v>
      </c>
      <c r="K88" s="64">
        <v>131.13999999999999</v>
      </c>
      <c r="L88" s="64">
        <v>24.79</v>
      </c>
      <c r="M88" s="64">
        <v>98.07</v>
      </c>
      <c r="N88" s="64">
        <v>40.200000000000003</v>
      </c>
      <c r="O88" s="64">
        <v>0</v>
      </c>
      <c r="P88" s="64">
        <v>0.37</v>
      </c>
      <c r="Q88" s="64">
        <v>9.24</v>
      </c>
      <c r="R88" s="198"/>
      <c r="S88" s="198"/>
      <c r="T88" s="198"/>
      <c r="U88" s="198"/>
    </row>
    <row r="89" spans="1:26" s="12" customFormat="1" x14ac:dyDescent="0.25">
      <c r="A89" s="214" t="s">
        <v>2342</v>
      </c>
      <c r="B89" s="64">
        <v>5.85</v>
      </c>
      <c r="C89" s="64">
        <v>12.13</v>
      </c>
      <c r="D89" s="64">
        <v>11.03</v>
      </c>
      <c r="E89" s="64">
        <v>4.84</v>
      </c>
      <c r="F89" s="64">
        <v>12.91</v>
      </c>
      <c r="G89" s="64">
        <v>49.12</v>
      </c>
      <c r="H89" s="64">
        <v>4.79</v>
      </c>
      <c r="I89" s="64">
        <v>1.52</v>
      </c>
      <c r="J89" s="64">
        <v>1.04</v>
      </c>
      <c r="K89" s="64">
        <v>133.08000000000001</v>
      </c>
      <c r="L89" s="64">
        <v>24.78</v>
      </c>
      <c r="M89" s="64">
        <v>98.13</v>
      </c>
      <c r="N89" s="64">
        <v>40.1</v>
      </c>
      <c r="O89" s="64">
        <v>0</v>
      </c>
      <c r="P89" s="64">
        <v>0.36</v>
      </c>
      <c r="Q89" s="64">
        <v>9.25</v>
      </c>
      <c r="R89" s="198"/>
      <c r="S89" s="198"/>
      <c r="T89" s="198"/>
      <c r="U89" s="198"/>
    </row>
    <row r="90" spans="1:26" s="12" customFormat="1" x14ac:dyDescent="0.25">
      <c r="A90" s="214" t="s">
        <v>2343</v>
      </c>
      <c r="B90" s="64">
        <v>6.34</v>
      </c>
      <c r="C90" s="64">
        <v>15.39</v>
      </c>
      <c r="D90" s="64">
        <v>13.13</v>
      </c>
      <c r="E90" s="64">
        <v>4.82</v>
      </c>
      <c r="F90" s="64">
        <v>12.29</v>
      </c>
      <c r="G90" s="64">
        <v>48.19</v>
      </c>
      <c r="H90" s="64">
        <v>4.79</v>
      </c>
      <c r="I90" s="64">
        <v>1.53</v>
      </c>
      <c r="J90" s="64">
        <v>0.8</v>
      </c>
      <c r="K90" s="64">
        <v>137.46</v>
      </c>
      <c r="L90" s="64">
        <v>24.82</v>
      </c>
      <c r="M90" s="64">
        <v>98.15</v>
      </c>
      <c r="N90" s="64">
        <v>40.1</v>
      </c>
      <c r="O90" s="64">
        <v>0</v>
      </c>
      <c r="P90" s="64">
        <v>0.36</v>
      </c>
      <c r="Q90" s="64">
        <v>9.25</v>
      </c>
      <c r="R90" s="198"/>
      <c r="S90" s="198"/>
      <c r="T90" s="198"/>
      <c r="U90" s="198"/>
    </row>
    <row r="91" spans="1:26" s="12" customFormat="1" x14ac:dyDescent="0.25">
      <c r="A91" s="214" t="s">
        <v>2344</v>
      </c>
      <c r="B91" s="64">
        <v>6.53</v>
      </c>
      <c r="C91" s="64">
        <v>12.67</v>
      </c>
      <c r="D91" s="64">
        <v>11.86</v>
      </c>
      <c r="E91" s="64">
        <v>4.75</v>
      </c>
      <c r="F91" s="64">
        <v>7.31</v>
      </c>
      <c r="G91" s="64">
        <v>48.19</v>
      </c>
      <c r="H91" s="64">
        <v>4.79</v>
      </c>
      <c r="I91" s="64">
        <v>1.52</v>
      </c>
      <c r="J91" s="64">
        <v>1.02</v>
      </c>
      <c r="K91" s="64">
        <v>140.78</v>
      </c>
      <c r="L91" s="64">
        <v>24.78</v>
      </c>
      <c r="M91" s="64">
        <v>98.13</v>
      </c>
      <c r="N91" s="64">
        <v>40.4</v>
      </c>
      <c r="O91" s="64">
        <v>0</v>
      </c>
      <c r="P91" s="64">
        <v>0.4</v>
      </c>
      <c r="Q91" s="64">
        <v>9.24</v>
      </c>
      <c r="R91" s="198"/>
      <c r="S91" s="198"/>
      <c r="T91" s="198"/>
      <c r="U91" s="198"/>
    </row>
    <row r="92" spans="1:26" s="12" customFormat="1" x14ac:dyDescent="0.25">
      <c r="A92" s="214" t="s">
        <v>2345</v>
      </c>
      <c r="B92" s="64">
        <v>6.65</v>
      </c>
      <c r="C92" s="64">
        <v>12.17</v>
      </c>
      <c r="D92" s="64">
        <v>11.69</v>
      </c>
      <c r="E92" s="64">
        <v>4.45</v>
      </c>
      <c r="F92" s="64">
        <v>9.1</v>
      </c>
      <c r="G92" s="64">
        <v>48.19</v>
      </c>
      <c r="H92" s="64">
        <v>4.79</v>
      </c>
      <c r="I92" s="64">
        <v>1.51</v>
      </c>
      <c r="J92" s="64">
        <v>0.84</v>
      </c>
      <c r="K92" s="64">
        <v>144.35</v>
      </c>
      <c r="L92" s="64">
        <v>24.71</v>
      </c>
      <c r="M92" s="64">
        <v>98.1</v>
      </c>
      <c r="N92" s="64">
        <v>40.4</v>
      </c>
      <c r="O92" s="64">
        <v>0</v>
      </c>
      <c r="P92" s="64">
        <v>0.39</v>
      </c>
      <c r="Q92" s="64">
        <v>9.2200000000000006</v>
      </c>
      <c r="R92" s="198"/>
      <c r="S92" s="198"/>
      <c r="T92" s="198"/>
      <c r="U92" s="198"/>
    </row>
    <row r="93" spans="1:26" s="12" customFormat="1" x14ac:dyDescent="0.25">
      <c r="A93" s="214" t="s">
        <v>2346</v>
      </c>
      <c r="B93" s="64">
        <v>6.83</v>
      </c>
      <c r="C93" s="64">
        <v>13.26</v>
      </c>
      <c r="D93" s="64">
        <v>12.41</v>
      </c>
      <c r="E93" s="64">
        <v>4.93</v>
      </c>
      <c r="F93" s="64">
        <v>8.07</v>
      </c>
      <c r="G93" s="64">
        <v>46.27</v>
      </c>
      <c r="H93" s="64">
        <v>3.3</v>
      </c>
      <c r="I93" s="64">
        <v>1.47</v>
      </c>
      <c r="J93" s="64">
        <v>0.81</v>
      </c>
      <c r="K93" s="64">
        <v>138.61000000000001</v>
      </c>
      <c r="L93" s="64">
        <v>24.62</v>
      </c>
      <c r="M93" s="64">
        <v>98.08</v>
      </c>
      <c r="N93" s="64">
        <v>40.4</v>
      </c>
      <c r="O93" s="64">
        <v>0</v>
      </c>
      <c r="P93" s="64">
        <v>0.38</v>
      </c>
      <c r="Q93" s="64">
        <v>9.2100000000000009</v>
      </c>
      <c r="R93" s="198"/>
      <c r="S93" s="198"/>
      <c r="T93" s="198"/>
      <c r="U93" s="198"/>
    </row>
    <row r="94" spans="1:26" s="12" customFormat="1" x14ac:dyDescent="0.25">
      <c r="A94" s="214" t="s">
        <v>2347</v>
      </c>
      <c r="B94" s="64">
        <v>6.87</v>
      </c>
      <c r="C94" s="64">
        <v>13.67</v>
      </c>
      <c r="D94" s="64">
        <v>12.66</v>
      </c>
      <c r="E94" s="64">
        <v>4.72</v>
      </c>
      <c r="F94" s="64">
        <v>11.48</v>
      </c>
      <c r="G94" s="64">
        <v>46.13</v>
      </c>
      <c r="H94" s="64">
        <v>3.3</v>
      </c>
      <c r="I94" s="64">
        <v>1.45</v>
      </c>
      <c r="J94" s="64">
        <v>0.41</v>
      </c>
      <c r="K94" s="64">
        <v>133.44999999999999</v>
      </c>
      <c r="L94" s="64">
        <v>24.55</v>
      </c>
      <c r="M94" s="64">
        <v>98.1</v>
      </c>
      <c r="N94" s="64">
        <v>40.299999999999997</v>
      </c>
      <c r="O94" s="64">
        <v>0</v>
      </c>
      <c r="P94" s="64">
        <v>0.33</v>
      </c>
      <c r="Q94" s="64">
        <v>9.2100000000000009</v>
      </c>
      <c r="R94" s="198"/>
      <c r="S94" s="198"/>
      <c r="T94" s="198"/>
      <c r="U94" s="198"/>
    </row>
    <row r="95" spans="1:26" s="12" customFormat="1" x14ac:dyDescent="0.25">
      <c r="A95" s="214" t="s">
        <v>2348</v>
      </c>
      <c r="B95" s="64">
        <v>6.77</v>
      </c>
      <c r="C95" s="64">
        <v>13.08</v>
      </c>
      <c r="D95" s="64">
        <v>12.27</v>
      </c>
      <c r="E95" s="64">
        <v>4.8899999999999997</v>
      </c>
      <c r="F95" s="64">
        <v>10.44</v>
      </c>
      <c r="G95" s="64">
        <v>46.13</v>
      </c>
      <c r="H95" s="64">
        <v>3.3</v>
      </c>
      <c r="I95" s="64">
        <v>1.45</v>
      </c>
      <c r="J95" s="64">
        <v>0.14000000000000001</v>
      </c>
      <c r="K95" s="64">
        <v>140.03</v>
      </c>
      <c r="L95" s="64">
        <v>24.45</v>
      </c>
      <c r="M95" s="64">
        <v>98.13</v>
      </c>
      <c r="N95" s="64">
        <v>40.4</v>
      </c>
      <c r="O95" s="64">
        <v>0</v>
      </c>
      <c r="P95" s="64">
        <v>0.36</v>
      </c>
      <c r="Q95" s="64">
        <v>9.1999999999999993</v>
      </c>
      <c r="R95" s="198"/>
      <c r="S95" s="198"/>
      <c r="T95" s="198"/>
      <c r="U95" s="198"/>
    </row>
    <row r="96" spans="1:26" s="12" customFormat="1" x14ac:dyDescent="0.25">
      <c r="A96" s="214" t="s">
        <v>2349</v>
      </c>
      <c r="B96" s="64">
        <v>6.32</v>
      </c>
      <c r="C96" s="64">
        <v>11.43</v>
      </c>
      <c r="D96" s="64">
        <v>11.04</v>
      </c>
      <c r="E96" s="64">
        <v>4.84</v>
      </c>
      <c r="F96" s="64">
        <v>10.42</v>
      </c>
      <c r="G96" s="64">
        <v>46.13</v>
      </c>
      <c r="H96" s="64">
        <v>3.3</v>
      </c>
      <c r="I96" s="64">
        <v>1.45</v>
      </c>
      <c r="J96" s="64">
        <v>0.02</v>
      </c>
      <c r="K96" s="64">
        <v>208.48</v>
      </c>
      <c r="L96" s="64">
        <v>24.37</v>
      </c>
      <c r="M96" s="64">
        <v>98.16</v>
      </c>
      <c r="N96" s="64">
        <v>40.299999999999997</v>
      </c>
      <c r="O96" s="64">
        <v>0</v>
      </c>
      <c r="P96" s="64">
        <v>0.37</v>
      </c>
      <c r="Q96" s="64">
        <v>9.1999999999999993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2350</v>
      </c>
      <c r="B97" s="64">
        <v>5.85</v>
      </c>
      <c r="C97" s="64">
        <v>10.94</v>
      </c>
      <c r="D97" s="64">
        <v>10.41</v>
      </c>
      <c r="E97" s="64">
        <v>4.7300000000000004</v>
      </c>
      <c r="F97" s="64">
        <v>9.6999999999999993</v>
      </c>
      <c r="G97" s="64">
        <v>43.5</v>
      </c>
      <c r="H97" s="64">
        <v>2.31</v>
      </c>
      <c r="I97" s="64">
        <v>1.54</v>
      </c>
      <c r="J97" s="64">
        <v>0.28000000000000003</v>
      </c>
      <c r="K97" s="64">
        <v>134.77000000000001</v>
      </c>
      <c r="L97" s="64">
        <v>24.25</v>
      </c>
      <c r="M97" s="64">
        <v>98.18</v>
      </c>
      <c r="N97" s="64">
        <v>40.1</v>
      </c>
      <c r="O97" s="64">
        <v>0</v>
      </c>
      <c r="P97" s="64">
        <v>0.34</v>
      </c>
      <c r="Q97" s="64">
        <v>9.19</v>
      </c>
      <c r="R97" s="198"/>
      <c r="S97" s="198"/>
      <c r="T97" s="198"/>
      <c r="U97" s="198"/>
    </row>
    <row r="98" spans="1:33" s="12" customFormat="1" x14ac:dyDescent="0.25">
      <c r="A98" s="214" t="s">
        <v>2351</v>
      </c>
      <c r="B98" s="64">
        <v>5.82</v>
      </c>
      <c r="C98" s="64">
        <v>11.92</v>
      </c>
      <c r="D98" s="64">
        <v>10.89</v>
      </c>
      <c r="E98" s="64">
        <v>4.7300000000000004</v>
      </c>
      <c r="F98" s="64">
        <v>10</v>
      </c>
      <c r="G98" s="64">
        <v>43.31</v>
      </c>
      <c r="H98" s="64">
        <v>2.31</v>
      </c>
      <c r="I98" s="64">
        <v>1.62</v>
      </c>
      <c r="J98" s="64">
        <v>0.23</v>
      </c>
      <c r="K98" s="64">
        <v>123.68</v>
      </c>
      <c r="L98" s="64">
        <v>24.19</v>
      </c>
      <c r="M98" s="64">
        <v>98.21</v>
      </c>
      <c r="N98" s="64">
        <v>40</v>
      </c>
      <c r="O98" s="64">
        <v>0</v>
      </c>
      <c r="P98" s="64">
        <v>0.31</v>
      </c>
      <c r="Q98" s="64">
        <v>9.19</v>
      </c>
      <c r="R98" s="198"/>
      <c r="S98" s="198"/>
      <c r="T98" s="198"/>
      <c r="U98" s="198"/>
    </row>
    <row r="99" spans="1:33" s="12" customFormat="1" x14ac:dyDescent="0.25">
      <c r="A99" s="214" t="s">
        <v>2352</v>
      </c>
      <c r="B99" s="64">
        <v>5.78</v>
      </c>
      <c r="C99" s="64">
        <v>11.21</v>
      </c>
      <c r="D99" s="64">
        <v>10.5</v>
      </c>
      <c r="E99" s="64">
        <v>4.4800000000000004</v>
      </c>
      <c r="F99" s="64">
        <v>10.89</v>
      </c>
      <c r="G99" s="64">
        <v>43.31</v>
      </c>
      <c r="H99" s="64">
        <v>2.31</v>
      </c>
      <c r="I99" s="64">
        <v>1.63</v>
      </c>
      <c r="J99" s="64">
        <v>0.11</v>
      </c>
      <c r="K99" s="64">
        <v>108.54</v>
      </c>
      <c r="L99" s="64">
        <v>24.17</v>
      </c>
      <c r="M99" s="64">
        <v>98.21</v>
      </c>
      <c r="N99" s="64">
        <v>40.1</v>
      </c>
      <c r="O99" s="64">
        <v>0</v>
      </c>
      <c r="P99" s="64">
        <v>0.31</v>
      </c>
      <c r="Q99" s="64">
        <v>9.1999999999999993</v>
      </c>
      <c r="R99" s="198"/>
      <c r="S99" s="198"/>
      <c r="T99" s="198"/>
      <c r="U99" s="198"/>
    </row>
    <row r="100" spans="1:33" s="12" customFormat="1" x14ac:dyDescent="0.25">
      <c r="A100" s="214" t="s">
        <v>2353</v>
      </c>
      <c r="B100" s="64">
        <v>5.86</v>
      </c>
      <c r="C100" s="64">
        <v>12.08</v>
      </c>
      <c r="D100" s="64">
        <v>11.01</v>
      </c>
      <c r="E100" s="64">
        <v>4.58</v>
      </c>
      <c r="F100" s="64">
        <v>11.04</v>
      </c>
      <c r="G100" s="64">
        <v>43.31</v>
      </c>
      <c r="H100" s="64">
        <v>2.31</v>
      </c>
      <c r="I100" s="64">
        <v>1.62</v>
      </c>
      <c r="J100" s="64">
        <v>0.28000000000000003</v>
      </c>
      <c r="K100" s="64">
        <v>114.68</v>
      </c>
      <c r="L100" s="64">
        <v>24.13</v>
      </c>
      <c r="M100" s="64">
        <v>98.28</v>
      </c>
      <c r="N100" s="64">
        <v>40</v>
      </c>
      <c r="O100" s="64">
        <v>0</v>
      </c>
      <c r="P100" s="64">
        <v>0.33</v>
      </c>
      <c r="Q100" s="64">
        <v>9.1999999999999993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2354</v>
      </c>
      <c r="B101" s="64">
        <v>5.73</v>
      </c>
      <c r="C101" s="64">
        <v>9.86</v>
      </c>
      <c r="D101" s="64">
        <v>9.75</v>
      </c>
      <c r="E101" s="64">
        <v>4.53</v>
      </c>
      <c r="F101" s="64">
        <v>13.99</v>
      </c>
      <c r="G101" s="64">
        <v>46.84</v>
      </c>
      <c r="H101" s="64">
        <v>2.78</v>
      </c>
      <c r="I101" s="64">
        <v>1.62</v>
      </c>
      <c r="J101" s="64">
        <v>0.03</v>
      </c>
      <c r="K101" s="64">
        <v>247.08</v>
      </c>
      <c r="L101" s="64">
        <v>24.16</v>
      </c>
      <c r="M101" s="64">
        <v>98.28</v>
      </c>
      <c r="N101" s="64">
        <v>40.1</v>
      </c>
      <c r="O101" s="64">
        <v>0</v>
      </c>
      <c r="P101" s="64">
        <v>0.28000000000000003</v>
      </c>
      <c r="Q101" s="64">
        <v>9.1999999999999993</v>
      </c>
      <c r="R101" s="198"/>
      <c r="S101" s="198"/>
      <c r="T101" s="198"/>
      <c r="U101" s="198"/>
    </row>
    <row r="102" spans="1:33" s="12" customFormat="1" x14ac:dyDescent="0.25">
      <c r="A102" s="214" t="s">
        <v>2355</v>
      </c>
      <c r="B102" s="64">
        <v>5.74</v>
      </c>
      <c r="C102" s="64">
        <v>10.210000000000001</v>
      </c>
      <c r="D102" s="64">
        <v>9.94</v>
      </c>
      <c r="E102" s="64">
        <v>4.42</v>
      </c>
      <c r="F102" s="64">
        <v>12.07</v>
      </c>
      <c r="G102" s="64">
        <v>47.09</v>
      </c>
      <c r="H102" s="64">
        <v>2.78</v>
      </c>
      <c r="I102" s="64">
        <v>1.62</v>
      </c>
      <c r="J102" s="64">
        <v>7.0000000000000007E-2</v>
      </c>
      <c r="K102" s="64">
        <v>239.9</v>
      </c>
      <c r="L102" s="64">
        <v>24.08</v>
      </c>
      <c r="M102" s="64">
        <v>98.23</v>
      </c>
      <c r="N102" s="64">
        <v>40.299999999999997</v>
      </c>
      <c r="O102" s="64">
        <v>0</v>
      </c>
      <c r="P102" s="64">
        <v>0.28999999999999998</v>
      </c>
      <c r="Q102" s="64">
        <v>9.2100000000000009</v>
      </c>
      <c r="R102" s="198"/>
      <c r="S102" s="198"/>
      <c r="T102" s="198"/>
      <c r="U102" s="198"/>
    </row>
    <row r="103" spans="1:33" s="12" customFormat="1" x14ac:dyDescent="0.25">
      <c r="A103" s="214" t="s">
        <v>2356</v>
      </c>
      <c r="B103" s="64">
        <v>5.5</v>
      </c>
      <c r="C103" s="64">
        <v>9.69</v>
      </c>
      <c r="D103" s="64">
        <v>9.4700000000000006</v>
      </c>
      <c r="E103" s="64">
        <v>4.49</v>
      </c>
      <c r="F103" s="64">
        <v>11.31</v>
      </c>
      <c r="G103" s="64">
        <v>47.09</v>
      </c>
      <c r="H103" s="64">
        <v>2.78</v>
      </c>
      <c r="I103" s="64">
        <v>1.61</v>
      </c>
      <c r="J103" s="64">
        <v>0.05</v>
      </c>
      <c r="K103" s="64">
        <v>229.21</v>
      </c>
      <c r="L103" s="64">
        <v>24.05</v>
      </c>
      <c r="M103" s="64">
        <v>98.26</v>
      </c>
      <c r="N103" s="64">
        <v>40.1</v>
      </c>
      <c r="O103" s="64">
        <v>0</v>
      </c>
      <c r="P103" s="64">
        <v>0.28000000000000003</v>
      </c>
      <c r="Q103" s="64">
        <v>9.2200000000000006</v>
      </c>
      <c r="R103" s="198"/>
      <c r="S103" s="198"/>
      <c r="T103" s="198"/>
      <c r="U103" s="198"/>
    </row>
    <row r="104" spans="1:33" s="12" customFormat="1" x14ac:dyDescent="0.25">
      <c r="A104" s="214" t="s">
        <v>2357</v>
      </c>
      <c r="B104" s="64">
        <v>5.53</v>
      </c>
      <c r="C104" s="64">
        <v>9.3699999999999992</v>
      </c>
      <c r="D104" s="64">
        <v>9.33</v>
      </c>
      <c r="E104" s="64">
        <v>3.93</v>
      </c>
      <c r="F104" s="64">
        <v>13.62</v>
      </c>
      <c r="G104" s="64">
        <v>47.09</v>
      </c>
      <c r="H104" s="64">
        <v>2.78</v>
      </c>
      <c r="I104" s="64">
        <v>1.6</v>
      </c>
      <c r="J104" s="64">
        <v>0.02</v>
      </c>
      <c r="K104" s="64">
        <v>252.39</v>
      </c>
      <c r="L104" s="64">
        <v>24.01</v>
      </c>
      <c r="M104" s="64">
        <v>98.32</v>
      </c>
      <c r="N104" s="64">
        <v>40.200000000000003</v>
      </c>
      <c r="O104" s="64">
        <v>0</v>
      </c>
      <c r="P104" s="64">
        <v>0.28999999999999998</v>
      </c>
      <c r="Q104" s="64">
        <v>9.23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1.61</v>
      </c>
      <c r="C106" s="67">
        <f>MIN(C9:C104)</f>
        <v>9.3699999999999992</v>
      </c>
      <c r="D106" s="67">
        <f t="shared" ref="D106:Q106" si="0">MIN(D9:D104)</f>
        <v>7.15</v>
      </c>
      <c r="E106" s="67">
        <f t="shared" si="0"/>
        <v>3.93</v>
      </c>
      <c r="F106" s="67">
        <f t="shared" si="0"/>
        <v>3.91</v>
      </c>
      <c r="G106" s="67">
        <f t="shared" si="0"/>
        <v>20.329999999999998</v>
      </c>
      <c r="H106" s="67">
        <f t="shared" si="0"/>
        <v>1.91</v>
      </c>
      <c r="I106" s="67">
        <f t="shared" si="0"/>
        <v>1.45</v>
      </c>
      <c r="J106" s="67">
        <f t="shared" si="0"/>
        <v>0.02</v>
      </c>
      <c r="K106" s="67">
        <f t="shared" si="0"/>
        <v>0.28000000000000003</v>
      </c>
      <c r="L106" s="67">
        <f t="shared" si="0"/>
        <v>22.01</v>
      </c>
      <c r="M106" s="67">
        <f t="shared" si="0"/>
        <v>54.08</v>
      </c>
      <c r="N106" s="67">
        <f t="shared" si="0"/>
        <v>37.299999999999997</v>
      </c>
      <c r="O106" s="67">
        <f t="shared" si="0"/>
        <v>0</v>
      </c>
      <c r="P106" s="67">
        <f t="shared" si="0"/>
        <v>0.28000000000000003</v>
      </c>
      <c r="Q106" s="67">
        <f t="shared" si="0"/>
        <v>9.19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23.7</v>
      </c>
      <c r="C107" s="66">
        <f t="shared" ref="C107:Q107" si="1">MAX(C9:C104)</f>
        <v>35.14</v>
      </c>
      <c r="D107" s="66">
        <f t="shared" si="1"/>
        <v>36.19</v>
      </c>
      <c r="E107" s="66">
        <f t="shared" si="1"/>
        <v>7.83</v>
      </c>
      <c r="F107" s="66">
        <f t="shared" si="1"/>
        <v>22.14</v>
      </c>
      <c r="G107" s="66">
        <f t="shared" si="1"/>
        <v>110.19</v>
      </c>
      <c r="H107" s="66">
        <f t="shared" si="1"/>
        <v>6.47</v>
      </c>
      <c r="I107" s="66">
        <f t="shared" si="1"/>
        <v>2.35</v>
      </c>
      <c r="J107" s="66">
        <f t="shared" si="1"/>
        <v>1.49</v>
      </c>
      <c r="K107" s="66">
        <f t="shared" si="1"/>
        <v>357.83</v>
      </c>
      <c r="L107" s="66">
        <f t="shared" si="1"/>
        <v>34.1</v>
      </c>
      <c r="M107" s="66">
        <f t="shared" si="1"/>
        <v>98.32</v>
      </c>
      <c r="N107" s="66">
        <f t="shared" si="1"/>
        <v>793.2</v>
      </c>
      <c r="O107" s="66">
        <f t="shared" si="1"/>
        <v>0</v>
      </c>
      <c r="P107" s="66">
        <f t="shared" si="1"/>
        <v>1.0900000000000001</v>
      </c>
      <c r="Q107" s="66">
        <f t="shared" si="1"/>
        <v>9.39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5.9757291666666674</v>
      </c>
      <c r="C108" s="67">
        <f t="shared" ref="C108:Q108" si="2">AVERAGE(C9:C104)</f>
        <v>16.168854166666669</v>
      </c>
      <c r="D108" s="67">
        <f t="shared" si="2"/>
        <v>13.271875000000003</v>
      </c>
      <c r="E108" s="67">
        <f t="shared" si="2"/>
        <v>5.3190625000000011</v>
      </c>
      <c r="F108" s="67">
        <f t="shared" si="2"/>
        <v>12.672604166666668</v>
      </c>
      <c r="G108" s="67">
        <f t="shared" si="2"/>
        <v>62.770312499999982</v>
      </c>
      <c r="H108" s="67">
        <f t="shared" si="2"/>
        <v>3.427500000000002</v>
      </c>
      <c r="I108" s="67">
        <f t="shared" si="2"/>
        <v>1.7981249999999995</v>
      </c>
      <c r="J108" s="67">
        <f t="shared" si="2"/>
        <v>0.52385416666666673</v>
      </c>
      <c r="K108" s="67">
        <f t="shared" si="2"/>
        <v>239.32593750000009</v>
      </c>
      <c r="L108" s="67">
        <f t="shared" si="2"/>
        <v>26.954375000000002</v>
      </c>
      <c r="M108" s="67">
        <f t="shared" si="2"/>
        <v>87.131250000000009</v>
      </c>
      <c r="N108" s="67">
        <f t="shared" si="2"/>
        <v>172.66145833333329</v>
      </c>
      <c r="O108" s="67">
        <f t="shared" si="2"/>
        <v>0</v>
      </c>
      <c r="P108" s="67">
        <f t="shared" si="2"/>
        <v>0.49822916666666656</v>
      </c>
      <c r="Q108" s="67">
        <f t="shared" si="2"/>
        <v>9.2694791666666738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4.2101448268105086</v>
      </c>
      <c r="C109" s="67">
        <f t="shared" ref="C109:Q109" si="3">STDEV(C9:C104)</f>
        <v>5.2174877741347627</v>
      </c>
      <c r="D109" s="67">
        <f t="shared" si="3"/>
        <v>5.5670578665461603</v>
      </c>
      <c r="E109" s="67">
        <f t="shared" si="3"/>
        <v>0.94015013148796178</v>
      </c>
      <c r="F109" s="67">
        <f t="shared" si="3"/>
        <v>4.4766616426439088</v>
      </c>
      <c r="G109" s="67">
        <f t="shared" si="3"/>
        <v>25.906214635554623</v>
      </c>
      <c r="H109" s="67">
        <f t="shared" si="3"/>
        <v>1.2413786902599713</v>
      </c>
      <c r="I109" s="67">
        <f t="shared" si="3"/>
        <v>0.23529293053106709</v>
      </c>
      <c r="J109" s="67">
        <f t="shared" si="3"/>
        <v>0.41912030628490282</v>
      </c>
      <c r="K109" s="67">
        <f t="shared" si="3"/>
        <v>101.59054400233684</v>
      </c>
      <c r="L109" s="67">
        <f t="shared" si="3"/>
        <v>3.417545999382352</v>
      </c>
      <c r="M109" s="67">
        <f t="shared" si="3"/>
        <v>15.395826177383604</v>
      </c>
      <c r="N109" s="67">
        <f t="shared" si="3"/>
        <v>209.91818274335344</v>
      </c>
      <c r="O109" s="67">
        <f t="shared" si="3"/>
        <v>0</v>
      </c>
      <c r="P109" s="67">
        <f t="shared" si="3"/>
        <v>0.17828418940832194</v>
      </c>
      <c r="Q109" s="67">
        <f t="shared" si="3"/>
        <v>5.3101091111134313E-2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2358</v>
      </c>
      <c r="B9" s="64">
        <v>5.54</v>
      </c>
      <c r="C9" s="64">
        <v>8.76</v>
      </c>
      <c r="D9" s="64">
        <v>9.02</v>
      </c>
      <c r="E9" s="64">
        <v>3.84</v>
      </c>
      <c r="F9" s="64">
        <v>12.4</v>
      </c>
      <c r="G9" s="64">
        <v>37.14</v>
      </c>
      <c r="H9" s="64">
        <v>2</v>
      </c>
      <c r="I9" s="64">
        <v>1.59</v>
      </c>
      <c r="J9" s="64">
        <v>0.03</v>
      </c>
      <c r="K9" s="64">
        <v>235.15</v>
      </c>
      <c r="L9" s="64">
        <v>23.98</v>
      </c>
      <c r="M9" s="64">
        <v>98.27</v>
      </c>
      <c r="N9" s="64">
        <v>40.1</v>
      </c>
      <c r="O9" s="64">
        <v>0</v>
      </c>
      <c r="P9" s="64">
        <v>0.27</v>
      </c>
      <c r="Q9" s="64">
        <v>9.23</v>
      </c>
      <c r="S9" s="198"/>
      <c r="T9" s="198"/>
      <c r="U9" s="198"/>
    </row>
    <row r="10" spans="1:21" s="12" customFormat="1" x14ac:dyDescent="0.25">
      <c r="A10" s="214" t="s">
        <v>2359</v>
      </c>
      <c r="B10" s="64">
        <v>5.49</v>
      </c>
      <c r="C10" s="64">
        <v>9.31</v>
      </c>
      <c r="D10" s="64">
        <v>9.27</v>
      </c>
      <c r="E10" s="64">
        <v>3.72</v>
      </c>
      <c r="F10" s="64">
        <v>9.57</v>
      </c>
      <c r="G10" s="64">
        <v>36.43</v>
      </c>
      <c r="H10" s="64">
        <v>2</v>
      </c>
      <c r="I10" s="64">
        <v>1.58</v>
      </c>
      <c r="J10" s="64">
        <v>0.09</v>
      </c>
      <c r="K10" s="64">
        <v>263.27999999999997</v>
      </c>
      <c r="L10" s="64">
        <v>23.94</v>
      </c>
      <c r="M10" s="64">
        <v>98.34</v>
      </c>
      <c r="N10" s="64">
        <v>40</v>
      </c>
      <c r="O10" s="64">
        <v>0</v>
      </c>
      <c r="P10" s="64">
        <v>0.27</v>
      </c>
      <c r="Q10" s="64">
        <v>9.23</v>
      </c>
      <c r="S10" s="198"/>
      <c r="T10" s="198"/>
      <c r="U10" s="198"/>
    </row>
    <row r="11" spans="1:21" s="12" customFormat="1" x14ac:dyDescent="0.25">
      <c r="A11" s="214" t="s">
        <v>2360</v>
      </c>
      <c r="B11" s="64">
        <v>5.43</v>
      </c>
      <c r="C11" s="64">
        <v>9.57</v>
      </c>
      <c r="D11" s="64">
        <v>9.35</v>
      </c>
      <c r="E11" s="64">
        <v>3.56</v>
      </c>
      <c r="F11" s="64">
        <v>9.68</v>
      </c>
      <c r="G11" s="64">
        <v>36.43</v>
      </c>
      <c r="H11" s="64">
        <v>2</v>
      </c>
      <c r="I11" s="64">
        <v>1.58</v>
      </c>
      <c r="J11" s="64">
        <v>0.04</v>
      </c>
      <c r="K11" s="64">
        <v>188.07</v>
      </c>
      <c r="L11" s="64">
        <v>23.96</v>
      </c>
      <c r="M11" s="64">
        <v>98.28</v>
      </c>
      <c r="N11" s="64">
        <v>40</v>
      </c>
      <c r="O11" s="64">
        <v>0</v>
      </c>
      <c r="P11" s="64">
        <v>0.27</v>
      </c>
      <c r="Q11" s="64">
        <v>9.23</v>
      </c>
      <c r="S11" s="198"/>
      <c r="T11" s="198"/>
      <c r="U11" s="198"/>
    </row>
    <row r="12" spans="1:21" s="12" customFormat="1" x14ac:dyDescent="0.25">
      <c r="A12" s="214" t="s">
        <v>2361</v>
      </c>
      <c r="B12" s="64">
        <v>5.66</v>
      </c>
      <c r="C12" s="64">
        <v>9.6</v>
      </c>
      <c r="D12" s="64">
        <v>9.5500000000000007</v>
      </c>
      <c r="E12" s="64">
        <v>3.93</v>
      </c>
      <c r="F12" s="64">
        <v>11.03</v>
      </c>
      <c r="G12" s="64">
        <v>36.43</v>
      </c>
      <c r="H12" s="64">
        <v>2</v>
      </c>
      <c r="I12" s="64">
        <v>1.56</v>
      </c>
      <c r="J12" s="64">
        <v>0.04</v>
      </c>
      <c r="K12" s="64">
        <v>228.59</v>
      </c>
      <c r="L12" s="64">
        <v>24</v>
      </c>
      <c r="M12" s="64">
        <v>98.26</v>
      </c>
      <c r="N12" s="64">
        <v>40</v>
      </c>
      <c r="O12" s="64">
        <v>0</v>
      </c>
      <c r="P12" s="64">
        <v>0.28000000000000003</v>
      </c>
      <c r="Q12" s="64">
        <v>9.23</v>
      </c>
      <c r="S12" s="198"/>
      <c r="T12" s="198"/>
      <c r="U12" s="198"/>
    </row>
    <row r="13" spans="1:21" s="12" customFormat="1" x14ac:dyDescent="0.25">
      <c r="A13" s="214" t="s">
        <v>2362</v>
      </c>
      <c r="B13" s="64">
        <v>5.83</v>
      </c>
      <c r="C13" s="64">
        <v>8.2899999999999991</v>
      </c>
      <c r="D13" s="64">
        <v>9.01</v>
      </c>
      <c r="E13" s="64">
        <v>3.48</v>
      </c>
      <c r="F13" s="64">
        <v>9.06</v>
      </c>
      <c r="G13" s="64">
        <v>32.15</v>
      </c>
      <c r="H13" s="64">
        <v>1.48</v>
      </c>
      <c r="I13" s="64">
        <v>1.54</v>
      </c>
      <c r="J13" s="64">
        <v>0.17</v>
      </c>
      <c r="K13" s="64">
        <v>134.04</v>
      </c>
      <c r="L13" s="64">
        <v>23.94</v>
      </c>
      <c r="M13" s="64">
        <v>98.24</v>
      </c>
      <c r="N13" s="64">
        <v>40.299999999999997</v>
      </c>
      <c r="O13" s="64">
        <v>0</v>
      </c>
      <c r="P13" s="64">
        <v>0.27</v>
      </c>
      <c r="Q13" s="64">
        <v>9.2100000000000009</v>
      </c>
      <c r="S13" s="198"/>
      <c r="T13" s="198"/>
      <c r="U13" s="198"/>
    </row>
    <row r="14" spans="1:21" s="12" customFormat="1" x14ac:dyDescent="0.25">
      <c r="A14" s="214" t="s">
        <v>2363</v>
      </c>
      <c r="B14" s="64">
        <v>5.94</v>
      </c>
      <c r="C14" s="64">
        <v>7.76</v>
      </c>
      <c r="D14" s="64">
        <v>8.81</v>
      </c>
      <c r="E14" s="64">
        <v>3.94</v>
      </c>
      <c r="F14" s="64">
        <v>8.48</v>
      </c>
      <c r="G14" s="64">
        <v>31.84</v>
      </c>
      <c r="H14" s="64">
        <v>1.48</v>
      </c>
      <c r="I14" s="64">
        <v>1.53</v>
      </c>
      <c r="J14" s="64">
        <v>0.31</v>
      </c>
      <c r="K14" s="64">
        <v>143.65</v>
      </c>
      <c r="L14" s="64">
        <v>23.77</v>
      </c>
      <c r="M14" s="64">
        <v>98.3</v>
      </c>
      <c r="N14" s="64">
        <v>40.200000000000003</v>
      </c>
      <c r="O14" s="64">
        <v>0</v>
      </c>
      <c r="P14" s="64">
        <v>0.28000000000000003</v>
      </c>
      <c r="Q14" s="64">
        <v>9.19</v>
      </c>
      <c r="S14" s="198"/>
      <c r="T14" s="198"/>
      <c r="U14" s="198"/>
    </row>
    <row r="15" spans="1:21" s="12" customFormat="1" x14ac:dyDescent="0.25">
      <c r="A15" s="214" t="s">
        <v>2364</v>
      </c>
      <c r="B15" s="64">
        <v>6.11</v>
      </c>
      <c r="C15" s="64">
        <v>7.69</v>
      </c>
      <c r="D15" s="64">
        <v>8.91</v>
      </c>
      <c r="E15" s="64">
        <v>3.92</v>
      </c>
      <c r="F15" s="64">
        <v>8.8800000000000008</v>
      </c>
      <c r="G15" s="64">
        <v>31.84</v>
      </c>
      <c r="H15" s="64">
        <v>1.48</v>
      </c>
      <c r="I15" s="64">
        <v>1.51</v>
      </c>
      <c r="J15" s="64">
        <v>0.06</v>
      </c>
      <c r="K15" s="64">
        <v>200.1</v>
      </c>
      <c r="L15" s="64">
        <v>23.79</v>
      </c>
      <c r="M15" s="64">
        <v>98.32</v>
      </c>
      <c r="N15" s="64">
        <v>40.1</v>
      </c>
      <c r="O15" s="64">
        <v>0</v>
      </c>
      <c r="P15" s="64">
        <v>0.3</v>
      </c>
      <c r="Q15" s="64">
        <v>9.19</v>
      </c>
      <c r="S15" s="198"/>
      <c r="T15" s="198"/>
      <c r="U15" s="198"/>
    </row>
    <row r="16" spans="1:21" s="12" customFormat="1" x14ac:dyDescent="0.25">
      <c r="A16" s="214" t="s">
        <v>2365</v>
      </c>
      <c r="B16" s="64">
        <v>6.21</v>
      </c>
      <c r="C16" s="64">
        <v>7.54</v>
      </c>
      <c r="D16" s="64">
        <v>8.92</v>
      </c>
      <c r="E16" s="64">
        <v>3.59</v>
      </c>
      <c r="F16" s="64">
        <v>7.41</v>
      </c>
      <c r="G16" s="64">
        <v>31.84</v>
      </c>
      <c r="H16" s="64">
        <v>1.48</v>
      </c>
      <c r="I16" s="64">
        <v>1.49</v>
      </c>
      <c r="J16" s="64">
        <v>0.06</v>
      </c>
      <c r="K16" s="64">
        <v>282</v>
      </c>
      <c r="L16" s="64">
        <v>23.89</v>
      </c>
      <c r="M16" s="64">
        <v>98.32</v>
      </c>
      <c r="N16" s="64">
        <v>40</v>
      </c>
      <c r="O16" s="64">
        <v>0</v>
      </c>
      <c r="P16" s="64">
        <v>0.28999999999999998</v>
      </c>
      <c r="Q16" s="64">
        <v>9.19</v>
      </c>
      <c r="S16" s="198"/>
      <c r="T16" s="198"/>
      <c r="U16" s="198"/>
    </row>
    <row r="17" spans="1:21" s="12" customFormat="1" x14ac:dyDescent="0.25">
      <c r="A17" s="214" t="s">
        <v>2366</v>
      </c>
      <c r="B17" s="64">
        <v>6.85</v>
      </c>
      <c r="C17" s="64">
        <v>7.48</v>
      </c>
      <c r="D17" s="64">
        <v>9.4</v>
      </c>
      <c r="E17" s="64">
        <v>3.74</v>
      </c>
      <c r="F17" s="64">
        <v>6.39</v>
      </c>
      <c r="G17" s="64">
        <v>33.119999999999997</v>
      </c>
      <c r="H17" s="64">
        <v>1.57</v>
      </c>
      <c r="I17" s="64">
        <v>1.49</v>
      </c>
      <c r="J17" s="64">
        <v>0.09</v>
      </c>
      <c r="K17" s="64">
        <v>306.52</v>
      </c>
      <c r="L17" s="64">
        <v>23.99</v>
      </c>
      <c r="M17" s="64">
        <v>98.32</v>
      </c>
      <c r="N17" s="64">
        <v>40</v>
      </c>
      <c r="O17" s="64">
        <v>0</v>
      </c>
      <c r="P17" s="64">
        <v>0.3</v>
      </c>
      <c r="Q17" s="64">
        <v>9.19</v>
      </c>
      <c r="S17" s="198"/>
      <c r="T17" s="198"/>
      <c r="U17" s="198"/>
    </row>
    <row r="18" spans="1:21" s="12" customFormat="1" x14ac:dyDescent="0.25">
      <c r="A18" s="214" t="s">
        <v>2367</v>
      </c>
      <c r="B18" s="64">
        <v>6.91</v>
      </c>
      <c r="C18" s="64">
        <v>7.37</v>
      </c>
      <c r="D18" s="64">
        <v>9.4</v>
      </c>
      <c r="E18" s="64">
        <v>3.6</v>
      </c>
      <c r="F18" s="64">
        <v>7.91</v>
      </c>
      <c r="G18" s="64">
        <v>33.21</v>
      </c>
      <c r="H18" s="64">
        <v>1.57</v>
      </c>
      <c r="I18" s="64">
        <v>1.48</v>
      </c>
      <c r="J18" s="64">
        <v>0.1</v>
      </c>
      <c r="K18" s="64">
        <v>294.67</v>
      </c>
      <c r="L18" s="64">
        <v>24.08</v>
      </c>
      <c r="M18" s="64">
        <v>98.33</v>
      </c>
      <c r="N18" s="64">
        <v>40</v>
      </c>
      <c r="O18" s="64">
        <v>0</v>
      </c>
      <c r="P18" s="64">
        <v>0.31</v>
      </c>
      <c r="Q18" s="64">
        <v>9.19</v>
      </c>
      <c r="S18" s="198"/>
      <c r="T18" s="198"/>
      <c r="U18" s="198"/>
    </row>
    <row r="19" spans="1:21" s="12" customFormat="1" x14ac:dyDescent="0.25">
      <c r="A19" s="214" t="s">
        <v>2368</v>
      </c>
      <c r="B19" s="64">
        <v>6.85</v>
      </c>
      <c r="C19" s="64">
        <v>7.36</v>
      </c>
      <c r="D19" s="64">
        <v>9.34</v>
      </c>
      <c r="E19" s="64">
        <v>3.74</v>
      </c>
      <c r="F19" s="64">
        <v>7.92</v>
      </c>
      <c r="G19" s="64">
        <v>33.21</v>
      </c>
      <c r="H19" s="64">
        <v>1.57</v>
      </c>
      <c r="I19" s="64">
        <v>1.47</v>
      </c>
      <c r="J19" s="64">
        <v>0.13</v>
      </c>
      <c r="K19" s="64">
        <v>306.68</v>
      </c>
      <c r="L19" s="64">
        <v>24.22</v>
      </c>
      <c r="M19" s="64">
        <v>98.31</v>
      </c>
      <c r="N19" s="64">
        <v>40</v>
      </c>
      <c r="O19" s="64">
        <v>0</v>
      </c>
      <c r="P19" s="64">
        <v>0.3</v>
      </c>
      <c r="Q19" s="64">
        <v>9.19</v>
      </c>
      <c r="S19" s="198"/>
      <c r="T19" s="198"/>
      <c r="U19" s="198"/>
    </row>
    <row r="20" spans="1:21" s="12" customFormat="1" x14ac:dyDescent="0.25">
      <c r="A20" s="214" t="s">
        <v>2369</v>
      </c>
      <c r="B20" s="64">
        <v>6.46</v>
      </c>
      <c r="C20" s="64">
        <v>7.79</v>
      </c>
      <c r="D20" s="64">
        <v>9.25</v>
      </c>
      <c r="E20" s="64">
        <v>3.55</v>
      </c>
      <c r="F20" s="64">
        <v>10.49</v>
      </c>
      <c r="G20" s="64">
        <v>33.21</v>
      </c>
      <c r="H20" s="64">
        <v>1.57</v>
      </c>
      <c r="I20" s="64">
        <v>1.45</v>
      </c>
      <c r="J20" s="64">
        <v>0.08</v>
      </c>
      <c r="K20" s="64">
        <v>262.73</v>
      </c>
      <c r="L20" s="64">
        <v>24.26</v>
      </c>
      <c r="M20" s="64">
        <v>98.3</v>
      </c>
      <c r="N20" s="64">
        <v>40</v>
      </c>
      <c r="O20" s="64">
        <v>0</v>
      </c>
      <c r="P20" s="64">
        <v>0.28000000000000003</v>
      </c>
      <c r="Q20" s="64">
        <v>9.18</v>
      </c>
      <c r="S20" s="198"/>
      <c r="T20" s="198"/>
      <c r="U20" s="198"/>
    </row>
    <row r="21" spans="1:21" s="12" customFormat="1" x14ac:dyDescent="0.25">
      <c r="A21" s="214" t="s">
        <v>2370</v>
      </c>
      <c r="B21" s="64">
        <v>6.85</v>
      </c>
      <c r="C21" s="64">
        <v>7.56</v>
      </c>
      <c r="D21" s="64">
        <v>9.4499999999999993</v>
      </c>
      <c r="E21" s="64">
        <v>3.45</v>
      </c>
      <c r="F21" s="64">
        <v>5.51</v>
      </c>
      <c r="G21" s="64">
        <v>25.72</v>
      </c>
      <c r="H21" s="64">
        <v>10.37</v>
      </c>
      <c r="I21" s="64">
        <v>1.43</v>
      </c>
      <c r="J21" s="64">
        <v>0.12</v>
      </c>
      <c r="K21" s="64">
        <v>296.10000000000002</v>
      </c>
      <c r="L21" s="64">
        <v>24.2</v>
      </c>
      <c r="M21" s="64">
        <v>98.3</v>
      </c>
      <c r="N21" s="64">
        <v>40</v>
      </c>
      <c r="O21" s="64">
        <v>0</v>
      </c>
      <c r="P21" s="64">
        <v>0.32</v>
      </c>
      <c r="Q21" s="64">
        <v>9.18</v>
      </c>
      <c r="S21" s="198"/>
      <c r="T21" s="198"/>
      <c r="U21" s="198"/>
    </row>
    <row r="22" spans="1:21" s="12" customFormat="1" x14ac:dyDescent="0.25">
      <c r="A22" s="214" t="s">
        <v>2371</v>
      </c>
      <c r="B22" s="64">
        <v>6.93</v>
      </c>
      <c r="C22" s="64">
        <v>7.66</v>
      </c>
      <c r="D22" s="64">
        <v>9.56</v>
      </c>
      <c r="E22" s="64">
        <v>3.69</v>
      </c>
      <c r="F22" s="64">
        <v>6.11</v>
      </c>
      <c r="G22" s="64">
        <v>25.18</v>
      </c>
      <c r="H22" s="64">
        <v>10.37</v>
      </c>
      <c r="I22" s="64">
        <v>1.42</v>
      </c>
      <c r="J22" s="64">
        <v>0.11</v>
      </c>
      <c r="K22" s="64">
        <v>291.73</v>
      </c>
      <c r="L22" s="64">
        <v>24.2</v>
      </c>
      <c r="M22" s="64">
        <v>98.32</v>
      </c>
      <c r="N22" s="64">
        <v>40</v>
      </c>
      <c r="O22" s="64">
        <v>0</v>
      </c>
      <c r="P22" s="64">
        <v>0.34</v>
      </c>
      <c r="Q22" s="64">
        <v>9.18</v>
      </c>
      <c r="S22" s="198"/>
      <c r="T22" s="198"/>
      <c r="U22" s="198"/>
    </row>
    <row r="23" spans="1:21" s="12" customFormat="1" x14ac:dyDescent="0.25">
      <c r="A23" s="214" t="s">
        <v>2372</v>
      </c>
      <c r="B23" s="64">
        <v>6.36</v>
      </c>
      <c r="C23" s="64">
        <v>8.36</v>
      </c>
      <c r="D23" s="64">
        <v>9.4700000000000006</v>
      </c>
      <c r="E23" s="64">
        <v>3.52</v>
      </c>
      <c r="F23" s="64">
        <v>10.39</v>
      </c>
      <c r="G23" s="64">
        <v>25.18</v>
      </c>
      <c r="H23" s="64">
        <v>10.37</v>
      </c>
      <c r="I23" s="64">
        <v>1.42</v>
      </c>
      <c r="J23" s="64">
        <v>0.13</v>
      </c>
      <c r="K23" s="64">
        <v>312.3</v>
      </c>
      <c r="L23" s="64">
        <v>24.15</v>
      </c>
      <c r="M23" s="64">
        <v>98.35</v>
      </c>
      <c r="N23" s="64">
        <v>40</v>
      </c>
      <c r="O23" s="64">
        <v>0</v>
      </c>
      <c r="P23" s="64">
        <v>0.3</v>
      </c>
      <c r="Q23" s="64">
        <v>9.1999999999999993</v>
      </c>
      <c r="S23" s="198"/>
      <c r="T23" s="198"/>
      <c r="U23" s="198"/>
    </row>
    <row r="24" spans="1:21" s="12" customFormat="1" x14ac:dyDescent="0.25">
      <c r="A24" s="214" t="s">
        <v>2373</v>
      </c>
      <c r="B24" s="64">
        <v>6.4</v>
      </c>
      <c r="C24" s="64">
        <v>8.94</v>
      </c>
      <c r="D24" s="64">
        <v>9.8000000000000007</v>
      </c>
      <c r="E24" s="64">
        <v>3.62</v>
      </c>
      <c r="F24" s="64">
        <v>9.0299999999999994</v>
      </c>
      <c r="G24" s="64">
        <v>25.18</v>
      </c>
      <c r="H24" s="64">
        <v>10.37</v>
      </c>
      <c r="I24" s="64">
        <v>1.4</v>
      </c>
      <c r="J24" s="64">
        <v>0.12</v>
      </c>
      <c r="K24" s="64">
        <v>303.27</v>
      </c>
      <c r="L24" s="64">
        <v>24.08</v>
      </c>
      <c r="M24" s="64">
        <v>98.35</v>
      </c>
      <c r="N24" s="64">
        <v>40</v>
      </c>
      <c r="O24" s="64">
        <v>0</v>
      </c>
      <c r="P24" s="64">
        <v>0.31</v>
      </c>
      <c r="Q24" s="64">
        <v>9.2100000000000009</v>
      </c>
      <c r="S24" s="198"/>
      <c r="T24" s="198"/>
      <c r="U24" s="198"/>
    </row>
    <row r="25" spans="1:21" s="12" customFormat="1" x14ac:dyDescent="0.25">
      <c r="A25" s="214" t="s">
        <v>2374</v>
      </c>
      <c r="B25" s="64">
        <v>6.6</v>
      </c>
      <c r="C25" s="64">
        <v>10.52</v>
      </c>
      <c r="D25" s="64">
        <v>10.79</v>
      </c>
      <c r="E25" s="64">
        <v>3.73</v>
      </c>
      <c r="F25" s="64">
        <v>9.11</v>
      </c>
      <c r="G25" s="64">
        <v>25.36</v>
      </c>
      <c r="H25" s="64">
        <v>7.26</v>
      </c>
      <c r="I25" s="64">
        <v>1.4</v>
      </c>
      <c r="J25" s="64">
        <v>0.09</v>
      </c>
      <c r="K25" s="64">
        <v>286.7</v>
      </c>
      <c r="L25" s="64">
        <v>23.99</v>
      </c>
      <c r="M25" s="64">
        <v>98.34</v>
      </c>
      <c r="N25" s="64">
        <v>40.1</v>
      </c>
      <c r="O25" s="64">
        <v>0</v>
      </c>
      <c r="P25" s="64">
        <v>0.36</v>
      </c>
      <c r="Q25" s="64">
        <v>9.2100000000000009</v>
      </c>
      <c r="S25" s="198"/>
      <c r="T25" s="198"/>
      <c r="U25" s="198"/>
    </row>
    <row r="26" spans="1:21" s="12" customFormat="1" x14ac:dyDescent="0.25">
      <c r="A26" s="214" t="s">
        <v>2375</v>
      </c>
      <c r="B26" s="64">
        <v>6.87</v>
      </c>
      <c r="C26" s="64">
        <v>10.14</v>
      </c>
      <c r="D26" s="64">
        <v>10.81</v>
      </c>
      <c r="E26" s="64">
        <v>3.53</v>
      </c>
      <c r="F26" s="64">
        <v>5.57</v>
      </c>
      <c r="G26" s="64">
        <v>25.37</v>
      </c>
      <c r="H26" s="64">
        <v>7.26</v>
      </c>
      <c r="I26" s="64">
        <v>1.41</v>
      </c>
      <c r="J26" s="64">
        <v>0.12</v>
      </c>
      <c r="K26" s="64">
        <v>289.79000000000002</v>
      </c>
      <c r="L26" s="64">
        <v>23.86</v>
      </c>
      <c r="M26" s="64">
        <v>98.35</v>
      </c>
      <c r="N26" s="64">
        <v>40</v>
      </c>
      <c r="O26" s="64">
        <v>0</v>
      </c>
      <c r="P26" s="64">
        <v>0.38</v>
      </c>
      <c r="Q26" s="64">
        <v>9.2200000000000006</v>
      </c>
      <c r="S26" s="198"/>
      <c r="T26" s="198"/>
      <c r="U26" s="198"/>
    </row>
    <row r="27" spans="1:21" s="12" customFormat="1" x14ac:dyDescent="0.25">
      <c r="A27" s="214" t="s">
        <v>2376</v>
      </c>
      <c r="B27" s="64">
        <v>8.23</v>
      </c>
      <c r="C27" s="64">
        <v>11.71</v>
      </c>
      <c r="D27" s="64">
        <v>12.72</v>
      </c>
      <c r="E27" s="64">
        <v>3.46</v>
      </c>
      <c r="F27" s="64">
        <v>6.33</v>
      </c>
      <c r="G27" s="64">
        <v>25.37</v>
      </c>
      <c r="H27" s="64">
        <v>7.26</v>
      </c>
      <c r="I27" s="64">
        <v>1.43</v>
      </c>
      <c r="J27" s="64">
        <v>0.11</v>
      </c>
      <c r="K27" s="64">
        <v>312.43</v>
      </c>
      <c r="L27" s="64">
        <v>23.84</v>
      </c>
      <c r="M27" s="64">
        <v>98.35</v>
      </c>
      <c r="N27" s="64">
        <v>40</v>
      </c>
      <c r="O27" s="64">
        <v>0</v>
      </c>
      <c r="P27" s="64">
        <v>0.4</v>
      </c>
      <c r="Q27" s="64">
        <v>9.2200000000000006</v>
      </c>
      <c r="S27" s="198"/>
      <c r="T27" s="198"/>
      <c r="U27" s="198"/>
    </row>
    <row r="28" spans="1:21" s="12" customFormat="1" x14ac:dyDescent="0.25">
      <c r="A28" s="214" t="s">
        <v>2377</v>
      </c>
      <c r="B28" s="64">
        <v>8.2100000000000009</v>
      </c>
      <c r="C28" s="64">
        <v>11.75</v>
      </c>
      <c r="D28" s="64">
        <v>12.72</v>
      </c>
      <c r="E28" s="64">
        <v>3.92</v>
      </c>
      <c r="F28" s="64">
        <v>8.9700000000000006</v>
      </c>
      <c r="G28" s="64">
        <v>25.37</v>
      </c>
      <c r="H28" s="64">
        <v>7.26</v>
      </c>
      <c r="I28" s="64">
        <v>1.45</v>
      </c>
      <c r="J28" s="64">
        <v>0.15</v>
      </c>
      <c r="K28" s="64">
        <v>307.05</v>
      </c>
      <c r="L28" s="64">
        <v>23.73</v>
      </c>
      <c r="M28" s="64">
        <v>98.33</v>
      </c>
      <c r="N28" s="64">
        <v>40</v>
      </c>
      <c r="O28" s="64">
        <v>0</v>
      </c>
      <c r="P28" s="64">
        <v>0.41</v>
      </c>
      <c r="Q28" s="64">
        <v>9.23</v>
      </c>
      <c r="S28" s="198"/>
      <c r="T28" s="198"/>
      <c r="U28" s="198"/>
    </row>
    <row r="29" spans="1:21" s="12" customFormat="1" x14ac:dyDescent="0.25">
      <c r="A29" s="214" t="s">
        <v>2378</v>
      </c>
      <c r="B29" s="64">
        <v>7.65</v>
      </c>
      <c r="C29" s="64">
        <v>11.96</v>
      </c>
      <c r="D29" s="64">
        <v>12.38</v>
      </c>
      <c r="E29" s="64">
        <v>3.74</v>
      </c>
      <c r="F29" s="64">
        <v>7.09</v>
      </c>
      <c r="G29" s="64">
        <v>29.89</v>
      </c>
      <c r="H29" s="64">
        <v>5.08</v>
      </c>
      <c r="I29" s="64">
        <v>1.48</v>
      </c>
      <c r="J29" s="64">
        <v>0.17</v>
      </c>
      <c r="K29" s="64">
        <v>288.83</v>
      </c>
      <c r="L29" s="64">
        <v>23.58</v>
      </c>
      <c r="M29" s="64">
        <v>98.29</v>
      </c>
      <c r="N29" s="64">
        <v>40</v>
      </c>
      <c r="O29" s="64">
        <v>0</v>
      </c>
      <c r="P29" s="64">
        <v>0.39</v>
      </c>
      <c r="Q29" s="64">
        <v>9.23</v>
      </c>
      <c r="S29" s="198"/>
      <c r="T29" s="198"/>
      <c r="U29" s="198"/>
    </row>
    <row r="30" spans="1:21" s="12" customFormat="1" x14ac:dyDescent="0.25">
      <c r="A30" s="214" t="s">
        <v>2379</v>
      </c>
      <c r="B30" s="64">
        <v>7.64</v>
      </c>
      <c r="C30" s="64">
        <v>9.5</v>
      </c>
      <c r="D30" s="64">
        <v>11.09</v>
      </c>
      <c r="E30" s="64">
        <v>3.75</v>
      </c>
      <c r="F30" s="64">
        <v>5.66</v>
      </c>
      <c r="G30" s="64">
        <v>30.22</v>
      </c>
      <c r="H30" s="64">
        <v>5.08</v>
      </c>
      <c r="I30" s="64">
        <v>1.5</v>
      </c>
      <c r="J30" s="64">
        <v>0.13</v>
      </c>
      <c r="K30" s="64">
        <v>296.01</v>
      </c>
      <c r="L30" s="64">
        <v>23.51</v>
      </c>
      <c r="M30" s="64">
        <v>98.3</v>
      </c>
      <c r="N30" s="64">
        <v>40.1</v>
      </c>
      <c r="O30" s="64">
        <v>0</v>
      </c>
      <c r="P30" s="64">
        <v>0.39</v>
      </c>
      <c r="Q30" s="64">
        <v>9.24</v>
      </c>
      <c r="S30" s="198"/>
      <c r="T30" s="198"/>
      <c r="U30" s="198"/>
    </row>
    <row r="31" spans="1:21" s="12" customFormat="1" x14ac:dyDescent="0.25">
      <c r="A31" s="214" t="s">
        <v>2380</v>
      </c>
      <c r="B31" s="64">
        <v>9.23</v>
      </c>
      <c r="C31" s="64">
        <v>9.84</v>
      </c>
      <c r="D31" s="64">
        <v>12.54</v>
      </c>
      <c r="E31" s="64">
        <v>3.53</v>
      </c>
      <c r="F31" s="64">
        <v>5.88</v>
      </c>
      <c r="G31" s="64">
        <v>30.22</v>
      </c>
      <c r="H31" s="64">
        <v>5.08</v>
      </c>
      <c r="I31" s="64">
        <v>1.56</v>
      </c>
      <c r="J31" s="64">
        <v>0.1</v>
      </c>
      <c r="K31" s="64">
        <v>303.60000000000002</v>
      </c>
      <c r="L31" s="64">
        <v>23.39</v>
      </c>
      <c r="M31" s="64">
        <v>98.3</v>
      </c>
      <c r="N31" s="64">
        <v>41</v>
      </c>
      <c r="O31" s="64">
        <v>0</v>
      </c>
      <c r="P31" s="64">
        <v>0.42</v>
      </c>
      <c r="Q31" s="64">
        <v>9.2200000000000006</v>
      </c>
      <c r="S31" s="198"/>
      <c r="T31" s="198"/>
      <c r="U31" s="198"/>
    </row>
    <row r="32" spans="1:21" s="12" customFormat="1" x14ac:dyDescent="0.25">
      <c r="A32" s="214" t="s">
        <v>2381</v>
      </c>
      <c r="B32" s="64">
        <v>8.82</v>
      </c>
      <c r="C32" s="64">
        <v>8.99</v>
      </c>
      <c r="D32" s="64">
        <v>11.77</v>
      </c>
      <c r="E32" s="64">
        <v>3.71</v>
      </c>
      <c r="F32" s="64">
        <v>6.24</v>
      </c>
      <c r="G32" s="64">
        <v>30.22</v>
      </c>
      <c r="H32" s="64">
        <v>5.08</v>
      </c>
      <c r="I32" s="64">
        <v>1.62</v>
      </c>
      <c r="J32" s="64">
        <v>0.11</v>
      </c>
      <c r="K32" s="64">
        <v>301.37</v>
      </c>
      <c r="L32" s="64">
        <v>23.32</v>
      </c>
      <c r="M32" s="64">
        <v>98.31</v>
      </c>
      <c r="N32" s="64">
        <v>46.3</v>
      </c>
      <c r="O32" s="64">
        <v>0</v>
      </c>
      <c r="P32" s="64">
        <v>0.42</v>
      </c>
      <c r="Q32" s="64">
        <v>9.1999999999999993</v>
      </c>
      <c r="S32" s="198"/>
      <c r="T32" s="198"/>
      <c r="U32" s="198"/>
    </row>
    <row r="33" spans="1:21" s="12" customFormat="1" x14ac:dyDescent="0.25">
      <c r="A33" s="214" t="s">
        <v>2382</v>
      </c>
      <c r="B33" s="64">
        <v>8.09</v>
      </c>
      <c r="C33" s="64">
        <v>8.91</v>
      </c>
      <c r="D33" s="64">
        <v>11.14</v>
      </c>
      <c r="E33" s="64">
        <v>3.7</v>
      </c>
      <c r="F33" s="64">
        <v>5.62</v>
      </c>
      <c r="G33" s="64">
        <v>37.4</v>
      </c>
      <c r="H33" s="64">
        <v>3.56</v>
      </c>
      <c r="I33" s="64">
        <v>1.69</v>
      </c>
      <c r="J33" s="64">
        <v>0.08</v>
      </c>
      <c r="K33" s="64">
        <v>285.25</v>
      </c>
      <c r="L33" s="64">
        <v>23.27</v>
      </c>
      <c r="M33" s="64">
        <v>98.28</v>
      </c>
      <c r="N33" s="64">
        <v>54.5</v>
      </c>
      <c r="O33" s="64">
        <v>0</v>
      </c>
      <c r="P33" s="64">
        <v>0.45</v>
      </c>
      <c r="Q33" s="64">
        <v>9.2100000000000009</v>
      </c>
      <c r="S33" s="198"/>
      <c r="T33" s="198"/>
      <c r="U33" s="198"/>
    </row>
    <row r="34" spans="1:21" s="12" customFormat="1" x14ac:dyDescent="0.25">
      <c r="A34" s="214" t="s">
        <v>2383</v>
      </c>
      <c r="B34" s="64">
        <v>7.98</v>
      </c>
      <c r="C34" s="64">
        <v>8.9499999999999993</v>
      </c>
      <c r="D34" s="64">
        <v>11.08</v>
      </c>
      <c r="E34" s="64">
        <v>3.46</v>
      </c>
      <c r="F34" s="64">
        <v>5.7</v>
      </c>
      <c r="G34" s="64">
        <v>37.909999999999997</v>
      </c>
      <c r="H34" s="64">
        <v>3.56</v>
      </c>
      <c r="I34" s="64">
        <v>1.78</v>
      </c>
      <c r="J34" s="64">
        <v>0.09</v>
      </c>
      <c r="K34" s="64">
        <v>316.02999999999997</v>
      </c>
      <c r="L34" s="64">
        <v>23.27</v>
      </c>
      <c r="M34" s="64">
        <v>98.28</v>
      </c>
      <c r="N34" s="64">
        <v>58.4</v>
      </c>
      <c r="O34" s="64">
        <v>0</v>
      </c>
      <c r="P34" s="64">
        <v>0.46</v>
      </c>
      <c r="Q34" s="64">
        <v>9.1999999999999993</v>
      </c>
      <c r="S34" s="198"/>
      <c r="T34" s="198"/>
      <c r="U34" s="198"/>
    </row>
    <row r="35" spans="1:21" s="12" customFormat="1" x14ac:dyDescent="0.25">
      <c r="A35" s="214" t="s">
        <v>2384</v>
      </c>
      <c r="B35" s="64">
        <v>9.3800000000000008</v>
      </c>
      <c r="C35" s="64">
        <v>11.64</v>
      </c>
      <c r="D35" s="64">
        <v>13.61</v>
      </c>
      <c r="E35" s="64">
        <v>3.49</v>
      </c>
      <c r="F35" s="64">
        <v>6.4</v>
      </c>
      <c r="G35" s="64">
        <v>37.909999999999997</v>
      </c>
      <c r="H35" s="64">
        <v>3.56</v>
      </c>
      <c r="I35" s="64">
        <v>1.86</v>
      </c>
      <c r="J35" s="64">
        <v>0.08</v>
      </c>
      <c r="K35" s="64">
        <v>243.38</v>
      </c>
      <c r="L35" s="64">
        <v>23.29</v>
      </c>
      <c r="M35" s="64">
        <v>98.27</v>
      </c>
      <c r="N35" s="64">
        <v>67.7</v>
      </c>
      <c r="O35" s="64">
        <v>0</v>
      </c>
      <c r="P35" s="64">
        <v>0.52</v>
      </c>
      <c r="Q35" s="64">
        <v>9.1999999999999993</v>
      </c>
      <c r="S35" s="198"/>
      <c r="T35" s="198"/>
      <c r="U35" s="198"/>
    </row>
    <row r="36" spans="1:21" s="12" customFormat="1" x14ac:dyDescent="0.25">
      <c r="A36" s="214" t="s">
        <v>2385</v>
      </c>
      <c r="B36" s="64">
        <v>8.3699999999999992</v>
      </c>
      <c r="C36" s="64">
        <v>9.75</v>
      </c>
      <c r="D36" s="64">
        <v>11.81</v>
      </c>
      <c r="E36" s="64">
        <v>3.4</v>
      </c>
      <c r="F36" s="64">
        <v>6.79</v>
      </c>
      <c r="G36" s="64">
        <v>37.909999999999997</v>
      </c>
      <c r="H36" s="64">
        <v>3.56</v>
      </c>
      <c r="I36" s="64">
        <v>1.95</v>
      </c>
      <c r="J36" s="64">
        <v>0.06</v>
      </c>
      <c r="K36" s="64">
        <v>227.44</v>
      </c>
      <c r="L36" s="64">
        <v>23.36</v>
      </c>
      <c r="M36" s="64">
        <v>98.29</v>
      </c>
      <c r="N36" s="64">
        <v>85.5</v>
      </c>
      <c r="O36" s="64">
        <v>0</v>
      </c>
      <c r="P36" s="64">
        <v>0.47</v>
      </c>
      <c r="Q36" s="64">
        <v>9.1999999999999993</v>
      </c>
      <c r="S36" s="198"/>
      <c r="T36" s="198"/>
      <c r="U36" s="198"/>
    </row>
    <row r="37" spans="1:21" s="12" customFormat="1" x14ac:dyDescent="0.25">
      <c r="A37" s="214" t="s">
        <v>2386</v>
      </c>
      <c r="B37" s="64">
        <v>10.34</v>
      </c>
      <c r="C37" s="64">
        <v>10.199999999999999</v>
      </c>
      <c r="D37" s="64">
        <v>13.62</v>
      </c>
      <c r="E37" s="64">
        <v>3.67</v>
      </c>
      <c r="F37" s="64">
        <v>4.95</v>
      </c>
      <c r="G37" s="64">
        <v>34.299999999999997</v>
      </c>
      <c r="H37" s="64">
        <v>5.12</v>
      </c>
      <c r="I37" s="64">
        <v>2.02</v>
      </c>
      <c r="J37" s="64">
        <v>0.05</v>
      </c>
      <c r="K37" s="64">
        <v>273.32</v>
      </c>
      <c r="L37" s="64">
        <v>23.66</v>
      </c>
      <c r="M37" s="64">
        <v>98.29</v>
      </c>
      <c r="N37" s="64">
        <v>110.3</v>
      </c>
      <c r="O37" s="64">
        <v>0</v>
      </c>
      <c r="P37" s="64">
        <v>0.46</v>
      </c>
      <c r="Q37" s="64">
        <v>9.2200000000000006</v>
      </c>
      <c r="S37" s="198"/>
      <c r="T37" s="198"/>
      <c r="U37" s="198"/>
    </row>
    <row r="38" spans="1:21" s="12" customFormat="1" x14ac:dyDescent="0.25">
      <c r="A38" s="214" t="s">
        <v>2387</v>
      </c>
      <c r="B38" s="64">
        <v>10.6</v>
      </c>
      <c r="C38" s="64">
        <v>9.3000000000000007</v>
      </c>
      <c r="D38" s="64">
        <v>13.36</v>
      </c>
      <c r="E38" s="64">
        <v>3.36</v>
      </c>
      <c r="F38" s="64">
        <v>6.42</v>
      </c>
      <c r="G38" s="64">
        <v>34.04</v>
      </c>
      <c r="H38" s="64">
        <v>5.12</v>
      </c>
      <c r="I38" s="64">
        <v>2.0699999999999998</v>
      </c>
      <c r="J38" s="64">
        <v>0.09</v>
      </c>
      <c r="K38" s="64">
        <v>281.31</v>
      </c>
      <c r="L38" s="64">
        <v>24.47</v>
      </c>
      <c r="M38" s="64">
        <v>98.27</v>
      </c>
      <c r="N38" s="64">
        <v>225.7</v>
      </c>
      <c r="O38" s="64">
        <v>0</v>
      </c>
      <c r="P38" s="64">
        <v>0.51</v>
      </c>
      <c r="Q38" s="64">
        <v>9.2200000000000006</v>
      </c>
      <c r="S38" s="198"/>
      <c r="T38" s="198"/>
      <c r="U38" s="198"/>
    </row>
    <row r="39" spans="1:21" s="12" customFormat="1" x14ac:dyDescent="0.25">
      <c r="A39" s="214" t="s">
        <v>2388</v>
      </c>
      <c r="B39" s="64">
        <v>10.49</v>
      </c>
      <c r="C39" s="64">
        <v>8.66</v>
      </c>
      <c r="D39" s="64">
        <v>12.94</v>
      </c>
      <c r="E39" s="64">
        <v>3.35</v>
      </c>
      <c r="F39" s="64">
        <v>5.47</v>
      </c>
      <c r="G39" s="64">
        <v>34.04</v>
      </c>
      <c r="H39" s="64">
        <v>5.12</v>
      </c>
      <c r="I39" s="64">
        <v>2.13</v>
      </c>
      <c r="J39" s="64">
        <v>0.15</v>
      </c>
      <c r="K39" s="64">
        <v>278.94</v>
      </c>
      <c r="L39" s="64">
        <v>27.05</v>
      </c>
      <c r="M39" s="64">
        <v>95.49</v>
      </c>
      <c r="N39" s="64">
        <v>343.9</v>
      </c>
      <c r="O39" s="64">
        <v>0</v>
      </c>
      <c r="P39" s="64">
        <v>0.49</v>
      </c>
      <c r="Q39" s="64">
        <v>9.24</v>
      </c>
      <c r="S39" s="198"/>
      <c r="T39" s="198"/>
      <c r="U39" s="198"/>
    </row>
    <row r="40" spans="1:21" s="12" customFormat="1" x14ac:dyDescent="0.25">
      <c r="A40" s="214" t="s">
        <v>2389</v>
      </c>
      <c r="B40" s="64">
        <v>11.91</v>
      </c>
      <c r="C40" s="64">
        <v>9.2799999999999994</v>
      </c>
      <c r="D40" s="64">
        <v>14.4</v>
      </c>
      <c r="E40" s="64">
        <v>4.9000000000000004</v>
      </c>
      <c r="F40" s="64">
        <v>5.75</v>
      </c>
      <c r="G40" s="64">
        <v>34.04</v>
      </c>
      <c r="H40" s="64">
        <v>5.12</v>
      </c>
      <c r="I40" s="64">
        <v>2.21</v>
      </c>
      <c r="J40" s="64">
        <v>0.28999999999999998</v>
      </c>
      <c r="K40" s="64">
        <v>317.77</v>
      </c>
      <c r="L40" s="64">
        <v>28.29</v>
      </c>
      <c r="M40" s="64">
        <v>91.48</v>
      </c>
      <c r="N40" s="64">
        <v>358.9</v>
      </c>
      <c r="O40" s="64">
        <v>0</v>
      </c>
      <c r="P40" s="64">
        <v>0.53</v>
      </c>
      <c r="Q40" s="64">
        <v>9.26</v>
      </c>
      <c r="S40" s="198"/>
      <c r="T40" s="198"/>
      <c r="U40" s="198"/>
    </row>
    <row r="41" spans="1:21" s="12" customFormat="1" x14ac:dyDescent="0.25">
      <c r="A41" s="214" t="s">
        <v>2390</v>
      </c>
      <c r="B41" s="64">
        <v>13.41</v>
      </c>
      <c r="C41" s="64">
        <v>11.45</v>
      </c>
      <c r="D41" s="64">
        <v>16.73</v>
      </c>
      <c r="E41" s="64">
        <v>5.63</v>
      </c>
      <c r="F41" s="64">
        <v>8.85</v>
      </c>
      <c r="G41" s="64">
        <v>50.21</v>
      </c>
      <c r="H41" s="64">
        <v>3.8</v>
      </c>
      <c r="I41" s="64">
        <v>2.31</v>
      </c>
      <c r="J41" s="64">
        <v>0.31</v>
      </c>
      <c r="K41" s="64">
        <v>310.94</v>
      </c>
      <c r="L41" s="64">
        <v>29.73</v>
      </c>
      <c r="M41" s="64">
        <v>82.62</v>
      </c>
      <c r="N41" s="64">
        <v>369.3</v>
      </c>
      <c r="O41" s="64">
        <v>0</v>
      </c>
      <c r="P41" s="64">
        <v>0.55000000000000004</v>
      </c>
      <c r="Q41" s="64">
        <v>9.31</v>
      </c>
      <c r="S41" s="198"/>
      <c r="T41" s="198"/>
      <c r="U41" s="198"/>
    </row>
    <row r="42" spans="1:21" s="12" customFormat="1" x14ac:dyDescent="0.25">
      <c r="A42" s="214" t="s">
        <v>2391</v>
      </c>
      <c r="B42" s="64">
        <v>12.87</v>
      </c>
      <c r="C42" s="64">
        <v>10.87</v>
      </c>
      <c r="D42" s="64">
        <v>16</v>
      </c>
      <c r="E42" s="64">
        <v>5.36</v>
      </c>
      <c r="F42" s="64">
        <v>8.49</v>
      </c>
      <c r="G42" s="64">
        <v>51.36</v>
      </c>
      <c r="H42" s="64">
        <v>3.8</v>
      </c>
      <c r="I42" s="64">
        <v>2.41</v>
      </c>
      <c r="J42" s="64">
        <v>0.35</v>
      </c>
      <c r="K42" s="64">
        <v>316.83</v>
      </c>
      <c r="L42" s="64">
        <v>31.01</v>
      </c>
      <c r="M42" s="64">
        <v>75.319999999999993</v>
      </c>
      <c r="N42" s="64">
        <v>527.6</v>
      </c>
      <c r="O42" s="64">
        <v>0</v>
      </c>
      <c r="P42" s="64">
        <v>0.52</v>
      </c>
      <c r="Q42" s="64">
        <v>9.31</v>
      </c>
      <c r="S42" s="198"/>
      <c r="T42" s="198"/>
      <c r="U42" s="198"/>
    </row>
    <row r="43" spans="1:21" s="12" customFormat="1" x14ac:dyDescent="0.25">
      <c r="A43" s="214" t="s">
        <v>2392</v>
      </c>
      <c r="B43" s="64">
        <v>13.14</v>
      </c>
      <c r="C43" s="64">
        <v>13.29</v>
      </c>
      <c r="D43" s="64">
        <v>17.48</v>
      </c>
      <c r="E43" s="64">
        <v>5.81</v>
      </c>
      <c r="F43" s="64">
        <v>9.89</v>
      </c>
      <c r="G43" s="64">
        <v>51.36</v>
      </c>
      <c r="H43" s="64">
        <v>3.8</v>
      </c>
      <c r="I43" s="64">
        <v>2.48</v>
      </c>
      <c r="J43" s="64">
        <v>0.36</v>
      </c>
      <c r="K43" s="64">
        <v>325.33</v>
      </c>
      <c r="L43" s="64">
        <v>32.36</v>
      </c>
      <c r="M43" s="64">
        <v>69.099999999999994</v>
      </c>
      <c r="N43" s="64">
        <v>569.6</v>
      </c>
      <c r="O43" s="64">
        <v>0</v>
      </c>
      <c r="P43" s="64">
        <v>0.53</v>
      </c>
      <c r="Q43" s="64">
        <v>9.35</v>
      </c>
      <c r="S43" s="198"/>
      <c r="T43" s="198"/>
      <c r="U43" s="198"/>
    </row>
    <row r="44" spans="1:21" s="12" customFormat="1" x14ac:dyDescent="0.25">
      <c r="A44" s="214" t="s">
        <v>2393</v>
      </c>
      <c r="B44" s="64">
        <v>14.67</v>
      </c>
      <c r="C44" s="64">
        <v>11.18</v>
      </c>
      <c r="D44" s="64">
        <v>17.600000000000001</v>
      </c>
      <c r="E44" s="64">
        <v>5.68</v>
      </c>
      <c r="F44" s="64">
        <v>10.71</v>
      </c>
      <c r="G44" s="64">
        <v>51.36</v>
      </c>
      <c r="H44" s="64">
        <v>3.8</v>
      </c>
      <c r="I44" s="64">
        <v>2.52</v>
      </c>
      <c r="J44" s="64">
        <v>1.17</v>
      </c>
      <c r="K44" s="64">
        <v>335.71</v>
      </c>
      <c r="L44" s="64">
        <v>33.520000000000003</v>
      </c>
      <c r="M44" s="64">
        <v>63.22</v>
      </c>
      <c r="N44" s="64">
        <v>663.8</v>
      </c>
      <c r="O44" s="64">
        <v>0</v>
      </c>
      <c r="P44" s="64">
        <v>0.52</v>
      </c>
      <c r="Q44" s="64">
        <v>9.36</v>
      </c>
      <c r="S44" s="198"/>
      <c r="T44" s="198"/>
      <c r="U44" s="198"/>
    </row>
    <row r="45" spans="1:21" s="12" customFormat="1" x14ac:dyDescent="0.25">
      <c r="A45" s="214" t="s">
        <v>2394</v>
      </c>
      <c r="B45" s="64">
        <v>12.72</v>
      </c>
      <c r="C45" s="64">
        <v>12.18</v>
      </c>
      <c r="D45" s="64">
        <v>16.57</v>
      </c>
      <c r="E45" s="64">
        <v>5.79</v>
      </c>
      <c r="F45" s="64">
        <v>12.16</v>
      </c>
      <c r="G45" s="64">
        <v>59.71</v>
      </c>
      <c r="H45" s="64">
        <v>2.66</v>
      </c>
      <c r="I45" s="64">
        <v>2.5499999999999998</v>
      </c>
      <c r="J45" s="64">
        <v>0.7</v>
      </c>
      <c r="K45" s="64">
        <v>329.78</v>
      </c>
      <c r="L45" s="64">
        <v>34.22</v>
      </c>
      <c r="M45" s="64">
        <v>60.71</v>
      </c>
      <c r="N45" s="64">
        <v>679.2</v>
      </c>
      <c r="O45" s="64">
        <v>0</v>
      </c>
      <c r="P45" s="64">
        <v>0.5</v>
      </c>
      <c r="Q45" s="64">
        <v>9.36</v>
      </c>
      <c r="S45" s="198"/>
      <c r="T45" s="198"/>
      <c r="U45" s="198"/>
    </row>
    <row r="46" spans="1:21" s="12" customFormat="1" x14ac:dyDescent="0.25">
      <c r="A46" s="214" t="s">
        <v>2395</v>
      </c>
      <c r="B46" s="64">
        <v>13.36</v>
      </c>
      <c r="C46" s="64">
        <v>12.6</v>
      </c>
      <c r="D46" s="64">
        <v>17.29</v>
      </c>
      <c r="E46" s="64">
        <v>5.84</v>
      </c>
      <c r="F46" s="64">
        <v>10.91</v>
      </c>
      <c r="G46" s="64">
        <v>60.31</v>
      </c>
      <c r="H46" s="64">
        <v>2.66</v>
      </c>
      <c r="I46" s="64">
        <v>2.5499999999999998</v>
      </c>
      <c r="J46" s="64">
        <v>0.74</v>
      </c>
      <c r="K46" s="64">
        <v>333.25</v>
      </c>
      <c r="L46" s="64">
        <v>35.119999999999997</v>
      </c>
      <c r="M46" s="64">
        <v>57.44</v>
      </c>
      <c r="N46" s="64">
        <v>697.5</v>
      </c>
      <c r="O46" s="64">
        <v>0</v>
      </c>
      <c r="P46" s="64">
        <v>0.53</v>
      </c>
      <c r="Q46" s="64">
        <v>9.3699999999999992</v>
      </c>
      <c r="S46" s="198"/>
      <c r="T46" s="198"/>
      <c r="U46" s="198"/>
    </row>
    <row r="47" spans="1:21" s="12" customFormat="1" x14ac:dyDescent="0.25">
      <c r="A47" s="214" t="s">
        <v>2396</v>
      </c>
      <c r="B47" s="64">
        <v>11.58</v>
      </c>
      <c r="C47" s="64">
        <v>12.05</v>
      </c>
      <c r="D47" s="64">
        <v>15.58</v>
      </c>
      <c r="E47" s="64">
        <v>5.68</v>
      </c>
      <c r="F47" s="64">
        <v>11.86</v>
      </c>
      <c r="G47" s="64">
        <v>60.31</v>
      </c>
      <c r="H47" s="64">
        <v>2.66</v>
      </c>
      <c r="I47" s="64">
        <v>2.52</v>
      </c>
      <c r="J47" s="64">
        <v>0.84</v>
      </c>
      <c r="K47" s="64">
        <v>327.89</v>
      </c>
      <c r="L47" s="64">
        <v>35.840000000000003</v>
      </c>
      <c r="M47" s="64">
        <v>53.21</v>
      </c>
      <c r="N47" s="64">
        <v>766.5</v>
      </c>
      <c r="O47" s="64">
        <v>0</v>
      </c>
      <c r="P47" s="64">
        <v>0.5</v>
      </c>
      <c r="Q47" s="64">
        <v>9.39</v>
      </c>
      <c r="S47" s="198"/>
      <c r="T47" s="198"/>
      <c r="U47" s="198"/>
    </row>
    <row r="48" spans="1:21" s="12" customFormat="1" x14ac:dyDescent="0.25">
      <c r="A48" s="214" t="s">
        <v>2397</v>
      </c>
      <c r="B48" s="64">
        <v>12.78</v>
      </c>
      <c r="C48" s="64">
        <v>14.88</v>
      </c>
      <c r="D48" s="64">
        <v>18.02</v>
      </c>
      <c r="E48" s="64">
        <v>6.14</v>
      </c>
      <c r="F48" s="64">
        <v>13.15</v>
      </c>
      <c r="G48" s="64">
        <v>60.31</v>
      </c>
      <c r="H48" s="64">
        <v>2.66</v>
      </c>
      <c r="I48" s="64">
        <v>2.48</v>
      </c>
      <c r="J48" s="64">
        <v>0.88</v>
      </c>
      <c r="K48" s="64">
        <v>333.22</v>
      </c>
      <c r="L48" s="64">
        <v>36.130000000000003</v>
      </c>
      <c r="M48" s="64">
        <v>51.57</v>
      </c>
      <c r="N48" s="64">
        <v>782.5</v>
      </c>
      <c r="O48" s="64">
        <v>0</v>
      </c>
      <c r="P48" s="64">
        <v>0.51</v>
      </c>
      <c r="Q48" s="64">
        <v>9.36</v>
      </c>
      <c r="S48" s="198"/>
      <c r="T48" s="198"/>
      <c r="U48" s="198"/>
    </row>
    <row r="49" spans="1:21" s="12" customFormat="1" x14ac:dyDescent="0.25">
      <c r="A49" s="214" t="s">
        <v>2398</v>
      </c>
      <c r="B49" s="64">
        <v>12.19</v>
      </c>
      <c r="C49" s="64">
        <v>10.32</v>
      </c>
      <c r="D49" s="64">
        <v>15.17</v>
      </c>
      <c r="E49" s="64">
        <v>5.86</v>
      </c>
      <c r="F49" s="64">
        <v>9.44</v>
      </c>
      <c r="G49" s="64">
        <v>71.77</v>
      </c>
      <c r="H49" s="64">
        <v>1.86</v>
      </c>
      <c r="I49" s="64">
        <v>2.4500000000000002</v>
      </c>
      <c r="J49" s="64">
        <v>1.23</v>
      </c>
      <c r="K49" s="64">
        <v>331.41</v>
      </c>
      <c r="L49" s="64">
        <v>36.32</v>
      </c>
      <c r="M49" s="64">
        <v>50.9</v>
      </c>
      <c r="N49" s="64">
        <v>809.4</v>
      </c>
      <c r="O49" s="64">
        <v>0</v>
      </c>
      <c r="P49" s="64">
        <v>0.53</v>
      </c>
      <c r="Q49" s="64">
        <v>9.34</v>
      </c>
      <c r="S49" s="198"/>
      <c r="T49" s="198"/>
      <c r="U49" s="198"/>
    </row>
    <row r="50" spans="1:21" s="12" customFormat="1" x14ac:dyDescent="0.25">
      <c r="A50" s="214" t="s">
        <v>2399</v>
      </c>
      <c r="B50" s="64">
        <v>12.57</v>
      </c>
      <c r="C50" s="64">
        <v>14.88</v>
      </c>
      <c r="D50" s="64">
        <v>17.86</v>
      </c>
      <c r="E50" s="64">
        <v>5.95</v>
      </c>
      <c r="F50" s="64">
        <v>11.07</v>
      </c>
      <c r="G50" s="64">
        <v>72.59</v>
      </c>
      <c r="H50" s="64">
        <v>1.86</v>
      </c>
      <c r="I50" s="64">
        <v>2.4</v>
      </c>
      <c r="J50" s="64">
        <v>1.2</v>
      </c>
      <c r="K50" s="64">
        <v>334.62</v>
      </c>
      <c r="L50" s="64">
        <v>35.1</v>
      </c>
      <c r="M50" s="64">
        <v>52.39</v>
      </c>
      <c r="N50" s="64">
        <v>461</v>
      </c>
      <c r="O50" s="64">
        <v>0</v>
      </c>
      <c r="P50" s="64">
        <v>0.56999999999999995</v>
      </c>
      <c r="Q50" s="64">
        <v>9.32</v>
      </c>
      <c r="S50" s="198"/>
      <c r="T50" s="198"/>
      <c r="U50" s="198"/>
    </row>
    <row r="51" spans="1:21" s="12" customFormat="1" x14ac:dyDescent="0.25">
      <c r="A51" s="214" t="s">
        <v>2400</v>
      </c>
      <c r="B51" s="64">
        <v>9.7899999999999991</v>
      </c>
      <c r="C51" s="64">
        <v>17.45</v>
      </c>
      <c r="D51" s="64">
        <v>16.97</v>
      </c>
      <c r="E51" s="64">
        <v>5.98</v>
      </c>
      <c r="F51" s="64">
        <v>14.27</v>
      </c>
      <c r="G51" s="64">
        <v>72.59</v>
      </c>
      <c r="H51" s="64">
        <v>1.86</v>
      </c>
      <c r="I51" s="64">
        <v>2.35</v>
      </c>
      <c r="J51" s="64">
        <v>1.21</v>
      </c>
      <c r="K51" s="64">
        <v>333.21</v>
      </c>
      <c r="L51" s="64">
        <v>33.51</v>
      </c>
      <c r="M51" s="64">
        <v>57.96</v>
      </c>
      <c r="N51" s="64">
        <v>206.7</v>
      </c>
      <c r="O51" s="64">
        <v>0</v>
      </c>
      <c r="P51" s="64">
        <v>0.55000000000000004</v>
      </c>
      <c r="Q51" s="64">
        <v>9.2899999999999991</v>
      </c>
      <c r="S51" s="198"/>
      <c r="T51" s="198"/>
      <c r="U51" s="198"/>
    </row>
    <row r="52" spans="1:21" s="12" customFormat="1" x14ac:dyDescent="0.25">
      <c r="A52" s="214" t="s">
        <v>2401</v>
      </c>
      <c r="B52" s="64">
        <v>10.43</v>
      </c>
      <c r="C52" s="64">
        <v>18.88</v>
      </c>
      <c r="D52" s="64">
        <v>18.23</v>
      </c>
      <c r="E52" s="64">
        <v>6.06</v>
      </c>
      <c r="F52" s="64">
        <v>11.38</v>
      </c>
      <c r="G52" s="64">
        <v>72.59</v>
      </c>
      <c r="H52" s="64">
        <v>1.86</v>
      </c>
      <c r="I52" s="64">
        <v>2.21</v>
      </c>
      <c r="J52" s="64">
        <v>0.92</v>
      </c>
      <c r="K52" s="64">
        <v>333.28</v>
      </c>
      <c r="L52" s="64">
        <v>32.840000000000003</v>
      </c>
      <c r="M52" s="64">
        <v>60.26</v>
      </c>
      <c r="N52" s="64">
        <v>610.79999999999995</v>
      </c>
      <c r="O52" s="64">
        <v>0</v>
      </c>
      <c r="P52" s="64">
        <v>0.62</v>
      </c>
      <c r="Q52" s="64">
        <v>9.26</v>
      </c>
      <c r="S52" s="198"/>
      <c r="T52" s="198"/>
      <c r="U52" s="198"/>
    </row>
    <row r="53" spans="1:21" s="12" customFormat="1" x14ac:dyDescent="0.25">
      <c r="A53" s="214" t="s">
        <v>2402</v>
      </c>
      <c r="B53" s="64">
        <v>8.6300000000000008</v>
      </c>
      <c r="C53" s="64">
        <v>17.95</v>
      </c>
      <c r="D53" s="64">
        <v>16.3</v>
      </c>
      <c r="E53" s="64">
        <v>6.3</v>
      </c>
      <c r="F53" s="64">
        <v>12.81</v>
      </c>
      <c r="G53" s="64">
        <v>76.06</v>
      </c>
      <c r="H53" s="64">
        <v>8.3699999999999992</v>
      </c>
      <c r="I53" s="64">
        <v>2.06</v>
      </c>
      <c r="J53" s="64">
        <v>1.54</v>
      </c>
      <c r="K53" s="64">
        <v>337.54</v>
      </c>
      <c r="L53" s="64">
        <v>33.04</v>
      </c>
      <c r="M53" s="64">
        <v>57.81</v>
      </c>
      <c r="N53" s="64">
        <v>467.4</v>
      </c>
      <c r="O53" s="64">
        <v>0</v>
      </c>
      <c r="P53" s="64">
        <v>0.61</v>
      </c>
      <c r="Q53" s="64">
        <v>9.26</v>
      </c>
      <c r="S53" s="198"/>
      <c r="T53" s="198"/>
      <c r="U53" s="198"/>
    </row>
    <row r="54" spans="1:21" s="12" customFormat="1" x14ac:dyDescent="0.25">
      <c r="A54" s="214" t="s">
        <v>2403</v>
      </c>
      <c r="B54" s="64">
        <v>11.95</v>
      </c>
      <c r="C54" s="64">
        <v>19.600000000000001</v>
      </c>
      <c r="D54" s="64">
        <v>19.82</v>
      </c>
      <c r="E54" s="64">
        <v>6.22</v>
      </c>
      <c r="F54" s="64">
        <v>16.38</v>
      </c>
      <c r="G54" s="64">
        <v>76.3</v>
      </c>
      <c r="H54" s="64">
        <v>8.3699999999999992</v>
      </c>
      <c r="I54" s="64">
        <v>1.92</v>
      </c>
      <c r="J54" s="64">
        <v>1.1499999999999999</v>
      </c>
      <c r="K54" s="64">
        <v>333.52</v>
      </c>
      <c r="L54" s="64">
        <v>33.69</v>
      </c>
      <c r="M54" s="64">
        <v>55.45</v>
      </c>
      <c r="N54" s="64">
        <v>700.4</v>
      </c>
      <c r="O54" s="64">
        <v>0</v>
      </c>
      <c r="P54" s="64">
        <v>0.59</v>
      </c>
      <c r="Q54" s="64">
        <v>9.27</v>
      </c>
      <c r="S54" s="198"/>
      <c r="T54" s="198"/>
      <c r="U54" s="198"/>
    </row>
    <row r="55" spans="1:21" s="12" customFormat="1" x14ac:dyDescent="0.25">
      <c r="A55" s="214" t="s">
        <v>2404</v>
      </c>
      <c r="B55" s="64">
        <v>8.2100000000000009</v>
      </c>
      <c r="C55" s="64">
        <v>19.13</v>
      </c>
      <c r="D55" s="64">
        <v>16.579999999999998</v>
      </c>
      <c r="E55" s="64">
        <v>6.63</v>
      </c>
      <c r="F55" s="64">
        <v>13.3</v>
      </c>
      <c r="G55" s="64">
        <v>76.3</v>
      </c>
      <c r="H55" s="64">
        <v>8.3699999999999992</v>
      </c>
      <c r="I55" s="64">
        <v>1.82</v>
      </c>
      <c r="J55" s="64">
        <v>1.51</v>
      </c>
      <c r="K55" s="64">
        <v>336.32</v>
      </c>
      <c r="L55" s="64">
        <v>34.24</v>
      </c>
      <c r="M55" s="64">
        <v>53.29</v>
      </c>
      <c r="N55" s="64">
        <v>647.5</v>
      </c>
      <c r="O55" s="64">
        <v>0</v>
      </c>
      <c r="P55" s="64">
        <v>0.56999999999999995</v>
      </c>
      <c r="Q55" s="64">
        <v>9.26</v>
      </c>
      <c r="S55" s="198"/>
      <c r="T55" s="198"/>
      <c r="U55" s="198"/>
    </row>
    <row r="56" spans="1:21" s="12" customFormat="1" x14ac:dyDescent="0.25">
      <c r="A56" s="214" t="s">
        <v>2405</v>
      </c>
      <c r="B56" s="64">
        <v>6.89</v>
      </c>
      <c r="C56" s="64">
        <v>18.34</v>
      </c>
      <c r="D56" s="64">
        <v>15.11</v>
      </c>
      <c r="E56" s="64">
        <v>6.13</v>
      </c>
      <c r="F56" s="64">
        <v>13.32</v>
      </c>
      <c r="G56" s="64">
        <v>76.3</v>
      </c>
      <c r="H56" s="64">
        <v>8.3699999999999992</v>
      </c>
      <c r="I56" s="64">
        <v>1.73</v>
      </c>
      <c r="J56" s="64">
        <v>1.83</v>
      </c>
      <c r="K56" s="64">
        <v>334.97</v>
      </c>
      <c r="L56" s="64">
        <v>34.520000000000003</v>
      </c>
      <c r="M56" s="64">
        <v>49.91</v>
      </c>
      <c r="N56" s="64">
        <v>662.6</v>
      </c>
      <c r="O56" s="64">
        <v>0</v>
      </c>
      <c r="P56" s="64">
        <v>0.56999999999999995</v>
      </c>
      <c r="Q56" s="64">
        <v>9.24</v>
      </c>
      <c r="S56" s="198"/>
      <c r="T56" s="198"/>
      <c r="U56" s="198"/>
    </row>
    <row r="57" spans="1:21" s="12" customFormat="1" x14ac:dyDescent="0.25">
      <c r="A57" s="214" t="s">
        <v>2406</v>
      </c>
      <c r="B57" s="64">
        <v>8</v>
      </c>
      <c r="C57" s="64">
        <v>16.09</v>
      </c>
      <c r="D57" s="64">
        <v>14.82</v>
      </c>
      <c r="E57" s="64">
        <v>5.93</v>
      </c>
      <c r="F57" s="64">
        <v>10.11</v>
      </c>
      <c r="G57" s="64">
        <v>67.97</v>
      </c>
      <c r="H57" s="64">
        <v>6.79</v>
      </c>
      <c r="I57" s="64">
        <v>1.6</v>
      </c>
      <c r="J57" s="64">
        <v>1.85</v>
      </c>
      <c r="K57" s="64">
        <v>334.29</v>
      </c>
      <c r="L57" s="64">
        <v>34.590000000000003</v>
      </c>
      <c r="M57" s="64">
        <v>49.19</v>
      </c>
      <c r="N57" s="64">
        <v>973.8</v>
      </c>
      <c r="O57" s="64">
        <v>0</v>
      </c>
      <c r="P57" s="64">
        <v>0.52</v>
      </c>
      <c r="Q57" s="64">
        <v>9.2100000000000009</v>
      </c>
      <c r="S57" s="198"/>
      <c r="T57" s="198"/>
      <c r="U57" s="198"/>
    </row>
    <row r="58" spans="1:21" s="12" customFormat="1" x14ac:dyDescent="0.25">
      <c r="A58" s="214" t="s">
        <v>2407</v>
      </c>
      <c r="B58" s="64">
        <v>7.9</v>
      </c>
      <c r="C58" s="64">
        <v>15.23</v>
      </c>
      <c r="D58" s="64">
        <v>14.29</v>
      </c>
      <c r="E58" s="64">
        <v>5.99</v>
      </c>
      <c r="F58" s="64">
        <v>13.41</v>
      </c>
      <c r="G58" s="64">
        <v>67.37</v>
      </c>
      <c r="H58" s="64">
        <v>6.79</v>
      </c>
      <c r="I58" s="64">
        <v>1.53</v>
      </c>
      <c r="J58" s="64">
        <v>1.87</v>
      </c>
      <c r="K58" s="64">
        <v>335.06</v>
      </c>
      <c r="L58" s="64">
        <v>34.799999999999997</v>
      </c>
      <c r="M58" s="64">
        <v>48.86</v>
      </c>
      <c r="N58" s="64">
        <v>633.70000000000005</v>
      </c>
      <c r="O58" s="64">
        <v>0</v>
      </c>
      <c r="P58" s="64">
        <v>0.5</v>
      </c>
      <c r="Q58" s="64">
        <v>9.2200000000000006</v>
      </c>
      <c r="S58" s="198"/>
      <c r="T58" s="198"/>
      <c r="U58" s="198"/>
    </row>
    <row r="59" spans="1:21" s="12" customFormat="1" x14ac:dyDescent="0.25">
      <c r="A59" s="214" t="s">
        <v>2408</v>
      </c>
      <c r="B59" s="64">
        <v>8.5399999999999991</v>
      </c>
      <c r="C59" s="64">
        <v>16.350000000000001</v>
      </c>
      <c r="D59" s="64">
        <v>15.39</v>
      </c>
      <c r="E59" s="64">
        <v>6.03</v>
      </c>
      <c r="F59" s="64">
        <v>16.89</v>
      </c>
      <c r="G59" s="64">
        <v>67.37</v>
      </c>
      <c r="H59" s="64">
        <v>6.79</v>
      </c>
      <c r="I59" s="64">
        <v>1.49</v>
      </c>
      <c r="J59" s="64">
        <v>1.95</v>
      </c>
      <c r="K59" s="64">
        <v>336.07</v>
      </c>
      <c r="L59" s="64">
        <v>33.94</v>
      </c>
      <c r="M59" s="64">
        <v>51.16</v>
      </c>
      <c r="N59" s="64">
        <v>463.4</v>
      </c>
      <c r="O59" s="64">
        <v>0</v>
      </c>
      <c r="P59" s="64">
        <v>0.46</v>
      </c>
      <c r="Q59" s="64">
        <v>9.25</v>
      </c>
      <c r="S59" s="198"/>
      <c r="T59" s="198"/>
      <c r="U59" s="198"/>
    </row>
    <row r="60" spans="1:21" s="12" customFormat="1" x14ac:dyDescent="0.25">
      <c r="A60" s="214" t="s">
        <v>2409</v>
      </c>
      <c r="B60" s="64">
        <v>9.8699999999999992</v>
      </c>
      <c r="C60" s="64">
        <v>18.02</v>
      </c>
      <c r="D60" s="64">
        <v>17.329999999999998</v>
      </c>
      <c r="E60" s="64">
        <v>6.64</v>
      </c>
      <c r="F60" s="64">
        <v>16.829999999999998</v>
      </c>
      <c r="G60" s="64">
        <v>67.37</v>
      </c>
      <c r="H60" s="64">
        <v>6.79</v>
      </c>
      <c r="I60" s="64">
        <v>1.45</v>
      </c>
      <c r="J60" s="64">
        <v>1.54</v>
      </c>
      <c r="K60" s="64">
        <v>336.09</v>
      </c>
      <c r="L60" s="64">
        <v>32.49</v>
      </c>
      <c r="M60" s="64">
        <v>53.45</v>
      </c>
      <c r="N60" s="64">
        <v>292.8</v>
      </c>
      <c r="O60" s="64">
        <v>0</v>
      </c>
      <c r="P60" s="64">
        <v>0.53</v>
      </c>
      <c r="Q60" s="64">
        <v>9.26</v>
      </c>
      <c r="S60" s="198"/>
      <c r="T60" s="198"/>
      <c r="U60" s="198"/>
    </row>
    <row r="61" spans="1:21" s="12" customFormat="1" x14ac:dyDescent="0.25">
      <c r="A61" s="214" t="s">
        <v>2410</v>
      </c>
      <c r="B61" s="64">
        <v>8.0500000000000007</v>
      </c>
      <c r="C61" s="64">
        <v>15.98</v>
      </c>
      <c r="D61" s="64">
        <v>14.81</v>
      </c>
      <c r="E61" s="64">
        <v>6.26</v>
      </c>
      <c r="F61" s="64">
        <v>14.62</v>
      </c>
      <c r="G61" s="64">
        <v>65.11</v>
      </c>
      <c r="H61" s="64">
        <v>4.75</v>
      </c>
      <c r="I61" s="64">
        <v>1.39</v>
      </c>
      <c r="J61" s="64">
        <v>1.77</v>
      </c>
      <c r="K61" s="64">
        <v>335.24</v>
      </c>
      <c r="L61" s="64">
        <v>31.87</v>
      </c>
      <c r="M61" s="64">
        <v>55.2</v>
      </c>
      <c r="N61" s="64">
        <v>217.2</v>
      </c>
      <c r="O61" s="64">
        <v>0</v>
      </c>
      <c r="P61" s="64">
        <v>0.44</v>
      </c>
      <c r="Q61" s="64">
        <v>9.27</v>
      </c>
      <c r="S61" s="198"/>
      <c r="T61" s="198"/>
      <c r="U61" s="198"/>
    </row>
    <row r="62" spans="1:21" s="12" customFormat="1" x14ac:dyDescent="0.25">
      <c r="A62" s="214" t="s">
        <v>2411</v>
      </c>
      <c r="B62" s="64">
        <v>10.52</v>
      </c>
      <c r="C62" s="64">
        <v>17.940000000000001</v>
      </c>
      <c r="D62" s="64">
        <v>17.809999999999999</v>
      </c>
      <c r="E62" s="64">
        <v>6.47</v>
      </c>
      <c r="F62" s="64">
        <v>20.329999999999998</v>
      </c>
      <c r="G62" s="64">
        <v>64.94</v>
      </c>
      <c r="H62" s="64">
        <v>4.75</v>
      </c>
      <c r="I62" s="64">
        <v>1.36</v>
      </c>
      <c r="J62" s="64">
        <v>1.39</v>
      </c>
      <c r="K62" s="64">
        <v>339.23</v>
      </c>
      <c r="L62" s="64">
        <v>31.12</v>
      </c>
      <c r="M62" s="64">
        <v>54.85</v>
      </c>
      <c r="N62" s="64">
        <v>194.5</v>
      </c>
      <c r="O62" s="64">
        <v>0</v>
      </c>
      <c r="P62" s="64">
        <v>0.48</v>
      </c>
      <c r="Q62" s="64">
        <v>9.27</v>
      </c>
      <c r="S62" s="198"/>
      <c r="T62" s="198"/>
      <c r="U62" s="198"/>
    </row>
    <row r="63" spans="1:21" s="12" customFormat="1" x14ac:dyDescent="0.25">
      <c r="A63" s="214" t="s">
        <v>2412</v>
      </c>
      <c r="B63" s="64">
        <v>15.02</v>
      </c>
      <c r="C63" s="64">
        <v>19.32</v>
      </c>
      <c r="D63" s="64">
        <v>22.14</v>
      </c>
      <c r="E63" s="64">
        <v>6.23</v>
      </c>
      <c r="F63" s="64">
        <v>17.940000000000001</v>
      </c>
      <c r="G63" s="64">
        <v>64.94</v>
      </c>
      <c r="H63" s="64">
        <v>4.75</v>
      </c>
      <c r="I63" s="64">
        <v>1.36</v>
      </c>
      <c r="J63" s="64">
        <v>1.2</v>
      </c>
      <c r="K63" s="64">
        <v>338.41</v>
      </c>
      <c r="L63" s="64">
        <v>31.06</v>
      </c>
      <c r="M63" s="64">
        <v>56.89</v>
      </c>
      <c r="N63" s="64">
        <v>226.7</v>
      </c>
      <c r="O63" s="64">
        <v>0</v>
      </c>
      <c r="P63" s="64">
        <v>0.48</v>
      </c>
      <c r="Q63" s="64">
        <v>9.2799999999999994</v>
      </c>
      <c r="S63" s="198"/>
      <c r="T63" s="198"/>
      <c r="U63" s="198"/>
    </row>
    <row r="64" spans="1:21" s="12" customFormat="1" x14ac:dyDescent="0.25">
      <c r="A64" s="214" t="s">
        <v>2413</v>
      </c>
      <c r="B64" s="64">
        <v>12.14</v>
      </c>
      <c r="C64" s="64">
        <v>19.579999999999998</v>
      </c>
      <c r="D64" s="64">
        <v>19.97</v>
      </c>
      <c r="E64" s="64">
        <v>6.15</v>
      </c>
      <c r="F64" s="64">
        <v>23.46</v>
      </c>
      <c r="G64" s="64">
        <v>64.94</v>
      </c>
      <c r="H64" s="64">
        <v>4.75</v>
      </c>
      <c r="I64" s="64">
        <v>1.35</v>
      </c>
      <c r="J64" s="64">
        <v>1.06</v>
      </c>
      <c r="K64" s="64">
        <v>337.85</v>
      </c>
      <c r="L64" s="64">
        <v>31.65</v>
      </c>
      <c r="M64" s="64">
        <v>57.95</v>
      </c>
      <c r="N64" s="64">
        <v>282.7</v>
      </c>
      <c r="O64" s="64">
        <v>0</v>
      </c>
      <c r="P64" s="64">
        <v>0.49</v>
      </c>
      <c r="Q64" s="64">
        <v>9.31</v>
      </c>
      <c r="S64" s="198"/>
      <c r="T64" s="198"/>
      <c r="U64" s="198"/>
    </row>
    <row r="65" spans="1:21" s="12" customFormat="1" x14ac:dyDescent="0.25">
      <c r="A65" s="214" t="s">
        <v>2414</v>
      </c>
      <c r="B65" s="64">
        <v>7.82</v>
      </c>
      <c r="C65" s="64">
        <v>17.48</v>
      </c>
      <c r="D65" s="64">
        <v>15.4</v>
      </c>
      <c r="E65" s="64">
        <v>6.38</v>
      </c>
      <c r="F65" s="64">
        <v>13.81</v>
      </c>
      <c r="G65" s="64">
        <v>101.04</v>
      </c>
      <c r="H65" s="64">
        <v>3.33</v>
      </c>
      <c r="I65" s="64">
        <v>1.36</v>
      </c>
      <c r="J65" s="64">
        <v>1.37</v>
      </c>
      <c r="K65" s="64">
        <v>334.62</v>
      </c>
      <c r="L65" s="64">
        <v>32.020000000000003</v>
      </c>
      <c r="M65" s="64">
        <v>54.93</v>
      </c>
      <c r="N65" s="64">
        <v>236.9</v>
      </c>
      <c r="O65" s="64">
        <v>0</v>
      </c>
      <c r="P65" s="64">
        <v>0.48</v>
      </c>
      <c r="Q65" s="64">
        <v>9.3000000000000007</v>
      </c>
      <c r="S65" s="198"/>
      <c r="T65" s="198"/>
      <c r="U65" s="198"/>
    </row>
    <row r="66" spans="1:21" s="12" customFormat="1" x14ac:dyDescent="0.25">
      <c r="A66" s="214" t="s">
        <v>2415</v>
      </c>
      <c r="B66" s="64">
        <v>8.51</v>
      </c>
      <c r="C66" s="64">
        <v>17.53</v>
      </c>
      <c r="D66" s="64">
        <v>15.98</v>
      </c>
      <c r="E66" s="64">
        <v>6.17</v>
      </c>
      <c r="F66" s="64">
        <v>14.79</v>
      </c>
      <c r="G66" s="64">
        <v>103.62</v>
      </c>
      <c r="H66" s="64">
        <v>3.33</v>
      </c>
      <c r="I66" s="64">
        <v>1.35</v>
      </c>
      <c r="J66" s="64">
        <v>1.37</v>
      </c>
      <c r="K66" s="64">
        <v>337.1</v>
      </c>
      <c r="L66" s="64">
        <v>32.06</v>
      </c>
      <c r="M66" s="64">
        <v>54.84</v>
      </c>
      <c r="N66" s="64">
        <v>221.9</v>
      </c>
      <c r="O66" s="64">
        <v>0</v>
      </c>
      <c r="P66" s="64">
        <v>0.48</v>
      </c>
      <c r="Q66" s="64">
        <v>9.2899999999999991</v>
      </c>
      <c r="S66" s="198"/>
      <c r="T66" s="198"/>
      <c r="U66" s="198"/>
    </row>
    <row r="67" spans="1:21" s="12" customFormat="1" x14ac:dyDescent="0.25">
      <c r="A67" s="214" t="s">
        <v>2416</v>
      </c>
      <c r="B67" s="64">
        <v>14.61</v>
      </c>
      <c r="C67" s="64">
        <v>21.49</v>
      </c>
      <c r="D67" s="64">
        <v>22.95</v>
      </c>
      <c r="E67" s="64">
        <v>6.51</v>
      </c>
      <c r="F67" s="64">
        <v>18.89</v>
      </c>
      <c r="G67" s="64">
        <v>103.62</v>
      </c>
      <c r="H67" s="64">
        <v>3.33</v>
      </c>
      <c r="I67" s="64">
        <v>1.3</v>
      </c>
      <c r="J67" s="64">
        <v>1.1200000000000001</v>
      </c>
      <c r="K67" s="64">
        <v>336.66</v>
      </c>
      <c r="L67" s="64">
        <v>31.81</v>
      </c>
      <c r="M67" s="64">
        <v>56.87</v>
      </c>
      <c r="N67" s="64">
        <v>211</v>
      </c>
      <c r="O67" s="64">
        <v>0</v>
      </c>
      <c r="P67" s="64">
        <v>0.53</v>
      </c>
      <c r="Q67" s="64">
        <v>9.2899999999999991</v>
      </c>
      <c r="S67" s="198"/>
      <c r="T67" s="198"/>
      <c r="U67" s="198"/>
    </row>
    <row r="68" spans="1:21" s="12" customFormat="1" x14ac:dyDescent="0.25">
      <c r="A68" s="214" t="s">
        <v>2417</v>
      </c>
      <c r="B68" s="64">
        <v>13.54</v>
      </c>
      <c r="C68" s="64">
        <v>19.93</v>
      </c>
      <c r="D68" s="64">
        <v>21.28</v>
      </c>
      <c r="E68" s="64">
        <v>6.51</v>
      </c>
      <c r="F68" s="64">
        <v>19.989999999999998</v>
      </c>
      <c r="G68" s="64">
        <v>103.62</v>
      </c>
      <c r="H68" s="64">
        <v>3.33</v>
      </c>
      <c r="I68" s="64">
        <v>1.25</v>
      </c>
      <c r="J68" s="64">
        <v>1.08</v>
      </c>
      <c r="K68" s="64">
        <v>336.54</v>
      </c>
      <c r="L68" s="64">
        <v>31.41</v>
      </c>
      <c r="M68" s="64">
        <v>58.47</v>
      </c>
      <c r="N68" s="64">
        <v>159</v>
      </c>
      <c r="O68" s="64">
        <v>0</v>
      </c>
      <c r="P68" s="64">
        <v>0.48</v>
      </c>
      <c r="Q68" s="64">
        <v>9.27</v>
      </c>
      <c r="S68" s="198"/>
      <c r="T68" s="198"/>
      <c r="U68" s="198"/>
    </row>
    <row r="69" spans="1:21" s="12" customFormat="1" x14ac:dyDescent="0.25">
      <c r="A69" s="214" t="s">
        <v>2418</v>
      </c>
      <c r="B69" s="64">
        <v>16.989999999999998</v>
      </c>
      <c r="C69" s="64">
        <v>22.36</v>
      </c>
      <c r="D69" s="64">
        <v>25.29</v>
      </c>
      <c r="E69" s="64">
        <v>6.54</v>
      </c>
      <c r="F69" s="64">
        <v>18.66</v>
      </c>
      <c r="G69" s="64">
        <v>82.22</v>
      </c>
      <c r="H69" s="64">
        <v>6.38</v>
      </c>
      <c r="I69" s="64">
        <v>1.25</v>
      </c>
      <c r="J69" s="64">
        <v>0.75</v>
      </c>
      <c r="K69" s="64">
        <v>334.25</v>
      </c>
      <c r="L69" s="64">
        <v>31.47</v>
      </c>
      <c r="M69" s="64">
        <v>58.6</v>
      </c>
      <c r="N69" s="64">
        <v>160.30000000000001</v>
      </c>
      <c r="O69" s="64">
        <v>0</v>
      </c>
      <c r="P69" s="64">
        <v>0.5</v>
      </c>
      <c r="Q69" s="64">
        <v>9.26</v>
      </c>
      <c r="S69" s="198"/>
      <c r="T69" s="198"/>
      <c r="U69" s="198"/>
    </row>
    <row r="70" spans="1:21" s="12" customFormat="1" x14ac:dyDescent="0.25">
      <c r="A70" s="214" t="s">
        <v>2419</v>
      </c>
      <c r="B70" s="64">
        <v>14.81</v>
      </c>
      <c r="C70" s="64">
        <v>20.99</v>
      </c>
      <c r="D70" s="64">
        <v>22.79</v>
      </c>
      <c r="E70" s="64">
        <v>6.53</v>
      </c>
      <c r="F70" s="64">
        <v>19.47</v>
      </c>
      <c r="G70" s="64">
        <v>80.7</v>
      </c>
      <c r="H70" s="64">
        <v>6.38</v>
      </c>
      <c r="I70" s="64">
        <v>1.27</v>
      </c>
      <c r="J70" s="64">
        <v>0.93</v>
      </c>
      <c r="K70" s="64">
        <v>335.96</v>
      </c>
      <c r="L70" s="64">
        <v>31.41</v>
      </c>
      <c r="M70" s="64">
        <v>57.28</v>
      </c>
      <c r="N70" s="64">
        <v>157.1</v>
      </c>
      <c r="O70" s="64">
        <v>0</v>
      </c>
      <c r="P70" s="64">
        <v>0.47</v>
      </c>
      <c r="Q70" s="64">
        <v>9.26</v>
      </c>
      <c r="S70" s="198"/>
      <c r="T70" s="198"/>
      <c r="U70" s="198"/>
    </row>
    <row r="71" spans="1:21" s="12" customFormat="1" x14ac:dyDescent="0.25">
      <c r="A71" s="214" t="s">
        <v>2420</v>
      </c>
      <c r="B71" s="64">
        <v>9.24</v>
      </c>
      <c r="C71" s="64">
        <v>14.27</v>
      </c>
      <c r="D71" s="64">
        <v>14.87</v>
      </c>
      <c r="E71" s="64">
        <v>6.57</v>
      </c>
      <c r="F71" s="64">
        <v>11.46</v>
      </c>
      <c r="G71" s="64">
        <v>80.7</v>
      </c>
      <c r="H71" s="64">
        <v>6.38</v>
      </c>
      <c r="I71" s="64">
        <v>1.28</v>
      </c>
      <c r="J71" s="64">
        <v>0.52</v>
      </c>
      <c r="K71" s="64">
        <v>159.44</v>
      </c>
      <c r="L71" s="64">
        <v>31.02</v>
      </c>
      <c r="M71" s="64">
        <v>65.97</v>
      </c>
      <c r="N71" s="64">
        <v>164</v>
      </c>
      <c r="O71" s="64">
        <v>0</v>
      </c>
      <c r="P71" s="64">
        <v>0.49</v>
      </c>
      <c r="Q71" s="64">
        <v>9.2899999999999991</v>
      </c>
      <c r="S71" s="198"/>
      <c r="T71" s="198"/>
      <c r="U71" s="198"/>
    </row>
    <row r="72" spans="1:21" s="12" customFormat="1" x14ac:dyDescent="0.25">
      <c r="A72" s="214" t="s">
        <v>2421</v>
      </c>
      <c r="B72" s="64">
        <v>7.68</v>
      </c>
      <c r="C72" s="64">
        <v>13.61</v>
      </c>
      <c r="D72" s="64">
        <v>13.27</v>
      </c>
      <c r="E72" s="64">
        <v>5.8</v>
      </c>
      <c r="F72" s="64">
        <v>16.7</v>
      </c>
      <c r="G72" s="64">
        <v>80.7</v>
      </c>
      <c r="H72" s="64">
        <v>6.38</v>
      </c>
      <c r="I72" s="64">
        <v>1.3</v>
      </c>
      <c r="J72" s="64">
        <v>0.79</v>
      </c>
      <c r="K72" s="64">
        <v>137.44</v>
      </c>
      <c r="L72" s="64">
        <v>28.91</v>
      </c>
      <c r="M72" s="64">
        <v>90.06</v>
      </c>
      <c r="N72" s="64">
        <v>155</v>
      </c>
      <c r="O72" s="64">
        <v>0</v>
      </c>
      <c r="P72" s="64">
        <v>0.38</v>
      </c>
      <c r="Q72" s="64">
        <v>9.2799999999999994</v>
      </c>
      <c r="S72" s="198"/>
      <c r="T72" s="198"/>
      <c r="U72" s="198"/>
    </row>
    <row r="73" spans="1:21" s="12" customFormat="1" x14ac:dyDescent="0.25">
      <c r="A73" s="214" t="s">
        <v>2422</v>
      </c>
      <c r="B73" s="64">
        <v>7.98</v>
      </c>
      <c r="C73" s="64">
        <v>16.97</v>
      </c>
      <c r="D73" s="64">
        <v>15.26</v>
      </c>
      <c r="E73" s="64">
        <v>5.38</v>
      </c>
      <c r="F73" s="64">
        <v>15.94</v>
      </c>
      <c r="G73" s="64">
        <v>99.94</v>
      </c>
      <c r="H73" s="64">
        <v>9.43</v>
      </c>
      <c r="I73" s="64">
        <v>1.3</v>
      </c>
      <c r="J73" s="64">
        <v>0.74</v>
      </c>
      <c r="K73" s="64">
        <v>136.97999999999999</v>
      </c>
      <c r="L73" s="64">
        <v>28.62</v>
      </c>
      <c r="M73" s="64">
        <v>95.86</v>
      </c>
      <c r="N73" s="64">
        <v>145.69999999999999</v>
      </c>
      <c r="O73" s="64">
        <v>0</v>
      </c>
      <c r="P73" s="64">
        <v>0.36</v>
      </c>
      <c r="Q73" s="64">
        <v>9.27</v>
      </c>
      <c r="S73" s="198"/>
      <c r="T73" s="198"/>
      <c r="U73" s="198"/>
    </row>
    <row r="74" spans="1:21" s="12" customFormat="1" x14ac:dyDescent="0.25">
      <c r="A74" s="214" t="s">
        <v>2423</v>
      </c>
      <c r="B74" s="64">
        <v>7.28</v>
      </c>
      <c r="C74" s="64">
        <v>16.84</v>
      </c>
      <c r="D74" s="64">
        <v>14.64</v>
      </c>
      <c r="E74" s="64">
        <v>5.47</v>
      </c>
      <c r="F74" s="64">
        <v>14.11</v>
      </c>
      <c r="G74" s="64">
        <v>101.31</v>
      </c>
      <c r="H74" s="64">
        <v>9.43</v>
      </c>
      <c r="I74" s="64">
        <v>1.28</v>
      </c>
      <c r="J74" s="64">
        <v>0.3</v>
      </c>
      <c r="K74" s="64">
        <v>174.67</v>
      </c>
      <c r="L74" s="64">
        <v>28.54</v>
      </c>
      <c r="M74" s="64">
        <v>92.49</v>
      </c>
      <c r="N74" s="64">
        <v>150.30000000000001</v>
      </c>
      <c r="O74" s="64">
        <v>0</v>
      </c>
      <c r="P74" s="64">
        <v>0.34</v>
      </c>
      <c r="Q74" s="64">
        <v>9.25</v>
      </c>
      <c r="S74" s="198"/>
      <c r="T74" s="198"/>
      <c r="U74" s="198"/>
    </row>
    <row r="75" spans="1:21" s="12" customFormat="1" x14ac:dyDescent="0.25">
      <c r="A75" s="214" t="s">
        <v>2424</v>
      </c>
      <c r="B75" s="64">
        <v>6.84</v>
      </c>
      <c r="C75" s="64">
        <v>15.49</v>
      </c>
      <c r="D75" s="64">
        <v>13.58</v>
      </c>
      <c r="E75" s="64">
        <v>5.44</v>
      </c>
      <c r="F75" s="64">
        <v>16.29</v>
      </c>
      <c r="G75" s="64">
        <v>101.31</v>
      </c>
      <c r="H75" s="64">
        <v>9.43</v>
      </c>
      <c r="I75" s="64">
        <v>1.26</v>
      </c>
      <c r="J75" s="64">
        <v>0.74</v>
      </c>
      <c r="K75" s="64">
        <v>140.19</v>
      </c>
      <c r="L75" s="64">
        <v>28.1</v>
      </c>
      <c r="M75" s="64">
        <v>94.39</v>
      </c>
      <c r="N75" s="64">
        <v>145.6</v>
      </c>
      <c r="O75" s="64">
        <v>0</v>
      </c>
      <c r="P75" s="64">
        <v>0.33</v>
      </c>
      <c r="Q75" s="64">
        <v>9.24</v>
      </c>
      <c r="S75" s="198"/>
      <c r="T75" s="198"/>
      <c r="U75" s="198"/>
    </row>
    <row r="76" spans="1:21" s="12" customFormat="1" x14ac:dyDescent="0.25">
      <c r="A76" s="214" t="s">
        <v>2425</v>
      </c>
      <c r="B76" s="64">
        <v>6.46</v>
      </c>
      <c r="C76" s="64">
        <v>14.34</v>
      </c>
      <c r="D76" s="64">
        <v>12.68</v>
      </c>
      <c r="E76" s="64">
        <v>5.27</v>
      </c>
      <c r="F76" s="64">
        <v>12.48</v>
      </c>
      <c r="G76" s="64">
        <v>101.31</v>
      </c>
      <c r="H76" s="64">
        <v>9.43</v>
      </c>
      <c r="I76" s="64">
        <v>1.25</v>
      </c>
      <c r="J76" s="64">
        <v>0.28999999999999998</v>
      </c>
      <c r="K76" s="64">
        <v>137.03</v>
      </c>
      <c r="L76" s="64">
        <v>27.87</v>
      </c>
      <c r="M76" s="64">
        <v>96.43</v>
      </c>
      <c r="N76" s="64">
        <v>123.4</v>
      </c>
      <c r="O76" s="64">
        <v>0</v>
      </c>
      <c r="P76" s="64">
        <v>0.32</v>
      </c>
      <c r="Q76" s="64">
        <v>9.25</v>
      </c>
      <c r="S76" s="198"/>
      <c r="T76" s="198"/>
      <c r="U76" s="198"/>
    </row>
    <row r="77" spans="1:21" s="12" customFormat="1" x14ac:dyDescent="0.25">
      <c r="A77" s="214" t="s">
        <v>2426</v>
      </c>
      <c r="B77" s="64">
        <v>6.46</v>
      </c>
      <c r="C77" s="64">
        <v>13.76</v>
      </c>
      <c r="D77" s="64">
        <v>12.37</v>
      </c>
      <c r="E77" s="64">
        <v>5.62</v>
      </c>
      <c r="F77" s="64">
        <v>13.88</v>
      </c>
      <c r="G77" s="64">
        <v>71.7</v>
      </c>
      <c r="H77" s="64">
        <v>6.6</v>
      </c>
      <c r="I77" s="64">
        <v>1.22</v>
      </c>
      <c r="J77" s="64">
        <v>0.81</v>
      </c>
      <c r="K77" s="64">
        <v>128.25</v>
      </c>
      <c r="L77" s="64">
        <v>27.37</v>
      </c>
      <c r="M77" s="64">
        <v>98.14</v>
      </c>
      <c r="N77" s="64">
        <v>103.1</v>
      </c>
      <c r="O77" s="64">
        <v>0</v>
      </c>
      <c r="P77" s="64">
        <v>0.31</v>
      </c>
      <c r="Q77" s="64">
        <v>9.26</v>
      </c>
      <c r="S77" s="198"/>
      <c r="T77" s="198"/>
      <c r="U77" s="198"/>
    </row>
    <row r="78" spans="1:21" s="12" customFormat="1" x14ac:dyDescent="0.25">
      <c r="A78" s="214" t="s">
        <v>2427</v>
      </c>
      <c r="B78" s="64">
        <v>6.57</v>
      </c>
      <c r="C78" s="64">
        <v>14.28</v>
      </c>
      <c r="D78" s="64">
        <v>12.73</v>
      </c>
      <c r="E78" s="64">
        <v>5.28</v>
      </c>
      <c r="F78" s="64">
        <v>13.21</v>
      </c>
      <c r="G78" s="64">
        <v>69.58</v>
      </c>
      <c r="H78" s="64">
        <v>6.6</v>
      </c>
      <c r="I78" s="64">
        <v>1.31</v>
      </c>
      <c r="J78" s="64">
        <v>0.3</v>
      </c>
      <c r="K78" s="64">
        <v>133.12</v>
      </c>
      <c r="L78" s="64">
        <v>27.14</v>
      </c>
      <c r="M78" s="64">
        <v>98.22</v>
      </c>
      <c r="N78" s="64">
        <v>77.900000000000006</v>
      </c>
      <c r="O78" s="64">
        <v>0</v>
      </c>
      <c r="P78" s="64">
        <v>0.32</v>
      </c>
      <c r="Q78" s="64">
        <v>9.26</v>
      </c>
      <c r="S78" s="198"/>
      <c r="T78" s="198"/>
      <c r="U78" s="198"/>
    </row>
    <row r="79" spans="1:21" s="12" customFormat="1" x14ac:dyDescent="0.25">
      <c r="A79" s="214" t="s">
        <v>2428</v>
      </c>
      <c r="B79" s="64">
        <v>6.12</v>
      </c>
      <c r="C79" s="64">
        <v>12.84</v>
      </c>
      <c r="D79" s="64">
        <v>11.62</v>
      </c>
      <c r="E79" s="64">
        <v>5.43</v>
      </c>
      <c r="F79" s="64">
        <v>12.22</v>
      </c>
      <c r="G79" s="64">
        <v>69.58</v>
      </c>
      <c r="H79" s="64">
        <v>6.6</v>
      </c>
      <c r="I79" s="64">
        <v>1.28</v>
      </c>
      <c r="J79" s="64">
        <v>0.2</v>
      </c>
      <c r="K79" s="64">
        <v>157.6</v>
      </c>
      <c r="L79" s="64">
        <v>26.84</v>
      </c>
      <c r="M79" s="64">
        <v>98.2</v>
      </c>
      <c r="N79" s="64">
        <v>63.3</v>
      </c>
      <c r="O79" s="64">
        <v>0</v>
      </c>
      <c r="P79" s="64">
        <v>0.32</v>
      </c>
      <c r="Q79" s="64">
        <v>9.27</v>
      </c>
      <c r="S79" s="198"/>
      <c r="T79" s="198"/>
      <c r="U79" s="198"/>
    </row>
    <row r="80" spans="1:21" s="12" customFormat="1" x14ac:dyDescent="0.25">
      <c r="A80" s="214" t="s">
        <v>2429</v>
      </c>
      <c r="B80" s="64">
        <v>8.09</v>
      </c>
      <c r="C80" s="64">
        <v>13.22</v>
      </c>
      <c r="D80" s="64">
        <v>13.4</v>
      </c>
      <c r="E80" s="64">
        <v>5.72</v>
      </c>
      <c r="F80" s="64">
        <v>11.1</v>
      </c>
      <c r="G80" s="64">
        <v>69.58</v>
      </c>
      <c r="H80" s="64">
        <v>6.6</v>
      </c>
      <c r="I80" s="64">
        <v>1.22</v>
      </c>
      <c r="J80" s="64">
        <v>0.15</v>
      </c>
      <c r="K80" s="64">
        <v>321.37</v>
      </c>
      <c r="L80" s="64">
        <v>26.68</v>
      </c>
      <c r="M80" s="64">
        <v>98.21</v>
      </c>
      <c r="N80" s="64">
        <v>56.7</v>
      </c>
      <c r="O80" s="64">
        <v>0</v>
      </c>
      <c r="P80" s="64">
        <v>0.39</v>
      </c>
      <c r="Q80" s="64">
        <v>9.27</v>
      </c>
      <c r="S80" s="198"/>
      <c r="T80" s="198"/>
      <c r="U80" s="198"/>
    </row>
    <row r="81" spans="1:26" s="12" customFormat="1" x14ac:dyDescent="0.25">
      <c r="A81" s="214" t="s">
        <v>2430</v>
      </c>
      <c r="B81" s="64">
        <v>8.7899999999999991</v>
      </c>
      <c r="C81" s="64">
        <v>13.57</v>
      </c>
      <c r="D81" s="64">
        <v>14.13</v>
      </c>
      <c r="E81" s="64">
        <v>5.6</v>
      </c>
      <c r="F81" s="64">
        <v>7.89</v>
      </c>
      <c r="G81" s="64">
        <v>59.15</v>
      </c>
      <c r="H81" s="64">
        <v>4.62</v>
      </c>
      <c r="I81" s="64">
        <v>1.3</v>
      </c>
      <c r="J81" s="64">
        <v>0.18</v>
      </c>
      <c r="K81" s="64">
        <v>323.93</v>
      </c>
      <c r="L81" s="64">
        <v>26.64</v>
      </c>
      <c r="M81" s="64">
        <v>97.85</v>
      </c>
      <c r="N81" s="64">
        <v>55.8</v>
      </c>
      <c r="O81" s="64">
        <v>0</v>
      </c>
      <c r="P81" s="64">
        <v>0.43</v>
      </c>
      <c r="Q81" s="64">
        <v>9.2799999999999994</v>
      </c>
      <c r="S81" s="198"/>
      <c r="T81" s="198"/>
      <c r="U81" s="198"/>
    </row>
    <row r="82" spans="1:26" s="12" customFormat="1" x14ac:dyDescent="0.25">
      <c r="A82" s="214" t="s">
        <v>2431</v>
      </c>
      <c r="B82" s="64">
        <v>8.84</v>
      </c>
      <c r="C82" s="64">
        <v>14.05</v>
      </c>
      <c r="D82" s="64">
        <v>14.43</v>
      </c>
      <c r="E82" s="64">
        <v>5.49</v>
      </c>
      <c r="F82" s="64">
        <v>7.01</v>
      </c>
      <c r="G82" s="64">
        <v>58.4</v>
      </c>
      <c r="H82" s="64">
        <v>4.62</v>
      </c>
      <c r="I82" s="64">
        <v>1.38</v>
      </c>
      <c r="J82" s="64">
        <v>0.14000000000000001</v>
      </c>
      <c r="K82" s="64">
        <v>313</v>
      </c>
      <c r="L82" s="64">
        <v>26.41</v>
      </c>
      <c r="M82" s="64">
        <v>95.42</v>
      </c>
      <c r="N82" s="64">
        <v>55.9</v>
      </c>
      <c r="O82" s="64">
        <v>0</v>
      </c>
      <c r="P82" s="64">
        <v>0.44</v>
      </c>
      <c r="Q82" s="64">
        <v>9.2899999999999991</v>
      </c>
      <c r="S82" s="198"/>
      <c r="T82" s="198"/>
      <c r="U82" s="198"/>
    </row>
    <row r="83" spans="1:26" s="12" customFormat="1" x14ac:dyDescent="0.25">
      <c r="A83" s="214" t="s">
        <v>2432</v>
      </c>
      <c r="B83" s="64">
        <v>7.98</v>
      </c>
      <c r="C83" s="64">
        <v>10.67</v>
      </c>
      <c r="D83" s="64">
        <v>11.97</v>
      </c>
      <c r="E83" s="64">
        <v>5.54</v>
      </c>
      <c r="F83" s="64">
        <v>6.59</v>
      </c>
      <c r="G83" s="64">
        <v>58.4</v>
      </c>
      <c r="H83" s="64">
        <v>4.62</v>
      </c>
      <c r="I83" s="64">
        <v>1.4</v>
      </c>
      <c r="J83" s="64">
        <v>0.16</v>
      </c>
      <c r="K83" s="64">
        <v>330.16</v>
      </c>
      <c r="L83" s="64">
        <v>25.99</v>
      </c>
      <c r="M83" s="64">
        <v>97.23</v>
      </c>
      <c r="N83" s="64">
        <v>56.3</v>
      </c>
      <c r="O83" s="64">
        <v>0</v>
      </c>
      <c r="P83" s="64">
        <v>0.43</v>
      </c>
      <c r="Q83" s="64">
        <v>9.2799999999999994</v>
      </c>
      <c r="S83" s="198"/>
      <c r="T83" s="198"/>
      <c r="U83" s="198"/>
    </row>
    <row r="84" spans="1:26" s="12" customFormat="1" x14ac:dyDescent="0.25">
      <c r="A84" s="214" t="s">
        <v>2433</v>
      </c>
      <c r="B84" s="64">
        <v>7.79</v>
      </c>
      <c r="C84" s="64">
        <v>16.579999999999998</v>
      </c>
      <c r="D84" s="64">
        <v>14.91</v>
      </c>
      <c r="E84" s="64">
        <v>5.24</v>
      </c>
      <c r="F84" s="64">
        <v>12.69</v>
      </c>
      <c r="G84" s="64">
        <v>58.4</v>
      </c>
      <c r="H84" s="64">
        <v>4.62</v>
      </c>
      <c r="I84" s="64">
        <v>1.35</v>
      </c>
      <c r="J84" s="64">
        <v>0.06</v>
      </c>
      <c r="K84" s="64">
        <v>161.37</v>
      </c>
      <c r="L84" s="64">
        <v>25.6</v>
      </c>
      <c r="M84" s="64">
        <v>97.34</v>
      </c>
      <c r="N84" s="64">
        <v>56.8</v>
      </c>
      <c r="O84" s="64">
        <v>0</v>
      </c>
      <c r="P84" s="64">
        <v>0.5</v>
      </c>
      <c r="Q84" s="64">
        <v>9.25</v>
      </c>
      <c r="S84" s="198"/>
      <c r="T84" s="198"/>
      <c r="U84" s="198"/>
    </row>
    <row r="85" spans="1:26" s="12" customFormat="1" x14ac:dyDescent="0.25">
      <c r="A85" s="214" t="s">
        <v>2434</v>
      </c>
      <c r="B85" s="64">
        <v>7.31</v>
      </c>
      <c r="C85" s="64">
        <v>16.600000000000001</v>
      </c>
      <c r="D85" s="64">
        <v>14.54</v>
      </c>
      <c r="E85" s="64">
        <v>5.19</v>
      </c>
      <c r="F85" s="64">
        <v>9.68</v>
      </c>
      <c r="G85" s="64">
        <v>45.35</v>
      </c>
      <c r="H85" s="64">
        <v>6.86</v>
      </c>
      <c r="I85" s="64">
        <v>1.3</v>
      </c>
      <c r="J85" s="64">
        <v>0.42</v>
      </c>
      <c r="K85" s="64">
        <v>138.25</v>
      </c>
      <c r="L85" s="64">
        <v>25.53</v>
      </c>
      <c r="M85" s="64">
        <v>97.1</v>
      </c>
      <c r="N85" s="64">
        <v>68</v>
      </c>
      <c r="O85" s="64">
        <v>0</v>
      </c>
      <c r="P85" s="64">
        <v>0.43</v>
      </c>
      <c r="Q85" s="64">
        <v>9.23</v>
      </c>
      <c r="S85" s="198"/>
      <c r="T85" s="198"/>
      <c r="U85" s="198"/>
    </row>
    <row r="86" spans="1:26" s="12" customFormat="1" x14ac:dyDescent="0.25">
      <c r="A86" s="214" t="s">
        <v>2435</v>
      </c>
      <c r="B86" s="64">
        <v>6.14</v>
      </c>
      <c r="C86" s="64">
        <v>16.82</v>
      </c>
      <c r="D86" s="64">
        <v>13.71</v>
      </c>
      <c r="E86" s="64">
        <v>5.42</v>
      </c>
      <c r="F86" s="64">
        <v>12.69</v>
      </c>
      <c r="G86" s="64">
        <v>44.41</v>
      </c>
      <c r="H86" s="64">
        <v>6.86</v>
      </c>
      <c r="I86" s="64">
        <v>1.32</v>
      </c>
      <c r="J86" s="64">
        <v>0.06</v>
      </c>
      <c r="K86" s="64">
        <v>247.99</v>
      </c>
      <c r="L86" s="64">
        <v>25.47</v>
      </c>
      <c r="M86" s="64">
        <v>90.11</v>
      </c>
      <c r="N86" s="64">
        <v>67.5</v>
      </c>
      <c r="O86" s="64">
        <v>0</v>
      </c>
      <c r="P86" s="64">
        <v>0.41</v>
      </c>
      <c r="Q86" s="64">
        <v>9.2200000000000006</v>
      </c>
      <c r="S86" s="198"/>
      <c r="T86" s="198"/>
      <c r="U86" s="198"/>
    </row>
    <row r="87" spans="1:26" s="12" customFormat="1" x14ac:dyDescent="0.25">
      <c r="A87" s="214" t="s">
        <v>2436</v>
      </c>
      <c r="B87" s="64">
        <v>6.06</v>
      </c>
      <c r="C87" s="64">
        <v>16.93</v>
      </c>
      <c r="D87" s="64">
        <v>13.71</v>
      </c>
      <c r="E87" s="64">
        <v>5.22</v>
      </c>
      <c r="F87" s="64">
        <v>11.07</v>
      </c>
      <c r="G87" s="64">
        <v>44.41</v>
      </c>
      <c r="H87" s="64">
        <v>6.86</v>
      </c>
      <c r="I87" s="64">
        <v>1.34</v>
      </c>
      <c r="J87" s="64">
        <v>0.03</v>
      </c>
      <c r="K87" s="64">
        <v>183.87</v>
      </c>
      <c r="L87" s="64">
        <v>25.59</v>
      </c>
      <c r="M87" s="64">
        <v>87.24</v>
      </c>
      <c r="N87" s="64">
        <v>67.400000000000006</v>
      </c>
      <c r="O87" s="64">
        <v>0</v>
      </c>
      <c r="P87" s="64">
        <v>0.4</v>
      </c>
      <c r="Q87" s="64">
        <v>9.2200000000000006</v>
      </c>
      <c r="S87" s="198"/>
      <c r="T87" s="198"/>
      <c r="U87" s="198"/>
    </row>
    <row r="88" spans="1:26" s="12" customFormat="1" x14ac:dyDescent="0.25">
      <c r="A88" s="214" t="s">
        <v>2437</v>
      </c>
      <c r="B88" s="64">
        <v>8.11</v>
      </c>
      <c r="C88" s="64">
        <v>22.77</v>
      </c>
      <c r="D88" s="64">
        <v>18.399999999999999</v>
      </c>
      <c r="E88" s="64">
        <v>5.51</v>
      </c>
      <c r="F88" s="64">
        <v>13.19</v>
      </c>
      <c r="G88" s="64">
        <v>44.41</v>
      </c>
      <c r="H88" s="64">
        <v>6.86</v>
      </c>
      <c r="I88" s="64">
        <v>1.36</v>
      </c>
      <c r="J88" s="64">
        <v>0.01</v>
      </c>
      <c r="K88" s="64">
        <v>300.69</v>
      </c>
      <c r="L88" s="64">
        <v>25.65</v>
      </c>
      <c r="M88" s="64">
        <v>88.66</v>
      </c>
      <c r="N88" s="64">
        <v>67.2</v>
      </c>
      <c r="O88" s="64">
        <v>0</v>
      </c>
      <c r="P88" s="64">
        <v>0.68</v>
      </c>
      <c r="Q88" s="64">
        <v>9.2100000000000009</v>
      </c>
      <c r="S88" s="198"/>
      <c r="T88" s="198"/>
      <c r="U88" s="198"/>
    </row>
    <row r="89" spans="1:26" s="12" customFormat="1" x14ac:dyDescent="0.25">
      <c r="A89" s="214" t="s">
        <v>2438</v>
      </c>
      <c r="B89" s="64">
        <v>6.7</v>
      </c>
      <c r="C89" s="64">
        <v>21.22</v>
      </c>
      <c r="D89" s="64">
        <v>16.46</v>
      </c>
      <c r="E89" s="64">
        <v>5.53</v>
      </c>
      <c r="F89" s="64">
        <v>7.97</v>
      </c>
      <c r="G89" s="64">
        <v>39.39</v>
      </c>
      <c r="H89" s="64">
        <v>4.8</v>
      </c>
      <c r="I89" s="64">
        <v>1.37</v>
      </c>
      <c r="J89" s="64">
        <v>0.01</v>
      </c>
      <c r="K89" s="64">
        <v>192.5</v>
      </c>
      <c r="L89" s="64">
        <v>25.66</v>
      </c>
      <c r="M89" s="64">
        <v>90.31</v>
      </c>
      <c r="N89" s="64">
        <v>67.099999999999994</v>
      </c>
      <c r="O89" s="64">
        <v>0</v>
      </c>
      <c r="P89" s="64">
        <v>0.52</v>
      </c>
      <c r="Q89" s="64">
        <v>9.1999999999999993</v>
      </c>
      <c r="S89" s="198"/>
      <c r="T89" s="198"/>
      <c r="U89" s="198"/>
    </row>
    <row r="90" spans="1:26" s="12" customFormat="1" x14ac:dyDescent="0.25">
      <c r="A90" s="214" t="s">
        <v>2439</v>
      </c>
      <c r="B90" s="64">
        <v>6.99</v>
      </c>
      <c r="C90" s="64">
        <v>24.4</v>
      </c>
      <c r="D90" s="64">
        <v>18.350000000000001</v>
      </c>
      <c r="E90" s="64">
        <v>5.58</v>
      </c>
      <c r="F90" s="64">
        <v>10.45</v>
      </c>
      <c r="G90" s="64">
        <v>39.03</v>
      </c>
      <c r="H90" s="64">
        <v>4.8</v>
      </c>
      <c r="I90" s="64">
        <v>1.4</v>
      </c>
      <c r="J90" s="64">
        <v>7.0000000000000007E-2</v>
      </c>
      <c r="K90" s="64">
        <v>227.95</v>
      </c>
      <c r="L90" s="64">
        <v>25.63</v>
      </c>
      <c r="M90" s="64">
        <v>93.69</v>
      </c>
      <c r="N90" s="64">
        <v>67</v>
      </c>
      <c r="O90" s="64">
        <v>0</v>
      </c>
      <c r="P90" s="64">
        <v>0.53</v>
      </c>
      <c r="Q90" s="64">
        <v>9.2100000000000009</v>
      </c>
      <c r="S90" s="198"/>
      <c r="T90" s="198"/>
      <c r="U90" s="198"/>
    </row>
    <row r="91" spans="1:26" s="12" customFormat="1" x14ac:dyDescent="0.25">
      <c r="A91" s="214" t="s">
        <v>2440</v>
      </c>
      <c r="B91" s="64">
        <v>6.81</v>
      </c>
      <c r="C91" s="64">
        <v>16.100000000000001</v>
      </c>
      <c r="D91" s="64">
        <v>13.87</v>
      </c>
      <c r="E91" s="64">
        <v>5.35</v>
      </c>
      <c r="F91" s="64">
        <v>7.85</v>
      </c>
      <c r="G91" s="64">
        <v>39.03</v>
      </c>
      <c r="H91" s="64">
        <v>4.8</v>
      </c>
      <c r="I91" s="64">
        <v>1.43</v>
      </c>
      <c r="J91" s="64">
        <v>0.09</v>
      </c>
      <c r="K91" s="64">
        <v>321.07</v>
      </c>
      <c r="L91" s="64">
        <v>25.62</v>
      </c>
      <c r="M91" s="64">
        <v>96.29</v>
      </c>
      <c r="N91" s="64">
        <v>67</v>
      </c>
      <c r="O91" s="64">
        <v>0</v>
      </c>
      <c r="P91" s="64">
        <v>0.46</v>
      </c>
      <c r="Q91" s="64">
        <v>9.2100000000000009</v>
      </c>
      <c r="S91" s="198"/>
      <c r="T91" s="198"/>
      <c r="U91" s="198"/>
    </row>
    <row r="92" spans="1:26" s="12" customFormat="1" x14ac:dyDescent="0.25">
      <c r="A92" s="214" t="s">
        <v>2441</v>
      </c>
      <c r="B92" s="64">
        <v>12.52</v>
      </c>
      <c r="C92" s="64">
        <v>17</v>
      </c>
      <c r="D92" s="64">
        <v>18.920000000000002</v>
      </c>
      <c r="E92" s="64">
        <v>5.44</v>
      </c>
      <c r="F92" s="64">
        <v>7.74</v>
      </c>
      <c r="G92" s="64">
        <v>39.03</v>
      </c>
      <c r="H92" s="64">
        <v>4.8</v>
      </c>
      <c r="I92" s="64">
        <v>1.44</v>
      </c>
      <c r="J92" s="64">
        <v>0.09</v>
      </c>
      <c r="K92" s="64">
        <v>315.24</v>
      </c>
      <c r="L92" s="64">
        <v>25.62</v>
      </c>
      <c r="M92" s="64">
        <v>98.06</v>
      </c>
      <c r="N92" s="64">
        <v>67</v>
      </c>
      <c r="O92" s="64">
        <v>0</v>
      </c>
      <c r="P92" s="64">
        <v>0.61</v>
      </c>
      <c r="Q92" s="64">
        <v>9.1999999999999993</v>
      </c>
      <c r="S92" s="198"/>
      <c r="T92" s="198"/>
      <c r="U92" s="198"/>
    </row>
    <row r="93" spans="1:26" s="12" customFormat="1" x14ac:dyDescent="0.25">
      <c r="A93" s="214" t="s">
        <v>2442</v>
      </c>
      <c r="B93" s="64">
        <v>8.09</v>
      </c>
      <c r="C93" s="64">
        <v>14.01</v>
      </c>
      <c r="D93" s="64">
        <v>13.81</v>
      </c>
      <c r="E93" s="64">
        <v>5.09</v>
      </c>
      <c r="F93" s="64">
        <v>10.74</v>
      </c>
      <c r="G93" s="64">
        <v>48.44</v>
      </c>
      <c r="H93" s="64">
        <v>3.49</v>
      </c>
      <c r="I93" s="64">
        <v>1.45</v>
      </c>
      <c r="J93" s="64">
        <v>0.12</v>
      </c>
      <c r="K93" s="64">
        <v>316.27</v>
      </c>
      <c r="L93" s="64">
        <v>25.63</v>
      </c>
      <c r="M93" s="64">
        <v>98.24</v>
      </c>
      <c r="N93" s="64">
        <v>67</v>
      </c>
      <c r="O93" s="64">
        <v>0</v>
      </c>
      <c r="P93" s="64">
        <v>0.49</v>
      </c>
      <c r="Q93" s="64">
        <v>9.2200000000000006</v>
      </c>
      <c r="S93" s="198"/>
      <c r="T93" s="198"/>
      <c r="U93" s="198"/>
    </row>
    <row r="94" spans="1:26" s="12" customFormat="1" x14ac:dyDescent="0.25">
      <c r="A94" s="214" t="s">
        <v>2443</v>
      </c>
      <c r="B94" s="64">
        <v>8.24</v>
      </c>
      <c r="C94" s="64">
        <v>13.56</v>
      </c>
      <c r="D94" s="64">
        <v>13.69</v>
      </c>
      <c r="E94" s="64">
        <v>5.03</v>
      </c>
      <c r="F94" s="64">
        <v>9.42</v>
      </c>
      <c r="G94" s="64">
        <v>49.11</v>
      </c>
      <c r="H94" s="64">
        <v>3.49</v>
      </c>
      <c r="I94" s="64">
        <v>1.46</v>
      </c>
      <c r="J94" s="64">
        <v>0.11</v>
      </c>
      <c r="K94" s="64">
        <v>309.92</v>
      </c>
      <c r="L94" s="64">
        <v>25.46</v>
      </c>
      <c r="M94" s="64">
        <v>98.28</v>
      </c>
      <c r="N94" s="64">
        <v>67.400000000000006</v>
      </c>
      <c r="O94" s="64">
        <v>0</v>
      </c>
      <c r="P94" s="64">
        <v>0.46</v>
      </c>
      <c r="Q94" s="64">
        <v>9.26</v>
      </c>
      <c r="S94" s="198"/>
      <c r="T94" s="198"/>
      <c r="U94" s="198"/>
    </row>
    <row r="95" spans="1:26" s="12" customFormat="1" x14ac:dyDescent="0.25">
      <c r="A95" s="214" t="s">
        <v>2444</v>
      </c>
      <c r="B95" s="64">
        <v>9.18</v>
      </c>
      <c r="C95" s="64">
        <v>12.64</v>
      </c>
      <c r="D95" s="64">
        <v>13.97</v>
      </c>
      <c r="E95" s="64">
        <v>5.09</v>
      </c>
      <c r="F95" s="64">
        <v>8.75</v>
      </c>
      <c r="G95" s="64">
        <v>49.11</v>
      </c>
      <c r="H95" s="64">
        <v>3.49</v>
      </c>
      <c r="I95" s="64">
        <v>1.46</v>
      </c>
      <c r="J95" s="64">
        <v>0.13</v>
      </c>
      <c r="K95" s="64">
        <v>299.43</v>
      </c>
      <c r="L95" s="64">
        <v>25.24</v>
      </c>
      <c r="M95" s="64">
        <v>98.3</v>
      </c>
      <c r="N95" s="64">
        <v>67.400000000000006</v>
      </c>
      <c r="O95" s="64">
        <v>0</v>
      </c>
      <c r="P95" s="64">
        <v>0.48</v>
      </c>
      <c r="Q95" s="64">
        <v>9.2799999999999994</v>
      </c>
      <c r="S95" s="198"/>
      <c r="T95" s="198"/>
      <c r="U95" s="198"/>
    </row>
    <row r="96" spans="1:26" s="12" customFormat="1" x14ac:dyDescent="0.25">
      <c r="A96" s="214" t="s">
        <v>2445</v>
      </c>
      <c r="B96" s="64">
        <v>7.71</v>
      </c>
      <c r="C96" s="64">
        <v>12.79</v>
      </c>
      <c r="D96" s="64">
        <v>12.86</v>
      </c>
      <c r="E96" s="64">
        <v>5.1100000000000003</v>
      </c>
      <c r="F96" s="64">
        <v>10.57</v>
      </c>
      <c r="G96" s="64">
        <v>49.11</v>
      </c>
      <c r="H96" s="64">
        <v>3.49</v>
      </c>
      <c r="I96" s="64">
        <v>1.48</v>
      </c>
      <c r="J96" s="64">
        <v>0.08</v>
      </c>
      <c r="K96" s="64">
        <v>310.5</v>
      </c>
      <c r="L96" s="64">
        <v>25.11</v>
      </c>
      <c r="M96" s="64">
        <v>98.33</v>
      </c>
      <c r="N96" s="64">
        <v>67.400000000000006</v>
      </c>
      <c r="O96" s="64">
        <v>0</v>
      </c>
      <c r="P96" s="64">
        <v>0.4</v>
      </c>
      <c r="Q96" s="64">
        <v>9.2899999999999991</v>
      </c>
      <c r="S96" s="198"/>
      <c r="T96" s="198"/>
      <c r="U96" s="198"/>
      <c r="Z96" s="109"/>
    </row>
    <row r="97" spans="1:33" s="12" customFormat="1" x14ac:dyDescent="0.25">
      <c r="A97" s="214" t="s">
        <v>2446</v>
      </c>
      <c r="B97" s="64">
        <v>9.32</v>
      </c>
      <c r="C97" s="64">
        <v>13.77</v>
      </c>
      <c r="D97" s="64">
        <v>14.67</v>
      </c>
      <c r="E97" s="64">
        <v>5.32</v>
      </c>
      <c r="F97" s="64">
        <v>8.75</v>
      </c>
      <c r="G97" s="64">
        <v>45.75</v>
      </c>
      <c r="H97" s="64">
        <v>2.44</v>
      </c>
      <c r="I97" s="64">
        <v>1.48</v>
      </c>
      <c r="J97" s="64">
        <v>0.1</v>
      </c>
      <c r="K97" s="64">
        <v>314.66000000000003</v>
      </c>
      <c r="L97" s="64">
        <v>25.19</v>
      </c>
      <c r="M97" s="64">
        <v>98.33</v>
      </c>
      <c r="N97" s="64">
        <v>67.3</v>
      </c>
      <c r="O97" s="64">
        <v>0</v>
      </c>
      <c r="P97" s="64">
        <v>0.52</v>
      </c>
      <c r="Q97" s="64">
        <v>9.2799999999999994</v>
      </c>
      <c r="S97" s="198"/>
      <c r="T97" s="198"/>
      <c r="U97" s="198"/>
    </row>
    <row r="98" spans="1:33" s="12" customFormat="1" x14ac:dyDescent="0.25">
      <c r="A98" s="214" t="s">
        <v>2447</v>
      </c>
      <c r="B98" s="64">
        <v>7.91</v>
      </c>
      <c r="C98" s="64">
        <v>13.55</v>
      </c>
      <c r="D98" s="64">
        <v>13.42</v>
      </c>
      <c r="E98" s="64">
        <v>5.53</v>
      </c>
      <c r="F98" s="64">
        <v>10.47</v>
      </c>
      <c r="G98" s="64">
        <v>45.51</v>
      </c>
      <c r="H98" s="64">
        <v>2.44</v>
      </c>
      <c r="I98" s="64">
        <v>1.48</v>
      </c>
      <c r="J98" s="64">
        <v>0.08</v>
      </c>
      <c r="K98" s="64">
        <v>289.62</v>
      </c>
      <c r="L98" s="64">
        <v>25.21</v>
      </c>
      <c r="M98" s="64">
        <v>98.35</v>
      </c>
      <c r="N98" s="64">
        <v>67.3</v>
      </c>
      <c r="O98" s="64">
        <v>0</v>
      </c>
      <c r="P98" s="64">
        <v>0.41</v>
      </c>
      <c r="Q98" s="64">
        <v>9.2799999999999994</v>
      </c>
      <c r="S98" s="198"/>
      <c r="T98" s="198"/>
      <c r="U98" s="198"/>
    </row>
    <row r="99" spans="1:33" s="12" customFormat="1" x14ac:dyDescent="0.25">
      <c r="A99" s="214" t="s">
        <v>2448</v>
      </c>
      <c r="B99" s="64">
        <v>8.0500000000000007</v>
      </c>
      <c r="C99" s="64">
        <v>13.87</v>
      </c>
      <c r="D99" s="64">
        <v>13.7</v>
      </c>
      <c r="E99" s="64">
        <v>5.49</v>
      </c>
      <c r="F99" s="64">
        <v>9.7799999999999994</v>
      </c>
      <c r="G99" s="64">
        <v>45.51</v>
      </c>
      <c r="H99" s="64">
        <v>2.44</v>
      </c>
      <c r="I99" s="64">
        <v>1.49</v>
      </c>
      <c r="J99" s="64">
        <v>0.1</v>
      </c>
      <c r="K99" s="64">
        <v>303.58</v>
      </c>
      <c r="L99" s="64">
        <v>25.27</v>
      </c>
      <c r="M99" s="64">
        <v>98.34</v>
      </c>
      <c r="N99" s="64">
        <v>67.400000000000006</v>
      </c>
      <c r="O99" s="64">
        <v>0</v>
      </c>
      <c r="P99" s="64">
        <v>0.48</v>
      </c>
      <c r="Q99" s="64">
        <v>9.2799999999999994</v>
      </c>
      <c r="S99" s="198"/>
      <c r="T99" s="198"/>
      <c r="U99" s="198"/>
    </row>
    <row r="100" spans="1:33" s="12" customFormat="1" x14ac:dyDescent="0.25">
      <c r="A100" s="214" t="s">
        <v>2449</v>
      </c>
      <c r="B100" s="64">
        <v>8.83</v>
      </c>
      <c r="C100" s="64">
        <v>13.36</v>
      </c>
      <c r="D100" s="64">
        <v>14.06</v>
      </c>
      <c r="E100" s="64">
        <v>5.38</v>
      </c>
      <c r="F100" s="64">
        <v>10.029999999999999</v>
      </c>
      <c r="G100" s="64">
        <v>45.51</v>
      </c>
      <c r="H100" s="64">
        <v>2.44</v>
      </c>
      <c r="I100" s="64">
        <v>1.49</v>
      </c>
      <c r="J100" s="64">
        <v>0.12</v>
      </c>
      <c r="K100" s="64">
        <v>317.54000000000002</v>
      </c>
      <c r="L100" s="64">
        <v>25.31</v>
      </c>
      <c r="M100" s="64">
        <v>98.34</v>
      </c>
      <c r="N100" s="64">
        <v>67.7</v>
      </c>
      <c r="O100" s="64">
        <v>0</v>
      </c>
      <c r="P100" s="64">
        <v>0.45</v>
      </c>
      <c r="Q100" s="64">
        <v>9.2899999999999991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2450</v>
      </c>
      <c r="B101" s="64">
        <v>9.49</v>
      </c>
      <c r="C101" s="64">
        <v>11.63</v>
      </c>
      <c r="D101" s="64">
        <v>13.69</v>
      </c>
      <c r="E101" s="64">
        <v>5.31</v>
      </c>
      <c r="F101" s="64">
        <v>7.22</v>
      </c>
      <c r="G101" s="64">
        <v>40.590000000000003</v>
      </c>
      <c r="H101" s="64">
        <v>7.49</v>
      </c>
      <c r="I101" s="64">
        <v>1.48</v>
      </c>
      <c r="J101" s="64">
        <v>0.15</v>
      </c>
      <c r="K101" s="64">
        <v>338.79</v>
      </c>
      <c r="L101" s="64">
        <v>25.13</v>
      </c>
      <c r="M101" s="64">
        <v>98.39</v>
      </c>
      <c r="N101" s="64">
        <v>67.099999999999994</v>
      </c>
      <c r="O101" s="64">
        <v>0</v>
      </c>
      <c r="P101" s="64">
        <v>0.48</v>
      </c>
      <c r="Q101" s="64">
        <v>9.27</v>
      </c>
      <c r="S101" s="198"/>
      <c r="T101" s="198"/>
      <c r="U101" s="198"/>
    </row>
    <row r="102" spans="1:33" s="12" customFormat="1" x14ac:dyDescent="0.25">
      <c r="A102" s="214" t="s">
        <v>2451</v>
      </c>
      <c r="B102" s="64">
        <v>8.11</v>
      </c>
      <c r="C102" s="64">
        <v>10.97</v>
      </c>
      <c r="D102" s="64">
        <v>12.23</v>
      </c>
      <c r="E102" s="64">
        <v>5.19</v>
      </c>
      <c r="F102" s="64">
        <v>7.51</v>
      </c>
      <c r="G102" s="64">
        <v>40.229999999999997</v>
      </c>
      <c r="H102" s="64">
        <v>7.49</v>
      </c>
      <c r="I102" s="64">
        <v>1.46</v>
      </c>
      <c r="J102" s="64">
        <v>0.13</v>
      </c>
      <c r="K102" s="64">
        <v>342.05</v>
      </c>
      <c r="L102" s="64">
        <v>24.99</v>
      </c>
      <c r="M102" s="64">
        <v>98.41</v>
      </c>
      <c r="N102" s="64">
        <v>66.7</v>
      </c>
      <c r="O102" s="64">
        <v>0</v>
      </c>
      <c r="P102" s="64">
        <v>0.56999999999999995</v>
      </c>
      <c r="Q102" s="64">
        <v>9.25</v>
      </c>
      <c r="S102" s="198"/>
      <c r="T102" s="198"/>
      <c r="U102" s="198"/>
    </row>
    <row r="103" spans="1:33" s="12" customFormat="1" x14ac:dyDescent="0.25">
      <c r="A103" s="214" t="s">
        <v>2452</v>
      </c>
      <c r="B103" s="64">
        <v>11.32</v>
      </c>
      <c r="C103" s="64">
        <v>12.96</v>
      </c>
      <c r="D103" s="64">
        <v>15.86</v>
      </c>
      <c r="E103" s="64">
        <v>5.28</v>
      </c>
      <c r="F103" s="64">
        <v>5.6</v>
      </c>
      <c r="G103" s="64">
        <v>40.229999999999997</v>
      </c>
      <c r="H103" s="64">
        <v>7.49</v>
      </c>
      <c r="I103" s="64">
        <v>1.45</v>
      </c>
      <c r="J103" s="64">
        <v>0.12</v>
      </c>
      <c r="K103" s="64">
        <v>327.55</v>
      </c>
      <c r="L103" s="64">
        <v>24.99</v>
      </c>
      <c r="M103" s="64">
        <v>98.45</v>
      </c>
      <c r="N103" s="64">
        <v>66.599999999999994</v>
      </c>
      <c r="O103" s="64">
        <v>0</v>
      </c>
      <c r="P103" s="64">
        <v>0.65</v>
      </c>
      <c r="Q103" s="64">
        <v>9.24</v>
      </c>
      <c r="S103" s="198"/>
      <c r="T103" s="198"/>
      <c r="U103" s="198"/>
    </row>
    <row r="104" spans="1:33" s="12" customFormat="1" x14ac:dyDescent="0.25">
      <c r="A104" s="214" t="s">
        <v>2453</v>
      </c>
      <c r="B104" s="64">
        <v>10.19</v>
      </c>
      <c r="C104" s="64">
        <v>15.27</v>
      </c>
      <c r="D104" s="64">
        <v>16.149999999999999</v>
      </c>
      <c r="E104" s="64">
        <v>4.45</v>
      </c>
      <c r="F104" s="64">
        <v>6.21</v>
      </c>
      <c r="G104" s="64">
        <v>40.229999999999997</v>
      </c>
      <c r="H104" s="64">
        <v>7.49</v>
      </c>
      <c r="I104" s="64">
        <v>1.45</v>
      </c>
      <c r="J104" s="64">
        <v>0.11</v>
      </c>
      <c r="K104" s="64">
        <v>305.20999999999998</v>
      </c>
      <c r="L104" s="64">
        <v>25.06</v>
      </c>
      <c r="M104" s="64">
        <v>98.43</v>
      </c>
      <c r="N104" s="64">
        <v>66.599999999999994</v>
      </c>
      <c r="O104" s="64">
        <v>0</v>
      </c>
      <c r="P104" s="64">
        <v>0.66</v>
      </c>
      <c r="Q104" s="64">
        <v>9.24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5.43</v>
      </c>
      <c r="C106" s="67">
        <f>MIN(C9:C104)</f>
        <v>7.36</v>
      </c>
      <c r="D106" s="67">
        <f t="shared" ref="D106:Q106" si="0">MIN(D9:D104)</f>
        <v>8.81</v>
      </c>
      <c r="E106" s="67">
        <f t="shared" si="0"/>
        <v>3.35</v>
      </c>
      <c r="F106" s="67">
        <f t="shared" si="0"/>
        <v>4.95</v>
      </c>
      <c r="G106" s="67">
        <f t="shared" si="0"/>
        <v>25.18</v>
      </c>
      <c r="H106" s="67">
        <f t="shared" si="0"/>
        <v>1.48</v>
      </c>
      <c r="I106" s="67">
        <f t="shared" si="0"/>
        <v>1.22</v>
      </c>
      <c r="J106" s="67">
        <f t="shared" si="0"/>
        <v>0.01</v>
      </c>
      <c r="K106" s="67">
        <f t="shared" si="0"/>
        <v>128.25</v>
      </c>
      <c r="L106" s="67">
        <f t="shared" si="0"/>
        <v>23.27</v>
      </c>
      <c r="M106" s="67">
        <f t="shared" si="0"/>
        <v>48.86</v>
      </c>
      <c r="N106" s="67">
        <f t="shared" si="0"/>
        <v>40</v>
      </c>
      <c r="O106" s="67">
        <f t="shared" si="0"/>
        <v>0</v>
      </c>
      <c r="P106" s="67">
        <f t="shared" si="0"/>
        <v>0.27</v>
      </c>
      <c r="Q106" s="67">
        <f t="shared" si="0"/>
        <v>9.18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16.989999999999998</v>
      </c>
      <c r="C107" s="66">
        <f t="shared" ref="C107:Q107" si="1">MAX(C9:C104)</f>
        <v>24.4</v>
      </c>
      <c r="D107" s="66">
        <f t="shared" si="1"/>
        <v>25.29</v>
      </c>
      <c r="E107" s="66">
        <f t="shared" si="1"/>
        <v>6.64</v>
      </c>
      <c r="F107" s="66">
        <f t="shared" si="1"/>
        <v>23.46</v>
      </c>
      <c r="G107" s="66">
        <f t="shared" si="1"/>
        <v>103.62</v>
      </c>
      <c r="H107" s="66">
        <f t="shared" si="1"/>
        <v>10.37</v>
      </c>
      <c r="I107" s="66">
        <f t="shared" si="1"/>
        <v>2.5499999999999998</v>
      </c>
      <c r="J107" s="66">
        <f t="shared" si="1"/>
        <v>1.95</v>
      </c>
      <c r="K107" s="66">
        <f t="shared" si="1"/>
        <v>342.05</v>
      </c>
      <c r="L107" s="66">
        <f t="shared" si="1"/>
        <v>36.32</v>
      </c>
      <c r="M107" s="66">
        <f t="shared" si="1"/>
        <v>98.45</v>
      </c>
      <c r="N107" s="66">
        <f t="shared" si="1"/>
        <v>973.8</v>
      </c>
      <c r="O107" s="66">
        <f t="shared" si="1"/>
        <v>0</v>
      </c>
      <c r="P107" s="66">
        <f t="shared" si="1"/>
        <v>0.68</v>
      </c>
      <c r="Q107" s="66">
        <f t="shared" si="1"/>
        <v>9.39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8.9056249999999988</v>
      </c>
      <c r="C108" s="67">
        <f t="shared" ref="C108:Q108" si="2">AVERAGE(C9:C104)</f>
        <v>13.50197916666667</v>
      </c>
      <c r="D108" s="67">
        <f t="shared" si="2"/>
        <v>14.195625000000005</v>
      </c>
      <c r="E108" s="67">
        <f t="shared" si="2"/>
        <v>5.0453124999999988</v>
      </c>
      <c r="F108" s="67">
        <f t="shared" si="2"/>
        <v>10.694375000000006</v>
      </c>
      <c r="G108" s="67">
        <f t="shared" si="2"/>
        <v>53.295729166666604</v>
      </c>
      <c r="H108" s="67">
        <f t="shared" si="2"/>
        <v>5.0045833333333363</v>
      </c>
      <c r="I108" s="67">
        <f t="shared" si="2"/>
        <v>1.6071874999999995</v>
      </c>
      <c r="J108" s="67">
        <f t="shared" si="2"/>
        <v>0.48177083333333331</v>
      </c>
      <c r="K108" s="67">
        <f t="shared" si="2"/>
        <v>282.40124999999983</v>
      </c>
      <c r="L108" s="67">
        <f t="shared" si="2"/>
        <v>27.669895833333317</v>
      </c>
      <c r="M108" s="67">
        <f t="shared" si="2"/>
        <v>84.30510416666668</v>
      </c>
      <c r="N108" s="67">
        <f t="shared" si="2"/>
        <v>198.7479166666667</v>
      </c>
      <c r="O108" s="67">
        <f t="shared" si="2"/>
        <v>0</v>
      </c>
      <c r="P108" s="67">
        <f t="shared" si="2"/>
        <v>0.44593749999999988</v>
      </c>
      <c r="Q108" s="67">
        <f t="shared" si="2"/>
        <v>9.2515624999999968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2.5960296861898478</v>
      </c>
      <c r="C109" s="67">
        <f t="shared" ref="C109:Q109" si="3">STDEV(C9:C104)</f>
        <v>4.1615638810912667</v>
      </c>
      <c r="D109" s="67">
        <f t="shared" si="3"/>
        <v>3.4937368962186901</v>
      </c>
      <c r="E109" s="67">
        <f t="shared" si="3"/>
        <v>1.0629729442761793</v>
      </c>
      <c r="F109" s="67">
        <f t="shared" si="3"/>
        <v>4.0121782540292337</v>
      </c>
      <c r="G109" s="67">
        <f t="shared" si="3"/>
        <v>21.985649709456755</v>
      </c>
      <c r="H109" s="67">
        <f t="shared" si="3"/>
        <v>2.4806484367331523</v>
      </c>
      <c r="I109" s="67">
        <f t="shared" si="3"/>
        <v>0.37497144628133744</v>
      </c>
      <c r="J109" s="67">
        <f t="shared" si="3"/>
        <v>0.55046390921737753</v>
      </c>
      <c r="K109" s="67">
        <f t="shared" si="3"/>
        <v>65.489978457937482</v>
      </c>
      <c r="L109" s="67">
        <f t="shared" si="3"/>
        <v>4.0385569321602262</v>
      </c>
      <c r="M109" s="67">
        <f t="shared" si="3"/>
        <v>19.124362747954521</v>
      </c>
      <c r="N109" s="67">
        <f t="shared" si="3"/>
        <v>231.78855063643738</v>
      </c>
      <c r="O109" s="67">
        <f t="shared" si="3"/>
        <v>0</v>
      </c>
      <c r="P109" s="67">
        <f t="shared" si="3"/>
        <v>0.10108441625951269</v>
      </c>
      <c r="Q109" s="67">
        <f t="shared" si="3"/>
        <v>4.6686595055697992E-2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2454</v>
      </c>
      <c r="B9" s="64">
        <v>8.5</v>
      </c>
      <c r="C9" s="64">
        <v>13.03</v>
      </c>
      <c r="D9" s="64">
        <v>13.62</v>
      </c>
      <c r="E9" s="64">
        <v>5.0199999999999996</v>
      </c>
      <c r="F9" s="64">
        <v>6.88</v>
      </c>
      <c r="G9" s="64">
        <v>45.77</v>
      </c>
      <c r="H9" s="64">
        <v>8.56</v>
      </c>
      <c r="I9" s="64">
        <v>1.48</v>
      </c>
      <c r="J9" s="64">
        <v>0.12</v>
      </c>
      <c r="K9" s="64">
        <v>309.18</v>
      </c>
      <c r="L9" s="64">
        <v>25.15</v>
      </c>
      <c r="M9" s="64">
        <v>98.42</v>
      </c>
      <c r="N9" s="64">
        <v>66.5</v>
      </c>
      <c r="O9" s="64">
        <v>0</v>
      </c>
      <c r="P9" s="64">
        <v>0.6</v>
      </c>
      <c r="Q9" s="64">
        <v>9.23</v>
      </c>
      <c r="R9" s="198"/>
      <c r="S9" s="198"/>
      <c r="T9" s="198"/>
      <c r="U9" s="198"/>
    </row>
    <row r="10" spans="1:21" s="12" customFormat="1" x14ac:dyDescent="0.25">
      <c r="A10" s="214" t="s">
        <v>2455</v>
      </c>
      <c r="B10" s="64">
        <v>7.5</v>
      </c>
      <c r="C10" s="64">
        <v>15.12</v>
      </c>
      <c r="D10" s="64">
        <v>13.92</v>
      </c>
      <c r="E10" s="64">
        <v>4.92</v>
      </c>
      <c r="F10" s="64">
        <v>7.1</v>
      </c>
      <c r="G10" s="64">
        <v>46.17</v>
      </c>
      <c r="H10" s="64">
        <v>8.56</v>
      </c>
      <c r="I10" s="64">
        <v>1.52</v>
      </c>
      <c r="J10" s="64">
        <v>0.08</v>
      </c>
      <c r="K10" s="64">
        <v>281.12</v>
      </c>
      <c r="L10" s="64">
        <v>25.16</v>
      </c>
      <c r="M10" s="64">
        <v>98.43</v>
      </c>
      <c r="N10" s="64">
        <v>66.400000000000006</v>
      </c>
      <c r="O10" s="64">
        <v>0</v>
      </c>
      <c r="P10" s="64">
        <v>0.62</v>
      </c>
      <c r="Q10" s="64">
        <v>9.25</v>
      </c>
      <c r="R10" s="198"/>
      <c r="S10" s="198"/>
      <c r="T10" s="198"/>
      <c r="U10" s="198"/>
    </row>
    <row r="11" spans="1:21" s="12" customFormat="1" x14ac:dyDescent="0.25">
      <c r="A11" s="214" t="s">
        <v>2456</v>
      </c>
      <c r="B11" s="64">
        <v>7.26</v>
      </c>
      <c r="C11" s="64">
        <v>12.69</v>
      </c>
      <c r="D11" s="64">
        <v>12.45</v>
      </c>
      <c r="E11" s="64">
        <v>4.8</v>
      </c>
      <c r="F11" s="64">
        <v>7.99</v>
      </c>
      <c r="G11" s="64">
        <v>46.17</v>
      </c>
      <c r="H11" s="64">
        <v>8.56</v>
      </c>
      <c r="I11" s="64">
        <v>1.59</v>
      </c>
      <c r="J11" s="64">
        <v>7.0000000000000007E-2</v>
      </c>
      <c r="K11" s="64">
        <v>312.35000000000002</v>
      </c>
      <c r="L11" s="64">
        <v>24.99</v>
      </c>
      <c r="M11" s="64">
        <v>98.43</v>
      </c>
      <c r="N11" s="64">
        <v>66.599999999999994</v>
      </c>
      <c r="O11" s="64">
        <v>0</v>
      </c>
      <c r="P11" s="64">
        <v>0.54</v>
      </c>
      <c r="Q11" s="64">
        <v>9.25</v>
      </c>
      <c r="R11" s="198"/>
      <c r="S11" s="198"/>
      <c r="T11" s="198"/>
      <c r="U11" s="198"/>
    </row>
    <row r="12" spans="1:21" s="12" customFormat="1" x14ac:dyDescent="0.25">
      <c r="A12" s="214" t="s">
        <v>2457</v>
      </c>
      <c r="B12" s="64">
        <v>7.23</v>
      </c>
      <c r="C12" s="64">
        <v>11.44</v>
      </c>
      <c r="D12" s="64">
        <v>11.77</v>
      </c>
      <c r="E12" s="64">
        <v>5</v>
      </c>
      <c r="F12" s="64">
        <v>8.4</v>
      </c>
      <c r="G12" s="64">
        <v>46.17</v>
      </c>
      <c r="H12" s="64">
        <v>8.56</v>
      </c>
      <c r="I12" s="64">
        <v>1.67</v>
      </c>
      <c r="J12" s="64">
        <v>0.1</v>
      </c>
      <c r="K12" s="64">
        <v>315.33999999999997</v>
      </c>
      <c r="L12" s="64">
        <v>24.8</v>
      </c>
      <c r="M12" s="64">
        <v>98.44</v>
      </c>
      <c r="N12" s="64">
        <v>66.599999999999994</v>
      </c>
      <c r="O12" s="64">
        <v>0</v>
      </c>
      <c r="P12" s="64">
        <v>0.66</v>
      </c>
      <c r="Q12" s="64">
        <v>9.24</v>
      </c>
      <c r="R12" s="198"/>
      <c r="S12" s="198"/>
      <c r="T12" s="198"/>
      <c r="U12" s="198"/>
    </row>
    <row r="13" spans="1:21" s="12" customFormat="1" x14ac:dyDescent="0.25">
      <c r="A13" s="214" t="s">
        <v>2458</v>
      </c>
      <c r="B13" s="64">
        <v>7.63</v>
      </c>
      <c r="C13" s="64">
        <v>10.130000000000001</v>
      </c>
      <c r="D13" s="64">
        <v>11.41</v>
      </c>
      <c r="E13" s="64">
        <v>4.8899999999999997</v>
      </c>
      <c r="F13" s="64">
        <v>6.74</v>
      </c>
      <c r="G13" s="64">
        <v>44.31</v>
      </c>
      <c r="H13" s="64">
        <v>8.43</v>
      </c>
      <c r="I13" s="64">
        <v>1.77</v>
      </c>
      <c r="J13" s="64">
        <v>0.15</v>
      </c>
      <c r="K13" s="64">
        <v>299.81</v>
      </c>
      <c r="L13" s="64">
        <v>24.76</v>
      </c>
      <c r="M13" s="64">
        <v>98.47</v>
      </c>
      <c r="N13" s="64">
        <v>66.599999999999994</v>
      </c>
      <c r="O13" s="64">
        <v>0</v>
      </c>
      <c r="P13" s="64">
        <v>0.53</v>
      </c>
      <c r="Q13" s="64">
        <v>9.23</v>
      </c>
      <c r="R13" s="198"/>
      <c r="S13" s="198"/>
      <c r="T13" s="198"/>
      <c r="U13" s="198"/>
    </row>
    <row r="14" spans="1:21" s="12" customFormat="1" x14ac:dyDescent="0.25">
      <c r="A14" s="214" t="s">
        <v>2459</v>
      </c>
      <c r="B14" s="64">
        <v>8.11</v>
      </c>
      <c r="C14" s="64">
        <v>8.4700000000000006</v>
      </c>
      <c r="D14" s="64">
        <v>10.93</v>
      </c>
      <c r="E14" s="64">
        <v>5.09</v>
      </c>
      <c r="F14" s="64">
        <v>9.2899999999999991</v>
      </c>
      <c r="G14" s="64">
        <v>44.18</v>
      </c>
      <c r="H14" s="64">
        <v>8.43</v>
      </c>
      <c r="I14" s="64">
        <v>2.0299999999999998</v>
      </c>
      <c r="J14" s="64">
        <v>0.17</v>
      </c>
      <c r="K14" s="64">
        <v>307.19</v>
      </c>
      <c r="L14" s="64">
        <v>24.73</v>
      </c>
      <c r="M14" s="64">
        <v>98.48</v>
      </c>
      <c r="N14" s="64">
        <v>66.7</v>
      </c>
      <c r="O14" s="64">
        <v>0</v>
      </c>
      <c r="P14" s="64">
        <v>0.55000000000000004</v>
      </c>
      <c r="Q14" s="64">
        <v>9.2200000000000006</v>
      </c>
      <c r="R14" s="198"/>
      <c r="S14" s="198"/>
      <c r="T14" s="198"/>
      <c r="U14" s="198"/>
    </row>
    <row r="15" spans="1:21" s="12" customFormat="1" x14ac:dyDescent="0.25">
      <c r="A15" s="214" t="s">
        <v>2460</v>
      </c>
      <c r="B15" s="64">
        <v>8.02</v>
      </c>
      <c r="C15" s="64">
        <v>9</v>
      </c>
      <c r="D15" s="64">
        <v>11.13</v>
      </c>
      <c r="E15" s="64">
        <v>5.0199999999999996</v>
      </c>
      <c r="F15" s="64">
        <v>9.75</v>
      </c>
      <c r="G15" s="64">
        <v>44.18</v>
      </c>
      <c r="H15" s="64">
        <v>8.43</v>
      </c>
      <c r="I15" s="64">
        <v>2.2000000000000002</v>
      </c>
      <c r="J15" s="64">
        <v>0.18</v>
      </c>
      <c r="K15" s="64">
        <v>303.66000000000003</v>
      </c>
      <c r="L15" s="64">
        <v>24.74</v>
      </c>
      <c r="M15" s="64">
        <v>98.48</v>
      </c>
      <c r="N15" s="64">
        <v>67</v>
      </c>
      <c r="O15" s="64">
        <v>0</v>
      </c>
      <c r="P15" s="64">
        <v>0.53</v>
      </c>
      <c r="Q15" s="64">
        <v>9.24</v>
      </c>
      <c r="R15" s="198"/>
      <c r="S15" s="198"/>
      <c r="T15" s="198"/>
      <c r="U15" s="198"/>
    </row>
    <row r="16" spans="1:21" s="12" customFormat="1" x14ac:dyDescent="0.25">
      <c r="A16" s="214" t="s">
        <v>2461</v>
      </c>
      <c r="B16" s="64">
        <v>7.43</v>
      </c>
      <c r="C16" s="64">
        <v>9.26</v>
      </c>
      <c r="D16" s="64">
        <v>10.79</v>
      </c>
      <c r="E16" s="64">
        <v>5.01</v>
      </c>
      <c r="F16" s="64">
        <v>7.85</v>
      </c>
      <c r="G16" s="64">
        <v>44.18</v>
      </c>
      <c r="H16" s="64">
        <v>8.43</v>
      </c>
      <c r="I16" s="64">
        <v>2.25</v>
      </c>
      <c r="J16" s="64">
        <v>0.16</v>
      </c>
      <c r="K16" s="64">
        <v>303.5</v>
      </c>
      <c r="L16" s="64">
        <v>24.71</v>
      </c>
      <c r="M16" s="64">
        <v>98.46</v>
      </c>
      <c r="N16" s="64">
        <v>67.099999999999994</v>
      </c>
      <c r="O16" s="64">
        <v>0</v>
      </c>
      <c r="P16" s="64">
        <v>0.53</v>
      </c>
      <c r="Q16" s="64">
        <v>9.25</v>
      </c>
      <c r="R16" s="198"/>
      <c r="S16" s="198"/>
      <c r="T16" s="198"/>
      <c r="U16" s="198"/>
    </row>
    <row r="17" spans="1:21" s="12" customFormat="1" x14ac:dyDescent="0.25">
      <c r="A17" s="214" t="s">
        <v>2462</v>
      </c>
      <c r="B17" s="64">
        <v>7.44</v>
      </c>
      <c r="C17" s="64">
        <v>9.14</v>
      </c>
      <c r="D17" s="64">
        <v>10.75</v>
      </c>
      <c r="E17" s="64">
        <v>4.74</v>
      </c>
      <c r="F17" s="64">
        <v>8.93</v>
      </c>
      <c r="G17" s="64">
        <v>43.38</v>
      </c>
      <c r="H17" s="64">
        <v>5.9</v>
      </c>
      <c r="I17" s="64">
        <v>2.3199999999999998</v>
      </c>
      <c r="J17" s="64">
        <v>0.17</v>
      </c>
      <c r="K17" s="64">
        <v>304.10000000000002</v>
      </c>
      <c r="L17" s="64">
        <v>24.67</v>
      </c>
      <c r="M17" s="64">
        <v>98.43</v>
      </c>
      <c r="N17" s="64">
        <v>67.3</v>
      </c>
      <c r="O17" s="64">
        <v>0</v>
      </c>
      <c r="P17" s="64">
        <v>0.62</v>
      </c>
      <c r="Q17" s="64">
        <v>9.25</v>
      </c>
      <c r="R17" s="198"/>
      <c r="S17" s="198"/>
      <c r="T17" s="198"/>
      <c r="U17" s="198"/>
    </row>
    <row r="18" spans="1:21" s="12" customFormat="1" x14ac:dyDescent="0.25">
      <c r="A18" s="214" t="s">
        <v>2463</v>
      </c>
      <c r="B18" s="64">
        <v>7.25</v>
      </c>
      <c r="C18" s="64">
        <v>9.6199999999999992</v>
      </c>
      <c r="D18" s="64">
        <v>10.83</v>
      </c>
      <c r="E18" s="64">
        <v>4.67</v>
      </c>
      <c r="F18" s="64">
        <v>8.08</v>
      </c>
      <c r="G18" s="64">
        <v>43.32</v>
      </c>
      <c r="H18" s="64">
        <v>5.9</v>
      </c>
      <c r="I18" s="64">
        <v>2.39</v>
      </c>
      <c r="J18" s="64">
        <v>0.15</v>
      </c>
      <c r="K18" s="64">
        <v>307.11</v>
      </c>
      <c r="L18" s="64">
        <v>24.58</v>
      </c>
      <c r="M18" s="64">
        <v>98.42</v>
      </c>
      <c r="N18" s="64">
        <v>67</v>
      </c>
      <c r="O18" s="64">
        <v>0</v>
      </c>
      <c r="P18" s="64">
        <v>0.64</v>
      </c>
      <c r="Q18" s="64">
        <v>9.25</v>
      </c>
      <c r="R18" s="198"/>
      <c r="S18" s="198"/>
      <c r="T18" s="198"/>
      <c r="U18" s="198"/>
    </row>
    <row r="19" spans="1:21" s="12" customFormat="1" x14ac:dyDescent="0.25">
      <c r="A19" s="214" t="s">
        <v>2464</v>
      </c>
      <c r="B19" s="64">
        <v>7.18</v>
      </c>
      <c r="C19" s="64">
        <v>9.66</v>
      </c>
      <c r="D19" s="64">
        <v>10.81</v>
      </c>
      <c r="E19" s="64">
        <v>4.93</v>
      </c>
      <c r="F19" s="64">
        <v>8.67</v>
      </c>
      <c r="G19" s="64">
        <v>43.32</v>
      </c>
      <c r="H19" s="64">
        <v>5.9</v>
      </c>
      <c r="I19" s="64">
        <v>2.46</v>
      </c>
      <c r="J19" s="64">
        <v>0.14000000000000001</v>
      </c>
      <c r="K19" s="64">
        <v>302.05</v>
      </c>
      <c r="L19" s="64">
        <v>24.37</v>
      </c>
      <c r="M19" s="64">
        <v>98.42</v>
      </c>
      <c r="N19" s="64">
        <v>66.900000000000006</v>
      </c>
      <c r="O19" s="64">
        <v>0</v>
      </c>
      <c r="P19" s="64">
        <v>0.59</v>
      </c>
      <c r="Q19" s="64">
        <v>9.25</v>
      </c>
      <c r="R19" s="198"/>
      <c r="S19" s="198"/>
      <c r="T19" s="198"/>
      <c r="U19" s="198"/>
    </row>
    <row r="20" spans="1:21" s="12" customFormat="1" x14ac:dyDescent="0.25">
      <c r="A20" s="214" t="s">
        <v>2465</v>
      </c>
      <c r="B20" s="64">
        <v>8.8000000000000007</v>
      </c>
      <c r="C20" s="64">
        <v>11.72</v>
      </c>
      <c r="D20" s="64">
        <v>13.18</v>
      </c>
      <c r="E20" s="64">
        <v>4.78</v>
      </c>
      <c r="F20" s="64">
        <v>7.58</v>
      </c>
      <c r="G20" s="64">
        <v>43.32</v>
      </c>
      <c r="H20" s="64">
        <v>5.9</v>
      </c>
      <c r="I20" s="64">
        <v>2.52</v>
      </c>
      <c r="J20" s="64">
        <v>0.13</v>
      </c>
      <c r="K20" s="64">
        <v>310.11</v>
      </c>
      <c r="L20" s="64">
        <v>24.34</v>
      </c>
      <c r="M20" s="64">
        <v>98.43</v>
      </c>
      <c r="N20" s="64">
        <v>66.900000000000006</v>
      </c>
      <c r="O20" s="64">
        <v>0</v>
      </c>
      <c r="P20" s="64">
        <v>0.71</v>
      </c>
      <c r="Q20" s="64">
        <v>9.25</v>
      </c>
      <c r="R20" s="198"/>
      <c r="S20" s="198"/>
      <c r="T20" s="198"/>
      <c r="U20" s="198"/>
    </row>
    <row r="21" spans="1:21" s="12" customFormat="1" x14ac:dyDescent="0.25">
      <c r="A21" s="214" t="s">
        <v>2466</v>
      </c>
      <c r="B21" s="64">
        <v>7.4</v>
      </c>
      <c r="C21" s="64">
        <v>10.69</v>
      </c>
      <c r="D21" s="64">
        <v>11.52</v>
      </c>
      <c r="E21" s="64">
        <v>4.68</v>
      </c>
      <c r="F21" s="64">
        <v>8.42</v>
      </c>
      <c r="G21" s="64">
        <v>36.270000000000003</v>
      </c>
      <c r="H21" s="64">
        <v>4.13</v>
      </c>
      <c r="I21" s="64">
        <v>2.58</v>
      </c>
      <c r="J21" s="64">
        <v>0.18</v>
      </c>
      <c r="K21" s="64">
        <v>299.27999999999997</v>
      </c>
      <c r="L21" s="64">
        <v>24.15</v>
      </c>
      <c r="M21" s="64">
        <v>98.46</v>
      </c>
      <c r="N21" s="64">
        <v>66.599999999999994</v>
      </c>
      <c r="O21" s="64">
        <v>0</v>
      </c>
      <c r="P21" s="64">
        <v>0.74</v>
      </c>
      <c r="Q21" s="64">
        <v>9.26</v>
      </c>
      <c r="R21" s="198"/>
      <c r="S21" s="198"/>
      <c r="T21" s="198"/>
      <c r="U21" s="198"/>
    </row>
    <row r="22" spans="1:21" s="12" customFormat="1" x14ac:dyDescent="0.25">
      <c r="A22" s="214" t="s">
        <v>2467</v>
      </c>
      <c r="B22" s="64">
        <v>7.35</v>
      </c>
      <c r="C22" s="64">
        <v>9.41</v>
      </c>
      <c r="D22" s="64">
        <v>10.81</v>
      </c>
      <c r="E22" s="64">
        <v>4.57</v>
      </c>
      <c r="F22" s="64">
        <v>5.84</v>
      </c>
      <c r="G22" s="64">
        <v>35.770000000000003</v>
      </c>
      <c r="H22" s="64">
        <v>4.13</v>
      </c>
      <c r="I22" s="64">
        <v>2.65</v>
      </c>
      <c r="J22" s="64">
        <v>0.21</v>
      </c>
      <c r="K22" s="64">
        <v>300.98</v>
      </c>
      <c r="L22" s="64">
        <v>23.88</v>
      </c>
      <c r="M22" s="64">
        <v>98.5</v>
      </c>
      <c r="N22" s="64">
        <v>66.7</v>
      </c>
      <c r="O22" s="64">
        <v>0</v>
      </c>
      <c r="P22" s="64">
        <v>0.65</v>
      </c>
      <c r="Q22" s="64">
        <v>9.26</v>
      </c>
      <c r="R22" s="198"/>
      <c r="S22" s="198"/>
      <c r="T22" s="198"/>
      <c r="U22" s="198"/>
    </row>
    <row r="23" spans="1:21" s="12" customFormat="1" x14ac:dyDescent="0.25">
      <c r="A23" s="214" t="s">
        <v>2468</v>
      </c>
      <c r="B23" s="64">
        <v>7.46</v>
      </c>
      <c r="C23" s="64">
        <v>8.5</v>
      </c>
      <c r="D23" s="64">
        <v>10.42</v>
      </c>
      <c r="E23" s="64">
        <v>4.84</v>
      </c>
      <c r="F23" s="64">
        <v>5.55</v>
      </c>
      <c r="G23" s="64">
        <v>35.770000000000003</v>
      </c>
      <c r="H23" s="64">
        <v>4.13</v>
      </c>
      <c r="I23" s="64">
        <v>2.76</v>
      </c>
      <c r="J23" s="64">
        <v>0.14000000000000001</v>
      </c>
      <c r="K23" s="64">
        <v>302.36</v>
      </c>
      <c r="L23" s="64">
        <v>23.69</v>
      </c>
      <c r="M23" s="64">
        <v>98.53</v>
      </c>
      <c r="N23" s="64">
        <v>66.8</v>
      </c>
      <c r="O23" s="64">
        <v>0</v>
      </c>
      <c r="P23" s="64">
        <v>0.65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14" t="s">
        <v>2469</v>
      </c>
      <c r="B24" s="64">
        <v>8.26</v>
      </c>
      <c r="C24" s="64">
        <v>11.86</v>
      </c>
      <c r="D24" s="64">
        <v>12.82</v>
      </c>
      <c r="E24" s="64">
        <v>4.84</v>
      </c>
      <c r="F24" s="64">
        <v>9.0399999999999991</v>
      </c>
      <c r="G24" s="64">
        <v>35.770000000000003</v>
      </c>
      <c r="H24" s="64">
        <v>4.13</v>
      </c>
      <c r="I24" s="64">
        <v>2.83</v>
      </c>
      <c r="J24" s="64">
        <v>7.0000000000000007E-2</v>
      </c>
      <c r="K24" s="64">
        <v>324.45</v>
      </c>
      <c r="L24" s="64">
        <v>23.53</v>
      </c>
      <c r="M24" s="64">
        <v>98.55</v>
      </c>
      <c r="N24" s="64">
        <v>66.8</v>
      </c>
      <c r="O24" s="64">
        <v>0</v>
      </c>
      <c r="P24" s="64">
        <v>0.59</v>
      </c>
      <c r="Q24" s="64">
        <v>9.2200000000000006</v>
      </c>
      <c r="R24" s="198"/>
      <c r="S24" s="198"/>
      <c r="T24" s="198"/>
      <c r="U24" s="198"/>
    </row>
    <row r="25" spans="1:21" s="12" customFormat="1" x14ac:dyDescent="0.25">
      <c r="A25" s="214" t="s">
        <v>2470</v>
      </c>
      <c r="B25" s="64">
        <v>6.56</v>
      </c>
      <c r="C25" s="64">
        <v>11.65</v>
      </c>
      <c r="D25" s="64">
        <v>11.35</v>
      </c>
      <c r="E25" s="64">
        <v>4.9800000000000004</v>
      </c>
      <c r="F25" s="64">
        <v>7</v>
      </c>
      <c r="G25" s="64">
        <v>39.78</v>
      </c>
      <c r="H25" s="64">
        <v>3.45</v>
      </c>
      <c r="I25" s="64">
        <v>2.86</v>
      </c>
      <c r="J25" s="64">
        <v>0.05</v>
      </c>
      <c r="K25" s="64">
        <v>247.11</v>
      </c>
      <c r="L25" s="64">
        <v>23.31</v>
      </c>
      <c r="M25" s="64">
        <v>98.55</v>
      </c>
      <c r="N25" s="64">
        <v>66.900000000000006</v>
      </c>
      <c r="O25" s="64">
        <v>0</v>
      </c>
      <c r="P25" s="64">
        <v>0.56999999999999995</v>
      </c>
      <c r="Q25" s="64">
        <v>9.2100000000000009</v>
      </c>
      <c r="R25" s="198"/>
      <c r="S25" s="198"/>
      <c r="T25" s="198"/>
      <c r="U25" s="198"/>
    </row>
    <row r="26" spans="1:21" s="12" customFormat="1" x14ac:dyDescent="0.25">
      <c r="A26" s="214" t="s">
        <v>2471</v>
      </c>
      <c r="B26" s="64">
        <v>7.02</v>
      </c>
      <c r="C26" s="64">
        <v>9.89</v>
      </c>
      <c r="D26" s="64">
        <v>10.79</v>
      </c>
      <c r="E26" s="64">
        <v>5.0199999999999996</v>
      </c>
      <c r="F26" s="64">
        <v>6.37</v>
      </c>
      <c r="G26" s="64">
        <v>40.07</v>
      </c>
      <c r="H26" s="64">
        <v>3.45</v>
      </c>
      <c r="I26" s="64">
        <v>2.9</v>
      </c>
      <c r="J26" s="64">
        <v>0.13</v>
      </c>
      <c r="K26" s="64">
        <v>173.89</v>
      </c>
      <c r="L26" s="64">
        <v>23.2</v>
      </c>
      <c r="M26" s="64">
        <v>98.56</v>
      </c>
      <c r="N26" s="64">
        <v>67</v>
      </c>
      <c r="O26" s="64">
        <v>0</v>
      </c>
      <c r="P26" s="64">
        <v>0.63</v>
      </c>
      <c r="Q26" s="64">
        <v>9.2100000000000009</v>
      </c>
      <c r="R26" s="198"/>
      <c r="S26" s="198"/>
      <c r="T26" s="198"/>
      <c r="U26" s="198"/>
    </row>
    <row r="27" spans="1:21" s="12" customFormat="1" x14ac:dyDescent="0.25">
      <c r="A27" s="214" t="s">
        <v>2472</v>
      </c>
      <c r="B27" s="64">
        <v>6.77</v>
      </c>
      <c r="C27" s="64">
        <v>12.08</v>
      </c>
      <c r="D27" s="64">
        <v>11.74</v>
      </c>
      <c r="E27" s="64">
        <v>4.97</v>
      </c>
      <c r="F27" s="64">
        <v>5.46</v>
      </c>
      <c r="G27" s="64">
        <v>40.07</v>
      </c>
      <c r="H27" s="64">
        <v>3.45</v>
      </c>
      <c r="I27" s="64">
        <v>2.94</v>
      </c>
      <c r="J27" s="64">
        <v>0.36</v>
      </c>
      <c r="K27" s="64">
        <v>145.94</v>
      </c>
      <c r="L27" s="64">
        <v>23.17</v>
      </c>
      <c r="M27" s="64">
        <v>98.57</v>
      </c>
      <c r="N27" s="64">
        <v>66.900000000000006</v>
      </c>
      <c r="O27" s="64">
        <v>0</v>
      </c>
      <c r="P27" s="64">
        <v>0.73</v>
      </c>
      <c r="Q27" s="64">
        <v>9.2100000000000009</v>
      </c>
      <c r="R27" s="198"/>
      <c r="S27" s="198"/>
      <c r="T27" s="198"/>
      <c r="U27" s="198"/>
    </row>
    <row r="28" spans="1:21" s="12" customFormat="1" x14ac:dyDescent="0.25">
      <c r="A28" s="214" t="s">
        <v>2473</v>
      </c>
      <c r="B28" s="64">
        <v>7.3</v>
      </c>
      <c r="C28" s="64">
        <v>10.52</v>
      </c>
      <c r="D28" s="64">
        <v>11.35</v>
      </c>
      <c r="E28" s="64">
        <v>4.68</v>
      </c>
      <c r="F28" s="64">
        <v>5.64</v>
      </c>
      <c r="G28" s="64">
        <v>40.07</v>
      </c>
      <c r="H28" s="64">
        <v>3.45</v>
      </c>
      <c r="I28" s="64">
        <v>3</v>
      </c>
      <c r="J28" s="64">
        <v>0.21</v>
      </c>
      <c r="K28" s="64">
        <v>149.19999999999999</v>
      </c>
      <c r="L28" s="64">
        <v>23.19</v>
      </c>
      <c r="M28" s="64">
        <v>98.58</v>
      </c>
      <c r="N28" s="64">
        <v>66.7</v>
      </c>
      <c r="O28" s="64">
        <v>0</v>
      </c>
      <c r="P28" s="64">
        <v>0.63</v>
      </c>
      <c r="Q28" s="64">
        <v>9.1999999999999993</v>
      </c>
      <c r="R28" s="198"/>
      <c r="S28" s="198"/>
      <c r="T28" s="198"/>
      <c r="U28" s="198"/>
    </row>
    <row r="29" spans="1:21" s="12" customFormat="1" x14ac:dyDescent="0.25">
      <c r="A29" s="214" t="s">
        <v>2474</v>
      </c>
      <c r="B29" s="64">
        <v>6.94</v>
      </c>
      <c r="C29" s="64">
        <v>10.18</v>
      </c>
      <c r="D29" s="64">
        <v>10.89</v>
      </c>
      <c r="E29" s="64">
        <v>4.6399999999999997</v>
      </c>
      <c r="F29" s="64">
        <v>7.76</v>
      </c>
      <c r="G29" s="64">
        <v>38.729999999999997</v>
      </c>
      <c r="H29" s="64">
        <v>3.5</v>
      </c>
      <c r="I29" s="64">
        <v>3.04</v>
      </c>
      <c r="J29" s="64">
        <v>0.04</v>
      </c>
      <c r="K29" s="64">
        <v>182.46</v>
      </c>
      <c r="L29" s="64">
        <v>23.07</v>
      </c>
      <c r="M29" s="64">
        <v>98.57</v>
      </c>
      <c r="N29" s="64">
        <v>67</v>
      </c>
      <c r="O29" s="64">
        <v>0</v>
      </c>
      <c r="P29" s="64">
        <v>0.57999999999999996</v>
      </c>
      <c r="Q29" s="64">
        <v>9.2100000000000009</v>
      </c>
      <c r="R29" s="198"/>
      <c r="S29" s="198"/>
      <c r="T29" s="198"/>
      <c r="U29" s="198"/>
    </row>
    <row r="30" spans="1:21" s="12" customFormat="1" x14ac:dyDescent="0.25">
      <c r="A30" s="214" t="s">
        <v>2475</v>
      </c>
      <c r="B30" s="64">
        <v>7.57</v>
      </c>
      <c r="C30" s="64">
        <v>8.58</v>
      </c>
      <c r="D30" s="64">
        <v>10.55</v>
      </c>
      <c r="E30" s="64">
        <v>4.79</v>
      </c>
      <c r="F30" s="64">
        <v>5.42</v>
      </c>
      <c r="G30" s="64">
        <v>38.630000000000003</v>
      </c>
      <c r="H30" s="64">
        <v>3.5</v>
      </c>
      <c r="I30" s="64">
        <v>3.06</v>
      </c>
      <c r="J30" s="64">
        <v>0.06</v>
      </c>
      <c r="K30" s="64">
        <v>315.83</v>
      </c>
      <c r="L30" s="64">
        <v>23.04</v>
      </c>
      <c r="M30" s="64">
        <v>98.59</v>
      </c>
      <c r="N30" s="64">
        <v>66.8</v>
      </c>
      <c r="O30" s="64">
        <v>0</v>
      </c>
      <c r="P30" s="64">
        <v>0.61</v>
      </c>
      <c r="Q30" s="64">
        <v>9.2200000000000006</v>
      </c>
      <c r="R30" s="198"/>
      <c r="S30" s="198"/>
      <c r="T30" s="198"/>
      <c r="U30" s="198"/>
    </row>
    <row r="31" spans="1:21" s="12" customFormat="1" x14ac:dyDescent="0.25">
      <c r="A31" s="214" t="s">
        <v>2476</v>
      </c>
      <c r="B31" s="64">
        <v>8.06</v>
      </c>
      <c r="C31" s="64">
        <v>10.3</v>
      </c>
      <c r="D31" s="64">
        <v>11.85</v>
      </c>
      <c r="E31" s="64">
        <v>4.8099999999999996</v>
      </c>
      <c r="F31" s="64">
        <v>7.12</v>
      </c>
      <c r="G31" s="64">
        <v>38.630000000000003</v>
      </c>
      <c r="H31" s="64">
        <v>3.5</v>
      </c>
      <c r="I31" s="64">
        <v>3.05</v>
      </c>
      <c r="J31" s="64">
        <v>7.0000000000000007E-2</v>
      </c>
      <c r="K31" s="64">
        <v>279.32</v>
      </c>
      <c r="L31" s="64">
        <v>22.98</v>
      </c>
      <c r="M31" s="64">
        <v>98.6</v>
      </c>
      <c r="N31" s="64">
        <v>67</v>
      </c>
      <c r="O31" s="64">
        <v>0</v>
      </c>
      <c r="P31" s="64">
        <v>0.5</v>
      </c>
      <c r="Q31" s="64">
        <v>9.2200000000000006</v>
      </c>
      <c r="R31" s="198"/>
      <c r="S31" s="198"/>
      <c r="T31" s="198"/>
      <c r="U31" s="198"/>
    </row>
    <row r="32" spans="1:21" s="12" customFormat="1" x14ac:dyDescent="0.25">
      <c r="A32" s="214" t="s">
        <v>2477</v>
      </c>
      <c r="B32" s="64">
        <v>8.27</v>
      </c>
      <c r="C32" s="64">
        <v>9.81</v>
      </c>
      <c r="D32" s="64">
        <v>11.76</v>
      </c>
      <c r="E32" s="64">
        <v>4.82</v>
      </c>
      <c r="F32" s="64">
        <v>6.75</v>
      </c>
      <c r="G32" s="64">
        <v>38.630000000000003</v>
      </c>
      <c r="H32" s="64">
        <v>3.5</v>
      </c>
      <c r="I32" s="64">
        <v>2.99</v>
      </c>
      <c r="J32" s="64">
        <v>0.06</v>
      </c>
      <c r="K32" s="64">
        <v>290.66000000000003</v>
      </c>
      <c r="L32" s="64">
        <v>22.94</v>
      </c>
      <c r="M32" s="64">
        <v>98.6</v>
      </c>
      <c r="N32" s="64">
        <v>71.599999999999994</v>
      </c>
      <c r="O32" s="64">
        <v>0</v>
      </c>
      <c r="P32" s="64">
        <v>0.51</v>
      </c>
      <c r="Q32" s="64">
        <v>9.2100000000000009</v>
      </c>
      <c r="R32" s="198"/>
      <c r="S32" s="198"/>
      <c r="T32" s="198"/>
      <c r="U32" s="198"/>
    </row>
    <row r="33" spans="1:21" s="12" customFormat="1" x14ac:dyDescent="0.25">
      <c r="A33" s="214" t="s">
        <v>2478</v>
      </c>
      <c r="B33" s="64">
        <v>16.7</v>
      </c>
      <c r="C33" s="64">
        <v>12.25</v>
      </c>
      <c r="D33" s="64">
        <v>19.79</v>
      </c>
      <c r="E33" s="64">
        <v>5.01</v>
      </c>
      <c r="F33" s="64">
        <v>6.92</v>
      </c>
      <c r="G33" s="64">
        <v>36.6</v>
      </c>
      <c r="H33" s="64">
        <v>2.66</v>
      </c>
      <c r="I33" s="64">
        <v>2.94</v>
      </c>
      <c r="J33" s="64">
        <v>0.15</v>
      </c>
      <c r="K33" s="64">
        <v>309.07</v>
      </c>
      <c r="L33" s="64">
        <v>23.05</v>
      </c>
      <c r="M33" s="64">
        <v>98.58</v>
      </c>
      <c r="N33" s="64">
        <v>77.8</v>
      </c>
      <c r="O33" s="64">
        <v>0</v>
      </c>
      <c r="P33" s="64">
        <v>0.56000000000000005</v>
      </c>
      <c r="Q33" s="64">
        <v>9.24</v>
      </c>
      <c r="R33" s="198"/>
      <c r="S33" s="198"/>
      <c r="T33" s="198"/>
      <c r="U33" s="198"/>
    </row>
    <row r="34" spans="1:21" s="12" customFormat="1" x14ac:dyDescent="0.25">
      <c r="A34" s="214" t="s">
        <v>2479</v>
      </c>
      <c r="B34" s="64">
        <v>9.6999999999999993</v>
      </c>
      <c r="C34" s="64">
        <v>8.14</v>
      </c>
      <c r="D34" s="64">
        <v>12.03</v>
      </c>
      <c r="E34" s="64">
        <v>4.79</v>
      </c>
      <c r="F34" s="64">
        <v>8.57</v>
      </c>
      <c r="G34" s="64">
        <v>36.450000000000003</v>
      </c>
      <c r="H34" s="64">
        <v>2.66</v>
      </c>
      <c r="I34" s="64">
        <v>2.88</v>
      </c>
      <c r="J34" s="64">
        <v>0.2</v>
      </c>
      <c r="K34" s="64">
        <v>315.77</v>
      </c>
      <c r="L34" s="64">
        <v>23.16</v>
      </c>
      <c r="M34" s="64">
        <v>98.6</v>
      </c>
      <c r="N34" s="64">
        <v>94.3</v>
      </c>
      <c r="O34" s="64">
        <v>0</v>
      </c>
      <c r="P34" s="64">
        <v>0.56000000000000005</v>
      </c>
      <c r="Q34" s="64">
        <v>9.27</v>
      </c>
      <c r="R34" s="198"/>
      <c r="S34" s="198"/>
      <c r="T34" s="198"/>
      <c r="U34" s="198"/>
    </row>
    <row r="35" spans="1:21" s="12" customFormat="1" x14ac:dyDescent="0.25">
      <c r="A35" s="214" t="s">
        <v>2480</v>
      </c>
      <c r="B35" s="64">
        <v>11.01</v>
      </c>
      <c r="C35" s="64">
        <v>9.73</v>
      </c>
      <c r="D35" s="64">
        <v>13.91</v>
      </c>
      <c r="E35" s="64">
        <v>4.5599999999999996</v>
      </c>
      <c r="F35" s="64">
        <v>8.32</v>
      </c>
      <c r="G35" s="64">
        <v>36.450000000000003</v>
      </c>
      <c r="H35" s="64">
        <v>2.66</v>
      </c>
      <c r="I35" s="64">
        <v>2.82</v>
      </c>
      <c r="J35" s="64">
        <v>0.14000000000000001</v>
      </c>
      <c r="K35" s="64">
        <v>311.10000000000002</v>
      </c>
      <c r="L35" s="64">
        <v>23.29</v>
      </c>
      <c r="M35" s="64">
        <v>98.6</v>
      </c>
      <c r="N35" s="64">
        <v>90.9</v>
      </c>
      <c r="O35" s="64">
        <v>0</v>
      </c>
      <c r="P35" s="64">
        <v>0.62</v>
      </c>
      <c r="Q35" s="64">
        <v>9.27</v>
      </c>
      <c r="R35" s="198"/>
      <c r="S35" s="198"/>
      <c r="T35" s="198"/>
      <c r="U35" s="198"/>
    </row>
    <row r="36" spans="1:21" s="12" customFormat="1" x14ac:dyDescent="0.25">
      <c r="A36" s="214" t="s">
        <v>2481</v>
      </c>
      <c r="B36" s="64">
        <v>11.28</v>
      </c>
      <c r="C36" s="64">
        <v>9.0500000000000007</v>
      </c>
      <c r="D36" s="64">
        <v>13.77</v>
      </c>
      <c r="E36" s="64">
        <v>4.8099999999999996</v>
      </c>
      <c r="F36" s="64">
        <v>6.71</v>
      </c>
      <c r="G36" s="64">
        <v>36.450000000000003</v>
      </c>
      <c r="H36" s="64">
        <v>2.66</v>
      </c>
      <c r="I36" s="64">
        <v>2.76</v>
      </c>
      <c r="J36" s="64">
        <v>0.14000000000000001</v>
      </c>
      <c r="K36" s="64">
        <v>300.75</v>
      </c>
      <c r="L36" s="64">
        <v>23.33</v>
      </c>
      <c r="M36" s="64">
        <v>98.6</v>
      </c>
      <c r="N36" s="64">
        <v>84.5</v>
      </c>
      <c r="O36" s="64">
        <v>0</v>
      </c>
      <c r="P36" s="64">
        <v>0.6</v>
      </c>
      <c r="Q36" s="64">
        <v>9.2799999999999994</v>
      </c>
      <c r="R36" s="198"/>
      <c r="S36" s="198"/>
      <c r="T36" s="198"/>
      <c r="U36" s="198"/>
    </row>
    <row r="37" spans="1:21" s="12" customFormat="1" x14ac:dyDescent="0.25">
      <c r="A37" s="214" t="s">
        <v>2482</v>
      </c>
      <c r="B37" s="64">
        <v>11.12</v>
      </c>
      <c r="C37" s="64">
        <v>9.4</v>
      </c>
      <c r="D37" s="64">
        <v>13.83</v>
      </c>
      <c r="E37" s="64">
        <v>4.97</v>
      </c>
      <c r="F37" s="64">
        <v>5.57</v>
      </c>
      <c r="G37" s="64">
        <v>25.34</v>
      </c>
      <c r="H37" s="64">
        <v>5.55</v>
      </c>
      <c r="I37" s="64">
        <v>2.73</v>
      </c>
      <c r="J37" s="64">
        <v>0.11</v>
      </c>
      <c r="K37" s="64">
        <v>304.68</v>
      </c>
      <c r="L37" s="64">
        <v>23.21</v>
      </c>
      <c r="M37" s="64">
        <v>98.61</v>
      </c>
      <c r="N37" s="64">
        <v>83.4</v>
      </c>
      <c r="O37" s="64">
        <v>0</v>
      </c>
      <c r="P37" s="64">
        <v>0.6</v>
      </c>
      <c r="Q37" s="64">
        <v>9.3000000000000007</v>
      </c>
      <c r="R37" s="198"/>
      <c r="S37" s="198"/>
      <c r="T37" s="198"/>
      <c r="U37" s="198"/>
    </row>
    <row r="38" spans="1:21" s="12" customFormat="1" x14ac:dyDescent="0.25">
      <c r="A38" s="214" t="s">
        <v>2483</v>
      </c>
      <c r="B38" s="64">
        <v>12.08</v>
      </c>
      <c r="C38" s="64">
        <v>11.52</v>
      </c>
      <c r="D38" s="64">
        <v>15.7</v>
      </c>
      <c r="E38" s="64">
        <v>5.05</v>
      </c>
      <c r="F38" s="64">
        <v>7.02</v>
      </c>
      <c r="G38" s="64">
        <v>24.55</v>
      </c>
      <c r="H38" s="64">
        <v>5.55</v>
      </c>
      <c r="I38" s="64">
        <v>2.7</v>
      </c>
      <c r="J38" s="64">
        <v>0.09</v>
      </c>
      <c r="K38" s="64">
        <v>312.14</v>
      </c>
      <c r="L38" s="64">
        <v>23.32</v>
      </c>
      <c r="M38" s="64">
        <v>98.63</v>
      </c>
      <c r="N38" s="64">
        <v>85.5</v>
      </c>
      <c r="O38" s="64">
        <v>0</v>
      </c>
      <c r="P38" s="64">
        <v>0.75</v>
      </c>
      <c r="Q38" s="64">
        <v>9.3000000000000007</v>
      </c>
      <c r="R38" s="198"/>
      <c r="S38" s="198"/>
      <c r="T38" s="198"/>
      <c r="U38" s="198"/>
    </row>
    <row r="39" spans="1:21" s="12" customFormat="1" x14ac:dyDescent="0.25">
      <c r="A39" s="214" t="s">
        <v>2484</v>
      </c>
      <c r="B39" s="64">
        <v>11.72</v>
      </c>
      <c r="C39" s="64">
        <v>11.06</v>
      </c>
      <c r="D39" s="64">
        <v>15.18</v>
      </c>
      <c r="E39" s="64">
        <v>5.2</v>
      </c>
      <c r="F39" s="64">
        <v>8.02</v>
      </c>
      <c r="G39" s="64">
        <v>24.55</v>
      </c>
      <c r="H39" s="64">
        <v>5.55</v>
      </c>
      <c r="I39" s="64">
        <v>2.67</v>
      </c>
      <c r="J39" s="64">
        <v>0.09</v>
      </c>
      <c r="K39" s="64">
        <v>270.7</v>
      </c>
      <c r="L39" s="64">
        <v>23.33</v>
      </c>
      <c r="M39" s="64">
        <v>98.62</v>
      </c>
      <c r="N39" s="64">
        <v>77.099999999999994</v>
      </c>
      <c r="O39" s="64">
        <v>0</v>
      </c>
      <c r="P39" s="64">
        <v>0.75</v>
      </c>
      <c r="Q39" s="64">
        <v>9.3000000000000007</v>
      </c>
      <c r="R39" s="198"/>
      <c r="S39" s="198"/>
      <c r="T39" s="198"/>
      <c r="U39" s="198"/>
    </row>
    <row r="40" spans="1:21" s="12" customFormat="1" x14ac:dyDescent="0.25">
      <c r="A40" s="214" t="s">
        <v>2485</v>
      </c>
      <c r="B40" s="64">
        <v>14.37</v>
      </c>
      <c r="C40" s="64">
        <v>9.0500000000000007</v>
      </c>
      <c r="D40" s="64">
        <v>16.25</v>
      </c>
      <c r="E40" s="64">
        <v>3.98</v>
      </c>
      <c r="F40" s="64">
        <v>7.1</v>
      </c>
      <c r="G40" s="64">
        <v>24.55</v>
      </c>
      <c r="H40" s="64">
        <v>5.55</v>
      </c>
      <c r="I40" s="64">
        <v>2.66</v>
      </c>
      <c r="J40" s="64">
        <v>0.05</v>
      </c>
      <c r="K40" s="64">
        <v>298.3</v>
      </c>
      <c r="L40" s="64">
        <v>23.35</v>
      </c>
      <c r="M40" s="64">
        <v>98.62</v>
      </c>
      <c r="N40" s="64">
        <v>75</v>
      </c>
      <c r="O40" s="64">
        <v>0</v>
      </c>
      <c r="P40" s="64">
        <v>0.71</v>
      </c>
      <c r="Q40" s="64">
        <v>9.31</v>
      </c>
      <c r="R40" s="198"/>
      <c r="S40" s="198"/>
      <c r="T40" s="198"/>
      <c r="U40" s="198"/>
    </row>
    <row r="41" spans="1:21" s="12" customFormat="1" x14ac:dyDescent="0.25">
      <c r="A41" s="214" t="s">
        <v>2486</v>
      </c>
      <c r="B41" s="64">
        <v>12.5</v>
      </c>
      <c r="C41" s="64">
        <v>9.3000000000000007</v>
      </c>
      <c r="D41" s="64">
        <v>14.88</v>
      </c>
      <c r="E41" s="64">
        <v>3.81</v>
      </c>
      <c r="F41" s="64">
        <v>6.89</v>
      </c>
      <c r="G41" s="64">
        <v>31.39</v>
      </c>
      <c r="H41" s="64">
        <v>3.89</v>
      </c>
      <c r="I41" s="64">
        <v>2.66</v>
      </c>
      <c r="J41" s="64">
        <v>0.1</v>
      </c>
      <c r="K41" s="64">
        <v>256.5</v>
      </c>
      <c r="L41" s="64">
        <v>23.25</v>
      </c>
      <c r="M41" s="64">
        <v>98.62</v>
      </c>
      <c r="N41" s="64">
        <v>71.8</v>
      </c>
      <c r="O41" s="64">
        <v>0</v>
      </c>
      <c r="P41" s="64">
        <v>0.7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4" t="s">
        <v>2487</v>
      </c>
      <c r="B42" s="64">
        <v>11.37</v>
      </c>
      <c r="C42" s="64">
        <v>9.09</v>
      </c>
      <c r="D42" s="64">
        <v>13.86</v>
      </c>
      <c r="E42" s="64">
        <v>3.7</v>
      </c>
      <c r="F42" s="64">
        <v>5.68</v>
      </c>
      <c r="G42" s="64">
        <v>31.87</v>
      </c>
      <c r="H42" s="64">
        <v>3.89</v>
      </c>
      <c r="I42" s="64">
        <v>2.67</v>
      </c>
      <c r="J42" s="64">
        <v>0.09</v>
      </c>
      <c r="K42" s="64">
        <v>313.29000000000002</v>
      </c>
      <c r="L42" s="64">
        <v>23.14</v>
      </c>
      <c r="M42" s="64">
        <v>98.45</v>
      </c>
      <c r="N42" s="64">
        <v>70.8</v>
      </c>
      <c r="O42" s="64">
        <v>0</v>
      </c>
      <c r="P42" s="64">
        <v>0.7</v>
      </c>
      <c r="Q42" s="64">
        <v>9.3000000000000007</v>
      </c>
      <c r="R42" s="198"/>
      <c r="S42" s="198"/>
      <c r="T42" s="198"/>
      <c r="U42" s="198"/>
    </row>
    <row r="43" spans="1:21" s="12" customFormat="1" x14ac:dyDescent="0.25">
      <c r="A43" s="214" t="s">
        <v>2488</v>
      </c>
      <c r="B43" s="64">
        <v>19.34</v>
      </c>
      <c r="C43" s="64">
        <v>13.46</v>
      </c>
      <c r="D43" s="64">
        <v>22.54</v>
      </c>
      <c r="E43" s="64">
        <v>3.66</v>
      </c>
      <c r="F43" s="64">
        <v>5.68</v>
      </c>
      <c r="G43" s="64">
        <v>31.87</v>
      </c>
      <c r="H43" s="64">
        <v>3.89</v>
      </c>
      <c r="I43" s="64">
        <v>2.72</v>
      </c>
      <c r="J43" s="64">
        <v>0.03</v>
      </c>
      <c r="K43" s="64">
        <v>306.45999999999998</v>
      </c>
      <c r="L43" s="64">
        <v>23.19</v>
      </c>
      <c r="M43" s="64">
        <v>98.05</v>
      </c>
      <c r="N43" s="64">
        <v>71.400000000000006</v>
      </c>
      <c r="O43" s="64">
        <v>0</v>
      </c>
      <c r="P43" s="64">
        <v>1.01</v>
      </c>
      <c r="Q43" s="64">
        <v>9.31</v>
      </c>
      <c r="R43" s="198"/>
      <c r="S43" s="198"/>
      <c r="T43" s="198"/>
      <c r="U43" s="198"/>
    </row>
    <row r="44" spans="1:21" s="12" customFormat="1" x14ac:dyDescent="0.25">
      <c r="A44" s="214" t="s">
        <v>2489</v>
      </c>
      <c r="B44" s="64">
        <v>18.86</v>
      </c>
      <c r="C44" s="64">
        <v>12.04</v>
      </c>
      <c r="D44" s="64">
        <v>21.41</v>
      </c>
      <c r="E44" s="64">
        <v>4.04</v>
      </c>
      <c r="F44" s="64">
        <v>7.57</v>
      </c>
      <c r="G44" s="64">
        <v>31.87</v>
      </c>
      <c r="H44" s="64">
        <v>3.89</v>
      </c>
      <c r="I44" s="64">
        <v>2.82</v>
      </c>
      <c r="J44" s="64">
        <v>0.18</v>
      </c>
      <c r="K44" s="64">
        <v>334.04</v>
      </c>
      <c r="L44" s="64">
        <v>23.08</v>
      </c>
      <c r="M44" s="64">
        <v>98.24</v>
      </c>
      <c r="N44" s="64">
        <v>72.599999999999994</v>
      </c>
      <c r="O44" s="64">
        <v>0</v>
      </c>
      <c r="P44" s="64">
        <v>0.88</v>
      </c>
      <c r="Q44" s="64">
        <v>9.32</v>
      </c>
      <c r="R44" s="198"/>
      <c r="S44" s="198"/>
      <c r="T44" s="198"/>
      <c r="U44" s="198"/>
    </row>
    <row r="45" spans="1:21" s="12" customFormat="1" x14ac:dyDescent="0.25">
      <c r="A45" s="214" t="s">
        <v>2490</v>
      </c>
      <c r="B45" s="64">
        <v>16.21</v>
      </c>
      <c r="C45" s="64">
        <v>9.32</v>
      </c>
      <c r="D45" s="64">
        <v>17.87</v>
      </c>
      <c r="E45" s="64">
        <v>3.95</v>
      </c>
      <c r="F45" s="64">
        <v>6.19</v>
      </c>
      <c r="G45" s="64">
        <v>34.270000000000003</v>
      </c>
      <c r="H45" s="64">
        <v>2.72</v>
      </c>
      <c r="I45" s="64">
        <v>2.88</v>
      </c>
      <c r="J45" s="64">
        <v>0.33</v>
      </c>
      <c r="K45" s="64">
        <v>336.93</v>
      </c>
      <c r="L45" s="64">
        <v>23</v>
      </c>
      <c r="M45" s="64">
        <v>98.46</v>
      </c>
      <c r="N45" s="64">
        <v>71.099999999999994</v>
      </c>
      <c r="O45" s="64">
        <v>0</v>
      </c>
      <c r="P45" s="64">
        <v>0.8</v>
      </c>
      <c r="Q45" s="64">
        <v>9.34</v>
      </c>
      <c r="R45" s="198"/>
      <c r="S45" s="198"/>
      <c r="T45" s="198"/>
      <c r="U45" s="198"/>
    </row>
    <row r="46" spans="1:21" s="12" customFormat="1" x14ac:dyDescent="0.25">
      <c r="A46" s="214" t="s">
        <v>2491</v>
      </c>
      <c r="B46" s="64">
        <v>14.42</v>
      </c>
      <c r="C46" s="64">
        <v>8.49</v>
      </c>
      <c r="D46" s="64">
        <v>15.99</v>
      </c>
      <c r="E46" s="64">
        <v>3.72</v>
      </c>
      <c r="F46" s="64">
        <v>5.95</v>
      </c>
      <c r="G46" s="64">
        <v>34.44</v>
      </c>
      <c r="H46" s="64">
        <v>2.72</v>
      </c>
      <c r="I46" s="64">
        <v>2.94</v>
      </c>
      <c r="J46" s="64">
        <v>0.13</v>
      </c>
      <c r="K46" s="64">
        <v>305.82</v>
      </c>
      <c r="L46" s="64">
        <v>22.74</v>
      </c>
      <c r="M46" s="64">
        <v>98.05</v>
      </c>
      <c r="N46" s="64">
        <v>72.8</v>
      </c>
      <c r="O46" s="64">
        <v>0</v>
      </c>
      <c r="P46" s="64">
        <v>0.69</v>
      </c>
      <c r="Q46" s="64">
        <v>9.36</v>
      </c>
      <c r="R46" s="198"/>
      <c r="S46" s="198"/>
      <c r="T46" s="198"/>
      <c r="U46" s="198"/>
    </row>
    <row r="47" spans="1:21" s="12" customFormat="1" x14ac:dyDescent="0.25">
      <c r="A47" s="214" t="s">
        <v>2492</v>
      </c>
      <c r="B47" s="64">
        <v>18</v>
      </c>
      <c r="C47" s="64">
        <v>8.61</v>
      </c>
      <c r="D47" s="64">
        <v>18.93</v>
      </c>
      <c r="E47" s="64">
        <v>3.65</v>
      </c>
      <c r="F47" s="64">
        <v>6.07</v>
      </c>
      <c r="G47" s="64">
        <v>34.44</v>
      </c>
      <c r="H47" s="64">
        <v>2.72</v>
      </c>
      <c r="I47" s="64">
        <v>2.97</v>
      </c>
      <c r="J47" s="64">
        <v>0.17</v>
      </c>
      <c r="K47" s="64">
        <v>315.33999999999997</v>
      </c>
      <c r="L47" s="64">
        <v>22.81</v>
      </c>
      <c r="M47" s="64">
        <v>98.02</v>
      </c>
      <c r="N47" s="64">
        <v>71.7</v>
      </c>
      <c r="O47" s="64">
        <v>0</v>
      </c>
      <c r="P47" s="64">
        <v>0.72</v>
      </c>
      <c r="Q47" s="64">
        <v>9.3699999999999992</v>
      </c>
      <c r="R47" s="198"/>
      <c r="S47" s="198"/>
      <c r="T47" s="198"/>
      <c r="U47" s="198"/>
    </row>
    <row r="48" spans="1:21" s="12" customFormat="1" x14ac:dyDescent="0.25">
      <c r="A48" s="214" t="s">
        <v>2493</v>
      </c>
      <c r="B48" s="64">
        <v>15.2</v>
      </c>
      <c r="C48" s="64">
        <v>8</v>
      </c>
      <c r="D48" s="64">
        <v>16.37</v>
      </c>
      <c r="E48" s="64">
        <v>3.71</v>
      </c>
      <c r="F48" s="64">
        <v>6.76</v>
      </c>
      <c r="G48" s="64">
        <v>34.44</v>
      </c>
      <c r="H48" s="64">
        <v>2.72</v>
      </c>
      <c r="I48" s="64">
        <v>2.98</v>
      </c>
      <c r="J48" s="64">
        <v>0.35</v>
      </c>
      <c r="K48" s="64">
        <v>311.58999999999997</v>
      </c>
      <c r="L48" s="64">
        <v>22.65</v>
      </c>
      <c r="M48" s="64">
        <v>98.21</v>
      </c>
      <c r="N48" s="64">
        <v>75.099999999999994</v>
      </c>
      <c r="O48" s="64">
        <v>0</v>
      </c>
      <c r="P48" s="64">
        <v>0.71</v>
      </c>
      <c r="Q48" s="64">
        <v>9.3800000000000008</v>
      </c>
      <c r="R48" s="198"/>
      <c r="S48" s="198"/>
      <c r="T48" s="198"/>
      <c r="U48" s="198"/>
    </row>
    <row r="49" spans="1:21" s="12" customFormat="1" x14ac:dyDescent="0.25">
      <c r="A49" s="214" t="s">
        <v>2494</v>
      </c>
      <c r="B49" s="64">
        <v>14.52</v>
      </c>
      <c r="C49" s="64">
        <v>7.02</v>
      </c>
      <c r="D49" s="64">
        <v>15.31</v>
      </c>
      <c r="E49" s="64">
        <v>3.68</v>
      </c>
      <c r="F49" s="64">
        <v>6.4</v>
      </c>
      <c r="G49" s="64">
        <v>32.299999999999997</v>
      </c>
      <c r="H49" s="64">
        <v>1.91</v>
      </c>
      <c r="I49" s="64">
        <v>2.97</v>
      </c>
      <c r="J49" s="64">
        <v>0.49</v>
      </c>
      <c r="K49" s="64">
        <v>318.02</v>
      </c>
      <c r="L49" s="64">
        <v>22.52</v>
      </c>
      <c r="M49" s="64">
        <v>98.41</v>
      </c>
      <c r="N49" s="64">
        <v>80.599999999999994</v>
      </c>
      <c r="O49" s="64">
        <v>0</v>
      </c>
      <c r="P49" s="64">
        <v>0.7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4" t="s">
        <v>2495</v>
      </c>
      <c r="B50" s="64">
        <v>14.28</v>
      </c>
      <c r="C50" s="64">
        <v>7.46</v>
      </c>
      <c r="D50" s="64">
        <v>15.35</v>
      </c>
      <c r="E50" s="64">
        <v>3.72</v>
      </c>
      <c r="F50" s="64">
        <v>6.03</v>
      </c>
      <c r="G50" s="64">
        <v>32.15</v>
      </c>
      <c r="H50" s="64">
        <v>1.91</v>
      </c>
      <c r="I50" s="64">
        <v>2.95</v>
      </c>
      <c r="J50" s="64">
        <v>0.6</v>
      </c>
      <c r="K50" s="64">
        <v>321.52</v>
      </c>
      <c r="L50" s="64">
        <v>22.39</v>
      </c>
      <c r="M50" s="64">
        <v>98.04</v>
      </c>
      <c r="N50" s="64">
        <v>85.9</v>
      </c>
      <c r="O50" s="64">
        <v>0</v>
      </c>
      <c r="P50" s="64">
        <v>0.67</v>
      </c>
      <c r="Q50" s="64">
        <v>9.39</v>
      </c>
      <c r="R50" s="198"/>
      <c r="S50" s="198"/>
      <c r="T50" s="198"/>
      <c r="U50" s="198"/>
    </row>
    <row r="51" spans="1:21" s="12" customFormat="1" x14ac:dyDescent="0.25">
      <c r="A51" s="214" t="s">
        <v>2496</v>
      </c>
      <c r="B51" s="64">
        <v>13.55</v>
      </c>
      <c r="C51" s="64">
        <v>8.1300000000000008</v>
      </c>
      <c r="D51" s="64">
        <v>15.11</v>
      </c>
      <c r="E51" s="64">
        <v>3.67</v>
      </c>
      <c r="F51" s="64">
        <v>7.33</v>
      </c>
      <c r="G51" s="64">
        <v>32.15</v>
      </c>
      <c r="H51" s="64">
        <v>1.91</v>
      </c>
      <c r="I51" s="64">
        <v>2.89</v>
      </c>
      <c r="J51" s="64">
        <v>0.65</v>
      </c>
      <c r="K51" s="64">
        <v>330.68</v>
      </c>
      <c r="L51" s="64">
        <v>22.47</v>
      </c>
      <c r="M51" s="64">
        <v>98.04</v>
      </c>
      <c r="N51" s="64">
        <v>78.7</v>
      </c>
      <c r="O51" s="64">
        <v>0</v>
      </c>
      <c r="P51" s="64">
        <v>0.64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14" t="s">
        <v>2497</v>
      </c>
      <c r="B52" s="64">
        <v>16.47</v>
      </c>
      <c r="C52" s="64">
        <v>10.82</v>
      </c>
      <c r="D52" s="64">
        <v>18.86</v>
      </c>
      <c r="E52" s="64">
        <v>3.76</v>
      </c>
      <c r="F52" s="64">
        <v>10.77</v>
      </c>
      <c r="G52" s="64">
        <v>32.15</v>
      </c>
      <c r="H52" s="64">
        <v>1.91</v>
      </c>
      <c r="I52" s="64">
        <v>2.8</v>
      </c>
      <c r="J52" s="64">
        <v>0.46</v>
      </c>
      <c r="K52" s="64">
        <v>339.25</v>
      </c>
      <c r="L52" s="64">
        <v>22.27</v>
      </c>
      <c r="M52" s="64">
        <v>98.23</v>
      </c>
      <c r="N52" s="64">
        <v>74.900000000000006</v>
      </c>
      <c r="O52" s="64">
        <v>0</v>
      </c>
      <c r="P52" s="64">
        <v>0.62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4" t="s">
        <v>2498</v>
      </c>
      <c r="B53" s="64">
        <v>13.68</v>
      </c>
      <c r="C53" s="64">
        <v>10.79</v>
      </c>
      <c r="D53" s="64">
        <v>16.61</v>
      </c>
      <c r="E53" s="64">
        <v>3.54</v>
      </c>
      <c r="F53" s="64">
        <v>9.4700000000000006</v>
      </c>
      <c r="G53" s="64">
        <v>23.28</v>
      </c>
      <c r="H53" s="64">
        <v>2.8</v>
      </c>
      <c r="I53" s="64">
        <v>2.72</v>
      </c>
      <c r="J53" s="64">
        <v>0.79</v>
      </c>
      <c r="K53" s="64">
        <v>335.77</v>
      </c>
      <c r="L53" s="64">
        <v>22.24</v>
      </c>
      <c r="M53" s="64">
        <v>98.43</v>
      </c>
      <c r="N53" s="64">
        <v>76.599999999999994</v>
      </c>
      <c r="O53" s="64">
        <v>0</v>
      </c>
      <c r="P53" s="64">
        <v>0.61</v>
      </c>
      <c r="Q53" s="64">
        <v>9.41</v>
      </c>
      <c r="R53" s="198"/>
      <c r="S53" s="198"/>
      <c r="T53" s="198"/>
      <c r="U53" s="198"/>
    </row>
    <row r="54" spans="1:21" s="12" customFormat="1" x14ac:dyDescent="0.25">
      <c r="A54" s="214" t="s">
        <v>2499</v>
      </c>
      <c r="B54" s="64">
        <v>16.89</v>
      </c>
      <c r="C54" s="64">
        <v>13.79</v>
      </c>
      <c r="D54" s="64">
        <v>20.75</v>
      </c>
      <c r="E54" s="64">
        <v>3.88</v>
      </c>
      <c r="F54" s="64">
        <v>10.62</v>
      </c>
      <c r="G54" s="64">
        <v>22.64</v>
      </c>
      <c r="H54" s="64">
        <v>2.8</v>
      </c>
      <c r="I54" s="64">
        <v>2.67</v>
      </c>
      <c r="J54" s="64">
        <v>0.39</v>
      </c>
      <c r="K54" s="64">
        <v>335.66</v>
      </c>
      <c r="L54" s="64">
        <v>22.24</v>
      </c>
      <c r="M54" s="64">
        <v>98.02</v>
      </c>
      <c r="N54" s="64">
        <v>89</v>
      </c>
      <c r="O54" s="64">
        <v>0</v>
      </c>
      <c r="P54" s="64">
        <v>0.68</v>
      </c>
      <c r="Q54" s="64">
        <v>9.42</v>
      </c>
      <c r="R54" s="198"/>
      <c r="S54" s="198"/>
      <c r="T54" s="198"/>
      <c r="U54" s="198"/>
    </row>
    <row r="55" spans="1:21" s="12" customFormat="1" x14ac:dyDescent="0.25">
      <c r="A55" s="214" t="s">
        <v>2500</v>
      </c>
      <c r="B55" s="64">
        <v>13</v>
      </c>
      <c r="C55" s="64">
        <v>9.07</v>
      </c>
      <c r="D55" s="64">
        <v>15.16</v>
      </c>
      <c r="E55" s="64">
        <v>3.84</v>
      </c>
      <c r="F55" s="64">
        <v>6.4</v>
      </c>
      <c r="G55" s="64">
        <v>22.64</v>
      </c>
      <c r="H55" s="64">
        <v>2.8</v>
      </c>
      <c r="I55" s="64">
        <v>2.63</v>
      </c>
      <c r="J55" s="64">
        <v>1.1299999999999999</v>
      </c>
      <c r="K55" s="64">
        <v>333.17</v>
      </c>
      <c r="L55" s="64">
        <v>22.34</v>
      </c>
      <c r="M55" s="64">
        <v>98.01</v>
      </c>
      <c r="N55" s="64">
        <v>82.8</v>
      </c>
      <c r="O55" s="64">
        <v>0.4</v>
      </c>
      <c r="P55" s="64">
        <v>0.63</v>
      </c>
      <c r="Q55" s="64">
        <v>9.44</v>
      </c>
      <c r="R55" s="198"/>
      <c r="S55" s="198"/>
      <c r="T55" s="198"/>
      <c r="U55" s="198"/>
    </row>
    <row r="56" spans="1:21" s="12" customFormat="1" x14ac:dyDescent="0.25">
      <c r="A56" s="214" t="s">
        <v>2501</v>
      </c>
      <c r="B56" s="64">
        <v>13.73</v>
      </c>
      <c r="C56" s="64">
        <v>7.82</v>
      </c>
      <c r="D56" s="64">
        <v>15.09</v>
      </c>
      <c r="E56" s="64">
        <v>3.67</v>
      </c>
      <c r="F56" s="64">
        <v>5.38</v>
      </c>
      <c r="G56" s="64">
        <v>22.64</v>
      </c>
      <c r="H56" s="64">
        <v>2.8</v>
      </c>
      <c r="I56" s="64">
        <v>2.6</v>
      </c>
      <c r="J56" s="64">
        <v>1.21</v>
      </c>
      <c r="K56" s="64">
        <v>328.8</v>
      </c>
      <c r="L56" s="64">
        <v>22.14</v>
      </c>
      <c r="M56" s="64">
        <v>98.18</v>
      </c>
      <c r="N56" s="64">
        <v>96.4</v>
      </c>
      <c r="O56" s="64">
        <v>0.2</v>
      </c>
      <c r="P56" s="64">
        <v>0.61</v>
      </c>
      <c r="Q56" s="64">
        <v>9.44</v>
      </c>
      <c r="R56" s="198"/>
      <c r="S56" s="198"/>
      <c r="T56" s="198"/>
      <c r="U56" s="198"/>
    </row>
    <row r="57" spans="1:21" s="12" customFormat="1" x14ac:dyDescent="0.25">
      <c r="A57" s="214" t="s">
        <v>2502</v>
      </c>
      <c r="B57" s="64">
        <v>13.08</v>
      </c>
      <c r="C57" s="64">
        <v>8.09</v>
      </c>
      <c r="D57" s="64">
        <v>14.72</v>
      </c>
      <c r="E57" s="64">
        <v>3.67</v>
      </c>
      <c r="F57" s="64">
        <v>5.91</v>
      </c>
      <c r="G57" s="64">
        <v>24.05</v>
      </c>
      <c r="H57" s="64">
        <v>2.0699999999999998</v>
      </c>
      <c r="I57" s="64">
        <v>2.56</v>
      </c>
      <c r="J57" s="64">
        <v>0.51</v>
      </c>
      <c r="K57" s="64">
        <v>319.58999999999997</v>
      </c>
      <c r="L57" s="64">
        <v>22.08</v>
      </c>
      <c r="M57" s="64">
        <v>98.4</v>
      </c>
      <c r="N57" s="64">
        <v>111.5</v>
      </c>
      <c r="O57" s="64">
        <v>0</v>
      </c>
      <c r="P57" s="64">
        <v>0.6</v>
      </c>
      <c r="Q57" s="64">
        <v>9.42</v>
      </c>
      <c r="R57" s="198"/>
      <c r="S57" s="198"/>
      <c r="T57" s="198"/>
      <c r="U57" s="198"/>
    </row>
    <row r="58" spans="1:21" s="12" customFormat="1" x14ac:dyDescent="0.25">
      <c r="A58" s="214" t="s">
        <v>2503</v>
      </c>
      <c r="B58" s="64">
        <v>12.24</v>
      </c>
      <c r="C58" s="64">
        <v>8.4499999999999993</v>
      </c>
      <c r="D58" s="64">
        <v>14.23</v>
      </c>
      <c r="E58" s="64">
        <v>3.82</v>
      </c>
      <c r="F58" s="64">
        <v>4.74</v>
      </c>
      <c r="G58" s="64">
        <v>24.15</v>
      </c>
      <c r="H58" s="64">
        <v>2.0699999999999998</v>
      </c>
      <c r="I58" s="64">
        <v>2.48</v>
      </c>
      <c r="J58" s="64">
        <v>0.33</v>
      </c>
      <c r="K58" s="64">
        <v>312.77</v>
      </c>
      <c r="L58" s="64">
        <v>22.09</v>
      </c>
      <c r="M58" s="64">
        <v>98</v>
      </c>
      <c r="N58" s="64">
        <v>121.6</v>
      </c>
      <c r="O58" s="64">
        <v>0</v>
      </c>
      <c r="P58" s="64">
        <v>0.59</v>
      </c>
      <c r="Q58" s="64">
        <v>9.39</v>
      </c>
      <c r="R58" s="198"/>
      <c r="S58" s="198"/>
      <c r="T58" s="198"/>
      <c r="U58" s="198"/>
    </row>
    <row r="59" spans="1:21" s="12" customFormat="1" x14ac:dyDescent="0.25">
      <c r="A59" s="214" t="s">
        <v>2504</v>
      </c>
      <c r="B59" s="64">
        <v>11.46</v>
      </c>
      <c r="C59" s="64">
        <v>8.76</v>
      </c>
      <c r="D59" s="64">
        <v>13.77</v>
      </c>
      <c r="E59" s="64">
        <v>3.76</v>
      </c>
      <c r="F59" s="64">
        <v>3.14</v>
      </c>
      <c r="G59" s="64">
        <v>24.15</v>
      </c>
      <c r="H59" s="64">
        <v>2.0699999999999998</v>
      </c>
      <c r="I59" s="64">
        <v>2.38</v>
      </c>
      <c r="J59" s="64">
        <v>0.37</v>
      </c>
      <c r="K59" s="64">
        <v>319.33</v>
      </c>
      <c r="L59" s="64">
        <v>22.32</v>
      </c>
      <c r="M59" s="64">
        <v>98.02</v>
      </c>
      <c r="N59" s="64">
        <v>121.4</v>
      </c>
      <c r="O59" s="64">
        <v>0.2</v>
      </c>
      <c r="P59" s="64">
        <v>0.56999999999999995</v>
      </c>
      <c r="Q59" s="64">
        <v>9.36</v>
      </c>
      <c r="R59" s="198"/>
      <c r="S59" s="198"/>
      <c r="T59" s="198"/>
      <c r="U59" s="198"/>
    </row>
    <row r="60" spans="1:21" s="12" customFormat="1" x14ac:dyDescent="0.25">
      <c r="A60" s="214" t="s">
        <v>2505</v>
      </c>
      <c r="B60" s="64">
        <v>10.88</v>
      </c>
      <c r="C60" s="64">
        <v>9.02</v>
      </c>
      <c r="D60" s="64">
        <v>13.44</v>
      </c>
      <c r="E60" s="64">
        <v>3.71</v>
      </c>
      <c r="F60" s="64">
        <v>2.58</v>
      </c>
      <c r="G60" s="64">
        <v>24.15</v>
      </c>
      <c r="H60" s="64">
        <v>2.0699999999999998</v>
      </c>
      <c r="I60" s="64">
        <v>2.27</v>
      </c>
      <c r="J60" s="64">
        <v>0.38</v>
      </c>
      <c r="K60" s="64">
        <v>316.3</v>
      </c>
      <c r="L60" s="64">
        <v>22.18</v>
      </c>
      <c r="M60" s="64">
        <v>98.55</v>
      </c>
      <c r="N60" s="64">
        <v>105.8</v>
      </c>
      <c r="O60" s="64">
        <v>0</v>
      </c>
      <c r="P60" s="64">
        <v>0.56000000000000005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4" t="s">
        <v>2506</v>
      </c>
      <c r="B61" s="64">
        <v>10.62</v>
      </c>
      <c r="C61" s="64">
        <v>10.11</v>
      </c>
      <c r="D61" s="64">
        <v>13.8</v>
      </c>
      <c r="E61" s="64">
        <v>3.7</v>
      </c>
      <c r="F61" s="64">
        <v>3.11</v>
      </c>
      <c r="G61" s="64">
        <v>26.8</v>
      </c>
      <c r="H61" s="64">
        <v>2.42</v>
      </c>
      <c r="I61" s="64">
        <v>2.2000000000000002</v>
      </c>
      <c r="J61" s="64">
        <v>0.32</v>
      </c>
      <c r="K61" s="64">
        <v>309.44</v>
      </c>
      <c r="L61" s="64">
        <v>22.31</v>
      </c>
      <c r="M61" s="64">
        <v>98.54</v>
      </c>
      <c r="N61" s="64">
        <v>114.7</v>
      </c>
      <c r="O61" s="64">
        <v>0</v>
      </c>
      <c r="P61" s="64">
        <v>0.53</v>
      </c>
      <c r="Q61" s="64">
        <v>9.31</v>
      </c>
      <c r="R61" s="198"/>
      <c r="S61" s="198"/>
      <c r="T61" s="198"/>
      <c r="U61" s="198"/>
    </row>
    <row r="62" spans="1:21" s="12" customFormat="1" x14ac:dyDescent="0.25">
      <c r="A62" s="214" t="s">
        <v>2507</v>
      </c>
      <c r="B62" s="64">
        <v>10.14</v>
      </c>
      <c r="C62" s="64">
        <v>9.77</v>
      </c>
      <c r="D62" s="64">
        <v>13.23</v>
      </c>
      <c r="E62" s="64">
        <v>3.5</v>
      </c>
      <c r="F62" s="64">
        <v>3.12</v>
      </c>
      <c r="G62" s="64">
        <v>26.99</v>
      </c>
      <c r="H62" s="64">
        <v>2.42</v>
      </c>
      <c r="I62" s="64">
        <v>2.15</v>
      </c>
      <c r="J62" s="64">
        <v>0.28999999999999998</v>
      </c>
      <c r="K62" s="64">
        <v>309.68</v>
      </c>
      <c r="L62" s="64">
        <v>22.36</v>
      </c>
      <c r="M62" s="64">
        <v>98.55</v>
      </c>
      <c r="N62" s="64">
        <v>112.8</v>
      </c>
      <c r="O62" s="64">
        <v>0</v>
      </c>
      <c r="P62" s="64">
        <v>0.54</v>
      </c>
      <c r="Q62" s="64">
        <v>9.3000000000000007</v>
      </c>
      <c r="R62" s="198"/>
      <c r="S62" s="198"/>
      <c r="T62" s="198"/>
      <c r="U62" s="198"/>
    </row>
    <row r="63" spans="1:21" s="12" customFormat="1" x14ac:dyDescent="0.25">
      <c r="A63" s="214" t="s">
        <v>2508</v>
      </c>
      <c r="B63" s="64">
        <v>9.84</v>
      </c>
      <c r="C63" s="64">
        <v>9.81</v>
      </c>
      <c r="D63" s="64">
        <v>13.02</v>
      </c>
      <c r="E63" s="64">
        <v>3.44</v>
      </c>
      <c r="F63" s="64">
        <v>2.36</v>
      </c>
      <c r="G63" s="64">
        <v>26.99</v>
      </c>
      <c r="H63" s="64">
        <v>2.42</v>
      </c>
      <c r="I63" s="64">
        <v>2.12</v>
      </c>
      <c r="J63" s="64">
        <v>0.25</v>
      </c>
      <c r="K63" s="64">
        <v>310.75</v>
      </c>
      <c r="L63" s="64">
        <v>22.3</v>
      </c>
      <c r="M63" s="64">
        <v>98.57</v>
      </c>
      <c r="N63" s="64">
        <v>98.6</v>
      </c>
      <c r="O63" s="64">
        <v>0</v>
      </c>
      <c r="P63" s="64">
        <v>0.55000000000000004</v>
      </c>
      <c r="Q63" s="64">
        <v>9.2899999999999991</v>
      </c>
      <c r="R63" s="198"/>
      <c r="S63" s="198"/>
      <c r="T63" s="198"/>
      <c r="U63" s="198"/>
    </row>
    <row r="64" spans="1:21" s="12" customFormat="1" x14ac:dyDescent="0.25">
      <c r="A64" s="214" t="s">
        <v>2509</v>
      </c>
      <c r="B64" s="64">
        <v>10.11</v>
      </c>
      <c r="C64" s="64">
        <v>11.5</v>
      </c>
      <c r="D64" s="64">
        <v>14.11</v>
      </c>
      <c r="E64" s="64">
        <v>3.4</v>
      </c>
      <c r="F64" s="64">
        <v>3.76</v>
      </c>
      <c r="G64" s="64">
        <v>26.99</v>
      </c>
      <c r="H64" s="64">
        <v>2.42</v>
      </c>
      <c r="I64" s="64">
        <v>2.14</v>
      </c>
      <c r="J64" s="64">
        <v>0.22</v>
      </c>
      <c r="K64" s="64">
        <v>310.29000000000002</v>
      </c>
      <c r="L64" s="64">
        <v>22.33</v>
      </c>
      <c r="M64" s="64">
        <v>98.57</v>
      </c>
      <c r="N64" s="64">
        <v>95.8</v>
      </c>
      <c r="O64" s="64">
        <v>0</v>
      </c>
      <c r="P64" s="64">
        <v>0.67</v>
      </c>
      <c r="Q64" s="64">
        <v>9.2799999999999994</v>
      </c>
      <c r="R64" s="198"/>
      <c r="S64" s="198"/>
      <c r="T64" s="198"/>
      <c r="U64" s="198"/>
    </row>
    <row r="65" spans="1:21" s="12" customFormat="1" x14ac:dyDescent="0.25">
      <c r="A65" s="214" t="s">
        <v>2510</v>
      </c>
      <c r="B65" s="64">
        <v>10.8</v>
      </c>
      <c r="C65" s="64">
        <v>11.1</v>
      </c>
      <c r="D65" s="64">
        <v>14.46</v>
      </c>
      <c r="E65" s="64">
        <v>3.3</v>
      </c>
      <c r="F65" s="64">
        <v>3.43</v>
      </c>
      <c r="G65" s="64">
        <v>24.67</v>
      </c>
      <c r="H65" s="64">
        <v>3.02</v>
      </c>
      <c r="I65" s="64">
        <v>2.21</v>
      </c>
      <c r="J65" s="64">
        <v>0.16</v>
      </c>
      <c r="K65" s="64">
        <v>315.13</v>
      </c>
      <c r="L65" s="64">
        <v>22.36</v>
      </c>
      <c r="M65" s="64">
        <v>98.58</v>
      </c>
      <c r="N65" s="64">
        <v>89.2</v>
      </c>
      <c r="O65" s="64">
        <v>0</v>
      </c>
      <c r="P65" s="64">
        <v>0.68</v>
      </c>
      <c r="Q65" s="64">
        <v>9.2899999999999991</v>
      </c>
      <c r="R65" s="198"/>
      <c r="S65" s="198"/>
      <c r="T65" s="198"/>
      <c r="U65" s="198"/>
    </row>
    <row r="66" spans="1:21" s="12" customFormat="1" x14ac:dyDescent="0.25">
      <c r="A66" s="214" t="s">
        <v>2511</v>
      </c>
      <c r="B66" s="64">
        <v>12.74</v>
      </c>
      <c r="C66" s="64">
        <v>12.72</v>
      </c>
      <c r="D66" s="64">
        <v>16.86</v>
      </c>
      <c r="E66" s="64">
        <v>3.6</v>
      </c>
      <c r="F66" s="64">
        <v>3.84</v>
      </c>
      <c r="G66" s="64">
        <v>24.51</v>
      </c>
      <c r="H66" s="64">
        <v>3.02</v>
      </c>
      <c r="I66" s="64">
        <v>2.36</v>
      </c>
      <c r="J66" s="64">
        <v>0.12</v>
      </c>
      <c r="K66" s="64">
        <v>290.70999999999998</v>
      </c>
      <c r="L66" s="64">
        <v>22.42</v>
      </c>
      <c r="M66" s="64">
        <v>98.58</v>
      </c>
      <c r="N66" s="64">
        <v>83.9</v>
      </c>
      <c r="O66" s="64">
        <v>0</v>
      </c>
      <c r="P66" s="64">
        <v>0.73</v>
      </c>
      <c r="Q66" s="64">
        <v>9.2899999999999991</v>
      </c>
      <c r="R66" s="198"/>
      <c r="S66" s="198"/>
      <c r="T66" s="198"/>
      <c r="U66" s="198"/>
    </row>
    <row r="67" spans="1:21" s="12" customFormat="1" x14ac:dyDescent="0.25">
      <c r="A67" s="214" t="s">
        <v>2512</v>
      </c>
      <c r="B67" s="64">
        <v>12.01</v>
      </c>
      <c r="C67" s="64">
        <v>10.51</v>
      </c>
      <c r="D67" s="64">
        <v>15.12</v>
      </c>
      <c r="E67" s="64">
        <v>3.28</v>
      </c>
      <c r="F67" s="64">
        <v>2.34</v>
      </c>
      <c r="G67" s="64">
        <v>24.51</v>
      </c>
      <c r="H67" s="64">
        <v>3.02</v>
      </c>
      <c r="I67" s="64">
        <v>2.4900000000000002</v>
      </c>
      <c r="J67" s="64">
        <v>0.18</v>
      </c>
      <c r="K67" s="64">
        <v>319.54000000000002</v>
      </c>
      <c r="L67" s="64">
        <v>22.48</v>
      </c>
      <c r="M67" s="64">
        <v>98.58</v>
      </c>
      <c r="N67" s="64">
        <v>92.7</v>
      </c>
      <c r="O67" s="64">
        <v>0</v>
      </c>
      <c r="P67" s="64">
        <v>0.74</v>
      </c>
      <c r="Q67" s="64">
        <v>9.31</v>
      </c>
      <c r="R67" s="198"/>
      <c r="S67" s="198"/>
      <c r="T67" s="198"/>
      <c r="U67" s="198"/>
    </row>
    <row r="68" spans="1:21" s="12" customFormat="1" x14ac:dyDescent="0.25">
      <c r="A68" s="214" t="s">
        <v>2513</v>
      </c>
      <c r="B68" s="64">
        <v>11.87</v>
      </c>
      <c r="C68" s="64">
        <v>9.77</v>
      </c>
      <c r="D68" s="64">
        <v>14.63</v>
      </c>
      <c r="E68" s="64">
        <v>3.73</v>
      </c>
      <c r="F68" s="64">
        <v>3.09</v>
      </c>
      <c r="G68" s="64">
        <v>24.51</v>
      </c>
      <c r="H68" s="64">
        <v>3.02</v>
      </c>
      <c r="I68" s="64">
        <v>2.52</v>
      </c>
      <c r="J68" s="64">
        <v>0.32</v>
      </c>
      <c r="K68" s="64">
        <v>316.58</v>
      </c>
      <c r="L68" s="64">
        <v>22.62</v>
      </c>
      <c r="M68" s="64">
        <v>98.58</v>
      </c>
      <c r="N68" s="64">
        <v>81.5</v>
      </c>
      <c r="O68" s="64">
        <v>0</v>
      </c>
      <c r="P68" s="64">
        <v>0.73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4" t="s">
        <v>2514</v>
      </c>
      <c r="B69" s="64">
        <v>11.98</v>
      </c>
      <c r="C69" s="64">
        <v>11.64</v>
      </c>
      <c r="D69" s="64">
        <v>15.69</v>
      </c>
      <c r="E69" s="64">
        <v>3.66</v>
      </c>
      <c r="F69" s="64">
        <v>5.14</v>
      </c>
      <c r="G69" s="64">
        <v>19.649999999999999</v>
      </c>
      <c r="H69" s="64">
        <v>7.15</v>
      </c>
      <c r="I69" s="64">
        <v>2.5499999999999998</v>
      </c>
      <c r="J69" s="64">
        <v>0.38</v>
      </c>
      <c r="K69" s="64">
        <v>329.9</v>
      </c>
      <c r="L69" s="64">
        <v>22.64</v>
      </c>
      <c r="M69" s="64">
        <v>98.58</v>
      </c>
      <c r="N69" s="64">
        <v>74.099999999999994</v>
      </c>
      <c r="O69" s="64">
        <v>0</v>
      </c>
      <c r="P69" s="64">
        <v>0.75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4" t="s">
        <v>2515</v>
      </c>
      <c r="B70" s="64">
        <v>16.760000000000002</v>
      </c>
      <c r="C70" s="64">
        <v>12.36</v>
      </c>
      <c r="D70" s="64">
        <v>19.88</v>
      </c>
      <c r="E70" s="64">
        <v>3.47</v>
      </c>
      <c r="F70" s="64">
        <v>8.65</v>
      </c>
      <c r="G70" s="64">
        <v>19.3</v>
      </c>
      <c r="H70" s="64">
        <v>7.15</v>
      </c>
      <c r="I70" s="64">
        <v>2.59</v>
      </c>
      <c r="J70" s="64">
        <v>0.61</v>
      </c>
      <c r="K70" s="64">
        <v>342.11</v>
      </c>
      <c r="L70" s="64">
        <v>22.61</v>
      </c>
      <c r="M70" s="64">
        <v>98.58</v>
      </c>
      <c r="N70" s="64">
        <v>68.8</v>
      </c>
      <c r="O70" s="64">
        <v>1.6</v>
      </c>
      <c r="P70" s="64">
        <v>0.85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4" t="s">
        <v>2516</v>
      </c>
      <c r="B71" s="64">
        <v>17.73</v>
      </c>
      <c r="C71" s="64">
        <v>16.25</v>
      </c>
      <c r="D71" s="64">
        <v>22.71</v>
      </c>
      <c r="E71" s="64">
        <v>3.49</v>
      </c>
      <c r="F71" s="64">
        <v>7.1</v>
      </c>
      <c r="G71" s="64">
        <v>19.3</v>
      </c>
      <c r="H71" s="64">
        <v>7.15</v>
      </c>
      <c r="I71" s="64">
        <v>2.61</v>
      </c>
      <c r="J71" s="64">
        <v>0.23</v>
      </c>
      <c r="K71" s="64">
        <v>154.94</v>
      </c>
      <c r="L71" s="64">
        <v>22.52</v>
      </c>
      <c r="M71" s="64">
        <v>98.58</v>
      </c>
      <c r="N71" s="64">
        <v>67.900000000000006</v>
      </c>
      <c r="O71" s="64">
        <v>1.2</v>
      </c>
      <c r="P71" s="64">
        <v>0.94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4" t="s">
        <v>2517</v>
      </c>
      <c r="B72" s="64">
        <v>12.75</v>
      </c>
      <c r="C72" s="64">
        <v>14.21</v>
      </c>
      <c r="D72" s="64">
        <v>17.649999999999999</v>
      </c>
      <c r="E72" s="64">
        <v>4.3099999999999996</v>
      </c>
      <c r="F72" s="64">
        <v>7.37</v>
      </c>
      <c r="G72" s="64">
        <v>19.3</v>
      </c>
      <c r="H72" s="64">
        <v>7.15</v>
      </c>
      <c r="I72" s="64">
        <v>2.63</v>
      </c>
      <c r="J72" s="64">
        <v>0.19</v>
      </c>
      <c r="K72" s="64">
        <v>330.53</v>
      </c>
      <c r="L72" s="64">
        <v>22.43</v>
      </c>
      <c r="M72" s="64">
        <v>98.58</v>
      </c>
      <c r="N72" s="64">
        <v>69.2</v>
      </c>
      <c r="O72" s="64">
        <v>1.2</v>
      </c>
      <c r="P72" s="64">
        <v>0.78</v>
      </c>
      <c r="Q72" s="64">
        <v>9.26</v>
      </c>
      <c r="R72" s="198"/>
      <c r="S72" s="198"/>
      <c r="T72" s="198"/>
      <c r="U72" s="198"/>
    </row>
    <row r="73" spans="1:21" s="12" customFormat="1" x14ac:dyDescent="0.25">
      <c r="A73" s="214" t="s">
        <v>2518</v>
      </c>
      <c r="B73" s="64">
        <v>13.88</v>
      </c>
      <c r="C73" s="64">
        <v>9.0299999999999994</v>
      </c>
      <c r="D73" s="64">
        <v>15.85</v>
      </c>
      <c r="E73" s="64">
        <v>4.1900000000000004</v>
      </c>
      <c r="F73" s="64">
        <v>6.53</v>
      </c>
      <c r="G73" s="64">
        <v>22.72</v>
      </c>
      <c r="H73" s="64">
        <v>4.8600000000000003</v>
      </c>
      <c r="I73" s="64">
        <v>2.66</v>
      </c>
      <c r="J73" s="64">
        <v>0.23</v>
      </c>
      <c r="K73" s="64">
        <v>305.67</v>
      </c>
      <c r="L73" s="64">
        <v>22.47</v>
      </c>
      <c r="M73" s="64">
        <v>98.58</v>
      </c>
      <c r="N73" s="64">
        <v>70.900000000000006</v>
      </c>
      <c r="O73" s="64">
        <v>0</v>
      </c>
      <c r="P73" s="64">
        <v>0.76</v>
      </c>
      <c r="Q73" s="64">
        <v>9.26</v>
      </c>
      <c r="R73" s="198"/>
      <c r="S73" s="198"/>
      <c r="T73" s="198"/>
      <c r="U73" s="198"/>
    </row>
    <row r="74" spans="1:21" s="12" customFormat="1" x14ac:dyDescent="0.25">
      <c r="A74" s="214" t="s">
        <v>2519</v>
      </c>
      <c r="B74" s="64">
        <v>13.03</v>
      </c>
      <c r="C74" s="64">
        <v>8.93</v>
      </c>
      <c r="D74" s="64">
        <v>15.12</v>
      </c>
      <c r="E74" s="64">
        <v>4.13</v>
      </c>
      <c r="F74" s="64">
        <v>6.72</v>
      </c>
      <c r="G74" s="64">
        <v>22.97</v>
      </c>
      <c r="H74" s="64">
        <v>4.8600000000000003</v>
      </c>
      <c r="I74" s="64">
        <v>2.68</v>
      </c>
      <c r="J74" s="64">
        <v>0.14000000000000001</v>
      </c>
      <c r="K74" s="64">
        <v>288.43</v>
      </c>
      <c r="L74" s="64">
        <v>22.36</v>
      </c>
      <c r="M74" s="64">
        <v>98.58</v>
      </c>
      <c r="N74" s="64">
        <v>74.3</v>
      </c>
      <c r="O74" s="64">
        <v>0</v>
      </c>
      <c r="P74" s="64">
        <v>0.76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4" t="s">
        <v>2520</v>
      </c>
      <c r="B75" s="64">
        <v>15.85</v>
      </c>
      <c r="C75" s="64">
        <v>11.93</v>
      </c>
      <c r="D75" s="64">
        <v>18.95</v>
      </c>
      <c r="E75" s="64">
        <v>3.98</v>
      </c>
      <c r="F75" s="64">
        <v>7.6</v>
      </c>
      <c r="G75" s="64">
        <v>22.97</v>
      </c>
      <c r="H75" s="64">
        <v>4.8600000000000003</v>
      </c>
      <c r="I75" s="64">
        <v>2.69</v>
      </c>
      <c r="J75" s="64">
        <v>0.38</v>
      </c>
      <c r="K75" s="64">
        <v>329.7</v>
      </c>
      <c r="L75" s="64">
        <v>22.46</v>
      </c>
      <c r="M75" s="64">
        <v>98.58</v>
      </c>
      <c r="N75" s="64">
        <v>76.3</v>
      </c>
      <c r="O75" s="64">
        <v>0</v>
      </c>
      <c r="P75" s="64">
        <v>0.79</v>
      </c>
      <c r="Q75" s="64">
        <v>9.23</v>
      </c>
      <c r="R75" s="198"/>
      <c r="S75" s="198"/>
      <c r="T75" s="198"/>
      <c r="U75" s="198"/>
    </row>
    <row r="76" spans="1:21" s="12" customFormat="1" x14ac:dyDescent="0.25">
      <c r="A76" s="214" t="s">
        <v>2521</v>
      </c>
      <c r="B76" s="64">
        <v>15.4</v>
      </c>
      <c r="C76" s="64">
        <v>14.15</v>
      </c>
      <c r="D76" s="64">
        <v>19.739999999999998</v>
      </c>
      <c r="E76" s="64">
        <v>4.1900000000000004</v>
      </c>
      <c r="F76" s="64">
        <v>6.72</v>
      </c>
      <c r="G76" s="64">
        <v>22.97</v>
      </c>
      <c r="H76" s="64">
        <v>4.8600000000000003</v>
      </c>
      <c r="I76" s="64">
        <v>2.72</v>
      </c>
      <c r="J76" s="64">
        <v>0.08</v>
      </c>
      <c r="K76" s="64">
        <v>300.36</v>
      </c>
      <c r="L76" s="64">
        <v>22.49</v>
      </c>
      <c r="M76" s="64">
        <v>98.58</v>
      </c>
      <c r="N76" s="64">
        <v>77</v>
      </c>
      <c r="O76" s="64">
        <v>0</v>
      </c>
      <c r="P76" s="64">
        <v>0.81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4" t="s">
        <v>2522</v>
      </c>
      <c r="B77" s="64">
        <v>16.54</v>
      </c>
      <c r="C77" s="64">
        <v>9.56</v>
      </c>
      <c r="D77" s="64">
        <v>18.25</v>
      </c>
      <c r="E77" s="64">
        <v>4.3499999999999996</v>
      </c>
      <c r="F77" s="64">
        <v>6.63</v>
      </c>
      <c r="G77" s="64">
        <v>26.47</v>
      </c>
      <c r="H77" s="64">
        <v>3.4</v>
      </c>
      <c r="I77" s="64">
        <v>2.74</v>
      </c>
      <c r="J77" s="64">
        <v>0.1</v>
      </c>
      <c r="K77" s="64">
        <v>318.13</v>
      </c>
      <c r="L77" s="64">
        <v>22.53</v>
      </c>
      <c r="M77" s="64">
        <v>98.58</v>
      </c>
      <c r="N77" s="64">
        <v>74.5</v>
      </c>
      <c r="O77" s="64">
        <v>0</v>
      </c>
      <c r="P77" s="64">
        <v>0.83</v>
      </c>
      <c r="Q77" s="64">
        <v>9.18</v>
      </c>
      <c r="R77" s="198"/>
      <c r="S77" s="198"/>
      <c r="T77" s="198"/>
      <c r="U77" s="198"/>
    </row>
    <row r="78" spans="1:21" s="12" customFormat="1" x14ac:dyDescent="0.25">
      <c r="A78" s="214" t="s">
        <v>2523</v>
      </c>
      <c r="B78" s="64">
        <v>16.62</v>
      </c>
      <c r="C78" s="64">
        <v>10.65</v>
      </c>
      <c r="D78" s="64">
        <v>18.899999999999999</v>
      </c>
      <c r="E78" s="64">
        <v>4.28</v>
      </c>
      <c r="F78" s="64">
        <v>6.46</v>
      </c>
      <c r="G78" s="64">
        <v>26.72</v>
      </c>
      <c r="H78" s="64">
        <v>3.4</v>
      </c>
      <c r="I78" s="64">
        <v>2.73</v>
      </c>
      <c r="J78" s="64">
        <v>0.2</v>
      </c>
      <c r="K78" s="64">
        <v>319.37</v>
      </c>
      <c r="L78" s="64">
        <v>22.56</v>
      </c>
      <c r="M78" s="64">
        <v>98.58</v>
      </c>
      <c r="N78" s="64">
        <v>70.7</v>
      </c>
      <c r="O78" s="64">
        <v>0</v>
      </c>
      <c r="P78" s="64">
        <v>0.86</v>
      </c>
      <c r="Q78" s="64">
        <v>9.19</v>
      </c>
      <c r="R78" s="198"/>
      <c r="S78" s="198"/>
      <c r="T78" s="198"/>
      <c r="U78" s="198"/>
    </row>
    <row r="79" spans="1:21" s="12" customFormat="1" x14ac:dyDescent="0.25">
      <c r="A79" s="214" t="s">
        <v>2524</v>
      </c>
      <c r="B79" s="64">
        <v>15.62</v>
      </c>
      <c r="C79" s="64">
        <v>8.66</v>
      </c>
      <c r="D79" s="64">
        <v>17.05</v>
      </c>
      <c r="E79" s="64">
        <v>4.13</v>
      </c>
      <c r="F79" s="64">
        <v>4.8899999999999997</v>
      </c>
      <c r="G79" s="64">
        <v>26.72</v>
      </c>
      <c r="H79" s="64">
        <v>3.4</v>
      </c>
      <c r="I79" s="64">
        <v>2.76</v>
      </c>
      <c r="J79" s="64">
        <v>0.2</v>
      </c>
      <c r="K79" s="64">
        <v>313.58</v>
      </c>
      <c r="L79" s="64">
        <v>22.37</v>
      </c>
      <c r="M79" s="64">
        <v>98.58</v>
      </c>
      <c r="N79" s="64">
        <v>68</v>
      </c>
      <c r="O79" s="64">
        <v>0</v>
      </c>
      <c r="P79" s="64">
        <v>0.81</v>
      </c>
      <c r="Q79" s="64">
        <v>9.19</v>
      </c>
      <c r="R79" s="198"/>
      <c r="S79" s="198"/>
      <c r="T79" s="198"/>
      <c r="U79" s="198"/>
    </row>
    <row r="80" spans="1:21" s="12" customFormat="1" x14ac:dyDescent="0.25">
      <c r="A80" s="214" t="s">
        <v>2525</v>
      </c>
      <c r="B80" s="64">
        <v>14.97</v>
      </c>
      <c r="C80" s="64">
        <v>8.08</v>
      </c>
      <c r="D80" s="64">
        <v>16.22</v>
      </c>
      <c r="E80" s="64">
        <v>4.17</v>
      </c>
      <c r="F80" s="64">
        <v>6.31</v>
      </c>
      <c r="G80" s="64">
        <v>26.72</v>
      </c>
      <c r="H80" s="64">
        <v>3.4</v>
      </c>
      <c r="I80" s="64">
        <v>2.84</v>
      </c>
      <c r="J80" s="64">
        <v>0.35</v>
      </c>
      <c r="K80" s="64">
        <v>321.19</v>
      </c>
      <c r="L80" s="64">
        <v>22.18</v>
      </c>
      <c r="M80" s="64">
        <v>98.58</v>
      </c>
      <c r="N80" s="64">
        <v>66.099999999999994</v>
      </c>
      <c r="O80" s="64">
        <v>0</v>
      </c>
      <c r="P80" s="64">
        <v>0.81</v>
      </c>
      <c r="Q80" s="64">
        <v>9.1999999999999993</v>
      </c>
      <c r="R80" s="198"/>
      <c r="S80" s="198"/>
      <c r="T80" s="198"/>
      <c r="U80" s="198"/>
    </row>
    <row r="81" spans="1:26" s="12" customFormat="1" x14ac:dyDescent="0.25">
      <c r="A81" s="214" t="s">
        <v>2526</v>
      </c>
      <c r="B81" s="64">
        <v>15.65</v>
      </c>
      <c r="C81" s="64">
        <v>8.26</v>
      </c>
      <c r="D81" s="64">
        <v>16.86</v>
      </c>
      <c r="E81" s="64">
        <v>4.13</v>
      </c>
      <c r="F81" s="64">
        <v>5.94</v>
      </c>
      <c r="G81" s="64">
        <v>19.5</v>
      </c>
      <c r="H81" s="64">
        <v>2.38</v>
      </c>
      <c r="I81" s="64">
        <v>2.86</v>
      </c>
      <c r="J81" s="64">
        <v>0.35</v>
      </c>
      <c r="K81" s="64">
        <v>320.61</v>
      </c>
      <c r="L81" s="64">
        <v>22.21</v>
      </c>
      <c r="M81" s="64">
        <v>98.58</v>
      </c>
      <c r="N81" s="64">
        <v>63.7</v>
      </c>
      <c r="O81" s="64">
        <v>0</v>
      </c>
      <c r="P81" s="64">
        <v>0.78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14" t="s">
        <v>2527</v>
      </c>
      <c r="B82" s="64">
        <v>16.09</v>
      </c>
      <c r="C82" s="64">
        <v>8.11</v>
      </c>
      <c r="D82" s="64">
        <v>17.14</v>
      </c>
      <c r="E82" s="64">
        <v>4.16</v>
      </c>
      <c r="F82" s="64">
        <v>6.85</v>
      </c>
      <c r="G82" s="64">
        <v>18.989999999999998</v>
      </c>
      <c r="H82" s="64">
        <v>2.38</v>
      </c>
      <c r="I82" s="64">
        <v>2.82</v>
      </c>
      <c r="J82" s="64">
        <v>0.42</v>
      </c>
      <c r="K82" s="64">
        <v>328.45</v>
      </c>
      <c r="L82" s="64">
        <v>22.32</v>
      </c>
      <c r="M82" s="64">
        <v>98.59</v>
      </c>
      <c r="N82" s="64">
        <v>62.8</v>
      </c>
      <c r="O82" s="64">
        <v>0</v>
      </c>
      <c r="P82" s="64">
        <v>0.8</v>
      </c>
      <c r="Q82" s="64">
        <v>9.18</v>
      </c>
      <c r="R82" s="198"/>
      <c r="S82" s="198"/>
      <c r="T82" s="198"/>
      <c r="U82" s="198"/>
    </row>
    <row r="83" spans="1:26" s="12" customFormat="1" x14ac:dyDescent="0.25">
      <c r="A83" s="214" t="s">
        <v>2528</v>
      </c>
      <c r="B83" s="64">
        <v>15.55</v>
      </c>
      <c r="C83" s="64">
        <v>10.33</v>
      </c>
      <c r="D83" s="64">
        <v>17.86</v>
      </c>
      <c r="E83" s="64">
        <v>4.09</v>
      </c>
      <c r="F83" s="64">
        <v>7.37</v>
      </c>
      <c r="G83" s="64">
        <v>18.989999999999998</v>
      </c>
      <c r="H83" s="64">
        <v>2.38</v>
      </c>
      <c r="I83" s="64">
        <v>2.78</v>
      </c>
      <c r="J83" s="64">
        <v>0.26</v>
      </c>
      <c r="K83" s="64">
        <v>323.64999999999998</v>
      </c>
      <c r="L83" s="64">
        <v>22.46</v>
      </c>
      <c r="M83" s="64">
        <v>98.6</v>
      </c>
      <c r="N83" s="64">
        <v>62.3</v>
      </c>
      <c r="O83" s="64">
        <v>0</v>
      </c>
      <c r="P83" s="64">
        <v>0.81</v>
      </c>
      <c r="Q83" s="64">
        <v>9.19</v>
      </c>
      <c r="R83" s="198"/>
      <c r="S83" s="198"/>
      <c r="T83" s="198"/>
      <c r="U83" s="198"/>
    </row>
    <row r="84" spans="1:26" s="12" customFormat="1" x14ac:dyDescent="0.25">
      <c r="A84" s="214" t="s">
        <v>2529</v>
      </c>
      <c r="B84" s="64">
        <v>15.58</v>
      </c>
      <c r="C84" s="64">
        <v>8.0500000000000007</v>
      </c>
      <c r="D84" s="64">
        <v>16.7</v>
      </c>
      <c r="E84" s="64">
        <v>3.84</v>
      </c>
      <c r="F84" s="64">
        <v>7.49</v>
      </c>
      <c r="G84" s="64">
        <v>18.989999999999998</v>
      </c>
      <c r="H84" s="64">
        <v>2.38</v>
      </c>
      <c r="I84" s="64">
        <v>2.75</v>
      </c>
      <c r="J84" s="64">
        <v>0.18</v>
      </c>
      <c r="K84" s="64">
        <v>317.58</v>
      </c>
      <c r="L84" s="64">
        <v>22.49</v>
      </c>
      <c r="M84" s="64">
        <v>98.6</v>
      </c>
      <c r="N84" s="64">
        <v>62.1</v>
      </c>
      <c r="O84" s="64">
        <v>0</v>
      </c>
      <c r="P84" s="64">
        <v>0.81</v>
      </c>
      <c r="Q84" s="64">
        <v>9.1999999999999993</v>
      </c>
      <c r="R84" s="198"/>
      <c r="S84" s="198"/>
      <c r="T84" s="198"/>
      <c r="U84" s="198"/>
    </row>
    <row r="85" spans="1:26" s="12" customFormat="1" x14ac:dyDescent="0.25">
      <c r="A85" s="214" t="s">
        <v>2530</v>
      </c>
      <c r="B85" s="64">
        <v>16.010000000000002</v>
      </c>
      <c r="C85" s="64">
        <v>12.91</v>
      </c>
      <c r="D85" s="64">
        <v>19.579999999999998</v>
      </c>
      <c r="E85" s="64">
        <v>3.93</v>
      </c>
      <c r="F85" s="64">
        <v>8.89</v>
      </c>
      <c r="G85" s="64">
        <v>14.04</v>
      </c>
      <c r="H85" s="64">
        <v>5.6</v>
      </c>
      <c r="I85" s="64">
        <v>2.75</v>
      </c>
      <c r="J85" s="64">
        <v>0.19</v>
      </c>
      <c r="K85" s="64">
        <v>317.56</v>
      </c>
      <c r="L85" s="64">
        <v>22.5</v>
      </c>
      <c r="M85" s="64">
        <v>98.6</v>
      </c>
      <c r="N85" s="64">
        <v>61.8</v>
      </c>
      <c r="O85" s="64">
        <v>0</v>
      </c>
      <c r="P85" s="64">
        <v>0.68</v>
      </c>
      <c r="Q85" s="64">
        <v>9.1999999999999993</v>
      </c>
      <c r="R85" s="198"/>
      <c r="S85" s="198"/>
      <c r="T85" s="198"/>
      <c r="U85" s="198"/>
    </row>
    <row r="86" spans="1:26" s="12" customFormat="1" x14ac:dyDescent="0.25">
      <c r="A86" s="214" t="s">
        <v>2531</v>
      </c>
      <c r="B86" s="64">
        <v>15.6</v>
      </c>
      <c r="C86" s="64">
        <v>13.17</v>
      </c>
      <c r="D86" s="64">
        <v>19.39</v>
      </c>
      <c r="E86" s="64">
        <v>4.0199999999999996</v>
      </c>
      <c r="F86" s="64">
        <v>9.31</v>
      </c>
      <c r="G86" s="64">
        <v>13.69</v>
      </c>
      <c r="H86" s="64">
        <v>5.6</v>
      </c>
      <c r="I86" s="64">
        <v>2.75</v>
      </c>
      <c r="J86" s="64">
        <v>0.28999999999999998</v>
      </c>
      <c r="K86" s="64">
        <v>318.14999999999998</v>
      </c>
      <c r="L86" s="64">
        <v>22.55</v>
      </c>
      <c r="M86" s="64">
        <v>98.6</v>
      </c>
      <c r="N86" s="64">
        <v>61.6</v>
      </c>
      <c r="O86" s="64">
        <v>0</v>
      </c>
      <c r="P86" s="64">
        <v>0.76</v>
      </c>
      <c r="Q86" s="64">
        <v>9.23</v>
      </c>
      <c r="R86" s="198"/>
      <c r="S86" s="198"/>
      <c r="T86" s="198"/>
      <c r="U86" s="198"/>
    </row>
    <row r="87" spans="1:26" s="12" customFormat="1" x14ac:dyDescent="0.25">
      <c r="A87" s="214" t="s">
        <v>2532</v>
      </c>
      <c r="B87" s="64">
        <v>16.48</v>
      </c>
      <c r="C87" s="64">
        <v>10.37</v>
      </c>
      <c r="D87" s="64">
        <v>18.64</v>
      </c>
      <c r="E87" s="64">
        <v>4.1900000000000004</v>
      </c>
      <c r="F87" s="64">
        <v>8.3800000000000008</v>
      </c>
      <c r="G87" s="64">
        <v>13.69</v>
      </c>
      <c r="H87" s="64">
        <v>5.6</v>
      </c>
      <c r="I87" s="64">
        <v>2.74</v>
      </c>
      <c r="J87" s="64">
        <v>0.61</v>
      </c>
      <c r="K87" s="64">
        <v>333.34</v>
      </c>
      <c r="L87" s="64">
        <v>22.57</v>
      </c>
      <c r="M87" s="64">
        <v>98.6</v>
      </c>
      <c r="N87" s="64">
        <v>61.8</v>
      </c>
      <c r="O87" s="64">
        <v>0</v>
      </c>
      <c r="P87" s="64">
        <v>0.71</v>
      </c>
      <c r="Q87" s="64">
        <v>9.24</v>
      </c>
      <c r="R87" s="198"/>
      <c r="S87" s="198"/>
      <c r="T87" s="198"/>
      <c r="U87" s="198"/>
    </row>
    <row r="88" spans="1:26" s="12" customFormat="1" x14ac:dyDescent="0.25">
      <c r="A88" s="214" t="s">
        <v>2533</v>
      </c>
      <c r="B88" s="64">
        <v>12.88</v>
      </c>
      <c r="C88" s="64">
        <v>15.65</v>
      </c>
      <c r="D88" s="64">
        <v>18.510000000000002</v>
      </c>
      <c r="E88" s="64">
        <v>4.1500000000000004</v>
      </c>
      <c r="F88" s="64">
        <v>9.61</v>
      </c>
      <c r="G88" s="64">
        <v>13.69</v>
      </c>
      <c r="H88" s="64">
        <v>5.6</v>
      </c>
      <c r="I88" s="64">
        <v>2.74</v>
      </c>
      <c r="J88" s="64">
        <v>0.4</v>
      </c>
      <c r="K88" s="64">
        <v>353.29</v>
      </c>
      <c r="L88" s="64">
        <v>22.51</v>
      </c>
      <c r="M88" s="64">
        <v>98.6</v>
      </c>
      <c r="N88" s="64">
        <v>61.5</v>
      </c>
      <c r="O88" s="64">
        <v>0.8</v>
      </c>
      <c r="P88" s="64">
        <v>0.72</v>
      </c>
      <c r="Q88" s="64">
        <v>9.25</v>
      </c>
      <c r="R88" s="198"/>
      <c r="S88" s="198"/>
      <c r="T88" s="198"/>
      <c r="U88" s="198"/>
    </row>
    <row r="89" spans="1:26" s="12" customFormat="1" x14ac:dyDescent="0.25">
      <c r="A89" s="214" t="s">
        <v>2534</v>
      </c>
      <c r="B89" s="64">
        <v>12.4</v>
      </c>
      <c r="C89" s="64">
        <v>16.64</v>
      </c>
      <c r="D89" s="64">
        <v>18.63</v>
      </c>
      <c r="E89" s="64">
        <v>4.46</v>
      </c>
      <c r="F89" s="64">
        <v>9.16</v>
      </c>
      <c r="G89" s="64">
        <v>12.79</v>
      </c>
      <c r="H89" s="64">
        <v>3.92</v>
      </c>
      <c r="I89" s="64">
        <v>2.73</v>
      </c>
      <c r="J89" s="64">
        <v>0.56000000000000005</v>
      </c>
      <c r="K89" s="64">
        <v>127.72</v>
      </c>
      <c r="L89" s="64">
        <v>22.43</v>
      </c>
      <c r="M89" s="64">
        <v>98.6</v>
      </c>
      <c r="N89" s="64">
        <v>61.4</v>
      </c>
      <c r="O89" s="64">
        <v>1.2</v>
      </c>
      <c r="P89" s="64">
        <v>0.69</v>
      </c>
      <c r="Q89" s="64">
        <v>9.25</v>
      </c>
      <c r="R89" s="198"/>
      <c r="S89" s="198"/>
      <c r="T89" s="198"/>
      <c r="U89" s="198"/>
    </row>
    <row r="90" spans="1:26" s="12" customFormat="1" x14ac:dyDescent="0.25">
      <c r="A90" s="214" t="s">
        <v>2535</v>
      </c>
      <c r="B90" s="64">
        <v>20.329999999999998</v>
      </c>
      <c r="C90" s="64">
        <v>12.33</v>
      </c>
      <c r="D90" s="64">
        <v>22.75</v>
      </c>
      <c r="E90" s="64">
        <v>4.6500000000000004</v>
      </c>
      <c r="F90" s="64">
        <v>7.51</v>
      </c>
      <c r="G90" s="64">
        <v>12.72</v>
      </c>
      <c r="H90" s="64">
        <v>3.92</v>
      </c>
      <c r="I90" s="64">
        <v>2.6</v>
      </c>
      <c r="J90" s="64">
        <v>0.69</v>
      </c>
      <c r="K90" s="64">
        <v>336.71</v>
      </c>
      <c r="L90" s="64">
        <v>22.59</v>
      </c>
      <c r="M90" s="64">
        <v>98.61</v>
      </c>
      <c r="N90" s="64">
        <v>61.3</v>
      </c>
      <c r="O90" s="64">
        <v>0</v>
      </c>
      <c r="P90" s="64">
        <v>0.82</v>
      </c>
      <c r="Q90" s="64">
        <v>9.25</v>
      </c>
      <c r="R90" s="198"/>
      <c r="S90" s="198"/>
      <c r="T90" s="198"/>
      <c r="U90" s="198"/>
    </row>
    <row r="91" spans="1:26" s="12" customFormat="1" x14ac:dyDescent="0.25">
      <c r="A91" s="214" t="s">
        <v>2536</v>
      </c>
      <c r="B91" s="64">
        <v>27.5</v>
      </c>
      <c r="C91" s="64">
        <v>18.7</v>
      </c>
      <c r="D91" s="64">
        <v>31.82</v>
      </c>
      <c r="E91" s="64">
        <v>4.41</v>
      </c>
      <c r="F91" s="64">
        <v>7.34</v>
      </c>
      <c r="G91" s="64">
        <v>12.72</v>
      </c>
      <c r="H91" s="64">
        <v>3.92</v>
      </c>
      <c r="I91" s="64">
        <v>2.52</v>
      </c>
      <c r="J91" s="64">
        <v>0.26</v>
      </c>
      <c r="K91" s="64">
        <v>345.92</v>
      </c>
      <c r="L91" s="64">
        <v>22.65</v>
      </c>
      <c r="M91" s="64">
        <v>98.62</v>
      </c>
      <c r="N91" s="64">
        <v>61.4</v>
      </c>
      <c r="O91" s="64">
        <v>0</v>
      </c>
      <c r="P91" s="64">
        <v>1.23</v>
      </c>
      <c r="Q91" s="64">
        <v>9.2799999999999994</v>
      </c>
      <c r="R91" s="198"/>
      <c r="S91" s="198"/>
      <c r="T91" s="198"/>
      <c r="U91" s="198"/>
    </row>
    <row r="92" spans="1:26" s="12" customFormat="1" x14ac:dyDescent="0.25">
      <c r="A92" s="214" t="s">
        <v>2537</v>
      </c>
      <c r="B92" s="64">
        <v>49.32</v>
      </c>
      <c r="C92" s="64">
        <v>17.329999999999998</v>
      </c>
      <c r="D92" s="64">
        <v>48.61</v>
      </c>
      <c r="E92" s="64">
        <v>5</v>
      </c>
      <c r="F92" s="64">
        <v>6.49</v>
      </c>
      <c r="G92" s="64">
        <v>12.72</v>
      </c>
      <c r="H92" s="64">
        <v>3.92</v>
      </c>
      <c r="I92" s="64">
        <v>2.54</v>
      </c>
      <c r="J92" s="64">
        <v>0.06</v>
      </c>
      <c r="K92" s="64">
        <v>335.13</v>
      </c>
      <c r="L92" s="64">
        <v>22.63</v>
      </c>
      <c r="M92" s="64">
        <v>98.62</v>
      </c>
      <c r="N92" s="64">
        <v>61.1</v>
      </c>
      <c r="O92" s="64">
        <v>0</v>
      </c>
      <c r="P92" s="64">
        <v>1.53</v>
      </c>
      <c r="Q92" s="64">
        <v>9.3000000000000007</v>
      </c>
      <c r="R92" s="198"/>
      <c r="S92" s="198"/>
      <c r="T92" s="198"/>
      <c r="U92" s="198"/>
    </row>
    <row r="93" spans="1:26" s="12" customFormat="1" x14ac:dyDescent="0.25">
      <c r="A93" s="214" t="s">
        <v>2538</v>
      </c>
      <c r="B93" s="64">
        <v>25.28</v>
      </c>
      <c r="C93" s="64">
        <v>15.67</v>
      </c>
      <c r="D93" s="64">
        <v>28.46</v>
      </c>
      <c r="E93" s="64">
        <v>4.53</v>
      </c>
      <c r="F93" s="64">
        <v>5.67</v>
      </c>
      <c r="G93" s="64">
        <v>27.14</v>
      </c>
      <c r="H93" s="64">
        <v>2.74</v>
      </c>
      <c r="I93" s="64">
        <v>2.6</v>
      </c>
      <c r="J93" s="64">
        <v>0.04</v>
      </c>
      <c r="K93" s="64">
        <v>241.74</v>
      </c>
      <c r="L93" s="64">
        <v>22.64</v>
      </c>
      <c r="M93" s="64">
        <v>98.61</v>
      </c>
      <c r="N93" s="64">
        <v>61.1</v>
      </c>
      <c r="O93" s="64">
        <v>0</v>
      </c>
      <c r="P93" s="64">
        <v>1.1000000000000001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14" t="s">
        <v>2539</v>
      </c>
      <c r="B94" s="64">
        <v>26.52</v>
      </c>
      <c r="C94" s="64">
        <v>15.19</v>
      </c>
      <c r="D94" s="64">
        <v>29.17</v>
      </c>
      <c r="E94" s="64">
        <v>4.95</v>
      </c>
      <c r="F94" s="64">
        <v>3.88</v>
      </c>
      <c r="G94" s="64">
        <v>27.99</v>
      </c>
      <c r="H94" s="64">
        <v>2.74</v>
      </c>
      <c r="I94" s="64">
        <v>2.65</v>
      </c>
      <c r="J94" s="64">
        <v>0.11</v>
      </c>
      <c r="K94" s="64">
        <v>321.55</v>
      </c>
      <c r="L94" s="64">
        <v>22.68</v>
      </c>
      <c r="M94" s="64">
        <v>98.63</v>
      </c>
      <c r="N94" s="64">
        <v>61.2</v>
      </c>
      <c r="O94" s="64">
        <v>0</v>
      </c>
      <c r="P94" s="64">
        <v>1.06</v>
      </c>
      <c r="Q94" s="64">
        <v>9.32</v>
      </c>
      <c r="R94" s="198"/>
      <c r="S94" s="198"/>
      <c r="T94" s="198"/>
      <c r="U94" s="198"/>
    </row>
    <row r="95" spans="1:26" s="12" customFormat="1" x14ac:dyDescent="0.25">
      <c r="A95" s="214" t="s">
        <v>2540</v>
      </c>
      <c r="B95" s="64">
        <v>24.25</v>
      </c>
      <c r="C95" s="64">
        <v>14.96</v>
      </c>
      <c r="D95" s="64">
        <v>27.26</v>
      </c>
      <c r="E95" s="64">
        <v>4.76</v>
      </c>
      <c r="F95" s="64">
        <v>7.77</v>
      </c>
      <c r="G95" s="64">
        <v>27.99</v>
      </c>
      <c r="H95" s="64">
        <v>2.74</v>
      </c>
      <c r="I95" s="64">
        <v>2.67</v>
      </c>
      <c r="J95" s="64">
        <v>0.09</v>
      </c>
      <c r="K95" s="64">
        <v>347.86</v>
      </c>
      <c r="L95" s="64">
        <v>22.62</v>
      </c>
      <c r="M95" s="64">
        <v>98.63</v>
      </c>
      <c r="N95" s="64">
        <v>61.3</v>
      </c>
      <c r="O95" s="64">
        <v>0</v>
      </c>
      <c r="P95" s="64">
        <v>0.97</v>
      </c>
      <c r="Q95" s="64">
        <v>9.32</v>
      </c>
      <c r="R95" s="198"/>
      <c r="S95" s="198"/>
      <c r="T95" s="198"/>
      <c r="U95" s="198"/>
    </row>
    <row r="96" spans="1:26" s="12" customFormat="1" x14ac:dyDescent="0.25">
      <c r="A96" s="214" t="s">
        <v>2541</v>
      </c>
      <c r="B96" s="64">
        <v>25.33</v>
      </c>
      <c r="C96" s="64">
        <v>14.22</v>
      </c>
      <c r="D96" s="64">
        <v>27.74</v>
      </c>
      <c r="E96" s="64">
        <v>4.5</v>
      </c>
      <c r="F96" s="64">
        <v>6.87</v>
      </c>
      <c r="G96" s="64">
        <v>27.99</v>
      </c>
      <c r="H96" s="64">
        <v>2.74</v>
      </c>
      <c r="I96" s="64">
        <v>2.7</v>
      </c>
      <c r="J96" s="64">
        <v>0.09</v>
      </c>
      <c r="K96" s="64">
        <v>331.14</v>
      </c>
      <c r="L96" s="64">
        <v>22.67</v>
      </c>
      <c r="M96" s="64">
        <v>98.6</v>
      </c>
      <c r="N96" s="64">
        <v>61.1</v>
      </c>
      <c r="O96" s="64">
        <v>0</v>
      </c>
      <c r="P96" s="64">
        <v>0.94</v>
      </c>
      <c r="Q96" s="64">
        <v>9.34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2542</v>
      </c>
      <c r="B97" s="64">
        <v>25.65</v>
      </c>
      <c r="C97" s="64">
        <v>16.16</v>
      </c>
      <c r="D97" s="64">
        <v>29.01</v>
      </c>
      <c r="E97" s="64">
        <v>4.51</v>
      </c>
      <c r="F97" s="64">
        <v>6.37</v>
      </c>
      <c r="G97" s="64">
        <v>34.380000000000003</v>
      </c>
      <c r="H97" s="64">
        <v>1.92</v>
      </c>
      <c r="I97" s="64">
        <v>2.74</v>
      </c>
      <c r="J97" s="64">
        <v>0.1</v>
      </c>
      <c r="K97" s="64">
        <v>322.39999999999998</v>
      </c>
      <c r="L97" s="64">
        <v>22.67</v>
      </c>
      <c r="M97" s="64">
        <v>98.6</v>
      </c>
      <c r="N97" s="64">
        <v>61.1</v>
      </c>
      <c r="O97" s="64">
        <v>0</v>
      </c>
      <c r="P97" s="64">
        <v>0.94</v>
      </c>
      <c r="Q97" s="64">
        <v>9.3699999999999992</v>
      </c>
      <c r="R97" s="198"/>
      <c r="S97" s="198"/>
      <c r="T97" s="198"/>
      <c r="U97" s="198"/>
    </row>
    <row r="98" spans="1:33" s="12" customFormat="1" x14ac:dyDescent="0.25">
      <c r="A98" s="214" t="s">
        <v>2543</v>
      </c>
      <c r="B98" s="64">
        <v>23.19</v>
      </c>
      <c r="C98" s="64">
        <v>15.22</v>
      </c>
      <c r="D98" s="64">
        <v>26.55</v>
      </c>
      <c r="E98" s="64">
        <v>4.53</v>
      </c>
      <c r="F98" s="64">
        <v>7.7</v>
      </c>
      <c r="G98" s="64">
        <v>34.83</v>
      </c>
      <c r="H98" s="64">
        <v>1.92</v>
      </c>
      <c r="I98" s="64">
        <v>2.75</v>
      </c>
      <c r="J98" s="64">
        <v>0.26</v>
      </c>
      <c r="K98" s="64">
        <v>354.49</v>
      </c>
      <c r="L98" s="64">
        <v>22.7</v>
      </c>
      <c r="M98" s="64">
        <v>98.6</v>
      </c>
      <c r="N98" s="64">
        <v>61.5</v>
      </c>
      <c r="O98" s="64">
        <v>0</v>
      </c>
      <c r="P98" s="64">
        <v>0.86</v>
      </c>
      <c r="Q98" s="64">
        <v>9.3699999999999992</v>
      </c>
      <c r="R98" s="198"/>
      <c r="S98" s="198"/>
      <c r="T98" s="198"/>
      <c r="U98" s="198"/>
    </row>
    <row r="99" spans="1:33" s="12" customFormat="1" x14ac:dyDescent="0.25">
      <c r="A99" s="214" t="s">
        <v>2544</v>
      </c>
      <c r="B99" s="64">
        <v>20.62</v>
      </c>
      <c r="C99" s="64">
        <v>8.76</v>
      </c>
      <c r="D99" s="64">
        <v>21.11</v>
      </c>
      <c r="E99" s="64">
        <v>4.45</v>
      </c>
      <c r="F99" s="64">
        <v>6.8</v>
      </c>
      <c r="G99" s="64">
        <v>34.83</v>
      </c>
      <c r="H99" s="64">
        <v>1.92</v>
      </c>
      <c r="I99" s="64">
        <v>2.74</v>
      </c>
      <c r="J99" s="64">
        <v>0.7</v>
      </c>
      <c r="K99" s="64">
        <v>341.17</v>
      </c>
      <c r="L99" s="64">
        <v>22.42</v>
      </c>
      <c r="M99" s="64">
        <v>98.59</v>
      </c>
      <c r="N99" s="64">
        <v>62.1</v>
      </c>
      <c r="O99" s="64">
        <v>0.6</v>
      </c>
      <c r="P99" s="64">
        <v>0.83</v>
      </c>
      <c r="Q99" s="64">
        <v>9.39</v>
      </c>
      <c r="R99" s="198"/>
      <c r="S99" s="198"/>
      <c r="T99" s="198"/>
      <c r="U99" s="198"/>
    </row>
    <row r="100" spans="1:33" s="12" customFormat="1" x14ac:dyDescent="0.25">
      <c r="A100" s="214" t="s">
        <v>2545</v>
      </c>
      <c r="B100" s="64">
        <v>22.18</v>
      </c>
      <c r="C100" s="64">
        <v>15.42</v>
      </c>
      <c r="D100" s="64">
        <v>25.84</v>
      </c>
      <c r="E100" s="64">
        <v>4.29</v>
      </c>
      <c r="F100" s="64">
        <v>9.3800000000000008</v>
      </c>
      <c r="G100" s="64">
        <v>34.83</v>
      </c>
      <c r="H100" s="64">
        <v>1.92</v>
      </c>
      <c r="I100" s="64">
        <v>2.73</v>
      </c>
      <c r="J100" s="64">
        <v>0.05</v>
      </c>
      <c r="K100" s="64">
        <v>259.94</v>
      </c>
      <c r="L100" s="64">
        <v>22.24</v>
      </c>
      <c r="M100" s="64">
        <v>98.59</v>
      </c>
      <c r="N100" s="64">
        <v>61.2</v>
      </c>
      <c r="O100" s="64">
        <v>0.2</v>
      </c>
      <c r="P100" s="64">
        <v>0.82</v>
      </c>
      <c r="Q100" s="64">
        <v>9.3800000000000008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2546</v>
      </c>
      <c r="B101" s="64">
        <v>18.48</v>
      </c>
      <c r="C101" s="64">
        <v>9.43</v>
      </c>
      <c r="D101" s="64">
        <v>19.75</v>
      </c>
      <c r="E101" s="64">
        <v>4.4800000000000004</v>
      </c>
      <c r="F101" s="64">
        <v>7.12</v>
      </c>
      <c r="G101" s="64">
        <v>33.6</v>
      </c>
      <c r="H101" s="64">
        <v>5.63</v>
      </c>
      <c r="I101" s="64">
        <v>2.71</v>
      </c>
      <c r="J101" s="64">
        <v>1.38</v>
      </c>
      <c r="K101" s="64">
        <v>118.73</v>
      </c>
      <c r="L101" s="64">
        <v>22.1</v>
      </c>
      <c r="M101" s="64">
        <v>98.58</v>
      </c>
      <c r="N101" s="64">
        <v>61.6</v>
      </c>
      <c r="O101" s="64">
        <v>2.4</v>
      </c>
      <c r="P101" s="64">
        <v>0.8</v>
      </c>
      <c r="Q101" s="64">
        <v>9.3800000000000008</v>
      </c>
      <c r="R101" s="198"/>
      <c r="S101" s="198"/>
      <c r="T101" s="198"/>
      <c r="U101" s="198"/>
    </row>
    <row r="102" spans="1:33" s="12" customFormat="1" x14ac:dyDescent="0.25">
      <c r="A102" s="214" t="s">
        <v>2547</v>
      </c>
      <c r="B102" s="64">
        <v>19.670000000000002</v>
      </c>
      <c r="C102" s="64">
        <v>6.94</v>
      </c>
      <c r="D102" s="64">
        <v>19.399999999999999</v>
      </c>
      <c r="E102" s="64">
        <v>4.3499999999999996</v>
      </c>
      <c r="F102" s="64">
        <v>7.24</v>
      </c>
      <c r="G102" s="64">
        <v>33.51</v>
      </c>
      <c r="H102" s="64">
        <v>5.63</v>
      </c>
      <c r="I102" s="64">
        <v>2.69</v>
      </c>
      <c r="J102" s="64">
        <v>0.28999999999999998</v>
      </c>
      <c r="K102" s="64">
        <v>347.54</v>
      </c>
      <c r="L102" s="64">
        <v>21.91</v>
      </c>
      <c r="M102" s="64">
        <v>98.58</v>
      </c>
      <c r="N102" s="64">
        <v>62</v>
      </c>
      <c r="O102" s="64">
        <v>3.2</v>
      </c>
      <c r="P102" s="64">
        <v>0.85</v>
      </c>
      <c r="Q102" s="64">
        <v>9.39</v>
      </c>
      <c r="R102" s="198"/>
      <c r="S102" s="198"/>
      <c r="T102" s="198"/>
      <c r="U102" s="198"/>
    </row>
    <row r="103" spans="1:33" s="12" customFormat="1" x14ac:dyDescent="0.25">
      <c r="A103" s="214" t="s">
        <v>2548</v>
      </c>
      <c r="B103" s="64">
        <v>17.21</v>
      </c>
      <c r="C103" s="64">
        <v>6.26</v>
      </c>
      <c r="D103" s="64">
        <v>17.07</v>
      </c>
      <c r="E103" s="64">
        <v>4.05</v>
      </c>
      <c r="F103" s="64">
        <v>9.3699999999999992</v>
      </c>
      <c r="G103" s="64">
        <v>33.51</v>
      </c>
      <c r="H103" s="64">
        <v>5.63</v>
      </c>
      <c r="I103" s="64">
        <v>2.67</v>
      </c>
      <c r="J103" s="64">
        <v>0.28999999999999998</v>
      </c>
      <c r="K103" s="64">
        <v>339.34</v>
      </c>
      <c r="L103" s="64">
        <v>21.64</v>
      </c>
      <c r="M103" s="64">
        <v>98.58</v>
      </c>
      <c r="N103" s="64">
        <v>61.2</v>
      </c>
      <c r="O103" s="64">
        <v>0.4</v>
      </c>
      <c r="P103" s="64">
        <v>0.69</v>
      </c>
      <c r="Q103" s="64">
        <v>9.39</v>
      </c>
      <c r="R103" s="198"/>
      <c r="S103" s="198"/>
      <c r="T103" s="198"/>
      <c r="U103" s="198"/>
    </row>
    <row r="104" spans="1:33" s="12" customFormat="1" x14ac:dyDescent="0.25">
      <c r="A104" s="214" t="s">
        <v>2549</v>
      </c>
      <c r="B104" s="64">
        <v>13.52</v>
      </c>
      <c r="C104" s="64">
        <v>8.39</v>
      </c>
      <c r="D104" s="64">
        <v>15.22</v>
      </c>
      <c r="E104" s="64">
        <v>3.73</v>
      </c>
      <c r="F104" s="64">
        <v>11.54</v>
      </c>
      <c r="G104" s="64">
        <v>33.51</v>
      </c>
      <c r="H104" s="64">
        <v>5.63</v>
      </c>
      <c r="I104" s="64">
        <v>2.61</v>
      </c>
      <c r="J104" s="64">
        <v>0.2</v>
      </c>
      <c r="K104" s="64">
        <v>106.15</v>
      </c>
      <c r="L104" s="64">
        <v>21.83</v>
      </c>
      <c r="M104" s="64">
        <v>98.55</v>
      </c>
      <c r="N104" s="64">
        <v>60.9</v>
      </c>
      <c r="O104" s="64">
        <v>0</v>
      </c>
      <c r="P104" s="64">
        <v>0.49</v>
      </c>
      <c r="Q104" s="64">
        <v>9.3800000000000008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6.56</v>
      </c>
      <c r="C106" s="67">
        <f>MIN(C9:C104)</f>
        <v>6.26</v>
      </c>
      <c r="D106" s="67">
        <f t="shared" ref="D106:Q106" si="0">MIN(D9:D104)</f>
        <v>10.42</v>
      </c>
      <c r="E106" s="67">
        <f t="shared" si="0"/>
        <v>3.28</v>
      </c>
      <c r="F106" s="67">
        <f t="shared" si="0"/>
        <v>2.34</v>
      </c>
      <c r="G106" s="67">
        <f t="shared" si="0"/>
        <v>12.72</v>
      </c>
      <c r="H106" s="67">
        <f t="shared" si="0"/>
        <v>1.91</v>
      </c>
      <c r="I106" s="67">
        <f t="shared" si="0"/>
        <v>1.48</v>
      </c>
      <c r="J106" s="67">
        <f t="shared" si="0"/>
        <v>0.03</v>
      </c>
      <c r="K106" s="67">
        <f t="shared" si="0"/>
        <v>106.15</v>
      </c>
      <c r="L106" s="67">
        <f t="shared" si="0"/>
        <v>21.64</v>
      </c>
      <c r="M106" s="67">
        <f t="shared" si="0"/>
        <v>98</v>
      </c>
      <c r="N106" s="67">
        <f t="shared" si="0"/>
        <v>60.9</v>
      </c>
      <c r="O106" s="67">
        <f t="shared" si="0"/>
        <v>0</v>
      </c>
      <c r="P106" s="67">
        <f t="shared" si="0"/>
        <v>0.49</v>
      </c>
      <c r="Q106" s="67">
        <f t="shared" si="0"/>
        <v>9.18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49.32</v>
      </c>
      <c r="C107" s="66">
        <f t="shared" ref="C107:Q107" si="1">MAX(C9:C104)</f>
        <v>18.7</v>
      </c>
      <c r="D107" s="66">
        <f t="shared" si="1"/>
        <v>48.61</v>
      </c>
      <c r="E107" s="66">
        <f t="shared" si="1"/>
        <v>5.2</v>
      </c>
      <c r="F107" s="66">
        <f t="shared" si="1"/>
        <v>11.54</v>
      </c>
      <c r="G107" s="66">
        <f t="shared" si="1"/>
        <v>46.17</v>
      </c>
      <c r="H107" s="66">
        <f t="shared" si="1"/>
        <v>8.56</v>
      </c>
      <c r="I107" s="66">
        <f t="shared" si="1"/>
        <v>3.06</v>
      </c>
      <c r="J107" s="66">
        <f t="shared" si="1"/>
        <v>1.38</v>
      </c>
      <c r="K107" s="66">
        <f t="shared" si="1"/>
        <v>354.49</v>
      </c>
      <c r="L107" s="66">
        <f t="shared" si="1"/>
        <v>25.16</v>
      </c>
      <c r="M107" s="66">
        <f t="shared" si="1"/>
        <v>98.63</v>
      </c>
      <c r="N107" s="66">
        <f t="shared" si="1"/>
        <v>121.6</v>
      </c>
      <c r="O107" s="66">
        <f t="shared" si="1"/>
        <v>3.2</v>
      </c>
      <c r="P107" s="66">
        <f t="shared" si="1"/>
        <v>1.53</v>
      </c>
      <c r="Q107" s="66">
        <f t="shared" si="1"/>
        <v>9.44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13.890833333333335</v>
      </c>
      <c r="C108" s="67">
        <f t="shared" ref="C108:Q108" si="2">AVERAGE(C9:C104)</f>
        <v>10.830104166666665</v>
      </c>
      <c r="D108" s="67">
        <f t="shared" si="2"/>
        <v>16.796458333333337</v>
      </c>
      <c r="E108" s="67">
        <f t="shared" si="2"/>
        <v>4.2739583333333329</v>
      </c>
      <c r="F108" s="67">
        <f t="shared" si="2"/>
        <v>6.8191666666666642</v>
      </c>
      <c r="G108" s="67">
        <f t="shared" si="2"/>
        <v>29.865208333333314</v>
      </c>
      <c r="H108" s="67">
        <f t="shared" si="2"/>
        <v>4.1087500000000015</v>
      </c>
      <c r="I108" s="67">
        <f t="shared" si="2"/>
        <v>2.6126041666666668</v>
      </c>
      <c r="J108" s="67">
        <f t="shared" si="2"/>
        <v>0.26750000000000002</v>
      </c>
      <c r="K108" s="67">
        <f t="shared" si="2"/>
        <v>300.06802083333349</v>
      </c>
      <c r="L108" s="67">
        <f t="shared" si="2"/>
        <v>22.928749999999994</v>
      </c>
      <c r="M108" s="67">
        <f t="shared" si="2"/>
        <v>98.490937500000015</v>
      </c>
      <c r="N108" s="67">
        <f t="shared" si="2"/>
        <v>73.8072916666667</v>
      </c>
      <c r="O108" s="67">
        <f t="shared" si="2"/>
        <v>0.14166666666666666</v>
      </c>
      <c r="P108" s="67">
        <f t="shared" si="2"/>
        <v>0.71833333333333316</v>
      </c>
      <c r="Q108" s="67">
        <f t="shared" si="2"/>
        <v>9.2900000000000045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6.2588829786432898</v>
      </c>
      <c r="C109" s="67">
        <f t="shared" ref="C109:Q109" si="3">STDEV(C9:C104)</f>
        <v>2.6373401651910306</v>
      </c>
      <c r="D109" s="67">
        <f t="shared" si="3"/>
        <v>5.790733428534832</v>
      </c>
      <c r="E109" s="67">
        <f t="shared" si="3"/>
        <v>0.53281077744487071</v>
      </c>
      <c r="F109" s="67">
        <f t="shared" si="3"/>
        <v>1.8781276604033004</v>
      </c>
      <c r="G109" s="67">
        <f t="shared" si="3"/>
        <v>9.0925709385151965</v>
      </c>
      <c r="H109" s="67">
        <f t="shared" si="3"/>
        <v>1.924208791603496</v>
      </c>
      <c r="I109" s="67">
        <f t="shared" si="3"/>
        <v>0.32490401754061948</v>
      </c>
      <c r="J109" s="67">
        <f t="shared" si="3"/>
        <v>0.24435522029252929</v>
      </c>
      <c r="K109" s="67">
        <f t="shared" si="3"/>
        <v>51.758559274257557</v>
      </c>
      <c r="L109" s="67">
        <f t="shared" si="3"/>
        <v>0.82208624211434411</v>
      </c>
      <c r="M109" s="67">
        <f t="shared" si="3"/>
        <v>0.17542176618832467</v>
      </c>
      <c r="N109" s="67">
        <f t="shared" si="3"/>
        <v>14.184107079416325</v>
      </c>
      <c r="O109" s="67">
        <f t="shared" si="3"/>
        <v>0.48550931839215411</v>
      </c>
      <c r="P109" s="67">
        <f t="shared" si="3"/>
        <v>0.16202447291863581</v>
      </c>
      <c r="Q109" s="67">
        <f t="shared" si="3"/>
        <v>7.0157717060619254E-2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2550</v>
      </c>
      <c r="B9" s="64">
        <v>14.01</v>
      </c>
      <c r="C9" s="64">
        <v>10.16</v>
      </c>
      <c r="D9" s="64">
        <v>16.54</v>
      </c>
      <c r="E9" s="64">
        <v>4.3099999999999996</v>
      </c>
      <c r="F9" s="64">
        <v>10.93</v>
      </c>
      <c r="G9" s="64">
        <v>25.35</v>
      </c>
      <c r="H9" s="64">
        <v>3.94</v>
      </c>
      <c r="I9" s="64">
        <v>2.5499999999999998</v>
      </c>
      <c r="J9" s="64">
        <v>0.14000000000000001</v>
      </c>
      <c r="K9" s="64">
        <v>339.48</v>
      </c>
      <c r="L9" s="64">
        <v>21.9</v>
      </c>
      <c r="M9" s="64">
        <v>98.55</v>
      </c>
      <c r="N9" s="64">
        <v>60.9</v>
      </c>
      <c r="O9" s="64">
        <v>0</v>
      </c>
      <c r="P9" s="64">
        <v>0.48</v>
      </c>
      <c r="Q9" s="64">
        <v>9.3800000000000008</v>
      </c>
      <c r="R9" s="198"/>
      <c r="S9" s="198"/>
      <c r="T9" s="198"/>
      <c r="U9" s="198"/>
    </row>
    <row r="10" spans="1:21" s="12" customFormat="1" x14ac:dyDescent="0.25">
      <c r="A10" s="214" t="s">
        <v>2551</v>
      </c>
      <c r="B10" s="64">
        <v>14.74</v>
      </c>
      <c r="C10" s="64">
        <v>8.31</v>
      </c>
      <c r="D10" s="64">
        <v>16.16</v>
      </c>
      <c r="E10" s="64">
        <v>4.38</v>
      </c>
      <c r="F10" s="64">
        <v>10.93</v>
      </c>
      <c r="G10" s="64">
        <v>24.87</v>
      </c>
      <c r="H10" s="64">
        <v>3.94</v>
      </c>
      <c r="I10" s="64">
        <v>2.5099999999999998</v>
      </c>
      <c r="J10" s="64">
        <v>0.3</v>
      </c>
      <c r="K10" s="64">
        <v>341.78</v>
      </c>
      <c r="L10" s="64">
        <v>22.11</v>
      </c>
      <c r="M10" s="64">
        <v>98.49</v>
      </c>
      <c r="N10" s="64">
        <v>60.8</v>
      </c>
      <c r="O10" s="64">
        <v>0</v>
      </c>
      <c r="P10" s="64">
        <v>0.55000000000000004</v>
      </c>
      <c r="Q10" s="64">
        <v>9.3800000000000008</v>
      </c>
      <c r="R10" s="198"/>
      <c r="S10" s="198"/>
      <c r="T10" s="198"/>
      <c r="U10" s="198"/>
    </row>
    <row r="11" spans="1:21" s="12" customFormat="1" x14ac:dyDescent="0.25">
      <c r="A11" s="214" t="s">
        <v>2552</v>
      </c>
      <c r="B11" s="64">
        <v>14.71</v>
      </c>
      <c r="C11" s="64">
        <v>12.64</v>
      </c>
      <c r="D11" s="64">
        <v>18.399999999999999</v>
      </c>
      <c r="E11" s="64">
        <v>4.34</v>
      </c>
      <c r="F11" s="64">
        <v>11.58</v>
      </c>
      <c r="G11" s="64">
        <v>24.87</v>
      </c>
      <c r="H11" s="64">
        <v>3.94</v>
      </c>
      <c r="I11" s="64">
        <v>2.4700000000000002</v>
      </c>
      <c r="J11" s="64">
        <v>0.3</v>
      </c>
      <c r="K11" s="64">
        <v>341.14</v>
      </c>
      <c r="L11" s="64">
        <v>22.23</v>
      </c>
      <c r="M11" s="64">
        <v>98.42</v>
      </c>
      <c r="N11" s="64">
        <v>61</v>
      </c>
      <c r="O11" s="64">
        <v>0</v>
      </c>
      <c r="P11" s="64">
        <v>0.59</v>
      </c>
      <c r="Q11" s="64">
        <v>9.36</v>
      </c>
      <c r="R11" s="198"/>
      <c r="S11" s="198"/>
      <c r="T11" s="198"/>
      <c r="U11" s="198"/>
    </row>
    <row r="12" spans="1:21" s="12" customFormat="1" x14ac:dyDescent="0.25">
      <c r="A12" s="214" t="s">
        <v>2553</v>
      </c>
      <c r="B12" s="64">
        <v>12.24</v>
      </c>
      <c r="C12" s="64">
        <v>12.44</v>
      </c>
      <c r="D12" s="64">
        <v>16.32</v>
      </c>
      <c r="E12" s="64">
        <v>4.5999999999999996</v>
      </c>
      <c r="F12" s="64">
        <v>10.83</v>
      </c>
      <c r="G12" s="64">
        <v>24.87</v>
      </c>
      <c r="H12" s="64">
        <v>3.94</v>
      </c>
      <c r="I12" s="64">
        <v>2.4300000000000002</v>
      </c>
      <c r="J12" s="64">
        <v>0.2</v>
      </c>
      <c r="K12" s="64">
        <v>350.04</v>
      </c>
      <c r="L12" s="64">
        <v>22.29</v>
      </c>
      <c r="M12" s="64">
        <v>98.43</v>
      </c>
      <c r="N12" s="64">
        <v>61.1</v>
      </c>
      <c r="O12" s="64">
        <v>0</v>
      </c>
      <c r="P12" s="64">
        <v>0.57999999999999996</v>
      </c>
      <c r="Q12" s="64">
        <v>9.3699999999999992</v>
      </c>
      <c r="R12" s="198"/>
      <c r="S12" s="198"/>
      <c r="T12" s="198"/>
      <c r="U12" s="198"/>
    </row>
    <row r="13" spans="1:21" s="12" customFormat="1" x14ac:dyDescent="0.25">
      <c r="A13" s="214" t="s">
        <v>2554</v>
      </c>
      <c r="B13" s="64">
        <v>13.02</v>
      </c>
      <c r="C13" s="64">
        <v>13.02</v>
      </c>
      <c r="D13" s="64">
        <v>17.239999999999998</v>
      </c>
      <c r="E13" s="64">
        <v>4.5199999999999996</v>
      </c>
      <c r="F13" s="64">
        <v>10.39</v>
      </c>
      <c r="G13" s="64">
        <v>25.82</v>
      </c>
      <c r="H13" s="64">
        <v>2.76</v>
      </c>
      <c r="I13" s="64">
        <v>2.4</v>
      </c>
      <c r="J13" s="64">
        <v>0.35</v>
      </c>
      <c r="K13" s="64">
        <v>342.07</v>
      </c>
      <c r="L13" s="64">
        <v>22.31</v>
      </c>
      <c r="M13" s="64">
        <v>98.44</v>
      </c>
      <c r="N13" s="64">
        <v>61.3</v>
      </c>
      <c r="O13" s="64">
        <v>0</v>
      </c>
      <c r="P13" s="64">
        <v>0.7</v>
      </c>
      <c r="Q13" s="64">
        <v>9.36</v>
      </c>
      <c r="R13" s="198"/>
      <c r="S13" s="198"/>
      <c r="T13" s="198"/>
      <c r="U13" s="198"/>
    </row>
    <row r="14" spans="1:21" s="12" customFormat="1" x14ac:dyDescent="0.25">
      <c r="A14" s="214" t="s">
        <v>2555</v>
      </c>
      <c r="B14" s="64">
        <v>12.58</v>
      </c>
      <c r="C14" s="64">
        <v>12</v>
      </c>
      <c r="D14" s="64">
        <v>16.350000000000001</v>
      </c>
      <c r="E14" s="64">
        <v>4.4800000000000004</v>
      </c>
      <c r="F14" s="64">
        <v>10.28</v>
      </c>
      <c r="G14" s="64">
        <v>25.89</v>
      </c>
      <c r="H14" s="64">
        <v>2.76</v>
      </c>
      <c r="I14" s="64">
        <v>2.38</v>
      </c>
      <c r="J14" s="64">
        <v>0.28000000000000003</v>
      </c>
      <c r="K14" s="64">
        <v>339.1</v>
      </c>
      <c r="L14" s="64">
        <v>22.34</v>
      </c>
      <c r="M14" s="64">
        <v>98.45</v>
      </c>
      <c r="N14" s="64">
        <v>61.2</v>
      </c>
      <c r="O14" s="64">
        <v>0</v>
      </c>
      <c r="P14" s="64">
        <v>0.61</v>
      </c>
      <c r="Q14" s="64">
        <v>9.34</v>
      </c>
      <c r="R14" s="198"/>
      <c r="S14" s="198"/>
      <c r="T14" s="198"/>
      <c r="U14" s="198"/>
    </row>
    <row r="15" spans="1:21" s="12" customFormat="1" x14ac:dyDescent="0.25">
      <c r="A15" s="214" t="s">
        <v>2556</v>
      </c>
      <c r="B15" s="64">
        <v>14.89</v>
      </c>
      <c r="C15" s="64">
        <v>8.6</v>
      </c>
      <c r="D15" s="64">
        <v>16.43</v>
      </c>
      <c r="E15" s="64">
        <v>4.3499999999999996</v>
      </c>
      <c r="F15" s="64">
        <v>7.15</v>
      </c>
      <c r="G15" s="64">
        <v>25.89</v>
      </c>
      <c r="H15" s="64">
        <v>2.76</v>
      </c>
      <c r="I15" s="64">
        <v>2.35</v>
      </c>
      <c r="J15" s="64">
        <v>0.54</v>
      </c>
      <c r="K15" s="64">
        <v>343.06</v>
      </c>
      <c r="L15" s="64">
        <v>22.36</v>
      </c>
      <c r="M15" s="64">
        <v>98.45</v>
      </c>
      <c r="N15" s="64">
        <v>61</v>
      </c>
      <c r="O15" s="64">
        <v>0</v>
      </c>
      <c r="P15" s="64">
        <v>0.67</v>
      </c>
      <c r="Q15" s="64">
        <v>9.31</v>
      </c>
      <c r="R15" s="198"/>
      <c r="S15" s="198"/>
      <c r="T15" s="198"/>
      <c r="U15" s="198"/>
    </row>
    <row r="16" spans="1:21" s="12" customFormat="1" x14ac:dyDescent="0.25">
      <c r="A16" s="214" t="s">
        <v>2557</v>
      </c>
      <c r="B16" s="64">
        <v>13</v>
      </c>
      <c r="C16" s="64">
        <v>8.8000000000000007</v>
      </c>
      <c r="D16" s="64">
        <v>15.02</v>
      </c>
      <c r="E16" s="64">
        <v>4.6500000000000004</v>
      </c>
      <c r="F16" s="64">
        <v>10.26</v>
      </c>
      <c r="G16" s="64">
        <v>25.89</v>
      </c>
      <c r="H16" s="64">
        <v>2.76</v>
      </c>
      <c r="I16" s="64">
        <v>2.31</v>
      </c>
      <c r="J16" s="64">
        <v>0.72</v>
      </c>
      <c r="K16" s="64">
        <v>342.07</v>
      </c>
      <c r="L16" s="64">
        <v>22.44</v>
      </c>
      <c r="M16" s="64">
        <v>98.45</v>
      </c>
      <c r="N16" s="64">
        <v>60.7</v>
      </c>
      <c r="O16" s="64">
        <v>0</v>
      </c>
      <c r="P16" s="64">
        <v>0.59</v>
      </c>
      <c r="Q16" s="64">
        <v>9.2799999999999994</v>
      </c>
      <c r="R16" s="198"/>
      <c r="S16" s="198"/>
      <c r="T16" s="198"/>
      <c r="U16" s="198"/>
    </row>
    <row r="17" spans="1:21" s="12" customFormat="1" x14ac:dyDescent="0.25">
      <c r="A17" s="214" t="s">
        <v>2558</v>
      </c>
      <c r="B17" s="64">
        <v>12.84</v>
      </c>
      <c r="C17" s="64">
        <v>7.35</v>
      </c>
      <c r="D17" s="64">
        <v>14.13</v>
      </c>
      <c r="E17" s="64">
        <v>4.66</v>
      </c>
      <c r="F17" s="64">
        <v>8.91</v>
      </c>
      <c r="G17" s="64">
        <v>29.62</v>
      </c>
      <c r="H17" s="64">
        <v>1.93</v>
      </c>
      <c r="I17" s="64">
        <v>2.27</v>
      </c>
      <c r="J17" s="64">
        <v>1.2</v>
      </c>
      <c r="K17" s="64">
        <v>339.47</v>
      </c>
      <c r="L17" s="64">
        <v>22.4</v>
      </c>
      <c r="M17" s="64">
        <v>98.43</v>
      </c>
      <c r="N17" s="64">
        <v>61.5</v>
      </c>
      <c r="O17" s="64">
        <v>0</v>
      </c>
      <c r="P17" s="64">
        <v>0.62</v>
      </c>
      <c r="Q17" s="64">
        <v>9.26</v>
      </c>
      <c r="R17" s="198"/>
      <c r="S17" s="198"/>
      <c r="T17" s="198"/>
      <c r="U17" s="198"/>
    </row>
    <row r="18" spans="1:21" s="12" customFormat="1" x14ac:dyDescent="0.25">
      <c r="A18" s="214" t="s">
        <v>2559</v>
      </c>
      <c r="B18" s="64">
        <v>13.62</v>
      </c>
      <c r="C18" s="64">
        <v>8.43</v>
      </c>
      <c r="D18" s="64">
        <v>15.32</v>
      </c>
      <c r="E18" s="64">
        <v>4.18</v>
      </c>
      <c r="F18" s="64">
        <v>7.24</v>
      </c>
      <c r="G18" s="64">
        <v>29.88</v>
      </c>
      <c r="H18" s="64">
        <v>1.93</v>
      </c>
      <c r="I18" s="64">
        <v>2.23</v>
      </c>
      <c r="J18" s="64">
        <v>1.37</v>
      </c>
      <c r="K18" s="64">
        <v>338.6</v>
      </c>
      <c r="L18" s="64">
        <v>22.07</v>
      </c>
      <c r="M18" s="64">
        <v>98.45</v>
      </c>
      <c r="N18" s="64">
        <v>61.5</v>
      </c>
      <c r="O18" s="64">
        <v>0</v>
      </c>
      <c r="P18" s="64">
        <v>0.62</v>
      </c>
      <c r="Q18" s="64">
        <v>9.25</v>
      </c>
      <c r="R18" s="198"/>
      <c r="S18" s="198"/>
      <c r="T18" s="198"/>
      <c r="U18" s="198"/>
    </row>
    <row r="19" spans="1:21" s="12" customFormat="1" x14ac:dyDescent="0.25">
      <c r="A19" s="214" t="s">
        <v>2560</v>
      </c>
      <c r="B19" s="64">
        <v>12.98</v>
      </c>
      <c r="C19" s="64">
        <v>9.9</v>
      </c>
      <c r="D19" s="64">
        <v>15.58</v>
      </c>
      <c r="E19" s="64">
        <v>4.38</v>
      </c>
      <c r="F19" s="64">
        <v>7.57</v>
      </c>
      <c r="G19" s="64">
        <v>29.88</v>
      </c>
      <c r="H19" s="64">
        <v>1.93</v>
      </c>
      <c r="I19" s="64">
        <v>2.1800000000000002</v>
      </c>
      <c r="J19" s="64">
        <v>0.42</v>
      </c>
      <c r="K19" s="64">
        <v>337</v>
      </c>
      <c r="L19" s="64">
        <v>22.03</v>
      </c>
      <c r="M19" s="64">
        <v>98.47</v>
      </c>
      <c r="N19" s="64">
        <v>61.2</v>
      </c>
      <c r="O19" s="64">
        <v>0</v>
      </c>
      <c r="P19" s="64">
        <v>0.62</v>
      </c>
      <c r="Q19" s="64">
        <v>9.23</v>
      </c>
      <c r="R19" s="198"/>
      <c r="S19" s="198"/>
      <c r="T19" s="198"/>
      <c r="U19" s="198"/>
    </row>
    <row r="20" spans="1:21" s="12" customFormat="1" x14ac:dyDescent="0.25">
      <c r="A20" s="214" t="s">
        <v>2561</v>
      </c>
      <c r="B20" s="64">
        <v>11.92</v>
      </c>
      <c r="C20" s="64">
        <v>10.88</v>
      </c>
      <c r="D20" s="64">
        <v>15.24</v>
      </c>
      <c r="E20" s="64">
        <v>4.4400000000000004</v>
      </c>
      <c r="F20" s="64">
        <v>8</v>
      </c>
      <c r="G20" s="64">
        <v>29.88</v>
      </c>
      <c r="H20" s="64">
        <v>1.93</v>
      </c>
      <c r="I20" s="64">
        <v>2.11</v>
      </c>
      <c r="J20" s="64">
        <v>0.65</v>
      </c>
      <c r="K20" s="64">
        <v>339.49</v>
      </c>
      <c r="L20" s="64">
        <v>22.04</v>
      </c>
      <c r="M20" s="64">
        <v>98.48</v>
      </c>
      <c r="N20" s="64">
        <v>61.1</v>
      </c>
      <c r="O20" s="64">
        <v>0</v>
      </c>
      <c r="P20" s="64">
        <v>0.53</v>
      </c>
      <c r="Q20" s="64">
        <v>9.23</v>
      </c>
      <c r="R20" s="198"/>
      <c r="S20" s="198"/>
      <c r="T20" s="198"/>
      <c r="U20" s="198"/>
    </row>
    <row r="21" spans="1:21" s="12" customFormat="1" x14ac:dyDescent="0.25">
      <c r="A21" s="214" t="s">
        <v>2562</v>
      </c>
      <c r="B21" s="64">
        <v>12.25</v>
      </c>
      <c r="C21" s="64">
        <v>8.3699999999999992</v>
      </c>
      <c r="D21" s="64">
        <v>14.2</v>
      </c>
      <c r="E21" s="64">
        <v>4.34</v>
      </c>
      <c r="F21" s="64">
        <v>9.52</v>
      </c>
      <c r="G21" s="64">
        <v>21.58</v>
      </c>
      <c r="H21" s="64">
        <v>8.35</v>
      </c>
      <c r="I21" s="64">
        <v>2.06</v>
      </c>
      <c r="J21" s="64">
        <v>0.63</v>
      </c>
      <c r="K21" s="64">
        <v>333.71</v>
      </c>
      <c r="L21" s="64">
        <v>21.93</v>
      </c>
      <c r="M21" s="64">
        <v>98.48</v>
      </c>
      <c r="N21" s="64">
        <v>61.1</v>
      </c>
      <c r="O21" s="64">
        <v>0</v>
      </c>
      <c r="P21" s="64">
        <v>0.48</v>
      </c>
      <c r="Q21" s="64">
        <v>9.2200000000000006</v>
      </c>
      <c r="R21" s="198"/>
      <c r="S21" s="198"/>
      <c r="T21" s="198"/>
      <c r="U21" s="198"/>
    </row>
    <row r="22" spans="1:21" s="12" customFormat="1" x14ac:dyDescent="0.25">
      <c r="A22" s="214" t="s">
        <v>2563</v>
      </c>
      <c r="B22" s="64">
        <v>11.84</v>
      </c>
      <c r="C22" s="64">
        <v>7.49</v>
      </c>
      <c r="D22" s="64">
        <v>13.4</v>
      </c>
      <c r="E22" s="64">
        <v>4.37</v>
      </c>
      <c r="F22" s="64">
        <v>6.2</v>
      </c>
      <c r="G22" s="64">
        <v>20.98</v>
      </c>
      <c r="H22" s="64">
        <v>8.35</v>
      </c>
      <c r="I22" s="64">
        <v>2.0099999999999998</v>
      </c>
      <c r="J22" s="64">
        <v>0.28000000000000003</v>
      </c>
      <c r="K22" s="64">
        <v>334.67</v>
      </c>
      <c r="L22" s="64">
        <v>21.9</v>
      </c>
      <c r="M22" s="64">
        <v>98.48</v>
      </c>
      <c r="N22" s="64">
        <v>60.9</v>
      </c>
      <c r="O22" s="64">
        <v>0</v>
      </c>
      <c r="P22" s="64">
        <v>0.54</v>
      </c>
      <c r="Q22" s="64">
        <v>9.2200000000000006</v>
      </c>
      <c r="R22" s="198"/>
      <c r="S22" s="198"/>
      <c r="T22" s="198"/>
      <c r="U22" s="198"/>
    </row>
    <row r="23" spans="1:21" s="12" customFormat="1" x14ac:dyDescent="0.25">
      <c r="A23" s="214" t="s">
        <v>2564</v>
      </c>
      <c r="B23" s="64">
        <v>11.53</v>
      </c>
      <c r="C23" s="64">
        <v>8.06</v>
      </c>
      <c r="D23" s="64">
        <v>13.46</v>
      </c>
      <c r="E23" s="64">
        <v>4.17</v>
      </c>
      <c r="F23" s="64">
        <v>8.07</v>
      </c>
      <c r="G23" s="64">
        <v>20.98</v>
      </c>
      <c r="H23" s="64">
        <v>8.35</v>
      </c>
      <c r="I23" s="64">
        <v>2.08</v>
      </c>
      <c r="J23" s="64">
        <v>0.21</v>
      </c>
      <c r="K23" s="64">
        <v>312.60000000000002</v>
      </c>
      <c r="L23" s="64">
        <v>21.8</v>
      </c>
      <c r="M23" s="64">
        <v>98.5</v>
      </c>
      <c r="N23" s="64">
        <v>60.9</v>
      </c>
      <c r="O23" s="64">
        <v>0</v>
      </c>
      <c r="P23" s="64">
        <v>0.48</v>
      </c>
      <c r="Q23" s="64">
        <v>9.2200000000000006</v>
      </c>
      <c r="R23" s="198"/>
      <c r="S23" s="198"/>
      <c r="T23" s="198"/>
      <c r="U23" s="198"/>
    </row>
    <row r="24" spans="1:21" s="12" customFormat="1" x14ac:dyDescent="0.25">
      <c r="A24" s="214" t="s">
        <v>2565</v>
      </c>
      <c r="B24" s="64">
        <v>12.93</v>
      </c>
      <c r="C24" s="64">
        <v>7.32</v>
      </c>
      <c r="D24" s="64">
        <v>14.2</v>
      </c>
      <c r="E24" s="64">
        <v>4.3099999999999996</v>
      </c>
      <c r="F24" s="64">
        <v>5.07</v>
      </c>
      <c r="G24" s="64">
        <v>20.98</v>
      </c>
      <c r="H24" s="64">
        <v>8.35</v>
      </c>
      <c r="I24" s="64">
        <v>2.12</v>
      </c>
      <c r="J24" s="64">
        <v>0.09</v>
      </c>
      <c r="K24" s="64">
        <v>283.66000000000003</v>
      </c>
      <c r="L24" s="64">
        <v>21.69</v>
      </c>
      <c r="M24" s="64">
        <v>98.5</v>
      </c>
      <c r="N24" s="64">
        <v>60.8</v>
      </c>
      <c r="O24" s="64">
        <v>0</v>
      </c>
      <c r="P24" s="64">
        <v>0.54</v>
      </c>
      <c r="Q24" s="64">
        <v>9.1999999999999993</v>
      </c>
      <c r="R24" s="198"/>
      <c r="S24" s="198"/>
      <c r="T24" s="198"/>
      <c r="U24" s="198"/>
    </row>
    <row r="25" spans="1:21" s="12" customFormat="1" x14ac:dyDescent="0.25">
      <c r="A25" s="214" t="s">
        <v>2566</v>
      </c>
      <c r="B25" s="64">
        <v>14.91</v>
      </c>
      <c r="C25" s="64">
        <v>17.43</v>
      </c>
      <c r="D25" s="64">
        <v>21.07</v>
      </c>
      <c r="E25" s="64">
        <v>4.13</v>
      </c>
      <c r="F25" s="64">
        <v>7.65</v>
      </c>
      <c r="G25" s="64">
        <v>15.11</v>
      </c>
      <c r="H25" s="64">
        <v>5.84</v>
      </c>
      <c r="I25" s="64">
        <v>2.08</v>
      </c>
      <c r="J25" s="64">
        <v>0.14000000000000001</v>
      </c>
      <c r="K25" s="64">
        <v>341.58</v>
      </c>
      <c r="L25" s="64">
        <v>21.74</v>
      </c>
      <c r="M25" s="64">
        <v>98.48</v>
      </c>
      <c r="N25" s="64">
        <v>60.6</v>
      </c>
      <c r="O25" s="64">
        <v>0</v>
      </c>
      <c r="P25" s="64">
        <v>0.36</v>
      </c>
      <c r="Q25" s="64">
        <v>9.2100000000000009</v>
      </c>
      <c r="R25" s="198"/>
      <c r="S25" s="198"/>
      <c r="T25" s="198"/>
      <c r="U25" s="198"/>
    </row>
    <row r="26" spans="1:21" s="12" customFormat="1" x14ac:dyDescent="0.25">
      <c r="A26" s="214" t="s">
        <v>2567</v>
      </c>
      <c r="B26" s="64">
        <v>16.32</v>
      </c>
      <c r="C26" s="64">
        <v>15.38</v>
      </c>
      <c r="D26" s="64">
        <v>21.12</v>
      </c>
      <c r="E26" s="64">
        <v>4.01</v>
      </c>
      <c r="F26" s="64">
        <v>6.85</v>
      </c>
      <c r="G26" s="64">
        <v>14.69</v>
      </c>
      <c r="H26" s="64">
        <v>5.84</v>
      </c>
      <c r="I26" s="64">
        <v>2.04</v>
      </c>
      <c r="J26" s="64">
        <v>0.02</v>
      </c>
      <c r="K26" s="64">
        <v>266.95</v>
      </c>
      <c r="L26" s="64">
        <v>21.67</v>
      </c>
      <c r="M26" s="64">
        <v>98.49</v>
      </c>
      <c r="N26" s="64">
        <v>60.6</v>
      </c>
      <c r="O26" s="64">
        <v>0</v>
      </c>
      <c r="P26" s="64">
        <v>0.36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14" t="s">
        <v>2568</v>
      </c>
      <c r="B27" s="64">
        <v>14.3</v>
      </c>
      <c r="C27" s="64">
        <v>14.89</v>
      </c>
      <c r="D27" s="64">
        <v>19.25</v>
      </c>
      <c r="E27" s="64">
        <v>4.08</v>
      </c>
      <c r="F27" s="64">
        <v>6.33</v>
      </c>
      <c r="G27" s="64">
        <v>14.69</v>
      </c>
      <c r="H27" s="64">
        <v>5.84</v>
      </c>
      <c r="I27" s="64">
        <v>2</v>
      </c>
      <c r="J27" s="64">
        <v>0.02</v>
      </c>
      <c r="K27" s="64">
        <v>222.15</v>
      </c>
      <c r="L27" s="64">
        <v>21.66</v>
      </c>
      <c r="M27" s="64">
        <v>98.48</v>
      </c>
      <c r="N27" s="64">
        <v>60.6</v>
      </c>
      <c r="O27" s="64">
        <v>0</v>
      </c>
      <c r="P27" s="64">
        <v>0.4</v>
      </c>
      <c r="Q27" s="64">
        <v>9.24</v>
      </c>
      <c r="R27" s="198"/>
      <c r="S27" s="198"/>
      <c r="T27" s="198"/>
      <c r="U27" s="198"/>
    </row>
    <row r="28" spans="1:21" s="12" customFormat="1" x14ac:dyDescent="0.25">
      <c r="A28" s="214" t="s">
        <v>2569</v>
      </c>
      <c r="B28" s="64">
        <v>13.79</v>
      </c>
      <c r="C28" s="64">
        <v>16.75</v>
      </c>
      <c r="D28" s="64">
        <v>19.809999999999999</v>
      </c>
      <c r="E28" s="64">
        <v>4.34</v>
      </c>
      <c r="F28" s="64">
        <v>6.42</v>
      </c>
      <c r="G28" s="64">
        <v>14.69</v>
      </c>
      <c r="H28" s="64">
        <v>5.84</v>
      </c>
      <c r="I28" s="64">
        <v>1.97</v>
      </c>
      <c r="J28" s="64">
        <v>0.12</v>
      </c>
      <c r="K28" s="64">
        <v>167.38</v>
      </c>
      <c r="L28" s="64">
        <v>21.66</v>
      </c>
      <c r="M28" s="64">
        <v>98.49</v>
      </c>
      <c r="N28" s="64">
        <v>60.7</v>
      </c>
      <c r="O28" s="64">
        <v>0</v>
      </c>
      <c r="P28" s="64">
        <v>0.34</v>
      </c>
      <c r="Q28" s="64">
        <v>9.25</v>
      </c>
      <c r="R28" s="198"/>
      <c r="S28" s="198"/>
      <c r="T28" s="198"/>
      <c r="U28" s="198"/>
    </row>
    <row r="29" spans="1:21" s="12" customFormat="1" x14ac:dyDescent="0.25">
      <c r="A29" s="214" t="s">
        <v>2570</v>
      </c>
      <c r="B29" s="64">
        <v>14.84</v>
      </c>
      <c r="C29" s="64">
        <v>14.2</v>
      </c>
      <c r="D29" s="64">
        <v>19.32</v>
      </c>
      <c r="E29" s="64">
        <v>4.32</v>
      </c>
      <c r="F29" s="64">
        <v>5.29</v>
      </c>
      <c r="G29" s="64">
        <v>26.77</v>
      </c>
      <c r="H29" s="64">
        <v>4.09</v>
      </c>
      <c r="I29" s="64">
        <v>1.93</v>
      </c>
      <c r="J29" s="64">
        <v>0.08</v>
      </c>
      <c r="K29" s="64">
        <v>303.36</v>
      </c>
      <c r="L29" s="64">
        <v>21.71</v>
      </c>
      <c r="M29" s="64">
        <v>98.5</v>
      </c>
      <c r="N29" s="64">
        <v>60.6</v>
      </c>
      <c r="O29" s="64">
        <v>0</v>
      </c>
      <c r="P29" s="64">
        <v>0.34</v>
      </c>
      <c r="Q29" s="64">
        <v>9.27</v>
      </c>
      <c r="R29" s="198"/>
      <c r="S29" s="198"/>
      <c r="T29" s="198"/>
      <c r="U29" s="198"/>
    </row>
    <row r="30" spans="1:21" s="12" customFormat="1" x14ac:dyDescent="0.25">
      <c r="A30" s="214" t="s">
        <v>2571</v>
      </c>
      <c r="B30" s="64">
        <v>13.62</v>
      </c>
      <c r="C30" s="64">
        <v>15.5</v>
      </c>
      <c r="D30" s="64">
        <v>19.02</v>
      </c>
      <c r="E30" s="64">
        <v>4.0199999999999996</v>
      </c>
      <c r="F30" s="64">
        <v>6.65</v>
      </c>
      <c r="G30" s="64">
        <v>27.63</v>
      </c>
      <c r="H30" s="64">
        <v>4.09</v>
      </c>
      <c r="I30" s="64">
        <v>1.91</v>
      </c>
      <c r="J30" s="64">
        <v>0.05</v>
      </c>
      <c r="K30" s="64">
        <v>254.56</v>
      </c>
      <c r="L30" s="64">
        <v>21.75</v>
      </c>
      <c r="M30" s="64">
        <v>98.52</v>
      </c>
      <c r="N30" s="64">
        <v>61</v>
      </c>
      <c r="O30" s="64">
        <v>0</v>
      </c>
      <c r="P30" s="64">
        <v>0.37</v>
      </c>
      <c r="Q30" s="64">
        <v>9.25</v>
      </c>
      <c r="R30" s="198"/>
      <c r="S30" s="198"/>
      <c r="T30" s="198"/>
      <c r="U30" s="198"/>
    </row>
    <row r="31" spans="1:21" s="12" customFormat="1" x14ac:dyDescent="0.25">
      <c r="A31" s="214" t="s">
        <v>2572</v>
      </c>
      <c r="B31" s="64">
        <v>27.39</v>
      </c>
      <c r="C31" s="64">
        <v>11.79</v>
      </c>
      <c r="D31" s="64">
        <v>28.12</v>
      </c>
      <c r="E31" s="64">
        <v>4.37</v>
      </c>
      <c r="F31" s="64">
        <v>6.99</v>
      </c>
      <c r="G31" s="64">
        <v>27.63</v>
      </c>
      <c r="H31" s="64">
        <v>4.09</v>
      </c>
      <c r="I31" s="64">
        <v>1.88</v>
      </c>
      <c r="J31" s="64">
        <v>0.31</v>
      </c>
      <c r="K31" s="64">
        <v>337.45</v>
      </c>
      <c r="L31" s="64">
        <v>21.85</v>
      </c>
      <c r="M31" s="64">
        <v>98.48</v>
      </c>
      <c r="N31" s="64">
        <v>63</v>
      </c>
      <c r="O31" s="64">
        <v>0</v>
      </c>
      <c r="P31" s="64">
        <v>0.38</v>
      </c>
      <c r="Q31" s="64">
        <v>9.26</v>
      </c>
      <c r="R31" s="198"/>
      <c r="S31" s="198"/>
      <c r="T31" s="198"/>
      <c r="U31" s="198"/>
    </row>
    <row r="32" spans="1:21" s="12" customFormat="1" x14ac:dyDescent="0.25">
      <c r="A32" s="214" t="s">
        <v>2573</v>
      </c>
      <c r="B32" s="64">
        <v>17.88</v>
      </c>
      <c r="C32" s="64">
        <v>10.68</v>
      </c>
      <c r="D32" s="64">
        <v>19.920000000000002</v>
      </c>
      <c r="E32" s="64">
        <v>4.4400000000000004</v>
      </c>
      <c r="F32" s="64">
        <v>6.8</v>
      </c>
      <c r="G32" s="64">
        <v>27.63</v>
      </c>
      <c r="H32" s="64">
        <v>4.09</v>
      </c>
      <c r="I32" s="64">
        <v>1.87</v>
      </c>
      <c r="J32" s="64">
        <v>0.05</v>
      </c>
      <c r="K32" s="64">
        <v>328.46</v>
      </c>
      <c r="L32" s="64">
        <v>21.88</v>
      </c>
      <c r="M32" s="64">
        <v>98.46</v>
      </c>
      <c r="N32" s="64">
        <v>71.400000000000006</v>
      </c>
      <c r="O32" s="64">
        <v>0</v>
      </c>
      <c r="P32" s="64">
        <v>0.41</v>
      </c>
      <c r="Q32" s="64">
        <v>9.26</v>
      </c>
      <c r="R32" s="198"/>
      <c r="S32" s="198"/>
      <c r="T32" s="198"/>
      <c r="U32" s="198"/>
    </row>
    <row r="33" spans="1:21" s="12" customFormat="1" x14ac:dyDescent="0.25">
      <c r="A33" s="214" t="s">
        <v>2574</v>
      </c>
      <c r="B33" s="64">
        <v>16.62</v>
      </c>
      <c r="C33" s="64">
        <v>9.83</v>
      </c>
      <c r="D33" s="64">
        <v>18.46</v>
      </c>
      <c r="E33" s="64">
        <v>4.32</v>
      </c>
      <c r="F33" s="64">
        <v>4.95</v>
      </c>
      <c r="G33" s="64">
        <v>26.65</v>
      </c>
      <c r="H33" s="64">
        <v>2.86</v>
      </c>
      <c r="I33" s="64">
        <v>1.86</v>
      </c>
      <c r="J33" s="64">
        <v>0.34</v>
      </c>
      <c r="K33" s="64">
        <v>133.74</v>
      </c>
      <c r="L33" s="64">
        <v>21.78</v>
      </c>
      <c r="M33" s="64">
        <v>98.45</v>
      </c>
      <c r="N33" s="64">
        <v>87.6</v>
      </c>
      <c r="O33" s="64">
        <v>0</v>
      </c>
      <c r="P33" s="64">
        <v>0.37</v>
      </c>
      <c r="Q33" s="64">
        <v>9.26</v>
      </c>
      <c r="R33" s="198"/>
      <c r="S33" s="198"/>
      <c r="T33" s="198"/>
      <c r="U33" s="198"/>
    </row>
    <row r="34" spans="1:21" s="12" customFormat="1" x14ac:dyDescent="0.25">
      <c r="A34" s="214" t="s">
        <v>2575</v>
      </c>
      <c r="B34" s="64">
        <v>20.7</v>
      </c>
      <c r="C34" s="64">
        <v>13.26</v>
      </c>
      <c r="D34" s="64">
        <v>23.53</v>
      </c>
      <c r="E34" s="64">
        <v>4.55</v>
      </c>
      <c r="F34" s="64">
        <v>7.35</v>
      </c>
      <c r="G34" s="64">
        <v>26.58</v>
      </c>
      <c r="H34" s="64">
        <v>2.86</v>
      </c>
      <c r="I34" s="64">
        <v>1.85</v>
      </c>
      <c r="J34" s="64">
        <v>0.06</v>
      </c>
      <c r="K34" s="64">
        <v>308.45999999999998</v>
      </c>
      <c r="L34" s="64">
        <v>21.94</v>
      </c>
      <c r="M34" s="64">
        <v>98.46</v>
      </c>
      <c r="N34" s="64">
        <v>105.8</v>
      </c>
      <c r="O34" s="64">
        <v>0</v>
      </c>
      <c r="P34" s="64">
        <v>0.54</v>
      </c>
      <c r="Q34" s="64">
        <v>9.25</v>
      </c>
      <c r="R34" s="198"/>
      <c r="S34" s="198"/>
      <c r="T34" s="198"/>
      <c r="U34" s="198"/>
    </row>
    <row r="35" spans="1:21" s="12" customFormat="1" x14ac:dyDescent="0.25">
      <c r="A35" s="214" t="s">
        <v>2576</v>
      </c>
      <c r="B35" s="64">
        <v>24.17</v>
      </c>
      <c r="C35" s="64">
        <v>9</v>
      </c>
      <c r="D35" s="64">
        <v>23.91</v>
      </c>
      <c r="E35" s="64">
        <v>4.5599999999999996</v>
      </c>
      <c r="F35" s="64">
        <v>5.39</v>
      </c>
      <c r="G35" s="64">
        <v>26.58</v>
      </c>
      <c r="H35" s="64">
        <v>2.86</v>
      </c>
      <c r="I35" s="64">
        <v>1.84</v>
      </c>
      <c r="J35" s="64">
        <v>0.14000000000000001</v>
      </c>
      <c r="K35" s="64">
        <v>343.92</v>
      </c>
      <c r="L35" s="64">
        <v>22.27</v>
      </c>
      <c r="M35" s="64">
        <v>98.47</v>
      </c>
      <c r="N35" s="64">
        <v>120.1</v>
      </c>
      <c r="O35" s="64">
        <v>0</v>
      </c>
      <c r="P35" s="64">
        <v>0.49</v>
      </c>
      <c r="Q35" s="64">
        <v>9.27</v>
      </c>
      <c r="R35" s="198"/>
      <c r="S35" s="198"/>
      <c r="T35" s="198"/>
      <c r="U35" s="198"/>
    </row>
    <row r="36" spans="1:21" s="12" customFormat="1" x14ac:dyDescent="0.25">
      <c r="A36" s="214" t="s">
        <v>2577</v>
      </c>
      <c r="B36" s="64">
        <v>23.53</v>
      </c>
      <c r="C36" s="64">
        <v>11.64</v>
      </c>
      <c r="D36" s="64">
        <v>24.95</v>
      </c>
      <c r="E36" s="64">
        <v>4.37</v>
      </c>
      <c r="F36" s="64">
        <v>7.38</v>
      </c>
      <c r="G36" s="64">
        <v>26.58</v>
      </c>
      <c r="H36" s="64">
        <v>2.86</v>
      </c>
      <c r="I36" s="64">
        <v>1.85</v>
      </c>
      <c r="J36" s="64">
        <v>0.05</v>
      </c>
      <c r="K36" s="64">
        <v>141.47</v>
      </c>
      <c r="L36" s="64">
        <v>22.34</v>
      </c>
      <c r="M36" s="64">
        <v>98.45</v>
      </c>
      <c r="N36" s="64">
        <v>156.19999999999999</v>
      </c>
      <c r="O36" s="64">
        <v>0</v>
      </c>
      <c r="P36" s="64">
        <v>0.46</v>
      </c>
      <c r="Q36" s="64">
        <v>9.2899999999999991</v>
      </c>
      <c r="R36" s="198"/>
      <c r="S36" s="198"/>
      <c r="T36" s="198"/>
      <c r="U36" s="198"/>
    </row>
    <row r="37" spans="1:21" s="12" customFormat="1" x14ac:dyDescent="0.25">
      <c r="A37" s="214" t="s">
        <v>2578</v>
      </c>
      <c r="B37" s="64">
        <v>32.93</v>
      </c>
      <c r="C37" s="64">
        <v>11.54</v>
      </c>
      <c r="D37" s="64">
        <v>32.44</v>
      </c>
      <c r="E37" s="64">
        <v>4.04</v>
      </c>
      <c r="F37" s="64">
        <v>4.9800000000000004</v>
      </c>
      <c r="G37" s="64">
        <v>21.4</v>
      </c>
      <c r="H37" s="64">
        <v>8.2899999999999991</v>
      </c>
      <c r="I37" s="64">
        <v>1.87</v>
      </c>
      <c r="J37" s="64">
        <v>0.04</v>
      </c>
      <c r="K37" s="64">
        <v>143.25</v>
      </c>
      <c r="L37" s="64">
        <v>22.7</v>
      </c>
      <c r="M37" s="64">
        <v>98.45</v>
      </c>
      <c r="N37" s="64">
        <v>231.9</v>
      </c>
      <c r="O37" s="64">
        <v>0</v>
      </c>
      <c r="P37" s="64">
        <v>0.57999999999999996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4" t="s">
        <v>2579</v>
      </c>
      <c r="B38" s="64">
        <v>25.05</v>
      </c>
      <c r="C38" s="64">
        <v>8.9</v>
      </c>
      <c r="D38" s="64">
        <v>24.69</v>
      </c>
      <c r="E38" s="64">
        <v>4.2</v>
      </c>
      <c r="F38" s="64">
        <v>6.44</v>
      </c>
      <c r="G38" s="64">
        <v>21.03</v>
      </c>
      <c r="H38" s="64">
        <v>8.2899999999999991</v>
      </c>
      <c r="I38" s="64">
        <v>1.88</v>
      </c>
      <c r="J38" s="64">
        <v>0.15</v>
      </c>
      <c r="K38" s="64">
        <v>318.68</v>
      </c>
      <c r="L38" s="64">
        <v>23.01</v>
      </c>
      <c r="M38" s="64">
        <v>98.47</v>
      </c>
      <c r="N38" s="64">
        <v>218.5</v>
      </c>
      <c r="O38" s="64">
        <v>0</v>
      </c>
      <c r="P38" s="64">
        <v>0.55000000000000004</v>
      </c>
      <c r="Q38" s="64">
        <v>9.35</v>
      </c>
      <c r="R38" s="198"/>
      <c r="S38" s="198"/>
      <c r="T38" s="198"/>
      <c r="U38" s="198"/>
    </row>
    <row r="39" spans="1:21" s="12" customFormat="1" x14ac:dyDescent="0.25">
      <c r="A39" s="214" t="s">
        <v>2580</v>
      </c>
      <c r="B39" s="64">
        <v>25.56</v>
      </c>
      <c r="C39" s="64">
        <v>8.8699999999999992</v>
      </c>
      <c r="D39" s="64">
        <v>25.13</v>
      </c>
      <c r="E39" s="64">
        <v>4.0199999999999996</v>
      </c>
      <c r="F39" s="64">
        <v>12.44</v>
      </c>
      <c r="G39" s="64">
        <v>21.03</v>
      </c>
      <c r="H39" s="64">
        <v>8.2899999999999991</v>
      </c>
      <c r="I39" s="64">
        <v>1.87</v>
      </c>
      <c r="J39" s="64">
        <v>0.09</v>
      </c>
      <c r="K39" s="64">
        <v>129.96</v>
      </c>
      <c r="L39" s="64">
        <v>23.4</v>
      </c>
      <c r="M39" s="64">
        <v>98.49</v>
      </c>
      <c r="N39" s="64">
        <v>299.10000000000002</v>
      </c>
      <c r="O39" s="64">
        <v>0</v>
      </c>
      <c r="P39" s="64">
        <v>0.54</v>
      </c>
      <c r="Q39" s="64">
        <v>9.3699999999999992</v>
      </c>
      <c r="R39" s="198"/>
      <c r="S39" s="198"/>
      <c r="T39" s="198"/>
      <c r="U39" s="198"/>
    </row>
    <row r="40" spans="1:21" s="12" customFormat="1" x14ac:dyDescent="0.25">
      <c r="A40" s="214" t="s">
        <v>2581</v>
      </c>
      <c r="B40" s="64">
        <v>27.07</v>
      </c>
      <c r="C40" s="64">
        <v>12.96</v>
      </c>
      <c r="D40" s="64">
        <v>28.48</v>
      </c>
      <c r="E40" s="64">
        <v>4.3</v>
      </c>
      <c r="F40" s="64">
        <v>8.85</v>
      </c>
      <c r="G40" s="64">
        <v>21.03</v>
      </c>
      <c r="H40" s="64">
        <v>8.2899999999999991</v>
      </c>
      <c r="I40" s="64">
        <v>1.89</v>
      </c>
      <c r="J40" s="64">
        <v>0.08</v>
      </c>
      <c r="K40" s="64">
        <v>149.46</v>
      </c>
      <c r="L40" s="64">
        <v>23.77</v>
      </c>
      <c r="M40" s="64">
        <v>98.5</v>
      </c>
      <c r="N40" s="64">
        <v>324</v>
      </c>
      <c r="O40" s="64">
        <v>0</v>
      </c>
      <c r="P40" s="64">
        <v>0.56999999999999995</v>
      </c>
      <c r="Q40" s="64">
        <v>9.3800000000000008</v>
      </c>
      <c r="R40" s="198"/>
      <c r="S40" s="198"/>
      <c r="T40" s="198"/>
      <c r="U40" s="198"/>
    </row>
    <row r="41" spans="1:21" s="12" customFormat="1" x14ac:dyDescent="0.25">
      <c r="A41" s="214" t="s">
        <v>2582</v>
      </c>
      <c r="B41" s="64">
        <v>24.05</v>
      </c>
      <c r="C41" s="64">
        <v>10.039999999999999</v>
      </c>
      <c r="D41" s="64">
        <v>24.41</v>
      </c>
      <c r="E41" s="64">
        <v>4.08</v>
      </c>
      <c r="F41" s="64">
        <v>8.59</v>
      </c>
      <c r="G41" s="64">
        <v>28.53</v>
      </c>
      <c r="H41" s="64">
        <v>5.8</v>
      </c>
      <c r="I41" s="64">
        <v>1.9</v>
      </c>
      <c r="J41" s="64">
        <v>0.32</v>
      </c>
      <c r="K41" s="64">
        <v>129.46</v>
      </c>
      <c r="L41" s="64">
        <v>24.34</v>
      </c>
      <c r="M41" s="64">
        <v>98.55</v>
      </c>
      <c r="N41" s="64">
        <v>314.7</v>
      </c>
      <c r="O41" s="64">
        <v>0</v>
      </c>
      <c r="P41" s="64">
        <v>0.56000000000000005</v>
      </c>
      <c r="Q41" s="64">
        <v>9.41</v>
      </c>
      <c r="R41" s="198"/>
      <c r="S41" s="198"/>
      <c r="T41" s="198"/>
      <c r="U41" s="198"/>
    </row>
    <row r="42" spans="1:21" s="12" customFormat="1" x14ac:dyDescent="0.25">
      <c r="A42" s="214" t="s">
        <v>2583</v>
      </c>
      <c r="B42" s="64">
        <v>19.27</v>
      </c>
      <c r="C42" s="64">
        <v>10.56</v>
      </c>
      <c r="D42" s="64">
        <v>20.98</v>
      </c>
      <c r="E42" s="64">
        <v>4.26</v>
      </c>
      <c r="F42" s="64">
        <v>9.52</v>
      </c>
      <c r="G42" s="64">
        <v>29.06</v>
      </c>
      <c r="H42" s="64">
        <v>5.8</v>
      </c>
      <c r="I42" s="64">
        <v>1.9</v>
      </c>
      <c r="J42" s="64">
        <v>0.3</v>
      </c>
      <c r="K42" s="64">
        <v>132.5</v>
      </c>
      <c r="L42" s="64">
        <v>24.52</v>
      </c>
      <c r="M42" s="64">
        <v>98.57</v>
      </c>
      <c r="N42" s="64">
        <v>276.7</v>
      </c>
      <c r="O42" s="64">
        <v>0</v>
      </c>
      <c r="P42" s="64">
        <v>0.49</v>
      </c>
      <c r="Q42" s="64">
        <v>9.43</v>
      </c>
      <c r="R42" s="198"/>
      <c r="S42" s="198"/>
      <c r="T42" s="198"/>
      <c r="U42" s="198"/>
    </row>
    <row r="43" spans="1:21" s="12" customFormat="1" x14ac:dyDescent="0.25">
      <c r="A43" s="214" t="s">
        <v>2584</v>
      </c>
      <c r="B43" s="64">
        <v>22.02</v>
      </c>
      <c r="C43" s="64">
        <v>12.61</v>
      </c>
      <c r="D43" s="64">
        <v>24.24</v>
      </c>
      <c r="E43" s="64">
        <v>4.2</v>
      </c>
      <c r="F43" s="64">
        <v>7.94</v>
      </c>
      <c r="G43" s="64">
        <v>29.06</v>
      </c>
      <c r="H43" s="64">
        <v>5.8</v>
      </c>
      <c r="I43" s="64">
        <v>1.89</v>
      </c>
      <c r="J43" s="64">
        <v>0.04</v>
      </c>
      <c r="K43" s="64">
        <v>359.98</v>
      </c>
      <c r="L43" s="64">
        <v>25.22</v>
      </c>
      <c r="M43" s="64">
        <v>98.51</v>
      </c>
      <c r="N43" s="64">
        <v>404.1</v>
      </c>
      <c r="O43" s="64">
        <v>0</v>
      </c>
      <c r="P43" s="64">
        <v>0.52</v>
      </c>
      <c r="Q43" s="64">
        <v>9.4499999999999993</v>
      </c>
      <c r="R43" s="198"/>
      <c r="S43" s="198"/>
      <c r="T43" s="198"/>
      <c r="U43" s="198"/>
    </row>
    <row r="44" spans="1:21" s="12" customFormat="1" x14ac:dyDescent="0.25">
      <c r="A44" s="214" t="s">
        <v>2585</v>
      </c>
      <c r="B44" s="64">
        <v>21.74</v>
      </c>
      <c r="C44" s="64">
        <v>15.31</v>
      </c>
      <c r="D44" s="64">
        <v>25.44</v>
      </c>
      <c r="E44" s="64">
        <v>4.12</v>
      </c>
      <c r="F44" s="64">
        <v>7.38</v>
      </c>
      <c r="G44" s="64">
        <v>29.06</v>
      </c>
      <c r="H44" s="64">
        <v>5.8</v>
      </c>
      <c r="I44" s="64">
        <v>1.87</v>
      </c>
      <c r="J44" s="64">
        <v>0.33</v>
      </c>
      <c r="K44" s="64">
        <v>135.15</v>
      </c>
      <c r="L44" s="64">
        <v>26.33</v>
      </c>
      <c r="M44" s="64">
        <v>98.39</v>
      </c>
      <c r="N44" s="64">
        <v>447.3</v>
      </c>
      <c r="O44" s="64">
        <v>0</v>
      </c>
      <c r="P44" s="64">
        <v>0.56000000000000005</v>
      </c>
      <c r="Q44" s="64">
        <v>9.4600000000000009</v>
      </c>
      <c r="R44" s="198"/>
      <c r="S44" s="198"/>
      <c r="T44" s="198"/>
      <c r="U44" s="198"/>
    </row>
    <row r="45" spans="1:21" s="12" customFormat="1" x14ac:dyDescent="0.25">
      <c r="A45" s="214" t="s">
        <v>2586</v>
      </c>
      <c r="B45" s="64">
        <v>21.12</v>
      </c>
      <c r="C45" s="64">
        <v>12.47</v>
      </c>
      <c r="D45" s="64">
        <v>23.45</v>
      </c>
      <c r="E45" s="64">
        <v>4.29</v>
      </c>
      <c r="F45" s="64">
        <v>14.03</v>
      </c>
      <c r="G45" s="64">
        <v>29.68</v>
      </c>
      <c r="H45" s="64">
        <v>4.0599999999999996</v>
      </c>
      <c r="I45" s="64">
        <v>1.85</v>
      </c>
      <c r="J45" s="64">
        <v>0.14000000000000001</v>
      </c>
      <c r="K45" s="64">
        <v>338.34</v>
      </c>
      <c r="L45" s="64">
        <v>26.39</v>
      </c>
      <c r="M45" s="64">
        <v>98.37</v>
      </c>
      <c r="N45" s="64">
        <v>356.7</v>
      </c>
      <c r="O45" s="64">
        <v>0</v>
      </c>
      <c r="P45" s="64">
        <v>0.56999999999999995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14" t="s">
        <v>2587</v>
      </c>
      <c r="B46" s="64">
        <v>17.079999999999998</v>
      </c>
      <c r="C46" s="64">
        <v>13.51</v>
      </c>
      <c r="D46" s="64">
        <v>20.76</v>
      </c>
      <c r="E46" s="64">
        <v>4.68</v>
      </c>
      <c r="F46" s="64">
        <v>11.59</v>
      </c>
      <c r="G46" s="64">
        <v>29.73</v>
      </c>
      <c r="H46" s="64">
        <v>4.0599999999999996</v>
      </c>
      <c r="I46" s="64">
        <v>1.85</v>
      </c>
      <c r="J46" s="64">
        <v>0.43</v>
      </c>
      <c r="K46" s="64">
        <v>128.36000000000001</v>
      </c>
      <c r="L46" s="64">
        <v>27.25</v>
      </c>
      <c r="M46" s="64">
        <v>98.18</v>
      </c>
      <c r="N46" s="64">
        <v>661.1</v>
      </c>
      <c r="O46" s="64">
        <v>0</v>
      </c>
      <c r="P46" s="64">
        <v>0.57999999999999996</v>
      </c>
      <c r="Q46" s="64">
        <v>9.4600000000000009</v>
      </c>
      <c r="R46" s="198"/>
      <c r="S46" s="198"/>
      <c r="T46" s="198"/>
      <c r="U46" s="198"/>
    </row>
    <row r="47" spans="1:21" s="12" customFormat="1" x14ac:dyDescent="0.25">
      <c r="A47" s="214" t="s">
        <v>2588</v>
      </c>
      <c r="B47" s="64">
        <v>16.61</v>
      </c>
      <c r="C47" s="64">
        <v>12.68</v>
      </c>
      <c r="D47" s="64">
        <v>19.940000000000001</v>
      </c>
      <c r="E47" s="64">
        <v>4.68</v>
      </c>
      <c r="F47" s="64">
        <v>11.11</v>
      </c>
      <c r="G47" s="64">
        <v>29.73</v>
      </c>
      <c r="H47" s="64">
        <v>4.0599999999999996</v>
      </c>
      <c r="I47" s="64">
        <v>1.84</v>
      </c>
      <c r="J47" s="64">
        <v>0.41</v>
      </c>
      <c r="K47" s="64">
        <v>123.75</v>
      </c>
      <c r="L47" s="64">
        <v>27.52</v>
      </c>
      <c r="M47" s="64">
        <v>97.63</v>
      </c>
      <c r="N47" s="64">
        <v>618.79999999999995</v>
      </c>
      <c r="O47" s="64">
        <v>0</v>
      </c>
      <c r="P47" s="64">
        <v>0.49</v>
      </c>
      <c r="Q47" s="64">
        <v>9.44</v>
      </c>
      <c r="R47" s="198"/>
      <c r="S47" s="198"/>
      <c r="T47" s="198"/>
      <c r="U47" s="198"/>
    </row>
    <row r="48" spans="1:21" s="12" customFormat="1" x14ac:dyDescent="0.25">
      <c r="A48" s="214" t="s">
        <v>2589</v>
      </c>
      <c r="B48" s="64">
        <v>14.76</v>
      </c>
      <c r="C48" s="64">
        <v>12.68</v>
      </c>
      <c r="D48" s="64">
        <v>18.46</v>
      </c>
      <c r="E48" s="64">
        <v>4.74</v>
      </c>
      <c r="F48" s="64">
        <v>14.85</v>
      </c>
      <c r="G48" s="64">
        <v>29.73</v>
      </c>
      <c r="H48" s="64">
        <v>4.0599999999999996</v>
      </c>
      <c r="I48" s="64">
        <v>1.83</v>
      </c>
      <c r="J48" s="64">
        <v>0.57999999999999996</v>
      </c>
      <c r="K48" s="64">
        <v>125.4</v>
      </c>
      <c r="L48" s="64">
        <v>28.18</v>
      </c>
      <c r="M48" s="64">
        <v>94</v>
      </c>
      <c r="N48" s="64">
        <v>686.7</v>
      </c>
      <c r="O48" s="64">
        <v>0</v>
      </c>
      <c r="P48" s="64">
        <v>0.49</v>
      </c>
      <c r="Q48" s="64">
        <v>9.43</v>
      </c>
      <c r="R48" s="198"/>
      <c r="S48" s="198"/>
      <c r="T48" s="198"/>
      <c r="U48" s="198"/>
    </row>
    <row r="49" spans="1:21" s="12" customFormat="1" x14ac:dyDescent="0.25">
      <c r="A49" s="214" t="s">
        <v>2590</v>
      </c>
      <c r="B49" s="64">
        <v>16.27</v>
      </c>
      <c r="C49" s="64">
        <v>12.76</v>
      </c>
      <c r="D49" s="64">
        <v>19.71</v>
      </c>
      <c r="E49" s="64">
        <v>4.75</v>
      </c>
      <c r="F49" s="64">
        <v>12.15</v>
      </c>
      <c r="G49" s="64">
        <v>29.63</v>
      </c>
      <c r="H49" s="64">
        <v>2.84</v>
      </c>
      <c r="I49" s="64">
        <v>1.83</v>
      </c>
      <c r="J49" s="64">
        <v>0.45</v>
      </c>
      <c r="K49" s="64">
        <v>131.47999999999999</v>
      </c>
      <c r="L49" s="64">
        <v>28.28</v>
      </c>
      <c r="M49" s="64">
        <v>93.89</v>
      </c>
      <c r="N49" s="64">
        <v>791.6</v>
      </c>
      <c r="O49" s="64">
        <v>0</v>
      </c>
      <c r="P49" s="64">
        <v>0.49</v>
      </c>
      <c r="Q49" s="64">
        <v>9.42</v>
      </c>
      <c r="R49" s="198"/>
      <c r="S49" s="198"/>
      <c r="T49" s="198"/>
      <c r="U49" s="198"/>
    </row>
    <row r="50" spans="1:21" s="12" customFormat="1" x14ac:dyDescent="0.25">
      <c r="A50" s="214" t="s">
        <v>2591</v>
      </c>
      <c r="B50" s="64">
        <v>16.100000000000001</v>
      </c>
      <c r="C50" s="64">
        <v>11.17</v>
      </c>
      <c r="D50" s="64">
        <v>18.739999999999998</v>
      </c>
      <c r="E50" s="64">
        <v>4.54</v>
      </c>
      <c r="F50" s="64">
        <v>12.61</v>
      </c>
      <c r="G50" s="64">
        <v>29.63</v>
      </c>
      <c r="H50" s="64">
        <v>2.84</v>
      </c>
      <c r="I50" s="64">
        <v>1.83</v>
      </c>
      <c r="J50" s="64">
        <v>0.5</v>
      </c>
      <c r="K50" s="64">
        <v>130</v>
      </c>
      <c r="L50" s="64">
        <v>28.15</v>
      </c>
      <c r="M50" s="64">
        <v>93.12</v>
      </c>
      <c r="N50" s="64">
        <v>435.9</v>
      </c>
      <c r="O50" s="64">
        <v>0</v>
      </c>
      <c r="P50" s="64">
        <v>0.54</v>
      </c>
      <c r="Q50" s="64">
        <v>9.4</v>
      </c>
      <c r="R50" s="198"/>
      <c r="S50" s="198"/>
      <c r="T50" s="198"/>
      <c r="U50" s="198"/>
    </row>
    <row r="51" spans="1:21" s="12" customFormat="1" x14ac:dyDescent="0.25">
      <c r="A51" s="214" t="s">
        <v>2592</v>
      </c>
      <c r="B51" s="64">
        <v>12.81</v>
      </c>
      <c r="C51" s="64">
        <v>14.04</v>
      </c>
      <c r="D51" s="64">
        <v>17.61</v>
      </c>
      <c r="E51" s="64">
        <v>4.8</v>
      </c>
      <c r="F51" s="64">
        <v>19.940000000000001</v>
      </c>
      <c r="G51" s="64">
        <v>29.63</v>
      </c>
      <c r="H51" s="64">
        <v>2.84</v>
      </c>
      <c r="I51" s="64">
        <v>1.81</v>
      </c>
      <c r="J51" s="64">
        <v>0.96</v>
      </c>
      <c r="K51" s="64">
        <v>126.97</v>
      </c>
      <c r="L51" s="64">
        <v>27.71</v>
      </c>
      <c r="M51" s="64">
        <v>93.55</v>
      </c>
      <c r="N51" s="64">
        <v>514.6</v>
      </c>
      <c r="O51" s="64">
        <v>0</v>
      </c>
      <c r="P51" s="64">
        <v>0.46</v>
      </c>
      <c r="Q51" s="64">
        <v>9.3699999999999992</v>
      </c>
      <c r="R51" s="198"/>
      <c r="S51" s="198"/>
      <c r="T51" s="198"/>
      <c r="U51" s="198"/>
    </row>
    <row r="52" spans="1:21" s="12" customFormat="1" x14ac:dyDescent="0.25">
      <c r="A52" s="214" t="s">
        <v>2593</v>
      </c>
      <c r="B52" s="64">
        <v>8.76</v>
      </c>
      <c r="C52" s="64">
        <v>22.01</v>
      </c>
      <c r="D52" s="64">
        <v>18.53</v>
      </c>
      <c r="E52" s="64">
        <v>4.8899999999999997</v>
      </c>
      <c r="F52" s="64">
        <v>16.27</v>
      </c>
      <c r="G52" s="64">
        <v>29.63</v>
      </c>
      <c r="H52" s="64">
        <v>2.84</v>
      </c>
      <c r="I52" s="64">
        <v>1.79</v>
      </c>
      <c r="J52" s="64">
        <v>0.22</v>
      </c>
      <c r="K52" s="64">
        <v>332.45</v>
      </c>
      <c r="L52" s="64">
        <v>29.37</v>
      </c>
      <c r="M52" s="64">
        <v>86.81</v>
      </c>
      <c r="N52" s="64">
        <v>807.7</v>
      </c>
      <c r="O52" s="64">
        <v>0</v>
      </c>
      <c r="P52" s="64">
        <v>0.62</v>
      </c>
      <c r="Q52" s="64">
        <v>9.2200000000000006</v>
      </c>
      <c r="R52" s="198"/>
      <c r="S52" s="198"/>
      <c r="T52" s="198"/>
      <c r="U52" s="198"/>
    </row>
    <row r="53" spans="1:21" s="12" customFormat="1" x14ac:dyDescent="0.25">
      <c r="A53" s="214" t="s">
        <v>2594</v>
      </c>
      <c r="B53" s="64">
        <v>9.43</v>
      </c>
      <c r="C53" s="64">
        <v>22.03</v>
      </c>
      <c r="D53" s="64">
        <v>19.079999999999998</v>
      </c>
      <c r="E53" s="64">
        <v>4.79</v>
      </c>
      <c r="F53" s="64">
        <v>16.59</v>
      </c>
      <c r="G53" s="64">
        <v>21.33</v>
      </c>
      <c r="H53" s="64">
        <v>7.43</v>
      </c>
      <c r="I53" s="64">
        <v>1.61</v>
      </c>
      <c r="J53" s="64">
        <v>0.35</v>
      </c>
      <c r="K53" s="64">
        <v>107.88</v>
      </c>
      <c r="L53" s="64">
        <v>30.96</v>
      </c>
      <c r="M53" s="64">
        <v>76.95</v>
      </c>
      <c r="N53" s="64">
        <v>951</v>
      </c>
      <c r="O53" s="64">
        <v>0</v>
      </c>
      <c r="P53" s="64">
        <v>0.62</v>
      </c>
      <c r="Q53" s="64">
        <v>9.1300000000000008</v>
      </c>
      <c r="R53" s="198"/>
      <c r="S53" s="198"/>
      <c r="T53" s="198"/>
      <c r="U53" s="198"/>
    </row>
    <row r="54" spans="1:21" s="12" customFormat="1" x14ac:dyDescent="0.25">
      <c r="A54" s="214" t="s">
        <v>2595</v>
      </c>
      <c r="B54" s="64">
        <v>9.65</v>
      </c>
      <c r="C54" s="64">
        <v>18.71</v>
      </c>
      <c r="D54" s="64">
        <v>17.510000000000002</v>
      </c>
      <c r="E54" s="64">
        <v>4.57</v>
      </c>
      <c r="F54" s="64">
        <v>15.14</v>
      </c>
      <c r="G54" s="64">
        <v>20.74</v>
      </c>
      <c r="H54" s="64">
        <v>7.43</v>
      </c>
      <c r="I54" s="64">
        <v>1.49</v>
      </c>
      <c r="J54" s="64">
        <v>0.27</v>
      </c>
      <c r="K54" s="64">
        <v>94.38</v>
      </c>
      <c r="L54" s="64">
        <v>29.49</v>
      </c>
      <c r="M54" s="64">
        <v>84.1</v>
      </c>
      <c r="N54" s="64">
        <v>609.5</v>
      </c>
      <c r="O54" s="64">
        <v>0</v>
      </c>
      <c r="P54" s="64">
        <v>0.55000000000000004</v>
      </c>
      <c r="Q54" s="64">
        <v>9.1</v>
      </c>
      <c r="R54" s="198"/>
      <c r="S54" s="198"/>
      <c r="T54" s="198"/>
      <c r="U54" s="198"/>
    </row>
    <row r="55" spans="1:21" s="12" customFormat="1" x14ac:dyDescent="0.25">
      <c r="A55" s="214" t="s">
        <v>2596</v>
      </c>
      <c r="B55" s="64">
        <v>12.18</v>
      </c>
      <c r="C55" s="64">
        <v>21.31</v>
      </c>
      <c r="D55" s="64">
        <v>20.9</v>
      </c>
      <c r="E55" s="64">
        <v>4.88</v>
      </c>
      <c r="F55" s="64">
        <v>16.579999999999998</v>
      </c>
      <c r="G55" s="64">
        <v>20.74</v>
      </c>
      <c r="H55" s="64">
        <v>7.43</v>
      </c>
      <c r="I55" s="64">
        <v>1.53</v>
      </c>
      <c r="J55" s="64">
        <v>0.9</v>
      </c>
      <c r="K55" s="64">
        <v>334.43</v>
      </c>
      <c r="L55" s="64">
        <v>30.87</v>
      </c>
      <c r="M55" s="64">
        <v>80.72</v>
      </c>
      <c r="N55" s="64">
        <v>578.1</v>
      </c>
      <c r="O55" s="64">
        <v>0</v>
      </c>
      <c r="P55" s="64">
        <v>0.68</v>
      </c>
      <c r="Q55" s="64">
        <v>9.09</v>
      </c>
      <c r="R55" s="198"/>
      <c r="S55" s="198"/>
      <c r="T55" s="198"/>
      <c r="U55" s="198"/>
    </row>
    <row r="56" spans="1:21" s="12" customFormat="1" x14ac:dyDescent="0.25">
      <c r="A56" s="214" t="s">
        <v>2597</v>
      </c>
      <c r="B56" s="64">
        <v>16.8</v>
      </c>
      <c r="C56" s="64">
        <v>22.34</v>
      </c>
      <c r="D56" s="64">
        <v>25.11</v>
      </c>
      <c r="E56" s="64">
        <v>4.6900000000000004</v>
      </c>
      <c r="F56" s="64">
        <v>17.59</v>
      </c>
      <c r="G56" s="64">
        <v>20.74</v>
      </c>
      <c r="H56" s="64">
        <v>7.43</v>
      </c>
      <c r="I56" s="64">
        <v>1.59</v>
      </c>
      <c r="J56" s="64">
        <v>0.16</v>
      </c>
      <c r="K56" s="64">
        <v>2.46</v>
      </c>
      <c r="L56" s="64">
        <v>29.78</v>
      </c>
      <c r="M56" s="64">
        <v>85.22</v>
      </c>
      <c r="N56" s="64">
        <v>369.7</v>
      </c>
      <c r="O56" s="64">
        <v>0</v>
      </c>
      <c r="P56" s="64">
        <v>0.74</v>
      </c>
      <c r="Q56" s="64">
        <v>9.09</v>
      </c>
      <c r="R56" s="198"/>
      <c r="S56" s="198"/>
      <c r="T56" s="198"/>
      <c r="U56" s="198"/>
    </row>
    <row r="57" spans="1:21" s="12" customFormat="1" x14ac:dyDescent="0.25">
      <c r="A57" s="214" t="s">
        <v>2598</v>
      </c>
      <c r="B57" s="64">
        <v>10.28</v>
      </c>
      <c r="C57" s="64">
        <v>20.350000000000001</v>
      </c>
      <c r="D57" s="64">
        <v>18.87</v>
      </c>
      <c r="E57" s="64">
        <v>4.7</v>
      </c>
      <c r="F57" s="64">
        <v>16.64</v>
      </c>
      <c r="G57" s="64">
        <v>39.69</v>
      </c>
      <c r="H57" s="64">
        <v>7.57</v>
      </c>
      <c r="I57" s="64">
        <v>1.64</v>
      </c>
      <c r="J57" s="64">
        <v>0.19</v>
      </c>
      <c r="K57" s="64">
        <v>110.82</v>
      </c>
      <c r="L57" s="64">
        <v>29.18</v>
      </c>
      <c r="M57" s="64">
        <v>86.36</v>
      </c>
      <c r="N57" s="64">
        <v>499.9</v>
      </c>
      <c r="O57" s="64">
        <v>0</v>
      </c>
      <c r="P57" s="64">
        <v>0.53</v>
      </c>
      <c r="Q57" s="64">
        <v>9.11</v>
      </c>
      <c r="R57" s="198"/>
      <c r="S57" s="198"/>
      <c r="T57" s="198"/>
      <c r="U57" s="198"/>
    </row>
    <row r="58" spans="1:21" s="12" customFormat="1" x14ac:dyDescent="0.25">
      <c r="A58" s="214" t="s">
        <v>2599</v>
      </c>
      <c r="B58" s="64">
        <v>9.7100000000000009</v>
      </c>
      <c r="C58" s="64">
        <v>17.72</v>
      </c>
      <c r="D58" s="64">
        <v>17.04</v>
      </c>
      <c r="E58" s="64">
        <v>4.45</v>
      </c>
      <c r="F58" s="64">
        <v>20.010000000000002</v>
      </c>
      <c r="G58" s="64">
        <v>41.05</v>
      </c>
      <c r="H58" s="64">
        <v>7.57</v>
      </c>
      <c r="I58" s="64">
        <v>1.6</v>
      </c>
      <c r="J58" s="64">
        <v>0.21</v>
      </c>
      <c r="K58" s="64">
        <v>31.43</v>
      </c>
      <c r="L58" s="64">
        <v>29.03</v>
      </c>
      <c r="M58" s="64">
        <v>85.84</v>
      </c>
      <c r="N58" s="64">
        <v>623.4</v>
      </c>
      <c r="O58" s="64">
        <v>0</v>
      </c>
      <c r="P58" s="64">
        <v>0.45</v>
      </c>
      <c r="Q58" s="64">
        <v>9.11</v>
      </c>
      <c r="R58" s="198"/>
      <c r="S58" s="198"/>
      <c r="T58" s="198"/>
      <c r="U58" s="198"/>
    </row>
    <row r="59" spans="1:21" s="12" customFormat="1" x14ac:dyDescent="0.25">
      <c r="A59" s="214" t="s">
        <v>2600</v>
      </c>
      <c r="B59" s="64">
        <v>12.02</v>
      </c>
      <c r="C59" s="64">
        <v>20.84</v>
      </c>
      <c r="D59" s="64">
        <v>20.52</v>
      </c>
      <c r="E59" s="64">
        <v>4.7699999999999996</v>
      </c>
      <c r="F59" s="64">
        <v>18.39</v>
      </c>
      <c r="G59" s="64">
        <v>41.05</v>
      </c>
      <c r="H59" s="64">
        <v>7.57</v>
      </c>
      <c r="I59" s="64">
        <v>1.49</v>
      </c>
      <c r="J59" s="64">
        <v>0.2</v>
      </c>
      <c r="K59" s="64">
        <v>6.56</v>
      </c>
      <c r="L59" s="64">
        <v>29.57</v>
      </c>
      <c r="M59" s="64">
        <v>83.53</v>
      </c>
      <c r="N59" s="64">
        <v>453.3</v>
      </c>
      <c r="O59" s="64">
        <v>0</v>
      </c>
      <c r="P59" s="64">
        <v>0.56000000000000005</v>
      </c>
      <c r="Q59" s="64">
        <v>9.1</v>
      </c>
      <c r="R59" s="198"/>
      <c r="S59" s="198"/>
      <c r="T59" s="198"/>
      <c r="U59" s="198"/>
    </row>
    <row r="60" spans="1:21" s="12" customFormat="1" x14ac:dyDescent="0.25">
      <c r="A60" s="214" t="s">
        <v>2601</v>
      </c>
      <c r="B60" s="64">
        <v>9.34</v>
      </c>
      <c r="C60" s="64">
        <v>18.32</v>
      </c>
      <c r="D60" s="64">
        <v>17.059999999999999</v>
      </c>
      <c r="E60" s="64">
        <v>4.92</v>
      </c>
      <c r="F60" s="64">
        <v>20.9</v>
      </c>
      <c r="G60" s="64">
        <v>41.05</v>
      </c>
      <c r="H60" s="64">
        <v>7.57</v>
      </c>
      <c r="I60" s="64">
        <v>1.35</v>
      </c>
      <c r="J60" s="64">
        <v>0.44</v>
      </c>
      <c r="K60" s="64">
        <v>122.44</v>
      </c>
      <c r="L60" s="64">
        <v>29.28</v>
      </c>
      <c r="M60" s="64">
        <v>82.47</v>
      </c>
      <c r="N60" s="64">
        <v>676.5</v>
      </c>
      <c r="O60" s="64">
        <v>0</v>
      </c>
      <c r="P60" s="64">
        <v>0.4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4" t="s">
        <v>2602</v>
      </c>
      <c r="B61" s="64">
        <v>8.94</v>
      </c>
      <c r="C61" s="64">
        <v>15.38</v>
      </c>
      <c r="D61" s="64">
        <v>15.2</v>
      </c>
      <c r="E61" s="64">
        <v>4.7</v>
      </c>
      <c r="F61" s="64">
        <v>21.39</v>
      </c>
      <c r="G61" s="64">
        <v>41.84</v>
      </c>
      <c r="H61" s="64">
        <v>5.3</v>
      </c>
      <c r="I61" s="64">
        <v>1.3</v>
      </c>
      <c r="J61" s="64">
        <v>0.17</v>
      </c>
      <c r="K61" s="64">
        <v>28.39</v>
      </c>
      <c r="L61" s="64">
        <v>30.07</v>
      </c>
      <c r="M61" s="64">
        <v>79.11</v>
      </c>
      <c r="N61" s="64">
        <v>325.8</v>
      </c>
      <c r="O61" s="64">
        <v>0</v>
      </c>
      <c r="P61" s="64">
        <v>0.45</v>
      </c>
      <c r="Q61" s="64">
        <v>9.11</v>
      </c>
      <c r="R61" s="198"/>
      <c r="S61" s="198"/>
      <c r="T61" s="198"/>
      <c r="U61" s="198"/>
    </row>
    <row r="62" spans="1:21" s="12" customFormat="1" x14ac:dyDescent="0.25">
      <c r="A62" s="214" t="s">
        <v>2603</v>
      </c>
      <c r="B62" s="64">
        <v>12.78</v>
      </c>
      <c r="C62" s="64">
        <v>17.399999999999999</v>
      </c>
      <c r="D62" s="64">
        <v>19.309999999999999</v>
      </c>
      <c r="E62" s="64">
        <v>4.92</v>
      </c>
      <c r="F62" s="64">
        <v>17.34</v>
      </c>
      <c r="G62" s="64">
        <v>41.89</v>
      </c>
      <c r="H62" s="64">
        <v>5.3</v>
      </c>
      <c r="I62" s="64">
        <v>1.29</v>
      </c>
      <c r="J62" s="64">
        <v>0.31</v>
      </c>
      <c r="K62" s="64">
        <v>355</v>
      </c>
      <c r="L62" s="64">
        <v>29.93</v>
      </c>
      <c r="M62" s="64">
        <v>80.849999999999994</v>
      </c>
      <c r="N62" s="64">
        <v>271.5</v>
      </c>
      <c r="O62" s="64">
        <v>0.2</v>
      </c>
      <c r="P62" s="64">
        <v>0.51</v>
      </c>
      <c r="Q62" s="64">
        <v>9.1199999999999992</v>
      </c>
      <c r="R62" s="198"/>
      <c r="S62" s="198"/>
      <c r="T62" s="198"/>
      <c r="U62" s="198"/>
    </row>
    <row r="63" spans="1:21" s="12" customFormat="1" x14ac:dyDescent="0.25">
      <c r="A63" s="214" t="s">
        <v>2604</v>
      </c>
      <c r="B63" s="64">
        <v>13.14</v>
      </c>
      <c r="C63" s="64">
        <v>19.75</v>
      </c>
      <c r="D63" s="64">
        <v>20.86</v>
      </c>
      <c r="E63" s="64">
        <v>5.46</v>
      </c>
      <c r="F63" s="64">
        <v>17.899999999999999</v>
      </c>
      <c r="G63" s="64">
        <v>41.89</v>
      </c>
      <c r="H63" s="64">
        <v>5.3</v>
      </c>
      <c r="I63" s="64">
        <v>1.27</v>
      </c>
      <c r="J63" s="64">
        <v>0.1</v>
      </c>
      <c r="K63" s="64">
        <v>94.81</v>
      </c>
      <c r="L63" s="64">
        <v>29.55</v>
      </c>
      <c r="M63" s="64">
        <v>82.11</v>
      </c>
      <c r="N63" s="64">
        <v>334.4</v>
      </c>
      <c r="O63" s="64">
        <v>0</v>
      </c>
      <c r="P63" s="64">
        <v>0.6</v>
      </c>
      <c r="Q63" s="64">
        <v>9.14</v>
      </c>
      <c r="R63" s="198"/>
      <c r="S63" s="198"/>
      <c r="T63" s="198"/>
      <c r="U63" s="198"/>
    </row>
    <row r="64" spans="1:21" s="12" customFormat="1" x14ac:dyDescent="0.25">
      <c r="A64" s="214" t="s">
        <v>2605</v>
      </c>
      <c r="B64" s="64">
        <v>6.87</v>
      </c>
      <c r="C64" s="64">
        <v>15.12</v>
      </c>
      <c r="D64" s="64">
        <v>13.41</v>
      </c>
      <c r="E64" s="64">
        <v>4.88</v>
      </c>
      <c r="F64" s="64">
        <v>18.579999999999998</v>
      </c>
      <c r="G64" s="64">
        <v>41.89</v>
      </c>
      <c r="H64" s="64">
        <v>5.3</v>
      </c>
      <c r="I64" s="64">
        <v>1.28</v>
      </c>
      <c r="J64" s="64">
        <v>0.54</v>
      </c>
      <c r="K64" s="64">
        <v>137.97</v>
      </c>
      <c r="L64" s="64">
        <v>29.29</v>
      </c>
      <c r="M64" s="64">
        <v>82.71</v>
      </c>
      <c r="N64" s="64">
        <v>272.89999999999998</v>
      </c>
      <c r="O64" s="64">
        <v>0</v>
      </c>
      <c r="P64" s="64">
        <v>0.34</v>
      </c>
      <c r="Q64" s="64">
        <v>9.16</v>
      </c>
      <c r="R64" s="198"/>
      <c r="S64" s="198"/>
      <c r="T64" s="198"/>
      <c r="U64" s="198"/>
    </row>
    <row r="65" spans="1:21" s="12" customFormat="1" x14ac:dyDescent="0.25">
      <c r="A65" s="214" t="s">
        <v>2606</v>
      </c>
      <c r="B65" s="64">
        <v>10.48</v>
      </c>
      <c r="C65" s="64">
        <v>15.61</v>
      </c>
      <c r="D65" s="64">
        <v>16.52</v>
      </c>
      <c r="E65" s="64">
        <v>4.7</v>
      </c>
      <c r="F65" s="64">
        <v>18.05</v>
      </c>
      <c r="G65" s="64">
        <v>41.62</v>
      </c>
      <c r="H65" s="64">
        <v>3.71</v>
      </c>
      <c r="I65" s="64">
        <v>1.31</v>
      </c>
      <c r="J65" s="64">
        <v>0.37</v>
      </c>
      <c r="K65" s="64">
        <v>331.09</v>
      </c>
      <c r="L65" s="64">
        <v>29.26</v>
      </c>
      <c r="M65" s="64">
        <v>84.08</v>
      </c>
      <c r="N65" s="64">
        <v>220.1</v>
      </c>
      <c r="O65" s="64">
        <v>0</v>
      </c>
      <c r="P65" s="64">
        <v>0.47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4" t="s">
        <v>2607</v>
      </c>
      <c r="B66" s="64">
        <v>11.45</v>
      </c>
      <c r="C66" s="64">
        <v>16.95</v>
      </c>
      <c r="D66" s="64">
        <v>18.04</v>
      </c>
      <c r="E66" s="64">
        <v>4.79</v>
      </c>
      <c r="F66" s="64">
        <v>18.82</v>
      </c>
      <c r="G66" s="64">
        <v>41.6</v>
      </c>
      <c r="H66" s="64">
        <v>3.71</v>
      </c>
      <c r="I66" s="64">
        <v>1.29</v>
      </c>
      <c r="J66" s="64">
        <v>0.15</v>
      </c>
      <c r="K66" s="64">
        <v>108.19</v>
      </c>
      <c r="L66" s="64">
        <v>28.97</v>
      </c>
      <c r="M66" s="64">
        <v>85.89</v>
      </c>
      <c r="N66" s="64">
        <v>212.5</v>
      </c>
      <c r="O66" s="64">
        <v>0</v>
      </c>
      <c r="P66" s="64">
        <v>0.42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14" t="s">
        <v>2608</v>
      </c>
      <c r="B67" s="64">
        <v>12.35</v>
      </c>
      <c r="C67" s="64">
        <v>17.43</v>
      </c>
      <c r="D67" s="64">
        <v>19.010000000000002</v>
      </c>
      <c r="E67" s="64">
        <v>4.5199999999999996</v>
      </c>
      <c r="F67" s="64">
        <v>16.64</v>
      </c>
      <c r="G67" s="64">
        <v>41.6</v>
      </c>
      <c r="H67" s="64">
        <v>3.71</v>
      </c>
      <c r="I67" s="64">
        <v>1.27</v>
      </c>
      <c r="J67" s="64">
        <v>0.56000000000000005</v>
      </c>
      <c r="K67" s="64">
        <v>330.16</v>
      </c>
      <c r="L67" s="64">
        <v>29.16</v>
      </c>
      <c r="M67" s="64">
        <v>84.91</v>
      </c>
      <c r="N67" s="64">
        <v>206.4</v>
      </c>
      <c r="O67" s="64">
        <v>0</v>
      </c>
      <c r="P67" s="64">
        <v>0.55000000000000004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14" t="s">
        <v>2609</v>
      </c>
      <c r="B68" s="64">
        <v>8.2899999999999991</v>
      </c>
      <c r="C68" s="64">
        <v>14.43</v>
      </c>
      <c r="D68" s="64">
        <v>14.19</v>
      </c>
      <c r="E68" s="64">
        <v>4.96</v>
      </c>
      <c r="F68" s="64">
        <v>13.91</v>
      </c>
      <c r="G68" s="64">
        <v>41.6</v>
      </c>
      <c r="H68" s="64">
        <v>3.71</v>
      </c>
      <c r="I68" s="64">
        <v>1.28</v>
      </c>
      <c r="J68" s="64">
        <v>0.53</v>
      </c>
      <c r="K68" s="64">
        <v>128.94</v>
      </c>
      <c r="L68" s="64">
        <v>28.92</v>
      </c>
      <c r="M68" s="64">
        <v>85.8</v>
      </c>
      <c r="N68" s="64">
        <v>173.6</v>
      </c>
      <c r="O68" s="64">
        <v>0</v>
      </c>
      <c r="P68" s="64">
        <v>0.41</v>
      </c>
      <c r="Q68" s="64">
        <v>9.14</v>
      </c>
      <c r="R68" s="198"/>
      <c r="S68" s="198"/>
      <c r="T68" s="198"/>
      <c r="U68" s="198"/>
    </row>
    <row r="69" spans="1:21" s="12" customFormat="1" x14ac:dyDescent="0.25">
      <c r="A69" s="214" t="s">
        <v>2610</v>
      </c>
      <c r="B69" s="64">
        <v>8.15</v>
      </c>
      <c r="C69" s="64">
        <v>13.91</v>
      </c>
      <c r="D69" s="64">
        <v>13.81</v>
      </c>
      <c r="E69" s="64">
        <v>5.03</v>
      </c>
      <c r="F69" s="64">
        <v>17.89</v>
      </c>
      <c r="G69" s="64">
        <v>28.14</v>
      </c>
      <c r="H69" s="64">
        <v>8.6199999999999992</v>
      </c>
      <c r="I69" s="64">
        <v>1.27</v>
      </c>
      <c r="J69" s="64">
        <v>0.1</v>
      </c>
      <c r="K69" s="64">
        <v>116.89</v>
      </c>
      <c r="L69" s="64">
        <v>28.9</v>
      </c>
      <c r="M69" s="64">
        <v>86.87</v>
      </c>
      <c r="N69" s="64">
        <v>170.9</v>
      </c>
      <c r="O69" s="64">
        <v>0</v>
      </c>
      <c r="P69" s="64">
        <v>0.37</v>
      </c>
      <c r="Q69" s="64">
        <v>9.1199999999999992</v>
      </c>
      <c r="R69" s="198"/>
      <c r="S69" s="198"/>
      <c r="T69" s="198"/>
      <c r="U69" s="198"/>
    </row>
    <row r="70" spans="1:21" s="12" customFormat="1" x14ac:dyDescent="0.25">
      <c r="A70" s="214" t="s">
        <v>2611</v>
      </c>
      <c r="B70" s="64">
        <v>9.16</v>
      </c>
      <c r="C70" s="64">
        <v>16.63</v>
      </c>
      <c r="D70" s="64">
        <v>16.03</v>
      </c>
      <c r="E70" s="64">
        <v>4.8600000000000003</v>
      </c>
      <c r="F70" s="64">
        <v>15.46</v>
      </c>
      <c r="G70" s="64">
        <v>27.17</v>
      </c>
      <c r="H70" s="64">
        <v>8.6199999999999992</v>
      </c>
      <c r="I70" s="64">
        <v>1.24</v>
      </c>
      <c r="J70" s="64">
        <v>0.11</v>
      </c>
      <c r="K70" s="64">
        <v>146.47999999999999</v>
      </c>
      <c r="L70" s="64">
        <v>28.63</v>
      </c>
      <c r="M70" s="64">
        <v>86.58</v>
      </c>
      <c r="N70" s="64">
        <v>129.80000000000001</v>
      </c>
      <c r="O70" s="64">
        <v>0</v>
      </c>
      <c r="P70" s="64">
        <v>0.42</v>
      </c>
      <c r="Q70" s="64">
        <v>9.1</v>
      </c>
      <c r="R70" s="198"/>
      <c r="S70" s="198"/>
      <c r="T70" s="198"/>
      <c r="U70" s="198"/>
    </row>
    <row r="71" spans="1:21" s="12" customFormat="1" x14ac:dyDescent="0.25">
      <c r="A71" s="214" t="s">
        <v>2612</v>
      </c>
      <c r="B71" s="64">
        <v>9.56</v>
      </c>
      <c r="C71" s="64">
        <v>16.46</v>
      </c>
      <c r="D71" s="64">
        <v>16.27</v>
      </c>
      <c r="E71" s="64">
        <v>4.84</v>
      </c>
      <c r="F71" s="64">
        <v>14.91</v>
      </c>
      <c r="G71" s="64">
        <v>27.17</v>
      </c>
      <c r="H71" s="64">
        <v>8.6199999999999992</v>
      </c>
      <c r="I71" s="64">
        <v>1.21</v>
      </c>
      <c r="J71" s="64">
        <v>0.14000000000000001</v>
      </c>
      <c r="K71" s="64">
        <v>328.48</v>
      </c>
      <c r="L71" s="64">
        <v>28.59</v>
      </c>
      <c r="M71" s="64">
        <v>83.74</v>
      </c>
      <c r="N71" s="64">
        <v>121.2</v>
      </c>
      <c r="O71" s="64">
        <v>0</v>
      </c>
      <c r="P71" s="64">
        <v>0.46</v>
      </c>
      <c r="Q71" s="64">
        <v>9.08</v>
      </c>
      <c r="R71" s="198"/>
      <c r="S71" s="198"/>
      <c r="T71" s="198"/>
      <c r="U71" s="198"/>
    </row>
    <row r="72" spans="1:21" s="12" customFormat="1" x14ac:dyDescent="0.25">
      <c r="A72" s="214" t="s">
        <v>2613</v>
      </c>
      <c r="B72" s="64">
        <v>8.06</v>
      </c>
      <c r="C72" s="64">
        <v>15.66</v>
      </c>
      <c r="D72" s="64">
        <v>14.73</v>
      </c>
      <c r="E72" s="64">
        <v>5.73</v>
      </c>
      <c r="F72" s="64">
        <v>17.489999999999998</v>
      </c>
      <c r="G72" s="64">
        <v>27.17</v>
      </c>
      <c r="H72" s="64">
        <v>8.6199999999999992</v>
      </c>
      <c r="I72" s="64">
        <v>1.1100000000000001</v>
      </c>
      <c r="J72" s="64">
        <v>0.32</v>
      </c>
      <c r="K72" s="64">
        <v>343.14</v>
      </c>
      <c r="L72" s="64">
        <v>28.71</v>
      </c>
      <c r="M72" s="64">
        <v>84.47</v>
      </c>
      <c r="N72" s="64">
        <v>114.9</v>
      </c>
      <c r="O72" s="64">
        <v>0</v>
      </c>
      <c r="P72" s="64">
        <v>0.5</v>
      </c>
      <c r="Q72" s="64">
        <v>9.08</v>
      </c>
      <c r="R72" s="198"/>
      <c r="S72" s="198"/>
      <c r="T72" s="198"/>
      <c r="U72" s="198"/>
    </row>
    <row r="73" spans="1:21" s="12" customFormat="1" x14ac:dyDescent="0.25">
      <c r="A73" s="214" t="s">
        <v>2614</v>
      </c>
      <c r="B73" s="64">
        <v>12.2</v>
      </c>
      <c r="C73" s="64">
        <v>18.89</v>
      </c>
      <c r="D73" s="64">
        <v>19.579999999999998</v>
      </c>
      <c r="E73" s="64">
        <v>5.74</v>
      </c>
      <c r="F73" s="64">
        <v>16.54</v>
      </c>
      <c r="G73" s="64">
        <v>36.020000000000003</v>
      </c>
      <c r="H73" s="64">
        <v>6.36</v>
      </c>
      <c r="I73" s="64">
        <v>1.1399999999999999</v>
      </c>
      <c r="J73" s="64">
        <v>0.05</v>
      </c>
      <c r="K73" s="64">
        <v>99.71</v>
      </c>
      <c r="L73" s="64">
        <v>28.63</v>
      </c>
      <c r="M73" s="64">
        <v>87.31</v>
      </c>
      <c r="N73" s="64">
        <v>132.5</v>
      </c>
      <c r="O73" s="64">
        <v>0</v>
      </c>
      <c r="P73" s="64">
        <v>0.55000000000000004</v>
      </c>
      <c r="Q73" s="64">
        <v>9.08</v>
      </c>
      <c r="R73" s="198"/>
      <c r="S73" s="198"/>
      <c r="T73" s="198"/>
      <c r="U73" s="198"/>
    </row>
    <row r="74" spans="1:21" s="12" customFormat="1" x14ac:dyDescent="0.25">
      <c r="A74" s="214" t="s">
        <v>2615</v>
      </c>
      <c r="B74" s="64">
        <v>12.36</v>
      </c>
      <c r="C74" s="64">
        <v>17.3</v>
      </c>
      <c r="D74" s="64">
        <v>18.95</v>
      </c>
      <c r="E74" s="64">
        <v>5.75</v>
      </c>
      <c r="F74" s="64">
        <v>12.01</v>
      </c>
      <c r="G74" s="64">
        <v>36.54</v>
      </c>
      <c r="H74" s="64">
        <v>6.36</v>
      </c>
      <c r="I74" s="64">
        <v>1.18</v>
      </c>
      <c r="J74" s="64">
        <v>0.3</v>
      </c>
      <c r="K74" s="64">
        <v>118.21</v>
      </c>
      <c r="L74" s="64">
        <v>28.27</v>
      </c>
      <c r="M74" s="64">
        <v>88.82</v>
      </c>
      <c r="N74" s="64">
        <v>108.6</v>
      </c>
      <c r="O74" s="64">
        <v>0</v>
      </c>
      <c r="P74" s="64">
        <v>0.45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4" t="s">
        <v>2616</v>
      </c>
      <c r="B75" s="64">
        <v>20.51</v>
      </c>
      <c r="C75" s="64">
        <v>21.79</v>
      </c>
      <c r="D75" s="64">
        <v>27.83</v>
      </c>
      <c r="E75" s="64">
        <v>5.84</v>
      </c>
      <c r="F75" s="64">
        <v>14.37</v>
      </c>
      <c r="G75" s="64">
        <v>36.54</v>
      </c>
      <c r="H75" s="64">
        <v>6.36</v>
      </c>
      <c r="I75" s="64">
        <v>1.19</v>
      </c>
      <c r="J75" s="64">
        <v>0.41</v>
      </c>
      <c r="K75" s="64">
        <v>328.23</v>
      </c>
      <c r="L75" s="64">
        <v>28.35</v>
      </c>
      <c r="M75" s="64">
        <v>90</v>
      </c>
      <c r="N75" s="64">
        <v>101.9</v>
      </c>
      <c r="O75" s="64">
        <v>0</v>
      </c>
      <c r="P75" s="64">
        <v>0.82</v>
      </c>
      <c r="Q75" s="64">
        <v>9.11</v>
      </c>
      <c r="R75" s="198"/>
      <c r="S75" s="198"/>
      <c r="T75" s="198"/>
      <c r="U75" s="198"/>
    </row>
    <row r="76" spans="1:21" s="12" customFormat="1" x14ac:dyDescent="0.25">
      <c r="A76" s="214" t="s">
        <v>2617</v>
      </c>
      <c r="B76" s="64">
        <v>17.23</v>
      </c>
      <c r="C76" s="64">
        <v>20.329999999999998</v>
      </c>
      <c r="D76" s="64">
        <v>24.44</v>
      </c>
      <c r="E76" s="64">
        <v>5.74</v>
      </c>
      <c r="F76" s="64">
        <v>13.83</v>
      </c>
      <c r="G76" s="64">
        <v>36.54</v>
      </c>
      <c r="H76" s="64">
        <v>6.36</v>
      </c>
      <c r="I76" s="64">
        <v>1.17</v>
      </c>
      <c r="J76" s="64">
        <v>0.68</v>
      </c>
      <c r="K76" s="64">
        <v>328.32</v>
      </c>
      <c r="L76" s="64">
        <v>28.42</v>
      </c>
      <c r="M76" s="64">
        <v>89.71</v>
      </c>
      <c r="N76" s="64">
        <v>80.900000000000006</v>
      </c>
      <c r="O76" s="64">
        <v>0</v>
      </c>
      <c r="P76" s="64">
        <v>0.64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4" t="s">
        <v>2618</v>
      </c>
      <c r="B77" s="64">
        <v>14.38</v>
      </c>
      <c r="C77" s="64">
        <v>27.56</v>
      </c>
      <c r="D77" s="64">
        <v>25.93</v>
      </c>
      <c r="E77" s="64">
        <v>5.65</v>
      </c>
      <c r="F77" s="64">
        <v>12.6</v>
      </c>
      <c r="G77" s="64">
        <v>33.39</v>
      </c>
      <c r="H77" s="64">
        <v>4.8099999999999996</v>
      </c>
      <c r="I77" s="64">
        <v>1.23</v>
      </c>
      <c r="J77" s="64">
        <v>0.05</v>
      </c>
      <c r="K77" s="64">
        <v>314.64</v>
      </c>
      <c r="L77" s="64">
        <v>28.16</v>
      </c>
      <c r="M77" s="64">
        <v>90.23</v>
      </c>
      <c r="N77" s="64">
        <v>73.8</v>
      </c>
      <c r="O77" s="64">
        <v>0</v>
      </c>
      <c r="P77" s="64">
        <v>0.71</v>
      </c>
      <c r="Q77" s="64">
        <v>9.1999999999999993</v>
      </c>
      <c r="R77" s="198"/>
      <c r="S77" s="198"/>
      <c r="T77" s="198"/>
      <c r="U77" s="198"/>
    </row>
    <row r="78" spans="1:21" s="12" customFormat="1" x14ac:dyDescent="0.25">
      <c r="A78" s="214" t="s">
        <v>2619</v>
      </c>
      <c r="B78" s="64">
        <v>22.22</v>
      </c>
      <c r="C78" s="64">
        <v>30.76</v>
      </c>
      <c r="D78" s="64">
        <v>33.89</v>
      </c>
      <c r="E78" s="64">
        <v>6.45</v>
      </c>
      <c r="F78" s="64">
        <v>9.17</v>
      </c>
      <c r="G78" s="64">
        <v>33.17</v>
      </c>
      <c r="H78" s="64">
        <v>4.8099999999999996</v>
      </c>
      <c r="I78" s="64">
        <v>1.54</v>
      </c>
      <c r="J78" s="64">
        <v>0.2</v>
      </c>
      <c r="K78" s="64">
        <v>318.13</v>
      </c>
      <c r="L78" s="64">
        <v>27.9</v>
      </c>
      <c r="M78" s="64">
        <v>93.66</v>
      </c>
      <c r="N78" s="64">
        <v>60.7</v>
      </c>
      <c r="O78" s="64">
        <v>0</v>
      </c>
      <c r="P78" s="64">
        <v>1.24</v>
      </c>
      <c r="Q78" s="64">
        <v>9.23</v>
      </c>
      <c r="R78" s="198"/>
      <c r="S78" s="198"/>
      <c r="T78" s="198"/>
      <c r="U78" s="198"/>
    </row>
    <row r="79" spans="1:21" s="12" customFormat="1" x14ac:dyDescent="0.25">
      <c r="A79" s="214" t="s">
        <v>2620</v>
      </c>
      <c r="B79" s="64">
        <v>28.74</v>
      </c>
      <c r="C79" s="64">
        <v>30.85</v>
      </c>
      <c r="D79" s="64">
        <v>39.17</v>
      </c>
      <c r="E79" s="64">
        <v>6.03</v>
      </c>
      <c r="F79" s="64">
        <v>9.7200000000000006</v>
      </c>
      <c r="G79" s="64">
        <v>33.17</v>
      </c>
      <c r="H79" s="64">
        <v>4.8099999999999996</v>
      </c>
      <c r="I79" s="64">
        <v>1.61</v>
      </c>
      <c r="J79" s="64">
        <v>0.24</v>
      </c>
      <c r="K79" s="64">
        <v>320.44</v>
      </c>
      <c r="L79" s="64">
        <v>27.73</v>
      </c>
      <c r="M79" s="64">
        <v>93.63</v>
      </c>
      <c r="N79" s="64">
        <v>48.1</v>
      </c>
      <c r="O79" s="64">
        <v>0</v>
      </c>
      <c r="P79" s="64">
        <v>1.44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4" t="s">
        <v>2621</v>
      </c>
      <c r="B80" s="64">
        <v>20.010000000000002</v>
      </c>
      <c r="C80" s="64">
        <v>33.01</v>
      </c>
      <c r="D80" s="64">
        <v>33.29</v>
      </c>
      <c r="E80" s="64">
        <v>6.1</v>
      </c>
      <c r="F80" s="64">
        <v>8.84</v>
      </c>
      <c r="G80" s="64">
        <v>33.17</v>
      </c>
      <c r="H80" s="64">
        <v>4.8099999999999996</v>
      </c>
      <c r="I80" s="64">
        <v>2.0699999999999998</v>
      </c>
      <c r="J80" s="64">
        <v>0.09</v>
      </c>
      <c r="K80" s="64">
        <v>131.34</v>
      </c>
      <c r="L80" s="64">
        <v>27.35</v>
      </c>
      <c r="M80" s="64">
        <v>96.07</v>
      </c>
      <c r="N80" s="64">
        <v>44.6</v>
      </c>
      <c r="O80" s="64">
        <v>0</v>
      </c>
      <c r="P80" s="64">
        <v>1.44</v>
      </c>
      <c r="Q80" s="64">
        <v>9.51</v>
      </c>
      <c r="R80" s="198"/>
      <c r="S80" s="198"/>
      <c r="T80" s="198"/>
      <c r="U80" s="198"/>
    </row>
    <row r="81" spans="1:26" s="12" customFormat="1" x14ac:dyDescent="0.25">
      <c r="A81" s="214" t="s">
        <v>2622</v>
      </c>
      <c r="B81" s="64">
        <v>8.09</v>
      </c>
      <c r="C81" s="64">
        <v>27.08</v>
      </c>
      <c r="D81" s="64">
        <v>20.64</v>
      </c>
      <c r="E81" s="64">
        <v>5.72</v>
      </c>
      <c r="F81" s="64">
        <v>11.47</v>
      </c>
      <c r="G81" s="64">
        <v>61.64</v>
      </c>
      <c r="H81" s="64">
        <v>3.7</v>
      </c>
      <c r="I81" s="64">
        <v>2.75</v>
      </c>
      <c r="J81" s="64">
        <v>0.14000000000000001</v>
      </c>
      <c r="K81" s="64">
        <v>165.29</v>
      </c>
      <c r="L81" s="64">
        <v>27.04</v>
      </c>
      <c r="M81" s="64">
        <v>96.63</v>
      </c>
      <c r="N81" s="64">
        <v>44</v>
      </c>
      <c r="O81" s="64">
        <v>0</v>
      </c>
      <c r="P81" s="64">
        <v>0.77</v>
      </c>
      <c r="Q81" s="64">
        <v>9.5399999999999991</v>
      </c>
      <c r="R81" s="198"/>
      <c r="S81" s="198"/>
      <c r="T81" s="198"/>
      <c r="U81" s="198"/>
    </row>
    <row r="82" spans="1:26" s="12" customFormat="1" x14ac:dyDescent="0.25">
      <c r="A82" s="214" t="s">
        <v>2623</v>
      </c>
      <c r="B82" s="64">
        <v>7.65</v>
      </c>
      <c r="C82" s="64">
        <v>25.72</v>
      </c>
      <c r="D82" s="64">
        <v>19.57</v>
      </c>
      <c r="E82" s="64">
        <v>5.44</v>
      </c>
      <c r="F82" s="64">
        <v>9.51</v>
      </c>
      <c r="G82" s="64">
        <v>63.68</v>
      </c>
      <c r="H82" s="64">
        <v>3.7</v>
      </c>
      <c r="I82" s="64">
        <v>2.99</v>
      </c>
      <c r="J82" s="64">
        <v>0.13</v>
      </c>
      <c r="K82" s="64">
        <v>136.29</v>
      </c>
      <c r="L82" s="64">
        <v>26.86</v>
      </c>
      <c r="M82" s="64">
        <v>97.18</v>
      </c>
      <c r="N82" s="64">
        <v>43.8</v>
      </c>
      <c r="O82" s="64">
        <v>0</v>
      </c>
      <c r="P82" s="64">
        <v>0.75</v>
      </c>
      <c r="Q82" s="64">
        <v>9.52</v>
      </c>
      <c r="R82" s="198"/>
      <c r="S82" s="198"/>
      <c r="T82" s="198"/>
      <c r="U82" s="198"/>
    </row>
    <row r="83" spans="1:26" s="12" customFormat="1" x14ac:dyDescent="0.25">
      <c r="A83" s="214" t="s">
        <v>2624</v>
      </c>
      <c r="B83" s="64">
        <v>20.81</v>
      </c>
      <c r="C83" s="64">
        <v>25.21</v>
      </c>
      <c r="D83" s="64">
        <v>29.86</v>
      </c>
      <c r="E83" s="64">
        <v>5.88</v>
      </c>
      <c r="F83" s="64">
        <v>9.68</v>
      </c>
      <c r="G83" s="64">
        <v>63.68</v>
      </c>
      <c r="H83" s="64">
        <v>3.7</v>
      </c>
      <c r="I83" s="64">
        <v>2.99</v>
      </c>
      <c r="J83" s="64">
        <v>0.16</v>
      </c>
      <c r="K83" s="64">
        <v>346.19</v>
      </c>
      <c r="L83" s="64">
        <v>26.67</v>
      </c>
      <c r="M83" s="64">
        <v>98.35</v>
      </c>
      <c r="N83" s="64">
        <v>43.8</v>
      </c>
      <c r="O83" s="64">
        <v>0</v>
      </c>
      <c r="P83" s="64">
        <v>1.31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4" t="s">
        <v>2625</v>
      </c>
      <c r="B84" s="64">
        <v>20.13</v>
      </c>
      <c r="C84" s="64">
        <v>31.81</v>
      </c>
      <c r="D84" s="64">
        <v>32.76</v>
      </c>
      <c r="E84" s="64">
        <v>5.94</v>
      </c>
      <c r="F84" s="64">
        <v>12.93</v>
      </c>
      <c r="G84" s="64">
        <v>63.68</v>
      </c>
      <c r="H84" s="64">
        <v>3.7</v>
      </c>
      <c r="I84" s="64">
        <v>2.96</v>
      </c>
      <c r="J84" s="64">
        <v>0.01</v>
      </c>
      <c r="K84" s="64">
        <v>337.3</v>
      </c>
      <c r="L84" s="64">
        <v>26.4</v>
      </c>
      <c r="M84" s="64">
        <v>98.44</v>
      </c>
      <c r="N84" s="64">
        <v>43.8</v>
      </c>
      <c r="O84" s="64">
        <v>0</v>
      </c>
      <c r="P84" s="64">
        <v>1.71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4" t="s">
        <v>2626</v>
      </c>
      <c r="B85" s="64">
        <v>41.97</v>
      </c>
      <c r="C85" s="64">
        <v>27.02</v>
      </c>
      <c r="D85" s="64">
        <v>47.78</v>
      </c>
      <c r="E85" s="64">
        <v>6.27</v>
      </c>
      <c r="F85" s="64">
        <v>7.94</v>
      </c>
      <c r="G85" s="64">
        <v>54.79</v>
      </c>
      <c r="H85" s="64">
        <v>4.6399999999999997</v>
      </c>
      <c r="I85" s="64">
        <v>2.97</v>
      </c>
      <c r="J85" s="64">
        <v>0.04</v>
      </c>
      <c r="K85" s="64">
        <v>349.65</v>
      </c>
      <c r="L85" s="64">
        <v>26.28</v>
      </c>
      <c r="M85" s="64">
        <v>98.43</v>
      </c>
      <c r="N85" s="64">
        <v>43.7</v>
      </c>
      <c r="O85" s="64">
        <v>0</v>
      </c>
      <c r="P85" s="64">
        <v>1.93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4" t="s">
        <v>2627</v>
      </c>
      <c r="B86" s="64">
        <v>41.04</v>
      </c>
      <c r="C86" s="64">
        <v>25.64</v>
      </c>
      <c r="D86" s="64">
        <v>46.31</v>
      </c>
      <c r="E86" s="64">
        <v>6.37</v>
      </c>
      <c r="F86" s="64">
        <v>6.17</v>
      </c>
      <c r="G86" s="64">
        <v>54.16</v>
      </c>
      <c r="H86" s="64">
        <v>4.6399999999999997</v>
      </c>
      <c r="I86" s="64">
        <v>3.03</v>
      </c>
      <c r="J86" s="64">
        <v>0.12</v>
      </c>
      <c r="K86" s="64">
        <v>328.73</v>
      </c>
      <c r="L86" s="64">
        <v>26.12</v>
      </c>
      <c r="M86" s="64">
        <v>98.42</v>
      </c>
      <c r="N86" s="64">
        <v>43.7</v>
      </c>
      <c r="O86" s="64">
        <v>0</v>
      </c>
      <c r="P86" s="64">
        <v>2.37</v>
      </c>
      <c r="Q86" s="64">
        <v>9.49</v>
      </c>
      <c r="R86" s="198"/>
      <c r="S86" s="198"/>
      <c r="T86" s="198"/>
      <c r="U86" s="198"/>
    </row>
    <row r="87" spans="1:26" s="12" customFormat="1" x14ac:dyDescent="0.25">
      <c r="A87" s="214" t="s">
        <v>2628</v>
      </c>
      <c r="B87" s="64">
        <v>18.93</v>
      </c>
      <c r="C87" s="64">
        <v>32.409999999999997</v>
      </c>
      <c r="D87" s="64">
        <v>32.11</v>
      </c>
      <c r="E87" s="64">
        <v>6.15</v>
      </c>
      <c r="F87" s="64">
        <v>22.65</v>
      </c>
      <c r="G87" s="64">
        <v>54.16</v>
      </c>
      <c r="H87" s="64">
        <v>4.6399999999999997</v>
      </c>
      <c r="I87" s="64">
        <v>3.08</v>
      </c>
      <c r="J87" s="64">
        <v>0.09</v>
      </c>
      <c r="K87" s="64">
        <v>325.68</v>
      </c>
      <c r="L87" s="64">
        <v>26.02</v>
      </c>
      <c r="M87" s="64">
        <v>98.3</v>
      </c>
      <c r="N87" s="64">
        <v>43.6</v>
      </c>
      <c r="O87" s="64">
        <v>0</v>
      </c>
      <c r="P87" s="64">
        <v>1.97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14" t="s">
        <v>2629</v>
      </c>
      <c r="B88" s="64">
        <v>29.19</v>
      </c>
      <c r="C88" s="64">
        <v>25.71</v>
      </c>
      <c r="D88" s="64">
        <v>36.840000000000003</v>
      </c>
      <c r="E88" s="64">
        <v>5.91</v>
      </c>
      <c r="F88" s="64">
        <v>9.15</v>
      </c>
      <c r="G88" s="64">
        <v>54.16</v>
      </c>
      <c r="H88" s="64">
        <v>4.6399999999999997</v>
      </c>
      <c r="I88" s="64">
        <v>3.16</v>
      </c>
      <c r="J88" s="64">
        <v>0.66</v>
      </c>
      <c r="K88" s="64">
        <v>337.87</v>
      </c>
      <c r="L88" s="64">
        <v>26.21</v>
      </c>
      <c r="M88" s="64">
        <v>98.26</v>
      </c>
      <c r="N88" s="64">
        <v>43.2</v>
      </c>
      <c r="O88" s="64">
        <v>0</v>
      </c>
      <c r="P88" s="64">
        <v>1.67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4" t="s">
        <v>2630</v>
      </c>
      <c r="B89" s="64">
        <v>34.04</v>
      </c>
      <c r="C89" s="64">
        <v>24.86</v>
      </c>
      <c r="D89" s="64">
        <v>40.29</v>
      </c>
      <c r="E89" s="64">
        <v>6.07</v>
      </c>
      <c r="F89" s="64">
        <v>8.7799999999999994</v>
      </c>
      <c r="G89" s="64">
        <v>67.239999999999995</v>
      </c>
      <c r="H89" s="64">
        <v>3.88</v>
      </c>
      <c r="I89" s="64">
        <v>3.26</v>
      </c>
      <c r="J89" s="64">
        <v>0.45</v>
      </c>
      <c r="K89" s="64">
        <v>334.91</v>
      </c>
      <c r="L89" s="64">
        <v>26.32</v>
      </c>
      <c r="M89" s="64">
        <v>98.25</v>
      </c>
      <c r="N89" s="64">
        <v>43.7</v>
      </c>
      <c r="O89" s="64">
        <v>0</v>
      </c>
      <c r="P89" s="64">
        <v>1.87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4" t="s">
        <v>2631</v>
      </c>
      <c r="B90" s="64">
        <v>45.15</v>
      </c>
      <c r="C90" s="64">
        <v>30.74</v>
      </c>
      <c r="D90" s="64">
        <v>52.26</v>
      </c>
      <c r="E90" s="64">
        <v>5.76</v>
      </c>
      <c r="F90" s="64">
        <v>6.55</v>
      </c>
      <c r="G90" s="64">
        <v>68.17</v>
      </c>
      <c r="H90" s="64">
        <v>3.88</v>
      </c>
      <c r="I90" s="64">
        <v>3.34</v>
      </c>
      <c r="J90" s="64">
        <v>0.36</v>
      </c>
      <c r="K90" s="64">
        <v>334.04</v>
      </c>
      <c r="L90" s="64">
        <v>26.36</v>
      </c>
      <c r="M90" s="64">
        <v>98.27</v>
      </c>
      <c r="N90" s="64">
        <v>43.8</v>
      </c>
      <c r="O90" s="64">
        <v>0</v>
      </c>
      <c r="P90" s="64">
        <v>2.23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4" t="s">
        <v>2632</v>
      </c>
      <c r="B91" s="64">
        <v>48.74</v>
      </c>
      <c r="C91" s="64">
        <v>30.97</v>
      </c>
      <c r="D91" s="64">
        <v>55.18</v>
      </c>
      <c r="E91" s="64">
        <v>6.01</v>
      </c>
      <c r="F91" s="64">
        <v>4.0199999999999996</v>
      </c>
      <c r="G91" s="64">
        <v>68.17</v>
      </c>
      <c r="H91" s="64">
        <v>3.88</v>
      </c>
      <c r="I91" s="64">
        <v>3.38</v>
      </c>
      <c r="J91" s="64">
        <v>0.11</v>
      </c>
      <c r="K91" s="64">
        <v>334.78</v>
      </c>
      <c r="L91" s="64">
        <v>26.23</v>
      </c>
      <c r="M91" s="64">
        <v>98.28</v>
      </c>
      <c r="N91" s="64">
        <v>43.9</v>
      </c>
      <c r="O91" s="64">
        <v>0</v>
      </c>
      <c r="P91" s="64">
        <v>2.21</v>
      </c>
      <c r="Q91" s="64">
        <v>9.51</v>
      </c>
      <c r="R91" s="198"/>
      <c r="S91" s="198"/>
      <c r="T91" s="198"/>
      <c r="U91" s="198"/>
    </row>
    <row r="92" spans="1:26" s="12" customFormat="1" x14ac:dyDescent="0.25">
      <c r="A92" s="214" t="s">
        <v>2633</v>
      </c>
      <c r="B92" s="64">
        <v>30.31</v>
      </c>
      <c r="C92" s="64">
        <v>22.13</v>
      </c>
      <c r="D92" s="64">
        <v>35.869999999999997</v>
      </c>
      <c r="E92" s="64">
        <v>5.94</v>
      </c>
      <c r="F92" s="64">
        <v>5.29</v>
      </c>
      <c r="G92" s="64">
        <v>68.17</v>
      </c>
      <c r="H92" s="64">
        <v>3.88</v>
      </c>
      <c r="I92" s="64">
        <v>3.46</v>
      </c>
      <c r="J92" s="64">
        <v>0.18</v>
      </c>
      <c r="K92" s="64">
        <v>351.77</v>
      </c>
      <c r="L92" s="64">
        <v>25.95</v>
      </c>
      <c r="M92" s="64">
        <v>98.31</v>
      </c>
      <c r="N92" s="64">
        <v>43.8</v>
      </c>
      <c r="O92" s="64">
        <v>0</v>
      </c>
      <c r="P92" s="64">
        <v>1.97</v>
      </c>
      <c r="Q92" s="64">
        <v>9.5299999999999994</v>
      </c>
      <c r="R92" s="198"/>
      <c r="S92" s="198"/>
      <c r="T92" s="198"/>
      <c r="U92" s="198"/>
    </row>
    <row r="93" spans="1:26" s="12" customFormat="1" x14ac:dyDescent="0.25">
      <c r="A93" s="214" t="s">
        <v>2634</v>
      </c>
      <c r="B93" s="64">
        <v>43.55</v>
      </c>
      <c r="C93" s="64">
        <v>30.57</v>
      </c>
      <c r="D93" s="64">
        <v>50.9</v>
      </c>
      <c r="E93" s="64">
        <v>6</v>
      </c>
      <c r="F93" s="64">
        <v>2.95</v>
      </c>
      <c r="G93" s="64">
        <v>81.69</v>
      </c>
      <c r="H93" s="64">
        <v>4.3899999999999997</v>
      </c>
      <c r="I93" s="64">
        <v>3.55</v>
      </c>
      <c r="J93" s="64">
        <v>0.06</v>
      </c>
      <c r="K93" s="64">
        <v>75.69</v>
      </c>
      <c r="L93" s="64">
        <v>25.7</v>
      </c>
      <c r="M93" s="64">
        <v>98.33</v>
      </c>
      <c r="N93" s="64">
        <v>43.8</v>
      </c>
      <c r="O93" s="64">
        <v>0</v>
      </c>
      <c r="P93" s="64">
        <v>2.73</v>
      </c>
      <c r="Q93" s="64">
        <v>9.5500000000000007</v>
      </c>
      <c r="R93" s="198"/>
      <c r="S93" s="198"/>
      <c r="T93" s="198"/>
      <c r="U93" s="198"/>
    </row>
    <row r="94" spans="1:26" s="12" customFormat="1" x14ac:dyDescent="0.25">
      <c r="A94" s="214" t="s">
        <v>2635</v>
      </c>
      <c r="B94" s="64">
        <v>38.409999999999997</v>
      </c>
      <c r="C94" s="64">
        <v>24.8</v>
      </c>
      <c r="D94" s="64">
        <v>43.76</v>
      </c>
      <c r="E94" s="64">
        <v>6.28</v>
      </c>
      <c r="F94" s="64">
        <v>5.18</v>
      </c>
      <c r="G94" s="64">
        <v>82.65</v>
      </c>
      <c r="H94" s="64">
        <v>4.3899999999999997</v>
      </c>
      <c r="I94" s="64">
        <v>3.6</v>
      </c>
      <c r="J94" s="64">
        <v>0.52</v>
      </c>
      <c r="K94" s="64">
        <v>339.68</v>
      </c>
      <c r="L94" s="64">
        <v>25.6</v>
      </c>
      <c r="M94" s="64">
        <v>98.36</v>
      </c>
      <c r="N94" s="64">
        <v>43.4</v>
      </c>
      <c r="O94" s="64">
        <v>0</v>
      </c>
      <c r="P94" s="64">
        <v>2.56</v>
      </c>
      <c r="Q94" s="64">
        <v>9.57</v>
      </c>
      <c r="R94" s="198"/>
      <c r="S94" s="198"/>
      <c r="T94" s="198"/>
      <c r="U94" s="198"/>
    </row>
    <row r="95" spans="1:26" s="12" customFormat="1" x14ac:dyDescent="0.25">
      <c r="A95" s="214" t="s">
        <v>2636</v>
      </c>
      <c r="B95" s="64">
        <v>22.05</v>
      </c>
      <c r="C95" s="64">
        <v>18.38</v>
      </c>
      <c r="D95" s="64">
        <v>27.28</v>
      </c>
      <c r="E95" s="64">
        <v>6.09</v>
      </c>
      <c r="F95" s="64">
        <v>8.23</v>
      </c>
      <c r="G95" s="64">
        <v>82.65</v>
      </c>
      <c r="H95" s="64">
        <v>4.3899999999999997</v>
      </c>
      <c r="I95" s="64">
        <v>3.72</v>
      </c>
      <c r="J95" s="64">
        <v>1.07</v>
      </c>
      <c r="K95" s="64">
        <v>336.33</v>
      </c>
      <c r="L95" s="64">
        <v>25.74</v>
      </c>
      <c r="M95" s="64">
        <v>98.33</v>
      </c>
      <c r="N95" s="64">
        <v>43.4</v>
      </c>
      <c r="O95" s="64">
        <v>0</v>
      </c>
      <c r="P95" s="64">
        <v>1.3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4" t="s">
        <v>2637</v>
      </c>
      <c r="B96" s="64">
        <v>21.41</v>
      </c>
      <c r="C96" s="64">
        <v>15.98</v>
      </c>
      <c r="D96" s="64">
        <v>25.52</v>
      </c>
      <c r="E96" s="64">
        <v>5.79</v>
      </c>
      <c r="F96" s="64">
        <v>11.61</v>
      </c>
      <c r="G96" s="64">
        <v>82.65</v>
      </c>
      <c r="H96" s="64">
        <v>4.3899999999999997</v>
      </c>
      <c r="I96" s="64">
        <v>3.84</v>
      </c>
      <c r="J96" s="64">
        <v>1.24</v>
      </c>
      <c r="K96" s="64">
        <v>337.85</v>
      </c>
      <c r="L96" s="64">
        <v>25.66</v>
      </c>
      <c r="M96" s="64">
        <v>98.3</v>
      </c>
      <c r="N96" s="64">
        <v>43.9</v>
      </c>
      <c r="O96" s="64">
        <v>0</v>
      </c>
      <c r="P96" s="64">
        <v>1.1299999999999999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2638</v>
      </c>
      <c r="B97" s="64">
        <v>30.89</v>
      </c>
      <c r="C97" s="64">
        <v>19.13</v>
      </c>
      <c r="D97" s="64">
        <v>34.6</v>
      </c>
      <c r="E97" s="64">
        <v>5.94</v>
      </c>
      <c r="F97" s="64">
        <v>10.26</v>
      </c>
      <c r="G97" s="64">
        <v>90.87</v>
      </c>
      <c r="H97" s="64">
        <v>3.07</v>
      </c>
      <c r="I97" s="64">
        <v>3.85</v>
      </c>
      <c r="J97" s="64">
        <v>0.76</v>
      </c>
      <c r="K97" s="64">
        <v>336.45</v>
      </c>
      <c r="L97" s="64">
        <v>25.44</v>
      </c>
      <c r="M97" s="64">
        <v>98.3</v>
      </c>
      <c r="N97" s="64">
        <v>43.8</v>
      </c>
      <c r="O97" s="64">
        <v>0</v>
      </c>
      <c r="P97" s="64">
        <v>1.22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4" t="s">
        <v>2639</v>
      </c>
      <c r="B98" s="64">
        <v>25.06</v>
      </c>
      <c r="C98" s="64">
        <v>21.06</v>
      </c>
      <c r="D98" s="64">
        <v>31.1</v>
      </c>
      <c r="E98" s="64">
        <v>5.85</v>
      </c>
      <c r="F98" s="64">
        <v>7.07</v>
      </c>
      <c r="G98" s="64">
        <v>91.45</v>
      </c>
      <c r="H98" s="64">
        <v>3.07</v>
      </c>
      <c r="I98" s="64">
        <v>3.79</v>
      </c>
      <c r="J98" s="64">
        <v>0.52</v>
      </c>
      <c r="K98" s="64">
        <v>335.17</v>
      </c>
      <c r="L98" s="64">
        <v>25.26</v>
      </c>
      <c r="M98" s="64">
        <v>98.31</v>
      </c>
      <c r="N98" s="64">
        <v>43.8</v>
      </c>
      <c r="O98" s="64">
        <v>0</v>
      </c>
      <c r="P98" s="64">
        <v>1.1599999999999999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4" t="s">
        <v>2640</v>
      </c>
      <c r="B99" s="64">
        <v>22.46</v>
      </c>
      <c r="C99" s="64">
        <v>20.309999999999999</v>
      </c>
      <c r="D99" s="64">
        <v>28.63</v>
      </c>
      <c r="E99" s="64">
        <v>5.56</v>
      </c>
      <c r="F99" s="64">
        <v>9.81</v>
      </c>
      <c r="G99" s="64">
        <v>91.45</v>
      </c>
      <c r="H99" s="64">
        <v>3.07</v>
      </c>
      <c r="I99" s="64">
        <v>3.74</v>
      </c>
      <c r="J99" s="64">
        <v>0.75</v>
      </c>
      <c r="K99" s="64">
        <v>336.8</v>
      </c>
      <c r="L99" s="64">
        <v>25.07</v>
      </c>
      <c r="M99" s="64">
        <v>98.3</v>
      </c>
      <c r="N99" s="64">
        <v>43.7</v>
      </c>
      <c r="O99" s="64">
        <v>0</v>
      </c>
      <c r="P99" s="64">
        <v>1.08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4" t="s">
        <v>2641</v>
      </c>
      <c r="B100" s="64">
        <v>22.53</v>
      </c>
      <c r="C100" s="64">
        <v>22.97</v>
      </c>
      <c r="D100" s="64">
        <v>30.07</v>
      </c>
      <c r="E100" s="64">
        <v>5.71</v>
      </c>
      <c r="F100" s="64">
        <v>7.94</v>
      </c>
      <c r="G100" s="64">
        <v>91.45</v>
      </c>
      <c r="H100" s="64">
        <v>3.07</v>
      </c>
      <c r="I100" s="64">
        <v>3.71</v>
      </c>
      <c r="J100" s="64">
        <v>0.46</v>
      </c>
      <c r="K100" s="64">
        <v>330.69</v>
      </c>
      <c r="L100" s="64">
        <v>25.05</v>
      </c>
      <c r="M100" s="64">
        <v>98.28</v>
      </c>
      <c r="N100" s="64">
        <v>43.8</v>
      </c>
      <c r="O100" s="64">
        <v>0</v>
      </c>
      <c r="P100" s="64">
        <v>1.1499999999999999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2642</v>
      </c>
      <c r="B101" s="64">
        <v>26.44</v>
      </c>
      <c r="C101" s="64">
        <v>20.07</v>
      </c>
      <c r="D101" s="64">
        <v>31.69</v>
      </c>
      <c r="E101" s="64">
        <v>5.76</v>
      </c>
      <c r="F101" s="64">
        <v>8.86</v>
      </c>
      <c r="G101" s="64">
        <v>108.2</v>
      </c>
      <c r="H101" s="64">
        <v>4.3600000000000003</v>
      </c>
      <c r="I101" s="64">
        <v>3.69</v>
      </c>
      <c r="J101" s="64">
        <v>0.09</v>
      </c>
      <c r="K101" s="64">
        <v>299.31</v>
      </c>
      <c r="L101" s="64">
        <v>24.92</v>
      </c>
      <c r="M101" s="64">
        <v>98.27</v>
      </c>
      <c r="N101" s="64">
        <v>43.8</v>
      </c>
      <c r="O101" s="64">
        <v>0</v>
      </c>
      <c r="P101" s="64">
        <v>1.1499999999999999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4" t="s">
        <v>2643</v>
      </c>
      <c r="B102" s="64">
        <v>23.76</v>
      </c>
      <c r="C102" s="64">
        <v>19.649999999999999</v>
      </c>
      <c r="D102" s="64">
        <v>29.32</v>
      </c>
      <c r="E102" s="64">
        <v>5.96</v>
      </c>
      <c r="F102" s="64">
        <v>8.68</v>
      </c>
      <c r="G102" s="64">
        <v>109.4</v>
      </c>
      <c r="H102" s="64">
        <v>4.3600000000000003</v>
      </c>
      <c r="I102" s="64">
        <v>3.68</v>
      </c>
      <c r="J102" s="64">
        <v>0.38</v>
      </c>
      <c r="K102" s="64">
        <v>328.96</v>
      </c>
      <c r="L102" s="64">
        <v>24.73</v>
      </c>
      <c r="M102" s="64">
        <v>98.29</v>
      </c>
      <c r="N102" s="64">
        <v>43.7</v>
      </c>
      <c r="O102" s="64">
        <v>0</v>
      </c>
      <c r="P102" s="64">
        <v>1.1200000000000001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4" t="s">
        <v>2644</v>
      </c>
      <c r="B103" s="64">
        <v>20.3</v>
      </c>
      <c r="C103" s="64">
        <v>10.94</v>
      </c>
      <c r="D103" s="64">
        <v>21.99</v>
      </c>
      <c r="E103" s="64">
        <v>5.91</v>
      </c>
      <c r="F103" s="64">
        <v>8.57</v>
      </c>
      <c r="G103" s="64">
        <v>109.4</v>
      </c>
      <c r="H103" s="64">
        <v>4.3600000000000003</v>
      </c>
      <c r="I103" s="64">
        <v>3.66</v>
      </c>
      <c r="J103" s="64">
        <v>0.28999999999999998</v>
      </c>
      <c r="K103" s="64">
        <v>330.4</v>
      </c>
      <c r="L103" s="64">
        <v>24.65</v>
      </c>
      <c r="M103" s="64">
        <v>98.3</v>
      </c>
      <c r="N103" s="64">
        <v>43.8</v>
      </c>
      <c r="O103" s="64">
        <v>0</v>
      </c>
      <c r="P103" s="64">
        <v>1.06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4" t="s">
        <v>2645</v>
      </c>
      <c r="B104" s="64">
        <v>19.350000000000001</v>
      </c>
      <c r="C104" s="64">
        <v>10.09</v>
      </c>
      <c r="D104" s="64">
        <v>20.79</v>
      </c>
      <c r="E104" s="64">
        <v>4.59</v>
      </c>
      <c r="F104" s="64">
        <v>9.18</v>
      </c>
      <c r="G104" s="64">
        <v>109.4</v>
      </c>
      <c r="H104" s="64">
        <v>4.3600000000000003</v>
      </c>
      <c r="I104" s="64">
        <v>3.61</v>
      </c>
      <c r="J104" s="64">
        <v>0.65</v>
      </c>
      <c r="K104" s="64">
        <v>336.66</v>
      </c>
      <c r="L104" s="64">
        <v>24.54</v>
      </c>
      <c r="M104" s="64">
        <v>98.33</v>
      </c>
      <c r="N104" s="64">
        <v>43.8</v>
      </c>
      <c r="O104" s="64">
        <v>0</v>
      </c>
      <c r="P104" s="64">
        <v>1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6.87</v>
      </c>
      <c r="C106" s="67">
        <f>MIN(C9:C104)</f>
        <v>7.32</v>
      </c>
      <c r="D106" s="67">
        <f t="shared" ref="D106:Q106" si="0">MIN(D9:D104)</f>
        <v>13.4</v>
      </c>
      <c r="E106" s="67">
        <f t="shared" si="0"/>
        <v>4.01</v>
      </c>
      <c r="F106" s="67">
        <f t="shared" si="0"/>
        <v>2.95</v>
      </c>
      <c r="G106" s="67">
        <f t="shared" si="0"/>
        <v>14.69</v>
      </c>
      <c r="H106" s="67">
        <f t="shared" si="0"/>
        <v>1.93</v>
      </c>
      <c r="I106" s="67">
        <f t="shared" si="0"/>
        <v>1.1100000000000001</v>
      </c>
      <c r="J106" s="67">
        <f t="shared" si="0"/>
        <v>0.01</v>
      </c>
      <c r="K106" s="67">
        <f t="shared" si="0"/>
        <v>2.46</v>
      </c>
      <c r="L106" s="67">
        <f t="shared" si="0"/>
        <v>21.66</v>
      </c>
      <c r="M106" s="67">
        <f t="shared" si="0"/>
        <v>76.95</v>
      </c>
      <c r="N106" s="67">
        <f t="shared" si="0"/>
        <v>43.2</v>
      </c>
      <c r="O106" s="67">
        <f t="shared" si="0"/>
        <v>0</v>
      </c>
      <c r="P106" s="67">
        <f t="shared" si="0"/>
        <v>0.34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48.74</v>
      </c>
      <c r="C107" s="66">
        <f t="shared" ref="C107:Q107" si="1">MAX(C9:C104)</f>
        <v>33.01</v>
      </c>
      <c r="D107" s="66">
        <f t="shared" si="1"/>
        <v>55.18</v>
      </c>
      <c r="E107" s="66">
        <f t="shared" si="1"/>
        <v>6.45</v>
      </c>
      <c r="F107" s="66">
        <f t="shared" si="1"/>
        <v>22.65</v>
      </c>
      <c r="G107" s="66">
        <f t="shared" si="1"/>
        <v>109.4</v>
      </c>
      <c r="H107" s="66">
        <f t="shared" si="1"/>
        <v>8.6199999999999992</v>
      </c>
      <c r="I107" s="66">
        <f t="shared" si="1"/>
        <v>3.85</v>
      </c>
      <c r="J107" s="66">
        <f t="shared" si="1"/>
        <v>1.37</v>
      </c>
      <c r="K107" s="66">
        <f t="shared" si="1"/>
        <v>359.98</v>
      </c>
      <c r="L107" s="66">
        <f t="shared" si="1"/>
        <v>30.96</v>
      </c>
      <c r="M107" s="66">
        <f t="shared" si="1"/>
        <v>98.57</v>
      </c>
      <c r="N107" s="66">
        <f t="shared" si="1"/>
        <v>951</v>
      </c>
      <c r="O107" s="66">
        <f t="shared" si="1"/>
        <v>0.2</v>
      </c>
      <c r="P107" s="66">
        <f t="shared" si="1"/>
        <v>2.73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18.405416666666667</v>
      </c>
      <c r="C108" s="67">
        <f t="shared" ref="C108:Q108" si="2">AVERAGE(C9:C104)</f>
        <v>17.045000000000002</v>
      </c>
      <c r="D108" s="67">
        <f t="shared" si="2"/>
        <v>23.657812500000002</v>
      </c>
      <c r="E108" s="67">
        <f t="shared" si="2"/>
        <v>4.978541666666664</v>
      </c>
      <c r="F108" s="67">
        <f t="shared" si="2"/>
        <v>11.035937499999996</v>
      </c>
      <c r="G108" s="67">
        <f t="shared" si="2"/>
        <v>41.265833333333326</v>
      </c>
      <c r="H108" s="67">
        <f t="shared" si="2"/>
        <v>4.9416666666666664</v>
      </c>
      <c r="I108" s="67">
        <f t="shared" si="2"/>
        <v>2.183333333333334</v>
      </c>
      <c r="J108" s="67">
        <f t="shared" si="2"/>
        <v>0.32791666666666669</v>
      </c>
      <c r="K108" s="67">
        <f t="shared" si="2"/>
        <v>250.70895833333316</v>
      </c>
      <c r="L108" s="67">
        <f t="shared" si="2"/>
        <v>25.666666666666671</v>
      </c>
      <c r="M108" s="67">
        <f t="shared" si="2"/>
        <v>94.367083333333326</v>
      </c>
      <c r="N108" s="67">
        <f t="shared" si="2"/>
        <v>191.15208333333331</v>
      </c>
      <c r="O108" s="67">
        <f t="shared" si="2"/>
        <v>2.0833333333333333E-3</v>
      </c>
      <c r="P108" s="67">
        <f t="shared" si="2"/>
        <v>0.80593749999999986</v>
      </c>
      <c r="Q108" s="67">
        <f t="shared" si="2"/>
        <v>9.3260416666666703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9.0174302462294609</v>
      </c>
      <c r="C109" s="67">
        <f t="shared" ref="C109:Q109" si="3">STDEV(C9:C104)</f>
        <v>6.7961139050582622</v>
      </c>
      <c r="D109" s="67">
        <f t="shared" si="3"/>
        <v>9.2467937206278226</v>
      </c>
      <c r="E109" s="67">
        <f t="shared" si="3"/>
        <v>0.72181347520150241</v>
      </c>
      <c r="F109" s="67">
        <f t="shared" si="3"/>
        <v>4.6173105815592583</v>
      </c>
      <c r="G109" s="67">
        <f t="shared" si="3"/>
        <v>24.132448941825707</v>
      </c>
      <c r="H109" s="67">
        <f t="shared" si="3"/>
        <v>1.9102838954991779</v>
      </c>
      <c r="I109" s="67">
        <f t="shared" si="3"/>
        <v>0.80350242087430901</v>
      </c>
      <c r="J109" s="67">
        <f t="shared" si="3"/>
        <v>0.28588520576831711</v>
      </c>
      <c r="K109" s="67">
        <f t="shared" si="3"/>
        <v>108.32940504220602</v>
      </c>
      <c r="L109" s="67">
        <f t="shared" si="3"/>
        <v>2.8984793351238669</v>
      </c>
      <c r="M109" s="67">
        <f t="shared" si="3"/>
        <v>6.2002157715707833</v>
      </c>
      <c r="N109" s="67">
        <f t="shared" si="3"/>
        <v>214.93577546458263</v>
      </c>
      <c r="O109" s="67">
        <f t="shared" si="3"/>
        <v>2.0412414523193152E-2</v>
      </c>
      <c r="P109" s="67">
        <f t="shared" si="3"/>
        <v>0.54955595112877542</v>
      </c>
      <c r="Q109" s="67">
        <f t="shared" si="3"/>
        <v>0.17096308722347772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2646</v>
      </c>
      <c r="B9" s="64">
        <v>21.36</v>
      </c>
      <c r="C9" s="64">
        <v>8.57</v>
      </c>
      <c r="D9" s="64">
        <v>21.6</v>
      </c>
      <c r="E9" s="64">
        <v>4.8</v>
      </c>
      <c r="F9" s="64">
        <v>9.52</v>
      </c>
      <c r="G9" s="64">
        <v>103.03</v>
      </c>
      <c r="H9" s="64">
        <v>3.13</v>
      </c>
      <c r="I9" s="64">
        <v>3.53</v>
      </c>
      <c r="J9" s="64">
        <v>0.71</v>
      </c>
      <c r="K9" s="64">
        <v>336.94</v>
      </c>
      <c r="L9" s="64">
        <v>24.48</v>
      </c>
      <c r="M9" s="64">
        <v>98.31</v>
      </c>
      <c r="N9" s="64">
        <v>44.2</v>
      </c>
      <c r="O9" s="64">
        <v>0</v>
      </c>
      <c r="P9" s="64">
        <v>0.95</v>
      </c>
      <c r="Q9" s="64">
        <v>9.58</v>
      </c>
      <c r="R9" s="198"/>
      <c r="S9" s="198"/>
      <c r="T9" s="198"/>
      <c r="U9" s="198"/>
    </row>
    <row r="10" spans="1:21" s="12" customFormat="1" x14ac:dyDescent="0.25">
      <c r="A10" s="214" t="s">
        <v>2647</v>
      </c>
      <c r="B10" s="64">
        <v>16.8</v>
      </c>
      <c r="C10" s="64">
        <v>10.55</v>
      </c>
      <c r="D10" s="64">
        <v>18.98</v>
      </c>
      <c r="E10" s="64">
        <v>5.08</v>
      </c>
      <c r="F10" s="64">
        <v>6.64</v>
      </c>
      <c r="G10" s="64">
        <v>102.58</v>
      </c>
      <c r="H10" s="64">
        <v>3.13</v>
      </c>
      <c r="I10" s="64">
        <v>3.46</v>
      </c>
      <c r="J10" s="64">
        <v>0.39</v>
      </c>
      <c r="K10" s="64">
        <v>337.77</v>
      </c>
      <c r="L10" s="64">
        <v>24.3</v>
      </c>
      <c r="M10" s="64">
        <v>98.35</v>
      </c>
      <c r="N10" s="64">
        <v>44</v>
      </c>
      <c r="O10" s="64">
        <v>0</v>
      </c>
      <c r="P10" s="64">
        <v>0.99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4" t="s">
        <v>2648</v>
      </c>
      <c r="B11" s="64">
        <v>17.22</v>
      </c>
      <c r="C11" s="64">
        <v>13.85</v>
      </c>
      <c r="D11" s="64">
        <v>21.05</v>
      </c>
      <c r="E11" s="64">
        <v>4.47</v>
      </c>
      <c r="F11" s="64">
        <v>7.86</v>
      </c>
      <c r="G11" s="64">
        <v>102.58</v>
      </c>
      <c r="H11" s="64">
        <v>3.13</v>
      </c>
      <c r="I11" s="64">
        <v>3.39</v>
      </c>
      <c r="J11" s="64">
        <v>0.64</v>
      </c>
      <c r="K11" s="64">
        <v>337.75</v>
      </c>
      <c r="L11" s="64">
        <v>24.31</v>
      </c>
      <c r="M11" s="64">
        <v>98.31</v>
      </c>
      <c r="N11" s="64">
        <v>43.8</v>
      </c>
      <c r="O11" s="64">
        <v>0</v>
      </c>
      <c r="P11" s="64">
        <v>0.78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14" t="s">
        <v>2649</v>
      </c>
      <c r="B12" s="64">
        <v>20.91</v>
      </c>
      <c r="C12" s="64">
        <v>8.2899999999999991</v>
      </c>
      <c r="D12" s="64">
        <v>21.1</v>
      </c>
      <c r="E12" s="64">
        <v>5.1100000000000003</v>
      </c>
      <c r="F12" s="64">
        <v>8.3800000000000008</v>
      </c>
      <c r="G12" s="64">
        <v>102.58</v>
      </c>
      <c r="H12" s="64">
        <v>3.13</v>
      </c>
      <c r="I12" s="64">
        <v>3.32</v>
      </c>
      <c r="J12" s="64">
        <v>0.64</v>
      </c>
      <c r="K12" s="64">
        <v>339.37</v>
      </c>
      <c r="L12" s="64">
        <v>24.25</v>
      </c>
      <c r="M12" s="64">
        <v>98.32</v>
      </c>
      <c r="N12" s="64">
        <v>43.9</v>
      </c>
      <c r="O12" s="64">
        <v>0</v>
      </c>
      <c r="P12" s="64">
        <v>1.07</v>
      </c>
      <c r="Q12" s="64">
        <v>9.5500000000000007</v>
      </c>
      <c r="R12" s="198"/>
      <c r="S12" s="198"/>
      <c r="T12" s="198"/>
      <c r="U12" s="198"/>
    </row>
    <row r="13" spans="1:21" s="12" customFormat="1" x14ac:dyDescent="0.25">
      <c r="A13" s="214" t="s">
        <v>2650</v>
      </c>
      <c r="B13" s="64">
        <v>14.8</v>
      </c>
      <c r="C13" s="64">
        <v>16.02</v>
      </c>
      <c r="D13" s="64">
        <v>20.239999999999998</v>
      </c>
      <c r="E13" s="64">
        <v>4.57</v>
      </c>
      <c r="F13" s="64">
        <v>7.83</v>
      </c>
      <c r="G13" s="64">
        <v>91.22</v>
      </c>
      <c r="H13" s="64">
        <v>2.97</v>
      </c>
      <c r="I13" s="64">
        <v>3.25</v>
      </c>
      <c r="J13" s="64">
        <v>0.64</v>
      </c>
      <c r="K13" s="64">
        <v>340.47</v>
      </c>
      <c r="L13" s="64">
        <v>24.22</v>
      </c>
      <c r="M13" s="64">
        <v>98.35</v>
      </c>
      <c r="N13" s="64">
        <v>43.8</v>
      </c>
      <c r="O13" s="64">
        <v>0</v>
      </c>
      <c r="P13" s="64">
        <v>0.75</v>
      </c>
      <c r="Q13" s="64">
        <v>9.5399999999999991</v>
      </c>
      <c r="R13" s="198"/>
      <c r="S13" s="198"/>
      <c r="T13" s="198"/>
      <c r="U13" s="198"/>
    </row>
    <row r="14" spans="1:21" s="12" customFormat="1" x14ac:dyDescent="0.25">
      <c r="A14" s="214" t="s">
        <v>2651</v>
      </c>
      <c r="B14" s="64">
        <v>20.84</v>
      </c>
      <c r="C14" s="64">
        <v>9.5399999999999991</v>
      </c>
      <c r="D14" s="64">
        <v>21.69</v>
      </c>
      <c r="E14" s="64">
        <v>5.26</v>
      </c>
      <c r="F14" s="64">
        <v>8.8800000000000008</v>
      </c>
      <c r="G14" s="64">
        <v>90.41</v>
      </c>
      <c r="H14" s="64">
        <v>2.97</v>
      </c>
      <c r="I14" s="64">
        <v>3.19</v>
      </c>
      <c r="J14" s="64">
        <v>0.57999999999999996</v>
      </c>
      <c r="K14" s="64">
        <v>337.67</v>
      </c>
      <c r="L14" s="64">
        <v>24.26</v>
      </c>
      <c r="M14" s="64">
        <v>98.35</v>
      </c>
      <c r="N14" s="64">
        <v>43.9</v>
      </c>
      <c r="O14" s="64">
        <v>0</v>
      </c>
      <c r="P14" s="64">
        <v>0.98</v>
      </c>
      <c r="Q14" s="64">
        <v>9.5399999999999991</v>
      </c>
      <c r="R14" s="198"/>
      <c r="S14" s="198"/>
      <c r="T14" s="198"/>
      <c r="U14" s="198"/>
    </row>
    <row r="15" spans="1:21" s="12" customFormat="1" x14ac:dyDescent="0.25">
      <c r="A15" s="214" t="s">
        <v>2652</v>
      </c>
      <c r="B15" s="64">
        <v>18.95</v>
      </c>
      <c r="C15" s="64">
        <v>12.14</v>
      </c>
      <c r="D15" s="64">
        <v>21.54</v>
      </c>
      <c r="E15" s="64">
        <v>5.56</v>
      </c>
      <c r="F15" s="64">
        <v>7.69</v>
      </c>
      <c r="G15" s="64">
        <v>90.41</v>
      </c>
      <c r="H15" s="64">
        <v>2.97</v>
      </c>
      <c r="I15" s="64">
        <v>3.16</v>
      </c>
      <c r="J15" s="64">
        <v>1.1000000000000001</v>
      </c>
      <c r="K15" s="64">
        <v>337.35</v>
      </c>
      <c r="L15" s="64">
        <v>24.18</v>
      </c>
      <c r="M15" s="64">
        <v>98.3</v>
      </c>
      <c r="N15" s="64">
        <v>43.9</v>
      </c>
      <c r="O15" s="64">
        <v>0</v>
      </c>
      <c r="P15" s="64">
        <v>1</v>
      </c>
      <c r="Q15" s="64">
        <v>9.5299999999999994</v>
      </c>
      <c r="R15" s="198"/>
      <c r="S15" s="198"/>
      <c r="T15" s="198"/>
      <c r="U15" s="198"/>
    </row>
    <row r="16" spans="1:21" s="12" customFormat="1" x14ac:dyDescent="0.25">
      <c r="A16" s="214" t="s">
        <v>2653</v>
      </c>
      <c r="B16" s="64">
        <v>19.809999999999999</v>
      </c>
      <c r="C16" s="64">
        <v>12.21</v>
      </c>
      <c r="D16" s="64">
        <v>22.26</v>
      </c>
      <c r="E16" s="64">
        <v>6.1</v>
      </c>
      <c r="F16" s="64">
        <v>8.5500000000000007</v>
      </c>
      <c r="G16" s="64">
        <v>90.41</v>
      </c>
      <c r="H16" s="64">
        <v>2.97</v>
      </c>
      <c r="I16" s="64">
        <v>3.15</v>
      </c>
      <c r="J16" s="64">
        <v>1.1499999999999999</v>
      </c>
      <c r="K16" s="64">
        <v>338.61</v>
      </c>
      <c r="L16" s="64">
        <v>24.17</v>
      </c>
      <c r="M16" s="64">
        <v>98.24</v>
      </c>
      <c r="N16" s="64">
        <v>44.1</v>
      </c>
      <c r="O16" s="64">
        <v>0</v>
      </c>
      <c r="P16" s="64">
        <v>0.98</v>
      </c>
      <c r="Q16" s="64">
        <v>9.52</v>
      </c>
      <c r="R16" s="198"/>
      <c r="S16" s="198"/>
      <c r="T16" s="198"/>
      <c r="U16" s="198"/>
    </row>
    <row r="17" spans="1:21" s="12" customFormat="1" x14ac:dyDescent="0.25">
      <c r="A17" s="214" t="s">
        <v>2654</v>
      </c>
      <c r="B17" s="64">
        <v>17.16</v>
      </c>
      <c r="C17" s="64">
        <v>15.15</v>
      </c>
      <c r="D17" s="64">
        <v>21.67</v>
      </c>
      <c r="E17" s="64">
        <v>6.38</v>
      </c>
      <c r="F17" s="64">
        <v>8.7899999999999991</v>
      </c>
      <c r="G17" s="64">
        <v>98.03</v>
      </c>
      <c r="H17" s="64">
        <v>2.95</v>
      </c>
      <c r="I17" s="64">
        <v>3.18</v>
      </c>
      <c r="J17" s="64">
        <v>1.17</v>
      </c>
      <c r="K17" s="64">
        <v>339.34</v>
      </c>
      <c r="L17" s="64">
        <v>24.01</v>
      </c>
      <c r="M17" s="64">
        <v>98.21</v>
      </c>
      <c r="N17" s="64">
        <v>44.1</v>
      </c>
      <c r="O17" s="64">
        <v>0</v>
      </c>
      <c r="P17" s="64">
        <v>0.94</v>
      </c>
      <c r="Q17" s="64">
        <v>9.5</v>
      </c>
      <c r="R17" s="198"/>
      <c r="S17" s="198"/>
      <c r="T17" s="198"/>
      <c r="U17" s="198"/>
    </row>
    <row r="18" spans="1:21" s="12" customFormat="1" x14ac:dyDescent="0.25">
      <c r="A18" s="214" t="s">
        <v>2655</v>
      </c>
      <c r="B18" s="64">
        <v>17.420000000000002</v>
      </c>
      <c r="C18" s="64">
        <v>13.71</v>
      </c>
      <c r="D18" s="64">
        <v>21.14</v>
      </c>
      <c r="E18" s="64">
        <v>6.33</v>
      </c>
      <c r="F18" s="64">
        <v>9.3800000000000008</v>
      </c>
      <c r="G18" s="64">
        <v>98.57</v>
      </c>
      <c r="H18" s="64">
        <v>2.95</v>
      </c>
      <c r="I18" s="64">
        <v>3.2</v>
      </c>
      <c r="J18" s="64">
        <v>1.1200000000000001</v>
      </c>
      <c r="K18" s="64">
        <v>339.64</v>
      </c>
      <c r="L18" s="64">
        <v>23.94</v>
      </c>
      <c r="M18" s="64">
        <v>98.2</v>
      </c>
      <c r="N18" s="64">
        <v>44.2</v>
      </c>
      <c r="O18" s="64">
        <v>0</v>
      </c>
      <c r="P18" s="64">
        <v>0.86</v>
      </c>
      <c r="Q18" s="64">
        <v>9.51</v>
      </c>
      <c r="R18" s="198"/>
      <c r="S18" s="198"/>
      <c r="T18" s="198"/>
      <c r="U18" s="198"/>
    </row>
    <row r="19" spans="1:21" s="12" customFormat="1" x14ac:dyDescent="0.25">
      <c r="A19" s="214" t="s">
        <v>2656</v>
      </c>
      <c r="B19" s="64">
        <v>17</v>
      </c>
      <c r="C19" s="64">
        <v>11.72</v>
      </c>
      <c r="D19" s="64">
        <v>19.75</v>
      </c>
      <c r="E19" s="64">
        <v>6.42</v>
      </c>
      <c r="F19" s="64">
        <v>6.52</v>
      </c>
      <c r="G19" s="64">
        <v>98.57</v>
      </c>
      <c r="H19" s="64">
        <v>2.95</v>
      </c>
      <c r="I19" s="64">
        <v>3.21</v>
      </c>
      <c r="J19" s="64">
        <v>1.1499999999999999</v>
      </c>
      <c r="K19" s="64">
        <v>337.81</v>
      </c>
      <c r="L19" s="64">
        <v>23.89</v>
      </c>
      <c r="M19" s="64">
        <v>98.23</v>
      </c>
      <c r="N19" s="64">
        <v>44.3</v>
      </c>
      <c r="O19" s="64">
        <v>0</v>
      </c>
      <c r="P19" s="64">
        <v>0.79</v>
      </c>
      <c r="Q19" s="64">
        <v>9.51</v>
      </c>
      <c r="R19" s="198"/>
      <c r="S19" s="198"/>
      <c r="T19" s="198"/>
      <c r="U19" s="198"/>
    </row>
    <row r="20" spans="1:21" s="12" customFormat="1" x14ac:dyDescent="0.25">
      <c r="A20" s="214" t="s">
        <v>2657</v>
      </c>
      <c r="B20" s="64">
        <v>15.14</v>
      </c>
      <c r="C20" s="64">
        <v>13.17</v>
      </c>
      <c r="D20" s="64">
        <v>19.02</v>
      </c>
      <c r="E20" s="64">
        <v>6.55</v>
      </c>
      <c r="F20" s="64">
        <v>7.5</v>
      </c>
      <c r="G20" s="64">
        <v>98.57</v>
      </c>
      <c r="H20" s="64">
        <v>2.95</v>
      </c>
      <c r="I20" s="64">
        <v>3.23</v>
      </c>
      <c r="J20" s="64">
        <v>0.93</v>
      </c>
      <c r="K20" s="64">
        <v>339.46</v>
      </c>
      <c r="L20" s="64">
        <v>23.82</v>
      </c>
      <c r="M20" s="64">
        <v>98.23</v>
      </c>
      <c r="N20" s="64">
        <v>44.1</v>
      </c>
      <c r="O20" s="64">
        <v>0</v>
      </c>
      <c r="P20" s="64">
        <v>0.65</v>
      </c>
      <c r="Q20" s="64">
        <v>9.49</v>
      </c>
      <c r="R20" s="198"/>
      <c r="S20" s="198"/>
      <c r="T20" s="198"/>
      <c r="U20" s="198"/>
    </row>
    <row r="21" spans="1:21" s="12" customFormat="1" x14ac:dyDescent="0.25">
      <c r="A21" s="214" t="s">
        <v>2658</v>
      </c>
      <c r="B21" s="64">
        <v>14.9</v>
      </c>
      <c r="C21" s="64">
        <v>11.27</v>
      </c>
      <c r="D21" s="64">
        <v>17.84</v>
      </c>
      <c r="E21" s="64">
        <v>6.23</v>
      </c>
      <c r="F21" s="64">
        <v>7.77</v>
      </c>
      <c r="G21" s="64">
        <v>96.02</v>
      </c>
      <c r="H21" s="64">
        <v>5.31</v>
      </c>
      <c r="I21" s="64">
        <v>3.21</v>
      </c>
      <c r="J21" s="64">
        <v>0.94</v>
      </c>
      <c r="K21" s="64">
        <v>340.31</v>
      </c>
      <c r="L21" s="64">
        <v>23.74</v>
      </c>
      <c r="M21" s="64">
        <v>98.22</v>
      </c>
      <c r="N21" s="64">
        <v>44.1</v>
      </c>
      <c r="O21" s="64">
        <v>0</v>
      </c>
      <c r="P21" s="64">
        <v>0.57999999999999996</v>
      </c>
      <c r="Q21" s="64">
        <v>9.4600000000000009</v>
      </c>
      <c r="R21" s="198"/>
      <c r="S21" s="198"/>
      <c r="T21" s="198"/>
      <c r="U21" s="198"/>
    </row>
    <row r="22" spans="1:21" s="12" customFormat="1" x14ac:dyDescent="0.25">
      <c r="A22" s="214" t="s">
        <v>2659</v>
      </c>
      <c r="B22" s="64">
        <v>13.37</v>
      </c>
      <c r="C22" s="64">
        <v>11.2</v>
      </c>
      <c r="D22" s="64">
        <v>16.57</v>
      </c>
      <c r="E22" s="64">
        <v>6.44</v>
      </c>
      <c r="F22" s="64">
        <v>9.0299999999999994</v>
      </c>
      <c r="G22" s="64">
        <v>95.83</v>
      </c>
      <c r="H22" s="64">
        <v>5.31</v>
      </c>
      <c r="I22" s="64">
        <v>3.14</v>
      </c>
      <c r="J22" s="64">
        <v>0.75</v>
      </c>
      <c r="K22" s="64">
        <v>340.51</v>
      </c>
      <c r="L22" s="64">
        <v>23.67</v>
      </c>
      <c r="M22" s="64">
        <v>98.2</v>
      </c>
      <c r="N22" s="64">
        <v>44.1</v>
      </c>
      <c r="O22" s="64">
        <v>0.2</v>
      </c>
      <c r="P22" s="64">
        <v>0.54</v>
      </c>
      <c r="Q22" s="64">
        <v>9.4499999999999993</v>
      </c>
      <c r="R22" s="198"/>
      <c r="S22" s="198"/>
      <c r="T22" s="198"/>
      <c r="U22" s="198"/>
    </row>
    <row r="23" spans="1:21" s="12" customFormat="1" x14ac:dyDescent="0.25">
      <c r="A23" s="214" t="s">
        <v>2660</v>
      </c>
      <c r="B23" s="64">
        <v>14.54</v>
      </c>
      <c r="C23" s="64">
        <v>10.36</v>
      </c>
      <c r="D23" s="64">
        <v>17.079999999999998</v>
      </c>
      <c r="E23" s="64">
        <v>5.93</v>
      </c>
      <c r="F23" s="64">
        <v>9.83</v>
      </c>
      <c r="G23" s="64">
        <v>95.83</v>
      </c>
      <c r="H23" s="64">
        <v>5.31</v>
      </c>
      <c r="I23" s="64">
        <v>3.07</v>
      </c>
      <c r="J23" s="64">
        <v>0.84</v>
      </c>
      <c r="K23" s="64">
        <v>342.02</v>
      </c>
      <c r="L23" s="64">
        <v>23.62</v>
      </c>
      <c r="M23" s="64">
        <v>98.23</v>
      </c>
      <c r="N23" s="64">
        <v>44.1</v>
      </c>
      <c r="O23" s="64">
        <v>0</v>
      </c>
      <c r="P23" s="64">
        <v>0.61</v>
      </c>
      <c r="Q23" s="64">
        <v>9.44</v>
      </c>
      <c r="R23" s="198"/>
      <c r="S23" s="198"/>
      <c r="T23" s="198"/>
      <c r="U23" s="198"/>
    </row>
    <row r="24" spans="1:21" s="12" customFormat="1" x14ac:dyDescent="0.25">
      <c r="A24" s="214" t="s">
        <v>2661</v>
      </c>
      <c r="B24" s="64">
        <v>15.4</v>
      </c>
      <c r="C24" s="64">
        <v>10.8</v>
      </c>
      <c r="D24" s="64">
        <v>17.989999999999998</v>
      </c>
      <c r="E24" s="64">
        <v>6.14</v>
      </c>
      <c r="F24" s="64">
        <v>7.87</v>
      </c>
      <c r="G24" s="64">
        <v>95.83</v>
      </c>
      <c r="H24" s="64">
        <v>5.31</v>
      </c>
      <c r="I24" s="64">
        <v>2.99</v>
      </c>
      <c r="J24" s="64">
        <v>0.78</v>
      </c>
      <c r="K24" s="64">
        <v>341.7</v>
      </c>
      <c r="L24" s="64">
        <v>23.62</v>
      </c>
      <c r="M24" s="64">
        <v>98.23</v>
      </c>
      <c r="N24" s="64">
        <v>44.1</v>
      </c>
      <c r="O24" s="64">
        <v>0</v>
      </c>
      <c r="P24" s="64">
        <v>0.57999999999999996</v>
      </c>
      <c r="Q24" s="64">
        <v>9.42</v>
      </c>
      <c r="R24" s="198"/>
      <c r="S24" s="198"/>
      <c r="T24" s="198"/>
      <c r="U24" s="198"/>
    </row>
    <row r="25" spans="1:21" s="12" customFormat="1" x14ac:dyDescent="0.25">
      <c r="A25" s="214" t="s">
        <v>2662</v>
      </c>
      <c r="B25" s="64">
        <v>18.47</v>
      </c>
      <c r="C25" s="64">
        <v>5.93</v>
      </c>
      <c r="D25" s="64">
        <v>17.91</v>
      </c>
      <c r="E25" s="64">
        <v>5.89</v>
      </c>
      <c r="F25" s="64">
        <v>8.35</v>
      </c>
      <c r="G25" s="64">
        <v>94.2</v>
      </c>
      <c r="H25" s="64">
        <v>4.0599999999999996</v>
      </c>
      <c r="I25" s="64">
        <v>2.92</v>
      </c>
      <c r="J25" s="64">
        <v>0.81</v>
      </c>
      <c r="K25" s="64">
        <v>339.9</v>
      </c>
      <c r="L25" s="64">
        <v>23.56</v>
      </c>
      <c r="M25" s="64">
        <v>98.22</v>
      </c>
      <c r="N25" s="64">
        <v>44.1</v>
      </c>
      <c r="O25" s="64">
        <v>0</v>
      </c>
      <c r="P25" s="64">
        <v>0.73</v>
      </c>
      <c r="Q25" s="64">
        <v>9.4</v>
      </c>
      <c r="R25" s="198"/>
      <c r="S25" s="198"/>
      <c r="T25" s="198"/>
      <c r="U25" s="198"/>
    </row>
    <row r="26" spans="1:21" s="12" customFormat="1" x14ac:dyDescent="0.25">
      <c r="A26" s="214" t="s">
        <v>2663</v>
      </c>
      <c r="B26" s="64">
        <v>15.95</v>
      </c>
      <c r="C26" s="64">
        <v>11.93</v>
      </c>
      <c r="D26" s="64">
        <v>19.02</v>
      </c>
      <c r="E26" s="64">
        <v>5.52</v>
      </c>
      <c r="F26" s="64">
        <v>7.11</v>
      </c>
      <c r="G26" s="64">
        <v>94.08</v>
      </c>
      <c r="H26" s="64">
        <v>4.0599999999999996</v>
      </c>
      <c r="I26" s="64">
        <v>2.85</v>
      </c>
      <c r="J26" s="64">
        <v>0.69</v>
      </c>
      <c r="K26" s="64">
        <v>341.43</v>
      </c>
      <c r="L26" s="64">
        <v>23.52</v>
      </c>
      <c r="M26" s="64">
        <v>98.23</v>
      </c>
      <c r="N26" s="64">
        <v>44</v>
      </c>
      <c r="O26" s="64">
        <v>0</v>
      </c>
      <c r="P26" s="64">
        <v>0.62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14" t="s">
        <v>2664</v>
      </c>
      <c r="B27" s="64">
        <v>17.440000000000001</v>
      </c>
      <c r="C27" s="64">
        <v>11.64</v>
      </c>
      <c r="D27" s="64">
        <v>20.07</v>
      </c>
      <c r="E27" s="64">
        <v>5.77</v>
      </c>
      <c r="F27" s="64">
        <v>7.43</v>
      </c>
      <c r="G27" s="64">
        <v>94.08</v>
      </c>
      <c r="H27" s="64">
        <v>4.0599999999999996</v>
      </c>
      <c r="I27" s="64">
        <v>2.78</v>
      </c>
      <c r="J27" s="64">
        <v>0.59</v>
      </c>
      <c r="K27" s="64">
        <v>342.23</v>
      </c>
      <c r="L27" s="64">
        <v>23.55</v>
      </c>
      <c r="M27" s="64">
        <v>98.23</v>
      </c>
      <c r="N27" s="64">
        <v>44</v>
      </c>
      <c r="O27" s="64">
        <v>0</v>
      </c>
      <c r="P27" s="64">
        <v>0.74</v>
      </c>
      <c r="Q27" s="64">
        <v>9.39</v>
      </c>
      <c r="R27" s="198"/>
      <c r="S27" s="198"/>
      <c r="T27" s="198"/>
      <c r="U27" s="198"/>
    </row>
    <row r="28" spans="1:21" s="12" customFormat="1" x14ac:dyDescent="0.25">
      <c r="A28" s="214" t="s">
        <v>2665</v>
      </c>
      <c r="B28" s="64">
        <v>27.5</v>
      </c>
      <c r="C28" s="64">
        <v>16.55</v>
      </c>
      <c r="D28" s="64">
        <v>30.66</v>
      </c>
      <c r="E28" s="64">
        <v>5.44</v>
      </c>
      <c r="F28" s="64">
        <v>6</v>
      </c>
      <c r="G28" s="64">
        <v>94.08</v>
      </c>
      <c r="H28" s="64">
        <v>4.0599999999999996</v>
      </c>
      <c r="I28" s="64">
        <v>2.74</v>
      </c>
      <c r="J28" s="64">
        <v>0.53</v>
      </c>
      <c r="K28" s="64">
        <v>339.26</v>
      </c>
      <c r="L28" s="64">
        <v>23.66</v>
      </c>
      <c r="M28" s="64">
        <v>98.22</v>
      </c>
      <c r="N28" s="64">
        <v>44.1</v>
      </c>
      <c r="O28" s="64">
        <v>0</v>
      </c>
      <c r="P28" s="64">
        <v>0.65</v>
      </c>
      <c r="Q28" s="64">
        <v>9.39</v>
      </c>
      <c r="R28" s="198"/>
      <c r="S28" s="198"/>
      <c r="T28" s="198"/>
      <c r="U28" s="198"/>
    </row>
    <row r="29" spans="1:21" s="12" customFormat="1" x14ac:dyDescent="0.25">
      <c r="A29" s="214" t="s">
        <v>2666</v>
      </c>
      <c r="B29" s="64">
        <v>20.350000000000001</v>
      </c>
      <c r="C29" s="64">
        <v>9.77</v>
      </c>
      <c r="D29" s="64">
        <v>21.43</v>
      </c>
      <c r="E29" s="64">
        <v>5</v>
      </c>
      <c r="F29" s="64">
        <v>5.55</v>
      </c>
      <c r="G29" s="64">
        <v>92.84</v>
      </c>
      <c r="H29" s="64">
        <v>4.32</v>
      </c>
      <c r="I29" s="64">
        <v>2.73</v>
      </c>
      <c r="J29" s="64">
        <v>0.53</v>
      </c>
      <c r="K29" s="64">
        <v>341.81</v>
      </c>
      <c r="L29" s="64">
        <v>23.69</v>
      </c>
      <c r="M29" s="64">
        <v>98.19</v>
      </c>
      <c r="N29" s="64">
        <v>44.1</v>
      </c>
      <c r="O29" s="64">
        <v>0</v>
      </c>
      <c r="P29" s="64">
        <v>0.67</v>
      </c>
      <c r="Q29" s="64">
        <v>9.4</v>
      </c>
      <c r="R29" s="198"/>
      <c r="S29" s="198"/>
      <c r="T29" s="198"/>
      <c r="U29" s="198"/>
    </row>
    <row r="30" spans="1:21" s="12" customFormat="1" x14ac:dyDescent="0.25">
      <c r="A30" s="214" t="s">
        <v>2667</v>
      </c>
      <c r="B30" s="64">
        <v>19.03</v>
      </c>
      <c r="C30" s="64">
        <v>11.22</v>
      </c>
      <c r="D30" s="64">
        <v>21.12</v>
      </c>
      <c r="E30" s="64">
        <v>5.64</v>
      </c>
      <c r="F30" s="64">
        <v>5.49</v>
      </c>
      <c r="G30" s="64">
        <v>92.75</v>
      </c>
      <c r="H30" s="64">
        <v>4.32</v>
      </c>
      <c r="I30" s="64">
        <v>2.73</v>
      </c>
      <c r="J30" s="64">
        <v>0.45</v>
      </c>
      <c r="K30" s="64">
        <v>341.13</v>
      </c>
      <c r="L30" s="64">
        <v>23.61</v>
      </c>
      <c r="M30" s="64">
        <v>98.21</v>
      </c>
      <c r="N30" s="64">
        <v>44.1</v>
      </c>
      <c r="O30" s="64">
        <v>0</v>
      </c>
      <c r="P30" s="64">
        <v>0.71</v>
      </c>
      <c r="Q30" s="64">
        <v>9.41</v>
      </c>
      <c r="R30" s="198"/>
      <c r="S30" s="198"/>
      <c r="T30" s="198"/>
      <c r="U30" s="198"/>
    </row>
    <row r="31" spans="1:21" s="12" customFormat="1" x14ac:dyDescent="0.25">
      <c r="A31" s="214" t="s">
        <v>2668</v>
      </c>
      <c r="B31" s="64">
        <v>20.64</v>
      </c>
      <c r="C31" s="64">
        <v>12.96</v>
      </c>
      <c r="D31" s="64">
        <v>23.32</v>
      </c>
      <c r="E31" s="64">
        <v>5.34</v>
      </c>
      <c r="F31" s="64">
        <v>6.65</v>
      </c>
      <c r="G31" s="64">
        <v>92.75</v>
      </c>
      <c r="H31" s="64">
        <v>4.32</v>
      </c>
      <c r="I31" s="64">
        <v>2.72</v>
      </c>
      <c r="J31" s="64">
        <v>0.49</v>
      </c>
      <c r="K31" s="64">
        <v>340.62</v>
      </c>
      <c r="L31" s="64">
        <v>23.65</v>
      </c>
      <c r="M31" s="64">
        <v>98.2</v>
      </c>
      <c r="N31" s="64">
        <v>44.7</v>
      </c>
      <c r="O31" s="64">
        <v>0</v>
      </c>
      <c r="P31" s="64">
        <v>0.69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4" t="s">
        <v>2669</v>
      </c>
      <c r="B32" s="64">
        <v>22.34</v>
      </c>
      <c r="C32" s="64">
        <v>9.01</v>
      </c>
      <c r="D32" s="64">
        <v>22.62</v>
      </c>
      <c r="E32" s="64">
        <v>5.92</v>
      </c>
      <c r="F32" s="64">
        <v>7.37</v>
      </c>
      <c r="G32" s="64">
        <v>92.75</v>
      </c>
      <c r="H32" s="64">
        <v>4.32</v>
      </c>
      <c r="I32" s="64">
        <v>2.72</v>
      </c>
      <c r="J32" s="64">
        <v>0.61</v>
      </c>
      <c r="K32" s="64">
        <v>341.23</v>
      </c>
      <c r="L32" s="64">
        <v>23.65</v>
      </c>
      <c r="M32" s="64">
        <v>98.23</v>
      </c>
      <c r="N32" s="64">
        <v>52</v>
      </c>
      <c r="O32" s="64">
        <v>0</v>
      </c>
      <c r="P32" s="64">
        <v>0.75</v>
      </c>
      <c r="Q32" s="64">
        <v>9.43</v>
      </c>
      <c r="R32" s="198"/>
      <c r="S32" s="198"/>
      <c r="T32" s="198"/>
      <c r="U32" s="198"/>
    </row>
    <row r="33" spans="1:21" s="12" customFormat="1" x14ac:dyDescent="0.25">
      <c r="A33" s="214" t="s">
        <v>2670</v>
      </c>
      <c r="B33" s="64">
        <v>23.95</v>
      </c>
      <c r="C33" s="64">
        <v>14.1</v>
      </c>
      <c r="D33" s="64">
        <v>26.57</v>
      </c>
      <c r="E33" s="64">
        <v>5.58</v>
      </c>
      <c r="F33" s="64">
        <v>8.25</v>
      </c>
      <c r="G33" s="64">
        <v>98.02</v>
      </c>
      <c r="H33" s="64">
        <v>3.58</v>
      </c>
      <c r="I33" s="64">
        <v>2.75</v>
      </c>
      <c r="J33" s="64">
        <v>0.54</v>
      </c>
      <c r="K33" s="64">
        <v>339.24</v>
      </c>
      <c r="L33" s="64">
        <v>23.91</v>
      </c>
      <c r="M33" s="64">
        <v>98.2</v>
      </c>
      <c r="N33" s="64">
        <v>71.2</v>
      </c>
      <c r="O33" s="64">
        <v>0</v>
      </c>
      <c r="P33" s="64">
        <v>0.8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14" t="s">
        <v>2671</v>
      </c>
      <c r="B34" s="64">
        <v>24.06</v>
      </c>
      <c r="C34" s="64">
        <v>11.11</v>
      </c>
      <c r="D34" s="64">
        <v>25.1</v>
      </c>
      <c r="E34" s="64">
        <v>5.7</v>
      </c>
      <c r="F34" s="64">
        <v>8.58</v>
      </c>
      <c r="G34" s="64">
        <v>98.4</v>
      </c>
      <c r="H34" s="64">
        <v>3.58</v>
      </c>
      <c r="I34" s="64">
        <v>2.8</v>
      </c>
      <c r="J34" s="64">
        <v>0.56999999999999995</v>
      </c>
      <c r="K34" s="64">
        <v>341.59</v>
      </c>
      <c r="L34" s="64">
        <v>24.24</v>
      </c>
      <c r="M34" s="64">
        <v>98.18</v>
      </c>
      <c r="N34" s="64">
        <v>84.8</v>
      </c>
      <c r="O34" s="64">
        <v>0</v>
      </c>
      <c r="P34" s="64">
        <v>0.81</v>
      </c>
      <c r="Q34" s="64">
        <v>9.4499999999999993</v>
      </c>
      <c r="R34" s="198"/>
      <c r="S34" s="198"/>
      <c r="T34" s="198"/>
      <c r="U34" s="198"/>
    </row>
    <row r="35" spans="1:21" s="12" customFormat="1" x14ac:dyDescent="0.25">
      <c r="A35" s="214" t="s">
        <v>2672</v>
      </c>
      <c r="B35" s="64">
        <v>26.25</v>
      </c>
      <c r="C35" s="64">
        <v>13.85</v>
      </c>
      <c r="D35" s="64">
        <v>28</v>
      </c>
      <c r="E35" s="64">
        <v>5.93</v>
      </c>
      <c r="F35" s="64">
        <v>7.79</v>
      </c>
      <c r="G35" s="64">
        <v>98.4</v>
      </c>
      <c r="H35" s="64">
        <v>3.58</v>
      </c>
      <c r="I35" s="64">
        <v>2.86</v>
      </c>
      <c r="J35" s="64">
        <v>0.63</v>
      </c>
      <c r="K35" s="64">
        <v>342.99</v>
      </c>
      <c r="L35" s="64">
        <v>24.41</v>
      </c>
      <c r="M35" s="64">
        <v>98.18</v>
      </c>
      <c r="N35" s="64">
        <v>88.3</v>
      </c>
      <c r="O35" s="64">
        <v>0</v>
      </c>
      <c r="P35" s="64">
        <v>0.87</v>
      </c>
      <c r="Q35" s="64">
        <v>9.4700000000000006</v>
      </c>
      <c r="R35" s="198"/>
      <c r="S35" s="198"/>
      <c r="T35" s="198"/>
      <c r="U35" s="198"/>
    </row>
    <row r="36" spans="1:21" s="12" customFormat="1" x14ac:dyDescent="0.25">
      <c r="A36" s="214" t="s">
        <v>2673</v>
      </c>
      <c r="B36" s="64">
        <v>28.57</v>
      </c>
      <c r="C36" s="64">
        <v>11.69</v>
      </c>
      <c r="D36" s="64">
        <v>29.02</v>
      </c>
      <c r="E36" s="64">
        <v>6.53</v>
      </c>
      <c r="F36" s="64">
        <v>7.53</v>
      </c>
      <c r="G36" s="64">
        <v>98.4</v>
      </c>
      <c r="H36" s="64">
        <v>3.58</v>
      </c>
      <c r="I36" s="64">
        <v>2.92</v>
      </c>
      <c r="J36" s="64">
        <v>0.64</v>
      </c>
      <c r="K36" s="64">
        <v>341.04</v>
      </c>
      <c r="L36" s="64">
        <v>24.66</v>
      </c>
      <c r="M36" s="64">
        <v>98.15</v>
      </c>
      <c r="N36" s="64">
        <v>94.9</v>
      </c>
      <c r="O36" s="64">
        <v>0</v>
      </c>
      <c r="P36" s="64">
        <v>0.93</v>
      </c>
      <c r="Q36" s="64">
        <v>9.51</v>
      </c>
      <c r="R36" s="198"/>
      <c r="S36" s="198"/>
      <c r="T36" s="198"/>
      <c r="U36" s="198"/>
    </row>
    <row r="37" spans="1:21" s="12" customFormat="1" x14ac:dyDescent="0.25">
      <c r="A37" s="214" t="s">
        <v>2674</v>
      </c>
      <c r="B37" s="64">
        <v>36.39</v>
      </c>
      <c r="C37" s="64">
        <v>11.6</v>
      </c>
      <c r="D37" s="64">
        <v>35.22</v>
      </c>
      <c r="E37" s="64">
        <v>6.49</v>
      </c>
      <c r="F37" s="64">
        <v>5.89</v>
      </c>
      <c r="G37" s="64">
        <v>98.85</v>
      </c>
      <c r="H37" s="64">
        <v>4.2699999999999996</v>
      </c>
      <c r="I37" s="64">
        <v>2.97</v>
      </c>
      <c r="J37" s="64">
        <v>0.43</v>
      </c>
      <c r="K37" s="64">
        <v>342.59</v>
      </c>
      <c r="L37" s="64">
        <v>24.84</v>
      </c>
      <c r="M37" s="64">
        <v>98.15</v>
      </c>
      <c r="N37" s="64">
        <v>102.4</v>
      </c>
      <c r="O37" s="64">
        <v>0</v>
      </c>
      <c r="P37" s="64">
        <v>0.9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14" t="s">
        <v>2675</v>
      </c>
      <c r="B38" s="64">
        <v>26.68</v>
      </c>
      <c r="C38" s="64">
        <v>11.22</v>
      </c>
      <c r="D38" s="64">
        <v>27.25</v>
      </c>
      <c r="E38" s="64">
        <v>6.37</v>
      </c>
      <c r="F38" s="64">
        <v>7.4</v>
      </c>
      <c r="G38" s="64">
        <v>98.88</v>
      </c>
      <c r="H38" s="64">
        <v>4.2699999999999996</v>
      </c>
      <c r="I38" s="64">
        <v>3.01</v>
      </c>
      <c r="J38" s="64">
        <v>0.74</v>
      </c>
      <c r="K38" s="64">
        <v>339.14</v>
      </c>
      <c r="L38" s="64">
        <v>25.73</v>
      </c>
      <c r="M38" s="64">
        <v>98.11</v>
      </c>
      <c r="N38" s="64">
        <v>219.2</v>
      </c>
      <c r="O38" s="64">
        <v>0</v>
      </c>
      <c r="P38" s="64">
        <v>0.82</v>
      </c>
      <c r="Q38" s="64">
        <v>9.5399999999999991</v>
      </c>
      <c r="R38" s="198"/>
      <c r="S38" s="198"/>
      <c r="T38" s="198"/>
      <c r="U38" s="198"/>
    </row>
    <row r="39" spans="1:21" s="12" customFormat="1" x14ac:dyDescent="0.25">
      <c r="A39" s="214" t="s">
        <v>2676</v>
      </c>
      <c r="B39" s="64">
        <v>28.19</v>
      </c>
      <c r="C39" s="64">
        <v>10.44</v>
      </c>
      <c r="D39" s="64">
        <v>28.06</v>
      </c>
      <c r="E39" s="64">
        <v>5.87</v>
      </c>
      <c r="F39" s="64">
        <v>8.35</v>
      </c>
      <c r="G39" s="64">
        <v>98.88</v>
      </c>
      <c r="H39" s="64">
        <v>4.2699999999999996</v>
      </c>
      <c r="I39" s="64">
        <v>3.03</v>
      </c>
      <c r="J39" s="64">
        <v>0.38</v>
      </c>
      <c r="K39" s="64">
        <v>338.41</v>
      </c>
      <c r="L39" s="64">
        <v>27.04</v>
      </c>
      <c r="M39" s="64">
        <v>98.05</v>
      </c>
      <c r="N39" s="64">
        <v>195.1</v>
      </c>
      <c r="O39" s="64">
        <v>0</v>
      </c>
      <c r="P39" s="64">
        <v>0.72</v>
      </c>
      <c r="Q39" s="64">
        <v>9.56</v>
      </c>
      <c r="R39" s="198"/>
      <c r="S39" s="198"/>
      <c r="T39" s="198"/>
      <c r="U39" s="198"/>
    </row>
    <row r="40" spans="1:21" s="12" customFormat="1" x14ac:dyDescent="0.25">
      <c r="A40" s="214" t="s">
        <v>2677</v>
      </c>
      <c r="B40" s="64">
        <v>27.13</v>
      </c>
      <c r="C40" s="64">
        <v>10.54</v>
      </c>
      <c r="D40" s="64">
        <v>27.26</v>
      </c>
      <c r="E40" s="64">
        <v>6.07</v>
      </c>
      <c r="F40" s="64">
        <v>7.56</v>
      </c>
      <c r="G40" s="64">
        <v>98.88</v>
      </c>
      <c r="H40" s="64">
        <v>4.2699999999999996</v>
      </c>
      <c r="I40" s="64">
        <v>3.01</v>
      </c>
      <c r="J40" s="64">
        <v>0.35</v>
      </c>
      <c r="K40" s="64">
        <v>337.66</v>
      </c>
      <c r="L40" s="64">
        <v>26.74</v>
      </c>
      <c r="M40" s="64">
        <v>98.08</v>
      </c>
      <c r="N40" s="64">
        <v>132.30000000000001</v>
      </c>
      <c r="O40" s="64">
        <v>0</v>
      </c>
      <c r="P40" s="64">
        <v>0.64</v>
      </c>
      <c r="Q40" s="64">
        <v>9.57</v>
      </c>
      <c r="R40" s="198"/>
      <c r="S40" s="198"/>
      <c r="T40" s="198"/>
      <c r="U40" s="198"/>
    </row>
    <row r="41" spans="1:21" s="12" customFormat="1" x14ac:dyDescent="0.25">
      <c r="A41" s="214" t="s">
        <v>2678</v>
      </c>
      <c r="B41" s="64">
        <v>29.69</v>
      </c>
      <c r="C41" s="64">
        <v>11.62</v>
      </c>
      <c r="D41" s="64">
        <v>29.87</v>
      </c>
      <c r="E41" s="64">
        <v>5.94</v>
      </c>
      <c r="F41" s="64">
        <v>6.8</v>
      </c>
      <c r="G41" s="64">
        <v>94.09</v>
      </c>
      <c r="H41" s="64">
        <v>2.99</v>
      </c>
      <c r="I41" s="64">
        <v>2.96</v>
      </c>
      <c r="J41" s="64">
        <v>0.35</v>
      </c>
      <c r="K41" s="64">
        <v>337.5</v>
      </c>
      <c r="L41" s="64">
        <v>26.54</v>
      </c>
      <c r="M41" s="64">
        <v>98.09</v>
      </c>
      <c r="N41" s="64">
        <v>224.5</v>
      </c>
      <c r="O41" s="64">
        <v>0</v>
      </c>
      <c r="P41" s="64">
        <v>0.62</v>
      </c>
      <c r="Q41" s="64">
        <v>9.57</v>
      </c>
      <c r="R41" s="198"/>
      <c r="S41" s="198"/>
      <c r="T41" s="198"/>
      <c r="U41" s="198"/>
    </row>
    <row r="42" spans="1:21" s="12" customFormat="1" x14ac:dyDescent="0.25">
      <c r="A42" s="214" t="s">
        <v>2679</v>
      </c>
      <c r="B42" s="64">
        <v>23.01</v>
      </c>
      <c r="C42" s="64">
        <v>8.9600000000000009</v>
      </c>
      <c r="D42" s="64">
        <v>23.14</v>
      </c>
      <c r="E42" s="64">
        <v>6.15</v>
      </c>
      <c r="F42" s="64">
        <v>10.29</v>
      </c>
      <c r="G42" s="64">
        <v>93.75</v>
      </c>
      <c r="H42" s="64">
        <v>2.99</v>
      </c>
      <c r="I42" s="64">
        <v>2.92</v>
      </c>
      <c r="J42" s="64">
        <v>0.59</v>
      </c>
      <c r="K42" s="64">
        <v>338.53</v>
      </c>
      <c r="L42" s="64">
        <v>27.96</v>
      </c>
      <c r="M42" s="64">
        <v>97.95</v>
      </c>
      <c r="N42" s="64">
        <v>255.6</v>
      </c>
      <c r="O42" s="64">
        <v>0</v>
      </c>
      <c r="P42" s="64">
        <v>0.63</v>
      </c>
      <c r="Q42" s="64">
        <v>9.57</v>
      </c>
      <c r="R42" s="198"/>
      <c r="S42" s="198"/>
      <c r="T42" s="198"/>
      <c r="U42" s="198"/>
    </row>
    <row r="43" spans="1:21" s="12" customFormat="1" x14ac:dyDescent="0.25">
      <c r="A43" s="214" t="s">
        <v>2680</v>
      </c>
      <c r="B43" s="64">
        <v>24.11</v>
      </c>
      <c r="C43" s="64">
        <v>11.02</v>
      </c>
      <c r="D43" s="64">
        <v>25.09</v>
      </c>
      <c r="E43" s="64">
        <v>6.32</v>
      </c>
      <c r="F43" s="64">
        <v>7.52</v>
      </c>
      <c r="G43" s="64">
        <v>93.75</v>
      </c>
      <c r="H43" s="64">
        <v>2.99</v>
      </c>
      <c r="I43" s="64">
        <v>2.88</v>
      </c>
      <c r="J43" s="64">
        <v>0.15</v>
      </c>
      <c r="K43" s="64">
        <v>356.35</v>
      </c>
      <c r="L43" s="64">
        <v>27.89</v>
      </c>
      <c r="M43" s="64">
        <v>98.05</v>
      </c>
      <c r="N43" s="64">
        <v>236.2</v>
      </c>
      <c r="O43" s="64">
        <v>0</v>
      </c>
      <c r="P43" s="64">
        <v>0.7</v>
      </c>
      <c r="Q43" s="64">
        <v>9.57</v>
      </c>
      <c r="R43" s="198"/>
      <c r="S43" s="198"/>
      <c r="T43" s="198"/>
      <c r="U43" s="198"/>
    </row>
    <row r="44" spans="1:21" s="12" customFormat="1" x14ac:dyDescent="0.25">
      <c r="A44" s="214" t="s">
        <v>2681</v>
      </c>
      <c r="B44" s="64">
        <v>25.84</v>
      </c>
      <c r="C44" s="64">
        <v>13.94</v>
      </c>
      <c r="D44" s="64">
        <v>28.01</v>
      </c>
      <c r="E44" s="64">
        <v>6.25</v>
      </c>
      <c r="F44" s="64">
        <v>8.07</v>
      </c>
      <c r="G44" s="64">
        <v>93.75</v>
      </c>
      <c r="H44" s="64">
        <v>2.99</v>
      </c>
      <c r="I44" s="64">
        <v>2.82</v>
      </c>
      <c r="J44" s="64">
        <v>0.2</v>
      </c>
      <c r="K44" s="64">
        <v>125.41</v>
      </c>
      <c r="L44" s="64">
        <v>27.99</v>
      </c>
      <c r="M44" s="64">
        <v>97.88</v>
      </c>
      <c r="N44" s="64">
        <v>534.70000000000005</v>
      </c>
      <c r="O44" s="64">
        <v>0</v>
      </c>
      <c r="P44" s="64">
        <v>0.48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14" t="s">
        <v>2682</v>
      </c>
      <c r="B45" s="64">
        <v>25.14</v>
      </c>
      <c r="C45" s="64">
        <v>13.88</v>
      </c>
      <c r="D45" s="64">
        <v>27.41</v>
      </c>
      <c r="E45" s="64">
        <v>5.89</v>
      </c>
      <c r="F45" s="64">
        <v>6.99</v>
      </c>
      <c r="G45" s="64">
        <v>82.41</v>
      </c>
      <c r="H45" s="64">
        <v>2.15</v>
      </c>
      <c r="I45" s="64">
        <v>2.77</v>
      </c>
      <c r="J45" s="64">
        <v>0.08</v>
      </c>
      <c r="K45" s="64">
        <v>5.5</v>
      </c>
      <c r="L45" s="64">
        <v>30.67</v>
      </c>
      <c r="M45" s="64">
        <v>86</v>
      </c>
      <c r="N45" s="64">
        <v>662.4</v>
      </c>
      <c r="O45" s="64">
        <v>0</v>
      </c>
      <c r="P45" s="64">
        <v>0.56999999999999995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4" t="s">
        <v>2683</v>
      </c>
      <c r="B46" s="64">
        <v>18.23</v>
      </c>
      <c r="C46" s="64">
        <v>15.1</v>
      </c>
      <c r="D46" s="64">
        <v>22.51</v>
      </c>
      <c r="E46" s="64">
        <v>5.69</v>
      </c>
      <c r="F46" s="64">
        <v>7.73</v>
      </c>
      <c r="G46" s="64">
        <v>81.61</v>
      </c>
      <c r="H46" s="64">
        <v>2.15</v>
      </c>
      <c r="I46" s="64">
        <v>2.73</v>
      </c>
      <c r="J46" s="64">
        <v>0.17</v>
      </c>
      <c r="K46" s="64">
        <v>77.23</v>
      </c>
      <c r="L46" s="64">
        <v>29.93</v>
      </c>
      <c r="M46" s="64">
        <v>89.75</v>
      </c>
      <c r="N46" s="64">
        <v>567.79999999999995</v>
      </c>
      <c r="O46" s="64">
        <v>0</v>
      </c>
      <c r="P46" s="64">
        <v>0.41</v>
      </c>
      <c r="Q46" s="64">
        <v>9.58</v>
      </c>
      <c r="R46" s="198"/>
      <c r="S46" s="198"/>
      <c r="T46" s="198"/>
      <c r="U46" s="198"/>
    </row>
    <row r="47" spans="1:21" s="12" customFormat="1" x14ac:dyDescent="0.25">
      <c r="A47" s="214" t="s">
        <v>2684</v>
      </c>
      <c r="B47" s="64">
        <v>21.74</v>
      </c>
      <c r="C47" s="64">
        <v>10.91</v>
      </c>
      <c r="D47" s="64">
        <v>23.13</v>
      </c>
      <c r="E47" s="64">
        <v>5.81</v>
      </c>
      <c r="F47" s="64">
        <v>9.0399999999999991</v>
      </c>
      <c r="G47" s="64">
        <v>81.61</v>
      </c>
      <c r="H47" s="64">
        <v>2.15</v>
      </c>
      <c r="I47" s="64">
        <v>2.69</v>
      </c>
      <c r="J47" s="64">
        <v>0.45</v>
      </c>
      <c r="K47" s="64">
        <v>117.75</v>
      </c>
      <c r="L47" s="64">
        <v>29.96</v>
      </c>
      <c r="M47" s="64">
        <v>89.83</v>
      </c>
      <c r="N47" s="64">
        <v>640.70000000000005</v>
      </c>
      <c r="O47" s="64">
        <v>0</v>
      </c>
      <c r="P47" s="64">
        <v>0.59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4" t="s">
        <v>2685</v>
      </c>
      <c r="B48" s="64">
        <v>16.5</v>
      </c>
      <c r="C48" s="64">
        <v>14.44</v>
      </c>
      <c r="D48" s="64">
        <v>20.78</v>
      </c>
      <c r="E48" s="64">
        <v>5.77</v>
      </c>
      <c r="F48" s="64">
        <v>8.6999999999999993</v>
      </c>
      <c r="G48" s="64">
        <v>81.61</v>
      </c>
      <c r="H48" s="64">
        <v>2.15</v>
      </c>
      <c r="I48" s="64">
        <v>2.64</v>
      </c>
      <c r="J48" s="64">
        <v>0.75</v>
      </c>
      <c r="K48" s="64">
        <v>126.85</v>
      </c>
      <c r="L48" s="64">
        <v>28.98</v>
      </c>
      <c r="M48" s="64">
        <v>95.7</v>
      </c>
      <c r="N48" s="64">
        <v>558.79999999999995</v>
      </c>
      <c r="O48" s="64">
        <v>0</v>
      </c>
      <c r="P48" s="64">
        <v>0.39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4" t="s">
        <v>2686</v>
      </c>
      <c r="B49" s="64">
        <v>18.04</v>
      </c>
      <c r="C49" s="64">
        <v>14.8</v>
      </c>
      <c r="D49" s="64">
        <v>22.2</v>
      </c>
      <c r="E49" s="64">
        <v>5.51</v>
      </c>
      <c r="F49" s="64">
        <v>8.0500000000000007</v>
      </c>
      <c r="G49" s="64">
        <v>58.55</v>
      </c>
      <c r="H49" s="64">
        <v>2.31</v>
      </c>
      <c r="I49" s="64">
        <v>2.57</v>
      </c>
      <c r="J49" s="64">
        <v>0.36</v>
      </c>
      <c r="K49" s="64">
        <v>120.97</v>
      </c>
      <c r="L49" s="64">
        <v>30.36</v>
      </c>
      <c r="M49" s="64">
        <v>89.93</v>
      </c>
      <c r="N49" s="64">
        <v>871.2</v>
      </c>
      <c r="O49" s="64">
        <v>0</v>
      </c>
      <c r="P49" s="64">
        <v>0.5</v>
      </c>
      <c r="Q49" s="64">
        <v>9.57</v>
      </c>
      <c r="R49" s="198"/>
      <c r="S49" s="198"/>
      <c r="T49" s="198"/>
      <c r="U49" s="198"/>
    </row>
    <row r="50" spans="1:21" s="12" customFormat="1" x14ac:dyDescent="0.25">
      <c r="A50" s="214" t="s">
        <v>2687</v>
      </c>
      <c r="B50" s="64">
        <v>16.52</v>
      </c>
      <c r="C50" s="64">
        <v>11.17</v>
      </c>
      <c r="D50" s="64">
        <v>19.09</v>
      </c>
      <c r="E50" s="64">
        <v>5.47</v>
      </c>
      <c r="F50" s="64">
        <v>10.35</v>
      </c>
      <c r="G50" s="64">
        <v>56.91</v>
      </c>
      <c r="H50" s="64">
        <v>2.31</v>
      </c>
      <c r="I50" s="64">
        <v>2.5299999999999998</v>
      </c>
      <c r="J50" s="64">
        <v>1.06</v>
      </c>
      <c r="K50" s="64">
        <v>128.44999999999999</v>
      </c>
      <c r="L50" s="64">
        <v>30.07</v>
      </c>
      <c r="M50" s="64">
        <v>89.87</v>
      </c>
      <c r="N50" s="64">
        <v>864.9</v>
      </c>
      <c r="O50" s="64">
        <v>0</v>
      </c>
      <c r="P50" s="64">
        <v>0.46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14" t="s">
        <v>2688</v>
      </c>
      <c r="B51" s="64">
        <v>13.84</v>
      </c>
      <c r="C51" s="64">
        <v>13.49</v>
      </c>
      <c r="D51" s="64">
        <v>18.14</v>
      </c>
      <c r="E51" s="64">
        <v>5.51</v>
      </c>
      <c r="F51" s="64">
        <v>12.34</v>
      </c>
      <c r="G51" s="64">
        <v>56.91</v>
      </c>
      <c r="H51" s="64">
        <v>2.31</v>
      </c>
      <c r="I51" s="64">
        <v>2.48</v>
      </c>
      <c r="J51" s="64">
        <v>0.73</v>
      </c>
      <c r="K51" s="64">
        <v>130.19999999999999</v>
      </c>
      <c r="L51" s="64">
        <v>30.63</v>
      </c>
      <c r="M51" s="64">
        <v>86.11</v>
      </c>
      <c r="N51" s="64">
        <v>910.1</v>
      </c>
      <c r="O51" s="64">
        <v>0</v>
      </c>
      <c r="P51" s="64">
        <v>0.39</v>
      </c>
      <c r="Q51" s="64">
        <v>9.5399999999999991</v>
      </c>
      <c r="R51" s="198"/>
      <c r="S51" s="198"/>
      <c r="T51" s="198"/>
      <c r="U51" s="198"/>
    </row>
    <row r="52" spans="1:21" s="12" customFormat="1" x14ac:dyDescent="0.25">
      <c r="A52" s="214" t="s">
        <v>2689</v>
      </c>
      <c r="B52" s="64">
        <v>17.66</v>
      </c>
      <c r="C52" s="64">
        <v>15.72</v>
      </c>
      <c r="D52" s="64">
        <v>22.38</v>
      </c>
      <c r="E52" s="64">
        <v>5.6</v>
      </c>
      <c r="F52" s="64">
        <v>10.67</v>
      </c>
      <c r="G52" s="64">
        <v>56.91</v>
      </c>
      <c r="H52" s="64">
        <v>2.31</v>
      </c>
      <c r="I52" s="64">
        <v>2.41</v>
      </c>
      <c r="J52" s="64">
        <v>0.2</v>
      </c>
      <c r="K52" s="64">
        <v>32.32</v>
      </c>
      <c r="L52" s="64">
        <v>31.2</v>
      </c>
      <c r="M52" s="64">
        <v>83.44</v>
      </c>
      <c r="N52" s="64">
        <v>668.2</v>
      </c>
      <c r="O52" s="64">
        <v>0</v>
      </c>
      <c r="P52" s="64">
        <v>0.57999999999999996</v>
      </c>
      <c r="Q52" s="64">
        <v>9.52</v>
      </c>
      <c r="R52" s="198"/>
      <c r="S52" s="198"/>
      <c r="T52" s="198"/>
      <c r="U52" s="198"/>
    </row>
    <row r="53" spans="1:21" s="12" customFormat="1" x14ac:dyDescent="0.25">
      <c r="A53" s="214" t="s">
        <v>2690</v>
      </c>
      <c r="B53" s="64">
        <v>18.52</v>
      </c>
      <c r="C53" s="64">
        <v>16.28</v>
      </c>
      <c r="D53" s="64">
        <v>23.36</v>
      </c>
      <c r="E53" s="64">
        <v>6.06</v>
      </c>
      <c r="F53" s="64">
        <v>12.78</v>
      </c>
      <c r="G53" s="64">
        <v>45.38</v>
      </c>
      <c r="H53" s="64">
        <v>3.41</v>
      </c>
      <c r="I53" s="64">
        <v>2.34</v>
      </c>
      <c r="J53" s="64">
        <v>0.51</v>
      </c>
      <c r="K53" s="64">
        <v>338.09</v>
      </c>
      <c r="L53" s="64">
        <v>32.159999999999997</v>
      </c>
      <c r="M53" s="64">
        <v>76.540000000000006</v>
      </c>
      <c r="N53" s="64">
        <v>520.5</v>
      </c>
      <c r="O53" s="64">
        <v>0</v>
      </c>
      <c r="P53" s="64">
        <v>0.56000000000000005</v>
      </c>
      <c r="Q53" s="64">
        <v>9.5</v>
      </c>
      <c r="R53" s="198"/>
      <c r="S53" s="198"/>
      <c r="T53" s="198"/>
      <c r="U53" s="198"/>
    </row>
    <row r="54" spans="1:21" s="12" customFormat="1" x14ac:dyDescent="0.25">
      <c r="A54" s="214" t="s">
        <v>2691</v>
      </c>
      <c r="B54" s="64">
        <v>15.95</v>
      </c>
      <c r="C54" s="64">
        <v>20.170000000000002</v>
      </c>
      <c r="D54" s="64">
        <v>23.33</v>
      </c>
      <c r="E54" s="64">
        <v>5.61</v>
      </c>
      <c r="F54" s="64">
        <v>11.42</v>
      </c>
      <c r="G54" s="64">
        <v>44.56</v>
      </c>
      <c r="H54" s="64">
        <v>3.41</v>
      </c>
      <c r="I54" s="64">
        <v>2.29</v>
      </c>
      <c r="J54" s="64">
        <v>0.16</v>
      </c>
      <c r="K54" s="64">
        <v>347.15</v>
      </c>
      <c r="L54" s="64">
        <v>31.58</v>
      </c>
      <c r="M54" s="64">
        <v>80</v>
      </c>
      <c r="N54" s="64">
        <v>683.9</v>
      </c>
      <c r="O54" s="64">
        <v>0</v>
      </c>
      <c r="P54" s="64">
        <v>0.59</v>
      </c>
      <c r="Q54" s="64">
        <v>9.44</v>
      </c>
      <c r="R54" s="198"/>
      <c r="S54" s="198"/>
      <c r="T54" s="198"/>
      <c r="U54" s="198"/>
    </row>
    <row r="55" spans="1:21" s="12" customFormat="1" x14ac:dyDescent="0.25">
      <c r="A55" s="214" t="s">
        <v>2692</v>
      </c>
      <c r="B55" s="64">
        <v>12.91</v>
      </c>
      <c r="C55" s="64">
        <v>16.43</v>
      </c>
      <c r="D55" s="64">
        <v>18.940000000000001</v>
      </c>
      <c r="E55" s="64">
        <v>6</v>
      </c>
      <c r="F55" s="64">
        <v>16.57</v>
      </c>
      <c r="G55" s="64">
        <v>44.56</v>
      </c>
      <c r="H55" s="64">
        <v>3.41</v>
      </c>
      <c r="I55" s="64">
        <v>2.21</v>
      </c>
      <c r="J55" s="64">
        <v>0.36</v>
      </c>
      <c r="K55" s="64">
        <v>112.37</v>
      </c>
      <c r="L55" s="64">
        <v>31.55</v>
      </c>
      <c r="M55" s="64">
        <v>77.09</v>
      </c>
      <c r="N55" s="64">
        <v>627.6</v>
      </c>
      <c r="O55" s="64">
        <v>0</v>
      </c>
      <c r="P55" s="64">
        <v>0.39</v>
      </c>
      <c r="Q55" s="64">
        <v>9.4</v>
      </c>
      <c r="R55" s="198"/>
      <c r="S55" s="198"/>
      <c r="T55" s="198"/>
      <c r="U55" s="198"/>
    </row>
    <row r="56" spans="1:21" s="12" customFormat="1" x14ac:dyDescent="0.25">
      <c r="A56" s="214" t="s">
        <v>2693</v>
      </c>
      <c r="B56" s="64">
        <v>12.34</v>
      </c>
      <c r="C56" s="64">
        <v>18.149999999999999</v>
      </c>
      <c r="D56" s="64">
        <v>19.38</v>
      </c>
      <c r="E56" s="64">
        <v>5.98</v>
      </c>
      <c r="F56" s="64">
        <v>13.91</v>
      </c>
      <c r="G56" s="64">
        <v>44.56</v>
      </c>
      <c r="H56" s="64">
        <v>3.5</v>
      </c>
      <c r="I56" s="64">
        <v>2.13</v>
      </c>
      <c r="J56" s="64">
        <v>0.4</v>
      </c>
      <c r="K56" s="64">
        <v>122.63</v>
      </c>
      <c r="L56" s="64">
        <v>31.07</v>
      </c>
      <c r="M56" s="64">
        <v>79.98</v>
      </c>
      <c r="N56" s="64">
        <v>867.1</v>
      </c>
      <c r="O56" s="64">
        <v>0</v>
      </c>
      <c r="P56" s="64">
        <v>0.38</v>
      </c>
      <c r="Q56" s="64">
        <v>9.3699999999999992</v>
      </c>
      <c r="R56" s="198"/>
      <c r="S56" s="198"/>
      <c r="T56" s="198"/>
      <c r="U56" s="198"/>
    </row>
    <row r="57" spans="1:21" s="12" customFormat="1" x14ac:dyDescent="0.25">
      <c r="A57" s="214" t="s">
        <v>2694</v>
      </c>
      <c r="B57" s="64">
        <v>12.38</v>
      </c>
      <c r="C57" s="64">
        <v>15.5</v>
      </c>
      <c r="D57" s="64">
        <v>18.02</v>
      </c>
      <c r="E57" s="64">
        <v>6.41</v>
      </c>
      <c r="F57" s="64">
        <v>18.739999999999998</v>
      </c>
      <c r="G57" s="64">
        <v>46.18</v>
      </c>
      <c r="H57" s="64">
        <v>7.44</v>
      </c>
      <c r="I57" s="64">
        <v>2.09</v>
      </c>
      <c r="J57" s="64">
        <v>0.21</v>
      </c>
      <c r="K57" s="64">
        <v>31.8</v>
      </c>
      <c r="L57" s="64">
        <v>32.200000000000003</v>
      </c>
      <c r="M57" s="64">
        <v>72.010000000000005</v>
      </c>
      <c r="N57" s="64">
        <v>899.5</v>
      </c>
      <c r="O57" s="64">
        <v>0</v>
      </c>
      <c r="P57" s="64">
        <v>0.42</v>
      </c>
      <c r="Q57" s="64">
        <v>9.35</v>
      </c>
      <c r="R57" s="198"/>
      <c r="S57" s="198"/>
      <c r="T57" s="198"/>
      <c r="U57" s="198"/>
    </row>
    <row r="58" spans="1:21" s="12" customFormat="1" x14ac:dyDescent="0.25">
      <c r="A58" s="214" t="s">
        <v>2695</v>
      </c>
      <c r="B58" s="64">
        <v>13.56</v>
      </c>
      <c r="C58" s="64">
        <v>15.19</v>
      </c>
      <c r="D58" s="64">
        <v>18.809999999999999</v>
      </c>
      <c r="E58" s="64">
        <v>6.64</v>
      </c>
      <c r="F58" s="64">
        <v>12.54</v>
      </c>
      <c r="G58" s="64">
        <v>46.3</v>
      </c>
      <c r="H58" s="64">
        <v>7.44</v>
      </c>
      <c r="I58" s="64">
        <v>2.0499999999999998</v>
      </c>
      <c r="J58" s="64">
        <v>1.44</v>
      </c>
      <c r="K58" s="64">
        <v>337.19</v>
      </c>
      <c r="L58" s="64">
        <v>32.74</v>
      </c>
      <c r="M58" s="64">
        <v>72.02</v>
      </c>
      <c r="N58" s="64">
        <v>774.4</v>
      </c>
      <c r="O58" s="64">
        <v>0</v>
      </c>
      <c r="P58" s="64">
        <v>0.45</v>
      </c>
      <c r="Q58" s="64">
        <v>9.32</v>
      </c>
      <c r="R58" s="198"/>
      <c r="S58" s="198"/>
      <c r="T58" s="198"/>
      <c r="U58" s="198"/>
    </row>
    <row r="59" spans="1:21" s="12" customFormat="1" x14ac:dyDescent="0.25">
      <c r="A59" s="214" t="s">
        <v>2696</v>
      </c>
      <c r="B59" s="64">
        <v>12.74</v>
      </c>
      <c r="C59" s="64">
        <v>18.38</v>
      </c>
      <c r="D59" s="64">
        <v>19.82</v>
      </c>
      <c r="E59" s="64">
        <v>7.37</v>
      </c>
      <c r="F59" s="64">
        <v>12.98</v>
      </c>
      <c r="G59" s="64">
        <v>46.3</v>
      </c>
      <c r="H59" s="64">
        <v>7.44</v>
      </c>
      <c r="I59" s="64">
        <v>1.98</v>
      </c>
      <c r="J59" s="64">
        <v>0.28000000000000003</v>
      </c>
      <c r="K59" s="64">
        <v>124.46</v>
      </c>
      <c r="L59" s="64">
        <v>32.46</v>
      </c>
      <c r="M59" s="64">
        <v>73.09</v>
      </c>
      <c r="N59" s="64">
        <v>691.5</v>
      </c>
      <c r="O59" s="64">
        <v>0</v>
      </c>
      <c r="P59" s="64">
        <v>0.36</v>
      </c>
      <c r="Q59" s="64">
        <v>9.3000000000000007</v>
      </c>
      <c r="R59" s="198"/>
      <c r="S59" s="198"/>
      <c r="T59" s="198"/>
      <c r="U59" s="198"/>
    </row>
    <row r="60" spans="1:21" s="12" customFormat="1" x14ac:dyDescent="0.25">
      <c r="A60" s="214" t="s">
        <v>2697</v>
      </c>
      <c r="B60" s="64">
        <v>13.4</v>
      </c>
      <c r="C60" s="64">
        <v>17.579999999999998</v>
      </c>
      <c r="D60" s="64">
        <v>19.93</v>
      </c>
      <c r="E60" s="64">
        <v>6.36</v>
      </c>
      <c r="F60" s="64">
        <v>11.24</v>
      </c>
      <c r="G60" s="64">
        <v>46.3</v>
      </c>
      <c r="H60" s="64">
        <v>7.44</v>
      </c>
      <c r="I60" s="64">
        <v>1.9</v>
      </c>
      <c r="J60" s="64">
        <v>0.4</v>
      </c>
      <c r="K60" s="64">
        <v>332.26</v>
      </c>
      <c r="L60" s="64">
        <v>31.58</v>
      </c>
      <c r="M60" s="64">
        <v>74.64</v>
      </c>
      <c r="N60" s="64">
        <v>356.3</v>
      </c>
      <c r="O60" s="64">
        <v>0</v>
      </c>
      <c r="P60" s="64">
        <v>0.47</v>
      </c>
      <c r="Q60" s="64">
        <v>9.2799999999999994</v>
      </c>
      <c r="R60" s="198"/>
      <c r="S60" s="198"/>
      <c r="T60" s="198"/>
      <c r="U60" s="198"/>
    </row>
    <row r="61" spans="1:21" s="12" customFormat="1" x14ac:dyDescent="0.25">
      <c r="A61" s="214" t="s">
        <v>2698</v>
      </c>
      <c r="B61" s="64">
        <v>11.6</v>
      </c>
      <c r="C61" s="64">
        <v>15.2</v>
      </c>
      <c r="D61" s="64">
        <v>17.25</v>
      </c>
      <c r="E61" s="64">
        <v>6.32</v>
      </c>
      <c r="F61" s="64">
        <v>15.26</v>
      </c>
      <c r="G61" s="64">
        <v>52.05</v>
      </c>
      <c r="H61" s="64">
        <v>7</v>
      </c>
      <c r="I61" s="64">
        <v>1.85</v>
      </c>
      <c r="J61" s="64">
        <v>0.13</v>
      </c>
      <c r="K61" s="64">
        <v>26.63</v>
      </c>
      <c r="L61" s="64">
        <v>31.09</v>
      </c>
      <c r="M61" s="64">
        <v>77.52</v>
      </c>
      <c r="N61" s="64">
        <v>363</v>
      </c>
      <c r="O61" s="64">
        <v>0</v>
      </c>
      <c r="P61" s="64">
        <v>0.42</v>
      </c>
      <c r="Q61" s="64">
        <v>9.27</v>
      </c>
      <c r="R61" s="198"/>
      <c r="S61" s="198"/>
      <c r="T61" s="198"/>
      <c r="U61" s="198"/>
    </row>
    <row r="62" spans="1:21" s="12" customFormat="1" x14ac:dyDescent="0.25">
      <c r="A62" s="214" t="s">
        <v>2699</v>
      </c>
      <c r="B62" s="64">
        <v>14.37</v>
      </c>
      <c r="C62" s="64">
        <v>18.149999999999999</v>
      </c>
      <c r="D62" s="64">
        <v>21</v>
      </c>
      <c r="E62" s="64">
        <v>6.08</v>
      </c>
      <c r="F62" s="64">
        <v>16.75</v>
      </c>
      <c r="G62" s="64">
        <v>52.46</v>
      </c>
      <c r="H62" s="64">
        <v>7</v>
      </c>
      <c r="I62" s="64">
        <v>1.81</v>
      </c>
      <c r="J62" s="64">
        <v>0.49</v>
      </c>
      <c r="K62" s="64">
        <v>331.95</v>
      </c>
      <c r="L62" s="64">
        <v>32.01</v>
      </c>
      <c r="M62" s="64">
        <v>71.5</v>
      </c>
      <c r="N62" s="64">
        <v>326.7</v>
      </c>
      <c r="O62" s="64">
        <v>0</v>
      </c>
      <c r="P62" s="64">
        <v>0.47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14" t="s">
        <v>2700</v>
      </c>
      <c r="B63" s="64">
        <v>12.06</v>
      </c>
      <c r="C63" s="64">
        <v>20.190000000000001</v>
      </c>
      <c r="D63" s="64">
        <v>20.22</v>
      </c>
      <c r="E63" s="64">
        <v>6.16</v>
      </c>
      <c r="F63" s="64">
        <v>15.13</v>
      </c>
      <c r="G63" s="64">
        <v>52.46</v>
      </c>
      <c r="H63" s="64">
        <v>7</v>
      </c>
      <c r="I63" s="64">
        <v>1.78</v>
      </c>
      <c r="J63" s="64">
        <v>0.19</v>
      </c>
      <c r="K63" s="64">
        <v>143.53</v>
      </c>
      <c r="L63" s="64">
        <v>31.21</v>
      </c>
      <c r="M63" s="64">
        <v>77.010000000000005</v>
      </c>
      <c r="N63" s="64">
        <v>380.4</v>
      </c>
      <c r="O63" s="64">
        <v>0</v>
      </c>
      <c r="P63" s="64">
        <v>0.43</v>
      </c>
      <c r="Q63" s="64">
        <v>9.25</v>
      </c>
      <c r="R63" s="198"/>
      <c r="S63" s="198"/>
      <c r="T63" s="198"/>
      <c r="U63" s="198"/>
    </row>
    <row r="64" spans="1:21" s="12" customFormat="1" x14ac:dyDescent="0.25">
      <c r="A64" s="214" t="s">
        <v>2701</v>
      </c>
      <c r="B64" s="64">
        <v>15.24</v>
      </c>
      <c r="C64" s="64">
        <v>19.59</v>
      </c>
      <c r="D64" s="64">
        <v>22.44</v>
      </c>
      <c r="E64" s="64">
        <v>6.54</v>
      </c>
      <c r="F64" s="64">
        <v>13.04</v>
      </c>
      <c r="G64" s="64">
        <v>52.46</v>
      </c>
      <c r="H64" s="64">
        <v>7</v>
      </c>
      <c r="I64" s="64">
        <v>1.75</v>
      </c>
      <c r="J64" s="64">
        <v>0.83</v>
      </c>
      <c r="K64" s="64">
        <v>334.94</v>
      </c>
      <c r="L64" s="64">
        <v>31.03</v>
      </c>
      <c r="M64" s="64">
        <v>78.680000000000007</v>
      </c>
      <c r="N64" s="64">
        <v>180.7</v>
      </c>
      <c r="O64" s="64">
        <v>0</v>
      </c>
      <c r="P64" s="64">
        <v>0.57999999999999996</v>
      </c>
      <c r="Q64" s="64">
        <v>9.24</v>
      </c>
      <c r="R64" s="198"/>
      <c r="S64" s="198"/>
      <c r="T64" s="198"/>
      <c r="U64" s="198"/>
    </row>
    <row r="65" spans="1:21" s="12" customFormat="1" x14ac:dyDescent="0.25">
      <c r="A65" s="214" t="s">
        <v>2702</v>
      </c>
      <c r="B65" s="64">
        <v>12.84</v>
      </c>
      <c r="C65" s="64">
        <v>22.14</v>
      </c>
      <c r="D65" s="64">
        <v>21.87</v>
      </c>
      <c r="E65" s="64">
        <v>6.51</v>
      </c>
      <c r="F65" s="64">
        <v>14.55</v>
      </c>
      <c r="G65" s="64">
        <v>51.51</v>
      </c>
      <c r="H65" s="64">
        <v>7.33</v>
      </c>
      <c r="I65" s="64">
        <v>1.72</v>
      </c>
      <c r="J65" s="64">
        <v>0.35</v>
      </c>
      <c r="K65" s="64">
        <v>338.68</v>
      </c>
      <c r="L65" s="64">
        <v>30.74</v>
      </c>
      <c r="M65" s="64">
        <v>77.180000000000007</v>
      </c>
      <c r="N65" s="64">
        <v>240.2</v>
      </c>
      <c r="O65" s="64">
        <v>0</v>
      </c>
      <c r="P65" s="64">
        <v>0.57999999999999996</v>
      </c>
      <c r="Q65" s="64">
        <v>9.24</v>
      </c>
      <c r="R65" s="198"/>
      <c r="S65" s="198"/>
      <c r="T65" s="198"/>
      <c r="U65" s="198"/>
    </row>
    <row r="66" spans="1:21" s="12" customFormat="1" x14ac:dyDescent="0.25">
      <c r="A66" s="214" t="s">
        <v>2703</v>
      </c>
      <c r="B66" s="64">
        <v>15.92</v>
      </c>
      <c r="C66" s="64">
        <v>19.149999999999999</v>
      </c>
      <c r="D66" s="64">
        <v>22.77</v>
      </c>
      <c r="E66" s="64">
        <v>6.97</v>
      </c>
      <c r="F66" s="64">
        <v>11.72</v>
      </c>
      <c r="G66" s="64">
        <v>51.44</v>
      </c>
      <c r="H66" s="64">
        <v>7.33</v>
      </c>
      <c r="I66" s="64">
        <v>1.71</v>
      </c>
      <c r="J66" s="64">
        <v>0.31</v>
      </c>
      <c r="K66" s="64">
        <v>332.48</v>
      </c>
      <c r="L66" s="64">
        <v>30.49</v>
      </c>
      <c r="M66" s="64">
        <v>80.05</v>
      </c>
      <c r="N66" s="64">
        <v>286</v>
      </c>
      <c r="O66" s="64">
        <v>0</v>
      </c>
      <c r="P66" s="64">
        <v>0.5</v>
      </c>
      <c r="Q66" s="64">
        <v>9.24</v>
      </c>
      <c r="R66" s="198"/>
      <c r="S66" s="198"/>
      <c r="T66" s="198"/>
      <c r="U66" s="198"/>
    </row>
    <row r="67" spans="1:21" s="12" customFormat="1" x14ac:dyDescent="0.25">
      <c r="A67" s="214" t="s">
        <v>2704</v>
      </c>
      <c r="B67" s="64">
        <v>12.37</v>
      </c>
      <c r="C67" s="64">
        <v>22.61</v>
      </c>
      <c r="D67" s="64">
        <v>21.73</v>
      </c>
      <c r="E67" s="64">
        <v>7.01</v>
      </c>
      <c r="F67" s="64">
        <v>18.96</v>
      </c>
      <c r="G67" s="64">
        <v>51.44</v>
      </c>
      <c r="H67" s="64">
        <v>7.33</v>
      </c>
      <c r="I67" s="64">
        <v>1.71</v>
      </c>
      <c r="J67" s="64">
        <v>0.25</v>
      </c>
      <c r="K67" s="64">
        <v>357.87</v>
      </c>
      <c r="L67" s="64">
        <v>30.77</v>
      </c>
      <c r="M67" s="64">
        <v>78.2</v>
      </c>
      <c r="N67" s="64">
        <v>258.3</v>
      </c>
      <c r="O67" s="64">
        <v>0</v>
      </c>
      <c r="P67" s="64">
        <v>0.46</v>
      </c>
      <c r="Q67" s="64">
        <v>9.25</v>
      </c>
      <c r="R67" s="198"/>
      <c r="S67" s="198"/>
      <c r="T67" s="198"/>
      <c r="U67" s="198"/>
    </row>
    <row r="68" spans="1:21" s="12" customFormat="1" x14ac:dyDescent="0.25">
      <c r="A68" s="214" t="s">
        <v>2705</v>
      </c>
      <c r="B68" s="64">
        <v>12.46</v>
      </c>
      <c r="C68" s="64">
        <v>20.010000000000002</v>
      </c>
      <c r="D68" s="64">
        <v>20.45</v>
      </c>
      <c r="E68" s="64">
        <v>6.99</v>
      </c>
      <c r="F68" s="64">
        <v>16.97</v>
      </c>
      <c r="G68" s="64">
        <v>51.44</v>
      </c>
      <c r="H68" s="64">
        <v>7.33</v>
      </c>
      <c r="I68" s="64">
        <v>1.71</v>
      </c>
      <c r="J68" s="64">
        <v>0.6</v>
      </c>
      <c r="K68" s="64">
        <v>332.65</v>
      </c>
      <c r="L68" s="64">
        <v>30.29</v>
      </c>
      <c r="M68" s="64">
        <v>79.92</v>
      </c>
      <c r="N68" s="64">
        <v>219</v>
      </c>
      <c r="O68" s="64">
        <v>0</v>
      </c>
      <c r="P68" s="64">
        <v>0.49</v>
      </c>
      <c r="Q68" s="64">
        <v>9.25</v>
      </c>
      <c r="R68" s="198"/>
      <c r="S68" s="198"/>
      <c r="T68" s="198"/>
      <c r="U68" s="198"/>
    </row>
    <row r="69" spans="1:21" s="12" customFormat="1" x14ac:dyDescent="0.25">
      <c r="A69" s="214" t="s">
        <v>2706</v>
      </c>
      <c r="B69" s="64">
        <v>9.93</v>
      </c>
      <c r="C69" s="64">
        <v>18.05</v>
      </c>
      <c r="D69" s="64">
        <v>17.39</v>
      </c>
      <c r="E69" s="64">
        <v>6.73</v>
      </c>
      <c r="F69" s="64">
        <v>15.06</v>
      </c>
      <c r="G69" s="64">
        <v>46.35</v>
      </c>
      <c r="H69" s="64">
        <v>12.52</v>
      </c>
      <c r="I69" s="64">
        <v>1.69</v>
      </c>
      <c r="J69" s="64">
        <v>0.35</v>
      </c>
      <c r="K69" s="64">
        <v>132.47</v>
      </c>
      <c r="L69" s="64">
        <v>29.67</v>
      </c>
      <c r="M69" s="64">
        <v>83.09</v>
      </c>
      <c r="N69" s="64">
        <v>182.9</v>
      </c>
      <c r="O69" s="64">
        <v>0</v>
      </c>
      <c r="P69" s="64">
        <v>0.47</v>
      </c>
      <c r="Q69" s="64">
        <v>9.25</v>
      </c>
      <c r="R69" s="198"/>
      <c r="S69" s="198"/>
      <c r="T69" s="198"/>
      <c r="U69" s="198"/>
    </row>
    <row r="70" spans="1:21" s="12" customFormat="1" x14ac:dyDescent="0.25">
      <c r="A70" s="214" t="s">
        <v>2707</v>
      </c>
      <c r="B70" s="64">
        <v>9.98</v>
      </c>
      <c r="C70" s="64">
        <v>23.78</v>
      </c>
      <c r="D70" s="64">
        <v>20.43</v>
      </c>
      <c r="E70" s="64">
        <v>6.41</v>
      </c>
      <c r="F70" s="64">
        <v>19.170000000000002</v>
      </c>
      <c r="G70" s="64">
        <v>45.99</v>
      </c>
      <c r="H70" s="64">
        <v>12.52</v>
      </c>
      <c r="I70" s="64">
        <v>1.67</v>
      </c>
      <c r="J70" s="64">
        <v>0.03</v>
      </c>
      <c r="K70" s="64">
        <v>114.77</v>
      </c>
      <c r="L70" s="64">
        <v>29.27</v>
      </c>
      <c r="M70" s="64">
        <v>86.79</v>
      </c>
      <c r="N70" s="64">
        <v>136.69999999999999</v>
      </c>
      <c r="O70" s="64">
        <v>0</v>
      </c>
      <c r="P70" s="64">
        <v>0.49</v>
      </c>
      <c r="Q70" s="64">
        <v>9.26</v>
      </c>
      <c r="R70" s="198"/>
      <c r="S70" s="198"/>
      <c r="T70" s="198"/>
      <c r="U70" s="198"/>
    </row>
    <row r="71" spans="1:21" s="12" customFormat="1" x14ac:dyDescent="0.25">
      <c r="A71" s="214" t="s">
        <v>2708</v>
      </c>
      <c r="B71" s="64">
        <v>9.4700000000000006</v>
      </c>
      <c r="C71" s="64">
        <v>23.64</v>
      </c>
      <c r="D71" s="64">
        <v>19.95</v>
      </c>
      <c r="E71" s="64">
        <v>6.41</v>
      </c>
      <c r="F71" s="64">
        <v>18.98</v>
      </c>
      <c r="G71" s="64">
        <v>45.99</v>
      </c>
      <c r="H71" s="64">
        <v>12.52</v>
      </c>
      <c r="I71" s="64">
        <v>1.65</v>
      </c>
      <c r="J71" s="64">
        <v>0.2</v>
      </c>
      <c r="K71" s="64">
        <v>149.03</v>
      </c>
      <c r="L71" s="64">
        <v>29.12</v>
      </c>
      <c r="M71" s="64">
        <v>88.36</v>
      </c>
      <c r="N71" s="64">
        <v>107.1</v>
      </c>
      <c r="O71" s="64">
        <v>0</v>
      </c>
      <c r="P71" s="64">
        <v>0.48</v>
      </c>
      <c r="Q71" s="64">
        <v>9.25</v>
      </c>
      <c r="R71" s="198"/>
      <c r="S71" s="198"/>
      <c r="T71" s="198"/>
      <c r="U71" s="198"/>
    </row>
    <row r="72" spans="1:21" s="12" customFormat="1" x14ac:dyDescent="0.25">
      <c r="A72" s="214" t="s">
        <v>2709</v>
      </c>
      <c r="B72" s="64">
        <v>11.07</v>
      </c>
      <c r="C72" s="64">
        <v>22.31</v>
      </c>
      <c r="D72" s="64">
        <v>20.53</v>
      </c>
      <c r="E72" s="64">
        <v>5.08</v>
      </c>
      <c r="F72" s="64">
        <v>46.05</v>
      </c>
      <c r="G72" s="64">
        <v>45.99</v>
      </c>
      <c r="H72" s="64">
        <v>12.52</v>
      </c>
      <c r="I72" s="64">
        <v>1.64</v>
      </c>
      <c r="J72" s="64">
        <v>7.0000000000000007E-2</v>
      </c>
      <c r="K72" s="64">
        <v>147.78</v>
      </c>
      <c r="L72" s="64">
        <v>28.81</v>
      </c>
      <c r="M72" s="64">
        <v>91.44</v>
      </c>
      <c r="N72" s="64">
        <v>66.599999999999994</v>
      </c>
      <c r="O72" s="64">
        <v>0</v>
      </c>
      <c r="P72" s="64">
        <v>0.53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14" t="s">
        <v>2710</v>
      </c>
      <c r="B73" s="64">
        <v>11.81</v>
      </c>
      <c r="C73" s="64">
        <v>18.43</v>
      </c>
      <c r="D73" s="64">
        <v>19.100000000000001</v>
      </c>
      <c r="E73" s="64">
        <v>4.74</v>
      </c>
      <c r="F73" s="64">
        <v>15.07</v>
      </c>
      <c r="G73" s="64">
        <v>42.95</v>
      </c>
      <c r="H73" s="64">
        <v>9.92</v>
      </c>
      <c r="I73" s="64">
        <v>1.64</v>
      </c>
      <c r="J73" s="64">
        <v>0.53</v>
      </c>
      <c r="K73" s="64">
        <v>327.33999999999997</v>
      </c>
      <c r="L73" s="64">
        <v>28.17</v>
      </c>
      <c r="M73" s="64">
        <v>94.45</v>
      </c>
      <c r="N73" s="64">
        <v>85.1</v>
      </c>
      <c r="O73" s="64">
        <v>0</v>
      </c>
      <c r="P73" s="64">
        <v>0.54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14" t="s">
        <v>2711</v>
      </c>
      <c r="B74" s="64">
        <v>11.3</v>
      </c>
      <c r="C74" s="64">
        <v>17.809999999999999</v>
      </c>
      <c r="D74" s="64">
        <v>18.36</v>
      </c>
      <c r="E74" s="64">
        <v>5.3</v>
      </c>
      <c r="F74" s="64">
        <v>20.260000000000002</v>
      </c>
      <c r="G74" s="64">
        <v>42.73</v>
      </c>
      <c r="H74" s="64">
        <v>9.92</v>
      </c>
      <c r="I74" s="64">
        <v>1.64</v>
      </c>
      <c r="J74" s="64">
        <v>0.08</v>
      </c>
      <c r="K74" s="64">
        <v>226.51</v>
      </c>
      <c r="L74" s="64">
        <v>27.13</v>
      </c>
      <c r="M74" s="64">
        <v>96.78</v>
      </c>
      <c r="N74" s="64">
        <v>84.1</v>
      </c>
      <c r="O74" s="64">
        <v>0</v>
      </c>
      <c r="P74" s="64">
        <v>0.48</v>
      </c>
      <c r="Q74" s="64">
        <v>9.25</v>
      </c>
      <c r="R74" s="198"/>
      <c r="S74" s="198"/>
      <c r="T74" s="198"/>
      <c r="U74" s="198"/>
    </row>
    <row r="75" spans="1:21" s="12" customFormat="1" x14ac:dyDescent="0.25">
      <c r="A75" s="214" t="s">
        <v>2712</v>
      </c>
      <c r="B75" s="64">
        <v>9.4600000000000009</v>
      </c>
      <c r="C75" s="64">
        <v>15.36</v>
      </c>
      <c r="D75" s="64">
        <v>15.61</v>
      </c>
      <c r="E75" s="64">
        <v>5.09</v>
      </c>
      <c r="F75" s="64">
        <v>17.02</v>
      </c>
      <c r="G75" s="64">
        <v>42.73</v>
      </c>
      <c r="H75" s="64">
        <v>9.92</v>
      </c>
      <c r="I75" s="64">
        <v>1.64</v>
      </c>
      <c r="J75" s="64">
        <v>0.11</v>
      </c>
      <c r="K75" s="64">
        <v>165.42</v>
      </c>
      <c r="L75" s="64">
        <v>26.85</v>
      </c>
      <c r="M75" s="64">
        <v>96.66</v>
      </c>
      <c r="N75" s="64">
        <v>77.3</v>
      </c>
      <c r="O75" s="64">
        <v>0</v>
      </c>
      <c r="P75" s="64">
        <v>0.45</v>
      </c>
      <c r="Q75" s="64">
        <v>9.24</v>
      </c>
      <c r="R75" s="198"/>
      <c r="S75" s="198"/>
      <c r="T75" s="198"/>
      <c r="U75" s="198"/>
    </row>
    <row r="76" spans="1:21" s="12" customFormat="1" x14ac:dyDescent="0.25">
      <c r="A76" s="214" t="s">
        <v>2713</v>
      </c>
      <c r="B76" s="64">
        <v>11.01</v>
      </c>
      <c r="C76" s="64">
        <v>14.37</v>
      </c>
      <c r="D76" s="64">
        <v>16.34</v>
      </c>
      <c r="E76" s="64">
        <v>5.35</v>
      </c>
      <c r="F76" s="64">
        <v>12.39</v>
      </c>
      <c r="G76" s="64">
        <v>42.73</v>
      </c>
      <c r="H76" s="64">
        <v>9.92</v>
      </c>
      <c r="I76" s="64">
        <v>1.62</v>
      </c>
      <c r="J76" s="64">
        <v>0.1</v>
      </c>
      <c r="K76" s="64">
        <v>178.39</v>
      </c>
      <c r="L76" s="64">
        <v>26.84</v>
      </c>
      <c r="M76" s="64">
        <v>95.02</v>
      </c>
      <c r="N76" s="64">
        <v>64.7</v>
      </c>
      <c r="O76" s="64">
        <v>0</v>
      </c>
      <c r="P76" s="64">
        <v>0.47</v>
      </c>
      <c r="Q76" s="64">
        <v>9.23</v>
      </c>
      <c r="R76" s="198"/>
      <c r="S76" s="198"/>
      <c r="T76" s="198"/>
      <c r="U76" s="198"/>
    </row>
    <row r="77" spans="1:21" s="12" customFormat="1" x14ac:dyDescent="0.25">
      <c r="A77" s="214" t="s">
        <v>2714</v>
      </c>
      <c r="B77" s="64">
        <v>10.26</v>
      </c>
      <c r="C77" s="64">
        <v>15.04</v>
      </c>
      <c r="D77" s="64">
        <v>16.079999999999998</v>
      </c>
      <c r="E77" s="64">
        <v>5.09</v>
      </c>
      <c r="F77" s="64">
        <v>13.54</v>
      </c>
      <c r="G77" s="64">
        <v>42.46</v>
      </c>
      <c r="H77" s="64">
        <v>8.1</v>
      </c>
      <c r="I77" s="64">
        <v>1.61</v>
      </c>
      <c r="J77" s="64">
        <v>0.17</v>
      </c>
      <c r="K77" s="64">
        <v>148.03</v>
      </c>
      <c r="L77" s="64">
        <v>26.61</v>
      </c>
      <c r="M77" s="64">
        <v>96.3</v>
      </c>
      <c r="N77" s="64">
        <v>54.6</v>
      </c>
      <c r="O77" s="64">
        <v>0</v>
      </c>
      <c r="P77" s="64">
        <v>0.44</v>
      </c>
      <c r="Q77" s="64">
        <v>9.23</v>
      </c>
      <c r="R77" s="198"/>
      <c r="S77" s="198"/>
      <c r="T77" s="198"/>
      <c r="U77" s="198"/>
    </row>
    <row r="78" spans="1:21" s="12" customFormat="1" x14ac:dyDescent="0.25">
      <c r="A78" s="214" t="s">
        <v>2715</v>
      </c>
      <c r="B78" s="64">
        <v>10.08</v>
      </c>
      <c r="C78" s="64">
        <v>12.27</v>
      </c>
      <c r="D78" s="64">
        <v>14.5</v>
      </c>
      <c r="E78" s="64">
        <v>5.4</v>
      </c>
      <c r="F78" s="64">
        <v>8.5500000000000007</v>
      </c>
      <c r="G78" s="64">
        <v>42.44</v>
      </c>
      <c r="H78" s="64">
        <v>8.1</v>
      </c>
      <c r="I78" s="64">
        <v>1.61</v>
      </c>
      <c r="J78" s="64">
        <v>1.02</v>
      </c>
      <c r="K78" s="64">
        <v>127.1</v>
      </c>
      <c r="L78" s="64">
        <v>26.16</v>
      </c>
      <c r="M78" s="64">
        <v>97.68</v>
      </c>
      <c r="N78" s="64">
        <v>45.9</v>
      </c>
      <c r="O78" s="64">
        <v>0</v>
      </c>
      <c r="P78" s="64">
        <v>0.48</v>
      </c>
      <c r="Q78" s="64">
        <v>9.2200000000000006</v>
      </c>
      <c r="R78" s="198"/>
      <c r="S78" s="198"/>
      <c r="T78" s="198"/>
      <c r="U78" s="198"/>
    </row>
    <row r="79" spans="1:21" s="12" customFormat="1" x14ac:dyDescent="0.25">
      <c r="A79" s="214" t="s">
        <v>2716</v>
      </c>
      <c r="B79" s="64">
        <v>7.9</v>
      </c>
      <c r="C79" s="64">
        <v>15.43</v>
      </c>
      <c r="D79" s="64">
        <v>14.4</v>
      </c>
      <c r="E79" s="64">
        <v>5.04</v>
      </c>
      <c r="F79" s="64">
        <v>12.72</v>
      </c>
      <c r="G79" s="64">
        <v>42.44</v>
      </c>
      <c r="H79" s="64">
        <v>8.1</v>
      </c>
      <c r="I79" s="64">
        <v>1.6</v>
      </c>
      <c r="J79" s="64">
        <v>0.66</v>
      </c>
      <c r="K79" s="64">
        <v>129.81</v>
      </c>
      <c r="L79" s="64">
        <v>25.52</v>
      </c>
      <c r="M79" s="64">
        <v>97.88</v>
      </c>
      <c r="N79" s="64">
        <v>42.2</v>
      </c>
      <c r="O79" s="64">
        <v>0</v>
      </c>
      <c r="P79" s="64">
        <v>0.35</v>
      </c>
      <c r="Q79" s="64">
        <v>9.1999999999999993</v>
      </c>
      <c r="R79" s="198"/>
      <c r="S79" s="198"/>
      <c r="T79" s="198"/>
      <c r="U79" s="198"/>
    </row>
    <row r="80" spans="1:21" s="12" customFormat="1" x14ac:dyDescent="0.25">
      <c r="A80" s="214" t="s">
        <v>2717</v>
      </c>
      <c r="B80" s="64">
        <v>8.32</v>
      </c>
      <c r="C80" s="64">
        <v>13.98</v>
      </c>
      <c r="D80" s="64">
        <v>13.98</v>
      </c>
      <c r="E80" s="64">
        <v>5.24</v>
      </c>
      <c r="F80" s="64">
        <v>9.2799999999999994</v>
      </c>
      <c r="G80" s="64">
        <v>42.44</v>
      </c>
      <c r="H80" s="64">
        <v>8.1</v>
      </c>
      <c r="I80" s="64">
        <v>1.6</v>
      </c>
      <c r="J80" s="64">
        <v>0.83</v>
      </c>
      <c r="K80" s="64">
        <v>121.62</v>
      </c>
      <c r="L80" s="64">
        <v>25.32</v>
      </c>
      <c r="M80" s="64">
        <v>97.9</v>
      </c>
      <c r="N80" s="64">
        <v>41.2</v>
      </c>
      <c r="O80" s="64">
        <v>0</v>
      </c>
      <c r="P80" s="64">
        <v>0.44</v>
      </c>
      <c r="Q80" s="64">
        <v>9.19</v>
      </c>
      <c r="R80" s="198"/>
      <c r="S80" s="198"/>
      <c r="T80" s="198"/>
      <c r="U80" s="198"/>
    </row>
    <row r="81" spans="1:26" s="12" customFormat="1" x14ac:dyDescent="0.25">
      <c r="A81" s="214" t="s">
        <v>2718</v>
      </c>
      <c r="B81" s="64">
        <v>7.03</v>
      </c>
      <c r="C81" s="64">
        <v>16.100000000000001</v>
      </c>
      <c r="D81" s="64">
        <v>14.05</v>
      </c>
      <c r="E81" s="64">
        <v>4.92</v>
      </c>
      <c r="F81" s="64">
        <v>13.32</v>
      </c>
      <c r="G81" s="64">
        <v>43.23</v>
      </c>
      <c r="H81" s="64">
        <v>6.82</v>
      </c>
      <c r="I81" s="64">
        <v>1.59</v>
      </c>
      <c r="J81" s="64">
        <v>0.39</v>
      </c>
      <c r="K81" s="64">
        <v>114.4</v>
      </c>
      <c r="L81" s="64">
        <v>25.25</v>
      </c>
      <c r="M81" s="64">
        <v>97.88</v>
      </c>
      <c r="N81" s="64">
        <v>41.6</v>
      </c>
      <c r="O81" s="64">
        <v>0</v>
      </c>
      <c r="P81" s="64">
        <v>0.31</v>
      </c>
      <c r="Q81" s="64">
        <v>9.19</v>
      </c>
      <c r="R81" s="198"/>
      <c r="S81" s="198"/>
      <c r="T81" s="198"/>
      <c r="U81" s="198"/>
    </row>
    <row r="82" spans="1:26" s="12" customFormat="1" x14ac:dyDescent="0.25">
      <c r="A82" s="214" t="s">
        <v>2719</v>
      </c>
      <c r="B82" s="64">
        <v>7.92</v>
      </c>
      <c r="C82" s="64">
        <v>15.76</v>
      </c>
      <c r="D82" s="64">
        <v>14.59</v>
      </c>
      <c r="E82" s="64">
        <v>4.68</v>
      </c>
      <c r="F82" s="64">
        <v>10.15</v>
      </c>
      <c r="G82" s="64">
        <v>43.28</v>
      </c>
      <c r="H82" s="64">
        <v>6.82</v>
      </c>
      <c r="I82" s="64">
        <v>1.58</v>
      </c>
      <c r="J82" s="64">
        <v>0.24</v>
      </c>
      <c r="K82" s="64">
        <v>118.02</v>
      </c>
      <c r="L82" s="64">
        <v>25.26</v>
      </c>
      <c r="M82" s="64">
        <v>97.9</v>
      </c>
      <c r="N82" s="64">
        <v>41.9</v>
      </c>
      <c r="O82" s="64">
        <v>0</v>
      </c>
      <c r="P82" s="64">
        <v>0.44</v>
      </c>
      <c r="Q82" s="64">
        <v>9.17</v>
      </c>
      <c r="R82" s="198"/>
      <c r="S82" s="198"/>
      <c r="T82" s="198"/>
      <c r="U82" s="198"/>
    </row>
    <row r="83" spans="1:26" s="12" customFormat="1" x14ac:dyDescent="0.25">
      <c r="A83" s="214" t="s">
        <v>2720</v>
      </c>
      <c r="B83" s="64">
        <v>9.3800000000000008</v>
      </c>
      <c r="C83" s="64">
        <v>18.05</v>
      </c>
      <c r="D83" s="64">
        <v>16.96</v>
      </c>
      <c r="E83" s="64">
        <v>4.96</v>
      </c>
      <c r="F83" s="64">
        <v>9.08</v>
      </c>
      <c r="G83" s="64">
        <v>43.28</v>
      </c>
      <c r="H83" s="64">
        <v>6.82</v>
      </c>
      <c r="I83" s="64">
        <v>1.57</v>
      </c>
      <c r="J83" s="64">
        <v>0.24</v>
      </c>
      <c r="K83" s="64">
        <v>135.63999999999999</v>
      </c>
      <c r="L83" s="64">
        <v>25.25</v>
      </c>
      <c r="M83" s="64">
        <v>97.91</v>
      </c>
      <c r="N83" s="64">
        <v>41.9</v>
      </c>
      <c r="O83" s="64">
        <v>0</v>
      </c>
      <c r="P83" s="64">
        <v>0.39</v>
      </c>
      <c r="Q83" s="64">
        <v>9.16</v>
      </c>
      <c r="R83" s="198"/>
      <c r="S83" s="198"/>
      <c r="T83" s="198"/>
      <c r="U83" s="198"/>
    </row>
    <row r="84" spans="1:26" s="12" customFormat="1" x14ac:dyDescent="0.25">
      <c r="A84" s="214" t="s">
        <v>2721</v>
      </c>
      <c r="B84" s="64">
        <v>8.3699999999999992</v>
      </c>
      <c r="C84" s="64">
        <v>20.78</v>
      </c>
      <c r="D84" s="64">
        <v>17.57</v>
      </c>
      <c r="E84" s="64">
        <v>4.4800000000000004</v>
      </c>
      <c r="F84" s="64">
        <v>9.58</v>
      </c>
      <c r="G84" s="64">
        <v>43.28</v>
      </c>
      <c r="H84" s="64">
        <v>6.82</v>
      </c>
      <c r="I84" s="64">
        <v>1.57</v>
      </c>
      <c r="J84" s="64">
        <v>0.31</v>
      </c>
      <c r="K84" s="64">
        <v>142.91999999999999</v>
      </c>
      <c r="L84" s="64">
        <v>25.18</v>
      </c>
      <c r="M84" s="64">
        <v>97.93</v>
      </c>
      <c r="N84" s="64">
        <v>41.8</v>
      </c>
      <c r="O84" s="64">
        <v>0</v>
      </c>
      <c r="P84" s="64">
        <v>0.38</v>
      </c>
      <c r="Q84" s="64">
        <v>9.16</v>
      </c>
      <c r="R84" s="198"/>
      <c r="S84" s="198"/>
      <c r="T84" s="198"/>
      <c r="U84" s="198"/>
    </row>
    <row r="85" spans="1:26" s="12" customFormat="1" x14ac:dyDescent="0.25">
      <c r="A85" s="214" t="s">
        <v>2722</v>
      </c>
      <c r="B85" s="64">
        <v>7.91</v>
      </c>
      <c r="C85" s="64">
        <v>16.91</v>
      </c>
      <c r="D85" s="64">
        <v>15.18</v>
      </c>
      <c r="E85" s="64">
        <v>4.8899999999999997</v>
      </c>
      <c r="F85" s="64">
        <v>9.02</v>
      </c>
      <c r="G85" s="64">
        <v>38.06</v>
      </c>
      <c r="H85" s="64">
        <v>8.1199999999999992</v>
      </c>
      <c r="I85" s="64">
        <v>1.58</v>
      </c>
      <c r="J85" s="64">
        <v>0.02</v>
      </c>
      <c r="K85" s="64">
        <v>87.78</v>
      </c>
      <c r="L85" s="64">
        <v>25.12</v>
      </c>
      <c r="M85" s="64">
        <v>97.93</v>
      </c>
      <c r="N85" s="64">
        <v>41.8</v>
      </c>
      <c r="O85" s="64">
        <v>0</v>
      </c>
      <c r="P85" s="64">
        <v>0.42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14" t="s">
        <v>2723</v>
      </c>
      <c r="B86" s="64">
        <v>6.83</v>
      </c>
      <c r="C86" s="64">
        <v>18.440000000000001</v>
      </c>
      <c r="D86" s="64">
        <v>15.11</v>
      </c>
      <c r="E86" s="64">
        <v>4.91</v>
      </c>
      <c r="F86" s="64">
        <v>6.41</v>
      </c>
      <c r="G86" s="64">
        <v>37.75</v>
      </c>
      <c r="H86" s="64">
        <v>8.1199999999999992</v>
      </c>
      <c r="I86" s="64">
        <v>1.58</v>
      </c>
      <c r="J86" s="64">
        <v>7.0000000000000007E-2</v>
      </c>
      <c r="K86" s="64">
        <v>202.88</v>
      </c>
      <c r="L86" s="64">
        <v>25.04</v>
      </c>
      <c r="M86" s="64">
        <v>97.96</v>
      </c>
      <c r="N86" s="64">
        <v>41.4</v>
      </c>
      <c r="O86" s="64">
        <v>0</v>
      </c>
      <c r="P86" s="64">
        <v>0.48</v>
      </c>
      <c r="Q86" s="64">
        <v>9.19</v>
      </c>
      <c r="R86" s="198"/>
      <c r="S86" s="198"/>
      <c r="T86" s="198"/>
      <c r="U86" s="198"/>
    </row>
    <row r="87" spans="1:26" s="12" customFormat="1" x14ac:dyDescent="0.25">
      <c r="A87" s="214" t="s">
        <v>2724</v>
      </c>
      <c r="B87" s="64">
        <v>7.66</v>
      </c>
      <c r="C87" s="64">
        <v>16.53</v>
      </c>
      <c r="D87" s="64">
        <v>14.78</v>
      </c>
      <c r="E87" s="64">
        <v>4.6500000000000004</v>
      </c>
      <c r="F87" s="64">
        <v>9.41</v>
      </c>
      <c r="G87" s="64">
        <v>37.75</v>
      </c>
      <c r="H87" s="64">
        <v>8.1199999999999992</v>
      </c>
      <c r="I87" s="64">
        <v>1.57</v>
      </c>
      <c r="J87" s="64">
        <v>7.0000000000000007E-2</v>
      </c>
      <c r="K87" s="64">
        <v>311.43</v>
      </c>
      <c r="L87" s="64">
        <v>25</v>
      </c>
      <c r="M87" s="64">
        <v>97.97</v>
      </c>
      <c r="N87" s="64">
        <v>41.6</v>
      </c>
      <c r="O87" s="64">
        <v>0</v>
      </c>
      <c r="P87" s="64">
        <v>0.49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4" t="s">
        <v>2725</v>
      </c>
      <c r="B88" s="64">
        <v>12.03</v>
      </c>
      <c r="C88" s="64">
        <v>18.11</v>
      </c>
      <c r="D88" s="64">
        <v>19.11</v>
      </c>
      <c r="E88" s="64">
        <v>4.55</v>
      </c>
      <c r="F88" s="64">
        <v>8.74</v>
      </c>
      <c r="G88" s="64">
        <v>37.75</v>
      </c>
      <c r="H88" s="64">
        <v>8.1199999999999992</v>
      </c>
      <c r="I88" s="64">
        <v>1.63</v>
      </c>
      <c r="J88" s="64">
        <v>0.08</v>
      </c>
      <c r="K88" s="64">
        <v>288.35000000000002</v>
      </c>
      <c r="L88" s="64">
        <v>25.13</v>
      </c>
      <c r="M88" s="64">
        <v>97.96</v>
      </c>
      <c r="N88" s="64">
        <v>41.8</v>
      </c>
      <c r="O88" s="64">
        <v>0</v>
      </c>
      <c r="P88" s="64">
        <v>0.69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14" t="s">
        <v>2726</v>
      </c>
      <c r="B89" s="64">
        <v>6.76</v>
      </c>
      <c r="C89" s="64">
        <v>15.69</v>
      </c>
      <c r="D89" s="64">
        <v>13.62</v>
      </c>
      <c r="E89" s="64">
        <v>4.4000000000000004</v>
      </c>
      <c r="F89" s="64">
        <v>10.89</v>
      </c>
      <c r="G89" s="64">
        <v>35.99</v>
      </c>
      <c r="H89" s="64">
        <v>6.84</v>
      </c>
      <c r="I89" s="64">
        <v>1.7</v>
      </c>
      <c r="J89" s="64">
        <v>0.05</v>
      </c>
      <c r="K89" s="64">
        <v>204.47</v>
      </c>
      <c r="L89" s="64">
        <v>25.05</v>
      </c>
      <c r="M89" s="64">
        <v>97.95</v>
      </c>
      <c r="N89" s="64">
        <v>41.9</v>
      </c>
      <c r="O89" s="64">
        <v>0</v>
      </c>
      <c r="P89" s="64">
        <v>0.43</v>
      </c>
      <c r="Q89" s="64">
        <v>9.1999999999999993</v>
      </c>
      <c r="R89" s="198"/>
      <c r="S89" s="198"/>
      <c r="T89" s="198"/>
      <c r="U89" s="198"/>
    </row>
    <row r="90" spans="1:26" s="12" customFormat="1" x14ac:dyDescent="0.25">
      <c r="A90" s="214" t="s">
        <v>2727</v>
      </c>
      <c r="B90" s="64">
        <v>7.72</v>
      </c>
      <c r="C90" s="64">
        <v>17.62</v>
      </c>
      <c r="D90" s="64">
        <v>15.39</v>
      </c>
      <c r="E90" s="64">
        <v>4.7699999999999996</v>
      </c>
      <c r="F90" s="64">
        <v>19.350000000000001</v>
      </c>
      <c r="G90" s="64">
        <v>35.86</v>
      </c>
      <c r="H90" s="64">
        <v>6.84</v>
      </c>
      <c r="I90" s="64">
        <v>1.71</v>
      </c>
      <c r="J90" s="64">
        <v>0.02</v>
      </c>
      <c r="K90" s="64">
        <v>171.67</v>
      </c>
      <c r="L90" s="64">
        <v>25.06</v>
      </c>
      <c r="M90" s="64">
        <v>97.96</v>
      </c>
      <c r="N90" s="64">
        <v>41.9</v>
      </c>
      <c r="O90" s="64">
        <v>0</v>
      </c>
      <c r="P90" s="64">
        <v>0.6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4" t="s">
        <v>2728</v>
      </c>
      <c r="B91" s="64">
        <v>15.14</v>
      </c>
      <c r="C91" s="64">
        <v>17.16</v>
      </c>
      <c r="D91" s="64">
        <v>21.1</v>
      </c>
      <c r="E91" s="64">
        <v>4.75</v>
      </c>
      <c r="F91" s="64">
        <v>31.48</v>
      </c>
      <c r="G91" s="64">
        <v>35.86</v>
      </c>
      <c r="H91" s="64">
        <v>6.84</v>
      </c>
      <c r="I91" s="64">
        <v>1.7</v>
      </c>
      <c r="J91" s="64">
        <v>0.06</v>
      </c>
      <c r="K91" s="64">
        <v>330.09</v>
      </c>
      <c r="L91" s="64">
        <v>25.11</v>
      </c>
      <c r="M91" s="64">
        <v>97.97</v>
      </c>
      <c r="N91" s="64">
        <v>42</v>
      </c>
      <c r="O91" s="64">
        <v>0</v>
      </c>
      <c r="P91" s="64">
        <v>0.65</v>
      </c>
      <c r="Q91" s="64">
        <v>9.19</v>
      </c>
      <c r="R91" s="198"/>
      <c r="S91" s="198"/>
      <c r="T91" s="198"/>
      <c r="U91" s="198"/>
    </row>
    <row r="92" spans="1:26" s="12" customFormat="1" x14ac:dyDescent="0.25">
      <c r="A92" s="214" t="s">
        <v>2729</v>
      </c>
      <c r="B92" s="64">
        <v>9.26</v>
      </c>
      <c r="C92" s="64">
        <v>21.1</v>
      </c>
      <c r="D92" s="64">
        <v>18.45</v>
      </c>
      <c r="E92" s="64">
        <v>4.5999999999999996</v>
      </c>
      <c r="F92" s="64">
        <v>16.36</v>
      </c>
      <c r="G92" s="64">
        <v>35.86</v>
      </c>
      <c r="H92" s="64">
        <v>6.84</v>
      </c>
      <c r="I92" s="64">
        <v>1.7</v>
      </c>
      <c r="J92" s="64">
        <v>0.28000000000000003</v>
      </c>
      <c r="K92" s="64">
        <v>140.33000000000001</v>
      </c>
      <c r="L92" s="64">
        <v>25.05</v>
      </c>
      <c r="M92" s="64">
        <v>97.95</v>
      </c>
      <c r="N92" s="64">
        <v>42</v>
      </c>
      <c r="O92" s="64">
        <v>0</v>
      </c>
      <c r="P92" s="64">
        <v>0.42</v>
      </c>
      <c r="Q92" s="64">
        <v>9.19</v>
      </c>
      <c r="R92" s="198"/>
      <c r="S92" s="198"/>
      <c r="T92" s="198"/>
      <c r="U92" s="198"/>
    </row>
    <row r="93" spans="1:26" s="12" customFormat="1" x14ac:dyDescent="0.25">
      <c r="A93" s="214" t="s">
        <v>2730</v>
      </c>
      <c r="B93" s="64">
        <v>6.8</v>
      </c>
      <c r="C93" s="64">
        <v>16.86</v>
      </c>
      <c r="D93" s="64">
        <v>14.26</v>
      </c>
      <c r="E93" s="64">
        <v>4.51</v>
      </c>
      <c r="F93" s="64">
        <v>13.35</v>
      </c>
      <c r="G93" s="64">
        <v>33.75</v>
      </c>
      <c r="H93" s="64">
        <v>6</v>
      </c>
      <c r="I93" s="64">
        <v>1.72</v>
      </c>
      <c r="J93" s="64">
        <v>0.08</v>
      </c>
      <c r="K93" s="64">
        <v>188.82</v>
      </c>
      <c r="L93" s="64">
        <v>25.06</v>
      </c>
      <c r="M93" s="64">
        <v>97.94</v>
      </c>
      <c r="N93" s="64">
        <v>41.9</v>
      </c>
      <c r="O93" s="64">
        <v>0</v>
      </c>
      <c r="P93" s="64">
        <v>0.45</v>
      </c>
      <c r="Q93" s="64">
        <v>9.18</v>
      </c>
      <c r="R93" s="198"/>
      <c r="S93" s="198"/>
      <c r="T93" s="198"/>
      <c r="U93" s="198"/>
    </row>
    <row r="94" spans="1:26" s="12" customFormat="1" x14ac:dyDescent="0.25">
      <c r="A94" s="214" t="s">
        <v>2731</v>
      </c>
      <c r="B94" s="64">
        <v>6.83</v>
      </c>
      <c r="C94" s="64">
        <v>18.440000000000001</v>
      </c>
      <c r="D94" s="64">
        <v>15.11</v>
      </c>
      <c r="E94" s="64">
        <v>4.38</v>
      </c>
      <c r="F94" s="64">
        <v>20.7</v>
      </c>
      <c r="G94" s="64">
        <v>33.6</v>
      </c>
      <c r="H94" s="64">
        <v>6</v>
      </c>
      <c r="I94" s="64">
        <v>1.71</v>
      </c>
      <c r="J94" s="64">
        <v>0.15</v>
      </c>
      <c r="K94" s="64">
        <v>150.08000000000001</v>
      </c>
      <c r="L94" s="64">
        <v>25.05</v>
      </c>
      <c r="M94" s="64">
        <v>97.95</v>
      </c>
      <c r="N94" s="64">
        <v>41.9</v>
      </c>
      <c r="O94" s="64">
        <v>0</v>
      </c>
      <c r="P94" s="64">
        <v>0.34</v>
      </c>
      <c r="Q94" s="64">
        <v>9.18</v>
      </c>
      <c r="R94" s="198"/>
      <c r="S94" s="198"/>
      <c r="T94" s="198"/>
      <c r="U94" s="198"/>
    </row>
    <row r="95" spans="1:26" s="12" customFormat="1" x14ac:dyDescent="0.25">
      <c r="A95" s="214" t="s">
        <v>2732</v>
      </c>
      <c r="B95" s="64">
        <v>9.1199999999999992</v>
      </c>
      <c r="C95" s="64">
        <v>16</v>
      </c>
      <c r="D95" s="64">
        <v>15.67</v>
      </c>
      <c r="E95" s="64">
        <v>4.41</v>
      </c>
      <c r="F95" s="64">
        <v>9.44</v>
      </c>
      <c r="G95" s="64">
        <v>33.6</v>
      </c>
      <c r="H95" s="64">
        <v>6</v>
      </c>
      <c r="I95" s="64">
        <v>1.71</v>
      </c>
      <c r="J95" s="64">
        <v>0.04</v>
      </c>
      <c r="K95" s="64">
        <v>209.06</v>
      </c>
      <c r="L95" s="64">
        <v>25.01</v>
      </c>
      <c r="M95" s="64">
        <v>97.97</v>
      </c>
      <c r="N95" s="64">
        <v>42.1</v>
      </c>
      <c r="O95" s="64">
        <v>0</v>
      </c>
      <c r="P95" s="64">
        <v>0.41</v>
      </c>
      <c r="Q95" s="64">
        <v>9.18</v>
      </c>
      <c r="R95" s="198"/>
      <c r="S95" s="198"/>
      <c r="T95" s="198"/>
      <c r="U95" s="198"/>
    </row>
    <row r="96" spans="1:26" s="12" customFormat="1" x14ac:dyDescent="0.25">
      <c r="A96" s="214" t="s">
        <v>2733</v>
      </c>
      <c r="B96" s="64">
        <v>9.26</v>
      </c>
      <c r="C96" s="64">
        <v>13.31</v>
      </c>
      <c r="D96" s="64">
        <v>14.38</v>
      </c>
      <c r="E96" s="64">
        <v>4.7300000000000004</v>
      </c>
      <c r="F96" s="64">
        <v>9.6199999999999992</v>
      </c>
      <c r="G96" s="64">
        <v>33.6</v>
      </c>
      <c r="H96" s="64">
        <v>6</v>
      </c>
      <c r="I96" s="64">
        <v>1.7</v>
      </c>
      <c r="J96" s="64">
        <v>0.06</v>
      </c>
      <c r="K96" s="64">
        <v>307.92</v>
      </c>
      <c r="L96" s="64">
        <v>25.02</v>
      </c>
      <c r="M96" s="64">
        <v>97.98</v>
      </c>
      <c r="N96" s="64">
        <v>42</v>
      </c>
      <c r="O96" s="64">
        <v>0</v>
      </c>
      <c r="P96" s="64">
        <v>0.4</v>
      </c>
      <c r="Q96" s="64">
        <v>9.17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2734</v>
      </c>
      <c r="B97" s="64">
        <v>5.75</v>
      </c>
      <c r="C97" s="64">
        <v>12.29</v>
      </c>
      <c r="D97" s="64">
        <v>11.03</v>
      </c>
      <c r="E97" s="64">
        <v>4.6100000000000003</v>
      </c>
      <c r="F97" s="64">
        <v>11.4</v>
      </c>
      <c r="G97" s="64">
        <v>35.06</v>
      </c>
      <c r="H97" s="64">
        <v>5.44</v>
      </c>
      <c r="I97" s="64">
        <v>1.66</v>
      </c>
      <c r="J97" s="64">
        <v>7.0000000000000007E-2</v>
      </c>
      <c r="K97" s="64">
        <v>201.46</v>
      </c>
      <c r="L97" s="64">
        <v>24.97</v>
      </c>
      <c r="M97" s="64">
        <v>97.96</v>
      </c>
      <c r="N97" s="64">
        <v>42</v>
      </c>
      <c r="O97" s="64">
        <v>0</v>
      </c>
      <c r="P97" s="64">
        <v>0.31</v>
      </c>
      <c r="Q97" s="64">
        <v>9.17</v>
      </c>
      <c r="R97" s="198"/>
      <c r="S97" s="198"/>
      <c r="T97" s="198"/>
      <c r="U97" s="198"/>
    </row>
    <row r="98" spans="1:33" s="12" customFormat="1" x14ac:dyDescent="0.25">
      <c r="A98" s="214" t="s">
        <v>2735</v>
      </c>
      <c r="B98" s="64">
        <v>9.5299999999999994</v>
      </c>
      <c r="C98" s="64">
        <v>11.57</v>
      </c>
      <c r="D98" s="64">
        <v>13.69</v>
      </c>
      <c r="E98" s="64">
        <v>4.66</v>
      </c>
      <c r="F98" s="64">
        <v>8.5399999999999991</v>
      </c>
      <c r="G98" s="64">
        <v>35.159999999999997</v>
      </c>
      <c r="H98" s="64">
        <v>5.44</v>
      </c>
      <c r="I98" s="64">
        <v>1.64</v>
      </c>
      <c r="J98" s="64">
        <v>0.04</v>
      </c>
      <c r="K98" s="64">
        <v>286.42</v>
      </c>
      <c r="L98" s="64">
        <v>24.95</v>
      </c>
      <c r="M98" s="64">
        <v>97.97</v>
      </c>
      <c r="N98" s="64">
        <v>42.1</v>
      </c>
      <c r="O98" s="64">
        <v>0</v>
      </c>
      <c r="P98" s="64">
        <v>0.49</v>
      </c>
      <c r="Q98" s="64">
        <v>9.17</v>
      </c>
      <c r="R98" s="198"/>
      <c r="S98" s="198"/>
      <c r="T98" s="198"/>
      <c r="U98" s="198"/>
    </row>
    <row r="99" spans="1:33" s="12" customFormat="1" x14ac:dyDescent="0.25">
      <c r="A99" s="214" t="s">
        <v>2736</v>
      </c>
      <c r="B99" s="64">
        <v>6.82</v>
      </c>
      <c r="C99" s="64">
        <v>16.62</v>
      </c>
      <c r="D99" s="64">
        <v>14.15</v>
      </c>
      <c r="E99" s="64">
        <v>4.58</v>
      </c>
      <c r="F99" s="64">
        <v>9.74</v>
      </c>
      <c r="G99" s="64">
        <v>35.159999999999997</v>
      </c>
      <c r="H99" s="64">
        <v>5.44</v>
      </c>
      <c r="I99" s="64">
        <v>1.63</v>
      </c>
      <c r="J99" s="64">
        <v>0.03</v>
      </c>
      <c r="K99" s="64">
        <v>233.4</v>
      </c>
      <c r="L99" s="64">
        <v>24.82</v>
      </c>
      <c r="M99" s="64">
        <v>98</v>
      </c>
      <c r="N99" s="64">
        <v>41.7</v>
      </c>
      <c r="O99" s="64">
        <v>0</v>
      </c>
      <c r="P99" s="64">
        <v>0.38</v>
      </c>
      <c r="Q99" s="64">
        <v>9.17</v>
      </c>
      <c r="R99" s="198"/>
      <c r="S99" s="198"/>
      <c r="T99" s="198"/>
      <c r="U99" s="198"/>
    </row>
    <row r="100" spans="1:33" s="12" customFormat="1" x14ac:dyDescent="0.25">
      <c r="A100" s="214" t="s">
        <v>2737</v>
      </c>
      <c r="B100" s="64">
        <v>7.34</v>
      </c>
      <c r="C100" s="64">
        <v>11.3</v>
      </c>
      <c r="D100" s="64">
        <v>11.79</v>
      </c>
      <c r="E100" s="64">
        <v>4.47</v>
      </c>
      <c r="F100" s="64">
        <v>8.84</v>
      </c>
      <c r="G100" s="64">
        <v>35.159999999999997</v>
      </c>
      <c r="H100" s="64">
        <v>5.44</v>
      </c>
      <c r="I100" s="64">
        <v>1.61</v>
      </c>
      <c r="J100" s="64">
        <v>0.04</v>
      </c>
      <c r="K100" s="64">
        <v>174.79</v>
      </c>
      <c r="L100" s="64">
        <v>24.67</v>
      </c>
      <c r="M100" s="64">
        <v>98.01</v>
      </c>
      <c r="N100" s="64">
        <v>41.6</v>
      </c>
      <c r="O100" s="64">
        <v>0</v>
      </c>
      <c r="P100" s="64">
        <v>0.37</v>
      </c>
      <c r="Q100" s="64">
        <v>9.17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2738</v>
      </c>
      <c r="B101" s="64">
        <v>5.7</v>
      </c>
      <c r="C101" s="64">
        <v>10.210000000000001</v>
      </c>
      <c r="D101" s="64">
        <v>9.91</v>
      </c>
      <c r="E101" s="64">
        <v>4.8600000000000003</v>
      </c>
      <c r="F101" s="64">
        <v>10.97</v>
      </c>
      <c r="G101" s="64">
        <v>33.56</v>
      </c>
      <c r="H101" s="64">
        <v>13.16</v>
      </c>
      <c r="I101" s="64">
        <v>1.6</v>
      </c>
      <c r="J101" s="64">
        <v>0.33</v>
      </c>
      <c r="K101" s="64">
        <v>156.57</v>
      </c>
      <c r="L101" s="64">
        <v>24.58</v>
      </c>
      <c r="M101" s="64">
        <v>98.02</v>
      </c>
      <c r="N101" s="64">
        <v>42.1</v>
      </c>
      <c r="O101" s="64">
        <v>0</v>
      </c>
      <c r="P101" s="64">
        <v>0.28000000000000003</v>
      </c>
      <c r="Q101" s="64">
        <v>9.15</v>
      </c>
      <c r="R101" s="198"/>
      <c r="S101" s="198"/>
      <c r="T101" s="198"/>
      <c r="U101" s="198"/>
    </row>
    <row r="102" spans="1:33" s="12" customFormat="1" x14ac:dyDescent="0.25">
      <c r="A102" s="214" t="s">
        <v>2739</v>
      </c>
      <c r="B102" s="64">
        <v>10.73</v>
      </c>
      <c r="C102" s="64">
        <v>10.6</v>
      </c>
      <c r="D102" s="64">
        <v>14.14</v>
      </c>
      <c r="E102" s="64">
        <v>4.43</v>
      </c>
      <c r="F102" s="64">
        <v>7.94</v>
      </c>
      <c r="G102" s="64">
        <v>33.450000000000003</v>
      </c>
      <c r="H102" s="64">
        <v>13.16</v>
      </c>
      <c r="I102" s="64">
        <v>1.58</v>
      </c>
      <c r="J102" s="64">
        <v>0.38</v>
      </c>
      <c r="K102" s="64">
        <v>343.5</v>
      </c>
      <c r="L102" s="64">
        <v>24.58</v>
      </c>
      <c r="M102" s="64">
        <v>98.03</v>
      </c>
      <c r="N102" s="64">
        <v>41.9</v>
      </c>
      <c r="O102" s="64">
        <v>0</v>
      </c>
      <c r="P102" s="64">
        <v>0.54</v>
      </c>
      <c r="Q102" s="64">
        <v>9.15</v>
      </c>
      <c r="R102" s="198"/>
      <c r="S102" s="198"/>
      <c r="T102" s="198"/>
      <c r="U102" s="198"/>
    </row>
    <row r="103" spans="1:33" s="12" customFormat="1" x14ac:dyDescent="0.25">
      <c r="A103" s="214" t="s">
        <v>2740</v>
      </c>
      <c r="B103" s="64">
        <v>17.39</v>
      </c>
      <c r="C103" s="64">
        <v>16.46</v>
      </c>
      <c r="D103" s="64">
        <v>22.55</v>
      </c>
      <c r="E103" s="64">
        <v>4.95</v>
      </c>
      <c r="F103" s="64">
        <v>6.18</v>
      </c>
      <c r="G103" s="64">
        <v>33.450000000000003</v>
      </c>
      <c r="H103" s="64">
        <v>13.16</v>
      </c>
      <c r="I103" s="64">
        <v>1.56</v>
      </c>
      <c r="J103" s="64">
        <v>0.08</v>
      </c>
      <c r="K103" s="64">
        <v>323.85000000000002</v>
      </c>
      <c r="L103" s="64">
        <v>24.54</v>
      </c>
      <c r="M103" s="64">
        <v>98.08</v>
      </c>
      <c r="N103" s="64">
        <v>42.1</v>
      </c>
      <c r="O103" s="64">
        <v>0</v>
      </c>
      <c r="P103" s="64">
        <v>0.56000000000000005</v>
      </c>
      <c r="Q103" s="64">
        <v>9.16</v>
      </c>
      <c r="R103" s="198"/>
      <c r="S103" s="198"/>
      <c r="T103" s="198"/>
      <c r="U103" s="198"/>
    </row>
    <row r="104" spans="1:33" s="12" customFormat="1" x14ac:dyDescent="0.25">
      <c r="A104" s="214" t="s">
        <v>2741</v>
      </c>
      <c r="B104" s="64">
        <v>8.98</v>
      </c>
      <c r="C104" s="64">
        <v>16.29</v>
      </c>
      <c r="D104" s="64">
        <v>15.71</v>
      </c>
      <c r="E104" s="64">
        <v>4.3600000000000003</v>
      </c>
      <c r="F104" s="64">
        <v>4.2300000000000004</v>
      </c>
      <c r="G104" s="64">
        <v>33.450000000000003</v>
      </c>
      <c r="H104" s="64">
        <v>13.16</v>
      </c>
      <c r="I104" s="64">
        <v>1.55</v>
      </c>
      <c r="J104" s="64">
        <v>0.54</v>
      </c>
      <c r="K104" s="64">
        <v>151.08000000000001</v>
      </c>
      <c r="L104" s="64">
        <v>24.27</v>
      </c>
      <c r="M104" s="64">
        <v>98.07</v>
      </c>
      <c r="N104" s="64">
        <v>42.9</v>
      </c>
      <c r="O104" s="64">
        <v>1.2</v>
      </c>
      <c r="P104" s="64">
        <v>0.41</v>
      </c>
      <c r="Q104" s="64">
        <v>9.16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5.7</v>
      </c>
      <c r="C106" s="67">
        <f>MIN(C9:C104)</f>
        <v>5.93</v>
      </c>
      <c r="D106" s="67">
        <f t="shared" ref="D106:Q106" si="0">MIN(D9:D104)</f>
        <v>9.91</v>
      </c>
      <c r="E106" s="67">
        <f t="shared" si="0"/>
        <v>4.3600000000000003</v>
      </c>
      <c r="F106" s="67">
        <f t="shared" si="0"/>
        <v>4.2300000000000004</v>
      </c>
      <c r="G106" s="67">
        <f t="shared" si="0"/>
        <v>33.450000000000003</v>
      </c>
      <c r="H106" s="67">
        <f t="shared" si="0"/>
        <v>2.15</v>
      </c>
      <c r="I106" s="67">
        <f t="shared" si="0"/>
        <v>1.55</v>
      </c>
      <c r="J106" s="67">
        <f t="shared" si="0"/>
        <v>0.02</v>
      </c>
      <c r="K106" s="67">
        <f t="shared" si="0"/>
        <v>5.5</v>
      </c>
      <c r="L106" s="67">
        <f t="shared" si="0"/>
        <v>23.52</v>
      </c>
      <c r="M106" s="67">
        <f t="shared" si="0"/>
        <v>71.5</v>
      </c>
      <c r="N106" s="67">
        <f t="shared" si="0"/>
        <v>41.2</v>
      </c>
      <c r="O106" s="67">
        <f t="shared" si="0"/>
        <v>0</v>
      </c>
      <c r="P106" s="67">
        <f t="shared" si="0"/>
        <v>0.28000000000000003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36.39</v>
      </c>
      <c r="C107" s="66">
        <f t="shared" ref="C107:Q107" si="1">MAX(C9:C104)</f>
        <v>23.78</v>
      </c>
      <c r="D107" s="66">
        <f t="shared" si="1"/>
        <v>35.22</v>
      </c>
      <c r="E107" s="66">
        <f t="shared" si="1"/>
        <v>7.37</v>
      </c>
      <c r="F107" s="66">
        <f t="shared" si="1"/>
        <v>46.05</v>
      </c>
      <c r="G107" s="66">
        <f t="shared" si="1"/>
        <v>103.03</v>
      </c>
      <c r="H107" s="66">
        <f t="shared" si="1"/>
        <v>13.16</v>
      </c>
      <c r="I107" s="66">
        <f t="shared" si="1"/>
        <v>3.53</v>
      </c>
      <c r="J107" s="66">
        <f t="shared" si="1"/>
        <v>1.44</v>
      </c>
      <c r="K107" s="66">
        <f t="shared" si="1"/>
        <v>357.87</v>
      </c>
      <c r="L107" s="66">
        <f t="shared" si="1"/>
        <v>32.74</v>
      </c>
      <c r="M107" s="66">
        <f t="shared" si="1"/>
        <v>98.35</v>
      </c>
      <c r="N107" s="66">
        <f t="shared" si="1"/>
        <v>910.1</v>
      </c>
      <c r="O107" s="66">
        <f t="shared" si="1"/>
        <v>1.2</v>
      </c>
      <c r="P107" s="66">
        <f t="shared" si="1"/>
        <v>1.07</v>
      </c>
      <c r="Q107" s="66">
        <f t="shared" si="1"/>
        <v>9.58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15.191562499999995</v>
      </c>
      <c r="C108" s="67">
        <f t="shared" ref="C108:Q108" si="2">AVERAGE(C9:C104)</f>
        <v>14.734895833333326</v>
      </c>
      <c r="D108" s="67">
        <f t="shared" si="2"/>
        <v>19.876979166666665</v>
      </c>
      <c r="E108" s="67">
        <f t="shared" si="2"/>
        <v>5.5702083333333361</v>
      </c>
      <c r="F108" s="67">
        <f t="shared" si="2"/>
        <v>11.138333333333335</v>
      </c>
      <c r="G108" s="67">
        <f t="shared" si="2"/>
        <v>64.584999999999965</v>
      </c>
      <c r="H108" s="67">
        <f t="shared" si="2"/>
        <v>5.8401041666666664</v>
      </c>
      <c r="I108" s="67">
        <f t="shared" si="2"/>
        <v>2.2855208333333334</v>
      </c>
      <c r="J108" s="67">
        <f t="shared" si="2"/>
        <v>0.44093750000000004</v>
      </c>
      <c r="K108" s="67">
        <f t="shared" si="2"/>
        <v>246.47843749999996</v>
      </c>
      <c r="L108" s="67">
        <f t="shared" si="2"/>
        <v>26.651875</v>
      </c>
      <c r="M108" s="67">
        <f t="shared" si="2"/>
        <v>93.174374999999998</v>
      </c>
      <c r="N108" s="67">
        <f t="shared" si="2"/>
        <v>194.984375</v>
      </c>
      <c r="O108" s="67">
        <f t="shared" si="2"/>
        <v>1.4583333333333332E-2</v>
      </c>
      <c r="P108" s="67">
        <f t="shared" si="2"/>
        <v>0.5753125</v>
      </c>
      <c r="Q108" s="67">
        <f t="shared" si="2"/>
        <v>9.3563541666666641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6.5111406273967773</v>
      </c>
      <c r="C109" s="67">
        <f t="shared" ref="C109:Q109" si="3">STDEV(C9:C104)</f>
        <v>3.7647816725099617</v>
      </c>
      <c r="D109" s="67">
        <f t="shared" si="3"/>
        <v>4.6053294344228632</v>
      </c>
      <c r="E109" s="67">
        <f t="shared" si="3"/>
        <v>0.76014815614998077</v>
      </c>
      <c r="F109" s="67">
        <f t="shared" si="3"/>
        <v>5.6656995046677983</v>
      </c>
      <c r="G109" s="67">
        <f t="shared" si="3"/>
        <v>26.424956585136016</v>
      </c>
      <c r="H109" s="67">
        <f t="shared" si="3"/>
        <v>2.9784579177793451</v>
      </c>
      <c r="I109" s="67">
        <f t="shared" si="3"/>
        <v>0.6512900070211517</v>
      </c>
      <c r="J109" s="67">
        <f t="shared" si="3"/>
        <v>0.33061052973010546</v>
      </c>
      <c r="K109" s="67">
        <f t="shared" si="3"/>
        <v>105.80918761548398</v>
      </c>
      <c r="L109" s="67">
        <f t="shared" si="3"/>
        <v>2.8998498373100987</v>
      </c>
      <c r="M109" s="67">
        <f t="shared" si="3"/>
        <v>8.2844024416845823</v>
      </c>
      <c r="N109" s="67">
        <f t="shared" si="3"/>
        <v>250.79846483544472</v>
      </c>
      <c r="O109" s="67">
        <f t="shared" si="3"/>
        <v>0.12395174499666915</v>
      </c>
      <c r="P109" s="67">
        <f t="shared" si="3"/>
        <v>0.18563661801317202</v>
      </c>
      <c r="Q109" s="67">
        <f t="shared" si="3"/>
        <v>0.15421870861772677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2742</v>
      </c>
      <c r="B9" s="64">
        <v>9.19</v>
      </c>
      <c r="C9" s="64">
        <v>9.81</v>
      </c>
      <c r="D9" s="64">
        <v>12.49</v>
      </c>
      <c r="E9" s="64">
        <v>4.2300000000000004</v>
      </c>
      <c r="F9" s="64">
        <v>5.56</v>
      </c>
      <c r="G9" s="64">
        <v>29.82</v>
      </c>
      <c r="H9" s="64">
        <v>11.8</v>
      </c>
      <c r="I9" s="64">
        <v>1.56</v>
      </c>
      <c r="J9" s="64">
        <v>0.09</v>
      </c>
      <c r="K9" s="64">
        <v>144.87</v>
      </c>
      <c r="L9" s="64">
        <v>23.6</v>
      </c>
      <c r="M9" s="64">
        <v>98.05</v>
      </c>
      <c r="N9" s="64">
        <v>43</v>
      </c>
      <c r="O9" s="64">
        <v>1.6</v>
      </c>
      <c r="P9" s="64">
        <v>0.36</v>
      </c>
      <c r="Q9" s="64">
        <v>9.18</v>
      </c>
      <c r="R9" s="198"/>
      <c r="S9" s="198"/>
      <c r="T9" s="198"/>
      <c r="U9" s="198"/>
    </row>
    <row r="10" spans="1:21" s="12" customFormat="1" x14ac:dyDescent="0.25">
      <c r="A10" s="214" t="s">
        <v>2743</v>
      </c>
      <c r="B10" s="64">
        <v>7.63</v>
      </c>
      <c r="C10" s="64">
        <v>11.52</v>
      </c>
      <c r="D10" s="64">
        <v>12.13</v>
      </c>
      <c r="E10" s="64">
        <v>4.55</v>
      </c>
      <c r="F10" s="64">
        <v>8.07</v>
      </c>
      <c r="G10" s="64">
        <v>29.56</v>
      </c>
      <c r="H10" s="64">
        <v>11.8</v>
      </c>
      <c r="I10" s="64">
        <v>1.54</v>
      </c>
      <c r="J10" s="64">
        <v>0.1</v>
      </c>
      <c r="K10" s="64">
        <v>160.41</v>
      </c>
      <c r="L10" s="64">
        <v>23.41</v>
      </c>
      <c r="M10" s="64">
        <v>98.04</v>
      </c>
      <c r="N10" s="64">
        <v>42.2</v>
      </c>
      <c r="O10" s="64">
        <v>0</v>
      </c>
      <c r="P10" s="64">
        <v>0.35</v>
      </c>
      <c r="Q10" s="64">
        <v>9.2100000000000009</v>
      </c>
      <c r="R10" s="198"/>
      <c r="S10" s="198"/>
      <c r="T10" s="198"/>
      <c r="U10" s="198"/>
    </row>
    <row r="11" spans="1:21" s="12" customFormat="1" x14ac:dyDescent="0.25">
      <c r="A11" s="214" t="s">
        <v>2744</v>
      </c>
      <c r="B11" s="64">
        <v>9.1199999999999992</v>
      </c>
      <c r="C11" s="64">
        <v>13.08</v>
      </c>
      <c r="D11" s="64">
        <v>14.15</v>
      </c>
      <c r="E11" s="64">
        <v>4.8600000000000003</v>
      </c>
      <c r="F11" s="64">
        <v>7.03</v>
      </c>
      <c r="G11" s="64">
        <v>29.56</v>
      </c>
      <c r="H11" s="64">
        <v>11.8</v>
      </c>
      <c r="I11" s="64">
        <v>1.52</v>
      </c>
      <c r="J11" s="64">
        <v>0.06</v>
      </c>
      <c r="K11" s="64">
        <v>132.31</v>
      </c>
      <c r="L11" s="64">
        <v>23.76</v>
      </c>
      <c r="M11" s="64">
        <v>98.02</v>
      </c>
      <c r="N11" s="64">
        <v>41.7</v>
      </c>
      <c r="O11" s="64">
        <v>0</v>
      </c>
      <c r="P11" s="64">
        <v>0.44</v>
      </c>
      <c r="Q11" s="64">
        <v>9.2200000000000006</v>
      </c>
      <c r="R11" s="198"/>
      <c r="S11" s="198"/>
      <c r="T11" s="198"/>
      <c r="U11" s="198"/>
    </row>
    <row r="12" spans="1:21" s="12" customFormat="1" x14ac:dyDescent="0.25">
      <c r="A12" s="214" t="s">
        <v>2745</v>
      </c>
      <c r="B12" s="64">
        <v>9.65</v>
      </c>
      <c r="C12" s="64">
        <v>10.81</v>
      </c>
      <c r="D12" s="64">
        <v>13.39</v>
      </c>
      <c r="E12" s="64">
        <v>4.42</v>
      </c>
      <c r="F12" s="64">
        <v>7.45</v>
      </c>
      <c r="G12" s="64">
        <v>29.56</v>
      </c>
      <c r="H12" s="64">
        <v>11.8</v>
      </c>
      <c r="I12" s="64">
        <v>1.51</v>
      </c>
      <c r="J12" s="64">
        <v>0.08</v>
      </c>
      <c r="K12" s="64">
        <v>278.42</v>
      </c>
      <c r="L12" s="64">
        <v>23.85</v>
      </c>
      <c r="M12" s="64">
        <v>98.01</v>
      </c>
      <c r="N12" s="64">
        <v>42.2</v>
      </c>
      <c r="O12" s="64">
        <v>0</v>
      </c>
      <c r="P12" s="64">
        <v>0.4</v>
      </c>
      <c r="Q12" s="64">
        <v>9.2100000000000009</v>
      </c>
      <c r="R12" s="198"/>
      <c r="S12" s="198"/>
      <c r="T12" s="198"/>
      <c r="U12" s="198"/>
    </row>
    <row r="13" spans="1:21" s="12" customFormat="1" x14ac:dyDescent="0.25">
      <c r="A13" s="214" t="s">
        <v>2746</v>
      </c>
      <c r="B13" s="64">
        <v>8.3699999999999992</v>
      </c>
      <c r="C13" s="64">
        <v>11.36</v>
      </c>
      <c r="D13" s="64">
        <v>12.65</v>
      </c>
      <c r="E13" s="64">
        <v>4.72</v>
      </c>
      <c r="F13" s="64">
        <v>7.91</v>
      </c>
      <c r="G13" s="64">
        <v>27.25</v>
      </c>
      <c r="H13" s="64">
        <v>9.42</v>
      </c>
      <c r="I13" s="64">
        <v>1.51</v>
      </c>
      <c r="J13" s="64">
        <v>0.38</v>
      </c>
      <c r="K13" s="64">
        <v>324.47000000000003</v>
      </c>
      <c r="L13" s="64">
        <v>23.58</v>
      </c>
      <c r="M13" s="64">
        <v>98.03</v>
      </c>
      <c r="N13" s="64">
        <v>43.1</v>
      </c>
      <c r="O13" s="64">
        <v>0</v>
      </c>
      <c r="P13" s="64">
        <v>0.37</v>
      </c>
      <c r="Q13" s="64">
        <v>9.2100000000000009</v>
      </c>
      <c r="R13" s="198"/>
      <c r="S13" s="198"/>
      <c r="T13" s="198"/>
      <c r="U13" s="198"/>
    </row>
    <row r="14" spans="1:21" s="12" customFormat="1" x14ac:dyDescent="0.25">
      <c r="A14" s="214" t="s">
        <v>2747</v>
      </c>
      <c r="B14" s="64">
        <v>7.97</v>
      </c>
      <c r="C14" s="64">
        <v>11.62</v>
      </c>
      <c r="D14" s="64">
        <v>12.46</v>
      </c>
      <c r="E14" s="64">
        <v>4.3899999999999997</v>
      </c>
      <c r="F14" s="64">
        <v>8.1199999999999992</v>
      </c>
      <c r="G14" s="64">
        <v>27.11</v>
      </c>
      <c r="H14" s="64">
        <v>9.42</v>
      </c>
      <c r="I14" s="64">
        <v>1.51</v>
      </c>
      <c r="J14" s="64">
        <v>0.19</v>
      </c>
      <c r="K14" s="64">
        <v>317.77999999999997</v>
      </c>
      <c r="L14" s="64">
        <v>23.34</v>
      </c>
      <c r="M14" s="64">
        <v>98.03</v>
      </c>
      <c r="N14" s="64">
        <v>42.4</v>
      </c>
      <c r="O14" s="64">
        <v>0</v>
      </c>
      <c r="P14" s="64">
        <v>0.35</v>
      </c>
      <c r="Q14" s="64">
        <v>9.1999999999999993</v>
      </c>
      <c r="R14" s="198"/>
      <c r="S14" s="198"/>
      <c r="T14" s="198"/>
      <c r="U14" s="198"/>
    </row>
    <row r="15" spans="1:21" s="12" customFormat="1" x14ac:dyDescent="0.25">
      <c r="A15" s="214" t="s">
        <v>2748</v>
      </c>
      <c r="B15" s="64">
        <v>7.99</v>
      </c>
      <c r="C15" s="64">
        <v>10.75</v>
      </c>
      <c r="D15" s="64">
        <v>12.02</v>
      </c>
      <c r="E15" s="64">
        <v>4.6100000000000003</v>
      </c>
      <c r="F15" s="64">
        <v>9.91</v>
      </c>
      <c r="G15" s="64">
        <v>27.11</v>
      </c>
      <c r="H15" s="64">
        <v>9.42</v>
      </c>
      <c r="I15" s="64">
        <v>1.49</v>
      </c>
      <c r="J15" s="64">
        <v>0.14000000000000001</v>
      </c>
      <c r="K15" s="64">
        <v>311.20999999999998</v>
      </c>
      <c r="L15" s="64">
        <v>23.14</v>
      </c>
      <c r="M15" s="64">
        <v>98.03</v>
      </c>
      <c r="N15" s="64">
        <v>42.6</v>
      </c>
      <c r="O15" s="64">
        <v>0</v>
      </c>
      <c r="P15" s="64">
        <v>0.35</v>
      </c>
      <c r="Q15" s="64">
        <v>9.2100000000000009</v>
      </c>
      <c r="R15" s="198"/>
      <c r="S15" s="198"/>
      <c r="T15" s="198"/>
      <c r="U15" s="198"/>
    </row>
    <row r="16" spans="1:21" s="12" customFormat="1" x14ac:dyDescent="0.25">
      <c r="A16" s="214" t="s">
        <v>2749</v>
      </c>
      <c r="B16" s="64">
        <v>8.17</v>
      </c>
      <c r="C16" s="64">
        <v>10.039999999999999</v>
      </c>
      <c r="D16" s="64">
        <v>11.8</v>
      </c>
      <c r="E16" s="64">
        <v>4.41</v>
      </c>
      <c r="F16" s="64">
        <v>9.93</v>
      </c>
      <c r="G16" s="64">
        <v>27.11</v>
      </c>
      <c r="H16" s="64">
        <v>9.42</v>
      </c>
      <c r="I16" s="64">
        <v>1.47</v>
      </c>
      <c r="J16" s="64">
        <v>7.0000000000000007E-2</v>
      </c>
      <c r="K16" s="64">
        <v>318.58999999999997</v>
      </c>
      <c r="L16" s="64">
        <v>23.09</v>
      </c>
      <c r="M16" s="64">
        <v>98.03</v>
      </c>
      <c r="N16" s="64">
        <v>42.5</v>
      </c>
      <c r="O16" s="64">
        <v>0</v>
      </c>
      <c r="P16" s="64">
        <v>0.35</v>
      </c>
      <c r="Q16" s="64">
        <v>9.2100000000000009</v>
      </c>
      <c r="R16" s="198"/>
      <c r="S16" s="198"/>
      <c r="T16" s="198"/>
      <c r="U16" s="198"/>
    </row>
    <row r="17" spans="1:21" s="12" customFormat="1" x14ac:dyDescent="0.25">
      <c r="A17" s="214" t="s">
        <v>2750</v>
      </c>
      <c r="B17" s="64">
        <v>8.56</v>
      </c>
      <c r="C17" s="64">
        <v>7.8</v>
      </c>
      <c r="D17" s="64">
        <v>10.94</v>
      </c>
      <c r="E17" s="64">
        <v>4.5599999999999996</v>
      </c>
      <c r="F17" s="64">
        <v>8.31</v>
      </c>
      <c r="G17" s="64">
        <v>19.52</v>
      </c>
      <c r="H17" s="64">
        <v>7.75</v>
      </c>
      <c r="I17" s="64">
        <v>1.46</v>
      </c>
      <c r="J17" s="64">
        <v>0.12</v>
      </c>
      <c r="K17" s="64">
        <v>186.74</v>
      </c>
      <c r="L17" s="64">
        <v>22.9</v>
      </c>
      <c r="M17" s="64">
        <v>98.02</v>
      </c>
      <c r="N17" s="64">
        <v>42.5</v>
      </c>
      <c r="O17" s="64">
        <v>0</v>
      </c>
      <c r="P17" s="64">
        <v>0.36</v>
      </c>
      <c r="Q17" s="64">
        <v>9.18</v>
      </c>
      <c r="R17" s="198"/>
      <c r="S17" s="198"/>
      <c r="T17" s="198"/>
      <c r="U17" s="198"/>
    </row>
    <row r="18" spans="1:21" s="12" customFormat="1" x14ac:dyDescent="0.25">
      <c r="A18" s="214" t="s">
        <v>2751</v>
      </c>
      <c r="B18" s="64">
        <v>9.34</v>
      </c>
      <c r="C18" s="64">
        <v>6.66</v>
      </c>
      <c r="D18" s="64">
        <v>10.97</v>
      </c>
      <c r="E18" s="64">
        <v>4.34</v>
      </c>
      <c r="F18" s="64">
        <v>8.33</v>
      </c>
      <c r="G18" s="64">
        <v>18.98</v>
      </c>
      <c r="H18" s="64">
        <v>7.75</v>
      </c>
      <c r="I18" s="64">
        <v>1.45</v>
      </c>
      <c r="J18" s="64">
        <v>0.52</v>
      </c>
      <c r="K18" s="64">
        <v>333.93</v>
      </c>
      <c r="L18" s="64">
        <v>22.91</v>
      </c>
      <c r="M18" s="64">
        <v>98</v>
      </c>
      <c r="N18" s="64">
        <v>42.6</v>
      </c>
      <c r="O18" s="64">
        <v>0</v>
      </c>
      <c r="P18" s="64">
        <v>0.37</v>
      </c>
      <c r="Q18" s="64">
        <v>9.15</v>
      </c>
      <c r="R18" s="198"/>
      <c r="S18" s="198"/>
      <c r="T18" s="198"/>
      <c r="U18" s="198"/>
    </row>
    <row r="19" spans="1:21" s="12" customFormat="1" x14ac:dyDescent="0.25">
      <c r="A19" s="214" t="s">
        <v>2752</v>
      </c>
      <c r="B19" s="64">
        <v>9.3800000000000008</v>
      </c>
      <c r="C19" s="64">
        <v>7.55</v>
      </c>
      <c r="D19" s="64">
        <v>11.46</v>
      </c>
      <c r="E19" s="64">
        <v>4.6500000000000004</v>
      </c>
      <c r="F19" s="64">
        <v>8.14</v>
      </c>
      <c r="G19" s="64">
        <v>18.98</v>
      </c>
      <c r="H19" s="64">
        <v>7.75</v>
      </c>
      <c r="I19" s="64">
        <v>1.43</v>
      </c>
      <c r="J19" s="64">
        <v>0.8</v>
      </c>
      <c r="K19" s="64">
        <v>338.84</v>
      </c>
      <c r="L19" s="64">
        <v>22.92</v>
      </c>
      <c r="M19" s="64">
        <v>98</v>
      </c>
      <c r="N19" s="64">
        <v>42.6</v>
      </c>
      <c r="O19" s="64">
        <v>0</v>
      </c>
      <c r="P19" s="64">
        <v>0.35</v>
      </c>
      <c r="Q19" s="64">
        <v>9.16</v>
      </c>
      <c r="R19" s="198"/>
      <c r="S19" s="198"/>
      <c r="T19" s="198"/>
      <c r="U19" s="198"/>
    </row>
    <row r="20" spans="1:21" s="12" customFormat="1" x14ac:dyDescent="0.25">
      <c r="A20" s="214" t="s">
        <v>2753</v>
      </c>
      <c r="B20" s="64">
        <v>9.42</v>
      </c>
      <c r="C20" s="64">
        <v>9.4700000000000006</v>
      </c>
      <c r="D20" s="64">
        <v>12.5</v>
      </c>
      <c r="E20" s="64">
        <v>4.25</v>
      </c>
      <c r="F20" s="64">
        <v>7.17</v>
      </c>
      <c r="G20" s="64">
        <v>18.98</v>
      </c>
      <c r="H20" s="64">
        <v>7.75</v>
      </c>
      <c r="I20" s="64">
        <v>1.4</v>
      </c>
      <c r="J20" s="64">
        <v>0.56000000000000005</v>
      </c>
      <c r="K20" s="64">
        <v>339.34</v>
      </c>
      <c r="L20" s="64">
        <v>22.98</v>
      </c>
      <c r="M20" s="64">
        <v>98</v>
      </c>
      <c r="N20" s="64">
        <v>42.3</v>
      </c>
      <c r="O20" s="64">
        <v>0</v>
      </c>
      <c r="P20" s="64">
        <v>0.34</v>
      </c>
      <c r="Q20" s="64">
        <v>9.15</v>
      </c>
      <c r="R20" s="198"/>
      <c r="S20" s="198"/>
      <c r="T20" s="198"/>
      <c r="U20" s="198"/>
    </row>
    <row r="21" spans="1:21" s="12" customFormat="1" x14ac:dyDescent="0.25">
      <c r="A21" s="214" t="s">
        <v>2754</v>
      </c>
      <c r="B21" s="64">
        <v>8.5</v>
      </c>
      <c r="C21" s="64">
        <v>12.18</v>
      </c>
      <c r="D21" s="64">
        <v>13.18</v>
      </c>
      <c r="E21" s="64">
        <v>4.2</v>
      </c>
      <c r="F21" s="64">
        <v>8.64</v>
      </c>
      <c r="G21" s="64">
        <v>21.53</v>
      </c>
      <c r="H21" s="64">
        <v>14.27</v>
      </c>
      <c r="I21" s="64">
        <v>1.39</v>
      </c>
      <c r="J21" s="64">
        <v>0.64</v>
      </c>
      <c r="K21" s="64">
        <v>336.11</v>
      </c>
      <c r="L21" s="64">
        <v>22.88</v>
      </c>
      <c r="M21" s="64">
        <v>98</v>
      </c>
      <c r="N21" s="64">
        <v>42.5</v>
      </c>
      <c r="O21" s="64">
        <v>0</v>
      </c>
      <c r="P21" s="64">
        <v>0.33</v>
      </c>
      <c r="Q21" s="64">
        <v>9.16</v>
      </c>
      <c r="R21" s="198"/>
      <c r="S21" s="198"/>
      <c r="T21" s="198"/>
      <c r="U21" s="198"/>
    </row>
    <row r="22" spans="1:21" s="12" customFormat="1" x14ac:dyDescent="0.25">
      <c r="A22" s="214" t="s">
        <v>2755</v>
      </c>
      <c r="B22" s="64">
        <v>9.0399999999999991</v>
      </c>
      <c r="C22" s="64">
        <v>9.5500000000000007</v>
      </c>
      <c r="D22" s="64">
        <v>12.24</v>
      </c>
      <c r="E22" s="64">
        <v>4.34</v>
      </c>
      <c r="F22" s="64">
        <v>7.69</v>
      </c>
      <c r="G22" s="64">
        <v>21.72</v>
      </c>
      <c r="H22" s="64">
        <v>14.27</v>
      </c>
      <c r="I22" s="64">
        <v>1.37</v>
      </c>
      <c r="J22" s="64">
        <v>0.86</v>
      </c>
      <c r="K22" s="64">
        <v>337.75</v>
      </c>
      <c r="L22" s="64">
        <v>22.8</v>
      </c>
      <c r="M22" s="64">
        <v>98.03</v>
      </c>
      <c r="N22" s="64">
        <v>42.4</v>
      </c>
      <c r="O22" s="64">
        <v>0</v>
      </c>
      <c r="P22" s="64">
        <v>0.35</v>
      </c>
      <c r="Q22" s="64">
        <v>9.17</v>
      </c>
      <c r="R22" s="198"/>
      <c r="S22" s="198"/>
      <c r="T22" s="198"/>
      <c r="U22" s="198"/>
    </row>
    <row r="23" spans="1:21" s="12" customFormat="1" x14ac:dyDescent="0.25">
      <c r="A23" s="214" t="s">
        <v>2756</v>
      </c>
      <c r="B23" s="64">
        <v>9.2100000000000009</v>
      </c>
      <c r="C23" s="64">
        <v>9.32</v>
      </c>
      <c r="D23" s="64">
        <v>12.26</v>
      </c>
      <c r="E23" s="64">
        <v>4.42</v>
      </c>
      <c r="F23" s="64">
        <v>7.39</v>
      </c>
      <c r="G23" s="64">
        <v>21.72</v>
      </c>
      <c r="H23" s="64">
        <v>14.27</v>
      </c>
      <c r="I23" s="64">
        <v>1.45</v>
      </c>
      <c r="J23" s="64">
        <v>0.74</v>
      </c>
      <c r="K23" s="64">
        <v>337.95</v>
      </c>
      <c r="L23" s="64">
        <v>22.8</v>
      </c>
      <c r="M23" s="64">
        <v>98.05</v>
      </c>
      <c r="N23" s="64">
        <v>42.7</v>
      </c>
      <c r="O23" s="64">
        <v>0</v>
      </c>
      <c r="P23" s="64">
        <v>0.35</v>
      </c>
      <c r="Q23" s="64">
        <v>9.17</v>
      </c>
      <c r="R23" s="198"/>
      <c r="S23" s="198"/>
      <c r="T23" s="198"/>
      <c r="U23" s="198"/>
    </row>
    <row r="24" spans="1:21" s="12" customFormat="1" x14ac:dyDescent="0.25">
      <c r="A24" s="214" t="s">
        <v>2757</v>
      </c>
      <c r="B24" s="64">
        <v>10.14</v>
      </c>
      <c r="C24" s="64">
        <v>10.15</v>
      </c>
      <c r="D24" s="64">
        <v>13.43</v>
      </c>
      <c r="E24" s="64">
        <v>4.37</v>
      </c>
      <c r="F24" s="64">
        <v>6.86</v>
      </c>
      <c r="G24" s="64">
        <v>21.72</v>
      </c>
      <c r="H24" s="64">
        <v>14.27</v>
      </c>
      <c r="I24" s="64">
        <v>1.5</v>
      </c>
      <c r="J24" s="64">
        <v>0.85</v>
      </c>
      <c r="K24" s="64">
        <v>337.36</v>
      </c>
      <c r="L24" s="64">
        <v>22.81</v>
      </c>
      <c r="M24" s="64">
        <v>98.05</v>
      </c>
      <c r="N24" s="64">
        <v>42.7</v>
      </c>
      <c r="O24" s="64">
        <v>0</v>
      </c>
      <c r="P24" s="64">
        <v>0.34</v>
      </c>
      <c r="Q24" s="64">
        <v>9.16</v>
      </c>
      <c r="R24" s="198"/>
      <c r="S24" s="198"/>
      <c r="T24" s="198"/>
      <c r="U24" s="198"/>
    </row>
    <row r="25" spans="1:21" s="12" customFormat="1" x14ac:dyDescent="0.25">
      <c r="A25" s="214" t="s">
        <v>2758</v>
      </c>
      <c r="B25" s="64">
        <v>10.09</v>
      </c>
      <c r="C25" s="64">
        <v>9.2799999999999994</v>
      </c>
      <c r="D25" s="64">
        <v>12.94</v>
      </c>
      <c r="E25" s="64">
        <v>3.98</v>
      </c>
      <c r="F25" s="64">
        <v>6.35</v>
      </c>
      <c r="G25" s="64">
        <v>16.5</v>
      </c>
      <c r="H25" s="64">
        <v>12.8</v>
      </c>
      <c r="I25" s="64">
        <v>1.49</v>
      </c>
      <c r="J25" s="64">
        <v>0.99</v>
      </c>
      <c r="K25" s="64">
        <v>337.9</v>
      </c>
      <c r="L25" s="64">
        <v>22.83</v>
      </c>
      <c r="M25" s="64">
        <v>98.04</v>
      </c>
      <c r="N25" s="64">
        <v>42.5</v>
      </c>
      <c r="O25" s="64">
        <v>0</v>
      </c>
      <c r="P25" s="64">
        <v>0.34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4" t="s">
        <v>2759</v>
      </c>
      <c r="B26" s="64">
        <v>10.45</v>
      </c>
      <c r="C26" s="64">
        <v>7.48</v>
      </c>
      <c r="D26" s="64">
        <v>12.29</v>
      </c>
      <c r="E26" s="64">
        <v>4.05</v>
      </c>
      <c r="F26" s="64">
        <v>6.85</v>
      </c>
      <c r="G26" s="64">
        <v>16.12</v>
      </c>
      <c r="H26" s="64">
        <v>12.8</v>
      </c>
      <c r="I26" s="64">
        <v>1.49</v>
      </c>
      <c r="J26" s="64">
        <v>0.92</v>
      </c>
      <c r="K26" s="64">
        <v>338.28</v>
      </c>
      <c r="L26" s="64">
        <v>22.78</v>
      </c>
      <c r="M26" s="64">
        <v>98.05</v>
      </c>
      <c r="N26" s="64">
        <v>42.4</v>
      </c>
      <c r="O26" s="64">
        <v>0</v>
      </c>
      <c r="P26" s="64">
        <v>0.36</v>
      </c>
      <c r="Q26" s="64">
        <v>9.14</v>
      </c>
      <c r="R26" s="198"/>
      <c r="S26" s="198"/>
      <c r="T26" s="198"/>
      <c r="U26" s="198"/>
    </row>
    <row r="27" spans="1:21" s="12" customFormat="1" x14ac:dyDescent="0.25">
      <c r="A27" s="214" t="s">
        <v>2760</v>
      </c>
      <c r="B27" s="64">
        <v>10.58</v>
      </c>
      <c r="C27" s="64">
        <v>7.54</v>
      </c>
      <c r="D27" s="64">
        <v>12.42</v>
      </c>
      <c r="E27" s="64">
        <v>4.3899999999999997</v>
      </c>
      <c r="F27" s="64">
        <v>5.33</v>
      </c>
      <c r="G27" s="64">
        <v>16.12</v>
      </c>
      <c r="H27" s="64">
        <v>12.8</v>
      </c>
      <c r="I27" s="64">
        <v>1.48</v>
      </c>
      <c r="J27" s="64">
        <v>0.62</v>
      </c>
      <c r="K27" s="64">
        <v>336.71</v>
      </c>
      <c r="L27" s="64">
        <v>22.79</v>
      </c>
      <c r="M27" s="64">
        <v>98.07</v>
      </c>
      <c r="N27" s="64">
        <v>42.4</v>
      </c>
      <c r="O27" s="64">
        <v>0</v>
      </c>
      <c r="P27" s="64">
        <v>0.37</v>
      </c>
      <c r="Q27" s="64">
        <v>9.1300000000000008</v>
      </c>
      <c r="R27" s="198"/>
      <c r="S27" s="198"/>
      <c r="T27" s="198"/>
      <c r="U27" s="198"/>
    </row>
    <row r="28" spans="1:21" s="12" customFormat="1" x14ac:dyDescent="0.25">
      <c r="A28" s="214" t="s">
        <v>2761</v>
      </c>
      <c r="B28" s="64">
        <v>10.77</v>
      </c>
      <c r="C28" s="64">
        <v>7.81</v>
      </c>
      <c r="D28" s="64">
        <v>12.72</v>
      </c>
      <c r="E28" s="64">
        <v>4.3</v>
      </c>
      <c r="F28" s="64">
        <v>5.54</v>
      </c>
      <c r="G28" s="64">
        <v>16.12</v>
      </c>
      <c r="H28" s="64">
        <v>12.8</v>
      </c>
      <c r="I28" s="64">
        <v>1.39</v>
      </c>
      <c r="J28" s="64">
        <v>0.72</v>
      </c>
      <c r="K28" s="64">
        <v>338.44</v>
      </c>
      <c r="L28" s="64">
        <v>22.77</v>
      </c>
      <c r="M28" s="64">
        <v>98.07</v>
      </c>
      <c r="N28" s="64">
        <v>42.4</v>
      </c>
      <c r="O28" s="64">
        <v>0</v>
      </c>
      <c r="P28" s="64">
        <v>0.38</v>
      </c>
      <c r="Q28" s="64">
        <v>9.14</v>
      </c>
      <c r="R28" s="198"/>
      <c r="S28" s="198"/>
      <c r="T28" s="198"/>
      <c r="U28" s="198"/>
    </row>
    <row r="29" spans="1:21" s="12" customFormat="1" x14ac:dyDescent="0.25">
      <c r="A29" s="214" t="s">
        <v>2762</v>
      </c>
      <c r="B29" s="64">
        <v>11.09</v>
      </c>
      <c r="C29" s="64">
        <v>8</v>
      </c>
      <c r="D29" s="64">
        <v>13.07</v>
      </c>
      <c r="E29" s="64">
        <v>4.3499999999999996</v>
      </c>
      <c r="F29" s="64">
        <v>11.99</v>
      </c>
      <c r="G29" s="64">
        <v>26.96</v>
      </c>
      <c r="H29" s="64">
        <v>11.81</v>
      </c>
      <c r="I29" s="64">
        <v>1.39</v>
      </c>
      <c r="J29" s="64">
        <v>0</v>
      </c>
      <c r="K29" s="64">
        <v>303.41000000000003</v>
      </c>
      <c r="L29" s="64">
        <v>22.7</v>
      </c>
      <c r="M29" s="64">
        <v>98.07</v>
      </c>
      <c r="N29" s="64">
        <v>42.4</v>
      </c>
      <c r="O29" s="64">
        <v>0</v>
      </c>
      <c r="P29" s="64">
        <v>0.38</v>
      </c>
      <c r="Q29" s="64">
        <v>9.15</v>
      </c>
      <c r="R29" s="198"/>
      <c r="S29" s="198"/>
      <c r="T29" s="198"/>
      <c r="U29" s="198"/>
    </row>
    <row r="30" spans="1:21" s="12" customFormat="1" x14ac:dyDescent="0.25">
      <c r="A30" s="214" t="s">
        <v>2763</v>
      </c>
      <c r="B30" s="64">
        <v>11.34</v>
      </c>
      <c r="C30" s="64">
        <v>8.18</v>
      </c>
      <c r="D30" s="64">
        <v>13.37</v>
      </c>
      <c r="E30" s="64">
        <v>4.05</v>
      </c>
      <c r="F30" s="64">
        <v>10.87</v>
      </c>
      <c r="G30" s="64">
        <v>27.73</v>
      </c>
      <c r="H30" s="64">
        <v>11.81</v>
      </c>
      <c r="I30" s="64">
        <v>1.43</v>
      </c>
      <c r="J30" s="64">
        <v>0.59</v>
      </c>
      <c r="K30" s="64">
        <v>331.55</v>
      </c>
      <c r="L30" s="64">
        <v>22.65</v>
      </c>
      <c r="M30" s="64">
        <v>98.08</v>
      </c>
      <c r="N30" s="64">
        <v>42.5</v>
      </c>
      <c r="O30" s="64">
        <v>0</v>
      </c>
      <c r="P30" s="64">
        <v>0.38</v>
      </c>
      <c r="Q30" s="64">
        <v>9.09</v>
      </c>
      <c r="R30" s="198"/>
      <c r="S30" s="198"/>
      <c r="T30" s="198"/>
      <c r="U30" s="198"/>
    </row>
    <row r="31" spans="1:21" s="12" customFormat="1" x14ac:dyDescent="0.25">
      <c r="A31" s="214" t="s">
        <v>2764</v>
      </c>
      <c r="B31" s="64">
        <v>11.5</v>
      </c>
      <c r="C31" s="64">
        <v>8.41</v>
      </c>
      <c r="D31" s="64">
        <v>13.61</v>
      </c>
      <c r="E31" s="64">
        <v>3.97</v>
      </c>
      <c r="F31" s="64">
        <v>5.12</v>
      </c>
      <c r="G31" s="64">
        <v>27.73</v>
      </c>
      <c r="H31" s="64">
        <v>11.81</v>
      </c>
      <c r="I31" s="64">
        <v>1.43</v>
      </c>
      <c r="J31" s="64">
        <v>0.52</v>
      </c>
      <c r="K31" s="64">
        <v>331.07</v>
      </c>
      <c r="L31" s="64">
        <v>22.69</v>
      </c>
      <c r="M31" s="64">
        <v>98.08</v>
      </c>
      <c r="N31" s="64">
        <v>42.3</v>
      </c>
      <c r="O31" s="64">
        <v>0</v>
      </c>
      <c r="P31" s="64">
        <v>0.39</v>
      </c>
      <c r="Q31" s="64">
        <v>9.06</v>
      </c>
      <c r="R31" s="198"/>
      <c r="S31" s="198"/>
      <c r="T31" s="198"/>
      <c r="U31" s="198"/>
    </row>
    <row r="32" spans="1:21" s="12" customFormat="1" x14ac:dyDescent="0.25">
      <c r="A32" s="214" t="s">
        <v>2765</v>
      </c>
      <c r="B32" s="64">
        <v>11.97</v>
      </c>
      <c r="C32" s="64">
        <v>8.6</v>
      </c>
      <c r="D32" s="64">
        <v>14.09</v>
      </c>
      <c r="E32" s="64">
        <v>3.8</v>
      </c>
      <c r="F32" s="64">
        <v>6.76</v>
      </c>
      <c r="G32" s="64">
        <v>27.73</v>
      </c>
      <c r="H32" s="64">
        <v>11.81</v>
      </c>
      <c r="I32" s="64">
        <v>1.45</v>
      </c>
      <c r="J32" s="64">
        <v>0.08</v>
      </c>
      <c r="K32" s="64">
        <v>342.74</v>
      </c>
      <c r="L32" s="64">
        <v>22.75</v>
      </c>
      <c r="M32" s="64">
        <v>98.06</v>
      </c>
      <c r="N32" s="64">
        <v>42.5</v>
      </c>
      <c r="O32" s="64">
        <v>0</v>
      </c>
      <c r="P32" s="64">
        <v>0.36</v>
      </c>
      <c r="Q32" s="64">
        <v>9.07</v>
      </c>
      <c r="R32" s="198"/>
      <c r="S32" s="198"/>
      <c r="T32" s="198"/>
      <c r="U32" s="198"/>
    </row>
    <row r="33" spans="1:21" s="12" customFormat="1" x14ac:dyDescent="0.25">
      <c r="A33" s="214" t="s">
        <v>2766</v>
      </c>
      <c r="B33" s="64">
        <v>11.64</v>
      </c>
      <c r="C33" s="64">
        <v>8.3000000000000007</v>
      </c>
      <c r="D33" s="64">
        <v>13.67</v>
      </c>
      <c r="E33" s="64">
        <v>3.78</v>
      </c>
      <c r="F33" s="64">
        <v>7.25</v>
      </c>
      <c r="G33" s="64">
        <v>23.43</v>
      </c>
      <c r="H33" s="64">
        <v>11.55</v>
      </c>
      <c r="I33" s="64">
        <v>1.44</v>
      </c>
      <c r="J33" s="64">
        <v>0.16</v>
      </c>
      <c r="K33" s="64">
        <v>150.63</v>
      </c>
      <c r="L33" s="64">
        <v>22.77</v>
      </c>
      <c r="M33" s="64">
        <v>98.05</v>
      </c>
      <c r="N33" s="64">
        <v>43.2</v>
      </c>
      <c r="O33" s="64">
        <v>0</v>
      </c>
      <c r="P33" s="64">
        <v>0.36</v>
      </c>
      <c r="Q33" s="64">
        <v>9.08</v>
      </c>
      <c r="R33" s="198"/>
      <c r="S33" s="198"/>
      <c r="T33" s="198"/>
      <c r="U33" s="198"/>
    </row>
    <row r="34" spans="1:21" s="12" customFormat="1" x14ac:dyDescent="0.25">
      <c r="A34" s="214" t="s">
        <v>2767</v>
      </c>
      <c r="B34" s="64">
        <v>11.91</v>
      </c>
      <c r="C34" s="64">
        <v>7.66</v>
      </c>
      <c r="D34" s="64">
        <v>13.55</v>
      </c>
      <c r="E34" s="64">
        <v>3.75</v>
      </c>
      <c r="F34" s="64">
        <v>7.82</v>
      </c>
      <c r="G34" s="64">
        <v>23.12</v>
      </c>
      <c r="H34" s="64">
        <v>11.55</v>
      </c>
      <c r="I34" s="64">
        <v>1.46</v>
      </c>
      <c r="J34" s="64">
        <v>0.14000000000000001</v>
      </c>
      <c r="K34" s="64">
        <v>261.45</v>
      </c>
      <c r="L34" s="64">
        <v>22.81</v>
      </c>
      <c r="M34" s="64">
        <v>98.05</v>
      </c>
      <c r="N34" s="64">
        <v>52</v>
      </c>
      <c r="O34" s="64">
        <v>0</v>
      </c>
      <c r="P34" s="64">
        <v>0.34</v>
      </c>
      <c r="Q34" s="64">
        <v>9.09</v>
      </c>
      <c r="R34" s="198"/>
      <c r="S34" s="198"/>
      <c r="T34" s="198"/>
      <c r="U34" s="198"/>
    </row>
    <row r="35" spans="1:21" s="12" customFormat="1" x14ac:dyDescent="0.25">
      <c r="A35" s="214" t="s">
        <v>2768</v>
      </c>
      <c r="B35" s="64">
        <v>13.43</v>
      </c>
      <c r="C35" s="64">
        <v>9.36</v>
      </c>
      <c r="D35" s="64">
        <v>15.6</v>
      </c>
      <c r="E35" s="64">
        <v>3.89</v>
      </c>
      <c r="F35" s="64">
        <v>9.16</v>
      </c>
      <c r="G35" s="64">
        <v>23.12</v>
      </c>
      <c r="H35" s="64">
        <v>11.55</v>
      </c>
      <c r="I35" s="64">
        <v>1.49</v>
      </c>
      <c r="J35" s="64">
        <v>0.3</v>
      </c>
      <c r="K35" s="64">
        <v>302.51</v>
      </c>
      <c r="L35" s="64">
        <v>22.84</v>
      </c>
      <c r="M35" s="64">
        <v>98.05</v>
      </c>
      <c r="N35" s="64">
        <v>48.2</v>
      </c>
      <c r="O35" s="64">
        <v>0</v>
      </c>
      <c r="P35" s="64">
        <v>0.32</v>
      </c>
      <c r="Q35" s="64">
        <v>9.1199999999999992</v>
      </c>
      <c r="R35" s="198"/>
      <c r="S35" s="198"/>
      <c r="T35" s="198"/>
      <c r="U35" s="198"/>
    </row>
    <row r="36" spans="1:21" s="12" customFormat="1" x14ac:dyDescent="0.25">
      <c r="A36" s="214" t="s">
        <v>2769</v>
      </c>
      <c r="B36" s="64">
        <v>11.78</v>
      </c>
      <c r="C36" s="64">
        <v>9.57</v>
      </c>
      <c r="D36" s="64">
        <v>14.45</v>
      </c>
      <c r="E36" s="64">
        <v>3.79</v>
      </c>
      <c r="F36" s="64">
        <v>11.63</v>
      </c>
      <c r="G36" s="64">
        <v>23.12</v>
      </c>
      <c r="H36" s="64">
        <v>11.55</v>
      </c>
      <c r="I36" s="64">
        <v>1.48</v>
      </c>
      <c r="J36" s="64">
        <v>0.11</v>
      </c>
      <c r="K36" s="64">
        <v>153.21</v>
      </c>
      <c r="L36" s="64">
        <v>22.69</v>
      </c>
      <c r="M36" s="64">
        <v>98.05</v>
      </c>
      <c r="N36" s="64">
        <v>50.4</v>
      </c>
      <c r="O36" s="64">
        <v>0</v>
      </c>
      <c r="P36" s="64">
        <v>0.32</v>
      </c>
      <c r="Q36" s="64">
        <v>9.1300000000000008</v>
      </c>
      <c r="R36" s="198"/>
      <c r="S36" s="198"/>
      <c r="T36" s="198"/>
      <c r="U36" s="198"/>
    </row>
    <row r="37" spans="1:21" s="12" customFormat="1" x14ac:dyDescent="0.25">
      <c r="A37" s="214" t="s">
        <v>2770</v>
      </c>
      <c r="B37" s="64">
        <v>20.76</v>
      </c>
      <c r="C37" s="64">
        <v>9.75</v>
      </c>
      <c r="D37" s="64">
        <v>21.39</v>
      </c>
      <c r="E37" s="64">
        <v>3.84</v>
      </c>
      <c r="F37" s="64">
        <v>8.57</v>
      </c>
      <c r="G37" s="64">
        <v>16.43</v>
      </c>
      <c r="H37" s="64">
        <v>9.24</v>
      </c>
      <c r="I37" s="64">
        <v>1.46</v>
      </c>
      <c r="J37" s="64">
        <v>7.0000000000000007E-2</v>
      </c>
      <c r="K37" s="64">
        <v>202.8</v>
      </c>
      <c r="L37" s="64">
        <v>22.71</v>
      </c>
      <c r="M37" s="64">
        <v>98.03</v>
      </c>
      <c r="N37" s="64">
        <v>58.5</v>
      </c>
      <c r="O37" s="64">
        <v>0</v>
      </c>
      <c r="P37" s="64">
        <v>0.35</v>
      </c>
      <c r="Q37" s="64">
        <v>9.15</v>
      </c>
      <c r="R37" s="198"/>
      <c r="S37" s="198"/>
      <c r="T37" s="198"/>
      <c r="U37" s="198"/>
    </row>
    <row r="38" spans="1:21" s="12" customFormat="1" x14ac:dyDescent="0.25">
      <c r="A38" s="214" t="s">
        <v>2771</v>
      </c>
      <c r="B38" s="64">
        <v>13.69</v>
      </c>
      <c r="C38" s="64">
        <v>7.72</v>
      </c>
      <c r="D38" s="64">
        <v>15.01</v>
      </c>
      <c r="E38" s="64">
        <v>3.88</v>
      </c>
      <c r="F38" s="64">
        <v>12.92</v>
      </c>
      <c r="G38" s="64">
        <v>15.95</v>
      </c>
      <c r="H38" s="64">
        <v>9.24</v>
      </c>
      <c r="I38" s="64">
        <v>1.45</v>
      </c>
      <c r="J38" s="64">
        <v>0.13</v>
      </c>
      <c r="K38" s="64">
        <v>274.26</v>
      </c>
      <c r="L38" s="64">
        <v>22.76</v>
      </c>
      <c r="M38" s="64">
        <v>98.04</v>
      </c>
      <c r="N38" s="64">
        <v>85.7</v>
      </c>
      <c r="O38" s="64">
        <v>0</v>
      </c>
      <c r="P38" s="64">
        <v>0.34</v>
      </c>
      <c r="Q38" s="64">
        <v>9.16</v>
      </c>
      <c r="R38" s="198"/>
      <c r="S38" s="198"/>
      <c r="T38" s="198"/>
      <c r="U38" s="198"/>
    </row>
    <row r="39" spans="1:21" s="12" customFormat="1" x14ac:dyDescent="0.25">
      <c r="A39" s="214" t="s">
        <v>2772</v>
      </c>
      <c r="B39" s="64">
        <v>16.36</v>
      </c>
      <c r="C39" s="64">
        <v>10.4</v>
      </c>
      <c r="D39" s="64">
        <v>18.38</v>
      </c>
      <c r="E39" s="64">
        <v>4.32</v>
      </c>
      <c r="F39" s="64">
        <v>11.27</v>
      </c>
      <c r="G39" s="64">
        <v>15.95</v>
      </c>
      <c r="H39" s="64">
        <v>9.24</v>
      </c>
      <c r="I39" s="64">
        <v>1.46</v>
      </c>
      <c r="J39" s="64">
        <v>0.11</v>
      </c>
      <c r="K39" s="64">
        <v>200.67</v>
      </c>
      <c r="L39" s="64">
        <v>22.93</v>
      </c>
      <c r="M39" s="64">
        <v>98.06</v>
      </c>
      <c r="N39" s="64">
        <v>104.5</v>
      </c>
      <c r="O39" s="64">
        <v>0</v>
      </c>
      <c r="P39" s="64">
        <v>0.36</v>
      </c>
      <c r="Q39" s="64">
        <v>9.17</v>
      </c>
      <c r="R39" s="198"/>
      <c r="S39" s="198"/>
      <c r="T39" s="198"/>
      <c r="U39" s="198"/>
    </row>
    <row r="40" spans="1:21" s="12" customFormat="1" x14ac:dyDescent="0.25">
      <c r="A40" s="214" t="s">
        <v>2773</v>
      </c>
      <c r="B40" s="64">
        <v>15.64</v>
      </c>
      <c r="C40" s="64">
        <v>9.4499999999999993</v>
      </c>
      <c r="D40" s="64">
        <v>17.48</v>
      </c>
      <c r="E40" s="64">
        <v>4.82</v>
      </c>
      <c r="F40" s="64">
        <v>10.52</v>
      </c>
      <c r="G40" s="64">
        <v>15.95</v>
      </c>
      <c r="H40" s="64">
        <v>9.24</v>
      </c>
      <c r="I40" s="64">
        <v>1.45</v>
      </c>
      <c r="J40" s="64">
        <v>0.18</v>
      </c>
      <c r="K40" s="64">
        <v>152.71</v>
      </c>
      <c r="L40" s="64">
        <v>23.12</v>
      </c>
      <c r="M40" s="64">
        <v>98.07</v>
      </c>
      <c r="N40" s="64">
        <v>114.3</v>
      </c>
      <c r="O40" s="64">
        <v>0</v>
      </c>
      <c r="P40" s="64">
        <v>0.36</v>
      </c>
      <c r="Q40" s="64">
        <v>9.1999999999999993</v>
      </c>
      <c r="R40" s="198"/>
      <c r="S40" s="198"/>
      <c r="T40" s="198"/>
      <c r="U40" s="198"/>
    </row>
    <row r="41" spans="1:21" s="12" customFormat="1" x14ac:dyDescent="0.25">
      <c r="A41" s="214" t="s">
        <v>2774</v>
      </c>
      <c r="B41" s="64">
        <v>15</v>
      </c>
      <c r="C41" s="64">
        <v>5.82</v>
      </c>
      <c r="D41" s="64">
        <v>15.07</v>
      </c>
      <c r="E41" s="64">
        <v>4.87</v>
      </c>
      <c r="F41" s="64">
        <v>7.21</v>
      </c>
      <c r="G41" s="64">
        <v>11.49</v>
      </c>
      <c r="H41" s="64">
        <v>7.62</v>
      </c>
      <c r="I41" s="64">
        <v>1.44</v>
      </c>
      <c r="J41" s="64">
        <v>0.15</v>
      </c>
      <c r="K41" s="64">
        <v>271.35000000000002</v>
      </c>
      <c r="L41" s="64">
        <v>23.27</v>
      </c>
      <c r="M41" s="64">
        <v>98.05</v>
      </c>
      <c r="N41" s="64">
        <v>120.1</v>
      </c>
      <c r="O41" s="64">
        <v>0</v>
      </c>
      <c r="P41" s="64">
        <v>0.36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4" t="s">
        <v>2775</v>
      </c>
      <c r="B42" s="64">
        <v>15.09</v>
      </c>
      <c r="C42" s="64">
        <v>7.78</v>
      </c>
      <c r="D42" s="64">
        <v>16.059999999999999</v>
      </c>
      <c r="E42" s="64">
        <v>4.6900000000000004</v>
      </c>
      <c r="F42" s="64">
        <v>9.0299999999999994</v>
      </c>
      <c r="G42" s="64">
        <v>11.17</v>
      </c>
      <c r="H42" s="64">
        <v>7.62</v>
      </c>
      <c r="I42" s="64">
        <v>1.43</v>
      </c>
      <c r="J42" s="64">
        <v>0.05</v>
      </c>
      <c r="K42" s="64">
        <v>207.34</v>
      </c>
      <c r="L42" s="64">
        <v>23.4</v>
      </c>
      <c r="M42" s="64">
        <v>98.03</v>
      </c>
      <c r="N42" s="64">
        <v>132.6</v>
      </c>
      <c r="O42" s="64">
        <v>0</v>
      </c>
      <c r="P42" s="64">
        <v>0.36</v>
      </c>
      <c r="Q42" s="64">
        <v>9.23</v>
      </c>
      <c r="R42" s="198"/>
      <c r="S42" s="198"/>
      <c r="T42" s="198"/>
      <c r="U42" s="198"/>
    </row>
    <row r="43" spans="1:21" s="12" customFormat="1" x14ac:dyDescent="0.25">
      <c r="A43" s="214" t="s">
        <v>2776</v>
      </c>
      <c r="B43" s="64">
        <v>15.57</v>
      </c>
      <c r="C43" s="64">
        <v>9.44</v>
      </c>
      <c r="D43" s="64">
        <v>17.420000000000002</v>
      </c>
      <c r="E43" s="64">
        <v>4.8899999999999997</v>
      </c>
      <c r="F43" s="64">
        <v>12.8</v>
      </c>
      <c r="G43" s="64">
        <v>11.17</v>
      </c>
      <c r="H43" s="64">
        <v>7.62</v>
      </c>
      <c r="I43" s="64">
        <v>1.42</v>
      </c>
      <c r="J43" s="64">
        <v>0.06</v>
      </c>
      <c r="K43" s="64">
        <v>271.61</v>
      </c>
      <c r="L43" s="64">
        <v>23.77</v>
      </c>
      <c r="M43" s="64">
        <v>98.01</v>
      </c>
      <c r="N43" s="64">
        <v>202.2</v>
      </c>
      <c r="O43" s="64">
        <v>0</v>
      </c>
      <c r="P43" s="64">
        <v>0.35</v>
      </c>
      <c r="Q43" s="64">
        <v>9.25</v>
      </c>
      <c r="R43" s="198"/>
      <c r="S43" s="198"/>
      <c r="T43" s="198"/>
      <c r="U43" s="198"/>
    </row>
    <row r="44" spans="1:21" s="12" customFormat="1" x14ac:dyDescent="0.25">
      <c r="A44" s="214" t="s">
        <v>2777</v>
      </c>
      <c r="B44" s="64">
        <v>16.3</v>
      </c>
      <c r="C44" s="64">
        <v>10.32</v>
      </c>
      <c r="D44" s="64">
        <v>18.47</v>
      </c>
      <c r="E44" s="64">
        <v>4.8600000000000003</v>
      </c>
      <c r="F44" s="64">
        <v>8.56</v>
      </c>
      <c r="G44" s="64">
        <v>11.17</v>
      </c>
      <c r="H44" s="64">
        <v>7.62</v>
      </c>
      <c r="I44" s="64">
        <v>1.42</v>
      </c>
      <c r="J44" s="64">
        <v>0.2</v>
      </c>
      <c r="K44" s="64">
        <v>313.85000000000002</v>
      </c>
      <c r="L44" s="64">
        <v>24.61</v>
      </c>
      <c r="M44" s="64">
        <v>97.99</v>
      </c>
      <c r="N44" s="64">
        <v>327.3</v>
      </c>
      <c r="O44" s="64">
        <v>0</v>
      </c>
      <c r="P44" s="64">
        <v>0.38</v>
      </c>
      <c r="Q44" s="64">
        <v>9.27</v>
      </c>
      <c r="R44" s="198"/>
      <c r="S44" s="198"/>
      <c r="T44" s="198"/>
      <c r="U44" s="198"/>
    </row>
    <row r="45" spans="1:21" s="12" customFormat="1" x14ac:dyDescent="0.25">
      <c r="A45" s="214" t="s">
        <v>2778</v>
      </c>
      <c r="B45" s="64">
        <v>12.39</v>
      </c>
      <c r="C45" s="64">
        <v>8.69</v>
      </c>
      <c r="D45" s="64">
        <v>14.47</v>
      </c>
      <c r="E45" s="64">
        <v>4.72</v>
      </c>
      <c r="F45" s="64">
        <v>10.16</v>
      </c>
      <c r="G45" s="64">
        <v>8.0399999999999991</v>
      </c>
      <c r="H45" s="64">
        <v>6.49</v>
      </c>
      <c r="I45" s="64">
        <v>1.44</v>
      </c>
      <c r="J45" s="64">
        <v>0.02</v>
      </c>
      <c r="K45" s="64">
        <v>117.1</v>
      </c>
      <c r="L45" s="64">
        <v>25.49</v>
      </c>
      <c r="M45" s="64">
        <v>97.92</v>
      </c>
      <c r="N45" s="64">
        <v>382.8</v>
      </c>
      <c r="O45" s="64">
        <v>0</v>
      </c>
      <c r="P45" s="64">
        <v>0.37</v>
      </c>
      <c r="Q45" s="64">
        <v>9.2799999999999994</v>
      </c>
      <c r="R45" s="198"/>
      <c r="S45" s="198"/>
      <c r="T45" s="198"/>
      <c r="U45" s="198"/>
    </row>
    <row r="46" spans="1:21" s="12" customFormat="1" x14ac:dyDescent="0.25">
      <c r="A46" s="214" t="s">
        <v>2779</v>
      </c>
      <c r="B46" s="64">
        <v>12.6</v>
      </c>
      <c r="C46" s="64">
        <v>8.15</v>
      </c>
      <c r="D46" s="64">
        <v>14.36</v>
      </c>
      <c r="E46" s="64">
        <v>4.8899999999999997</v>
      </c>
      <c r="F46" s="64">
        <v>8.5</v>
      </c>
      <c r="G46" s="64">
        <v>7.82</v>
      </c>
      <c r="H46" s="64">
        <v>6.49</v>
      </c>
      <c r="I46" s="64">
        <v>1.44</v>
      </c>
      <c r="J46" s="64">
        <v>0.17</v>
      </c>
      <c r="K46" s="64">
        <v>127.25</v>
      </c>
      <c r="L46" s="64">
        <v>25.57</v>
      </c>
      <c r="M46" s="64">
        <v>97.9</v>
      </c>
      <c r="N46" s="64">
        <v>327.3</v>
      </c>
      <c r="O46" s="64">
        <v>0</v>
      </c>
      <c r="P46" s="64">
        <v>0.34</v>
      </c>
      <c r="Q46" s="64">
        <v>9.2899999999999991</v>
      </c>
      <c r="R46" s="198"/>
      <c r="S46" s="198"/>
      <c r="T46" s="198"/>
      <c r="U46" s="198"/>
    </row>
    <row r="47" spans="1:21" s="12" customFormat="1" x14ac:dyDescent="0.25">
      <c r="A47" s="214" t="s">
        <v>2780</v>
      </c>
      <c r="B47" s="64">
        <v>13.62</v>
      </c>
      <c r="C47" s="64">
        <v>7.25</v>
      </c>
      <c r="D47" s="64">
        <v>14.71</v>
      </c>
      <c r="E47" s="64">
        <v>5.15</v>
      </c>
      <c r="F47" s="64">
        <v>8.15</v>
      </c>
      <c r="G47" s="64">
        <v>7.82</v>
      </c>
      <c r="H47" s="64">
        <v>6.49</v>
      </c>
      <c r="I47" s="64">
        <v>1.43</v>
      </c>
      <c r="J47" s="64">
        <v>0.47</v>
      </c>
      <c r="K47" s="64">
        <v>129.93</v>
      </c>
      <c r="L47" s="64">
        <v>25.67</v>
      </c>
      <c r="M47" s="64">
        <v>97.89</v>
      </c>
      <c r="N47" s="64">
        <v>455.3</v>
      </c>
      <c r="O47" s="64">
        <v>0</v>
      </c>
      <c r="P47" s="64">
        <v>0.33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14" t="s">
        <v>2781</v>
      </c>
      <c r="B48" s="64">
        <v>14.46</v>
      </c>
      <c r="C48" s="64">
        <v>7.05</v>
      </c>
      <c r="D48" s="64">
        <v>15.21</v>
      </c>
      <c r="E48" s="64">
        <v>5.0199999999999996</v>
      </c>
      <c r="F48" s="64">
        <v>11.69</v>
      </c>
      <c r="G48" s="64">
        <v>7.82</v>
      </c>
      <c r="H48" s="64">
        <v>6.49</v>
      </c>
      <c r="I48" s="64">
        <v>1.42</v>
      </c>
      <c r="J48" s="64">
        <v>0.31</v>
      </c>
      <c r="K48" s="64">
        <v>139.25</v>
      </c>
      <c r="L48" s="64">
        <v>26.57</v>
      </c>
      <c r="M48" s="64">
        <v>97.84</v>
      </c>
      <c r="N48" s="64">
        <v>700.1</v>
      </c>
      <c r="O48" s="64">
        <v>0</v>
      </c>
      <c r="P48" s="64">
        <v>0.36</v>
      </c>
      <c r="Q48" s="64">
        <v>9.2799999999999994</v>
      </c>
      <c r="R48" s="198"/>
      <c r="S48" s="198"/>
      <c r="T48" s="198"/>
      <c r="U48" s="198"/>
    </row>
    <row r="49" spans="1:21" s="12" customFormat="1" x14ac:dyDescent="0.25">
      <c r="A49" s="214" t="s">
        <v>2782</v>
      </c>
      <c r="B49" s="64">
        <v>14.02</v>
      </c>
      <c r="C49" s="64">
        <v>7.43</v>
      </c>
      <c r="D49" s="64">
        <v>15.13</v>
      </c>
      <c r="E49" s="64">
        <v>5.04</v>
      </c>
      <c r="F49" s="64">
        <v>7.89</v>
      </c>
      <c r="G49" s="64">
        <v>5.63</v>
      </c>
      <c r="H49" s="64">
        <v>5.7</v>
      </c>
      <c r="I49" s="64">
        <v>1.41</v>
      </c>
      <c r="J49" s="64">
        <v>0.65</v>
      </c>
      <c r="K49" s="64">
        <v>131.86000000000001</v>
      </c>
      <c r="L49" s="64">
        <v>27.01</v>
      </c>
      <c r="M49" s="64">
        <v>97.82</v>
      </c>
      <c r="N49" s="64">
        <v>710.9</v>
      </c>
      <c r="O49" s="64">
        <v>0</v>
      </c>
      <c r="P49" s="64">
        <v>0.35</v>
      </c>
      <c r="Q49" s="64">
        <v>9.27</v>
      </c>
      <c r="R49" s="198"/>
      <c r="S49" s="198"/>
      <c r="T49" s="198"/>
      <c r="U49" s="198"/>
    </row>
    <row r="50" spans="1:21" s="12" customFormat="1" x14ac:dyDescent="0.25">
      <c r="A50" s="214" t="s">
        <v>2783</v>
      </c>
      <c r="B50" s="64">
        <v>15.15</v>
      </c>
      <c r="C50" s="64">
        <v>8.09</v>
      </c>
      <c r="D50" s="64">
        <v>16.37</v>
      </c>
      <c r="E50" s="64">
        <v>5</v>
      </c>
      <c r="F50" s="64">
        <v>9.17</v>
      </c>
      <c r="G50" s="64">
        <v>5.47</v>
      </c>
      <c r="H50" s="64">
        <v>5.7</v>
      </c>
      <c r="I50" s="64">
        <v>1.39</v>
      </c>
      <c r="J50" s="64">
        <v>0.15</v>
      </c>
      <c r="K50" s="64">
        <v>261.64</v>
      </c>
      <c r="L50" s="64">
        <v>27.07</v>
      </c>
      <c r="M50" s="64">
        <v>97.84</v>
      </c>
      <c r="N50" s="64">
        <v>419.6</v>
      </c>
      <c r="O50" s="64">
        <v>0</v>
      </c>
      <c r="P50" s="64">
        <v>0.39</v>
      </c>
      <c r="Q50" s="64">
        <v>9.25</v>
      </c>
      <c r="R50" s="198"/>
      <c r="S50" s="198"/>
      <c r="T50" s="198"/>
      <c r="U50" s="198"/>
    </row>
    <row r="51" spans="1:21" s="12" customFormat="1" x14ac:dyDescent="0.25">
      <c r="A51" s="214" t="s">
        <v>2784</v>
      </c>
      <c r="B51" s="64">
        <v>15.05</v>
      </c>
      <c r="C51" s="64">
        <v>7.84</v>
      </c>
      <c r="D51" s="64">
        <v>16.16</v>
      </c>
      <c r="E51" s="64">
        <v>5.16</v>
      </c>
      <c r="F51" s="64">
        <v>11.51</v>
      </c>
      <c r="G51" s="64">
        <v>5.47</v>
      </c>
      <c r="H51" s="64">
        <v>5.7</v>
      </c>
      <c r="I51" s="64">
        <v>1.38</v>
      </c>
      <c r="J51" s="64">
        <v>0.1</v>
      </c>
      <c r="K51" s="64">
        <v>330.96</v>
      </c>
      <c r="L51" s="64">
        <v>26.85</v>
      </c>
      <c r="M51" s="64">
        <v>97.84</v>
      </c>
      <c r="N51" s="64">
        <v>506.6</v>
      </c>
      <c r="O51" s="64">
        <v>0</v>
      </c>
      <c r="P51" s="64">
        <v>0.39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4" t="s">
        <v>2785</v>
      </c>
      <c r="B52" s="64">
        <v>13.35</v>
      </c>
      <c r="C52" s="64">
        <v>7.93</v>
      </c>
      <c r="D52" s="64">
        <v>14.83</v>
      </c>
      <c r="E52" s="64">
        <v>4.91</v>
      </c>
      <c r="F52" s="64">
        <v>10.82</v>
      </c>
      <c r="G52" s="64">
        <v>5.47</v>
      </c>
      <c r="H52" s="64">
        <v>5.7</v>
      </c>
      <c r="I52" s="64">
        <v>1.39</v>
      </c>
      <c r="J52" s="64">
        <v>0.41</v>
      </c>
      <c r="K52" s="64">
        <v>128.1</v>
      </c>
      <c r="L52" s="64">
        <v>27.12</v>
      </c>
      <c r="M52" s="64">
        <v>97.83</v>
      </c>
      <c r="N52" s="64">
        <v>457.1</v>
      </c>
      <c r="O52" s="64">
        <v>0</v>
      </c>
      <c r="P52" s="64">
        <v>0.37</v>
      </c>
      <c r="Q52" s="64">
        <v>9.2100000000000009</v>
      </c>
      <c r="R52" s="198"/>
      <c r="S52" s="198"/>
      <c r="T52" s="198"/>
      <c r="U52" s="198"/>
    </row>
    <row r="53" spans="1:21" s="12" customFormat="1" x14ac:dyDescent="0.25">
      <c r="A53" s="214" t="s">
        <v>2786</v>
      </c>
      <c r="B53" s="64">
        <v>12.77</v>
      </c>
      <c r="C53" s="64">
        <v>6.59</v>
      </c>
      <c r="D53" s="64">
        <v>13.69</v>
      </c>
      <c r="E53" s="64">
        <v>4.91</v>
      </c>
      <c r="F53" s="64">
        <v>10.09</v>
      </c>
      <c r="G53" s="64">
        <v>3.94</v>
      </c>
      <c r="H53" s="64">
        <v>11.59</v>
      </c>
      <c r="I53" s="64">
        <v>1.4</v>
      </c>
      <c r="J53" s="64">
        <v>1.21</v>
      </c>
      <c r="K53" s="64">
        <v>125.24</v>
      </c>
      <c r="L53" s="64">
        <v>26.91</v>
      </c>
      <c r="M53" s="64">
        <v>97.83</v>
      </c>
      <c r="N53" s="64">
        <v>752.3</v>
      </c>
      <c r="O53" s="64">
        <v>0</v>
      </c>
      <c r="P53" s="64">
        <v>0.32</v>
      </c>
      <c r="Q53" s="64">
        <v>9.2100000000000009</v>
      </c>
      <c r="R53" s="198"/>
      <c r="S53" s="198"/>
      <c r="T53" s="198"/>
      <c r="U53" s="198"/>
    </row>
    <row r="54" spans="1:21" s="12" customFormat="1" x14ac:dyDescent="0.25">
      <c r="A54" s="214" t="s">
        <v>2787</v>
      </c>
      <c r="B54" s="64">
        <v>11.08</v>
      </c>
      <c r="C54" s="64">
        <v>7.05</v>
      </c>
      <c r="D54" s="64">
        <v>12.57</v>
      </c>
      <c r="E54" s="64">
        <v>5.0599999999999996</v>
      </c>
      <c r="F54" s="64">
        <v>11.71</v>
      </c>
      <c r="G54" s="64">
        <v>3.83</v>
      </c>
      <c r="H54" s="64">
        <v>11.59</v>
      </c>
      <c r="I54" s="64">
        <v>1.4</v>
      </c>
      <c r="J54" s="64">
        <v>0.6</v>
      </c>
      <c r="K54" s="64">
        <v>123.96</v>
      </c>
      <c r="L54" s="64">
        <v>27.57</v>
      </c>
      <c r="M54" s="64">
        <v>97.59</v>
      </c>
      <c r="N54" s="64">
        <v>491</v>
      </c>
      <c r="O54" s="64">
        <v>0</v>
      </c>
      <c r="P54" s="64">
        <v>0.34</v>
      </c>
      <c r="Q54" s="64">
        <v>9.1999999999999993</v>
      </c>
      <c r="R54" s="198"/>
      <c r="S54" s="198"/>
      <c r="T54" s="198"/>
      <c r="U54" s="198"/>
    </row>
    <row r="55" spans="1:21" s="12" customFormat="1" x14ac:dyDescent="0.25">
      <c r="A55" s="214" t="s">
        <v>2788</v>
      </c>
      <c r="B55" s="64">
        <v>13.99</v>
      </c>
      <c r="C55" s="64">
        <v>9.5399999999999991</v>
      </c>
      <c r="D55" s="64">
        <v>16.079999999999998</v>
      </c>
      <c r="E55" s="64">
        <v>4.96</v>
      </c>
      <c r="F55" s="64">
        <v>9.74</v>
      </c>
      <c r="G55" s="64">
        <v>3.83</v>
      </c>
      <c r="H55" s="64">
        <v>11.59</v>
      </c>
      <c r="I55" s="64">
        <v>1.39</v>
      </c>
      <c r="J55" s="64">
        <v>0.18</v>
      </c>
      <c r="K55" s="64">
        <v>131.78</v>
      </c>
      <c r="L55" s="64">
        <v>26.88</v>
      </c>
      <c r="M55" s="64">
        <v>97.86</v>
      </c>
      <c r="N55" s="64">
        <v>301.3</v>
      </c>
      <c r="O55" s="64">
        <v>0</v>
      </c>
      <c r="P55" s="64">
        <v>0.41</v>
      </c>
      <c r="Q55" s="64">
        <v>9.1999999999999993</v>
      </c>
      <c r="R55" s="198"/>
      <c r="S55" s="198"/>
      <c r="T55" s="198"/>
      <c r="U55" s="198"/>
    </row>
    <row r="56" spans="1:21" s="12" customFormat="1" x14ac:dyDescent="0.25">
      <c r="A56" s="214" t="s">
        <v>2789</v>
      </c>
      <c r="B56" s="64">
        <v>10.11</v>
      </c>
      <c r="C56" s="64">
        <v>9.68</v>
      </c>
      <c r="D56" s="64">
        <v>13.16</v>
      </c>
      <c r="E56" s="64">
        <v>5.0599999999999996</v>
      </c>
      <c r="F56" s="64">
        <v>13.52</v>
      </c>
      <c r="G56" s="64">
        <v>3.83</v>
      </c>
      <c r="H56" s="64">
        <v>11.59</v>
      </c>
      <c r="I56" s="64">
        <v>1.37</v>
      </c>
      <c r="J56" s="64">
        <v>1.1299999999999999</v>
      </c>
      <c r="K56" s="64">
        <v>129.63999999999999</v>
      </c>
      <c r="L56" s="64">
        <v>27.19</v>
      </c>
      <c r="M56" s="64">
        <v>97.83</v>
      </c>
      <c r="N56" s="64">
        <v>636</v>
      </c>
      <c r="O56" s="64">
        <v>0</v>
      </c>
      <c r="P56" s="64">
        <v>0.34</v>
      </c>
      <c r="Q56" s="64">
        <v>9.1999999999999993</v>
      </c>
      <c r="R56" s="198"/>
      <c r="S56" s="198"/>
      <c r="T56" s="198"/>
      <c r="U56" s="198"/>
    </row>
    <row r="57" spans="1:21" s="12" customFormat="1" x14ac:dyDescent="0.25">
      <c r="A57" s="214" t="s">
        <v>2790</v>
      </c>
      <c r="B57" s="64">
        <v>10.69</v>
      </c>
      <c r="C57" s="64">
        <v>8.7899999999999991</v>
      </c>
      <c r="D57" s="64">
        <v>13.17</v>
      </c>
      <c r="E57" s="64">
        <v>4.8499999999999996</v>
      </c>
      <c r="F57" s="64">
        <v>16.7</v>
      </c>
      <c r="G57" s="64">
        <v>20.04</v>
      </c>
      <c r="H57" s="64">
        <v>10.61</v>
      </c>
      <c r="I57" s="64">
        <v>1.38</v>
      </c>
      <c r="J57" s="64">
        <v>1.08</v>
      </c>
      <c r="K57" s="64">
        <v>124.81</v>
      </c>
      <c r="L57" s="64">
        <v>27.41</v>
      </c>
      <c r="M57" s="64">
        <v>97.63</v>
      </c>
      <c r="N57" s="64">
        <v>591.5</v>
      </c>
      <c r="O57" s="64">
        <v>0</v>
      </c>
      <c r="P57" s="64">
        <v>0.33</v>
      </c>
      <c r="Q57" s="64">
        <v>9.18</v>
      </c>
      <c r="R57" s="198"/>
      <c r="S57" s="198"/>
      <c r="T57" s="198"/>
      <c r="U57" s="198"/>
    </row>
    <row r="58" spans="1:21" s="12" customFormat="1" x14ac:dyDescent="0.25">
      <c r="A58" s="214" t="s">
        <v>2791</v>
      </c>
      <c r="B58" s="64">
        <v>9.11</v>
      </c>
      <c r="C58" s="64">
        <v>9.69</v>
      </c>
      <c r="D58" s="64">
        <v>12.37</v>
      </c>
      <c r="E58" s="64">
        <v>5.0199999999999996</v>
      </c>
      <c r="F58" s="64">
        <v>13.59</v>
      </c>
      <c r="G58" s="64">
        <v>21.2</v>
      </c>
      <c r="H58" s="64">
        <v>10.61</v>
      </c>
      <c r="I58" s="64">
        <v>1.38</v>
      </c>
      <c r="J58" s="64">
        <v>0.95</v>
      </c>
      <c r="K58" s="64">
        <v>130.91</v>
      </c>
      <c r="L58" s="64">
        <v>27.54</v>
      </c>
      <c r="M58" s="64">
        <v>97.81</v>
      </c>
      <c r="N58" s="64">
        <v>343.3</v>
      </c>
      <c r="O58" s="64">
        <v>0</v>
      </c>
      <c r="P58" s="64">
        <v>0.3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14" t="s">
        <v>2792</v>
      </c>
      <c r="B59" s="64">
        <v>13.68</v>
      </c>
      <c r="C59" s="64">
        <v>9.02</v>
      </c>
      <c r="D59" s="64">
        <v>15.56</v>
      </c>
      <c r="E59" s="64">
        <v>4.95</v>
      </c>
      <c r="F59" s="64">
        <v>11.92</v>
      </c>
      <c r="G59" s="64">
        <v>21.2</v>
      </c>
      <c r="H59" s="64">
        <v>10.61</v>
      </c>
      <c r="I59" s="64">
        <v>1.37</v>
      </c>
      <c r="J59" s="64">
        <v>1.01</v>
      </c>
      <c r="K59" s="64">
        <v>129.54</v>
      </c>
      <c r="L59" s="64">
        <v>26.87</v>
      </c>
      <c r="M59" s="64">
        <v>97.83</v>
      </c>
      <c r="N59" s="64">
        <v>385.8</v>
      </c>
      <c r="O59" s="64">
        <v>0</v>
      </c>
      <c r="P59" s="64">
        <v>0.33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14" t="s">
        <v>2793</v>
      </c>
      <c r="B60" s="64">
        <v>14.05</v>
      </c>
      <c r="C60" s="64">
        <v>10.62</v>
      </c>
      <c r="D60" s="64">
        <v>16.57</v>
      </c>
      <c r="E60" s="64">
        <v>5.4</v>
      </c>
      <c r="F60" s="64">
        <v>13.81</v>
      </c>
      <c r="G60" s="64">
        <v>21.2</v>
      </c>
      <c r="H60" s="64">
        <v>10.61</v>
      </c>
      <c r="I60" s="64">
        <v>1.34</v>
      </c>
      <c r="J60" s="64">
        <v>0.59</v>
      </c>
      <c r="K60" s="64">
        <v>132.81</v>
      </c>
      <c r="L60" s="64">
        <v>27.56</v>
      </c>
      <c r="M60" s="64">
        <v>97.67</v>
      </c>
      <c r="N60" s="64">
        <v>400.7</v>
      </c>
      <c r="O60" s="64">
        <v>0</v>
      </c>
      <c r="P60" s="64">
        <v>0.37</v>
      </c>
      <c r="Q60" s="64">
        <v>9.17</v>
      </c>
      <c r="R60" s="198"/>
      <c r="S60" s="198"/>
      <c r="T60" s="198"/>
      <c r="U60" s="198"/>
    </row>
    <row r="61" spans="1:21" s="12" customFormat="1" x14ac:dyDescent="0.25">
      <c r="A61" s="214" t="s">
        <v>2794</v>
      </c>
      <c r="B61" s="64">
        <v>9.42</v>
      </c>
      <c r="C61" s="64">
        <v>9.5299999999999994</v>
      </c>
      <c r="D61" s="64">
        <v>12.54</v>
      </c>
      <c r="E61" s="64">
        <v>5.0199999999999996</v>
      </c>
      <c r="F61" s="64">
        <v>14.01</v>
      </c>
      <c r="G61" s="64">
        <v>16.77</v>
      </c>
      <c r="H61" s="64">
        <v>8.58</v>
      </c>
      <c r="I61" s="64">
        <v>1.32</v>
      </c>
      <c r="J61" s="64">
        <v>0.94</v>
      </c>
      <c r="K61" s="64">
        <v>129.58000000000001</v>
      </c>
      <c r="L61" s="64">
        <v>27.17</v>
      </c>
      <c r="M61" s="64">
        <v>97.82</v>
      </c>
      <c r="N61" s="64">
        <v>278.3</v>
      </c>
      <c r="O61" s="64">
        <v>0</v>
      </c>
      <c r="P61" s="64">
        <v>0.32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4" t="s">
        <v>2795</v>
      </c>
      <c r="B62" s="64">
        <v>10.199999999999999</v>
      </c>
      <c r="C62" s="64">
        <v>8.83</v>
      </c>
      <c r="D62" s="64">
        <v>12.79</v>
      </c>
      <c r="E62" s="64">
        <v>5.0599999999999996</v>
      </c>
      <c r="F62" s="64">
        <v>12.77</v>
      </c>
      <c r="G62" s="64">
        <v>16.46</v>
      </c>
      <c r="H62" s="64">
        <v>8.58</v>
      </c>
      <c r="I62" s="64">
        <v>1.31</v>
      </c>
      <c r="J62" s="64">
        <v>1.27</v>
      </c>
      <c r="K62" s="64">
        <v>127.17</v>
      </c>
      <c r="L62" s="64">
        <v>26.68</v>
      </c>
      <c r="M62" s="64">
        <v>97.82</v>
      </c>
      <c r="N62" s="64">
        <v>235.7</v>
      </c>
      <c r="O62" s="64">
        <v>0</v>
      </c>
      <c r="P62" s="64">
        <v>0.35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14" t="s">
        <v>2796</v>
      </c>
      <c r="B63" s="64">
        <v>9.02</v>
      </c>
      <c r="C63" s="64">
        <v>8.34</v>
      </c>
      <c r="D63" s="64">
        <v>11.59</v>
      </c>
      <c r="E63" s="64">
        <v>5.15</v>
      </c>
      <c r="F63" s="64">
        <v>14.75</v>
      </c>
      <c r="G63" s="64">
        <v>16.46</v>
      </c>
      <c r="H63" s="64">
        <v>8.58</v>
      </c>
      <c r="I63" s="64">
        <v>1.3</v>
      </c>
      <c r="J63" s="64">
        <v>1.44</v>
      </c>
      <c r="K63" s="64">
        <v>126.36</v>
      </c>
      <c r="L63" s="64">
        <v>27.18</v>
      </c>
      <c r="M63" s="64">
        <v>97.64</v>
      </c>
      <c r="N63" s="64">
        <v>499.9</v>
      </c>
      <c r="O63" s="64">
        <v>0</v>
      </c>
      <c r="P63" s="64">
        <v>0.32</v>
      </c>
      <c r="Q63" s="64">
        <v>9.18</v>
      </c>
      <c r="R63" s="198"/>
      <c r="S63" s="198"/>
      <c r="T63" s="198"/>
      <c r="U63" s="198"/>
    </row>
    <row r="64" spans="1:21" s="12" customFormat="1" x14ac:dyDescent="0.25">
      <c r="A64" s="214" t="s">
        <v>2797</v>
      </c>
      <c r="B64" s="64">
        <v>8.75</v>
      </c>
      <c r="C64" s="64">
        <v>7.42</v>
      </c>
      <c r="D64" s="64">
        <v>10.89</v>
      </c>
      <c r="E64" s="64">
        <v>5.07</v>
      </c>
      <c r="F64" s="64">
        <v>12.47</v>
      </c>
      <c r="G64" s="64">
        <v>16.46</v>
      </c>
      <c r="H64" s="64">
        <v>8.58</v>
      </c>
      <c r="I64" s="64">
        <v>1.28</v>
      </c>
      <c r="J64" s="64">
        <v>1.45</v>
      </c>
      <c r="K64" s="64">
        <v>124.58</v>
      </c>
      <c r="L64" s="64">
        <v>27.51</v>
      </c>
      <c r="M64" s="64">
        <v>96.22</v>
      </c>
      <c r="N64" s="64">
        <v>356.6</v>
      </c>
      <c r="O64" s="64">
        <v>0</v>
      </c>
      <c r="P64" s="64">
        <v>0.32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14" t="s">
        <v>2798</v>
      </c>
      <c r="B65" s="64">
        <v>8.9</v>
      </c>
      <c r="C65" s="64">
        <v>7.53</v>
      </c>
      <c r="D65" s="64">
        <v>11.07</v>
      </c>
      <c r="E65" s="64">
        <v>5.61</v>
      </c>
      <c r="F65" s="64">
        <v>10.4</v>
      </c>
      <c r="G65" s="64">
        <v>14.48</v>
      </c>
      <c r="H65" s="64">
        <v>7.16</v>
      </c>
      <c r="I65" s="64">
        <v>1.26</v>
      </c>
      <c r="J65" s="64">
        <v>1.1299999999999999</v>
      </c>
      <c r="K65" s="64">
        <v>115.99</v>
      </c>
      <c r="L65" s="64">
        <v>27.22</v>
      </c>
      <c r="M65" s="64">
        <v>96.59</v>
      </c>
      <c r="N65" s="64">
        <v>270.10000000000002</v>
      </c>
      <c r="O65" s="64">
        <v>0</v>
      </c>
      <c r="P65" s="64">
        <v>0.33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4" t="s">
        <v>2799</v>
      </c>
      <c r="B66" s="64">
        <v>8.8699999999999992</v>
      </c>
      <c r="C66" s="64">
        <v>7.96</v>
      </c>
      <c r="D66" s="64">
        <v>11.27</v>
      </c>
      <c r="E66" s="64">
        <v>5.44</v>
      </c>
      <c r="F66" s="64">
        <v>13.86</v>
      </c>
      <c r="G66" s="64">
        <v>14.34</v>
      </c>
      <c r="H66" s="64">
        <v>7.16</v>
      </c>
      <c r="I66" s="64">
        <v>1.24</v>
      </c>
      <c r="J66" s="64">
        <v>1.41</v>
      </c>
      <c r="K66" s="64">
        <v>115.36</v>
      </c>
      <c r="L66" s="64">
        <v>26.86</v>
      </c>
      <c r="M66" s="64">
        <v>97.81</v>
      </c>
      <c r="N66" s="64">
        <v>228.1</v>
      </c>
      <c r="O66" s="64">
        <v>0</v>
      </c>
      <c r="P66" s="64">
        <v>0.32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4" t="s">
        <v>2800</v>
      </c>
      <c r="B67" s="64">
        <v>8.32</v>
      </c>
      <c r="C67" s="64">
        <v>8.16</v>
      </c>
      <c r="D67" s="64">
        <v>10.93</v>
      </c>
      <c r="E67" s="64">
        <v>5.1100000000000003</v>
      </c>
      <c r="F67" s="64">
        <v>10.27</v>
      </c>
      <c r="G67" s="64">
        <v>14.34</v>
      </c>
      <c r="H67" s="64">
        <v>7.16</v>
      </c>
      <c r="I67" s="64">
        <v>1.21</v>
      </c>
      <c r="J67" s="64">
        <v>0.82</v>
      </c>
      <c r="K67" s="64">
        <v>124.33</v>
      </c>
      <c r="L67" s="64">
        <v>26.66</v>
      </c>
      <c r="M67" s="64">
        <v>97.85</v>
      </c>
      <c r="N67" s="64">
        <v>205</v>
      </c>
      <c r="O67" s="64">
        <v>0</v>
      </c>
      <c r="P67" s="64">
        <v>0.3</v>
      </c>
      <c r="Q67" s="64">
        <v>9.09</v>
      </c>
      <c r="R67" s="198"/>
      <c r="S67" s="198"/>
      <c r="T67" s="198"/>
      <c r="U67" s="198"/>
    </row>
    <row r="68" spans="1:21" s="12" customFormat="1" x14ac:dyDescent="0.25">
      <c r="A68" s="214" t="s">
        <v>2801</v>
      </c>
      <c r="B68" s="64">
        <v>8</v>
      </c>
      <c r="C68" s="64">
        <v>7.98</v>
      </c>
      <c r="D68" s="64">
        <v>10.58</v>
      </c>
      <c r="E68" s="64">
        <v>5.44</v>
      </c>
      <c r="F68" s="64">
        <v>15</v>
      </c>
      <c r="G68" s="64">
        <v>14.34</v>
      </c>
      <c r="H68" s="64">
        <v>7.16</v>
      </c>
      <c r="I68" s="64">
        <v>1.17</v>
      </c>
      <c r="J68" s="64">
        <v>1.1100000000000001</v>
      </c>
      <c r="K68" s="64">
        <v>128.15</v>
      </c>
      <c r="L68" s="64">
        <v>26.42</v>
      </c>
      <c r="M68" s="64">
        <v>97.86</v>
      </c>
      <c r="N68" s="64">
        <v>173.7</v>
      </c>
      <c r="O68" s="64">
        <v>0</v>
      </c>
      <c r="P68" s="64">
        <v>0.31</v>
      </c>
      <c r="Q68" s="64">
        <v>9.08</v>
      </c>
      <c r="R68" s="198"/>
      <c r="S68" s="198"/>
      <c r="T68" s="198"/>
      <c r="U68" s="198"/>
    </row>
    <row r="69" spans="1:21" s="12" customFormat="1" x14ac:dyDescent="0.25">
      <c r="A69" s="214" t="s">
        <v>2802</v>
      </c>
      <c r="B69" s="64">
        <v>8.18</v>
      </c>
      <c r="C69" s="64">
        <v>8.44</v>
      </c>
      <c r="D69" s="64">
        <v>10.97</v>
      </c>
      <c r="E69" s="64">
        <v>5.18</v>
      </c>
      <c r="F69" s="64">
        <v>9.2799999999999994</v>
      </c>
      <c r="G69" s="64">
        <v>10.32</v>
      </c>
      <c r="H69" s="64">
        <v>13.23</v>
      </c>
      <c r="I69" s="64">
        <v>1.1399999999999999</v>
      </c>
      <c r="J69" s="64">
        <v>1.34</v>
      </c>
      <c r="K69" s="64">
        <v>127.49</v>
      </c>
      <c r="L69" s="64">
        <v>26.29</v>
      </c>
      <c r="M69" s="64">
        <v>97.87</v>
      </c>
      <c r="N69" s="64">
        <v>175.1</v>
      </c>
      <c r="O69" s="64">
        <v>0</v>
      </c>
      <c r="P69" s="64">
        <v>0.3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4" t="s">
        <v>2803</v>
      </c>
      <c r="B70" s="64">
        <v>7.34</v>
      </c>
      <c r="C70" s="64">
        <v>7.87</v>
      </c>
      <c r="D70" s="64">
        <v>10</v>
      </c>
      <c r="E70" s="64">
        <v>5.15</v>
      </c>
      <c r="F70" s="64">
        <v>10.78</v>
      </c>
      <c r="G70" s="64">
        <v>10.039999999999999</v>
      </c>
      <c r="H70" s="64">
        <v>13.23</v>
      </c>
      <c r="I70" s="64">
        <v>1.1200000000000001</v>
      </c>
      <c r="J70" s="64">
        <v>1.32</v>
      </c>
      <c r="K70" s="64">
        <v>119.93</v>
      </c>
      <c r="L70" s="64">
        <v>26.03</v>
      </c>
      <c r="M70" s="64">
        <v>97.88</v>
      </c>
      <c r="N70" s="64">
        <v>135.80000000000001</v>
      </c>
      <c r="O70" s="64">
        <v>0</v>
      </c>
      <c r="P70" s="64">
        <v>0.26</v>
      </c>
      <c r="Q70" s="64">
        <v>9.06</v>
      </c>
      <c r="R70" s="198"/>
      <c r="S70" s="198"/>
      <c r="T70" s="198"/>
      <c r="U70" s="198"/>
    </row>
    <row r="71" spans="1:21" s="12" customFormat="1" x14ac:dyDescent="0.25">
      <c r="A71" s="214" t="s">
        <v>2804</v>
      </c>
      <c r="B71" s="64">
        <v>7.56</v>
      </c>
      <c r="C71" s="64">
        <v>7.6</v>
      </c>
      <c r="D71" s="64">
        <v>10.039999999999999</v>
      </c>
      <c r="E71" s="64">
        <v>5.19</v>
      </c>
      <c r="F71" s="64">
        <v>10.16</v>
      </c>
      <c r="G71" s="64">
        <v>10.039999999999999</v>
      </c>
      <c r="H71" s="64">
        <v>13.23</v>
      </c>
      <c r="I71" s="64">
        <v>1.1100000000000001</v>
      </c>
      <c r="J71" s="64">
        <v>1.37</v>
      </c>
      <c r="K71" s="64">
        <v>127.76</v>
      </c>
      <c r="L71" s="64">
        <v>25.83</v>
      </c>
      <c r="M71" s="64">
        <v>97.9</v>
      </c>
      <c r="N71" s="64">
        <v>109.4</v>
      </c>
      <c r="O71" s="64">
        <v>0</v>
      </c>
      <c r="P71" s="64">
        <v>0.28999999999999998</v>
      </c>
      <c r="Q71" s="64">
        <v>9.0500000000000007</v>
      </c>
      <c r="R71" s="198"/>
      <c r="S71" s="198"/>
      <c r="T71" s="198"/>
      <c r="U71" s="198"/>
    </row>
    <row r="72" spans="1:21" s="12" customFormat="1" x14ac:dyDescent="0.25">
      <c r="A72" s="214" t="s">
        <v>2805</v>
      </c>
      <c r="B72" s="64">
        <v>7.67</v>
      </c>
      <c r="C72" s="64">
        <v>7.63</v>
      </c>
      <c r="D72" s="64">
        <v>10.14</v>
      </c>
      <c r="E72" s="64">
        <v>5.85</v>
      </c>
      <c r="F72" s="64">
        <v>10.29</v>
      </c>
      <c r="G72" s="64">
        <v>10.039999999999999</v>
      </c>
      <c r="H72" s="64">
        <v>13.23</v>
      </c>
      <c r="I72" s="64">
        <v>1.08</v>
      </c>
      <c r="J72" s="64">
        <v>1.21</v>
      </c>
      <c r="K72" s="64">
        <v>128.27000000000001</v>
      </c>
      <c r="L72" s="64">
        <v>25.84</v>
      </c>
      <c r="M72" s="64">
        <v>97.9</v>
      </c>
      <c r="N72" s="64">
        <v>99.5</v>
      </c>
      <c r="O72" s="64">
        <v>0</v>
      </c>
      <c r="P72" s="64">
        <v>0.3</v>
      </c>
      <c r="Q72" s="64">
        <v>9.0399999999999991</v>
      </c>
      <c r="R72" s="198"/>
      <c r="S72" s="198"/>
      <c r="T72" s="198"/>
      <c r="U72" s="198"/>
    </row>
    <row r="73" spans="1:21" s="12" customFormat="1" x14ac:dyDescent="0.25">
      <c r="A73" s="214" t="s">
        <v>2806</v>
      </c>
      <c r="B73" s="64">
        <v>7.18</v>
      </c>
      <c r="C73" s="64">
        <v>8.64</v>
      </c>
      <c r="D73" s="64">
        <v>10.27</v>
      </c>
      <c r="E73" s="64">
        <v>5.73</v>
      </c>
      <c r="F73" s="64">
        <v>9.61</v>
      </c>
      <c r="G73" s="64">
        <v>7.23</v>
      </c>
      <c r="H73" s="64">
        <v>10.6</v>
      </c>
      <c r="I73" s="64">
        <v>1.06</v>
      </c>
      <c r="J73" s="64">
        <v>1.21</v>
      </c>
      <c r="K73" s="64">
        <v>129.74</v>
      </c>
      <c r="L73" s="64">
        <v>25.91</v>
      </c>
      <c r="M73" s="64">
        <v>97.9</v>
      </c>
      <c r="N73" s="64">
        <v>87.7</v>
      </c>
      <c r="O73" s="64">
        <v>0</v>
      </c>
      <c r="P73" s="64">
        <v>0.28999999999999998</v>
      </c>
      <c r="Q73" s="64">
        <v>9.0399999999999991</v>
      </c>
      <c r="R73" s="198"/>
      <c r="S73" s="198"/>
      <c r="T73" s="198"/>
      <c r="U73" s="198"/>
    </row>
    <row r="74" spans="1:21" s="12" customFormat="1" x14ac:dyDescent="0.25">
      <c r="A74" s="214" t="s">
        <v>2807</v>
      </c>
      <c r="B74" s="64">
        <v>9.75</v>
      </c>
      <c r="C74" s="64">
        <v>9.48</v>
      </c>
      <c r="D74" s="64">
        <v>12.78</v>
      </c>
      <c r="E74" s="64">
        <v>5.62</v>
      </c>
      <c r="F74" s="64">
        <v>8.25</v>
      </c>
      <c r="G74" s="64">
        <v>7.03</v>
      </c>
      <c r="H74" s="64">
        <v>10.6</v>
      </c>
      <c r="I74" s="64">
        <v>1.05</v>
      </c>
      <c r="J74" s="64">
        <v>0.94</v>
      </c>
      <c r="K74" s="64">
        <v>128.6</v>
      </c>
      <c r="L74" s="64">
        <v>25.89</v>
      </c>
      <c r="M74" s="64">
        <v>97.9</v>
      </c>
      <c r="N74" s="64">
        <v>82.5</v>
      </c>
      <c r="O74" s="64">
        <v>0</v>
      </c>
      <c r="P74" s="64">
        <v>0.34</v>
      </c>
      <c r="Q74" s="64">
        <v>9.0399999999999991</v>
      </c>
      <c r="R74" s="198"/>
      <c r="S74" s="198"/>
      <c r="T74" s="198"/>
      <c r="U74" s="198"/>
    </row>
    <row r="75" spans="1:21" s="12" customFormat="1" x14ac:dyDescent="0.25">
      <c r="A75" s="214" t="s">
        <v>2808</v>
      </c>
      <c r="B75" s="64">
        <v>7.5</v>
      </c>
      <c r="C75" s="64">
        <v>9.0299999999999994</v>
      </c>
      <c r="D75" s="64">
        <v>10.73</v>
      </c>
      <c r="E75" s="64">
        <v>5.48</v>
      </c>
      <c r="F75" s="64">
        <v>10.76</v>
      </c>
      <c r="G75" s="64">
        <v>7.03</v>
      </c>
      <c r="H75" s="64">
        <v>10.6</v>
      </c>
      <c r="I75" s="64">
        <v>1.04</v>
      </c>
      <c r="J75" s="64">
        <v>0.98</v>
      </c>
      <c r="K75" s="64">
        <v>127.98</v>
      </c>
      <c r="L75" s="64">
        <v>25.77</v>
      </c>
      <c r="M75" s="64">
        <v>97.9</v>
      </c>
      <c r="N75" s="64">
        <v>79.900000000000006</v>
      </c>
      <c r="O75" s="64">
        <v>0</v>
      </c>
      <c r="P75" s="64">
        <v>0.31</v>
      </c>
      <c r="Q75" s="64">
        <v>9.0500000000000007</v>
      </c>
      <c r="R75" s="198"/>
      <c r="S75" s="198"/>
      <c r="T75" s="198"/>
      <c r="U75" s="198"/>
    </row>
    <row r="76" spans="1:21" s="12" customFormat="1" x14ac:dyDescent="0.25">
      <c r="A76" s="214" t="s">
        <v>2809</v>
      </c>
      <c r="B76" s="64">
        <v>8.06</v>
      </c>
      <c r="C76" s="64">
        <v>11.24</v>
      </c>
      <c r="D76" s="64">
        <v>12.34</v>
      </c>
      <c r="E76" s="64">
        <v>5.59</v>
      </c>
      <c r="F76" s="64">
        <v>11.11</v>
      </c>
      <c r="G76" s="64">
        <v>7.03</v>
      </c>
      <c r="H76" s="64">
        <v>10.6</v>
      </c>
      <c r="I76" s="64">
        <v>1.06</v>
      </c>
      <c r="J76" s="64">
        <v>1.1000000000000001</v>
      </c>
      <c r="K76" s="64">
        <v>128.99</v>
      </c>
      <c r="L76" s="64">
        <v>25.95</v>
      </c>
      <c r="M76" s="64">
        <v>97.9</v>
      </c>
      <c r="N76" s="64">
        <v>82.1</v>
      </c>
      <c r="O76" s="64">
        <v>0</v>
      </c>
      <c r="P76" s="64">
        <v>0.32</v>
      </c>
      <c r="Q76" s="64">
        <v>9.0399999999999991</v>
      </c>
      <c r="R76" s="198"/>
      <c r="S76" s="198"/>
      <c r="T76" s="198"/>
      <c r="U76" s="198"/>
    </row>
    <row r="77" spans="1:21" s="12" customFormat="1" x14ac:dyDescent="0.25">
      <c r="A77" s="214" t="s">
        <v>2810</v>
      </c>
      <c r="B77" s="64">
        <v>7.62</v>
      </c>
      <c r="C77" s="64">
        <v>8.9600000000000009</v>
      </c>
      <c r="D77" s="64">
        <v>10.79</v>
      </c>
      <c r="E77" s="64">
        <v>5.35</v>
      </c>
      <c r="F77" s="64">
        <v>9.8000000000000007</v>
      </c>
      <c r="G77" s="64">
        <v>5.08</v>
      </c>
      <c r="H77" s="64">
        <v>8.58</v>
      </c>
      <c r="I77" s="64">
        <v>1.06</v>
      </c>
      <c r="J77" s="64">
        <v>0.78</v>
      </c>
      <c r="K77" s="64">
        <v>130.54</v>
      </c>
      <c r="L77" s="64">
        <v>26</v>
      </c>
      <c r="M77" s="64">
        <v>97.89</v>
      </c>
      <c r="N77" s="64">
        <v>68.5</v>
      </c>
      <c r="O77" s="64">
        <v>0</v>
      </c>
      <c r="P77" s="64">
        <v>0.28999999999999998</v>
      </c>
      <c r="Q77" s="64">
        <v>9.0299999999999994</v>
      </c>
      <c r="R77" s="198"/>
      <c r="S77" s="198"/>
      <c r="T77" s="198"/>
      <c r="U77" s="198"/>
    </row>
    <row r="78" spans="1:21" s="12" customFormat="1" x14ac:dyDescent="0.25">
      <c r="A78" s="214" t="s">
        <v>2811</v>
      </c>
      <c r="B78" s="64">
        <v>6.94</v>
      </c>
      <c r="C78" s="64">
        <v>8.77</v>
      </c>
      <c r="D78" s="64">
        <v>10.15</v>
      </c>
      <c r="E78" s="64">
        <v>5.64</v>
      </c>
      <c r="F78" s="64">
        <v>11.45</v>
      </c>
      <c r="G78" s="64">
        <v>4.92</v>
      </c>
      <c r="H78" s="64">
        <v>8.58</v>
      </c>
      <c r="I78" s="64">
        <v>1.06</v>
      </c>
      <c r="J78" s="64">
        <v>0.94</v>
      </c>
      <c r="K78" s="64">
        <v>125.58</v>
      </c>
      <c r="L78" s="64">
        <v>25.88</v>
      </c>
      <c r="M78" s="64">
        <v>97.9</v>
      </c>
      <c r="N78" s="64">
        <v>61.1</v>
      </c>
      <c r="O78" s="64">
        <v>0</v>
      </c>
      <c r="P78" s="64">
        <v>0.26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4" t="s">
        <v>2812</v>
      </c>
      <c r="B79" s="64">
        <v>6.87</v>
      </c>
      <c r="C79" s="64">
        <v>8.84</v>
      </c>
      <c r="D79" s="64">
        <v>10.130000000000001</v>
      </c>
      <c r="E79" s="64">
        <v>5.81</v>
      </c>
      <c r="F79" s="64">
        <v>11.16</v>
      </c>
      <c r="G79" s="64">
        <v>4.92</v>
      </c>
      <c r="H79" s="64">
        <v>8.58</v>
      </c>
      <c r="I79" s="64">
        <v>1.06</v>
      </c>
      <c r="J79" s="64">
        <v>0.64</v>
      </c>
      <c r="K79" s="64">
        <v>128.5</v>
      </c>
      <c r="L79" s="64">
        <v>25.7</v>
      </c>
      <c r="M79" s="64">
        <v>97.9</v>
      </c>
      <c r="N79" s="64">
        <v>53.2</v>
      </c>
      <c r="O79" s="64">
        <v>0</v>
      </c>
      <c r="P79" s="64">
        <v>0.28000000000000003</v>
      </c>
      <c r="Q79" s="64">
        <v>9.0500000000000007</v>
      </c>
      <c r="R79" s="198"/>
      <c r="S79" s="198"/>
      <c r="T79" s="198"/>
      <c r="U79" s="198"/>
    </row>
    <row r="80" spans="1:21" s="12" customFormat="1" x14ac:dyDescent="0.25">
      <c r="A80" s="214" t="s">
        <v>2813</v>
      </c>
      <c r="B80" s="64">
        <v>7.22</v>
      </c>
      <c r="C80" s="64">
        <v>10.34</v>
      </c>
      <c r="D80" s="64">
        <v>11.19</v>
      </c>
      <c r="E80" s="64">
        <v>6.02</v>
      </c>
      <c r="F80" s="64">
        <v>9.2200000000000006</v>
      </c>
      <c r="G80" s="64">
        <v>4.92</v>
      </c>
      <c r="H80" s="64">
        <v>8.58</v>
      </c>
      <c r="I80" s="64">
        <v>1.07</v>
      </c>
      <c r="J80" s="64">
        <v>0.75</v>
      </c>
      <c r="K80" s="64">
        <v>132.38</v>
      </c>
      <c r="L80" s="64">
        <v>25.51</v>
      </c>
      <c r="M80" s="64">
        <v>97.95</v>
      </c>
      <c r="N80" s="64">
        <v>48.3</v>
      </c>
      <c r="O80" s="64">
        <v>0</v>
      </c>
      <c r="P80" s="64">
        <v>0.32</v>
      </c>
      <c r="Q80" s="64">
        <v>9.0500000000000007</v>
      </c>
      <c r="R80" s="198"/>
      <c r="S80" s="198"/>
      <c r="T80" s="198"/>
      <c r="U80" s="198"/>
    </row>
    <row r="81" spans="1:26" s="12" customFormat="1" x14ac:dyDescent="0.25">
      <c r="A81" s="214" t="s">
        <v>2814</v>
      </c>
      <c r="B81" s="64">
        <v>7.01</v>
      </c>
      <c r="C81" s="64">
        <v>11.43</v>
      </c>
      <c r="D81" s="64">
        <v>11.59</v>
      </c>
      <c r="E81" s="64">
        <v>5.87</v>
      </c>
      <c r="F81" s="64">
        <v>9.08</v>
      </c>
      <c r="G81" s="64">
        <v>13.52</v>
      </c>
      <c r="H81" s="64">
        <v>7.16</v>
      </c>
      <c r="I81" s="64">
        <v>1.07</v>
      </c>
      <c r="J81" s="64">
        <v>0.8</v>
      </c>
      <c r="K81" s="64">
        <v>130.47999999999999</v>
      </c>
      <c r="L81" s="64">
        <v>25.47</v>
      </c>
      <c r="M81" s="64">
        <v>97.93</v>
      </c>
      <c r="N81" s="64">
        <v>47.5</v>
      </c>
      <c r="O81" s="64">
        <v>0</v>
      </c>
      <c r="P81" s="64">
        <v>0.35</v>
      </c>
      <c r="Q81" s="64">
        <v>9.0399999999999991</v>
      </c>
      <c r="R81" s="198"/>
      <c r="S81" s="198"/>
      <c r="T81" s="198"/>
      <c r="U81" s="198"/>
    </row>
    <row r="82" spans="1:26" s="12" customFormat="1" x14ac:dyDescent="0.25">
      <c r="A82" s="214" t="s">
        <v>2815</v>
      </c>
      <c r="B82" s="64">
        <v>7.35</v>
      </c>
      <c r="C82" s="64">
        <v>12.95</v>
      </c>
      <c r="D82" s="64">
        <v>12.66</v>
      </c>
      <c r="E82" s="64">
        <v>5.83</v>
      </c>
      <c r="F82" s="64">
        <v>9.92</v>
      </c>
      <c r="G82" s="64">
        <v>14.13</v>
      </c>
      <c r="H82" s="64">
        <v>7.16</v>
      </c>
      <c r="I82" s="64">
        <v>1.07</v>
      </c>
      <c r="J82" s="64">
        <v>0.46</v>
      </c>
      <c r="K82" s="64">
        <v>132.53</v>
      </c>
      <c r="L82" s="64">
        <v>25.43</v>
      </c>
      <c r="M82" s="64">
        <v>97.96</v>
      </c>
      <c r="N82" s="64">
        <v>47.8</v>
      </c>
      <c r="O82" s="64">
        <v>0</v>
      </c>
      <c r="P82" s="64">
        <v>0.42</v>
      </c>
      <c r="Q82" s="64">
        <v>9.06</v>
      </c>
      <c r="R82" s="198"/>
      <c r="S82" s="198"/>
      <c r="T82" s="198"/>
      <c r="U82" s="198"/>
    </row>
    <row r="83" spans="1:26" s="12" customFormat="1" x14ac:dyDescent="0.25">
      <c r="A83" s="214" t="s">
        <v>2816</v>
      </c>
      <c r="B83" s="64">
        <v>6.96</v>
      </c>
      <c r="C83" s="64">
        <v>13.86</v>
      </c>
      <c r="D83" s="64">
        <v>12.82</v>
      </c>
      <c r="E83" s="64">
        <v>5.82</v>
      </c>
      <c r="F83" s="64">
        <v>7.43</v>
      </c>
      <c r="G83" s="64">
        <v>14.13</v>
      </c>
      <c r="H83" s="64">
        <v>7.16</v>
      </c>
      <c r="I83" s="64">
        <v>1.0900000000000001</v>
      </c>
      <c r="J83" s="64">
        <v>0.72</v>
      </c>
      <c r="K83" s="64">
        <v>130.46</v>
      </c>
      <c r="L83" s="64">
        <v>25.38</v>
      </c>
      <c r="M83" s="64">
        <v>97.96</v>
      </c>
      <c r="N83" s="64">
        <v>47.6</v>
      </c>
      <c r="O83" s="64">
        <v>0</v>
      </c>
      <c r="P83" s="64">
        <v>0.46</v>
      </c>
      <c r="Q83" s="64">
        <v>9.09</v>
      </c>
      <c r="R83" s="198"/>
      <c r="S83" s="198"/>
      <c r="T83" s="198"/>
      <c r="U83" s="198"/>
    </row>
    <row r="84" spans="1:26" s="12" customFormat="1" x14ac:dyDescent="0.25">
      <c r="A84" s="214" t="s">
        <v>2817</v>
      </c>
      <c r="B84" s="64">
        <v>6.91</v>
      </c>
      <c r="C84" s="64">
        <v>14.36</v>
      </c>
      <c r="D84" s="64">
        <v>13.05</v>
      </c>
      <c r="E84" s="64">
        <v>5.96</v>
      </c>
      <c r="F84" s="64">
        <v>6.77</v>
      </c>
      <c r="G84" s="64">
        <v>14.13</v>
      </c>
      <c r="H84" s="64">
        <v>7.16</v>
      </c>
      <c r="I84" s="64">
        <v>1.1299999999999999</v>
      </c>
      <c r="J84" s="64">
        <v>0.87</v>
      </c>
      <c r="K84" s="64">
        <v>130.81</v>
      </c>
      <c r="L84" s="64">
        <v>25.38</v>
      </c>
      <c r="M84" s="64">
        <v>97.99</v>
      </c>
      <c r="N84" s="64">
        <v>47.5</v>
      </c>
      <c r="O84" s="64">
        <v>0</v>
      </c>
      <c r="P84" s="64">
        <v>0.48</v>
      </c>
      <c r="Q84" s="64">
        <v>9.11</v>
      </c>
      <c r="R84" s="198"/>
      <c r="S84" s="198"/>
      <c r="T84" s="198"/>
      <c r="U84" s="198"/>
    </row>
    <row r="85" spans="1:26" s="12" customFormat="1" x14ac:dyDescent="0.25">
      <c r="A85" s="214" t="s">
        <v>2818</v>
      </c>
      <c r="B85" s="64">
        <v>7.4</v>
      </c>
      <c r="C85" s="64">
        <v>12.72</v>
      </c>
      <c r="D85" s="64">
        <v>12.58</v>
      </c>
      <c r="E85" s="64">
        <v>5.7</v>
      </c>
      <c r="F85" s="64">
        <v>7.61</v>
      </c>
      <c r="G85" s="64">
        <v>11.75</v>
      </c>
      <c r="H85" s="64">
        <v>7.69</v>
      </c>
      <c r="I85" s="64">
        <v>1.18</v>
      </c>
      <c r="J85" s="64">
        <v>1.5</v>
      </c>
      <c r="K85" s="64">
        <v>127.97</v>
      </c>
      <c r="L85" s="64">
        <v>25.43</v>
      </c>
      <c r="M85" s="64">
        <v>97.96</v>
      </c>
      <c r="N85" s="64">
        <v>47.6</v>
      </c>
      <c r="O85" s="64">
        <v>0</v>
      </c>
      <c r="P85" s="64">
        <v>0.37</v>
      </c>
      <c r="Q85" s="64">
        <v>9.1199999999999992</v>
      </c>
      <c r="R85" s="198"/>
      <c r="S85" s="198"/>
      <c r="T85" s="198"/>
      <c r="U85" s="198"/>
    </row>
    <row r="86" spans="1:26" s="12" customFormat="1" x14ac:dyDescent="0.25">
      <c r="A86" s="214" t="s">
        <v>2819</v>
      </c>
      <c r="B86" s="64">
        <v>8.69</v>
      </c>
      <c r="C86" s="64">
        <v>12.45</v>
      </c>
      <c r="D86" s="64">
        <v>13.47</v>
      </c>
      <c r="E86" s="64">
        <v>5.92</v>
      </c>
      <c r="F86" s="64">
        <v>6.74</v>
      </c>
      <c r="G86" s="64">
        <v>11.58</v>
      </c>
      <c r="H86" s="64">
        <v>7.69</v>
      </c>
      <c r="I86" s="64">
        <v>1.23</v>
      </c>
      <c r="J86" s="64">
        <v>0.68</v>
      </c>
      <c r="K86" s="64">
        <v>118.28</v>
      </c>
      <c r="L86" s="64">
        <v>25.39</v>
      </c>
      <c r="M86" s="64">
        <v>97.99</v>
      </c>
      <c r="N86" s="64">
        <v>47.5</v>
      </c>
      <c r="O86" s="64">
        <v>0</v>
      </c>
      <c r="P86" s="64">
        <v>0.4</v>
      </c>
      <c r="Q86" s="64">
        <v>9.1300000000000008</v>
      </c>
      <c r="R86" s="198"/>
      <c r="S86" s="198"/>
      <c r="T86" s="198"/>
      <c r="U86" s="198"/>
    </row>
    <row r="87" spans="1:26" s="12" customFormat="1" x14ac:dyDescent="0.25">
      <c r="A87" s="214" t="s">
        <v>2820</v>
      </c>
      <c r="B87" s="64">
        <v>8.6999999999999993</v>
      </c>
      <c r="C87" s="64">
        <v>13.24</v>
      </c>
      <c r="D87" s="64">
        <v>13.89</v>
      </c>
      <c r="E87" s="64">
        <v>5.79</v>
      </c>
      <c r="F87" s="64">
        <v>8.8800000000000008</v>
      </c>
      <c r="G87" s="64">
        <v>11.58</v>
      </c>
      <c r="H87" s="64">
        <v>7.69</v>
      </c>
      <c r="I87" s="64">
        <v>1.26</v>
      </c>
      <c r="J87" s="64">
        <v>0.45</v>
      </c>
      <c r="K87" s="64">
        <v>105.18</v>
      </c>
      <c r="L87" s="64">
        <v>25.41</v>
      </c>
      <c r="M87" s="64">
        <v>97.98</v>
      </c>
      <c r="N87" s="64">
        <v>47.4</v>
      </c>
      <c r="O87" s="64">
        <v>0</v>
      </c>
      <c r="P87" s="64">
        <v>0.42</v>
      </c>
      <c r="Q87" s="64">
        <v>9.15</v>
      </c>
      <c r="R87" s="198"/>
      <c r="S87" s="198"/>
      <c r="T87" s="198"/>
      <c r="U87" s="198"/>
    </row>
    <row r="88" spans="1:26" s="12" customFormat="1" x14ac:dyDescent="0.25">
      <c r="A88" s="214" t="s">
        <v>2821</v>
      </c>
      <c r="B88" s="64">
        <v>8.6</v>
      </c>
      <c r="C88" s="64">
        <v>11.7</v>
      </c>
      <c r="D88" s="64">
        <v>13</v>
      </c>
      <c r="E88" s="64">
        <v>6.16</v>
      </c>
      <c r="F88" s="64">
        <v>9.8800000000000008</v>
      </c>
      <c r="G88" s="64">
        <v>11.58</v>
      </c>
      <c r="H88" s="64">
        <v>7.69</v>
      </c>
      <c r="I88" s="64">
        <v>1.29</v>
      </c>
      <c r="J88" s="64">
        <v>0.52</v>
      </c>
      <c r="K88" s="64">
        <v>107.62</v>
      </c>
      <c r="L88" s="64">
        <v>25.55</v>
      </c>
      <c r="M88" s="64">
        <v>97.95</v>
      </c>
      <c r="N88" s="64">
        <v>47.3</v>
      </c>
      <c r="O88" s="64">
        <v>0</v>
      </c>
      <c r="P88" s="64">
        <v>0.37</v>
      </c>
      <c r="Q88" s="64">
        <v>9.15</v>
      </c>
      <c r="R88" s="198"/>
      <c r="S88" s="198"/>
      <c r="T88" s="198"/>
      <c r="U88" s="198"/>
    </row>
    <row r="89" spans="1:26" s="12" customFormat="1" x14ac:dyDescent="0.25">
      <c r="A89" s="214" t="s">
        <v>2822</v>
      </c>
      <c r="B89" s="64">
        <v>8.2200000000000006</v>
      </c>
      <c r="C89" s="64">
        <v>10.34</v>
      </c>
      <c r="D89" s="64">
        <v>12</v>
      </c>
      <c r="E89" s="64">
        <v>6.11</v>
      </c>
      <c r="F89" s="64">
        <v>9.32</v>
      </c>
      <c r="G89" s="64">
        <v>14.4</v>
      </c>
      <c r="H89" s="64">
        <v>6.54</v>
      </c>
      <c r="I89" s="64">
        <v>1.3</v>
      </c>
      <c r="J89" s="64">
        <v>0.78</v>
      </c>
      <c r="K89" s="64">
        <v>108.99</v>
      </c>
      <c r="L89" s="64">
        <v>25.52</v>
      </c>
      <c r="M89" s="64">
        <v>97.91</v>
      </c>
      <c r="N89" s="64">
        <v>47.5</v>
      </c>
      <c r="O89" s="64">
        <v>0</v>
      </c>
      <c r="P89" s="64">
        <v>0.34</v>
      </c>
      <c r="Q89" s="64">
        <v>9.1300000000000008</v>
      </c>
      <c r="R89" s="198"/>
      <c r="S89" s="198"/>
      <c r="T89" s="198"/>
      <c r="U89" s="198"/>
    </row>
    <row r="90" spans="1:26" s="12" customFormat="1" x14ac:dyDescent="0.25">
      <c r="A90" s="214" t="s">
        <v>2823</v>
      </c>
      <c r="B90" s="64">
        <v>8.75</v>
      </c>
      <c r="C90" s="64">
        <v>8.31</v>
      </c>
      <c r="D90" s="64">
        <v>11.36</v>
      </c>
      <c r="E90" s="64">
        <v>5.8</v>
      </c>
      <c r="F90" s="64">
        <v>6.01</v>
      </c>
      <c r="G90" s="64">
        <v>14.6</v>
      </c>
      <c r="H90" s="64">
        <v>6.54</v>
      </c>
      <c r="I90" s="64">
        <v>1.33</v>
      </c>
      <c r="J90" s="64">
        <v>1.1100000000000001</v>
      </c>
      <c r="K90" s="64">
        <v>110.14</v>
      </c>
      <c r="L90" s="64">
        <v>25.24</v>
      </c>
      <c r="M90" s="64">
        <v>97.91</v>
      </c>
      <c r="N90" s="64">
        <v>48.1</v>
      </c>
      <c r="O90" s="64">
        <v>0</v>
      </c>
      <c r="P90" s="64">
        <v>0.35</v>
      </c>
      <c r="Q90" s="64">
        <v>9.11</v>
      </c>
      <c r="R90" s="198"/>
      <c r="S90" s="198"/>
      <c r="T90" s="198"/>
      <c r="U90" s="198"/>
    </row>
    <row r="91" spans="1:26" s="12" customFormat="1" x14ac:dyDescent="0.25">
      <c r="A91" s="214" t="s">
        <v>2824</v>
      </c>
      <c r="B91" s="64">
        <v>8.52</v>
      </c>
      <c r="C91" s="64">
        <v>8.5299999999999994</v>
      </c>
      <c r="D91" s="64">
        <v>11.29</v>
      </c>
      <c r="E91" s="64">
        <v>5.92</v>
      </c>
      <c r="F91" s="64">
        <v>9.06</v>
      </c>
      <c r="G91" s="64">
        <v>14.6</v>
      </c>
      <c r="H91" s="64">
        <v>6.54</v>
      </c>
      <c r="I91" s="64">
        <v>1.34</v>
      </c>
      <c r="J91" s="64">
        <v>0.67</v>
      </c>
      <c r="K91" s="64">
        <v>101.4</v>
      </c>
      <c r="L91" s="64">
        <v>24.83</v>
      </c>
      <c r="M91" s="64">
        <v>97.93</v>
      </c>
      <c r="N91" s="64">
        <v>48.1</v>
      </c>
      <c r="O91" s="64">
        <v>0</v>
      </c>
      <c r="P91" s="64">
        <v>0.3</v>
      </c>
      <c r="Q91" s="64">
        <v>9.07</v>
      </c>
      <c r="R91" s="198"/>
      <c r="S91" s="198"/>
      <c r="T91" s="198"/>
      <c r="U91" s="198"/>
    </row>
    <row r="92" spans="1:26" s="12" customFormat="1" x14ac:dyDescent="0.25">
      <c r="A92" s="214" t="s">
        <v>2825</v>
      </c>
      <c r="B92" s="64">
        <v>8.3000000000000007</v>
      </c>
      <c r="C92" s="64">
        <v>8.23</v>
      </c>
      <c r="D92" s="64">
        <v>10.96</v>
      </c>
      <c r="E92" s="64">
        <v>5.91</v>
      </c>
      <c r="F92" s="64">
        <v>7.02</v>
      </c>
      <c r="G92" s="64">
        <v>14.6</v>
      </c>
      <c r="H92" s="64">
        <v>6.54</v>
      </c>
      <c r="I92" s="64">
        <v>1.31</v>
      </c>
      <c r="J92" s="64">
        <v>0.62</v>
      </c>
      <c r="K92" s="64">
        <v>115.76</v>
      </c>
      <c r="L92" s="64">
        <v>24.58</v>
      </c>
      <c r="M92" s="64">
        <v>97.95</v>
      </c>
      <c r="N92" s="64">
        <v>47.9</v>
      </c>
      <c r="O92" s="64">
        <v>0</v>
      </c>
      <c r="P92" s="64">
        <v>0.33</v>
      </c>
      <c r="Q92" s="64">
        <v>9.06</v>
      </c>
      <c r="R92" s="198"/>
      <c r="S92" s="198"/>
      <c r="T92" s="198"/>
      <c r="U92" s="198"/>
    </row>
    <row r="93" spans="1:26" s="12" customFormat="1" x14ac:dyDescent="0.25">
      <c r="A93" s="214" t="s">
        <v>2826</v>
      </c>
      <c r="B93" s="64">
        <v>8.17</v>
      </c>
      <c r="C93" s="64">
        <v>9.16</v>
      </c>
      <c r="D93" s="64">
        <v>11.34</v>
      </c>
      <c r="E93" s="64">
        <v>6.2</v>
      </c>
      <c r="F93" s="64">
        <v>9.06</v>
      </c>
      <c r="G93" s="64">
        <v>10.64</v>
      </c>
      <c r="H93" s="64">
        <v>5.79</v>
      </c>
      <c r="I93" s="64">
        <v>1.3</v>
      </c>
      <c r="J93" s="64">
        <v>0.62</v>
      </c>
      <c r="K93" s="64">
        <v>105.25</v>
      </c>
      <c r="L93" s="64">
        <v>24.42</v>
      </c>
      <c r="M93" s="64">
        <v>97.94</v>
      </c>
      <c r="N93" s="64">
        <v>47.7</v>
      </c>
      <c r="O93" s="64">
        <v>0</v>
      </c>
      <c r="P93" s="64">
        <v>0.28999999999999998</v>
      </c>
      <c r="Q93" s="64">
        <v>9.0500000000000007</v>
      </c>
      <c r="R93" s="198"/>
      <c r="S93" s="198"/>
      <c r="T93" s="198"/>
      <c r="U93" s="198"/>
    </row>
    <row r="94" spans="1:26" s="12" customFormat="1" x14ac:dyDescent="0.25">
      <c r="A94" s="214" t="s">
        <v>2827</v>
      </c>
      <c r="B94" s="64">
        <v>8.1999999999999993</v>
      </c>
      <c r="C94" s="64">
        <v>9.08</v>
      </c>
      <c r="D94" s="64">
        <v>11.32</v>
      </c>
      <c r="E94" s="64">
        <v>5.63</v>
      </c>
      <c r="F94" s="64">
        <v>6.89</v>
      </c>
      <c r="G94" s="64">
        <v>10.41</v>
      </c>
      <c r="H94" s="64">
        <v>5.79</v>
      </c>
      <c r="I94" s="64">
        <v>1.28</v>
      </c>
      <c r="J94" s="64">
        <v>0.8</v>
      </c>
      <c r="K94" s="64">
        <v>110.3</v>
      </c>
      <c r="L94" s="64">
        <v>24.34</v>
      </c>
      <c r="M94" s="64">
        <v>97.93</v>
      </c>
      <c r="N94" s="64">
        <v>47.7</v>
      </c>
      <c r="O94" s="64">
        <v>0</v>
      </c>
      <c r="P94" s="64">
        <v>0.31</v>
      </c>
      <c r="Q94" s="64">
        <v>9.06</v>
      </c>
      <c r="R94" s="198"/>
      <c r="S94" s="198"/>
      <c r="T94" s="198"/>
      <c r="U94" s="198"/>
    </row>
    <row r="95" spans="1:26" s="12" customFormat="1" x14ac:dyDescent="0.25">
      <c r="A95" s="214" t="s">
        <v>2828</v>
      </c>
      <c r="B95" s="64">
        <v>9.26</v>
      </c>
      <c r="C95" s="64">
        <v>9.0399999999999991</v>
      </c>
      <c r="D95" s="64">
        <v>12.15</v>
      </c>
      <c r="E95" s="64">
        <v>5.72</v>
      </c>
      <c r="F95" s="64">
        <v>7.21</v>
      </c>
      <c r="G95" s="64">
        <v>10.41</v>
      </c>
      <c r="H95" s="64">
        <v>5.79</v>
      </c>
      <c r="I95" s="64">
        <v>1.26</v>
      </c>
      <c r="J95" s="64">
        <v>0.94</v>
      </c>
      <c r="K95" s="64">
        <v>113.53</v>
      </c>
      <c r="L95" s="64">
        <v>24.22</v>
      </c>
      <c r="M95" s="64">
        <v>97.96</v>
      </c>
      <c r="N95" s="64">
        <v>47.7</v>
      </c>
      <c r="O95" s="64">
        <v>0</v>
      </c>
      <c r="P95" s="64">
        <v>0.32</v>
      </c>
      <c r="Q95" s="64">
        <v>9.06</v>
      </c>
      <c r="R95" s="198"/>
      <c r="S95" s="198"/>
      <c r="T95" s="198"/>
      <c r="U95" s="198"/>
    </row>
    <row r="96" spans="1:26" s="12" customFormat="1" x14ac:dyDescent="0.25">
      <c r="A96" s="214" t="s">
        <v>2829</v>
      </c>
      <c r="B96" s="64">
        <v>8.85</v>
      </c>
      <c r="C96" s="64">
        <v>9.92</v>
      </c>
      <c r="D96" s="64">
        <v>12.28</v>
      </c>
      <c r="E96" s="64">
        <v>5.63</v>
      </c>
      <c r="F96" s="64">
        <v>8.4499999999999993</v>
      </c>
      <c r="G96" s="64">
        <v>10.41</v>
      </c>
      <c r="H96" s="64">
        <v>5.79</v>
      </c>
      <c r="I96" s="64">
        <v>1.25</v>
      </c>
      <c r="J96" s="64">
        <v>0.72</v>
      </c>
      <c r="K96" s="64">
        <v>111.26</v>
      </c>
      <c r="L96" s="64">
        <v>24.14</v>
      </c>
      <c r="M96" s="64">
        <v>97.98</v>
      </c>
      <c r="N96" s="64">
        <v>47.6</v>
      </c>
      <c r="O96" s="64">
        <v>0</v>
      </c>
      <c r="P96" s="64">
        <v>0.28999999999999998</v>
      </c>
      <c r="Q96" s="64">
        <v>9.06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2830</v>
      </c>
      <c r="B97" s="64">
        <v>7.9</v>
      </c>
      <c r="C97" s="64">
        <v>9.99</v>
      </c>
      <c r="D97" s="64">
        <v>11.55</v>
      </c>
      <c r="E97" s="64">
        <v>5.98</v>
      </c>
      <c r="F97" s="64">
        <v>8.08</v>
      </c>
      <c r="G97" s="64">
        <v>10.93</v>
      </c>
      <c r="H97" s="64">
        <v>5.28</v>
      </c>
      <c r="I97" s="64">
        <v>1.23</v>
      </c>
      <c r="J97" s="64">
        <v>0.56000000000000005</v>
      </c>
      <c r="K97" s="64">
        <v>107.96</v>
      </c>
      <c r="L97" s="64">
        <v>24.1</v>
      </c>
      <c r="M97" s="64">
        <v>97.98</v>
      </c>
      <c r="N97" s="64">
        <v>47.5</v>
      </c>
      <c r="O97" s="64">
        <v>0</v>
      </c>
      <c r="P97" s="64">
        <v>0.28999999999999998</v>
      </c>
      <c r="Q97" s="64">
        <v>9.06</v>
      </c>
      <c r="R97" s="198"/>
      <c r="S97" s="198"/>
      <c r="T97" s="198"/>
      <c r="U97" s="198"/>
    </row>
    <row r="98" spans="1:33" s="12" customFormat="1" x14ac:dyDescent="0.25">
      <c r="A98" s="214" t="s">
        <v>2831</v>
      </c>
      <c r="B98" s="64">
        <v>8.94</v>
      </c>
      <c r="C98" s="64">
        <v>8.8800000000000008</v>
      </c>
      <c r="D98" s="64">
        <v>11.81</v>
      </c>
      <c r="E98" s="64">
        <v>5.65</v>
      </c>
      <c r="F98" s="64">
        <v>6.61</v>
      </c>
      <c r="G98" s="64">
        <v>10.96</v>
      </c>
      <c r="H98" s="64">
        <v>5.28</v>
      </c>
      <c r="I98" s="64">
        <v>1.21</v>
      </c>
      <c r="J98" s="64">
        <v>0.54</v>
      </c>
      <c r="K98" s="64">
        <v>112</v>
      </c>
      <c r="L98" s="64">
        <v>24.1</v>
      </c>
      <c r="M98" s="64">
        <v>98.01</v>
      </c>
      <c r="N98" s="64">
        <v>47.5</v>
      </c>
      <c r="O98" s="64">
        <v>0</v>
      </c>
      <c r="P98" s="64">
        <v>0.32</v>
      </c>
      <c r="Q98" s="64">
        <v>9.0500000000000007</v>
      </c>
      <c r="R98" s="198"/>
      <c r="S98" s="198"/>
      <c r="T98" s="198"/>
      <c r="U98" s="198"/>
    </row>
    <row r="99" spans="1:33" s="12" customFormat="1" x14ac:dyDescent="0.25">
      <c r="A99" s="214" t="s">
        <v>2832</v>
      </c>
      <c r="B99" s="64">
        <v>8.7899999999999991</v>
      </c>
      <c r="C99" s="64">
        <v>10.39</v>
      </c>
      <c r="D99" s="64">
        <v>12.47</v>
      </c>
      <c r="E99" s="64">
        <v>6.03</v>
      </c>
      <c r="F99" s="64">
        <v>8.43</v>
      </c>
      <c r="G99" s="64">
        <v>10.96</v>
      </c>
      <c r="H99" s="64">
        <v>5.28</v>
      </c>
      <c r="I99" s="64">
        <v>1.2</v>
      </c>
      <c r="J99" s="64">
        <v>0.49</v>
      </c>
      <c r="K99" s="64">
        <v>94.97</v>
      </c>
      <c r="L99" s="64">
        <v>24.15</v>
      </c>
      <c r="M99" s="64">
        <v>98</v>
      </c>
      <c r="N99" s="64">
        <v>47.5</v>
      </c>
      <c r="O99" s="64">
        <v>0</v>
      </c>
      <c r="P99" s="64">
        <v>0.28000000000000003</v>
      </c>
      <c r="Q99" s="64">
        <v>9.06</v>
      </c>
      <c r="R99" s="198"/>
      <c r="S99" s="198"/>
      <c r="T99" s="198"/>
      <c r="U99" s="198"/>
    </row>
    <row r="100" spans="1:33" s="12" customFormat="1" x14ac:dyDescent="0.25">
      <c r="A100" s="214" t="s">
        <v>2833</v>
      </c>
      <c r="B100" s="64">
        <v>8.1300000000000008</v>
      </c>
      <c r="C100" s="64">
        <v>8.84</v>
      </c>
      <c r="D100" s="64">
        <v>11.14</v>
      </c>
      <c r="E100" s="64">
        <v>5.78</v>
      </c>
      <c r="F100" s="64">
        <v>9.33</v>
      </c>
      <c r="G100" s="64">
        <v>10.96</v>
      </c>
      <c r="H100" s="64">
        <v>5.28</v>
      </c>
      <c r="I100" s="64">
        <v>1.19</v>
      </c>
      <c r="J100" s="64">
        <v>0.54</v>
      </c>
      <c r="K100" s="64">
        <v>106.54</v>
      </c>
      <c r="L100" s="64">
        <v>24.2</v>
      </c>
      <c r="M100" s="64">
        <v>98</v>
      </c>
      <c r="N100" s="64">
        <v>47.5</v>
      </c>
      <c r="O100" s="64">
        <v>0</v>
      </c>
      <c r="P100" s="64">
        <v>0.27</v>
      </c>
      <c r="Q100" s="64">
        <v>9.08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2834</v>
      </c>
      <c r="B101" s="64">
        <v>7.72</v>
      </c>
      <c r="C101" s="64">
        <v>8.1199999999999992</v>
      </c>
      <c r="D101" s="64">
        <v>10.44</v>
      </c>
      <c r="E101" s="64">
        <v>5.76</v>
      </c>
      <c r="F101" s="64">
        <v>9.17</v>
      </c>
      <c r="G101" s="64">
        <v>7.89</v>
      </c>
      <c r="H101" s="64">
        <v>7.12</v>
      </c>
      <c r="I101" s="64">
        <v>1.17</v>
      </c>
      <c r="J101" s="64">
        <v>0.31</v>
      </c>
      <c r="K101" s="64">
        <v>111.57</v>
      </c>
      <c r="L101" s="64">
        <v>24.21</v>
      </c>
      <c r="M101" s="64">
        <v>97.98</v>
      </c>
      <c r="N101" s="64">
        <v>47.6</v>
      </c>
      <c r="O101" s="64">
        <v>0</v>
      </c>
      <c r="P101" s="64">
        <v>0.25</v>
      </c>
      <c r="Q101" s="64">
        <v>9.1</v>
      </c>
      <c r="R101" s="198"/>
      <c r="S101" s="198"/>
      <c r="T101" s="198"/>
      <c r="U101" s="198"/>
    </row>
    <row r="102" spans="1:33" s="12" customFormat="1" x14ac:dyDescent="0.25">
      <c r="A102" s="214" t="s">
        <v>2835</v>
      </c>
      <c r="B102" s="64">
        <v>7.57</v>
      </c>
      <c r="C102" s="64">
        <v>7.8</v>
      </c>
      <c r="D102" s="64">
        <v>10.14</v>
      </c>
      <c r="E102" s="64">
        <v>5.59</v>
      </c>
      <c r="F102" s="64">
        <v>7.98</v>
      </c>
      <c r="G102" s="64">
        <v>7.67</v>
      </c>
      <c r="H102" s="64">
        <v>7.12</v>
      </c>
      <c r="I102" s="64">
        <v>1.1399999999999999</v>
      </c>
      <c r="J102" s="64">
        <v>0.28000000000000003</v>
      </c>
      <c r="K102" s="64">
        <v>139.44</v>
      </c>
      <c r="L102" s="64">
        <v>24.23</v>
      </c>
      <c r="M102" s="64">
        <v>98</v>
      </c>
      <c r="N102" s="64">
        <v>47.6</v>
      </c>
      <c r="O102" s="64">
        <v>0</v>
      </c>
      <c r="P102" s="64">
        <v>0.25</v>
      </c>
      <c r="Q102" s="64">
        <v>9.11</v>
      </c>
      <c r="R102" s="198"/>
      <c r="S102" s="198"/>
      <c r="T102" s="198"/>
      <c r="U102" s="198"/>
    </row>
    <row r="103" spans="1:33" s="12" customFormat="1" x14ac:dyDescent="0.25">
      <c r="A103" s="214" t="s">
        <v>2836</v>
      </c>
      <c r="B103" s="64">
        <v>7.4</v>
      </c>
      <c r="C103" s="64">
        <v>7.63</v>
      </c>
      <c r="D103" s="64">
        <v>9.92</v>
      </c>
      <c r="E103" s="64">
        <v>5.72</v>
      </c>
      <c r="F103" s="64">
        <v>9.15</v>
      </c>
      <c r="G103" s="64">
        <v>7.67</v>
      </c>
      <c r="H103" s="64">
        <v>7.12</v>
      </c>
      <c r="I103" s="64">
        <v>1.1299999999999999</v>
      </c>
      <c r="J103" s="64">
        <v>0.4</v>
      </c>
      <c r="K103" s="64">
        <v>110.5</v>
      </c>
      <c r="L103" s="64">
        <v>24.18</v>
      </c>
      <c r="M103" s="64">
        <v>98</v>
      </c>
      <c r="N103" s="64">
        <v>47.9</v>
      </c>
      <c r="O103" s="64">
        <v>0</v>
      </c>
      <c r="P103" s="64">
        <v>0.26</v>
      </c>
      <c r="Q103" s="64">
        <v>9.1</v>
      </c>
      <c r="R103" s="198"/>
      <c r="S103" s="198"/>
      <c r="T103" s="198"/>
      <c r="U103" s="198"/>
    </row>
    <row r="104" spans="1:33" s="12" customFormat="1" x14ac:dyDescent="0.25">
      <c r="A104" s="214" t="s">
        <v>2837</v>
      </c>
      <c r="B104" s="64">
        <v>7.32</v>
      </c>
      <c r="C104" s="64">
        <v>6.93</v>
      </c>
      <c r="D104" s="64">
        <v>9.49</v>
      </c>
      <c r="E104" s="64">
        <v>4.0199999999999996</v>
      </c>
      <c r="F104" s="64">
        <v>7.64</v>
      </c>
      <c r="G104" s="64">
        <v>7.67</v>
      </c>
      <c r="H104" s="64">
        <v>7.12</v>
      </c>
      <c r="I104" s="64">
        <v>1.1299999999999999</v>
      </c>
      <c r="J104" s="64">
        <v>0.46</v>
      </c>
      <c r="K104" s="64">
        <v>117.79</v>
      </c>
      <c r="L104" s="64">
        <v>24.11</v>
      </c>
      <c r="M104" s="64">
        <v>98.01</v>
      </c>
      <c r="N104" s="64">
        <v>47.9</v>
      </c>
      <c r="O104" s="64">
        <v>0</v>
      </c>
      <c r="P104" s="64">
        <v>0.24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6.87</v>
      </c>
      <c r="C106" s="67">
        <f>MIN(C9:C104)</f>
        <v>5.82</v>
      </c>
      <c r="D106" s="67">
        <f t="shared" ref="D106:Q106" si="0">MIN(D9:D104)</f>
        <v>9.49</v>
      </c>
      <c r="E106" s="67">
        <f t="shared" si="0"/>
        <v>3.75</v>
      </c>
      <c r="F106" s="67">
        <f t="shared" si="0"/>
        <v>5.12</v>
      </c>
      <c r="G106" s="67">
        <f t="shared" si="0"/>
        <v>3.83</v>
      </c>
      <c r="H106" s="67">
        <f t="shared" si="0"/>
        <v>5.28</v>
      </c>
      <c r="I106" s="67">
        <f t="shared" si="0"/>
        <v>1.04</v>
      </c>
      <c r="J106" s="67">
        <f t="shared" si="0"/>
        <v>0</v>
      </c>
      <c r="K106" s="67">
        <f t="shared" si="0"/>
        <v>94.97</v>
      </c>
      <c r="L106" s="67">
        <f t="shared" si="0"/>
        <v>22.65</v>
      </c>
      <c r="M106" s="67">
        <f t="shared" si="0"/>
        <v>96.22</v>
      </c>
      <c r="N106" s="67">
        <f t="shared" si="0"/>
        <v>41.7</v>
      </c>
      <c r="O106" s="67">
        <f t="shared" si="0"/>
        <v>0</v>
      </c>
      <c r="P106" s="67">
        <f t="shared" si="0"/>
        <v>0.24</v>
      </c>
      <c r="Q106" s="67">
        <f t="shared" si="0"/>
        <v>9.0299999999999994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20.76</v>
      </c>
      <c r="C107" s="66">
        <f t="shared" ref="C107:Q107" si="1">MAX(C9:C104)</f>
        <v>14.36</v>
      </c>
      <c r="D107" s="66">
        <f t="shared" si="1"/>
        <v>21.39</v>
      </c>
      <c r="E107" s="66">
        <f t="shared" si="1"/>
        <v>6.2</v>
      </c>
      <c r="F107" s="66">
        <f t="shared" si="1"/>
        <v>16.7</v>
      </c>
      <c r="G107" s="66">
        <f t="shared" si="1"/>
        <v>29.82</v>
      </c>
      <c r="H107" s="66">
        <f t="shared" si="1"/>
        <v>14.27</v>
      </c>
      <c r="I107" s="66">
        <f t="shared" si="1"/>
        <v>1.56</v>
      </c>
      <c r="J107" s="66">
        <f t="shared" si="1"/>
        <v>1.5</v>
      </c>
      <c r="K107" s="66">
        <f t="shared" si="1"/>
        <v>342.74</v>
      </c>
      <c r="L107" s="66">
        <f t="shared" si="1"/>
        <v>27.57</v>
      </c>
      <c r="M107" s="66">
        <f t="shared" si="1"/>
        <v>98.08</v>
      </c>
      <c r="N107" s="66">
        <f t="shared" si="1"/>
        <v>752.3</v>
      </c>
      <c r="O107" s="66">
        <f t="shared" si="1"/>
        <v>1.6</v>
      </c>
      <c r="P107" s="66">
        <f t="shared" si="1"/>
        <v>0.48</v>
      </c>
      <c r="Q107" s="66">
        <f t="shared" si="1"/>
        <v>9.2899999999999991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10.101979166666666</v>
      </c>
      <c r="C108" s="67">
        <f t="shared" ref="C108:Q108" si="2">AVERAGE(C9:C104)</f>
        <v>9.1920833333333327</v>
      </c>
      <c r="D108" s="67">
        <f t="shared" si="2"/>
        <v>12.890104166666669</v>
      </c>
      <c r="E108" s="67">
        <f t="shared" si="2"/>
        <v>5.0281250000000002</v>
      </c>
      <c r="F108" s="67">
        <f t="shared" si="2"/>
        <v>9.397395833333329</v>
      </c>
      <c r="G108" s="67">
        <f t="shared" si="2"/>
        <v>14.68072916666668</v>
      </c>
      <c r="H108" s="67">
        <f t="shared" si="2"/>
        <v>9.0991666666666688</v>
      </c>
      <c r="I108" s="67">
        <f t="shared" si="2"/>
        <v>1.3221875000000003</v>
      </c>
      <c r="J108" s="67">
        <f t="shared" si="2"/>
        <v>0.61791666666666656</v>
      </c>
      <c r="K108" s="67">
        <f t="shared" si="2"/>
        <v>183.76416666666663</v>
      </c>
      <c r="L108" s="67">
        <f t="shared" si="2"/>
        <v>24.791666666666671</v>
      </c>
      <c r="M108" s="67">
        <f t="shared" si="2"/>
        <v>97.915937499999984</v>
      </c>
      <c r="N108" s="67">
        <f t="shared" si="2"/>
        <v>153.06250000000003</v>
      </c>
      <c r="O108" s="67">
        <f t="shared" si="2"/>
        <v>1.6666666666666666E-2</v>
      </c>
      <c r="P108" s="67">
        <f t="shared" si="2"/>
        <v>0.34010416666666665</v>
      </c>
      <c r="Q108" s="67">
        <f t="shared" si="2"/>
        <v>9.1387499999999928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2.8065628425237672</v>
      </c>
      <c r="C109" s="67">
        <f t="shared" ref="C109:Q109" si="3">STDEV(C9:C104)</f>
        <v>1.7101824566658741</v>
      </c>
      <c r="D109" s="67">
        <f t="shared" si="3"/>
        <v>2.1573821830570457</v>
      </c>
      <c r="E109" s="67">
        <f t="shared" si="3"/>
        <v>0.68487311540936813</v>
      </c>
      <c r="F109" s="67">
        <f t="shared" si="3"/>
        <v>2.3530474058756936</v>
      </c>
      <c r="G109" s="67">
        <f t="shared" si="3"/>
        <v>7.2686737000264152</v>
      </c>
      <c r="H109" s="67">
        <f t="shared" si="3"/>
        <v>2.5745980439127223</v>
      </c>
      <c r="I109" s="67">
        <f t="shared" si="3"/>
        <v>0.14764254931564216</v>
      </c>
      <c r="J109" s="67">
        <f t="shared" si="3"/>
        <v>0.41308828333004283</v>
      </c>
      <c r="K109" s="67">
        <f t="shared" si="3"/>
        <v>88.66914223427122</v>
      </c>
      <c r="L109" s="67">
        <f t="shared" si="3"/>
        <v>1.6187354822216966</v>
      </c>
      <c r="M109" s="67">
        <f t="shared" si="3"/>
        <v>0.24541512896786882</v>
      </c>
      <c r="N109" s="67">
        <f t="shared" si="3"/>
        <v>179.76258685159971</v>
      </c>
      <c r="O109" s="67">
        <f t="shared" si="3"/>
        <v>0.16329931618554522</v>
      </c>
      <c r="P109" s="67">
        <f t="shared" si="3"/>
        <v>4.394960730718938E-2</v>
      </c>
      <c r="Q109" s="67">
        <f t="shared" si="3"/>
        <v>6.9860763779030277E-2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2838</v>
      </c>
      <c r="B9" s="64">
        <v>7.13</v>
      </c>
      <c r="C9" s="64">
        <v>6.66</v>
      </c>
      <c r="D9" s="64">
        <v>9.1999999999999993</v>
      </c>
      <c r="E9" s="64">
        <v>4.57</v>
      </c>
      <c r="F9" s="64">
        <v>8.27</v>
      </c>
      <c r="G9" s="64">
        <v>8.43</v>
      </c>
      <c r="H9" s="64">
        <v>6.4</v>
      </c>
      <c r="I9" s="64">
        <v>1.1200000000000001</v>
      </c>
      <c r="J9" s="64">
        <v>0.52</v>
      </c>
      <c r="K9" s="64">
        <v>112.08</v>
      </c>
      <c r="L9" s="64">
        <v>24.01</v>
      </c>
      <c r="M9" s="64">
        <v>98.03</v>
      </c>
      <c r="N9" s="64">
        <v>47.9</v>
      </c>
      <c r="O9" s="64">
        <v>0</v>
      </c>
      <c r="P9" s="64">
        <v>0.24</v>
      </c>
      <c r="Q9" s="64">
        <v>9.11</v>
      </c>
      <c r="R9" s="198"/>
      <c r="S9" s="198"/>
      <c r="T9" s="198"/>
      <c r="U9" s="198"/>
    </row>
    <row r="10" spans="1:21" s="12" customFormat="1" x14ac:dyDescent="0.25">
      <c r="A10" s="214" t="s">
        <v>2839</v>
      </c>
      <c r="B10" s="64">
        <v>7.23</v>
      </c>
      <c r="C10" s="64">
        <v>6.77</v>
      </c>
      <c r="D10" s="64">
        <v>9.34</v>
      </c>
      <c r="E10" s="64">
        <v>4.79</v>
      </c>
      <c r="F10" s="64">
        <v>6.64</v>
      </c>
      <c r="G10" s="64">
        <v>8.48</v>
      </c>
      <c r="H10" s="64">
        <v>6.4</v>
      </c>
      <c r="I10" s="64">
        <v>1.1100000000000001</v>
      </c>
      <c r="J10" s="64">
        <v>0.38</v>
      </c>
      <c r="K10" s="64">
        <v>123.36</v>
      </c>
      <c r="L10" s="64">
        <v>23.94</v>
      </c>
      <c r="M10" s="64">
        <v>98.03</v>
      </c>
      <c r="N10" s="64">
        <v>47.8</v>
      </c>
      <c r="O10" s="64">
        <v>0</v>
      </c>
      <c r="P10" s="64">
        <v>0.25</v>
      </c>
      <c r="Q10" s="64">
        <v>9.1</v>
      </c>
      <c r="R10" s="198"/>
      <c r="S10" s="198"/>
      <c r="T10" s="198"/>
      <c r="U10" s="198"/>
    </row>
    <row r="11" spans="1:21" s="12" customFormat="1" x14ac:dyDescent="0.25">
      <c r="A11" s="214" t="s">
        <v>2840</v>
      </c>
      <c r="B11" s="64">
        <v>7.43</v>
      </c>
      <c r="C11" s="64">
        <v>6.47</v>
      </c>
      <c r="D11" s="64">
        <v>9.34</v>
      </c>
      <c r="E11" s="64">
        <v>4.28</v>
      </c>
      <c r="F11" s="64">
        <v>4.6500000000000004</v>
      </c>
      <c r="G11" s="64">
        <v>8.48</v>
      </c>
      <c r="H11" s="64">
        <v>6.4</v>
      </c>
      <c r="I11" s="64">
        <v>1.0900000000000001</v>
      </c>
      <c r="J11" s="64">
        <v>0.45</v>
      </c>
      <c r="K11" s="64">
        <v>123.96</v>
      </c>
      <c r="L11" s="64">
        <v>23.86</v>
      </c>
      <c r="M11" s="64">
        <v>98.03</v>
      </c>
      <c r="N11" s="64">
        <v>47.6</v>
      </c>
      <c r="O11" s="64">
        <v>0</v>
      </c>
      <c r="P11" s="64">
        <v>0.26</v>
      </c>
      <c r="Q11" s="64">
        <v>9.09</v>
      </c>
      <c r="R11" s="198"/>
      <c r="S11" s="198"/>
      <c r="T11" s="198"/>
      <c r="U11" s="198"/>
    </row>
    <row r="12" spans="1:21" s="12" customFormat="1" x14ac:dyDescent="0.25">
      <c r="A12" s="214" t="s">
        <v>2841</v>
      </c>
      <c r="B12" s="64">
        <v>7.88</v>
      </c>
      <c r="C12" s="64">
        <v>5.88</v>
      </c>
      <c r="D12" s="64">
        <v>9.39</v>
      </c>
      <c r="E12" s="64">
        <v>4.6399999999999997</v>
      </c>
      <c r="F12" s="64">
        <v>11.97</v>
      </c>
      <c r="G12" s="64">
        <v>8.48</v>
      </c>
      <c r="H12" s="64">
        <v>6.4</v>
      </c>
      <c r="I12" s="64">
        <v>1.08</v>
      </c>
      <c r="J12" s="64">
        <v>0.5</v>
      </c>
      <c r="K12" s="64">
        <v>127.6</v>
      </c>
      <c r="L12" s="64">
        <v>23.83</v>
      </c>
      <c r="M12" s="64">
        <v>98.03</v>
      </c>
      <c r="N12" s="64">
        <v>47.6</v>
      </c>
      <c r="O12" s="64">
        <v>0</v>
      </c>
      <c r="P12" s="64">
        <v>0.26</v>
      </c>
      <c r="Q12" s="64">
        <v>9.06</v>
      </c>
      <c r="R12" s="198"/>
      <c r="S12" s="198"/>
      <c r="T12" s="198"/>
      <c r="U12" s="198"/>
    </row>
    <row r="13" spans="1:21" s="12" customFormat="1" x14ac:dyDescent="0.25">
      <c r="A13" s="214" t="s">
        <v>2842</v>
      </c>
      <c r="B13" s="64">
        <v>6.99</v>
      </c>
      <c r="C13" s="64">
        <v>5.94</v>
      </c>
      <c r="D13" s="64">
        <v>8.7100000000000009</v>
      </c>
      <c r="E13" s="64">
        <v>4.84</v>
      </c>
      <c r="F13" s="64">
        <v>9.41</v>
      </c>
      <c r="G13" s="64">
        <v>14.6</v>
      </c>
      <c r="H13" s="64">
        <v>5.91</v>
      </c>
      <c r="I13" s="64">
        <v>1.05</v>
      </c>
      <c r="J13" s="64">
        <v>0.28000000000000003</v>
      </c>
      <c r="K13" s="64">
        <v>143.74</v>
      </c>
      <c r="L13" s="64">
        <v>23.81</v>
      </c>
      <c r="M13" s="64">
        <v>98.03</v>
      </c>
      <c r="N13" s="64">
        <v>47.5</v>
      </c>
      <c r="O13" s="64">
        <v>0</v>
      </c>
      <c r="P13" s="64">
        <v>0.19</v>
      </c>
      <c r="Q13" s="64">
        <v>9.0500000000000007</v>
      </c>
      <c r="R13" s="198"/>
      <c r="S13" s="198"/>
      <c r="T13" s="198"/>
      <c r="U13" s="198"/>
    </row>
    <row r="14" spans="1:21" s="12" customFormat="1" x14ac:dyDescent="0.25">
      <c r="A14" s="214" t="s">
        <v>2843</v>
      </c>
      <c r="B14" s="64">
        <v>6.64</v>
      </c>
      <c r="C14" s="64">
        <v>5.96</v>
      </c>
      <c r="D14" s="64">
        <v>8.43</v>
      </c>
      <c r="E14" s="64">
        <v>4.79</v>
      </c>
      <c r="F14" s="64">
        <v>9.61</v>
      </c>
      <c r="G14" s="64">
        <v>15.03</v>
      </c>
      <c r="H14" s="64">
        <v>5.91</v>
      </c>
      <c r="I14" s="64">
        <v>1.02</v>
      </c>
      <c r="J14" s="64">
        <v>0.3</v>
      </c>
      <c r="K14" s="64">
        <v>110.02</v>
      </c>
      <c r="L14" s="64">
        <v>23.74</v>
      </c>
      <c r="M14" s="64">
        <v>98.03</v>
      </c>
      <c r="N14" s="64">
        <v>47.5</v>
      </c>
      <c r="O14" s="64">
        <v>0</v>
      </c>
      <c r="P14" s="64">
        <v>0.21</v>
      </c>
      <c r="Q14" s="64">
        <v>9.0500000000000007</v>
      </c>
      <c r="R14" s="198"/>
      <c r="S14" s="198"/>
      <c r="T14" s="198"/>
      <c r="U14" s="198"/>
    </row>
    <row r="15" spans="1:21" s="12" customFormat="1" x14ac:dyDescent="0.25">
      <c r="A15" s="214" t="s">
        <v>2844</v>
      </c>
      <c r="B15" s="64">
        <v>7.51</v>
      </c>
      <c r="C15" s="64">
        <v>5.93</v>
      </c>
      <c r="D15" s="64">
        <v>9.1199999999999992</v>
      </c>
      <c r="E15" s="64">
        <v>4.7300000000000004</v>
      </c>
      <c r="F15" s="64">
        <v>6.97</v>
      </c>
      <c r="G15" s="64">
        <v>15.03</v>
      </c>
      <c r="H15" s="64">
        <v>5.91</v>
      </c>
      <c r="I15" s="64">
        <v>0.99</v>
      </c>
      <c r="J15" s="64">
        <v>0.27</v>
      </c>
      <c r="K15" s="64">
        <v>131.19999999999999</v>
      </c>
      <c r="L15" s="64">
        <v>23.61</v>
      </c>
      <c r="M15" s="64">
        <v>98.06</v>
      </c>
      <c r="N15" s="64">
        <v>46.9</v>
      </c>
      <c r="O15" s="64">
        <v>0</v>
      </c>
      <c r="P15" s="64">
        <v>0.26</v>
      </c>
      <c r="Q15" s="64">
        <v>9.0399999999999991</v>
      </c>
      <c r="R15" s="198"/>
      <c r="S15" s="198"/>
      <c r="T15" s="198"/>
      <c r="U15" s="198"/>
    </row>
    <row r="16" spans="1:21" s="12" customFormat="1" x14ac:dyDescent="0.25">
      <c r="A16" s="214" t="s">
        <v>2845</v>
      </c>
      <c r="B16" s="64">
        <v>6.84</v>
      </c>
      <c r="C16" s="64">
        <v>6.37</v>
      </c>
      <c r="D16" s="64">
        <v>8.82</v>
      </c>
      <c r="E16" s="64">
        <v>4.45</v>
      </c>
      <c r="F16" s="64">
        <v>8.3000000000000007</v>
      </c>
      <c r="G16" s="64">
        <v>15.03</v>
      </c>
      <c r="H16" s="64">
        <v>5.91</v>
      </c>
      <c r="I16" s="64">
        <v>0.96</v>
      </c>
      <c r="J16" s="64">
        <v>0.23</v>
      </c>
      <c r="K16" s="64">
        <v>115.22</v>
      </c>
      <c r="L16" s="64">
        <v>23.62</v>
      </c>
      <c r="M16" s="64">
        <v>98.07</v>
      </c>
      <c r="N16" s="64">
        <v>47.5</v>
      </c>
      <c r="O16" s="64">
        <v>0</v>
      </c>
      <c r="P16" s="64">
        <v>0.21</v>
      </c>
      <c r="Q16" s="64">
        <v>9.0399999999999991</v>
      </c>
      <c r="R16" s="198"/>
      <c r="S16" s="198"/>
      <c r="T16" s="198"/>
      <c r="U16" s="198"/>
    </row>
    <row r="17" spans="1:21" s="12" customFormat="1" x14ac:dyDescent="0.25">
      <c r="A17" s="214" t="s">
        <v>2846</v>
      </c>
      <c r="B17" s="64">
        <v>6.56</v>
      </c>
      <c r="C17" s="64">
        <v>6.27</v>
      </c>
      <c r="D17" s="64">
        <v>8.5299999999999994</v>
      </c>
      <c r="E17" s="64">
        <v>4.43</v>
      </c>
      <c r="F17" s="64">
        <v>7.2</v>
      </c>
      <c r="G17" s="64">
        <v>14.27</v>
      </c>
      <c r="H17" s="64">
        <v>6.27</v>
      </c>
      <c r="I17" s="64">
        <v>0.96</v>
      </c>
      <c r="J17" s="64">
        <v>0.24</v>
      </c>
      <c r="K17" s="64">
        <v>124.04</v>
      </c>
      <c r="L17" s="64">
        <v>23.61</v>
      </c>
      <c r="M17" s="64">
        <v>98.05</v>
      </c>
      <c r="N17" s="64">
        <v>47.7</v>
      </c>
      <c r="O17" s="64">
        <v>0</v>
      </c>
      <c r="P17" s="64">
        <v>0.22</v>
      </c>
      <c r="Q17" s="64">
        <v>9.0500000000000007</v>
      </c>
      <c r="R17" s="198"/>
      <c r="S17" s="198"/>
      <c r="T17" s="198"/>
      <c r="U17" s="198"/>
    </row>
    <row r="18" spans="1:21" s="12" customFormat="1" x14ac:dyDescent="0.25">
      <c r="A18" s="214" t="s">
        <v>2847</v>
      </c>
      <c r="B18" s="64">
        <v>7.32</v>
      </c>
      <c r="C18" s="64">
        <v>6</v>
      </c>
      <c r="D18" s="64">
        <v>9.01</v>
      </c>
      <c r="E18" s="64">
        <v>4.92</v>
      </c>
      <c r="F18" s="64">
        <v>7.52</v>
      </c>
      <c r="G18" s="64">
        <v>14.21</v>
      </c>
      <c r="H18" s="64">
        <v>6.27</v>
      </c>
      <c r="I18" s="64">
        <v>0.94</v>
      </c>
      <c r="J18" s="64">
        <v>0.56000000000000005</v>
      </c>
      <c r="K18" s="64">
        <v>102.98</v>
      </c>
      <c r="L18" s="64">
        <v>23.59</v>
      </c>
      <c r="M18" s="64">
        <v>98.04</v>
      </c>
      <c r="N18" s="64">
        <v>47.7</v>
      </c>
      <c r="O18" s="64">
        <v>0</v>
      </c>
      <c r="P18" s="64">
        <v>0.23</v>
      </c>
      <c r="Q18" s="64">
        <v>9.0299999999999994</v>
      </c>
      <c r="R18" s="198"/>
      <c r="S18" s="198"/>
      <c r="T18" s="198"/>
      <c r="U18" s="198"/>
    </row>
    <row r="19" spans="1:21" s="12" customFormat="1" x14ac:dyDescent="0.25">
      <c r="A19" s="214" t="s">
        <v>2848</v>
      </c>
      <c r="B19" s="64">
        <v>6.52</v>
      </c>
      <c r="C19" s="64">
        <v>6.5</v>
      </c>
      <c r="D19" s="64">
        <v>8.6300000000000008</v>
      </c>
      <c r="E19" s="64">
        <v>4.66</v>
      </c>
      <c r="F19" s="64">
        <v>21.58</v>
      </c>
      <c r="G19" s="64">
        <v>14.21</v>
      </c>
      <c r="H19" s="64">
        <v>6.27</v>
      </c>
      <c r="I19" s="64">
        <v>0.93</v>
      </c>
      <c r="J19" s="64">
        <v>0.47</v>
      </c>
      <c r="K19" s="64">
        <v>113.87</v>
      </c>
      <c r="L19" s="64">
        <v>23.61</v>
      </c>
      <c r="M19" s="64">
        <v>98.03</v>
      </c>
      <c r="N19" s="64">
        <v>47.6</v>
      </c>
      <c r="O19" s="64">
        <v>0</v>
      </c>
      <c r="P19" s="64">
        <v>0.2</v>
      </c>
      <c r="Q19" s="64">
        <v>9.0399999999999991</v>
      </c>
      <c r="R19" s="198"/>
      <c r="S19" s="198"/>
      <c r="T19" s="198"/>
      <c r="U19" s="198"/>
    </row>
    <row r="20" spans="1:21" s="12" customFormat="1" x14ac:dyDescent="0.25">
      <c r="A20" s="214" t="s">
        <v>2849</v>
      </c>
      <c r="B20" s="64">
        <v>7.22</v>
      </c>
      <c r="C20" s="64">
        <v>5.98</v>
      </c>
      <c r="D20" s="64">
        <v>8.91</v>
      </c>
      <c r="E20" s="64">
        <v>4.2699999999999996</v>
      </c>
      <c r="F20" s="64">
        <v>8.4</v>
      </c>
      <c r="G20" s="64">
        <v>14.21</v>
      </c>
      <c r="H20" s="64">
        <v>6.27</v>
      </c>
      <c r="I20" s="64">
        <v>0.92</v>
      </c>
      <c r="J20" s="64">
        <v>0.62</v>
      </c>
      <c r="K20" s="64">
        <v>113.31</v>
      </c>
      <c r="L20" s="64">
        <v>23.6</v>
      </c>
      <c r="M20" s="64">
        <v>98.03</v>
      </c>
      <c r="N20" s="64">
        <v>47.6</v>
      </c>
      <c r="O20" s="64">
        <v>0</v>
      </c>
      <c r="P20" s="64">
        <v>0.23</v>
      </c>
      <c r="Q20" s="64">
        <v>9.0399999999999991</v>
      </c>
      <c r="R20" s="198"/>
      <c r="S20" s="198"/>
      <c r="T20" s="198"/>
      <c r="U20" s="198"/>
    </row>
    <row r="21" spans="1:21" s="12" customFormat="1" x14ac:dyDescent="0.25">
      <c r="A21" s="214" t="s">
        <v>2850</v>
      </c>
      <c r="B21" s="64">
        <v>6.8</v>
      </c>
      <c r="C21" s="64">
        <v>5.83</v>
      </c>
      <c r="D21" s="64">
        <v>8.5</v>
      </c>
      <c r="E21" s="64">
        <v>4.7300000000000004</v>
      </c>
      <c r="F21" s="64">
        <v>8.64</v>
      </c>
      <c r="G21" s="64">
        <v>10.23</v>
      </c>
      <c r="H21" s="64">
        <v>10.9</v>
      </c>
      <c r="I21" s="64">
        <v>0.9</v>
      </c>
      <c r="J21" s="64">
        <v>0.87</v>
      </c>
      <c r="K21" s="64">
        <v>125.11</v>
      </c>
      <c r="L21" s="64">
        <v>23.52</v>
      </c>
      <c r="M21" s="64">
        <v>98.05</v>
      </c>
      <c r="N21" s="64">
        <v>47.9</v>
      </c>
      <c r="O21" s="64">
        <v>0</v>
      </c>
      <c r="P21" s="64">
        <v>0.2</v>
      </c>
      <c r="Q21" s="64">
        <v>9.0299999999999994</v>
      </c>
      <c r="R21" s="198"/>
      <c r="S21" s="198"/>
      <c r="T21" s="198"/>
      <c r="U21" s="198"/>
    </row>
    <row r="22" spans="1:21" s="12" customFormat="1" x14ac:dyDescent="0.25">
      <c r="A22" s="214" t="s">
        <v>2851</v>
      </c>
      <c r="B22" s="64">
        <v>6.48</v>
      </c>
      <c r="C22" s="64">
        <v>5.7</v>
      </c>
      <c r="D22" s="64">
        <v>8.17</v>
      </c>
      <c r="E22" s="64">
        <v>4.4400000000000004</v>
      </c>
      <c r="F22" s="64">
        <v>9.19</v>
      </c>
      <c r="G22" s="64">
        <v>19.95</v>
      </c>
      <c r="H22" s="64">
        <v>10.9</v>
      </c>
      <c r="I22" s="64">
        <v>0.89</v>
      </c>
      <c r="J22" s="64">
        <v>0.66</v>
      </c>
      <c r="K22" s="64">
        <v>117.45</v>
      </c>
      <c r="L22" s="64">
        <v>23.46</v>
      </c>
      <c r="M22" s="64">
        <v>98.05</v>
      </c>
      <c r="N22" s="64">
        <v>47.9</v>
      </c>
      <c r="O22" s="64">
        <v>0</v>
      </c>
      <c r="P22" s="64">
        <v>0.19</v>
      </c>
      <c r="Q22" s="64">
        <v>9.0500000000000007</v>
      </c>
      <c r="R22" s="198"/>
      <c r="S22" s="198"/>
      <c r="T22" s="198"/>
      <c r="U22" s="198"/>
    </row>
    <row r="23" spans="1:21" s="12" customFormat="1" x14ac:dyDescent="0.25">
      <c r="A23" s="214" t="s">
        <v>2852</v>
      </c>
      <c r="B23" s="64">
        <v>6.42</v>
      </c>
      <c r="C23" s="64">
        <v>5.98</v>
      </c>
      <c r="D23" s="64">
        <v>8.27</v>
      </c>
      <c r="E23" s="64">
        <v>4.4400000000000004</v>
      </c>
      <c r="F23" s="64">
        <v>9.18</v>
      </c>
      <c r="G23" s="64">
        <v>19.95</v>
      </c>
      <c r="H23" s="64">
        <v>10.9</v>
      </c>
      <c r="I23" s="64">
        <v>0.89</v>
      </c>
      <c r="J23" s="64">
        <v>0.38</v>
      </c>
      <c r="K23" s="64">
        <v>113.36</v>
      </c>
      <c r="L23" s="64">
        <v>23.46</v>
      </c>
      <c r="M23" s="64">
        <v>98.05</v>
      </c>
      <c r="N23" s="64">
        <v>47.8</v>
      </c>
      <c r="O23" s="64">
        <v>0</v>
      </c>
      <c r="P23" s="64">
        <v>0.19</v>
      </c>
      <c r="Q23" s="64">
        <v>9.06</v>
      </c>
      <c r="R23" s="198"/>
      <c r="S23" s="198"/>
      <c r="T23" s="198"/>
      <c r="U23" s="198"/>
    </row>
    <row r="24" spans="1:21" s="12" customFormat="1" x14ac:dyDescent="0.25">
      <c r="A24" s="214" t="s">
        <v>2853</v>
      </c>
      <c r="B24" s="64">
        <v>6.42</v>
      </c>
      <c r="C24" s="64">
        <v>6.62</v>
      </c>
      <c r="D24" s="64">
        <v>8.6</v>
      </c>
      <c r="E24" s="64">
        <v>4.5599999999999996</v>
      </c>
      <c r="F24" s="64">
        <v>9.48</v>
      </c>
      <c r="G24" s="64">
        <v>19.95</v>
      </c>
      <c r="H24" s="64">
        <v>10.9</v>
      </c>
      <c r="I24" s="64">
        <v>0.88</v>
      </c>
      <c r="J24" s="64">
        <v>0.41</v>
      </c>
      <c r="K24" s="64">
        <v>94.96</v>
      </c>
      <c r="L24" s="64">
        <v>23.5</v>
      </c>
      <c r="M24" s="64">
        <v>98.03</v>
      </c>
      <c r="N24" s="64">
        <v>47.7</v>
      </c>
      <c r="O24" s="64">
        <v>0</v>
      </c>
      <c r="P24" s="64">
        <v>0.18</v>
      </c>
      <c r="Q24" s="64">
        <v>9.08</v>
      </c>
      <c r="R24" s="198"/>
      <c r="S24" s="198"/>
      <c r="T24" s="198"/>
      <c r="U24" s="198"/>
    </row>
    <row r="25" spans="1:21" s="12" customFormat="1" x14ac:dyDescent="0.25">
      <c r="A25" s="214" t="s">
        <v>2854</v>
      </c>
      <c r="B25" s="64">
        <v>6.46</v>
      </c>
      <c r="C25" s="64">
        <v>6.51</v>
      </c>
      <c r="D25" s="64">
        <v>8.58</v>
      </c>
      <c r="E25" s="64">
        <v>4.63</v>
      </c>
      <c r="F25" s="64">
        <v>41.71</v>
      </c>
      <c r="G25" s="64">
        <v>19.95</v>
      </c>
      <c r="H25" s="64">
        <v>8.93</v>
      </c>
      <c r="I25" s="64">
        <v>0.88</v>
      </c>
      <c r="J25" s="64">
        <v>0.45</v>
      </c>
      <c r="K25" s="64">
        <v>113.12</v>
      </c>
      <c r="L25" s="64">
        <v>23.5</v>
      </c>
      <c r="M25" s="64">
        <v>98.03</v>
      </c>
      <c r="N25" s="64">
        <v>47.8</v>
      </c>
      <c r="O25" s="64">
        <v>0</v>
      </c>
      <c r="P25" s="64">
        <v>0.19</v>
      </c>
      <c r="Q25" s="64">
        <v>9.07</v>
      </c>
      <c r="R25" s="198"/>
      <c r="S25" s="198"/>
      <c r="T25" s="198"/>
      <c r="U25" s="198"/>
    </row>
    <row r="26" spans="1:21" s="12" customFormat="1" x14ac:dyDescent="0.25">
      <c r="A26" s="214" t="s">
        <v>2855</v>
      </c>
      <c r="B26" s="64">
        <v>6.45</v>
      </c>
      <c r="C26" s="64">
        <v>6.9</v>
      </c>
      <c r="D26" s="64">
        <v>8.7799999999999994</v>
      </c>
      <c r="E26" s="64">
        <v>4.68</v>
      </c>
      <c r="F26" s="64">
        <v>9.26</v>
      </c>
      <c r="G26" s="64">
        <v>19.95</v>
      </c>
      <c r="H26" s="64">
        <v>8.93</v>
      </c>
      <c r="I26" s="64">
        <v>0.87</v>
      </c>
      <c r="J26" s="64">
        <v>0.5</v>
      </c>
      <c r="K26" s="64">
        <v>109.27</v>
      </c>
      <c r="L26" s="64">
        <v>23.45</v>
      </c>
      <c r="M26" s="64">
        <v>98.03</v>
      </c>
      <c r="N26" s="64">
        <v>47.6</v>
      </c>
      <c r="O26" s="64">
        <v>0</v>
      </c>
      <c r="P26" s="64">
        <v>0.19</v>
      </c>
      <c r="Q26" s="64">
        <v>9.08</v>
      </c>
      <c r="R26" s="198"/>
      <c r="S26" s="198"/>
      <c r="T26" s="198"/>
      <c r="U26" s="198"/>
    </row>
    <row r="27" spans="1:21" s="12" customFormat="1" x14ac:dyDescent="0.25">
      <c r="A27" s="214" t="s">
        <v>2856</v>
      </c>
      <c r="B27" s="64">
        <v>6.59</v>
      </c>
      <c r="C27" s="64">
        <v>6.71</v>
      </c>
      <c r="D27" s="64">
        <v>8.7899999999999991</v>
      </c>
      <c r="E27" s="64">
        <v>4.8899999999999997</v>
      </c>
      <c r="F27" s="64">
        <v>8.02</v>
      </c>
      <c r="G27" s="64">
        <v>19.95</v>
      </c>
      <c r="H27" s="64">
        <v>8.93</v>
      </c>
      <c r="I27" s="64">
        <v>0.86</v>
      </c>
      <c r="J27" s="64">
        <v>0.53</v>
      </c>
      <c r="K27" s="64">
        <v>104.62</v>
      </c>
      <c r="L27" s="64">
        <v>23.4</v>
      </c>
      <c r="M27" s="64">
        <v>98.04</v>
      </c>
      <c r="N27" s="64">
        <v>47.8</v>
      </c>
      <c r="O27" s="64">
        <v>0</v>
      </c>
      <c r="P27" s="64">
        <v>0.18</v>
      </c>
      <c r="Q27" s="64">
        <v>9.08</v>
      </c>
      <c r="R27" s="198"/>
      <c r="S27" s="198"/>
      <c r="T27" s="198"/>
      <c r="U27" s="198"/>
    </row>
    <row r="28" spans="1:21" s="12" customFormat="1" x14ac:dyDescent="0.25">
      <c r="A28" s="214" t="s">
        <v>2857</v>
      </c>
      <c r="B28" s="64">
        <v>6.44</v>
      </c>
      <c r="C28" s="64">
        <v>6.58</v>
      </c>
      <c r="D28" s="64">
        <v>8.6</v>
      </c>
      <c r="E28" s="64">
        <v>4.95</v>
      </c>
      <c r="F28" s="64">
        <v>11.42</v>
      </c>
      <c r="G28" s="64">
        <v>19.95</v>
      </c>
      <c r="H28" s="64">
        <v>8.93</v>
      </c>
      <c r="I28" s="64">
        <v>0.86</v>
      </c>
      <c r="J28" s="64">
        <v>0.63</v>
      </c>
      <c r="K28" s="64">
        <v>108.07</v>
      </c>
      <c r="L28" s="64">
        <v>23.35</v>
      </c>
      <c r="M28" s="64">
        <v>98.06</v>
      </c>
      <c r="N28" s="64">
        <v>47.8</v>
      </c>
      <c r="O28" s="64">
        <v>0</v>
      </c>
      <c r="P28" s="64">
        <v>0.18</v>
      </c>
      <c r="Q28" s="64">
        <v>9.08</v>
      </c>
      <c r="R28" s="198"/>
      <c r="S28" s="198"/>
      <c r="T28" s="198"/>
      <c r="U28" s="198"/>
    </row>
    <row r="29" spans="1:21" s="12" customFormat="1" x14ac:dyDescent="0.25">
      <c r="A29" s="214" t="s">
        <v>2858</v>
      </c>
      <c r="B29" s="64">
        <v>6.74</v>
      </c>
      <c r="C29" s="64">
        <v>6.52</v>
      </c>
      <c r="D29" s="64">
        <v>8.81</v>
      </c>
      <c r="E29" s="64">
        <v>4.8899999999999997</v>
      </c>
      <c r="F29" s="64">
        <v>7.86</v>
      </c>
      <c r="G29" s="64">
        <v>15.01</v>
      </c>
      <c r="H29" s="64">
        <v>7.4</v>
      </c>
      <c r="I29" s="64">
        <v>0.85</v>
      </c>
      <c r="J29" s="64">
        <v>0.54</v>
      </c>
      <c r="K29" s="64">
        <v>110.33</v>
      </c>
      <c r="L29" s="64">
        <v>23.3</v>
      </c>
      <c r="M29" s="64">
        <v>98.06</v>
      </c>
      <c r="N29" s="64">
        <v>47.5</v>
      </c>
      <c r="O29" s="64">
        <v>0</v>
      </c>
      <c r="P29" s="64">
        <v>0.2</v>
      </c>
      <c r="Q29" s="64">
        <v>9.07</v>
      </c>
      <c r="R29" s="198"/>
      <c r="S29" s="198"/>
      <c r="T29" s="198"/>
      <c r="U29" s="198"/>
    </row>
    <row r="30" spans="1:21" s="12" customFormat="1" x14ac:dyDescent="0.25">
      <c r="A30" s="214" t="s">
        <v>2859</v>
      </c>
      <c r="B30" s="64">
        <v>7.3</v>
      </c>
      <c r="C30" s="64">
        <v>6.66</v>
      </c>
      <c r="D30" s="64">
        <v>9.33</v>
      </c>
      <c r="E30" s="64">
        <v>4.99</v>
      </c>
      <c r="F30" s="64">
        <v>8.93</v>
      </c>
      <c r="G30" s="64">
        <v>15.01</v>
      </c>
      <c r="H30" s="64">
        <v>7.4</v>
      </c>
      <c r="I30" s="64">
        <v>0.84</v>
      </c>
      <c r="J30" s="64">
        <v>0.42</v>
      </c>
      <c r="K30" s="64">
        <v>113.04</v>
      </c>
      <c r="L30" s="64">
        <v>23.38</v>
      </c>
      <c r="M30" s="64">
        <v>98.08</v>
      </c>
      <c r="N30" s="64">
        <v>47.6</v>
      </c>
      <c r="O30" s="64">
        <v>0</v>
      </c>
      <c r="P30" s="64">
        <v>0.19</v>
      </c>
      <c r="Q30" s="64">
        <v>9.0399999999999991</v>
      </c>
      <c r="R30" s="198"/>
      <c r="S30" s="198"/>
      <c r="T30" s="198"/>
      <c r="U30" s="198"/>
    </row>
    <row r="31" spans="1:21" s="12" customFormat="1" x14ac:dyDescent="0.25">
      <c r="A31" s="214" t="s">
        <v>2860</v>
      </c>
      <c r="B31" s="64">
        <v>6.83</v>
      </c>
      <c r="C31" s="64">
        <v>7.56</v>
      </c>
      <c r="D31" s="64">
        <v>9.42</v>
      </c>
      <c r="E31" s="64">
        <v>4.6500000000000004</v>
      </c>
      <c r="F31" s="64">
        <v>9.9499999999999993</v>
      </c>
      <c r="G31" s="64">
        <v>15.01</v>
      </c>
      <c r="H31" s="64">
        <v>7.4</v>
      </c>
      <c r="I31" s="64">
        <v>0.82</v>
      </c>
      <c r="J31" s="64">
        <v>0.51</v>
      </c>
      <c r="K31" s="64">
        <v>104.85</v>
      </c>
      <c r="L31" s="64">
        <v>23.44</v>
      </c>
      <c r="M31" s="64">
        <v>98.05</v>
      </c>
      <c r="N31" s="64">
        <v>48.1</v>
      </c>
      <c r="O31" s="64">
        <v>0</v>
      </c>
      <c r="P31" s="64">
        <v>0.19</v>
      </c>
      <c r="Q31" s="64">
        <v>9.0399999999999991</v>
      </c>
      <c r="R31" s="198"/>
      <c r="S31" s="198"/>
      <c r="T31" s="198"/>
      <c r="U31" s="198"/>
    </row>
    <row r="32" spans="1:21" s="12" customFormat="1" x14ac:dyDescent="0.25">
      <c r="A32" s="214" t="s">
        <v>2861</v>
      </c>
      <c r="B32" s="64">
        <v>6.95</v>
      </c>
      <c r="C32" s="64">
        <v>7.75</v>
      </c>
      <c r="D32" s="64">
        <v>9.6199999999999992</v>
      </c>
      <c r="E32" s="64">
        <v>4.57</v>
      </c>
      <c r="F32" s="64">
        <v>9.83</v>
      </c>
      <c r="G32" s="64">
        <v>15.01</v>
      </c>
      <c r="H32" s="64">
        <v>7.4</v>
      </c>
      <c r="I32" s="64">
        <v>0.81</v>
      </c>
      <c r="J32" s="64">
        <v>0.53</v>
      </c>
      <c r="K32" s="64">
        <v>108.02</v>
      </c>
      <c r="L32" s="64">
        <v>23.45</v>
      </c>
      <c r="M32" s="64">
        <v>98.06</v>
      </c>
      <c r="N32" s="64">
        <v>50.8</v>
      </c>
      <c r="O32" s="64">
        <v>0</v>
      </c>
      <c r="P32" s="64">
        <v>0.19</v>
      </c>
      <c r="Q32" s="64">
        <v>9.0299999999999994</v>
      </c>
      <c r="R32" s="198"/>
      <c r="S32" s="198"/>
      <c r="T32" s="198"/>
      <c r="U32" s="198"/>
    </row>
    <row r="33" spans="1:21" s="12" customFormat="1" x14ac:dyDescent="0.25">
      <c r="A33" s="214" t="s">
        <v>2862</v>
      </c>
      <c r="B33" s="64">
        <v>7.3</v>
      </c>
      <c r="C33" s="64">
        <v>7.62</v>
      </c>
      <c r="D33" s="64">
        <v>9.84</v>
      </c>
      <c r="E33" s="64">
        <v>4.8099999999999996</v>
      </c>
      <c r="F33" s="64">
        <v>6.26</v>
      </c>
      <c r="G33" s="64">
        <v>15.01</v>
      </c>
      <c r="H33" s="64">
        <v>6.34</v>
      </c>
      <c r="I33" s="64">
        <v>0.8</v>
      </c>
      <c r="J33" s="64">
        <v>0.33</v>
      </c>
      <c r="K33" s="64">
        <v>142.31</v>
      </c>
      <c r="L33" s="64">
        <v>23.48</v>
      </c>
      <c r="M33" s="64">
        <v>98.04</v>
      </c>
      <c r="N33" s="64">
        <v>57.3</v>
      </c>
      <c r="O33" s="64">
        <v>0</v>
      </c>
      <c r="P33" s="64">
        <v>0.21</v>
      </c>
      <c r="Q33" s="64">
        <v>9.0299999999999994</v>
      </c>
      <c r="R33" s="198"/>
      <c r="S33" s="198"/>
      <c r="T33" s="198"/>
      <c r="U33" s="198"/>
    </row>
    <row r="34" spans="1:21" s="12" customFormat="1" x14ac:dyDescent="0.25">
      <c r="A34" s="214" t="s">
        <v>2863</v>
      </c>
      <c r="B34" s="64">
        <v>7.46</v>
      </c>
      <c r="C34" s="64">
        <v>7.11</v>
      </c>
      <c r="D34" s="64">
        <v>9.6999999999999993</v>
      </c>
      <c r="E34" s="64">
        <v>4.8899999999999997</v>
      </c>
      <c r="F34" s="64">
        <v>8.42</v>
      </c>
      <c r="G34" s="64">
        <v>15.01</v>
      </c>
      <c r="H34" s="64">
        <v>6.34</v>
      </c>
      <c r="I34" s="64">
        <v>0.8</v>
      </c>
      <c r="J34" s="64">
        <v>0.28000000000000003</v>
      </c>
      <c r="K34" s="64">
        <v>109.97</v>
      </c>
      <c r="L34" s="64">
        <v>23.49</v>
      </c>
      <c r="M34" s="64">
        <v>98.04</v>
      </c>
      <c r="N34" s="64">
        <v>59.6</v>
      </c>
      <c r="O34" s="64">
        <v>0</v>
      </c>
      <c r="P34" s="64">
        <v>0.2</v>
      </c>
      <c r="Q34" s="64">
        <v>9.02</v>
      </c>
      <c r="R34" s="198"/>
      <c r="S34" s="198"/>
      <c r="T34" s="198"/>
      <c r="U34" s="198"/>
    </row>
    <row r="35" spans="1:21" s="12" customFormat="1" x14ac:dyDescent="0.25">
      <c r="A35" s="214" t="s">
        <v>2864</v>
      </c>
      <c r="B35" s="64">
        <v>7.33</v>
      </c>
      <c r="C35" s="64">
        <v>7.74</v>
      </c>
      <c r="D35" s="64">
        <v>9.92</v>
      </c>
      <c r="E35" s="64">
        <v>4.6399999999999997</v>
      </c>
      <c r="F35" s="64">
        <v>9.9600000000000009</v>
      </c>
      <c r="G35" s="64">
        <v>16.47</v>
      </c>
      <c r="H35" s="64">
        <v>6.34</v>
      </c>
      <c r="I35" s="64">
        <v>0.79</v>
      </c>
      <c r="J35" s="64">
        <v>0.45</v>
      </c>
      <c r="K35" s="64">
        <v>111.21</v>
      </c>
      <c r="L35" s="64">
        <v>23.47</v>
      </c>
      <c r="M35" s="64">
        <v>98.04</v>
      </c>
      <c r="N35" s="64">
        <v>63.6</v>
      </c>
      <c r="O35" s="64">
        <v>0</v>
      </c>
      <c r="P35" s="64">
        <v>0.2</v>
      </c>
      <c r="Q35" s="64">
        <v>9.0299999999999994</v>
      </c>
      <c r="R35" s="198"/>
      <c r="S35" s="198"/>
      <c r="T35" s="198"/>
      <c r="U35" s="198"/>
    </row>
    <row r="36" spans="1:21" s="12" customFormat="1" x14ac:dyDescent="0.25">
      <c r="A36" s="214" t="s">
        <v>2865</v>
      </c>
      <c r="B36" s="64">
        <v>7.6</v>
      </c>
      <c r="C36" s="64">
        <v>6.9</v>
      </c>
      <c r="D36" s="64">
        <v>9.6999999999999993</v>
      </c>
      <c r="E36" s="64">
        <v>4.67</v>
      </c>
      <c r="F36" s="64">
        <v>8.52</v>
      </c>
      <c r="G36" s="64">
        <v>16.47</v>
      </c>
      <c r="H36" s="64">
        <v>6.34</v>
      </c>
      <c r="I36" s="64">
        <v>0.79</v>
      </c>
      <c r="J36" s="64">
        <v>0.34</v>
      </c>
      <c r="K36" s="64">
        <v>92.37</v>
      </c>
      <c r="L36" s="64">
        <v>23.51</v>
      </c>
      <c r="M36" s="64">
        <v>98.05</v>
      </c>
      <c r="N36" s="64">
        <v>71.599999999999994</v>
      </c>
      <c r="O36" s="64">
        <v>0</v>
      </c>
      <c r="P36" s="64">
        <v>0.21</v>
      </c>
      <c r="Q36" s="64">
        <v>9.0299999999999994</v>
      </c>
      <c r="R36" s="198"/>
      <c r="S36" s="198"/>
      <c r="T36" s="198"/>
      <c r="U36" s="198"/>
    </row>
    <row r="37" spans="1:21" s="12" customFormat="1" x14ac:dyDescent="0.25">
      <c r="A37" s="214" t="s">
        <v>2866</v>
      </c>
      <c r="B37" s="64">
        <v>7.32</v>
      </c>
      <c r="C37" s="64">
        <v>8.1199999999999992</v>
      </c>
      <c r="D37" s="64">
        <v>10.11</v>
      </c>
      <c r="E37" s="64">
        <v>4.79</v>
      </c>
      <c r="F37" s="64">
        <v>8.27</v>
      </c>
      <c r="G37" s="64">
        <v>16.47</v>
      </c>
      <c r="H37" s="64">
        <v>8.9600000000000009</v>
      </c>
      <c r="I37" s="64">
        <v>0.8</v>
      </c>
      <c r="J37" s="64">
        <v>0.4</v>
      </c>
      <c r="K37" s="64">
        <v>115.2</v>
      </c>
      <c r="L37" s="64">
        <v>23.67</v>
      </c>
      <c r="M37" s="64">
        <v>98.04</v>
      </c>
      <c r="N37" s="64">
        <v>123.3</v>
      </c>
      <c r="O37" s="64">
        <v>0</v>
      </c>
      <c r="P37" s="64">
        <v>0.28999999999999998</v>
      </c>
      <c r="Q37" s="64">
        <v>9.0399999999999991</v>
      </c>
      <c r="R37" s="198"/>
      <c r="S37" s="198"/>
      <c r="T37" s="198"/>
      <c r="U37" s="198"/>
    </row>
    <row r="38" spans="1:21" s="12" customFormat="1" x14ac:dyDescent="0.25">
      <c r="A38" s="214" t="s">
        <v>2867</v>
      </c>
      <c r="B38" s="64">
        <v>7.97</v>
      </c>
      <c r="C38" s="64">
        <v>7.46</v>
      </c>
      <c r="D38" s="64">
        <v>10.29</v>
      </c>
      <c r="E38" s="64">
        <v>4.8499999999999996</v>
      </c>
      <c r="F38" s="64">
        <v>7.59</v>
      </c>
      <c r="G38" s="64">
        <v>16.47</v>
      </c>
      <c r="H38" s="64">
        <v>8.9600000000000009</v>
      </c>
      <c r="I38" s="64">
        <v>0.81</v>
      </c>
      <c r="J38" s="64">
        <v>0.52</v>
      </c>
      <c r="K38" s="64">
        <v>101.18</v>
      </c>
      <c r="L38" s="64">
        <v>23.99</v>
      </c>
      <c r="M38" s="64">
        <v>98.02</v>
      </c>
      <c r="N38" s="64">
        <v>142.9</v>
      </c>
      <c r="O38" s="64">
        <v>0</v>
      </c>
      <c r="P38" s="64">
        <v>0.32</v>
      </c>
      <c r="Q38" s="64">
        <v>9.0299999999999994</v>
      </c>
      <c r="R38" s="198"/>
      <c r="S38" s="198"/>
      <c r="T38" s="198"/>
      <c r="U38" s="198"/>
    </row>
    <row r="39" spans="1:21" s="12" customFormat="1" x14ac:dyDescent="0.25">
      <c r="A39" s="214" t="s">
        <v>2868</v>
      </c>
      <c r="B39" s="64">
        <v>7.92</v>
      </c>
      <c r="C39" s="64">
        <v>8.16</v>
      </c>
      <c r="D39" s="64">
        <v>10.61</v>
      </c>
      <c r="E39" s="64">
        <v>4.78</v>
      </c>
      <c r="F39" s="64">
        <v>9.9499999999999993</v>
      </c>
      <c r="G39" s="64">
        <v>16.47</v>
      </c>
      <c r="H39" s="64">
        <v>8.9600000000000009</v>
      </c>
      <c r="I39" s="64">
        <v>0.81</v>
      </c>
      <c r="J39" s="64">
        <v>0.66</v>
      </c>
      <c r="K39" s="64">
        <v>101.67</v>
      </c>
      <c r="L39" s="64">
        <v>24.28</v>
      </c>
      <c r="M39" s="64">
        <v>98.02</v>
      </c>
      <c r="N39" s="64">
        <v>170.8</v>
      </c>
      <c r="O39" s="64">
        <v>0</v>
      </c>
      <c r="P39" s="64">
        <v>0.32</v>
      </c>
      <c r="Q39" s="64">
        <v>9.0500000000000007</v>
      </c>
      <c r="R39" s="198"/>
      <c r="S39" s="198"/>
      <c r="T39" s="198"/>
      <c r="U39" s="198"/>
    </row>
    <row r="40" spans="1:21" s="12" customFormat="1" x14ac:dyDescent="0.25">
      <c r="A40" s="214" t="s">
        <v>2869</v>
      </c>
      <c r="B40" s="64">
        <v>8.2899999999999991</v>
      </c>
      <c r="C40" s="64">
        <v>7.6</v>
      </c>
      <c r="D40" s="64">
        <v>10.62</v>
      </c>
      <c r="E40" s="64">
        <v>3.87</v>
      </c>
      <c r="F40" s="64">
        <v>10.26</v>
      </c>
      <c r="G40" s="64">
        <v>16.47</v>
      </c>
      <c r="H40" s="64">
        <v>8.9600000000000009</v>
      </c>
      <c r="I40" s="64">
        <v>0.81</v>
      </c>
      <c r="J40" s="64">
        <v>0.57999999999999996</v>
      </c>
      <c r="K40" s="64">
        <v>110.68</v>
      </c>
      <c r="L40" s="64">
        <v>24.39</v>
      </c>
      <c r="M40" s="64">
        <v>98.01</v>
      </c>
      <c r="N40" s="64">
        <v>178.1</v>
      </c>
      <c r="O40" s="64">
        <v>0</v>
      </c>
      <c r="P40" s="64">
        <v>0.31</v>
      </c>
      <c r="Q40" s="64">
        <v>9.07</v>
      </c>
      <c r="R40" s="198"/>
      <c r="S40" s="198"/>
      <c r="T40" s="198"/>
      <c r="U40" s="198"/>
    </row>
    <row r="41" spans="1:21" s="12" customFormat="1" x14ac:dyDescent="0.25">
      <c r="A41" s="214" t="s">
        <v>2870</v>
      </c>
      <c r="B41" s="64">
        <v>7.68</v>
      </c>
      <c r="C41" s="64">
        <v>7.74</v>
      </c>
      <c r="D41" s="64">
        <v>10.199999999999999</v>
      </c>
      <c r="E41" s="64">
        <v>3.52</v>
      </c>
      <c r="F41" s="64">
        <v>10.55</v>
      </c>
      <c r="G41" s="64">
        <v>16.47</v>
      </c>
      <c r="H41" s="64">
        <v>7.42</v>
      </c>
      <c r="I41" s="64">
        <v>0.8</v>
      </c>
      <c r="J41" s="64">
        <v>0.45</v>
      </c>
      <c r="K41" s="64">
        <v>116.86</v>
      </c>
      <c r="L41" s="64">
        <v>24.98</v>
      </c>
      <c r="M41" s="64">
        <v>97.96</v>
      </c>
      <c r="N41" s="64">
        <v>294.60000000000002</v>
      </c>
      <c r="O41" s="64">
        <v>0</v>
      </c>
      <c r="P41" s="64">
        <v>0.32</v>
      </c>
      <c r="Q41" s="64">
        <v>9.08</v>
      </c>
      <c r="R41" s="198"/>
      <c r="S41" s="198"/>
      <c r="T41" s="198"/>
      <c r="U41" s="198"/>
    </row>
    <row r="42" spans="1:21" s="12" customFormat="1" x14ac:dyDescent="0.25">
      <c r="A42" s="214" t="s">
        <v>2871</v>
      </c>
      <c r="B42" s="64">
        <v>7.54</v>
      </c>
      <c r="C42" s="64">
        <v>7.3</v>
      </c>
      <c r="D42" s="64">
        <v>9.86</v>
      </c>
      <c r="E42" s="64">
        <v>4.1500000000000004</v>
      </c>
      <c r="F42" s="64">
        <v>9.4700000000000006</v>
      </c>
      <c r="G42" s="64">
        <v>16.47</v>
      </c>
      <c r="H42" s="64">
        <v>7.42</v>
      </c>
      <c r="I42" s="64">
        <v>0.81</v>
      </c>
      <c r="J42" s="64">
        <v>0.52</v>
      </c>
      <c r="K42" s="64">
        <v>135.08000000000001</v>
      </c>
      <c r="L42" s="64">
        <v>26.59</v>
      </c>
      <c r="M42" s="64">
        <v>97.22</v>
      </c>
      <c r="N42" s="64">
        <v>557.70000000000005</v>
      </c>
      <c r="O42" s="64">
        <v>0</v>
      </c>
      <c r="P42" s="64">
        <v>0.31</v>
      </c>
      <c r="Q42" s="64">
        <v>9.07</v>
      </c>
      <c r="R42" s="198"/>
      <c r="S42" s="198"/>
      <c r="T42" s="198"/>
      <c r="U42" s="198"/>
    </row>
    <row r="43" spans="1:21" s="12" customFormat="1" x14ac:dyDescent="0.25">
      <c r="A43" s="214" t="s">
        <v>2872</v>
      </c>
      <c r="B43" s="64">
        <v>7.71</v>
      </c>
      <c r="C43" s="64">
        <v>6.92</v>
      </c>
      <c r="D43" s="64">
        <v>9.8000000000000007</v>
      </c>
      <c r="E43" s="64">
        <v>4.01</v>
      </c>
      <c r="F43" s="64">
        <v>8.82</v>
      </c>
      <c r="G43" s="64">
        <v>16.47</v>
      </c>
      <c r="H43" s="64">
        <v>7.42</v>
      </c>
      <c r="I43" s="64">
        <v>0.81</v>
      </c>
      <c r="J43" s="64">
        <v>0.52</v>
      </c>
      <c r="K43" s="64">
        <v>149.37</v>
      </c>
      <c r="L43" s="64">
        <v>26.41</v>
      </c>
      <c r="M43" s="64">
        <v>97.51</v>
      </c>
      <c r="N43" s="64">
        <v>325.3</v>
      </c>
      <c r="O43" s="64">
        <v>0</v>
      </c>
      <c r="P43" s="64">
        <v>0.3</v>
      </c>
      <c r="Q43" s="64">
        <v>9.08</v>
      </c>
      <c r="R43" s="198"/>
      <c r="S43" s="198"/>
      <c r="T43" s="198"/>
      <c r="U43" s="198"/>
    </row>
    <row r="44" spans="1:21" s="12" customFormat="1" x14ac:dyDescent="0.25">
      <c r="A44" s="214" t="s">
        <v>2873</v>
      </c>
      <c r="B44" s="64">
        <v>7.37</v>
      </c>
      <c r="C44" s="64">
        <v>7.06</v>
      </c>
      <c r="D44" s="64">
        <v>9.6</v>
      </c>
      <c r="E44" s="64">
        <v>4.33</v>
      </c>
      <c r="F44" s="64">
        <v>11.15</v>
      </c>
      <c r="G44" s="64">
        <v>16.47</v>
      </c>
      <c r="H44" s="64">
        <v>7.42</v>
      </c>
      <c r="I44" s="64">
        <v>0.82</v>
      </c>
      <c r="J44" s="64">
        <v>0.45</v>
      </c>
      <c r="K44" s="64">
        <v>106.04</v>
      </c>
      <c r="L44" s="64">
        <v>26.69</v>
      </c>
      <c r="M44" s="64">
        <v>97.32</v>
      </c>
      <c r="N44" s="64">
        <v>480.5</v>
      </c>
      <c r="O44" s="64">
        <v>0</v>
      </c>
      <c r="P44" s="64">
        <v>0.31</v>
      </c>
      <c r="Q44" s="64">
        <v>9.08</v>
      </c>
      <c r="R44" s="198"/>
      <c r="S44" s="198"/>
      <c r="T44" s="198"/>
      <c r="U44" s="198"/>
    </row>
    <row r="45" spans="1:21" s="12" customFormat="1" x14ac:dyDescent="0.25">
      <c r="A45" s="214" t="s">
        <v>2874</v>
      </c>
      <c r="B45" s="64">
        <v>7.34</v>
      </c>
      <c r="C45" s="64">
        <v>7.02</v>
      </c>
      <c r="D45" s="64">
        <v>9.56</v>
      </c>
      <c r="E45" s="64">
        <v>3.96</v>
      </c>
      <c r="F45" s="64">
        <v>10.37</v>
      </c>
      <c r="G45" s="64">
        <v>12.53</v>
      </c>
      <c r="H45" s="64">
        <v>6.35</v>
      </c>
      <c r="I45" s="64">
        <v>0.82</v>
      </c>
      <c r="J45" s="64">
        <v>0.79</v>
      </c>
      <c r="K45" s="64">
        <v>120.95</v>
      </c>
      <c r="L45" s="64">
        <v>26.86</v>
      </c>
      <c r="M45" s="64">
        <v>97.55</v>
      </c>
      <c r="N45" s="64">
        <v>645.9</v>
      </c>
      <c r="O45" s="64">
        <v>0</v>
      </c>
      <c r="P45" s="64">
        <v>0.3</v>
      </c>
      <c r="Q45" s="64">
        <v>9.08</v>
      </c>
      <c r="R45" s="198"/>
      <c r="S45" s="198"/>
      <c r="T45" s="198"/>
      <c r="U45" s="198"/>
    </row>
    <row r="46" spans="1:21" s="12" customFormat="1" x14ac:dyDescent="0.25">
      <c r="A46" s="214" t="s">
        <v>2875</v>
      </c>
      <c r="B46" s="64">
        <v>7.05</v>
      </c>
      <c r="C46" s="64">
        <v>6.75</v>
      </c>
      <c r="D46" s="64">
        <v>9.18</v>
      </c>
      <c r="E46" s="64">
        <v>4.18</v>
      </c>
      <c r="F46" s="64">
        <v>9.4499999999999993</v>
      </c>
      <c r="G46" s="64">
        <v>12.53</v>
      </c>
      <c r="H46" s="64">
        <v>6.35</v>
      </c>
      <c r="I46" s="64">
        <v>0.82</v>
      </c>
      <c r="J46" s="64">
        <v>0.59</v>
      </c>
      <c r="K46" s="64">
        <v>126.14</v>
      </c>
      <c r="L46" s="64">
        <v>26.93</v>
      </c>
      <c r="M46" s="64">
        <v>97.36</v>
      </c>
      <c r="N46" s="64">
        <v>461.5</v>
      </c>
      <c r="O46" s="64">
        <v>0</v>
      </c>
      <c r="P46" s="64">
        <v>0.31</v>
      </c>
      <c r="Q46" s="64">
        <v>9.08</v>
      </c>
      <c r="R46" s="198"/>
      <c r="S46" s="198"/>
      <c r="T46" s="198"/>
      <c r="U46" s="198"/>
    </row>
    <row r="47" spans="1:21" s="12" customFormat="1" x14ac:dyDescent="0.25">
      <c r="A47" s="214" t="s">
        <v>2876</v>
      </c>
      <c r="B47" s="64">
        <v>7.56</v>
      </c>
      <c r="C47" s="64">
        <v>6.58</v>
      </c>
      <c r="D47" s="64">
        <v>9.5</v>
      </c>
      <c r="E47" s="64">
        <v>4.22</v>
      </c>
      <c r="F47" s="64">
        <v>6.83</v>
      </c>
      <c r="G47" s="64">
        <v>12.53</v>
      </c>
      <c r="H47" s="64">
        <v>6.35</v>
      </c>
      <c r="I47" s="64">
        <v>0.83</v>
      </c>
      <c r="J47" s="64">
        <v>0.73</v>
      </c>
      <c r="K47" s="64">
        <v>146.38999999999999</v>
      </c>
      <c r="L47" s="64">
        <v>27.11</v>
      </c>
      <c r="M47" s="64">
        <v>95.52</v>
      </c>
      <c r="N47" s="64">
        <v>640.79999999999995</v>
      </c>
      <c r="O47" s="64">
        <v>0</v>
      </c>
      <c r="P47" s="64">
        <v>0.3</v>
      </c>
      <c r="Q47" s="64">
        <v>9.06</v>
      </c>
      <c r="R47" s="198"/>
      <c r="S47" s="198"/>
      <c r="T47" s="198"/>
      <c r="U47" s="198"/>
    </row>
    <row r="48" spans="1:21" s="12" customFormat="1" x14ac:dyDescent="0.25">
      <c r="A48" s="214" t="s">
        <v>2877</v>
      </c>
      <c r="B48" s="64">
        <v>7.87</v>
      </c>
      <c r="C48" s="64">
        <v>6.4</v>
      </c>
      <c r="D48" s="64">
        <v>9.65</v>
      </c>
      <c r="E48" s="64">
        <v>4.28</v>
      </c>
      <c r="F48" s="64">
        <v>6.55</v>
      </c>
      <c r="G48" s="64">
        <v>12.53</v>
      </c>
      <c r="H48" s="64">
        <v>6.35</v>
      </c>
      <c r="I48" s="64">
        <v>0.82</v>
      </c>
      <c r="J48" s="64">
        <v>0.92</v>
      </c>
      <c r="K48" s="64">
        <v>150.88</v>
      </c>
      <c r="L48" s="64">
        <v>27.32</v>
      </c>
      <c r="M48" s="64">
        <v>93.07</v>
      </c>
      <c r="N48" s="64">
        <v>463</v>
      </c>
      <c r="O48" s="64">
        <v>0</v>
      </c>
      <c r="P48" s="64">
        <v>0.28999999999999998</v>
      </c>
      <c r="Q48" s="64">
        <v>9.0399999999999991</v>
      </c>
      <c r="R48" s="198"/>
      <c r="S48" s="198"/>
      <c r="T48" s="198"/>
      <c r="U48" s="198"/>
    </row>
    <row r="49" spans="1:21" s="12" customFormat="1" x14ac:dyDescent="0.25">
      <c r="A49" s="214" t="s">
        <v>2878</v>
      </c>
      <c r="B49" s="64">
        <v>7.36</v>
      </c>
      <c r="C49" s="64">
        <v>6.85</v>
      </c>
      <c r="D49" s="64">
        <v>9.48</v>
      </c>
      <c r="E49" s="64">
        <v>4.24</v>
      </c>
      <c r="F49" s="64">
        <v>8.4600000000000009</v>
      </c>
      <c r="G49" s="64">
        <v>7.06</v>
      </c>
      <c r="H49" s="64">
        <v>5.6</v>
      </c>
      <c r="I49" s="64">
        <v>0.81</v>
      </c>
      <c r="J49" s="64">
        <v>0.91</v>
      </c>
      <c r="K49" s="64">
        <v>144.58000000000001</v>
      </c>
      <c r="L49" s="64">
        <v>27.22</v>
      </c>
      <c r="M49" s="64">
        <v>93.45</v>
      </c>
      <c r="N49" s="64">
        <v>706.8</v>
      </c>
      <c r="O49" s="64">
        <v>0</v>
      </c>
      <c r="P49" s="64">
        <v>0.3</v>
      </c>
      <c r="Q49" s="64">
        <v>9.0399999999999991</v>
      </c>
      <c r="R49" s="198"/>
      <c r="S49" s="198"/>
      <c r="T49" s="198"/>
      <c r="U49" s="198"/>
    </row>
    <row r="50" spans="1:21" s="12" customFormat="1" x14ac:dyDescent="0.25">
      <c r="A50" s="214" t="s">
        <v>2879</v>
      </c>
      <c r="B50" s="64">
        <v>7.41</v>
      </c>
      <c r="C50" s="64">
        <v>6.51</v>
      </c>
      <c r="D50" s="64">
        <v>9.34</v>
      </c>
      <c r="E50" s="64">
        <v>4.07</v>
      </c>
      <c r="F50" s="64">
        <v>8.9499999999999993</v>
      </c>
      <c r="G50" s="64">
        <v>7.39</v>
      </c>
      <c r="H50" s="64">
        <v>5.6</v>
      </c>
      <c r="I50" s="64">
        <v>0.8</v>
      </c>
      <c r="J50" s="64">
        <v>0.64</v>
      </c>
      <c r="K50" s="64">
        <v>156.84</v>
      </c>
      <c r="L50" s="64">
        <v>28.17</v>
      </c>
      <c r="M50" s="64">
        <v>87.72</v>
      </c>
      <c r="N50" s="64">
        <v>707.8</v>
      </c>
      <c r="O50" s="64">
        <v>0</v>
      </c>
      <c r="P50" s="64">
        <v>0.3</v>
      </c>
      <c r="Q50" s="64">
        <v>9.0299999999999994</v>
      </c>
      <c r="R50" s="198"/>
      <c r="S50" s="198"/>
      <c r="T50" s="198"/>
      <c r="U50" s="198"/>
    </row>
    <row r="51" spans="1:21" s="12" customFormat="1" x14ac:dyDescent="0.25">
      <c r="A51" s="214" t="s">
        <v>2880</v>
      </c>
      <c r="B51" s="64">
        <v>7.26</v>
      </c>
      <c r="C51" s="64">
        <v>7.16</v>
      </c>
      <c r="D51" s="64">
        <v>9.56</v>
      </c>
      <c r="E51" s="64">
        <v>3.88</v>
      </c>
      <c r="F51" s="64">
        <v>12.52</v>
      </c>
      <c r="G51" s="64">
        <v>7.39</v>
      </c>
      <c r="H51" s="64">
        <v>5.6</v>
      </c>
      <c r="I51" s="64">
        <v>0.82</v>
      </c>
      <c r="J51" s="64">
        <v>0.56000000000000005</v>
      </c>
      <c r="K51" s="64">
        <v>155.35</v>
      </c>
      <c r="L51" s="64">
        <v>28.13</v>
      </c>
      <c r="M51" s="64">
        <v>89.78</v>
      </c>
      <c r="N51" s="64">
        <v>607</v>
      </c>
      <c r="O51" s="64">
        <v>0</v>
      </c>
      <c r="P51" s="64">
        <v>0.3</v>
      </c>
      <c r="Q51" s="64">
        <v>9.0299999999999994</v>
      </c>
      <c r="R51" s="198"/>
      <c r="S51" s="198"/>
      <c r="T51" s="198"/>
      <c r="U51" s="198"/>
    </row>
    <row r="52" spans="1:21" s="12" customFormat="1" x14ac:dyDescent="0.25">
      <c r="A52" s="214" t="s">
        <v>2881</v>
      </c>
      <c r="B52" s="64">
        <v>7.66</v>
      </c>
      <c r="C52" s="64">
        <v>7.42</v>
      </c>
      <c r="D52" s="64">
        <v>10.02</v>
      </c>
      <c r="E52" s="64">
        <v>3.83</v>
      </c>
      <c r="F52" s="64">
        <v>9.15</v>
      </c>
      <c r="G52" s="64">
        <v>7.39</v>
      </c>
      <c r="H52" s="64">
        <v>5.6</v>
      </c>
      <c r="I52" s="64">
        <v>0.85</v>
      </c>
      <c r="J52" s="64">
        <v>0.76</v>
      </c>
      <c r="K52" s="64">
        <v>161.18</v>
      </c>
      <c r="L52" s="64">
        <v>28.37</v>
      </c>
      <c r="M52" s="64">
        <v>84.81</v>
      </c>
      <c r="N52" s="64">
        <v>693.1</v>
      </c>
      <c r="O52" s="64">
        <v>0</v>
      </c>
      <c r="P52" s="64">
        <v>0.3</v>
      </c>
      <c r="Q52" s="64">
        <v>9.02</v>
      </c>
      <c r="R52" s="198"/>
      <c r="S52" s="198"/>
      <c r="T52" s="198"/>
      <c r="U52" s="198"/>
    </row>
    <row r="53" spans="1:21" s="12" customFormat="1" x14ac:dyDescent="0.25">
      <c r="A53" s="214" t="s">
        <v>2882</v>
      </c>
      <c r="B53" s="64">
        <v>8.43</v>
      </c>
      <c r="C53" s="64">
        <v>8.92</v>
      </c>
      <c r="D53" s="64">
        <v>11.42</v>
      </c>
      <c r="E53" s="64">
        <v>4.29</v>
      </c>
      <c r="F53" s="64">
        <v>9.4700000000000006</v>
      </c>
      <c r="G53" s="64">
        <v>15.32</v>
      </c>
      <c r="H53" s="64">
        <v>9.08</v>
      </c>
      <c r="I53" s="64">
        <v>0.88</v>
      </c>
      <c r="J53" s="64">
        <v>0.92</v>
      </c>
      <c r="K53" s="64">
        <v>142.93</v>
      </c>
      <c r="L53" s="64">
        <v>28.37</v>
      </c>
      <c r="M53" s="64">
        <v>86.7</v>
      </c>
      <c r="N53" s="64">
        <v>685.8</v>
      </c>
      <c r="O53" s="64">
        <v>0</v>
      </c>
      <c r="P53" s="64">
        <v>0.3</v>
      </c>
      <c r="Q53" s="64">
        <v>9.02</v>
      </c>
      <c r="R53" s="198"/>
      <c r="S53" s="198"/>
      <c r="T53" s="198"/>
      <c r="U53" s="198"/>
    </row>
    <row r="54" spans="1:21" s="12" customFormat="1" x14ac:dyDescent="0.25">
      <c r="A54" s="214" t="s">
        <v>2883</v>
      </c>
      <c r="B54" s="64">
        <v>7.4</v>
      </c>
      <c r="C54" s="64">
        <v>8.4700000000000006</v>
      </c>
      <c r="D54" s="64">
        <v>10.36</v>
      </c>
      <c r="E54" s="64">
        <v>3.89</v>
      </c>
      <c r="F54" s="64">
        <v>11.22</v>
      </c>
      <c r="G54" s="64">
        <v>15.32</v>
      </c>
      <c r="H54" s="64">
        <v>9.08</v>
      </c>
      <c r="I54" s="64">
        <v>0.91</v>
      </c>
      <c r="J54" s="64">
        <v>0.54</v>
      </c>
      <c r="K54" s="64">
        <v>140.41</v>
      </c>
      <c r="L54" s="64">
        <v>29.05</v>
      </c>
      <c r="M54" s="64">
        <v>84.35</v>
      </c>
      <c r="N54" s="64">
        <v>964.6</v>
      </c>
      <c r="O54" s="64">
        <v>0</v>
      </c>
      <c r="P54" s="64">
        <v>0.3</v>
      </c>
      <c r="Q54" s="64">
        <v>9.02</v>
      </c>
      <c r="R54" s="198"/>
      <c r="S54" s="198"/>
      <c r="T54" s="198"/>
      <c r="U54" s="198"/>
    </row>
    <row r="55" spans="1:21" s="12" customFormat="1" x14ac:dyDescent="0.25">
      <c r="A55" s="214" t="s">
        <v>2884</v>
      </c>
      <c r="B55" s="64">
        <v>7.16</v>
      </c>
      <c r="C55" s="64">
        <v>7.99</v>
      </c>
      <c r="D55" s="64">
        <v>9.91</v>
      </c>
      <c r="E55" s="64">
        <v>3.94</v>
      </c>
      <c r="F55" s="64">
        <v>9.43</v>
      </c>
      <c r="G55" s="64">
        <v>15.32</v>
      </c>
      <c r="H55" s="64">
        <v>9.08</v>
      </c>
      <c r="I55" s="64">
        <v>0.92</v>
      </c>
      <c r="J55" s="64">
        <v>0.57999999999999996</v>
      </c>
      <c r="K55" s="64">
        <v>133.85</v>
      </c>
      <c r="L55" s="64">
        <v>29.58</v>
      </c>
      <c r="M55" s="64">
        <v>80.41</v>
      </c>
      <c r="N55" s="64">
        <v>547.6</v>
      </c>
      <c r="O55" s="64">
        <v>0</v>
      </c>
      <c r="P55" s="64">
        <v>0.3</v>
      </c>
      <c r="Q55" s="64">
        <v>9.02</v>
      </c>
      <c r="R55" s="198"/>
      <c r="S55" s="198"/>
      <c r="T55" s="198"/>
      <c r="U55" s="198"/>
    </row>
    <row r="56" spans="1:21" s="12" customFormat="1" x14ac:dyDescent="0.25">
      <c r="A56" s="214" t="s">
        <v>2885</v>
      </c>
      <c r="B56" s="64">
        <v>7.07</v>
      </c>
      <c r="C56" s="64">
        <v>7.62</v>
      </c>
      <c r="D56" s="64">
        <v>9.65</v>
      </c>
      <c r="E56" s="64">
        <v>4.03</v>
      </c>
      <c r="F56" s="64">
        <v>8.84</v>
      </c>
      <c r="G56" s="64">
        <v>15.32</v>
      </c>
      <c r="H56" s="64">
        <v>9.08</v>
      </c>
      <c r="I56" s="64">
        <v>0.93</v>
      </c>
      <c r="J56" s="64">
        <v>0.63</v>
      </c>
      <c r="K56" s="64">
        <v>143.65</v>
      </c>
      <c r="L56" s="64">
        <v>28.96</v>
      </c>
      <c r="M56" s="64">
        <v>80.599999999999994</v>
      </c>
      <c r="N56" s="64">
        <v>505</v>
      </c>
      <c r="O56" s="64">
        <v>0</v>
      </c>
      <c r="P56" s="64">
        <v>0.3</v>
      </c>
      <c r="Q56" s="64">
        <v>9.01</v>
      </c>
      <c r="R56" s="198"/>
      <c r="S56" s="198"/>
      <c r="T56" s="198"/>
      <c r="U56" s="198"/>
    </row>
    <row r="57" spans="1:21" s="12" customFormat="1" x14ac:dyDescent="0.25">
      <c r="A57" s="214" t="s">
        <v>2886</v>
      </c>
      <c r="B57" s="64">
        <v>7.16</v>
      </c>
      <c r="C57" s="64">
        <v>7.8</v>
      </c>
      <c r="D57" s="64">
        <v>9.81</v>
      </c>
      <c r="E57" s="64">
        <v>4.18</v>
      </c>
      <c r="F57" s="64">
        <v>10.3</v>
      </c>
      <c r="G57" s="64">
        <v>15.32</v>
      </c>
      <c r="H57" s="64">
        <v>8.66</v>
      </c>
      <c r="I57" s="64">
        <v>0.94</v>
      </c>
      <c r="J57" s="64">
        <v>0.54</v>
      </c>
      <c r="K57" s="64">
        <v>146.31</v>
      </c>
      <c r="L57" s="64">
        <v>28.74</v>
      </c>
      <c r="M57" s="64">
        <v>80.959999999999994</v>
      </c>
      <c r="N57" s="64">
        <v>512.9</v>
      </c>
      <c r="O57" s="64">
        <v>0</v>
      </c>
      <c r="P57" s="64">
        <v>0.31</v>
      </c>
      <c r="Q57" s="64">
        <v>9</v>
      </c>
      <c r="R57" s="198"/>
      <c r="S57" s="198"/>
      <c r="T57" s="198"/>
      <c r="U57" s="198"/>
    </row>
    <row r="58" spans="1:21" s="12" customFormat="1" x14ac:dyDescent="0.25">
      <c r="A58" s="214" t="s">
        <v>2887</v>
      </c>
      <c r="B58" s="64">
        <v>7.12</v>
      </c>
      <c r="C58" s="64">
        <v>8.49</v>
      </c>
      <c r="D58" s="64">
        <v>10.14</v>
      </c>
      <c r="E58" s="64">
        <v>4.0199999999999996</v>
      </c>
      <c r="F58" s="64">
        <v>18.41</v>
      </c>
      <c r="G58" s="64">
        <v>15.32</v>
      </c>
      <c r="H58" s="64">
        <v>8.66</v>
      </c>
      <c r="I58" s="64">
        <v>0.95</v>
      </c>
      <c r="J58" s="64">
        <v>0.61</v>
      </c>
      <c r="K58" s="64">
        <v>136.57</v>
      </c>
      <c r="L58" s="64">
        <v>28.91</v>
      </c>
      <c r="M58" s="64">
        <v>82.32</v>
      </c>
      <c r="N58" s="64">
        <v>460.4</v>
      </c>
      <c r="O58" s="64">
        <v>0</v>
      </c>
      <c r="P58" s="64">
        <v>0.31</v>
      </c>
      <c r="Q58" s="64">
        <v>9.01</v>
      </c>
      <c r="R58" s="198"/>
      <c r="S58" s="198"/>
      <c r="T58" s="198"/>
      <c r="U58" s="198"/>
    </row>
    <row r="59" spans="1:21" s="12" customFormat="1" x14ac:dyDescent="0.25">
      <c r="A59" s="214" t="s">
        <v>2888</v>
      </c>
      <c r="B59" s="64">
        <v>7.62</v>
      </c>
      <c r="C59" s="64">
        <v>9.9499999999999993</v>
      </c>
      <c r="D59" s="64">
        <v>11.31</v>
      </c>
      <c r="E59" s="64">
        <v>3.99</v>
      </c>
      <c r="F59" s="64">
        <v>11.68</v>
      </c>
      <c r="G59" s="64">
        <v>15.32</v>
      </c>
      <c r="H59" s="64">
        <v>8.66</v>
      </c>
      <c r="I59" s="64">
        <v>0.95</v>
      </c>
      <c r="J59" s="64">
        <v>0.73</v>
      </c>
      <c r="K59" s="64">
        <v>133.05000000000001</v>
      </c>
      <c r="L59" s="64">
        <v>28.85</v>
      </c>
      <c r="M59" s="64">
        <v>82.76</v>
      </c>
      <c r="N59" s="64">
        <v>445.2</v>
      </c>
      <c r="O59" s="64">
        <v>0</v>
      </c>
      <c r="P59" s="64">
        <v>0.31</v>
      </c>
      <c r="Q59" s="64">
        <v>9.02</v>
      </c>
      <c r="R59" s="198"/>
      <c r="S59" s="198"/>
      <c r="T59" s="198"/>
      <c r="U59" s="198"/>
    </row>
    <row r="60" spans="1:21" s="12" customFormat="1" x14ac:dyDescent="0.25">
      <c r="A60" s="214" t="s">
        <v>2889</v>
      </c>
      <c r="B60" s="64">
        <v>6.94</v>
      </c>
      <c r="C60" s="64">
        <v>9.32</v>
      </c>
      <c r="D60" s="64">
        <v>10.43</v>
      </c>
      <c r="E60" s="64">
        <v>3.7</v>
      </c>
      <c r="F60" s="64">
        <v>13.24</v>
      </c>
      <c r="G60" s="64">
        <v>15.32</v>
      </c>
      <c r="H60" s="64">
        <v>8.66</v>
      </c>
      <c r="I60" s="64">
        <v>0.93</v>
      </c>
      <c r="J60" s="64">
        <v>0.91</v>
      </c>
      <c r="K60" s="64">
        <v>118.27</v>
      </c>
      <c r="L60" s="64">
        <v>28.5</v>
      </c>
      <c r="M60" s="64">
        <v>83.3</v>
      </c>
      <c r="N60" s="64">
        <v>328.1</v>
      </c>
      <c r="O60" s="64">
        <v>0</v>
      </c>
      <c r="P60" s="64">
        <v>0.28999999999999998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4" t="s">
        <v>2890</v>
      </c>
      <c r="B61" s="64">
        <v>6.42</v>
      </c>
      <c r="C61" s="64">
        <v>8.1999999999999993</v>
      </c>
      <c r="D61" s="64">
        <v>9.43</v>
      </c>
      <c r="E61" s="64">
        <v>4.07</v>
      </c>
      <c r="F61" s="64">
        <v>12.84</v>
      </c>
      <c r="G61" s="64">
        <v>17.11</v>
      </c>
      <c r="H61" s="64">
        <v>8.31</v>
      </c>
      <c r="I61" s="64">
        <v>0.92</v>
      </c>
      <c r="J61" s="64">
        <v>0.71</v>
      </c>
      <c r="K61" s="64">
        <v>118.32</v>
      </c>
      <c r="L61" s="64">
        <v>28.88</v>
      </c>
      <c r="M61" s="64">
        <v>81.97</v>
      </c>
      <c r="N61" s="64">
        <v>398.2</v>
      </c>
      <c r="O61" s="64">
        <v>0</v>
      </c>
      <c r="P61" s="64">
        <v>0.19</v>
      </c>
      <c r="Q61" s="64">
        <v>9</v>
      </c>
      <c r="R61" s="198"/>
      <c r="S61" s="198"/>
      <c r="T61" s="198"/>
      <c r="U61" s="198"/>
    </row>
    <row r="62" spans="1:21" s="12" customFormat="1" x14ac:dyDescent="0.25">
      <c r="A62" s="214" t="s">
        <v>2891</v>
      </c>
      <c r="B62" s="64">
        <v>6.1</v>
      </c>
      <c r="C62" s="64">
        <v>7.52</v>
      </c>
      <c r="D62" s="64">
        <v>8.82</v>
      </c>
      <c r="E62" s="64">
        <v>4.03</v>
      </c>
      <c r="F62" s="64">
        <v>14.18</v>
      </c>
      <c r="G62" s="64">
        <v>17.11</v>
      </c>
      <c r="H62" s="64">
        <v>8.31</v>
      </c>
      <c r="I62" s="64">
        <v>0.91</v>
      </c>
      <c r="J62" s="64">
        <v>0.66</v>
      </c>
      <c r="K62" s="64">
        <v>117.29</v>
      </c>
      <c r="L62" s="64">
        <v>28.74</v>
      </c>
      <c r="M62" s="64">
        <v>80.150000000000006</v>
      </c>
      <c r="N62" s="64">
        <v>357.1</v>
      </c>
      <c r="O62" s="64">
        <v>0</v>
      </c>
      <c r="P62" s="64">
        <v>0.2</v>
      </c>
      <c r="Q62" s="64">
        <v>9.01</v>
      </c>
      <c r="R62" s="198"/>
      <c r="S62" s="198"/>
      <c r="T62" s="198"/>
      <c r="U62" s="198"/>
    </row>
    <row r="63" spans="1:21" s="12" customFormat="1" x14ac:dyDescent="0.25">
      <c r="A63" s="214" t="s">
        <v>2892</v>
      </c>
      <c r="B63" s="64">
        <v>6.44</v>
      </c>
      <c r="C63" s="64">
        <v>8.4</v>
      </c>
      <c r="D63" s="64">
        <v>9.5500000000000007</v>
      </c>
      <c r="E63" s="64">
        <v>4.1900000000000004</v>
      </c>
      <c r="F63" s="64">
        <v>13.49</v>
      </c>
      <c r="G63" s="64">
        <v>17.11</v>
      </c>
      <c r="H63" s="64">
        <v>8.31</v>
      </c>
      <c r="I63" s="64">
        <v>0.9</v>
      </c>
      <c r="J63" s="64">
        <v>0.87</v>
      </c>
      <c r="K63" s="64">
        <v>120.81</v>
      </c>
      <c r="L63" s="64">
        <v>28.75</v>
      </c>
      <c r="M63" s="64">
        <v>81.93</v>
      </c>
      <c r="N63" s="64">
        <v>317.8</v>
      </c>
      <c r="O63" s="64">
        <v>0</v>
      </c>
      <c r="P63" s="64">
        <v>0.22</v>
      </c>
      <c r="Q63" s="64">
        <v>9</v>
      </c>
      <c r="R63" s="198"/>
      <c r="S63" s="198"/>
      <c r="T63" s="198"/>
      <c r="U63" s="198"/>
    </row>
    <row r="64" spans="1:21" s="12" customFormat="1" x14ac:dyDescent="0.25">
      <c r="A64" s="214" t="s">
        <v>2893</v>
      </c>
      <c r="B64" s="64">
        <v>6.39</v>
      </c>
      <c r="C64" s="64">
        <v>7.98</v>
      </c>
      <c r="D64" s="64">
        <v>9.3000000000000007</v>
      </c>
      <c r="E64" s="64">
        <v>4.1100000000000003</v>
      </c>
      <c r="F64" s="64">
        <v>12.73</v>
      </c>
      <c r="G64" s="64">
        <v>17.11</v>
      </c>
      <c r="H64" s="64">
        <v>8.31</v>
      </c>
      <c r="I64" s="64">
        <v>0.9</v>
      </c>
      <c r="J64" s="64">
        <v>0.92</v>
      </c>
      <c r="K64" s="64">
        <v>127.29</v>
      </c>
      <c r="L64" s="64">
        <v>28.43</v>
      </c>
      <c r="M64" s="64">
        <v>84.56</v>
      </c>
      <c r="N64" s="64">
        <v>291</v>
      </c>
      <c r="O64" s="64">
        <v>0</v>
      </c>
      <c r="P64" s="64">
        <v>0.21</v>
      </c>
      <c r="Q64" s="64">
        <v>9</v>
      </c>
      <c r="R64" s="198"/>
      <c r="S64" s="198"/>
      <c r="T64" s="198"/>
      <c r="U64" s="198"/>
    </row>
    <row r="65" spans="1:21" s="12" customFormat="1" x14ac:dyDescent="0.25">
      <c r="A65" s="214" t="s">
        <v>2894</v>
      </c>
      <c r="B65" s="64">
        <v>6.56</v>
      </c>
      <c r="C65" s="64">
        <v>8.67</v>
      </c>
      <c r="D65" s="64">
        <v>9.7899999999999991</v>
      </c>
      <c r="E65" s="64">
        <v>4.2300000000000004</v>
      </c>
      <c r="F65" s="64">
        <v>14.71</v>
      </c>
      <c r="G65" s="64">
        <v>11.14</v>
      </c>
      <c r="H65" s="64">
        <v>7.4</v>
      </c>
      <c r="I65" s="64">
        <v>0.91</v>
      </c>
      <c r="J65" s="64">
        <v>0.86</v>
      </c>
      <c r="K65" s="64">
        <v>121.86</v>
      </c>
      <c r="L65" s="64">
        <v>28.43</v>
      </c>
      <c r="M65" s="64">
        <v>82.43</v>
      </c>
      <c r="N65" s="64">
        <v>253.9</v>
      </c>
      <c r="O65" s="64">
        <v>0</v>
      </c>
      <c r="P65" s="64">
        <v>0.2</v>
      </c>
      <c r="Q65" s="64">
        <v>9</v>
      </c>
      <c r="R65" s="198"/>
      <c r="S65" s="198"/>
      <c r="T65" s="198"/>
      <c r="U65" s="198"/>
    </row>
    <row r="66" spans="1:21" s="12" customFormat="1" x14ac:dyDescent="0.25">
      <c r="A66" s="214" t="s">
        <v>2895</v>
      </c>
      <c r="B66" s="64">
        <v>6.13</v>
      </c>
      <c r="C66" s="64">
        <v>8.43</v>
      </c>
      <c r="D66" s="64">
        <v>9.32</v>
      </c>
      <c r="E66" s="64">
        <v>4.29</v>
      </c>
      <c r="F66" s="64">
        <v>14.02</v>
      </c>
      <c r="G66" s="64">
        <v>11.41</v>
      </c>
      <c r="H66" s="64">
        <v>7.4</v>
      </c>
      <c r="I66" s="64">
        <v>0.9</v>
      </c>
      <c r="J66" s="64">
        <v>1.07</v>
      </c>
      <c r="K66" s="64">
        <v>127.37</v>
      </c>
      <c r="L66" s="64">
        <v>28.25</v>
      </c>
      <c r="M66" s="64">
        <v>82.82</v>
      </c>
      <c r="N66" s="64">
        <v>249.6</v>
      </c>
      <c r="O66" s="64">
        <v>0</v>
      </c>
      <c r="P66" s="64">
        <v>0.19</v>
      </c>
      <c r="Q66" s="64">
        <v>9.02</v>
      </c>
      <c r="R66" s="198"/>
      <c r="S66" s="198"/>
      <c r="T66" s="198"/>
      <c r="U66" s="198"/>
    </row>
    <row r="67" spans="1:21" s="12" customFormat="1" x14ac:dyDescent="0.25">
      <c r="A67" s="214" t="s">
        <v>2896</v>
      </c>
      <c r="B67" s="64">
        <v>6.04</v>
      </c>
      <c r="C67" s="64">
        <v>7.67</v>
      </c>
      <c r="D67" s="64">
        <v>8.85</v>
      </c>
      <c r="E67" s="64">
        <v>4.45</v>
      </c>
      <c r="F67" s="64">
        <v>15.75</v>
      </c>
      <c r="G67" s="64">
        <v>11.41</v>
      </c>
      <c r="H67" s="64">
        <v>7.4</v>
      </c>
      <c r="I67" s="64">
        <v>0.88</v>
      </c>
      <c r="J67" s="64">
        <v>1.27</v>
      </c>
      <c r="K67" s="64">
        <v>126.51</v>
      </c>
      <c r="L67" s="64">
        <v>28.17</v>
      </c>
      <c r="M67" s="64">
        <v>84.65</v>
      </c>
      <c r="N67" s="64">
        <v>217.5</v>
      </c>
      <c r="O67" s="64">
        <v>0</v>
      </c>
      <c r="P67" s="64">
        <v>0.21</v>
      </c>
      <c r="Q67" s="64">
        <v>9.0299999999999994</v>
      </c>
      <c r="R67" s="198"/>
      <c r="S67" s="198"/>
      <c r="T67" s="198"/>
      <c r="U67" s="198"/>
    </row>
    <row r="68" spans="1:21" s="12" customFormat="1" x14ac:dyDescent="0.25">
      <c r="A68" s="214" t="s">
        <v>2897</v>
      </c>
      <c r="B68" s="64">
        <v>6.16</v>
      </c>
      <c r="C68" s="64">
        <v>7.63</v>
      </c>
      <c r="D68" s="64">
        <v>8.92</v>
      </c>
      <c r="E68" s="64">
        <v>4.74</v>
      </c>
      <c r="F68" s="64">
        <v>14.08</v>
      </c>
      <c r="G68" s="64">
        <v>11.41</v>
      </c>
      <c r="H68" s="64">
        <v>7.4</v>
      </c>
      <c r="I68" s="64">
        <v>0.85</v>
      </c>
      <c r="J68" s="64">
        <v>1.1100000000000001</v>
      </c>
      <c r="K68" s="64">
        <v>122.89</v>
      </c>
      <c r="L68" s="64">
        <v>28.45</v>
      </c>
      <c r="M68" s="64">
        <v>81.7</v>
      </c>
      <c r="N68" s="64">
        <v>213.7</v>
      </c>
      <c r="O68" s="64">
        <v>0</v>
      </c>
      <c r="P68" s="64">
        <v>0.19</v>
      </c>
      <c r="Q68" s="64">
        <v>9.0399999999999991</v>
      </c>
      <c r="R68" s="198"/>
      <c r="S68" s="198"/>
      <c r="T68" s="198"/>
      <c r="U68" s="198"/>
    </row>
    <row r="69" spans="1:21" s="12" customFormat="1" x14ac:dyDescent="0.25">
      <c r="A69" s="214" t="s">
        <v>2898</v>
      </c>
      <c r="B69" s="64">
        <v>6.71</v>
      </c>
      <c r="C69" s="64">
        <v>8.49</v>
      </c>
      <c r="D69" s="64">
        <v>9.81</v>
      </c>
      <c r="E69" s="64">
        <v>4.41</v>
      </c>
      <c r="F69" s="64">
        <v>11.97</v>
      </c>
      <c r="G69" s="64">
        <v>18.66</v>
      </c>
      <c r="H69" s="64">
        <v>10.93</v>
      </c>
      <c r="I69" s="64">
        <v>0.84</v>
      </c>
      <c r="J69" s="64">
        <v>1.66</v>
      </c>
      <c r="K69" s="64">
        <v>125.23</v>
      </c>
      <c r="L69" s="64">
        <v>27.93</v>
      </c>
      <c r="M69" s="64">
        <v>86.15</v>
      </c>
      <c r="N69" s="64">
        <v>208.4</v>
      </c>
      <c r="O69" s="64">
        <v>0</v>
      </c>
      <c r="P69" s="64">
        <v>0.21</v>
      </c>
      <c r="Q69" s="64">
        <v>9.0399999999999991</v>
      </c>
      <c r="R69" s="198"/>
      <c r="S69" s="198"/>
      <c r="T69" s="198"/>
      <c r="U69" s="198"/>
    </row>
    <row r="70" spans="1:21" s="12" customFormat="1" x14ac:dyDescent="0.25">
      <c r="A70" s="214" t="s">
        <v>2899</v>
      </c>
      <c r="B70" s="64">
        <v>7.41</v>
      </c>
      <c r="C70" s="64">
        <v>10.76</v>
      </c>
      <c r="D70" s="64">
        <v>11.56</v>
      </c>
      <c r="E70" s="64">
        <v>4.3</v>
      </c>
      <c r="F70" s="64">
        <v>12.07</v>
      </c>
      <c r="G70" s="64">
        <v>18.66</v>
      </c>
      <c r="H70" s="64">
        <v>10.93</v>
      </c>
      <c r="I70" s="64">
        <v>0.83</v>
      </c>
      <c r="J70" s="64">
        <v>0.83</v>
      </c>
      <c r="K70" s="64">
        <v>125.62</v>
      </c>
      <c r="L70" s="64">
        <v>27.7</v>
      </c>
      <c r="M70" s="64">
        <v>87.98</v>
      </c>
      <c r="N70" s="64">
        <v>190.5</v>
      </c>
      <c r="O70" s="64">
        <v>0</v>
      </c>
      <c r="P70" s="64">
        <v>0.21</v>
      </c>
      <c r="Q70" s="64">
        <v>9.0399999999999991</v>
      </c>
      <c r="R70" s="198"/>
      <c r="S70" s="198"/>
      <c r="T70" s="198"/>
      <c r="U70" s="198"/>
    </row>
    <row r="71" spans="1:21" s="12" customFormat="1" x14ac:dyDescent="0.25">
      <c r="A71" s="214" t="s">
        <v>2900</v>
      </c>
      <c r="B71" s="64">
        <v>6.96</v>
      </c>
      <c r="C71" s="64">
        <v>9.26</v>
      </c>
      <c r="D71" s="64">
        <v>10.42</v>
      </c>
      <c r="E71" s="64">
        <v>4.42</v>
      </c>
      <c r="F71" s="64">
        <v>11.74</v>
      </c>
      <c r="G71" s="64">
        <v>18.66</v>
      </c>
      <c r="H71" s="64">
        <v>10.93</v>
      </c>
      <c r="I71" s="64">
        <v>0.84</v>
      </c>
      <c r="J71" s="64">
        <v>1.37</v>
      </c>
      <c r="K71" s="64">
        <v>118.28</v>
      </c>
      <c r="L71" s="64">
        <v>26.93</v>
      </c>
      <c r="M71" s="64">
        <v>88.52</v>
      </c>
      <c r="N71" s="64">
        <v>160</v>
      </c>
      <c r="O71" s="64">
        <v>0</v>
      </c>
      <c r="P71" s="64">
        <v>0.21</v>
      </c>
      <c r="Q71" s="64">
        <v>9.0500000000000007</v>
      </c>
      <c r="R71" s="198"/>
      <c r="S71" s="198"/>
      <c r="T71" s="198"/>
      <c r="U71" s="198"/>
    </row>
    <row r="72" spans="1:21" s="12" customFormat="1" x14ac:dyDescent="0.25">
      <c r="A72" s="214" t="s">
        <v>2901</v>
      </c>
      <c r="B72" s="64">
        <v>6.51</v>
      </c>
      <c r="C72" s="64">
        <v>9.2899999999999991</v>
      </c>
      <c r="D72" s="64">
        <v>10.08</v>
      </c>
      <c r="E72" s="64">
        <v>3.1</v>
      </c>
      <c r="F72" s="64">
        <v>14.73</v>
      </c>
      <c r="G72" s="64">
        <v>18.66</v>
      </c>
      <c r="H72" s="64">
        <v>10.93</v>
      </c>
      <c r="I72" s="64">
        <v>0.85</v>
      </c>
      <c r="J72" s="64">
        <v>0.9</v>
      </c>
      <c r="K72" s="64">
        <v>125.62</v>
      </c>
      <c r="L72" s="64">
        <v>26.85</v>
      </c>
      <c r="M72" s="64">
        <v>90.68</v>
      </c>
      <c r="N72" s="64">
        <v>145.6</v>
      </c>
      <c r="O72" s="64">
        <v>0</v>
      </c>
      <c r="P72" s="64">
        <v>0.21</v>
      </c>
      <c r="Q72" s="64">
        <v>9.06</v>
      </c>
      <c r="R72" s="198"/>
      <c r="S72" s="198"/>
      <c r="T72" s="198"/>
      <c r="U72" s="198"/>
    </row>
    <row r="73" spans="1:21" s="12" customFormat="1" x14ac:dyDescent="0.25">
      <c r="A73" s="214" t="s">
        <v>2902</v>
      </c>
      <c r="B73" s="64">
        <v>6.82</v>
      </c>
      <c r="C73" s="64">
        <v>8.92</v>
      </c>
      <c r="D73" s="64">
        <v>10.119999999999999</v>
      </c>
      <c r="E73" s="64">
        <v>4</v>
      </c>
      <c r="F73" s="64">
        <v>11.5</v>
      </c>
      <c r="G73" s="64">
        <v>10.64</v>
      </c>
      <c r="H73" s="64">
        <v>8.81</v>
      </c>
      <c r="I73" s="64">
        <v>0.86</v>
      </c>
      <c r="J73" s="64">
        <v>0.56000000000000005</v>
      </c>
      <c r="K73" s="64">
        <v>121.47</v>
      </c>
      <c r="L73" s="64">
        <v>27.08</v>
      </c>
      <c r="M73" s="64">
        <v>92.08</v>
      </c>
      <c r="N73" s="64">
        <v>143.69999999999999</v>
      </c>
      <c r="O73" s="64">
        <v>0</v>
      </c>
      <c r="P73" s="64">
        <v>0.23</v>
      </c>
      <c r="Q73" s="64">
        <v>9.0399999999999991</v>
      </c>
      <c r="R73" s="198"/>
      <c r="S73" s="198"/>
      <c r="T73" s="198"/>
      <c r="U73" s="198"/>
    </row>
    <row r="74" spans="1:21" s="12" customFormat="1" x14ac:dyDescent="0.25">
      <c r="A74" s="214" t="s">
        <v>2903</v>
      </c>
      <c r="B74" s="64">
        <v>8.19</v>
      </c>
      <c r="C74" s="64">
        <v>9.4600000000000009</v>
      </c>
      <c r="D74" s="64">
        <v>11.51</v>
      </c>
      <c r="E74" s="64">
        <v>4.1399999999999997</v>
      </c>
      <c r="F74" s="64">
        <v>13.68</v>
      </c>
      <c r="G74" s="64">
        <v>10.8</v>
      </c>
      <c r="H74" s="64">
        <v>8.81</v>
      </c>
      <c r="I74" s="64">
        <v>0.86</v>
      </c>
      <c r="J74" s="64">
        <v>0.67</v>
      </c>
      <c r="K74" s="64">
        <v>129.37</v>
      </c>
      <c r="L74" s="64">
        <v>27.4</v>
      </c>
      <c r="M74" s="64">
        <v>92.27</v>
      </c>
      <c r="N74" s="64">
        <v>111.3</v>
      </c>
      <c r="O74" s="64">
        <v>0</v>
      </c>
      <c r="P74" s="64">
        <v>0.25</v>
      </c>
      <c r="Q74" s="64">
        <v>9.02</v>
      </c>
      <c r="R74" s="198"/>
      <c r="S74" s="198"/>
      <c r="T74" s="198"/>
      <c r="U74" s="198"/>
    </row>
    <row r="75" spans="1:21" s="12" customFormat="1" x14ac:dyDescent="0.25">
      <c r="A75" s="214" t="s">
        <v>2904</v>
      </c>
      <c r="B75" s="64">
        <v>8.3800000000000008</v>
      </c>
      <c r="C75" s="64">
        <v>10.91</v>
      </c>
      <c r="D75" s="64">
        <v>12.42</v>
      </c>
      <c r="E75" s="64">
        <v>3.93</v>
      </c>
      <c r="F75" s="64">
        <v>11.87</v>
      </c>
      <c r="G75" s="64">
        <v>10.8</v>
      </c>
      <c r="H75" s="64">
        <v>8.81</v>
      </c>
      <c r="I75" s="64">
        <v>0.86</v>
      </c>
      <c r="J75" s="64">
        <v>0.48</v>
      </c>
      <c r="K75" s="64">
        <v>134.28</v>
      </c>
      <c r="L75" s="64">
        <v>27.22</v>
      </c>
      <c r="M75" s="64">
        <v>93.32</v>
      </c>
      <c r="N75" s="64">
        <v>101.6</v>
      </c>
      <c r="O75" s="64">
        <v>0</v>
      </c>
      <c r="P75" s="64">
        <v>0.32</v>
      </c>
      <c r="Q75" s="64">
        <v>9.02</v>
      </c>
      <c r="R75" s="198"/>
      <c r="S75" s="198"/>
      <c r="T75" s="198"/>
      <c r="U75" s="198"/>
    </row>
    <row r="76" spans="1:21" s="12" customFormat="1" x14ac:dyDescent="0.25">
      <c r="A76" s="214" t="s">
        <v>2905</v>
      </c>
      <c r="B76" s="64">
        <v>6.62</v>
      </c>
      <c r="C76" s="64">
        <v>11.66</v>
      </c>
      <c r="D76" s="64">
        <v>11.4</v>
      </c>
      <c r="E76" s="64">
        <v>3.98</v>
      </c>
      <c r="F76" s="64">
        <v>13.35</v>
      </c>
      <c r="G76" s="64">
        <v>10.8</v>
      </c>
      <c r="H76" s="64">
        <v>8.81</v>
      </c>
      <c r="I76" s="64">
        <v>0.85</v>
      </c>
      <c r="J76" s="64">
        <v>0.81</v>
      </c>
      <c r="K76" s="64">
        <v>128.62</v>
      </c>
      <c r="L76" s="64">
        <v>27.15</v>
      </c>
      <c r="M76" s="64">
        <v>93.82</v>
      </c>
      <c r="N76" s="64">
        <v>97.6</v>
      </c>
      <c r="O76" s="64">
        <v>0</v>
      </c>
      <c r="P76" s="64">
        <v>0.26</v>
      </c>
      <c r="Q76" s="64">
        <v>9.01</v>
      </c>
      <c r="R76" s="198"/>
      <c r="S76" s="198"/>
      <c r="T76" s="198"/>
      <c r="U76" s="198"/>
    </row>
    <row r="77" spans="1:21" s="12" customFormat="1" x14ac:dyDescent="0.25">
      <c r="A77" s="214" t="s">
        <v>2906</v>
      </c>
      <c r="B77" s="64">
        <v>7.13</v>
      </c>
      <c r="C77" s="64">
        <v>14.43</v>
      </c>
      <c r="D77" s="64">
        <v>13.25</v>
      </c>
      <c r="E77" s="64">
        <v>4.3</v>
      </c>
      <c r="F77" s="64">
        <v>11.6</v>
      </c>
      <c r="G77" s="64">
        <v>11.79</v>
      </c>
      <c r="H77" s="64">
        <v>9.09</v>
      </c>
      <c r="I77" s="64">
        <v>0.86</v>
      </c>
      <c r="J77" s="64">
        <v>0.56999999999999995</v>
      </c>
      <c r="K77" s="64">
        <v>128.44</v>
      </c>
      <c r="L77" s="64">
        <v>26.99</v>
      </c>
      <c r="M77" s="64">
        <v>94.29</v>
      </c>
      <c r="N77" s="64">
        <v>68.599999999999994</v>
      </c>
      <c r="O77" s="64">
        <v>0</v>
      </c>
      <c r="P77" s="64">
        <v>0.26</v>
      </c>
      <c r="Q77" s="64">
        <v>9.02</v>
      </c>
      <c r="R77" s="198"/>
      <c r="S77" s="198"/>
      <c r="T77" s="198"/>
      <c r="U77" s="198"/>
    </row>
    <row r="78" spans="1:21" s="12" customFormat="1" x14ac:dyDescent="0.25">
      <c r="A78" s="214" t="s">
        <v>2907</v>
      </c>
      <c r="B78" s="64">
        <v>6.32</v>
      </c>
      <c r="C78" s="64">
        <v>14.71</v>
      </c>
      <c r="D78" s="64">
        <v>12.76</v>
      </c>
      <c r="E78" s="64">
        <v>4.3</v>
      </c>
      <c r="F78" s="64">
        <v>10.210000000000001</v>
      </c>
      <c r="G78" s="64">
        <v>11.86</v>
      </c>
      <c r="H78" s="64">
        <v>9.09</v>
      </c>
      <c r="I78" s="64">
        <v>0.87</v>
      </c>
      <c r="J78" s="64">
        <v>0.74</v>
      </c>
      <c r="K78" s="64">
        <v>123.77</v>
      </c>
      <c r="L78" s="64">
        <v>27.05</v>
      </c>
      <c r="M78" s="64">
        <v>93.42</v>
      </c>
      <c r="N78" s="64">
        <v>58.1</v>
      </c>
      <c r="O78" s="64">
        <v>0</v>
      </c>
      <c r="P78" s="64">
        <v>0.28000000000000003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4" t="s">
        <v>2908</v>
      </c>
      <c r="B79" s="64">
        <v>6.15</v>
      </c>
      <c r="C79" s="64">
        <v>13.02</v>
      </c>
      <c r="D79" s="64">
        <v>11.73</v>
      </c>
      <c r="E79" s="64">
        <v>4.26</v>
      </c>
      <c r="F79" s="64">
        <v>11.34</v>
      </c>
      <c r="G79" s="64">
        <v>11.86</v>
      </c>
      <c r="H79" s="64">
        <v>9.09</v>
      </c>
      <c r="I79" s="64">
        <v>0.87</v>
      </c>
      <c r="J79" s="64">
        <v>0.56000000000000005</v>
      </c>
      <c r="K79" s="64">
        <v>119.61</v>
      </c>
      <c r="L79" s="64">
        <v>26.79</v>
      </c>
      <c r="M79" s="64">
        <v>95.28</v>
      </c>
      <c r="N79" s="64">
        <v>49.2</v>
      </c>
      <c r="O79" s="64">
        <v>0</v>
      </c>
      <c r="P79" s="64">
        <v>0.3</v>
      </c>
      <c r="Q79" s="64">
        <v>9.02</v>
      </c>
      <c r="R79" s="198"/>
      <c r="S79" s="198"/>
      <c r="T79" s="198"/>
      <c r="U79" s="198"/>
    </row>
    <row r="80" spans="1:21" s="12" customFormat="1" x14ac:dyDescent="0.25">
      <c r="A80" s="214" t="s">
        <v>2909</v>
      </c>
      <c r="B80" s="64">
        <v>6.4</v>
      </c>
      <c r="C80" s="64">
        <v>16.93</v>
      </c>
      <c r="D80" s="64">
        <v>13.98</v>
      </c>
      <c r="E80" s="64">
        <v>4.32</v>
      </c>
      <c r="F80" s="64">
        <v>10.91</v>
      </c>
      <c r="G80" s="64">
        <v>11.86</v>
      </c>
      <c r="H80" s="64">
        <v>9.09</v>
      </c>
      <c r="I80" s="64">
        <v>0.87</v>
      </c>
      <c r="J80" s="64">
        <v>0.54</v>
      </c>
      <c r="K80" s="64">
        <v>122.23</v>
      </c>
      <c r="L80" s="64">
        <v>26.78</v>
      </c>
      <c r="M80" s="64">
        <v>97.62</v>
      </c>
      <c r="N80" s="64">
        <v>45.5</v>
      </c>
      <c r="O80" s="64">
        <v>0</v>
      </c>
      <c r="P80" s="64">
        <v>0.34</v>
      </c>
      <c r="Q80" s="64">
        <v>9.0299999999999994</v>
      </c>
      <c r="R80" s="198"/>
      <c r="S80" s="198"/>
      <c r="T80" s="198"/>
      <c r="U80" s="198"/>
    </row>
    <row r="81" spans="1:26" s="12" customFormat="1" x14ac:dyDescent="0.25">
      <c r="A81" s="214" t="s">
        <v>2910</v>
      </c>
      <c r="B81" s="64">
        <v>5.91</v>
      </c>
      <c r="C81" s="64">
        <v>17.68</v>
      </c>
      <c r="D81" s="64">
        <v>13.98</v>
      </c>
      <c r="E81" s="64">
        <v>4.29</v>
      </c>
      <c r="F81" s="64">
        <v>10.210000000000001</v>
      </c>
      <c r="G81" s="64">
        <v>13.2</v>
      </c>
      <c r="H81" s="64">
        <v>7.51</v>
      </c>
      <c r="I81" s="64">
        <v>0.89</v>
      </c>
      <c r="J81" s="64">
        <v>0.45</v>
      </c>
      <c r="K81" s="64">
        <v>124.74</v>
      </c>
      <c r="L81" s="64">
        <v>26.61</v>
      </c>
      <c r="M81" s="64">
        <v>97.8</v>
      </c>
      <c r="N81" s="64">
        <v>44.6</v>
      </c>
      <c r="O81" s="64">
        <v>0</v>
      </c>
      <c r="P81" s="64">
        <v>0.38</v>
      </c>
      <c r="Q81" s="64">
        <v>9.0299999999999994</v>
      </c>
      <c r="R81" s="198"/>
      <c r="S81" s="198"/>
      <c r="T81" s="198"/>
      <c r="U81" s="198"/>
    </row>
    <row r="82" spans="1:26" s="12" customFormat="1" x14ac:dyDescent="0.25">
      <c r="A82" s="214" t="s">
        <v>2911</v>
      </c>
      <c r="B82" s="64">
        <v>7.68</v>
      </c>
      <c r="C82" s="64">
        <v>18.190000000000001</v>
      </c>
      <c r="D82" s="64">
        <v>15.66</v>
      </c>
      <c r="E82" s="64">
        <v>4.26</v>
      </c>
      <c r="F82" s="64">
        <v>9.01</v>
      </c>
      <c r="G82" s="64">
        <v>13.28</v>
      </c>
      <c r="H82" s="64">
        <v>7.51</v>
      </c>
      <c r="I82" s="64">
        <v>0.92</v>
      </c>
      <c r="J82" s="64">
        <v>0.49</v>
      </c>
      <c r="K82" s="64">
        <v>120.75</v>
      </c>
      <c r="L82" s="64">
        <v>26.57</v>
      </c>
      <c r="M82" s="64">
        <v>97.82</v>
      </c>
      <c r="N82" s="64">
        <v>44.5</v>
      </c>
      <c r="O82" s="64">
        <v>0</v>
      </c>
      <c r="P82" s="64">
        <v>0.39</v>
      </c>
      <c r="Q82" s="64">
        <v>9.02</v>
      </c>
      <c r="R82" s="198"/>
      <c r="S82" s="198"/>
      <c r="T82" s="198"/>
      <c r="U82" s="198"/>
    </row>
    <row r="83" spans="1:26" s="12" customFormat="1" x14ac:dyDescent="0.25">
      <c r="A83" s="214" t="s">
        <v>2912</v>
      </c>
      <c r="B83" s="64">
        <v>10.3</v>
      </c>
      <c r="C83" s="64">
        <v>19.62</v>
      </c>
      <c r="D83" s="64">
        <v>18.510000000000002</v>
      </c>
      <c r="E83" s="64">
        <v>4.3899999999999997</v>
      </c>
      <c r="F83" s="64">
        <v>8.58</v>
      </c>
      <c r="G83" s="64">
        <v>13.28</v>
      </c>
      <c r="H83" s="64">
        <v>7.51</v>
      </c>
      <c r="I83" s="64">
        <v>0.95</v>
      </c>
      <c r="J83" s="64">
        <v>0.37</v>
      </c>
      <c r="K83" s="64">
        <v>128.84</v>
      </c>
      <c r="L83" s="64">
        <v>26.5</v>
      </c>
      <c r="M83" s="64">
        <v>97.83</v>
      </c>
      <c r="N83" s="64">
        <v>44.6</v>
      </c>
      <c r="O83" s="64">
        <v>0</v>
      </c>
      <c r="P83" s="64">
        <v>0.46</v>
      </c>
      <c r="Q83" s="64">
        <v>9.0299999999999994</v>
      </c>
      <c r="R83" s="198"/>
      <c r="S83" s="198"/>
      <c r="T83" s="198"/>
      <c r="U83" s="198"/>
    </row>
    <row r="84" spans="1:26" s="12" customFormat="1" x14ac:dyDescent="0.25">
      <c r="A84" s="214" t="s">
        <v>2913</v>
      </c>
      <c r="B84" s="64">
        <v>9.25</v>
      </c>
      <c r="C84" s="64">
        <v>18.59</v>
      </c>
      <c r="D84" s="64">
        <v>17.13</v>
      </c>
      <c r="E84" s="64">
        <v>4.21</v>
      </c>
      <c r="F84" s="64">
        <v>14.24</v>
      </c>
      <c r="G84" s="64">
        <v>13.28</v>
      </c>
      <c r="H84" s="64">
        <v>7.51</v>
      </c>
      <c r="I84" s="64">
        <v>0.98</v>
      </c>
      <c r="J84" s="64">
        <v>0.09</v>
      </c>
      <c r="K84" s="64">
        <v>144.66999999999999</v>
      </c>
      <c r="L84" s="64">
        <v>26.31</v>
      </c>
      <c r="M84" s="64">
        <v>97.83</v>
      </c>
      <c r="N84" s="64">
        <v>44.7</v>
      </c>
      <c r="O84" s="64">
        <v>0</v>
      </c>
      <c r="P84" s="64">
        <v>0.7</v>
      </c>
      <c r="Q84" s="64">
        <v>9.06</v>
      </c>
      <c r="R84" s="198"/>
      <c r="S84" s="198"/>
      <c r="T84" s="198"/>
      <c r="U84" s="198"/>
    </row>
    <row r="85" spans="1:26" s="12" customFormat="1" x14ac:dyDescent="0.25">
      <c r="A85" s="214" t="s">
        <v>2914</v>
      </c>
      <c r="B85" s="64">
        <v>7.68</v>
      </c>
      <c r="C85" s="64">
        <v>18.12</v>
      </c>
      <c r="D85" s="64">
        <v>15.63</v>
      </c>
      <c r="E85" s="64">
        <v>4.1100000000000003</v>
      </c>
      <c r="F85" s="64">
        <v>8.42</v>
      </c>
      <c r="G85" s="64">
        <v>16.18</v>
      </c>
      <c r="H85" s="64">
        <v>9.4499999999999993</v>
      </c>
      <c r="I85" s="64">
        <v>1.03</v>
      </c>
      <c r="J85" s="64">
        <v>0.32</v>
      </c>
      <c r="K85" s="64">
        <v>133.37</v>
      </c>
      <c r="L85" s="64">
        <v>26.21</v>
      </c>
      <c r="M85" s="64">
        <v>97.83</v>
      </c>
      <c r="N85" s="64">
        <v>44.5</v>
      </c>
      <c r="O85" s="64">
        <v>0</v>
      </c>
      <c r="P85" s="64">
        <v>0.56999999999999995</v>
      </c>
      <c r="Q85" s="64">
        <v>9.08</v>
      </c>
      <c r="R85" s="198"/>
      <c r="S85" s="198"/>
      <c r="T85" s="198"/>
      <c r="U85" s="198"/>
    </row>
    <row r="86" spans="1:26" s="12" customFormat="1" x14ac:dyDescent="0.25">
      <c r="A86" s="214" t="s">
        <v>2915</v>
      </c>
      <c r="B86" s="64">
        <v>6.87</v>
      </c>
      <c r="C86" s="64">
        <v>19.260000000000002</v>
      </c>
      <c r="D86" s="64">
        <v>15.58</v>
      </c>
      <c r="E86" s="64">
        <v>4.3099999999999996</v>
      </c>
      <c r="F86" s="64">
        <v>8.39</v>
      </c>
      <c r="G86" s="64">
        <v>16.350000000000001</v>
      </c>
      <c r="H86" s="64">
        <v>9.4499999999999993</v>
      </c>
      <c r="I86" s="64">
        <v>1.1000000000000001</v>
      </c>
      <c r="J86" s="64">
        <v>0.25</v>
      </c>
      <c r="K86" s="64">
        <v>129.94999999999999</v>
      </c>
      <c r="L86" s="64">
        <v>26.22</v>
      </c>
      <c r="M86" s="64">
        <v>97.83</v>
      </c>
      <c r="N86" s="64">
        <v>44.5</v>
      </c>
      <c r="O86" s="64">
        <v>0</v>
      </c>
      <c r="P86" s="64">
        <v>0.64</v>
      </c>
      <c r="Q86" s="64">
        <v>9.09</v>
      </c>
      <c r="R86" s="198"/>
      <c r="S86" s="198"/>
      <c r="T86" s="198"/>
      <c r="U86" s="198"/>
    </row>
    <row r="87" spans="1:26" s="12" customFormat="1" x14ac:dyDescent="0.25">
      <c r="A87" s="214" t="s">
        <v>2916</v>
      </c>
      <c r="B87" s="64">
        <v>8.34</v>
      </c>
      <c r="C87" s="64">
        <v>19.91</v>
      </c>
      <c r="D87" s="64">
        <v>17.09</v>
      </c>
      <c r="E87" s="64">
        <v>4.42</v>
      </c>
      <c r="F87" s="64">
        <v>7.63</v>
      </c>
      <c r="G87" s="64">
        <v>16.350000000000001</v>
      </c>
      <c r="H87" s="64">
        <v>9.4499999999999993</v>
      </c>
      <c r="I87" s="64">
        <v>1.18</v>
      </c>
      <c r="J87" s="64">
        <v>0.19</v>
      </c>
      <c r="K87" s="64">
        <v>128.25</v>
      </c>
      <c r="L87" s="64">
        <v>26.14</v>
      </c>
      <c r="M87" s="64">
        <v>97.84</v>
      </c>
      <c r="N87" s="64">
        <v>44.5</v>
      </c>
      <c r="O87" s="64">
        <v>0</v>
      </c>
      <c r="P87" s="64">
        <v>0.8</v>
      </c>
      <c r="Q87" s="64">
        <v>9.09</v>
      </c>
      <c r="R87" s="198"/>
      <c r="S87" s="198"/>
      <c r="T87" s="198"/>
      <c r="U87" s="198"/>
    </row>
    <row r="88" spans="1:26" s="12" customFormat="1" x14ac:dyDescent="0.25">
      <c r="A88" s="214" t="s">
        <v>2917</v>
      </c>
      <c r="B88" s="64">
        <v>7.34</v>
      </c>
      <c r="C88" s="64">
        <v>17.329999999999998</v>
      </c>
      <c r="D88" s="64">
        <v>14.94</v>
      </c>
      <c r="E88" s="64">
        <v>4.53</v>
      </c>
      <c r="F88" s="64">
        <v>11.43</v>
      </c>
      <c r="G88" s="64">
        <v>16.350000000000001</v>
      </c>
      <c r="H88" s="64">
        <v>9.4499999999999993</v>
      </c>
      <c r="I88" s="64">
        <v>1.27</v>
      </c>
      <c r="J88" s="64">
        <v>0.21</v>
      </c>
      <c r="K88" s="64">
        <v>132.46</v>
      </c>
      <c r="L88" s="64">
        <v>26.13</v>
      </c>
      <c r="M88" s="64">
        <v>97.83</v>
      </c>
      <c r="N88" s="64">
        <v>44.5</v>
      </c>
      <c r="O88" s="64">
        <v>0</v>
      </c>
      <c r="P88" s="64">
        <v>0.64</v>
      </c>
      <c r="Q88" s="64">
        <v>9.11</v>
      </c>
      <c r="R88" s="198"/>
      <c r="S88" s="198"/>
      <c r="T88" s="198"/>
      <c r="U88" s="198"/>
    </row>
    <row r="89" spans="1:26" s="12" customFormat="1" x14ac:dyDescent="0.25">
      <c r="A89" s="214" t="s">
        <v>2918</v>
      </c>
      <c r="B89" s="64">
        <v>6.19</v>
      </c>
      <c r="C89" s="64">
        <v>17.07</v>
      </c>
      <c r="D89" s="64">
        <v>13.88</v>
      </c>
      <c r="E89" s="64">
        <v>4.38</v>
      </c>
      <c r="F89" s="64">
        <v>10.14</v>
      </c>
      <c r="G89" s="64">
        <v>22.24</v>
      </c>
      <c r="H89" s="64">
        <v>7.77</v>
      </c>
      <c r="I89" s="64">
        <v>1.36</v>
      </c>
      <c r="J89" s="64">
        <v>0.35</v>
      </c>
      <c r="K89" s="64">
        <v>131.35</v>
      </c>
      <c r="L89" s="64">
        <v>26.19</v>
      </c>
      <c r="M89" s="64">
        <v>97.85</v>
      </c>
      <c r="N89" s="64">
        <v>44.6</v>
      </c>
      <c r="O89" s="64">
        <v>0</v>
      </c>
      <c r="P89" s="64">
        <v>0.59</v>
      </c>
      <c r="Q89" s="64">
        <v>9.11</v>
      </c>
      <c r="R89" s="198"/>
      <c r="S89" s="198"/>
      <c r="T89" s="198"/>
      <c r="U89" s="198"/>
    </row>
    <row r="90" spans="1:26" s="12" customFormat="1" x14ac:dyDescent="0.25">
      <c r="A90" s="214" t="s">
        <v>2919</v>
      </c>
      <c r="B90" s="64">
        <v>7.4</v>
      </c>
      <c r="C90" s="64">
        <v>18.899999999999999</v>
      </c>
      <c r="D90" s="64">
        <v>15.81</v>
      </c>
      <c r="E90" s="64">
        <v>4.49</v>
      </c>
      <c r="F90" s="64">
        <v>8.82</v>
      </c>
      <c r="G90" s="64">
        <v>22.66</v>
      </c>
      <c r="H90" s="64">
        <v>7.77</v>
      </c>
      <c r="I90" s="64">
        <v>1.43</v>
      </c>
      <c r="J90" s="64">
        <v>0.31</v>
      </c>
      <c r="K90" s="64">
        <v>136.05000000000001</v>
      </c>
      <c r="L90" s="64">
        <v>26.22</v>
      </c>
      <c r="M90" s="64">
        <v>97.85</v>
      </c>
      <c r="N90" s="64">
        <v>44.6</v>
      </c>
      <c r="O90" s="64">
        <v>0</v>
      </c>
      <c r="P90" s="64">
        <v>0.65</v>
      </c>
      <c r="Q90" s="64">
        <v>9.1199999999999992</v>
      </c>
      <c r="R90" s="198"/>
      <c r="S90" s="198"/>
      <c r="T90" s="198"/>
      <c r="U90" s="198"/>
    </row>
    <row r="91" spans="1:26" s="12" customFormat="1" x14ac:dyDescent="0.25">
      <c r="A91" s="214" t="s">
        <v>2920</v>
      </c>
      <c r="B91" s="64">
        <v>11.36</v>
      </c>
      <c r="C91" s="64">
        <v>15.31</v>
      </c>
      <c r="D91" s="64">
        <v>17.11</v>
      </c>
      <c r="E91" s="64">
        <v>4.37</v>
      </c>
      <c r="F91" s="64">
        <v>9.18</v>
      </c>
      <c r="G91" s="64">
        <v>22.66</v>
      </c>
      <c r="H91" s="64">
        <v>7.77</v>
      </c>
      <c r="I91" s="64">
        <v>1.37</v>
      </c>
      <c r="J91" s="64">
        <v>0.25</v>
      </c>
      <c r="K91" s="64">
        <v>131.87</v>
      </c>
      <c r="L91" s="64">
        <v>26.21</v>
      </c>
      <c r="M91" s="64">
        <v>97.85</v>
      </c>
      <c r="N91" s="64">
        <v>44.8</v>
      </c>
      <c r="O91" s="64">
        <v>0</v>
      </c>
      <c r="P91" s="64">
        <v>0.62</v>
      </c>
      <c r="Q91" s="64">
        <v>9.1</v>
      </c>
      <c r="R91" s="198"/>
      <c r="S91" s="198"/>
      <c r="T91" s="198"/>
      <c r="U91" s="198"/>
    </row>
    <row r="92" spans="1:26" s="12" customFormat="1" x14ac:dyDescent="0.25">
      <c r="A92" s="214" t="s">
        <v>2921</v>
      </c>
      <c r="B92" s="64">
        <v>10.6</v>
      </c>
      <c r="C92" s="64">
        <v>16.95</v>
      </c>
      <c r="D92" s="64">
        <v>17.350000000000001</v>
      </c>
      <c r="E92" s="64">
        <v>4.2</v>
      </c>
      <c r="F92" s="64">
        <v>10.9</v>
      </c>
      <c r="G92" s="64">
        <v>22.66</v>
      </c>
      <c r="H92" s="64">
        <v>7.77</v>
      </c>
      <c r="I92" s="64">
        <v>1.33</v>
      </c>
      <c r="J92" s="64">
        <v>0.19</v>
      </c>
      <c r="K92" s="64">
        <v>139.93</v>
      </c>
      <c r="L92" s="64">
        <v>26.11</v>
      </c>
      <c r="M92" s="64">
        <v>97.86</v>
      </c>
      <c r="N92" s="64">
        <v>44.8</v>
      </c>
      <c r="O92" s="64">
        <v>0</v>
      </c>
      <c r="P92" s="64">
        <v>0.77</v>
      </c>
      <c r="Q92" s="64">
        <v>9.08</v>
      </c>
      <c r="R92" s="198"/>
      <c r="S92" s="198"/>
      <c r="T92" s="198"/>
      <c r="U92" s="198"/>
    </row>
    <row r="93" spans="1:26" s="12" customFormat="1" x14ac:dyDescent="0.25">
      <c r="A93" s="214" t="s">
        <v>2922</v>
      </c>
      <c r="B93" s="64">
        <v>19.579999999999998</v>
      </c>
      <c r="C93" s="64">
        <v>17.61</v>
      </c>
      <c r="D93" s="64">
        <v>24.9</v>
      </c>
      <c r="E93" s="64">
        <v>4.3899999999999997</v>
      </c>
      <c r="F93" s="64">
        <v>9.23</v>
      </c>
      <c r="G93" s="64">
        <v>26.01</v>
      </c>
      <c r="H93" s="64">
        <v>6.59</v>
      </c>
      <c r="I93" s="64">
        <v>1.34</v>
      </c>
      <c r="J93" s="64">
        <v>0.06</v>
      </c>
      <c r="K93" s="64">
        <v>156.58000000000001</v>
      </c>
      <c r="L93" s="64">
        <v>25.96</v>
      </c>
      <c r="M93" s="64">
        <v>97.88</v>
      </c>
      <c r="N93" s="64">
        <v>44.7</v>
      </c>
      <c r="O93" s="64">
        <v>0</v>
      </c>
      <c r="P93" s="64">
        <v>0.85</v>
      </c>
      <c r="Q93" s="64">
        <v>9.07</v>
      </c>
      <c r="R93" s="198"/>
      <c r="S93" s="198"/>
      <c r="T93" s="198"/>
      <c r="U93" s="198"/>
    </row>
    <row r="94" spans="1:26" s="12" customFormat="1" x14ac:dyDescent="0.25">
      <c r="A94" s="214" t="s">
        <v>2923</v>
      </c>
      <c r="B94" s="64">
        <v>11.96</v>
      </c>
      <c r="C94" s="64">
        <v>18.29</v>
      </c>
      <c r="D94" s="64">
        <v>19.14</v>
      </c>
      <c r="E94" s="64">
        <v>4.41</v>
      </c>
      <c r="F94" s="64">
        <v>7.78</v>
      </c>
      <c r="G94" s="64">
        <v>26.25</v>
      </c>
      <c r="H94" s="64">
        <v>6.59</v>
      </c>
      <c r="I94" s="64">
        <v>1.36</v>
      </c>
      <c r="J94" s="64">
        <v>0.13</v>
      </c>
      <c r="K94" s="64">
        <v>136.71</v>
      </c>
      <c r="L94" s="64">
        <v>25.9</v>
      </c>
      <c r="M94" s="64">
        <v>97.88</v>
      </c>
      <c r="N94" s="64">
        <v>44.6</v>
      </c>
      <c r="O94" s="64">
        <v>0</v>
      </c>
      <c r="P94" s="64">
        <v>0.79</v>
      </c>
      <c r="Q94" s="64">
        <v>9.09</v>
      </c>
      <c r="R94" s="198"/>
      <c r="S94" s="198"/>
      <c r="T94" s="198"/>
      <c r="U94" s="198"/>
    </row>
    <row r="95" spans="1:26" s="12" customFormat="1" x14ac:dyDescent="0.25">
      <c r="A95" s="214" t="s">
        <v>2924</v>
      </c>
      <c r="B95" s="64">
        <v>9.23</v>
      </c>
      <c r="C95" s="64">
        <v>18.07</v>
      </c>
      <c r="D95" s="64">
        <v>16.850000000000001</v>
      </c>
      <c r="E95" s="64">
        <v>4.3499999999999996</v>
      </c>
      <c r="F95" s="64">
        <v>9.84</v>
      </c>
      <c r="G95" s="64">
        <v>26.25</v>
      </c>
      <c r="H95" s="64">
        <v>6.59</v>
      </c>
      <c r="I95" s="64">
        <v>1.4</v>
      </c>
      <c r="J95" s="64">
        <v>0.44</v>
      </c>
      <c r="K95" s="64">
        <v>120.45</v>
      </c>
      <c r="L95" s="64">
        <v>25.79</v>
      </c>
      <c r="M95" s="64">
        <v>97.91</v>
      </c>
      <c r="N95" s="64">
        <v>45.2</v>
      </c>
      <c r="O95" s="64">
        <v>0</v>
      </c>
      <c r="P95" s="64">
        <v>0.54</v>
      </c>
      <c r="Q95" s="64">
        <v>9.1</v>
      </c>
      <c r="R95" s="198"/>
      <c r="S95" s="198"/>
      <c r="T95" s="198"/>
      <c r="U95" s="198"/>
    </row>
    <row r="96" spans="1:26" s="12" customFormat="1" x14ac:dyDescent="0.25">
      <c r="A96" s="214" t="s">
        <v>2925</v>
      </c>
      <c r="B96" s="64">
        <v>8.69</v>
      </c>
      <c r="C96" s="64">
        <v>14.04</v>
      </c>
      <c r="D96" s="64">
        <v>14.31</v>
      </c>
      <c r="E96" s="64">
        <v>4.08</v>
      </c>
      <c r="F96" s="64">
        <v>9.66</v>
      </c>
      <c r="G96" s="64">
        <v>26.25</v>
      </c>
      <c r="H96" s="64">
        <v>6.59</v>
      </c>
      <c r="I96" s="64">
        <v>1.43</v>
      </c>
      <c r="J96" s="64">
        <v>0.26</v>
      </c>
      <c r="K96" s="64">
        <v>137.25</v>
      </c>
      <c r="L96" s="64">
        <v>25.41</v>
      </c>
      <c r="M96" s="64">
        <v>97.95</v>
      </c>
      <c r="N96" s="64">
        <v>44.8</v>
      </c>
      <c r="O96" s="64">
        <v>0</v>
      </c>
      <c r="P96" s="64">
        <v>0.41</v>
      </c>
      <c r="Q96" s="64">
        <v>9.1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2926</v>
      </c>
      <c r="B97" s="64">
        <v>9.9600000000000009</v>
      </c>
      <c r="C97" s="64">
        <v>15.01</v>
      </c>
      <c r="D97" s="64">
        <v>15.83</v>
      </c>
      <c r="E97" s="64">
        <v>4.09</v>
      </c>
      <c r="F97" s="64">
        <v>8.57</v>
      </c>
      <c r="G97" s="64">
        <v>27.22</v>
      </c>
      <c r="H97" s="64">
        <v>7.43</v>
      </c>
      <c r="I97" s="64">
        <v>1.45</v>
      </c>
      <c r="J97" s="64">
        <v>0.06</v>
      </c>
      <c r="K97" s="64">
        <v>95.45</v>
      </c>
      <c r="L97" s="64">
        <v>25.3</v>
      </c>
      <c r="M97" s="64">
        <v>97.95</v>
      </c>
      <c r="N97" s="64">
        <v>45</v>
      </c>
      <c r="O97" s="64">
        <v>0</v>
      </c>
      <c r="P97" s="64">
        <v>0.48</v>
      </c>
      <c r="Q97" s="64">
        <v>9.1</v>
      </c>
      <c r="R97" s="198"/>
      <c r="S97" s="198"/>
      <c r="T97" s="198"/>
      <c r="U97" s="198"/>
    </row>
    <row r="98" spans="1:33" s="12" customFormat="1" x14ac:dyDescent="0.25">
      <c r="A98" s="214" t="s">
        <v>2927</v>
      </c>
      <c r="B98" s="64">
        <v>12.18</v>
      </c>
      <c r="C98" s="64">
        <v>17.75</v>
      </c>
      <c r="D98" s="64">
        <v>19.04</v>
      </c>
      <c r="E98" s="64">
        <v>4.1100000000000003</v>
      </c>
      <c r="F98" s="64">
        <v>6.11</v>
      </c>
      <c r="G98" s="64">
        <v>27.28</v>
      </c>
      <c r="H98" s="64">
        <v>7.43</v>
      </c>
      <c r="I98" s="64">
        <v>1.45</v>
      </c>
      <c r="J98" s="64">
        <v>0.17</v>
      </c>
      <c r="K98" s="64">
        <v>138.26</v>
      </c>
      <c r="L98" s="64">
        <v>25.34</v>
      </c>
      <c r="M98" s="64">
        <v>97.94</v>
      </c>
      <c r="N98" s="64">
        <v>45</v>
      </c>
      <c r="O98" s="64">
        <v>0</v>
      </c>
      <c r="P98" s="64">
        <v>0.44</v>
      </c>
      <c r="Q98" s="64">
        <v>9.11</v>
      </c>
      <c r="R98" s="198"/>
      <c r="S98" s="198"/>
      <c r="T98" s="198"/>
      <c r="U98" s="198"/>
    </row>
    <row r="99" spans="1:33" s="12" customFormat="1" x14ac:dyDescent="0.25">
      <c r="A99" s="214" t="s">
        <v>2928</v>
      </c>
      <c r="B99" s="64">
        <v>10.02</v>
      </c>
      <c r="C99" s="64">
        <v>15.15</v>
      </c>
      <c r="D99" s="64">
        <v>15.94</v>
      </c>
      <c r="E99" s="64">
        <v>3.59</v>
      </c>
      <c r="F99" s="64">
        <v>9.49</v>
      </c>
      <c r="G99" s="64">
        <v>27.28</v>
      </c>
      <c r="H99" s="64">
        <v>7.43</v>
      </c>
      <c r="I99" s="64">
        <v>1.55</v>
      </c>
      <c r="J99" s="64">
        <v>0.18</v>
      </c>
      <c r="K99" s="64">
        <v>168.99</v>
      </c>
      <c r="L99" s="64">
        <v>25.29</v>
      </c>
      <c r="M99" s="64">
        <v>97.94</v>
      </c>
      <c r="N99" s="64">
        <v>45.2</v>
      </c>
      <c r="O99" s="64">
        <v>0</v>
      </c>
      <c r="P99" s="64">
        <v>0.44</v>
      </c>
      <c r="Q99" s="64">
        <v>9.11</v>
      </c>
      <c r="R99" s="198"/>
      <c r="S99" s="198"/>
      <c r="T99" s="198"/>
      <c r="U99" s="198"/>
    </row>
    <row r="100" spans="1:33" s="12" customFormat="1" x14ac:dyDescent="0.25">
      <c r="A100" s="214" t="s">
        <v>2929</v>
      </c>
      <c r="B100" s="64">
        <v>8.6999999999999993</v>
      </c>
      <c r="C100" s="64">
        <v>10.029999999999999</v>
      </c>
      <c r="D100" s="64">
        <v>12.22</v>
      </c>
      <c r="E100" s="64">
        <v>4.07</v>
      </c>
      <c r="F100" s="64">
        <v>10.36</v>
      </c>
      <c r="G100" s="64">
        <v>27.28</v>
      </c>
      <c r="H100" s="64">
        <v>7.43</v>
      </c>
      <c r="I100" s="64">
        <v>1.62</v>
      </c>
      <c r="J100" s="64">
        <v>0.32</v>
      </c>
      <c r="K100" s="64">
        <v>173.74</v>
      </c>
      <c r="L100" s="64">
        <v>25.18</v>
      </c>
      <c r="M100" s="64">
        <v>97.93</v>
      </c>
      <c r="N100" s="64">
        <v>45.5</v>
      </c>
      <c r="O100" s="64">
        <v>0</v>
      </c>
      <c r="P100" s="64">
        <v>0.4</v>
      </c>
      <c r="Q100" s="64">
        <v>9.11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2930</v>
      </c>
      <c r="B101" s="64">
        <v>6.75</v>
      </c>
      <c r="C101" s="64">
        <v>11.32</v>
      </c>
      <c r="D101" s="64">
        <v>11.33</v>
      </c>
      <c r="E101" s="64">
        <v>4.3099999999999996</v>
      </c>
      <c r="F101" s="64">
        <v>10.74</v>
      </c>
      <c r="G101" s="64">
        <v>24.1</v>
      </c>
      <c r="H101" s="64">
        <v>9.74</v>
      </c>
      <c r="I101" s="64">
        <v>1.52</v>
      </c>
      <c r="J101" s="64">
        <v>0.03</v>
      </c>
      <c r="K101" s="64">
        <v>209.69</v>
      </c>
      <c r="L101" s="64">
        <v>25.09</v>
      </c>
      <c r="M101" s="64">
        <v>97.93</v>
      </c>
      <c r="N101" s="64">
        <v>45.2</v>
      </c>
      <c r="O101" s="64">
        <v>0</v>
      </c>
      <c r="P101" s="64">
        <v>0.31</v>
      </c>
      <c r="Q101" s="64">
        <v>9.14</v>
      </c>
      <c r="R101" s="198"/>
      <c r="S101" s="198"/>
      <c r="T101" s="198"/>
      <c r="U101" s="198"/>
    </row>
    <row r="102" spans="1:33" s="12" customFormat="1" x14ac:dyDescent="0.25">
      <c r="A102" s="214" t="s">
        <v>2931</v>
      </c>
      <c r="B102" s="64">
        <v>6.23</v>
      </c>
      <c r="C102" s="64">
        <v>12.21</v>
      </c>
      <c r="D102" s="64">
        <v>11.37</v>
      </c>
      <c r="E102" s="64">
        <v>4.08</v>
      </c>
      <c r="F102" s="64">
        <v>9.41</v>
      </c>
      <c r="G102" s="64">
        <v>23.87</v>
      </c>
      <c r="H102" s="64">
        <v>9.74</v>
      </c>
      <c r="I102" s="64">
        <v>1.44</v>
      </c>
      <c r="J102" s="64">
        <v>0.12</v>
      </c>
      <c r="K102" s="64">
        <v>148</v>
      </c>
      <c r="L102" s="64">
        <v>25.02</v>
      </c>
      <c r="M102" s="64">
        <v>97.93</v>
      </c>
      <c r="N102" s="64">
        <v>45</v>
      </c>
      <c r="O102" s="64">
        <v>0</v>
      </c>
      <c r="P102" s="64">
        <v>0.32</v>
      </c>
      <c r="Q102" s="64">
        <v>9.14</v>
      </c>
      <c r="R102" s="198"/>
      <c r="S102" s="198"/>
      <c r="T102" s="198"/>
      <c r="U102" s="198"/>
    </row>
    <row r="103" spans="1:33" s="12" customFormat="1" x14ac:dyDescent="0.25">
      <c r="A103" s="214" t="s">
        <v>2932</v>
      </c>
      <c r="B103" s="64">
        <v>6.51</v>
      </c>
      <c r="C103" s="64">
        <v>11.13</v>
      </c>
      <c r="D103" s="64">
        <v>11.04</v>
      </c>
      <c r="E103" s="64">
        <v>4.12</v>
      </c>
      <c r="F103" s="64">
        <v>10.19</v>
      </c>
      <c r="G103" s="64">
        <v>23.87</v>
      </c>
      <c r="H103" s="64">
        <v>9.74</v>
      </c>
      <c r="I103" s="64">
        <v>1.43</v>
      </c>
      <c r="J103" s="64">
        <v>0.22</v>
      </c>
      <c r="K103" s="64">
        <v>151.05000000000001</v>
      </c>
      <c r="L103" s="64">
        <v>25</v>
      </c>
      <c r="M103" s="64">
        <v>97.93</v>
      </c>
      <c r="N103" s="64">
        <v>44.9</v>
      </c>
      <c r="O103" s="64">
        <v>0</v>
      </c>
      <c r="P103" s="64">
        <v>0.33</v>
      </c>
      <c r="Q103" s="64">
        <v>9.15</v>
      </c>
      <c r="R103" s="198"/>
      <c r="S103" s="198"/>
      <c r="T103" s="198"/>
      <c r="U103" s="198"/>
    </row>
    <row r="104" spans="1:33" s="12" customFormat="1" x14ac:dyDescent="0.25">
      <c r="A104" s="214" t="s">
        <v>2933</v>
      </c>
      <c r="B104" s="64">
        <v>7.43</v>
      </c>
      <c r="C104" s="64">
        <v>8.9700000000000006</v>
      </c>
      <c r="D104" s="64">
        <v>10.65</v>
      </c>
      <c r="E104" s="64">
        <v>4.97</v>
      </c>
      <c r="F104" s="64">
        <v>9.7899999999999991</v>
      </c>
      <c r="G104" s="64">
        <v>23.87</v>
      </c>
      <c r="H104" s="64">
        <v>9.74</v>
      </c>
      <c r="I104" s="64">
        <v>1.42</v>
      </c>
      <c r="J104" s="64">
        <v>0.1</v>
      </c>
      <c r="K104" s="64">
        <v>183.11</v>
      </c>
      <c r="L104" s="64">
        <v>24.92</v>
      </c>
      <c r="M104" s="64">
        <v>97.95</v>
      </c>
      <c r="N104" s="64">
        <v>44.9</v>
      </c>
      <c r="O104" s="64">
        <v>0</v>
      </c>
      <c r="P104" s="64">
        <v>0.31</v>
      </c>
      <c r="Q104" s="64">
        <v>9.16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5.91</v>
      </c>
      <c r="C106" s="67">
        <f>MIN(C9:C104)</f>
        <v>5.7</v>
      </c>
      <c r="D106" s="67">
        <f t="shared" ref="D106:Q106" si="0">MIN(D9:D104)</f>
        <v>8.17</v>
      </c>
      <c r="E106" s="67">
        <f t="shared" si="0"/>
        <v>3.1</v>
      </c>
      <c r="F106" s="67">
        <f t="shared" si="0"/>
        <v>4.6500000000000004</v>
      </c>
      <c r="G106" s="67">
        <f t="shared" si="0"/>
        <v>7.06</v>
      </c>
      <c r="H106" s="67">
        <f t="shared" si="0"/>
        <v>5.6</v>
      </c>
      <c r="I106" s="67">
        <f t="shared" si="0"/>
        <v>0.79</v>
      </c>
      <c r="J106" s="67">
        <f t="shared" si="0"/>
        <v>0.03</v>
      </c>
      <c r="K106" s="67">
        <f t="shared" si="0"/>
        <v>92.37</v>
      </c>
      <c r="L106" s="67">
        <f t="shared" si="0"/>
        <v>23.3</v>
      </c>
      <c r="M106" s="67">
        <f t="shared" si="0"/>
        <v>80.150000000000006</v>
      </c>
      <c r="N106" s="67">
        <f t="shared" si="0"/>
        <v>44.5</v>
      </c>
      <c r="O106" s="67">
        <f t="shared" si="0"/>
        <v>0</v>
      </c>
      <c r="P106" s="67">
        <f t="shared" si="0"/>
        <v>0.18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19.579999999999998</v>
      </c>
      <c r="C107" s="66">
        <f t="shared" ref="C107:Q107" si="1">MAX(C9:C104)</f>
        <v>19.91</v>
      </c>
      <c r="D107" s="66">
        <f t="shared" si="1"/>
        <v>24.9</v>
      </c>
      <c r="E107" s="66">
        <f t="shared" si="1"/>
        <v>4.99</v>
      </c>
      <c r="F107" s="66">
        <f t="shared" si="1"/>
        <v>41.71</v>
      </c>
      <c r="G107" s="66">
        <f t="shared" si="1"/>
        <v>27.28</v>
      </c>
      <c r="H107" s="66">
        <f t="shared" si="1"/>
        <v>10.93</v>
      </c>
      <c r="I107" s="66">
        <f t="shared" si="1"/>
        <v>1.62</v>
      </c>
      <c r="J107" s="66">
        <f t="shared" si="1"/>
        <v>1.66</v>
      </c>
      <c r="K107" s="66">
        <f t="shared" si="1"/>
        <v>209.69</v>
      </c>
      <c r="L107" s="66">
        <f t="shared" si="1"/>
        <v>29.58</v>
      </c>
      <c r="M107" s="66">
        <f t="shared" si="1"/>
        <v>98.08</v>
      </c>
      <c r="N107" s="66">
        <f t="shared" si="1"/>
        <v>964.6</v>
      </c>
      <c r="O107" s="66">
        <f t="shared" si="1"/>
        <v>0</v>
      </c>
      <c r="P107" s="66">
        <f t="shared" si="1"/>
        <v>0.85</v>
      </c>
      <c r="Q107" s="66">
        <f t="shared" si="1"/>
        <v>9.16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7.5526041666666686</v>
      </c>
      <c r="C108" s="67">
        <f t="shared" ref="C108:Q108" si="2">AVERAGE(C9:C104)</f>
        <v>9.9570833333333351</v>
      </c>
      <c r="D108" s="67">
        <f t="shared" si="2"/>
        <v>11.258124999999998</v>
      </c>
      <c r="E108" s="67">
        <f t="shared" si="2"/>
        <v>4.3322916666666673</v>
      </c>
      <c r="F108" s="67">
        <f t="shared" si="2"/>
        <v>10.551770833333334</v>
      </c>
      <c r="G108" s="67">
        <f t="shared" si="2"/>
        <v>16.186354166666661</v>
      </c>
      <c r="H108" s="67">
        <f t="shared" si="2"/>
        <v>7.9687500000000036</v>
      </c>
      <c r="I108" s="67">
        <f t="shared" si="2"/>
        <v>0.98750000000000027</v>
      </c>
      <c r="J108" s="67">
        <f t="shared" si="2"/>
        <v>0.52947916666666683</v>
      </c>
      <c r="K108" s="67">
        <f t="shared" si="2"/>
        <v>128.11729166666672</v>
      </c>
      <c r="L108" s="67">
        <f t="shared" si="2"/>
        <v>25.892187500000006</v>
      </c>
      <c r="M108" s="67">
        <f t="shared" si="2"/>
        <v>94.195416666666731</v>
      </c>
      <c r="N108" s="67">
        <f t="shared" si="2"/>
        <v>185.43854166666662</v>
      </c>
      <c r="O108" s="67">
        <f t="shared" si="2"/>
        <v>0</v>
      </c>
      <c r="P108" s="67">
        <f t="shared" si="2"/>
        <v>0.31947916666666681</v>
      </c>
      <c r="Q108" s="67">
        <f t="shared" si="2"/>
        <v>9.0552083333333275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1.739442284963564</v>
      </c>
      <c r="C109" s="67">
        <f t="shared" ref="C109:Q109" si="3">STDEV(C9:C104)</f>
        <v>4.3085471764772167</v>
      </c>
      <c r="D109" s="67">
        <f t="shared" si="3"/>
        <v>3.1443802209154508</v>
      </c>
      <c r="E109" s="67">
        <f t="shared" si="3"/>
        <v>0.34966293293208339</v>
      </c>
      <c r="F109" s="67">
        <f t="shared" si="3"/>
        <v>4.125337369244809</v>
      </c>
      <c r="G109" s="67">
        <f t="shared" si="3"/>
        <v>5.0489096519194971</v>
      </c>
      <c r="H109" s="67">
        <f t="shared" si="3"/>
        <v>1.4832661329149854</v>
      </c>
      <c r="I109" s="67">
        <f t="shared" si="3"/>
        <v>0.21998086041146428</v>
      </c>
      <c r="J109" s="67">
        <f t="shared" si="3"/>
        <v>0.29203593791704413</v>
      </c>
      <c r="K109" s="67">
        <f t="shared" si="3"/>
        <v>19.062008701749956</v>
      </c>
      <c r="L109" s="67">
        <f t="shared" si="3"/>
        <v>1.9083027472075811</v>
      </c>
      <c r="M109" s="67">
        <f t="shared" si="3"/>
        <v>5.9709632329988906</v>
      </c>
      <c r="N109" s="67">
        <f t="shared" si="3"/>
        <v>214.56054494308117</v>
      </c>
      <c r="O109" s="67">
        <f t="shared" si="3"/>
        <v>0</v>
      </c>
      <c r="P109" s="67">
        <f t="shared" si="3"/>
        <v>0.15624117518938874</v>
      </c>
      <c r="Q109" s="67">
        <f t="shared" si="3"/>
        <v>3.7133590033444637E-2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2934</v>
      </c>
      <c r="B9" s="64">
        <v>7.5</v>
      </c>
      <c r="C9" s="64">
        <v>7.12</v>
      </c>
      <c r="D9" s="64">
        <v>9.73</v>
      </c>
      <c r="E9" s="64">
        <v>4.71</v>
      </c>
      <c r="F9" s="64">
        <v>8.93</v>
      </c>
      <c r="G9" s="64">
        <v>21.21</v>
      </c>
      <c r="H9" s="64">
        <v>7.97</v>
      </c>
      <c r="I9" s="64">
        <v>1.41</v>
      </c>
      <c r="J9" s="64">
        <v>0.08</v>
      </c>
      <c r="K9" s="64">
        <v>292.13</v>
      </c>
      <c r="L9" s="64">
        <v>24.74</v>
      </c>
      <c r="M9" s="64">
        <v>97.96</v>
      </c>
      <c r="N9" s="64">
        <v>45</v>
      </c>
      <c r="O9" s="64">
        <v>0</v>
      </c>
      <c r="P9" s="64">
        <v>0.35</v>
      </c>
      <c r="Q9" s="64">
        <v>9.15</v>
      </c>
      <c r="R9" s="198"/>
      <c r="S9" s="198"/>
      <c r="T9" s="198"/>
      <c r="U9" s="198"/>
    </row>
    <row r="10" spans="1:21" s="12" customFormat="1" x14ac:dyDescent="0.25">
      <c r="A10" s="214" t="s">
        <v>2935</v>
      </c>
      <c r="B10" s="64">
        <v>8.4</v>
      </c>
      <c r="C10" s="64">
        <v>6.25</v>
      </c>
      <c r="D10" s="64">
        <v>10</v>
      </c>
      <c r="E10" s="64">
        <v>4.84</v>
      </c>
      <c r="F10" s="64">
        <v>9.86</v>
      </c>
      <c r="G10" s="64">
        <v>21.05</v>
      </c>
      <c r="H10" s="64">
        <v>7.97</v>
      </c>
      <c r="I10" s="64">
        <v>1.39</v>
      </c>
      <c r="J10" s="64">
        <v>0.14000000000000001</v>
      </c>
      <c r="K10" s="64">
        <v>332.87</v>
      </c>
      <c r="L10" s="64">
        <v>24.6</v>
      </c>
      <c r="M10" s="64">
        <v>97.93</v>
      </c>
      <c r="N10" s="64">
        <v>45.2</v>
      </c>
      <c r="O10" s="64">
        <v>0</v>
      </c>
      <c r="P10" s="64">
        <v>0.36</v>
      </c>
      <c r="Q10" s="64">
        <v>9.15</v>
      </c>
      <c r="R10" s="198"/>
      <c r="S10" s="198"/>
      <c r="T10" s="198"/>
      <c r="U10" s="198"/>
    </row>
    <row r="11" spans="1:21" s="12" customFormat="1" x14ac:dyDescent="0.25">
      <c r="A11" s="214" t="s">
        <v>2936</v>
      </c>
      <c r="B11" s="64">
        <v>8.36</v>
      </c>
      <c r="C11" s="64">
        <v>6.17</v>
      </c>
      <c r="D11" s="64">
        <v>9.93</v>
      </c>
      <c r="E11" s="64">
        <v>5.0999999999999996</v>
      </c>
      <c r="F11" s="64">
        <v>12.64</v>
      </c>
      <c r="G11" s="64">
        <v>21.05</v>
      </c>
      <c r="H11" s="64">
        <v>7.97</v>
      </c>
      <c r="I11" s="64">
        <v>1.36</v>
      </c>
      <c r="J11" s="64">
        <v>0.12</v>
      </c>
      <c r="K11" s="64">
        <v>323.26</v>
      </c>
      <c r="L11" s="64">
        <v>24.28</v>
      </c>
      <c r="M11" s="64">
        <v>97.96</v>
      </c>
      <c r="N11" s="64">
        <v>44.8</v>
      </c>
      <c r="O11" s="64">
        <v>0</v>
      </c>
      <c r="P11" s="64">
        <v>0.37</v>
      </c>
      <c r="Q11" s="64">
        <v>9.15</v>
      </c>
      <c r="R11" s="198"/>
      <c r="S11" s="198"/>
      <c r="T11" s="198"/>
      <c r="U11" s="198"/>
    </row>
    <row r="12" spans="1:21" s="12" customFormat="1" x14ac:dyDescent="0.25">
      <c r="A12" s="214" t="s">
        <v>2937</v>
      </c>
      <c r="B12" s="64">
        <v>8.6199999999999992</v>
      </c>
      <c r="C12" s="64">
        <v>7.29</v>
      </c>
      <c r="D12" s="64">
        <v>10.72</v>
      </c>
      <c r="E12" s="64">
        <v>5.09</v>
      </c>
      <c r="F12" s="64">
        <v>9.98</v>
      </c>
      <c r="G12" s="64">
        <v>21.05</v>
      </c>
      <c r="H12" s="64">
        <v>7.97</v>
      </c>
      <c r="I12" s="64">
        <v>1.33</v>
      </c>
      <c r="J12" s="64">
        <v>0.02</v>
      </c>
      <c r="K12" s="64">
        <v>70.930000000000007</v>
      </c>
      <c r="L12" s="64">
        <v>23.99</v>
      </c>
      <c r="M12" s="64">
        <v>98</v>
      </c>
      <c r="N12" s="64">
        <v>44.3</v>
      </c>
      <c r="O12" s="64">
        <v>0</v>
      </c>
      <c r="P12" s="64">
        <v>0.39</v>
      </c>
      <c r="Q12" s="64">
        <v>9.15</v>
      </c>
      <c r="R12" s="198"/>
      <c r="S12" s="198"/>
      <c r="T12" s="198"/>
      <c r="U12" s="198"/>
    </row>
    <row r="13" spans="1:21" s="12" customFormat="1" x14ac:dyDescent="0.25">
      <c r="A13" s="214" t="s">
        <v>2938</v>
      </c>
      <c r="B13" s="64">
        <v>8.25</v>
      </c>
      <c r="C13" s="64">
        <v>6.27</v>
      </c>
      <c r="D13" s="64">
        <v>9.89</v>
      </c>
      <c r="E13" s="64">
        <v>5.13</v>
      </c>
      <c r="F13" s="64">
        <v>9.0299999999999994</v>
      </c>
      <c r="G13" s="64">
        <v>16.21</v>
      </c>
      <c r="H13" s="64">
        <v>6.73</v>
      </c>
      <c r="I13" s="64">
        <v>1.3</v>
      </c>
      <c r="J13" s="64">
        <v>0.02</v>
      </c>
      <c r="K13" s="64">
        <v>218.01</v>
      </c>
      <c r="L13" s="64">
        <v>23.82</v>
      </c>
      <c r="M13" s="64">
        <v>98.03</v>
      </c>
      <c r="N13" s="64">
        <v>45.1</v>
      </c>
      <c r="O13" s="64">
        <v>0</v>
      </c>
      <c r="P13" s="64">
        <v>0.35</v>
      </c>
      <c r="Q13" s="64">
        <v>9.1</v>
      </c>
      <c r="R13" s="198"/>
      <c r="S13" s="198"/>
      <c r="T13" s="198"/>
      <c r="U13" s="198"/>
    </row>
    <row r="14" spans="1:21" s="12" customFormat="1" x14ac:dyDescent="0.25">
      <c r="A14" s="214" t="s">
        <v>2939</v>
      </c>
      <c r="B14" s="64">
        <v>6.98</v>
      </c>
      <c r="C14" s="64">
        <v>6.61</v>
      </c>
      <c r="D14" s="64">
        <v>9.0500000000000007</v>
      </c>
      <c r="E14" s="64">
        <v>5.03</v>
      </c>
      <c r="F14" s="64">
        <v>9.9700000000000006</v>
      </c>
      <c r="G14" s="64">
        <v>15.93</v>
      </c>
      <c r="H14" s="64">
        <v>6.73</v>
      </c>
      <c r="I14" s="64">
        <v>1.27</v>
      </c>
      <c r="J14" s="64">
        <v>0.02</v>
      </c>
      <c r="K14" s="64">
        <v>317.45999999999998</v>
      </c>
      <c r="L14" s="64">
        <v>23.59</v>
      </c>
      <c r="M14" s="64">
        <v>98.03</v>
      </c>
      <c r="N14" s="64">
        <v>45</v>
      </c>
      <c r="O14" s="64">
        <v>0</v>
      </c>
      <c r="P14" s="64">
        <v>0.27</v>
      </c>
      <c r="Q14" s="64">
        <v>9.07</v>
      </c>
      <c r="R14" s="198"/>
      <c r="S14" s="198"/>
      <c r="T14" s="198"/>
      <c r="U14" s="198"/>
    </row>
    <row r="15" spans="1:21" s="12" customFormat="1" x14ac:dyDescent="0.25">
      <c r="A15" s="214" t="s">
        <v>2940</v>
      </c>
      <c r="B15" s="64">
        <v>7.56</v>
      </c>
      <c r="C15" s="64">
        <v>6.78</v>
      </c>
      <c r="D15" s="64">
        <v>9.6</v>
      </c>
      <c r="E15" s="64">
        <v>5.0199999999999996</v>
      </c>
      <c r="F15" s="64">
        <v>6.92</v>
      </c>
      <c r="G15" s="64">
        <v>15.93</v>
      </c>
      <c r="H15" s="64">
        <v>6.73</v>
      </c>
      <c r="I15" s="64">
        <v>1.23</v>
      </c>
      <c r="J15" s="64">
        <v>0.05</v>
      </c>
      <c r="K15" s="64">
        <v>293.02999999999997</v>
      </c>
      <c r="L15" s="64">
        <v>23.39</v>
      </c>
      <c r="M15" s="64">
        <v>98.05</v>
      </c>
      <c r="N15" s="64">
        <v>45.3</v>
      </c>
      <c r="O15" s="64">
        <v>0</v>
      </c>
      <c r="P15" s="64">
        <v>0.37</v>
      </c>
      <c r="Q15" s="64">
        <v>9.07</v>
      </c>
      <c r="R15" s="198"/>
      <c r="S15" s="198"/>
      <c r="T15" s="198"/>
      <c r="U15" s="198"/>
    </row>
    <row r="16" spans="1:21" s="12" customFormat="1" x14ac:dyDescent="0.25">
      <c r="A16" s="214" t="s">
        <v>2941</v>
      </c>
      <c r="B16" s="64">
        <v>8.4</v>
      </c>
      <c r="C16" s="64">
        <v>5.67</v>
      </c>
      <c r="D16" s="64">
        <v>9.6999999999999993</v>
      </c>
      <c r="E16" s="64">
        <v>5.17</v>
      </c>
      <c r="F16" s="64">
        <v>8.5</v>
      </c>
      <c r="G16" s="64">
        <v>15.93</v>
      </c>
      <c r="H16" s="64">
        <v>6.73</v>
      </c>
      <c r="I16" s="64">
        <v>1.2</v>
      </c>
      <c r="J16" s="64">
        <v>0.16</v>
      </c>
      <c r="K16" s="64">
        <v>324.14</v>
      </c>
      <c r="L16" s="64">
        <v>23.16</v>
      </c>
      <c r="M16" s="64">
        <v>98.03</v>
      </c>
      <c r="N16" s="64">
        <v>45.8</v>
      </c>
      <c r="O16" s="64">
        <v>0</v>
      </c>
      <c r="P16" s="64">
        <v>0.36</v>
      </c>
      <c r="Q16" s="64">
        <v>9.07</v>
      </c>
      <c r="R16" s="198"/>
      <c r="S16" s="198"/>
      <c r="T16" s="198"/>
      <c r="U16" s="198"/>
    </row>
    <row r="17" spans="1:21" s="12" customFormat="1" x14ac:dyDescent="0.25">
      <c r="A17" s="214" t="s">
        <v>2942</v>
      </c>
      <c r="B17" s="64">
        <v>8.0500000000000007</v>
      </c>
      <c r="C17" s="64">
        <v>5.57</v>
      </c>
      <c r="D17" s="64">
        <v>9.36</v>
      </c>
      <c r="E17" s="64">
        <v>4.7699999999999996</v>
      </c>
      <c r="F17" s="64">
        <v>7.39</v>
      </c>
      <c r="G17" s="64">
        <v>14.66</v>
      </c>
      <c r="H17" s="64">
        <v>5.87</v>
      </c>
      <c r="I17" s="64">
        <v>1.17</v>
      </c>
      <c r="J17" s="64">
        <v>0.28999999999999998</v>
      </c>
      <c r="K17" s="64">
        <v>316.61</v>
      </c>
      <c r="L17" s="64">
        <v>23.09</v>
      </c>
      <c r="M17" s="64">
        <v>98.03</v>
      </c>
      <c r="N17" s="64">
        <v>45.7</v>
      </c>
      <c r="O17" s="64">
        <v>0</v>
      </c>
      <c r="P17" s="64">
        <v>0.34</v>
      </c>
      <c r="Q17" s="64">
        <v>9.06</v>
      </c>
      <c r="R17" s="198"/>
      <c r="S17" s="198"/>
      <c r="T17" s="198"/>
      <c r="U17" s="198"/>
    </row>
    <row r="18" spans="1:21" s="12" customFormat="1" x14ac:dyDescent="0.25">
      <c r="A18" s="214" t="s">
        <v>2943</v>
      </c>
      <c r="B18" s="64">
        <v>8.52</v>
      </c>
      <c r="C18" s="64">
        <v>5.45</v>
      </c>
      <c r="D18" s="64">
        <v>9.68</v>
      </c>
      <c r="E18" s="64">
        <v>4.96</v>
      </c>
      <c r="F18" s="64">
        <v>11.2</v>
      </c>
      <c r="G18" s="64">
        <v>14.57</v>
      </c>
      <c r="H18" s="64">
        <v>5.87</v>
      </c>
      <c r="I18" s="64">
        <v>1.1599999999999999</v>
      </c>
      <c r="J18" s="64">
        <v>0.1</v>
      </c>
      <c r="K18" s="64">
        <v>317.45</v>
      </c>
      <c r="L18" s="64">
        <v>23.08</v>
      </c>
      <c r="M18" s="64">
        <v>98.03</v>
      </c>
      <c r="N18" s="64">
        <v>45.1</v>
      </c>
      <c r="O18" s="64">
        <v>0</v>
      </c>
      <c r="P18" s="64">
        <v>0.37</v>
      </c>
      <c r="Q18" s="64">
        <v>9.0500000000000007</v>
      </c>
      <c r="R18" s="198"/>
      <c r="S18" s="198"/>
      <c r="T18" s="198"/>
      <c r="U18" s="198"/>
    </row>
    <row r="19" spans="1:21" s="12" customFormat="1" x14ac:dyDescent="0.25">
      <c r="A19" s="214" t="s">
        <v>2944</v>
      </c>
      <c r="B19" s="64">
        <v>7.9</v>
      </c>
      <c r="C19" s="64">
        <v>5.7</v>
      </c>
      <c r="D19" s="64">
        <v>9.32</v>
      </c>
      <c r="E19" s="64">
        <v>5.09</v>
      </c>
      <c r="F19" s="64">
        <v>11.73</v>
      </c>
      <c r="G19" s="64">
        <v>14.57</v>
      </c>
      <c r="H19" s="64">
        <v>5.87</v>
      </c>
      <c r="I19" s="64">
        <v>1.1399999999999999</v>
      </c>
      <c r="J19" s="64">
        <v>0.17</v>
      </c>
      <c r="K19" s="64">
        <v>313.83999999999997</v>
      </c>
      <c r="L19" s="64">
        <v>22.95</v>
      </c>
      <c r="M19" s="64">
        <v>98.03</v>
      </c>
      <c r="N19" s="64">
        <v>45.4</v>
      </c>
      <c r="O19" s="64">
        <v>0</v>
      </c>
      <c r="P19" s="64">
        <v>0.33</v>
      </c>
      <c r="Q19" s="64">
        <v>9.06</v>
      </c>
      <c r="R19" s="198"/>
      <c r="S19" s="198"/>
      <c r="T19" s="198"/>
      <c r="U19" s="198"/>
    </row>
    <row r="20" spans="1:21" s="12" customFormat="1" x14ac:dyDescent="0.25">
      <c r="A20" s="214" t="s">
        <v>2945</v>
      </c>
      <c r="B20" s="64">
        <v>7.22</v>
      </c>
      <c r="C20" s="64">
        <v>5.74</v>
      </c>
      <c r="D20" s="64">
        <v>8.7899999999999991</v>
      </c>
      <c r="E20" s="64">
        <v>4.87</v>
      </c>
      <c r="F20" s="64">
        <v>9.5399999999999991</v>
      </c>
      <c r="G20" s="64">
        <v>14.57</v>
      </c>
      <c r="H20" s="64">
        <v>5.87</v>
      </c>
      <c r="I20" s="64">
        <v>1.1100000000000001</v>
      </c>
      <c r="J20" s="64">
        <v>0.09</v>
      </c>
      <c r="K20" s="64">
        <v>309.19</v>
      </c>
      <c r="L20" s="64">
        <v>22.87</v>
      </c>
      <c r="M20" s="64">
        <v>98.03</v>
      </c>
      <c r="N20" s="64">
        <v>45.2</v>
      </c>
      <c r="O20" s="64">
        <v>0</v>
      </c>
      <c r="P20" s="64">
        <v>0.28000000000000003</v>
      </c>
      <c r="Q20" s="64">
        <v>9.0500000000000007</v>
      </c>
      <c r="R20" s="198"/>
      <c r="S20" s="198"/>
      <c r="T20" s="198"/>
      <c r="U20" s="198"/>
    </row>
    <row r="21" spans="1:21" s="12" customFormat="1" x14ac:dyDescent="0.25">
      <c r="A21" s="214" t="s">
        <v>2946</v>
      </c>
      <c r="B21" s="64">
        <v>6.67</v>
      </c>
      <c r="C21" s="64">
        <v>5.89</v>
      </c>
      <c r="D21" s="64">
        <v>8.43</v>
      </c>
      <c r="E21" s="64">
        <v>4.7</v>
      </c>
      <c r="F21" s="64">
        <v>10.33</v>
      </c>
      <c r="G21" s="64">
        <v>10.49</v>
      </c>
      <c r="H21" s="64">
        <v>10.01</v>
      </c>
      <c r="I21" s="64">
        <v>1.0900000000000001</v>
      </c>
      <c r="J21" s="64">
        <v>7.0000000000000007E-2</v>
      </c>
      <c r="K21" s="64">
        <v>308.61</v>
      </c>
      <c r="L21" s="64">
        <v>22.83</v>
      </c>
      <c r="M21" s="64">
        <v>98.03</v>
      </c>
      <c r="N21" s="64">
        <v>45</v>
      </c>
      <c r="O21" s="64">
        <v>0</v>
      </c>
      <c r="P21" s="64">
        <v>0.25</v>
      </c>
      <c r="Q21" s="64">
        <v>9.0500000000000007</v>
      </c>
      <c r="R21" s="198"/>
      <c r="S21" s="198"/>
      <c r="T21" s="198"/>
      <c r="U21" s="198"/>
    </row>
    <row r="22" spans="1:21" s="12" customFormat="1" x14ac:dyDescent="0.25">
      <c r="A22" s="214" t="s">
        <v>2947</v>
      </c>
      <c r="B22" s="64">
        <v>7.02</v>
      </c>
      <c r="C22" s="64">
        <v>5.63</v>
      </c>
      <c r="D22" s="64">
        <v>8.57</v>
      </c>
      <c r="E22" s="64">
        <v>4.78</v>
      </c>
      <c r="F22" s="64">
        <v>12.66</v>
      </c>
      <c r="G22" s="64">
        <v>10.199999999999999</v>
      </c>
      <c r="H22" s="64">
        <v>10.01</v>
      </c>
      <c r="I22" s="64">
        <v>1.08</v>
      </c>
      <c r="J22" s="64">
        <v>0.01</v>
      </c>
      <c r="K22" s="64">
        <v>215.5</v>
      </c>
      <c r="L22" s="64">
        <v>22.92</v>
      </c>
      <c r="M22" s="64">
        <v>98.03</v>
      </c>
      <c r="N22" s="64">
        <v>45.2</v>
      </c>
      <c r="O22" s="64">
        <v>0</v>
      </c>
      <c r="P22" s="64">
        <v>0.27</v>
      </c>
      <c r="Q22" s="64">
        <v>9.0399999999999991</v>
      </c>
      <c r="R22" s="198"/>
      <c r="S22" s="198"/>
      <c r="T22" s="198"/>
      <c r="U22" s="198"/>
    </row>
    <row r="23" spans="1:21" s="12" customFormat="1" x14ac:dyDescent="0.25">
      <c r="A23" s="214" t="s">
        <v>2948</v>
      </c>
      <c r="B23" s="64">
        <v>6.55</v>
      </c>
      <c r="C23" s="64">
        <v>5.78</v>
      </c>
      <c r="D23" s="64">
        <v>8.27</v>
      </c>
      <c r="E23" s="64">
        <v>4.87</v>
      </c>
      <c r="F23" s="64">
        <v>9.14</v>
      </c>
      <c r="G23" s="64">
        <v>10.199999999999999</v>
      </c>
      <c r="H23" s="64">
        <v>10.01</v>
      </c>
      <c r="I23" s="64">
        <v>1.06</v>
      </c>
      <c r="J23" s="64">
        <v>0.06</v>
      </c>
      <c r="K23" s="64">
        <v>214.27</v>
      </c>
      <c r="L23" s="64">
        <v>22.92</v>
      </c>
      <c r="M23" s="64">
        <v>98.03</v>
      </c>
      <c r="N23" s="64">
        <v>45.2</v>
      </c>
      <c r="O23" s="64">
        <v>0</v>
      </c>
      <c r="P23" s="64">
        <v>0.28999999999999998</v>
      </c>
      <c r="Q23" s="64">
        <v>9.0500000000000007</v>
      </c>
      <c r="R23" s="198"/>
      <c r="S23" s="198"/>
      <c r="T23" s="198"/>
      <c r="U23" s="198"/>
    </row>
    <row r="24" spans="1:21" s="12" customFormat="1" x14ac:dyDescent="0.25">
      <c r="A24" s="214" t="s">
        <v>2949</v>
      </c>
      <c r="B24" s="64">
        <v>6.2</v>
      </c>
      <c r="C24" s="64">
        <v>5.98</v>
      </c>
      <c r="D24" s="64">
        <v>8.1</v>
      </c>
      <c r="E24" s="64">
        <v>4.7</v>
      </c>
      <c r="F24" s="64">
        <v>9.6300000000000008</v>
      </c>
      <c r="G24" s="64">
        <v>10.199999999999999</v>
      </c>
      <c r="H24" s="64">
        <v>10.01</v>
      </c>
      <c r="I24" s="64">
        <v>1.04</v>
      </c>
      <c r="J24" s="64">
        <v>0.08</v>
      </c>
      <c r="K24" s="64">
        <v>197.33</v>
      </c>
      <c r="L24" s="64">
        <v>22.94</v>
      </c>
      <c r="M24" s="64">
        <v>98.03</v>
      </c>
      <c r="N24" s="64">
        <v>45.2</v>
      </c>
      <c r="O24" s="64">
        <v>0</v>
      </c>
      <c r="P24" s="64">
        <v>0.25</v>
      </c>
      <c r="Q24" s="64">
        <v>9.07</v>
      </c>
      <c r="R24" s="198"/>
      <c r="S24" s="198"/>
      <c r="T24" s="198"/>
      <c r="U24" s="198"/>
    </row>
    <row r="25" spans="1:21" s="12" customFormat="1" x14ac:dyDescent="0.25">
      <c r="A25" s="214" t="s">
        <v>2950</v>
      </c>
      <c r="B25" s="64">
        <v>6.05</v>
      </c>
      <c r="C25" s="64">
        <v>6.81</v>
      </c>
      <c r="D25" s="64">
        <v>8.41</v>
      </c>
      <c r="E25" s="64">
        <v>4.9000000000000004</v>
      </c>
      <c r="F25" s="64">
        <v>8.35</v>
      </c>
      <c r="G25" s="64">
        <v>13.43</v>
      </c>
      <c r="H25" s="64">
        <v>8.16</v>
      </c>
      <c r="I25" s="64">
        <v>1.03</v>
      </c>
      <c r="J25" s="64">
        <v>0.09</v>
      </c>
      <c r="K25" s="64">
        <v>135.38999999999999</v>
      </c>
      <c r="L25" s="64">
        <v>22.96</v>
      </c>
      <c r="M25" s="64">
        <v>98.03</v>
      </c>
      <c r="N25" s="64">
        <v>45.2</v>
      </c>
      <c r="O25" s="64">
        <v>0</v>
      </c>
      <c r="P25" s="64">
        <v>0.28999999999999998</v>
      </c>
      <c r="Q25" s="64">
        <v>9.08</v>
      </c>
      <c r="R25" s="198"/>
      <c r="S25" s="198"/>
      <c r="T25" s="198"/>
      <c r="U25" s="198"/>
    </row>
    <row r="26" spans="1:21" s="12" customFormat="1" x14ac:dyDescent="0.25">
      <c r="A26" s="214" t="s">
        <v>2951</v>
      </c>
      <c r="B26" s="64">
        <v>6.18</v>
      </c>
      <c r="C26" s="64">
        <v>8.2200000000000006</v>
      </c>
      <c r="D26" s="64">
        <v>9.25</v>
      </c>
      <c r="E26" s="64">
        <v>5.04</v>
      </c>
      <c r="F26" s="64">
        <v>9.44</v>
      </c>
      <c r="G26" s="64">
        <v>13.66</v>
      </c>
      <c r="H26" s="64">
        <v>8.16</v>
      </c>
      <c r="I26" s="64">
        <v>1.1100000000000001</v>
      </c>
      <c r="J26" s="64">
        <v>0.05</v>
      </c>
      <c r="K26" s="64">
        <v>254.1</v>
      </c>
      <c r="L26" s="64">
        <v>23.01</v>
      </c>
      <c r="M26" s="64">
        <v>98.02</v>
      </c>
      <c r="N26" s="64">
        <v>45.4</v>
      </c>
      <c r="O26" s="64">
        <v>0</v>
      </c>
      <c r="P26" s="64">
        <v>0.31</v>
      </c>
      <c r="Q26" s="64">
        <v>9.08</v>
      </c>
      <c r="R26" s="198"/>
      <c r="S26" s="198"/>
      <c r="T26" s="198"/>
      <c r="U26" s="198"/>
    </row>
    <row r="27" spans="1:21" s="12" customFormat="1" x14ac:dyDescent="0.25">
      <c r="A27" s="214" t="s">
        <v>2952</v>
      </c>
      <c r="B27" s="64">
        <v>6.03</v>
      </c>
      <c r="C27" s="64">
        <v>8.23</v>
      </c>
      <c r="D27" s="64">
        <v>9.14</v>
      </c>
      <c r="E27" s="64">
        <v>5.23</v>
      </c>
      <c r="F27" s="64">
        <v>9.73</v>
      </c>
      <c r="G27" s="64">
        <v>13.66</v>
      </c>
      <c r="H27" s="64">
        <v>8.16</v>
      </c>
      <c r="I27" s="64">
        <v>1.17</v>
      </c>
      <c r="J27" s="64">
        <v>0.04</v>
      </c>
      <c r="K27" s="64">
        <v>261.19</v>
      </c>
      <c r="L27" s="64">
        <v>23.03</v>
      </c>
      <c r="M27" s="64">
        <v>98.02</v>
      </c>
      <c r="N27" s="64">
        <v>45.1</v>
      </c>
      <c r="O27" s="64">
        <v>0</v>
      </c>
      <c r="P27" s="64">
        <v>0.31</v>
      </c>
      <c r="Q27" s="64">
        <v>9.08</v>
      </c>
      <c r="R27" s="198"/>
      <c r="S27" s="198"/>
      <c r="T27" s="198"/>
      <c r="U27" s="198"/>
    </row>
    <row r="28" spans="1:21" s="12" customFormat="1" x14ac:dyDescent="0.25">
      <c r="A28" s="214" t="s">
        <v>2953</v>
      </c>
      <c r="B28" s="64">
        <v>10.82</v>
      </c>
      <c r="C28" s="64">
        <v>9.5299999999999994</v>
      </c>
      <c r="D28" s="64">
        <v>13.65</v>
      </c>
      <c r="E28" s="64">
        <v>4.87</v>
      </c>
      <c r="F28" s="64">
        <v>8.49</v>
      </c>
      <c r="G28" s="64">
        <v>13.66</v>
      </c>
      <c r="H28" s="64">
        <v>8.16</v>
      </c>
      <c r="I28" s="64">
        <v>1.18</v>
      </c>
      <c r="J28" s="64">
        <v>0.05</v>
      </c>
      <c r="K28" s="64">
        <v>288.86</v>
      </c>
      <c r="L28" s="64">
        <v>22.95</v>
      </c>
      <c r="M28" s="64">
        <v>98.03</v>
      </c>
      <c r="N28" s="64">
        <v>44.9</v>
      </c>
      <c r="O28" s="64">
        <v>0</v>
      </c>
      <c r="P28" s="64">
        <v>0.34</v>
      </c>
      <c r="Q28" s="64">
        <v>9.09</v>
      </c>
      <c r="R28" s="198"/>
      <c r="S28" s="198"/>
      <c r="T28" s="198"/>
      <c r="U28" s="198"/>
    </row>
    <row r="29" spans="1:21" s="12" customFormat="1" x14ac:dyDescent="0.25">
      <c r="A29" s="214" t="s">
        <v>2954</v>
      </c>
      <c r="B29" s="64">
        <v>8.3800000000000008</v>
      </c>
      <c r="C29" s="64">
        <v>8.61</v>
      </c>
      <c r="D29" s="64">
        <v>11.22</v>
      </c>
      <c r="E29" s="64">
        <v>4.99</v>
      </c>
      <c r="F29" s="64">
        <v>7.02</v>
      </c>
      <c r="G29" s="64">
        <v>10.210000000000001</v>
      </c>
      <c r="H29" s="64">
        <v>6.87</v>
      </c>
      <c r="I29" s="64">
        <v>1.21</v>
      </c>
      <c r="J29" s="64">
        <v>0.05</v>
      </c>
      <c r="K29" s="64">
        <v>264.70999999999998</v>
      </c>
      <c r="L29" s="64">
        <v>22.89</v>
      </c>
      <c r="M29" s="64">
        <v>98.03</v>
      </c>
      <c r="N29" s="64">
        <v>44.9</v>
      </c>
      <c r="O29" s="64">
        <v>0</v>
      </c>
      <c r="P29" s="64">
        <v>0.33</v>
      </c>
      <c r="Q29" s="64">
        <v>9.1</v>
      </c>
      <c r="R29" s="198"/>
      <c r="S29" s="198"/>
      <c r="T29" s="198"/>
      <c r="U29" s="198"/>
    </row>
    <row r="30" spans="1:21" s="12" customFormat="1" x14ac:dyDescent="0.25">
      <c r="A30" s="214" t="s">
        <v>2955</v>
      </c>
      <c r="B30" s="64">
        <v>8.5399999999999991</v>
      </c>
      <c r="C30" s="64">
        <v>7.2</v>
      </c>
      <c r="D30" s="64">
        <v>10.61</v>
      </c>
      <c r="E30" s="64">
        <v>4.91</v>
      </c>
      <c r="F30" s="64">
        <v>5.3</v>
      </c>
      <c r="G30" s="64">
        <v>9.9600000000000009</v>
      </c>
      <c r="H30" s="64">
        <v>6.87</v>
      </c>
      <c r="I30" s="64">
        <v>1.22</v>
      </c>
      <c r="J30" s="64">
        <v>0.05</v>
      </c>
      <c r="K30" s="64">
        <v>309.68</v>
      </c>
      <c r="L30" s="64">
        <v>22.8</v>
      </c>
      <c r="M30" s="64">
        <v>98.03</v>
      </c>
      <c r="N30" s="64">
        <v>44.9</v>
      </c>
      <c r="O30" s="64">
        <v>0</v>
      </c>
      <c r="P30" s="64">
        <v>0.33</v>
      </c>
      <c r="Q30" s="64">
        <v>9.09</v>
      </c>
      <c r="R30" s="198"/>
      <c r="S30" s="198"/>
      <c r="T30" s="198"/>
      <c r="U30" s="198"/>
    </row>
    <row r="31" spans="1:21" s="12" customFormat="1" x14ac:dyDescent="0.25">
      <c r="A31" s="214" t="s">
        <v>2956</v>
      </c>
      <c r="B31" s="64">
        <v>7.88</v>
      </c>
      <c r="C31" s="64">
        <v>6.7</v>
      </c>
      <c r="D31" s="64">
        <v>9.82</v>
      </c>
      <c r="E31" s="64">
        <v>4.9800000000000004</v>
      </c>
      <c r="F31" s="64">
        <v>7.77</v>
      </c>
      <c r="G31" s="64">
        <v>9.9600000000000009</v>
      </c>
      <c r="H31" s="64">
        <v>6.87</v>
      </c>
      <c r="I31" s="64">
        <v>1.22</v>
      </c>
      <c r="J31" s="64">
        <v>0.05</v>
      </c>
      <c r="K31" s="64">
        <v>132.31</v>
      </c>
      <c r="L31" s="64">
        <v>22.82</v>
      </c>
      <c r="M31" s="64">
        <v>98.05</v>
      </c>
      <c r="N31" s="64">
        <v>45.6</v>
      </c>
      <c r="O31" s="64">
        <v>0</v>
      </c>
      <c r="P31" s="64">
        <v>0.33</v>
      </c>
      <c r="Q31" s="64">
        <v>9.07</v>
      </c>
      <c r="R31" s="198"/>
      <c r="S31" s="198"/>
      <c r="T31" s="198"/>
      <c r="U31" s="198"/>
    </row>
    <row r="32" spans="1:21" s="12" customFormat="1" x14ac:dyDescent="0.25">
      <c r="A32" s="214" t="s">
        <v>2957</v>
      </c>
      <c r="B32" s="64">
        <v>9.6199999999999992</v>
      </c>
      <c r="C32" s="64">
        <v>9.1</v>
      </c>
      <c r="D32" s="64">
        <v>12.47</v>
      </c>
      <c r="E32" s="64">
        <v>5.0999999999999996</v>
      </c>
      <c r="F32" s="64">
        <v>6.94</v>
      </c>
      <c r="G32" s="64">
        <v>9.9600000000000009</v>
      </c>
      <c r="H32" s="64">
        <v>6.87</v>
      </c>
      <c r="I32" s="64">
        <v>1.21</v>
      </c>
      <c r="J32" s="64">
        <v>0.05</v>
      </c>
      <c r="K32" s="64">
        <v>274.93</v>
      </c>
      <c r="L32" s="64">
        <v>22.9</v>
      </c>
      <c r="M32" s="64">
        <v>98.07</v>
      </c>
      <c r="N32" s="64">
        <v>49.2</v>
      </c>
      <c r="O32" s="64">
        <v>0</v>
      </c>
      <c r="P32" s="64">
        <v>0.33</v>
      </c>
      <c r="Q32" s="64">
        <v>9.07</v>
      </c>
      <c r="R32" s="198"/>
      <c r="S32" s="198"/>
      <c r="T32" s="198"/>
      <c r="U32" s="198"/>
    </row>
    <row r="33" spans="1:21" s="12" customFormat="1" x14ac:dyDescent="0.25">
      <c r="A33" s="214" t="s">
        <v>2958</v>
      </c>
      <c r="B33" s="64">
        <v>8.84</v>
      </c>
      <c r="C33" s="64">
        <v>7.44</v>
      </c>
      <c r="D33" s="64">
        <v>10.98</v>
      </c>
      <c r="E33" s="64">
        <v>4.68</v>
      </c>
      <c r="F33" s="64">
        <v>7.28</v>
      </c>
      <c r="G33" s="64">
        <v>9.3000000000000007</v>
      </c>
      <c r="H33" s="64">
        <v>5.96</v>
      </c>
      <c r="I33" s="64">
        <v>1.21</v>
      </c>
      <c r="J33" s="64">
        <v>0.05</v>
      </c>
      <c r="K33" s="64">
        <v>178.63</v>
      </c>
      <c r="L33" s="64">
        <v>22.97</v>
      </c>
      <c r="M33" s="64">
        <v>98.07</v>
      </c>
      <c r="N33" s="64">
        <v>53.4</v>
      </c>
      <c r="O33" s="64">
        <v>0</v>
      </c>
      <c r="P33" s="64">
        <v>0.33</v>
      </c>
      <c r="Q33" s="64">
        <v>9.06</v>
      </c>
      <c r="R33" s="198"/>
      <c r="S33" s="198"/>
      <c r="T33" s="198"/>
      <c r="U33" s="198"/>
    </row>
    <row r="34" spans="1:21" s="12" customFormat="1" x14ac:dyDescent="0.25">
      <c r="A34" s="214" t="s">
        <v>2959</v>
      </c>
      <c r="B34" s="64">
        <v>6.92</v>
      </c>
      <c r="C34" s="64">
        <v>8.43</v>
      </c>
      <c r="D34" s="64">
        <v>9.9499999999999993</v>
      </c>
      <c r="E34" s="64">
        <v>4.8600000000000003</v>
      </c>
      <c r="F34" s="64">
        <v>9.52</v>
      </c>
      <c r="G34" s="64">
        <v>9.25</v>
      </c>
      <c r="H34" s="64">
        <v>5.96</v>
      </c>
      <c r="I34" s="64">
        <v>1.22</v>
      </c>
      <c r="J34" s="64">
        <v>0.1</v>
      </c>
      <c r="K34" s="64">
        <v>162.68</v>
      </c>
      <c r="L34" s="64">
        <v>23</v>
      </c>
      <c r="M34" s="64">
        <v>98.12</v>
      </c>
      <c r="N34" s="64">
        <v>74.599999999999994</v>
      </c>
      <c r="O34" s="64">
        <v>0</v>
      </c>
      <c r="P34" s="64">
        <v>0.3</v>
      </c>
      <c r="Q34" s="64">
        <v>9.06</v>
      </c>
      <c r="R34" s="198"/>
      <c r="S34" s="198"/>
      <c r="T34" s="198"/>
      <c r="U34" s="198"/>
    </row>
    <row r="35" spans="1:21" s="12" customFormat="1" x14ac:dyDescent="0.25">
      <c r="A35" s="214" t="s">
        <v>2960</v>
      </c>
      <c r="B35" s="64">
        <v>8.69</v>
      </c>
      <c r="C35" s="64">
        <v>6.22</v>
      </c>
      <c r="D35" s="64">
        <v>10.220000000000001</v>
      </c>
      <c r="E35" s="64">
        <v>4.51</v>
      </c>
      <c r="F35" s="64">
        <v>5.78</v>
      </c>
      <c r="G35" s="64">
        <v>9.25</v>
      </c>
      <c r="H35" s="64">
        <v>5.96</v>
      </c>
      <c r="I35" s="64">
        <v>1.23</v>
      </c>
      <c r="J35" s="64">
        <v>0.05</v>
      </c>
      <c r="K35" s="64">
        <v>167.11</v>
      </c>
      <c r="L35" s="64">
        <v>23.39</v>
      </c>
      <c r="M35" s="64">
        <v>98.12</v>
      </c>
      <c r="N35" s="64">
        <v>70.8</v>
      </c>
      <c r="O35" s="64">
        <v>0</v>
      </c>
      <c r="P35" s="64">
        <v>0.35</v>
      </c>
      <c r="Q35" s="64">
        <v>9.06</v>
      </c>
      <c r="R35" s="198"/>
      <c r="S35" s="198"/>
      <c r="T35" s="198"/>
      <c r="U35" s="198"/>
    </row>
    <row r="36" spans="1:21" s="12" customFormat="1" x14ac:dyDescent="0.25">
      <c r="A36" s="214" t="s">
        <v>2961</v>
      </c>
      <c r="B36" s="64">
        <v>7.66</v>
      </c>
      <c r="C36" s="64">
        <v>7.3</v>
      </c>
      <c r="D36" s="64">
        <v>9.9499999999999993</v>
      </c>
      <c r="E36" s="64">
        <v>4.5599999999999996</v>
      </c>
      <c r="F36" s="64">
        <v>8.9</v>
      </c>
      <c r="G36" s="64">
        <v>9.25</v>
      </c>
      <c r="H36" s="64">
        <v>5.96</v>
      </c>
      <c r="I36" s="64">
        <v>1.23</v>
      </c>
      <c r="J36" s="64">
        <v>7.0000000000000007E-2</v>
      </c>
      <c r="K36" s="64">
        <v>142.47999999999999</v>
      </c>
      <c r="L36" s="64">
        <v>23.26</v>
      </c>
      <c r="M36" s="64">
        <v>98.09</v>
      </c>
      <c r="N36" s="64">
        <v>64.400000000000006</v>
      </c>
      <c r="O36" s="64">
        <v>0</v>
      </c>
      <c r="P36" s="64">
        <v>0.3</v>
      </c>
      <c r="Q36" s="64">
        <v>9.06</v>
      </c>
      <c r="R36" s="198"/>
      <c r="S36" s="198"/>
      <c r="T36" s="198"/>
      <c r="U36" s="198"/>
    </row>
    <row r="37" spans="1:21" s="12" customFormat="1" x14ac:dyDescent="0.25">
      <c r="A37" s="214" t="s">
        <v>2962</v>
      </c>
      <c r="B37" s="64">
        <v>13.72</v>
      </c>
      <c r="C37" s="64">
        <v>8.9600000000000009</v>
      </c>
      <c r="D37" s="64">
        <v>15.68</v>
      </c>
      <c r="E37" s="64">
        <v>4.76</v>
      </c>
      <c r="F37" s="64">
        <v>6.48</v>
      </c>
      <c r="G37" s="64">
        <v>6.66</v>
      </c>
      <c r="H37" s="64">
        <v>7.97</v>
      </c>
      <c r="I37" s="64">
        <v>1.22</v>
      </c>
      <c r="J37" s="64">
        <v>0</v>
      </c>
      <c r="K37" s="64">
        <v>348.96</v>
      </c>
      <c r="L37" s="64">
        <v>23.3</v>
      </c>
      <c r="M37" s="64">
        <v>98.27</v>
      </c>
      <c r="N37" s="64">
        <v>62.4</v>
      </c>
      <c r="O37" s="64">
        <v>0</v>
      </c>
      <c r="P37" s="64">
        <v>0.34</v>
      </c>
      <c r="Q37" s="64">
        <v>9.06</v>
      </c>
      <c r="R37" s="198"/>
      <c r="S37" s="198"/>
      <c r="T37" s="198"/>
      <c r="U37" s="198"/>
    </row>
    <row r="38" spans="1:21" s="12" customFormat="1" x14ac:dyDescent="0.25">
      <c r="A38" s="214" t="s">
        <v>2963</v>
      </c>
      <c r="B38" s="64">
        <v>11.88</v>
      </c>
      <c r="C38" s="64">
        <v>6.46</v>
      </c>
      <c r="D38" s="64">
        <v>12.9</v>
      </c>
      <c r="E38" s="64">
        <v>5.15</v>
      </c>
      <c r="F38" s="64">
        <v>7.05</v>
      </c>
      <c r="G38" s="64">
        <v>6.47</v>
      </c>
      <c r="H38" s="64">
        <v>7.97</v>
      </c>
      <c r="I38" s="64">
        <v>1.21</v>
      </c>
      <c r="J38" s="64">
        <v>0.09</v>
      </c>
      <c r="K38" s="64">
        <v>352.46</v>
      </c>
      <c r="L38" s="64">
        <v>23.39</v>
      </c>
      <c r="M38" s="64">
        <v>98.34</v>
      </c>
      <c r="N38" s="64">
        <v>70.900000000000006</v>
      </c>
      <c r="O38" s="64">
        <v>0</v>
      </c>
      <c r="P38" s="64">
        <v>0.34</v>
      </c>
      <c r="Q38" s="64">
        <v>9.08</v>
      </c>
      <c r="R38" s="198"/>
      <c r="S38" s="198"/>
      <c r="T38" s="198"/>
      <c r="U38" s="198"/>
    </row>
    <row r="39" spans="1:21" s="12" customFormat="1" x14ac:dyDescent="0.25">
      <c r="A39" s="214" t="s">
        <v>2964</v>
      </c>
      <c r="B39" s="64">
        <v>14.67</v>
      </c>
      <c r="C39" s="64">
        <v>10.7</v>
      </c>
      <c r="D39" s="64">
        <v>17.32</v>
      </c>
      <c r="E39" s="64">
        <v>4.9400000000000004</v>
      </c>
      <c r="F39" s="64">
        <v>7.14</v>
      </c>
      <c r="G39" s="64">
        <v>6.47</v>
      </c>
      <c r="H39" s="64">
        <v>7.97</v>
      </c>
      <c r="I39" s="64">
        <v>1.22</v>
      </c>
      <c r="J39" s="64">
        <v>0.06</v>
      </c>
      <c r="K39" s="64">
        <v>6.66</v>
      </c>
      <c r="L39" s="64">
        <v>23.57</v>
      </c>
      <c r="M39" s="64">
        <v>98.31</v>
      </c>
      <c r="N39" s="64">
        <v>90.5</v>
      </c>
      <c r="O39" s="64">
        <v>0</v>
      </c>
      <c r="P39" s="64">
        <v>0.35</v>
      </c>
      <c r="Q39" s="64">
        <v>9.08</v>
      </c>
      <c r="R39" s="198"/>
      <c r="S39" s="198"/>
      <c r="T39" s="198"/>
      <c r="U39" s="198"/>
    </row>
    <row r="40" spans="1:21" s="12" customFormat="1" x14ac:dyDescent="0.25">
      <c r="A40" s="214" t="s">
        <v>2965</v>
      </c>
      <c r="B40" s="64">
        <v>11.07</v>
      </c>
      <c r="C40" s="64">
        <v>9.02</v>
      </c>
      <c r="D40" s="64">
        <v>13.59</v>
      </c>
      <c r="E40" s="64">
        <v>4.58</v>
      </c>
      <c r="F40" s="64">
        <v>9.91</v>
      </c>
      <c r="G40" s="64">
        <v>6.47</v>
      </c>
      <c r="H40" s="64">
        <v>7.97</v>
      </c>
      <c r="I40" s="64">
        <v>1.22</v>
      </c>
      <c r="J40" s="64">
        <v>0.05</v>
      </c>
      <c r="K40" s="64">
        <v>40.1</v>
      </c>
      <c r="L40" s="64">
        <v>23.82</v>
      </c>
      <c r="M40" s="64">
        <v>98.01</v>
      </c>
      <c r="N40" s="64">
        <v>109.2</v>
      </c>
      <c r="O40" s="64">
        <v>0</v>
      </c>
      <c r="P40" s="64">
        <v>0.39</v>
      </c>
      <c r="Q40" s="64">
        <v>9.1</v>
      </c>
      <c r="R40" s="198"/>
      <c r="S40" s="198"/>
      <c r="T40" s="198"/>
      <c r="U40" s="198"/>
    </row>
    <row r="41" spans="1:21" s="12" customFormat="1" x14ac:dyDescent="0.25">
      <c r="A41" s="214" t="s">
        <v>2966</v>
      </c>
      <c r="B41" s="64">
        <v>20.03</v>
      </c>
      <c r="C41" s="64">
        <v>10.57</v>
      </c>
      <c r="D41" s="64">
        <v>21.51</v>
      </c>
      <c r="E41" s="64">
        <v>4.62</v>
      </c>
      <c r="F41" s="64">
        <v>7.27</v>
      </c>
      <c r="G41" s="64">
        <v>4.66</v>
      </c>
      <c r="H41" s="64">
        <v>6.81</v>
      </c>
      <c r="I41" s="64">
        <v>1.23</v>
      </c>
      <c r="J41" s="64">
        <v>0.09</v>
      </c>
      <c r="K41" s="64">
        <v>358.19</v>
      </c>
      <c r="L41" s="64">
        <v>23.94</v>
      </c>
      <c r="M41" s="64">
        <v>97.97</v>
      </c>
      <c r="N41" s="64">
        <v>104.4</v>
      </c>
      <c r="O41" s="64">
        <v>0</v>
      </c>
      <c r="P41" s="64">
        <v>0.4</v>
      </c>
      <c r="Q41" s="64">
        <v>9.1</v>
      </c>
      <c r="R41" s="198"/>
      <c r="S41" s="198"/>
      <c r="T41" s="198"/>
      <c r="U41" s="198"/>
    </row>
    <row r="42" spans="1:21" s="12" customFormat="1" x14ac:dyDescent="0.25">
      <c r="A42" s="214" t="s">
        <v>2967</v>
      </c>
      <c r="B42" s="64">
        <v>10.29</v>
      </c>
      <c r="C42" s="64">
        <v>9.06</v>
      </c>
      <c r="D42" s="64">
        <v>12.99</v>
      </c>
      <c r="E42" s="64">
        <v>4.42</v>
      </c>
      <c r="F42" s="64">
        <v>8.14</v>
      </c>
      <c r="G42" s="64">
        <v>4.53</v>
      </c>
      <c r="H42" s="64">
        <v>6.81</v>
      </c>
      <c r="I42" s="64">
        <v>1.24</v>
      </c>
      <c r="J42" s="64">
        <v>0.06</v>
      </c>
      <c r="K42" s="64">
        <v>205.27</v>
      </c>
      <c r="L42" s="64">
        <v>23.95</v>
      </c>
      <c r="M42" s="64">
        <v>97.95</v>
      </c>
      <c r="N42" s="64">
        <v>125.2</v>
      </c>
      <c r="O42" s="64">
        <v>0</v>
      </c>
      <c r="P42" s="64">
        <v>0.33</v>
      </c>
      <c r="Q42" s="64">
        <v>9.11</v>
      </c>
      <c r="R42" s="198"/>
      <c r="S42" s="198"/>
      <c r="T42" s="198"/>
      <c r="U42" s="198"/>
    </row>
    <row r="43" spans="1:21" s="12" customFormat="1" x14ac:dyDescent="0.25">
      <c r="A43" s="214" t="s">
        <v>2968</v>
      </c>
      <c r="B43" s="64">
        <v>10.210000000000001</v>
      </c>
      <c r="C43" s="64">
        <v>6.42</v>
      </c>
      <c r="D43" s="64">
        <v>11.54</v>
      </c>
      <c r="E43" s="64">
        <v>4.26</v>
      </c>
      <c r="F43" s="64">
        <v>6.43</v>
      </c>
      <c r="G43" s="64">
        <v>4.53</v>
      </c>
      <c r="H43" s="64">
        <v>6.81</v>
      </c>
      <c r="I43" s="64">
        <v>1.24</v>
      </c>
      <c r="J43" s="64">
        <v>0.06</v>
      </c>
      <c r="K43" s="64">
        <v>244.64</v>
      </c>
      <c r="L43" s="64">
        <v>24.19</v>
      </c>
      <c r="M43" s="64">
        <v>98.02</v>
      </c>
      <c r="N43" s="64">
        <v>143.5</v>
      </c>
      <c r="O43" s="64">
        <v>0</v>
      </c>
      <c r="P43" s="64">
        <v>0.32</v>
      </c>
      <c r="Q43" s="64">
        <v>9.1199999999999992</v>
      </c>
      <c r="R43" s="198"/>
      <c r="S43" s="198"/>
      <c r="T43" s="198"/>
      <c r="U43" s="198"/>
    </row>
    <row r="44" spans="1:21" s="12" customFormat="1" x14ac:dyDescent="0.25">
      <c r="A44" s="214" t="s">
        <v>2969</v>
      </c>
      <c r="B44" s="64">
        <v>11.84</v>
      </c>
      <c r="C44" s="64">
        <v>7.44</v>
      </c>
      <c r="D44" s="64">
        <v>13.38</v>
      </c>
      <c r="E44" s="64">
        <v>4.49</v>
      </c>
      <c r="F44" s="64">
        <v>10.26</v>
      </c>
      <c r="G44" s="64">
        <v>4.53</v>
      </c>
      <c r="H44" s="64">
        <v>6.81</v>
      </c>
      <c r="I44" s="64">
        <v>1.23</v>
      </c>
      <c r="J44" s="64">
        <v>0.06</v>
      </c>
      <c r="K44" s="64">
        <v>210.48</v>
      </c>
      <c r="L44" s="64">
        <v>24.31</v>
      </c>
      <c r="M44" s="64">
        <v>97.99</v>
      </c>
      <c r="N44" s="64">
        <v>149.1</v>
      </c>
      <c r="O44" s="64">
        <v>0</v>
      </c>
      <c r="P44" s="64">
        <v>0.36</v>
      </c>
      <c r="Q44" s="64">
        <v>9.1199999999999992</v>
      </c>
      <c r="R44" s="198"/>
      <c r="S44" s="198"/>
      <c r="T44" s="198"/>
      <c r="U44" s="198"/>
    </row>
    <row r="45" spans="1:21" s="12" customFormat="1" x14ac:dyDescent="0.25">
      <c r="A45" s="214" t="s">
        <v>2970</v>
      </c>
      <c r="B45" s="64">
        <v>10.29</v>
      </c>
      <c r="C45" s="64">
        <v>7.14</v>
      </c>
      <c r="D45" s="64">
        <v>11.98</v>
      </c>
      <c r="E45" s="64">
        <v>4.5199999999999996</v>
      </c>
      <c r="F45" s="64">
        <v>8.01</v>
      </c>
      <c r="G45" s="64">
        <v>11.26</v>
      </c>
      <c r="H45" s="64">
        <v>6.04</v>
      </c>
      <c r="I45" s="64">
        <v>1.24</v>
      </c>
      <c r="J45" s="64">
        <v>0.09</v>
      </c>
      <c r="K45" s="64">
        <v>268.11</v>
      </c>
      <c r="L45" s="64">
        <v>24.32</v>
      </c>
      <c r="M45" s="64">
        <v>97.98</v>
      </c>
      <c r="N45" s="64">
        <v>169.2</v>
      </c>
      <c r="O45" s="64">
        <v>0</v>
      </c>
      <c r="P45" s="64">
        <v>0.32</v>
      </c>
      <c r="Q45" s="64">
        <v>9.1199999999999992</v>
      </c>
      <c r="R45" s="198"/>
      <c r="S45" s="198"/>
      <c r="T45" s="198"/>
      <c r="U45" s="198"/>
    </row>
    <row r="46" spans="1:21" s="12" customFormat="1" x14ac:dyDescent="0.25">
      <c r="A46" s="214" t="s">
        <v>2971</v>
      </c>
      <c r="B46" s="64">
        <v>11.67</v>
      </c>
      <c r="C46" s="64">
        <v>9.2799999999999994</v>
      </c>
      <c r="D46" s="64">
        <v>14.21</v>
      </c>
      <c r="E46" s="64">
        <v>4.3099999999999996</v>
      </c>
      <c r="F46" s="64">
        <v>7.97</v>
      </c>
      <c r="G46" s="64">
        <v>11.74</v>
      </c>
      <c r="H46" s="64">
        <v>6.04</v>
      </c>
      <c r="I46" s="64">
        <v>1.24</v>
      </c>
      <c r="J46" s="64">
        <v>0.12</v>
      </c>
      <c r="K46" s="64">
        <v>283.13</v>
      </c>
      <c r="L46" s="64">
        <v>24.65</v>
      </c>
      <c r="M46" s="64">
        <v>97.97</v>
      </c>
      <c r="N46" s="64">
        <v>195.9</v>
      </c>
      <c r="O46" s="64">
        <v>0</v>
      </c>
      <c r="P46" s="64">
        <v>0.36</v>
      </c>
      <c r="Q46" s="64">
        <v>9.14</v>
      </c>
      <c r="R46" s="198"/>
      <c r="S46" s="198"/>
      <c r="T46" s="198"/>
      <c r="U46" s="198"/>
    </row>
    <row r="47" spans="1:21" s="12" customFormat="1" x14ac:dyDescent="0.25">
      <c r="A47" s="214" t="s">
        <v>2972</v>
      </c>
      <c r="B47" s="64">
        <v>12.57</v>
      </c>
      <c r="C47" s="64">
        <v>7.99</v>
      </c>
      <c r="D47" s="64">
        <v>14.25</v>
      </c>
      <c r="E47" s="64">
        <v>4.72</v>
      </c>
      <c r="F47" s="64">
        <v>8.98</v>
      </c>
      <c r="G47" s="64">
        <v>11.74</v>
      </c>
      <c r="H47" s="64">
        <v>6.04</v>
      </c>
      <c r="I47" s="64">
        <v>1.24</v>
      </c>
      <c r="J47" s="64">
        <v>0.11</v>
      </c>
      <c r="K47" s="64">
        <v>233.52</v>
      </c>
      <c r="L47" s="64">
        <v>24.64</v>
      </c>
      <c r="M47" s="64">
        <v>97.97</v>
      </c>
      <c r="N47" s="64">
        <v>213.1</v>
      </c>
      <c r="O47" s="64">
        <v>0</v>
      </c>
      <c r="P47" s="64">
        <v>0.31</v>
      </c>
      <c r="Q47" s="64">
        <v>9.15</v>
      </c>
      <c r="R47" s="198"/>
      <c r="S47" s="198"/>
      <c r="T47" s="198"/>
      <c r="U47" s="198"/>
    </row>
    <row r="48" spans="1:21" s="12" customFormat="1" x14ac:dyDescent="0.25">
      <c r="A48" s="214" t="s">
        <v>2973</v>
      </c>
      <c r="B48" s="64">
        <v>15.23</v>
      </c>
      <c r="C48" s="64">
        <v>9.7100000000000009</v>
      </c>
      <c r="D48" s="64">
        <v>17.29</v>
      </c>
      <c r="E48" s="64">
        <v>4.49</v>
      </c>
      <c r="F48" s="64">
        <v>7.75</v>
      </c>
      <c r="G48" s="64">
        <v>11.74</v>
      </c>
      <c r="H48" s="64">
        <v>6.04</v>
      </c>
      <c r="I48" s="64">
        <v>1.24</v>
      </c>
      <c r="J48" s="64">
        <v>0.11</v>
      </c>
      <c r="K48" s="64">
        <v>285.73</v>
      </c>
      <c r="L48" s="64">
        <v>25.06</v>
      </c>
      <c r="M48" s="64">
        <v>97.96</v>
      </c>
      <c r="N48" s="64">
        <v>226</v>
      </c>
      <c r="O48" s="64">
        <v>0</v>
      </c>
      <c r="P48" s="64">
        <v>0.42</v>
      </c>
      <c r="Q48" s="64">
        <v>9.16</v>
      </c>
      <c r="R48" s="198"/>
      <c r="S48" s="198"/>
      <c r="T48" s="198"/>
      <c r="U48" s="198"/>
    </row>
    <row r="49" spans="1:21" s="12" customFormat="1" x14ac:dyDescent="0.25">
      <c r="A49" s="214" t="s">
        <v>2974</v>
      </c>
      <c r="B49" s="64">
        <v>13.42</v>
      </c>
      <c r="C49" s="64">
        <v>8.77</v>
      </c>
      <c r="D49" s="64">
        <v>15.35</v>
      </c>
      <c r="E49" s="64">
        <v>4.46</v>
      </c>
      <c r="F49" s="64">
        <v>9.6199999999999992</v>
      </c>
      <c r="G49" s="64">
        <v>12.79</v>
      </c>
      <c r="H49" s="64">
        <v>5.52</v>
      </c>
      <c r="I49" s="64">
        <v>1.24</v>
      </c>
      <c r="J49" s="64">
        <v>0.06</v>
      </c>
      <c r="K49" s="64">
        <v>252.71</v>
      </c>
      <c r="L49" s="64">
        <v>25.41</v>
      </c>
      <c r="M49" s="64">
        <v>97.93</v>
      </c>
      <c r="N49" s="64">
        <v>216.4</v>
      </c>
      <c r="O49" s="64">
        <v>0</v>
      </c>
      <c r="P49" s="64">
        <v>0.37</v>
      </c>
      <c r="Q49" s="64">
        <v>9.16</v>
      </c>
      <c r="R49" s="198"/>
      <c r="S49" s="198"/>
      <c r="T49" s="198"/>
      <c r="U49" s="198"/>
    </row>
    <row r="50" spans="1:21" s="12" customFormat="1" x14ac:dyDescent="0.25">
      <c r="A50" s="214" t="s">
        <v>2975</v>
      </c>
      <c r="B50" s="64">
        <v>11.9</v>
      </c>
      <c r="C50" s="64">
        <v>8.35</v>
      </c>
      <c r="D50" s="64">
        <v>13.91</v>
      </c>
      <c r="E50" s="64">
        <v>4.7300000000000004</v>
      </c>
      <c r="F50" s="64">
        <v>8.5299999999999994</v>
      </c>
      <c r="G50" s="64">
        <v>12.87</v>
      </c>
      <c r="H50" s="64">
        <v>5.52</v>
      </c>
      <c r="I50" s="64">
        <v>1.23</v>
      </c>
      <c r="J50" s="64">
        <v>0.09</v>
      </c>
      <c r="K50" s="64">
        <v>282.93</v>
      </c>
      <c r="L50" s="64">
        <v>25.63</v>
      </c>
      <c r="M50" s="64">
        <v>97.93</v>
      </c>
      <c r="N50" s="64">
        <v>239.9</v>
      </c>
      <c r="O50" s="64">
        <v>0</v>
      </c>
      <c r="P50" s="64">
        <v>0.36</v>
      </c>
      <c r="Q50" s="64">
        <v>9.17</v>
      </c>
      <c r="R50" s="198"/>
      <c r="S50" s="198"/>
      <c r="T50" s="198"/>
      <c r="U50" s="198"/>
    </row>
    <row r="51" spans="1:21" s="12" customFormat="1" x14ac:dyDescent="0.25">
      <c r="A51" s="214" t="s">
        <v>2976</v>
      </c>
      <c r="B51" s="64">
        <v>11.72</v>
      </c>
      <c r="C51" s="64">
        <v>8.85</v>
      </c>
      <c r="D51" s="64">
        <v>14.02</v>
      </c>
      <c r="E51" s="64">
        <v>4.33</v>
      </c>
      <c r="F51" s="64">
        <v>8.23</v>
      </c>
      <c r="G51" s="64">
        <v>12.87</v>
      </c>
      <c r="H51" s="64">
        <v>5.52</v>
      </c>
      <c r="I51" s="64">
        <v>1.24</v>
      </c>
      <c r="J51" s="64">
        <v>7.0000000000000007E-2</v>
      </c>
      <c r="K51" s="64">
        <v>281.83</v>
      </c>
      <c r="L51" s="64">
        <v>26.18</v>
      </c>
      <c r="M51" s="64">
        <v>97.83</v>
      </c>
      <c r="N51" s="64">
        <v>317.2</v>
      </c>
      <c r="O51" s="64">
        <v>0</v>
      </c>
      <c r="P51" s="64">
        <v>0.36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14" t="s">
        <v>2977</v>
      </c>
      <c r="B52" s="64">
        <v>12.2</v>
      </c>
      <c r="C52" s="64">
        <v>8.7799999999999994</v>
      </c>
      <c r="D52" s="64">
        <v>14.38</v>
      </c>
      <c r="E52" s="64">
        <v>4.47</v>
      </c>
      <c r="F52" s="64">
        <v>8.17</v>
      </c>
      <c r="G52" s="64">
        <v>12.87</v>
      </c>
      <c r="H52" s="64">
        <v>5.52</v>
      </c>
      <c r="I52" s="64">
        <v>1.25</v>
      </c>
      <c r="J52" s="64">
        <v>0.18</v>
      </c>
      <c r="K52" s="64">
        <v>322</v>
      </c>
      <c r="L52" s="64">
        <v>26.94</v>
      </c>
      <c r="M52" s="64">
        <v>95.62</v>
      </c>
      <c r="N52" s="64">
        <v>391.7</v>
      </c>
      <c r="O52" s="64">
        <v>0</v>
      </c>
      <c r="P52" s="64">
        <v>0.37</v>
      </c>
      <c r="Q52" s="64">
        <v>9.18</v>
      </c>
      <c r="R52" s="198"/>
      <c r="S52" s="198"/>
      <c r="T52" s="198"/>
      <c r="U52" s="198"/>
    </row>
    <row r="53" spans="1:21" s="12" customFormat="1" x14ac:dyDescent="0.25">
      <c r="A53" s="214" t="s">
        <v>2978</v>
      </c>
      <c r="B53" s="64">
        <v>13.33</v>
      </c>
      <c r="C53" s="64">
        <v>7.87</v>
      </c>
      <c r="D53" s="64">
        <v>14.8</v>
      </c>
      <c r="E53" s="64">
        <v>4.55</v>
      </c>
      <c r="F53" s="64">
        <v>7.05</v>
      </c>
      <c r="G53" s="64">
        <v>16.170000000000002</v>
      </c>
      <c r="H53" s="64">
        <v>11.79</v>
      </c>
      <c r="I53" s="64">
        <v>1.25</v>
      </c>
      <c r="J53" s="64">
        <v>0.35</v>
      </c>
      <c r="K53" s="64">
        <v>328.43</v>
      </c>
      <c r="L53" s="64">
        <v>27.33</v>
      </c>
      <c r="M53" s="64">
        <v>95.19</v>
      </c>
      <c r="N53" s="64">
        <v>385.2</v>
      </c>
      <c r="O53" s="64">
        <v>0</v>
      </c>
      <c r="P53" s="64">
        <v>0.4</v>
      </c>
      <c r="Q53" s="64">
        <v>9.17</v>
      </c>
      <c r="R53" s="198"/>
      <c r="S53" s="198"/>
      <c r="T53" s="198"/>
      <c r="U53" s="198"/>
    </row>
    <row r="54" spans="1:21" s="12" customFormat="1" x14ac:dyDescent="0.25">
      <c r="A54" s="214" t="s">
        <v>2979</v>
      </c>
      <c r="B54" s="64">
        <v>12.76</v>
      </c>
      <c r="C54" s="64">
        <v>6.65</v>
      </c>
      <c r="D54" s="64">
        <v>13.69</v>
      </c>
      <c r="E54" s="64">
        <v>4.6100000000000003</v>
      </c>
      <c r="F54" s="64">
        <v>7.4</v>
      </c>
      <c r="G54" s="64">
        <v>16.41</v>
      </c>
      <c r="H54" s="64">
        <v>11.79</v>
      </c>
      <c r="I54" s="64">
        <v>1.27</v>
      </c>
      <c r="J54" s="64">
        <v>0.56000000000000005</v>
      </c>
      <c r="K54" s="64">
        <v>333.36</v>
      </c>
      <c r="L54" s="64">
        <v>28.65</v>
      </c>
      <c r="M54" s="64">
        <v>88</v>
      </c>
      <c r="N54" s="64">
        <v>384.7</v>
      </c>
      <c r="O54" s="64">
        <v>0</v>
      </c>
      <c r="P54" s="64">
        <v>0.4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4" t="s">
        <v>2980</v>
      </c>
      <c r="B55" s="64">
        <v>14.81</v>
      </c>
      <c r="C55" s="64">
        <v>10.95</v>
      </c>
      <c r="D55" s="64">
        <v>17.600000000000001</v>
      </c>
      <c r="E55" s="64">
        <v>4.79</v>
      </c>
      <c r="F55" s="64">
        <v>9.39</v>
      </c>
      <c r="G55" s="64">
        <v>16.41</v>
      </c>
      <c r="H55" s="64">
        <v>11.79</v>
      </c>
      <c r="I55" s="64">
        <v>1.18</v>
      </c>
      <c r="J55" s="64">
        <v>0.3</v>
      </c>
      <c r="K55" s="64">
        <v>321.19</v>
      </c>
      <c r="L55" s="64">
        <v>29.06</v>
      </c>
      <c r="M55" s="64">
        <v>85.03</v>
      </c>
      <c r="N55" s="64">
        <v>398.3</v>
      </c>
      <c r="O55" s="64">
        <v>0</v>
      </c>
      <c r="P55" s="64">
        <v>0.54</v>
      </c>
      <c r="Q55" s="64">
        <v>9.1300000000000008</v>
      </c>
      <c r="R55" s="198"/>
      <c r="S55" s="198"/>
      <c r="T55" s="198"/>
      <c r="U55" s="198"/>
    </row>
    <row r="56" spans="1:21" s="12" customFormat="1" x14ac:dyDescent="0.25">
      <c r="A56" s="214" t="s">
        <v>2981</v>
      </c>
      <c r="B56" s="64">
        <v>14.66</v>
      </c>
      <c r="C56" s="64">
        <v>10.72</v>
      </c>
      <c r="D56" s="64">
        <v>17.36</v>
      </c>
      <c r="E56" s="64">
        <v>4.6100000000000003</v>
      </c>
      <c r="F56" s="64">
        <v>8.75</v>
      </c>
      <c r="G56" s="64">
        <v>16.41</v>
      </c>
      <c r="H56" s="64">
        <v>11.79</v>
      </c>
      <c r="I56" s="64">
        <v>1.22</v>
      </c>
      <c r="J56" s="64">
        <v>0.76</v>
      </c>
      <c r="K56" s="64">
        <v>337.89</v>
      </c>
      <c r="L56" s="64">
        <v>29.67</v>
      </c>
      <c r="M56" s="64">
        <v>81.739999999999995</v>
      </c>
      <c r="N56" s="64">
        <v>481</v>
      </c>
      <c r="O56" s="64">
        <v>0</v>
      </c>
      <c r="P56" s="64">
        <v>0.57999999999999996</v>
      </c>
      <c r="Q56" s="64">
        <v>9.14</v>
      </c>
      <c r="R56" s="198"/>
      <c r="S56" s="198"/>
      <c r="T56" s="198"/>
      <c r="U56" s="198"/>
    </row>
    <row r="57" spans="1:21" s="12" customFormat="1" x14ac:dyDescent="0.25">
      <c r="A57" s="214" t="s">
        <v>2982</v>
      </c>
      <c r="B57" s="64">
        <v>14.27</v>
      </c>
      <c r="C57" s="64">
        <v>10.47</v>
      </c>
      <c r="D57" s="64">
        <v>16.91</v>
      </c>
      <c r="E57" s="64">
        <v>5.07</v>
      </c>
      <c r="F57" s="64">
        <v>9.1</v>
      </c>
      <c r="G57" s="64">
        <v>28.73</v>
      </c>
      <c r="H57" s="64">
        <v>12.28</v>
      </c>
      <c r="I57" s="64">
        <v>1.33</v>
      </c>
      <c r="J57" s="64">
        <v>0.83</v>
      </c>
      <c r="K57" s="64">
        <v>337.45</v>
      </c>
      <c r="L57" s="64">
        <v>30.3</v>
      </c>
      <c r="M57" s="64">
        <v>78.75</v>
      </c>
      <c r="N57" s="64">
        <v>573.4</v>
      </c>
      <c r="O57" s="64">
        <v>0</v>
      </c>
      <c r="P57" s="64">
        <v>0.51</v>
      </c>
      <c r="Q57" s="64">
        <v>9.14</v>
      </c>
      <c r="R57" s="198"/>
      <c r="S57" s="198"/>
      <c r="T57" s="198"/>
      <c r="U57" s="198"/>
    </row>
    <row r="58" spans="1:21" s="12" customFormat="1" x14ac:dyDescent="0.25">
      <c r="A58" s="214" t="s">
        <v>2983</v>
      </c>
      <c r="B58" s="64">
        <v>13.24</v>
      </c>
      <c r="C58" s="64">
        <v>12.65</v>
      </c>
      <c r="D58" s="64">
        <v>17.23</v>
      </c>
      <c r="E58" s="64">
        <v>4.68</v>
      </c>
      <c r="F58" s="64">
        <v>9.4700000000000006</v>
      </c>
      <c r="G58" s="64">
        <v>29.61</v>
      </c>
      <c r="H58" s="64">
        <v>12.28</v>
      </c>
      <c r="I58" s="64">
        <v>1.42</v>
      </c>
      <c r="J58" s="64">
        <v>0.46</v>
      </c>
      <c r="K58" s="64">
        <v>328.6</v>
      </c>
      <c r="L58" s="64">
        <v>30.56</v>
      </c>
      <c r="M58" s="64">
        <v>76.88</v>
      </c>
      <c r="N58" s="64">
        <v>403</v>
      </c>
      <c r="O58" s="64">
        <v>0.2</v>
      </c>
      <c r="P58" s="64">
        <v>0.52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14" t="s">
        <v>2984</v>
      </c>
      <c r="B59" s="64">
        <v>11.7</v>
      </c>
      <c r="C59" s="64">
        <v>17.920000000000002</v>
      </c>
      <c r="D59" s="64">
        <v>18.75</v>
      </c>
      <c r="E59" s="64">
        <v>4.7</v>
      </c>
      <c r="F59" s="64">
        <v>11.31</v>
      </c>
      <c r="G59" s="64">
        <v>29.61</v>
      </c>
      <c r="H59" s="64">
        <v>12.28</v>
      </c>
      <c r="I59" s="64">
        <v>1.47</v>
      </c>
      <c r="J59" s="64">
        <v>0.72</v>
      </c>
      <c r="K59" s="64">
        <v>334.78</v>
      </c>
      <c r="L59" s="64">
        <v>29.99</v>
      </c>
      <c r="M59" s="64">
        <v>80.239999999999995</v>
      </c>
      <c r="N59" s="64">
        <v>279.10000000000002</v>
      </c>
      <c r="O59" s="64">
        <v>0</v>
      </c>
      <c r="P59" s="64">
        <v>0.56000000000000005</v>
      </c>
      <c r="Q59" s="64">
        <v>9.1</v>
      </c>
      <c r="R59" s="198"/>
      <c r="S59" s="198"/>
      <c r="T59" s="198"/>
      <c r="U59" s="198"/>
    </row>
    <row r="60" spans="1:21" s="12" customFormat="1" x14ac:dyDescent="0.25">
      <c r="A60" s="214" t="s">
        <v>2985</v>
      </c>
      <c r="B60" s="64">
        <v>20.239999999999998</v>
      </c>
      <c r="C60" s="64">
        <v>21.76</v>
      </c>
      <c r="D60" s="64">
        <v>27.6</v>
      </c>
      <c r="E60" s="64">
        <v>4.8</v>
      </c>
      <c r="F60" s="64">
        <v>14.79</v>
      </c>
      <c r="G60" s="64">
        <v>29.61</v>
      </c>
      <c r="H60" s="64">
        <v>12.28</v>
      </c>
      <c r="I60" s="64">
        <v>1.55</v>
      </c>
      <c r="J60" s="64">
        <v>0.37</v>
      </c>
      <c r="K60" s="64">
        <v>342.65</v>
      </c>
      <c r="L60" s="64">
        <v>29.76</v>
      </c>
      <c r="M60" s="64">
        <v>80.91</v>
      </c>
      <c r="N60" s="64">
        <v>265.2</v>
      </c>
      <c r="O60" s="64">
        <v>0</v>
      </c>
      <c r="P60" s="64">
        <v>0.67</v>
      </c>
      <c r="Q60" s="64">
        <v>9.09</v>
      </c>
      <c r="R60" s="198"/>
      <c r="S60" s="198"/>
      <c r="T60" s="198"/>
      <c r="U60" s="198"/>
    </row>
    <row r="61" spans="1:21" s="12" customFormat="1" x14ac:dyDescent="0.25">
      <c r="A61" s="214" t="s">
        <v>2986</v>
      </c>
      <c r="B61" s="64">
        <v>13.02</v>
      </c>
      <c r="C61" s="64">
        <v>22.28</v>
      </c>
      <c r="D61" s="64">
        <v>22.08</v>
      </c>
      <c r="E61" s="64">
        <v>4.6500000000000004</v>
      </c>
      <c r="F61" s="64">
        <v>12.29</v>
      </c>
      <c r="G61" s="64">
        <v>42.54</v>
      </c>
      <c r="H61" s="64">
        <v>11.41</v>
      </c>
      <c r="I61" s="64">
        <v>1.69</v>
      </c>
      <c r="J61" s="64">
        <v>0.35</v>
      </c>
      <c r="K61" s="64">
        <v>346.53</v>
      </c>
      <c r="L61" s="64">
        <v>29.55</v>
      </c>
      <c r="M61" s="64">
        <v>80.66</v>
      </c>
      <c r="N61" s="64">
        <v>294.5</v>
      </c>
      <c r="O61" s="64">
        <v>0</v>
      </c>
      <c r="P61" s="64">
        <v>0.66</v>
      </c>
      <c r="Q61" s="64">
        <v>9.08</v>
      </c>
      <c r="R61" s="198"/>
      <c r="S61" s="198"/>
      <c r="T61" s="198"/>
      <c r="U61" s="198"/>
    </row>
    <row r="62" spans="1:21" s="12" customFormat="1" x14ac:dyDescent="0.25">
      <c r="A62" s="214" t="s">
        <v>2987</v>
      </c>
      <c r="B62" s="64">
        <v>10.48</v>
      </c>
      <c r="C62" s="64">
        <v>18.170000000000002</v>
      </c>
      <c r="D62" s="64">
        <v>17.899999999999999</v>
      </c>
      <c r="E62" s="64">
        <v>4.1399999999999997</v>
      </c>
      <c r="F62" s="64">
        <v>17</v>
      </c>
      <c r="G62" s="64">
        <v>43.46</v>
      </c>
      <c r="H62" s="64">
        <v>11.41</v>
      </c>
      <c r="I62" s="64">
        <v>1.82</v>
      </c>
      <c r="J62" s="64">
        <v>0.49</v>
      </c>
      <c r="K62" s="64">
        <v>338.14</v>
      </c>
      <c r="L62" s="64">
        <v>29.57</v>
      </c>
      <c r="M62" s="64">
        <v>80.7</v>
      </c>
      <c r="N62" s="64">
        <v>348.8</v>
      </c>
      <c r="O62" s="64">
        <v>0</v>
      </c>
      <c r="P62" s="64">
        <v>0.65</v>
      </c>
      <c r="Q62" s="64">
        <v>9.1</v>
      </c>
      <c r="R62" s="198"/>
      <c r="S62" s="198"/>
      <c r="T62" s="198"/>
      <c r="U62" s="198"/>
    </row>
    <row r="63" spans="1:21" s="12" customFormat="1" x14ac:dyDescent="0.25">
      <c r="A63" s="214" t="s">
        <v>2988</v>
      </c>
      <c r="B63" s="64">
        <v>7.53</v>
      </c>
      <c r="C63" s="64">
        <v>15.84</v>
      </c>
      <c r="D63" s="64">
        <v>14.31</v>
      </c>
      <c r="E63" s="64">
        <v>4.88</v>
      </c>
      <c r="F63" s="64">
        <v>19.93</v>
      </c>
      <c r="G63" s="64">
        <v>43.46</v>
      </c>
      <c r="H63" s="64">
        <v>11.41</v>
      </c>
      <c r="I63" s="64">
        <v>1.89</v>
      </c>
      <c r="J63" s="64">
        <v>0.21</v>
      </c>
      <c r="K63" s="64">
        <v>335.61</v>
      </c>
      <c r="L63" s="64">
        <v>30.07</v>
      </c>
      <c r="M63" s="64">
        <v>76.78</v>
      </c>
      <c r="N63" s="64">
        <v>284</v>
      </c>
      <c r="O63" s="64">
        <v>0</v>
      </c>
      <c r="P63" s="64">
        <v>0.52</v>
      </c>
      <c r="Q63" s="64">
        <v>9.11</v>
      </c>
      <c r="R63" s="198"/>
      <c r="S63" s="198"/>
      <c r="T63" s="198"/>
      <c r="U63" s="198"/>
    </row>
    <row r="64" spans="1:21" s="12" customFormat="1" x14ac:dyDescent="0.25">
      <c r="A64" s="214" t="s">
        <v>2989</v>
      </c>
      <c r="B64" s="64">
        <v>17.600000000000001</v>
      </c>
      <c r="C64" s="64">
        <v>27.48</v>
      </c>
      <c r="D64" s="64">
        <v>28.41</v>
      </c>
      <c r="E64" s="64">
        <v>4.7699999999999996</v>
      </c>
      <c r="F64" s="64">
        <v>16.12</v>
      </c>
      <c r="G64" s="64">
        <v>43.46</v>
      </c>
      <c r="H64" s="64">
        <v>11.41</v>
      </c>
      <c r="I64" s="64">
        <v>1.93</v>
      </c>
      <c r="J64" s="64">
        <v>0.24</v>
      </c>
      <c r="K64" s="64">
        <v>339.49</v>
      </c>
      <c r="L64" s="64">
        <v>29.4</v>
      </c>
      <c r="M64" s="64">
        <v>82.07</v>
      </c>
      <c r="N64" s="64">
        <v>171.5</v>
      </c>
      <c r="O64" s="64">
        <v>0</v>
      </c>
      <c r="P64" s="64">
        <v>0.83</v>
      </c>
      <c r="Q64" s="64">
        <v>9.1300000000000008</v>
      </c>
      <c r="R64" s="198"/>
      <c r="S64" s="198"/>
      <c r="T64" s="198"/>
      <c r="U64" s="198"/>
    </row>
    <row r="65" spans="1:21" s="12" customFormat="1" x14ac:dyDescent="0.25">
      <c r="A65" s="214" t="s">
        <v>2990</v>
      </c>
      <c r="B65" s="64">
        <v>12.37</v>
      </c>
      <c r="C65" s="64">
        <v>25.57</v>
      </c>
      <c r="D65" s="64">
        <v>23.28</v>
      </c>
      <c r="E65" s="64">
        <v>4.92</v>
      </c>
      <c r="F65" s="64">
        <v>18.37</v>
      </c>
      <c r="G65" s="64">
        <v>47.7</v>
      </c>
      <c r="H65" s="64">
        <v>9.3000000000000007</v>
      </c>
      <c r="I65" s="64">
        <v>1.94</v>
      </c>
      <c r="J65" s="64">
        <v>0.45</v>
      </c>
      <c r="K65" s="64">
        <v>342.42</v>
      </c>
      <c r="L65" s="64">
        <v>28.79</v>
      </c>
      <c r="M65" s="64">
        <v>85.1</v>
      </c>
      <c r="N65" s="64">
        <v>141.6</v>
      </c>
      <c r="O65" s="64">
        <v>0</v>
      </c>
      <c r="P65" s="64">
        <v>0.76</v>
      </c>
      <c r="Q65" s="64">
        <v>9.1300000000000008</v>
      </c>
      <c r="R65" s="198"/>
      <c r="S65" s="198"/>
      <c r="T65" s="198"/>
      <c r="U65" s="198"/>
    </row>
    <row r="66" spans="1:21" s="12" customFormat="1" x14ac:dyDescent="0.25">
      <c r="A66" s="214" t="s">
        <v>2991</v>
      </c>
      <c r="B66" s="64">
        <v>19.2</v>
      </c>
      <c r="C66" s="64">
        <v>24.27</v>
      </c>
      <c r="D66" s="64">
        <v>28.07</v>
      </c>
      <c r="E66" s="64">
        <v>4.78</v>
      </c>
      <c r="F66" s="64">
        <v>18.62</v>
      </c>
      <c r="G66" s="64">
        <v>48.01</v>
      </c>
      <c r="H66" s="64">
        <v>9.3000000000000007</v>
      </c>
      <c r="I66" s="64">
        <v>1.96</v>
      </c>
      <c r="J66" s="64">
        <v>0.61</v>
      </c>
      <c r="K66" s="64">
        <v>342.63</v>
      </c>
      <c r="L66" s="64">
        <v>28.67</v>
      </c>
      <c r="M66" s="64">
        <v>86.51</v>
      </c>
      <c r="N66" s="64">
        <v>143.6</v>
      </c>
      <c r="O66" s="64">
        <v>0</v>
      </c>
      <c r="P66" s="64">
        <v>0.79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14" t="s">
        <v>2992</v>
      </c>
      <c r="B67" s="64">
        <v>15.33</v>
      </c>
      <c r="C67" s="64">
        <v>22.9</v>
      </c>
      <c r="D67" s="64">
        <v>24.26</v>
      </c>
      <c r="E67" s="64">
        <v>4.93</v>
      </c>
      <c r="F67" s="64">
        <v>16.12</v>
      </c>
      <c r="G67" s="64">
        <v>48.01</v>
      </c>
      <c r="H67" s="64">
        <v>9.3000000000000007</v>
      </c>
      <c r="I67" s="64">
        <v>2</v>
      </c>
      <c r="J67" s="64">
        <v>0.71</v>
      </c>
      <c r="K67" s="64">
        <v>343.57</v>
      </c>
      <c r="L67" s="64">
        <v>28.56</v>
      </c>
      <c r="M67" s="64">
        <v>87.44</v>
      </c>
      <c r="N67" s="64">
        <v>148.4</v>
      </c>
      <c r="O67" s="64">
        <v>0</v>
      </c>
      <c r="P67" s="64">
        <v>0.74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4" t="s">
        <v>2993</v>
      </c>
      <c r="B68" s="64">
        <v>14.29</v>
      </c>
      <c r="C68" s="64">
        <v>20.82</v>
      </c>
      <c r="D68" s="64">
        <v>22.34</v>
      </c>
      <c r="E68" s="64">
        <v>5.08</v>
      </c>
      <c r="F68" s="64">
        <v>16.25</v>
      </c>
      <c r="G68" s="64">
        <v>48.01</v>
      </c>
      <c r="H68" s="64">
        <v>9.3000000000000007</v>
      </c>
      <c r="I68" s="64">
        <v>2.0499999999999998</v>
      </c>
      <c r="J68" s="64">
        <v>0.81</v>
      </c>
      <c r="K68" s="64">
        <v>341.62</v>
      </c>
      <c r="L68" s="64">
        <v>28.41</v>
      </c>
      <c r="M68" s="64">
        <v>88.39</v>
      </c>
      <c r="N68" s="64">
        <v>122.3</v>
      </c>
      <c r="O68" s="64">
        <v>0</v>
      </c>
      <c r="P68" s="64">
        <v>0.7</v>
      </c>
      <c r="Q68" s="64">
        <v>9.16</v>
      </c>
      <c r="R68" s="198"/>
      <c r="S68" s="198"/>
      <c r="T68" s="198"/>
      <c r="U68" s="198"/>
    </row>
    <row r="69" spans="1:21" s="12" customFormat="1" x14ac:dyDescent="0.25">
      <c r="A69" s="214" t="s">
        <v>2994</v>
      </c>
      <c r="B69" s="64">
        <v>17.07</v>
      </c>
      <c r="C69" s="64">
        <v>24.93</v>
      </c>
      <c r="D69" s="64">
        <v>26.71</v>
      </c>
      <c r="E69" s="64">
        <v>4.87</v>
      </c>
      <c r="F69" s="64">
        <v>13.59</v>
      </c>
      <c r="G69" s="64">
        <v>55.33</v>
      </c>
      <c r="H69" s="64">
        <v>7.66</v>
      </c>
      <c r="I69" s="64">
        <v>1.97</v>
      </c>
      <c r="J69" s="64">
        <v>0.68</v>
      </c>
      <c r="K69" s="64">
        <v>342.72</v>
      </c>
      <c r="L69" s="64">
        <v>27.96</v>
      </c>
      <c r="M69" s="64">
        <v>92.39</v>
      </c>
      <c r="N69" s="64">
        <v>131.5</v>
      </c>
      <c r="O69" s="64">
        <v>0</v>
      </c>
      <c r="P69" s="64">
        <v>0.83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14" t="s">
        <v>2995</v>
      </c>
      <c r="B70" s="64">
        <v>18.02</v>
      </c>
      <c r="C70" s="64">
        <v>25.3</v>
      </c>
      <c r="D70" s="64">
        <v>27.67</v>
      </c>
      <c r="E70" s="64">
        <v>5.23</v>
      </c>
      <c r="F70" s="64">
        <v>15.02</v>
      </c>
      <c r="G70" s="64">
        <v>55.85</v>
      </c>
      <c r="H70" s="64">
        <v>7.66</v>
      </c>
      <c r="I70" s="64">
        <v>1.92</v>
      </c>
      <c r="J70" s="64">
        <v>0.53</v>
      </c>
      <c r="K70" s="64">
        <v>339.8</v>
      </c>
      <c r="L70" s="64">
        <v>28.06</v>
      </c>
      <c r="M70" s="64">
        <v>91.66</v>
      </c>
      <c r="N70" s="64">
        <v>151.19999999999999</v>
      </c>
      <c r="O70" s="64">
        <v>0</v>
      </c>
      <c r="P70" s="64">
        <v>0.88</v>
      </c>
      <c r="Q70" s="64">
        <v>9.18</v>
      </c>
      <c r="R70" s="198"/>
      <c r="S70" s="198"/>
      <c r="T70" s="198"/>
      <c r="U70" s="198"/>
    </row>
    <row r="71" spans="1:21" s="12" customFormat="1" x14ac:dyDescent="0.25">
      <c r="A71" s="214" t="s">
        <v>2996</v>
      </c>
      <c r="B71" s="64">
        <v>14.27</v>
      </c>
      <c r="C71" s="64">
        <v>21.25</v>
      </c>
      <c r="D71" s="64">
        <v>22.54</v>
      </c>
      <c r="E71" s="64">
        <v>5.46</v>
      </c>
      <c r="F71" s="64">
        <v>11.02</v>
      </c>
      <c r="G71" s="64">
        <v>55.85</v>
      </c>
      <c r="H71" s="64">
        <v>7.66</v>
      </c>
      <c r="I71" s="64">
        <v>1.95</v>
      </c>
      <c r="J71" s="64">
        <v>0.13</v>
      </c>
      <c r="K71" s="64">
        <v>353.89</v>
      </c>
      <c r="L71" s="64">
        <v>27.82</v>
      </c>
      <c r="M71" s="64">
        <v>93.32</v>
      </c>
      <c r="N71" s="64">
        <v>138.9</v>
      </c>
      <c r="O71" s="64">
        <v>0</v>
      </c>
      <c r="P71" s="64">
        <v>0.8</v>
      </c>
      <c r="Q71" s="64">
        <v>9.17</v>
      </c>
      <c r="R71" s="198"/>
      <c r="S71" s="198"/>
      <c r="T71" s="198"/>
      <c r="U71" s="198"/>
    </row>
    <row r="72" spans="1:21" s="12" customFormat="1" x14ac:dyDescent="0.25">
      <c r="A72" s="214" t="s">
        <v>2997</v>
      </c>
      <c r="B72" s="64">
        <v>18.07</v>
      </c>
      <c r="C72" s="64">
        <v>23.14</v>
      </c>
      <c r="D72" s="64">
        <v>26.58</v>
      </c>
      <c r="E72" s="64">
        <v>4.6100000000000003</v>
      </c>
      <c r="F72" s="64">
        <v>13.25</v>
      </c>
      <c r="G72" s="64">
        <v>55.85</v>
      </c>
      <c r="H72" s="64">
        <v>7.66</v>
      </c>
      <c r="I72" s="64">
        <v>1.98</v>
      </c>
      <c r="J72" s="64">
        <v>0.65</v>
      </c>
      <c r="K72" s="64">
        <v>340.25</v>
      </c>
      <c r="L72" s="64">
        <v>27.75</v>
      </c>
      <c r="M72" s="64">
        <v>94.37</v>
      </c>
      <c r="N72" s="64">
        <v>120.6</v>
      </c>
      <c r="O72" s="64">
        <v>0</v>
      </c>
      <c r="P72" s="64">
        <v>0.84</v>
      </c>
      <c r="Q72" s="64">
        <v>9.16</v>
      </c>
      <c r="R72" s="198"/>
      <c r="S72" s="198"/>
      <c r="T72" s="198"/>
      <c r="U72" s="198"/>
    </row>
    <row r="73" spans="1:21" s="12" customFormat="1" x14ac:dyDescent="0.25">
      <c r="A73" s="214" t="s">
        <v>2998</v>
      </c>
      <c r="B73" s="64">
        <v>16.350000000000001</v>
      </c>
      <c r="C73" s="64">
        <v>29.21</v>
      </c>
      <c r="D73" s="64">
        <v>28.37</v>
      </c>
      <c r="E73" s="64">
        <v>4.6900000000000004</v>
      </c>
      <c r="F73" s="64">
        <v>15.1</v>
      </c>
      <c r="G73" s="64">
        <v>68.02</v>
      </c>
      <c r="H73" s="64">
        <v>6.55</v>
      </c>
      <c r="I73" s="64">
        <v>1.98</v>
      </c>
      <c r="J73" s="64">
        <v>0.23</v>
      </c>
      <c r="K73" s="64">
        <v>342.55</v>
      </c>
      <c r="L73" s="64">
        <v>27.74</v>
      </c>
      <c r="M73" s="64">
        <v>93.6</v>
      </c>
      <c r="N73" s="64">
        <v>107.5</v>
      </c>
      <c r="O73" s="64">
        <v>0</v>
      </c>
      <c r="P73" s="64">
        <v>0.99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4" t="s">
        <v>2999</v>
      </c>
      <c r="B74" s="64">
        <v>24.95</v>
      </c>
      <c r="C74" s="64">
        <v>33.83</v>
      </c>
      <c r="D74" s="64">
        <v>37.68</v>
      </c>
      <c r="E74" s="64">
        <v>4.74</v>
      </c>
      <c r="F74" s="64">
        <v>11.56</v>
      </c>
      <c r="G74" s="64">
        <v>68.89</v>
      </c>
      <c r="H74" s="64">
        <v>6.55</v>
      </c>
      <c r="I74" s="64">
        <v>1.99</v>
      </c>
      <c r="J74" s="64">
        <v>0.35</v>
      </c>
      <c r="K74" s="64">
        <v>340.45</v>
      </c>
      <c r="L74" s="64">
        <v>27.67</v>
      </c>
      <c r="M74" s="64">
        <v>95.5</v>
      </c>
      <c r="N74" s="64">
        <v>93.4</v>
      </c>
      <c r="O74" s="64">
        <v>0</v>
      </c>
      <c r="P74" s="64">
        <v>1.04</v>
      </c>
      <c r="Q74" s="64">
        <v>9.16</v>
      </c>
      <c r="R74" s="198"/>
      <c r="S74" s="198"/>
      <c r="T74" s="198"/>
      <c r="U74" s="198"/>
    </row>
    <row r="75" spans="1:21" s="12" customFormat="1" x14ac:dyDescent="0.25">
      <c r="A75" s="214" t="s">
        <v>3000</v>
      </c>
      <c r="B75" s="64">
        <v>12.61</v>
      </c>
      <c r="C75" s="64">
        <v>28.34</v>
      </c>
      <c r="D75" s="64">
        <v>24.91</v>
      </c>
      <c r="E75" s="64">
        <v>4.71</v>
      </c>
      <c r="F75" s="64">
        <v>13.81</v>
      </c>
      <c r="G75" s="64">
        <v>68.89</v>
      </c>
      <c r="H75" s="64">
        <v>6.55</v>
      </c>
      <c r="I75" s="64">
        <v>2.02</v>
      </c>
      <c r="J75" s="64">
        <v>0.11</v>
      </c>
      <c r="K75" s="64">
        <v>84.29</v>
      </c>
      <c r="L75" s="64">
        <v>27.54</v>
      </c>
      <c r="M75" s="64">
        <v>94.93</v>
      </c>
      <c r="N75" s="64">
        <v>87.3</v>
      </c>
      <c r="O75" s="64">
        <v>0</v>
      </c>
      <c r="P75" s="64">
        <v>0.85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4" t="s">
        <v>3001</v>
      </c>
      <c r="B76" s="64">
        <v>18.52</v>
      </c>
      <c r="C76" s="64">
        <v>33.19</v>
      </c>
      <c r="D76" s="64">
        <v>32.19</v>
      </c>
      <c r="E76" s="64">
        <v>4.72</v>
      </c>
      <c r="F76" s="64">
        <v>11.86</v>
      </c>
      <c r="G76" s="64">
        <v>68.89</v>
      </c>
      <c r="H76" s="64">
        <v>6.55</v>
      </c>
      <c r="I76" s="64">
        <v>2.0499999999999998</v>
      </c>
      <c r="J76" s="64">
        <v>0.2</v>
      </c>
      <c r="K76" s="64">
        <v>125.62</v>
      </c>
      <c r="L76" s="64">
        <v>26.88</v>
      </c>
      <c r="M76" s="64">
        <v>97.82</v>
      </c>
      <c r="N76" s="64">
        <v>70.5</v>
      </c>
      <c r="O76" s="64">
        <v>0</v>
      </c>
      <c r="P76" s="64">
        <v>0.96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4" t="s">
        <v>3002</v>
      </c>
      <c r="B77" s="64">
        <v>6.66</v>
      </c>
      <c r="C77" s="64">
        <v>23.98</v>
      </c>
      <c r="D77" s="64">
        <v>17.87</v>
      </c>
      <c r="E77" s="64">
        <v>4.6900000000000004</v>
      </c>
      <c r="F77" s="64">
        <v>14.81</v>
      </c>
      <c r="G77" s="64">
        <v>72.290000000000006</v>
      </c>
      <c r="H77" s="64">
        <v>6.75</v>
      </c>
      <c r="I77" s="64">
        <v>2.0699999999999998</v>
      </c>
      <c r="J77" s="64">
        <v>0.36</v>
      </c>
      <c r="K77" s="64">
        <v>126.11</v>
      </c>
      <c r="L77" s="64">
        <v>26.42</v>
      </c>
      <c r="M77" s="64">
        <v>97.95</v>
      </c>
      <c r="N77" s="64">
        <v>60.7</v>
      </c>
      <c r="O77" s="64">
        <v>0</v>
      </c>
      <c r="P77" s="64">
        <v>0.6</v>
      </c>
      <c r="Q77" s="64">
        <v>9.17</v>
      </c>
      <c r="R77" s="198"/>
      <c r="S77" s="198"/>
      <c r="T77" s="198"/>
      <c r="U77" s="198"/>
    </row>
    <row r="78" spans="1:21" s="12" customFormat="1" x14ac:dyDescent="0.25">
      <c r="A78" s="214" t="s">
        <v>3003</v>
      </c>
      <c r="B78" s="64">
        <v>18</v>
      </c>
      <c r="C78" s="64">
        <v>30.14</v>
      </c>
      <c r="D78" s="64">
        <v>30.19</v>
      </c>
      <c r="E78" s="64">
        <v>4.8499999999999996</v>
      </c>
      <c r="F78" s="64">
        <v>12.98</v>
      </c>
      <c r="G78" s="64">
        <v>72.53</v>
      </c>
      <c r="H78" s="64">
        <v>6.75</v>
      </c>
      <c r="I78" s="64">
        <v>2.09</v>
      </c>
      <c r="J78" s="64">
        <v>0.11</v>
      </c>
      <c r="K78" s="64">
        <v>136.12</v>
      </c>
      <c r="L78" s="64">
        <v>26.29</v>
      </c>
      <c r="M78" s="64">
        <v>97.96</v>
      </c>
      <c r="N78" s="64">
        <v>52.8</v>
      </c>
      <c r="O78" s="64">
        <v>0</v>
      </c>
      <c r="P78" s="64">
        <v>0.82</v>
      </c>
      <c r="Q78" s="64">
        <v>9.17</v>
      </c>
      <c r="R78" s="198"/>
      <c r="S78" s="198"/>
      <c r="T78" s="198"/>
      <c r="U78" s="198"/>
    </row>
    <row r="79" spans="1:21" s="12" customFormat="1" x14ac:dyDescent="0.25">
      <c r="A79" s="214" t="s">
        <v>3004</v>
      </c>
      <c r="B79" s="64">
        <v>5.34</v>
      </c>
      <c r="C79" s="64">
        <v>24.11</v>
      </c>
      <c r="D79" s="64">
        <v>16.88</v>
      </c>
      <c r="E79" s="64">
        <v>4.82</v>
      </c>
      <c r="F79" s="64">
        <v>13.83</v>
      </c>
      <c r="G79" s="64">
        <v>72.53</v>
      </c>
      <c r="H79" s="64">
        <v>6.75</v>
      </c>
      <c r="I79" s="64">
        <v>2.1</v>
      </c>
      <c r="J79" s="64">
        <v>0.25</v>
      </c>
      <c r="K79" s="64">
        <v>123.23</v>
      </c>
      <c r="L79" s="64">
        <v>26.17</v>
      </c>
      <c r="M79" s="64">
        <v>97.95</v>
      </c>
      <c r="N79" s="64">
        <v>47.6</v>
      </c>
      <c r="O79" s="64">
        <v>0</v>
      </c>
      <c r="P79" s="64">
        <v>0.55000000000000004</v>
      </c>
      <c r="Q79" s="64">
        <v>9.17</v>
      </c>
      <c r="R79" s="198"/>
      <c r="S79" s="198"/>
      <c r="T79" s="198"/>
      <c r="U79" s="198"/>
    </row>
    <row r="80" spans="1:21" s="12" customFormat="1" x14ac:dyDescent="0.25">
      <c r="A80" s="214" t="s">
        <v>3005</v>
      </c>
      <c r="B80" s="64">
        <v>30.95</v>
      </c>
      <c r="C80" s="64">
        <v>18.93</v>
      </c>
      <c r="D80" s="64">
        <v>34.71</v>
      </c>
      <c r="E80" s="64">
        <v>4.6399999999999997</v>
      </c>
      <c r="F80" s="64">
        <v>13.15</v>
      </c>
      <c r="G80" s="64">
        <v>72.53</v>
      </c>
      <c r="H80" s="64">
        <v>6.75</v>
      </c>
      <c r="I80" s="64">
        <v>2.12</v>
      </c>
      <c r="J80" s="64">
        <v>0.06</v>
      </c>
      <c r="K80" s="64">
        <v>168.4</v>
      </c>
      <c r="L80" s="64">
        <v>26.08</v>
      </c>
      <c r="M80" s="64">
        <v>97.97</v>
      </c>
      <c r="N80" s="64">
        <v>46</v>
      </c>
      <c r="O80" s="64">
        <v>0</v>
      </c>
      <c r="P80" s="64">
        <v>0.93</v>
      </c>
      <c r="Q80" s="64">
        <v>9.16</v>
      </c>
      <c r="R80" s="198"/>
      <c r="S80" s="198"/>
      <c r="T80" s="198"/>
      <c r="U80" s="198"/>
    </row>
    <row r="81" spans="1:26" s="12" customFormat="1" x14ac:dyDescent="0.25">
      <c r="A81" s="214" t="s">
        <v>3006</v>
      </c>
      <c r="B81" s="64">
        <v>17.809999999999999</v>
      </c>
      <c r="C81" s="64">
        <v>27.47</v>
      </c>
      <c r="D81" s="64">
        <v>28.63</v>
      </c>
      <c r="E81" s="64">
        <v>4.76</v>
      </c>
      <c r="F81" s="64">
        <v>12.66</v>
      </c>
      <c r="G81" s="64">
        <v>76.680000000000007</v>
      </c>
      <c r="H81" s="64">
        <v>6.3</v>
      </c>
      <c r="I81" s="64">
        <v>2.13</v>
      </c>
      <c r="J81" s="64">
        <v>0.11</v>
      </c>
      <c r="K81" s="64">
        <v>124.79</v>
      </c>
      <c r="L81" s="64">
        <v>26.01</v>
      </c>
      <c r="M81" s="64">
        <v>97.96</v>
      </c>
      <c r="N81" s="64">
        <v>45.6</v>
      </c>
      <c r="O81" s="64">
        <v>0</v>
      </c>
      <c r="P81" s="64">
        <v>0.83</v>
      </c>
      <c r="Q81" s="64">
        <v>9.18</v>
      </c>
      <c r="R81" s="198"/>
      <c r="S81" s="198"/>
      <c r="T81" s="198"/>
      <c r="U81" s="198"/>
    </row>
    <row r="82" spans="1:26" s="12" customFormat="1" x14ac:dyDescent="0.25">
      <c r="A82" s="214" t="s">
        <v>3007</v>
      </c>
      <c r="B82" s="64">
        <v>8.02</v>
      </c>
      <c r="C82" s="64">
        <v>30.57</v>
      </c>
      <c r="D82" s="64">
        <v>22.41</v>
      </c>
      <c r="E82" s="64">
        <v>4.8099999999999996</v>
      </c>
      <c r="F82" s="64">
        <v>10.32</v>
      </c>
      <c r="G82" s="64">
        <v>76.98</v>
      </c>
      <c r="H82" s="64">
        <v>6.3</v>
      </c>
      <c r="I82" s="64">
        <v>2.12</v>
      </c>
      <c r="J82" s="64">
        <v>0.17</v>
      </c>
      <c r="K82" s="64">
        <v>95.36</v>
      </c>
      <c r="L82" s="64">
        <v>26.12</v>
      </c>
      <c r="M82" s="64">
        <v>97.95</v>
      </c>
      <c r="N82" s="64">
        <v>45.5</v>
      </c>
      <c r="O82" s="64">
        <v>0</v>
      </c>
      <c r="P82" s="64">
        <v>0.64</v>
      </c>
      <c r="Q82" s="64">
        <v>9.1999999999999993</v>
      </c>
      <c r="R82" s="198"/>
      <c r="S82" s="198"/>
      <c r="T82" s="198"/>
      <c r="U82" s="198"/>
    </row>
    <row r="83" spans="1:26" s="12" customFormat="1" x14ac:dyDescent="0.25">
      <c r="A83" s="214" t="s">
        <v>3008</v>
      </c>
      <c r="B83" s="64">
        <v>7.88</v>
      </c>
      <c r="C83" s="64">
        <v>28.3</v>
      </c>
      <c r="D83" s="64">
        <v>21.11</v>
      </c>
      <c r="E83" s="64">
        <v>4.4800000000000004</v>
      </c>
      <c r="F83" s="64">
        <v>11.31</v>
      </c>
      <c r="G83" s="64">
        <v>76.98</v>
      </c>
      <c r="H83" s="64">
        <v>6.3</v>
      </c>
      <c r="I83" s="64">
        <v>2.13</v>
      </c>
      <c r="J83" s="64">
        <v>0.09</v>
      </c>
      <c r="K83" s="64">
        <v>142.19999999999999</v>
      </c>
      <c r="L83" s="64">
        <v>26.03</v>
      </c>
      <c r="M83" s="64">
        <v>97.97</v>
      </c>
      <c r="N83" s="64">
        <v>45.6</v>
      </c>
      <c r="O83" s="64">
        <v>0</v>
      </c>
      <c r="P83" s="64">
        <v>0.76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4" t="s">
        <v>3009</v>
      </c>
      <c r="B84" s="64">
        <v>12.62</v>
      </c>
      <c r="C84" s="64">
        <v>33.03</v>
      </c>
      <c r="D84" s="64">
        <v>27.38</v>
      </c>
      <c r="E84" s="64">
        <v>4.71</v>
      </c>
      <c r="F84" s="64">
        <v>9.7200000000000006</v>
      </c>
      <c r="G84" s="64">
        <v>76.98</v>
      </c>
      <c r="H84" s="64">
        <v>6.3</v>
      </c>
      <c r="I84" s="64">
        <v>2.15</v>
      </c>
      <c r="J84" s="64">
        <v>0.31</v>
      </c>
      <c r="K84" s="64">
        <v>139.61000000000001</v>
      </c>
      <c r="L84" s="64">
        <v>25.96</v>
      </c>
      <c r="M84" s="64">
        <v>97.98</v>
      </c>
      <c r="N84" s="64">
        <v>45.5</v>
      </c>
      <c r="O84" s="64">
        <v>0</v>
      </c>
      <c r="P84" s="64">
        <v>0.8</v>
      </c>
      <c r="Q84" s="64">
        <v>9.2100000000000009</v>
      </c>
      <c r="R84" s="198"/>
      <c r="S84" s="198"/>
      <c r="T84" s="198"/>
      <c r="U84" s="198"/>
    </row>
    <row r="85" spans="1:26" s="12" customFormat="1" x14ac:dyDescent="0.25">
      <c r="A85" s="214" t="s">
        <v>3010</v>
      </c>
      <c r="B85" s="64">
        <v>9.23</v>
      </c>
      <c r="C85" s="64">
        <v>25.26</v>
      </c>
      <c r="D85" s="64">
        <v>20.6</v>
      </c>
      <c r="E85" s="64">
        <v>4.49</v>
      </c>
      <c r="F85" s="64">
        <v>10.23</v>
      </c>
      <c r="G85" s="64">
        <v>68.13</v>
      </c>
      <c r="H85" s="64">
        <v>7.93</v>
      </c>
      <c r="I85" s="64">
        <v>2.16</v>
      </c>
      <c r="J85" s="64">
        <v>0.13</v>
      </c>
      <c r="K85" s="64">
        <v>167.69</v>
      </c>
      <c r="L85" s="64">
        <v>25.92</v>
      </c>
      <c r="M85" s="64">
        <v>97.99</v>
      </c>
      <c r="N85" s="64">
        <v>45.6</v>
      </c>
      <c r="O85" s="64">
        <v>0</v>
      </c>
      <c r="P85" s="64">
        <v>0.75</v>
      </c>
      <c r="Q85" s="64">
        <v>9.23</v>
      </c>
      <c r="R85" s="198"/>
      <c r="S85" s="198"/>
      <c r="T85" s="198"/>
      <c r="U85" s="198"/>
    </row>
    <row r="86" spans="1:26" s="12" customFormat="1" x14ac:dyDescent="0.25">
      <c r="A86" s="214" t="s">
        <v>3011</v>
      </c>
      <c r="B86" s="64">
        <v>8.8800000000000008</v>
      </c>
      <c r="C86" s="64">
        <v>25.45</v>
      </c>
      <c r="D86" s="64">
        <v>20.420000000000002</v>
      </c>
      <c r="E86" s="64">
        <v>4.5599999999999996</v>
      </c>
      <c r="F86" s="64">
        <v>8.9600000000000009</v>
      </c>
      <c r="G86" s="64">
        <v>67.5</v>
      </c>
      <c r="H86" s="64">
        <v>7.93</v>
      </c>
      <c r="I86" s="64">
        <v>2.19</v>
      </c>
      <c r="J86" s="64">
        <v>0.16</v>
      </c>
      <c r="K86" s="64">
        <v>146.91999999999999</v>
      </c>
      <c r="L86" s="64">
        <v>25.79</v>
      </c>
      <c r="M86" s="64">
        <v>98.01</v>
      </c>
      <c r="N86" s="64">
        <v>45.6</v>
      </c>
      <c r="O86" s="64">
        <v>0</v>
      </c>
      <c r="P86" s="64">
        <v>0.78</v>
      </c>
      <c r="Q86" s="64">
        <v>9.2200000000000006</v>
      </c>
      <c r="R86" s="198"/>
      <c r="S86" s="198"/>
      <c r="T86" s="198"/>
      <c r="U86" s="198"/>
    </row>
    <row r="87" spans="1:26" s="12" customFormat="1" x14ac:dyDescent="0.25">
      <c r="A87" s="214" t="s">
        <v>3012</v>
      </c>
      <c r="B87" s="64">
        <v>6.85</v>
      </c>
      <c r="C87" s="64">
        <v>24.03</v>
      </c>
      <c r="D87" s="64">
        <v>18.05</v>
      </c>
      <c r="E87" s="64">
        <v>4.45</v>
      </c>
      <c r="F87" s="64">
        <v>13.59</v>
      </c>
      <c r="G87" s="64">
        <v>67.5</v>
      </c>
      <c r="H87" s="64">
        <v>7.93</v>
      </c>
      <c r="I87" s="64">
        <v>2.2200000000000002</v>
      </c>
      <c r="J87" s="64">
        <v>0.15</v>
      </c>
      <c r="K87" s="64">
        <v>184.2</v>
      </c>
      <c r="L87" s="64">
        <v>25.68</v>
      </c>
      <c r="M87" s="64">
        <v>98.02</v>
      </c>
      <c r="N87" s="64">
        <v>45.5</v>
      </c>
      <c r="O87" s="64">
        <v>0</v>
      </c>
      <c r="P87" s="64">
        <v>0.7</v>
      </c>
      <c r="Q87" s="64">
        <v>9.2200000000000006</v>
      </c>
      <c r="R87" s="198"/>
      <c r="S87" s="198"/>
      <c r="T87" s="198"/>
      <c r="U87" s="198"/>
    </row>
    <row r="88" spans="1:26" s="12" customFormat="1" x14ac:dyDescent="0.25">
      <c r="A88" s="214" t="s">
        <v>3013</v>
      </c>
      <c r="B88" s="64">
        <v>15.97</v>
      </c>
      <c r="C88" s="64">
        <v>25.99</v>
      </c>
      <c r="D88" s="64">
        <v>26.39</v>
      </c>
      <c r="E88" s="64">
        <v>4.24</v>
      </c>
      <c r="F88" s="64">
        <v>10.25</v>
      </c>
      <c r="G88" s="64">
        <v>67.5</v>
      </c>
      <c r="H88" s="64">
        <v>7.93</v>
      </c>
      <c r="I88" s="64">
        <v>2.2400000000000002</v>
      </c>
      <c r="J88" s="64">
        <v>0.28000000000000003</v>
      </c>
      <c r="K88" s="64">
        <v>157.52000000000001</v>
      </c>
      <c r="L88" s="64">
        <v>25.68</v>
      </c>
      <c r="M88" s="64">
        <v>98.03</v>
      </c>
      <c r="N88" s="64">
        <v>45.3</v>
      </c>
      <c r="O88" s="64">
        <v>0</v>
      </c>
      <c r="P88" s="64">
        <v>0.81</v>
      </c>
      <c r="Q88" s="64">
        <v>9.2100000000000009</v>
      </c>
      <c r="R88" s="198"/>
      <c r="S88" s="198"/>
      <c r="T88" s="198"/>
      <c r="U88" s="198"/>
    </row>
    <row r="89" spans="1:26" s="12" customFormat="1" x14ac:dyDescent="0.25">
      <c r="A89" s="214" t="s">
        <v>3014</v>
      </c>
      <c r="B89" s="64">
        <v>10.34</v>
      </c>
      <c r="C89" s="64">
        <v>24.86</v>
      </c>
      <c r="D89" s="64">
        <v>21.28</v>
      </c>
      <c r="E89" s="64">
        <v>4.47</v>
      </c>
      <c r="F89" s="64">
        <v>8.6199999999999992</v>
      </c>
      <c r="G89" s="64">
        <v>75.44</v>
      </c>
      <c r="H89" s="64">
        <v>6.95</v>
      </c>
      <c r="I89" s="64">
        <v>2.2400000000000002</v>
      </c>
      <c r="J89" s="64">
        <v>0.08</v>
      </c>
      <c r="K89" s="64">
        <v>213.72</v>
      </c>
      <c r="L89" s="64">
        <v>25.65</v>
      </c>
      <c r="M89" s="64">
        <v>98.05</v>
      </c>
      <c r="N89" s="64">
        <v>45.6</v>
      </c>
      <c r="O89" s="64">
        <v>0</v>
      </c>
      <c r="P89" s="64">
        <v>0.94</v>
      </c>
      <c r="Q89" s="64">
        <v>9.18</v>
      </c>
      <c r="R89" s="198"/>
      <c r="S89" s="198"/>
      <c r="T89" s="198"/>
      <c r="U89" s="198"/>
    </row>
    <row r="90" spans="1:26" s="12" customFormat="1" x14ac:dyDescent="0.25">
      <c r="A90" s="214" t="s">
        <v>3015</v>
      </c>
      <c r="B90" s="64">
        <v>11.68</v>
      </c>
      <c r="C90" s="64">
        <v>23.19</v>
      </c>
      <c r="D90" s="64">
        <v>21.48</v>
      </c>
      <c r="E90" s="64">
        <v>4.5999999999999996</v>
      </c>
      <c r="F90" s="64">
        <v>8.49</v>
      </c>
      <c r="G90" s="64">
        <v>76.010000000000005</v>
      </c>
      <c r="H90" s="64">
        <v>6.95</v>
      </c>
      <c r="I90" s="64">
        <v>2.25</v>
      </c>
      <c r="J90" s="64">
        <v>0.28999999999999998</v>
      </c>
      <c r="K90" s="64">
        <v>140.08000000000001</v>
      </c>
      <c r="L90" s="64">
        <v>25.59</v>
      </c>
      <c r="M90" s="64">
        <v>98.06</v>
      </c>
      <c r="N90" s="64">
        <v>45.4</v>
      </c>
      <c r="O90" s="64">
        <v>0</v>
      </c>
      <c r="P90" s="64">
        <v>0.89</v>
      </c>
      <c r="Q90" s="64">
        <v>9.16</v>
      </c>
      <c r="R90" s="198"/>
      <c r="S90" s="198"/>
      <c r="T90" s="198"/>
      <c r="U90" s="198"/>
    </row>
    <row r="91" spans="1:26" s="12" customFormat="1" x14ac:dyDescent="0.25">
      <c r="A91" s="214" t="s">
        <v>3016</v>
      </c>
      <c r="B91" s="64">
        <v>9.5</v>
      </c>
      <c r="C91" s="64">
        <v>22.92</v>
      </c>
      <c r="D91" s="64">
        <v>19.600000000000001</v>
      </c>
      <c r="E91" s="64">
        <v>4.5999999999999996</v>
      </c>
      <c r="F91" s="64">
        <v>9.5299999999999994</v>
      </c>
      <c r="G91" s="64">
        <v>76.010000000000005</v>
      </c>
      <c r="H91" s="64">
        <v>6.95</v>
      </c>
      <c r="I91" s="64">
        <v>2.27</v>
      </c>
      <c r="J91" s="64">
        <v>0.61</v>
      </c>
      <c r="K91" s="64">
        <v>132.99</v>
      </c>
      <c r="L91" s="64">
        <v>25.52</v>
      </c>
      <c r="M91" s="64">
        <v>98.1</v>
      </c>
      <c r="N91" s="64">
        <v>45.4</v>
      </c>
      <c r="O91" s="64">
        <v>0</v>
      </c>
      <c r="P91" s="64">
        <v>0.85</v>
      </c>
      <c r="Q91" s="64">
        <v>9.16</v>
      </c>
      <c r="R91" s="198"/>
      <c r="S91" s="198"/>
      <c r="T91" s="198"/>
      <c r="U91" s="198"/>
    </row>
    <row r="92" spans="1:26" s="12" customFormat="1" x14ac:dyDescent="0.25">
      <c r="A92" s="214" t="s">
        <v>3017</v>
      </c>
      <c r="B92" s="64">
        <v>12.33</v>
      </c>
      <c r="C92" s="64">
        <v>21.96</v>
      </c>
      <c r="D92" s="64">
        <v>21.36</v>
      </c>
      <c r="E92" s="64">
        <v>4.7</v>
      </c>
      <c r="F92" s="64">
        <v>8.34</v>
      </c>
      <c r="G92" s="64">
        <v>76.010000000000005</v>
      </c>
      <c r="H92" s="64">
        <v>6.95</v>
      </c>
      <c r="I92" s="64">
        <v>2.3199999999999998</v>
      </c>
      <c r="J92" s="64">
        <v>0.36</v>
      </c>
      <c r="K92" s="64">
        <v>142.53</v>
      </c>
      <c r="L92" s="64">
        <v>25.41</v>
      </c>
      <c r="M92" s="64">
        <v>98.11</v>
      </c>
      <c r="N92" s="64">
        <v>45.4</v>
      </c>
      <c r="O92" s="64">
        <v>0</v>
      </c>
      <c r="P92" s="64">
        <v>0.81</v>
      </c>
      <c r="Q92" s="64">
        <v>9.16</v>
      </c>
      <c r="R92" s="198"/>
      <c r="S92" s="198"/>
      <c r="T92" s="198"/>
      <c r="U92" s="198"/>
    </row>
    <row r="93" spans="1:26" s="12" customFormat="1" x14ac:dyDescent="0.25">
      <c r="A93" s="214" t="s">
        <v>3018</v>
      </c>
      <c r="B93" s="64">
        <v>7.42</v>
      </c>
      <c r="C93" s="64">
        <v>18.84</v>
      </c>
      <c r="D93" s="64">
        <v>15.79</v>
      </c>
      <c r="E93" s="64">
        <v>4.2</v>
      </c>
      <c r="F93" s="64">
        <v>11.79</v>
      </c>
      <c r="G93" s="64">
        <v>79.52</v>
      </c>
      <c r="H93" s="64">
        <v>7.98</v>
      </c>
      <c r="I93" s="64">
        <v>2.35</v>
      </c>
      <c r="J93" s="64">
        <v>7.0000000000000007E-2</v>
      </c>
      <c r="K93" s="64">
        <v>107.37</v>
      </c>
      <c r="L93" s="64">
        <v>25.24</v>
      </c>
      <c r="M93" s="64">
        <v>98.12</v>
      </c>
      <c r="N93" s="64">
        <v>45.5</v>
      </c>
      <c r="O93" s="64">
        <v>0</v>
      </c>
      <c r="P93" s="64">
        <v>0.78</v>
      </c>
      <c r="Q93" s="64">
        <v>9.15</v>
      </c>
      <c r="R93" s="198"/>
      <c r="S93" s="198"/>
      <c r="T93" s="198"/>
      <c r="U93" s="198"/>
    </row>
    <row r="94" spans="1:26" s="12" customFormat="1" x14ac:dyDescent="0.25">
      <c r="A94" s="214" t="s">
        <v>3019</v>
      </c>
      <c r="B94" s="64">
        <v>6.63</v>
      </c>
      <c r="C94" s="64">
        <v>22.35</v>
      </c>
      <c r="D94" s="64">
        <v>17</v>
      </c>
      <c r="E94" s="64">
        <v>4.41</v>
      </c>
      <c r="F94" s="64">
        <v>10.16</v>
      </c>
      <c r="G94" s="64">
        <v>79.73</v>
      </c>
      <c r="H94" s="64">
        <v>7.98</v>
      </c>
      <c r="I94" s="64">
        <v>2.38</v>
      </c>
      <c r="J94" s="64">
        <v>0.02</v>
      </c>
      <c r="K94" s="64">
        <v>91.58</v>
      </c>
      <c r="L94" s="64">
        <v>25.08</v>
      </c>
      <c r="M94" s="64">
        <v>98.13</v>
      </c>
      <c r="N94" s="64">
        <v>45.3</v>
      </c>
      <c r="O94" s="64">
        <v>0</v>
      </c>
      <c r="P94" s="64">
        <v>0.86</v>
      </c>
      <c r="Q94" s="64">
        <v>9.15</v>
      </c>
      <c r="R94" s="198"/>
      <c r="S94" s="198"/>
      <c r="T94" s="198"/>
      <c r="U94" s="198"/>
    </row>
    <row r="95" spans="1:26" s="12" customFormat="1" x14ac:dyDescent="0.25">
      <c r="A95" s="214" t="s">
        <v>3020</v>
      </c>
      <c r="B95" s="64">
        <v>5.84</v>
      </c>
      <c r="C95" s="64">
        <v>17.97</v>
      </c>
      <c r="D95" s="64">
        <v>14.07</v>
      </c>
      <c r="E95" s="64">
        <v>4.41</v>
      </c>
      <c r="F95" s="64">
        <v>8.5399999999999991</v>
      </c>
      <c r="G95" s="64">
        <v>79.73</v>
      </c>
      <c r="H95" s="64">
        <v>7.98</v>
      </c>
      <c r="I95" s="64">
        <v>2.4</v>
      </c>
      <c r="J95" s="64">
        <v>0.03</v>
      </c>
      <c r="K95" s="64">
        <v>34.700000000000003</v>
      </c>
      <c r="L95" s="64">
        <v>24.94</v>
      </c>
      <c r="M95" s="64">
        <v>98.2</v>
      </c>
      <c r="N95" s="64">
        <v>45.3</v>
      </c>
      <c r="O95" s="64">
        <v>0</v>
      </c>
      <c r="P95" s="64">
        <v>0.85</v>
      </c>
      <c r="Q95" s="64">
        <v>9.14</v>
      </c>
      <c r="R95" s="198"/>
      <c r="S95" s="198"/>
      <c r="T95" s="198"/>
      <c r="U95" s="198"/>
    </row>
    <row r="96" spans="1:26" s="12" customFormat="1" x14ac:dyDescent="0.25">
      <c r="A96" s="214" t="s">
        <v>3021</v>
      </c>
      <c r="B96" s="64">
        <v>7.07</v>
      </c>
      <c r="C96" s="64">
        <v>13.55</v>
      </c>
      <c r="D96" s="64">
        <v>12.75</v>
      </c>
      <c r="E96" s="64">
        <v>4.58</v>
      </c>
      <c r="F96" s="64">
        <v>8.91</v>
      </c>
      <c r="G96" s="64">
        <v>79.73</v>
      </c>
      <c r="H96" s="64">
        <v>7.98</v>
      </c>
      <c r="I96" s="64">
        <v>2.42</v>
      </c>
      <c r="J96" s="64">
        <v>0.02</v>
      </c>
      <c r="K96" s="64">
        <v>63.8</v>
      </c>
      <c r="L96" s="64">
        <v>24.86</v>
      </c>
      <c r="M96" s="64">
        <v>98.25</v>
      </c>
      <c r="N96" s="64">
        <v>45.2</v>
      </c>
      <c r="O96" s="64">
        <v>0</v>
      </c>
      <c r="P96" s="64">
        <v>0.71</v>
      </c>
      <c r="Q96" s="64">
        <v>9.1300000000000008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3022</v>
      </c>
      <c r="B97" s="64">
        <v>6.2</v>
      </c>
      <c r="C97" s="64">
        <v>16.22</v>
      </c>
      <c r="D97" s="64">
        <v>13.44</v>
      </c>
      <c r="E97" s="64">
        <v>4.71</v>
      </c>
      <c r="F97" s="64">
        <v>8.94</v>
      </c>
      <c r="G97" s="64">
        <v>72.87</v>
      </c>
      <c r="H97" s="64">
        <v>7.38</v>
      </c>
      <c r="I97" s="64">
        <v>2.4300000000000002</v>
      </c>
      <c r="J97" s="64">
        <v>0.04</v>
      </c>
      <c r="K97" s="64">
        <v>152.56</v>
      </c>
      <c r="L97" s="64">
        <v>24.79</v>
      </c>
      <c r="M97" s="64">
        <v>98.25</v>
      </c>
      <c r="N97" s="64">
        <v>45.3</v>
      </c>
      <c r="O97" s="64">
        <v>0</v>
      </c>
      <c r="P97" s="64">
        <v>0.63</v>
      </c>
      <c r="Q97" s="64">
        <v>9.14</v>
      </c>
      <c r="R97" s="198"/>
      <c r="S97" s="198"/>
      <c r="T97" s="198"/>
      <c r="U97" s="198"/>
    </row>
    <row r="98" spans="1:33" s="12" customFormat="1" x14ac:dyDescent="0.25">
      <c r="A98" s="214" t="s">
        <v>3023</v>
      </c>
      <c r="B98" s="64">
        <v>7.16</v>
      </c>
      <c r="C98" s="64">
        <v>14.77</v>
      </c>
      <c r="D98" s="64">
        <v>13.46</v>
      </c>
      <c r="E98" s="64">
        <v>4.28</v>
      </c>
      <c r="F98" s="64">
        <v>7.44</v>
      </c>
      <c r="G98" s="64">
        <v>72.38</v>
      </c>
      <c r="H98" s="64">
        <v>7.38</v>
      </c>
      <c r="I98" s="64">
        <v>2.44</v>
      </c>
      <c r="J98" s="64">
        <v>0.03</v>
      </c>
      <c r="K98" s="64">
        <v>116.54</v>
      </c>
      <c r="L98" s="64">
        <v>24.7</v>
      </c>
      <c r="M98" s="64">
        <v>98.09</v>
      </c>
      <c r="N98" s="64">
        <v>45.2</v>
      </c>
      <c r="O98" s="64">
        <v>0</v>
      </c>
      <c r="P98" s="64">
        <v>0.68</v>
      </c>
      <c r="Q98" s="64">
        <v>9.1300000000000008</v>
      </c>
      <c r="R98" s="198"/>
      <c r="S98" s="198"/>
      <c r="T98" s="198"/>
      <c r="U98" s="198"/>
    </row>
    <row r="99" spans="1:33" s="12" customFormat="1" x14ac:dyDescent="0.25">
      <c r="A99" s="214" t="s">
        <v>3024</v>
      </c>
      <c r="B99" s="64">
        <v>8.8000000000000007</v>
      </c>
      <c r="C99" s="64">
        <v>14.39</v>
      </c>
      <c r="D99" s="64">
        <v>14.58</v>
      </c>
      <c r="E99" s="64">
        <v>4.5599999999999996</v>
      </c>
      <c r="F99" s="64">
        <v>7.56</v>
      </c>
      <c r="G99" s="64">
        <v>72.38</v>
      </c>
      <c r="H99" s="64">
        <v>7.38</v>
      </c>
      <c r="I99" s="64">
        <v>2.4300000000000002</v>
      </c>
      <c r="J99" s="64">
        <v>0.01</v>
      </c>
      <c r="K99" s="64">
        <v>144.47999999999999</v>
      </c>
      <c r="L99" s="64">
        <v>24.64</v>
      </c>
      <c r="M99" s="64">
        <v>98.14</v>
      </c>
      <c r="N99" s="64">
        <v>45.2</v>
      </c>
      <c r="O99" s="64">
        <v>0</v>
      </c>
      <c r="P99" s="64">
        <v>0.61</v>
      </c>
      <c r="Q99" s="64">
        <v>9.1300000000000008</v>
      </c>
      <c r="R99" s="198"/>
      <c r="S99" s="198"/>
      <c r="T99" s="198"/>
      <c r="U99" s="198"/>
    </row>
    <row r="100" spans="1:33" s="12" customFormat="1" x14ac:dyDescent="0.25">
      <c r="A100" s="214" t="s">
        <v>3025</v>
      </c>
      <c r="B100" s="64">
        <v>7.27</v>
      </c>
      <c r="C100" s="64">
        <v>13.69</v>
      </c>
      <c r="D100" s="64">
        <v>12.98</v>
      </c>
      <c r="E100" s="64">
        <v>4.47</v>
      </c>
      <c r="F100" s="64">
        <v>8.86</v>
      </c>
      <c r="G100" s="64">
        <v>72.38</v>
      </c>
      <c r="H100" s="64">
        <v>7.38</v>
      </c>
      <c r="I100" s="64">
        <v>2.4</v>
      </c>
      <c r="J100" s="64">
        <v>0.14000000000000001</v>
      </c>
      <c r="K100" s="64">
        <v>136.05000000000001</v>
      </c>
      <c r="L100" s="64">
        <v>24.51</v>
      </c>
      <c r="M100" s="64">
        <v>98.14</v>
      </c>
      <c r="N100" s="64">
        <v>45.2</v>
      </c>
      <c r="O100" s="64">
        <v>0</v>
      </c>
      <c r="P100" s="64">
        <v>0.51</v>
      </c>
      <c r="Q100" s="64">
        <v>9.14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3026</v>
      </c>
      <c r="B101" s="64">
        <v>6.7</v>
      </c>
      <c r="C101" s="64">
        <v>12.89</v>
      </c>
      <c r="D101" s="64">
        <v>12.11</v>
      </c>
      <c r="E101" s="64">
        <v>4.13</v>
      </c>
      <c r="F101" s="64">
        <v>8.68</v>
      </c>
      <c r="G101" s="64">
        <v>57.55</v>
      </c>
      <c r="H101" s="64">
        <v>7.87</v>
      </c>
      <c r="I101" s="64">
        <v>2.39</v>
      </c>
      <c r="J101" s="64">
        <v>0.51</v>
      </c>
      <c r="K101" s="64">
        <v>135.86000000000001</v>
      </c>
      <c r="L101" s="64">
        <v>24.43</v>
      </c>
      <c r="M101" s="64">
        <v>98.13</v>
      </c>
      <c r="N101" s="64">
        <v>44.9</v>
      </c>
      <c r="O101" s="64">
        <v>0</v>
      </c>
      <c r="P101" s="64">
        <v>0.48</v>
      </c>
      <c r="Q101" s="64">
        <v>9.16</v>
      </c>
      <c r="R101" s="198"/>
      <c r="S101" s="198"/>
      <c r="T101" s="198"/>
      <c r="U101" s="198"/>
    </row>
    <row r="102" spans="1:33" s="12" customFormat="1" x14ac:dyDescent="0.25">
      <c r="A102" s="214" t="s">
        <v>3027</v>
      </c>
      <c r="B102" s="64">
        <v>6.83</v>
      </c>
      <c r="C102" s="64">
        <v>10.84</v>
      </c>
      <c r="D102" s="64">
        <v>11.15</v>
      </c>
      <c r="E102" s="64">
        <v>4.33</v>
      </c>
      <c r="F102" s="64">
        <v>7.68</v>
      </c>
      <c r="G102" s="64">
        <v>56.49</v>
      </c>
      <c r="H102" s="64">
        <v>7.87</v>
      </c>
      <c r="I102" s="64">
        <v>2.38</v>
      </c>
      <c r="J102" s="64">
        <v>0.47</v>
      </c>
      <c r="K102" s="64">
        <v>140.91999999999999</v>
      </c>
      <c r="L102" s="64">
        <v>24.47</v>
      </c>
      <c r="M102" s="64">
        <v>98.13</v>
      </c>
      <c r="N102" s="64">
        <v>45</v>
      </c>
      <c r="O102" s="64">
        <v>0</v>
      </c>
      <c r="P102" s="64">
        <v>0.52</v>
      </c>
      <c r="Q102" s="64">
        <v>9.15</v>
      </c>
      <c r="R102" s="198"/>
      <c r="S102" s="198"/>
      <c r="T102" s="198"/>
      <c r="U102" s="198"/>
    </row>
    <row r="103" spans="1:33" s="12" customFormat="1" x14ac:dyDescent="0.25">
      <c r="A103" s="214" t="s">
        <v>3028</v>
      </c>
      <c r="B103" s="64">
        <v>6.89</v>
      </c>
      <c r="C103" s="64">
        <v>12.41</v>
      </c>
      <c r="D103" s="64">
        <v>12.01</v>
      </c>
      <c r="E103" s="64">
        <v>4.42</v>
      </c>
      <c r="F103" s="64">
        <v>7.91</v>
      </c>
      <c r="G103" s="64">
        <v>56.49</v>
      </c>
      <c r="H103" s="64">
        <v>7.87</v>
      </c>
      <c r="I103" s="64">
        <v>2.35</v>
      </c>
      <c r="J103" s="64">
        <v>0.37</v>
      </c>
      <c r="K103" s="64">
        <v>146.91999999999999</v>
      </c>
      <c r="L103" s="64">
        <v>24.42</v>
      </c>
      <c r="M103" s="64">
        <v>98.15</v>
      </c>
      <c r="N103" s="64">
        <v>45.2</v>
      </c>
      <c r="O103" s="64">
        <v>0</v>
      </c>
      <c r="P103" s="64">
        <v>0.44</v>
      </c>
      <c r="Q103" s="64">
        <v>9.16</v>
      </c>
      <c r="R103" s="198"/>
      <c r="S103" s="198"/>
      <c r="T103" s="198"/>
      <c r="U103" s="198"/>
    </row>
    <row r="104" spans="1:33" s="12" customFormat="1" x14ac:dyDescent="0.25">
      <c r="A104" s="214" t="s">
        <v>3029</v>
      </c>
      <c r="B104" s="64">
        <v>6.52</v>
      </c>
      <c r="C104" s="64">
        <v>12.64</v>
      </c>
      <c r="D104" s="64">
        <v>11.83</v>
      </c>
      <c r="E104" s="64">
        <v>5.46</v>
      </c>
      <c r="F104" s="64">
        <v>8.91</v>
      </c>
      <c r="G104" s="64">
        <v>56.49</v>
      </c>
      <c r="H104" s="64">
        <v>7.87</v>
      </c>
      <c r="I104" s="64">
        <v>2.31</v>
      </c>
      <c r="J104" s="64">
        <v>0.18</v>
      </c>
      <c r="K104" s="64">
        <v>145.30000000000001</v>
      </c>
      <c r="L104" s="64">
        <v>24.34</v>
      </c>
      <c r="M104" s="64">
        <v>98.15</v>
      </c>
      <c r="N104" s="64">
        <v>45.2</v>
      </c>
      <c r="O104" s="64">
        <v>0</v>
      </c>
      <c r="P104" s="64">
        <v>0.4</v>
      </c>
      <c r="Q104" s="64">
        <v>9.15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5.34</v>
      </c>
      <c r="C106" s="67">
        <f>MIN(C9:C104)</f>
        <v>5.45</v>
      </c>
      <c r="D106" s="67">
        <f t="shared" ref="D106:Q106" si="0">MIN(D9:D104)</f>
        <v>8.1</v>
      </c>
      <c r="E106" s="67">
        <f t="shared" si="0"/>
        <v>4.13</v>
      </c>
      <c r="F106" s="67">
        <f t="shared" si="0"/>
        <v>5.3</v>
      </c>
      <c r="G106" s="67">
        <f t="shared" si="0"/>
        <v>4.53</v>
      </c>
      <c r="H106" s="67">
        <f t="shared" si="0"/>
        <v>5.52</v>
      </c>
      <c r="I106" s="67">
        <f t="shared" si="0"/>
        <v>1.03</v>
      </c>
      <c r="J106" s="67">
        <f t="shared" si="0"/>
        <v>0</v>
      </c>
      <c r="K106" s="67">
        <f t="shared" si="0"/>
        <v>6.66</v>
      </c>
      <c r="L106" s="67">
        <f t="shared" si="0"/>
        <v>22.8</v>
      </c>
      <c r="M106" s="67">
        <f t="shared" si="0"/>
        <v>76.78</v>
      </c>
      <c r="N106" s="67">
        <f t="shared" si="0"/>
        <v>44.3</v>
      </c>
      <c r="O106" s="67">
        <f t="shared" si="0"/>
        <v>0</v>
      </c>
      <c r="P106" s="67">
        <f t="shared" si="0"/>
        <v>0.25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30.95</v>
      </c>
      <c r="C107" s="66">
        <f t="shared" ref="C107:Q107" si="1">MAX(C9:C104)</f>
        <v>33.83</v>
      </c>
      <c r="D107" s="66">
        <f t="shared" si="1"/>
        <v>37.68</v>
      </c>
      <c r="E107" s="66">
        <f t="shared" si="1"/>
        <v>5.46</v>
      </c>
      <c r="F107" s="66">
        <f t="shared" si="1"/>
        <v>19.93</v>
      </c>
      <c r="G107" s="66">
        <f t="shared" si="1"/>
        <v>79.73</v>
      </c>
      <c r="H107" s="66">
        <f t="shared" si="1"/>
        <v>12.28</v>
      </c>
      <c r="I107" s="66">
        <f t="shared" si="1"/>
        <v>2.44</v>
      </c>
      <c r="J107" s="66">
        <f t="shared" si="1"/>
        <v>0.83</v>
      </c>
      <c r="K107" s="66">
        <f t="shared" si="1"/>
        <v>358.19</v>
      </c>
      <c r="L107" s="66">
        <f t="shared" si="1"/>
        <v>30.56</v>
      </c>
      <c r="M107" s="66">
        <f t="shared" si="1"/>
        <v>98.34</v>
      </c>
      <c r="N107" s="66">
        <f t="shared" si="1"/>
        <v>573.4</v>
      </c>
      <c r="O107" s="66">
        <f t="shared" si="1"/>
        <v>0.2</v>
      </c>
      <c r="P107" s="66">
        <f t="shared" si="1"/>
        <v>1.04</v>
      </c>
      <c r="Q107" s="66">
        <f t="shared" si="1"/>
        <v>9.23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11.047916666666671</v>
      </c>
      <c r="C108" s="67">
        <f t="shared" ref="C108:Q108" si="2">AVERAGE(C9:C104)</f>
        <v>14.744270833333337</v>
      </c>
      <c r="D108" s="67">
        <f t="shared" si="2"/>
        <v>16.561250000000001</v>
      </c>
      <c r="E108" s="67">
        <f t="shared" si="2"/>
        <v>4.7242708333333345</v>
      </c>
      <c r="F108" s="67">
        <f t="shared" si="2"/>
        <v>10.221354166666666</v>
      </c>
      <c r="G108" s="67">
        <f t="shared" si="2"/>
        <v>37.230104166666671</v>
      </c>
      <c r="H108" s="67">
        <f t="shared" si="2"/>
        <v>7.8358333333333325</v>
      </c>
      <c r="I108" s="67">
        <f t="shared" si="2"/>
        <v>1.652291666666666</v>
      </c>
      <c r="J108" s="67">
        <f t="shared" si="2"/>
        <v>0.20822916666666666</v>
      </c>
      <c r="K108" s="67">
        <f t="shared" si="2"/>
        <v>232.65520833333335</v>
      </c>
      <c r="L108" s="67">
        <f t="shared" si="2"/>
        <v>25.468229166666664</v>
      </c>
      <c r="M108" s="67">
        <f t="shared" si="2"/>
        <v>95.259166666666616</v>
      </c>
      <c r="N108" s="67">
        <f t="shared" si="2"/>
        <v>116.63125000000002</v>
      </c>
      <c r="O108" s="67">
        <f t="shared" si="2"/>
        <v>2.0833333333333333E-3</v>
      </c>
      <c r="P108" s="67">
        <f t="shared" si="2"/>
        <v>0.53854166666666659</v>
      </c>
      <c r="Q108" s="67">
        <f t="shared" si="2"/>
        <v>9.1292708333333277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4.5984615085497866</v>
      </c>
      <c r="C109" s="67">
        <f t="shared" ref="C109:Q109" si="3">STDEV(C9:C104)</f>
        <v>8.4691716794739378</v>
      </c>
      <c r="D109" s="67">
        <f t="shared" si="3"/>
        <v>6.8874546898882132</v>
      </c>
      <c r="E109" s="67">
        <f t="shared" si="3"/>
        <v>0.2750109846290994</v>
      </c>
      <c r="F109" s="67">
        <f t="shared" si="3"/>
        <v>3.0094135185908235</v>
      </c>
      <c r="G109" s="67">
        <f t="shared" si="3"/>
        <v>27.478696647816438</v>
      </c>
      <c r="H109" s="67">
        <f t="shared" si="3"/>
        <v>1.8421655829723036</v>
      </c>
      <c r="I109" s="67">
        <f t="shared" si="3"/>
        <v>0.48392578632127881</v>
      </c>
      <c r="J109" s="67">
        <f t="shared" si="3"/>
        <v>0.21183903915183322</v>
      </c>
      <c r="K109" s="67">
        <f t="shared" si="3"/>
        <v>97.002527194199232</v>
      </c>
      <c r="L109" s="67">
        <f t="shared" si="3"/>
        <v>2.2185210791220284</v>
      </c>
      <c r="M109" s="67">
        <f t="shared" si="3"/>
        <v>5.8019985062620165</v>
      </c>
      <c r="N109" s="67">
        <f t="shared" si="3"/>
        <v>115.63857698381665</v>
      </c>
      <c r="O109" s="67">
        <f t="shared" si="3"/>
        <v>2.0412414523193152E-2</v>
      </c>
      <c r="P109" s="67">
        <f t="shared" si="3"/>
        <v>0.2244383829011837</v>
      </c>
      <c r="Q109" s="67">
        <f t="shared" si="3"/>
        <v>4.6797318674126183E-2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24" activePane="bottomLeft" state="frozen"/>
      <selection activeCell="N106" sqref="N106:P109"/>
      <selection pane="bottomLef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3030</v>
      </c>
      <c r="B9" s="64">
        <v>6.37</v>
      </c>
      <c r="C9" s="64">
        <v>11.97</v>
      </c>
      <c r="D9" s="64">
        <v>11.37</v>
      </c>
      <c r="E9" s="64">
        <v>4.95</v>
      </c>
      <c r="F9" s="64">
        <v>8.32</v>
      </c>
      <c r="G9" s="64">
        <v>42.28</v>
      </c>
      <c r="H9" s="64">
        <v>6.66</v>
      </c>
      <c r="I9" s="64">
        <v>2.2799999999999998</v>
      </c>
      <c r="J9" s="64">
        <v>0.17</v>
      </c>
      <c r="K9" s="64">
        <v>156.58000000000001</v>
      </c>
      <c r="L9" s="64">
        <v>24.32</v>
      </c>
      <c r="M9" s="64">
        <v>98.15</v>
      </c>
      <c r="N9" s="64">
        <v>45.1</v>
      </c>
      <c r="O9" s="64">
        <v>0</v>
      </c>
      <c r="P9" s="64">
        <v>0.41</v>
      </c>
      <c r="Q9" s="64">
        <v>9.16</v>
      </c>
      <c r="R9" s="198"/>
      <c r="S9" s="198"/>
      <c r="T9" s="198"/>
      <c r="U9" s="198"/>
    </row>
    <row r="10" spans="1:21" s="12" customFormat="1" x14ac:dyDescent="0.25">
      <c r="A10" s="214" t="s">
        <v>3031</v>
      </c>
      <c r="B10" s="64">
        <v>6.59</v>
      </c>
      <c r="C10" s="64">
        <v>10.87</v>
      </c>
      <c r="D10" s="64">
        <v>10.97</v>
      </c>
      <c r="E10" s="64">
        <v>4.7300000000000004</v>
      </c>
      <c r="F10" s="64">
        <v>7.75</v>
      </c>
      <c r="G10" s="64">
        <v>41.27</v>
      </c>
      <c r="H10" s="64">
        <v>6.66</v>
      </c>
      <c r="I10" s="64">
        <v>2.25</v>
      </c>
      <c r="J10" s="64">
        <v>0.32</v>
      </c>
      <c r="K10" s="64">
        <v>131.27000000000001</v>
      </c>
      <c r="L10" s="64">
        <v>24.39</v>
      </c>
      <c r="M10" s="64">
        <v>98.15</v>
      </c>
      <c r="N10" s="64">
        <v>45.2</v>
      </c>
      <c r="O10" s="64">
        <v>0</v>
      </c>
      <c r="P10" s="64">
        <v>0.42</v>
      </c>
      <c r="Q10" s="64">
        <v>9.14</v>
      </c>
      <c r="R10" s="198"/>
      <c r="S10" s="198"/>
      <c r="T10" s="198"/>
      <c r="U10" s="198"/>
    </row>
    <row r="11" spans="1:21" s="12" customFormat="1" x14ac:dyDescent="0.25">
      <c r="A11" s="214" t="s">
        <v>3032</v>
      </c>
      <c r="B11" s="64">
        <v>6.69</v>
      </c>
      <c r="C11" s="64">
        <v>8.4700000000000006</v>
      </c>
      <c r="D11" s="64">
        <v>9.7899999999999991</v>
      </c>
      <c r="E11" s="64">
        <v>5.24</v>
      </c>
      <c r="F11" s="64">
        <v>8.65</v>
      </c>
      <c r="G11" s="64">
        <v>41.27</v>
      </c>
      <c r="H11" s="64">
        <v>6.66</v>
      </c>
      <c r="I11" s="64">
        <v>2.21</v>
      </c>
      <c r="J11" s="64">
        <v>0.45</v>
      </c>
      <c r="K11" s="64">
        <v>130.06</v>
      </c>
      <c r="L11" s="64">
        <v>24.42</v>
      </c>
      <c r="M11" s="64">
        <v>98.15</v>
      </c>
      <c r="N11" s="64">
        <v>45.3</v>
      </c>
      <c r="O11" s="64">
        <v>0</v>
      </c>
      <c r="P11" s="64">
        <v>0.37</v>
      </c>
      <c r="Q11" s="64">
        <v>9.11</v>
      </c>
      <c r="R11" s="198"/>
      <c r="S11" s="198"/>
      <c r="T11" s="198"/>
      <c r="U11" s="198"/>
    </row>
    <row r="12" spans="1:21" s="12" customFormat="1" x14ac:dyDescent="0.25">
      <c r="A12" s="214" t="s">
        <v>3033</v>
      </c>
      <c r="B12" s="64">
        <v>5.5</v>
      </c>
      <c r="C12" s="64">
        <v>8.94</v>
      </c>
      <c r="D12" s="64">
        <v>9.08</v>
      </c>
      <c r="E12" s="64">
        <v>4.8</v>
      </c>
      <c r="F12" s="64">
        <v>8.8800000000000008</v>
      </c>
      <c r="G12" s="64">
        <v>41.27</v>
      </c>
      <c r="H12" s="64">
        <v>6.66</v>
      </c>
      <c r="I12" s="64">
        <v>2.16</v>
      </c>
      <c r="J12" s="64">
        <v>0.42</v>
      </c>
      <c r="K12" s="64">
        <v>139.91999999999999</v>
      </c>
      <c r="L12" s="64">
        <v>24.41</v>
      </c>
      <c r="M12" s="64">
        <v>98.17</v>
      </c>
      <c r="N12" s="64">
        <v>45.3</v>
      </c>
      <c r="O12" s="64">
        <v>0</v>
      </c>
      <c r="P12" s="64">
        <v>0.31</v>
      </c>
      <c r="Q12" s="64">
        <v>9.1</v>
      </c>
      <c r="R12" s="198"/>
      <c r="S12" s="198"/>
      <c r="T12" s="198"/>
      <c r="U12" s="198"/>
    </row>
    <row r="13" spans="1:21" s="12" customFormat="1" x14ac:dyDescent="0.25">
      <c r="A13" s="214" t="s">
        <v>3034</v>
      </c>
      <c r="B13" s="64">
        <v>6.22</v>
      </c>
      <c r="C13" s="64">
        <v>8.24</v>
      </c>
      <c r="D13" s="64">
        <v>9.2899999999999991</v>
      </c>
      <c r="E13" s="64">
        <v>4.8499999999999996</v>
      </c>
      <c r="F13" s="64">
        <v>9</v>
      </c>
      <c r="G13" s="64">
        <v>35.9</v>
      </c>
      <c r="H13" s="64">
        <v>5.88</v>
      </c>
      <c r="I13" s="64">
        <v>2.13</v>
      </c>
      <c r="J13" s="64">
        <v>0.26</v>
      </c>
      <c r="K13" s="64">
        <v>142.94</v>
      </c>
      <c r="L13" s="64">
        <v>24.35</v>
      </c>
      <c r="M13" s="64">
        <v>98.17</v>
      </c>
      <c r="N13" s="64">
        <v>45.3</v>
      </c>
      <c r="O13" s="64">
        <v>0</v>
      </c>
      <c r="P13" s="64">
        <v>0.44</v>
      </c>
      <c r="Q13" s="64">
        <v>9.09</v>
      </c>
      <c r="R13" s="198"/>
      <c r="S13" s="198"/>
      <c r="T13" s="198"/>
      <c r="U13" s="198"/>
    </row>
    <row r="14" spans="1:21" s="12" customFormat="1" x14ac:dyDescent="0.25">
      <c r="A14" s="214" t="s">
        <v>3035</v>
      </c>
      <c r="B14" s="64">
        <v>5.71</v>
      </c>
      <c r="C14" s="64">
        <v>8.49</v>
      </c>
      <c r="D14" s="64">
        <v>9.02</v>
      </c>
      <c r="E14" s="64">
        <v>4.8099999999999996</v>
      </c>
      <c r="F14" s="64">
        <v>8.94</v>
      </c>
      <c r="G14" s="64">
        <v>35.520000000000003</v>
      </c>
      <c r="H14" s="64">
        <v>5.88</v>
      </c>
      <c r="I14" s="64">
        <v>2.11</v>
      </c>
      <c r="J14" s="64">
        <v>0.41</v>
      </c>
      <c r="K14" s="64">
        <v>122.65</v>
      </c>
      <c r="L14" s="64">
        <v>24.35</v>
      </c>
      <c r="M14" s="64">
        <v>98.18</v>
      </c>
      <c r="N14" s="64">
        <v>45.3</v>
      </c>
      <c r="O14" s="64">
        <v>0</v>
      </c>
      <c r="P14" s="64">
        <v>0.28999999999999998</v>
      </c>
      <c r="Q14" s="64">
        <v>9.07</v>
      </c>
      <c r="R14" s="198"/>
      <c r="S14" s="198"/>
      <c r="T14" s="198"/>
      <c r="U14" s="198"/>
    </row>
    <row r="15" spans="1:21" s="12" customFormat="1" x14ac:dyDescent="0.25">
      <c r="A15" s="214" t="s">
        <v>3036</v>
      </c>
      <c r="B15" s="64">
        <v>5.82</v>
      </c>
      <c r="C15" s="64">
        <v>8.89</v>
      </c>
      <c r="D15" s="64">
        <v>9.31</v>
      </c>
      <c r="E15" s="64">
        <v>5</v>
      </c>
      <c r="F15" s="64">
        <v>7.59</v>
      </c>
      <c r="G15" s="64">
        <v>35.520000000000003</v>
      </c>
      <c r="H15" s="64">
        <v>5.88</v>
      </c>
      <c r="I15" s="64">
        <v>2.0699999999999998</v>
      </c>
      <c r="J15" s="64">
        <v>0.2</v>
      </c>
      <c r="K15" s="64">
        <v>124.71</v>
      </c>
      <c r="L15" s="64">
        <v>24.33</v>
      </c>
      <c r="M15" s="64">
        <v>98.18</v>
      </c>
      <c r="N15" s="64">
        <v>45.3</v>
      </c>
      <c r="O15" s="64">
        <v>0</v>
      </c>
      <c r="P15" s="64">
        <v>0.41</v>
      </c>
      <c r="Q15" s="64">
        <v>9.07</v>
      </c>
      <c r="R15" s="198"/>
      <c r="S15" s="198"/>
      <c r="T15" s="198"/>
      <c r="U15" s="198"/>
    </row>
    <row r="16" spans="1:21" s="12" customFormat="1" x14ac:dyDescent="0.25">
      <c r="A16" s="214" t="s">
        <v>3037</v>
      </c>
      <c r="B16" s="64">
        <v>5.98</v>
      </c>
      <c r="C16" s="64">
        <v>8.89</v>
      </c>
      <c r="D16" s="64">
        <v>9.44</v>
      </c>
      <c r="E16" s="64">
        <v>5.16</v>
      </c>
      <c r="F16" s="64">
        <v>8.6300000000000008</v>
      </c>
      <c r="G16" s="64">
        <v>35.520000000000003</v>
      </c>
      <c r="H16" s="64">
        <v>5.88</v>
      </c>
      <c r="I16" s="64">
        <v>2.0299999999999998</v>
      </c>
      <c r="J16" s="64">
        <v>0.04</v>
      </c>
      <c r="K16" s="64">
        <v>135.13999999999999</v>
      </c>
      <c r="L16" s="64">
        <v>24.3</v>
      </c>
      <c r="M16" s="64">
        <v>98.18</v>
      </c>
      <c r="N16" s="64">
        <v>45.6</v>
      </c>
      <c r="O16" s="64">
        <v>0</v>
      </c>
      <c r="P16" s="64">
        <v>0.3</v>
      </c>
      <c r="Q16" s="64">
        <v>9.08</v>
      </c>
      <c r="R16" s="198"/>
      <c r="S16" s="198"/>
      <c r="T16" s="198"/>
      <c r="U16" s="198"/>
    </row>
    <row r="17" spans="1:21" s="12" customFormat="1" x14ac:dyDescent="0.25">
      <c r="A17" s="214" t="s">
        <v>3038</v>
      </c>
      <c r="B17" s="64">
        <v>6.42</v>
      </c>
      <c r="C17" s="64">
        <v>7.55</v>
      </c>
      <c r="D17" s="64">
        <v>9.09</v>
      </c>
      <c r="E17" s="64">
        <v>4.78</v>
      </c>
      <c r="F17" s="64">
        <v>9.91</v>
      </c>
      <c r="G17" s="64">
        <v>33.39</v>
      </c>
      <c r="H17" s="64">
        <v>6.45</v>
      </c>
      <c r="I17" s="64">
        <v>1.99</v>
      </c>
      <c r="J17" s="64">
        <v>0.03</v>
      </c>
      <c r="K17" s="64">
        <v>309.95999999999998</v>
      </c>
      <c r="L17" s="64">
        <v>24.22</v>
      </c>
      <c r="M17" s="64">
        <v>98.18</v>
      </c>
      <c r="N17" s="64">
        <v>45.4</v>
      </c>
      <c r="O17" s="64">
        <v>0</v>
      </c>
      <c r="P17" s="64">
        <v>0.44</v>
      </c>
      <c r="Q17" s="64">
        <v>9.08</v>
      </c>
      <c r="R17" s="198"/>
      <c r="S17" s="198"/>
      <c r="T17" s="198"/>
      <c r="U17" s="198"/>
    </row>
    <row r="18" spans="1:21" s="12" customFormat="1" x14ac:dyDescent="0.25">
      <c r="A18" s="214" t="s">
        <v>3039</v>
      </c>
      <c r="B18" s="64">
        <v>6.2</v>
      </c>
      <c r="C18" s="64">
        <v>7.46</v>
      </c>
      <c r="D18" s="64">
        <v>8.8699999999999992</v>
      </c>
      <c r="E18" s="64">
        <v>5</v>
      </c>
      <c r="F18" s="64">
        <v>7.73</v>
      </c>
      <c r="G18" s="64">
        <v>33.24</v>
      </c>
      <c r="H18" s="64">
        <v>6.45</v>
      </c>
      <c r="I18" s="64">
        <v>1.96</v>
      </c>
      <c r="J18" s="64">
        <v>0.12</v>
      </c>
      <c r="K18" s="64">
        <v>160.43</v>
      </c>
      <c r="L18" s="64">
        <v>24.16</v>
      </c>
      <c r="M18" s="64">
        <v>98.18</v>
      </c>
      <c r="N18" s="64">
        <v>45.3</v>
      </c>
      <c r="O18" s="64">
        <v>0</v>
      </c>
      <c r="P18" s="64">
        <v>0.28999999999999998</v>
      </c>
      <c r="Q18" s="64">
        <v>9.08</v>
      </c>
      <c r="R18" s="198"/>
      <c r="S18" s="198"/>
      <c r="T18" s="198"/>
      <c r="U18" s="198"/>
    </row>
    <row r="19" spans="1:21" s="12" customFormat="1" x14ac:dyDescent="0.25">
      <c r="A19" s="214" t="s">
        <v>3040</v>
      </c>
      <c r="B19" s="64">
        <v>5.91</v>
      </c>
      <c r="C19" s="64">
        <v>7.25</v>
      </c>
      <c r="D19" s="64">
        <v>8.52</v>
      </c>
      <c r="E19" s="64">
        <v>4.9400000000000004</v>
      </c>
      <c r="F19" s="64">
        <v>10.34</v>
      </c>
      <c r="G19" s="64">
        <v>33.24</v>
      </c>
      <c r="H19" s="64">
        <v>6.45</v>
      </c>
      <c r="I19" s="64">
        <v>1.93</v>
      </c>
      <c r="J19" s="64">
        <v>0.05</v>
      </c>
      <c r="K19" s="64">
        <v>141.38999999999999</v>
      </c>
      <c r="L19" s="64">
        <v>24.03</v>
      </c>
      <c r="M19" s="64">
        <v>98.18</v>
      </c>
      <c r="N19" s="64">
        <v>45.3</v>
      </c>
      <c r="O19" s="64">
        <v>0</v>
      </c>
      <c r="P19" s="64">
        <v>0.34</v>
      </c>
      <c r="Q19" s="64">
        <v>9.08</v>
      </c>
      <c r="R19" s="198"/>
      <c r="S19" s="198"/>
      <c r="T19" s="198"/>
      <c r="U19" s="198"/>
    </row>
    <row r="20" spans="1:21" s="12" customFormat="1" x14ac:dyDescent="0.25">
      <c r="A20" s="214" t="s">
        <v>3041</v>
      </c>
      <c r="B20" s="64">
        <v>5.82</v>
      </c>
      <c r="C20" s="64">
        <v>7.59</v>
      </c>
      <c r="D20" s="64">
        <v>8.6300000000000008</v>
      </c>
      <c r="E20" s="64">
        <v>4.71</v>
      </c>
      <c r="F20" s="64">
        <v>9.49</v>
      </c>
      <c r="G20" s="64">
        <v>33.24</v>
      </c>
      <c r="H20" s="64">
        <v>6.45</v>
      </c>
      <c r="I20" s="64">
        <v>1.9</v>
      </c>
      <c r="J20" s="64">
        <v>0.04</v>
      </c>
      <c r="K20" s="64">
        <v>179.57</v>
      </c>
      <c r="L20" s="64">
        <v>23.99</v>
      </c>
      <c r="M20" s="64">
        <v>98.21</v>
      </c>
      <c r="N20" s="64">
        <v>45.2</v>
      </c>
      <c r="O20" s="64">
        <v>0</v>
      </c>
      <c r="P20" s="64">
        <v>0.31</v>
      </c>
      <c r="Q20" s="64">
        <v>9.08</v>
      </c>
      <c r="R20" s="198"/>
      <c r="S20" s="198"/>
      <c r="T20" s="198"/>
      <c r="U20" s="198"/>
    </row>
    <row r="21" spans="1:21" s="12" customFormat="1" x14ac:dyDescent="0.25">
      <c r="A21" s="214" t="s">
        <v>3042</v>
      </c>
      <c r="B21" s="64">
        <v>5.8</v>
      </c>
      <c r="C21" s="64">
        <v>7.59</v>
      </c>
      <c r="D21" s="64">
        <v>8.6199999999999992</v>
      </c>
      <c r="E21" s="64">
        <v>4.7300000000000004</v>
      </c>
      <c r="F21" s="64">
        <v>7.86</v>
      </c>
      <c r="G21" s="64">
        <v>22.52</v>
      </c>
      <c r="H21" s="64">
        <v>12.25</v>
      </c>
      <c r="I21" s="64">
        <v>1.85</v>
      </c>
      <c r="J21" s="64">
        <v>0.09</v>
      </c>
      <c r="K21" s="64">
        <v>252.75</v>
      </c>
      <c r="L21" s="64">
        <v>24.01</v>
      </c>
      <c r="M21" s="64">
        <v>98.18</v>
      </c>
      <c r="N21" s="64">
        <v>45.3</v>
      </c>
      <c r="O21" s="64">
        <v>0</v>
      </c>
      <c r="P21" s="64">
        <v>0.35</v>
      </c>
      <c r="Q21" s="64">
        <v>9.1</v>
      </c>
      <c r="R21" s="198"/>
      <c r="S21" s="198"/>
      <c r="T21" s="198"/>
      <c r="U21" s="198"/>
    </row>
    <row r="22" spans="1:21" s="12" customFormat="1" x14ac:dyDescent="0.25">
      <c r="A22" s="214" t="s">
        <v>3043</v>
      </c>
      <c r="B22" s="64">
        <v>6.31</v>
      </c>
      <c r="C22" s="64">
        <v>7.09</v>
      </c>
      <c r="D22" s="64">
        <v>8.76</v>
      </c>
      <c r="E22" s="64">
        <v>4.93</v>
      </c>
      <c r="F22" s="64">
        <v>9.93</v>
      </c>
      <c r="G22" s="64">
        <v>21.76</v>
      </c>
      <c r="H22" s="64">
        <v>12.25</v>
      </c>
      <c r="I22" s="64">
        <v>1.81</v>
      </c>
      <c r="J22" s="64">
        <v>0.13</v>
      </c>
      <c r="K22" s="64">
        <v>310.91000000000003</v>
      </c>
      <c r="L22" s="64">
        <v>23.99</v>
      </c>
      <c r="M22" s="64">
        <v>98.18</v>
      </c>
      <c r="N22" s="64">
        <v>45.3</v>
      </c>
      <c r="O22" s="64">
        <v>0</v>
      </c>
      <c r="P22" s="64">
        <v>0.35</v>
      </c>
      <c r="Q22" s="64">
        <v>9.1</v>
      </c>
      <c r="R22" s="198"/>
      <c r="S22" s="198"/>
      <c r="T22" s="198"/>
      <c r="U22" s="198"/>
    </row>
    <row r="23" spans="1:21" s="12" customFormat="1" x14ac:dyDescent="0.25">
      <c r="A23" s="214" t="s">
        <v>3044</v>
      </c>
      <c r="B23" s="64">
        <v>6.72</v>
      </c>
      <c r="C23" s="64">
        <v>6.6</v>
      </c>
      <c r="D23" s="64">
        <v>8.84</v>
      </c>
      <c r="E23" s="64">
        <v>5.09</v>
      </c>
      <c r="F23" s="64">
        <v>11.06</v>
      </c>
      <c r="G23" s="64">
        <v>21.76</v>
      </c>
      <c r="H23" s="64">
        <v>12.25</v>
      </c>
      <c r="I23" s="64">
        <v>1.77</v>
      </c>
      <c r="J23" s="64">
        <v>0.2</v>
      </c>
      <c r="K23" s="64">
        <v>312.32</v>
      </c>
      <c r="L23" s="64">
        <v>23.89</v>
      </c>
      <c r="M23" s="64">
        <v>98.18</v>
      </c>
      <c r="N23" s="64">
        <v>45.3</v>
      </c>
      <c r="O23" s="64">
        <v>0</v>
      </c>
      <c r="P23" s="64">
        <v>0.39</v>
      </c>
      <c r="Q23" s="64">
        <v>9.11</v>
      </c>
      <c r="R23" s="198"/>
      <c r="S23" s="198"/>
      <c r="T23" s="198"/>
      <c r="U23" s="198"/>
    </row>
    <row r="24" spans="1:21" s="12" customFormat="1" x14ac:dyDescent="0.25">
      <c r="A24" s="214" t="s">
        <v>3045</v>
      </c>
      <c r="B24" s="64">
        <v>9.39</v>
      </c>
      <c r="C24" s="64">
        <v>7.93</v>
      </c>
      <c r="D24" s="64">
        <v>11.67</v>
      </c>
      <c r="E24" s="64">
        <v>5.22</v>
      </c>
      <c r="F24" s="64">
        <v>10.82</v>
      </c>
      <c r="G24" s="64">
        <v>21.76</v>
      </c>
      <c r="H24" s="64">
        <v>12.25</v>
      </c>
      <c r="I24" s="64">
        <v>1.74</v>
      </c>
      <c r="J24" s="64">
        <v>0.21</v>
      </c>
      <c r="K24" s="64">
        <v>315.81</v>
      </c>
      <c r="L24" s="64">
        <v>23.84</v>
      </c>
      <c r="M24" s="64">
        <v>98.14</v>
      </c>
      <c r="N24" s="64">
        <v>45.2</v>
      </c>
      <c r="O24" s="64">
        <v>0</v>
      </c>
      <c r="P24" s="64">
        <v>0.38</v>
      </c>
      <c r="Q24" s="64">
        <v>9.1199999999999992</v>
      </c>
      <c r="R24" s="198"/>
      <c r="S24" s="198"/>
      <c r="T24" s="198"/>
      <c r="U24" s="198"/>
    </row>
    <row r="25" spans="1:21" s="12" customFormat="1" x14ac:dyDescent="0.25">
      <c r="A25" s="214" t="s">
        <v>3046</v>
      </c>
      <c r="B25" s="64">
        <v>9.15</v>
      </c>
      <c r="C25" s="64">
        <v>10.48</v>
      </c>
      <c r="D25" s="64">
        <v>12.81</v>
      </c>
      <c r="E25" s="64">
        <v>5.21</v>
      </c>
      <c r="F25" s="64">
        <v>7.62</v>
      </c>
      <c r="G25" s="64">
        <v>23.99</v>
      </c>
      <c r="H25" s="64">
        <v>9.73</v>
      </c>
      <c r="I25" s="64">
        <v>1.7</v>
      </c>
      <c r="J25" s="64">
        <v>0.18</v>
      </c>
      <c r="K25" s="64">
        <v>312.69</v>
      </c>
      <c r="L25" s="64">
        <v>23.73</v>
      </c>
      <c r="M25" s="64">
        <v>98.26</v>
      </c>
      <c r="N25" s="64">
        <v>45.1</v>
      </c>
      <c r="O25" s="64">
        <v>0</v>
      </c>
      <c r="P25" s="64">
        <v>0.41</v>
      </c>
      <c r="Q25" s="64">
        <v>9.1199999999999992</v>
      </c>
      <c r="R25" s="198"/>
      <c r="S25" s="198"/>
      <c r="T25" s="198"/>
      <c r="U25" s="198"/>
    </row>
    <row r="26" spans="1:21" s="12" customFormat="1" x14ac:dyDescent="0.25">
      <c r="A26" s="214" t="s">
        <v>3047</v>
      </c>
      <c r="B26" s="64">
        <v>9.35</v>
      </c>
      <c r="C26" s="64">
        <v>10.18</v>
      </c>
      <c r="D26" s="64">
        <v>12.81</v>
      </c>
      <c r="E26" s="64">
        <v>4.91</v>
      </c>
      <c r="F26" s="64">
        <v>9.77</v>
      </c>
      <c r="G26" s="64">
        <v>24.15</v>
      </c>
      <c r="H26" s="64">
        <v>9.73</v>
      </c>
      <c r="I26" s="64">
        <v>1.7</v>
      </c>
      <c r="J26" s="64">
        <v>0.3</v>
      </c>
      <c r="K26" s="64">
        <v>317.68</v>
      </c>
      <c r="L26" s="64">
        <v>23.7</v>
      </c>
      <c r="M26" s="64">
        <v>98.2</v>
      </c>
      <c r="N26" s="64">
        <v>45</v>
      </c>
      <c r="O26" s="64">
        <v>0</v>
      </c>
      <c r="P26" s="64">
        <v>0.43</v>
      </c>
      <c r="Q26" s="64">
        <v>9.11</v>
      </c>
      <c r="R26" s="198"/>
      <c r="S26" s="198"/>
      <c r="T26" s="198"/>
      <c r="U26" s="198"/>
    </row>
    <row r="27" spans="1:21" s="12" customFormat="1" x14ac:dyDescent="0.25">
      <c r="A27" s="214" t="s">
        <v>3048</v>
      </c>
      <c r="B27" s="64">
        <v>8.82</v>
      </c>
      <c r="C27" s="64">
        <v>9.17</v>
      </c>
      <c r="D27" s="64">
        <v>11.86</v>
      </c>
      <c r="E27" s="64">
        <v>4.92</v>
      </c>
      <c r="F27" s="64">
        <v>8.66</v>
      </c>
      <c r="G27" s="64">
        <v>24.15</v>
      </c>
      <c r="H27" s="64">
        <v>9.73</v>
      </c>
      <c r="I27" s="64">
        <v>1.7</v>
      </c>
      <c r="J27" s="64">
        <v>0.32</v>
      </c>
      <c r="K27" s="64">
        <v>323.25</v>
      </c>
      <c r="L27" s="64">
        <v>23.71</v>
      </c>
      <c r="M27" s="64">
        <v>98.2</v>
      </c>
      <c r="N27" s="64">
        <v>45.1</v>
      </c>
      <c r="O27" s="64">
        <v>0</v>
      </c>
      <c r="P27" s="64">
        <v>0.39</v>
      </c>
      <c r="Q27" s="64">
        <v>9.11</v>
      </c>
      <c r="R27" s="198"/>
      <c r="S27" s="198"/>
      <c r="T27" s="198"/>
      <c r="U27" s="198"/>
    </row>
    <row r="28" spans="1:21" s="12" customFormat="1" x14ac:dyDescent="0.25">
      <c r="A28" s="214" t="s">
        <v>3049</v>
      </c>
      <c r="B28" s="64">
        <v>10.14</v>
      </c>
      <c r="C28" s="64">
        <v>6.19</v>
      </c>
      <c r="D28" s="64">
        <v>11.37</v>
      </c>
      <c r="E28" s="64">
        <v>4.75</v>
      </c>
      <c r="F28" s="64">
        <v>6.35</v>
      </c>
      <c r="G28" s="64">
        <v>24.15</v>
      </c>
      <c r="H28" s="64">
        <v>9.73</v>
      </c>
      <c r="I28" s="64">
        <v>1.71</v>
      </c>
      <c r="J28" s="64">
        <v>0.21</v>
      </c>
      <c r="K28" s="64">
        <v>310.7</v>
      </c>
      <c r="L28" s="64">
        <v>23.63</v>
      </c>
      <c r="M28" s="64">
        <v>98.16</v>
      </c>
      <c r="N28" s="64">
        <v>45.2</v>
      </c>
      <c r="O28" s="64">
        <v>0</v>
      </c>
      <c r="P28" s="64">
        <v>0.46</v>
      </c>
      <c r="Q28" s="64">
        <v>9.1</v>
      </c>
      <c r="R28" s="198"/>
      <c r="S28" s="198"/>
      <c r="T28" s="198"/>
      <c r="U28" s="198"/>
    </row>
    <row r="29" spans="1:21" s="12" customFormat="1" x14ac:dyDescent="0.25">
      <c r="A29" s="214" t="s">
        <v>3050</v>
      </c>
      <c r="B29" s="64">
        <v>12.08</v>
      </c>
      <c r="C29" s="64">
        <v>9.76</v>
      </c>
      <c r="D29" s="64">
        <v>14.79</v>
      </c>
      <c r="E29" s="64">
        <v>5.43</v>
      </c>
      <c r="F29" s="64">
        <v>8.94</v>
      </c>
      <c r="G29" s="64">
        <v>26.25</v>
      </c>
      <c r="H29" s="64">
        <v>7.97</v>
      </c>
      <c r="I29" s="64">
        <v>1.74</v>
      </c>
      <c r="J29" s="64">
        <v>0.12</v>
      </c>
      <c r="K29" s="64">
        <v>317.73</v>
      </c>
      <c r="L29" s="64">
        <v>23.56</v>
      </c>
      <c r="M29" s="64">
        <v>98.15</v>
      </c>
      <c r="N29" s="64">
        <v>45.2</v>
      </c>
      <c r="O29" s="64">
        <v>0</v>
      </c>
      <c r="P29" s="64">
        <v>0.39</v>
      </c>
      <c r="Q29" s="64">
        <v>9.08</v>
      </c>
      <c r="R29" s="198"/>
      <c r="S29" s="198"/>
      <c r="T29" s="198"/>
      <c r="U29" s="198"/>
    </row>
    <row r="30" spans="1:21" s="12" customFormat="1" x14ac:dyDescent="0.25">
      <c r="A30" s="214" t="s">
        <v>3051</v>
      </c>
      <c r="B30" s="64">
        <v>9.7899999999999991</v>
      </c>
      <c r="C30" s="64">
        <v>6.97</v>
      </c>
      <c r="D30" s="64">
        <v>11.49</v>
      </c>
      <c r="E30" s="64">
        <v>5.13</v>
      </c>
      <c r="F30" s="64">
        <v>7.51</v>
      </c>
      <c r="G30" s="64">
        <v>26.4</v>
      </c>
      <c r="H30" s="64">
        <v>7.97</v>
      </c>
      <c r="I30" s="64">
        <v>1.77</v>
      </c>
      <c r="J30" s="64">
        <v>7.0000000000000007E-2</v>
      </c>
      <c r="K30" s="64">
        <v>290.39999999999998</v>
      </c>
      <c r="L30" s="64">
        <v>23.45</v>
      </c>
      <c r="M30" s="64">
        <v>98.15</v>
      </c>
      <c r="N30" s="64">
        <v>45.3</v>
      </c>
      <c r="O30" s="64">
        <v>0</v>
      </c>
      <c r="P30" s="64">
        <v>0.42</v>
      </c>
      <c r="Q30" s="64">
        <v>9.08</v>
      </c>
      <c r="R30" s="198"/>
      <c r="S30" s="198"/>
      <c r="T30" s="198"/>
      <c r="U30" s="198"/>
    </row>
    <row r="31" spans="1:21" s="12" customFormat="1" x14ac:dyDescent="0.25">
      <c r="A31" s="214" t="s">
        <v>3052</v>
      </c>
      <c r="B31" s="64">
        <v>13.68</v>
      </c>
      <c r="C31" s="64">
        <v>12.73</v>
      </c>
      <c r="D31" s="64">
        <v>17.62</v>
      </c>
      <c r="E31" s="64">
        <v>5.37</v>
      </c>
      <c r="F31" s="64">
        <v>9.0500000000000007</v>
      </c>
      <c r="G31" s="64">
        <v>26.4</v>
      </c>
      <c r="H31" s="64">
        <v>7.97</v>
      </c>
      <c r="I31" s="64">
        <v>1.83</v>
      </c>
      <c r="J31" s="64">
        <v>0.04</v>
      </c>
      <c r="K31" s="64">
        <v>71.78</v>
      </c>
      <c r="L31" s="64">
        <v>23.32</v>
      </c>
      <c r="M31" s="64">
        <v>98.15</v>
      </c>
      <c r="N31" s="64">
        <v>46</v>
      </c>
      <c r="O31" s="64">
        <v>0</v>
      </c>
      <c r="P31" s="64">
        <v>0.39</v>
      </c>
      <c r="Q31" s="64">
        <v>9.09</v>
      </c>
      <c r="R31" s="198"/>
      <c r="S31" s="198"/>
      <c r="T31" s="198"/>
      <c r="U31" s="198"/>
    </row>
    <row r="32" spans="1:21" s="12" customFormat="1" x14ac:dyDescent="0.25">
      <c r="A32" s="214" t="s">
        <v>3053</v>
      </c>
      <c r="B32" s="64">
        <v>10.65</v>
      </c>
      <c r="C32" s="64">
        <v>12.74</v>
      </c>
      <c r="D32" s="64">
        <v>15.2</v>
      </c>
      <c r="E32" s="64">
        <v>4.9000000000000004</v>
      </c>
      <c r="F32" s="64">
        <v>5.2</v>
      </c>
      <c r="G32" s="64">
        <v>26.4</v>
      </c>
      <c r="H32" s="64">
        <v>7.97</v>
      </c>
      <c r="I32" s="64">
        <v>1.88</v>
      </c>
      <c r="J32" s="64">
        <v>0.02</v>
      </c>
      <c r="K32" s="64">
        <v>75.41</v>
      </c>
      <c r="L32" s="64">
        <v>23.28</v>
      </c>
      <c r="M32" s="64">
        <v>98.17</v>
      </c>
      <c r="N32" s="64">
        <v>50.1</v>
      </c>
      <c r="O32" s="64">
        <v>0</v>
      </c>
      <c r="P32" s="64">
        <v>0.4</v>
      </c>
      <c r="Q32" s="64">
        <v>9.1</v>
      </c>
      <c r="R32" s="198"/>
      <c r="S32" s="198"/>
      <c r="T32" s="198"/>
      <c r="U32" s="198"/>
    </row>
    <row r="33" spans="1:21" s="12" customFormat="1" x14ac:dyDescent="0.25">
      <c r="A33" s="214" t="s">
        <v>3054</v>
      </c>
      <c r="B33" s="64">
        <v>15.57</v>
      </c>
      <c r="C33" s="64">
        <v>10.24</v>
      </c>
      <c r="D33" s="64">
        <v>17.84</v>
      </c>
      <c r="E33" s="64">
        <v>4.71</v>
      </c>
      <c r="F33" s="64">
        <v>7.65</v>
      </c>
      <c r="G33" s="64">
        <v>30.86</v>
      </c>
      <c r="H33" s="64">
        <v>6.73</v>
      </c>
      <c r="I33" s="64">
        <v>2.0299999999999998</v>
      </c>
      <c r="J33" s="64">
        <v>0.06</v>
      </c>
      <c r="K33" s="64">
        <v>5.85</v>
      </c>
      <c r="L33" s="64">
        <v>23.33</v>
      </c>
      <c r="M33" s="64">
        <v>98.13</v>
      </c>
      <c r="N33" s="64">
        <v>61.8</v>
      </c>
      <c r="O33" s="64">
        <v>0.2</v>
      </c>
      <c r="P33" s="64">
        <v>0.48</v>
      </c>
      <c r="Q33" s="64">
        <v>9.1</v>
      </c>
      <c r="R33" s="198"/>
      <c r="S33" s="198"/>
      <c r="T33" s="198"/>
      <c r="U33" s="198"/>
    </row>
    <row r="34" spans="1:21" s="12" customFormat="1" x14ac:dyDescent="0.25">
      <c r="A34" s="214" t="s">
        <v>3055</v>
      </c>
      <c r="B34" s="64">
        <v>25.14</v>
      </c>
      <c r="C34" s="64">
        <v>9.6999999999999993</v>
      </c>
      <c r="D34" s="64">
        <v>25.23</v>
      </c>
      <c r="E34" s="64">
        <v>4.6399999999999997</v>
      </c>
      <c r="F34" s="64">
        <v>7.33</v>
      </c>
      <c r="G34" s="64">
        <v>31.17</v>
      </c>
      <c r="H34" s="64">
        <v>6.73</v>
      </c>
      <c r="I34" s="64">
        <v>2.15</v>
      </c>
      <c r="J34" s="64">
        <v>0.08</v>
      </c>
      <c r="K34" s="64">
        <v>18.82</v>
      </c>
      <c r="L34" s="64">
        <v>23.67</v>
      </c>
      <c r="M34" s="64">
        <v>98.13</v>
      </c>
      <c r="N34" s="64">
        <v>91.4</v>
      </c>
      <c r="O34" s="64">
        <v>0</v>
      </c>
      <c r="P34" s="64">
        <v>0.56000000000000005</v>
      </c>
      <c r="Q34" s="64">
        <v>9.1199999999999992</v>
      </c>
      <c r="R34" s="198"/>
      <c r="S34" s="198"/>
      <c r="T34" s="198"/>
      <c r="U34" s="198"/>
    </row>
    <row r="35" spans="1:21" s="12" customFormat="1" x14ac:dyDescent="0.25">
      <c r="A35" s="214" t="s">
        <v>3056</v>
      </c>
      <c r="B35" s="64">
        <v>25.83</v>
      </c>
      <c r="C35" s="64">
        <v>9.92</v>
      </c>
      <c r="D35" s="64">
        <v>25.88</v>
      </c>
      <c r="E35" s="64">
        <v>5.12</v>
      </c>
      <c r="F35" s="64">
        <v>8.1199999999999992</v>
      </c>
      <c r="G35" s="64">
        <v>31.17</v>
      </c>
      <c r="H35" s="64">
        <v>6.73</v>
      </c>
      <c r="I35" s="64">
        <v>2.19</v>
      </c>
      <c r="J35" s="64">
        <v>0.38</v>
      </c>
      <c r="K35" s="64">
        <v>350.08</v>
      </c>
      <c r="L35" s="64">
        <v>25.01</v>
      </c>
      <c r="M35" s="64">
        <v>98.08</v>
      </c>
      <c r="N35" s="64">
        <v>146.80000000000001</v>
      </c>
      <c r="O35" s="64">
        <v>0</v>
      </c>
      <c r="P35" s="64">
        <v>0.52</v>
      </c>
      <c r="Q35" s="64">
        <v>9.1300000000000008</v>
      </c>
      <c r="R35" s="198"/>
      <c r="S35" s="198"/>
      <c r="T35" s="198"/>
      <c r="U35" s="198"/>
    </row>
    <row r="36" spans="1:21" s="12" customFormat="1" x14ac:dyDescent="0.25">
      <c r="A36" s="214" t="s">
        <v>3057</v>
      </c>
      <c r="B36" s="64">
        <v>17.91</v>
      </c>
      <c r="C36" s="64">
        <v>8</v>
      </c>
      <c r="D36" s="64">
        <v>18.55</v>
      </c>
      <c r="E36" s="64">
        <v>4.76</v>
      </c>
      <c r="F36" s="64">
        <v>7.19</v>
      </c>
      <c r="G36" s="64">
        <v>31.17</v>
      </c>
      <c r="H36" s="64">
        <v>6.73</v>
      </c>
      <c r="I36" s="64">
        <v>2.2599999999999998</v>
      </c>
      <c r="J36" s="64">
        <v>0.54</v>
      </c>
      <c r="K36" s="64">
        <v>343.05</v>
      </c>
      <c r="L36" s="64">
        <v>27.02</v>
      </c>
      <c r="M36" s="64">
        <v>97.95</v>
      </c>
      <c r="N36" s="64">
        <v>202.6</v>
      </c>
      <c r="O36" s="64">
        <v>0</v>
      </c>
      <c r="P36" s="64">
        <v>0.45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4" t="s">
        <v>3058</v>
      </c>
      <c r="B37" s="64">
        <v>20.190000000000001</v>
      </c>
      <c r="C37" s="64">
        <v>9.56</v>
      </c>
      <c r="D37" s="64">
        <v>21.14</v>
      </c>
      <c r="E37" s="64">
        <v>4.9800000000000004</v>
      </c>
      <c r="F37" s="64">
        <v>11.19</v>
      </c>
      <c r="G37" s="64">
        <v>34.340000000000003</v>
      </c>
      <c r="H37" s="64">
        <v>14.6</v>
      </c>
      <c r="I37" s="64">
        <v>2.2999999999999998</v>
      </c>
      <c r="J37" s="64">
        <v>0.3</v>
      </c>
      <c r="K37" s="64">
        <v>336.05</v>
      </c>
      <c r="L37" s="64">
        <v>28.44</v>
      </c>
      <c r="M37" s="64">
        <v>97.05</v>
      </c>
      <c r="N37" s="64">
        <v>246.6</v>
      </c>
      <c r="O37" s="64">
        <v>0</v>
      </c>
      <c r="P37" s="64">
        <v>0.46</v>
      </c>
      <c r="Q37" s="64">
        <v>9.17</v>
      </c>
      <c r="R37" s="198"/>
      <c r="S37" s="198"/>
      <c r="T37" s="198"/>
      <c r="U37" s="198"/>
    </row>
    <row r="38" spans="1:21" s="12" customFormat="1" x14ac:dyDescent="0.25">
      <c r="A38" s="214" t="s">
        <v>3059</v>
      </c>
      <c r="B38" s="64">
        <v>14.07</v>
      </c>
      <c r="C38" s="64">
        <v>9.25</v>
      </c>
      <c r="D38" s="64">
        <v>16.12</v>
      </c>
      <c r="E38" s="64">
        <v>4.88</v>
      </c>
      <c r="F38" s="64">
        <v>8.91</v>
      </c>
      <c r="G38" s="64">
        <v>34.57</v>
      </c>
      <c r="H38" s="64">
        <v>14.6</v>
      </c>
      <c r="I38" s="64">
        <v>2.3199999999999998</v>
      </c>
      <c r="J38" s="64">
        <v>0.23</v>
      </c>
      <c r="K38" s="64">
        <v>301.95999999999998</v>
      </c>
      <c r="L38" s="64">
        <v>29.8</v>
      </c>
      <c r="M38" s="64">
        <v>87.39</v>
      </c>
      <c r="N38" s="64">
        <v>309.60000000000002</v>
      </c>
      <c r="O38" s="64">
        <v>0</v>
      </c>
      <c r="P38" s="64">
        <v>0.45</v>
      </c>
      <c r="Q38" s="64">
        <v>9.1999999999999993</v>
      </c>
      <c r="R38" s="198"/>
      <c r="S38" s="198"/>
      <c r="T38" s="198"/>
      <c r="U38" s="198"/>
    </row>
    <row r="39" spans="1:21" s="12" customFormat="1" x14ac:dyDescent="0.25">
      <c r="A39" s="214" t="s">
        <v>3060</v>
      </c>
      <c r="B39" s="64">
        <v>13.21</v>
      </c>
      <c r="C39" s="64">
        <v>6.92</v>
      </c>
      <c r="D39" s="64">
        <v>14.21</v>
      </c>
      <c r="E39" s="64">
        <v>4.9400000000000004</v>
      </c>
      <c r="F39" s="64">
        <v>8.5</v>
      </c>
      <c r="G39" s="64">
        <v>34.57</v>
      </c>
      <c r="H39" s="64">
        <v>14.6</v>
      </c>
      <c r="I39" s="64">
        <v>2.33</v>
      </c>
      <c r="J39" s="64">
        <v>0.27</v>
      </c>
      <c r="K39" s="64">
        <v>310.51</v>
      </c>
      <c r="L39" s="64">
        <v>30.93</v>
      </c>
      <c r="M39" s="64">
        <v>80.59</v>
      </c>
      <c r="N39" s="64">
        <v>375.8</v>
      </c>
      <c r="O39" s="64">
        <v>0</v>
      </c>
      <c r="P39" s="64">
        <v>0.44</v>
      </c>
      <c r="Q39" s="64">
        <v>9.2200000000000006</v>
      </c>
      <c r="R39" s="198"/>
      <c r="S39" s="198"/>
      <c r="T39" s="198"/>
      <c r="U39" s="198"/>
    </row>
    <row r="40" spans="1:21" s="12" customFormat="1" x14ac:dyDescent="0.25">
      <c r="A40" s="214" t="s">
        <v>3061</v>
      </c>
      <c r="B40" s="64">
        <v>13.34</v>
      </c>
      <c r="C40" s="64">
        <v>9.01</v>
      </c>
      <c r="D40" s="64">
        <v>15.4</v>
      </c>
      <c r="E40" s="64">
        <v>4.66</v>
      </c>
      <c r="F40" s="64">
        <v>12.65</v>
      </c>
      <c r="G40" s="64">
        <v>34.57</v>
      </c>
      <c r="H40" s="64">
        <v>14.6</v>
      </c>
      <c r="I40" s="64">
        <v>2.31</v>
      </c>
      <c r="J40" s="64">
        <v>0.55000000000000004</v>
      </c>
      <c r="K40" s="64">
        <v>339.25</v>
      </c>
      <c r="L40" s="64">
        <v>31.89</v>
      </c>
      <c r="M40" s="64">
        <v>75.69</v>
      </c>
      <c r="N40" s="64">
        <v>433.7</v>
      </c>
      <c r="O40" s="64">
        <v>0</v>
      </c>
      <c r="P40" s="64">
        <v>0.45</v>
      </c>
      <c r="Q40" s="64">
        <v>9.2200000000000006</v>
      </c>
      <c r="R40" s="198"/>
      <c r="S40" s="198"/>
      <c r="T40" s="198"/>
      <c r="U40" s="198"/>
    </row>
    <row r="41" spans="1:21" s="12" customFormat="1" x14ac:dyDescent="0.25">
      <c r="A41" s="214" t="s">
        <v>3062</v>
      </c>
      <c r="B41" s="64">
        <v>16.77</v>
      </c>
      <c r="C41" s="64">
        <v>10.11</v>
      </c>
      <c r="D41" s="64">
        <v>18.73</v>
      </c>
      <c r="E41" s="64">
        <v>4.75</v>
      </c>
      <c r="F41" s="64">
        <v>11.17</v>
      </c>
      <c r="G41" s="64">
        <v>33.54</v>
      </c>
      <c r="H41" s="64">
        <v>11.38</v>
      </c>
      <c r="I41" s="64">
        <v>2.17</v>
      </c>
      <c r="J41" s="64">
        <v>0.3</v>
      </c>
      <c r="K41" s="64">
        <v>323.02</v>
      </c>
      <c r="L41" s="64">
        <v>32.39</v>
      </c>
      <c r="M41" s="64">
        <v>71.41</v>
      </c>
      <c r="N41" s="64">
        <v>501.9</v>
      </c>
      <c r="O41" s="64">
        <v>0</v>
      </c>
      <c r="P41" s="64">
        <v>0.42</v>
      </c>
      <c r="Q41" s="64">
        <v>9.2200000000000006</v>
      </c>
      <c r="R41" s="198"/>
      <c r="S41" s="198"/>
      <c r="T41" s="198"/>
      <c r="U41" s="198"/>
    </row>
    <row r="42" spans="1:21" s="12" customFormat="1" x14ac:dyDescent="0.25">
      <c r="A42" s="214" t="s">
        <v>3063</v>
      </c>
      <c r="B42" s="64">
        <v>12.51</v>
      </c>
      <c r="C42" s="64">
        <v>9.89</v>
      </c>
      <c r="D42" s="64">
        <v>15.2</v>
      </c>
      <c r="E42" s="64">
        <v>4.93</v>
      </c>
      <c r="F42" s="64">
        <v>11.63</v>
      </c>
      <c r="G42" s="64">
        <v>33.46</v>
      </c>
      <c r="H42" s="64">
        <v>11.38</v>
      </c>
      <c r="I42" s="64">
        <v>2.17</v>
      </c>
      <c r="J42" s="64">
        <v>0.27</v>
      </c>
      <c r="K42" s="64">
        <v>326.58999999999997</v>
      </c>
      <c r="L42" s="64">
        <v>32</v>
      </c>
      <c r="M42" s="64">
        <v>74.010000000000005</v>
      </c>
      <c r="N42" s="64">
        <v>547.4</v>
      </c>
      <c r="O42" s="64">
        <v>0</v>
      </c>
      <c r="P42" s="64">
        <v>0.44</v>
      </c>
      <c r="Q42" s="64">
        <v>9.23</v>
      </c>
      <c r="R42" s="198"/>
      <c r="S42" s="198"/>
      <c r="T42" s="198"/>
      <c r="U42" s="198"/>
    </row>
    <row r="43" spans="1:21" s="12" customFormat="1" x14ac:dyDescent="0.25">
      <c r="A43" s="214" t="s">
        <v>3064</v>
      </c>
      <c r="B43" s="64">
        <v>13.3</v>
      </c>
      <c r="C43" s="64">
        <v>10.18</v>
      </c>
      <c r="D43" s="64">
        <v>15.98</v>
      </c>
      <c r="E43" s="64">
        <v>4.87</v>
      </c>
      <c r="F43" s="64">
        <v>12.7</v>
      </c>
      <c r="G43" s="64">
        <v>33.46</v>
      </c>
      <c r="H43" s="64">
        <v>11.38</v>
      </c>
      <c r="I43" s="64">
        <v>2.2400000000000002</v>
      </c>
      <c r="J43" s="64">
        <v>0.71</v>
      </c>
      <c r="K43" s="64">
        <v>337.73</v>
      </c>
      <c r="L43" s="64">
        <v>33.83</v>
      </c>
      <c r="M43" s="64">
        <v>63.14</v>
      </c>
      <c r="N43" s="64">
        <v>587.70000000000005</v>
      </c>
      <c r="O43" s="64">
        <v>0</v>
      </c>
      <c r="P43" s="64">
        <v>0.46</v>
      </c>
      <c r="Q43" s="64">
        <v>9.23</v>
      </c>
      <c r="R43" s="198"/>
      <c r="S43" s="198"/>
      <c r="T43" s="198"/>
      <c r="U43" s="198"/>
    </row>
    <row r="44" spans="1:21" s="12" customFormat="1" x14ac:dyDescent="0.25">
      <c r="A44" s="214" t="s">
        <v>3065</v>
      </c>
      <c r="B44" s="64">
        <v>16.34</v>
      </c>
      <c r="C44" s="64">
        <v>9.77</v>
      </c>
      <c r="D44" s="64">
        <v>18.2</v>
      </c>
      <c r="E44" s="64">
        <v>4.7300000000000004</v>
      </c>
      <c r="F44" s="64">
        <v>10.35</v>
      </c>
      <c r="G44" s="64">
        <v>33.46</v>
      </c>
      <c r="H44" s="64">
        <v>11.38</v>
      </c>
      <c r="I44" s="64">
        <v>2.2200000000000002</v>
      </c>
      <c r="J44" s="64">
        <v>0.8</v>
      </c>
      <c r="K44" s="64">
        <v>333.47</v>
      </c>
      <c r="L44" s="64">
        <v>34.130000000000003</v>
      </c>
      <c r="M44" s="64">
        <v>61.82</v>
      </c>
      <c r="N44" s="64">
        <v>712.6</v>
      </c>
      <c r="O44" s="64">
        <v>0</v>
      </c>
      <c r="P44" s="64">
        <v>0.46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14" t="s">
        <v>3066</v>
      </c>
      <c r="B45" s="64">
        <v>13.81</v>
      </c>
      <c r="C45" s="64">
        <v>8.83</v>
      </c>
      <c r="D45" s="64">
        <v>15.69</v>
      </c>
      <c r="E45" s="64">
        <v>4.92</v>
      </c>
      <c r="F45" s="64">
        <v>7.75</v>
      </c>
      <c r="G45" s="64">
        <v>35.520000000000003</v>
      </c>
      <c r="H45" s="64">
        <v>9.1199999999999992</v>
      </c>
      <c r="I45" s="64">
        <v>2.2000000000000002</v>
      </c>
      <c r="J45" s="64">
        <v>0.76</v>
      </c>
      <c r="K45" s="64">
        <v>322.94</v>
      </c>
      <c r="L45" s="64">
        <v>34.159999999999997</v>
      </c>
      <c r="M45" s="64">
        <v>60.77</v>
      </c>
      <c r="N45" s="64">
        <v>419.7</v>
      </c>
      <c r="O45" s="64">
        <v>0</v>
      </c>
      <c r="P45" s="64">
        <v>0.44</v>
      </c>
      <c r="Q45" s="64">
        <v>9.24</v>
      </c>
      <c r="R45" s="198"/>
      <c r="S45" s="198"/>
      <c r="T45" s="198"/>
      <c r="U45" s="198"/>
    </row>
    <row r="46" spans="1:21" s="12" customFormat="1" x14ac:dyDescent="0.25">
      <c r="A46" s="214" t="s">
        <v>3067</v>
      </c>
      <c r="B46" s="64">
        <v>14.26</v>
      </c>
      <c r="C46" s="64">
        <v>6.77</v>
      </c>
      <c r="D46" s="64">
        <v>14.97</v>
      </c>
      <c r="E46" s="64">
        <v>5.29</v>
      </c>
      <c r="F46" s="64">
        <v>10.24</v>
      </c>
      <c r="G46" s="64">
        <v>35.67</v>
      </c>
      <c r="H46" s="64">
        <v>9.1199999999999992</v>
      </c>
      <c r="I46" s="64">
        <v>2.17</v>
      </c>
      <c r="J46" s="64">
        <v>1.1499999999999999</v>
      </c>
      <c r="K46" s="64">
        <v>333.86</v>
      </c>
      <c r="L46" s="64">
        <v>33.19</v>
      </c>
      <c r="M46" s="64">
        <v>65.17</v>
      </c>
      <c r="N46" s="64">
        <v>626.6</v>
      </c>
      <c r="O46" s="64">
        <v>0</v>
      </c>
      <c r="P46" s="64">
        <v>0.46</v>
      </c>
      <c r="Q46" s="64">
        <v>9.2200000000000006</v>
      </c>
      <c r="R46" s="198"/>
      <c r="S46" s="198"/>
      <c r="T46" s="198"/>
      <c r="U46" s="198"/>
    </row>
    <row r="47" spans="1:21" s="12" customFormat="1" x14ac:dyDescent="0.25">
      <c r="A47" s="214" t="s">
        <v>3068</v>
      </c>
      <c r="B47" s="64">
        <v>14.54</v>
      </c>
      <c r="C47" s="64">
        <v>7.93</v>
      </c>
      <c r="D47" s="64">
        <v>15.8</v>
      </c>
      <c r="E47" s="64">
        <v>4.95</v>
      </c>
      <c r="F47" s="64">
        <v>10.28</v>
      </c>
      <c r="G47" s="64">
        <v>35.67</v>
      </c>
      <c r="H47" s="64">
        <v>9.1199999999999992</v>
      </c>
      <c r="I47" s="64">
        <v>2.1</v>
      </c>
      <c r="J47" s="64">
        <v>0.75</v>
      </c>
      <c r="K47" s="64">
        <v>330.83</v>
      </c>
      <c r="L47" s="64">
        <v>33.64</v>
      </c>
      <c r="M47" s="64">
        <v>62.26</v>
      </c>
      <c r="N47" s="64">
        <v>666.9</v>
      </c>
      <c r="O47" s="64">
        <v>0</v>
      </c>
      <c r="P47" s="64">
        <v>0.44</v>
      </c>
      <c r="Q47" s="64">
        <v>9.19</v>
      </c>
      <c r="R47" s="198"/>
      <c r="S47" s="198"/>
      <c r="T47" s="198"/>
      <c r="U47" s="198"/>
    </row>
    <row r="48" spans="1:21" s="12" customFormat="1" x14ac:dyDescent="0.25">
      <c r="A48" s="214" t="s">
        <v>3069</v>
      </c>
      <c r="B48" s="64">
        <v>14.03</v>
      </c>
      <c r="C48" s="64">
        <v>8.18</v>
      </c>
      <c r="D48" s="64">
        <v>15.52</v>
      </c>
      <c r="E48" s="64">
        <v>4.68</v>
      </c>
      <c r="F48" s="64">
        <v>10.72</v>
      </c>
      <c r="G48" s="64">
        <v>35.67</v>
      </c>
      <c r="H48" s="64">
        <v>9.1199999999999992</v>
      </c>
      <c r="I48" s="64">
        <v>1.93</v>
      </c>
      <c r="J48" s="64">
        <v>0.75</v>
      </c>
      <c r="K48" s="64">
        <v>332.66</v>
      </c>
      <c r="L48" s="64">
        <v>34.43</v>
      </c>
      <c r="M48" s="64">
        <v>59.22</v>
      </c>
      <c r="N48" s="64">
        <v>796</v>
      </c>
      <c r="O48" s="64">
        <v>0</v>
      </c>
      <c r="P48" s="64">
        <v>0.45</v>
      </c>
      <c r="Q48" s="64">
        <v>9.18</v>
      </c>
      <c r="R48" s="198"/>
      <c r="S48" s="198"/>
      <c r="T48" s="198"/>
      <c r="U48" s="198"/>
    </row>
    <row r="49" spans="1:21" s="12" customFormat="1" x14ac:dyDescent="0.25">
      <c r="A49" s="214" t="s">
        <v>3070</v>
      </c>
      <c r="B49" s="64">
        <v>14.11</v>
      </c>
      <c r="C49" s="64">
        <v>10.97</v>
      </c>
      <c r="D49" s="64">
        <v>17.04</v>
      </c>
      <c r="E49" s="64">
        <v>4.66</v>
      </c>
      <c r="F49" s="64">
        <v>13.42</v>
      </c>
      <c r="G49" s="64">
        <v>38.630000000000003</v>
      </c>
      <c r="H49" s="64">
        <v>7.54</v>
      </c>
      <c r="I49" s="64">
        <v>1.8</v>
      </c>
      <c r="J49" s="64">
        <v>0.92</v>
      </c>
      <c r="K49" s="64">
        <v>339.37</v>
      </c>
      <c r="L49" s="64">
        <v>34.11</v>
      </c>
      <c r="M49" s="64">
        <v>60.56</v>
      </c>
      <c r="N49" s="64">
        <v>464.1</v>
      </c>
      <c r="O49" s="64">
        <v>0</v>
      </c>
      <c r="P49" s="64">
        <v>0.49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4" t="s">
        <v>3071</v>
      </c>
      <c r="B50" s="64">
        <v>13.4</v>
      </c>
      <c r="C50" s="64">
        <v>10.01</v>
      </c>
      <c r="D50" s="64">
        <v>15.98</v>
      </c>
      <c r="E50" s="64">
        <v>4.57</v>
      </c>
      <c r="F50" s="64">
        <v>10.46</v>
      </c>
      <c r="G50" s="64">
        <v>38.840000000000003</v>
      </c>
      <c r="H50" s="64">
        <v>7.54</v>
      </c>
      <c r="I50" s="64">
        <v>1.76</v>
      </c>
      <c r="J50" s="64">
        <v>0.78</v>
      </c>
      <c r="K50" s="64">
        <v>332.41</v>
      </c>
      <c r="L50" s="64">
        <v>32.39</v>
      </c>
      <c r="M50" s="64">
        <v>66.17</v>
      </c>
      <c r="N50" s="64">
        <v>222.1</v>
      </c>
      <c r="O50" s="64">
        <v>0</v>
      </c>
      <c r="P50" s="64">
        <v>0.46</v>
      </c>
      <c r="Q50" s="64">
        <v>9.17</v>
      </c>
      <c r="R50" s="198"/>
      <c r="S50" s="198"/>
      <c r="T50" s="198"/>
      <c r="U50" s="198"/>
    </row>
    <row r="51" spans="1:21" s="12" customFormat="1" x14ac:dyDescent="0.25">
      <c r="A51" s="214" t="s">
        <v>3072</v>
      </c>
      <c r="B51" s="64">
        <v>12.5</v>
      </c>
      <c r="C51" s="64">
        <v>12.37</v>
      </c>
      <c r="D51" s="64">
        <v>16.489999999999998</v>
      </c>
      <c r="E51" s="64">
        <v>4.78</v>
      </c>
      <c r="F51" s="64">
        <v>18.059999999999999</v>
      </c>
      <c r="G51" s="64">
        <v>38.840000000000003</v>
      </c>
      <c r="H51" s="64">
        <v>7.54</v>
      </c>
      <c r="I51" s="64">
        <v>1.74</v>
      </c>
      <c r="J51" s="64">
        <v>0.8</v>
      </c>
      <c r="K51" s="64">
        <v>338.35</v>
      </c>
      <c r="L51" s="64">
        <v>31.26</v>
      </c>
      <c r="M51" s="64">
        <v>72.260000000000005</v>
      </c>
      <c r="N51" s="64">
        <v>443.7</v>
      </c>
      <c r="O51" s="64">
        <v>0</v>
      </c>
      <c r="P51" s="64">
        <v>0.5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14" t="s">
        <v>3073</v>
      </c>
      <c r="B52" s="64">
        <v>13.25</v>
      </c>
      <c r="C52" s="64">
        <v>13.94</v>
      </c>
      <c r="D52" s="64">
        <v>17.91</v>
      </c>
      <c r="E52" s="64">
        <v>4.8499999999999996</v>
      </c>
      <c r="F52" s="64">
        <v>13.9</v>
      </c>
      <c r="G52" s="64">
        <v>38.840000000000003</v>
      </c>
      <c r="H52" s="64">
        <v>7.54</v>
      </c>
      <c r="I52" s="64">
        <v>1.71</v>
      </c>
      <c r="J52" s="64">
        <v>0.76</v>
      </c>
      <c r="K52" s="64">
        <v>334.99</v>
      </c>
      <c r="L52" s="64">
        <v>31.54</v>
      </c>
      <c r="M52" s="64">
        <v>69</v>
      </c>
      <c r="N52" s="64">
        <v>328.8</v>
      </c>
      <c r="O52" s="64">
        <v>0</v>
      </c>
      <c r="P52" s="64">
        <v>0.54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14" t="s">
        <v>3074</v>
      </c>
      <c r="B53" s="64">
        <v>13.13</v>
      </c>
      <c r="C53" s="64">
        <v>11.42</v>
      </c>
      <c r="D53" s="64">
        <v>16.5</v>
      </c>
      <c r="E53" s="64">
        <v>4.8</v>
      </c>
      <c r="F53" s="64">
        <v>16.78</v>
      </c>
      <c r="G53" s="64">
        <v>35.93</v>
      </c>
      <c r="H53" s="64">
        <v>7.86</v>
      </c>
      <c r="I53" s="64">
        <v>1.69</v>
      </c>
      <c r="J53" s="64">
        <v>0.94</v>
      </c>
      <c r="K53" s="64">
        <v>337.51</v>
      </c>
      <c r="L53" s="64">
        <v>31.48</v>
      </c>
      <c r="M53" s="64">
        <v>70.540000000000006</v>
      </c>
      <c r="N53" s="64">
        <v>521.79999999999995</v>
      </c>
      <c r="O53" s="64">
        <v>0</v>
      </c>
      <c r="P53" s="64">
        <v>0.51</v>
      </c>
      <c r="Q53" s="64">
        <v>9.16</v>
      </c>
      <c r="R53" s="198"/>
      <c r="S53" s="198"/>
      <c r="T53" s="198"/>
      <c r="U53" s="198"/>
    </row>
    <row r="54" spans="1:21" s="12" customFormat="1" x14ac:dyDescent="0.25">
      <c r="A54" s="214" t="s">
        <v>3075</v>
      </c>
      <c r="B54" s="64">
        <v>13.73</v>
      </c>
      <c r="C54" s="64">
        <v>9.15</v>
      </c>
      <c r="D54" s="64">
        <v>15.79</v>
      </c>
      <c r="E54" s="64">
        <v>4.8600000000000003</v>
      </c>
      <c r="F54" s="64">
        <v>9.0299999999999994</v>
      </c>
      <c r="G54" s="64">
        <v>35.72</v>
      </c>
      <c r="H54" s="64">
        <v>7.86</v>
      </c>
      <c r="I54" s="64">
        <v>1.67</v>
      </c>
      <c r="J54" s="64">
        <v>0.61</v>
      </c>
      <c r="K54" s="64">
        <v>332.18</v>
      </c>
      <c r="L54" s="64">
        <v>32.97</v>
      </c>
      <c r="M54" s="64">
        <v>63.46</v>
      </c>
      <c r="N54" s="64">
        <v>791.9</v>
      </c>
      <c r="O54" s="64">
        <v>0</v>
      </c>
      <c r="P54" s="64">
        <v>0.48</v>
      </c>
      <c r="Q54" s="64">
        <v>9.14</v>
      </c>
      <c r="R54" s="198"/>
      <c r="S54" s="198"/>
      <c r="T54" s="198"/>
      <c r="U54" s="198"/>
    </row>
    <row r="55" spans="1:21" s="12" customFormat="1" x14ac:dyDescent="0.25">
      <c r="A55" s="214" t="s">
        <v>3076</v>
      </c>
      <c r="B55" s="64">
        <v>11.82</v>
      </c>
      <c r="C55" s="64">
        <v>9.73</v>
      </c>
      <c r="D55" s="64">
        <v>14.56</v>
      </c>
      <c r="E55" s="64">
        <v>5.15</v>
      </c>
      <c r="F55" s="64">
        <v>14.17</v>
      </c>
      <c r="G55" s="64">
        <v>35.72</v>
      </c>
      <c r="H55" s="64">
        <v>7.86</v>
      </c>
      <c r="I55" s="64">
        <v>1.66</v>
      </c>
      <c r="J55" s="64">
        <v>1.1100000000000001</v>
      </c>
      <c r="K55" s="64">
        <v>338.24</v>
      </c>
      <c r="L55" s="64">
        <v>33.770000000000003</v>
      </c>
      <c r="M55" s="64">
        <v>61.1</v>
      </c>
      <c r="N55" s="64">
        <v>896.1</v>
      </c>
      <c r="O55" s="64">
        <v>0</v>
      </c>
      <c r="P55" s="64">
        <v>0.49</v>
      </c>
      <c r="Q55" s="64">
        <v>9.1</v>
      </c>
      <c r="R55" s="198"/>
      <c r="S55" s="198"/>
      <c r="T55" s="198"/>
      <c r="U55" s="198"/>
    </row>
    <row r="56" spans="1:21" s="12" customFormat="1" x14ac:dyDescent="0.25">
      <c r="A56" s="214" t="s">
        <v>3077</v>
      </c>
      <c r="B56" s="64">
        <v>12.52</v>
      </c>
      <c r="C56" s="64">
        <v>14.85</v>
      </c>
      <c r="D56" s="64">
        <v>17.8</v>
      </c>
      <c r="E56" s="64">
        <v>4.92</v>
      </c>
      <c r="F56" s="64">
        <v>11.2</v>
      </c>
      <c r="G56" s="64">
        <v>35.72</v>
      </c>
      <c r="H56" s="64">
        <v>7.86</v>
      </c>
      <c r="I56" s="64">
        <v>1.64</v>
      </c>
      <c r="J56" s="64">
        <v>0.56000000000000005</v>
      </c>
      <c r="K56" s="64">
        <v>332.43</v>
      </c>
      <c r="L56" s="64">
        <v>34.08</v>
      </c>
      <c r="M56" s="64">
        <v>58.7</v>
      </c>
      <c r="N56" s="64">
        <v>416.3</v>
      </c>
      <c r="O56" s="64">
        <v>0</v>
      </c>
      <c r="P56" s="64">
        <v>0.54</v>
      </c>
      <c r="Q56" s="64">
        <v>9.11</v>
      </c>
      <c r="R56" s="198"/>
      <c r="S56" s="198"/>
      <c r="T56" s="198"/>
      <c r="U56" s="198"/>
    </row>
    <row r="57" spans="1:21" s="12" customFormat="1" x14ac:dyDescent="0.25">
      <c r="A57" s="214" t="s">
        <v>3078</v>
      </c>
      <c r="B57" s="64">
        <v>14.55</v>
      </c>
      <c r="C57" s="64">
        <v>17.2</v>
      </c>
      <c r="D57" s="64">
        <v>20.66</v>
      </c>
      <c r="E57" s="64">
        <v>4.88</v>
      </c>
      <c r="F57" s="64">
        <v>18.22</v>
      </c>
      <c r="G57" s="64">
        <v>42.92</v>
      </c>
      <c r="H57" s="64">
        <v>8.4600000000000009</v>
      </c>
      <c r="I57" s="64">
        <v>1.61</v>
      </c>
      <c r="J57" s="64">
        <v>0.69</v>
      </c>
      <c r="K57" s="64">
        <v>338.33</v>
      </c>
      <c r="L57" s="64">
        <v>32.39</v>
      </c>
      <c r="M57" s="64">
        <v>63.57</v>
      </c>
      <c r="N57" s="64">
        <v>257.89999999999998</v>
      </c>
      <c r="O57" s="64">
        <v>0</v>
      </c>
      <c r="P57" s="64">
        <v>0.56999999999999995</v>
      </c>
      <c r="Q57" s="64">
        <v>9.1199999999999992</v>
      </c>
      <c r="R57" s="198"/>
      <c r="S57" s="198"/>
      <c r="T57" s="198"/>
      <c r="U57" s="198"/>
    </row>
    <row r="58" spans="1:21" s="12" customFormat="1" x14ac:dyDescent="0.25">
      <c r="A58" s="214" t="s">
        <v>3079</v>
      </c>
      <c r="B58" s="64">
        <v>14.24</v>
      </c>
      <c r="C58" s="64">
        <v>19.68</v>
      </c>
      <c r="D58" s="64">
        <v>21.7</v>
      </c>
      <c r="E58" s="64">
        <v>4.96</v>
      </c>
      <c r="F58" s="64">
        <v>16.97</v>
      </c>
      <c r="G58" s="64">
        <v>43.44</v>
      </c>
      <c r="H58" s="64">
        <v>8.4600000000000009</v>
      </c>
      <c r="I58" s="64">
        <v>1.6</v>
      </c>
      <c r="J58" s="64">
        <v>0.66</v>
      </c>
      <c r="K58" s="64">
        <v>337.7</v>
      </c>
      <c r="L58" s="64">
        <v>31.51</v>
      </c>
      <c r="M58" s="64">
        <v>67.58</v>
      </c>
      <c r="N58" s="64">
        <v>257</v>
      </c>
      <c r="O58" s="64">
        <v>0</v>
      </c>
      <c r="P58" s="64">
        <v>0.6</v>
      </c>
      <c r="Q58" s="64">
        <v>9.1300000000000008</v>
      </c>
      <c r="R58" s="198"/>
      <c r="S58" s="198"/>
      <c r="T58" s="198"/>
      <c r="U58" s="198"/>
    </row>
    <row r="59" spans="1:21" s="12" customFormat="1" x14ac:dyDescent="0.25">
      <c r="A59" s="214" t="s">
        <v>3080</v>
      </c>
      <c r="B59" s="64">
        <v>15.74</v>
      </c>
      <c r="C59" s="64">
        <v>17.73</v>
      </c>
      <c r="D59" s="64">
        <v>21.88</v>
      </c>
      <c r="E59" s="64">
        <v>5.05</v>
      </c>
      <c r="F59" s="64">
        <v>16.75</v>
      </c>
      <c r="G59" s="64">
        <v>43.44</v>
      </c>
      <c r="H59" s="64">
        <v>8.4600000000000009</v>
      </c>
      <c r="I59" s="64">
        <v>1.59</v>
      </c>
      <c r="J59" s="64">
        <v>0.57999999999999996</v>
      </c>
      <c r="K59" s="64">
        <v>337.51</v>
      </c>
      <c r="L59" s="64">
        <v>31.48</v>
      </c>
      <c r="M59" s="64">
        <v>66.41</v>
      </c>
      <c r="N59" s="64">
        <v>253.9</v>
      </c>
      <c r="O59" s="64">
        <v>0</v>
      </c>
      <c r="P59" s="64">
        <v>0.51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14" t="s">
        <v>3081</v>
      </c>
      <c r="B60" s="64">
        <v>17.149999999999999</v>
      </c>
      <c r="C60" s="64">
        <v>21.78</v>
      </c>
      <c r="D60" s="64">
        <v>25.14</v>
      </c>
      <c r="E60" s="64">
        <v>4.8499999999999996</v>
      </c>
      <c r="F60" s="64">
        <v>15.52</v>
      </c>
      <c r="G60" s="64">
        <v>43.44</v>
      </c>
      <c r="H60" s="64">
        <v>8.4600000000000009</v>
      </c>
      <c r="I60" s="64">
        <v>1.58</v>
      </c>
      <c r="J60" s="64">
        <v>0.52</v>
      </c>
      <c r="K60" s="64">
        <v>341.79</v>
      </c>
      <c r="L60" s="64">
        <v>31.19</v>
      </c>
      <c r="M60" s="64">
        <v>68.06</v>
      </c>
      <c r="N60" s="64">
        <v>240.6</v>
      </c>
      <c r="O60" s="64">
        <v>0</v>
      </c>
      <c r="P60" s="64">
        <v>0.65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14" t="s">
        <v>3082</v>
      </c>
      <c r="B61" s="64">
        <v>17.14</v>
      </c>
      <c r="C61" s="64">
        <v>19.41</v>
      </c>
      <c r="D61" s="64">
        <v>23.89</v>
      </c>
      <c r="E61" s="64">
        <v>5.28</v>
      </c>
      <c r="F61" s="64">
        <v>18.670000000000002</v>
      </c>
      <c r="G61" s="64">
        <v>50.98</v>
      </c>
      <c r="H61" s="64">
        <v>7.08</v>
      </c>
      <c r="I61" s="64">
        <v>1.58</v>
      </c>
      <c r="J61" s="64">
        <v>0.55000000000000004</v>
      </c>
      <c r="K61" s="64">
        <v>338.48</v>
      </c>
      <c r="L61" s="64">
        <v>30.93</v>
      </c>
      <c r="M61" s="64">
        <v>70.650000000000006</v>
      </c>
      <c r="N61" s="64">
        <v>225.1</v>
      </c>
      <c r="O61" s="64">
        <v>0</v>
      </c>
      <c r="P61" s="64">
        <v>0.69</v>
      </c>
      <c r="Q61" s="64">
        <v>9.14</v>
      </c>
      <c r="R61" s="198"/>
      <c r="S61" s="198"/>
      <c r="T61" s="198"/>
      <c r="U61" s="198"/>
    </row>
    <row r="62" spans="1:21" s="12" customFormat="1" x14ac:dyDescent="0.25">
      <c r="A62" s="214" t="s">
        <v>3083</v>
      </c>
      <c r="B62" s="64">
        <v>12.66</v>
      </c>
      <c r="C62" s="64">
        <v>15.33</v>
      </c>
      <c r="D62" s="64">
        <v>18.11</v>
      </c>
      <c r="E62" s="64">
        <v>5.17</v>
      </c>
      <c r="F62" s="64">
        <v>22.79</v>
      </c>
      <c r="G62" s="64">
        <v>51.52</v>
      </c>
      <c r="H62" s="64">
        <v>7.08</v>
      </c>
      <c r="I62" s="64">
        <v>1.57</v>
      </c>
      <c r="J62" s="64">
        <v>0.53</v>
      </c>
      <c r="K62" s="64">
        <v>336.12</v>
      </c>
      <c r="L62" s="64">
        <v>31.25</v>
      </c>
      <c r="M62" s="64">
        <v>70.2</v>
      </c>
      <c r="N62" s="64">
        <v>442.9</v>
      </c>
      <c r="O62" s="64">
        <v>0</v>
      </c>
      <c r="P62" s="64">
        <v>0.45</v>
      </c>
      <c r="Q62" s="64">
        <v>9.15</v>
      </c>
      <c r="R62" s="198"/>
      <c r="S62" s="198"/>
      <c r="T62" s="198"/>
      <c r="U62" s="198"/>
    </row>
    <row r="63" spans="1:21" s="12" customFormat="1" x14ac:dyDescent="0.25">
      <c r="A63" s="214" t="s">
        <v>3084</v>
      </c>
      <c r="B63" s="64">
        <v>14.02</v>
      </c>
      <c r="C63" s="64">
        <v>16.03</v>
      </c>
      <c r="D63" s="64">
        <v>19.61</v>
      </c>
      <c r="E63" s="64">
        <v>5.25</v>
      </c>
      <c r="F63" s="64">
        <v>27.91</v>
      </c>
      <c r="G63" s="64">
        <v>51.52</v>
      </c>
      <c r="H63" s="64">
        <v>7.08</v>
      </c>
      <c r="I63" s="64">
        <v>1.58</v>
      </c>
      <c r="J63" s="64">
        <v>0.69</v>
      </c>
      <c r="K63" s="64">
        <v>334.91</v>
      </c>
      <c r="L63" s="64">
        <v>31.96</v>
      </c>
      <c r="M63" s="64">
        <v>67.45</v>
      </c>
      <c r="N63" s="64">
        <v>314</v>
      </c>
      <c r="O63" s="64">
        <v>0</v>
      </c>
      <c r="P63" s="64">
        <v>0.55000000000000004</v>
      </c>
      <c r="Q63" s="64">
        <v>9.14</v>
      </c>
      <c r="R63" s="198"/>
      <c r="S63" s="198"/>
      <c r="T63" s="198"/>
      <c r="U63" s="198"/>
    </row>
    <row r="64" spans="1:21" s="12" customFormat="1" x14ac:dyDescent="0.25">
      <c r="A64" s="214" t="s">
        <v>3085</v>
      </c>
      <c r="B64" s="64">
        <v>11.5</v>
      </c>
      <c r="C64" s="64">
        <v>13.97</v>
      </c>
      <c r="D64" s="64">
        <v>16.52</v>
      </c>
      <c r="E64" s="64">
        <v>5.17</v>
      </c>
      <c r="F64" s="64">
        <v>20.55</v>
      </c>
      <c r="G64" s="64">
        <v>51.52</v>
      </c>
      <c r="H64" s="64">
        <v>7.08</v>
      </c>
      <c r="I64" s="64">
        <v>1.57</v>
      </c>
      <c r="J64" s="64">
        <v>0.56000000000000005</v>
      </c>
      <c r="K64" s="64">
        <v>328.18</v>
      </c>
      <c r="L64" s="64">
        <v>32.049999999999997</v>
      </c>
      <c r="M64" s="64">
        <v>66.75</v>
      </c>
      <c r="N64" s="64">
        <v>234.6</v>
      </c>
      <c r="O64" s="64">
        <v>0</v>
      </c>
      <c r="P64" s="64">
        <v>0.48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4" t="s">
        <v>3086</v>
      </c>
      <c r="B65" s="64">
        <v>11.53</v>
      </c>
      <c r="C65" s="64">
        <v>17.75</v>
      </c>
      <c r="D65" s="64">
        <v>18.52</v>
      </c>
      <c r="E65" s="64">
        <v>5.22</v>
      </c>
      <c r="F65" s="64">
        <v>199.38</v>
      </c>
      <c r="G65" s="64">
        <v>62.9</v>
      </c>
      <c r="H65" s="64">
        <v>6.89</v>
      </c>
      <c r="I65" s="64">
        <v>1.55</v>
      </c>
      <c r="J65" s="64">
        <v>0.35</v>
      </c>
      <c r="K65" s="64">
        <v>334.47</v>
      </c>
      <c r="L65" s="64">
        <v>31.99</v>
      </c>
      <c r="M65" s="64">
        <v>64.540000000000006</v>
      </c>
      <c r="N65" s="64">
        <v>204.2</v>
      </c>
      <c r="O65" s="64">
        <v>0</v>
      </c>
      <c r="P65" s="64">
        <v>0.57999999999999996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4" t="s">
        <v>3087</v>
      </c>
      <c r="B66" s="64">
        <v>11.71</v>
      </c>
      <c r="C66" s="64">
        <v>13.25</v>
      </c>
      <c r="D66" s="64">
        <v>16.309999999999999</v>
      </c>
      <c r="E66" s="64">
        <v>5.28</v>
      </c>
      <c r="F66" s="64">
        <v>97.21</v>
      </c>
      <c r="G66" s="64">
        <v>63.71</v>
      </c>
      <c r="H66" s="64">
        <v>6.89</v>
      </c>
      <c r="I66" s="64">
        <v>1.54</v>
      </c>
      <c r="J66" s="64">
        <v>0.83</v>
      </c>
      <c r="K66" s="64">
        <v>334.67</v>
      </c>
      <c r="L66" s="64">
        <v>31.91</v>
      </c>
      <c r="M66" s="64">
        <v>65.430000000000007</v>
      </c>
      <c r="N66" s="64">
        <v>190.5</v>
      </c>
      <c r="O66" s="64">
        <v>0</v>
      </c>
      <c r="P66" s="64">
        <v>0.56000000000000005</v>
      </c>
      <c r="Q66" s="64">
        <v>9.16</v>
      </c>
      <c r="R66" s="198"/>
      <c r="S66" s="198"/>
      <c r="T66" s="198"/>
      <c r="U66" s="198"/>
    </row>
    <row r="67" spans="1:21" s="12" customFormat="1" x14ac:dyDescent="0.25">
      <c r="A67" s="214" t="s">
        <v>3088</v>
      </c>
      <c r="B67" s="64">
        <v>11.01</v>
      </c>
      <c r="C67" s="64">
        <v>16.84</v>
      </c>
      <c r="D67" s="64">
        <v>17.63</v>
      </c>
      <c r="E67" s="64">
        <v>5.3</v>
      </c>
      <c r="F67" s="64">
        <v>22.98</v>
      </c>
      <c r="G67" s="64">
        <v>63.71</v>
      </c>
      <c r="H67" s="64">
        <v>6.89</v>
      </c>
      <c r="I67" s="64">
        <v>1.54</v>
      </c>
      <c r="J67" s="64">
        <v>0.25</v>
      </c>
      <c r="K67" s="64">
        <v>330.13</v>
      </c>
      <c r="L67" s="64">
        <v>31.59</v>
      </c>
      <c r="M67" s="64">
        <v>63.83</v>
      </c>
      <c r="N67" s="64">
        <v>203.4</v>
      </c>
      <c r="O67" s="64">
        <v>0</v>
      </c>
      <c r="P67" s="64">
        <v>0.47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4" t="s">
        <v>3089</v>
      </c>
      <c r="B68" s="64">
        <v>10.48</v>
      </c>
      <c r="C68" s="64">
        <v>15.53</v>
      </c>
      <c r="D68" s="64">
        <v>16.52</v>
      </c>
      <c r="E68" s="64">
        <v>5.29</v>
      </c>
      <c r="F68" s="64">
        <v>15.76</v>
      </c>
      <c r="G68" s="64">
        <v>63.71</v>
      </c>
      <c r="H68" s="64">
        <v>6.89</v>
      </c>
      <c r="I68" s="64">
        <v>1.53</v>
      </c>
      <c r="J68" s="64">
        <v>0.3</v>
      </c>
      <c r="K68" s="64">
        <v>326.14999999999998</v>
      </c>
      <c r="L68" s="64">
        <v>31.76</v>
      </c>
      <c r="M68" s="64">
        <v>65.239999999999995</v>
      </c>
      <c r="N68" s="64">
        <v>255</v>
      </c>
      <c r="O68" s="64">
        <v>0</v>
      </c>
      <c r="P68" s="64">
        <v>0.51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4" t="s">
        <v>3090</v>
      </c>
      <c r="B69" s="64">
        <v>11.04</v>
      </c>
      <c r="C69" s="64">
        <v>14.35</v>
      </c>
      <c r="D69" s="64">
        <v>16.350000000000001</v>
      </c>
      <c r="E69" s="64">
        <v>5.38</v>
      </c>
      <c r="F69" s="64">
        <v>15.22</v>
      </c>
      <c r="G69" s="64">
        <v>62.64</v>
      </c>
      <c r="H69" s="64">
        <v>9.69</v>
      </c>
      <c r="I69" s="64">
        <v>1.53</v>
      </c>
      <c r="J69" s="64">
        <v>0.47</v>
      </c>
      <c r="K69" s="64">
        <v>324.13</v>
      </c>
      <c r="L69" s="64">
        <v>31.66</v>
      </c>
      <c r="M69" s="64">
        <v>66.290000000000006</v>
      </c>
      <c r="N69" s="64">
        <v>256.8</v>
      </c>
      <c r="O69" s="64">
        <v>0</v>
      </c>
      <c r="P69" s="64">
        <v>0.54</v>
      </c>
      <c r="Q69" s="64">
        <v>9.15</v>
      </c>
      <c r="R69" s="198"/>
      <c r="S69" s="198"/>
      <c r="T69" s="198"/>
      <c r="U69" s="198"/>
    </row>
    <row r="70" spans="1:21" s="12" customFormat="1" x14ac:dyDescent="0.25">
      <c r="A70" s="214" t="s">
        <v>3091</v>
      </c>
      <c r="B70" s="64">
        <v>10.18</v>
      </c>
      <c r="C70" s="64">
        <v>13.4</v>
      </c>
      <c r="D70" s="64">
        <v>15.16</v>
      </c>
      <c r="E70" s="64">
        <v>5.43</v>
      </c>
      <c r="F70" s="64">
        <v>16.59</v>
      </c>
      <c r="G70" s="64">
        <v>62.56</v>
      </c>
      <c r="H70" s="64">
        <v>9.69</v>
      </c>
      <c r="I70" s="64">
        <v>1.52</v>
      </c>
      <c r="J70" s="64">
        <v>0.17</v>
      </c>
      <c r="K70" s="64">
        <v>294.39</v>
      </c>
      <c r="L70" s="64">
        <v>31.22</v>
      </c>
      <c r="M70" s="64">
        <v>67.63</v>
      </c>
      <c r="N70" s="64">
        <v>248</v>
      </c>
      <c r="O70" s="64">
        <v>0</v>
      </c>
      <c r="P70" s="64">
        <v>0.51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4" t="s">
        <v>3092</v>
      </c>
      <c r="B71" s="64">
        <v>10.35</v>
      </c>
      <c r="C71" s="64">
        <v>15.12</v>
      </c>
      <c r="D71" s="64">
        <v>16.2</v>
      </c>
      <c r="E71" s="64">
        <v>5.03</v>
      </c>
      <c r="F71" s="64">
        <v>19</v>
      </c>
      <c r="G71" s="64">
        <v>62.56</v>
      </c>
      <c r="H71" s="64">
        <v>9.69</v>
      </c>
      <c r="I71" s="64">
        <v>1.49</v>
      </c>
      <c r="J71" s="64">
        <v>0.15</v>
      </c>
      <c r="K71" s="64">
        <v>300.8</v>
      </c>
      <c r="L71" s="64">
        <v>30.89</v>
      </c>
      <c r="M71" s="64">
        <v>69.209999999999994</v>
      </c>
      <c r="N71" s="64">
        <v>208.9</v>
      </c>
      <c r="O71" s="64">
        <v>0</v>
      </c>
      <c r="P71" s="64">
        <v>0.47</v>
      </c>
      <c r="Q71" s="64">
        <v>9.1199999999999992</v>
      </c>
      <c r="R71" s="198"/>
      <c r="S71" s="198"/>
      <c r="T71" s="198"/>
      <c r="U71" s="198"/>
    </row>
    <row r="72" spans="1:21" s="12" customFormat="1" x14ac:dyDescent="0.25">
      <c r="A72" s="214" t="s">
        <v>3093</v>
      </c>
      <c r="B72" s="64">
        <v>8.34</v>
      </c>
      <c r="C72" s="64">
        <v>11.32</v>
      </c>
      <c r="D72" s="64">
        <v>12.6</v>
      </c>
      <c r="E72" s="64">
        <v>4.8899999999999997</v>
      </c>
      <c r="F72" s="64">
        <v>14.6</v>
      </c>
      <c r="G72" s="64">
        <v>62.56</v>
      </c>
      <c r="H72" s="64">
        <v>9.69</v>
      </c>
      <c r="I72" s="64">
        <v>1.46</v>
      </c>
      <c r="J72" s="64">
        <v>0.18</v>
      </c>
      <c r="K72" s="64">
        <v>300.38</v>
      </c>
      <c r="L72" s="64">
        <v>30.54</v>
      </c>
      <c r="M72" s="64">
        <v>71.36</v>
      </c>
      <c r="N72" s="64">
        <v>214.9</v>
      </c>
      <c r="O72" s="64">
        <v>0</v>
      </c>
      <c r="P72" s="64">
        <v>0.47</v>
      </c>
      <c r="Q72" s="64">
        <v>9.1</v>
      </c>
      <c r="R72" s="198"/>
      <c r="S72" s="198"/>
      <c r="T72" s="198"/>
      <c r="U72" s="198"/>
    </row>
    <row r="73" spans="1:21" s="12" customFormat="1" x14ac:dyDescent="0.25">
      <c r="A73" s="214" t="s">
        <v>3094</v>
      </c>
      <c r="B73" s="64">
        <v>9.36</v>
      </c>
      <c r="C73" s="64">
        <v>16.05</v>
      </c>
      <c r="D73" s="64">
        <v>15.89</v>
      </c>
      <c r="E73" s="64">
        <v>4.87</v>
      </c>
      <c r="F73" s="64">
        <v>16</v>
      </c>
      <c r="G73" s="64">
        <v>58.68</v>
      </c>
      <c r="H73" s="64">
        <v>9.1199999999999992</v>
      </c>
      <c r="I73" s="64">
        <v>1.42</v>
      </c>
      <c r="J73" s="64">
        <v>0.15</v>
      </c>
      <c r="K73" s="64">
        <v>310.44</v>
      </c>
      <c r="L73" s="64">
        <v>30.94</v>
      </c>
      <c r="M73" s="64">
        <v>69.97</v>
      </c>
      <c r="N73" s="64">
        <v>194.5</v>
      </c>
      <c r="O73" s="64">
        <v>0</v>
      </c>
      <c r="P73" s="64">
        <v>0.46</v>
      </c>
      <c r="Q73" s="64">
        <v>9.07</v>
      </c>
      <c r="R73" s="198"/>
      <c r="S73" s="198"/>
      <c r="T73" s="198"/>
      <c r="U73" s="198"/>
    </row>
    <row r="74" spans="1:21" s="12" customFormat="1" x14ac:dyDescent="0.25">
      <c r="A74" s="214" t="s">
        <v>3095</v>
      </c>
      <c r="B74" s="64">
        <v>8.0399999999999991</v>
      </c>
      <c r="C74" s="64">
        <v>13.96</v>
      </c>
      <c r="D74" s="64">
        <v>13.74</v>
      </c>
      <c r="E74" s="64">
        <v>5.0999999999999996</v>
      </c>
      <c r="F74" s="64">
        <v>16.77</v>
      </c>
      <c r="G74" s="64">
        <v>58.4</v>
      </c>
      <c r="H74" s="64">
        <v>9.1199999999999992</v>
      </c>
      <c r="I74" s="64">
        <v>1.38</v>
      </c>
      <c r="J74" s="64">
        <v>0.16</v>
      </c>
      <c r="K74" s="64">
        <v>307.38</v>
      </c>
      <c r="L74" s="64">
        <v>30.36</v>
      </c>
      <c r="M74" s="64">
        <v>73.150000000000006</v>
      </c>
      <c r="N74" s="64">
        <v>183.6</v>
      </c>
      <c r="O74" s="64">
        <v>0</v>
      </c>
      <c r="P74" s="64">
        <v>0.41</v>
      </c>
      <c r="Q74" s="64">
        <v>9.06</v>
      </c>
      <c r="R74" s="198"/>
      <c r="S74" s="198"/>
      <c r="T74" s="198"/>
      <c r="U74" s="198"/>
    </row>
    <row r="75" spans="1:21" s="12" customFormat="1" x14ac:dyDescent="0.25">
      <c r="A75" s="214" t="s">
        <v>3096</v>
      </c>
      <c r="B75" s="64">
        <v>8.7100000000000009</v>
      </c>
      <c r="C75" s="64">
        <v>13.5</v>
      </c>
      <c r="D75" s="64">
        <v>14.03</v>
      </c>
      <c r="E75" s="64">
        <v>4.93</v>
      </c>
      <c r="F75" s="64">
        <v>15.37</v>
      </c>
      <c r="G75" s="64">
        <v>58.4</v>
      </c>
      <c r="H75" s="64">
        <v>9.1199999999999992</v>
      </c>
      <c r="I75" s="64">
        <v>1.34</v>
      </c>
      <c r="J75" s="64">
        <v>0.27</v>
      </c>
      <c r="K75" s="64">
        <v>321.33999999999997</v>
      </c>
      <c r="L75" s="64">
        <v>30.6</v>
      </c>
      <c r="M75" s="64">
        <v>74.03</v>
      </c>
      <c r="N75" s="64">
        <v>182.4</v>
      </c>
      <c r="O75" s="64">
        <v>0</v>
      </c>
      <c r="P75" s="64">
        <v>0.5</v>
      </c>
      <c r="Q75" s="64">
        <v>9.0500000000000007</v>
      </c>
      <c r="R75" s="198"/>
      <c r="S75" s="198"/>
      <c r="T75" s="198"/>
      <c r="U75" s="198"/>
    </row>
    <row r="76" spans="1:21" s="12" customFormat="1" x14ac:dyDescent="0.25">
      <c r="A76" s="214" t="s">
        <v>3097</v>
      </c>
      <c r="B76" s="64">
        <v>11.84</v>
      </c>
      <c r="C76" s="64">
        <v>17.18</v>
      </c>
      <c r="D76" s="64">
        <v>18.47</v>
      </c>
      <c r="E76" s="64">
        <v>4.92</v>
      </c>
      <c r="F76" s="64">
        <v>18.850000000000001</v>
      </c>
      <c r="G76" s="64">
        <v>58.4</v>
      </c>
      <c r="H76" s="64">
        <v>9.1199999999999992</v>
      </c>
      <c r="I76" s="64">
        <v>1.31</v>
      </c>
      <c r="J76" s="64">
        <v>0.59</v>
      </c>
      <c r="K76" s="64">
        <v>337.72</v>
      </c>
      <c r="L76" s="64">
        <v>30.13</v>
      </c>
      <c r="M76" s="64">
        <v>77.62</v>
      </c>
      <c r="N76" s="64">
        <v>117.4</v>
      </c>
      <c r="O76" s="64">
        <v>0</v>
      </c>
      <c r="P76" s="64">
        <v>0.5</v>
      </c>
      <c r="Q76" s="64">
        <v>9.0500000000000007</v>
      </c>
      <c r="R76" s="198"/>
      <c r="S76" s="198"/>
      <c r="T76" s="198"/>
      <c r="U76" s="198"/>
    </row>
    <row r="77" spans="1:21" s="12" customFormat="1" x14ac:dyDescent="0.25">
      <c r="A77" s="214" t="s">
        <v>3098</v>
      </c>
      <c r="B77" s="64">
        <v>9.4</v>
      </c>
      <c r="C77" s="64">
        <v>16.79</v>
      </c>
      <c r="D77" s="64">
        <v>16.309999999999999</v>
      </c>
      <c r="E77" s="64">
        <v>4.8099999999999996</v>
      </c>
      <c r="F77" s="64">
        <v>15.18</v>
      </c>
      <c r="G77" s="64">
        <v>57.8</v>
      </c>
      <c r="H77" s="64">
        <v>8.11</v>
      </c>
      <c r="I77" s="64">
        <v>1.3</v>
      </c>
      <c r="J77" s="64">
        <v>0.52</v>
      </c>
      <c r="K77" s="64">
        <v>326.42</v>
      </c>
      <c r="L77" s="64">
        <v>27.8</v>
      </c>
      <c r="M77" s="64">
        <v>93.71</v>
      </c>
      <c r="N77" s="64">
        <v>115.5</v>
      </c>
      <c r="O77" s="64">
        <v>0</v>
      </c>
      <c r="P77" s="64">
        <v>0.51</v>
      </c>
      <c r="Q77" s="64">
        <v>9.0399999999999991</v>
      </c>
      <c r="R77" s="198"/>
      <c r="S77" s="198"/>
      <c r="T77" s="198"/>
      <c r="U77" s="198"/>
    </row>
    <row r="78" spans="1:21" s="12" customFormat="1" x14ac:dyDescent="0.25">
      <c r="A78" s="214" t="s">
        <v>3099</v>
      </c>
      <c r="B78" s="64">
        <v>12</v>
      </c>
      <c r="C78" s="64">
        <v>17.760000000000002</v>
      </c>
      <c r="D78" s="64">
        <v>18.91</v>
      </c>
      <c r="E78" s="64">
        <v>5.0599999999999996</v>
      </c>
      <c r="F78" s="64">
        <v>12.41</v>
      </c>
      <c r="G78" s="64">
        <v>57.76</v>
      </c>
      <c r="H78" s="64">
        <v>8.11</v>
      </c>
      <c r="I78" s="64">
        <v>1.32</v>
      </c>
      <c r="J78" s="64">
        <v>7.0000000000000007E-2</v>
      </c>
      <c r="K78" s="64">
        <v>315.66000000000003</v>
      </c>
      <c r="L78" s="64">
        <v>25.86</v>
      </c>
      <c r="M78" s="64">
        <v>98.13</v>
      </c>
      <c r="N78" s="64">
        <v>84</v>
      </c>
      <c r="O78" s="64">
        <v>0</v>
      </c>
      <c r="P78" s="64">
        <v>0.6</v>
      </c>
      <c r="Q78" s="64">
        <v>9.0500000000000007</v>
      </c>
      <c r="R78" s="198"/>
      <c r="S78" s="198"/>
      <c r="T78" s="198"/>
      <c r="U78" s="198"/>
    </row>
    <row r="79" spans="1:21" s="12" customFormat="1" x14ac:dyDescent="0.25">
      <c r="A79" s="214" t="s">
        <v>3100</v>
      </c>
      <c r="B79" s="64">
        <v>19.13</v>
      </c>
      <c r="C79" s="64">
        <v>27.07</v>
      </c>
      <c r="D79" s="64">
        <v>29.49</v>
      </c>
      <c r="E79" s="64">
        <v>5.14</v>
      </c>
      <c r="F79" s="64">
        <v>10.6</v>
      </c>
      <c r="G79" s="64">
        <v>57.76</v>
      </c>
      <c r="H79" s="64">
        <v>8.11</v>
      </c>
      <c r="I79" s="64">
        <v>1.32</v>
      </c>
      <c r="J79" s="64">
        <v>0.23</v>
      </c>
      <c r="K79" s="64">
        <v>328.85</v>
      </c>
      <c r="L79" s="64">
        <v>25.45</v>
      </c>
      <c r="M79" s="64">
        <v>98.15</v>
      </c>
      <c r="N79" s="64">
        <v>59.4</v>
      </c>
      <c r="O79" s="64">
        <v>0</v>
      </c>
      <c r="P79" s="64">
        <v>1.1000000000000001</v>
      </c>
      <c r="Q79" s="64">
        <v>9.08</v>
      </c>
      <c r="R79" s="198"/>
      <c r="S79" s="198"/>
      <c r="T79" s="198"/>
      <c r="U79" s="198"/>
    </row>
    <row r="80" spans="1:21" s="12" customFormat="1" x14ac:dyDescent="0.25">
      <c r="A80" s="214" t="s">
        <v>3101</v>
      </c>
      <c r="B80" s="64">
        <v>9.49</v>
      </c>
      <c r="C80" s="64">
        <v>23.85</v>
      </c>
      <c r="D80" s="64">
        <v>20.07</v>
      </c>
      <c r="E80" s="64">
        <v>5.0999999999999996</v>
      </c>
      <c r="F80" s="64">
        <v>12.88</v>
      </c>
      <c r="G80" s="64">
        <v>57.76</v>
      </c>
      <c r="H80" s="64">
        <v>8.11</v>
      </c>
      <c r="I80" s="64">
        <v>1.35</v>
      </c>
      <c r="J80" s="64">
        <v>0.09</v>
      </c>
      <c r="K80" s="64">
        <v>179.23</v>
      </c>
      <c r="L80" s="64">
        <v>25.13</v>
      </c>
      <c r="M80" s="64">
        <v>98.17</v>
      </c>
      <c r="N80" s="64">
        <v>53</v>
      </c>
      <c r="O80" s="64">
        <v>0</v>
      </c>
      <c r="P80" s="64">
        <v>0.86</v>
      </c>
      <c r="Q80" s="64">
        <v>9.1</v>
      </c>
      <c r="R80" s="198"/>
      <c r="S80" s="198"/>
      <c r="T80" s="198"/>
      <c r="U80" s="198"/>
    </row>
    <row r="81" spans="1:26" s="12" customFormat="1" x14ac:dyDescent="0.25">
      <c r="A81" s="214" t="s">
        <v>3102</v>
      </c>
      <c r="B81" s="64">
        <v>12.97</v>
      </c>
      <c r="C81" s="64">
        <v>31.27</v>
      </c>
      <c r="D81" s="64">
        <v>26.73</v>
      </c>
      <c r="E81" s="64">
        <v>4.8899999999999997</v>
      </c>
      <c r="F81" s="64">
        <v>11.29</v>
      </c>
      <c r="G81" s="64">
        <v>53.58</v>
      </c>
      <c r="H81" s="64">
        <v>6.83</v>
      </c>
      <c r="I81" s="64">
        <v>1.43</v>
      </c>
      <c r="J81" s="64">
        <v>7.0000000000000007E-2</v>
      </c>
      <c r="K81" s="64">
        <v>142.74</v>
      </c>
      <c r="L81" s="64">
        <v>25.08</v>
      </c>
      <c r="M81" s="64">
        <v>98.15</v>
      </c>
      <c r="N81" s="64">
        <v>52.1</v>
      </c>
      <c r="O81" s="64">
        <v>0</v>
      </c>
      <c r="P81" s="64">
        <v>1.0900000000000001</v>
      </c>
      <c r="Q81" s="64">
        <v>9.11</v>
      </c>
      <c r="R81" s="198"/>
      <c r="S81" s="198"/>
      <c r="T81" s="198"/>
      <c r="U81" s="198"/>
    </row>
    <row r="82" spans="1:26" s="12" customFormat="1" x14ac:dyDescent="0.25">
      <c r="A82" s="214" t="s">
        <v>3103</v>
      </c>
      <c r="B82" s="64">
        <v>27.62</v>
      </c>
      <c r="C82" s="64">
        <v>33.26</v>
      </c>
      <c r="D82" s="64">
        <v>39.53</v>
      </c>
      <c r="E82" s="64">
        <v>5.2</v>
      </c>
      <c r="F82" s="64">
        <v>10.65</v>
      </c>
      <c r="G82" s="64">
        <v>53.28</v>
      </c>
      <c r="H82" s="64">
        <v>6.83</v>
      </c>
      <c r="I82" s="64">
        <v>1.5</v>
      </c>
      <c r="J82" s="64">
        <v>0.09</v>
      </c>
      <c r="K82" s="64">
        <v>297.14999999999998</v>
      </c>
      <c r="L82" s="64">
        <v>25.2</v>
      </c>
      <c r="M82" s="64">
        <v>98.06</v>
      </c>
      <c r="N82" s="64">
        <v>52.3</v>
      </c>
      <c r="O82" s="64">
        <v>0</v>
      </c>
      <c r="P82" s="64">
        <v>2.0499999999999998</v>
      </c>
      <c r="Q82" s="64">
        <v>9.1300000000000008</v>
      </c>
      <c r="R82" s="198"/>
      <c r="S82" s="198"/>
      <c r="T82" s="198"/>
      <c r="U82" s="198"/>
    </row>
    <row r="83" spans="1:26" s="12" customFormat="1" x14ac:dyDescent="0.25">
      <c r="A83" s="214" t="s">
        <v>3104</v>
      </c>
      <c r="B83" s="64">
        <v>27.96</v>
      </c>
      <c r="C83" s="64">
        <v>32.39</v>
      </c>
      <c r="D83" s="64">
        <v>39.340000000000003</v>
      </c>
      <c r="E83" s="64">
        <v>5.19</v>
      </c>
      <c r="F83" s="64">
        <v>9.9600000000000009</v>
      </c>
      <c r="G83" s="64">
        <v>53.28</v>
      </c>
      <c r="H83" s="64">
        <v>6.83</v>
      </c>
      <c r="I83" s="64">
        <v>1.59</v>
      </c>
      <c r="J83" s="64">
        <v>0.03</v>
      </c>
      <c r="K83" s="64">
        <v>332.6</v>
      </c>
      <c r="L83" s="64">
        <v>25.31</v>
      </c>
      <c r="M83" s="64">
        <v>98.04</v>
      </c>
      <c r="N83" s="64">
        <v>52.5</v>
      </c>
      <c r="O83" s="64">
        <v>0</v>
      </c>
      <c r="P83" s="64">
        <v>2.06</v>
      </c>
      <c r="Q83" s="64">
        <v>9.15</v>
      </c>
      <c r="R83" s="198"/>
      <c r="S83" s="198"/>
      <c r="T83" s="198"/>
      <c r="U83" s="198"/>
    </row>
    <row r="84" spans="1:26" s="12" customFormat="1" x14ac:dyDescent="0.25">
      <c r="A84" s="214" t="s">
        <v>3105</v>
      </c>
      <c r="B84" s="64">
        <v>21.8</v>
      </c>
      <c r="C84" s="64">
        <v>31.37</v>
      </c>
      <c r="D84" s="64">
        <v>33.869999999999997</v>
      </c>
      <c r="E84" s="64">
        <v>5.36</v>
      </c>
      <c r="F84" s="64">
        <v>10.62</v>
      </c>
      <c r="G84" s="64">
        <v>53.28</v>
      </c>
      <c r="H84" s="64">
        <v>6.83</v>
      </c>
      <c r="I84" s="64">
        <v>1.74</v>
      </c>
      <c r="J84" s="64">
        <v>0.06</v>
      </c>
      <c r="K84" s="64">
        <v>163.19999999999999</v>
      </c>
      <c r="L84" s="64">
        <v>25.44</v>
      </c>
      <c r="M84" s="64">
        <v>98.05</v>
      </c>
      <c r="N84" s="64">
        <v>52.6</v>
      </c>
      <c r="O84" s="64">
        <v>0</v>
      </c>
      <c r="P84" s="64">
        <v>1.78</v>
      </c>
      <c r="Q84" s="64">
        <v>9.17</v>
      </c>
      <c r="R84" s="198"/>
      <c r="S84" s="198"/>
      <c r="T84" s="198"/>
      <c r="U84" s="198"/>
    </row>
    <row r="85" spans="1:26" s="12" customFormat="1" x14ac:dyDescent="0.25">
      <c r="A85" s="214" t="s">
        <v>3106</v>
      </c>
      <c r="B85" s="64">
        <v>21.36</v>
      </c>
      <c r="C85" s="64">
        <v>29.26</v>
      </c>
      <c r="D85" s="64">
        <v>32.42</v>
      </c>
      <c r="E85" s="64">
        <v>5.44</v>
      </c>
      <c r="F85" s="64">
        <v>11.26</v>
      </c>
      <c r="G85" s="64">
        <v>56.87</v>
      </c>
      <c r="H85" s="64">
        <v>9.41</v>
      </c>
      <c r="I85" s="64">
        <v>1.89</v>
      </c>
      <c r="J85" s="64">
        <v>0.05</v>
      </c>
      <c r="K85" s="64">
        <v>320.08999999999997</v>
      </c>
      <c r="L85" s="64">
        <v>25.67</v>
      </c>
      <c r="M85" s="64">
        <v>98.04</v>
      </c>
      <c r="N85" s="64">
        <v>52.9</v>
      </c>
      <c r="O85" s="64">
        <v>0</v>
      </c>
      <c r="P85" s="64">
        <v>1.95</v>
      </c>
      <c r="Q85" s="64">
        <v>9.19</v>
      </c>
      <c r="R85" s="198"/>
      <c r="S85" s="198"/>
      <c r="T85" s="198"/>
      <c r="U85" s="198"/>
    </row>
    <row r="86" spans="1:26" s="12" customFormat="1" x14ac:dyDescent="0.25">
      <c r="A86" s="214" t="s">
        <v>3107</v>
      </c>
      <c r="B86" s="64">
        <v>22.17</v>
      </c>
      <c r="C86" s="64">
        <v>24.48</v>
      </c>
      <c r="D86" s="64">
        <v>30.57</v>
      </c>
      <c r="E86" s="64">
        <v>5.45</v>
      </c>
      <c r="F86" s="64">
        <v>9.7799999999999994</v>
      </c>
      <c r="G86" s="64">
        <v>57.13</v>
      </c>
      <c r="H86" s="64">
        <v>9.41</v>
      </c>
      <c r="I86" s="64">
        <v>1.99</v>
      </c>
      <c r="J86" s="64">
        <v>0.26</v>
      </c>
      <c r="K86" s="64">
        <v>331.66</v>
      </c>
      <c r="L86" s="64">
        <v>25.95</v>
      </c>
      <c r="M86" s="64">
        <v>98.01</v>
      </c>
      <c r="N86" s="64">
        <v>53</v>
      </c>
      <c r="O86" s="64">
        <v>0</v>
      </c>
      <c r="P86" s="64">
        <v>1.8</v>
      </c>
      <c r="Q86" s="64">
        <v>9.2100000000000009</v>
      </c>
      <c r="R86" s="198"/>
      <c r="S86" s="198"/>
      <c r="T86" s="198"/>
      <c r="U86" s="198"/>
    </row>
    <row r="87" spans="1:26" s="12" customFormat="1" x14ac:dyDescent="0.25">
      <c r="A87" s="214" t="s">
        <v>3108</v>
      </c>
      <c r="B87" s="64">
        <v>14.58</v>
      </c>
      <c r="C87" s="64">
        <v>25.41</v>
      </c>
      <c r="D87" s="64">
        <v>24.96</v>
      </c>
      <c r="E87" s="64">
        <v>5.13</v>
      </c>
      <c r="F87" s="64">
        <v>8.48</v>
      </c>
      <c r="G87" s="64">
        <v>57.13</v>
      </c>
      <c r="H87" s="64">
        <v>9.41</v>
      </c>
      <c r="I87" s="64">
        <v>2.12</v>
      </c>
      <c r="J87" s="64">
        <v>0.09</v>
      </c>
      <c r="K87" s="64">
        <v>336.38</v>
      </c>
      <c r="L87" s="64">
        <v>26.18</v>
      </c>
      <c r="M87" s="64">
        <v>97.95</v>
      </c>
      <c r="N87" s="64">
        <v>53.4</v>
      </c>
      <c r="O87" s="64">
        <v>0</v>
      </c>
      <c r="P87" s="64">
        <v>1.34</v>
      </c>
      <c r="Q87" s="64">
        <v>9.1999999999999993</v>
      </c>
      <c r="R87" s="198"/>
      <c r="S87" s="198"/>
      <c r="T87" s="198"/>
      <c r="U87" s="198"/>
    </row>
    <row r="88" spans="1:26" s="12" customFormat="1" x14ac:dyDescent="0.25">
      <c r="A88" s="214" t="s">
        <v>3109</v>
      </c>
      <c r="B88" s="64">
        <v>13.99</v>
      </c>
      <c r="C88" s="64">
        <v>17.260000000000002</v>
      </c>
      <c r="D88" s="64">
        <v>20.239999999999998</v>
      </c>
      <c r="E88" s="64">
        <v>5.13</v>
      </c>
      <c r="F88" s="64">
        <v>9.2100000000000009</v>
      </c>
      <c r="G88" s="64">
        <v>57.13</v>
      </c>
      <c r="H88" s="64">
        <v>9.41</v>
      </c>
      <c r="I88" s="64">
        <v>2.2200000000000002</v>
      </c>
      <c r="J88" s="64">
        <v>0.16</v>
      </c>
      <c r="K88" s="64">
        <v>318.56</v>
      </c>
      <c r="L88" s="64">
        <v>26.39</v>
      </c>
      <c r="M88" s="64">
        <v>97.91</v>
      </c>
      <c r="N88" s="64">
        <v>53.3</v>
      </c>
      <c r="O88" s="64">
        <v>0</v>
      </c>
      <c r="P88" s="64">
        <v>1.07</v>
      </c>
      <c r="Q88" s="64">
        <v>9.2100000000000009</v>
      </c>
      <c r="R88" s="198"/>
      <c r="S88" s="198"/>
      <c r="T88" s="198"/>
      <c r="U88" s="198"/>
    </row>
    <row r="89" spans="1:26" s="12" customFormat="1" x14ac:dyDescent="0.25">
      <c r="A89" s="214" t="s">
        <v>3110</v>
      </c>
      <c r="B89" s="64">
        <v>15.3</v>
      </c>
      <c r="C89" s="64">
        <v>14.03</v>
      </c>
      <c r="D89" s="64">
        <v>19.600000000000001</v>
      </c>
      <c r="E89" s="64">
        <v>4.6900000000000004</v>
      </c>
      <c r="F89" s="64">
        <v>10.88</v>
      </c>
      <c r="G89" s="64">
        <v>68.45</v>
      </c>
      <c r="H89" s="64">
        <v>7.74</v>
      </c>
      <c r="I89" s="64">
        <v>2.29</v>
      </c>
      <c r="J89" s="64">
        <v>0.2</v>
      </c>
      <c r="K89" s="64">
        <v>322.89</v>
      </c>
      <c r="L89" s="64">
        <v>26.52</v>
      </c>
      <c r="M89" s="64">
        <v>97.79</v>
      </c>
      <c r="N89" s="64">
        <v>53.2</v>
      </c>
      <c r="O89" s="64">
        <v>0</v>
      </c>
      <c r="P89" s="64">
        <v>0.95</v>
      </c>
      <c r="Q89" s="64">
        <v>9.1999999999999993</v>
      </c>
      <c r="R89" s="198"/>
      <c r="S89" s="198"/>
      <c r="T89" s="198"/>
      <c r="U89" s="198"/>
    </row>
    <row r="90" spans="1:26" s="12" customFormat="1" x14ac:dyDescent="0.25">
      <c r="A90" s="214" t="s">
        <v>3111</v>
      </c>
      <c r="B90" s="64">
        <v>16.54</v>
      </c>
      <c r="C90" s="64">
        <v>26.17</v>
      </c>
      <c r="D90" s="64">
        <v>26.93</v>
      </c>
      <c r="E90" s="64">
        <v>4.9000000000000004</v>
      </c>
      <c r="F90" s="64">
        <v>9.44</v>
      </c>
      <c r="G90" s="64">
        <v>69.260000000000005</v>
      </c>
      <c r="H90" s="64">
        <v>7.74</v>
      </c>
      <c r="I90" s="64">
        <v>2.35</v>
      </c>
      <c r="J90" s="64">
        <v>0.16</v>
      </c>
      <c r="K90" s="64">
        <v>309.64</v>
      </c>
      <c r="L90" s="64">
        <v>26.28</v>
      </c>
      <c r="M90" s="64">
        <v>97.88</v>
      </c>
      <c r="N90" s="64">
        <v>53.2</v>
      </c>
      <c r="O90" s="64">
        <v>0</v>
      </c>
      <c r="P90" s="64">
        <v>1.3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4" t="s">
        <v>3112</v>
      </c>
      <c r="B91" s="64">
        <v>19.64</v>
      </c>
      <c r="C91" s="64">
        <v>39.979999999999997</v>
      </c>
      <c r="D91" s="64">
        <v>36.64</v>
      </c>
      <c r="E91" s="64">
        <v>4.8600000000000003</v>
      </c>
      <c r="F91" s="64">
        <v>7.16</v>
      </c>
      <c r="G91" s="64">
        <v>69.260000000000005</v>
      </c>
      <c r="H91" s="64">
        <v>7.74</v>
      </c>
      <c r="I91" s="64">
        <v>2.39</v>
      </c>
      <c r="J91" s="64">
        <v>0.14000000000000001</v>
      </c>
      <c r="K91" s="64">
        <v>306.47000000000003</v>
      </c>
      <c r="L91" s="64">
        <v>26.21</v>
      </c>
      <c r="M91" s="64">
        <v>97.88</v>
      </c>
      <c r="N91" s="64">
        <v>53.1</v>
      </c>
      <c r="O91" s="64">
        <v>0</v>
      </c>
      <c r="P91" s="64">
        <v>1.77</v>
      </c>
      <c r="Q91" s="64">
        <v>9.1999999999999993</v>
      </c>
      <c r="R91" s="198"/>
      <c r="S91" s="198"/>
      <c r="T91" s="198"/>
      <c r="U91" s="198"/>
    </row>
    <row r="92" spans="1:26" s="12" customFormat="1" x14ac:dyDescent="0.25">
      <c r="A92" s="214" t="s">
        <v>3113</v>
      </c>
      <c r="B92" s="64">
        <v>23.29</v>
      </c>
      <c r="C92" s="64">
        <v>20.99</v>
      </c>
      <c r="D92" s="64">
        <v>29.64</v>
      </c>
      <c r="E92" s="64">
        <v>4.6500000000000004</v>
      </c>
      <c r="F92" s="64">
        <v>8.24</v>
      </c>
      <c r="G92" s="64">
        <v>69.260000000000005</v>
      </c>
      <c r="H92" s="64">
        <v>7.74</v>
      </c>
      <c r="I92" s="64">
        <v>2.4900000000000002</v>
      </c>
      <c r="J92" s="64">
        <v>0.13</v>
      </c>
      <c r="K92" s="64">
        <v>314.8</v>
      </c>
      <c r="L92" s="64">
        <v>25.94</v>
      </c>
      <c r="M92" s="64">
        <v>97.92</v>
      </c>
      <c r="N92" s="64">
        <v>53.2</v>
      </c>
      <c r="O92" s="64">
        <v>0</v>
      </c>
      <c r="P92" s="64">
        <v>1.47</v>
      </c>
      <c r="Q92" s="64">
        <v>9.2200000000000006</v>
      </c>
      <c r="R92" s="198"/>
      <c r="S92" s="198"/>
      <c r="T92" s="198"/>
      <c r="U92" s="198"/>
    </row>
    <row r="93" spans="1:26" s="12" customFormat="1" x14ac:dyDescent="0.25">
      <c r="A93" s="214" t="s">
        <v>3114</v>
      </c>
      <c r="B93" s="64">
        <v>15.85</v>
      </c>
      <c r="C93" s="64">
        <v>29.81</v>
      </c>
      <c r="D93" s="64">
        <v>28.29</v>
      </c>
      <c r="E93" s="64">
        <v>4.92</v>
      </c>
      <c r="F93" s="64">
        <v>7.03</v>
      </c>
      <c r="G93" s="64">
        <v>79.05</v>
      </c>
      <c r="H93" s="64">
        <v>6.58</v>
      </c>
      <c r="I93" s="64">
        <v>2.67</v>
      </c>
      <c r="J93" s="64">
        <v>0.03</v>
      </c>
      <c r="K93" s="64">
        <v>280</v>
      </c>
      <c r="L93" s="64">
        <v>25.96</v>
      </c>
      <c r="M93" s="64">
        <v>97.92</v>
      </c>
      <c r="N93" s="64">
        <v>53.1</v>
      </c>
      <c r="O93" s="64">
        <v>0</v>
      </c>
      <c r="P93" s="64">
        <v>1.62</v>
      </c>
      <c r="Q93" s="64">
        <v>9.23</v>
      </c>
      <c r="R93" s="198"/>
      <c r="S93" s="198"/>
      <c r="T93" s="198"/>
      <c r="U93" s="198"/>
    </row>
    <row r="94" spans="1:26" s="12" customFormat="1" x14ac:dyDescent="0.25">
      <c r="A94" s="214" t="s">
        <v>3115</v>
      </c>
      <c r="B94" s="64">
        <v>24.69</v>
      </c>
      <c r="C94" s="64">
        <v>21.2</v>
      </c>
      <c r="D94" s="64">
        <v>30.79</v>
      </c>
      <c r="E94" s="64">
        <v>4.8899999999999997</v>
      </c>
      <c r="F94" s="64">
        <v>8.3800000000000008</v>
      </c>
      <c r="G94" s="64">
        <v>79.75</v>
      </c>
      <c r="H94" s="64">
        <v>6.58</v>
      </c>
      <c r="I94" s="64">
        <v>2.82</v>
      </c>
      <c r="J94" s="64">
        <v>0.09</v>
      </c>
      <c r="K94" s="64">
        <v>317.95999999999998</v>
      </c>
      <c r="L94" s="64">
        <v>26</v>
      </c>
      <c r="M94" s="64">
        <v>97.91</v>
      </c>
      <c r="N94" s="64">
        <v>53.2</v>
      </c>
      <c r="O94" s="64">
        <v>0</v>
      </c>
      <c r="P94" s="64">
        <v>1.87</v>
      </c>
      <c r="Q94" s="64">
        <v>9.24</v>
      </c>
      <c r="R94" s="198"/>
      <c r="S94" s="198"/>
      <c r="T94" s="198"/>
      <c r="U94" s="198"/>
    </row>
    <row r="95" spans="1:26" s="12" customFormat="1" x14ac:dyDescent="0.25">
      <c r="A95" s="214" t="s">
        <v>3116</v>
      </c>
      <c r="B95" s="64">
        <v>15.79</v>
      </c>
      <c r="C95" s="64">
        <v>17.559999999999999</v>
      </c>
      <c r="D95" s="64">
        <v>21.84</v>
      </c>
      <c r="E95" s="64">
        <v>4.6399999999999997</v>
      </c>
      <c r="F95" s="64">
        <v>8.89</v>
      </c>
      <c r="G95" s="64">
        <v>79.75</v>
      </c>
      <c r="H95" s="64">
        <v>6.58</v>
      </c>
      <c r="I95" s="64">
        <v>3.08</v>
      </c>
      <c r="J95" s="64">
        <v>0.11</v>
      </c>
      <c r="K95" s="64">
        <v>323.83</v>
      </c>
      <c r="L95" s="64">
        <v>26.08</v>
      </c>
      <c r="M95" s="64">
        <v>97.93</v>
      </c>
      <c r="N95" s="64">
        <v>53.4</v>
      </c>
      <c r="O95" s="64">
        <v>0</v>
      </c>
      <c r="P95" s="64">
        <v>1.37</v>
      </c>
      <c r="Q95" s="64">
        <v>9.25</v>
      </c>
      <c r="R95" s="198"/>
      <c r="S95" s="198"/>
      <c r="T95" s="198"/>
      <c r="U95" s="198"/>
    </row>
    <row r="96" spans="1:26" s="12" customFormat="1" x14ac:dyDescent="0.25">
      <c r="A96" s="214" t="s">
        <v>3117</v>
      </c>
      <c r="B96" s="64">
        <v>16.25</v>
      </c>
      <c r="C96" s="64">
        <v>15.97</v>
      </c>
      <c r="D96" s="64">
        <v>21.38</v>
      </c>
      <c r="E96" s="64">
        <v>4.7300000000000004</v>
      </c>
      <c r="F96" s="64">
        <v>10.25</v>
      </c>
      <c r="G96" s="64">
        <v>79.75</v>
      </c>
      <c r="H96" s="64">
        <v>6.58</v>
      </c>
      <c r="I96" s="64">
        <v>3.47</v>
      </c>
      <c r="J96" s="64">
        <v>0.16</v>
      </c>
      <c r="K96" s="64">
        <v>316.38</v>
      </c>
      <c r="L96" s="64">
        <v>26.06</v>
      </c>
      <c r="M96" s="64">
        <v>97.95</v>
      </c>
      <c r="N96" s="64">
        <v>53.5</v>
      </c>
      <c r="O96" s="64">
        <v>0</v>
      </c>
      <c r="P96" s="64">
        <v>1.25</v>
      </c>
      <c r="Q96" s="64">
        <v>9.26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3118</v>
      </c>
      <c r="B97" s="64">
        <v>15.29</v>
      </c>
      <c r="C97" s="64">
        <v>12.44</v>
      </c>
      <c r="D97" s="64">
        <v>18.760000000000002</v>
      </c>
      <c r="E97" s="64">
        <v>4.47</v>
      </c>
      <c r="F97" s="64">
        <v>9.0299999999999994</v>
      </c>
      <c r="G97" s="64">
        <v>85.26</v>
      </c>
      <c r="H97" s="64">
        <v>5.76</v>
      </c>
      <c r="I97" s="64">
        <v>3.81</v>
      </c>
      <c r="J97" s="64">
        <v>0.19</v>
      </c>
      <c r="K97" s="64">
        <v>316.60000000000002</v>
      </c>
      <c r="L97" s="64">
        <v>26.04</v>
      </c>
      <c r="M97" s="64">
        <v>97.93</v>
      </c>
      <c r="N97" s="64">
        <v>53.5</v>
      </c>
      <c r="O97" s="64">
        <v>0</v>
      </c>
      <c r="P97" s="64">
        <v>1.17</v>
      </c>
      <c r="Q97" s="64">
        <v>9.27</v>
      </c>
      <c r="R97" s="198"/>
      <c r="S97" s="198"/>
      <c r="T97" s="198"/>
      <c r="U97" s="198"/>
    </row>
    <row r="98" spans="1:33" s="12" customFormat="1" x14ac:dyDescent="0.25">
      <c r="A98" s="214" t="s">
        <v>3119</v>
      </c>
      <c r="B98" s="64">
        <v>16.71</v>
      </c>
      <c r="C98" s="64">
        <v>16.22</v>
      </c>
      <c r="D98" s="64">
        <v>21.87</v>
      </c>
      <c r="E98" s="64">
        <v>4.4400000000000004</v>
      </c>
      <c r="F98" s="64">
        <v>8.6199999999999992</v>
      </c>
      <c r="G98" s="64">
        <v>85.65</v>
      </c>
      <c r="H98" s="64">
        <v>5.76</v>
      </c>
      <c r="I98" s="64">
        <v>4.01</v>
      </c>
      <c r="J98" s="64">
        <v>0.27</v>
      </c>
      <c r="K98" s="64">
        <v>315.49</v>
      </c>
      <c r="L98" s="64">
        <v>25.97</v>
      </c>
      <c r="M98" s="64">
        <v>97.93</v>
      </c>
      <c r="N98" s="64">
        <v>53.9</v>
      </c>
      <c r="O98" s="64">
        <v>0</v>
      </c>
      <c r="P98" s="64">
        <v>1.1100000000000001</v>
      </c>
      <c r="Q98" s="64">
        <v>9.2799999999999994</v>
      </c>
      <c r="R98" s="198"/>
      <c r="S98" s="198"/>
      <c r="T98" s="198"/>
      <c r="U98" s="198"/>
    </row>
    <row r="99" spans="1:33" s="12" customFormat="1" x14ac:dyDescent="0.25">
      <c r="A99" s="214" t="s">
        <v>3120</v>
      </c>
      <c r="B99" s="64">
        <v>15.65</v>
      </c>
      <c r="C99" s="64">
        <v>17.829999999999998</v>
      </c>
      <c r="D99" s="64">
        <v>21.86</v>
      </c>
      <c r="E99" s="64">
        <v>5.04</v>
      </c>
      <c r="F99" s="64">
        <v>12.92</v>
      </c>
      <c r="G99" s="64">
        <v>85.65</v>
      </c>
      <c r="H99" s="64">
        <v>5.76</v>
      </c>
      <c r="I99" s="64">
        <v>4.13</v>
      </c>
      <c r="J99" s="64">
        <v>0.38</v>
      </c>
      <c r="K99" s="64">
        <v>339.33</v>
      </c>
      <c r="L99" s="64">
        <v>25.62</v>
      </c>
      <c r="M99" s="64">
        <v>97.98</v>
      </c>
      <c r="N99" s="64">
        <v>53.4</v>
      </c>
      <c r="O99" s="64">
        <v>0</v>
      </c>
      <c r="P99" s="64">
        <v>0.92</v>
      </c>
      <c r="Q99" s="64">
        <v>9.2899999999999991</v>
      </c>
      <c r="R99" s="198"/>
      <c r="S99" s="198"/>
      <c r="T99" s="198"/>
      <c r="U99" s="198"/>
    </row>
    <row r="100" spans="1:33" s="12" customFormat="1" x14ac:dyDescent="0.25">
      <c r="A100" s="214" t="s">
        <v>3121</v>
      </c>
      <c r="B100" s="64">
        <v>12.48</v>
      </c>
      <c r="C100" s="64">
        <v>20.04</v>
      </c>
      <c r="D100" s="64">
        <v>20.48</v>
      </c>
      <c r="E100" s="64">
        <v>5.05</v>
      </c>
      <c r="F100" s="64">
        <v>8.76</v>
      </c>
      <c r="G100" s="64">
        <v>85.65</v>
      </c>
      <c r="H100" s="64">
        <v>5.76</v>
      </c>
      <c r="I100" s="64">
        <v>4.18</v>
      </c>
      <c r="J100" s="64">
        <v>7.0000000000000007E-2</v>
      </c>
      <c r="K100" s="64">
        <v>270.70999999999998</v>
      </c>
      <c r="L100" s="64">
        <v>24.81</v>
      </c>
      <c r="M100" s="64">
        <v>98.07</v>
      </c>
      <c r="N100" s="64">
        <v>54.7</v>
      </c>
      <c r="O100" s="64">
        <v>0</v>
      </c>
      <c r="P100" s="64">
        <v>0.83</v>
      </c>
      <c r="Q100" s="64">
        <v>9.3000000000000007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3122</v>
      </c>
      <c r="B101" s="64">
        <v>11.36</v>
      </c>
      <c r="C101" s="64">
        <v>12.82</v>
      </c>
      <c r="D101" s="64">
        <v>15.8</v>
      </c>
      <c r="E101" s="64">
        <v>4.54</v>
      </c>
      <c r="F101" s="64">
        <v>10.73</v>
      </c>
      <c r="G101" s="64">
        <v>76.430000000000007</v>
      </c>
      <c r="H101" s="64">
        <v>7.55</v>
      </c>
      <c r="I101" s="64">
        <v>4.1900000000000004</v>
      </c>
      <c r="J101" s="64">
        <v>7.0000000000000007E-2</v>
      </c>
      <c r="K101" s="64">
        <v>212.56</v>
      </c>
      <c r="L101" s="64">
        <v>24.04</v>
      </c>
      <c r="M101" s="64">
        <v>98.12</v>
      </c>
      <c r="N101" s="64">
        <v>54.4</v>
      </c>
      <c r="O101" s="64">
        <v>0</v>
      </c>
      <c r="P101" s="64">
        <v>0.88</v>
      </c>
      <c r="Q101" s="64">
        <v>9.3000000000000007</v>
      </c>
      <c r="R101" s="198"/>
      <c r="S101" s="198"/>
      <c r="T101" s="198"/>
      <c r="U101" s="198"/>
    </row>
    <row r="102" spans="1:33" s="12" customFormat="1" x14ac:dyDescent="0.25">
      <c r="A102" s="214" t="s">
        <v>3123</v>
      </c>
      <c r="B102" s="64">
        <v>9.9499999999999993</v>
      </c>
      <c r="C102" s="64">
        <v>10.82</v>
      </c>
      <c r="D102" s="64">
        <v>13.63</v>
      </c>
      <c r="E102" s="64">
        <v>4.93</v>
      </c>
      <c r="F102" s="64">
        <v>10.71</v>
      </c>
      <c r="G102" s="64">
        <v>75.89</v>
      </c>
      <c r="H102" s="64">
        <v>7.55</v>
      </c>
      <c r="I102" s="64">
        <v>4.1900000000000004</v>
      </c>
      <c r="J102" s="64">
        <v>0.02</v>
      </c>
      <c r="K102" s="64">
        <v>252.18</v>
      </c>
      <c r="L102" s="64">
        <v>23.67</v>
      </c>
      <c r="M102" s="64">
        <v>98.12</v>
      </c>
      <c r="N102" s="64">
        <v>53.9</v>
      </c>
      <c r="O102" s="64">
        <v>0</v>
      </c>
      <c r="P102" s="64">
        <v>0.97</v>
      </c>
      <c r="Q102" s="64">
        <v>9.3000000000000007</v>
      </c>
      <c r="R102" s="198"/>
      <c r="S102" s="198"/>
      <c r="T102" s="198"/>
      <c r="U102" s="198"/>
    </row>
    <row r="103" spans="1:33" s="12" customFormat="1" x14ac:dyDescent="0.25">
      <c r="A103" s="214" t="s">
        <v>3124</v>
      </c>
      <c r="B103" s="64">
        <v>8.98</v>
      </c>
      <c r="C103" s="64">
        <v>11.52</v>
      </c>
      <c r="D103" s="64">
        <v>13.22</v>
      </c>
      <c r="E103" s="64">
        <v>4.7</v>
      </c>
      <c r="F103" s="64">
        <v>11.43</v>
      </c>
      <c r="G103" s="64">
        <v>75.89</v>
      </c>
      <c r="H103" s="64">
        <v>7.55</v>
      </c>
      <c r="I103" s="64">
        <v>4.18</v>
      </c>
      <c r="J103" s="64">
        <v>0.08</v>
      </c>
      <c r="K103" s="64">
        <v>204.59</v>
      </c>
      <c r="L103" s="64">
        <v>23.67</v>
      </c>
      <c r="M103" s="64">
        <v>98.12</v>
      </c>
      <c r="N103" s="64">
        <v>53.8</v>
      </c>
      <c r="O103" s="64">
        <v>0</v>
      </c>
      <c r="P103" s="64">
        <v>0.74</v>
      </c>
      <c r="Q103" s="64">
        <v>9.2899999999999991</v>
      </c>
      <c r="R103" s="198"/>
      <c r="S103" s="198"/>
      <c r="T103" s="198"/>
      <c r="U103" s="198"/>
    </row>
    <row r="104" spans="1:33" s="12" customFormat="1" x14ac:dyDescent="0.25">
      <c r="A104" s="214" t="s">
        <v>3125</v>
      </c>
      <c r="B104" s="64">
        <v>10.029999999999999</v>
      </c>
      <c r="C104" s="64">
        <v>9.8699999999999992</v>
      </c>
      <c r="D104" s="64">
        <v>13.2</v>
      </c>
      <c r="E104" s="64">
        <v>3.58</v>
      </c>
      <c r="F104" s="64">
        <v>7.98</v>
      </c>
      <c r="G104" s="64">
        <v>75.89</v>
      </c>
      <c r="H104" s="64">
        <v>7.55</v>
      </c>
      <c r="I104" s="64">
        <v>4.16</v>
      </c>
      <c r="J104" s="64">
        <v>0.39</v>
      </c>
      <c r="K104" s="64">
        <v>140.79</v>
      </c>
      <c r="L104" s="64">
        <v>23.59</v>
      </c>
      <c r="M104" s="64">
        <v>98.13</v>
      </c>
      <c r="N104" s="64">
        <v>54.3</v>
      </c>
      <c r="O104" s="64">
        <v>0</v>
      </c>
      <c r="P104" s="64">
        <v>0.82</v>
      </c>
      <c r="Q104" s="64">
        <v>9.2799999999999994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5.5</v>
      </c>
      <c r="C106" s="67">
        <f>MIN(C9:C104)</f>
        <v>6.19</v>
      </c>
      <c r="D106" s="67">
        <f t="shared" ref="D106:Q106" si="0">MIN(D9:D104)</f>
        <v>8.52</v>
      </c>
      <c r="E106" s="67">
        <f t="shared" si="0"/>
        <v>3.58</v>
      </c>
      <c r="F106" s="67">
        <f t="shared" si="0"/>
        <v>5.2</v>
      </c>
      <c r="G106" s="67">
        <f t="shared" si="0"/>
        <v>21.76</v>
      </c>
      <c r="H106" s="67">
        <f t="shared" si="0"/>
        <v>5.76</v>
      </c>
      <c r="I106" s="67">
        <f t="shared" si="0"/>
        <v>1.3</v>
      </c>
      <c r="J106" s="67">
        <f t="shared" si="0"/>
        <v>0.02</v>
      </c>
      <c r="K106" s="67">
        <f t="shared" si="0"/>
        <v>5.85</v>
      </c>
      <c r="L106" s="67">
        <f t="shared" si="0"/>
        <v>23.28</v>
      </c>
      <c r="M106" s="67">
        <f t="shared" si="0"/>
        <v>58.7</v>
      </c>
      <c r="N106" s="67">
        <f t="shared" si="0"/>
        <v>45</v>
      </c>
      <c r="O106" s="67">
        <f t="shared" si="0"/>
        <v>0</v>
      </c>
      <c r="P106" s="67">
        <f t="shared" si="0"/>
        <v>0.28999999999999998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27.96</v>
      </c>
      <c r="C107" s="66">
        <f t="shared" ref="C107:Q107" si="1">MAX(C9:C104)</f>
        <v>39.979999999999997</v>
      </c>
      <c r="D107" s="66">
        <f t="shared" si="1"/>
        <v>39.53</v>
      </c>
      <c r="E107" s="66">
        <f t="shared" si="1"/>
        <v>5.45</v>
      </c>
      <c r="F107" s="66">
        <f t="shared" si="1"/>
        <v>199.38</v>
      </c>
      <c r="G107" s="66">
        <f t="shared" si="1"/>
        <v>85.65</v>
      </c>
      <c r="H107" s="66">
        <f t="shared" si="1"/>
        <v>14.6</v>
      </c>
      <c r="I107" s="66">
        <f t="shared" si="1"/>
        <v>4.1900000000000004</v>
      </c>
      <c r="J107" s="66">
        <f t="shared" si="1"/>
        <v>1.1499999999999999</v>
      </c>
      <c r="K107" s="66">
        <f t="shared" si="1"/>
        <v>350.08</v>
      </c>
      <c r="L107" s="66">
        <f t="shared" si="1"/>
        <v>34.43</v>
      </c>
      <c r="M107" s="66">
        <f t="shared" si="1"/>
        <v>98.26</v>
      </c>
      <c r="N107" s="66">
        <f t="shared" si="1"/>
        <v>896.1</v>
      </c>
      <c r="O107" s="66">
        <f t="shared" si="1"/>
        <v>0.2</v>
      </c>
      <c r="P107" s="66">
        <f t="shared" si="1"/>
        <v>2.06</v>
      </c>
      <c r="Q107" s="66">
        <f t="shared" si="1"/>
        <v>9.3000000000000007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13.0234375</v>
      </c>
      <c r="C108" s="67">
        <f t="shared" ref="C108:Q108" si="2">AVERAGE(C9:C104)</f>
        <v>14.328749999999998</v>
      </c>
      <c r="D108" s="67">
        <f t="shared" si="2"/>
        <v>17.927604166666661</v>
      </c>
      <c r="E108" s="67">
        <f t="shared" si="2"/>
        <v>4.9493750000000007</v>
      </c>
      <c r="F108" s="67">
        <f t="shared" si="2"/>
        <v>14.367500000000005</v>
      </c>
      <c r="G108" s="67">
        <f t="shared" si="2"/>
        <v>47.906979166666702</v>
      </c>
      <c r="H108" s="67">
        <f t="shared" si="2"/>
        <v>8.3079166666666691</v>
      </c>
      <c r="I108" s="67">
        <f t="shared" si="2"/>
        <v>2.0776041666666658</v>
      </c>
      <c r="J108" s="67">
        <f t="shared" si="2"/>
        <v>0.32958333333333328</v>
      </c>
      <c r="K108" s="67">
        <f t="shared" si="2"/>
        <v>279.89562500000011</v>
      </c>
      <c r="L108" s="67">
        <f t="shared" si="2"/>
        <v>27.782395833333329</v>
      </c>
      <c r="M108" s="67">
        <f t="shared" si="2"/>
        <v>85.809583333333322</v>
      </c>
      <c r="N108" s="67">
        <f t="shared" si="2"/>
        <v>189.38541666666674</v>
      </c>
      <c r="O108" s="67">
        <f t="shared" si="2"/>
        <v>2.0833333333333333E-3</v>
      </c>
      <c r="P108" s="67">
        <f t="shared" si="2"/>
        <v>0.6896874999999999</v>
      </c>
      <c r="Q108" s="67">
        <f t="shared" si="2"/>
        <v>9.1543749999999999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5.1455570673052327</v>
      </c>
      <c r="C109" s="67">
        <f t="shared" ref="C109:Q109" si="3">STDEV(C9:C104)</f>
        <v>7.0852552975583762</v>
      </c>
      <c r="D109" s="67">
        <f t="shared" si="3"/>
        <v>6.9432400664685501</v>
      </c>
      <c r="E109" s="67">
        <f t="shared" si="3"/>
        <v>0.27168794987128736</v>
      </c>
      <c r="F109" s="67">
        <f t="shared" si="3"/>
        <v>21.38734972877781</v>
      </c>
      <c r="G109" s="67">
        <f t="shared" si="3"/>
        <v>17.929381127652167</v>
      </c>
      <c r="H109" s="67">
        <f t="shared" si="3"/>
        <v>2.0787647732382024</v>
      </c>
      <c r="I109" s="67">
        <f t="shared" si="3"/>
        <v>0.72619954455285651</v>
      </c>
      <c r="J109" s="67">
        <f t="shared" si="3"/>
        <v>0.27541706810491756</v>
      </c>
      <c r="K109" s="67">
        <f t="shared" si="3"/>
        <v>83.767698231320708</v>
      </c>
      <c r="L109" s="67">
        <f t="shared" si="3"/>
        <v>3.7188840275125314</v>
      </c>
      <c r="M109" s="67">
        <f t="shared" si="3"/>
        <v>15.289370364418245</v>
      </c>
      <c r="N109" s="67">
        <f t="shared" si="3"/>
        <v>203.5245103455687</v>
      </c>
      <c r="O109" s="67">
        <f t="shared" si="3"/>
        <v>2.0412414523193152E-2</v>
      </c>
      <c r="P109" s="67">
        <f t="shared" si="3"/>
        <v>0.44404232402589272</v>
      </c>
      <c r="Q109" s="67">
        <f t="shared" si="3"/>
        <v>6.710263152734576E-2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36" activePane="bottomRight" state="frozen"/>
      <selection activeCell="B2" sqref="B2"/>
      <selection pane="topRight" activeCell="B2" sqref="B2"/>
      <selection pane="bottomLeft" activeCell="B2" sqref="B2"/>
      <selection pane="bottomRight" activeCell="B50" sqref="B50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01/09/2025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01/09/2025 00:15</v>
      </c>
      <c r="B9" s="61">
        <f>'01'!B108</f>
        <v>8.8803125000000005</v>
      </c>
      <c r="C9" s="61">
        <f>'01'!C108</f>
        <v>10.257083333333332</v>
      </c>
      <c r="D9" s="61">
        <f>'01'!D108</f>
        <v>12.471145833333329</v>
      </c>
      <c r="E9" s="61">
        <f>'01'!E108</f>
        <v>3.9523958333333336</v>
      </c>
      <c r="F9" s="61">
        <f>'01'!F108</f>
        <v>5.9830208333333319</v>
      </c>
      <c r="G9" s="99">
        <f>'01'!$G$108</f>
        <v>31.174606741573047</v>
      </c>
      <c r="H9" s="61">
        <f>'01'!H108</f>
        <v>7.4929999999999986</v>
      </c>
      <c r="I9" s="61">
        <f>'01'!I108</f>
        <v>1.2865624999999998</v>
      </c>
      <c r="J9" s="61">
        <f>'01'!J108</f>
        <v>0.2546874999999999</v>
      </c>
      <c r="K9" s="61">
        <f>'01'!K108</f>
        <v>252.80729166666671</v>
      </c>
      <c r="L9" s="61">
        <f>'01'!L108</f>
        <v>25.336458333333326</v>
      </c>
      <c r="M9" s="61">
        <f>'01'!M108</f>
        <v>94.360937499999963</v>
      </c>
      <c r="N9" s="61">
        <f>'01'!N108</f>
        <v>122.5520833333333</v>
      </c>
      <c r="O9" s="61">
        <f>'01'!O108</f>
        <v>7.0833333333333331E-2</v>
      </c>
      <c r="P9" s="202">
        <f>'01'!P108</f>
        <v>0.43729166666666686</v>
      </c>
      <c r="Q9" s="61">
        <f>'01'!Q108</f>
        <v>9.5608333333333295</v>
      </c>
      <c r="R9" s="118"/>
      <c r="S9" s="118"/>
      <c r="T9" s="118"/>
      <c r="U9" s="118"/>
    </row>
    <row r="10" spans="1:21" x14ac:dyDescent="0.25">
      <c r="A10" s="94" t="str">
        <f>'02'!$B$2</f>
        <v>02/09/2025 00:15</v>
      </c>
      <c r="B10" s="61">
        <f>'02'!B108</f>
        <v>11.783541666666666</v>
      </c>
      <c r="C10" s="61">
        <f>'02'!C108</f>
        <v>9.7512500000000006</v>
      </c>
      <c r="D10" s="61">
        <f>'02'!D108</f>
        <v>14.543125000000003</v>
      </c>
      <c r="E10" s="61">
        <f>'02'!E108</f>
        <v>4.8767708333333308</v>
      </c>
      <c r="F10" s="61">
        <f>'02'!F108</f>
        <v>5.7390625000000002</v>
      </c>
      <c r="G10" s="61">
        <f>'02'!G108</f>
        <v>30.08239583333334</v>
      </c>
      <c r="H10" s="61">
        <f>'02'!H108</f>
        <v>1.1359999999999999</v>
      </c>
      <c r="I10" s="61">
        <f>'02'!I108</f>
        <v>1.3509374999999997</v>
      </c>
      <c r="J10" s="61">
        <f>'02'!J108</f>
        <v>0.44</v>
      </c>
      <c r="K10" s="61">
        <f>'02'!K108</f>
        <v>285.43645833333341</v>
      </c>
      <c r="L10" s="61">
        <f>'02'!L108</f>
        <v>25.413541666666674</v>
      </c>
      <c r="M10" s="61">
        <f>'02'!M108</f>
        <v>95.319270833333292</v>
      </c>
      <c r="N10" s="61">
        <f>'02'!N108</f>
        <v>130.51562499999997</v>
      </c>
      <c r="O10" s="61">
        <f>'02'!O108</f>
        <v>1.2499999999999999E-2</v>
      </c>
      <c r="P10" s="202">
        <f>'02'!P108</f>
        <v>0.49145833333333327</v>
      </c>
      <c r="Q10" s="61">
        <f>'02'!Q108</f>
        <v>9.6074999999999964</v>
      </c>
      <c r="R10" s="118"/>
      <c r="S10" s="118"/>
      <c r="T10" s="118"/>
      <c r="U10" s="118"/>
    </row>
    <row r="11" spans="1:21" x14ac:dyDescent="0.25">
      <c r="A11" s="94" t="str">
        <f>'03'!$B$2</f>
        <v>03/09/2025 00:15</v>
      </c>
      <c r="B11" s="61">
        <f>'03'!B108</f>
        <v>11.655520833333336</v>
      </c>
      <c r="C11" s="61">
        <f>'03'!C108</f>
        <v>11.785312500000003</v>
      </c>
      <c r="D11" s="61">
        <f>'03'!D108</f>
        <v>15.504062499999996</v>
      </c>
      <c r="E11" s="61">
        <f>'03'!E108</f>
        <v>4.42552083333333</v>
      </c>
      <c r="F11" s="61">
        <f>'03'!F108</f>
        <v>7.7119791666666666</v>
      </c>
      <c r="G11" s="61">
        <f>'03'!G108</f>
        <v>34.90774193548387</v>
      </c>
      <c r="H11" s="61">
        <f>'03'!H108</f>
        <v>14.223404255319149</v>
      </c>
      <c r="I11" s="61">
        <f>'03'!I108</f>
        <v>1.3229166666666667</v>
      </c>
      <c r="J11" s="61">
        <f>'03'!J108</f>
        <v>0.21624999999999994</v>
      </c>
      <c r="K11" s="61">
        <f>'03'!K108</f>
        <v>219.5292708333333</v>
      </c>
      <c r="L11" s="61">
        <f>'03'!L108</f>
        <v>24.685520833333328</v>
      </c>
      <c r="M11" s="61">
        <f>'03'!M108</f>
        <v>96.861666666666665</v>
      </c>
      <c r="N11" s="61">
        <f>'03'!N108</f>
        <v>110.03333333333329</v>
      </c>
      <c r="O11" s="61">
        <f>'03'!O108</f>
        <v>4.1666666666666666E-3</v>
      </c>
      <c r="P11" s="202">
        <f>'03'!P108</f>
        <v>0.59739583333333346</v>
      </c>
      <c r="Q11" s="61">
        <f>'03'!Q108</f>
        <v>9.5966666666666605</v>
      </c>
      <c r="R11" s="118"/>
      <c r="S11" s="118"/>
      <c r="T11" s="118"/>
      <c r="U11" s="118"/>
    </row>
    <row r="12" spans="1:21" x14ac:dyDescent="0.25">
      <c r="A12" s="94" t="str">
        <f>'04'!$B$2</f>
        <v>04/09/2025 00:15</v>
      </c>
      <c r="B12" s="61">
        <f>'04'!B108</f>
        <v>8.0257291666666664</v>
      </c>
      <c r="C12" s="61">
        <f>'04'!C108</f>
        <v>7.7707291666666691</v>
      </c>
      <c r="D12" s="61">
        <f>'04'!D108</f>
        <v>10.495104166666668</v>
      </c>
      <c r="E12" s="61">
        <f>'04'!E108</f>
        <v>4.5262500000000019</v>
      </c>
      <c r="F12" s="61">
        <f>'04'!F108</f>
        <v>5.2108333333333325</v>
      </c>
      <c r="G12" s="61">
        <f>'04'!G108</f>
        <v>18.985937500000002</v>
      </c>
      <c r="H12" s="61">
        <f>'04'!H108</f>
        <v>5.0404166666666663</v>
      </c>
      <c r="I12" s="61">
        <f>'04'!I108</f>
        <v>1.1902083333333342</v>
      </c>
      <c r="J12" s="61">
        <f>'04'!J108</f>
        <v>8.385416666666666E-2</v>
      </c>
      <c r="K12" s="61">
        <f>'04'!K108</f>
        <v>233.25177083333335</v>
      </c>
      <c r="L12" s="61">
        <f>'04'!L108</f>
        <v>24.206354166666667</v>
      </c>
      <c r="M12" s="61">
        <f>'04'!M108</f>
        <v>98.170625000000044</v>
      </c>
      <c r="N12" s="61">
        <f>'04'!N108</f>
        <v>107.05520833333333</v>
      </c>
      <c r="O12" s="61">
        <f>'04'!O108</f>
        <v>0</v>
      </c>
      <c r="P12" s="202">
        <f>'04'!P108</f>
        <v>0.35260416666666666</v>
      </c>
      <c r="Q12" s="61">
        <f>'04'!Q108</f>
        <v>9.5506250000000019</v>
      </c>
      <c r="R12" s="118"/>
      <c r="S12" s="118"/>
      <c r="T12" s="118"/>
      <c r="U12" s="118"/>
    </row>
    <row r="13" spans="1:21" x14ac:dyDescent="0.25">
      <c r="A13" s="94" t="str">
        <f>'05'!$B$2</f>
        <v>05/09/2025 00:15</v>
      </c>
      <c r="B13" s="61">
        <f>'05'!B108</f>
        <v>8.1191666666666613</v>
      </c>
      <c r="C13" s="61">
        <f>'05'!C108</f>
        <v>8.3223958333333332</v>
      </c>
      <c r="D13" s="61">
        <f>'05'!D108</f>
        <v>10.857395833333335</v>
      </c>
      <c r="E13" s="61">
        <f>'05'!E108</f>
        <v>5.1905208333333333</v>
      </c>
      <c r="F13" s="61">
        <f>'05'!F108</f>
        <v>6.9721874999999978</v>
      </c>
      <c r="G13" s="61">
        <f>'05'!G108</f>
        <v>22.364687500000002</v>
      </c>
      <c r="H13" s="61">
        <f>'05'!H108</f>
        <v>5.4689583333333358</v>
      </c>
      <c r="I13" s="61">
        <f>'05'!I108</f>
        <v>0.84031249999999991</v>
      </c>
      <c r="J13" s="61">
        <f>'05'!J108</f>
        <v>0.28645833333333326</v>
      </c>
      <c r="K13" s="61">
        <f>'05'!K108</f>
        <v>166.57156250000003</v>
      </c>
      <c r="L13" s="61">
        <f>'05'!L108</f>
        <v>25.368645833333336</v>
      </c>
      <c r="M13" s="61">
        <f>'05'!M108</f>
        <v>94.779062500000023</v>
      </c>
      <c r="N13" s="61">
        <f>'05'!N108</f>
        <v>156.88645833333334</v>
      </c>
      <c r="O13" s="61">
        <f>'05'!O108</f>
        <v>2.0833333333333333E-3</v>
      </c>
      <c r="P13" s="202">
        <f>'05'!P108</f>
        <v>0.27489583333333328</v>
      </c>
      <c r="Q13" s="61">
        <f>'05'!Q108</f>
        <v>9.5405208333333267</v>
      </c>
      <c r="R13" s="118"/>
      <c r="S13" s="118"/>
      <c r="T13" s="118"/>
      <c r="U13" s="118"/>
    </row>
    <row r="14" spans="1:21" x14ac:dyDescent="0.25">
      <c r="A14" s="94" t="str">
        <f>'06'!$B$2</f>
        <v>06/09/2025 00:15</v>
      </c>
      <c r="B14" s="61">
        <f>'06'!B108</f>
        <v>9.1337500000000009</v>
      </c>
      <c r="C14" s="61">
        <f>'06'!C108</f>
        <v>9.6712500000000023</v>
      </c>
      <c r="D14" s="61">
        <f>'06'!D108</f>
        <v>12.346666666666662</v>
      </c>
      <c r="E14" s="61">
        <f>'06'!E108</f>
        <v>4.8118749999999988</v>
      </c>
      <c r="F14" s="61">
        <f>'06'!F108</f>
        <v>8.4631250000000016</v>
      </c>
      <c r="G14" s="61">
        <f>'06'!G108</f>
        <v>32.025937500000005</v>
      </c>
      <c r="H14" s="61">
        <f>'06'!H108</f>
        <v>5.9951041666666649</v>
      </c>
      <c r="I14" s="61">
        <f>'06'!I108</f>
        <v>0.97572916666666698</v>
      </c>
      <c r="J14" s="61">
        <f>'06'!J108</f>
        <v>0.36333333333333329</v>
      </c>
      <c r="K14" s="61">
        <f>'06'!K108</f>
        <v>173.71145833333333</v>
      </c>
      <c r="L14" s="61">
        <f>'06'!L108</f>
        <v>27.07093750000001</v>
      </c>
      <c r="M14" s="61">
        <f>'06'!M108</f>
        <v>89.221979166666642</v>
      </c>
      <c r="N14" s="61">
        <f>'06'!N108</f>
        <v>209.68958333333339</v>
      </c>
      <c r="O14" s="61">
        <f>'06'!O108</f>
        <v>2.0833333333333333E-3</v>
      </c>
      <c r="P14" s="202">
        <f>'06'!P108</f>
        <v>0.31854166666666661</v>
      </c>
      <c r="Q14" s="61">
        <f>'06'!Q108</f>
        <v>9.5627083333333349</v>
      </c>
      <c r="R14" s="118"/>
      <c r="S14" s="118"/>
      <c r="T14" s="118"/>
      <c r="U14" s="118"/>
    </row>
    <row r="15" spans="1:21" x14ac:dyDescent="0.25">
      <c r="A15" s="94" t="str">
        <f>'07'!$B$2</f>
        <v>07/09/2025 00:15</v>
      </c>
      <c r="B15" s="61">
        <f>'07'!B108</f>
        <v>8.3215294117647112</v>
      </c>
      <c r="C15" s="61">
        <f>'07'!C108</f>
        <v>9.3035294117647087</v>
      </c>
      <c r="D15" s="61">
        <f>'07'!D108</f>
        <v>11.533058823529412</v>
      </c>
      <c r="E15" s="61">
        <f>'07'!E108</f>
        <v>4.4581395348837205</v>
      </c>
      <c r="F15" s="61">
        <f>'07'!F108</f>
        <v>7.5782758620689634</v>
      </c>
      <c r="G15" s="100">
        <f>'07'!$G$108</f>
        <v>32.953333333333326</v>
      </c>
      <c r="H15" s="61">
        <f>'07'!H108</f>
        <v>6.6039080459770094</v>
      </c>
      <c r="I15" s="61">
        <f>'07'!I108</f>
        <v>1.4434939759036138</v>
      </c>
      <c r="J15" s="61">
        <f>'07'!J108</f>
        <v>0.19540229885057481</v>
      </c>
      <c r="K15" s="61">
        <f>'07'!K108</f>
        <v>239.26563218390797</v>
      </c>
      <c r="L15" s="61">
        <f>'07'!L108</f>
        <v>26.479655172413793</v>
      </c>
      <c r="M15" s="61">
        <f>'07'!M108</f>
        <v>87.83793103448275</v>
      </c>
      <c r="N15" s="61">
        <f>'07'!N108</f>
        <v>204.99655172413799</v>
      </c>
      <c r="O15" s="61">
        <f>'07'!O108</f>
        <v>0.13793103448275865</v>
      </c>
      <c r="P15" s="202">
        <f>'07'!P108</f>
        <v>0.35666666666666658</v>
      </c>
      <c r="Q15" s="61">
        <f>'07'!Q108</f>
        <v>9.5326506024096354</v>
      </c>
      <c r="R15" s="118"/>
      <c r="S15" s="118"/>
      <c r="T15" s="118"/>
      <c r="U15" s="118"/>
    </row>
    <row r="16" spans="1:21" x14ac:dyDescent="0.25">
      <c r="A16" s="94" t="str">
        <f>'08'!$B$2</f>
        <v>08/09/2025 00:15</v>
      </c>
      <c r="B16" s="61">
        <f>'08'!B108</f>
        <v>15.993229166666671</v>
      </c>
      <c r="C16" s="61">
        <f>'08'!C108</f>
        <v>10.355104166666667</v>
      </c>
      <c r="D16" s="61">
        <f>'08'!D108</f>
        <v>18.207812500000003</v>
      </c>
      <c r="E16" s="61">
        <f>'08'!E108</f>
        <v>3.2361458333333335</v>
      </c>
      <c r="F16" s="61">
        <f>'08'!F108</f>
        <v>5.0536458333333316</v>
      </c>
      <c r="G16" s="100">
        <f>'08'!$G$108</f>
        <v>53.245172413793078</v>
      </c>
      <c r="H16" s="61">
        <f>'08'!H108</f>
        <v>8.825652173913042</v>
      </c>
      <c r="I16" s="61">
        <f>'08'!I108</f>
        <v>1.9759374999999995</v>
      </c>
      <c r="J16" s="61">
        <f>'08'!J108</f>
        <v>0.30541666666666656</v>
      </c>
      <c r="K16" s="61">
        <f>'08'!K108</f>
        <v>250.39031249999996</v>
      </c>
      <c r="L16" s="61">
        <f>'08'!L108</f>
        <v>25.395624999999995</v>
      </c>
      <c r="M16" s="61">
        <f>'08'!M108</f>
        <v>97.216354166666676</v>
      </c>
      <c r="N16" s="61">
        <f>'08'!N108</f>
        <v>134.98020833333331</v>
      </c>
      <c r="O16" s="61">
        <f>'08'!O108</f>
        <v>2.5000000000000005E-2</v>
      </c>
      <c r="P16" s="202">
        <f>'08'!P108</f>
        <v>0.60854166666666676</v>
      </c>
      <c r="Q16" s="61">
        <f>'08'!Q108</f>
        <v>9.4668749999999928</v>
      </c>
      <c r="R16" s="118"/>
      <c r="S16" s="118"/>
      <c r="T16" s="118"/>
      <c r="U16" s="118"/>
    </row>
    <row r="17" spans="1:21" x14ac:dyDescent="0.25">
      <c r="A17" s="94" t="str">
        <f>'09'!$B$2</f>
        <v>09/09/2025 00:15</v>
      </c>
      <c r="B17" s="61">
        <f>'09'!B108</f>
        <v>12.88052083333333</v>
      </c>
      <c r="C17" s="61">
        <f>'09'!C108</f>
        <v>16.19875</v>
      </c>
      <c r="D17" s="61">
        <f>'09'!D108</f>
        <v>18.786770833333332</v>
      </c>
      <c r="E17" s="61">
        <f>'09'!E108</f>
        <v>4.811041666666668</v>
      </c>
      <c r="F17" s="61">
        <f>'09'!F108</f>
        <v>10.501041666666667</v>
      </c>
      <c r="G17" s="100">
        <f>'09'!$G$108</f>
        <v>64.515729166666645</v>
      </c>
      <c r="H17" s="61">
        <f>'09'!H108</f>
        <v>4.7273015873015858</v>
      </c>
      <c r="I17" s="61">
        <f>'09'!I108</f>
        <v>1.906458333333334</v>
      </c>
      <c r="J17" s="61">
        <f>'09'!J108</f>
        <v>0.19666666666666666</v>
      </c>
      <c r="K17" s="61">
        <f>'09'!K108</f>
        <v>201.70593749999992</v>
      </c>
      <c r="L17" s="61">
        <f>'09'!L108</f>
        <v>27.047604166666659</v>
      </c>
      <c r="M17" s="61">
        <f>'09'!M108</f>
        <v>91.363437500000018</v>
      </c>
      <c r="N17" s="61">
        <f>'09'!N108</f>
        <v>141.13749999999999</v>
      </c>
      <c r="O17" s="61">
        <f>'09'!O108</f>
        <v>0</v>
      </c>
      <c r="P17" s="202">
        <f>'09'!P108</f>
        <v>0.66489583333333335</v>
      </c>
      <c r="Q17" s="61">
        <f>'09'!Q108</f>
        <v>9.4964583333333312</v>
      </c>
      <c r="R17" s="118"/>
      <c r="S17" s="118"/>
      <c r="T17" s="118"/>
      <c r="U17" s="118"/>
    </row>
    <row r="18" spans="1:21" x14ac:dyDescent="0.25">
      <c r="A18" s="94" t="str">
        <f>'10'!$B$2</f>
        <v>10/09/2025 00:15</v>
      </c>
      <c r="B18" s="61">
        <f>'10'!B108</f>
        <v>13.901979166666671</v>
      </c>
      <c r="C18" s="61">
        <f>'10'!C108</f>
        <v>14.009270833333339</v>
      </c>
      <c r="D18" s="61">
        <f>'10'!D108</f>
        <v>18.389895833333327</v>
      </c>
      <c r="E18" s="61">
        <f>'10'!E108</f>
        <v>4.9417708333333348</v>
      </c>
      <c r="F18" s="61">
        <f>'10'!F108</f>
        <v>7.6163541666666665</v>
      </c>
      <c r="G18" s="101">
        <f>'10'!$G$108</f>
        <v>76.469166666666638</v>
      </c>
      <c r="H18" s="61">
        <f>'10'!H108</f>
        <v>9.3286046511627898</v>
      </c>
      <c r="I18" s="61">
        <f>'10'!I108</f>
        <v>2.0597916666666665</v>
      </c>
      <c r="J18" s="61">
        <f>'10'!J108</f>
        <v>0.29031250000000008</v>
      </c>
      <c r="K18" s="61">
        <f>'10'!K108</f>
        <v>260.1803124999999</v>
      </c>
      <c r="L18" s="61">
        <f>'10'!L108</f>
        <v>26.494375000000002</v>
      </c>
      <c r="M18" s="61">
        <f>'10'!M108</f>
        <v>92.835729166666681</v>
      </c>
      <c r="N18" s="61">
        <f>'10'!N108</f>
        <v>137.17187499999997</v>
      </c>
      <c r="O18" s="61">
        <f>'10'!O108</f>
        <v>0</v>
      </c>
      <c r="P18" s="202">
        <f>'10'!P108</f>
        <v>0.58552083333333338</v>
      </c>
      <c r="Q18" s="61">
        <f>'10'!Q108</f>
        <v>9.5345833333333321</v>
      </c>
      <c r="R18" s="118"/>
      <c r="S18" s="118"/>
      <c r="T18" s="118"/>
      <c r="U18" s="118"/>
    </row>
    <row r="19" spans="1:21" x14ac:dyDescent="0.25">
      <c r="A19" s="94" t="str">
        <f>'11'!$B$2</f>
        <v>11/09/2025 00:15</v>
      </c>
      <c r="B19" s="61">
        <f>'11'!B108</f>
        <v>15.203541666666666</v>
      </c>
      <c r="C19" s="61">
        <f>'11'!C108</f>
        <v>12.365833333333335</v>
      </c>
      <c r="D19" s="61">
        <f>'11'!D108</f>
        <v>18.650625000000002</v>
      </c>
      <c r="E19" s="61">
        <f>'11'!E108</f>
        <v>5.3369791666666666</v>
      </c>
      <c r="F19" s="61">
        <f>'11'!F108</f>
        <v>6.8257291666666644</v>
      </c>
      <c r="G19" s="99">
        <f>'11'!$G$108</f>
        <v>53.403437499999988</v>
      </c>
      <c r="H19" s="61">
        <f>'11'!H108</f>
        <v>8.1351190476190407</v>
      </c>
      <c r="I19" s="61">
        <f>'11'!I108</f>
        <v>1.925416666666667</v>
      </c>
      <c r="J19" s="61">
        <f>'11'!J108</f>
        <v>0.28479166666666672</v>
      </c>
      <c r="K19" s="61">
        <f>'11'!K108</f>
        <v>258.63427083333335</v>
      </c>
      <c r="L19" s="61">
        <f>'11'!L108</f>
        <v>26.16364583333333</v>
      </c>
      <c r="M19" s="61">
        <f>'11'!M108</f>
        <v>96.456145833333281</v>
      </c>
      <c r="N19" s="61">
        <f>'11'!N108</f>
        <v>121.45729166666662</v>
      </c>
      <c r="O19" s="61">
        <f>'11'!O108</f>
        <v>0</v>
      </c>
      <c r="P19" s="202">
        <f>'11'!P108</f>
        <v>0.57374999999999987</v>
      </c>
      <c r="Q19" s="61">
        <f>'11'!Q108</f>
        <v>9.5909375000000008</v>
      </c>
      <c r="R19" s="118"/>
      <c r="S19" s="118"/>
      <c r="T19" s="118"/>
      <c r="U19" s="118"/>
    </row>
    <row r="20" spans="1:21" x14ac:dyDescent="0.25">
      <c r="A20" s="94" t="str">
        <f>'12'!$B$2</f>
        <v>12/09/2025 00:15</v>
      </c>
      <c r="B20" s="61">
        <f>'12'!B108</f>
        <v>12.210625000000006</v>
      </c>
      <c r="C20" s="61">
        <f>'12'!C108</f>
        <v>13.867812500000001</v>
      </c>
      <c r="D20" s="61">
        <f>'12'!D108</f>
        <v>17.001145833333336</v>
      </c>
      <c r="E20" s="61">
        <f>'12'!E108</f>
        <v>5.3636458333333339</v>
      </c>
      <c r="F20" s="61">
        <f>'12'!F108</f>
        <v>8.9682291666666654</v>
      </c>
      <c r="G20" s="101">
        <f>'12'!$G$108</f>
        <v>59.421354166666674</v>
      </c>
      <c r="H20" s="61">
        <f>'12'!H108</f>
        <v>8.2209890109890047</v>
      </c>
      <c r="I20" s="61">
        <f>'12'!I108</f>
        <v>1.5633333333333332</v>
      </c>
      <c r="J20" s="61">
        <f>'12'!J108</f>
        <v>0.53729166666666661</v>
      </c>
      <c r="K20" s="61">
        <f>'12'!K108</f>
        <v>237.11239583333338</v>
      </c>
      <c r="L20" s="61">
        <f>'12'!L108</f>
        <v>26.335625000000011</v>
      </c>
      <c r="M20" s="61">
        <f>'12'!M108</f>
        <v>93.070312499999957</v>
      </c>
      <c r="N20" s="61">
        <f>'12'!N108</f>
        <v>181.65937499999995</v>
      </c>
      <c r="O20" s="61">
        <f>'12'!O108</f>
        <v>4.5833333333333337E-2</v>
      </c>
      <c r="P20" s="202">
        <f>'12'!P108</f>
        <v>0.54104166666666653</v>
      </c>
      <c r="Q20" s="61">
        <f>'12'!Q108</f>
        <v>9.4477083333333347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13/09/2025 00:15</v>
      </c>
      <c r="B21" s="91">
        <f>'13'!B108</f>
        <v>9.0770833333333325</v>
      </c>
      <c r="C21" s="91">
        <f>'13'!C108</f>
        <v>9.5316666666666663</v>
      </c>
      <c r="D21" s="91">
        <f>'13'!D108</f>
        <v>12.260624999999996</v>
      </c>
      <c r="E21" s="91">
        <f>'13'!E108</f>
        <v>4.6914583333333351</v>
      </c>
      <c r="F21" s="91">
        <f>'13'!F108</f>
        <v>8.7789583333333319</v>
      </c>
      <c r="G21" s="100">
        <f>'13'!$G$108</f>
        <v>42.422812500000013</v>
      </c>
      <c r="H21" s="91">
        <f>'13'!H108</f>
        <v>7.6840625000000005</v>
      </c>
      <c r="I21" s="91">
        <f>'13'!I108</f>
        <v>1.4936458333333327</v>
      </c>
      <c r="J21" s="91">
        <f>'13'!J108</f>
        <v>0.45187499999999997</v>
      </c>
      <c r="K21" s="91">
        <f>'13'!K108</f>
        <v>160.64083333333335</v>
      </c>
      <c r="L21" s="91">
        <f>'13'!L108</f>
        <v>26.743541666666669</v>
      </c>
      <c r="M21" s="91">
        <f>'13'!M108</f>
        <v>92.112291666666678</v>
      </c>
      <c r="N21" s="91">
        <f>'13'!N108</f>
        <v>197.09583333333322</v>
      </c>
      <c r="O21" s="91">
        <f>'13'!O108</f>
        <v>4.1666666666666666E-3</v>
      </c>
      <c r="P21" s="203">
        <f>'13'!P108</f>
        <v>0.3472916666666665</v>
      </c>
      <c r="Q21" s="91">
        <f>'13'!Q108</f>
        <v>9.2896874999999977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14/09/2025 00:15</v>
      </c>
      <c r="B22" s="90">
        <f>'14'!B108</f>
        <v>6.7573958333333328</v>
      </c>
      <c r="C22" s="90">
        <f>'14'!C108</f>
        <v>9.8512500000000021</v>
      </c>
      <c r="D22" s="90">
        <f>'14'!D108</f>
        <v>10.562291666666667</v>
      </c>
      <c r="E22" s="90">
        <f>'14'!E108</f>
        <v>4.4335416666666667</v>
      </c>
      <c r="F22" s="90">
        <f>'14'!F108</f>
        <v>8.8790625000000016</v>
      </c>
      <c r="G22" s="100">
        <f>'14'!$G$108</f>
        <v>24.51854166666666</v>
      </c>
      <c r="H22" s="100">
        <f>'14'!$G$108</f>
        <v>24.51854166666666</v>
      </c>
      <c r="I22" s="90">
        <f>'14'!I108</f>
        <v>0.97666666666666624</v>
      </c>
      <c r="J22" s="90">
        <f>'14'!J108</f>
        <v>0.43197916666666664</v>
      </c>
      <c r="K22" s="90">
        <f>'14'!K108</f>
        <v>159.61197916666671</v>
      </c>
      <c r="L22" s="90">
        <f>'14'!L108</f>
        <v>27.46822916666666</v>
      </c>
      <c r="M22" s="90">
        <f>'14'!M108</f>
        <v>90.159375000000026</v>
      </c>
      <c r="N22" s="90">
        <f>'14'!N108</f>
        <v>217.71979166666657</v>
      </c>
      <c r="O22" s="90">
        <f>'14'!O108</f>
        <v>0</v>
      </c>
      <c r="P22" s="204">
        <f>'14'!P108</f>
        <v>0.25437499999999996</v>
      </c>
      <c r="Q22" s="90">
        <f>'14'!Q108</f>
        <v>9.2841666666666658</v>
      </c>
      <c r="R22" s="206"/>
      <c r="S22" s="206"/>
      <c r="T22" s="206"/>
      <c r="U22" s="206"/>
    </row>
    <row r="23" spans="1:21" x14ac:dyDescent="0.25">
      <c r="A23" s="94" t="str">
        <f>'15'!$B$2</f>
        <v>15/09/2025 00:15</v>
      </c>
      <c r="B23" s="61">
        <f>'15'!B108</f>
        <v>13.819479166666667</v>
      </c>
      <c r="C23" s="61">
        <f>'15'!C108</f>
        <v>9.4884374999999981</v>
      </c>
      <c r="D23" s="61">
        <f>'15'!D108</f>
        <v>16.029687499999998</v>
      </c>
      <c r="E23" s="61">
        <f>'15'!E108</f>
        <v>4.3489583333333321</v>
      </c>
      <c r="F23" s="61">
        <f>'15'!F108</f>
        <v>5.9252083333333312</v>
      </c>
      <c r="G23" s="100">
        <f>'15'!$G$108</f>
        <v>28.059270833333354</v>
      </c>
      <c r="H23" s="61">
        <f>'15'!H108</f>
        <v>8.5669791666666626</v>
      </c>
      <c r="I23" s="61">
        <f>'15'!I108</f>
        <v>1.5843749999999996</v>
      </c>
      <c r="J23" s="61">
        <f>'15'!J108</f>
        <v>0.26281249999999995</v>
      </c>
      <c r="K23" s="61">
        <f>'15'!K108</f>
        <v>233.11927083333327</v>
      </c>
      <c r="L23" s="61">
        <f>'15'!L108</f>
        <v>24.839895833333326</v>
      </c>
      <c r="M23" s="61">
        <f>'15'!M108</f>
        <v>98.009687499999941</v>
      </c>
      <c r="N23" s="61">
        <f>'15'!N108</f>
        <v>63.151041666666664</v>
      </c>
      <c r="O23" s="61">
        <f>'15'!O108</f>
        <v>0</v>
      </c>
      <c r="P23" s="202">
        <f>'15'!P108</f>
        <v>0.50854166666666656</v>
      </c>
      <c r="Q23" s="61">
        <f>'15'!Q108</f>
        <v>9.4237499999999876</v>
      </c>
      <c r="R23" s="118"/>
      <c r="S23" s="118"/>
      <c r="T23" s="118"/>
      <c r="U23" s="118"/>
    </row>
    <row r="24" spans="1:21" x14ac:dyDescent="0.25">
      <c r="A24" s="94" t="str">
        <f>'16'!$B$2</f>
        <v>16/09/2025 00:15</v>
      </c>
      <c r="B24" s="61">
        <f>'16'!B108</f>
        <v>12.413437500000002</v>
      </c>
      <c r="C24" s="61">
        <f>'16'!C108</f>
        <v>7.2552083333333295</v>
      </c>
      <c r="D24" s="61">
        <f>'16'!D108</f>
        <v>13.743541666666665</v>
      </c>
      <c r="E24" s="61">
        <f>'16'!E108</f>
        <v>4.459791666666665</v>
      </c>
      <c r="F24" s="61">
        <f>'16'!F108</f>
        <v>6.0096874999999983</v>
      </c>
      <c r="G24" s="100">
        <f>'16'!$G$108</f>
        <v>18.571874999999988</v>
      </c>
      <c r="H24" s="61">
        <f>'16'!H108</f>
        <v>13.717604166666669</v>
      </c>
      <c r="I24" s="61">
        <f>'16'!I108</f>
        <v>1.381666666666667</v>
      </c>
      <c r="J24" s="61">
        <f>'16'!J108</f>
        <v>0.31291666666666668</v>
      </c>
      <c r="K24" s="61">
        <f>'16'!K108</f>
        <v>171.00374999999997</v>
      </c>
      <c r="L24" s="61">
        <f>'16'!L108</f>
        <v>23.621041666666667</v>
      </c>
      <c r="M24" s="61">
        <f>'16'!M108</f>
        <v>98.117916666666645</v>
      </c>
      <c r="N24" s="61">
        <f>'16'!N108</f>
        <v>76.66562500000002</v>
      </c>
      <c r="O24" s="61">
        <f>'16'!O108</f>
        <v>2.0833333333333333E-3</v>
      </c>
      <c r="P24" s="202">
        <f>'16'!P108</f>
        <v>0.38541666666666674</v>
      </c>
      <c r="Q24" s="61">
        <f>'16'!Q108</f>
        <v>9.4941666666666666</v>
      </c>
      <c r="R24" s="118"/>
      <c r="S24" s="118"/>
      <c r="T24" s="118"/>
      <c r="U24" s="118"/>
    </row>
    <row r="25" spans="1:21" x14ac:dyDescent="0.25">
      <c r="A25" s="94" t="str">
        <f>'17'!$B$2</f>
        <v>17/09/2025 00:15</v>
      </c>
      <c r="B25" s="61">
        <f>'17'!B108</f>
        <v>10.935806451612901</v>
      </c>
      <c r="C25" s="61">
        <f>'17'!C108</f>
        <v>9.727634408602146</v>
      </c>
      <c r="D25" s="61">
        <f>'17'!D108</f>
        <v>13.850107526881722</v>
      </c>
      <c r="E25" s="61">
        <f>'17'!E108</f>
        <v>4.5230107526881715</v>
      </c>
      <c r="F25" s="61">
        <f>'17'!F108</f>
        <v>6.8815624999999985</v>
      </c>
      <c r="G25" s="101">
        <f>'17'!$G$108</f>
        <v>40.318494623655916</v>
      </c>
      <c r="H25" s="61">
        <f>'17'!H108</f>
        <v>10.691935483870964</v>
      </c>
      <c r="I25" s="61">
        <f>'17'!I108</f>
        <v>1.1567708333333333</v>
      </c>
      <c r="J25" s="61">
        <f>'17'!J108</f>
        <v>0.16895833333333332</v>
      </c>
      <c r="K25" s="61">
        <f>'17'!K108</f>
        <v>211.87791666666666</v>
      </c>
      <c r="L25" s="61">
        <f>'17'!L108</f>
        <v>25.898020833333337</v>
      </c>
      <c r="M25" s="61">
        <f>'17'!M108</f>
        <v>95.481354166666662</v>
      </c>
      <c r="N25" s="61">
        <f>'17'!N108</f>
        <v>152.1791666666667</v>
      </c>
      <c r="O25" s="61">
        <f>'17'!O108</f>
        <v>2.0833333333333333E-3</v>
      </c>
      <c r="P25" s="202">
        <f>'17'!P108</f>
        <v>0.42468749999999983</v>
      </c>
      <c r="Q25" s="61">
        <f>'17'!Q108</f>
        <v>9.3435416666666669</v>
      </c>
      <c r="R25" s="118"/>
      <c r="S25" s="118"/>
      <c r="T25" s="118"/>
      <c r="U25" s="118"/>
    </row>
    <row r="26" spans="1:21" x14ac:dyDescent="0.25">
      <c r="A26" s="94" t="str">
        <f>'18'!$B$2</f>
        <v>18/09/2025 00:15</v>
      </c>
      <c r="B26" s="61">
        <f>'18'!B108</f>
        <v>9.3153124999999992</v>
      </c>
      <c r="C26" s="61">
        <f>'18'!C108</f>
        <v>10.605625000000002</v>
      </c>
      <c r="D26" s="61">
        <f>'18'!D108</f>
        <v>13.010208333333333</v>
      </c>
      <c r="E26" s="61">
        <f>'18'!E108</f>
        <v>5.2528125000000028</v>
      </c>
      <c r="F26" s="61">
        <f>'18'!F108</f>
        <v>7.1155208333333357</v>
      </c>
      <c r="G26" s="99">
        <f>'18'!$G$108</f>
        <v>37.960109890109877</v>
      </c>
      <c r="H26" s="61">
        <f>'18'!H108</f>
        <v>8.3467032967032981</v>
      </c>
      <c r="I26" s="61">
        <f>'18'!I108</f>
        <v>20.930520833333336</v>
      </c>
      <c r="J26" s="61">
        <f>'18'!J108</f>
        <v>9.9583333333333343E-2</v>
      </c>
      <c r="K26" s="61">
        <f>'18'!K108</f>
        <v>216.6469791666666</v>
      </c>
      <c r="L26" s="61">
        <f>'18'!L108</f>
        <v>27.21479166666666</v>
      </c>
      <c r="M26" s="61">
        <f>'18'!M108</f>
        <v>91.054687500000014</v>
      </c>
      <c r="N26" s="61">
        <f>'18'!N108</f>
        <v>219.95416666666668</v>
      </c>
      <c r="O26" s="61">
        <f>'18'!O108</f>
        <v>0</v>
      </c>
      <c r="P26" s="202">
        <f>'18'!P108</f>
        <v>0.89562500000000034</v>
      </c>
      <c r="Q26" s="61">
        <f>'18'!Q108</f>
        <v>9.2815625000000015</v>
      </c>
      <c r="R26" s="118"/>
      <c r="S26" s="118"/>
      <c r="T26" s="118"/>
      <c r="U26" s="118"/>
    </row>
    <row r="27" spans="1:21" x14ac:dyDescent="0.25">
      <c r="A27" s="94" t="str">
        <f>'19'!$B$2</f>
        <v>19/09/2025 00:15</v>
      </c>
      <c r="B27" s="61">
        <f>'19'!B108</f>
        <v>6.616979166666666</v>
      </c>
      <c r="C27" s="61">
        <f>'19'!C108</f>
        <v>13.924270833333333</v>
      </c>
      <c r="D27" s="61">
        <f>'19'!D108</f>
        <v>12.648125</v>
      </c>
      <c r="E27" s="61">
        <f>'19'!E108</f>
        <v>4.3254166666666665</v>
      </c>
      <c r="F27" s="61">
        <f>'19'!F108</f>
        <v>7.3466666666666667</v>
      </c>
      <c r="G27" s="61">
        <f>'19'!G108</f>
        <v>64.605512820512843</v>
      </c>
      <c r="H27" s="61">
        <f>'19'!H108</f>
        <v>23.283333333333321</v>
      </c>
      <c r="I27" s="61">
        <f>'19'!I108</f>
        <v>4.4907291666666689</v>
      </c>
      <c r="J27" s="61">
        <f>'19'!J108</f>
        <v>0.12697916666666667</v>
      </c>
      <c r="K27" s="61">
        <f>'19'!K108</f>
        <v>236.62072916666659</v>
      </c>
      <c r="L27" s="61">
        <f>'19'!L108</f>
        <v>27.267604166666676</v>
      </c>
      <c r="M27" s="61">
        <f>'19'!M108</f>
        <v>91.782708333333346</v>
      </c>
      <c r="N27" s="61">
        <f>'19'!N108</f>
        <v>174.69062499999998</v>
      </c>
      <c r="O27" s="61">
        <f>'19'!O108</f>
        <v>4.1666666666666666E-3</v>
      </c>
      <c r="P27" s="202">
        <f>'19'!P108</f>
        <v>0.44552083333333359</v>
      </c>
      <c r="Q27" s="61">
        <f>'19'!Q108</f>
        <v>9.2691666666666688</v>
      </c>
      <c r="R27" s="118"/>
      <c r="S27" s="118"/>
      <c r="T27" s="118"/>
      <c r="U27" s="118"/>
    </row>
    <row r="28" spans="1:21" x14ac:dyDescent="0.25">
      <c r="A28" s="94" t="str">
        <f>'20'!$B$2</f>
        <v>20/09/2025 00:15</v>
      </c>
      <c r="B28" s="61">
        <f>'20'!B108</f>
        <v>7.7198958333333332</v>
      </c>
      <c r="C28" s="61">
        <f>'20'!C108</f>
        <v>18.02385416666667</v>
      </c>
      <c r="D28" s="61">
        <f>'20'!D108</f>
        <v>15.60697916666666</v>
      </c>
      <c r="E28" s="61">
        <f>'20'!E108</f>
        <v>4.9542708333333323</v>
      </c>
      <c r="F28" s="61">
        <f>'20'!F108</f>
        <v>9.0549999999999979</v>
      </c>
      <c r="G28" s="61">
        <f>'20'!G108</f>
        <v>41.816250000000046</v>
      </c>
      <c r="H28" s="61">
        <f>'20'!H108</f>
        <v>5.2187499999999982</v>
      </c>
      <c r="I28" s="61">
        <f>'20'!I108</f>
        <v>1.6048958333333339</v>
      </c>
      <c r="J28" s="61">
        <f>'20'!J108</f>
        <v>0.27041666666666664</v>
      </c>
      <c r="K28" s="61">
        <f>'20'!K108</f>
        <v>264.60479166666664</v>
      </c>
      <c r="L28" s="61">
        <f>'20'!L108</f>
        <v>28.217708333333334</v>
      </c>
      <c r="M28" s="61">
        <f>'20'!M108</f>
        <v>84.968020833333327</v>
      </c>
      <c r="N28" s="61">
        <f>'20'!N108</f>
        <v>218.52604166666666</v>
      </c>
      <c r="O28" s="61">
        <f>'20'!O108</f>
        <v>0</v>
      </c>
      <c r="P28" s="202">
        <f>'20'!P108</f>
        <v>0.48468749999999999</v>
      </c>
      <c r="Q28" s="61">
        <f>'20'!Q108</f>
        <v>9.2758333333333258</v>
      </c>
      <c r="R28" s="118"/>
      <c r="S28" s="118"/>
      <c r="T28" s="118"/>
      <c r="U28" s="118"/>
    </row>
    <row r="29" spans="1:21" x14ac:dyDescent="0.25">
      <c r="A29" s="94" t="str">
        <f>'21'!$B$2</f>
        <v>21/09/2025 00:15</v>
      </c>
      <c r="B29" s="61">
        <f>'21'!B108</f>
        <v>6.1777083333333351</v>
      </c>
      <c r="C29" s="61">
        <f>'21'!C108</f>
        <v>19.312083333333334</v>
      </c>
      <c r="D29" s="61">
        <f>'21'!D108</f>
        <v>15.043958333333334</v>
      </c>
      <c r="E29" s="61">
        <f>'21'!E108</f>
        <v>5.1363541666666679</v>
      </c>
      <c r="F29" s="61">
        <f>'21'!F108</f>
        <v>11.924166666666659</v>
      </c>
      <c r="G29" s="61">
        <f>'21'!G108</f>
        <v>49.75</v>
      </c>
      <c r="H29" s="61">
        <f>'21'!H108</f>
        <v>3.6708333333333321</v>
      </c>
      <c r="I29" s="61">
        <f>'21'!I108</f>
        <v>2.023750000000001</v>
      </c>
      <c r="J29" s="61">
        <f>'21'!J108</f>
        <v>0.24843750000000001</v>
      </c>
      <c r="K29" s="61">
        <f>'21'!K108</f>
        <v>234.65645833333326</v>
      </c>
      <c r="L29" s="61">
        <f>'21'!L108</f>
        <v>27.263020833333329</v>
      </c>
      <c r="M29" s="61">
        <f>'21'!M108</f>
        <v>87.446666666666673</v>
      </c>
      <c r="N29" s="61">
        <f>'21'!N108</f>
        <v>172.36562500000002</v>
      </c>
      <c r="O29" s="61">
        <f>'21'!O108</f>
        <v>0</v>
      </c>
      <c r="P29" s="202">
        <f>'21'!P108</f>
        <v>0.53364583333333326</v>
      </c>
      <c r="Q29" s="61">
        <f>'21'!Q108</f>
        <v>9.2503124999999979</v>
      </c>
      <c r="R29" s="118"/>
      <c r="S29" s="118"/>
      <c r="T29" s="118"/>
      <c r="U29" s="118"/>
    </row>
    <row r="30" spans="1:21" x14ac:dyDescent="0.25">
      <c r="A30" s="94" t="str">
        <f>'22'!$B$2</f>
        <v>22/09/2025 00:15</v>
      </c>
      <c r="B30" s="61">
        <f>'22'!B108</f>
        <v>5.9757291666666674</v>
      </c>
      <c r="C30" s="61">
        <f>'22'!C108</f>
        <v>16.168854166666669</v>
      </c>
      <c r="D30" s="61">
        <f>'22'!D108</f>
        <v>13.271875000000003</v>
      </c>
      <c r="E30" s="61">
        <f>'22'!E108</f>
        <v>5.3190625000000011</v>
      </c>
      <c r="F30" s="61">
        <f>'22'!F108</f>
        <v>12.672604166666668</v>
      </c>
      <c r="G30" s="61">
        <f>'22'!G108</f>
        <v>62.770312499999982</v>
      </c>
      <c r="H30" s="61">
        <f>'22'!H108</f>
        <v>3.427500000000002</v>
      </c>
      <c r="I30" s="61">
        <f>'22'!I108</f>
        <v>1.7981249999999995</v>
      </c>
      <c r="J30" s="61">
        <f>'22'!J108</f>
        <v>0.52385416666666673</v>
      </c>
      <c r="K30" s="61">
        <f>'22'!K108</f>
        <v>239.32593750000009</v>
      </c>
      <c r="L30" s="61">
        <f>'22'!L108</f>
        <v>26.954375000000002</v>
      </c>
      <c r="M30" s="61">
        <f>'22'!M108</f>
        <v>87.131250000000009</v>
      </c>
      <c r="N30" s="61">
        <f>'22'!N108</f>
        <v>172.66145833333329</v>
      </c>
      <c r="O30" s="61">
        <f>'22'!O108</f>
        <v>0</v>
      </c>
      <c r="P30" s="202">
        <f>'22'!P108</f>
        <v>0.49822916666666656</v>
      </c>
      <c r="Q30" s="61">
        <f>'22'!Q108</f>
        <v>9.2694791666666738</v>
      </c>
      <c r="R30" s="118"/>
      <c r="S30" s="118"/>
      <c r="T30" s="118"/>
      <c r="U30" s="118"/>
    </row>
    <row r="31" spans="1:21" x14ac:dyDescent="0.25">
      <c r="A31" s="94" t="str">
        <f>'23'!$B$2</f>
        <v>23/09/2025 00:15</v>
      </c>
      <c r="B31" s="61">
        <f>'23'!B108</f>
        <v>8.9056249999999988</v>
      </c>
      <c r="C31" s="61">
        <f>'23'!C108</f>
        <v>13.50197916666667</v>
      </c>
      <c r="D31" s="61">
        <f>'23'!D108</f>
        <v>14.195625000000005</v>
      </c>
      <c r="E31" s="61">
        <f>'23'!E108</f>
        <v>5.0453124999999988</v>
      </c>
      <c r="F31" s="61">
        <f>'23'!F108</f>
        <v>10.694375000000006</v>
      </c>
      <c r="G31" s="61">
        <f>'23'!G108</f>
        <v>53.295729166666604</v>
      </c>
      <c r="H31" s="61">
        <f>'23'!H108</f>
        <v>5.0045833333333363</v>
      </c>
      <c r="I31" s="61">
        <f>'23'!I108</f>
        <v>1.6071874999999995</v>
      </c>
      <c r="J31" s="61">
        <f>'23'!J108</f>
        <v>0.48177083333333331</v>
      </c>
      <c r="K31" s="61">
        <f>'23'!K108</f>
        <v>282.40124999999983</v>
      </c>
      <c r="L31" s="61">
        <f>'23'!L108</f>
        <v>27.669895833333317</v>
      </c>
      <c r="M31" s="61">
        <f>'23'!M108</f>
        <v>84.30510416666668</v>
      </c>
      <c r="N31" s="61">
        <f>'23'!N108</f>
        <v>198.7479166666667</v>
      </c>
      <c r="O31" s="61">
        <f>'23'!O108</f>
        <v>0</v>
      </c>
      <c r="P31" s="202">
        <f>'23'!P108</f>
        <v>0.44593749999999988</v>
      </c>
      <c r="Q31" s="61">
        <f>'23'!Q108</f>
        <v>9.2515624999999968</v>
      </c>
      <c r="R31" s="118"/>
      <c r="S31" s="207"/>
      <c r="T31" s="118"/>
      <c r="U31" s="118"/>
    </row>
    <row r="32" spans="1:21" x14ac:dyDescent="0.25">
      <c r="A32" s="94" t="str">
        <f>'24'!$B$2</f>
        <v>24/09/2025 00:15</v>
      </c>
      <c r="B32" s="61">
        <f>'24'!B108</f>
        <v>13.890833333333335</v>
      </c>
      <c r="C32" s="61">
        <f>'24'!C108</f>
        <v>10.830104166666665</v>
      </c>
      <c r="D32" s="61">
        <f>'24'!D108</f>
        <v>16.796458333333337</v>
      </c>
      <c r="E32" s="61">
        <f>'24'!E108</f>
        <v>4.2739583333333329</v>
      </c>
      <c r="F32" s="61">
        <f>'24'!F108</f>
        <v>6.8191666666666642</v>
      </c>
      <c r="G32" s="61">
        <f>'24'!G108</f>
        <v>29.865208333333314</v>
      </c>
      <c r="H32" s="61">
        <f>'24'!H108</f>
        <v>4.1087500000000015</v>
      </c>
      <c r="I32" s="61">
        <f>'24'!I108</f>
        <v>2.6126041666666668</v>
      </c>
      <c r="J32" s="61">
        <f>'24'!J108</f>
        <v>0.26750000000000002</v>
      </c>
      <c r="K32" s="61">
        <f>'24'!K108</f>
        <v>300.06802083333349</v>
      </c>
      <c r="L32" s="61">
        <f>'24'!L108</f>
        <v>22.928749999999994</v>
      </c>
      <c r="M32" s="61">
        <f>'24'!M108</f>
        <v>98.490937500000015</v>
      </c>
      <c r="N32" s="61">
        <f>'24'!N108</f>
        <v>73.8072916666667</v>
      </c>
      <c r="O32" s="61">
        <f>'24'!O108</f>
        <v>0.14166666666666666</v>
      </c>
      <c r="P32" s="202">
        <f>'24'!P108</f>
        <v>0.71833333333333316</v>
      </c>
      <c r="Q32" s="61">
        <f>'24'!Q108</f>
        <v>9.2900000000000045</v>
      </c>
      <c r="R32" s="118"/>
      <c r="S32" s="118"/>
      <c r="T32" s="118"/>
      <c r="U32" s="118"/>
    </row>
    <row r="33" spans="1:21" x14ac:dyDescent="0.25">
      <c r="A33" s="94" t="str">
        <f>'25'!$B$2</f>
        <v>25/09/2025 00:15</v>
      </c>
      <c r="B33" s="61">
        <f>'25'!B108</f>
        <v>18.405416666666667</v>
      </c>
      <c r="C33" s="61">
        <f>'25'!C108</f>
        <v>17.045000000000002</v>
      </c>
      <c r="D33" s="61">
        <f>'25'!D108</f>
        <v>23.657812500000002</v>
      </c>
      <c r="E33" s="61">
        <f>'25'!E108</f>
        <v>4.978541666666664</v>
      </c>
      <c r="F33" s="61">
        <f>'25'!F108</f>
        <v>11.035937499999996</v>
      </c>
      <c r="G33" s="61">
        <f>'25'!G108</f>
        <v>41.265833333333326</v>
      </c>
      <c r="H33" s="61">
        <f>'25'!H108</f>
        <v>4.9416666666666664</v>
      </c>
      <c r="I33" s="61">
        <f>'25'!I108</f>
        <v>2.183333333333334</v>
      </c>
      <c r="J33" s="61">
        <f>'25'!J108</f>
        <v>0.32791666666666669</v>
      </c>
      <c r="K33" s="61">
        <f>'25'!K108</f>
        <v>250.70895833333316</v>
      </c>
      <c r="L33" s="61">
        <f>'25'!L108</f>
        <v>25.666666666666671</v>
      </c>
      <c r="M33" s="61">
        <f>'25'!M108</f>
        <v>94.367083333333326</v>
      </c>
      <c r="N33" s="61">
        <f>'25'!N108</f>
        <v>191.15208333333331</v>
      </c>
      <c r="O33" s="61">
        <f>'25'!O108</f>
        <v>2.0833333333333333E-3</v>
      </c>
      <c r="P33" s="202">
        <f>'25'!P108</f>
        <v>0.80593749999999986</v>
      </c>
      <c r="Q33" s="61">
        <f>'25'!Q108</f>
        <v>9.3260416666666703</v>
      </c>
      <c r="R33" s="118"/>
      <c r="S33" s="207"/>
      <c r="T33" s="118"/>
      <c r="U33" s="118"/>
    </row>
    <row r="34" spans="1:21" x14ac:dyDescent="0.25">
      <c r="A34" s="94" t="str">
        <f>'26'!$B$2</f>
        <v>26/09/2025 00:15</v>
      </c>
      <c r="B34" s="61">
        <f>'26'!B108</f>
        <v>15.191562499999995</v>
      </c>
      <c r="C34" s="61">
        <f>'26'!C108</f>
        <v>14.734895833333326</v>
      </c>
      <c r="D34" s="61">
        <f>'26'!D108</f>
        <v>19.876979166666665</v>
      </c>
      <c r="E34" s="61">
        <f>'26'!E108</f>
        <v>5.5702083333333361</v>
      </c>
      <c r="F34" s="61">
        <f>'26'!F108</f>
        <v>11.138333333333335</v>
      </c>
      <c r="G34" s="61">
        <f>'26'!G108</f>
        <v>64.584999999999965</v>
      </c>
      <c r="H34" s="61">
        <f>'26'!H108</f>
        <v>5.8401041666666664</v>
      </c>
      <c r="I34" s="61">
        <f>'26'!I108</f>
        <v>2.2855208333333334</v>
      </c>
      <c r="J34" s="61">
        <f>'26'!J108</f>
        <v>0.44093750000000004</v>
      </c>
      <c r="K34" s="61">
        <f>'26'!K108</f>
        <v>246.47843749999996</v>
      </c>
      <c r="L34" s="61">
        <f>'26'!L108</f>
        <v>26.651875</v>
      </c>
      <c r="M34" s="61">
        <f>'26'!M108</f>
        <v>93.174374999999998</v>
      </c>
      <c r="N34" s="61">
        <f>'26'!N108</f>
        <v>194.984375</v>
      </c>
      <c r="O34" s="61">
        <f>'26'!O108</f>
        <v>1.4583333333333332E-2</v>
      </c>
      <c r="P34" s="202">
        <f>'26'!P108</f>
        <v>0.5753125</v>
      </c>
      <c r="Q34" s="61">
        <f>'26'!Q108</f>
        <v>9.3563541666666641</v>
      </c>
      <c r="R34" s="118"/>
      <c r="S34" s="118"/>
      <c r="T34" s="118"/>
      <c r="U34" s="118"/>
    </row>
    <row r="35" spans="1:21" x14ac:dyDescent="0.25">
      <c r="A35" s="94" t="str">
        <f>'27'!$B$2</f>
        <v>27/09/2025 00:15</v>
      </c>
      <c r="B35" s="61">
        <f>'27'!B108</f>
        <v>10.101979166666666</v>
      </c>
      <c r="C35" s="61">
        <f>'27'!C108</f>
        <v>9.1920833333333327</v>
      </c>
      <c r="D35" s="61">
        <f>'27'!D108</f>
        <v>12.890104166666669</v>
      </c>
      <c r="E35" s="61">
        <f>'27'!E108</f>
        <v>5.0281250000000002</v>
      </c>
      <c r="F35" s="61">
        <f>'27'!F108</f>
        <v>9.397395833333329</v>
      </c>
      <c r="G35" s="61">
        <f>'27'!G108</f>
        <v>14.68072916666668</v>
      </c>
      <c r="H35" s="61">
        <f>'27'!H108</f>
        <v>9.0991666666666688</v>
      </c>
      <c r="I35" s="61">
        <f>'27'!I108</f>
        <v>1.3221875000000003</v>
      </c>
      <c r="J35" s="61">
        <f>'27'!J108</f>
        <v>0.61791666666666656</v>
      </c>
      <c r="K35" s="61">
        <f>'27'!K108</f>
        <v>183.76416666666663</v>
      </c>
      <c r="L35" s="61">
        <f>'27'!L108</f>
        <v>24.791666666666671</v>
      </c>
      <c r="M35" s="61">
        <f>'27'!M108</f>
        <v>97.915937499999984</v>
      </c>
      <c r="N35" s="61">
        <f>'27'!N108</f>
        <v>153.06250000000003</v>
      </c>
      <c r="O35" s="61">
        <f>'27'!O108</f>
        <v>1.6666666666666666E-2</v>
      </c>
      <c r="P35" s="202">
        <f>'27'!P108</f>
        <v>0.34010416666666665</v>
      </c>
      <c r="Q35" s="61">
        <f>'27'!Q108</f>
        <v>9.1387499999999928</v>
      </c>
      <c r="R35" s="118"/>
      <c r="S35" s="118"/>
      <c r="T35" s="118"/>
      <c r="U35" s="118"/>
    </row>
    <row r="36" spans="1:21" x14ac:dyDescent="0.25">
      <c r="A36" s="94" t="str">
        <f>'28'!$B$2</f>
        <v>28/09/2025 00:15</v>
      </c>
      <c r="B36" s="61">
        <f>'28'!B108</f>
        <v>7.5526041666666686</v>
      </c>
      <c r="C36" s="61">
        <f>'28'!C108</f>
        <v>9.9570833333333351</v>
      </c>
      <c r="D36" s="61">
        <f>'28'!D108</f>
        <v>11.258124999999998</v>
      </c>
      <c r="E36" s="61">
        <f>'28'!E108</f>
        <v>4.3322916666666673</v>
      </c>
      <c r="F36" s="61">
        <f>'28'!F108</f>
        <v>10.551770833333334</v>
      </c>
      <c r="G36" s="61">
        <f>'28'!G108</f>
        <v>16.186354166666661</v>
      </c>
      <c r="H36" s="61">
        <f>'28'!H108</f>
        <v>7.9687500000000036</v>
      </c>
      <c r="I36" s="61">
        <f>'28'!I108</f>
        <v>0.98750000000000027</v>
      </c>
      <c r="J36" s="61">
        <f>'28'!J108</f>
        <v>0.52947916666666683</v>
      </c>
      <c r="K36" s="61">
        <f>'28'!K108</f>
        <v>128.11729166666672</v>
      </c>
      <c r="L36" s="61">
        <f>'28'!L108</f>
        <v>25.892187500000006</v>
      </c>
      <c r="M36" s="61">
        <f>'28'!M108</f>
        <v>94.195416666666731</v>
      </c>
      <c r="N36" s="61">
        <f>'28'!N108</f>
        <v>185.43854166666662</v>
      </c>
      <c r="O36" s="61">
        <f>'28'!O108</f>
        <v>0</v>
      </c>
      <c r="P36" s="202">
        <f>'28'!P108</f>
        <v>0.31947916666666681</v>
      </c>
      <c r="Q36" s="61">
        <f>'28'!Q108</f>
        <v>9.0552083333333275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29/09/2025 00:15</v>
      </c>
      <c r="B37" s="61">
        <f>'29'!B108</f>
        <v>11.047916666666671</v>
      </c>
      <c r="C37" s="61">
        <f>'29'!C108</f>
        <v>14.744270833333337</v>
      </c>
      <c r="D37" s="61">
        <f>'29'!D108</f>
        <v>16.561250000000001</v>
      </c>
      <c r="E37" s="61">
        <f>'29'!E108</f>
        <v>4.7242708333333345</v>
      </c>
      <c r="F37" s="61">
        <f>'29'!F108</f>
        <v>10.221354166666666</v>
      </c>
      <c r="G37" s="61">
        <f>'29'!G108</f>
        <v>37.230104166666671</v>
      </c>
      <c r="H37" s="61">
        <f>'29'!H108</f>
        <v>7.8358333333333325</v>
      </c>
      <c r="I37" s="61">
        <f>'29'!I108</f>
        <v>1.652291666666666</v>
      </c>
      <c r="J37" s="61">
        <f>'29'!J108</f>
        <v>0.20822916666666666</v>
      </c>
      <c r="K37" s="61">
        <f>'29'!K108</f>
        <v>232.65520833333335</v>
      </c>
      <c r="L37" s="61">
        <f>'29'!L108</f>
        <v>25.468229166666664</v>
      </c>
      <c r="M37" s="61">
        <f>'29'!M108</f>
        <v>95.259166666666616</v>
      </c>
      <c r="N37" s="61">
        <f>'29'!N108</f>
        <v>116.63125000000002</v>
      </c>
      <c r="O37" s="61">
        <f>'29'!O108</f>
        <v>2.0833333333333333E-3</v>
      </c>
      <c r="P37" s="202">
        <f>'29'!P108</f>
        <v>0.53854166666666659</v>
      </c>
      <c r="Q37" s="61">
        <f>'29'!Q108</f>
        <v>9.1292708333333277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30/09/2025 00:15</v>
      </c>
      <c r="B38" s="61">
        <f>'30'!B108</f>
        <v>13.0234375</v>
      </c>
      <c r="C38" s="61">
        <f>'30'!C108</f>
        <v>14.328749999999998</v>
      </c>
      <c r="D38" s="61">
        <f>'30'!D108</f>
        <v>17.927604166666661</v>
      </c>
      <c r="E38" s="61">
        <f>'30'!E108</f>
        <v>4.9493750000000007</v>
      </c>
      <c r="F38" s="61">
        <f>'30'!F108</f>
        <v>14.367500000000005</v>
      </c>
      <c r="G38" s="61">
        <f>'30'!G108</f>
        <v>47.906979166666702</v>
      </c>
      <c r="H38" s="61">
        <f>'30'!H108</f>
        <v>8.3079166666666691</v>
      </c>
      <c r="I38" s="61">
        <f>'30'!I108</f>
        <v>2.0776041666666658</v>
      </c>
      <c r="J38" s="61">
        <f>'30'!J108</f>
        <v>0.32958333333333328</v>
      </c>
      <c r="K38" s="61">
        <f>'30'!K108</f>
        <v>279.89562500000011</v>
      </c>
      <c r="L38" s="61">
        <f>'30'!L108</f>
        <v>27.782395833333329</v>
      </c>
      <c r="M38" s="61">
        <f>'30'!M108</f>
        <v>85.809583333333322</v>
      </c>
      <c r="N38" s="61">
        <f>'30'!N108</f>
        <v>189.38541666666674</v>
      </c>
      <c r="O38" s="61">
        <f>'30'!O108</f>
        <v>2.0833333333333333E-3</v>
      </c>
      <c r="P38" s="202">
        <f>'30'!P108</f>
        <v>0.6896874999999999</v>
      </c>
      <c r="Q38" s="61">
        <f>'30'!Q108</f>
        <v>9.1543749999999999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5.9757291666666674</v>
      </c>
      <c r="C40" s="16">
        <f t="shared" si="0"/>
        <v>7.2552083333333295</v>
      </c>
      <c r="D40" s="16">
        <f t="shared" si="0"/>
        <v>10.495104166666668</v>
      </c>
      <c r="E40" s="16">
        <f t="shared" si="0"/>
        <v>3.2361458333333335</v>
      </c>
      <c r="F40" s="16">
        <f t="shared" si="0"/>
        <v>5.0536458333333316</v>
      </c>
      <c r="G40" s="16">
        <f t="shared" si="0"/>
        <v>14.68072916666668</v>
      </c>
      <c r="H40" s="16">
        <f t="shared" si="0"/>
        <v>1.1359999999999999</v>
      </c>
      <c r="I40" s="16">
        <f t="shared" si="0"/>
        <v>0.84031249999999991</v>
      </c>
      <c r="J40" s="16">
        <f t="shared" si="0"/>
        <v>8.385416666666666E-2</v>
      </c>
      <c r="K40" s="16">
        <f t="shared" si="0"/>
        <v>128.11729166666672</v>
      </c>
      <c r="L40" s="16">
        <f t="shared" si="0"/>
        <v>22.928749999999994</v>
      </c>
      <c r="M40" s="16">
        <f t="shared" si="0"/>
        <v>84.30510416666668</v>
      </c>
      <c r="N40" s="16">
        <f t="shared" si="0"/>
        <v>63.151041666666664</v>
      </c>
      <c r="O40" s="16">
        <f t="shared" si="0"/>
        <v>0</v>
      </c>
      <c r="P40" s="16">
        <f t="shared" si="0"/>
        <v>0.25437499999999996</v>
      </c>
      <c r="Q40" s="16">
        <f t="shared" si="0"/>
        <v>9.0552083333333275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18.405416666666667</v>
      </c>
      <c r="C41" s="16">
        <f t="shared" si="1"/>
        <v>19.312083333333334</v>
      </c>
      <c r="D41" s="16">
        <f t="shared" si="1"/>
        <v>23.657812500000002</v>
      </c>
      <c r="E41" s="16">
        <f t="shared" si="1"/>
        <v>5.5702083333333361</v>
      </c>
      <c r="F41" s="16">
        <f t="shared" si="1"/>
        <v>14.367500000000005</v>
      </c>
      <c r="G41" s="16">
        <f t="shared" si="1"/>
        <v>76.469166666666638</v>
      </c>
      <c r="H41" s="16">
        <f t="shared" si="1"/>
        <v>24.51854166666666</v>
      </c>
      <c r="I41" s="16">
        <f t="shared" si="1"/>
        <v>20.930520833333336</v>
      </c>
      <c r="J41" s="16">
        <f t="shared" si="1"/>
        <v>0.61791666666666656</v>
      </c>
      <c r="K41" s="16">
        <f t="shared" si="1"/>
        <v>300.06802083333349</v>
      </c>
      <c r="L41" s="16">
        <f t="shared" si="1"/>
        <v>28.217708333333334</v>
      </c>
      <c r="M41" s="16">
        <f t="shared" si="1"/>
        <v>98.490937500000015</v>
      </c>
      <c r="N41" s="16">
        <f t="shared" si="1"/>
        <v>219.95416666666668</v>
      </c>
      <c r="O41" s="16">
        <f t="shared" si="1"/>
        <v>0.14166666666666666</v>
      </c>
      <c r="P41" s="16">
        <f t="shared" si="1"/>
        <v>0.89562500000000034</v>
      </c>
      <c r="Q41" s="16">
        <f t="shared" si="1"/>
        <v>9.6074999999999964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10.767921612112586</v>
      </c>
      <c r="C42" s="16">
        <f t="shared" si="2"/>
        <v>12.062712405123344</v>
      </c>
      <c r="D42" s="16">
        <f t="shared" si="2"/>
        <v>14.932605545013702</v>
      </c>
      <c r="E42" s="16">
        <f t="shared" si="2"/>
        <v>4.7425938984746185</v>
      </c>
      <c r="F42" s="16">
        <f t="shared" si="2"/>
        <v>8.5145918342911866</v>
      </c>
      <c r="G42" s="16">
        <f t="shared" si="2"/>
        <v>40.845287253059844</v>
      </c>
      <c r="H42" s="16">
        <f t="shared" si="2"/>
        <v>8.2477157239840846</v>
      </c>
      <c r="I42" s="16">
        <f t="shared" si="2"/>
        <v>2.3336824380856758</v>
      </c>
      <c r="J42" s="16">
        <f t="shared" si="2"/>
        <v>0.3185203544061303</v>
      </c>
      <c r="K42" s="16">
        <f t="shared" si="2"/>
        <v>227.02647593390802</v>
      </c>
      <c r="L42" s="16">
        <f t="shared" si="2"/>
        <v>26.077929477969345</v>
      </c>
      <c r="M42" s="16">
        <f t="shared" si="2"/>
        <v>92.909167145593884</v>
      </c>
      <c r="N42" s="16">
        <f t="shared" si="2"/>
        <v>157.54512811302683</v>
      </c>
      <c r="O42" s="16">
        <f t="shared" si="2"/>
        <v>1.6403256704980843E-2</v>
      </c>
      <c r="P42" s="16">
        <f t="shared" si="2"/>
        <v>0.50046527777777783</v>
      </c>
      <c r="Q42" s="16">
        <f t="shared" si="2"/>
        <v>9.3790432145247671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3.2304795466766341</v>
      </c>
      <c r="C43" s="16">
        <f t="shared" si="3"/>
        <v>3.211862329419513</v>
      </c>
      <c r="D43" s="16">
        <f t="shared" si="3"/>
        <v>3.1773664801396562</v>
      </c>
      <c r="E43" s="16">
        <f t="shared" si="3"/>
        <v>0.48499900040731414</v>
      </c>
      <c r="F43" s="16">
        <f t="shared" si="3"/>
        <v>2.3493332510785891</v>
      </c>
      <c r="G43" s="16">
        <f t="shared" si="3"/>
        <v>16.554582117626964</v>
      </c>
      <c r="H43" s="16">
        <f t="shared" si="3"/>
        <v>5.0935728054364215</v>
      </c>
      <c r="I43" s="16">
        <f t="shared" si="3"/>
        <v>3.5777508594402589</v>
      </c>
      <c r="J43" s="16">
        <f t="shared" si="3"/>
        <v>0.13750148688702094</v>
      </c>
      <c r="K43" s="16">
        <f t="shared" si="3"/>
        <v>42.428785897974571</v>
      </c>
      <c r="L43" s="16">
        <f t="shared" si="3"/>
        <v>1.2742659433338965</v>
      </c>
      <c r="M43" s="16">
        <f t="shared" si="3"/>
        <v>4.2205037967147101</v>
      </c>
      <c r="N43" s="16">
        <f t="shared" si="3"/>
        <v>44.936074636945683</v>
      </c>
      <c r="O43" s="16">
        <f t="shared" si="3"/>
        <v>3.6903710692906107E-2</v>
      </c>
      <c r="P43" s="16">
        <f t="shared" si="3"/>
        <v>0.15554450097770386</v>
      </c>
      <c r="Q43" s="16">
        <f t="shared" si="3"/>
        <v>0.15952828785827594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215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3" sqref="D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0" t="s">
        <v>1684</v>
      </c>
      <c r="E1" s="220"/>
      <c r="F1" s="220"/>
      <c r="G1" s="220"/>
      <c r="H1" s="220"/>
      <c r="I1" s="220"/>
      <c r="J1" s="221"/>
    </row>
    <row r="2" spans="2:24" ht="22.5" customHeight="1" thickBot="1" x14ac:dyDescent="0.3">
      <c r="B2" s="54"/>
      <c r="C2" s="111" t="s">
        <v>0</v>
      </c>
      <c r="D2" s="112" t="s">
        <v>1685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4" t="s">
        <v>1</v>
      </c>
      <c r="H5" s="224"/>
      <c r="I5" s="40"/>
      <c r="J5" s="40"/>
      <c r="K5" s="40"/>
      <c r="L5" s="40"/>
      <c r="M5" s="41"/>
      <c r="O5" s="68"/>
      <c r="P5" s="69"/>
      <c r="Q5" s="69"/>
      <c r="R5" s="69"/>
      <c r="S5" s="208" t="s">
        <v>220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45901.474999999999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199.24</v>
      </c>
      <c r="I8" s="60">
        <v>0</v>
      </c>
      <c r="J8" s="61">
        <f>F8/H8</f>
        <v>1.0038144950813088</v>
      </c>
      <c r="K8" s="61">
        <f>(H8-F8)*100/F8</f>
        <v>-0.37999999999999545</v>
      </c>
      <c r="L8" s="60" t="s">
        <v>67</v>
      </c>
      <c r="M8" s="78" t="s">
        <v>215</v>
      </c>
      <c r="O8" s="63">
        <v>45170.497916666667</v>
      </c>
      <c r="P8" s="64" t="s">
        <v>70</v>
      </c>
      <c r="Q8" s="64">
        <v>5094.75</v>
      </c>
      <c r="R8" s="64">
        <v>3919.01</v>
      </c>
      <c r="S8" s="77" t="s">
        <v>242</v>
      </c>
      <c r="T8" s="77">
        <v>836.12</v>
      </c>
      <c r="U8" s="86">
        <v>0.93489999999999995</v>
      </c>
      <c r="V8" s="86">
        <v>0.95</v>
      </c>
      <c r="W8" s="60" t="s">
        <v>67</v>
      </c>
      <c r="X8" s="78" t="s">
        <v>215</v>
      </c>
    </row>
    <row r="9" spans="2:24" ht="15.75" x14ac:dyDescent="0.25">
      <c r="B9" s="63">
        <v>45912.481944444444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200.13</v>
      </c>
      <c r="I9" s="60">
        <v>0</v>
      </c>
      <c r="J9" s="61">
        <f t="shared" ref="J9:J14" si="0">F9/H9</f>
        <v>0.99935042222555337</v>
      </c>
      <c r="K9" s="61">
        <f t="shared" ref="K9:K14" si="1">(H9-F9)*100/F9</f>
        <v>6.4999999999997726E-2</v>
      </c>
      <c r="L9" s="60" t="s">
        <v>67</v>
      </c>
      <c r="M9" s="62" t="s">
        <v>215</v>
      </c>
      <c r="O9" s="63">
        <v>45912.472222222219</v>
      </c>
      <c r="P9" s="64" t="s">
        <v>70</v>
      </c>
      <c r="Q9" s="64">
        <v>4938.24</v>
      </c>
      <c r="R9" s="64">
        <v>3886.41</v>
      </c>
      <c r="S9" s="77" t="s">
        <v>242</v>
      </c>
      <c r="T9" s="77">
        <v>835.32</v>
      </c>
      <c r="U9" s="86">
        <v>0.95309999999999995</v>
      </c>
      <c r="V9" s="86">
        <v>0.95220000000000005</v>
      </c>
      <c r="W9" s="60" t="s">
        <v>67</v>
      </c>
      <c r="X9" s="62" t="s">
        <v>215</v>
      </c>
    </row>
    <row r="10" spans="2:24" ht="15.75" x14ac:dyDescent="0.25">
      <c r="B10" s="63">
        <v>45923.472916666666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198.65</v>
      </c>
      <c r="I10" s="60">
        <v>0</v>
      </c>
      <c r="J10" s="61">
        <f t="shared" si="0"/>
        <v>1.0067958721369241</v>
      </c>
      <c r="K10" s="61">
        <f t="shared" si="1"/>
        <v>-0.67499999999999716</v>
      </c>
      <c r="L10" s="60" t="s">
        <v>67</v>
      </c>
      <c r="M10" s="62" t="s">
        <v>215</v>
      </c>
      <c r="O10" s="63">
        <v>45923.474999999999</v>
      </c>
      <c r="P10" s="64" t="s">
        <v>70</v>
      </c>
      <c r="Q10" s="64">
        <v>5068.5</v>
      </c>
      <c r="R10" s="64">
        <v>4056.22</v>
      </c>
      <c r="S10" s="77" t="s">
        <v>242</v>
      </c>
      <c r="T10" s="77">
        <v>836.81</v>
      </c>
      <c r="U10" s="86">
        <v>0.95240000000000002</v>
      </c>
      <c r="V10" s="86">
        <v>0.95309999999999995</v>
      </c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242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242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3" t="s">
        <v>25</v>
      </c>
      <c r="D21" s="223"/>
      <c r="E21" s="223"/>
      <c r="F21" s="223"/>
      <c r="G21" s="223"/>
      <c r="H21" s="223"/>
      <c r="I21" s="45">
        <f>COUNT(B8:B20)</f>
        <v>3</v>
      </c>
      <c r="J21" s="46"/>
      <c r="K21" s="46"/>
      <c r="L21" s="47"/>
      <c r="M21" s="48"/>
      <c r="O21" s="80"/>
      <c r="P21" s="225" t="s">
        <v>84</v>
      </c>
      <c r="Q21" s="225"/>
      <c r="R21" s="225"/>
      <c r="S21" s="225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2" t="s">
        <v>2</v>
      </c>
      <c r="H24" s="222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45170.524305555555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201.34</v>
      </c>
      <c r="I27" s="60">
        <v>0</v>
      </c>
      <c r="J27" s="61">
        <f>F27/H27</f>
        <v>0.99334459123870067</v>
      </c>
      <c r="K27" s="61">
        <f>(H27-F27)*100/F27</f>
        <v>0.67000000000000171</v>
      </c>
      <c r="L27" s="60" t="s">
        <v>67</v>
      </c>
      <c r="M27" s="78" t="s">
        <v>215</v>
      </c>
      <c r="O27" s="63">
        <v>45170.497916666667</v>
      </c>
      <c r="P27" s="64" t="s">
        <v>71</v>
      </c>
      <c r="Q27" s="64">
        <v>4951.96</v>
      </c>
      <c r="R27" s="64">
        <v>3900.55</v>
      </c>
      <c r="S27" s="77" t="s">
        <v>243</v>
      </c>
      <c r="T27" s="77">
        <v>846.88</v>
      </c>
      <c r="U27" s="86">
        <v>0.99790000000000001</v>
      </c>
      <c r="V27" s="86">
        <v>1.0043</v>
      </c>
      <c r="W27" s="60" t="s">
        <v>67</v>
      </c>
      <c r="X27" s="78" t="s">
        <v>215</v>
      </c>
    </row>
    <row r="28" spans="2:24" s="24" customFormat="1" ht="15.75" x14ac:dyDescent="0.25">
      <c r="B28" s="63">
        <v>45912.522916666669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200.16</v>
      </c>
      <c r="I28" s="60">
        <v>0</v>
      </c>
      <c r="J28" s="61">
        <f t="shared" ref="J28:J33" si="2">F28/H28</f>
        <v>0.99920063948840931</v>
      </c>
      <c r="K28" s="61">
        <f t="shared" ref="K28:K33" si="3">(H28-F28)*100/F28</f>
        <v>7.9999999999998295E-2</v>
      </c>
      <c r="L28" s="60" t="s">
        <v>67</v>
      </c>
      <c r="M28" s="62" t="s">
        <v>221</v>
      </c>
      <c r="O28" s="63">
        <v>45912.472222222219</v>
      </c>
      <c r="P28" s="64" t="s">
        <v>71</v>
      </c>
      <c r="Q28" s="64">
        <v>4869.54</v>
      </c>
      <c r="R28" s="64">
        <v>3798.61</v>
      </c>
      <c r="S28" s="77" t="s">
        <v>243</v>
      </c>
      <c r="T28" s="77">
        <v>847.65</v>
      </c>
      <c r="U28" s="86">
        <v>0.96970000000000001</v>
      </c>
      <c r="V28" s="86">
        <v>0.96909999999999996</v>
      </c>
      <c r="W28" s="60" t="s">
        <v>67</v>
      </c>
      <c r="X28" s="62" t="s">
        <v>215</v>
      </c>
    </row>
    <row r="29" spans="2:24" s="24" customFormat="1" ht="15.75" x14ac:dyDescent="0.25">
      <c r="B29" s="63">
        <v>45923.538194444445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197.65</v>
      </c>
      <c r="I29" s="60">
        <v>0</v>
      </c>
      <c r="J29" s="61">
        <f t="shared" si="2"/>
        <v>1.0118897040222616</v>
      </c>
      <c r="K29" s="61">
        <f t="shared" si="3"/>
        <v>-1.1749999999999972</v>
      </c>
      <c r="L29" s="60" t="s">
        <v>67</v>
      </c>
      <c r="M29" s="62" t="s">
        <v>222</v>
      </c>
      <c r="O29" s="63">
        <v>45923.474999999999</v>
      </c>
      <c r="P29" s="64" t="s">
        <v>71</v>
      </c>
      <c r="Q29" s="64">
        <v>4958.46</v>
      </c>
      <c r="R29" s="64">
        <v>3985.31</v>
      </c>
      <c r="S29" s="77" t="s">
        <v>243</v>
      </c>
      <c r="T29" s="77">
        <v>847.63</v>
      </c>
      <c r="U29" s="86">
        <v>0.9546</v>
      </c>
      <c r="V29" s="86">
        <v>0.95379999999999998</v>
      </c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222</v>
      </c>
      <c r="O30" s="63"/>
      <c r="P30" s="64" t="s">
        <v>71</v>
      </c>
      <c r="Q30" s="64"/>
      <c r="R30" s="64"/>
      <c r="S30" s="77" t="s">
        <v>243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5" t="s">
        <v>85</v>
      </c>
      <c r="Q40" s="225"/>
      <c r="R40" s="225"/>
      <c r="S40" s="225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3" t="s">
        <v>26</v>
      </c>
      <c r="E41" s="223"/>
      <c r="F41" s="223"/>
      <c r="G41" s="223"/>
      <c r="H41" s="223"/>
      <c r="I41" s="223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2" t="s">
        <v>23</v>
      </c>
      <c r="H44" s="222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221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3" t="s">
        <v>27</v>
      </c>
      <c r="E61" s="223"/>
      <c r="F61" s="223"/>
      <c r="G61" s="223"/>
      <c r="H61" s="223"/>
      <c r="I61" s="223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2" t="s">
        <v>3</v>
      </c>
      <c r="H64" s="222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45170.527777777781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221</v>
      </c>
    </row>
    <row r="68" spans="2:13" ht="15.75" x14ac:dyDescent="0.25">
      <c r="B68" s="63">
        <v>45912.55972222222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4.9800000000000004</v>
      </c>
      <c r="I68" s="60">
        <v>0</v>
      </c>
      <c r="J68" s="61">
        <f t="shared" ref="J68:J73" si="4">F68/H68</f>
        <v>1.0040160642570279</v>
      </c>
      <c r="K68" s="61">
        <f t="shared" ref="K68:K73" si="5">(H68-F68)*100/F68</f>
        <v>-0.39999999999999147</v>
      </c>
      <c r="L68" s="60" t="s">
        <v>67</v>
      </c>
      <c r="M68" s="62" t="s">
        <v>222</v>
      </c>
    </row>
    <row r="69" spans="2:13" ht="15.75" x14ac:dyDescent="0.25">
      <c r="B69" s="63">
        <v>45923.570138888892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4.99</v>
      </c>
      <c r="I69" s="60">
        <v>0</v>
      </c>
      <c r="J69" s="61">
        <f t="shared" si="4"/>
        <v>1.002004008016032</v>
      </c>
      <c r="K69" s="61">
        <f t="shared" si="5"/>
        <v>-0.19999999999999574</v>
      </c>
      <c r="L69" s="60" t="s">
        <v>67</v>
      </c>
      <c r="M69" s="62" t="s">
        <v>222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222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3" t="s">
        <v>28</v>
      </c>
      <c r="E81" s="223"/>
      <c r="F81" s="223"/>
      <c r="G81" s="223"/>
      <c r="H81" s="223"/>
      <c r="I81" s="223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2" t="s">
        <v>24</v>
      </c>
      <c r="H84" s="222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3" t="s">
        <v>29</v>
      </c>
      <c r="E101" s="223"/>
      <c r="F101" s="223"/>
      <c r="G101" s="223"/>
      <c r="H101" s="223"/>
      <c r="I101" s="223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4" t="s">
        <v>4</v>
      </c>
      <c r="H104" s="224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45901.701388888891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328.15</v>
      </c>
      <c r="I107" s="60">
        <f>G107-E107</f>
        <v>0</v>
      </c>
      <c r="J107" s="61">
        <f>F107/H107</f>
        <v>0.97516379704403477</v>
      </c>
      <c r="K107" s="61">
        <f>(H107-F107)*100/F107</f>
        <v>2.5468749999999929</v>
      </c>
      <c r="L107" s="60" t="s">
        <v>67</v>
      </c>
      <c r="M107" s="62" t="s">
        <v>221</v>
      </c>
    </row>
    <row r="108" spans="2:13" ht="15.75" x14ac:dyDescent="0.25">
      <c r="B108" s="63">
        <v>45912.745833333334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330.15</v>
      </c>
      <c r="I108" s="60">
        <f>G108-E108</f>
        <v>0</v>
      </c>
      <c r="J108" s="61">
        <f>F108/H108</f>
        <v>0.96925639860669399</v>
      </c>
      <c r="K108" s="61">
        <f>(H108-F108)*100/F108</f>
        <v>3.1718749999999929</v>
      </c>
      <c r="L108" s="60" t="s">
        <v>67</v>
      </c>
      <c r="M108" s="62" t="s">
        <v>222</v>
      </c>
    </row>
    <row r="109" spans="2:13" ht="15.75" x14ac:dyDescent="0.25">
      <c r="B109" s="63">
        <v>45923.724305555559</v>
      </c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>
        <v>328.99</v>
      </c>
      <c r="I109" s="60">
        <f t="shared" ref="I109:I114" si="8">G109-E109</f>
        <v>0</v>
      </c>
      <c r="J109" s="61">
        <f t="shared" ref="J109:J114" si="9">F109/H109</f>
        <v>0.97267394145718711</v>
      </c>
      <c r="K109" s="61">
        <f t="shared" ref="K109:K114" si="10">(H109-F109)*100/F109</f>
        <v>2.8093750000000028</v>
      </c>
      <c r="L109" s="60" t="s">
        <v>67</v>
      </c>
      <c r="M109" s="62" t="s">
        <v>222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222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3" t="s">
        <v>69</v>
      </c>
      <c r="D119" s="223"/>
      <c r="E119" s="223"/>
      <c r="F119" s="223"/>
      <c r="G119" s="223"/>
      <c r="H119" s="223"/>
      <c r="I119" s="52">
        <f>COUNT(B107:B118)</f>
        <v>3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6" t="s">
        <v>224</v>
      </c>
      <c r="C2" s="226"/>
      <c r="D2" s="227">
        <v>45017</v>
      </c>
      <c r="E2" s="227"/>
    </row>
    <row r="3" spans="1:5" x14ac:dyDescent="0.25">
      <c r="B3" s="226" t="s">
        <v>21</v>
      </c>
      <c r="C3" s="226"/>
      <c r="D3" s="227"/>
      <c r="E3" s="227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8" t="s">
        <v>22</v>
      </c>
      <c r="C44" s="228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9" t="s">
        <v>219</v>
      </c>
      <c r="C2" s="229"/>
      <c r="D2" s="229"/>
      <c r="E2" s="229"/>
      <c r="F2" s="230">
        <v>44713</v>
      </c>
      <c r="G2" s="231"/>
      <c r="H2" s="231"/>
    </row>
    <row r="3" spans="2:24" s="12" customFormat="1" ht="15" customHeight="1" x14ac:dyDescent="0.25">
      <c r="B3" s="229"/>
      <c r="C3" s="229"/>
      <c r="D3" s="229"/>
      <c r="E3" s="229"/>
      <c r="F3" s="231"/>
      <c r="G3" s="231"/>
      <c r="H3" s="231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2" t="s">
        <v>4</v>
      </c>
      <c r="C12" s="234" t="s">
        <v>133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127"/>
      <c r="U12" s="125"/>
    </row>
    <row r="13" spans="2:24" ht="15" customHeight="1" x14ac:dyDescent="0.25">
      <c r="B13" s="233"/>
      <c r="C13" s="128" t="s">
        <v>78</v>
      </c>
      <c r="D13" s="129" t="s">
        <v>83</v>
      </c>
      <c r="E13" s="129" t="s">
        <v>134</v>
      </c>
      <c r="F13" s="129" t="s">
        <v>216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3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3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3"/>
      <c r="C16" s="195">
        <v>2425504512</v>
      </c>
      <c r="D16" s="195">
        <v>2513962496</v>
      </c>
      <c r="E16" s="60">
        <v>1445.7</v>
      </c>
      <c r="F16" s="60" t="s">
        <v>217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217</v>
      </c>
      <c r="L16" s="60" t="s">
        <v>218</v>
      </c>
      <c r="M16" s="60">
        <v>485</v>
      </c>
      <c r="N16" s="60" t="s">
        <v>218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33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3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6" t="s">
        <v>2</v>
      </c>
      <c r="C25" s="238" t="s">
        <v>133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40"/>
      <c r="S25" s="188"/>
      <c r="T25" s="189"/>
    </row>
    <row r="26" spans="2:28" ht="15" customHeight="1" x14ac:dyDescent="0.3">
      <c r="B26" s="236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6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6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7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4" t="s">
        <v>3</v>
      </c>
      <c r="C36" s="246" t="s">
        <v>133</v>
      </c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7"/>
    </row>
    <row r="37" spans="2:25" ht="15.75" customHeight="1" x14ac:dyDescent="0.25">
      <c r="B37" s="245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5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5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5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8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9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9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9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6" t="s">
        <v>184</v>
      </c>
      <c r="C61" s="238" t="s">
        <v>133</v>
      </c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40"/>
      <c r="S61" s="166"/>
      <c r="T61" s="167"/>
    </row>
    <row r="62" spans="2:20" ht="15.75" x14ac:dyDescent="0.3">
      <c r="B62" s="236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0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0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7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6" t="s">
        <v>201</v>
      </c>
      <c r="C69" s="238" t="s">
        <v>133</v>
      </c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40"/>
      <c r="S69" s="166"/>
      <c r="T69" s="167"/>
    </row>
    <row r="70" spans="2:20" ht="15.75" x14ac:dyDescent="0.3">
      <c r="B70" s="236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6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0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7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1" t="s">
        <v>24</v>
      </c>
      <c r="C77" s="240" t="s">
        <v>133</v>
      </c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177"/>
      <c r="S77" s="177"/>
      <c r="T77" s="178"/>
    </row>
    <row r="78" spans="2:20" x14ac:dyDescent="0.25">
      <c r="B78" s="242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2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2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2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2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2025-12-02T10:41:34Z</dcterms:modified>
</cp:coreProperties>
</file>